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320" tabRatio="600" firstSheet="0" activeTab="0" autoFilterDateGrouping="1"/>
  </bookViews>
  <sheets>
    <sheet xmlns:r="http://schemas.openxmlformats.org/officeDocument/2006/relationships" name="中信三级行业指数热度" sheetId="1" state="visible" r:id="rId1"/>
    <sheet xmlns:r="http://schemas.openxmlformats.org/officeDocument/2006/relationships" name="热点热力图" sheetId="2" state="visible" r:id="rId2"/>
    <sheet xmlns:r="http://schemas.openxmlformats.org/officeDocument/2006/relationships" name="动量加速度计算逻辑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-mm-dd"/>
  </numFmts>
  <fonts count="37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  <font>
      <b val="1"/>
      <color rgb="00666666"/>
      <sz val="9"/>
    </font>
    <font>
      <b val="1"/>
      <color rgb="00222222"/>
      <sz val="15"/>
    </font>
    <font>
      <color rgb="00666666"/>
      <sz val="9"/>
    </font>
    <font>
      <sz val="8"/>
    </font>
    <font>
      <b val="1"/>
      <sz val="9"/>
    </font>
    <font>
      <color rgb="00FFFFFF"/>
      <sz val="8"/>
    </font>
    <font>
      <color rgb="00000000"/>
      <sz val="8"/>
    </font>
    <font>
      <b val="1"/>
      <color rgb="00222222"/>
      <sz val="12"/>
    </font>
    <font>
      <b val="1"/>
      <color rgb="00305496"/>
      <sz val="15"/>
    </font>
    <font>
      <b val="1"/>
      <color rgb="00333333"/>
      <sz val="10"/>
    </font>
    <font>
      <b val="1"/>
      <color rgb="00305496"/>
      <sz val="13"/>
    </font>
    <font>
      <color rgb="00333333"/>
      <sz val="10"/>
    </font>
    <font>
      <name val="Consolas"/>
      <color rgb="000B5394"/>
      <sz val="10"/>
    </font>
  </fonts>
  <fills count="48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305496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A5D6A7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EF5350"/>
      </patternFill>
    </fill>
    <fill>
      <patternFill patternType="solid">
        <fgColor rgb="00B71C1C"/>
      </patternFill>
    </fill>
    <fill>
      <patternFill patternType="solid">
        <fgColor rgb="00F2F6F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8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9" borderId="4" applyAlignment="1">
      <alignment vertical="center"/>
    </xf>
    <xf numFmtId="0" fontId="13" fillId="10" borderId="5" applyAlignment="1">
      <alignment vertical="center"/>
    </xf>
    <xf numFmtId="0" fontId="14" fillId="10" borderId="4" applyAlignment="1">
      <alignment vertical="center"/>
    </xf>
    <xf numFmtId="0" fontId="15" fillId="11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2" fillId="36" borderId="0" applyAlignment="1">
      <alignment vertical="center"/>
    </xf>
    <xf numFmtId="0" fontId="22" fillId="37" borderId="0" applyAlignment="1">
      <alignment vertical="center"/>
    </xf>
    <xf numFmtId="0" fontId="21" fillId="38" borderId="0" applyAlignment="1">
      <alignment vertical="center"/>
    </xf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3" fillId="39" borderId="0" applyAlignment="1" pivotButton="0" quotePrefix="0" xfId="0">
      <alignment horizontal="center" vertical="center" wrapText="1"/>
    </xf>
    <xf numFmtId="0" fontId="24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5" fillId="0" borderId="0" pivotButton="0" quotePrefix="0" xfId="0"/>
    <xf numFmtId="0" fontId="26" fillId="0" borderId="0" applyAlignment="1" pivotButton="0" quotePrefix="0" xfId="0">
      <alignment wrapText="1"/>
    </xf>
    <xf numFmtId="0" fontId="27" fillId="0" borderId="9" applyAlignment="1" pivotButton="0" quotePrefix="0" xfId="0">
      <alignment horizontal="center" vertical="center" wrapText="1"/>
    </xf>
    <xf numFmtId="165" fontId="0" fillId="0" borderId="0" pivotButton="0" quotePrefix="0" xfId="0"/>
    <xf numFmtId="0" fontId="28" fillId="0" borderId="0" pivotButton="0" quotePrefix="0" xfId="0"/>
    <xf numFmtId="0" fontId="29" fillId="40" borderId="0" applyAlignment="1" pivotButton="0" quotePrefix="0" xfId="0">
      <alignment horizontal="center"/>
    </xf>
    <xf numFmtId="0" fontId="29" fillId="41" borderId="0" applyAlignment="1" pivotButton="0" quotePrefix="0" xfId="0">
      <alignment horizontal="center"/>
    </xf>
    <xf numFmtId="0" fontId="30" fillId="42" borderId="0" applyAlignment="1" pivotButton="0" quotePrefix="0" xfId="0">
      <alignment horizontal="center"/>
    </xf>
    <xf numFmtId="0" fontId="30" fillId="43" borderId="0" applyAlignment="1" pivotButton="0" quotePrefix="0" xfId="0">
      <alignment horizontal="center"/>
    </xf>
    <xf numFmtId="0" fontId="30" fillId="44" borderId="0" applyAlignment="1" pivotButton="0" quotePrefix="0" xfId="0">
      <alignment horizontal="center"/>
    </xf>
    <xf numFmtId="0" fontId="29" fillId="45" borderId="0" applyAlignment="1" pivotButton="0" quotePrefix="0" xfId="0">
      <alignment horizontal="center"/>
    </xf>
    <xf numFmtId="0" fontId="29" fillId="46" borderId="0" applyAlignment="1" pivotButton="0" quotePrefix="0" xfId="0">
      <alignment horizontal="center"/>
    </xf>
    <xf numFmtId="0" fontId="31" fillId="0" borderId="0" pivotButton="0" quotePrefix="0" xfId="0"/>
    <xf numFmtId="0" fontId="23" fillId="39" borderId="0" applyAlignment="1" pivotButton="0" quotePrefix="0" xfId="0">
      <alignment horizontal="center"/>
    </xf>
    <xf numFmtId="0" fontId="32" fillId="0" borderId="0" pivotButton="0" quotePrefix="0" xfId="0"/>
    <xf numFmtId="0" fontId="33" fillId="0" borderId="0" applyAlignment="1" pivotButton="0" quotePrefix="0" xfId="0">
      <alignment vertical="top" wrapText="1"/>
    </xf>
    <xf numFmtId="0" fontId="34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47" borderId="0" applyAlignment="1" pivotButton="0" quotePrefix="0" xfId="0">
      <alignment vertical="top" wrapText="1"/>
    </xf>
    <xf numFmtId="166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color rgb="00FFFFFF"/>
        <sz val="8"/>
      </font>
      <fill>
        <patternFill patternType="solid">
          <fgColor rgb="001B5E20"/>
        </patternFill>
      </fill>
    </dxf>
    <dxf>
      <font>
        <color rgb="00FFFFFF"/>
        <sz val="8"/>
      </font>
      <fill>
        <patternFill patternType="solid">
          <fgColor rgb="00388E3C"/>
        </patternFill>
      </fill>
    </dxf>
    <dxf>
      <font>
        <color rgb="00000000"/>
        <sz val="8"/>
      </font>
      <fill>
        <patternFill patternType="solid">
          <fgColor rgb="00A5D6A7"/>
        </patternFill>
      </fill>
    </dxf>
    <dxf>
      <font>
        <color rgb="00000000"/>
        <sz val="8"/>
      </font>
      <fill>
        <patternFill patternType="solid">
          <fgColor rgb="00F5F5F5"/>
        </patternFill>
      </fill>
    </dxf>
    <dxf>
      <font>
        <color rgb="00000000"/>
        <sz val="8"/>
      </font>
      <fill>
        <patternFill patternType="solid">
          <fgColor rgb="00FFCDD2"/>
        </patternFill>
      </fill>
    </dxf>
    <dxf>
      <font>
        <color rgb="00FFFFFF"/>
        <sz val="8"/>
      </font>
      <fill>
        <patternFill patternType="solid">
          <fgColor rgb="00EF5350"/>
        </patternFill>
      </fill>
    </dxf>
    <dxf>
      <font>
        <color rgb="00FFFFFF"/>
        <sz val="8"/>
      </font>
      <fill>
        <patternFill patternType="solid">
          <fgColor rgb="00B71C1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2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7" sqref="G7"/>
    </sheetView>
  </sheetViews>
  <sheetFormatPr baseColWidth="8" defaultColWidth="9" defaultRowHeight="16.8"/>
  <cols>
    <col width="13" customWidth="1" style="1" min="1" max="1"/>
    <col width="22" customWidth="1" style="1" min="2" max="2"/>
    <col width="14.0865384615385" customWidth="1" style="1" min="3" max="7"/>
    <col width="14" customWidth="1" min="4" max="4"/>
    <col width="14" customWidth="1" min="5" max="5"/>
    <col width="14" customWidth="1" min="6" max="6"/>
    <col width="14" customWidth="1" min="7" max="7"/>
    <col width="15" customWidth="1" style="1" min="8" max="8"/>
    <col width="11" customWidth="1" style="1" min="9" max="9"/>
    <col width="14" customWidth="1" style="1" min="10" max="10"/>
    <col width="17" customWidth="1" style="1" min="11" max="11"/>
    <col width="11" customWidth="1" style="1" min="12" max="13"/>
    <col width="14" customWidth="1" style="1" min="14" max="14"/>
    <col width="17" customWidth="1" style="1" min="15" max="15"/>
    <col width="11" customWidth="1" style="1" min="16" max="17"/>
    <col width="14" customWidth="1" style="1" min="18" max="18"/>
    <col width="17" customWidth="1" style="1" min="19" max="19"/>
    <col width="11" customWidth="1" style="1" min="20" max="21"/>
    <col width="14" customWidth="1" style="1" min="22" max="22"/>
    <col width="17" customWidth="1" style="1" min="23" max="23"/>
    <col width="11" customWidth="1" style="1" min="24" max="25"/>
    <col width="14" customWidth="1" style="1" min="26" max="26"/>
    <col width="17" customWidth="1" style="1" min="27" max="27"/>
    <col width="11" customWidth="1" style="1" min="28" max="28"/>
    <col width="8.73076923076923" customWidth="1" style="1" min="29" max="16384"/>
    <col width="22" customWidth="1" min="30" max="30"/>
    <col width="14" customWidth="1" min="31" max="31"/>
  </cols>
  <sheetData>
    <row r="1">
      <c r="A1" s="2" t="inlineStr">
        <is>
          <t>指数代码</t>
        </is>
      </c>
      <c r="B1" s="2" t="inlineStr">
        <is>
          <t>指数名称</t>
        </is>
      </c>
      <c r="C1" s="2" t="inlineStr">
        <is>
          <t>指数成分股数</t>
        </is>
      </c>
      <c r="D1" s="8" t="inlineStr">
        <is>
          <t>YTD涨幅(%)</t>
        </is>
      </c>
      <c r="E1" s="8" t="inlineStr">
        <is>
          <t>近一周涨跌幅(%)</t>
        </is>
      </c>
      <c r="F1" s="8" t="inlineStr">
        <is>
          <t>近一月涨跌幅(%)</t>
        </is>
      </c>
      <c r="G1" s="8" t="inlineStr">
        <is>
          <t>动量加速度</t>
        </is>
      </c>
      <c r="H1" s="3" t="inlineStr">
        <is>
          <t>CR5合计权重(%)</t>
        </is>
      </c>
      <c r="I1" s="4" t="inlineStr">
        <is>
          <t>CR1代码</t>
        </is>
      </c>
      <c r="J1" s="4" t="inlineStr">
        <is>
          <t>CR1名称</t>
        </is>
      </c>
      <c r="K1" s="4" t="inlineStr">
        <is>
          <t>CR1自由流通市值(亿)</t>
        </is>
      </c>
      <c r="L1" s="4" t="inlineStr">
        <is>
          <t>CR1权重(%)</t>
        </is>
      </c>
      <c r="M1" s="5" t="inlineStr">
        <is>
          <t>CR2代码</t>
        </is>
      </c>
      <c r="N1" s="5" t="inlineStr">
        <is>
          <t>CR2名称</t>
        </is>
      </c>
      <c r="O1" s="5" t="inlineStr">
        <is>
          <t>CR2自由流通市值(亿)</t>
        </is>
      </c>
      <c r="P1" s="5" t="inlineStr">
        <is>
          <t>CR2权重(%)</t>
        </is>
      </c>
      <c r="Q1" s="6" t="inlineStr">
        <is>
          <t>CR3代码</t>
        </is>
      </c>
      <c r="R1" s="6" t="inlineStr">
        <is>
          <t>CR3名称</t>
        </is>
      </c>
      <c r="S1" s="6" t="inlineStr">
        <is>
          <t>CR3自由流通市值(亿)</t>
        </is>
      </c>
      <c r="T1" s="6" t="inlineStr">
        <is>
          <t>CR3权重(%)</t>
        </is>
      </c>
      <c r="U1" s="2" t="inlineStr">
        <is>
          <t>CR4代码</t>
        </is>
      </c>
      <c r="V1" s="2" t="inlineStr">
        <is>
          <t>CR4名称</t>
        </is>
      </c>
      <c r="W1" s="2" t="inlineStr">
        <is>
          <t>CR4自由流通市值(亿)</t>
        </is>
      </c>
      <c r="X1" s="2" t="inlineStr">
        <is>
          <t>CR4权重(%)</t>
        </is>
      </c>
      <c r="Y1" s="7" t="inlineStr">
        <is>
          <t>CR5代码</t>
        </is>
      </c>
      <c r="Z1" s="7" t="inlineStr">
        <is>
          <t>CR5名称</t>
        </is>
      </c>
      <c r="AA1" s="7" t="inlineStr">
        <is>
          <t>CR5自由流通市值(亿)</t>
        </is>
      </c>
      <c r="AB1" s="7" t="inlineStr">
        <is>
          <t>CR5权重(%)</t>
        </is>
      </c>
      <c r="AD1" s="9" t="inlineStr">
        <is>
          <t>基准日:今天</t>
        </is>
      </c>
      <c r="AE1" s="31">
        <f>TODAY()</f>
        <v/>
      </c>
    </row>
    <row r="2">
      <c r="A2" s="1" t="inlineStr">
        <is>
          <t>CI005381.CI</t>
        </is>
      </c>
      <c r="B2" s="1" t="inlineStr">
        <is>
          <t>线缆指数</t>
        </is>
      </c>
      <c r="C2" s="1" t="n">
        <v>12</v>
      </c>
      <c r="D2" s="10">
        <f>IFERROR((thsiFinD("ths_close_price_index",$A2,$AE$2,"","")/thsiFinD("ths_close_price_index",$A2,$AE$5,"","")-1)*100,"")</f>
        <v/>
      </c>
      <c r="E2" s="10">
        <f>IFERROR((thsiFinD("ths_close_price_index",$A2,$AE$2,"","")/thsiFinD("ths_close_price_index",$A2,$AE$3,"","")-1)*100,"")</f>
        <v/>
      </c>
      <c r="F2" s="10">
        <f>IFERROR((thsiFinD("ths_close_price_index",$A2,$AE$2,"","")/thsiFinD("ths_close_price_index",$A2,$AE$4,"","")-1)*100,"")</f>
        <v/>
      </c>
      <c r="G2" s="11">
        <f>IFERROR(E2/5-F2/20,"")</f>
        <v/>
      </c>
      <c r="H2" s="1" t="n">
        <v>89.69</v>
      </c>
      <c r="I2" s="1" t="inlineStr">
        <is>
          <t>600487.SH</t>
        </is>
      </c>
      <c r="J2" s="1" t="inlineStr">
        <is>
          <t>亨通光电</t>
        </is>
      </c>
      <c r="K2" s="1" t="n">
        <v>2109.6284</v>
      </c>
      <c r="L2" s="1" t="n">
        <v>34.54</v>
      </c>
      <c r="M2" s="1" t="inlineStr">
        <is>
          <t>600522.SH</t>
        </is>
      </c>
      <c r="N2" s="1" t="inlineStr">
        <is>
          <t>中天科技</t>
        </is>
      </c>
      <c r="O2" s="1" t="n">
        <v>1573.5354</v>
      </c>
      <c r="P2" s="1" t="n">
        <v>25.77</v>
      </c>
      <c r="Q2" s="1" t="inlineStr">
        <is>
          <t>600105.SH</t>
        </is>
      </c>
      <c r="R2" s="1" t="inlineStr">
        <is>
          <t>永鼎股份</t>
        </is>
      </c>
      <c r="S2" s="1" t="n">
        <v>708.6299</v>
      </c>
      <c r="T2" s="1" t="n">
        <v>11.6</v>
      </c>
      <c r="U2" s="1" t="inlineStr">
        <is>
          <t>601869.SH</t>
        </is>
      </c>
      <c r="V2" s="1" t="inlineStr">
        <is>
          <t>长飞光纤</t>
        </is>
      </c>
      <c r="W2" s="1" t="n">
        <v>558.5133</v>
      </c>
      <c r="X2" s="1" t="n">
        <v>9.15</v>
      </c>
      <c r="Y2" s="1" t="inlineStr">
        <is>
          <t>688313.SH</t>
        </is>
      </c>
      <c r="Z2" s="1" t="inlineStr">
        <is>
          <t>仕佳光子</t>
        </is>
      </c>
      <c r="AA2" s="1" t="n">
        <v>527.2326</v>
      </c>
      <c r="AB2" s="1" t="n">
        <v>8.630000000000001</v>
      </c>
      <c r="AD2" s="9" t="inlineStr">
        <is>
          <t>前一交易日T0(工作日近似)</t>
        </is>
      </c>
      <c r="AE2">
        <f>TEXT(WORKDAY($AE$1,-1),"yyyy-mm-dd")</f>
        <v/>
      </c>
    </row>
    <row r="3">
      <c r="A3" s="1" t="inlineStr">
        <is>
          <t>CI005543.CI</t>
        </is>
      </c>
      <c r="B3" s="1" t="inlineStr">
        <is>
          <t>被动元件指数</t>
        </is>
      </c>
      <c r="C3" s="1" t="n">
        <v>12</v>
      </c>
      <c r="D3" s="10">
        <f>IFERROR((thsiFinD("ths_close_price_index",$A3,$AE$2,"","")/thsiFinD("ths_close_price_index",$A3,$AE$5,"","")-1)*100,"")</f>
        <v/>
      </c>
      <c r="E3" s="10">
        <f>IFERROR((thsiFinD("ths_close_price_index",$A3,$AE$2,"","")/thsiFinD("ths_close_price_index",$A3,$AE$3,"","")-1)*100,"")</f>
        <v/>
      </c>
      <c r="F3" s="10">
        <f>IFERROR((thsiFinD("ths_close_price_index",$A3,$AE$2,"","")/thsiFinD("ths_close_price_index",$A3,$AE$4,"","")-1)*100,"")</f>
        <v/>
      </c>
      <c r="G3" s="11">
        <f>IFERROR(E3/5-F3/20,"")</f>
        <v/>
      </c>
      <c r="H3" s="1" t="n">
        <v>89.78</v>
      </c>
      <c r="I3" s="1" t="inlineStr">
        <is>
          <t>300408.SZ</t>
        </is>
      </c>
      <c r="J3" s="1" t="inlineStr">
        <is>
          <t>三环集团</t>
        </is>
      </c>
      <c r="K3" s="1" t="n">
        <v>1890.5672</v>
      </c>
      <c r="L3" s="1" t="n">
        <v>44.56</v>
      </c>
      <c r="M3" s="1" t="inlineStr">
        <is>
          <t>000636.SZ</t>
        </is>
      </c>
      <c r="N3" s="1" t="inlineStr">
        <is>
          <t>风华高科</t>
        </is>
      </c>
      <c r="O3" s="1" t="n">
        <v>645.2297</v>
      </c>
      <c r="P3" s="1" t="n">
        <v>15.21</v>
      </c>
      <c r="Q3" s="1" t="inlineStr">
        <is>
          <t>002484.SZ</t>
        </is>
      </c>
      <c r="R3" s="1" t="inlineStr">
        <is>
          <t>江海股份</t>
        </is>
      </c>
      <c r="S3" s="1" t="n">
        <v>551.4655</v>
      </c>
      <c r="T3" s="1" t="n">
        <v>13</v>
      </c>
      <c r="U3" s="1" t="inlineStr">
        <is>
          <t>002138.SZ</t>
        </is>
      </c>
      <c r="V3" s="1" t="inlineStr">
        <is>
          <t>顺络电子</t>
        </is>
      </c>
      <c r="W3" s="1" t="n">
        <v>498.1586</v>
      </c>
      <c r="X3" s="1" t="n">
        <v>11.74</v>
      </c>
      <c r="Y3" s="1" t="inlineStr">
        <is>
          <t>600563.SH</t>
        </is>
      </c>
      <c r="Z3" s="1" t="inlineStr">
        <is>
          <t>法拉电子</t>
        </is>
      </c>
      <c r="AA3" s="1" t="n">
        <v>223.4035</v>
      </c>
      <c r="AB3" s="1" t="n">
        <v>5.27</v>
      </c>
      <c r="AD3" s="9" t="inlineStr">
        <is>
          <t>一周前(T0前5交易日)</t>
        </is>
      </c>
      <c r="AE3">
        <f>TEXT(WORKDAY($AE$1,-6),"yyyy-mm-dd")</f>
        <v/>
      </c>
    </row>
    <row r="4">
      <c r="A4" s="1" t="inlineStr">
        <is>
          <t>CI005441.CI</t>
        </is>
      </c>
      <c r="B4" s="1" t="inlineStr">
        <is>
          <t>玻璃纤维指数</t>
        </is>
      </c>
      <c r="C4" s="1" t="n">
        <v>6</v>
      </c>
      <c r="D4" s="10">
        <f>IFERROR((thsiFinD("ths_close_price_index",$A4,$AE$2,"","")/thsiFinD("ths_close_price_index",$A4,$AE$5,"","")-1)*100,"")</f>
        <v/>
      </c>
      <c r="E4" s="10">
        <f>IFERROR((thsiFinD("ths_close_price_index",$A4,$AE$2,"","")/thsiFinD("ths_close_price_index",$A4,$AE$3,"","")-1)*100,"")</f>
        <v/>
      </c>
      <c r="F4" s="10">
        <f>IFERROR((thsiFinD("ths_close_price_index",$A4,$AE$2,"","")/thsiFinD("ths_close_price_index",$A4,$AE$4,"","")-1)*100,"")</f>
        <v/>
      </c>
      <c r="G4" s="11">
        <f>IFERROR(E4/5-F4/20,"")</f>
        <v/>
      </c>
      <c r="H4" s="1" t="n">
        <v>100</v>
      </c>
      <c r="I4" s="1" t="inlineStr">
        <is>
          <t>600176.SH</t>
        </is>
      </c>
      <c r="J4" s="1" t="inlineStr">
        <is>
          <t>中国巨石</t>
        </is>
      </c>
      <c r="K4" s="1" t="n">
        <v>1218.3989</v>
      </c>
      <c r="L4" s="1" t="n">
        <v>62.72</v>
      </c>
      <c r="M4" s="1" t="inlineStr">
        <is>
          <t>002080.SZ</t>
        </is>
      </c>
      <c r="N4" s="1" t="inlineStr">
        <is>
          <t>中材科技</t>
        </is>
      </c>
      <c r="O4" s="1" t="n">
        <v>562.6242999999999</v>
      </c>
      <c r="P4" s="1" t="n">
        <v>28.96</v>
      </c>
      <c r="Q4" s="1" t="inlineStr">
        <is>
          <t>300196.SZ</t>
        </is>
      </c>
      <c r="R4" s="1" t="inlineStr">
        <is>
          <t>长海股份</t>
        </is>
      </c>
      <c r="S4" s="1" t="n">
        <v>63.8381</v>
      </c>
      <c r="T4" s="1" t="n">
        <v>3.29</v>
      </c>
      <c r="U4" s="1" t="inlineStr">
        <is>
          <t>002201.SZ</t>
        </is>
      </c>
      <c r="V4" s="1" t="inlineStr">
        <is>
          <t>九鼎新材</t>
        </is>
      </c>
      <c r="W4" s="1" t="n">
        <v>52.3386</v>
      </c>
      <c r="X4" s="1" t="n">
        <v>2.69</v>
      </c>
      <c r="Y4" s="1" t="inlineStr">
        <is>
          <t>605006.SH</t>
        </is>
      </c>
      <c r="Z4" s="1" t="inlineStr">
        <is>
          <t>山东玻纤</t>
        </is>
      </c>
      <c r="AA4" s="1" t="n">
        <v>45.5259</v>
      </c>
      <c r="AB4" s="1" t="n">
        <v>2.34</v>
      </c>
      <c r="AD4" s="9" t="inlineStr">
        <is>
          <t>一月前(T0前20交易日)</t>
        </is>
      </c>
      <c r="AE4">
        <f>TEXT(WORKDAY($AE$1,-21),"yyyy-mm-dd")</f>
        <v/>
      </c>
    </row>
    <row r="5">
      <c r="A5" s="1" t="inlineStr">
        <is>
          <t>CI005469.CI</t>
        </is>
      </c>
      <c r="B5" s="1" t="inlineStr">
        <is>
          <t>激光加工设备指数</t>
        </is>
      </c>
      <c r="C5" s="1" t="n">
        <v>10</v>
      </c>
      <c r="D5" s="10">
        <f>IFERROR((thsiFinD("ths_close_price_index",$A5,$AE$2,"","")/thsiFinD("ths_close_price_index",$A5,$AE$5,"","")-1)*100,"")</f>
        <v/>
      </c>
      <c r="E5" s="10">
        <f>IFERROR((thsiFinD("ths_close_price_index",$A5,$AE$2,"","")/thsiFinD("ths_close_price_index",$A5,$AE$3,"","")-1)*100,"")</f>
        <v/>
      </c>
      <c r="F5" s="10">
        <f>IFERROR((thsiFinD("ths_close_price_index",$A5,$AE$2,"","")/thsiFinD("ths_close_price_index",$A5,$AE$4,"","")-1)*100,"")</f>
        <v/>
      </c>
      <c r="G5" s="11">
        <f>IFERROR(E5/5-F5/20,"")</f>
        <v/>
      </c>
      <c r="H5" s="1" t="n">
        <v>89.2</v>
      </c>
      <c r="I5" s="1" t="inlineStr">
        <is>
          <t>002008.SZ</t>
        </is>
      </c>
      <c r="J5" s="1" t="inlineStr">
        <is>
          <t>大族激光</t>
        </is>
      </c>
      <c r="K5" s="1" t="n">
        <v>1030.1521</v>
      </c>
      <c r="L5" s="1" t="n">
        <v>49.72</v>
      </c>
      <c r="M5" s="1" t="inlineStr">
        <is>
          <t>688025.SH</t>
        </is>
      </c>
      <c r="N5" s="1" t="inlineStr">
        <is>
          <t>杰普特</t>
        </is>
      </c>
      <c r="O5" s="1" t="n">
        <v>273.465</v>
      </c>
      <c r="P5" s="1" t="n">
        <v>13.2</v>
      </c>
      <c r="Q5" s="1" t="inlineStr">
        <is>
          <t>300776.SZ</t>
        </is>
      </c>
      <c r="R5" s="1" t="inlineStr">
        <is>
          <t>帝尔激光</t>
        </is>
      </c>
      <c r="S5" s="1" t="n">
        <v>253.0384</v>
      </c>
      <c r="T5" s="1" t="n">
        <v>12.21</v>
      </c>
      <c r="U5" s="1" t="inlineStr">
        <is>
          <t>300747.SZ</t>
        </is>
      </c>
      <c r="V5" s="1" t="inlineStr">
        <is>
          <t>锐科激光</t>
        </is>
      </c>
      <c r="W5" s="1" t="n">
        <v>171.5275</v>
      </c>
      <c r="X5" s="1" t="n">
        <v>8.279999999999999</v>
      </c>
      <c r="Y5" s="1" t="inlineStr">
        <is>
          <t>301021.SZ</t>
        </is>
      </c>
      <c r="Z5" s="1" t="inlineStr">
        <is>
          <t>英诺激光</t>
        </is>
      </c>
      <c r="AA5" s="1" t="n">
        <v>119.8984</v>
      </c>
      <c r="AB5" s="1" t="n">
        <v>5.79</v>
      </c>
      <c r="AD5" s="9" t="inlineStr">
        <is>
          <t>年初基准(上年末交易日)</t>
        </is>
      </c>
      <c r="AE5">
        <f>TEXT(WORKDAY(DATE(YEAR($AE$1),1,1),-1),"yyyy-mm-dd")</f>
        <v/>
      </c>
    </row>
    <row r="6">
      <c r="A6" s="1" t="inlineStr">
        <is>
          <t>CI005401.CI</t>
        </is>
      </c>
      <c r="B6" s="1" t="inlineStr">
        <is>
          <t>钨指数</t>
        </is>
      </c>
      <c r="C6" s="1" t="n">
        <v>4</v>
      </c>
      <c r="D6" s="10">
        <f>IFERROR((thsiFinD("ths_close_price_index",$A6,$AE$2,"","")/thsiFinD("ths_close_price_index",$A6,$AE$5,"","")-1)*100,"")</f>
        <v/>
      </c>
      <c r="E6" s="10">
        <f>IFERROR((thsiFinD("ths_close_price_index",$A6,$AE$2,"","")/thsiFinD("ths_close_price_index",$A6,$AE$3,"","")-1)*100,"")</f>
        <v/>
      </c>
      <c r="F6" s="10">
        <f>IFERROR((thsiFinD("ths_close_price_index",$A6,$AE$2,"","")/thsiFinD("ths_close_price_index",$A6,$AE$4,"","")-1)*100,"")</f>
        <v/>
      </c>
      <c r="G6" s="11">
        <f>IFERROR(E6/5-F6/20,"")</f>
        <v/>
      </c>
      <c r="H6" s="1" t="n">
        <v>99.98999999999999</v>
      </c>
      <c r="I6" s="1" t="inlineStr">
        <is>
          <t>000657.SZ</t>
        </is>
      </c>
      <c r="J6" s="1" t="inlineStr">
        <is>
          <t>中钨高新</t>
        </is>
      </c>
      <c r="K6" s="1" t="n">
        <v>968.7815000000001</v>
      </c>
      <c r="L6" s="1" t="n">
        <v>43.73</v>
      </c>
      <c r="M6" s="1" t="inlineStr">
        <is>
          <t>600549.SH</t>
        </is>
      </c>
      <c r="N6" s="1" t="inlineStr">
        <is>
          <t>厦门钨业</t>
        </is>
      </c>
      <c r="O6" s="1" t="n">
        <v>921.4659</v>
      </c>
      <c r="P6" s="1" t="n">
        <v>41.6</v>
      </c>
      <c r="Q6" s="1" t="inlineStr">
        <is>
          <t>002378.SZ</t>
        </is>
      </c>
      <c r="R6" s="1" t="inlineStr">
        <is>
          <t>章源钨业</t>
        </is>
      </c>
      <c r="S6" s="1" t="n">
        <v>208.0448</v>
      </c>
      <c r="T6" s="1" t="n">
        <v>9.390000000000001</v>
      </c>
      <c r="U6" s="1" t="inlineStr">
        <is>
          <t>002842.SZ</t>
        </is>
      </c>
      <c r="V6" s="1" t="inlineStr">
        <is>
          <t>翔鹭钨业</t>
        </is>
      </c>
      <c r="W6" s="1" t="n">
        <v>116.8404</v>
      </c>
      <c r="X6" s="1" t="n">
        <v>5.27</v>
      </c>
    </row>
    <row r="7">
      <c r="A7" s="1" t="inlineStr">
        <is>
          <t>CI005460.CI</t>
        </is>
      </c>
      <c r="B7" s="1" t="inlineStr">
        <is>
          <t>3C设备指数</t>
        </is>
      </c>
      <c r="C7" s="1" t="n">
        <v>7</v>
      </c>
      <c r="D7" s="10">
        <f>IFERROR((thsiFinD("ths_close_price_index",$A7,$AE$2,"","")/thsiFinD("ths_close_price_index",$A7,$AE$5,"","")-1)*100,"")</f>
        <v/>
      </c>
      <c r="E7" s="10">
        <f>IFERROR((thsiFinD("ths_close_price_index",$A7,$AE$2,"","")/thsiFinD("ths_close_price_index",$A7,$AE$3,"","")-1)*100,"")</f>
        <v/>
      </c>
      <c r="F7" s="10">
        <f>IFERROR((thsiFinD("ths_close_price_index",$A7,$AE$2,"","")/thsiFinD("ths_close_price_index",$A7,$AE$4,"","")-1)*100,"")</f>
        <v/>
      </c>
      <c r="G7" s="11">
        <f>IFERROR(E7/5-F7/20,"")</f>
        <v/>
      </c>
      <c r="H7" s="1" t="n">
        <v>91.95</v>
      </c>
      <c r="I7" s="1" t="inlineStr">
        <is>
          <t>300567.SZ</t>
        </is>
      </c>
      <c r="J7" s="1" t="inlineStr">
        <is>
          <t>精测电子</t>
        </is>
      </c>
      <c r="K7" s="1" t="n">
        <v>424.6134</v>
      </c>
      <c r="L7" s="1" t="n">
        <v>44.43</v>
      </c>
      <c r="M7" s="1" t="inlineStr">
        <is>
          <t>688559.SH</t>
        </is>
      </c>
      <c r="N7" s="1" t="inlineStr">
        <is>
          <t>海目星</t>
        </is>
      </c>
      <c r="O7" s="1" t="n">
        <v>141.7375</v>
      </c>
      <c r="P7" s="1" t="n">
        <v>14.83</v>
      </c>
      <c r="Q7" s="1" t="inlineStr">
        <is>
          <t>301128.SZ</t>
        </is>
      </c>
      <c r="R7" s="1" t="inlineStr">
        <is>
          <t>强瑞技术</t>
        </is>
      </c>
      <c r="S7" s="1" t="n">
        <v>128.0478</v>
      </c>
      <c r="T7" s="1" t="n">
        <v>13.4</v>
      </c>
      <c r="U7" s="1" t="inlineStr">
        <is>
          <t>688378.SH</t>
        </is>
      </c>
      <c r="V7" s="1" t="inlineStr">
        <is>
          <t>奥来德</t>
        </is>
      </c>
      <c r="W7" s="1" t="n">
        <v>100.2312</v>
      </c>
      <c r="X7" s="1" t="n">
        <v>10.49</v>
      </c>
      <c r="Y7" s="1" t="inlineStr">
        <is>
          <t>301338.SZ</t>
        </is>
      </c>
      <c r="Z7" s="1" t="inlineStr">
        <is>
          <t>凯格精机</t>
        </is>
      </c>
      <c r="AA7" s="1" t="n">
        <v>84.06910000000001</v>
      </c>
      <c r="AB7" s="1" t="n">
        <v>8.800000000000001</v>
      </c>
    </row>
    <row r="8">
      <c r="A8" s="1" t="inlineStr">
        <is>
          <t>CI005555.CI</t>
        </is>
      </c>
      <c r="B8" s="1" t="inlineStr">
        <is>
          <t>网络接配及塔设指数</t>
        </is>
      </c>
      <c r="C8" s="1" t="n">
        <v>19</v>
      </c>
      <c r="D8" s="10">
        <f>IFERROR((thsiFinD("ths_close_price_index",$A8,$AE$2,"","")/thsiFinD("ths_close_price_index",$A8,$AE$5,"","")-1)*100,"")</f>
        <v/>
      </c>
      <c r="E8" s="10">
        <f>IFERROR((thsiFinD("ths_close_price_index",$A8,$AE$2,"","")/thsiFinD("ths_close_price_index",$A8,$AE$3,"","")-1)*100,"")</f>
        <v/>
      </c>
      <c r="F8" s="10">
        <f>IFERROR((thsiFinD("ths_close_price_index",$A8,$AE$2,"","")/thsiFinD("ths_close_price_index",$A8,$AE$4,"","")-1)*100,"")</f>
        <v/>
      </c>
      <c r="G8" s="11">
        <f>IFERROR(E8/5-F8/20,"")</f>
        <v/>
      </c>
      <c r="H8" s="1" t="n">
        <v>91.95</v>
      </c>
      <c r="I8" s="1" t="inlineStr">
        <is>
          <t>300308.SZ</t>
        </is>
      </c>
      <c r="J8" s="1" t="inlineStr">
        <is>
          <t>中际旭创</t>
        </is>
      </c>
      <c r="K8" s="1" t="n">
        <v>11411</v>
      </c>
      <c r="L8" s="1" t="n">
        <v>45.4</v>
      </c>
      <c r="M8" s="1" t="inlineStr">
        <is>
          <t>300502.SZ</t>
        </is>
      </c>
      <c r="N8" s="1" t="inlineStr">
        <is>
          <t>新易盛</t>
        </is>
      </c>
      <c r="O8" s="1" t="n">
        <v>7004.6458</v>
      </c>
      <c r="P8" s="1" t="n">
        <v>27.87</v>
      </c>
      <c r="Q8" s="1" t="inlineStr">
        <is>
          <t>300394.SZ</t>
        </is>
      </c>
      <c r="R8" s="1" t="inlineStr">
        <is>
          <t>天孚通信</t>
        </is>
      </c>
      <c r="S8" s="1" t="n">
        <v>1968.3028</v>
      </c>
      <c r="T8" s="1" t="n">
        <v>7.83</v>
      </c>
      <c r="U8" s="1" t="inlineStr">
        <is>
          <t>000988.SZ</t>
        </is>
      </c>
      <c r="V8" s="1" t="inlineStr">
        <is>
          <t>华工科技</t>
        </is>
      </c>
      <c r="W8" s="1" t="n">
        <v>1421.7092</v>
      </c>
      <c r="X8" s="1" t="n">
        <v>5.66</v>
      </c>
      <c r="Y8" s="1" t="inlineStr">
        <is>
          <t>002281.SZ</t>
        </is>
      </c>
      <c r="Z8" s="1" t="inlineStr">
        <is>
          <t>光迅科技</t>
        </is>
      </c>
      <c r="AA8" s="1" t="n">
        <v>1303.2598</v>
      </c>
      <c r="AB8" s="1" t="n">
        <v>5.19</v>
      </c>
    </row>
    <row r="9">
      <c r="A9" s="1" t="inlineStr">
        <is>
          <t>CI005540.CI</t>
        </is>
      </c>
      <c r="B9" s="1" t="inlineStr">
        <is>
          <t>半导体材料指数</t>
        </is>
      </c>
      <c r="C9" s="1" t="n">
        <v>22</v>
      </c>
      <c r="D9" s="10">
        <f>IFERROR((thsiFinD("ths_close_price_index",$A9,$AE$2,"","")/thsiFinD("ths_close_price_index",$A9,$AE$5,"","")-1)*100,"")</f>
        <v/>
      </c>
      <c r="E9" s="10">
        <f>IFERROR((thsiFinD("ths_close_price_index",$A9,$AE$2,"","")/thsiFinD("ths_close_price_index",$A9,$AE$3,"","")-1)*100,"")</f>
        <v/>
      </c>
      <c r="F9" s="10">
        <f>IFERROR((thsiFinD("ths_close_price_index",$A9,$AE$2,"","")/thsiFinD("ths_close_price_index",$A9,$AE$4,"","")-1)*100,"")</f>
        <v/>
      </c>
      <c r="G9" s="11">
        <f>IFERROR(E9/5-F9/20,"")</f>
        <v/>
      </c>
      <c r="H9" s="1" t="n">
        <v>54.76</v>
      </c>
      <c r="I9" s="1" t="inlineStr">
        <is>
          <t>300666.SZ</t>
        </is>
      </c>
      <c r="J9" s="1" t="inlineStr">
        <is>
          <t>江丰电子</t>
        </is>
      </c>
      <c r="K9" s="1" t="n">
        <v>638.8789</v>
      </c>
      <c r="L9" s="1" t="n">
        <v>13.21</v>
      </c>
      <c r="M9" s="1" t="inlineStr">
        <is>
          <t>688126.SH</t>
        </is>
      </c>
      <c r="N9" s="1" t="inlineStr">
        <is>
          <t>沪硅产业</t>
        </is>
      </c>
      <c r="O9" s="1" t="n">
        <v>600.2852</v>
      </c>
      <c r="P9" s="1" t="n">
        <v>12.41</v>
      </c>
      <c r="Q9" s="1" t="inlineStr">
        <is>
          <t>688146.SH</t>
        </is>
      </c>
      <c r="R9" s="1" t="inlineStr">
        <is>
          <t>中船特气</t>
        </is>
      </c>
      <c r="S9" s="1" t="n">
        <v>565.3718</v>
      </c>
      <c r="T9" s="1" t="n">
        <v>11.69</v>
      </c>
      <c r="U9" s="1" t="inlineStr">
        <is>
          <t>002409.SZ</t>
        </is>
      </c>
      <c r="V9" s="1" t="inlineStr">
        <is>
          <t>雅克科技</t>
        </is>
      </c>
      <c r="W9" s="1" t="n">
        <v>439.4687</v>
      </c>
      <c r="X9" s="1" t="n">
        <v>9.09</v>
      </c>
      <c r="Y9" s="1" t="inlineStr">
        <is>
          <t>300346.SZ</t>
        </is>
      </c>
      <c r="Z9" s="1" t="inlineStr">
        <is>
          <t>南大光电</t>
        </is>
      </c>
      <c r="AA9" s="1" t="n">
        <v>404.2595</v>
      </c>
      <c r="AB9" s="1" t="n">
        <v>8.359999999999999</v>
      </c>
    </row>
    <row r="10">
      <c r="A10" s="1" t="inlineStr">
        <is>
          <t>CI005542.CI</t>
        </is>
      </c>
      <c r="B10" s="1" t="inlineStr">
        <is>
          <t>PCB指数</t>
        </is>
      </c>
      <c r="C10" s="1" t="n">
        <v>39</v>
      </c>
      <c r="D10" s="10">
        <f>IFERROR((thsiFinD("ths_close_price_index",$A10,$AE$2,"","")/thsiFinD("ths_close_price_index",$A10,$AE$5,"","")-1)*100,"")</f>
        <v/>
      </c>
      <c r="E10" s="10">
        <f>IFERROR((thsiFinD("ths_close_price_index",$A10,$AE$2,"","")/thsiFinD("ths_close_price_index",$A10,$AE$3,"","")-1)*100,"")</f>
        <v/>
      </c>
      <c r="F10" s="10">
        <f>IFERROR((thsiFinD("ths_close_price_index",$A10,$AE$2,"","")/thsiFinD("ths_close_price_index",$A10,$AE$4,"","")-1)*100,"")</f>
        <v/>
      </c>
      <c r="G10" s="11">
        <f>IFERROR(E10/5-F10/20,"")</f>
        <v/>
      </c>
      <c r="H10" s="1" t="n">
        <v>64.38</v>
      </c>
      <c r="I10" s="1" t="inlineStr">
        <is>
          <t>600183.SH</t>
        </is>
      </c>
      <c r="J10" s="1" t="inlineStr">
        <is>
          <t>生益科技</t>
        </is>
      </c>
      <c r="K10" s="1" t="n">
        <v>2229.5813</v>
      </c>
      <c r="L10" s="1" t="n">
        <v>17.53</v>
      </c>
      <c r="M10" s="1" t="inlineStr">
        <is>
          <t>300476.SZ</t>
        </is>
      </c>
      <c r="N10" s="1" t="inlineStr">
        <is>
          <t>胜宏科技</t>
        </is>
      </c>
      <c r="O10" s="1" t="n">
        <v>2188.4747</v>
      </c>
      <c r="P10" s="1" t="n">
        <v>17.21</v>
      </c>
      <c r="Q10" s="1" t="inlineStr">
        <is>
          <t>002463.SZ</t>
        </is>
      </c>
      <c r="R10" s="1" t="inlineStr">
        <is>
          <t>沪电股份</t>
        </is>
      </c>
      <c r="S10" s="1" t="n">
        <v>1909.4257</v>
      </c>
      <c r="T10" s="1" t="n">
        <v>15.01</v>
      </c>
      <c r="U10" s="1" t="inlineStr">
        <is>
          <t>002916.SZ</t>
        </is>
      </c>
      <c r="V10" s="1" t="inlineStr">
        <is>
          <t>深南电路</t>
        </is>
      </c>
      <c r="W10" s="1" t="n">
        <v>1081.6468</v>
      </c>
      <c r="X10" s="1" t="n">
        <v>8.51</v>
      </c>
      <c r="Y10" s="1" t="inlineStr">
        <is>
          <t>002436.SZ</t>
        </is>
      </c>
      <c r="Z10" s="1" t="inlineStr">
        <is>
          <t>兴森科技</t>
        </is>
      </c>
      <c r="AA10" s="1" t="n">
        <v>777.8148</v>
      </c>
      <c r="AB10" s="1" t="n">
        <v>6.12</v>
      </c>
    </row>
    <row r="11">
      <c r="A11" s="1" t="inlineStr">
        <is>
          <t>CI005541.CI</t>
        </is>
      </c>
      <c r="B11" s="1" t="inlineStr">
        <is>
          <t>半导体设备指数</t>
        </is>
      </c>
      <c r="C11" s="1" t="n">
        <v>29</v>
      </c>
      <c r="D11" s="10">
        <f>IFERROR((thsiFinD("ths_close_price_index",$A11,$AE$2,"","")/thsiFinD("ths_close_price_index",$A11,$AE$5,"","")-1)*100,"")</f>
        <v/>
      </c>
      <c r="E11" s="10">
        <f>IFERROR((thsiFinD("ths_close_price_index",$A11,$AE$2,"","")/thsiFinD("ths_close_price_index",$A11,$AE$3,"","")-1)*100,"")</f>
        <v/>
      </c>
      <c r="F11" s="10">
        <f>IFERROR((thsiFinD("ths_close_price_index",$A11,$AE$2,"","")/thsiFinD("ths_close_price_index",$A11,$AE$4,"","")-1)*100,"")</f>
        <v/>
      </c>
      <c r="G11" s="11">
        <f>IFERROR(E11/5-F11/20,"")</f>
        <v/>
      </c>
      <c r="H11" s="1" t="n">
        <v>71.44</v>
      </c>
      <c r="I11" s="1" t="inlineStr">
        <is>
          <t>002371.SZ</t>
        </is>
      </c>
      <c r="J11" s="1" t="inlineStr">
        <is>
          <t>北方华创</t>
        </is>
      </c>
      <c r="K11" s="1" t="n">
        <v>3209.173</v>
      </c>
      <c r="L11" s="1" t="n">
        <v>24.23</v>
      </c>
      <c r="M11" s="1" t="inlineStr">
        <is>
          <t>688012.SH</t>
        </is>
      </c>
      <c r="N11" s="1" t="inlineStr">
        <is>
          <t>中微公司</t>
        </is>
      </c>
      <c r="O11" s="1" t="n">
        <v>2697.3147</v>
      </c>
      <c r="P11" s="1" t="n">
        <v>20.37</v>
      </c>
      <c r="Q11" s="1" t="inlineStr">
        <is>
          <t>688072.SH</t>
        </is>
      </c>
      <c r="R11" s="1" t="inlineStr">
        <is>
          <t>拓荆科技</t>
        </is>
      </c>
      <c r="S11" s="1" t="n">
        <v>1518.2949</v>
      </c>
      <c r="T11" s="1" t="n">
        <v>11.47</v>
      </c>
      <c r="U11" s="1" t="inlineStr">
        <is>
          <t>300604.SZ</t>
        </is>
      </c>
      <c r="V11" s="1" t="inlineStr">
        <is>
          <t>长川科技</t>
        </is>
      </c>
      <c r="W11" s="1" t="n">
        <v>1199.3993</v>
      </c>
      <c r="X11" s="1" t="n">
        <v>9.06</v>
      </c>
      <c r="Y11" s="1" t="inlineStr">
        <is>
          <t>688120.SH</t>
        </is>
      </c>
      <c r="Z11" s="1" t="inlineStr">
        <is>
          <t>华海清科</t>
        </is>
      </c>
      <c r="AA11" s="1" t="n">
        <v>835.7473</v>
      </c>
      <c r="AB11" s="1" t="n">
        <v>6.31</v>
      </c>
    </row>
    <row r="12">
      <c r="A12" s="1" t="inlineStr">
        <is>
          <t>CI005425.CI</t>
        </is>
      </c>
      <c r="B12" s="1" t="inlineStr">
        <is>
          <t>电子化学品指数</t>
        </is>
      </c>
      <c r="C12" s="1" t="n">
        <v>24</v>
      </c>
      <c r="D12" s="10">
        <f>IFERROR((thsiFinD("ths_close_price_index",$A12,$AE$2,"","")/thsiFinD("ths_close_price_index",$A12,$AE$5,"","")-1)*100,"")</f>
        <v/>
      </c>
      <c r="E12" s="10">
        <f>IFERROR((thsiFinD("ths_close_price_index",$A12,$AE$2,"","")/thsiFinD("ths_close_price_index",$A12,$AE$3,"","")-1)*100,"")</f>
        <v/>
      </c>
      <c r="F12" s="10">
        <f>IFERROR((thsiFinD("ths_close_price_index",$A12,$AE$2,"","")/thsiFinD("ths_close_price_index",$A12,$AE$4,"","")-1)*100,"")</f>
        <v/>
      </c>
      <c r="G12" s="11">
        <f>IFERROR(E12/5-F12/20,"")</f>
        <v/>
      </c>
      <c r="H12" s="1" t="n">
        <v>61.38</v>
      </c>
      <c r="I12" s="1" t="inlineStr">
        <is>
          <t>300285.SZ</t>
        </is>
      </c>
      <c r="J12" s="1" t="inlineStr">
        <is>
          <t>国瓷材料</t>
        </is>
      </c>
      <c r="K12" s="1" t="n">
        <v>806.4518</v>
      </c>
      <c r="L12" s="1" t="n">
        <v>21.74</v>
      </c>
      <c r="M12" s="1" t="inlineStr">
        <is>
          <t>300054.SZ</t>
        </is>
      </c>
      <c r="N12" s="1" t="inlineStr">
        <is>
          <t>鼎龙股份</t>
        </is>
      </c>
      <c r="O12" s="1" t="n">
        <v>615.6881</v>
      </c>
      <c r="P12" s="1" t="n">
        <v>16.6</v>
      </c>
      <c r="Q12" s="1" t="inlineStr">
        <is>
          <t>688019.SH</t>
        </is>
      </c>
      <c r="R12" s="1" t="inlineStr">
        <is>
          <t>安集科技</t>
        </is>
      </c>
      <c r="S12" s="1" t="n">
        <v>412.0659</v>
      </c>
      <c r="T12" s="1" t="n">
        <v>11.11</v>
      </c>
      <c r="U12" s="1" t="inlineStr">
        <is>
          <t>300236.SZ</t>
        </is>
      </c>
      <c r="V12" s="1" t="inlineStr">
        <is>
          <t>上海新阳</t>
        </is>
      </c>
      <c r="W12" s="1" t="n">
        <v>227.5715</v>
      </c>
      <c r="X12" s="1" t="n">
        <v>6.14</v>
      </c>
      <c r="Y12" s="1" t="inlineStr">
        <is>
          <t>300398.SZ</t>
        </is>
      </c>
      <c r="Z12" s="1" t="inlineStr">
        <is>
          <t>飞凯材料</t>
        </is>
      </c>
      <c r="AA12" s="1" t="n">
        <v>214.6571</v>
      </c>
      <c r="AB12" s="1" t="n">
        <v>5.79</v>
      </c>
    </row>
    <row r="13">
      <c r="A13" s="1" t="inlineStr">
        <is>
          <t>CI005414.CI</t>
        </is>
      </c>
      <c r="B13" s="1" t="inlineStr">
        <is>
          <t>碳纤维指数</t>
        </is>
      </c>
      <c r="C13" s="1" t="n">
        <v>2</v>
      </c>
      <c r="D13" s="10">
        <f>IFERROR((thsiFinD("ths_close_price_index",$A13,$AE$2,"","")/thsiFinD("ths_close_price_index",$A13,$AE$5,"","")-1)*100,"")</f>
        <v/>
      </c>
      <c r="E13" s="10">
        <f>IFERROR((thsiFinD("ths_close_price_index",$A13,$AE$2,"","")/thsiFinD("ths_close_price_index",$A13,$AE$3,"","")-1)*100,"")</f>
        <v/>
      </c>
      <c r="F13" s="10">
        <f>IFERROR((thsiFinD("ths_close_price_index",$A13,$AE$2,"","")/thsiFinD("ths_close_price_index",$A13,$AE$4,"","")-1)*100,"")</f>
        <v/>
      </c>
      <c r="G13" s="11">
        <f>IFERROR(E13/5-F13/20,"")</f>
        <v/>
      </c>
      <c r="H13" s="1" t="n">
        <v>100</v>
      </c>
      <c r="I13" s="1" t="inlineStr">
        <is>
          <t>688598.SH</t>
        </is>
      </c>
      <c r="J13" s="1" t="inlineStr">
        <is>
          <t>金博股份</t>
        </is>
      </c>
      <c r="K13" s="1" t="n">
        <v>111.1097</v>
      </c>
      <c r="L13" s="1" t="n">
        <v>56.73</v>
      </c>
      <c r="M13" s="1" t="inlineStr">
        <is>
          <t>688295.SH</t>
        </is>
      </c>
      <c r="N13" s="1" t="inlineStr">
        <is>
          <t>中复神鹰</t>
        </is>
      </c>
      <c r="O13" s="1" t="n">
        <v>84.7332</v>
      </c>
      <c r="P13" s="1" t="n">
        <v>43.27</v>
      </c>
    </row>
    <row r="14">
      <c r="A14" s="1" t="inlineStr">
        <is>
          <t>CI005417.CI</t>
        </is>
      </c>
      <c r="B14" s="1" t="inlineStr">
        <is>
          <t>无机盐指数</t>
        </is>
      </c>
      <c r="C14" s="1" t="n">
        <v>8</v>
      </c>
      <c r="D14" s="10">
        <f>IFERROR((thsiFinD("ths_close_price_index",$A14,$AE$2,"","")/thsiFinD("ths_close_price_index",$A14,$AE$5,"","")-1)*100,"")</f>
        <v/>
      </c>
      <c r="E14" s="10">
        <f>IFERROR((thsiFinD("ths_close_price_index",$A14,$AE$2,"","")/thsiFinD("ths_close_price_index",$A14,$AE$3,"","")-1)*100,"")</f>
        <v/>
      </c>
      <c r="F14" s="10">
        <f>IFERROR((thsiFinD("ths_close_price_index",$A14,$AE$2,"","")/thsiFinD("ths_close_price_index",$A14,$AE$4,"","")-1)*100,"")</f>
        <v/>
      </c>
      <c r="G14" s="11">
        <f>IFERROR(E14/5-F14/20,"")</f>
        <v/>
      </c>
      <c r="H14" s="1" t="n">
        <v>97.5</v>
      </c>
      <c r="I14" s="1" t="inlineStr">
        <is>
          <t>603067.SH</t>
        </is>
      </c>
      <c r="J14" s="1" t="inlineStr">
        <is>
          <t>振华股份</t>
        </is>
      </c>
      <c r="K14" s="1" t="n">
        <v>194.812</v>
      </c>
      <c r="L14" s="1" t="n">
        <v>32.8</v>
      </c>
      <c r="M14" s="1" t="inlineStr">
        <is>
          <t>603663.SH</t>
        </is>
      </c>
      <c r="N14" s="1" t="inlineStr">
        <is>
          <t>三祥新材</t>
        </is>
      </c>
      <c r="O14" s="1" t="n">
        <v>174.5543</v>
      </c>
      <c r="P14" s="1" t="n">
        <v>29.39</v>
      </c>
      <c r="Q14" s="1" t="inlineStr">
        <is>
          <t>600367.SH</t>
        </is>
      </c>
      <c r="R14" s="1" t="inlineStr">
        <is>
          <t>红星发展</t>
        </is>
      </c>
      <c r="S14" s="1" t="n">
        <v>134.9588</v>
      </c>
      <c r="T14" s="1" t="n">
        <v>22.72</v>
      </c>
      <c r="U14" s="1" t="inlineStr">
        <is>
          <t>600714.SH</t>
        </is>
      </c>
      <c r="V14" s="1" t="inlineStr">
        <is>
          <t>金瑞矿业</t>
        </is>
      </c>
      <c r="W14" s="1" t="n">
        <v>47.1118</v>
      </c>
      <c r="X14" s="1" t="n">
        <v>7.93</v>
      </c>
      <c r="Y14" s="1" t="inlineStr">
        <is>
          <t>603299.SH</t>
        </is>
      </c>
      <c r="Z14" s="1" t="inlineStr">
        <is>
          <t>苏盐井神</t>
        </is>
      </c>
      <c r="AA14" s="1" t="n">
        <v>27.6876</v>
      </c>
      <c r="AB14" s="1" t="n">
        <v>4.66</v>
      </c>
    </row>
    <row r="15">
      <c r="A15" s="1" t="inlineStr">
        <is>
          <t>CI005428.CI</t>
        </is>
      </c>
      <c r="B15" s="1" t="inlineStr">
        <is>
          <t>膜材料指数</t>
        </is>
      </c>
      <c r="C15" s="1" t="n">
        <v>22</v>
      </c>
      <c r="D15" s="10">
        <f>IFERROR((thsiFinD("ths_close_price_index",$A15,$AE$2,"","")/thsiFinD("ths_close_price_index",$A15,$AE$5,"","")-1)*100,"")</f>
        <v/>
      </c>
      <c r="E15" s="10">
        <f>IFERROR((thsiFinD("ths_close_price_index",$A15,$AE$2,"","")/thsiFinD("ths_close_price_index",$A15,$AE$3,"","")-1)*100,"")</f>
        <v/>
      </c>
      <c r="F15" s="10">
        <f>IFERROR((thsiFinD("ths_close_price_index",$A15,$AE$2,"","")/thsiFinD("ths_close_price_index",$A15,$AE$4,"","")-1)*100,"")</f>
        <v/>
      </c>
      <c r="G15" s="11">
        <f>IFERROR(E15/5-F15/20,"")</f>
        <v/>
      </c>
      <c r="H15" s="1" t="n">
        <v>98.75</v>
      </c>
      <c r="I15" s="1" t="inlineStr">
        <is>
          <t>601208.SH</t>
        </is>
      </c>
      <c r="J15" s="1" t="inlineStr">
        <is>
          <t>东材科技</t>
        </is>
      </c>
      <c r="K15" s="1" t="n">
        <v>615.3608</v>
      </c>
      <c r="L15" s="1" t="n">
        <v>69.23999999999999</v>
      </c>
      <c r="M15" s="1" t="inlineStr">
        <is>
          <t>002585.SZ</t>
        </is>
      </c>
      <c r="N15" s="1" t="inlineStr">
        <is>
          <t>双星新材</t>
        </is>
      </c>
      <c r="O15" s="1" t="n">
        <v>99.3182</v>
      </c>
      <c r="P15" s="1" t="n">
        <v>11.18</v>
      </c>
      <c r="Q15" s="1" t="inlineStr">
        <is>
          <t>000859.SZ</t>
        </is>
      </c>
      <c r="R15" s="1" t="inlineStr">
        <is>
          <t>国风新材</t>
        </is>
      </c>
      <c r="S15" s="1" t="n">
        <v>71.57389999999999</v>
      </c>
      <c r="T15" s="1" t="n">
        <v>8.050000000000001</v>
      </c>
      <c r="U15" s="1" t="inlineStr">
        <is>
          <t>002263.SZ</t>
        </is>
      </c>
      <c r="V15" s="1" t="inlineStr">
        <is>
          <t>大东南</t>
        </is>
      </c>
      <c r="W15" s="1" t="n">
        <v>60.2613</v>
      </c>
      <c r="X15" s="1" t="n">
        <v>6.78</v>
      </c>
      <c r="Y15" s="1" t="inlineStr">
        <is>
          <t>000920.SZ</t>
        </is>
      </c>
      <c r="Z15" s="1" t="inlineStr">
        <is>
          <t>沃顿科技</t>
        </is>
      </c>
      <c r="AA15" s="1" t="n">
        <v>31.1409</v>
      </c>
      <c r="AB15" s="1" t="n">
        <v>3.5</v>
      </c>
    </row>
    <row r="16">
      <c r="A16" s="1" t="inlineStr">
        <is>
          <t>CI005547.CI</t>
        </is>
      </c>
      <c r="B16" s="1" t="inlineStr">
        <is>
          <t>显示零组指数</t>
        </is>
      </c>
      <c r="C16" s="1" t="n">
        <v>28</v>
      </c>
      <c r="D16" s="10">
        <f>IFERROR((thsiFinD("ths_close_price_index",$A16,$AE$2,"","")/thsiFinD("ths_close_price_index",$A16,$AE$5,"","")-1)*100,"")</f>
        <v/>
      </c>
      <c r="E16" s="10">
        <f>IFERROR((thsiFinD("ths_close_price_index",$A16,$AE$2,"","")/thsiFinD("ths_close_price_index",$A16,$AE$3,"","")-1)*100,"")</f>
        <v/>
      </c>
      <c r="F16" s="10">
        <f>IFERROR((thsiFinD("ths_close_price_index",$A16,$AE$2,"","")/thsiFinD("ths_close_price_index",$A16,$AE$4,"","")-1)*100,"")</f>
        <v/>
      </c>
      <c r="G16" s="11">
        <f>IFERROR(E16/5-F16/20,"")</f>
        <v/>
      </c>
      <c r="H16" s="1" t="n">
        <v>58.15</v>
      </c>
      <c r="I16" s="1" t="inlineStr">
        <is>
          <t>603629.SH</t>
        </is>
      </c>
      <c r="J16" s="1" t="inlineStr">
        <is>
          <t>利通电子</t>
        </is>
      </c>
      <c r="K16" s="1" t="n">
        <v>274.0956</v>
      </c>
      <c r="L16" s="1" t="n">
        <v>15.21</v>
      </c>
      <c r="M16" s="1" t="inlineStr">
        <is>
          <t>603773.SH</t>
        </is>
      </c>
      <c r="N16" s="1" t="inlineStr">
        <is>
          <t>沃格光电</t>
        </is>
      </c>
      <c r="O16" s="1" t="n">
        <v>259.3009</v>
      </c>
      <c r="P16" s="1" t="n">
        <v>14.39</v>
      </c>
      <c r="Q16" s="1" t="inlineStr">
        <is>
          <t>300088.SZ</t>
        </is>
      </c>
      <c r="R16" s="1" t="inlineStr">
        <is>
          <t>长信科技</t>
        </is>
      </c>
      <c r="S16" s="1" t="n">
        <v>230.0351</v>
      </c>
      <c r="T16" s="1" t="n">
        <v>12.77</v>
      </c>
      <c r="U16" s="1" t="inlineStr">
        <is>
          <t>688127.SH</t>
        </is>
      </c>
      <c r="V16" s="1" t="inlineStr">
        <is>
          <t>蓝特光学</t>
        </is>
      </c>
      <c r="W16" s="1" t="n">
        <v>175.6906</v>
      </c>
      <c r="X16" s="1" t="n">
        <v>9.75</v>
      </c>
      <c r="Y16" s="1" t="inlineStr">
        <is>
          <t>688150.SH</t>
        </is>
      </c>
      <c r="Z16" s="1" t="inlineStr">
        <is>
          <t>莱特光电</t>
        </is>
      </c>
      <c r="AA16" s="1" t="n">
        <v>108.5704</v>
      </c>
      <c r="AB16" s="1" t="n">
        <v>6.03</v>
      </c>
    </row>
    <row r="17">
      <c r="A17" s="1" t="inlineStr">
        <is>
          <t>CI005538.CI</t>
        </is>
      </c>
      <c r="B17" s="1" t="inlineStr">
        <is>
          <t>集成电路指数</t>
        </is>
      </c>
      <c r="C17" s="1" t="n">
        <v>110</v>
      </c>
      <c r="D17" s="10">
        <f>IFERROR((thsiFinD("ths_close_price_index",$A17,$AE$2,"","")/thsiFinD("ths_close_price_index",$A17,$AE$5,"","")-1)*100,"")</f>
        <v/>
      </c>
      <c r="E17" s="10">
        <f>IFERROR((thsiFinD("ths_close_price_index",$A17,$AE$2,"","")/thsiFinD("ths_close_price_index",$A17,$AE$3,"","")-1)*100,"")</f>
        <v/>
      </c>
      <c r="F17" s="10">
        <f>IFERROR((thsiFinD("ths_close_price_index",$A17,$AE$2,"","")/thsiFinD("ths_close_price_index",$A17,$AE$4,"","")-1)*100,"")</f>
        <v/>
      </c>
      <c r="G17" s="11">
        <f>IFERROR(E17/5-F17/20,"")</f>
        <v/>
      </c>
      <c r="H17" s="1" t="n">
        <v>49.59</v>
      </c>
      <c r="I17" s="1" t="inlineStr">
        <is>
          <t>688256.SH</t>
        </is>
      </c>
      <c r="J17" s="1" t="inlineStr">
        <is>
          <t>寒武纪</t>
        </is>
      </c>
      <c r="K17" s="1" t="n">
        <v>4468.3271</v>
      </c>
      <c r="L17" s="1" t="n">
        <v>12.66</v>
      </c>
      <c r="M17" s="1" t="inlineStr">
        <is>
          <t>603986.SH</t>
        </is>
      </c>
      <c r="N17" s="1" t="inlineStr">
        <is>
          <t>兆易创新</t>
        </is>
      </c>
      <c r="O17" s="1" t="n">
        <v>4272.3406</v>
      </c>
      <c r="P17" s="1" t="n">
        <v>12.11</v>
      </c>
      <c r="Q17" s="1" t="inlineStr">
        <is>
          <t>688008.SH</t>
        </is>
      </c>
      <c r="R17" s="1" t="inlineStr">
        <is>
          <t>澜起科技</t>
        </is>
      </c>
      <c r="S17" s="1" t="n">
        <v>3012.5987</v>
      </c>
      <c r="T17" s="1" t="n">
        <v>8.539999999999999</v>
      </c>
      <c r="U17" s="1" t="inlineStr">
        <is>
          <t>688041.SH</t>
        </is>
      </c>
      <c r="V17" s="1" t="inlineStr">
        <is>
          <t>海光信息</t>
        </is>
      </c>
      <c r="W17" s="1" t="n">
        <v>2939.7339</v>
      </c>
      <c r="X17" s="1" t="n">
        <v>8.33</v>
      </c>
      <c r="Y17" s="1" t="inlineStr">
        <is>
          <t>688981.SH</t>
        </is>
      </c>
      <c r="Z17" s="1" t="inlineStr">
        <is>
          <t>中芯国际</t>
        </is>
      </c>
      <c r="AA17" s="1" t="n">
        <v>2805.6528</v>
      </c>
      <c r="AB17" s="1" t="n">
        <v>7.95</v>
      </c>
    </row>
    <row r="18">
      <c r="A18" s="1" t="inlineStr">
        <is>
          <t>CI005550.CI</t>
        </is>
      </c>
      <c r="B18" s="1" t="inlineStr">
        <is>
          <t>其他电子零组件Ⅲ指数</t>
        </is>
      </c>
      <c r="C18" s="1" t="n">
        <v>85</v>
      </c>
      <c r="D18" s="10">
        <f>IFERROR((thsiFinD("ths_close_price_index",$A18,$AE$2,"","")/thsiFinD("ths_close_price_index",$A18,$AE$5,"","")-1)*100,"")</f>
        <v/>
      </c>
      <c r="E18" s="10">
        <f>IFERROR((thsiFinD("ths_close_price_index",$A18,$AE$2,"","")/thsiFinD("ths_close_price_index",$A18,$AE$3,"","")-1)*100,"")</f>
        <v/>
      </c>
      <c r="F18" s="10">
        <f>IFERROR((thsiFinD("ths_close_price_index",$A18,$AE$2,"","")/thsiFinD("ths_close_price_index",$A18,$AE$4,"","")-1)*100,"")</f>
        <v/>
      </c>
      <c r="G18" s="11">
        <f>IFERROR(E18/5-F18/20,"")</f>
        <v/>
      </c>
      <c r="H18" s="1" t="n">
        <v>41.56</v>
      </c>
      <c r="I18" s="1" t="inlineStr">
        <is>
          <t>300475.SZ</t>
        </is>
      </c>
      <c r="J18" s="1" t="inlineStr">
        <is>
          <t>香农芯创</t>
        </is>
      </c>
      <c r="K18" s="1" t="n">
        <v>1090.3851</v>
      </c>
      <c r="L18" s="1" t="n">
        <v>15.74</v>
      </c>
      <c r="M18" s="1" t="inlineStr">
        <is>
          <t>301511.SZ</t>
        </is>
      </c>
      <c r="N18" s="1" t="inlineStr">
        <is>
          <t>德福科技</t>
        </is>
      </c>
      <c r="O18" s="1" t="n">
        <v>574.4754</v>
      </c>
      <c r="P18" s="1" t="n">
        <v>8.289999999999999</v>
      </c>
      <c r="Q18" s="1" t="inlineStr">
        <is>
          <t>301217.SZ</t>
        </is>
      </c>
      <c r="R18" s="1" t="inlineStr">
        <is>
          <t>铜冠铜箔</t>
        </is>
      </c>
      <c r="S18" s="1" t="n">
        <v>450.0155</v>
      </c>
      <c r="T18" s="1" t="n">
        <v>6.49</v>
      </c>
      <c r="U18" s="1" t="inlineStr">
        <is>
          <t>688167.SH</t>
        </is>
      </c>
      <c r="V18" s="1" t="inlineStr">
        <is>
          <t>炬光科技</t>
        </is>
      </c>
      <c r="W18" s="1" t="n">
        <v>421.1647</v>
      </c>
      <c r="X18" s="1" t="n">
        <v>6.08</v>
      </c>
      <c r="Y18" s="1" t="inlineStr">
        <is>
          <t>003031.SZ</t>
        </is>
      </c>
      <c r="Z18" s="1" t="inlineStr">
        <is>
          <t>中瓷电子</t>
        </is>
      </c>
      <c r="AA18" s="1" t="n">
        <v>343.7429</v>
      </c>
      <c r="AB18" s="1" t="n">
        <v>4.96</v>
      </c>
    </row>
    <row r="19">
      <c r="A19" s="1" t="inlineStr">
        <is>
          <t>CI005457.CI</t>
        </is>
      </c>
      <c r="B19" s="1" t="inlineStr">
        <is>
          <t>油气装备指数</t>
        </is>
      </c>
      <c r="C19" s="1" t="n">
        <v>13</v>
      </c>
      <c r="D19" s="10">
        <f>IFERROR((thsiFinD("ths_close_price_index",$A19,$AE$2,"","")/thsiFinD("ths_close_price_index",$A19,$AE$5,"","")-1)*100,"")</f>
        <v/>
      </c>
      <c r="E19" s="10">
        <f>IFERROR((thsiFinD("ths_close_price_index",$A19,$AE$2,"","")/thsiFinD("ths_close_price_index",$A19,$AE$3,"","")-1)*100,"")</f>
        <v/>
      </c>
      <c r="F19" s="10">
        <f>IFERROR((thsiFinD("ths_close_price_index",$A19,$AE$2,"","")/thsiFinD("ths_close_price_index",$A19,$AE$4,"","")-1)*100,"")</f>
        <v/>
      </c>
      <c r="G19" s="11">
        <f>IFERROR(E19/5-F19/20,"")</f>
        <v/>
      </c>
      <c r="H19" s="1" t="n">
        <v>87.51000000000001</v>
      </c>
      <c r="I19" s="1" t="inlineStr">
        <is>
          <t>002353.SZ</t>
        </is>
      </c>
      <c r="J19" s="1" t="inlineStr">
        <is>
          <t>杰瑞股份</t>
        </is>
      </c>
      <c r="K19" s="1" t="n">
        <v>997.6909000000001</v>
      </c>
      <c r="L19" s="1" t="n">
        <v>75.23</v>
      </c>
      <c r="M19" s="1" t="inlineStr">
        <is>
          <t>300164.SZ</t>
        </is>
      </c>
      <c r="N19" s="1" t="inlineStr">
        <is>
          <t>通源石油</t>
        </is>
      </c>
      <c r="O19" s="1" t="n">
        <v>47.1856</v>
      </c>
      <c r="P19" s="1" t="n">
        <v>3.56</v>
      </c>
      <c r="Q19" s="1" t="inlineStr">
        <is>
          <t>300228.SZ</t>
        </is>
      </c>
      <c r="R19" s="1" t="inlineStr">
        <is>
          <t>富瑞特装</t>
        </is>
      </c>
      <c r="S19" s="1" t="n">
        <v>42.0129</v>
      </c>
      <c r="T19" s="1" t="n">
        <v>3.17</v>
      </c>
      <c r="U19" s="1" t="inlineStr">
        <is>
          <t>300084.SZ</t>
        </is>
      </c>
      <c r="V19" s="1" t="inlineStr">
        <is>
          <t>海默科技</t>
        </is>
      </c>
      <c r="W19" s="1" t="n">
        <v>37.3796</v>
      </c>
      <c r="X19" s="1" t="n">
        <v>2.82</v>
      </c>
      <c r="Y19" s="1" t="inlineStr">
        <is>
          <t>688377.SH</t>
        </is>
      </c>
      <c r="Z19" s="1" t="inlineStr">
        <is>
          <t>迪威尔</t>
        </is>
      </c>
      <c r="AA19" s="1" t="n">
        <v>36.2419</v>
      </c>
      <c r="AB19" s="1" t="n">
        <v>2.73</v>
      </c>
    </row>
    <row r="20">
      <c r="A20" s="1" t="inlineStr">
        <is>
          <t>CI005403.CI</t>
        </is>
      </c>
      <c r="B20" s="1" t="inlineStr">
        <is>
          <t>其他稀有金属指数</t>
        </is>
      </c>
      <c r="C20" s="1" t="n">
        <v>15</v>
      </c>
      <c r="D20" s="10">
        <f>IFERROR((thsiFinD("ths_close_price_index",$A20,$AE$2,"","")/thsiFinD("ths_close_price_index",$A20,$AE$5,"","")-1)*100,"")</f>
        <v/>
      </c>
      <c r="E20" s="10">
        <f>IFERROR((thsiFinD("ths_close_price_index",$A20,$AE$2,"","")/thsiFinD("ths_close_price_index",$A20,$AE$3,"","")-1)*100,"")</f>
        <v/>
      </c>
      <c r="F20" s="10">
        <f>IFERROR((thsiFinD("ths_close_price_index",$A20,$AE$2,"","")/thsiFinD("ths_close_price_index",$A20,$AE$4,"","")-1)*100,"")</f>
        <v/>
      </c>
      <c r="G20" s="11">
        <f>IFERROR(E20/5-F20/20,"")</f>
        <v/>
      </c>
      <c r="H20" s="1" t="n">
        <v>62.93</v>
      </c>
      <c r="I20" s="1" t="inlineStr">
        <is>
          <t>002428.SZ</t>
        </is>
      </c>
      <c r="J20" s="1" t="inlineStr">
        <is>
          <t>云南锗业</t>
        </is>
      </c>
      <c r="K20" s="1" t="n">
        <v>577.1224</v>
      </c>
      <c r="L20" s="1" t="n">
        <v>25.38</v>
      </c>
      <c r="M20" s="1" t="inlineStr">
        <is>
          <t>601958.SH</t>
        </is>
      </c>
      <c r="N20" s="1" t="inlineStr">
        <is>
          <t>金钼股份</t>
        </is>
      </c>
      <c r="O20" s="1" t="n">
        <v>271.7766</v>
      </c>
      <c r="P20" s="1" t="n">
        <v>11.95</v>
      </c>
      <c r="Q20" s="1" t="inlineStr">
        <is>
          <t>000962.SZ</t>
        </is>
      </c>
      <c r="R20" s="1" t="inlineStr">
        <is>
          <t>东方钽业</t>
        </is>
      </c>
      <c r="S20" s="1" t="n">
        <v>205.7112</v>
      </c>
      <c r="T20" s="1" t="n">
        <v>9.050000000000001</v>
      </c>
      <c r="U20" s="1" t="inlineStr">
        <is>
          <t>002716.SZ</t>
        </is>
      </c>
      <c r="V20" s="1" t="inlineStr">
        <is>
          <t>湖南白银</t>
        </is>
      </c>
      <c r="W20" s="1" t="n">
        <v>193.087</v>
      </c>
      <c r="X20" s="1" t="n">
        <v>8.49</v>
      </c>
      <c r="Y20" s="1" t="inlineStr">
        <is>
          <t>002149.SZ</t>
        </is>
      </c>
      <c r="Z20" s="1" t="inlineStr">
        <is>
          <t>西部材料</t>
        </is>
      </c>
      <c r="AA20" s="1" t="n">
        <v>183.306</v>
      </c>
      <c r="AB20" s="1" t="n">
        <v>8.06</v>
      </c>
    </row>
    <row r="21">
      <c r="A21" s="1" t="inlineStr">
        <is>
          <t>CI005539.CI</t>
        </is>
      </c>
      <c r="B21" s="1" t="inlineStr">
        <is>
          <t>分立器件指数</t>
        </is>
      </c>
      <c r="C21" s="1" t="n">
        <v>16</v>
      </c>
      <c r="D21" s="10">
        <f>IFERROR((thsiFinD("ths_close_price_index",$A21,$AE$2,"","")/thsiFinD("ths_close_price_index",$A21,$AE$5,"","")-1)*100,"")</f>
        <v/>
      </c>
      <c r="E21" s="10">
        <f>IFERROR((thsiFinD("ths_close_price_index",$A21,$AE$2,"","")/thsiFinD("ths_close_price_index",$A21,$AE$3,"","")-1)*100,"")</f>
        <v/>
      </c>
      <c r="F21" s="10">
        <f>IFERROR((thsiFinD("ths_close_price_index",$A21,$AE$2,"","")/thsiFinD("ths_close_price_index",$A21,$AE$4,"","")-1)*100,"")</f>
        <v/>
      </c>
      <c r="G21" s="11">
        <f>IFERROR(E21/5-F21/20,"")</f>
        <v/>
      </c>
      <c r="H21" s="1" t="n">
        <v>67.2</v>
      </c>
      <c r="I21" s="1" t="inlineStr">
        <is>
          <t>600460.SH</t>
        </is>
      </c>
      <c r="J21" s="1" t="inlineStr">
        <is>
          <t>士兰微</t>
        </is>
      </c>
      <c r="K21" s="1" t="n">
        <v>493.4561</v>
      </c>
      <c r="L21" s="1" t="n">
        <v>20.19</v>
      </c>
      <c r="M21" s="1" t="inlineStr">
        <is>
          <t>688172.SH</t>
        </is>
      </c>
      <c r="N21" s="1" t="inlineStr">
        <is>
          <t>燕东微</t>
        </is>
      </c>
      <c r="O21" s="1" t="n">
        <v>371.7856</v>
      </c>
      <c r="P21" s="1" t="n">
        <v>15.21</v>
      </c>
      <c r="Q21" s="1" t="inlineStr">
        <is>
          <t>300373.SZ</t>
        </is>
      </c>
      <c r="R21" s="1" t="inlineStr">
        <is>
          <t>扬杰科技</t>
        </is>
      </c>
      <c r="S21" s="1" t="n">
        <v>356.7835</v>
      </c>
      <c r="T21" s="1" t="n">
        <v>14.6</v>
      </c>
      <c r="U21" s="1" t="inlineStr">
        <is>
          <t>605111.SH</t>
        </is>
      </c>
      <c r="V21" s="1" t="inlineStr">
        <is>
          <t>新洁能</t>
        </is>
      </c>
      <c r="W21" s="1" t="n">
        <v>236.6472</v>
      </c>
      <c r="X21" s="1" t="n">
        <v>9.68</v>
      </c>
      <c r="Y21" s="1" t="inlineStr">
        <is>
          <t>300623.SZ</t>
        </is>
      </c>
      <c r="Z21" s="1" t="inlineStr">
        <is>
          <t>捷捷微电</t>
        </is>
      </c>
      <c r="AA21" s="1" t="n">
        <v>183.7881</v>
      </c>
      <c r="AB21" s="1" t="n">
        <v>7.52</v>
      </c>
    </row>
    <row r="22">
      <c r="A22" s="1" t="inlineStr">
        <is>
          <t>CI005548.CI</t>
        </is>
      </c>
      <c r="B22" s="1" t="inlineStr">
        <is>
          <t>消费电子组件指数</t>
        </is>
      </c>
      <c r="C22" s="1" t="n">
        <v>91</v>
      </c>
      <c r="D22" s="10">
        <f>IFERROR((thsiFinD("ths_close_price_index",$A22,$AE$2,"","")/thsiFinD("ths_close_price_index",$A22,$AE$5,"","")-1)*100,"")</f>
        <v/>
      </c>
      <c r="E22" s="10">
        <f>IFERROR((thsiFinD("ths_close_price_index",$A22,$AE$2,"","")/thsiFinD("ths_close_price_index",$A22,$AE$3,"","")-1)*100,"")</f>
        <v/>
      </c>
      <c r="F22" s="10">
        <f>IFERROR((thsiFinD("ths_close_price_index",$A22,$AE$2,"","")/thsiFinD("ths_close_price_index",$A22,$AE$4,"","")-1)*100,"")</f>
        <v/>
      </c>
      <c r="G22" s="11">
        <f>IFERROR(E22/5-F22/20,"")</f>
        <v/>
      </c>
      <c r="H22" s="1" t="n">
        <v>60.15</v>
      </c>
      <c r="I22" s="1" t="inlineStr">
        <is>
          <t>002384.SZ</t>
        </is>
      </c>
      <c r="J22" s="1" t="inlineStr">
        <is>
          <t>东山精密</t>
        </is>
      </c>
      <c r="K22" s="1" t="n">
        <v>3304.4222</v>
      </c>
      <c r="L22" s="1" t="n">
        <v>21.57</v>
      </c>
      <c r="M22" s="1" t="inlineStr">
        <is>
          <t>002475.SZ</t>
        </is>
      </c>
      <c r="N22" s="1" t="inlineStr">
        <is>
          <t>立讯精密</t>
        </is>
      </c>
      <c r="O22" s="1" t="n">
        <v>3103.8119</v>
      </c>
      <c r="P22" s="1" t="n">
        <v>20.26</v>
      </c>
      <c r="Q22" s="1" t="inlineStr">
        <is>
          <t>300857.SZ</t>
        </is>
      </c>
      <c r="R22" s="1" t="inlineStr">
        <is>
          <t>协创数据</t>
        </is>
      </c>
      <c r="S22" s="1" t="n">
        <v>1021.0415</v>
      </c>
      <c r="T22" s="1" t="n">
        <v>6.67</v>
      </c>
      <c r="U22" s="1" t="inlineStr">
        <is>
          <t>300433.SZ</t>
        </is>
      </c>
      <c r="V22" s="1" t="inlineStr">
        <is>
          <t>蓝思科技</t>
        </is>
      </c>
      <c r="W22" s="1" t="n">
        <v>1012.201</v>
      </c>
      <c r="X22" s="1" t="n">
        <v>6.61</v>
      </c>
      <c r="Y22" s="1" t="inlineStr">
        <is>
          <t>002938.SZ</t>
        </is>
      </c>
      <c r="Z22" s="1" t="inlineStr">
        <is>
          <t>鹏鼎控股</t>
        </is>
      </c>
      <c r="AA22" s="1" t="n">
        <v>771.4252</v>
      </c>
      <c r="AB22" s="1" t="n">
        <v>5.04</v>
      </c>
    </row>
    <row r="23">
      <c r="A23" s="1" t="inlineStr">
        <is>
          <t>CI005292.CI</t>
        </is>
      </c>
      <c r="B23" s="1" t="inlineStr">
        <is>
          <t>卡车指数</t>
        </is>
      </c>
      <c r="C23" s="1" t="n">
        <v>8</v>
      </c>
      <c r="D23" s="10">
        <f>IFERROR((thsiFinD("ths_close_price_index",$A23,$AE$2,"","")/thsiFinD("ths_close_price_index",$A23,$AE$5,"","")-1)*100,"")</f>
        <v/>
      </c>
      <c r="E23" s="10">
        <f>IFERROR((thsiFinD("ths_close_price_index",$A23,$AE$2,"","")/thsiFinD("ths_close_price_index",$A23,$AE$3,"","")-1)*100,"")</f>
        <v/>
      </c>
      <c r="F23" s="10">
        <f>IFERROR((thsiFinD("ths_close_price_index",$A23,$AE$2,"","")/thsiFinD("ths_close_price_index",$A23,$AE$4,"","")-1)*100,"")</f>
        <v/>
      </c>
      <c r="G23" s="11">
        <f>IFERROR(E23/5-F23/20,"")</f>
        <v/>
      </c>
      <c r="H23" s="1" t="n">
        <v>93.98999999999999</v>
      </c>
      <c r="I23" s="1" t="inlineStr">
        <is>
          <t>000338.SZ</t>
        </is>
      </c>
      <c r="J23" s="1" t="inlineStr">
        <is>
          <t>潍柴动力</t>
        </is>
      </c>
      <c r="K23" s="1" t="n">
        <v>1525.8845</v>
      </c>
      <c r="L23" s="1" t="n">
        <v>75.12</v>
      </c>
      <c r="M23" s="1" t="inlineStr">
        <is>
          <t>600166.SH</t>
        </is>
      </c>
      <c r="N23" s="1" t="inlineStr">
        <is>
          <t>福田汽车</t>
        </is>
      </c>
      <c r="O23" s="1" t="n">
        <v>140.3812</v>
      </c>
      <c r="P23" s="1" t="n">
        <v>6.91</v>
      </c>
      <c r="Q23" s="1" t="inlineStr">
        <is>
          <t>000951.SZ</t>
        </is>
      </c>
      <c r="R23" s="1" t="inlineStr">
        <is>
          <t>中国重汽</t>
        </is>
      </c>
      <c r="S23" s="1" t="n">
        <v>124.8397</v>
      </c>
      <c r="T23" s="1" t="n">
        <v>6.15</v>
      </c>
      <c r="U23" s="1" t="inlineStr">
        <is>
          <t>000800.SZ</t>
        </is>
      </c>
      <c r="V23" s="1" t="inlineStr">
        <is>
          <t>一汽解放</t>
        </is>
      </c>
      <c r="W23" s="1" t="n">
        <v>66.04730000000001</v>
      </c>
      <c r="X23" s="1" t="n">
        <v>3.25</v>
      </c>
      <c r="Y23" s="1" t="inlineStr">
        <is>
          <t>301039.SZ</t>
        </is>
      </c>
      <c r="Z23" s="1" t="inlineStr">
        <is>
          <t>中集车辆</t>
        </is>
      </c>
      <c r="AA23" s="1" t="n">
        <v>52.0545</v>
      </c>
      <c r="AB23" s="1" t="n">
        <v>2.56</v>
      </c>
    </row>
    <row r="24">
      <c r="A24" s="1" t="inlineStr">
        <is>
          <t>CI005294.CI</t>
        </is>
      </c>
      <c r="B24" s="1" t="inlineStr">
        <is>
          <t>专用汽车指数</t>
        </is>
      </c>
      <c r="C24" s="1" t="n">
        <v>3</v>
      </c>
      <c r="D24" s="10">
        <f>IFERROR((thsiFinD("ths_close_price_index",$A24,$AE$2,"","")/thsiFinD("ths_close_price_index",$A24,$AE$5,"","")-1)*100,"")</f>
        <v/>
      </c>
      <c r="E24" s="10">
        <f>IFERROR((thsiFinD("ths_close_price_index",$A24,$AE$2,"","")/thsiFinD("ths_close_price_index",$A24,$AE$3,"","")-1)*100,"")</f>
        <v/>
      </c>
      <c r="F24" s="10">
        <f>IFERROR((thsiFinD("ths_close_price_index",$A24,$AE$2,"","")/thsiFinD("ths_close_price_index",$A24,$AE$4,"","")-1)*100,"")</f>
        <v/>
      </c>
      <c r="G24" s="11">
        <f>IFERROR(E24/5-F24/20,"")</f>
        <v/>
      </c>
      <c r="H24" s="1" t="n">
        <v>100</v>
      </c>
      <c r="I24" s="1" t="inlineStr">
        <is>
          <t>601965.SH</t>
        </is>
      </c>
      <c r="J24" s="1" t="inlineStr">
        <is>
          <t>中国汽研</t>
        </is>
      </c>
      <c r="K24" s="1" t="n">
        <v>46.6219</v>
      </c>
      <c r="L24" s="1" t="n">
        <v>61.68</v>
      </c>
      <c r="M24" s="1" t="inlineStr">
        <is>
          <t>603611.SH</t>
        </is>
      </c>
      <c r="N24" s="1" t="inlineStr">
        <is>
          <t>诺力股份</t>
        </is>
      </c>
      <c r="O24" s="1" t="n">
        <v>28.9697</v>
      </c>
      <c r="P24" s="1" t="n">
        <v>38.32</v>
      </c>
    </row>
    <row r="25">
      <c r="A25" s="1" t="inlineStr">
        <is>
          <t>CI005471.CI</t>
        </is>
      </c>
      <c r="B25" s="1" t="inlineStr">
        <is>
          <t>仪器仪表Ⅲ指数</t>
        </is>
      </c>
      <c r="C25" s="1" t="n">
        <v>68</v>
      </c>
      <c r="D25" s="10">
        <f>IFERROR((thsiFinD("ths_close_price_index",$A25,$AE$2,"","")/thsiFinD("ths_close_price_index",$A25,$AE$5,"","")-1)*100,"")</f>
        <v/>
      </c>
      <c r="E25" s="10">
        <f>IFERROR((thsiFinD("ths_close_price_index",$A25,$AE$2,"","")/thsiFinD("ths_close_price_index",$A25,$AE$3,"","")-1)*100,"")</f>
        <v/>
      </c>
      <c r="F25" s="10">
        <f>IFERROR((thsiFinD("ths_close_price_index",$A25,$AE$2,"","")/thsiFinD("ths_close_price_index",$A25,$AE$4,"","")-1)*100,"")</f>
        <v/>
      </c>
      <c r="G25" s="11">
        <f>IFERROR(E25/5-F25/20,"")</f>
        <v/>
      </c>
      <c r="H25" s="1" t="n">
        <v>88.2</v>
      </c>
      <c r="I25" s="1" t="inlineStr">
        <is>
          <t>688808.SH</t>
        </is>
      </c>
      <c r="J25" s="1" t="inlineStr">
        <is>
          <t>联讯仪器</t>
        </is>
      </c>
      <c r="K25" s="1" t="n">
        <v>479.3162</v>
      </c>
      <c r="L25" s="1" t="n">
        <v>30.34</v>
      </c>
      <c r="M25" s="1" t="inlineStr">
        <is>
          <t>688627.SH</t>
        </is>
      </c>
      <c r="N25" s="1" t="inlineStr">
        <is>
          <t>精智达</t>
        </is>
      </c>
      <c r="O25" s="1" t="n">
        <v>410.3143</v>
      </c>
      <c r="P25" s="1" t="n">
        <v>25.97</v>
      </c>
      <c r="Q25" s="1" t="inlineStr">
        <is>
          <t>300012.SZ</t>
        </is>
      </c>
      <c r="R25" s="1" t="inlineStr">
        <is>
          <t>华测检测</t>
        </is>
      </c>
      <c r="S25" s="1" t="n">
        <v>199.7876</v>
      </c>
      <c r="T25" s="1" t="n">
        <v>12.65</v>
      </c>
      <c r="U25" s="1" t="inlineStr">
        <is>
          <t>688531.SH</t>
        </is>
      </c>
      <c r="V25" s="1" t="inlineStr">
        <is>
          <t>日联科技</t>
        </is>
      </c>
      <c r="W25" s="1" t="n">
        <v>187.2937</v>
      </c>
      <c r="X25" s="1" t="n">
        <v>11.85</v>
      </c>
      <c r="Y25" s="1" t="inlineStr">
        <is>
          <t>301013.SZ</t>
        </is>
      </c>
      <c r="Z25" s="1" t="inlineStr">
        <is>
          <t>利和兴</t>
        </is>
      </c>
      <c r="AA25" s="1" t="n">
        <v>116.7139</v>
      </c>
      <c r="AB25" s="1" t="n">
        <v>7.39</v>
      </c>
    </row>
    <row r="26">
      <c r="A26" s="1" t="inlineStr">
        <is>
          <t>CI005393.CI</t>
        </is>
      </c>
      <c r="B26" s="1" t="inlineStr">
        <is>
          <t>体育及户外品牌指数</t>
        </is>
      </c>
      <c r="C26" s="1" t="n">
        <v>4</v>
      </c>
      <c r="D26" s="10">
        <f>IFERROR((thsiFinD("ths_close_price_index",$A26,$AE$2,"","")/thsiFinD("ths_close_price_index",$A26,$AE$5,"","")-1)*100,"")</f>
        <v/>
      </c>
      <c r="E26" s="10">
        <f>IFERROR((thsiFinD("ths_close_price_index",$A26,$AE$2,"","")/thsiFinD("ths_close_price_index",$A26,$AE$3,"","")-1)*100,"")</f>
        <v/>
      </c>
      <c r="F26" s="10">
        <f>IFERROR((thsiFinD("ths_close_price_index",$A26,$AE$2,"","")/thsiFinD("ths_close_price_index",$A26,$AE$4,"","")-1)*100,"")</f>
        <v/>
      </c>
      <c r="G26" s="11">
        <f>IFERROR(E26/5-F26/20,"")</f>
        <v/>
      </c>
      <c r="H26" s="1" t="n">
        <v>100</v>
      </c>
      <c r="I26" s="1" t="inlineStr">
        <is>
          <t>300005.SZ</t>
        </is>
      </c>
      <c r="J26" s="1" t="inlineStr">
        <is>
          <t>探路者</t>
        </is>
      </c>
      <c r="K26" s="1" t="n">
        <v>126.1021</v>
      </c>
      <c r="L26" s="1" t="n">
        <v>58.27</v>
      </c>
      <c r="M26" s="1" t="inlineStr">
        <is>
          <t>002832.SZ</t>
        </is>
      </c>
      <c r="N26" s="1" t="inlineStr">
        <is>
          <t>比音勒芬</t>
        </is>
      </c>
      <c r="O26" s="1" t="n">
        <v>67.8096</v>
      </c>
      <c r="P26" s="1" t="n">
        <v>31.34</v>
      </c>
      <c r="Q26" s="1" t="inlineStr">
        <is>
          <t>002780.SZ</t>
        </is>
      </c>
      <c r="R26" s="1" t="inlineStr">
        <is>
          <t>三夫户外</t>
        </is>
      </c>
      <c r="S26" s="1" t="n">
        <v>15.7304</v>
      </c>
      <c r="T26" s="1" t="n">
        <v>7.27</v>
      </c>
      <c r="U26" s="1" t="inlineStr">
        <is>
          <t>603908.SH</t>
        </is>
      </c>
      <c r="V26" s="1" t="inlineStr">
        <is>
          <t>牧高笛</t>
        </is>
      </c>
      <c r="W26" s="1" t="n">
        <v>6.756</v>
      </c>
      <c r="X26" s="1" t="n">
        <v>3.12</v>
      </c>
    </row>
    <row r="27">
      <c r="A27" s="1" t="inlineStr">
        <is>
          <t>CI005423.CI</t>
        </is>
      </c>
      <c r="B27" s="1" t="inlineStr">
        <is>
          <t>其他化学制品Ⅲ指数</t>
        </is>
      </c>
      <c r="C27" s="1" t="n">
        <v>90</v>
      </c>
      <c r="D27" s="10">
        <f>IFERROR((thsiFinD("ths_close_price_index",$A27,$AE$2,"","")/thsiFinD("ths_close_price_index",$A27,$AE$5,"","")-1)*100,"")</f>
        <v/>
      </c>
      <c r="E27" s="10">
        <f>IFERROR((thsiFinD("ths_close_price_index",$A27,$AE$2,"","")/thsiFinD("ths_close_price_index",$A27,$AE$3,"","")-1)*100,"")</f>
        <v/>
      </c>
      <c r="F27" s="10">
        <f>IFERROR((thsiFinD("ths_close_price_index",$A27,$AE$2,"","")/thsiFinD("ths_close_price_index",$A27,$AE$4,"","")-1)*100,"")</f>
        <v/>
      </c>
      <c r="G27" s="11">
        <f>IFERROR(E27/5-F27/20,"")</f>
        <v/>
      </c>
      <c r="H27" s="1" t="n">
        <v>33.9</v>
      </c>
      <c r="I27" s="1" t="inlineStr">
        <is>
          <t>603256.SH</t>
        </is>
      </c>
      <c r="J27" s="1" t="inlineStr">
        <is>
          <t>宏和科技</t>
        </is>
      </c>
      <c r="K27" s="1" t="n">
        <v>370.056</v>
      </c>
      <c r="L27" s="1" t="n">
        <v>10.94</v>
      </c>
      <c r="M27" s="1" t="inlineStr">
        <is>
          <t>688548.SH</t>
        </is>
      </c>
      <c r="N27" s="1" t="inlineStr">
        <is>
          <t>广钢气体</t>
        </is>
      </c>
      <c r="O27" s="1" t="n">
        <v>265.286</v>
      </c>
      <c r="P27" s="1" t="n">
        <v>7.84</v>
      </c>
      <c r="Q27" s="1" t="inlineStr">
        <is>
          <t>688503.SH</t>
        </is>
      </c>
      <c r="R27" s="1" t="inlineStr">
        <is>
          <t>聚和材料</t>
        </is>
      </c>
      <c r="S27" s="1" t="n">
        <v>192.5607</v>
      </c>
      <c r="T27" s="1" t="n">
        <v>5.69</v>
      </c>
      <c r="U27" s="1" t="inlineStr">
        <is>
          <t>002326.SZ</t>
        </is>
      </c>
      <c r="V27" s="1" t="inlineStr">
        <is>
          <t>永太科技</t>
        </is>
      </c>
      <c r="W27" s="1" t="n">
        <v>161.0454</v>
      </c>
      <c r="X27" s="1" t="n">
        <v>4.76</v>
      </c>
      <c r="Y27" s="1" t="inlineStr">
        <is>
          <t>688065.SH</t>
        </is>
      </c>
      <c r="Z27" s="1" t="inlineStr">
        <is>
          <t>凯赛生物</t>
        </is>
      </c>
      <c r="AA27" s="1" t="n">
        <v>157.907</v>
      </c>
      <c r="AB27" s="1" t="n">
        <v>4.67</v>
      </c>
    </row>
    <row r="28">
      <c r="A28" s="1" t="inlineStr">
        <is>
          <t>CI005459.CI</t>
        </is>
      </c>
      <c r="B28" s="1" t="inlineStr">
        <is>
          <t>光伏设备指数</t>
        </is>
      </c>
      <c r="C28" s="1" t="n">
        <v>10</v>
      </c>
      <c r="D28" s="10">
        <f>IFERROR((thsiFinD("ths_close_price_index",$A28,$AE$2,"","")/thsiFinD("ths_close_price_index",$A28,$AE$5,"","")-1)*100,"")</f>
        <v/>
      </c>
      <c r="E28" s="10">
        <f>IFERROR((thsiFinD("ths_close_price_index",$A28,$AE$2,"","")/thsiFinD("ths_close_price_index",$A28,$AE$3,"","")-1)*100,"")</f>
        <v/>
      </c>
      <c r="F28" s="10">
        <f>IFERROR((thsiFinD("ths_close_price_index",$A28,$AE$2,"","")/thsiFinD("ths_close_price_index",$A28,$AE$4,"","")-1)*100,"")</f>
        <v/>
      </c>
      <c r="G28" s="11">
        <f>IFERROR(E28/5-F28/20,"")</f>
        <v/>
      </c>
      <c r="H28" s="1" t="n">
        <v>89.26000000000001</v>
      </c>
      <c r="I28" s="1" t="inlineStr">
        <is>
          <t>300316.SZ</t>
        </is>
      </c>
      <c r="J28" s="1" t="inlineStr">
        <is>
          <t>晶盛机电</t>
        </is>
      </c>
      <c r="K28" s="1" t="n">
        <v>338.2777</v>
      </c>
      <c r="L28" s="1" t="n">
        <v>27.71</v>
      </c>
      <c r="M28" s="1" t="inlineStr">
        <is>
          <t>300751.SZ</t>
        </is>
      </c>
      <c r="N28" s="1" t="inlineStr">
        <is>
          <t>迈为股份</t>
        </is>
      </c>
      <c r="O28" s="1" t="n">
        <v>335.581</v>
      </c>
      <c r="P28" s="1" t="n">
        <v>27.48</v>
      </c>
      <c r="Q28" s="1" t="inlineStr">
        <is>
          <t>300724.SZ</t>
        </is>
      </c>
      <c r="R28" s="1" t="inlineStr">
        <is>
          <t>捷佳伟创</t>
        </is>
      </c>
      <c r="S28" s="1" t="n">
        <v>188.9181</v>
      </c>
      <c r="T28" s="1" t="n">
        <v>15.47</v>
      </c>
      <c r="U28" s="1" t="inlineStr">
        <is>
          <t>688726.SH</t>
        </is>
      </c>
      <c r="V28" s="1" t="inlineStr">
        <is>
          <t>拉普拉斯</t>
        </is>
      </c>
      <c r="W28" s="1" t="n">
        <v>124.7192</v>
      </c>
      <c r="X28" s="1" t="n">
        <v>10.21</v>
      </c>
      <c r="Y28" s="1" t="inlineStr">
        <is>
          <t>688516.SH</t>
        </is>
      </c>
      <c r="Z28" s="1" t="inlineStr">
        <is>
          <t>奥特维</t>
        </is>
      </c>
      <c r="AA28" s="1" t="n">
        <v>102.3983</v>
      </c>
      <c r="AB28" s="1" t="n">
        <v>8.390000000000001</v>
      </c>
    </row>
    <row r="29">
      <c r="A29" s="1" t="inlineStr">
        <is>
          <t>CI005397.CI</t>
        </is>
      </c>
      <c r="B29" s="1" t="inlineStr">
        <is>
          <t>工程服务指数</t>
        </is>
      </c>
      <c r="C29" s="1" t="n">
        <v>6</v>
      </c>
      <c r="D29" s="10">
        <f>IFERROR((thsiFinD("ths_close_price_index",$A29,$AE$2,"","")/thsiFinD("ths_close_price_index",$A29,$AE$5,"","")-1)*100,"")</f>
        <v/>
      </c>
      <c r="E29" s="10">
        <f>IFERROR((thsiFinD("ths_close_price_index",$A29,$AE$2,"","")/thsiFinD("ths_close_price_index",$A29,$AE$3,"","")-1)*100,"")</f>
        <v/>
      </c>
      <c r="F29" s="10">
        <f>IFERROR((thsiFinD("ths_close_price_index",$A29,$AE$2,"","")/thsiFinD("ths_close_price_index",$A29,$AE$4,"","")-1)*100,"")</f>
        <v/>
      </c>
      <c r="G29" s="11">
        <f>IFERROR(E29/5-F29/20,"")</f>
        <v/>
      </c>
      <c r="H29" s="1" t="n">
        <v>96.86</v>
      </c>
      <c r="I29" s="1" t="inlineStr">
        <is>
          <t>600378.SH</t>
        </is>
      </c>
      <c r="J29" s="1" t="inlineStr">
        <is>
          <t>昊华科技</t>
        </is>
      </c>
      <c r="K29" s="1" t="n">
        <v>335.8868</v>
      </c>
      <c r="L29" s="1" t="n">
        <v>54.76</v>
      </c>
      <c r="M29" s="1" t="inlineStr">
        <is>
          <t>600583.SH</t>
        </is>
      </c>
      <c r="N29" s="1" t="inlineStr">
        <is>
          <t>海油工程</t>
        </is>
      </c>
      <c r="O29" s="1" t="n">
        <v>107.696</v>
      </c>
      <c r="P29" s="1" t="n">
        <v>17.56</v>
      </c>
      <c r="Q29" s="1" t="inlineStr">
        <is>
          <t>600968.SH</t>
        </is>
      </c>
      <c r="R29" s="1" t="inlineStr">
        <is>
          <t>海油发展</t>
        </is>
      </c>
      <c r="S29" s="1" t="n">
        <v>71.4335</v>
      </c>
      <c r="T29" s="1" t="n">
        <v>11.65</v>
      </c>
      <c r="U29" s="1" t="inlineStr">
        <is>
          <t>600339.SH</t>
        </is>
      </c>
      <c r="V29" s="1" t="inlineStr">
        <is>
          <t>中油工程</t>
        </is>
      </c>
      <c r="W29" s="1" t="n">
        <v>52.7741</v>
      </c>
      <c r="X29" s="1" t="n">
        <v>8.6</v>
      </c>
      <c r="Y29" s="1" t="inlineStr">
        <is>
          <t>603727.SH</t>
        </is>
      </c>
      <c r="Z29" s="1" t="inlineStr">
        <is>
          <t>博迈科</t>
        </is>
      </c>
      <c r="AA29" s="1" t="n">
        <v>26.2897</v>
      </c>
      <c r="AB29" s="1" t="n">
        <v>4.29</v>
      </c>
    </row>
    <row r="30">
      <c r="A30" s="1" t="inlineStr">
        <is>
          <t>CI005455.CI</t>
        </is>
      </c>
      <c r="B30" s="1" t="inlineStr">
        <is>
          <t>纺织服装机械指数</t>
        </is>
      </c>
      <c r="C30" s="1" t="n">
        <v>8</v>
      </c>
      <c r="D30" s="10">
        <f>IFERROR((thsiFinD("ths_close_price_index",$A30,$AE$2,"","")/thsiFinD("ths_close_price_index",$A30,$AE$5,"","")-1)*100,"")</f>
        <v/>
      </c>
      <c r="E30" s="10">
        <f>IFERROR((thsiFinD("ths_close_price_index",$A30,$AE$2,"","")/thsiFinD("ths_close_price_index",$A30,$AE$3,"","")-1)*100,"")</f>
        <v/>
      </c>
      <c r="F30" s="10">
        <f>IFERROR((thsiFinD("ths_close_price_index",$A30,$AE$2,"","")/thsiFinD("ths_close_price_index",$A30,$AE$4,"","")-1)*100,"")</f>
        <v/>
      </c>
      <c r="G30" s="11">
        <f>IFERROR(E30/5-F30/20,"")</f>
        <v/>
      </c>
      <c r="H30" s="1" t="n">
        <v>83.72</v>
      </c>
      <c r="I30" s="1" t="inlineStr">
        <is>
          <t>600545.SH</t>
        </is>
      </c>
      <c r="J30" s="1" t="inlineStr">
        <is>
          <t>卓郎智能</t>
        </is>
      </c>
      <c r="K30" s="1" t="n">
        <v>70.8293</v>
      </c>
      <c r="L30" s="1" t="n">
        <v>21.7</v>
      </c>
      <c r="M30" s="1" t="inlineStr">
        <is>
          <t>603337.SH</t>
        </is>
      </c>
      <c r="N30" s="1" t="inlineStr">
        <is>
          <t>杰克科技</t>
        </is>
      </c>
      <c r="O30" s="1" t="n">
        <v>66.477</v>
      </c>
      <c r="P30" s="1" t="n">
        <v>20.37</v>
      </c>
      <c r="Q30" s="1" t="inlineStr">
        <is>
          <t>003036.SZ</t>
        </is>
      </c>
      <c r="R30" s="1" t="inlineStr">
        <is>
          <t>泰坦股份</t>
        </is>
      </c>
      <c r="S30" s="1" t="n">
        <v>65.75320000000001</v>
      </c>
      <c r="T30" s="1" t="n">
        <v>20.15</v>
      </c>
      <c r="U30" s="1" t="inlineStr">
        <is>
          <t>300307.SZ</t>
        </is>
      </c>
      <c r="V30" s="1" t="inlineStr">
        <is>
          <t>慈星股份</t>
        </is>
      </c>
      <c r="W30" s="1" t="n">
        <v>41.81</v>
      </c>
      <c r="X30" s="1" t="n">
        <v>12.81</v>
      </c>
      <c r="Y30" s="1" t="inlineStr">
        <is>
          <t>600843.SH</t>
        </is>
      </c>
      <c r="Z30" s="1" t="inlineStr">
        <is>
          <t>上工申贝</t>
        </is>
      </c>
      <c r="AA30" s="1" t="n">
        <v>28.3785</v>
      </c>
      <c r="AB30" s="1" t="n">
        <v>8.69</v>
      </c>
    </row>
    <row r="31">
      <c r="A31" s="1" t="inlineStr">
        <is>
          <t>CI005546.CI</t>
        </is>
      </c>
      <c r="B31" s="1" t="inlineStr">
        <is>
          <t>面板指数</t>
        </is>
      </c>
      <c r="C31" s="1" t="n">
        <v>12</v>
      </c>
      <c r="D31" s="10">
        <f>IFERROR((thsiFinD("ths_close_price_index",$A31,$AE$2,"","")/thsiFinD("ths_close_price_index",$A31,$AE$5,"","")-1)*100,"")</f>
        <v/>
      </c>
      <c r="E31" s="10">
        <f>IFERROR((thsiFinD("ths_close_price_index",$A31,$AE$2,"","")/thsiFinD("ths_close_price_index",$A31,$AE$3,"","")-1)*100,"")</f>
        <v/>
      </c>
      <c r="F31" s="10">
        <f>IFERROR((thsiFinD("ths_close_price_index",$A31,$AE$2,"","")/thsiFinD("ths_close_price_index",$A31,$AE$4,"","")-1)*100,"")</f>
        <v/>
      </c>
      <c r="G31" s="11">
        <f>IFERROR(E31/5-F31/20,"")</f>
        <v/>
      </c>
      <c r="H31" s="1" t="n">
        <v>95.92</v>
      </c>
      <c r="I31" s="1" t="inlineStr">
        <is>
          <t>000725.SZ</t>
        </is>
      </c>
      <c r="J31" s="1" t="inlineStr">
        <is>
          <t>京东方A</t>
        </is>
      </c>
      <c r="K31" s="1" t="n">
        <v>2150.3835</v>
      </c>
      <c r="L31" s="1" t="n">
        <v>59.43</v>
      </c>
      <c r="M31" s="1" t="inlineStr">
        <is>
          <t>000100.SZ</t>
        </is>
      </c>
      <c r="N31" s="1" t="inlineStr">
        <is>
          <t>TCL科技</t>
        </is>
      </c>
      <c r="O31" s="1" t="n">
        <v>925.1556</v>
      </c>
      <c r="P31" s="1" t="n">
        <v>25.57</v>
      </c>
      <c r="Q31" s="1" t="inlineStr">
        <is>
          <t>600707.SH</t>
        </is>
      </c>
      <c r="R31" s="1" t="inlineStr">
        <is>
          <t>彩虹股份</t>
        </is>
      </c>
      <c r="S31" s="1" t="n">
        <v>164.1556</v>
      </c>
      <c r="T31" s="1" t="n">
        <v>4.54</v>
      </c>
      <c r="U31" s="1" t="inlineStr">
        <is>
          <t>000050.SZ</t>
        </is>
      </c>
      <c r="V31" s="1" t="inlineStr">
        <is>
          <t>深天马A</t>
        </is>
      </c>
      <c r="W31" s="1" t="n">
        <v>126.8056</v>
      </c>
      <c r="X31" s="1" t="n">
        <v>3.5</v>
      </c>
      <c r="Y31" s="1" t="inlineStr">
        <is>
          <t>688538.SH</t>
        </is>
      </c>
      <c r="Z31" s="1" t="inlineStr">
        <is>
          <t>和辉光电</t>
        </is>
      </c>
      <c r="AA31" s="1" t="n">
        <v>104.1695</v>
      </c>
      <c r="AB31" s="1" t="n">
        <v>2.88</v>
      </c>
    </row>
    <row r="32">
      <c r="A32" s="1" t="inlineStr">
        <is>
          <t>CI005399.CI</t>
        </is>
      </c>
      <c r="B32" s="1" t="inlineStr">
        <is>
          <t>稀土及磁性材料指数</t>
        </is>
      </c>
      <c r="C32" s="1" t="n">
        <v>17</v>
      </c>
      <c r="D32" s="10">
        <f>IFERROR((thsiFinD("ths_close_price_index",$A32,$AE$2,"","")/thsiFinD("ths_close_price_index",$A32,$AE$5,"","")-1)*100,"")</f>
        <v/>
      </c>
      <c r="E32" s="10">
        <f>IFERROR((thsiFinD("ths_close_price_index",$A32,$AE$2,"","")/thsiFinD("ths_close_price_index",$A32,$AE$3,"","")-1)*100,"")</f>
        <v/>
      </c>
      <c r="F32" s="10">
        <f>IFERROR((thsiFinD("ths_close_price_index",$A32,$AE$2,"","")/thsiFinD("ths_close_price_index",$A32,$AE$4,"","")-1)*100,"")</f>
        <v/>
      </c>
      <c r="G32" s="11">
        <f>IFERROR(E32/5-F32/20,"")</f>
        <v/>
      </c>
      <c r="H32" s="1" t="n">
        <v>73.56</v>
      </c>
      <c r="I32" s="1" t="inlineStr">
        <is>
          <t>600111.SH</t>
        </is>
      </c>
      <c r="J32" s="1" t="inlineStr">
        <is>
          <t>北方稀土</t>
        </is>
      </c>
      <c r="K32" s="1" t="n">
        <v>1213.1041</v>
      </c>
      <c r="L32" s="1" t="n">
        <v>33.17</v>
      </c>
      <c r="M32" s="1" t="inlineStr">
        <is>
          <t>600392.SH</t>
        </is>
      </c>
      <c r="N32" s="1" t="inlineStr">
        <is>
          <t>盛和资源</t>
        </is>
      </c>
      <c r="O32" s="1" t="n">
        <v>450.4411</v>
      </c>
      <c r="P32" s="1" t="n">
        <v>12.32</v>
      </c>
      <c r="Q32" s="1" t="inlineStr">
        <is>
          <t>000831.SZ</t>
        </is>
      </c>
      <c r="R32" s="1" t="inlineStr">
        <is>
          <t>中国稀土</t>
        </is>
      </c>
      <c r="S32" s="1" t="n">
        <v>435.9712</v>
      </c>
      <c r="T32" s="1" t="n">
        <v>11.92</v>
      </c>
      <c r="U32" s="1" t="inlineStr">
        <is>
          <t>600330.SH</t>
        </is>
      </c>
      <c r="V32" s="1" t="inlineStr">
        <is>
          <t>天通股份</t>
        </is>
      </c>
      <c r="W32" s="1" t="n">
        <v>344.7228</v>
      </c>
      <c r="X32" s="1" t="n">
        <v>9.43</v>
      </c>
      <c r="Y32" s="1" t="inlineStr">
        <is>
          <t>600259.SH</t>
        </is>
      </c>
      <c r="Z32" s="1" t="inlineStr">
        <is>
          <t>中稀有色</t>
        </is>
      </c>
      <c r="AA32" s="1" t="n">
        <v>245.7014</v>
      </c>
      <c r="AB32" s="1" t="n">
        <v>6.72</v>
      </c>
    </row>
    <row r="33">
      <c r="A33" s="1" t="inlineStr">
        <is>
          <t>CI005442.CI</t>
        </is>
      </c>
      <c r="B33" s="1" t="inlineStr">
        <is>
          <t>其他专用材料指数</t>
        </is>
      </c>
      <c r="C33" s="1" t="n">
        <v>13</v>
      </c>
      <c r="D33" s="10">
        <f>IFERROR((thsiFinD("ths_close_price_index",$A33,$AE$2,"","")/thsiFinD("ths_close_price_index",$A33,$AE$5,"","")-1)*100,"")</f>
        <v/>
      </c>
      <c r="E33" s="10">
        <f>IFERROR((thsiFinD("ths_close_price_index",$A33,$AE$2,"","")/thsiFinD("ths_close_price_index",$A33,$AE$3,"","")-1)*100,"")</f>
        <v/>
      </c>
      <c r="F33" s="10">
        <f>IFERROR((thsiFinD("ths_close_price_index",$A33,$AE$2,"","")/thsiFinD("ths_close_price_index",$A33,$AE$4,"","")-1)*100,"")</f>
        <v/>
      </c>
      <c r="G33" s="11">
        <f>IFERROR(E33/5-F33/20,"")</f>
        <v/>
      </c>
      <c r="H33" s="1" t="n">
        <v>69.09</v>
      </c>
      <c r="I33" s="1" t="inlineStr">
        <is>
          <t>300179.SZ</t>
        </is>
      </c>
      <c r="J33" s="1" t="inlineStr">
        <is>
          <t>四方达</t>
        </is>
      </c>
      <c r="K33" s="1" t="n">
        <v>173.6464</v>
      </c>
      <c r="L33" s="1" t="n">
        <v>34.87</v>
      </c>
      <c r="M33" s="1" t="inlineStr">
        <is>
          <t>002392.SZ</t>
        </is>
      </c>
      <c r="N33" s="1" t="inlineStr">
        <is>
          <t>北京利尔</t>
        </is>
      </c>
      <c r="O33" s="1" t="n">
        <v>72.5882</v>
      </c>
      <c r="P33" s="1" t="n">
        <v>14.58</v>
      </c>
      <c r="Q33" s="1" t="inlineStr">
        <is>
          <t>002225.SZ</t>
        </is>
      </c>
      <c r="R33" s="1" t="inlineStr">
        <is>
          <t>濮耐股份</t>
        </is>
      </c>
      <c r="S33" s="1" t="n">
        <v>36.2324</v>
      </c>
      <c r="T33" s="1" t="n">
        <v>7.28</v>
      </c>
      <c r="U33" s="1" t="inlineStr">
        <is>
          <t>300234.SZ</t>
        </is>
      </c>
      <c r="V33" s="1" t="inlineStr">
        <is>
          <t>开尔新材</t>
        </is>
      </c>
      <c r="W33" s="1" t="n">
        <v>31.796</v>
      </c>
      <c r="X33" s="1" t="n">
        <v>6.38</v>
      </c>
      <c r="Y33" s="1" t="inlineStr">
        <is>
          <t>002066.SZ</t>
        </is>
      </c>
      <c r="Z33" s="1" t="inlineStr">
        <is>
          <t>瑞泰科技</t>
        </is>
      </c>
      <c r="AA33" s="1" t="n">
        <v>29.8042</v>
      </c>
      <c r="AB33" s="1" t="n">
        <v>5.98</v>
      </c>
    </row>
    <row r="34">
      <c r="A34" s="1" t="inlineStr">
        <is>
          <t>CI005427.CI</t>
        </is>
      </c>
      <c r="B34" s="1" t="inlineStr">
        <is>
          <t>合成树脂指数</t>
        </is>
      </c>
      <c r="C34" s="1" t="n">
        <v>13</v>
      </c>
      <c r="D34" s="10">
        <f>IFERROR((thsiFinD("ths_close_price_index",$A34,$AE$2,"","")/thsiFinD("ths_close_price_index",$A34,$AE$5,"","")-1)*100,"")</f>
        <v/>
      </c>
      <c r="E34" s="10">
        <f>IFERROR((thsiFinD("ths_close_price_index",$A34,$AE$2,"","")/thsiFinD("ths_close_price_index",$A34,$AE$3,"","")-1)*100,"")</f>
        <v/>
      </c>
      <c r="F34" s="10">
        <f>IFERROR((thsiFinD("ths_close_price_index",$A34,$AE$2,"","")/thsiFinD("ths_close_price_index",$A34,$AE$4,"","")-1)*100,"")</f>
        <v/>
      </c>
      <c r="G34" s="11">
        <f>IFERROR(E34/5-F34/20,"")</f>
        <v/>
      </c>
      <c r="H34" s="1" t="n">
        <v>91.16</v>
      </c>
      <c r="I34" s="1" t="inlineStr">
        <is>
          <t>600989.SH</t>
        </is>
      </c>
      <c r="J34" s="1" t="inlineStr">
        <is>
          <t>宝丰能源</t>
        </is>
      </c>
      <c r="K34" s="1" t="n">
        <v>470.7047</v>
      </c>
      <c r="L34" s="1" t="n">
        <v>32.97</v>
      </c>
      <c r="M34" s="1" t="inlineStr">
        <is>
          <t>605589.SH</t>
        </is>
      </c>
      <c r="N34" s="1" t="inlineStr">
        <is>
          <t>圣泉集团</t>
        </is>
      </c>
      <c r="O34" s="1" t="n">
        <v>464.0994</v>
      </c>
      <c r="P34" s="1" t="n">
        <v>32.51</v>
      </c>
      <c r="Q34" s="1" t="inlineStr">
        <is>
          <t>300487.SZ</t>
        </is>
      </c>
      <c r="R34" s="1" t="inlineStr">
        <is>
          <t>蓝晓科技</t>
        </is>
      </c>
      <c r="S34" s="1" t="n">
        <v>156.0118</v>
      </c>
      <c r="T34" s="1" t="n">
        <v>10.93</v>
      </c>
      <c r="U34" s="1" t="inlineStr">
        <is>
          <t>688585.SH</t>
        </is>
      </c>
      <c r="V34" s="1" t="inlineStr">
        <is>
          <t>上纬新材</t>
        </is>
      </c>
      <c r="W34" s="1" t="n">
        <v>107.4035</v>
      </c>
      <c r="X34" s="1" t="n">
        <v>7.52</v>
      </c>
      <c r="Y34" s="1" t="inlineStr">
        <is>
          <t>002361.SZ</t>
        </is>
      </c>
      <c r="Z34" s="1" t="inlineStr">
        <is>
          <t>神剑股份</t>
        </is>
      </c>
      <c r="AA34" s="1" t="n">
        <v>103.208</v>
      </c>
      <c r="AB34" s="1" t="n">
        <v>7.23</v>
      </c>
    </row>
    <row r="35">
      <c r="A35" s="1" t="inlineStr">
        <is>
          <t>CI005465.CI</t>
        </is>
      </c>
      <c r="B35" s="1" t="inlineStr">
        <is>
          <t>其他通用机械指数</t>
        </is>
      </c>
      <c r="C35" s="1" t="n">
        <v>48</v>
      </c>
      <c r="D35" s="10">
        <f>IFERROR((thsiFinD("ths_close_price_index",$A35,$AE$2,"","")/thsiFinD("ths_close_price_index",$A35,$AE$5,"","")-1)*100,"")</f>
        <v/>
      </c>
      <c r="E35" s="10">
        <f>IFERROR((thsiFinD("ths_close_price_index",$A35,$AE$2,"","")/thsiFinD("ths_close_price_index",$A35,$AE$3,"","")-1)*100,"")</f>
        <v/>
      </c>
      <c r="F35" s="10">
        <f>IFERROR((thsiFinD("ths_close_price_index",$A35,$AE$2,"","")/thsiFinD("ths_close_price_index",$A35,$AE$4,"","")-1)*100,"")</f>
        <v/>
      </c>
      <c r="G35" s="11">
        <f>IFERROR(E35/5-F35/20,"")</f>
        <v/>
      </c>
      <c r="H35" s="1" t="n">
        <v>63.76</v>
      </c>
      <c r="I35" s="1" t="inlineStr">
        <is>
          <t>688017.SH</t>
        </is>
      </c>
      <c r="J35" s="1" t="inlineStr">
        <is>
          <t>绿的谐波</t>
        </is>
      </c>
      <c r="K35" s="1" t="n">
        <v>471.6212</v>
      </c>
      <c r="L35" s="1" t="n">
        <v>23.43</v>
      </c>
      <c r="M35" s="1" t="inlineStr">
        <is>
          <t>688308.SH</t>
        </is>
      </c>
      <c r="N35" s="1" t="inlineStr">
        <is>
          <t>欧科亿</t>
        </is>
      </c>
      <c r="O35" s="1" t="n">
        <v>241.4085</v>
      </c>
      <c r="P35" s="1" t="n">
        <v>11.99</v>
      </c>
      <c r="Q35" s="1" t="inlineStr">
        <is>
          <t>688333.SH</t>
        </is>
      </c>
      <c r="R35" s="1" t="inlineStr">
        <is>
          <t>铂力特</t>
        </is>
      </c>
      <c r="S35" s="1" t="n">
        <v>206.3582</v>
      </c>
      <c r="T35" s="1" t="n">
        <v>10.25</v>
      </c>
      <c r="U35" s="1" t="inlineStr">
        <is>
          <t>002444.SZ</t>
        </is>
      </c>
      <c r="V35" s="1" t="inlineStr">
        <is>
          <t>巨星科技</t>
        </is>
      </c>
      <c r="W35" s="1" t="n">
        <v>196.6358</v>
      </c>
      <c r="X35" s="1" t="n">
        <v>9.77</v>
      </c>
      <c r="Y35" s="1" t="inlineStr">
        <is>
          <t>001696.SZ</t>
        </is>
      </c>
      <c r="Z35" s="1" t="inlineStr">
        <is>
          <t>宗申动力</t>
        </is>
      </c>
      <c r="AA35" s="1" t="n">
        <v>167.5844</v>
      </c>
      <c r="AB35" s="1" t="n">
        <v>8.32</v>
      </c>
    </row>
    <row r="36">
      <c r="A36" s="1" t="inlineStr">
        <is>
          <t>CI005422.CI</t>
        </is>
      </c>
      <c r="B36" s="1" t="inlineStr">
        <is>
          <t>橡胶助剂指数</t>
        </is>
      </c>
      <c r="C36" s="1" t="n">
        <v>5</v>
      </c>
      <c r="D36" s="10">
        <f>IFERROR((thsiFinD("ths_close_price_index",$A36,$AE$2,"","")/thsiFinD("ths_close_price_index",$A36,$AE$5,"","")-1)*100,"")</f>
        <v/>
      </c>
      <c r="E36" s="10">
        <f>IFERROR((thsiFinD("ths_close_price_index",$A36,$AE$2,"","")/thsiFinD("ths_close_price_index",$A36,$AE$3,"","")-1)*100,"")</f>
        <v/>
      </c>
      <c r="F36" s="10">
        <f>IFERROR((thsiFinD("ths_close_price_index",$A36,$AE$2,"","")/thsiFinD("ths_close_price_index",$A36,$AE$4,"","")-1)*100,"")</f>
        <v/>
      </c>
      <c r="G36" s="11">
        <f>IFERROR(E36/5-F36/20,"")</f>
        <v/>
      </c>
      <c r="H36" s="1" t="n">
        <v>100</v>
      </c>
      <c r="I36" s="1" t="inlineStr">
        <is>
          <t>603650.SH</t>
        </is>
      </c>
      <c r="J36" s="1" t="inlineStr">
        <is>
          <t>彤程新材</t>
        </is>
      </c>
      <c r="K36" s="1" t="n">
        <v>165.2254</v>
      </c>
      <c r="L36" s="1" t="n">
        <v>57.1</v>
      </c>
      <c r="M36" s="1" t="inlineStr">
        <is>
          <t>002068.SZ</t>
        </is>
      </c>
      <c r="N36" s="1" t="inlineStr">
        <is>
          <t>黑猫股份</t>
        </is>
      </c>
      <c r="O36" s="1" t="n">
        <v>53.5358</v>
      </c>
      <c r="P36" s="1" t="n">
        <v>18.5</v>
      </c>
      <c r="Q36" s="1" t="inlineStr">
        <is>
          <t>300121.SZ</t>
        </is>
      </c>
      <c r="R36" s="1" t="inlineStr">
        <is>
          <t>阳谷华泰</t>
        </is>
      </c>
      <c r="S36" s="1" t="n">
        <v>37.2273</v>
      </c>
      <c r="T36" s="1" t="n">
        <v>12.87</v>
      </c>
      <c r="U36" s="1" t="inlineStr">
        <is>
          <t>002442.SZ</t>
        </is>
      </c>
      <c r="V36" s="1" t="inlineStr">
        <is>
          <t>龙星科技</t>
        </is>
      </c>
      <c r="W36" s="1" t="n">
        <v>21.0056</v>
      </c>
      <c r="X36" s="1" t="n">
        <v>7.26</v>
      </c>
      <c r="Y36" s="1" t="inlineStr">
        <is>
          <t>002753.SZ</t>
        </is>
      </c>
      <c r="Z36" s="1" t="inlineStr">
        <is>
          <t>永东股份</t>
        </is>
      </c>
      <c r="AA36" s="1" t="n">
        <v>12.3687</v>
      </c>
      <c r="AB36" s="1" t="n">
        <v>4.27</v>
      </c>
    </row>
    <row r="37">
      <c r="A37" s="1" t="inlineStr">
        <is>
          <t>CI005418.CI</t>
        </is>
      </c>
      <c r="B37" s="1" t="inlineStr">
        <is>
          <t>其他化学原料指数</t>
        </is>
      </c>
      <c r="C37" s="1" t="n">
        <v>23</v>
      </c>
      <c r="D37" s="10">
        <f>IFERROR((thsiFinD("ths_close_price_index",$A37,$AE$2,"","")/thsiFinD("ths_close_price_index",$A37,$AE$5,"","")-1)*100,"")</f>
        <v/>
      </c>
      <c r="E37" s="10">
        <f>IFERROR((thsiFinD("ths_close_price_index",$A37,$AE$2,"","")/thsiFinD("ths_close_price_index",$A37,$AE$3,"","")-1)*100,"")</f>
        <v/>
      </c>
      <c r="F37" s="10">
        <f>IFERROR((thsiFinD("ths_close_price_index",$A37,$AE$2,"","")/thsiFinD("ths_close_price_index",$A37,$AE$4,"","")-1)*100,"")</f>
        <v/>
      </c>
      <c r="G37" s="11">
        <f>IFERROR(E37/5-F37/20,"")</f>
        <v/>
      </c>
      <c r="H37" s="1" t="n">
        <v>75.44</v>
      </c>
      <c r="I37" s="1" t="inlineStr">
        <is>
          <t>002648.SZ</t>
        </is>
      </c>
      <c r="J37" s="1" t="inlineStr">
        <is>
          <t>卫星化学</t>
        </is>
      </c>
      <c r="K37" s="1" t="n">
        <v>382.0021</v>
      </c>
      <c r="L37" s="1" t="n">
        <v>31.54</v>
      </c>
      <c r="M37" s="1" t="inlineStr">
        <is>
          <t>688300.SH</t>
        </is>
      </c>
      <c r="N37" s="1" t="inlineStr">
        <is>
          <t>联瑞新材</t>
        </is>
      </c>
      <c r="O37" s="1" t="n">
        <v>257.3746</v>
      </c>
      <c r="P37" s="1" t="n">
        <v>21.25</v>
      </c>
      <c r="Q37" s="1" t="inlineStr">
        <is>
          <t>002430.SZ</t>
        </is>
      </c>
      <c r="R37" s="1" t="inlineStr">
        <is>
          <t>杭氧股份</t>
        </is>
      </c>
      <c r="S37" s="1" t="n">
        <v>108.9079</v>
      </c>
      <c r="T37" s="1" t="n">
        <v>8.99</v>
      </c>
      <c r="U37" s="1" t="inlineStr">
        <is>
          <t>003022.SZ</t>
        </is>
      </c>
      <c r="V37" s="1" t="inlineStr">
        <is>
          <t>联泓新科</t>
        </is>
      </c>
      <c r="W37" s="1" t="n">
        <v>99.1859</v>
      </c>
      <c r="X37" s="1" t="n">
        <v>8.19</v>
      </c>
      <c r="Y37" s="1" t="inlineStr">
        <is>
          <t>002549.SZ</t>
        </is>
      </c>
      <c r="Z37" s="1" t="inlineStr">
        <is>
          <t>凯美特气</t>
        </is>
      </c>
      <c r="AA37" s="1" t="n">
        <v>66.2993</v>
      </c>
      <c r="AB37" s="1" t="n">
        <v>5.47</v>
      </c>
    </row>
    <row r="38">
      <c r="A38" s="1" t="inlineStr">
        <is>
          <t>CI005480.CI</t>
        </is>
      </c>
      <c r="B38" s="1" t="inlineStr">
        <is>
          <t>燃料电池指数</t>
        </is>
      </c>
      <c r="C38" s="1" t="n">
        <v>9</v>
      </c>
      <c r="D38" s="10">
        <f>IFERROR((thsiFinD("ths_close_price_index",$A38,$AE$2,"","")/thsiFinD("ths_close_price_index",$A38,$AE$5,"","")-1)*100,"")</f>
        <v/>
      </c>
      <c r="E38" s="10">
        <f>IFERROR((thsiFinD("ths_close_price_index",$A38,$AE$2,"","")/thsiFinD("ths_close_price_index",$A38,$AE$3,"","")-1)*100,"")</f>
        <v/>
      </c>
      <c r="F38" s="10">
        <f>IFERROR((thsiFinD("ths_close_price_index",$A38,$AE$2,"","")/thsiFinD("ths_close_price_index",$A38,$AE$4,"","")-1)*100,"")</f>
        <v/>
      </c>
      <c r="G38" s="11">
        <f>IFERROR(E38/5-F38/20,"")</f>
        <v/>
      </c>
      <c r="H38" s="1" t="n">
        <v>100</v>
      </c>
      <c r="I38" s="1" t="inlineStr">
        <is>
          <t>000811.SZ</t>
        </is>
      </c>
      <c r="J38" s="1" t="inlineStr">
        <is>
          <t>冰轮环境</t>
        </is>
      </c>
      <c r="K38" s="1" t="n">
        <v>273.7642</v>
      </c>
      <c r="L38" s="1" t="n">
        <v>43.69</v>
      </c>
      <c r="M38" s="1" t="inlineStr">
        <is>
          <t>000969.SZ</t>
        </is>
      </c>
      <c r="N38" s="1" t="inlineStr">
        <is>
          <t>安泰科技</t>
        </is>
      </c>
      <c r="O38" s="1" t="n">
        <v>178.9266</v>
      </c>
      <c r="P38" s="1" t="n">
        <v>28.55</v>
      </c>
      <c r="Q38" s="1" t="inlineStr">
        <is>
          <t>002639.SZ</t>
        </is>
      </c>
      <c r="R38" s="1" t="inlineStr">
        <is>
          <t>雪人集团</t>
        </is>
      </c>
      <c r="S38" s="1" t="n">
        <v>88.1494</v>
      </c>
      <c r="T38" s="1" t="n">
        <v>14.07</v>
      </c>
      <c r="U38" s="1" t="inlineStr">
        <is>
          <t>600273.SH</t>
        </is>
      </c>
      <c r="V38" s="1" t="inlineStr">
        <is>
          <t>嘉化能源</t>
        </is>
      </c>
      <c r="W38" s="1" t="n">
        <v>53.3992</v>
      </c>
      <c r="X38" s="1" t="n">
        <v>8.52</v>
      </c>
      <c r="Y38" s="1" t="inlineStr">
        <is>
          <t>688339.SH</t>
        </is>
      </c>
      <c r="Z38" s="1" t="inlineStr">
        <is>
          <t>亿华通</t>
        </is>
      </c>
      <c r="AA38" s="1" t="n">
        <v>32.4103</v>
      </c>
      <c r="AB38" s="1" t="n">
        <v>5.17</v>
      </c>
    </row>
    <row r="39">
      <c r="A39" s="1" t="inlineStr">
        <is>
          <t>CI005429.CI</t>
        </is>
      </c>
      <c r="B39" s="1" t="inlineStr">
        <is>
          <t>其他塑料制品指数</t>
        </is>
      </c>
      <c r="C39" s="1" t="n">
        <v>22</v>
      </c>
      <c r="D39" s="10">
        <f>IFERROR((thsiFinD("ths_close_price_index",$A39,$AE$2,"","")/thsiFinD("ths_close_price_index",$A39,$AE$5,"","")-1)*100,"")</f>
        <v/>
      </c>
      <c r="E39" s="10">
        <f>IFERROR((thsiFinD("ths_close_price_index",$A39,$AE$2,"","")/thsiFinD("ths_close_price_index",$A39,$AE$3,"","")-1)*100,"")</f>
        <v/>
      </c>
      <c r="F39" s="10">
        <f>IFERROR((thsiFinD("ths_close_price_index",$A39,$AE$2,"","")/thsiFinD("ths_close_price_index",$A39,$AE$4,"","")-1)*100,"")</f>
        <v/>
      </c>
      <c r="G39" s="11">
        <f>IFERROR(E39/5-F39/20,"")</f>
        <v/>
      </c>
      <c r="H39" s="1" t="n">
        <v>69.20999999999999</v>
      </c>
      <c r="I39" s="1" t="inlineStr">
        <is>
          <t>603002.SH</t>
        </is>
      </c>
      <c r="J39" s="1" t="inlineStr">
        <is>
          <t>宏昌电子</t>
        </is>
      </c>
      <c r="K39" s="1" t="n">
        <v>137.9089</v>
      </c>
      <c r="L39" s="1" t="n">
        <v>28.47</v>
      </c>
      <c r="M39" s="1" t="inlineStr">
        <is>
          <t>301216.SZ</t>
        </is>
      </c>
      <c r="N39" s="1" t="inlineStr">
        <is>
          <t>万凯新材</t>
        </is>
      </c>
      <c r="O39" s="1" t="n">
        <v>85.8616</v>
      </c>
      <c r="P39" s="1" t="n">
        <v>17.73</v>
      </c>
      <c r="Q39" s="1" t="inlineStr">
        <is>
          <t>300180.SZ</t>
        </is>
      </c>
      <c r="R39" s="1" t="inlineStr">
        <is>
          <t>华峰超纤</t>
        </is>
      </c>
      <c r="S39" s="1" t="n">
        <v>56.142</v>
      </c>
      <c r="T39" s="1" t="n">
        <v>11.59</v>
      </c>
      <c r="U39" s="1" t="inlineStr">
        <is>
          <t>300920.SZ</t>
        </is>
      </c>
      <c r="V39" s="1" t="inlineStr">
        <is>
          <t>润阳科技</t>
        </is>
      </c>
      <c r="W39" s="1" t="n">
        <v>30.3896</v>
      </c>
      <c r="X39" s="1" t="n">
        <v>6.27</v>
      </c>
      <c r="Y39" s="1" t="inlineStr">
        <is>
          <t>300230.SZ</t>
        </is>
      </c>
      <c r="Z39" s="1" t="inlineStr">
        <is>
          <t>永利股份</t>
        </is>
      </c>
      <c r="AA39" s="1" t="n">
        <v>24.9626</v>
      </c>
      <c r="AB39" s="1" t="n">
        <v>5.15</v>
      </c>
    </row>
    <row r="40">
      <c r="A40" s="1" t="inlineStr">
        <is>
          <t>CI005556.CI</t>
        </is>
      </c>
      <c r="B40" s="1" t="inlineStr">
        <is>
          <t>系统设备指数</t>
        </is>
      </c>
      <c r="C40" s="1" t="n">
        <v>9</v>
      </c>
      <c r="D40" s="10">
        <f>IFERROR((thsiFinD("ths_close_price_index",$A40,$AE$2,"","")/thsiFinD("ths_close_price_index",$A40,$AE$5,"","")-1)*100,"")</f>
        <v/>
      </c>
      <c r="E40" s="10">
        <f>IFERROR((thsiFinD("ths_close_price_index",$A40,$AE$2,"","")/thsiFinD("ths_close_price_index",$A40,$AE$3,"","")-1)*100,"")</f>
        <v/>
      </c>
      <c r="F40" s="10">
        <f>IFERROR((thsiFinD("ths_close_price_index",$A40,$AE$2,"","")/thsiFinD("ths_close_price_index",$A40,$AE$4,"","")-1)*100,"")</f>
        <v/>
      </c>
      <c r="G40" s="11">
        <f>IFERROR(E40/5-F40/20,"")</f>
        <v/>
      </c>
      <c r="H40" s="1" t="n">
        <v>91.87</v>
      </c>
      <c r="I40" s="1" t="inlineStr">
        <is>
          <t>000063.SZ</t>
        </is>
      </c>
      <c r="J40" s="1" t="inlineStr">
        <is>
          <t>中兴通讯</t>
        </is>
      </c>
      <c r="K40" s="1" t="n">
        <v>1209.9809</v>
      </c>
      <c r="L40" s="1" t="n">
        <v>43.15</v>
      </c>
      <c r="M40" s="1" t="inlineStr">
        <is>
          <t>600498.SH</t>
        </is>
      </c>
      <c r="N40" s="1" t="inlineStr">
        <is>
          <t>烽火通信</t>
        </is>
      </c>
      <c r="O40" s="1" t="n">
        <v>641.9236</v>
      </c>
      <c r="P40" s="1" t="n">
        <v>22.89</v>
      </c>
      <c r="Q40" s="1" t="inlineStr">
        <is>
          <t>688387.SH</t>
        </is>
      </c>
      <c r="R40" s="1" t="inlineStr">
        <is>
          <t>信科移动</t>
        </is>
      </c>
      <c r="S40" s="1" t="n">
        <v>353.3935</v>
      </c>
      <c r="T40" s="1" t="n">
        <v>12.6</v>
      </c>
      <c r="U40" s="1" t="inlineStr">
        <is>
          <t>688205.SH</t>
        </is>
      </c>
      <c r="V40" s="1" t="inlineStr">
        <is>
          <t>德科立</t>
        </is>
      </c>
      <c r="W40" s="1" t="n">
        <v>259.6528</v>
      </c>
      <c r="X40" s="1" t="n">
        <v>9.26</v>
      </c>
      <c r="Y40" s="1" t="inlineStr">
        <is>
          <t>002396.SZ</t>
        </is>
      </c>
      <c r="Z40" s="1" t="inlineStr">
        <is>
          <t>星网锐捷</t>
        </is>
      </c>
      <c r="AA40" s="1" t="n">
        <v>111.4108</v>
      </c>
      <c r="AB40" s="1" t="n">
        <v>3.97</v>
      </c>
    </row>
    <row r="41">
      <c r="A41" s="1" t="inlineStr">
        <is>
          <t>CI005205.CI</t>
        </is>
      </c>
      <c r="B41" s="1" t="inlineStr">
        <is>
          <t>油品销售及仓储指数</t>
        </is>
      </c>
      <c r="C41" s="1" t="n">
        <v>8</v>
      </c>
      <c r="D41" s="10">
        <f>IFERROR((thsiFinD("ths_close_price_index",$A41,$AE$2,"","")/thsiFinD("ths_close_price_index",$A41,$AE$5,"","")-1)*100,"")</f>
        <v/>
      </c>
      <c r="E41" s="10">
        <f>IFERROR((thsiFinD("ths_close_price_index",$A41,$AE$2,"","")/thsiFinD("ths_close_price_index",$A41,$AE$3,"","")-1)*100,"")</f>
        <v/>
      </c>
      <c r="F41" s="10">
        <f>IFERROR((thsiFinD("ths_close_price_index",$A41,$AE$2,"","")/thsiFinD("ths_close_price_index",$A41,$AE$4,"","")-1)*100,"")</f>
        <v/>
      </c>
      <c r="G41" s="11">
        <f>IFERROR(E41/5-F41/20,"")</f>
        <v/>
      </c>
      <c r="H41" s="1" t="n">
        <v>75.23999999999999</v>
      </c>
      <c r="I41" s="1" t="inlineStr">
        <is>
          <t>001331.SZ</t>
        </is>
      </c>
      <c r="J41" s="1" t="inlineStr">
        <is>
          <t>胜通能源</t>
        </is>
      </c>
      <c r="K41" s="1" t="n">
        <v>71.2736</v>
      </c>
      <c r="L41" s="1" t="n">
        <v>29.91</v>
      </c>
      <c r="M41" s="1" t="inlineStr">
        <is>
          <t>603223.SH</t>
        </is>
      </c>
      <c r="N41" s="1" t="inlineStr">
        <is>
          <t>恒通股份</t>
        </is>
      </c>
      <c r="O41" s="1" t="n">
        <v>31.5686</v>
      </c>
      <c r="P41" s="1" t="n">
        <v>13.25</v>
      </c>
      <c r="Q41" s="1" t="inlineStr">
        <is>
          <t>603318.SH</t>
        </is>
      </c>
      <c r="R41" s="1" t="inlineStr">
        <is>
          <t>水发燃气</t>
        </is>
      </c>
      <c r="S41" s="1" t="n">
        <v>27.9138</v>
      </c>
      <c r="T41" s="1" t="n">
        <v>11.71</v>
      </c>
      <c r="U41" s="1" t="inlineStr">
        <is>
          <t>603353.SH</t>
        </is>
      </c>
      <c r="V41" s="1" t="inlineStr">
        <is>
          <t>和顺石油</t>
        </is>
      </c>
      <c r="W41" s="1" t="n">
        <v>26.4103</v>
      </c>
      <c r="X41" s="1" t="n">
        <v>11.08</v>
      </c>
      <c r="Y41" s="1" t="inlineStr">
        <is>
          <t>000554.SZ</t>
        </is>
      </c>
      <c r="Z41" s="1" t="inlineStr">
        <is>
          <t>泰山石油</t>
        </is>
      </c>
      <c r="AA41" s="1" t="n">
        <v>22.1332</v>
      </c>
      <c r="AB41" s="1" t="n">
        <v>9.289999999999999</v>
      </c>
    </row>
    <row r="42">
      <c r="A42" s="1" t="inlineStr">
        <is>
          <t>CI005560.CI</t>
        </is>
      </c>
      <c r="B42" s="1" t="inlineStr">
        <is>
          <t>通用计算机设备指数</t>
        </is>
      </c>
      <c r="C42" s="1" t="n">
        <v>24</v>
      </c>
      <c r="D42" s="10">
        <f>IFERROR((thsiFinD("ths_close_price_index",$A42,$AE$2,"","")/thsiFinD("ths_close_price_index",$A42,$AE$5,"","")-1)*100,"")</f>
        <v/>
      </c>
      <c r="E42" s="10">
        <f>IFERROR((thsiFinD("ths_close_price_index",$A42,$AE$2,"","")/thsiFinD("ths_close_price_index",$A42,$AE$3,"","")-1)*100,"")</f>
        <v/>
      </c>
      <c r="F42" s="10">
        <f>IFERROR((thsiFinD("ths_close_price_index",$A42,$AE$2,"","")/thsiFinD("ths_close_price_index",$A42,$AE$4,"","")-1)*100,"")</f>
        <v/>
      </c>
      <c r="G42" s="11">
        <f>IFERROR(E42/5-F42/20,"")</f>
        <v/>
      </c>
      <c r="H42" s="1" t="n">
        <v>78.8</v>
      </c>
      <c r="I42" s="1" t="inlineStr">
        <is>
          <t>601138.SH</t>
        </is>
      </c>
      <c r="J42" s="1" t="inlineStr">
        <is>
          <t>工业富联</t>
        </is>
      </c>
      <c r="K42" s="1" t="n">
        <v>2537.4976</v>
      </c>
      <c r="L42" s="1" t="n">
        <v>31.99</v>
      </c>
      <c r="M42" s="1" t="inlineStr">
        <is>
          <t>301308.SZ</t>
        </is>
      </c>
      <c r="N42" s="1" t="inlineStr">
        <is>
          <t>江波龙</t>
        </is>
      </c>
      <c r="O42" s="1" t="n">
        <v>1396.4275</v>
      </c>
      <c r="P42" s="1" t="n">
        <v>17.6</v>
      </c>
      <c r="Q42" s="1" t="inlineStr">
        <is>
          <t>603019.SH</t>
        </is>
      </c>
      <c r="R42" s="1" t="inlineStr">
        <is>
          <t>中科曙光</t>
        </is>
      </c>
      <c r="S42" s="1" t="n">
        <v>1087.7655</v>
      </c>
      <c r="T42" s="1" t="n">
        <v>13.71</v>
      </c>
      <c r="U42" s="1" t="inlineStr">
        <is>
          <t>000977.SZ</t>
        </is>
      </c>
      <c r="V42" s="1" t="inlineStr">
        <is>
          <t>浪潮信息</t>
        </is>
      </c>
      <c r="W42" s="1" t="n">
        <v>654.9752999999999</v>
      </c>
      <c r="X42" s="1" t="n">
        <v>8.26</v>
      </c>
      <c r="Y42" s="1" t="inlineStr">
        <is>
          <t>000938.SZ</t>
        </is>
      </c>
      <c r="Z42" s="1" t="inlineStr">
        <is>
          <t>紫光股份</t>
        </is>
      </c>
      <c r="AA42" s="1" t="n">
        <v>574.3114</v>
      </c>
      <c r="AB42" s="1" t="n">
        <v>7.24</v>
      </c>
    </row>
    <row r="43">
      <c r="A43" s="1" t="inlineStr">
        <is>
          <t>CI005554.CI</t>
        </is>
      </c>
      <c r="B43" s="1" t="inlineStr">
        <is>
          <t>通信终端及配件指数</t>
        </is>
      </c>
      <c r="C43" s="1" t="n">
        <v>30</v>
      </c>
      <c r="D43" s="10">
        <f>IFERROR((thsiFinD("ths_close_price_index",$A43,$AE$2,"","")/thsiFinD("ths_close_price_index",$A43,$AE$5,"","")-1)*100,"")</f>
        <v/>
      </c>
      <c r="E43" s="10">
        <f>IFERROR((thsiFinD("ths_close_price_index",$A43,$AE$2,"","")/thsiFinD("ths_close_price_index",$A43,$AE$3,"","")-1)*100,"")</f>
        <v/>
      </c>
      <c r="F43" s="10">
        <f>IFERROR((thsiFinD("ths_close_price_index",$A43,$AE$2,"","")/thsiFinD("ths_close_price_index",$A43,$AE$4,"","")-1)*100,"")</f>
        <v/>
      </c>
      <c r="G43" s="11">
        <f>IFERROR(E43/5-F43/20,"")</f>
        <v/>
      </c>
      <c r="H43" s="1" t="n">
        <v>78.38</v>
      </c>
      <c r="I43" s="1" t="inlineStr">
        <is>
          <t>603083.SH</t>
        </is>
      </c>
      <c r="J43" s="1" t="inlineStr">
        <is>
          <t>剑桥科技</t>
        </is>
      </c>
      <c r="K43" s="1" t="n">
        <v>564.3233</v>
      </c>
      <c r="L43" s="1" t="n">
        <v>34.78</v>
      </c>
      <c r="M43" s="1" t="inlineStr">
        <is>
          <t>688027.SH</t>
        </is>
      </c>
      <c r="N43" s="1" t="inlineStr">
        <is>
          <t>国盾量子</t>
        </is>
      </c>
      <c r="O43" s="1" t="n">
        <v>317.3645</v>
      </c>
      <c r="P43" s="1" t="n">
        <v>19.56</v>
      </c>
      <c r="Q43" s="1" t="inlineStr">
        <is>
          <t>300628.SZ</t>
        </is>
      </c>
      <c r="R43" s="1" t="inlineStr">
        <is>
          <t>亿联网络</t>
        </is>
      </c>
      <c r="S43" s="1" t="n">
        <v>154.1245</v>
      </c>
      <c r="T43" s="1" t="n">
        <v>9.5</v>
      </c>
      <c r="U43" s="1" t="inlineStr">
        <is>
          <t>603236.SH</t>
        </is>
      </c>
      <c r="V43" s="1" t="inlineStr">
        <is>
          <t>移远通信</t>
        </is>
      </c>
      <c r="W43" s="1" t="n">
        <v>142.812</v>
      </c>
      <c r="X43" s="1" t="n">
        <v>8.800000000000001</v>
      </c>
      <c r="Y43" s="1" t="inlineStr">
        <is>
          <t>300638.SZ</t>
        </is>
      </c>
      <c r="Z43" s="1" t="inlineStr">
        <is>
          <t>广和通</t>
        </is>
      </c>
      <c r="AA43" s="1" t="n">
        <v>93.1183</v>
      </c>
      <c r="AB43" s="1" t="n">
        <v>5.74</v>
      </c>
    </row>
    <row r="44">
      <c r="A44" s="1" t="inlineStr">
        <is>
          <t>CI005227.CI</t>
        </is>
      </c>
      <c r="B44" s="1" t="inlineStr">
        <is>
          <t>供热或其他指数</t>
        </is>
      </c>
      <c r="C44" s="1" t="n">
        <v>15</v>
      </c>
      <c r="D44" s="10">
        <f>IFERROR((thsiFinD("ths_close_price_index",$A44,$AE$2,"","")/thsiFinD("ths_close_price_index",$A44,$AE$5,"","")-1)*100,"")</f>
        <v/>
      </c>
      <c r="E44" s="10">
        <f>IFERROR((thsiFinD("ths_close_price_index",$A44,$AE$2,"","")/thsiFinD("ths_close_price_index",$A44,$AE$3,"","")-1)*100,"")</f>
        <v/>
      </c>
      <c r="F44" s="10">
        <f>IFERROR((thsiFinD("ths_close_price_index",$A44,$AE$2,"","")/thsiFinD("ths_close_price_index",$A44,$AE$4,"","")-1)*100,"")</f>
        <v/>
      </c>
      <c r="G44" s="11">
        <f>IFERROR(E44/5-F44/20,"")</f>
        <v/>
      </c>
      <c r="H44" s="1" t="n">
        <v>68.56</v>
      </c>
      <c r="I44" s="1" t="inlineStr">
        <is>
          <t>600226.SH</t>
        </is>
      </c>
      <c r="J44" s="1" t="inlineStr">
        <is>
          <t>亨通股份</t>
        </is>
      </c>
      <c r="K44" s="1" t="n">
        <v>194.2881</v>
      </c>
      <c r="L44" s="1" t="n">
        <v>45.41</v>
      </c>
      <c r="M44" s="1" t="inlineStr">
        <is>
          <t>002479.SZ</t>
        </is>
      </c>
      <c r="N44" s="1" t="inlineStr">
        <is>
          <t>富春环保</t>
        </is>
      </c>
      <c r="O44" s="1" t="n">
        <v>26.0043</v>
      </c>
      <c r="P44" s="1" t="n">
        <v>6.08</v>
      </c>
      <c r="Q44" s="1" t="inlineStr">
        <is>
          <t>001376.SZ</t>
        </is>
      </c>
      <c r="R44" s="1" t="inlineStr">
        <is>
          <t>百通能源</t>
        </is>
      </c>
      <c r="S44" s="1" t="n">
        <v>25.0429</v>
      </c>
      <c r="T44" s="1" t="n">
        <v>5.85</v>
      </c>
      <c r="U44" s="1" t="inlineStr">
        <is>
          <t>600719.SH</t>
        </is>
      </c>
      <c r="V44" s="1" t="inlineStr">
        <is>
          <t>大连热电</t>
        </is>
      </c>
      <c r="W44" s="1" t="n">
        <v>24.4048</v>
      </c>
      <c r="X44" s="1" t="n">
        <v>5.7</v>
      </c>
      <c r="Y44" s="1" t="inlineStr">
        <is>
          <t>001210.SZ</t>
        </is>
      </c>
      <c r="Z44" s="1" t="inlineStr">
        <is>
          <t>金房能源</t>
        </is>
      </c>
      <c r="AA44" s="1" t="n">
        <v>23.6088</v>
      </c>
      <c r="AB44" s="1" t="n">
        <v>5.52</v>
      </c>
    </row>
    <row r="45">
      <c r="A45" s="1" t="inlineStr">
        <is>
          <t>CI005462.CI</t>
        </is>
      </c>
      <c r="B45" s="1" t="inlineStr">
        <is>
          <t>机床设备指数</t>
        </is>
      </c>
      <c r="C45" s="1" t="n">
        <v>23</v>
      </c>
      <c r="D45" s="10">
        <f>IFERROR((thsiFinD("ths_close_price_index",$A45,$AE$2,"","")/thsiFinD("ths_close_price_index",$A45,$AE$5,"","")-1)*100,"")</f>
        <v/>
      </c>
      <c r="E45" s="10">
        <f>IFERROR((thsiFinD("ths_close_price_index",$A45,$AE$2,"","")/thsiFinD("ths_close_price_index",$A45,$AE$3,"","")-1)*100,"")</f>
        <v/>
      </c>
      <c r="F45" s="10">
        <f>IFERROR((thsiFinD("ths_close_price_index",$A45,$AE$2,"","")/thsiFinD("ths_close_price_index",$A45,$AE$4,"","")-1)*100,"")</f>
        <v/>
      </c>
      <c r="G45" s="11">
        <f>IFERROR(E45/5-F45/20,"")</f>
        <v/>
      </c>
      <c r="H45" s="1" t="n">
        <v>51.65</v>
      </c>
      <c r="I45" s="1" t="inlineStr">
        <is>
          <t>300083.SZ</t>
        </is>
      </c>
      <c r="J45" s="1" t="inlineStr">
        <is>
          <t>创世纪</t>
        </is>
      </c>
      <c r="K45" s="1" t="n">
        <v>158.7529</v>
      </c>
      <c r="L45" s="1" t="n">
        <v>16.28</v>
      </c>
      <c r="M45" s="1" t="inlineStr">
        <is>
          <t>688059.SH</t>
        </is>
      </c>
      <c r="N45" s="1" t="inlineStr">
        <is>
          <t>华锐精密</t>
        </is>
      </c>
      <c r="O45" s="1" t="n">
        <v>127.0778</v>
      </c>
      <c r="P45" s="1" t="n">
        <v>13.03</v>
      </c>
      <c r="Q45" s="1" t="inlineStr">
        <is>
          <t>002943.SZ</t>
        </is>
      </c>
      <c r="R45" s="1" t="inlineStr">
        <is>
          <t>宇晶股份</t>
        </is>
      </c>
      <c r="S45" s="1" t="n">
        <v>79.93980000000001</v>
      </c>
      <c r="T45" s="1" t="n">
        <v>8.199999999999999</v>
      </c>
      <c r="U45" s="1" t="inlineStr">
        <is>
          <t>000410.SZ</t>
        </is>
      </c>
      <c r="V45" s="1" t="inlineStr">
        <is>
          <t>沈阳机床</t>
        </is>
      </c>
      <c r="W45" s="1" t="n">
        <v>73.15219999999999</v>
      </c>
      <c r="X45" s="1" t="n">
        <v>7.5</v>
      </c>
      <c r="Y45" s="1" t="inlineStr">
        <is>
          <t>000837.SZ</t>
        </is>
      </c>
      <c r="Z45" s="1" t="inlineStr">
        <is>
          <t>秦川机床</t>
        </is>
      </c>
      <c r="AA45" s="1" t="n">
        <v>64.721</v>
      </c>
      <c r="AB45" s="1" t="n">
        <v>6.64</v>
      </c>
    </row>
    <row r="46">
      <c r="A46" s="1" t="inlineStr">
        <is>
          <t>CI005215.CI</t>
        </is>
      </c>
      <c r="B46" s="1" t="inlineStr">
        <is>
          <t>铅锌指数</t>
        </is>
      </c>
      <c r="C46" s="1" t="n">
        <v>13</v>
      </c>
      <c r="D46" s="10">
        <f>IFERROR((thsiFinD("ths_close_price_index",$A46,$AE$2,"","")/thsiFinD("ths_close_price_index",$A46,$AE$5,"","")-1)*100,"")</f>
        <v/>
      </c>
      <c r="E46" s="10">
        <f>IFERROR((thsiFinD("ths_close_price_index",$A46,$AE$2,"","")/thsiFinD("ths_close_price_index",$A46,$AE$3,"","")-1)*100,"")</f>
        <v/>
      </c>
      <c r="F46" s="10">
        <f>IFERROR((thsiFinD("ths_close_price_index",$A46,$AE$2,"","")/thsiFinD("ths_close_price_index",$A46,$AE$4,"","")-1)*100,"")</f>
        <v/>
      </c>
      <c r="G46" s="11">
        <f>IFERROR(E46/5-F46/20,"")</f>
        <v/>
      </c>
      <c r="H46" s="1" t="n">
        <v>66.34999999999999</v>
      </c>
      <c r="I46" s="1" t="inlineStr">
        <is>
          <t>000426.SZ</t>
        </is>
      </c>
      <c r="J46" s="1" t="inlineStr">
        <is>
          <t>兴业银锡</t>
        </is>
      </c>
      <c r="K46" s="1" t="n">
        <v>554.814</v>
      </c>
      <c r="L46" s="1" t="n">
        <v>24.52</v>
      </c>
      <c r="M46" s="1" t="inlineStr">
        <is>
          <t>600497.SH</t>
        </is>
      </c>
      <c r="N46" s="1" t="inlineStr">
        <is>
          <t>驰宏锌锗</t>
        </is>
      </c>
      <c r="O46" s="1" t="n">
        <v>338.8767</v>
      </c>
      <c r="P46" s="1" t="n">
        <v>14.98</v>
      </c>
      <c r="Q46" s="1" t="inlineStr">
        <is>
          <t>000060.SZ</t>
        </is>
      </c>
      <c r="R46" s="1" t="inlineStr">
        <is>
          <t>中金岭南</t>
        </is>
      </c>
      <c r="S46" s="1" t="n">
        <v>273.6435</v>
      </c>
      <c r="T46" s="1" t="n">
        <v>12.09</v>
      </c>
      <c r="U46" s="1" t="inlineStr">
        <is>
          <t>601020.SH</t>
        </is>
      </c>
      <c r="V46" s="1" t="inlineStr">
        <is>
          <t>华钰矿业</t>
        </is>
      </c>
      <c r="W46" s="1" t="n">
        <v>167.3538</v>
      </c>
      <c r="X46" s="1" t="n">
        <v>7.4</v>
      </c>
      <c r="Y46" s="1" t="inlineStr">
        <is>
          <t>600961.SH</t>
        </is>
      </c>
      <c r="Z46" s="1" t="inlineStr">
        <is>
          <t>株冶集团</t>
        </is>
      </c>
      <c r="AA46" s="1" t="n">
        <v>166.4911</v>
      </c>
      <c r="AB46" s="1" t="n">
        <v>7.36</v>
      </c>
    </row>
    <row r="47">
      <c r="A47" s="1" t="inlineStr">
        <is>
          <t>CI005565.CI</t>
        </is>
      </c>
      <c r="B47" s="1" t="inlineStr">
        <is>
          <t>云基础设施服务指数</t>
        </is>
      </c>
      <c r="C47" s="1" t="n">
        <v>13</v>
      </c>
      <c r="D47" s="10">
        <f>IFERROR((thsiFinD("ths_close_price_index",$A47,$AE$2,"","")/thsiFinD("ths_close_price_index",$A47,$AE$5,"","")-1)*100,"")</f>
        <v/>
      </c>
      <c r="E47" s="10">
        <f>IFERROR((thsiFinD("ths_close_price_index",$A47,$AE$2,"","")/thsiFinD("ths_close_price_index",$A47,$AE$3,"","")-1)*100,"")</f>
        <v/>
      </c>
      <c r="F47" s="10">
        <f>IFERROR((thsiFinD("ths_close_price_index",$A47,$AE$2,"","")/thsiFinD("ths_close_price_index",$A47,$AE$4,"","")-1)*100,"")</f>
        <v/>
      </c>
      <c r="G47" s="11">
        <f>IFERROR(E47/5-F47/20,"")</f>
        <v/>
      </c>
      <c r="H47" s="1" t="n">
        <v>68.14</v>
      </c>
      <c r="I47" s="1" t="inlineStr">
        <is>
          <t>300442.SZ</t>
        </is>
      </c>
      <c r="J47" s="1" t="inlineStr">
        <is>
          <t>润泽科技</t>
        </is>
      </c>
      <c r="K47" s="1" t="n">
        <v>577.3328</v>
      </c>
      <c r="L47" s="1" t="n">
        <v>26.4</v>
      </c>
      <c r="M47" s="1" t="inlineStr">
        <is>
          <t>300017.SZ</t>
        </is>
      </c>
      <c r="N47" s="1" t="inlineStr">
        <is>
          <t>网宿科技</t>
        </is>
      </c>
      <c r="O47" s="1" t="n">
        <v>321.2089</v>
      </c>
      <c r="P47" s="1" t="n">
        <v>14.69</v>
      </c>
      <c r="Q47" s="1" t="inlineStr">
        <is>
          <t>300454.SZ</t>
        </is>
      </c>
      <c r="R47" s="1" t="inlineStr">
        <is>
          <t>深信服</t>
        </is>
      </c>
      <c r="S47" s="1" t="n">
        <v>245.7691</v>
      </c>
      <c r="T47" s="1" t="n">
        <v>11.24</v>
      </c>
      <c r="U47" s="1" t="inlineStr">
        <is>
          <t>300383.SZ</t>
        </is>
      </c>
      <c r="V47" s="1" t="inlineStr">
        <is>
          <t>光环新网</t>
        </is>
      </c>
      <c r="W47" s="1" t="n">
        <v>188.8693</v>
      </c>
      <c r="X47" s="1" t="n">
        <v>8.640000000000001</v>
      </c>
      <c r="Y47" s="1" t="inlineStr">
        <is>
          <t>300738.SZ</t>
        </is>
      </c>
      <c r="Z47" s="1" t="inlineStr">
        <is>
          <t>奥飞数据</t>
        </is>
      </c>
      <c r="AA47" s="1" t="n">
        <v>156.8503</v>
      </c>
      <c r="AB47" s="1" t="n">
        <v>7.17</v>
      </c>
    </row>
    <row r="48">
      <c r="A48" s="1" t="inlineStr">
        <is>
          <t>CI005474.CI</t>
        </is>
      </c>
      <c r="B48" s="1" t="inlineStr">
        <is>
          <t>电力电子及自动化指数</t>
        </is>
      </c>
      <c r="C48" s="1" t="n">
        <v>59</v>
      </c>
      <c r="D48" s="10">
        <f>IFERROR((thsiFinD("ths_close_price_index",$A48,$AE$2,"","")/thsiFinD("ths_close_price_index",$A48,$AE$5,"","")-1)*100,"")</f>
        <v/>
      </c>
      <c r="E48" s="10">
        <f>IFERROR((thsiFinD("ths_close_price_index",$A48,$AE$2,"","")/thsiFinD("ths_close_price_index",$A48,$AE$3,"","")-1)*100,"")</f>
        <v/>
      </c>
      <c r="F48" s="10">
        <f>IFERROR((thsiFinD("ths_close_price_index",$A48,$AE$2,"","")/thsiFinD("ths_close_price_index",$A48,$AE$4,"","")-1)*100,"")</f>
        <v/>
      </c>
      <c r="G48" s="11">
        <f>IFERROR(E48/5-F48/20,"")</f>
        <v/>
      </c>
      <c r="H48" s="1" t="n">
        <v>63.27</v>
      </c>
      <c r="I48" s="1" t="inlineStr">
        <is>
          <t>002851.SZ</t>
        </is>
      </c>
      <c r="J48" s="1" t="inlineStr">
        <is>
          <t>麦格米特</t>
        </is>
      </c>
      <c r="K48" s="1" t="n">
        <v>750.7064</v>
      </c>
      <c r="L48" s="1" t="n">
        <v>33.66</v>
      </c>
      <c r="M48" s="1" t="inlineStr">
        <is>
          <t>603063.SH</t>
        </is>
      </c>
      <c r="N48" s="1" t="inlineStr">
        <is>
          <t>禾望电气</t>
        </is>
      </c>
      <c r="O48" s="1" t="n">
        <v>191.1871</v>
      </c>
      <c r="P48" s="1" t="n">
        <v>8.57</v>
      </c>
      <c r="Q48" s="1" t="inlineStr">
        <is>
          <t>002364.SZ</t>
        </is>
      </c>
      <c r="R48" s="1" t="inlineStr">
        <is>
          <t>中恒电气</t>
        </is>
      </c>
      <c r="S48" s="1" t="n">
        <v>175.4433</v>
      </c>
      <c r="T48" s="1" t="n">
        <v>7.87</v>
      </c>
      <c r="U48" s="1" t="inlineStr">
        <is>
          <t>688187.SH</t>
        </is>
      </c>
      <c r="V48" s="1" t="inlineStr">
        <is>
          <t>时代电气</t>
        </is>
      </c>
      <c r="W48" s="1" t="n">
        <v>156.3048</v>
      </c>
      <c r="X48" s="1" t="n">
        <v>7.01</v>
      </c>
      <c r="Y48" s="1" t="inlineStr">
        <is>
          <t>000682.SZ</t>
        </is>
      </c>
      <c r="Z48" s="1" t="inlineStr">
        <is>
          <t>东方电子</t>
        </is>
      </c>
      <c r="AA48" s="1" t="n">
        <v>137.3717</v>
      </c>
      <c r="AB48" s="1" t="n">
        <v>6.16</v>
      </c>
    </row>
    <row r="49">
      <c r="A49" s="1" t="inlineStr">
        <is>
          <t>CI005456.CI</t>
        </is>
      </c>
      <c r="B49" s="1" t="inlineStr">
        <is>
          <t>其他专用机械指数</t>
        </is>
      </c>
      <c r="C49" s="1" t="n">
        <v>217</v>
      </c>
      <c r="D49" s="10">
        <f>IFERROR((thsiFinD("ths_close_price_index",$A49,$AE$2,"","")/thsiFinD("ths_close_price_index",$A49,$AE$5,"","")-1)*100,"")</f>
        <v/>
      </c>
      <c r="E49" s="10">
        <f>IFERROR((thsiFinD("ths_close_price_index",$A49,$AE$2,"","")/thsiFinD("ths_close_price_index",$A49,$AE$3,"","")-1)*100,"")</f>
        <v/>
      </c>
      <c r="F49" s="10">
        <f>IFERROR((thsiFinD("ths_close_price_index",$A49,$AE$2,"","")/thsiFinD("ths_close_price_index",$A49,$AE$4,"","")-1)*100,"")</f>
        <v/>
      </c>
      <c r="G49" s="11">
        <f>IFERROR(E49/5-F49/20,"")</f>
        <v/>
      </c>
      <c r="H49" s="1" t="n">
        <v>31.3</v>
      </c>
      <c r="I49" s="1" t="inlineStr">
        <is>
          <t>688257.SH</t>
        </is>
      </c>
      <c r="J49" s="1" t="inlineStr">
        <is>
          <t>新锐股份</t>
        </is>
      </c>
      <c r="K49" s="1" t="n">
        <v>292.072</v>
      </c>
      <c r="L49" s="1" t="n">
        <v>8.539999999999999</v>
      </c>
      <c r="M49" s="1" t="inlineStr">
        <is>
          <t>002595.SZ</t>
        </is>
      </c>
      <c r="N49" s="1" t="inlineStr">
        <is>
          <t>豪迈科技</t>
        </is>
      </c>
      <c r="O49" s="1" t="n">
        <v>282.2022</v>
      </c>
      <c r="P49" s="1" t="n">
        <v>8.26</v>
      </c>
      <c r="Q49" s="1" t="inlineStr">
        <is>
          <t>301018.SZ</t>
        </is>
      </c>
      <c r="R49" s="1" t="inlineStr">
        <is>
          <t>申菱环境</t>
        </is>
      </c>
      <c r="S49" s="1" t="n">
        <v>185.9142</v>
      </c>
      <c r="T49" s="1" t="n">
        <v>5.44</v>
      </c>
      <c r="U49" s="1" t="inlineStr">
        <is>
          <t>002975.SZ</t>
        </is>
      </c>
      <c r="V49" s="1" t="inlineStr">
        <is>
          <t>博杰股份</t>
        </is>
      </c>
      <c r="W49" s="1" t="n">
        <v>164.3069</v>
      </c>
      <c r="X49" s="1" t="n">
        <v>4.81</v>
      </c>
      <c r="Y49" s="1" t="inlineStr">
        <is>
          <t>002645.SZ</t>
        </is>
      </c>
      <c r="Z49" s="1" t="inlineStr">
        <is>
          <t>华宏科技</t>
        </is>
      </c>
      <c r="AA49" s="1" t="n">
        <v>145.2334</v>
      </c>
      <c r="AB49" s="1" t="n">
        <v>4.25</v>
      </c>
    </row>
    <row r="50">
      <c r="A50" s="1" t="inlineStr">
        <is>
          <t>CI005490.CI</t>
        </is>
      </c>
      <c r="B50" s="1" t="inlineStr">
        <is>
          <t>电商及服务Ⅲ指数</t>
        </is>
      </c>
      <c r="C50" s="1" t="n">
        <v>17</v>
      </c>
      <c r="D50" s="10">
        <f>IFERROR((thsiFinD("ths_close_price_index",$A50,$AE$2,"","")/thsiFinD("ths_close_price_index",$A50,$AE$5,"","")-1)*100,"")</f>
        <v/>
      </c>
      <c r="E50" s="10">
        <f>IFERROR((thsiFinD("ths_close_price_index",$A50,$AE$2,"","")/thsiFinD("ths_close_price_index",$A50,$AE$3,"","")-1)*100,"")</f>
        <v/>
      </c>
      <c r="F50" s="10">
        <f>IFERROR((thsiFinD("ths_close_price_index",$A50,$AE$2,"","")/thsiFinD("ths_close_price_index",$A50,$AE$4,"","")-1)*100,"")</f>
        <v/>
      </c>
      <c r="G50" s="11">
        <f>IFERROR(E50/5-F50/20,"")</f>
        <v/>
      </c>
      <c r="H50" s="1" t="n">
        <v>80.76000000000001</v>
      </c>
      <c r="I50" s="1" t="inlineStr">
        <is>
          <t>300209.SZ</t>
        </is>
      </c>
      <c r="J50" s="1" t="inlineStr">
        <is>
          <t>行云科技</t>
        </is>
      </c>
      <c r="K50" s="1" t="n">
        <v>212.5412</v>
      </c>
      <c r="L50" s="1" t="n">
        <v>41.94</v>
      </c>
      <c r="M50" s="1" t="inlineStr">
        <is>
          <t>002803.SZ</t>
        </is>
      </c>
      <c r="N50" s="1" t="inlineStr">
        <is>
          <t>吉宏股份</t>
        </is>
      </c>
      <c r="O50" s="1" t="n">
        <v>62.3061</v>
      </c>
      <c r="P50" s="1" t="n">
        <v>12.29</v>
      </c>
      <c r="Q50" s="1" t="inlineStr">
        <is>
          <t>002640.SZ</t>
        </is>
      </c>
      <c r="R50" s="1" t="inlineStr">
        <is>
          <t>跨境通</t>
        </is>
      </c>
      <c r="S50" s="1" t="n">
        <v>47.57</v>
      </c>
      <c r="T50" s="1" t="n">
        <v>9.390000000000001</v>
      </c>
      <c r="U50" s="1" t="inlineStr">
        <is>
          <t>002127.SZ</t>
        </is>
      </c>
      <c r="V50" s="1" t="inlineStr">
        <is>
          <t>南极电商</t>
        </is>
      </c>
      <c r="W50" s="1" t="n">
        <v>46.0242</v>
      </c>
      <c r="X50" s="1" t="n">
        <v>9.08</v>
      </c>
      <c r="Y50" s="1" t="inlineStr">
        <is>
          <t>003010.SZ</t>
        </is>
      </c>
      <c r="Z50" s="1" t="inlineStr">
        <is>
          <t>若羽臣</t>
        </is>
      </c>
      <c r="AA50" s="1" t="n">
        <v>40.8279</v>
      </c>
      <c r="AB50" s="1" t="n">
        <v>8.06</v>
      </c>
    </row>
    <row r="51">
      <c r="A51" s="1" t="inlineStr">
        <is>
          <t>CI005472.CI</t>
        </is>
      </c>
      <c r="B51" s="1" t="inlineStr">
        <is>
          <t>输变电设备指数</t>
        </is>
      </c>
      <c r="C51" s="1" t="n">
        <v>75</v>
      </c>
      <c r="D51" s="10">
        <f>IFERROR((thsiFinD("ths_close_price_index",$A51,$AE$2,"","")/thsiFinD("ths_close_price_index",$A51,$AE$5,"","")-1)*100,"")</f>
        <v/>
      </c>
      <c r="E51" s="10">
        <f>IFERROR((thsiFinD("ths_close_price_index",$A51,$AE$2,"","")/thsiFinD("ths_close_price_index",$A51,$AE$3,"","")-1)*100,"")</f>
        <v/>
      </c>
      <c r="F51" s="10">
        <f>IFERROR((thsiFinD("ths_close_price_index",$A51,$AE$2,"","")/thsiFinD("ths_close_price_index",$A51,$AE$4,"","")-1)*100,"")</f>
        <v/>
      </c>
      <c r="G51" s="11">
        <f>IFERROR(E51/5-F51/20,"")</f>
        <v/>
      </c>
      <c r="H51" s="1" t="n">
        <v>72.59</v>
      </c>
      <c r="I51" s="1" t="inlineStr">
        <is>
          <t>002028.SZ</t>
        </is>
      </c>
      <c r="J51" s="1" t="inlineStr">
        <is>
          <t>思源电气</t>
        </is>
      </c>
      <c r="K51" s="1" t="n">
        <v>1114.0975</v>
      </c>
      <c r="L51" s="1" t="n">
        <v>25.05</v>
      </c>
      <c r="M51" s="1" t="inlineStr">
        <is>
          <t>600089.SH</t>
        </is>
      </c>
      <c r="N51" s="1" t="inlineStr">
        <is>
          <t>特变电工</t>
        </is>
      </c>
      <c r="O51" s="1" t="n">
        <v>1038.6379</v>
      </c>
      <c r="P51" s="1" t="n">
        <v>23.35</v>
      </c>
      <c r="Q51" s="1" t="inlineStr">
        <is>
          <t>600869.SH</t>
        </is>
      </c>
      <c r="R51" s="1" t="inlineStr">
        <is>
          <t>远东股份</t>
        </is>
      </c>
      <c r="S51" s="1" t="n">
        <v>441.0476</v>
      </c>
      <c r="T51" s="1" t="n">
        <v>9.91</v>
      </c>
      <c r="U51" s="1" t="inlineStr">
        <is>
          <t>601179.SH</t>
        </is>
      </c>
      <c r="V51" s="1" t="inlineStr">
        <is>
          <t>中国西电</t>
        </is>
      </c>
      <c r="W51" s="1" t="n">
        <v>414.2039</v>
      </c>
      <c r="X51" s="1" t="n">
        <v>9.31</v>
      </c>
      <c r="Y51" s="1" t="inlineStr">
        <is>
          <t>600577.SH</t>
        </is>
      </c>
      <c r="Z51" s="1" t="inlineStr">
        <is>
          <t>精达股份</t>
        </is>
      </c>
      <c r="AA51" s="1" t="n">
        <v>221.1621</v>
      </c>
      <c r="AB51" s="1" t="n">
        <v>4.97</v>
      </c>
    </row>
    <row r="52">
      <c r="A52" s="1" t="inlineStr">
        <is>
          <t>CI005420.CI</t>
        </is>
      </c>
      <c r="B52" s="1" t="inlineStr">
        <is>
          <t>锂电化学品指数</t>
        </is>
      </c>
      <c r="C52" s="1" t="n">
        <v>30</v>
      </c>
      <c r="D52" s="10">
        <f>IFERROR((thsiFinD("ths_close_price_index",$A52,$AE$2,"","")/thsiFinD("ths_close_price_index",$A52,$AE$5,"","")-1)*100,"")</f>
        <v/>
      </c>
      <c r="E52" s="10">
        <f>IFERROR((thsiFinD("ths_close_price_index",$A52,$AE$2,"","")/thsiFinD("ths_close_price_index",$A52,$AE$3,"","")-1)*100,"")</f>
        <v/>
      </c>
      <c r="F52" s="10">
        <f>IFERROR((thsiFinD("ths_close_price_index",$A52,$AE$2,"","")/thsiFinD("ths_close_price_index",$A52,$AE$4,"","")-1)*100,"")</f>
        <v/>
      </c>
      <c r="G52" s="11">
        <f>IFERROR(E52/5-F52/20,"")</f>
        <v/>
      </c>
      <c r="H52" s="1" t="n">
        <v>59.18</v>
      </c>
      <c r="I52" s="1" t="inlineStr">
        <is>
          <t>002709.SZ</t>
        </is>
      </c>
      <c r="J52" s="1" t="inlineStr">
        <is>
          <t>天赐材料</t>
        </is>
      </c>
      <c r="K52" s="1" t="n">
        <v>746.1652</v>
      </c>
      <c r="L52" s="1" t="n">
        <v>17.78</v>
      </c>
      <c r="M52" s="1" t="inlineStr">
        <is>
          <t>300390.SZ</t>
        </is>
      </c>
      <c r="N52" s="1" t="inlineStr">
        <is>
          <t>天华新能</t>
        </is>
      </c>
      <c r="O52" s="1" t="n">
        <v>471.636</v>
      </c>
      <c r="P52" s="1" t="n">
        <v>11.24</v>
      </c>
      <c r="Q52" s="1" t="inlineStr">
        <is>
          <t>301358.SZ</t>
        </is>
      </c>
      <c r="R52" s="1" t="inlineStr">
        <is>
          <t>湖南裕能</t>
        </is>
      </c>
      <c r="S52" s="1" t="n">
        <v>437.3801</v>
      </c>
      <c r="T52" s="1" t="n">
        <v>10.42</v>
      </c>
      <c r="U52" s="1" t="inlineStr">
        <is>
          <t>300037.SZ</t>
        </is>
      </c>
      <c r="V52" s="1" t="inlineStr">
        <is>
          <t>新宙邦</t>
        </is>
      </c>
      <c r="W52" s="1" t="n">
        <v>421.4966</v>
      </c>
      <c r="X52" s="1" t="n">
        <v>10.04</v>
      </c>
      <c r="Y52" s="1" t="inlineStr">
        <is>
          <t>002812.SZ</t>
        </is>
      </c>
      <c r="Z52" s="1" t="inlineStr">
        <is>
          <t>恩捷股份</t>
        </is>
      </c>
      <c r="AA52" s="1" t="n">
        <v>406.9923</v>
      </c>
      <c r="AB52" s="1" t="n">
        <v>9.699999999999999</v>
      </c>
    </row>
    <row r="53">
      <c r="A53" s="1" t="inlineStr">
        <is>
          <t>CI005220.CI</t>
        </is>
      </c>
      <c r="B53" s="1" t="inlineStr">
        <is>
          <t>火电指数</t>
        </is>
      </c>
      <c r="C53" s="1" t="n">
        <v>34</v>
      </c>
      <c r="D53" s="10">
        <f>IFERROR((thsiFinD("ths_close_price_index",$A53,$AE$2,"","")/thsiFinD("ths_close_price_index",$A53,$AE$5,"","")-1)*100,"")</f>
        <v/>
      </c>
      <c r="E53" s="10">
        <f>IFERROR((thsiFinD("ths_close_price_index",$A53,$AE$2,"","")/thsiFinD("ths_close_price_index",$A53,$AE$3,"","")-1)*100,"")</f>
        <v/>
      </c>
      <c r="F53" s="10">
        <f>IFERROR((thsiFinD("ths_close_price_index",$A53,$AE$2,"","")/thsiFinD("ths_close_price_index",$A53,$AE$4,"","")-1)*100,"")</f>
        <v/>
      </c>
      <c r="G53" s="11">
        <f>IFERROR(E53/5-F53/20,"")</f>
        <v/>
      </c>
      <c r="H53" s="1" t="n">
        <v>60.14</v>
      </c>
      <c r="I53" s="1" t="inlineStr">
        <is>
          <t>600795.SH</t>
        </is>
      </c>
      <c r="J53" s="1" t="inlineStr">
        <is>
          <t>国电电力</t>
        </is>
      </c>
      <c r="K53" s="1" t="n">
        <v>370.6054</v>
      </c>
      <c r="L53" s="1" t="n">
        <v>15.95</v>
      </c>
      <c r="M53" s="1" t="inlineStr">
        <is>
          <t>600011.SH</t>
        </is>
      </c>
      <c r="N53" s="1" t="inlineStr">
        <is>
          <t>华能国际</t>
        </is>
      </c>
      <c r="O53" s="1" t="n">
        <v>337.8213</v>
      </c>
      <c r="P53" s="1" t="n">
        <v>14.54</v>
      </c>
      <c r="Q53" s="1" t="inlineStr">
        <is>
          <t>601991.SH</t>
        </is>
      </c>
      <c r="R53" s="1" t="inlineStr">
        <is>
          <t>大唐发电</t>
        </is>
      </c>
      <c r="S53" s="1" t="n">
        <v>281.1101</v>
      </c>
      <c r="T53" s="1" t="n">
        <v>12.1</v>
      </c>
      <c r="U53" s="1" t="inlineStr">
        <is>
          <t>600023.SH</t>
        </is>
      </c>
      <c r="V53" s="1" t="inlineStr">
        <is>
          <t>浙能电力</t>
        </is>
      </c>
      <c r="W53" s="1" t="n">
        <v>205.6664</v>
      </c>
      <c r="X53" s="1" t="n">
        <v>8.85</v>
      </c>
      <c r="Y53" s="1" t="inlineStr">
        <is>
          <t>600021.SH</t>
        </is>
      </c>
      <c r="Z53" s="1" t="inlineStr">
        <is>
          <t>上海电力</t>
        </is>
      </c>
      <c r="AA53" s="1" t="n">
        <v>202.0511</v>
      </c>
      <c r="AB53" s="1" t="n">
        <v>8.699999999999999</v>
      </c>
    </row>
    <row r="54">
      <c r="A54" s="1" t="inlineStr">
        <is>
          <t>CI005255.CI</t>
        </is>
      </c>
      <c r="B54" s="1" t="inlineStr">
        <is>
          <t>印染化学品指数</t>
        </is>
      </c>
      <c r="C54" s="1" t="n">
        <v>14</v>
      </c>
      <c r="D54" s="10">
        <f>IFERROR((thsiFinD("ths_close_price_index",$A54,$AE$2,"","")/thsiFinD("ths_close_price_index",$A54,$AE$5,"","")-1)*100,"")</f>
        <v/>
      </c>
      <c r="E54" s="10">
        <f>IFERROR((thsiFinD("ths_close_price_index",$A54,$AE$2,"","")/thsiFinD("ths_close_price_index",$A54,$AE$3,"","")-1)*100,"")</f>
        <v/>
      </c>
      <c r="F54" s="10">
        <f>IFERROR((thsiFinD("ths_close_price_index",$A54,$AE$2,"","")/thsiFinD("ths_close_price_index",$A54,$AE$4,"","")-1)*100,"")</f>
        <v/>
      </c>
      <c r="G54" s="11">
        <f>IFERROR(E54/5-F54/20,"")</f>
        <v/>
      </c>
      <c r="H54" s="1" t="n">
        <v>75.26000000000001</v>
      </c>
      <c r="I54" s="1" t="inlineStr">
        <is>
          <t>600352.SH</t>
        </is>
      </c>
      <c r="J54" s="1" t="inlineStr">
        <is>
          <t>浙江龙盛</t>
        </is>
      </c>
      <c r="K54" s="1" t="n">
        <v>294.0162</v>
      </c>
      <c r="L54" s="1" t="n">
        <v>44.85</v>
      </c>
      <c r="M54" s="1" t="inlineStr">
        <is>
          <t>002440.SZ</t>
        </is>
      </c>
      <c r="N54" s="1" t="inlineStr">
        <is>
          <t>闰土股份</t>
        </is>
      </c>
      <c r="O54" s="1" t="n">
        <v>69.4079</v>
      </c>
      <c r="P54" s="1" t="n">
        <v>10.59</v>
      </c>
      <c r="Q54" s="1" t="inlineStr">
        <is>
          <t>300905.SZ</t>
        </is>
      </c>
      <c r="R54" s="1" t="inlineStr">
        <is>
          <t>宝丽迪</t>
        </is>
      </c>
      <c r="S54" s="1" t="n">
        <v>50.4684</v>
      </c>
      <c r="T54" s="1" t="n">
        <v>7.7</v>
      </c>
      <c r="U54" s="1" t="inlineStr">
        <is>
          <t>300067.SZ</t>
        </is>
      </c>
      <c r="V54" s="1" t="inlineStr">
        <is>
          <t>安诺其</t>
        </is>
      </c>
      <c r="W54" s="1" t="n">
        <v>42.6645</v>
      </c>
      <c r="X54" s="1" t="n">
        <v>6.51</v>
      </c>
      <c r="Y54" s="1" t="inlineStr">
        <is>
          <t>300522.SZ</t>
        </is>
      </c>
      <c r="Z54" s="1" t="inlineStr">
        <is>
          <t>世名科技</t>
        </is>
      </c>
      <c r="AA54" s="1" t="n">
        <v>36.7817</v>
      </c>
      <c r="AB54" s="1" t="n">
        <v>5.61</v>
      </c>
    </row>
    <row r="55">
      <c r="A55" s="1" t="inlineStr">
        <is>
          <t>CI005248.CI</t>
        </is>
      </c>
      <c r="B55" s="1" t="inlineStr">
        <is>
          <t>有机硅指数</t>
        </is>
      </c>
      <c r="C55" s="1" t="n">
        <v>8</v>
      </c>
      <c r="D55" s="10">
        <f>IFERROR((thsiFinD("ths_close_price_index",$A55,$AE$2,"","")/thsiFinD("ths_close_price_index",$A55,$AE$5,"","")-1)*100,"")</f>
        <v/>
      </c>
      <c r="E55" s="10">
        <f>IFERROR((thsiFinD("ths_close_price_index",$A55,$AE$2,"","")/thsiFinD("ths_close_price_index",$A55,$AE$3,"","")-1)*100,"")</f>
        <v/>
      </c>
      <c r="F55" s="10">
        <f>IFERROR((thsiFinD("ths_close_price_index",$A55,$AE$2,"","")/thsiFinD("ths_close_price_index",$A55,$AE$4,"","")-1)*100,"")</f>
        <v/>
      </c>
      <c r="G55" s="11">
        <f>IFERROR(E55/5-F55/20,"")</f>
        <v/>
      </c>
      <c r="H55" s="1" t="n">
        <v>91.44</v>
      </c>
      <c r="I55" s="1" t="inlineStr">
        <is>
          <t>603260.SH</t>
        </is>
      </c>
      <c r="J55" s="1" t="inlineStr">
        <is>
          <t>合盛硅业</t>
        </is>
      </c>
      <c r="K55" s="1" t="n">
        <v>149.158</v>
      </c>
      <c r="L55" s="1" t="n">
        <v>34.01</v>
      </c>
      <c r="M55" s="1" t="inlineStr">
        <is>
          <t>300821.SZ</t>
        </is>
      </c>
      <c r="N55" s="1" t="inlineStr">
        <is>
          <t>东岳硅材</t>
        </is>
      </c>
      <c r="O55" s="1" t="n">
        <v>119.9477</v>
      </c>
      <c r="P55" s="1" t="n">
        <v>27.35</v>
      </c>
      <c r="Q55" s="1" t="inlineStr">
        <is>
          <t>300041.SZ</t>
        </is>
      </c>
      <c r="R55" s="1" t="inlineStr">
        <is>
          <t>回天新材</t>
        </is>
      </c>
      <c r="S55" s="1" t="n">
        <v>72.44629999999999</v>
      </c>
      <c r="T55" s="1" t="n">
        <v>16.52</v>
      </c>
      <c r="U55" s="1" t="inlineStr">
        <is>
          <t>300019.SZ</t>
        </is>
      </c>
      <c r="V55" s="1" t="inlineStr">
        <is>
          <t>硅宝科技</t>
        </is>
      </c>
      <c r="W55" s="1" t="n">
        <v>40.0258</v>
      </c>
      <c r="X55" s="1" t="n">
        <v>9.130000000000001</v>
      </c>
      <c r="Y55" s="1" t="inlineStr">
        <is>
          <t>603155.SH</t>
        </is>
      </c>
      <c r="Z55" s="1" t="inlineStr">
        <is>
          <t>新亚强</t>
        </is>
      </c>
      <c r="AA55" s="1" t="n">
        <v>19.4345</v>
      </c>
      <c r="AB55" s="1" t="n">
        <v>4.43</v>
      </c>
    </row>
    <row r="56">
      <c r="A56" s="1" t="inlineStr">
        <is>
          <t>CI005544.CI</t>
        </is>
      </c>
      <c r="B56" s="1" t="inlineStr">
        <is>
          <t>安防指数</t>
        </is>
      </c>
      <c r="C56" s="1" t="n">
        <v>18</v>
      </c>
      <c r="D56" s="10">
        <f>IFERROR((thsiFinD("ths_close_price_index",$A56,$AE$2,"","")/thsiFinD("ths_close_price_index",$A56,$AE$5,"","")-1)*100,"")</f>
        <v/>
      </c>
      <c r="E56" s="10">
        <f>IFERROR((thsiFinD("ths_close_price_index",$A56,$AE$2,"","")/thsiFinD("ths_close_price_index",$A56,$AE$3,"","")-1)*100,"")</f>
        <v/>
      </c>
      <c r="F56" s="10">
        <f>IFERROR((thsiFinD("ths_close_price_index",$A56,$AE$2,"","")/thsiFinD("ths_close_price_index",$A56,$AE$4,"","")-1)*100,"")</f>
        <v/>
      </c>
      <c r="G56" s="11">
        <f>IFERROR(E56/5-F56/20,"")</f>
        <v/>
      </c>
      <c r="H56" s="1" t="n">
        <v>99.14</v>
      </c>
      <c r="I56" s="1" t="inlineStr">
        <is>
          <t>002415.SZ</t>
        </is>
      </c>
      <c r="J56" s="1" t="inlineStr">
        <is>
          <t>海康威视</t>
        </is>
      </c>
      <c r="K56" s="1" t="n">
        <v>1097.0905</v>
      </c>
      <c r="L56" s="1" t="n">
        <v>71.65000000000001</v>
      </c>
      <c r="M56" s="1" t="inlineStr">
        <is>
          <t>002236.SZ</t>
        </is>
      </c>
      <c r="N56" s="1" t="inlineStr">
        <is>
          <t>大华股份</t>
        </is>
      </c>
      <c r="O56" s="1" t="n">
        <v>347.6508</v>
      </c>
      <c r="P56" s="1" t="n">
        <v>22.7</v>
      </c>
      <c r="Q56" s="1" t="inlineStr">
        <is>
          <t>301042.SZ</t>
        </is>
      </c>
      <c r="R56" s="1" t="inlineStr">
        <is>
          <t>安联锐视</t>
        </is>
      </c>
      <c r="S56" s="1" t="n">
        <v>44.6558</v>
      </c>
      <c r="T56" s="1" t="n">
        <v>2.92</v>
      </c>
      <c r="U56" s="1" t="inlineStr">
        <is>
          <t>688619.SH</t>
        </is>
      </c>
      <c r="V56" s="1" t="inlineStr">
        <is>
          <t>罗普特</t>
        </is>
      </c>
      <c r="W56" s="1" t="n">
        <v>15.4896</v>
      </c>
      <c r="X56" s="1" t="n">
        <v>1.01</v>
      </c>
      <c r="Y56" s="1" t="inlineStr">
        <is>
          <t>002528.SZ</t>
        </is>
      </c>
      <c r="Z56" s="1" t="inlineStr">
        <is>
          <t>*ST英飞</t>
        </is>
      </c>
      <c r="AA56" s="1" t="n">
        <v>13.2399</v>
      </c>
      <c r="AB56" s="1" t="n">
        <v>0.86</v>
      </c>
    </row>
    <row r="57">
      <c r="A57" s="1" t="inlineStr">
        <is>
          <t>CI005545.CI</t>
        </is>
      </c>
      <c r="B57" s="1" t="inlineStr">
        <is>
          <t>LED指数</t>
        </is>
      </c>
      <c r="C57" s="1" t="n">
        <v>26</v>
      </c>
      <c r="D57" s="10">
        <f>IFERROR((thsiFinD("ths_close_price_index",$A57,$AE$2,"","")/thsiFinD("ths_close_price_index",$A57,$AE$5,"","")-1)*100,"")</f>
        <v/>
      </c>
      <c r="E57" s="10">
        <f>IFERROR((thsiFinD("ths_close_price_index",$A57,$AE$2,"","")/thsiFinD("ths_close_price_index",$A57,$AE$3,"","")-1)*100,"")</f>
        <v/>
      </c>
      <c r="F57" s="10">
        <f>IFERROR((thsiFinD("ths_close_price_index",$A57,$AE$2,"","")/thsiFinD("ths_close_price_index",$A57,$AE$4,"","")-1)*100,"")</f>
        <v/>
      </c>
      <c r="G57" s="11">
        <f>IFERROR(E57/5-F57/20,"")</f>
        <v/>
      </c>
      <c r="H57" s="1" t="n">
        <v>81.7</v>
      </c>
      <c r="I57" s="1" t="inlineStr">
        <is>
          <t>600703.SH</t>
        </is>
      </c>
      <c r="J57" s="1" t="inlineStr">
        <is>
          <t>三安光电</t>
        </is>
      </c>
      <c r="K57" s="1" t="n">
        <v>654.6462</v>
      </c>
      <c r="L57" s="1" t="n">
        <v>56.05</v>
      </c>
      <c r="M57" s="1" t="inlineStr">
        <is>
          <t>300303.SZ</t>
        </is>
      </c>
      <c r="N57" s="1" t="inlineStr">
        <is>
          <t>聚飞光电</t>
        </is>
      </c>
      <c r="O57" s="1" t="n">
        <v>111.7501</v>
      </c>
      <c r="P57" s="1" t="n">
        <v>9.57</v>
      </c>
      <c r="Q57" s="1" t="inlineStr">
        <is>
          <t>002654.SZ</t>
        </is>
      </c>
      <c r="R57" s="1" t="inlineStr">
        <is>
          <t>万润科技</t>
        </is>
      </c>
      <c r="S57" s="1" t="n">
        <v>91.4079</v>
      </c>
      <c r="T57" s="1" t="n">
        <v>7.83</v>
      </c>
      <c r="U57" s="1" t="inlineStr">
        <is>
          <t>300102.SZ</t>
        </is>
      </c>
      <c r="V57" s="1" t="inlineStr">
        <is>
          <t>乾照光电</t>
        </is>
      </c>
      <c r="W57" s="1" t="n">
        <v>54.2</v>
      </c>
      <c r="X57" s="1" t="n">
        <v>4.64</v>
      </c>
      <c r="Y57" s="1" t="inlineStr">
        <is>
          <t>300219.SZ</t>
        </is>
      </c>
      <c r="Z57" s="1" t="inlineStr">
        <is>
          <t>鸿利智汇</t>
        </is>
      </c>
      <c r="AA57" s="1" t="n">
        <v>42.1244</v>
      </c>
      <c r="AB57" s="1" t="n">
        <v>3.61</v>
      </c>
    </row>
    <row r="58">
      <c r="A58" s="1" t="inlineStr">
        <is>
          <t>CI005509.CI</t>
        </is>
      </c>
      <c r="B58" s="1" t="inlineStr">
        <is>
          <t>儿童品牌指数</t>
        </is>
      </c>
      <c r="C58" s="1" t="n">
        <v>4</v>
      </c>
      <c r="D58" s="10">
        <f>IFERROR((thsiFinD("ths_close_price_index",$A58,$AE$2,"","")/thsiFinD("ths_close_price_index",$A58,$AE$5,"","")-1)*100,"")</f>
        <v/>
      </c>
      <c r="E58" s="10">
        <f>IFERROR((thsiFinD("ths_close_price_index",$A58,$AE$2,"","")/thsiFinD("ths_close_price_index",$A58,$AE$3,"","")-1)*100,"")</f>
        <v/>
      </c>
      <c r="F58" s="10">
        <f>IFERROR((thsiFinD("ths_close_price_index",$A58,$AE$2,"","")/thsiFinD("ths_close_price_index",$A58,$AE$4,"","")-1)*100,"")</f>
        <v/>
      </c>
      <c r="G58" s="11">
        <f>IFERROR(E58/5-F58/20,"")</f>
        <v/>
      </c>
      <c r="H58" s="1" t="n">
        <v>100.01</v>
      </c>
      <c r="I58" s="1" t="inlineStr">
        <is>
          <t>002875.SZ</t>
        </is>
      </c>
      <c r="J58" s="1" t="inlineStr">
        <is>
          <t>安奈儿</t>
        </is>
      </c>
      <c r="K58" s="1" t="n">
        <v>22.2813</v>
      </c>
      <c r="L58" s="1" t="n">
        <v>33.87</v>
      </c>
      <c r="M58" s="1" t="inlineStr">
        <is>
          <t>603557.SH</t>
        </is>
      </c>
      <c r="N58" s="1" t="inlineStr">
        <is>
          <t>*ST起步</t>
        </is>
      </c>
      <c r="O58" s="1" t="n">
        <v>19.2024</v>
      </c>
      <c r="P58" s="1" t="n">
        <v>29.19</v>
      </c>
      <c r="Q58" s="1" t="inlineStr">
        <is>
          <t>002762.SZ</t>
        </is>
      </c>
      <c r="R58" s="1" t="inlineStr">
        <is>
          <t>金发拉比</t>
        </is>
      </c>
      <c r="S58" s="1" t="n">
        <v>13.8462</v>
      </c>
      <c r="T58" s="1" t="n">
        <v>21.05</v>
      </c>
      <c r="U58" s="1" t="inlineStr">
        <is>
          <t>301276.SZ</t>
        </is>
      </c>
      <c r="V58" s="1" t="inlineStr">
        <is>
          <t>嘉曼服饰</t>
        </is>
      </c>
      <c r="W58" s="1" t="n">
        <v>10.4626</v>
      </c>
      <c r="X58" s="1" t="n">
        <v>15.9</v>
      </c>
    </row>
    <row r="59">
      <c r="A59" s="1" t="inlineStr">
        <is>
          <t>CI005208.CI</t>
        </is>
      </c>
      <c r="B59" s="1" t="inlineStr">
        <is>
          <t>动力煤指数</t>
        </is>
      </c>
      <c r="C59" s="1" t="n">
        <v>15</v>
      </c>
      <c r="D59" s="10">
        <f>IFERROR((thsiFinD("ths_close_price_index",$A59,$AE$2,"","")/thsiFinD("ths_close_price_index",$A59,$AE$5,"","")-1)*100,"")</f>
        <v/>
      </c>
      <c r="E59" s="10">
        <f>IFERROR((thsiFinD("ths_close_price_index",$A59,$AE$2,"","")/thsiFinD("ths_close_price_index",$A59,$AE$3,"","")-1)*100,"")</f>
        <v/>
      </c>
      <c r="F59" s="10">
        <f>IFERROR((thsiFinD("ths_close_price_index",$A59,$AE$2,"","")/thsiFinD("ths_close_price_index",$A59,$AE$4,"","")-1)*100,"")</f>
        <v/>
      </c>
      <c r="G59" s="11">
        <f>IFERROR(E59/5-F59/20,"")</f>
        <v/>
      </c>
      <c r="H59" s="1" t="n">
        <v>89.31999999999999</v>
      </c>
      <c r="I59" s="1" t="inlineStr">
        <is>
          <t>601088.SH</t>
        </is>
      </c>
      <c r="J59" s="1" t="inlineStr">
        <is>
          <t>中国神华</t>
        </is>
      </c>
      <c r="K59" s="1" t="n">
        <v>1106.9618</v>
      </c>
      <c r="L59" s="1" t="n">
        <v>38.78</v>
      </c>
      <c r="M59" s="1" t="inlineStr">
        <is>
          <t>601225.SH</t>
        </is>
      </c>
      <c r="N59" s="1" t="inlineStr">
        <is>
          <t>陕西煤业</t>
        </is>
      </c>
      <c r="O59" s="1" t="n">
        <v>784.9862000000001</v>
      </c>
      <c r="P59" s="1" t="n">
        <v>27.5</v>
      </c>
      <c r="Q59" s="1" t="inlineStr">
        <is>
          <t>600188.SH</t>
        </is>
      </c>
      <c r="R59" s="1" t="inlineStr">
        <is>
          <t>兖矿能源</t>
        </is>
      </c>
      <c r="S59" s="1" t="n">
        <v>310.7359</v>
      </c>
      <c r="T59" s="1" t="n">
        <v>10.89</v>
      </c>
      <c r="U59" s="1" t="inlineStr">
        <is>
          <t>601898.SH</t>
        </is>
      </c>
      <c r="V59" s="1" t="inlineStr">
        <is>
          <t>中煤能源</t>
        </is>
      </c>
      <c r="W59" s="1" t="n">
        <v>210.9585</v>
      </c>
      <c r="X59" s="1" t="n">
        <v>7.39</v>
      </c>
      <c r="Y59" s="1" t="inlineStr">
        <is>
          <t>601001.SH</t>
        </is>
      </c>
      <c r="Z59" s="1" t="inlineStr">
        <is>
          <t>晋控煤业</t>
        </is>
      </c>
      <c r="AA59" s="1" t="n">
        <v>136.0049</v>
      </c>
      <c r="AB59" s="1" t="n">
        <v>4.76</v>
      </c>
    </row>
    <row r="60">
      <c r="A60" s="1" t="inlineStr">
        <is>
          <t>CI005247.CI</t>
        </is>
      </c>
      <c r="B60" s="1" t="inlineStr">
        <is>
          <t>氟化工指数</t>
        </is>
      </c>
      <c r="C60" s="1" t="n">
        <v>8</v>
      </c>
      <c r="D60" s="10">
        <f>IFERROR((thsiFinD("ths_close_price_index",$A60,$AE$2,"","")/thsiFinD("ths_close_price_index",$A60,$AE$5,"","")-1)*100,"")</f>
        <v/>
      </c>
      <c r="E60" s="10">
        <f>IFERROR((thsiFinD("ths_close_price_index",$A60,$AE$2,"","")/thsiFinD("ths_close_price_index",$A60,$AE$3,"","")-1)*100,"")</f>
        <v/>
      </c>
      <c r="F60" s="10">
        <f>IFERROR((thsiFinD("ths_close_price_index",$A60,$AE$2,"","")/thsiFinD("ths_close_price_index",$A60,$AE$4,"","")-1)*100,"")</f>
        <v/>
      </c>
      <c r="G60" s="11">
        <f>IFERROR(E60/5-F60/20,"")</f>
        <v/>
      </c>
      <c r="H60" s="1" t="n">
        <v>92.05</v>
      </c>
      <c r="I60" s="1" t="inlineStr">
        <is>
          <t>600160.SH</t>
        </is>
      </c>
      <c r="J60" s="1" t="inlineStr">
        <is>
          <t>巨化股份</t>
        </is>
      </c>
      <c r="K60" s="1" t="n">
        <v>608.1351</v>
      </c>
      <c r="L60" s="1" t="n">
        <v>39.9</v>
      </c>
      <c r="M60" s="1" t="inlineStr">
        <is>
          <t>002407.SZ</t>
        </is>
      </c>
      <c r="N60" s="1" t="inlineStr">
        <is>
          <t>多氟多</t>
        </is>
      </c>
      <c r="O60" s="1" t="n">
        <v>431.4279</v>
      </c>
      <c r="P60" s="1" t="n">
        <v>28.31</v>
      </c>
      <c r="Q60" s="1" t="inlineStr">
        <is>
          <t>603379.SH</t>
        </is>
      </c>
      <c r="R60" s="1" t="inlineStr">
        <is>
          <t>三美股份</t>
        </is>
      </c>
      <c r="S60" s="1" t="n">
        <v>173.9406</v>
      </c>
      <c r="T60" s="1" t="n">
        <v>11.41</v>
      </c>
      <c r="U60" s="1" t="inlineStr">
        <is>
          <t>605020.SH</t>
        </is>
      </c>
      <c r="V60" s="1" t="inlineStr">
        <is>
          <t>永和股份</t>
        </is>
      </c>
      <c r="W60" s="1" t="n">
        <v>110.6942</v>
      </c>
      <c r="X60" s="1" t="n">
        <v>7.26</v>
      </c>
      <c r="Y60" s="1" t="inlineStr">
        <is>
          <t>603505.SH</t>
        </is>
      </c>
      <c r="Z60" s="1" t="inlineStr">
        <is>
          <t>金石资源</t>
        </is>
      </c>
      <c r="AA60" s="1" t="n">
        <v>78.85760000000001</v>
      </c>
      <c r="AB60" s="1" t="n">
        <v>5.17</v>
      </c>
    </row>
    <row r="61">
      <c r="A61" s="1" t="inlineStr">
        <is>
          <t>CI005549.CI</t>
        </is>
      </c>
      <c r="B61" s="1" t="inlineStr">
        <is>
          <t>消费电子设备指数</t>
        </is>
      </c>
      <c r="C61" s="1" t="n">
        <v>8</v>
      </c>
      <c r="D61" s="10">
        <f>IFERROR((thsiFinD("ths_close_price_index",$A61,$AE$2,"","")/thsiFinD("ths_close_price_index",$A61,$AE$5,"","")-1)*100,"")</f>
        <v/>
      </c>
      <c r="E61" s="10">
        <f>IFERROR((thsiFinD("ths_close_price_index",$A61,$AE$2,"","")/thsiFinD("ths_close_price_index",$A61,$AE$3,"","")-1)*100,"")</f>
        <v/>
      </c>
      <c r="F61" s="10">
        <f>IFERROR((thsiFinD("ths_close_price_index",$A61,$AE$2,"","")/thsiFinD("ths_close_price_index",$A61,$AE$4,"","")-1)*100,"")</f>
        <v/>
      </c>
      <c r="G61" s="11">
        <f>IFERROR(E61/5-F61/20,"")</f>
        <v/>
      </c>
      <c r="H61" s="1" t="n">
        <v>88.76000000000001</v>
      </c>
      <c r="I61" s="1" t="inlineStr">
        <is>
          <t>603296.SH</t>
        </is>
      </c>
      <c r="J61" s="1" t="inlineStr">
        <is>
          <t>华勤技术</t>
        </is>
      </c>
      <c r="K61" s="1" t="n">
        <v>410.7435</v>
      </c>
      <c r="L61" s="1" t="n">
        <v>34.53</v>
      </c>
      <c r="M61" s="1" t="inlineStr">
        <is>
          <t>688036.SH</t>
        </is>
      </c>
      <c r="N61" s="1" t="inlineStr">
        <is>
          <t>传音控股</t>
        </is>
      </c>
      <c r="O61" s="1" t="n">
        <v>307.8377</v>
      </c>
      <c r="P61" s="1" t="n">
        <v>25.88</v>
      </c>
      <c r="Q61" s="1" t="inlineStr">
        <is>
          <t>688775.SH</t>
        </is>
      </c>
      <c r="R61" s="1" t="inlineStr">
        <is>
          <t>影石创新</t>
        </is>
      </c>
      <c r="S61" s="1" t="n">
        <v>209.4546</v>
      </c>
      <c r="T61" s="1" t="n">
        <v>17.61</v>
      </c>
      <c r="U61" s="1" t="inlineStr">
        <is>
          <t>301606.SZ</t>
        </is>
      </c>
      <c r="V61" s="1" t="inlineStr">
        <is>
          <t>绿联科技</t>
        </is>
      </c>
      <c r="W61" s="1" t="n">
        <v>66.7115</v>
      </c>
      <c r="X61" s="1" t="n">
        <v>5.61</v>
      </c>
      <c r="Y61" s="1" t="inlineStr">
        <is>
          <t>688383.SH</t>
        </is>
      </c>
      <c r="Z61" s="1" t="inlineStr">
        <is>
          <t>新益昌</t>
        </is>
      </c>
      <c r="AA61" s="1" t="n">
        <v>61.0298</v>
      </c>
      <c r="AB61" s="1" t="n">
        <v>5.13</v>
      </c>
    </row>
    <row r="62">
      <c r="A62" s="1" t="inlineStr">
        <is>
          <t>CI005357.CI</t>
        </is>
      </c>
      <c r="B62" s="1" t="inlineStr">
        <is>
          <t>航运指数</t>
        </is>
      </c>
      <c r="C62" s="1" t="n">
        <v>17</v>
      </c>
      <c r="D62" s="10">
        <f>IFERROR((thsiFinD("ths_close_price_index",$A62,$AE$2,"","")/thsiFinD("ths_close_price_index",$A62,$AE$5,"","")-1)*100,"")</f>
        <v/>
      </c>
      <c r="E62" s="10">
        <f>IFERROR((thsiFinD("ths_close_price_index",$A62,$AE$2,"","")/thsiFinD("ths_close_price_index",$A62,$AE$3,"","")-1)*100,"")</f>
        <v/>
      </c>
      <c r="F62" s="10">
        <f>IFERROR((thsiFinD("ths_close_price_index",$A62,$AE$2,"","")/thsiFinD("ths_close_price_index",$A62,$AE$4,"","")-1)*100,"")</f>
        <v/>
      </c>
      <c r="G62" s="11">
        <f>IFERROR(E62/5-F62/20,"")</f>
        <v/>
      </c>
      <c r="H62" s="1" t="n">
        <v>82.06</v>
      </c>
      <c r="I62" s="1" t="inlineStr">
        <is>
          <t>601919.SH</t>
        </is>
      </c>
      <c r="J62" s="1" t="inlineStr">
        <is>
          <t>中远海控</t>
        </is>
      </c>
      <c r="K62" s="1" t="n">
        <v>724.7891</v>
      </c>
      <c r="L62" s="1" t="n">
        <v>33.24</v>
      </c>
      <c r="M62" s="1" t="inlineStr">
        <is>
          <t>601872.SH</t>
        </is>
      </c>
      <c r="N62" s="1" t="inlineStr">
        <is>
          <t>招商轮船</t>
        </is>
      </c>
      <c r="O62" s="1" t="n">
        <v>494.2193</v>
      </c>
      <c r="P62" s="1" t="n">
        <v>22.67</v>
      </c>
      <c r="Q62" s="1" t="inlineStr">
        <is>
          <t>600026.SH</t>
        </is>
      </c>
      <c r="R62" s="1" t="inlineStr">
        <is>
          <t>中远海能</t>
        </is>
      </c>
      <c r="S62" s="1" t="n">
        <v>329.4191</v>
      </c>
      <c r="T62" s="1" t="n">
        <v>15.11</v>
      </c>
      <c r="U62" s="1" t="inlineStr">
        <is>
          <t>601975.SH</t>
        </is>
      </c>
      <c r="V62" s="1" t="inlineStr">
        <is>
          <t>招商南油</t>
        </is>
      </c>
      <c r="W62" s="1" t="n">
        <v>147.7589</v>
      </c>
      <c r="X62" s="1" t="n">
        <v>6.78</v>
      </c>
      <c r="Y62" s="1" t="inlineStr">
        <is>
          <t>600428.SH</t>
        </is>
      </c>
      <c r="Z62" s="1" t="inlineStr">
        <is>
          <t>中远海特</t>
        </is>
      </c>
      <c r="AA62" s="1" t="n">
        <v>92.8258</v>
      </c>
      <c r="AB62" s="1" t="n">
        <v>4.26</v>
      </c>
    </row>
    <row r="63">
      <c r="A63" s="1" t="inlineStr">
        <is>
          <t>CI005210.CI</t>
        </is>
      </c>
      <c r="B63" s="1" t="inlineStr">
        <is>
          <t>炼焦煤指数</t>
        </is>
      </c>
      <c r="C63" s="1" t="n">
        <v>8</v>
      </c>
      <c r="D63" s="10">
        <f>IFERROR((thsiFinD("ths_close_price_index",$A63,$AE$2,"","")/thsiFinD("ths_close_price_index",$A63,$AE$5,"","")-1)*100,"")</f>
        <v/>
      </c>
      <c r="E63" s="10">
        <f>IFERROR((thsiFinD("ths_close_price_index",$A63,$AE$2,"","")/thsiFinD("ths_close_price_index",$A63,$AE$3,"","")-1)*100,"")</f>
        <v/>
      </c>
      <c r="F63" s="10">
        <f>IFERROR((thsiFinD("ths_close_price_index",$A63,$AE$2,"","")/thsiFinD("ths_close_price_index",$A63,$AE$4,"","")-1)*100,"")</f>
        <v/>
      </c>
      <c r="G63" s="11">
        <f>IFERROR(E63/5-F63/20,"")</f>
        <v/>
      </c>
      <c r="H63" s="1" t="n">
        <v>87.89</v>
      </c>
      <c r="I63" s="1" t="inlineStr">
        <is>
          <t>600157.SH</t>
        </is>
      </c>
      <c r="J63" s="1" t="inlineStr">
        <is>
          <t>永泰能源</t>
        </is>
      </c>
      <c r="K63" s="1" t="n">
        <v>297.1009</v>
      </c>
      <c r="L63" s="1" t="n">
        <v>28.3</v>
      </c>
      <c r="M63" s="1" t="inlineStr">
        <is>
          <t>601699.SH</t>
        </is>
      </c>
      <c r="N63" s="1" t="inlineStr">
        <is>
          <t>潞安环能</t>
        </is>
      </c>
      <c r="O63" s="1" t="n">
        <v>191.5945</v>
      </c>
      <c r="P63" s="1" t="n">
        <v>18.25</v>
      </c>
      <c r="Q63" s="1" t="inlineStr">
        <is>
          <t>600985.SH</t>
        </is>
      </c>
      <c r="R63" s="1" t="inlineStr">
        <is>
          <t>淮北矿业</t>
        </is>
      </c>
      <c r="S63" s="1" t="n">
        <v>164.7008</v>
      </c>
      <c r="T63" s="1" t="n">
        <v>15.69</v>
      </c>
      <c r="U63" s="1" t="inlineStr">
        <is>
          <t>000983.SZ</t>
        </is>
      </c>
      <c r="V63" s="1" t="inlineStr">
        <is>
          <t>山西焦煤</t>
        </is>
      </c>
      <c r="W63" s="1" t="n">
        <v>159.5629</v>
      </c>
      <c r="X63" s="1" t="n">
        <v>15.2</v>
      </c>
      <c r="Y63" s="1" t="inlineStr">
        <is>
          <t>601666.SH</t>
        </is>
      </c>
      <c r="Z63" s="1" t="inlineStr">
        <is>
          <t>平煤股份</t>
        </is>
      </c>
      <c r="AA63" s="1" t="n">
        <v>109.6721</v>
      </c>
      <c r="AB63" s="1" t="n">
        <v>10.45</v>
      </c>
    </row>
    <row r="64">
      <c r="A64" s="1" t="inlineStr">
        <is>
          <t>CI005482.CI</t>
        </is>
      </c>
      <c r="B64" s="1" t="inlineStr">
        <is>
          <t>电池综合服务指数</t>
        </is>
      </c>
      <c r="C64" s="1" t="n">
        <v>7</v>
      </c>
      <c r="D64" s="10">
        <f>IFERROR((thsiFinD("ths_close_price_index",$A64,$AE$2,"","")/thsiFinD("ths_close_price_index",$A64,$AE$5,"","")-1)*100,"")</f>
        <v/>
      </c>
      <c r="E64" s="10">
        <f>IFERROR((thsiFinD("ths_close_price_index",$A64,$AE$2,"","")/thsiFinD("ths_close_price_index",$A64,$AE$3,"","")-1)*100,"")</f>
        <v/>
      </c>
      <c r="F64" s="10">
        <f>IFERROR((thsiFinD("ths_close_price_index",$A64,$AE$2,"","")/thsiFinD("ths_close_price_index",$A64,$AE$4,"","")-1)*100,"")</f>
        <v/>
      </c>
      <c r="G64" s="11">
        <f>IFERROR(E64/5-F64/20,"")</f>
        <v/>
      </c>
      <c r="H64" s="1" t="n">
        <v>98.59999999999999</v>
      </c>
      <c r="I64" s="1" t="inlineStr">
        <is>
          <t>002340.SZ</t>
        </is>
      </c>
      <c r="J64" s="1" t="inlineStr">
        <is>
          <t>格林美</t>
        </is>
      </c>
      <c r="K64" s="1" t="n">
        <v>365.8796</v>
      </c>
      <c r="L64" s="1" t="n">
        <v>62.93</v>
      </c>
      <c r="M64" s="1" t="inlineStr">
        <is>
          <t>300693.SZ</t>
        </is>
      </c>
      <c r="N64" s="1" t="inlineStr">
        <is>
          <t>盛弘股份</t>
        </is>
      </c>
      <c r="O64" s="1" t="n">
        <v>125.3493</v>
      </c>
      <c r="P64" s="1" t="n">
        <v>21.56</v>
      </c>
      <c r="Q64" s="1" t="inlineStr">
        <is>
          <t>300491.SZ</t>
        </is>
      </c>
      <c r="R64" s="1" t="inlineStr">
        <is>
          <t>通合科技</t>
        </is>
      </c>
      <c r="S64" s="1" t="n">
        <v>52.2759</v>
      </c>
      <c r="T64" s="1" t="n">
        <v>8.99</v>
      </c>
      <c r="U64" s="1" t="inlineStr">
        <is>
          <t>300510.SZ</t>
        </is>
      </c>
      <c r="V64" s="1" t="inlineStr">
        <is>
          <t>金冠股份</t>
        </is>
      </c>
      <c r="W64" s="1" t="n">
        <v>20.4524</v>
      </c>
      <c r="X64" s="1" t="n">
        <v>3.52</v>
      </c>
      <c r="Y64" s="1" t="inlineStr">
        <is>
          <t>300713.SZ</t>
        </is>
      </c>
      <c r="Z64" s="1" t="inlineStr">
        <is>
          <t>英可瑞</t>
        </is>
      </c>
      <c r="AA64" s="1" t="n">
        <v>9.3264</v>
      </c>
      <c r="AB64" s="1" t="n">
        <v>1.6</v>
      </c>
    </row>
    <row r="65">
      <c r="A65" s="1" t="inlineStr">
        <is>
          <t>CI005436.CI</t>
        </is>
      </c>
      <c r="B65" s="1" t="inlineStr">
        <is>
          <t>建筑装修Ⅲ指数</t>
        </is>
      </c>
      <c r="C65" s="1" t="n">
        <v>27</v>
      </c>
      <c r="D65" s="10">
        <f>IFERROR((thsiFinD("ths_close_price_index",$A65,$AE$2,"","")/thsiFinD("ths_close_price_index",$A65,$AE$5,"","")-1)*100,"")</f>
        <v/>
      </c>
      <c r="E65" s="10">
        <f>IFERROR((thsiFinD("ths_close_price_index",$A65,$AE$2,"","")/thsiFinD("ths_close_price_index",$A65,$AE$3,"","")-1)*100,"")</f>
        <v/>
      </c>
      <c r="F65" s="10">
        <f>IFERROR((thsiFinD("ths_close_price_index",$A65,$AE$2,"","")/thsiFinD("ths_close_price_index",$A65,$AE$4,"","")-1)*100,"")</f>
        <v/>
      </c>
      <c r="G65" s="11">
        <f>IFERROR(E65/5-F65/20,"")</f>
        <v/>
      </c>
      <c r="H65" s="1" t="n">
        <v>44.89</v>
      </c>
      <c r="I65" s="1" t="inlineStr">
        <is>
          <t>002081.SZ</t>
        </is>
      </c>
      <c r="J65" s="1" t="inlineStr">
        <is>
          <t>金螳螂</t>
        </is>
      </c>
      <c r="K65" s="1" t="n">
        <v>63.1568</v>
      </c>
      <c r="L65" s="1" t="n">
        <v>12.47</v>
      </c>
      <c r="M65" s="1" t="inlineStr">
        <is>
          <t>002047.SZ</t>
        </is>
      </c>
      <c r="N65" s="1" t="inlineStr">
        <is>
          <t>宝鹰股份</t>
        </is>
      </c>
      <c r="O65" s="1" t="n">
        <v>44.8026</v>
      </c>
      <c r="P65" s="1" t="n">
        <v>8.84</v>
      </c>
      <c r="Q65" s="1" t="inlineStr">
        <is>
          <t>600234.SH</t>
        </is>
      </c>
      <c r="R65" s="1" t="inlineStr">
        <is>
          <t>科新发展</t>
        </is>
      </c>
      <c r="S65" s="1" t="n">
        <v>42.1723</v>
      </c>
      <c r="T65" s="1" t="n">
        <v>8.33</v>
      </c>
      <c r="U65" s="1" t="inlineStr">
        <is>
          <t>300668.SZ</t>
        </is>
      </c>
      <c r="V65" s="1" t="inlineStr">
        <is>
          <t>杰恩股份</t>
        </is>
      </c>
      <c r="W65" s="1" t="n">
        <v>39.3722</v>
      </c>
      <c r="X65" s="1" t="n">
        <v>7.77</v>
      </c>
      <c r="Y65" s="1" t="inlineStr">
        <is>
          <t>002989.SZ</t>
        </is>
      </c>
      <c r="Z65" s="1" t="inlineStr">
        <is>
          <t>中天精装</t>
        </is>
      </c>
      <c r="AA65" s="1" t="n">
        <v>37.908</v>
      </c>
      <c r="AB65" s="1" t="n">
        <v>7.48</v>
      </c>
    </row>
    <row r="66">
      <c r="A66" s="1" t="inlineStr">
        <is>
          <t>CI005478.CI</t>
        </is>
      </c>
      <c r="B66" s="1" t="inlineStr">
        <is>
          <t>综合能源设备指数</t>
        </is>
      </c>
      <c r="C66" s="1" t="n">
        <v>16</v>
      </c>
      <c r="D66" s="10">
        <f>IFERROR((thsiFinD("ths_close_price_index",$A66,$AE$2,"","")/thsiFinD("ths_close_price_index",$A66,$AE$5,"","")-1)*100,"")</f>
        <v/>
      </c>
      <c r="E66" s="10">
        <f>IFERROR((thsiFinD("ths_close_price_index",$A66,$AE$2,"","")/thsiFinD("ths_close_price_index",$A66,$AE$3,"","")-1)*100,"")</f>
        <v/>
      </c>
      <c r="F66" s="10">
        <f>IFERROR((thsiFinD("ths_close_price_index",$A66,$AE$2,"","")/thsiFinD("ths_close_price_index",$A66,$AE$4,"","")-1)*100,"")</f>
        <v/>
      </c>
      <c r="G66" s="11">
        <f>IFERROR(E66/5-F66/20,"")</f>
        <v/>
      </c>
      <c r="H66" s="1" t="n">
        <v>80.93000000000001</v>
      </c>
      <c r="I66" s="1" t="inlineStr">
        <is>
          <t>601727.SH</t>
        </is>
      </c>
      <c r="J66" s="1" t="inlineStr">
        <is>
          <t>上海电气</t>
        </is>
      </c>
      <c r="K66" s="1" t="n">
        <v>462.4112</v>
      </c>
      <c r="L66" s="1" t="n">
        <v>25.74</v>
      </c>
      <c r="M66" s="1" t="inlineStr">
        <is>
          <t>600875.SH</t>
        </is>
      </c>
      <c r="N66" s="1" t="inlineStr">
        <is>
          <t>东方电气</t>
        </is>
      </c>
      <c r="O66" s="1" t="n">
        <v>420.6979</v>
      </c>
      <c r="P66" s="1" t="n">
        <v>23.41</v>
      </c>
      <c r="Q66" s="1" t="inlineStr">
        <is>
          <t>600482.SH</t>
        </is>
      </c>
      <c r="R66" s="1" t="inlineStr">
        <is>
          <t>中国动力</t>
        </is>
      </c>
      <c r="S66" s="1" t="n">
        <v>369.4092</v>
      </c>
      <c r="T66" s="1" t="n">
        <v>20.56</v>
      </c>
      <c r="U66" s="1" t="inlineStr">
        <is>
          <t>002266.SZ</t>
        </is>
      </c>
      <c r="V66" s="1" t="inlineStr">
        <is>
          <t>浙富控股</t>
        </is>
      </c>
      <c r="W66" s="1" t="n">
        <v>142.3381</v>
      </c>
      <c r="X66" s="1" t="n">
        <v>7.92</v>
      </c>
      <c r="Y66" s="1" t="inlineStr">
        <is>
          <t>002534.SZ</t>
        </is>
      </c>
      <c r="Z66" s="1" t="inlineStr">
        <is>
          <t>西子洁能</t>
        </is>
      </c>
      <c r="AA66" s="1" t="n">
        <v>59.341</v>
      </c>
      <c r="AB66" s="1" t="n">
        <v>3.3</v>
      </c>
    </row>
    <row r="67">
      <c r="A67" s="1" t="inlineStr">
        <is>
          <t>CI005466.CI</t>
        </is>
      </c>
      <c r="B67" s="1" t="inlineStr">
        <is>
          <t>工业机器人及工控系统指数</t>
        </is>
      </c>
      <c r="C67" s="1" t="n">
        <v>26</v>
      </c>
      <c r="D67" s="10">
        <f>IFERROR((thsiFinD("ths_close_price_index",$A67,$AE$2,"","")/thsiFinD("ths_close_price_index",$A67,$AE$5,"","")-1)*100,"")</f>
        <v/>
      </c>
      <c r="E67" s="10">
        <f>IFERROR((thsiFinD("ths_close_price_index",$A67,$AE$2,"","")/thsiFinD("ths_close_price_index",$A67,$AE$3,"","")-1)*100,"")</f>
        <v/>
      </c>
      <c r="F67" s="10">
        <f>IFERROR((thsiFinD("ths_close_price_index",$A67,$AE$2,"","")/thsiFinD("ths_close_price_index",$A67,$AE$4,"","")-1)*100,"")</f>
        <v/>
      </c>
      <c r="G67" s="11">
        <f>IFERROR(E67/5-F67/20,"")</f>
        <v/>
      </c>
      <c r="H67" s="1" t="n">
        <v>44.34</v>
      </c>
      <c r="I67" s="1" t="inlineStr">
        <is>
          <t>300024.SZ</t>
        </is>
      </c>
      <c r="J67" s="1" t="inlineStr">
        <is>
          <t>机器人</t>
        </is>
      </c>
      <c r="K67" s="1" t="n">
        <v>201.0465</v>
      </c>
      <c r="L67" s="1" t="n">
        <v>12.66</v>
      </c>
      <c r="M67" s="1" t="inlineStr">
        <is>
          <t>002747.SZ</t>
        </is>
      </c>
      <c r="N67" s="1" t="inlineStr">
        <is>
          <t>埃斯顿</t>
        </is>
      </c>
      <c r="O67" s="1" t="n">
        <v>185.3913</v>
      </c>
      <c r="P67" s="1" t="n">
        <v>11.67</v>
      </c>
      <c r="Q67" s="1" t="inlineStr">
        <is>
          <t>300607.SZ</t>
        </is>
      </c>
      <c r="R67" s="1" t="inlineStr">
        <is>
          <t>拓斯达</t>
        </is>
      </c>
      <c r="S67" s="1" t="n">
        <v>116.5892</v>
      </c>
      <c r="T67" s="1" t="n">
        <v>7.34</v>
      </c>
      <c r="U67" s="1" t="inlineStr">
        <is>
          <t>688090.SH</t>
        </is>
      </c>
      <c r="V67" s="1" t="inlineStr">
        <is>
          <t>瑞松科技</t>
        </is>
      </c>
      <c r="W67" s="1" t="n">
        <v>107.327</v>
      </c>
      <c r="X67" s="1" t="n">
        <v>6.76</v>
      </c>
      <c r="Y67" s="1" t="inlineStr">
        <is>
          <t>301510.SZ</t>
        </is>
      </c>
      <c r="Z67" s="1" t="inlineStr">
        <is>
          <t>固高科技</t>
        </is>
      </c>
      <c r="AA67" s="1" t="n">
        <v>93.8813</v>
      </c>
      <c r="AB67" s="1" t="n">
        <v>5.91</v>
      </c>
    </row>
    <row r="68">
      <c r="A68" s="1" t="inlineStr">
        <is>
          <t>CI005431.CI</t>
        </is>
      </c>
      <c r="B68" s="1" t="inlineStr">
        <is>
          <t>橡胶制品指数</t>
        </is>
      </c>
      <c r="C68" s="1" t="n">
        <v>12</v>
      </c>
      <c r="D68" s="10">
        <f>IFERROR((thsiFinD("ths_close_price_index",$A68,$AE$2,"","")/thsiFinD("ths_close_price_index",$A68,$AE$5,"","")-1)*100,"")</f>
        <v/>
      </c>
      <c r="E68" s="10">
        <f>IFERROR((thsiFinD("ths_close_price_index",$A68,$AE$2,"","")/thsiFinD("ths_close_price_index",$A68,$AE$3,"","")-1)*100,"")</f>
        <v/>
      </c>
      <c r="F68" s="10">
        <f>IFERROR((thsiFinD("ths_close_price_index",$A68,$AE$2,"","")/thsiFinD("ths_close_price_index",$A68,$AE$4,"","")-1)*100,"")</f>
        <v/>
      </c>
      <c r="G68" s="11">
        <f>IFERROR(E68/5-F68/20,"")</f>
        <v/>
      </c>
      <c r="H68" s="1" t="n">
        <v>67.95</v>
      </c>
      <c r="I68" s="1" t="inlineStr">
        <is>
          <t>600500.SH</t>
        </is>
      </c>
      <c r="J68" s="1" t="inlineStr">
        <is>
          <t>中化国际</t>
        </is>
      </c>
      <c r="K68" s="1" t="n">
        <v>143.6425</v>
      </c>
      <c r="L68" s="1" t="n">
        <v>22.41</v>
      </c>
      <c r="M68" s="1" t="inlineStr">
        <is>
          <t>300731.SZ</t>
        </is>
      </c>
      <c r="N68" s="1" t="inlineStr">
        <is>
          <t>科创新源</t>
        </is>
      </c>
      <c r="O68" s="1" t="n">
        <v>82.7664</v>
      </c>
      <c r="P68" s="1" t="n">
        <v>12.91</v>
      </c>
      <c r="Q68" s="1" t="inlineStr">
        <is>
          <t>002984.SZ</t>
        </is>
      </c>
      <c r="R68" s="1" t="inlineStr">
        <is>
          <t>森麒麟</t>
        </is>
      </c>
      <c r="S68" s="1" t="n">
        <v>79.7153</v>
      </c>
      <c r="T68" s="1" t="n">
        <v>12.44</v>
      </c>
      <c r="U68" s="1" t="inlineStr">
        <is>
          <t>600458.SH</t>
        </is>
      </c>
      <c r="V68" s="1" t="inlineStr">
        <is>
          <t>时代新材</t>
        </is>
      </c>
      <c r="W68" s="1" t="n">
        <v>76.2931</v>
      </c>
      <c r="X68" s="1" t="n">
        <v>11.9</v>
      </c>
      <c r="Y68" s="1" t="inlineStr">
        <is>
          <t>300547.SZ</t>
        </is>
      </c>
      <c r="Z68" s="1" t="inlineStr">
        <is>
          <t>川环科技</t>
        </is>
      </c>
      <c r="AA68" s="1" t="n">
        <v>53.1391</v>
      </c>
      <c r="AB68" s="1" t="n">
        <v>8.289999999999999</v>
      </c>
    </row>
    <row r="69">
      <c r="A69" s="1" t="inlineStr">
        <is>
          <t>CI005280.CI</t>
        </is>
      </c>
      <c r="B69" s="1" t="inlineStr">
        <is>
          <t>金属制品Ⅲ指数</t>
        </is>
      </c>
      <c r="C69" s="1" t="n">
        <v>27</v>
      </c>
      <c r="D69" s="10">
        <f>IFERROR((thsiFinD("ths_close_price_index",$A69,$AE$2,"","")/thsiFinD("ths_close_price_index",$A69,$AE$5,"","")-1)*100,"")</f>
        <v/>
      </c>
      <c r="E69" s="10">
        <f>IFERROR((thsiFinD("ths_close_price_index",$A69,$AE$2,"","")/thsiFinD("ths_close_price_index",$A69,$AE$3,"","")-1)*100,"")</f>
        <v/>
      </c>
      <c r="F69" s="10">
        <f>IFERROR((thsiFinD("ths_close_price_index",$A69,$AE$2,"","")/thsiFinD("ths_close_price_index",$A69,$AE$4,"","")-1)*100,"")</f>
        <v/>
      </c>
      <c r="G69" s="11">
        <f>IFERROR(E69/5-F69/20,"")</f>
        <v/>
      </c>
      <c r="H69" s="1" t="n">
        <v>70.98999999999999</v>
      </c>
      <c r="I69" s="1" t="inlineStr">
        <is>
          <t>002850.SZ</t>
        </is>
      </c>
      <c r="J69" s="1" t="inlineStr">
        <is>
          <t>科达利</t>
        </is>
      </c>
      <c r="K69" s="1" t="n">
        <v>347.9393</v>
      </c>
      <c r="L69" s="1" t="n">
        <v>27.74</v>
      </c>
      <c r="M69" s="1" t="inlineStr">
        <is>
          <t>600114.SH</t>
        </is>
      </c>
      <c r="N69" s="1" t="inlineStr">
        <is>
          <t>东睦股份</t>
        </is>
      </c>
      <c r="O69" s="1" t="n">
        <v>199.4459</v>
      </c>
      <c r="P69" s="1" t="n">
        <v>15.9</v>
      </c>
      <c r="Q69" s="1" t="inlineStr">
        <is>
          <t>300953.SZ</t>
        </is>
      </c>
      <c r="R69" s="1" t="inlineStr">
        <is>
          <t>震裕科技</t>
        </is>
      </c>
      <c r="S69" s="1" t="n">
        <v>184.6541</v>
      </c>
      <c r="T69" s="1" t="n">
        <v>14.72</v>
      </c>
      <c r="U69" s="1" t="inlineStr">
        <is>
          <t>603626.SH</t>
        </is>
      </c>
      <c r="V69" s="1" t="inlineStr">
        <is>
          <t>科森科技</t>
        </is>
      </c>
      <c r="W69" s="1" t="n">
        <v>81.4247</v>
      </c>
      <c r="X69" s="1" t="n">
        <v>6.49</v>
      </c>
      <c r="Y69" s="1" t="inlineStr">
        <is>
          <t>600361.SH</t>
        </is>
      </c>
      <c r="Z69" s="1" t="inlineStr">
        <is>
          <t>创新新材</t>
        </is>
      </c>
      <c r="AA69" s="1" t="n">
        <v>77.0711</v>
      </c>
      <c r="AB69" s="1" t="n">
        <v>6.14</v>
      </c>
    </row>
    <row r="70">
      <c r="A70" s="1" t="inlineStr">
        <is>
          <t>CI005446.CI</t>
        </is>
      </c>
      <c r="B70" s="1" t="inlineStr">
        <is>
          <t>其他包装指数</t>
        </is>
      </c>
      <c r="C70" s="1" t="n">
        <v>19</v>
      </c>
      <c r="D70" s="10">
        <f>IFERROR((thsiFinD("ths_close_price_index",$A70,$AE$2,"","")/thsiFinD("ths_close_price_index",$A70,$AE$5,"","")-1)*100,"")</f>
        <v/>
      </c>
      <c r="E70" s="10">
        <f>IFERROR((thsiFinD("ths_close_price_index",$A70,$AE$2,"","")/thsiFinD("ths_close_price_index",$A70,$AE$3,"","")-1)*100,"")</f>
        <v/>
      </c>
      <c r="F70" s="10">
        <f>IFERROR((thsiFinD("ths_close_price_index",$A70,$AE$2,"","")/thsiFinD("ths_close_price_index",$A70,$AE$4,"","")-1)*100,"")</f>
        <v/>
      </c>
      <c r="G70" s="11">
        <f>IFERROR(E70/5-F70/20,"")</f>
        <v/>
      </c>
      <c r="H70" s="1" t="n">
        <v>86.90000000000001</v>
      </c>
      <c r="I70" s="1" t="inlineStr">
        <is>
          <t>600210.SH</t>
        </is>
      </c>
      <c r="J70" s="1" t="inlineStr">
        <is>
          <t>紫江企业</t>
        </is>
      </c>
      <c r="K70" s="1" t="n">
        <v>73.0274</v>
      </c>
      <c r="L70" s="1" t="n">
        <v>22.53</v>
      </c>
      <c r="M70" s="1" t="inlineStr">
        <is>
          <t>300057.SZ</t>
        </is>
      </c>
      <c r="N70" s="1" t="inlineStr">
        <is>
          <t>万顺新材</t>
        </is>
      </c>
      <c r="O70" s="1" t="n">
        <v>69.62739999999999</v>
      </c>
      <c r="P70" s="1" t="n">
        <v>21.48</v>
      </c>
      <c r="Q70" s="1" t="inlineStr">
        <is>
          <t>003018.SZ</t>
        </is>
      </c>
      <c r="R70" s="1" t="inlineStr">
        <is>
          <t>金富科技</t>
        </is>
      </c>
      <c r="S70" s="1" t="n">
        <v>50.9651</v>
      </c>
      <c r="T70" s="1" t="n">
        <v>15.72</v>
      </c>
      <c r="U70" s="1" t="inlineStr">
        <is>
          <t>002735.SZ</t>
        </is>
      </c>
      <c r="V70" s="1" t="inlineStr">
        <is>
          <t>王子新材</t>
        </is>
      </c>
      <c r="W70" s="1" t="n">
        <v>50.895</v>
      </c>
      <c r="X70" s="1" t="n">
        <v>15.7</v>
      </c>
      <c r="Y70" s="1" t="inlineStr">
        <is>
          <t>000659.SZ</t>
        </is>
      </c>
      <c r="Z70" s="1" t="inlineStr">
        <is>
          <t>珠海中富</t>
        </is>
      </c>
      <c r="AA70" s="1" t="n">
        <v>37.1723</v>
      </c>
      <c r="AB70" s="1" t="n">
        <v>11.47</v>
      </c>
    </row>
    <row r="71">
      <c r="A71" s="1" t="inlineStr">
        <is>
          <t>CI005277.CI</t>
        </is>
      </c>
      <c r="B71" s="1" t="inlineStr">
        <is>
          <t>船舶制造指数</t>
        </is>
      </c>
      <c r="C71" s="1" t="n">
        <v>7</v>
      </c>
      <c r="D71" s="10">
        <f>IFERROR((thsiFinD("ths_close_price_index",$A71,$AE$2,"","")/thsiFinD("ths_close_price_index",$A71,$AE$5,"","")-1)*100,"")</f>
        <v/>
      </c>
      <c r="E71" s="10">
        <f>IFERROR((thsiFinD("ths_close_price_index",$A71,$AE$2,"","")/thsiFinD("ths_close_price_index",$A71,$AE$3,"","")-1)*100,"")</f>
        <v/>
      </c>
      <c r="F71" s="10">
        <f>IFERROR((thsiFinD("ths_close_price_index",$A71,$AE$2,"","")/thsiFinD("ths_close_price_index",$A71,$AE$4,"","")-1)*100,"")</f>
        <v/>
      </c>
      <c r="G71" s="11">
        <f>IFERROR(E71/5-F71/20,"")</f>
        <v/>
      </c>
      <c r="H71" s="1" t="n">
        <v>97.83</v>
      </c>
      <c r="I71" s="1" t="inlineStr">
        <is>
          <t>600150.SH</t>
        </is>
      </c>
      <c r="J71" s="1" t="inlineStr">
        <is>
          <t>中国船舶</t>
        </is>
      </c>
      <c r="K71" s="1" t="n">
        <v>1424.7258</v>
      </c>
      <c r="L71" s="1" t="n">
        <v>71.95999999999999</v>
      </c>
      <c r="M71" s="1" t="inlineStr">
        <is>
          <t>603268.SH</t>
        </is>
      </c>
      <c r="N71" s="1" t="inlineStr">
        <is>
          <t>松发股份</t>
        </is>
      </c>
      <c r="O71" s="1" t="n">
        <v>287.5251</v>
      </c>
      <c r="P71" s="1" t="n">
        <v>14.52</v>
      </c>
      <c r="Q71" s="1" t="inlineStr">
        <is>
          <t>300008.SZ</t>
        </is>
      </c>
      <c r="R71" s="1" t="inlineStr">
        <is>
          <t>天海防务</t>
        </is>
      </c>
      <c r="S71" s="1" t="n">
        <v>96.6121</v>
      </c>
      <c r="T71" s="1" t="n">
        <v>4.88</v>
      </c>
      <c r="U71" s="1" t="inlineStr">
        <is>
          <t>600072.SH</t>
        </is>
      </c>
      <c r="V71" s="1" t="inlineStr">
        <is>
          <t>中船科技</t>
        </is>
      </c>
      <c r="W71" s="1" t="n">
        <v>73.42</v>
      </c>
      <c r="X71" s="1" t="n">
        <v>3.71</v>
      </c>
      <c r="Y71" s="1" t="inlineStr">
        <is>
          <t>601890.SH</t>
        </is>
      </c>
      <c r="Z71" s="1" t="inlineStr">
        <is>
          <t>亚星锚链</t>
        </is>
      </c>
      <c r="AA71" s="1" t="n">
        <v>54.6564</v>
      </c>
      <c r="AB71" s="1" t="n">
        <v>2.76</v>
      </c>
    </row>
    <row r="72">
      <c r="A72" s="1" t="inlineStr">
        <is>
          <t>CI005508.CI</t>
        </is>
      </c>
      <c r="B72" s="1" t="inlineStr">
        <is>
          <t>大众成人品牌服饰指数</t>
        </is>
      </c>
      <c r="C72" s="1" t="n">
        <v>14</v>
      </c>
      <c r="D72" s="10">
        <f>IFERROR((thsiFinD("ths_close_price_index",$A72,$AE$2,"","")/thsiFinD("ths_close_price_index",$A72,$AE$5,"","")-1)*100,"")</f>
        <v/>
      </c>
      <c r="E72" s="10">
        <f>IFERROR((thsiFinD("ths_close_price_index",$A72,$AE$2,"","")/thsiFinD("ths_close_price_index",$A72,$AE$3,"","")-1)*100,"")</f>
        <v/>
      </c>
      <c r="F72" s="10">
        <f>IFERROR((thsiFinD("ths_close_price_index",$A72,$AE$2,"","")/thsiFinD("ths_close_price_index",$A72,$AE$4,"","")-1)*100,"")</f>
        <v/>
      </c>
      <c r="G72" s="11">
        <f>IFERROR(E72/5-F72/20,"")</f>
        <v/>
      </c>
      <c r="H72" s="1" t="n">
        <v>74.22</v>
      </c>
      <c r="I72" s="1" t="inlineStr">
        <is>
          <t>600177.SH</t>
        </is>
      </c>
      <c r="J72" s="1" t="inlineStr">
        <is>
          <t>雅戈尔</t>
        </is>
      </c>
      <c r="K72" s="1" t="n">
        <v>169.7177</v>
      </c>
      <c r="L72" s="1" t="n">
        <v>30.5</v>
      </c>
      <c r="M72" s="1" t="inlineStr">
        <is>
          <t>600398.SH</t>
        </is>
      </c>
      <c r="N72" s="1" t="inlineStr">
        <is>
          <t>海澜之家</t>
        </is>
      </c>
      <c r="O72" s="1" t="n">
        <v>108.4207</v>
      </c>
      <c r="P72" s="1" t="n">
        <v>19.48</v>
      </c>
      <c r="Q72" s="1" t="inlineStr">
        <is>
          <t>603608.SH</t>
        </is>
      </c>
      <c r="R72" s="1" t="inlineStr">
        <is>
          <t>天创时尚</t>
        </is>
      </c>
      <c r="S72" s="1" t="n">
        <v>66.4318</v>
      </c>
      <c r="T72" s="1" t="n">
        <v>11.94</v>
      </c>
      <c r="U72" s="1" t="inlineStr">
        <is>
          <t>002563.SZ</t>
        </is>
      </c>
      <c r="V72" s="1" t="inlineStr">
        <is>
          <t>森马服饰</t>
        </is>
      </c>
      <c r="W72" s="1" t="n">
        <v>37.0055</v>
      </c>
      <c r="X72" s="1" t="n">
        <v>6.65</v>
      </c>
      <c r="Y72" s="1" t="inlineStr">
        <is>
          <t>603196.SH</t>
        </is>
      </c>
      <c r="Z72" s="1" t="inlineStr">
        <is>
          <t>璞源材料</t>
        </is>
      </c>
      <c r="AA72" s="1" t="n">
        <v>31.4516</v>
      </c>
      <c r="AB72" s="1" t="n">
        <v>5.65</v>
      </c>
    </row>
    <row r="73">
      <c r="A73" s="1" t="inlineStr">
        <is>
          <t>CI005398.CI</t>
        </is>
      </c>
      <c r="B73" s="1" t="inlineStr">
        <is>
          <t>无烟煤指数</t>
        </is>
      </c>
      <c r="C73" s="1" t="n">
        <v>3</v>
      </c>
      <c r="D73" s="10">
        <f>IFERROR((thsiFinD("ths_close_price_index",$A73,$AE$2,"","")/thsiFinD("ths_close_price_index",$A73,$AE$5,"","")-1)*100,"")</f>
        <v/>
      </c>
      <c r="E73" s="10">
        <f>IFERROR((thsiFinD("ths_close_price_index",$A73,$AE$2,"","")/thsiFinD("ths_close_price_index",$A73,$AE$3,"","")-1)*100,"")</f>
        <v/>
      </c>
      <c r="F73" s="10">
        <f>IFERROR((thsiFinD("ths_close_price_index",$A73,$AE$2,"","")/thsiFinD("ths_close_price_index",$A73,$AE$4,"","")-1)*100,"")</f>
        <v/>
      </c>
      <c r="G73" s="11">
        <f>IFERROR(E73/5-F73/20,"")</f>
        <v/>
      </c>
      <c r="H73" s="1" t="n">
        <v>99.98999999999999</v>
      </c>
      <c r="I73" s="1" t="inlineStr">
        <is>
          <t>600348.SH</t>
        </is>
      </c>
      <c r="J73" s="1" t="inlineStr">
        <is>
          <t>华阳股份</t>
        </is>
      </c>
      <c r="K73" s="1" t="n">
        <v>134.1344</v>
      </c>
      <c r="L73" s="1" t="n">
        <v>55.37</v>
      </c>
      <c r="M73" s="1" t="inlineStr">
        <is>
          <t>601101.SH</t>
        </is>
      </c>
      <c r="N73" s="1" t="inlineStr">
        <is>
          <t>昊华能源</t>
        </is>
      </c>
      <c r="O73" s="1" t="n">
        <v>59.0205</v>
      </c>
      <c r="P73" s="1" t="n">
        <v>24.36</v>
      </c>
      <c r="Q73" s="1" t="inlineStr">
        <is>
          <t>600123.SH</t>
        </is>
      </c>
      <c r="R73" s="1" t="inlineStr">
        <is>
          <t>兰花科创</t>
        </is>
      </c>
      <c r="S73" s="1" t="n">
        <v>49.0815</v>
      </c>
      <c r="T73" s="1" t="n">
        <v>20.26</v>
      </c>
    </row>
    <row r="74">
      <c r="A74" s="1" t="inlineStr">
        <is>
          <t>CI005404.CI</t>
        </is>
      </c>
      <c r="B74" s="1" t="inlineStr">
        <is>
          <t>其他发电指数</t>
        </is>
      </c>
      <c r="C74" s="1" t="n">
        <v>22</v>
      </c>
      <c r="D74" s="10">
        <f>IFERROR((thsiFinD("ths_close_price_index",$A74,$AE$2,"","")/thsiFinD("ths_close_price_index",$A74,$AE$5,"","")-1)*100,"")</f>
        <v/>
      </c>
      <c r="E74" s="10">
        <f>IFERROR((thsiFinD("ths_close_price_index",$A74,$AE$2,"","")/thsiFinD("ths_close_price_index",$A74,$AE$3,"","")-1)*100,"")</f>
        <v/>
      </c>
      <c r="F74" s="10">
        <f>IFERROR((thsiFinD("ths_close_price_index",$A74,$AE$2,"","")/thsiFinD("ths_close_price_index",$A74,$AE$4,"","")-1)*100,"")</f>
        <v/>
      </c>
      <c r="G74" s="11">
        <f>IFERROR(E74/5-F74/20,"")</f>
        <v/>
      </c>
      <c r="H74" s="1" t="n">
        <v>56.98</v>
      </c>
      <c r="I74" s="1" t="inlineStr">
        <is>
          <t>600905.SH</t>
        </is>
      </c>
      <c r="J74" s="1" t="inlineStr">
        <is>
          <t>三峡能源</t>
        </is>
      </c>
      <c r="K74" s="1" t="n">
        <v>532.2457000000001</v>
      </c>
      <c r="L74" s="1" t="n">
        <v>26.17</v>
      </c>
      <c r="M74" s="1" t="inlineStr">
        <is>
          <t>600930.SH</t>
        </is>
      </c>
      <c r="N74" s="1" t="inlineStr">
        <is>
          <t>华电新能</t>
        </is>
      </c>
      <c r="O74" s="1" t="n">
        <v>171.8261</v>
      </c>
      <c r="P74" s="1" t="n">
        <v>8.449999999999999</v>
      </c>
      <c r="Q74" s="1" t="inlineStr">
        <is>
          <t>002015.SZ</t>
        </is>
      </c>
      <c r="R74" s="1" t="inlineStr">
        <is>
          <t>协鑫能科</t>
        </is>
      </c>
      <c r="S74" s="1" t="n">
        <v>170.2985</v>
      </c>
      <c r="T74" s="1" t="n">
        <v>8.369999999999999</v>
      </c>
      <c r="U74" s="1" t="inlineStr">
        <is>
          <t>000155.SZ</t>
        </is>
      </c>
      <c r="V74" s="1" t="inlineStr">
        <is>
          <t>川能动力</t>
        </is>
      </c>
      <c r="W74" s="1" t="n">
        <v>146.7478</v>
      </c>
      <c r="X74" s="1" t="n">
        <v>7.22</v>
      </c>
      <c r="Y74" s="1" t="inlineStr">
        <is>
          <t>601778.SH</t>
        </is>
      </c>
      <c r="Z74" s="1" t="inlineStr">
        <is>
          <t>晶科科技</t>
        </is>
      </c>
      <c r="AA74" s="1" t="n">
        <v>137.7396</v>
      </c>
      <c r="AB74" s="1" t="n">
        <v>6.77</v>
      </c>
    </row>
    <row r="75">
      <c r="A75" s="1" t="inlineStr">
        <is>
          <t>CI005479.CI</t>
        </is>
      </c>
      <c r="B75" s="1" t="inlineStr">
        <is>
          <t>锂电池指数</t>
        </is>
      </c>
      <c r="C75" s="1" t="n">
        <v>16</v>
      </c>
      <c r="D75" s="10">
        <f>IFERROR((thsiFinD("ths_close_price_index",$A75,$AE$2,"","")/thsiFinD("ths_close_price_index",$A75,$AE$5,"","")-1)*100,"")</f>
        <v/>
      </c>
      <c r="E75" s="10">
        <f>IFERROR((thsiFinD("ths_close_price_index",$A75,$AE$2,"","")/thsiFinD("ths_close_price_index",$A75,$AE$3,"","")-1)*100,"")</f>
        <v/>
      </c>
      <c r="F75" s="10">
        <f>IFERROR((thsiFinD("ths_close_price_index",$A75,$AE$2,"","")/thsiFinD("ths_close_price_index",$A75,$AE$4,"","")-1)*100,"")</f>
        <v/>
      </c>
      <c r="G75" s="11">
        <f>IFERROR(E75/5-F75/20,"")</f>
        <v/>
      </c>
      <c r="H75" s="1" t="n">
        <v>96.41</v>
      </c>
      <c r="I75" s="1" t="inlineStr">
        <is>
          <t>300750.SZ</t>
        </is>
      </c>
      <c r="J75" s="1" t="inlineStr">
        <is>
          <t>宁德时代</t>
        </is>
      </c>
      <c r="K75" s="1" t="n">
        <v>11521</v>
      </c>
      <c r="L75" s="1" t="n">
        <v>82.8</v>
      </c>
      <c r="M75" s="1" t="inlineStr">
        <is>
          <t>300014.SZ</t>
        </is>
      </c>
      <c r="N75" s="1" t="inlineStr">
        <is>
          <t>亿纬锂能</t>
        </is>
      </c>
      <c r="O75" s="1" t="n">
        <v>971.0636</v>
      </c>
      <c r="P75" s="1" t="n">
        <v>6.98</v>
      </c>
      <c r="Q75" s="1" t="inlineStr">
        <is>
          <t>002074.SZ</t>
        </is>
      </c>
      <c r="R75" s="1" t="inlineStr">
        <is>
          <t>国轩高科</t>
        </is>
      </c>
      <c r="S75" s="1" t="n">
        <v>322.3097</v>
      </c>
      <c r="T75" s="1" t="n">
        <v>2.32</v>
      </c>
      <c r="U75" s="1" t="inlineStr">
        <is>
          <t>002245.SZ</t>
        </is>
      </c>
      <c r="V75" s="1" t="inlineStr">
        <is>
          <t>蔚蓝锂芯</t>
        </is>
      </c>
      <c r="W75" s="1" t="n">
        <v>307.1919</v>
      </c>
      <c r="X75" s="1" t="n">
        <v>2.21</v>
      </c>
      <c r="Y75" s="1" t="inlineStr">
        <is>
          <t>300438.SZ</t>
        </is>
      </c>
      <c r="Z75" s="1" t="inlineStr">
        <is>
          <t>鹏辉能源</t>
        </is>
      </c>
      <c r="AA75" s="1" t="n">
        <v>292.5995</v>
      </c>
      <c r="AB75" s="1" t="n">
        <v>2.1</v>
      </c>
    </row>
    <row r="76">
      <c r="A76" s="1" t="inlineStr">
        <is>
          <t>CI005439.CI</t>
        </is>
      </c>
      <c r="B76" s="1" t="inlineStr">
        <is>
          <t>其他结构材料指数</t>
        </is>
      </c>
      <c r="C76" s="1" t="n">
        <v>8</v>
      </c>
      <c r="D76" s="10">
        <f>IFERROR((thsiFinD("ths_close_price_index",$A76,$AE$2,"","")/thsiFinD("ths_close_price_index",$A76,$AE$5,"","")-1)*100,"")</f>
        <v/>
      </c>
      <c r="E76" s="10">
        <f>IFERROR((thsiFinD("ths_close_price_index",$A76,$AE$2,"","")/thsiFinD("ths_close_price_index",$A76,$AE$3,"","")-1)*100,"")</f>
        <v/>
      </c>
      <c r="F76" s="10">
        <f>IFERROR((thsiFinD("ths_close_price_index",$A76,$AE$2,"","")/thsiFinD("ths_close_price_index",$A76,$AE$4,"","")-1)*100,"")</f>
        <v/>
      </c>
      <c r="G76" s="11">
        <f>IFERROR(E76/5-F76/20,"")</f>
        <v/>
      </c>
      <c r="H76" s="1" t="n">
        <v>81.09999999999999</v>
      </c>
      <c r="I76" s="1" t="inlineStr">
        <is>
          <t>300986.SZ</t>
        </is>
      </c>
      <c r="J76" s="1" t="inlineStr">
        <is>
          <t>志特新材</t>
        </is>
      </c>
      <c r="K76" s="1" t="n">
        <v>45.3206</v>
      </c>
      <c r="L76" s="1" t="n">
        <v>30.3</v>
      </c>
      <c r="M76" s="1" t="inlineStr">
        <is>
          <t>002457.SZ</t>
        </is>
      </c>
      <c r="N76" s="1" t="inlineStr">
        <is>
          <t>青龙管业</t>
        </is>
      </c>
      <c r="O76" s="1" t="n">
        <v>32.5587</v>
      </c>
      <c r="P76" s="1" t="n">
        <v>21.77</v>
      </c>
      <c r="Q76" s="1" t="inlineStr">
        <is>
          <t>603616.SH</t>
        </is>
      </c>
      <c r="R76" s="1" t="inlineStr">
        <is>
          <t>韩建河山</t>
        </is>
      </c>
      <c r="S76" s="1" t="n">
        <v>16.1235</v>
      </c>
      <c r="T76" s="1" t="n">
        <v>10.78</v>
      </c>
      <c r="U76" s="1" t="inlineStr">
        <is>
          <t>002205.SZ</t>
        </is>
      </c>
      <c r="V76" s="1" t="inlineStr">
        <is>
          <t>国统股份</t>
        </is>
      </c>
      <c r="W76" s="1" t="n">
        <v>14.4361</v>
      </c>
      <c r="X76" s="1" t="n">
        <v>9.65</v>
      </c>
      <c r="Y76" s="1" t="inlineStr">
        <is>
          <t>002671.SZ</t>
        </is>
      </c>
      <c r="Z76" s="1" t="inlineStr">
        <is>
          <t>龙泉股份</t>
        </is>
      </c>
      <c r="AA76" s="1" t="n">
        <v>12.8579</v>
      </c>
      <c r="AB76" s="1" t="n">
        <v>8.6</v>
      </c>
    </row>
    <row r="77">
      <c r="A77" s="1" t="inlineStr">
        <is>
          <t>CI005400.CI</t>
        </is>
      </c>
      <c r="B77" s="1" t="inlineStr">
        <is>
          <t>镍钴锡锑指数</t>
        </is>
      </c>
      <c r="C77" s="1" t="n">
        <v>8</v>
      </c>
      <c r="D77" s="10">
        <f>IFERROR((thsiFinD("ths_close_price_index",$A77,$AE$2,"","")/thsiFinD("ths_close_price_index",$A77,$AE$5,"","")-1)*100,"")</f>
        <v/>
      </c>
      <c r="E77" s="10">
        <f>IFERROR((thsiFinD("ths_close_price_index",$A77,$AE$2,"","")/thsiFinD("ths_close_price_index",$A77,$AE$3,"","")-1)*100,"")</f>
        <v/>
      </c>
      <c r="F77" s="10">
        <f>IFERROR((thsiFinD("ths_close_price_index",$A77,$AE$2,"","")/thsiFinD("ths_close_price_index",$A77,$AE$4,"","")-1)*100,"")</f>
        <v/>
      </c>
      <c r="G77" s="11">
        <f>IFERROR(E77/5-F77/20,"")</f>
        <v/>
      </c>
      <c r="H77" s="1" t="n">
        <v>91.01000000000001</v>
      </c>
      <c r="I77" s="1" t="inlineStr">
        <is>
          <t>603799.SH</t>
        </is>
      </c>
      <c r="J77" s="1" t="inlineStr">
        <is>
          <t>华友钴业</t>
        </is>
      </c>
      <c r="K77" s="1" t="n">
        <v>826.1831</v>
      </c>
      <c r="L77" s="1" t="n">
        <v>34.84</v>
      </c>
      <c r="M77" s="1" t="inlineStr">
        <is>
          <t>000960.SZ</t>
        </is>
      </c>
      <c r="N77" s="1" t="inlineStr">
        <is>
          <t>锡业股份</t>
        </is>
      </c>
      <c r="O77" s="1" t="n">
        <v>432.4851</v>
      </c>
      <c r="P77" s="1" t="n">
        <v>18.24</v>
      </c>
      <c r="Q77" s="1" t="inlineStr">
        <is>
          <t>605376.SH</t>
        </is>
      </c>
      <c r="R77" s="1" t="inlineStr">
        <is>
          <t>博迁新材</t>
        </is>
      </c>
      <c r="S77" s="1" t="n">
        <v>416.2554</v>
      </c>
      <c r="T77" s="1" t="n">
        <v>17.55</v>
      </c>
      <c r="U77" s="1" t="inlineStr">
        <is>
          <t>600711.SH</t>
        </is>
      </c>
      <c r="V77" s="1" t="inlineStr">
        <is>
          <t>盛屯矿业</t>
        </is>
      </c>
      <c r="W77" s="1" t="n">
        <v>340.5595</v>
      </c>
      <c r="X77" s="1" t="n">
        <v>14.36</v>
      </c>
      <c r="Y77" s="1" t="inlineStr">
        <is>
          <t>600301.SH</t>
        </is>
      </c>
      <c r="Z77" s="1" t="inlineStr">
        <is>
          <t>华锡有色</t>
        </is>
      </c>
      <c r="AA77" s="1" t="n">
        <v>142.8626</v>
      </c>
      <c r="AB77" s="1" t="n">
        <v>6.02</v>
      </c>
    </row>
    <row r="78">
      <c r="A78" s="1" t="inlineStr">
        <is>
          <t>CI005309.CI</t>
        </is>
      </c>
      <c r="B78" s="1" t="inlineStr">
        <is>
          <t>照明电工指数</t>
        </is>
      </c>
      <c r="C78" s="1" t="n">
        <v>16</v>
      </c>
      <c r="D78" s="10">
        <f>IFERROR((thsiFinD("ths_close_price_index",$A78,$AE$2,"","")/thsiFinD("ths_close_price_index",$A78,$AE$5,"","")-1)*100,"")</f>
        <v/>
      </c>
      <c r="E78" s="10">
        <f>IFERROR((thsiFinD("ths_close_price_index",$A78,$AE$2,"","")/thsiFinD("ths_close_price_index",$A78,$AE$3,"","")-1)*100,"")</f>
        <v/>
      </c>
      <c r="F78" s="10">
        <f>IFERROR((thsiFinD("ths_close_price_index",$A78,$AE$2,"","")/thsiFinD("ths_close_price_index",$A78,$AE$4,"","")-1)*100,"")</f>
        <v/>
      </c>
      <c r="G78" s="11">
        <f>IFERROR(E78/5-F78/20,"")</f>
        <v/>
      </c>
      <c r="H78" s="1" t="n">
        <v>58.24</v>
      </c>
      <c r="I78" s="1" t="inlineStr">
        <is>
          <t>603195.SH</t>
        </is>
      </c>
      <c r="J78" s="1" t="inlineStr">
        <is>
          <t>公牛集团</t>
        </is>
      </c>
      <c r="K78" s="1" t="n">
        <v>119.947</v>
      </c>
      <c r="L78" s="1" t="n">
        <v>22.1</v>
      </c>
      <c r="M78" s="1" t="inlineStr">
        <is>
          <t>300632.SZ</t>
        </is>
      </c>
      <c r="N78" s="1" t="inlineStr">
        <is>
          <t>光莆股份</t>
        </is>
      </c>
      <c r="O78" s="1" t="n">
        <v>68.71980000000001</v>
      </c>
      <c r="P78" s="1" t="n">
        <v>12.66</v>
      </c>
      <c r="Q78" s="1" t="inlineStr">
        <is>
          <t>600651.SH</t>
        </is>
      </c>
      <c r="R78" s="1" t="inlineStr">
        <is>
          <t>飞乐音响</t>
        </is>
      </c>
      <c r="S78" s="1" t="n">
        <v>51.3519</v>
      </c>
      <c r="T78" s="1" t="n">
        <v>9.460000000000001</v>
      </c>
      <c r="U78" s="1" t="inlineStr">
        <is>
          <t>603685.SH</t>
        </is>
      </c>
      <c r="V78" s="1" t="inlineStr">
        <is>
          <t>晨丰科技</t>
        </is>
      </c>
      <c r="W78" s="1" t="n">
        <v>41.5176</v>
      </c>
      <c r="X78" s="1" t="n">
        <v>7.65</v>
      </c>
      <c r="Y78" s="1" t="inlineStr">
        <is>
          <t>603303.SH</t>
        </is>
      </c>
      <c r="Z78" s="1" t="inlineStr">
        <is>
          <t>得邦照明</t>
        </is>
      </c>
      <c r="AA78" s="1" t="n">
        <v>34.5842</v>
      </c>
      <c r="AB78" s="1" t="n">
        <v>6.37</v>
      </c>
    </row>
    <row r="79">
      <c r="A79" s="1" t="inlineStr">
        <is>
          <t>CI005464.CI</t>
        </is>
      </c>
      <c r="B79" s="1" t="inlineStr">
        <is>
          <t>基础件指数</t>
        </is>
      </c>
      <c r="C79" s="1" t="n">
        <v>56</v>
      </c>
      <c r="D79" s="10">
        <f>IFERROR((thsiFinD("ths_close_price_index",$A79,$AE$2,"","")/thsiFinD("ths_close_price_index",$A79,$AE$5,"","")-1)*100,"")</f>
        <v/>
      </c>
      <c r="E79" s="10">
        <f>IFERROR((thsiFinD("ths_close_price_index",$A79,$AE$2,"","")/thsiFinD("ths_close_price_index",$A79,$AE$3,"","")-1)*100,"")</f>
        <v/>
      </c>
      <c r="F79" s="10">
        <f>IFERROR((thsiFinD("ths_close_price_index",$A79,$AE$2,"","")/thsiFinD("ths_close_price_index",$A79,$AE$4,"","")-1)*100,"")</f>
        <v/>
      </c>
      <c r="G79" s="11">
        <f>IFERROR(E79/5-F79/20,"")</f>
        <v/>
      </c>
      <c r="H79" s="1" t="n">
        <v>47.66</v>
      </c>
      <c r="I79" s="1" t="inlineStr">
        <is>
          <t>601100.SH</t>
        </is>
      </c>
      <c r="J79" s="1" t="inlineStr">
        <is>
          <t>恒立液压</t>
        </is>
      </c>
      <c r="K79" s="1" t="n">
        <v>550.2995</v>
      </c>
      <c r="L79" s="1" t="n">
        <v>17.37</v>
      </c>
      <c r="M79" s="1" t="inlineStr">
        <is>
          <t>603308.SH</t>
        </is>
      </c>
      <c r="N79" s="1" t="inlineStr">
        <is>
          <t>应流股份</t>
        </is>
      </c>
      <c r="O79" s="1" t="n">
        <v>306.932</v>
      </c>
      <c r="P79" s="1" t="n">
        <v>9.69</v>
      </c>
      <c r="Q79" s="1" t="inlineStr">
        <is>
          <t>002472.SZ</t>
        </is>
      </c>
      <c r="R79" s="1" t="inlineStr">
        <is>
          <t>双环传动</t>
        </is>
      </c>
      <c r="S79" s="1" t="n">
        <v>269.568</v>
      </c>
      <c r="T79" s="1" t="n">
        <v>8.51</v>
      </c>
      <c r="U79" s="1" t="inlineStr">
        <is>
          <t>603699.SH</t>
        </is>
      </c>
      <c r="V79" s="1" t="inlineStr">
        <is>
          <t>纽威股份</t>
        </is>
      </c>
      <c r="W79" s="1" t="n">
        <v>199.1775</v>
      </c>
      <c r="X79" s="1" t="n">
        <v>6.29</v>
      </c>
      <c r="Y79" s="1" t="inlineStr">
        <is>
          <t>002046.SZ</t>
        </is>
      </c>
      <c r="Z79" s="1" t="inlineStr">
        <is>
          <t>国机精工</t>
        </is>
      </c>
      <c r="AA79" s="1" t="n">
        <v>183.7934</v>
      </c>
      <c r="AB79" s="1" t="n">
        <v>5.8</v>
      </c>
    </row>
    <row r="80">
      <c r="A80" s="1" t="inlineStr">
        <is>
          <t>CI005402.CI</t>
        </is>
      </c>
      <c r="B80" s="1" t="inlineStr">
        <is>
          <t>锂指数</t>
        </is>
      </c>
      <c r="C80" s="1" t="n">
        <v>7</v>
      </c>
      <c r="D80" s="10">
        <f>IFERROR((thsiFinD("ths_close_price_index",$A80,$AE$2,"","")/thsiFinD("ths_close_price_index",$A80,$AE$5,"","")-1)*100,"")</f>
        <v/>
      </c>
      <c r="E80" s="10">
        <f>IFERROR((thsiFinD("ths_close_price_index",$A80,$AE$2,"","")/thsiFinD("ths_close_price_index",$A80,$AE$3,"","")-1)*100,"")</f>
        <v/>
      </c>
      <c r="F80" s="10">
        <f>IFERROR((thsiFinD("ths_close_price_index",$A80,$AE$2,"","")/thsiFinD("ths_close_price_index",$A80,$AE$4,"","")-1)*100,"")</f>
        <v/>
      </c>
      <c r="G80" s="11">
        <f>IFERROR(E80/5-F80/20,"")</f>
        <v/>
      </c>
      <c r="H80" s="1" t="n">
        <v>100</v>
      </c>
      <c r="I80" s="1" t="inlineStr">
        <is>
          <t>002460.SZ</t>
        </is>
      </c>
      <c r="J80" s="1" t="inlineStr">
        <is>
          <t>赣锋锂业</t>
        </is>
      </c>
      <c r="K80" s="1" t="n">
        <v>767.2198</v>
      </c>
      <c r="L80" s="1" t="n">
        <v>36.37</v>
      </c>
      <c r="M80" s="1" t="inlineStr">
        <is>
          <t>002466.SZ</t>
        </is>
      </c>
      <c r="N80" s="1" t="inlineStr">
        <is>
          <t>天齐锂业</t>
        </is>
      </c>
      <c r="O80" s="1" t="n">
        <v>643.6758</v>
      </c>
      <c r="P80" s="1" t="n">
        <v>30.51</v>
      </c>
      <c r="Q80" s="1" t="inlineStr">
        <is>
          <t>002240.SZ</t>
        </is>
      </c>
      <c r="R80" s="1" t="inlineStr">
        <is>
          <t>盛新锂能</t>
        </is>
      </c>
      <c r="S80" s="1" t="n">
        <v>318.1009</v>
      </c>
      <c r="T80" s="1" t="n">
        <v>15.08</v>
      </c>
      <c r="U80" s="1" t="inlineStr">
        <is>
          <t>002756.SZ</t>
        </is>
      </c>
      <c r="V80" s="1" t="inlineStr">
        <is>
          <t>永兴材料</t>
        </is>
      </c>
      <c r="W80" s="1" t="n">
        <v>208.3467</v>
      </c>
      <c r="X80" s="1" t="n">
        <v>9.880000000000001</v>
      </c>
      <c r="Y80" s="1" t="inlineStr">
        <is>
          <t>002192.SZ</t>
        </is>
      </c>
      <c r="Z80" s="1" t="inlineStr">
        <is>
          <t>融捷股份</t>
        </is>
      </c>
      <c r="AA80" s="1" t="n">
        <v>172.1163</v>
      </c>
      <c r="AB80" s="1" t="n">
        <v>8.16</v>
      </c>
    </row>
    <row r="81">
      <c r="A81" s="1" t="inlineStr">
        <is>
          <t>CI005416.CI</t>
        </is>
      </c>
      <c r="B81" s="1" t="inlineStr">
        <is>
          <t>氯碱指数</t>
        </is>
      </c>
      <c r="C81" s="1" t="n">
        <v>17</v>
      </c>
      <c r="D81" s="10">
        <f>IFERROR((thsiFinD("ths_close_price_index",$A81,$AE$2,"","")/thsiFinD("ths_close_price_index",$A81,$AE$5,"","")-1)*100,"")</f>
        <v/>
      </c>
      <c r="E81" s="10">
        <f>IFERROR((thsiFinD("ths_close_price_index",$A81,$AE$2,"","")/thsiFinD("ths_close_price_index",$A81,$AE$3,"","")-1)*100,"")</f>
        <v/>
      </c>
      <c r="F81" s="10">
        <f>IFERROR((thsiFinD("ths_close_price_index",$A81,$AE$2,"","")/thsiFinD("ths_close_price_index",$A81,$AE$4,"","")-1)*100,"")</f>
        <v/>
      </c>
      <c r="G81" s="11">
        <f>IFERROR(E81/5-F81/20,"")</f>
        <v/>
      </c>
      <c r="H81" s="1" t="n">
        <v>59.15</v>
      </c>
      <c r="I81" s="1" t="inlineStr">
        <is>
          <t>601216.SH</t>
        </is>
      </c>
      <c r="J81" s="1" t="inlineStr">
        <is>
          <t>君正集团</t>
        </is>
      </c>
      <c r="K81" s="1" t="n">
        <v>160.3864</v>
      </c>
      <c r="L81" s="1" t="n">
        <v>15.09</v>
      </c>
      <c r="M81" s="1" t="inlineStr">
        <is>
          <t>000510.SZ</t>
        </is>
      </c>
      <c r="N81" s="1" t="inlineStr">
        <is>
          <t>新金路</t>
        </is>
      </c>
      <c r="O81" s="1" t="n">
        <v>132.2692</v>
      </c>
      <c r="P81" s="1" t="n">
        <v>12.44</v>
      </c>
      <c r="Q81" s="1" t="inlineStr">
        <is>
          <t>600063.SH</t>
        </is>
      </c>
      <c r="R81" s="1" t="inlineStr">
        <is>
          <t>皖维高新</t>
        </is>
      </c>
      <c r="S81" s="1" t="n">
        <v>122.2552</v>
      </c>
      <c r="T81" s="1" t="n">
        <v>11.5</v>
      </c>
      <c r="U81" s="1" t="inlineStr">
        <is>
          <t>601678.SH</t>
        </is>
      </c>
      <c r="V81" s="1" t="inlineStr">
        <is>
          <t>滨化股份</t>
        </is>
      </c>
      <c r="W81" s="1" t="n">
        <v>115.9296</v>
      </c>
      <c r="X81" s="1" t="n">
        <v>10.9</v>
      </c>
      <c r="Y81" s="1" t="inlineStr">
        <is>
          <t>002545.SZ</t>
        </is>
      </c>
      <c r="Z81" s="1" t="inlineStr">
        <is>
          <t>东方铁塔</t>
        </is>
      </c>
      <c r="AA81" s="1" t="n">
        <v>98.03789999999999</v>
      </c>
      <c r="AB81" s="1" t="n">
        <v>9.220000000000001</v>
      </c>
    </row>
    <row r="82">
      <c r="A82" s="1" t="inlineStr">
        <is>
          <t>CI005435.CI</t>
        </is>
      </c>
      <c r="B82" s="1" t="inlineStr">
        <is>
          <t>专业工程及其他指数</t>
        </is>
      </c>
      <c r="C82" s="1" t="n">
        <v>39</v>
      </c>
      <c r="D82" s="10">
        <f>IFERROR((thsiFinD("ths_close_price_index",$A82,$AE$2,"","")/thsiFinD("ths_close_price_index",$A82,$AE$5,"","")-1)*100,"")</f>
        <v/>
      </c>
      <c r="E82" s="10">
        <f>IFERROR((thsiFinD("ths_close_price_index",$A82,$AE$2,"","")/thsiFinD("ths_close_price_index",$A82,$AE$3,"","")-1)*100,"")</f>
        <v/>
      </c>
      <c r="F82" s="10">
        <f>IFERROR((thsiFinD("ths_close_price_index",$A82,$AE$2,"","")/thsiFinD("ths_close_price_index",$A82,$AE$4,"","")-1)*100,"")</f>
        <v/>
      </c>
      <c r="G82" s="11">
        <f>IFERROR(E82/5-F82/20,"")</f>
        <v/>
      </c>
      <c r="H82" s="1" t="n">
        <v>58.17</v>
      </c>
      <c r="I82" s="1" t="inlineStr">
        <is>
          <t>601117.SH</t>
        </is>
      </c>
      <c r="J82" s="1" t="inlineStr">
        <is>
          <t>中国化学</t>
        </is>
      </c>
      <c r="K82" s="1" t="n">
        <v>289.9533</v>
      </c>
      <c r="L82" s="1" t="n">
        <v>23.09</v>
      </c>
      <c r="M82" s="1" t="inlineStr">
        <is>
          <t>603929.SH</t>
        </is>
      </c>
      <c r="N82" s="1" t="inlineStr">
        <is>
          <t>亚翔集成</t>
        </is>
      </c>
      <c r="O82" s="1" t="n">
        <v>181.4953</v>
      </c>
      <c r="P82" s="1" t="n">
        <v>14.45</v>
      </c>
      <c r="Q82" s="1" t="inlineStr">
        <is>
          <t>605289.SH</t>
        </is>
      </c>
      <c r="R82" s="1" t="inlineStr">
        <is>
          <t>罗曼股份</t>
        </is>
      </c>
      <c r="S82" s="1" t="n">
        <v>107.8404</v>
      </c>
      <c r="T82" s="1" t="n">
        <v>8.59</v>
      </c>
      <c r="U82" s="1" t="inlineStr">
        <is>
          <t>600970.SH</t>
        </is>
      </c>
      <c r="V82" s="1" t="inlineStr">
        <is>
          <t>中材国际</t>
        </is>
      </c>
      <c r="W82" s="1" t="n">
        <v>87.53830000000001</v>
      </c>
      <c r="X82" s="1" t="n">
        <v>6.97</v>
      </c>
      <c r="Y82" s="1" t="inlineStr">
        <is>
          <t>000065.SZ</t>
        </is>
      </c>
      <c r="Z82" s="1" t="inlineStr">
        <is>
          <t>北方国际</t>
        </is>
      </c>
      <c r="AA82" s="1" t="n">
        <v>63.7048</v>
      </c>
      <c r="AB82" s="1" t="n">
        <v>5.07</v>
      </c>
    </row>
    <row r="83">
      <c r="A83" s="1" t="inlineStr">
        <is>
          <t>CI005396.CI</t>
        </is>
      </c>
      <c r="B83" s="1" t="inlineStr">
        <is>
          <t>油田服务指数</t>
        </is>
      </c>
      <c r="C83" s="1" t="n">
        <v>7</v>
      </c>
      <c r="D83" s="10">
        <f>IFERROR((thsiFinD("ths_close_price_index",$A83,$AE$2,"","")/thsiFinD("ths_close_price_index",$A83,$AE$5,"","")-1)*100,"")</f>
        <v/>
      </c>
      <c r="E83" s="10">
        <f>IFERROR((thsiFinD("ths_close_price_index",$A83,$AE$2,"","")/thsiFinD("ths_close_price_index",$A83,$AE$3,"","")-1)*100,"")</f>
        <v/>
      </c>
      <c r="F83" s="10">
        <f>IFERROR((thsiFinD("ths_close_price_index",$A83,$AE$2,"","")/thsiFinD("ths_close_price_index",$A83,$AE$4,"","")-1)*100,"")</f>
        <v/>
      </c>
      <c r="G83" s="11">
        <f>IFERROR(E83/5-F83/20,"")</f>
        <v/>
      </c>
      <c r="H83" s="1" t="n">
        <v>99.98999999999999</v>
      </c>
      <c r="I83" s="1" t="inlineStr">
        <is>
          <t>603619.SH</t>
        </is>
      </c>
      <c r="J83" s="1" t="inlineStr">
        <is>
          <t>中曼石油</t>
        </is>
      </c>
      <c r="K83" s="1" t="n">
        <v>82.1835</v>
      </c>
      <c r="L83" s="1" t="n">
        <v>32.32</v>
      </c>
      <c r="M83" s="1" t="inlineStr">
        <is>
          <t>600871.SH</t>
        </is>
      </c>
      <c r="N83" s="1" t="inlineStr">
        <is>
          <t>石化油服</t>
        </is>
      </c>
      <c r="O83" s="1" t="n">
        <v>77.291</v>
      </c>
      <c r="P83" s="1" t="n">
        <v>30.39</v>
      </c>
      <c r="Q83" s="1" t="inlineStr">
        <is>
          <t>601808.SH</t>
        </is>
      </c>
      <c r="R83" s="1" t="inlineStr">
        <is>
          <t>中海油服</t>
        </is>
      </c>
      <c r="S83" s="1" t="n">
        <v>65.51479999999999</v>
      </c>
      <c r="T83" s="1" t="n">
        <v>25.76</v>
      </c>
      <c r="U83" s="1" t="inlineStr">
        <is>
          <t>002828.SZ</t>
        </is>
      </c>
      <c r="V83" s="1" t="inlineStr">
        <is>
          <t>贝肯能源</t>
        </is>
      </c>
      <c r="W83" s="1" t="n">
        <v>17.2961</v>
      </c>
      <c r="X83" s="1" t="n">
        <v>6.8</v>
      </c>
      <c r="Y83" s="1" t="inlineStr">
        <is>
          <t>002207.SZ</t>
        </is>
      </c>
      <c r="Z83" s="1" t="inlineStr">
        <is>
          <t>*ST准油</t>
        </is>
      </c>
      <c r="AA83" s="1" t="n">
        <v>12.0067</v>
      </c>
      <c r="AB83" s="1" t="n">
        <v>4.72</v>
      </c>
    </row>
    <row r="84">
      <c r="A84" s="1" t="inlineStr">
        <is>
          <t>CI005426.CI</t>
        </is>
      </c>
      <c r="B84" s="1" t="inlineStr">
        <is>
          <t>改性塑料指数</t>
        </is>
      </c>
      <c r="C84" s="1" t="n">
        <v>14</v>
      </c>
      <c r="D84" s="10">
        <f>IFERROR((thsiFinD("ths_close_price_index",$A84,$AE$2,"","")/thsiFinD("ths_close_price_index",$A84,$AE$5,"","")-1)*100,"")</f>
        <v/>
      </c>
      <c r="E84" s="10">
        <f>IFERROR((thsiFinD("ths_close_price_index",$A84,$AE$2,"","")/thsiFinD("ths_close_price_index",$A84,$AE$3,"","")-1)*100,"")</f>
        <v/>
      </c>
      <c r="F84" s="10">
        <f>IFERROR((thsiFinD("ths_close_price_index",$A84,$AE$2,"","")/thsiFinD("ths_close_price_index",$A84,$AE$4,"","")-1)*100,"")</f>
        <v/>
      </c>
      <c r="G84" s="11">
        <f>IFERROR(E84/5-F84/20,"")</f>
        <v/>
      </c>
      <c r="H84" s="1" t="n">
        <v>70.7</v>
      </c>
      <c r="I84" s="1" t="inlineStr">
        <is>
          <t>600143.SH</t>
        </is>
      </c>
      <c r="J84" s="1" t="inlineStr">
        <is>
          <t>金发科技</t>
        </is>
      </c>
      <c r="K84" s="1" t="n">
        <v>340.2226</v>
      </c>
      <c r="L84" s="1" t="n">
        <v>35.83</v>
      </c>
      <c r="M84" s="1" t="inlineStr">
        <is>
          <t>002768.SZ</t>
        </is>
      </c>
      <c r="N84" s="1" t="inlineStr">
        <is>
          <t>国恩股份</t>
        </is>
      </c>
      <c r="O84" s="1" t="n">
        <v>91.0778</v>
      </c>
      <c r="P84" s="1" t="n">
        <v>9.59</v>
      </c>
      <c r="Q84" s="1" t="inlineStr">
        <is>
          <t>300221.SZ</t>
        </is>
      </c>
      <c r="R84" s="1" t="inlineStr">
        <is>
          <t>银禧科技</t>
        </is>
      </c>
      <c r="S84" s="1" t="n">
        <v>80.5523</v>
      </c>
      <c r="T84" s="1" t="n">
        <v>8.48</v>
      </c>
      <c r="U84" s="1" t="inlineStr">
        <is>
          <t>002324.SZ</t>
        </is>
      </c>
      <c r="V84" s="1" t="inlineStr">
        <is>
          <t>普利特</t>
        </is>
      </c>
      <c r="W84" s="1" t="n">
        <v>80.41970000000001</v>
      </c>
      <c r="X84" s="1" t="n">
        <v>8.470000000000001</v>
      </c>
      <c r="Y84" s="1" t="inlineStr">
        <is>
          <t>300586.SZ</t>
        </is>
      </c>
      <c r="Z84" s="1" t="inlineStr">
        <is>
          <t>美联新材</t>
        </is>
      </c>
      <c r="AA84" s="1" t="n">
        <v>79.09059999999999</v>
      </c>
      <c r="AB84" s="1" t="n">
        <v>8.33</v>
      </c>
    </row>
    <row r="85">
      <c r="A85" s="1" t="inlineStr">
        <is>
          <t>CI005421.CI</t>
        </is>
      </c>
      <c r="B85" s="1" t="inlineStr">
        <is>
          <t>涂料油墨颜料指数</t>
        </is>
      </c>
      <c r="C85" s="1" t="n">
        <v>23</v>
      </c>
      <c r="D85" s="10">
        <f>IFERROR((thsiFinD("ths_close_price_index",$A85,$AE$2,"","")/thsiFinD("ths_close_price_index",$A85,$AE$5,"","")-1)*100,"")</f>
        <v/>
      </c>
      <c r="E85" s="10">
        <f>IFERROR((thsiFinD("ths_close_price_index",$A85,$AE$2,"","")/thsiFinD("ths_close_price_index",$A85,$AE$3,"","")-1)*100,"")</f>
        <v/>
      </c>
      <c r="F85" s="10">
        <f>IFERROR((thsiFinD("ths_close_price_index",$A85,$AE$2,"","")/thsiFinD("ths_close_price_index",$A85,$AE$4,"","")-1)*100,"")</f>
        <v/>
      </c>
      <c r="G85" s="11">
        <f>IFERROR(E85/5-F85/20,"")</f>
        <v/>
      </c>
      <c r="H85" s="1" t="n">
        <v>50.02</v>
      </c>
      <c r="I85" s="1" t="inlineStr">
        <is>
          <t>603737.SH</t>
        </is>
      </c>
      <c r="J85" s="1" t="inlineStr">
        <is>
          <t>三棵树</t>
        </is>
      </c>
      <c r="K85" s="1" t="n">
        <v>76.9516</v>
      </c>
      <c r="L85" s="1" t="n">
        <v>13.82</v>
      </c>
      <c r="M85" s="1" t="inlineStr">
        <is>
          <t>603823.SH</t>
        </is>
      </c>
      <c r="N85" s="1" t="inlineStr">
        <is>
          <t>百合花</t>
        </is>
      </c>
      <c r="O85" s="1" t="n">
        <v>68.05589999999999</v>
      </c>
      <c r="P85" s="1" t="n">
        <v>12.22</v>
      </c>
      <c r="Q85" s="1" t="inlineStr">
        <is>
          <t>603826.SH</t>
        </is>
      </c>
      <c r="R85" s="1" t="inlineStr">
        <is>
          <t>坤彩科技</t>
        </is>
      </c>
      <c r="S85" s="1" t="n">
        <v>59.4618</v>
      </c>
      <c r="T85" s="1" t="n">
        <v>10.68</v>
      </c>
      <c r="U85" s="1" t="inlineStr">
        <is>
          <t>603110.SH</t>
        </is>
      </c>
      <c r="V85" s="1" t="inlineStr">
        <is>
          <t>东方材料</t>
        </is>
      </c>
      <c r="W85" s="1" t="n">
        <v>40.7131</v>
      </c>
      <c r="X85" s="1" t="n">
        <v>7.31</v>
      </c>
      <c r="Y85" s="1" t="inlineStr">
        <is>
          <t>300225.SZ</t>
        </is>
      </c>
      <c r="Z85" s="1" t="inlineStr">
        <is>
          <t>金力泰</t>
        </is>
      </c>
      <c r="AA85" s="1" t="n">
        <v>33.3405</v>
      </c>
      <c r="AB85" s="1" t="n">
        <v>5.99</v>
      </c>
    </row>
    <row r="86">
      <c r="A86" s="1" t="inlineStr">
        <is>
          <t>CI005473.CI</t>
        </is>
      </c>
      <c r="B86" s="1" t="inlineStr">
        <is>
          <t>配电设备指数</t>
        </is>
      </c>
      <c r="C86" s="1" t="n">
        <v>22</v>
      </c>
      <c r="D86" s="10">
        <f>IFERROR((thsiFinD("ths_close_price_index",$A86,$AE$2,"","")/thsiFinD("ths_close_price_index",$A86,$AE$5,"","")-1)*100,"")</f>
        <v/>
      </c>
      <c r="E86" s="10">
        <f>IFERROR((thsiFinD("ths_close_price_index",$A86,$AE$2,"","")/thsiFinD("ths_close_price_index",$A86,$AE$3,"","")-1)*100,"")</f>
        <v/>
      </c>
      <c r="F86" s="10">
        <f>IFERROR((thsiFinD("ths_close_price_index",$A86,$AE$2,"","")/thsiFinD("ths_close_price_index",$A86,$AE$4,"","")-1)*100,"")</f>
        <v/>
      </c>
      <c r="G86" s="11">
        <f>IFERROR(E86/5-F86/20,"")</f>
        <v/>
      </c>
      <c r="H86" s="1" t="n">
        <v>61.29</v>
      </c>
      <c r="I86" s="1" t="inlineStr">
        <is>
          <t>601877.SH</t>
        </is>
      </c>
      <c r="J86" s="1" t="inlineStr">
        <is>
          <t>正泰电器</t>
        </is>
      </c>
      <c r="K86" s="1" t="n">
        <v>278.4141</v>
      </c>
      <c r="L86" s="1" t="n">
        <v>25.34</v>
      </c>
      <c r="M86" s="1" t="inlineStr">
        <is>
          <t>601567.SH</t>
        </is>
      </c>
      <c r="N86" s="1" t="inlineStr">
        <is>
          <t>三星电气</t>
        </is>
      </c>
      <c r="O86" s="1" t="n">
        <v>108.9864</v>
      </c>
      <c r="P86" s="1" t="n">
        <v>9.92</v>
      </c>
      <c r="Q86" s="1" t="inlineStr">
        <is>
          <t>002706.SZ</t>
        </is>
      </c>
      <c r="R86" s="1" t="inlineStr">
        <is>
          <t>良信股份</t>
        </is>
      </c>
      <c r="S86" s="1" t="n">
        <v>104.0409</v>
      </c>
      <c r="T86" s="1" t="n">
        <v>9.470000000000001</v>
      </c>
      <c r="U86" s="1" t="inlineStr">
        <is>
          <t>300827.SZ</t>
        </is>
      </c>
      <c r="V86" s="1" t="inlineStr">
        <is>
          <t>上能电气</t>
        </is>
      </c>
      <c r="W86" s="1" t="n">
        <v>97.5801</v>
      </c>
      <c r="X86" s="1" t="n">
        <v>8.880000000000001</v>
      </c>
      <c r="Y86" s="1" t="inlineStr">
        <is>
          <t>603045.SH</t>
        </is>
      </c>
      <c r="Z86" s="1" t="inlineStr">
        <is>
          <t>福达合金</t>
        </is>
      </c>
      <c r="AA86" s="1" t="n">
        <v>84.4033</v>
      </c>
      <c r="AB86" s="1" t="n">
        <v>7.68</v>
      </c>
    </row>
    <row r="87">
      <c r="A87" s="1" t="inlineStr">
        <is>
          <t>CI005330.CI</t>
        </is>
      </c>
      <c r="B87" s="1" t="inlineStr">
        <is>
          <t>调味品指数</t>
        </is>
      </c>
      <c r="C87" s="1" t="n">
        <v>13</v>
      </c>
      <c r="D87" s="10">
        <f>IFERROR((thsiFinD("ths_close_price_index",$A87,$AE$2,"","")/thsiFinD("ths_close_price_index",$A87,$AE$5,"","")-1)*100,"")</f>
        <v/>
      </c>
      <c r="E87" s="10">
        <f>IFERROR((thsiFinD("ths_close_price_index",$A87,$AE$2,"","")/thsiFinD("ths_close_price_index",$A87,$AE$3,"","")-1)*100,"")</f>
        <v/>
      </c>
      <c r="F87" s="10">
        <f>IFERROR((thsiFinD("ths_close_price_index",$A87,$AE$2,"","")/thsiFinD("ths_close_price_index",$A87,$AE$4,"","")-1)*100,"")</f>
        <v/>
      </c>
      <c r="G87" s="11">
        <f>IFERROR(E87/5-F87/20,"")</f>
        <v/>
      </c>
      <c r="H87" s="1" t="n">
        <v>82.31999999999999</v>
      </c>
      <c r="I87" s="1" t="inlineStr">
        <is>
          <t>603288.SH</t>
        </is>
      </c>
      <c r="J87" s="1" t="inlineStr">
        <is>
          <t>海天味业</t>
        </is>
      </c>
      <c r="K87" s="1" t="n">
        <v>471.4195</v>
      </c>
      <c r="L87" s="1" t="n">
        <v>42.28</v>
      </c>
      <c r="M87" s="1" t="inlineStr">
        <is>
          <t>600186.SH</t>
        </is>
      </c>
      <c r="N87" s="1" t="inlineStr">
        <is>
          <t>莲花控股</t>
        </is>
      </c>
      <c r="O87" s="1" t="n">
        <v>210.1983</v>
      </c>
      <c r="P87" s="1" t="n">
        <v>18.85</v>
      </c>
      <c r="Q87" s="1" t="inlineStr">
        <is>
          <t>600872.SH</t>
        </is>
      </c>
      <c r="R87" s="1" t="inlineStr">
        <is>
          <t>中炬高新</t>
        </is>
      </c>
      <c r="S87" s="1" t="n">
        <v>102.2055</v>
      </c>
      <c r="T87" s="1" t="n">
        <v>9.17</v>
      </c>
      <c r="U87" s="1" t="inlineStr">
        <is>
          <t>002507.SZ</t>
        </is>
      </c>
      <c r="V87" s="1" t="inlineStr">
        <is>
          <t>涪陵榨菜</t>
        </is>
      </c>
      <c r="W87" s="1" t="n">
        <v>84.4654</v>
      </c>
      <c r="X87" s="1" t="n">
        <v>7.58</v>
      </c>
      <c r="Y87" s="1" t="inlineStr">
        <is>
          <t>603317.SH</t>
        </is>
      </c>
      <c r="Z87" s="1" t="inlineStr">
        <is>
          <t>天味食品</t>
        </is>
      </c>
      <c r="AA87" s="1" t="n">
        <v>49.5027</v>
      </c>
      <c r="AB87" s="1" t="n">
        <v>4.44</v>
      </c>
    </row>
    <row r="88">
      <c r="A88" s="1" t="inlineStr">
        <is>
          <t>CI005573.CI</t>
        </is>
      </c>
      <c r="B88" s="1" t="inlineStr">
        <is>
          <t>互联网广告营销指数</t>
        </is>
      </c>
      <c r="C88" s="1" t="n">
        <v>21</v>
      </c>
      <c r="D88" s="10">
        <f>IFERROR((thsiFinD("ths_close_price_index",$A88,$AE$2,"","")/thsiFinD("ths_close_price_index",$A88,$AE$5,"","")-1)*100,"")</f>
        <v/>
      </c>
      <c r="E88" s="10">
        <f>IFERROR((thsiFinD("ths_close_price_index",$A88,$AE$2,"","")/thsiFinD("ths_close_price_index",$A88,$AE$3,"","")-1)*100,"")</f>
        <v/>
      </c>
      <c r="F88" s="10">
        <f>IFERROR((thsiFinD("ths_close_price_index",$A88,$AE$2,"","")/thsiFinD("ths_close_price_index",$A88,$AE$4,"","")-1)*100,"")</f>
        <v/>
      </c>
      <c r="G88" s="11">
        <f>IFERROR(E88/5-F88/20,"")</f>
        <v/>
      </c>
      <c r="H88" s="1" t="n">
        <v>65.2</v>
      </c>
      <c r="I88" s="1" t="inlineStr">
        <is>
          <t>300058.SZ</t>
        </is>
      </c>
      <c r="J88" s="1" t="inlineStr">
        <is>
          <t>蓝色光标</t>
        </is>
      </c>
      <c r="K88" s="1" t="n">
        <v>557.1644</v>
      </c>
      <c r="L88" s="1" t="n">
        <v>28.62</v>
      </c>
      <c r="M88" s="1" t="inlineStr">
        <is>
          <t>002131.SZ</t>
        </is>
      </c>
      <c r="N88" s="1" t="inlineStr">
        <is>
          <t>利欧股份</t>
        </is>
      </c>
      <c r="O88" s="1" t="n">
        <v>299.0808</v>
      </c>
      <c r="P88" s="1" t="n">
        <v>15.36</v>
      </c>
      <c r="Q88" s="1" t="inlineStr">
        <is>
          <t>301171.SZ</t>
        </is>
      </c>
      <c r="R88" s="1" t="inlineStr">
        <is>
          <t>易点天下</t>
        </is>
      </c>
      <c r="S88" s="1" t="n">
        <v>169.978</v>
      </c>
      <c r="T88" s="1" t="n">
        <v>8.73</v>
      </c>
      <c r="U88" s="1" t="inlineStr">
        <is>
          <t>002354.SZ</t>
        </is>
      </c>
      <c r="V88" s="1" t="inlineStr">
        <is>
          <t>天娱数科</t>
        </is>
      </c>
      <c r="W88" s="1" t="n">
        <v>138.184</v>
      </c>
      <c r="X88" s="1" t="n">
        <v>7.1</v>
      </c>
      <c r="Y88" s="1" t="inlineStr">
        <is>
          <t>600986.SH</t>
        </is>
      </c>
      <c r="Z88" s="1" t="inlineStr">
        <is>
          <t>浙文互联</t>
        </is>
      </c>
      <c r="AA88" s="1" t="n">
        <v>104.9127</v>
      </c>
      <c r="AB88" s="1" t="n">
        <v>5.39</v>
      </c>
    </row>
    <row r="89">
      <c r="A89" s="1" t="inlineStr">
        <is>
          <t>CI005557.CI</t>
        </is>
      </c>
      <c r="B89" s="1" t="inlineStr">
        <is>
          <t>增值服务Ⅲ指数</t>
        </is>
      </c>
      <c r="C89" s="1" t="n">
        <v>13</v>
      </c>
      <c r="D89" s="10">
        <f>IFERROR((thsiFinD("ths_close_price_index",$A89,$AE$2,"","")/thsiFinD("ths_close_price_index",$A89,$AE$5,"","")-1)*100,"")</f>
        <v/>
      </c>
      <c r="E89" s="10">
        <f>IFERROR((thsiFinD("ths_close_price_index",$A89,$AE$2,"","")/thsiFinD("ths_close_price_index",$A89,$AE$3,"","")-1)*100,"")</f>
        <v/>
      </c>
      <c r="F89" s="10">
        <f>IFERROR((thsiFinD("ths_close_price_index",$A89,$AE$2,"","")/thsiFinD("ths_close_price_index",$A89,$AE$4,"","")-1)*100,"")</f>
        <v/>
      </c>
      <c r="G89" s="11">
        <f>IFERROR(E89/5-F89/20,"")</f>
        <v/>
      </c>
      <c r="H89" s="1" t="n">
        <v>58.43</v>
      </c>
      <c r="I89" s="1" t="inlineStr">
        <is>
          <t>000839.SZ</t>
        </is>
      </c>
      <c r="J89" s="1" t="inlineStr">
        <is>
          <t>国安股份</t>
        </is>
      </c>
      <c r="K89" s="1" t="n">
        <v>73.2453</v>
      </c>
      <c r="L89" s="1" t="n">
        <v>13.5</v>
      </c>
      <c r="M89" s="1" t="inlineStr">
        <is>
          <t>300292.SZ</t>
        </is>
      </c>
      <c r="N89" s="1" t="inlineStr">
        <is>
          <t>吴通控股</t>
        </is>
      </c>
      <c r="O89" s="1" t="n">
        <v>67.4036</v>
      </c>
      <c r="P89" s="1" t="n">
        <v>12.42</v>
      </c>
      <c r="Q89" s="1" t="inlineStr">
        <is>
          <t>002467.SZ</t>
        </is>
      </c>
      <c r="R89" s="1" t="inlineStr">
        <is>
          <t>二六三</t>
        </is>
      </c>
      <c r="S89" s="1" t="n">
        <v>63.0134</v>
      </c>
      <c r="T89" s="1" t="n">
        <v>11.61</v>
      </c>
      <c r="U89" s="1" t="inlineStr">
        <is>
          <t>300959.SZ</t>
        </is>
      </c>
      <c r="V89" s="1" t="inlineStr">
        <is>
          <t>线上线下</t>
        </is>
      </c>
      <c r="W89" s="1" t="n">
        <v>59.2937</v>
      </c>
      <c r="X89" s="1" t="n">
        <v>10.93</v>
      </c>
      <c r="Y89" s="1" t="inlineStr">
        <is>
          <t>002123.SZ</t>
        </is>
      </c>
      <c r="Z89" s="1" t="inlineStr">
        <is>
          <t>梦网科技</t>
        </is>
      </c>
      <c r="AA89" s="1" t="n">
        <v>54.0636</v>
      </c>
      <c r="AB89" s="1" t="n">
        <v>9.970000000000001</v>
      </c>
    </row>
    <row r="90">
      <c r="A90" s="1" t="inlineStr">
        <is>
          <t>CI005344.CI</t>
        </is>
      </c>
      <c r="B90" s="1" t="inlineStr">
        <is>
          <t>城商行指数</t>
        </is>
      </c>
      <c r="C90" s="1" t="n">
        <v>17</v>
      </c>
      <c r="D90" s="10">
        <f>IFERROR((thsiFinD("ths_close_price_index",$A90,$AE$2,"","")/thsiFinD("ths_close_price_index",$A90,$AE$5,"","")-1)*100,"")</f>
        <v/>
      </c>
      <c r="E90" s="10">
        <f>IFERROR((thsiFinD("ths_close_price_index",$A90,$AE$2,"","")/thsiFinD("ths_close_price_index",$A90,$AE$3,"","")-1)*100,"")</f>
        <v/>
      </c>
      <c r="F90" s="10">
        <f>IFERROR((thsiFinD("ths_close_price_index",$A90,$AE$2,"","")/thsiFinD("ths_close_price_index",$A90,$AE$4,"","")-1)*100,"")</f>
        <v/>
      </c>
      <c r="G90" s="11">
        <f>IFERROR(E90/5-F90/20,"")</f>
        <v/>
      </c>
      <c r="H90" s="1" t="n">
        <v>84.19</v>
      </c>
      <c r="I90" s="1" t="inlineStr">
        <is>
          <t>601169.SH</t>
        </is>
      </c>
      <c r="J90" s="1" t="inlineStr">
        <is>
          <t>北京银行</t>
        </is>
      </c>
      <c r="K90" s="1" t="n">
        <v>1200</v>
      </c>
      <c r="L90" s="1" t="n">
        <v>21.14</v>
      </c>
      <c r="M90" s="1" t="inlineStr">
        <is>
          <t>600000.SH</t>
        </is>
      </c>
      <c r="N90" s="1" t="inlineStr">
        <is>
          <t>浦发银行</t>
        </is>
      </c>
      <c r="O90" s="1" t="n">
        <v>1100</v>
      </c>
      <c r="P90" s="1" t="n">
        <v>19.37</v>
      </c>
      <c r="Q90" s="1" t="inlineStr">
        <is>
          <t>601009.SH</t>
        </is>
      </c>
      <c r="R90" s="1" t="inlineStr">
        <is>
          <t>南京银行</t>
        </is>
      </c>
      <c r="S90" s="1" t="n">
        <v>900</v>
      </c>
      <c r="T90" s="1" t="n">
        <v>15.85</v>
      </c>
      <c r="U90" s="1" t="inlineStr">
        <is>
          <t>601229.SH</t>
        </is>
      </c>
      <c r="V90" s="1" t="inlineStr">
        <is>
          <t>上海银行</t>
        </is>
      </c>
      <c r="W90" s="1" t="n">
        <v>800</v>
      </c>
      <c r="X90" s="1" t="n">
        <v>14.09</v>
      </c>
      <c r="Y90" s="1" t="inlineStr">
        <is>
          <t>002142.SZ</t>
        </is>
      </c>
      <c r="Z90" s="1" t="inlineStr">
        <is>
          <t>宁波银行</t>
        </is>
      </c>
      <c r="AA90" s="1" t="n">
        <v>780</v>
      </c>
      <c r="AB90" s="1" t="n">
        <v>13.74</v>
      </c>
    </row>
    <row r="91">
      <c r="A91" s="1" t="inlineStr">
        <is>
          <t>CI005406.CI</t>
        </is>
      </c>
      <c r="B91" s="1" t="inlineStr">
        <is>
          <t>环保及水务指数</t>
        </is>
      </c>
      <c r="C91" s="1" t="n">
        <v>111</v>
      </c>
      <c r="D91" s="10">
        <f>IFERROR((thsiFinD("ths_close_price_index",$A91,$AE$2,"","")/thsiFinD("ths_close_price_index",$A91,$AE$5,"","")-1)*100,"")</f>
        <v/>
      </c>
      <c r="E91" s="10">
        <f>IFERROR((thsiFinD("ths_close_price_index",$A91,$AE$2,"","")/thsiFinD("ths_close_price_index",$A91,$AE$3,"","")-1)*100,"")</f>
        <v/>
      </c>
      <c r="F91" s="10">
        <f>IFERROR((thsiFinD("ths_close_price_index",$A91,$AE$2,"","")/thsiFinD("ths_close_price_index",$A91,$AE$4,"","")-1)*100,"")</f>
        <v/>
      </c>
      <c r="G91" s="11">
        <f>IFERROR(E91/5-F91/20,"")</f>
        <v/>
      </c>
      <c r="H91" s="1" t="n">
        <v>27.27</v>
      </c>
      <c r="I91" s="1" t="inlineStr">
        <is>
          <t>603588.SH</t>
        </is>
      </c>
      <c r="J91" s="1" t="inlineStr">
        <is>
          <t>高能环境</t>
        </is>
      </c>
      <c r="K91" s="1" t="n">
        <v>228.6788</v>
      </c>
      <c r="L91" s="1" t="n">
        <v>8.77</v>
      </c>
      <c r="M91" s="1" t="inlineStr">
        <is>
          <t>600388.SH</t>
        </is>
      </c>
      <c r="N91" s="1" t="inlineStr">
        <is>
          <t>龙净环保</t>
        </is>
      </c>
      <c r="O91" s="1" t="n">
        <v>136.5163</v>
      </c>
      <c r="P91" s="1" t="n">
        <v>5.24</v>
      </c>
      <c r="Q91" s="1" t="inlineStr">
        <is>
          <t>600323.SH</t>
        </is>
      </c>
      <c r="R91" s="1" t="inlineStr">
        <is>
          <t>瀚蓝环境</t>
        </is>
      </c>
      <c r="S91" s="1" t="n">
        <v>123.8712</v>
      </c>
      <c r="T91" s="1" t="n">
        <v>4.75</v>
      </c>
      <c r="U91" s="1" t="inlineStr">
        <is>
          <t>600008.SH</t>
        </is>
      </c>
      <c r="V91" s="1" t="inlineStr">
        <is>
          <t>首创环保</t>
        </is>
      </c>
      <c r="W91" s="1" t="n">
        <v>116.5184</v>
      </c>
      <c r="X91" s="1" t="n">
        <v>4.47</v>
      </c>
      <c r="Y91" s="1" t="inlineStr">
        <is>
          <t>603568.SH</t>
        </is>
      </c>
      <c r="Z91" s="1" t="inlineStr">
        <is>
          <t>伟明环保</t>
        </is>
      </c>
      <c r="AA91" s="1" t="n">
        <v>105.3536</v>
      </c>
      <c r="AB91" s="1" t="n">
        <v>4.04</v>
      </c>
    </row>
    <row r="92">
      <c r="A92" s="1" t="inlineStr">
        <is>
          <t>CI005409.CI</t>
        </is>
      </c>
      <c r="B92" s="1" t="inlineStr">
        <is>
          <t>钢铁耗材指数</t>
        </is>
      </c>
      <c r="C92" s="1" t="n">
        <v>4</v>
      </c>
      <c r="D92" s="10">
        <f>IFERROR((thsiFinD("ths_close_price_index",$A92,$AE$2,"","")/thsiFinD("ths_close_price_index",$A92,$AE$5,"","")-1)*100,"")</f>
        <v/>
      </c>
      <c r="E92" s="10">
        <f>IFERROR((thsiFinD("ths_close_price_index",$A92,$AE$2,"","")/thsiFinD("ths_close_price_index",$A92,$AE$3,"","")-1)*100,"")</f>
        <v/>
      </c>
      <c r="F92" s="10">
        <f>IFERROR((thsiFinD("ths_close_price_index",$A92,$AE$2,"","")/thsiFinD("ths_close_price_index",$A92,$AE$4,"","")-1)*100,"")</f>
        <v/>
      </c>
      <c r="G92" s="11">
        <f>IFERROR(E92/5-F92/20,"")</f>
        <v/>
      </c>
      <c r="H92" s="1" t="n">
        <v>100</v>
      </c>
      <c r="I92" s="1" t="inlineStr">
        <is>
          <t>000629.SZ</t>
        </is>
      </c>
      <c r="J92" s="1" t="inlineStr">
        <is>
          <t>钒钛股份</t>
        </is>
      </c>
      <c r="K92" s="1" t="n">
        <v>143.708</v>
      </c>
      <c r="L92" s="1" t="n">
        <v>77.33</v>
      </c>
      <c r="M92" s="1" t="inlineStr">
        <is>
          <t>688119.SH</t>
        </is>
      </c>
      <c r="N92" s="1" t="inlineStr">
        <is>
          <t>中钢洛耐</t>
        </is>
      </c>
      <c r="O92" s="1" t="n">
        <v>31.2147</v>
      </c>
      <c r="P92" s="1" t="n">
        <v>16.8</v>
      </c>
      <c r="Q92" s="1" t="inlineStr">
        <is>
          <t>300930.SZ</t>
        </is>
      </c>
      <c r="R92" s="1" t="inlineStr">
        <is>
          <t>屹通新材</t>
        </is>
      </c>
      <c r="S92" s="1" t="n">
        <v>10.9121</v>
      </c>
      <c r="T92" s="1" t="n">
        <v>5.87</v>
      </c>
    </row>
    <row r="93">
      <c r="A93" s="1" t="inlineStr">
        <is>
          <t>CI005477.CI</t>
        </is>
      </c>
      <c r="B93" s="1" t="inlineStr">
        <is>
          <t>储能指数</t>
        </is>
      </c>
      <c r="C93" s="1" t="n">
        <v>12</v>
      </c>
      <c r="D93" s="10">
        <f>IFERROR((thsiFinD("ths_close_price_index",$A93,$AE$2,"","")/thsiFinD("ths_close_price_index",$A93,$AE$5,"","")-1)*100,"")</f>
        <v/>
      </c>
      <c r="E93" s="10">
        <f>IFERROR((thsiFinD("ths_close_price_index",$A93,$AE$2,"","")/thsiFinD("ths_close_price_index",$A93,$AE$3,"","")-1)*100,"")</f>
        <v/>
      </c>
      <c r="F93" s="10">
        <f>IFERROR((thsiFinD("ths_close_price_index",$A93,$AE$2,"","")/thsiFinD("ths_close_price_index",$A93,$AE$4,"","")-1)*100,"")</f>
        <v/>
      </c>
      <c r="G93" s="11">
        <f>IFERROR(E93/5-F93/20,"")</f>
        <v/>
      </c>
      <c r="H93" s="1" t="n">
        <v>100.01</v>
      </c>
      <c r="I93" s="1" t="inlineStr">
        <is>
          <t>300001.SZ</t>
        </is>
      </c>
      <c r="J93" s="1" t="inlineStr">
        <is>
          <t>特锐德</t>
        </is>
      </c>
      <c r="K93" s="1" t="n">
        <v>278.5882</v>
      </c>
      <c r="L93" s="1" t="n">
        <v>52.45</v>
      </c>
      <c r="M93" s="1" t="inlineStr">
        <is>
          <t>688063.SH</t>
        </is>
      </c>
      <c r="N93" s="1" t="inlineStr">
        <is>
          <t>派能科技</t>
        </is>
      </c>
      <c r="O93" s="1" t="n">
        <v>102.6818</v>
      </c>
      <c r="P93" s="1" t="n">
        <v>19.33</v>
      </c>
      <c r="Q93" s="1" t="inlineStr">
        <is>
          <t>688717.SH</t>
        </is>
      </c>
      <c r="R93" s="1" t="inlineStr">
        <is>
          <t>艾罗能源</t>
        </is>
      </c>
      <c r="S93" s="1" t="n">
        <v>90.98560000000001</v>
      </c>
      <c r="T93" s="1" t="n">
        <v>17.13</v>
      </c>
      <c r="U93" s="1" t="inlineStr">
        <is>
          <t>300068.SZ</t>
        </is>
      </c>
      <c r="V93" s="1" t="inlineStr">
        <is>
          <t>ST南都</t>
        </is>
      </c>
      <c r="W93" s="1" t="n">
        <v>33.3</v>
      </c>
      <c r="X93" s="1" t="n">
        <v>6.27</v>
      </c>
      <c r="Y93" s="1" t="inlineStr">
        <is>
          <t>301327.SZ</t>
        </is>
      </c>
      <c r="Z93" s="1" t="inlineStr">
        <is>
          <t>华宝新能</t>
        </is>
      </c>
      <c r="AA93" s="1" t="n">
        <v>25.6405</v>
      </c>
      <c r="AB93" s="1" t="n">
        <v>4.83</v>
      </c>
    </row>
    <row r="94">
      <c r="A94" s="1" t="inlineStr">
        <is>
          <t>CI005221.CI</t>
        </is>
      </c>
      <c r="B94" s="1" t="inlineStr">
        <is>
          <t>水电指数</t>
        </is>
      </c>
      <c r="C94" s="1" t="n">
        <v>9</v>
      </c>
      <c r="D94" s="10">
        <f>IFERROR((thsiFinD("ths_close_price_index",$A94,$AE$2,"","")/thsiFinD("ths_close_price_index",$A94,$AE$5,"","")-1)*100,"")</f>
        <v/>
      </c>
      <c r="E94" s="10">
        <f>IFERROR((thsiFinD("ths_close_price_index",$A94,$AE$2,"","")/thsiFinD("ths_close_price_index",$A94,$AE$3,"","")-1)*100,"")</f>
        <v/>
      </c>
      <c r="F94" s="10">
        <f>IFERROR((thsiFinD("ths_close_price_index",$A94,$AE$2,"","")/thsiFinD("ths_close_price_index",$A94,$AE$4,"","")-1)*100,"")</f>
        <v/>
      </c>
      <c r="G94" s="11">
        <f>IFERROR(E94/5-F94/20,"")</f>
        <v/>
      </c>
      <c r="H94" s="1" t="n">
        <v>97.23</v>
      </c>
      <c r="I94" s="1" t="inlineStr">
        <is>
          <t>600900.SH</t>
        </is>
      </c>
      <c r="J94" s="1" t="inlineStr">
        <is>
          <t>长江电力</t>
        </is>
      </c>
      <c r="K94" s="1" t="n">
        <v>3082.4272</v>
      </c>
      <c r="L94" s="1" t="n">
        <v>81.55</v>
      </c>
      <c r="M94" s="1" t="inlineStr">
        <is>
          <t>600674.SH</t>
        </is>
      </c>
      <c r="N94" s="1" t="inlineStr">
        <is>
          <t>川投能源</t>
        </is>
      </c>
      <c r="O94" s="1" t="n">
        <v>228.3565</v>
      </c>
      <c r="P94" s="1" t="n">
        <v>6.04</v>
      </c>
      <c r="Q94" s="1" t="inlineStr">
        <is>
          <t>600025.SH</t>
        </is>
      </c>
      <c r="R94" s="1" t="inlineStr">
        <is>
          <t>华能水电</t>
        </is>
      </c>
      <c r="S94" s="1" t="n">
        <v>214.1801</v>
      </c>
      <c r="T94" s="1" t="n">
        <v>5.67</v>
      </c>
      <c r="U94" s="1" t="inlineStr">
        <is>
          <t>600236.SH</t>
        </is>
      </c>
      <c r="V94" s="1" t="inlineStr">
        <is>
          <t>桂冠电力</t>
        </is>
      </c>
      <c r="W94" s="1" t="n">
        <v>95.00320000000001</v>
      </c>
      <c r="X94" s="1" t="n">
        <v>2.51</v>
      </c>
      <c r="Y94" s="1" t="inlineStr">
        <is>
          <t>000601.SZ</t>
        </is>
      </c>
      <c r="Z94" s="1" t="inlineStr">
        <is>
          <t>韶能股份</t>
        </is>
      </c>
      <c r="AA94" s="1" t="n">
        <v>55.0853</v>
      </c>
      <c r="AB94" s="1" t="n">
        <v>1.46</v>
      </c>
    </row>
    <row r="95">
      <c r="A95" s="1" t="inlineStr">
        <is>
          <t>CI005405.CI</t>
        </is>
      </c>
      <c r="B95" s="1" t="inlineStr">
        <is>
          <t>电网指数</t>
        </is>
      </c>
      <c r="C95" s="1" t="n">
        <v>9</v>
      </c>
      <c r="D95" s="10">
        <f>IFERROR((thsiFinD("ths_close_price_index",$A95,$AE$2,"","")/thsiFinD("ths_close_price_index",$A95,$AE$5,"","")-1)*100,"")</f>
        <v/>
      </c>
      <c r="E95" s="10">
        <f>IFERROR((thsiFinD("ths_close_price_index",$A95,$AE$2,"","")/thsiFinD("ths_close_price_index",$A95,$AE$3,"","")-1)*100,"")</f>
        <v/>
      </c>
      <c r="F95" s="10">
        <f>IFERROR((thsiFinD("ths_close_price_index",$A95,$AE$2,"","")/thsiFinD("ths_close_price_index",$A95,$AE$4,"","")-1)*100,"")</f>
        <v/>
      </c>
      <c r="G95" s="11">
        <f>IFERROR(E95/5-F95/20,"")</f>
        <v/>
      </c>
      <c r="H95" s="1" t="n">
        <v>75.09999999999999</v>
      </c>
      <c r="I95" s="1" t="inlineStr">
        <is>
          <t>600995.SH</t>
        </is>
      </c>
      <c r="J95" s="1" t="inlineStr">
        <is>
          <t>南网储能</t>
        </is>
      </c>
      <c r="K95" s="1" t="n">
        <v>92.6405</v>
      </c>
      <c r="L95" s="1" t="n">
        <v>22.68</v>
      </c>
      <c r="M95" s="1" t="inlineStr">
        <is>
          <t>600452.SH</t>
        </is>
      </c>
      <c r="N95" s="1" t="inlineStr">
        <is>
          <t>涪陵电力</t>
        </is>
      </c>
      <c r="O95" s="1" t="n">
        <v>90.7359</v>
      </c>
      <c r="P95" s="1" t="n">
        <v>22.21</v>
      </c>
      <c r="Q95" s="1" t="inlineStr">
        <is>
          <t>600116.SH</t>
        </is>
      </c>
      <c r="R95" s="1" t="inlineStr">
        <is>
          <t>三峡水利</t>
        </is>
      </c>
      <c r="S95" s="1" t="n">
        <v>53.4845</v>
      </c>
      <c r="T95" s="1" t="n">
        <v>13.09</v>
      </c>
      <c r="U95" s="1" t="inlineStr">
        <is>
          <t>600979.SH</t>
        </is>
      </c>
      <c r="V95" s="1" t="inlineStr">
        <is>
          <t>广安爱众</t>
        </is>
      </c>
      <c r="W95" s="1" t="n">
        <v>36.8866</v>
      </c>
      <c r="X95" s="1" t="n">
        <v>9.029999999999999</v>
      </c>
      <c r="Y95" s="1" t="inlineStr">
        <is>
          <t>600101.SH</t>
        </is>
      </c>
      <c r="Z95" s="1" t="inlineStr">
        <is>
          <t>明星电力</t>
        </is>
      </c>
      <c r="AA95" s="1" t="n">
        <v>33.0619</v>
      </c>
      <c r="AB95" s="1" t="n">
        <v>8.09</v>
      </c>
    </row>
    <row r="96">
      <c r="A96" s="1" t="inlineStr">
        <is>
          <t>CI005444.CI</t>
        </is>
      </c>
      <c r="B96" s="1" t="inlineStr">
        <is>
          <t>纸包装指数</t>
        </is>
      </c>
      <c r="C96" s="1" t="n">
        <v>22</v>
      </c>
      <c r="D96" s="10">
        <f>IFERROR((thsiFinD("ths_close_price_index",$A96,$AE$2,"","")/thsiFinD("ths_close_price_index",$A96,$AE$5,"","")-1)*100,"")</f>
        <v/>
      </c>
      <c r="E96" s="10">
        <f>IFERROR((thsiFinD("ths_close_price_index",$A96,$AE$2,"","")/thsiFinD("ths_close_price_index",$A96,$AE$3,"","")-1)*100,"")</f>
        <v/>
      </c>
      <c r="F96" s="10">
        <f>IFERROR((thsiFinD("ths_close_price_index",$A96,$AE$2,"","")/thsiFinD("ths_close_price_index",$A96,$AE$4,"","")-1)*100,"")</f>
        <v/>
      </c>
      <c r="G96" s="11">
        <f>IFERROR(E96/5-F96/20,"")</f>
        <v/>
      </c>
      <c r="H96" s="1" t="n">
        <v>60.26</v>
      </c>
      <c r="I96" s="1" t="inlineStr">
        <is>
          <t>002831.SZ</t>
        </is>
      </c>
      <c r="J96" s="1" t="inlineStr">
        <is>
          <t>裕同科技</t>
        </is>
      </c>
      <c r="K96" s="1" t="n">
        <v>167.1</v>
      </c>
      <c r="L96" s="1" t="n">
        <v>24.93</v>
      </c>
      <c r="M96" s="1" t="inlineStr">
        <is>
          <t>002565.SZ</t>
        </is>
      </c>
      <c r="N96" s="1" t="inlineStr">
        <is>
          <t>顺灏股份</t>
        </is>
      </c>
      <c r="O96" s="1" t="n">
        <v>102.1006</v>
      </c>
      <c r="P96" s="1" t="n">
        <v>15.23</v>
      </c>
      <c r="Q96" s="1" t="inlineStr">
        <is>
          <t>603687.SH</t>
        </is>
      </c>
      <c r="R96" s="1" t="inlineStr">
        <is>
          <t>大胜达</t>
        </is>
      </c>
      <c r="S96" s="1" t="n">
        <v>54.3544</v>
      </c>
      <c r="T96" s="1" t="n">
        <v>8.109999999999999</v>
      </c>
      <c r="U96" s="1" t="inlineStr">
        <is>
          <t>002191.SZ</t>
        </is>
      </c>
      <c r="V96" s="1" t="inlineStr">
        <is>
          <t>劲嘉股份</t>
        </is>
      </c>
      <c r="W96" s="1" t="n">
        <v>45.3138</v>
      </c>
      <c r="X96" s="1" t="n">
        <v>6.76</v>
      </c>
      <c r="Y96" s="1" t="inlineStr">
        <is>
          <t>601515.SH</t>
        </is>
      </c>
      <c r="Z96" s="1" t="inlineStr">
        <is>
          <t>衢州东峰</t>
        </is>
      </c>
      <c r="AA96" s="1" t="n">
        <v>35.051</v>
      </c>
      <c r="AB96" s="1" t="n">
        <v>5.23</v>
      </c>
    </row>
    <row r="97">
      <c r="A97" s="1" t="inlineStr">
        <is>
          <t>CI005448.CI</t>
        </is>
      </c>
      <c r="B97" s="1" t="inlineStr">
        <is>
          <t>其他家居指数</t>
        </is>
      </c>
      <c r="C97" s="1" t="n">
        <v>30</v>
      </c>
      <c r="D97" s="10">
        <f>IFERROR((thsiFinD("ths_close_price_index",$A97,$AE$2,"","")/thsiFinD("ths_close_price_index",$A97,$AE$5,"","")-1)*100,"")</f>
        <v/>
      </c>
      <c r="E97" s="10">
        <f>IFERROR((thsiFinD("ths_close_price_index",$A97,$AE$2,"","")/thsiFinD("ths_close_price_index",$A97,$AE$3,"","")-1)*100,"")</f>
        <v/>
      </c>
      <c r="F97" s="10">
        <f>IFERROR((thsiFinD("ths_close_price_index",$A97,$AE$2,"","")/thsiFinD("ths_close_price_index",$A97,$AE$4,"","")-1)*100,"")</f>
        <v/>
      </c>
      <c r="G97" s="11">
        <f>IFERROR(E97/5-F97/20,"")</f>
        <v/>
      </c>
      <c r="H97" s="1" t="n">
        <v>42.32</v>
      </c>
      <c r="I97" s="1" t="inlineStr">
        <is>
          <t>603226.SH</t>
        </is>
      </c>
      <c r="J97" s="1" t="inlineStr">
        <is>
          <t>菲林格尔</t>
        </is>
      </c>
      <c r="K97" s="1" t="n">
        <v>106.8431</v>
      </c>
      <c r="L97" s="1" t="n">
        <v>19.03</v>
      </c>
      <c r="M97" s="1" t="inlineStr">
        <is>
          <t>603992.SH</t>
        </is>
      </c>
      <c r="N97" s="1" t="inlineStr">
        <is>
          <t>松霖科技</t>
        </is>
      </c>
      <c r="O97" s="1" t="n">
        <v>40.0064</v>
      </c>
      <c r="P97" s="1" t="n">
        <v>7.13</v>
      </c>
      <c r="Q97" s="1" t="inlineStr">
        <is>
          <t>002631.SZ</t>
        </is>
      </c>
      <c r="R97" s="1" t="inlineStr">
        <is>
          <t>德尔未来</t>
        </is>
      </c>
      <c r="S97" s="1" t="n">
        <v>30.6485</v>
      </c>
      <c r="T97" s="1" t="n">
        <v>5.46</v>
      </c>
      <c r="U97" s="1" t="inlineStr">
        <is>
          <t>301588.SZ</t>
        </is>
      </c>
      <c r="V97" s="1" t="inlineStr">
        <is>
          <t>美新科技</t>
        </is>
      </c>
      <c r="W97" s="1" t="n">
        <v>30.2753</v>
      </c>
      <c r="X97" s="1" t="n">
        <v>5.39</v>
      </c>
      <c r="Y97" s="1" t="inlineStr">
        <is>
          <t>002489.SZ</t>
        </is>
      </c>
      <c r="Z97" s="1" t="inlineStr">
        <is>
          <t>浙江永强</t>
        </is>
      </c>
      <c r="AA97" s="1" t="n">
        <v>29.8341</v>
      </c>
      <c r="AB97" s="1" t="n">
        <v>5.31</v>
      </c>
    </row>
    <row r="98">
      <c r="A98" s="1" t="inlineStr">
        <is>
          <t>CI005502.CI</t>
        </is>
      </c>
      <c r="B98" s="1" t="inlineStr">
        <is>
          <t>服务综合指数</t>
        </is>
      </c>
      <c r="C98" s="1" t="n">
        <v>4</v>
      </c>
      <c r="D98" s="10">
        <f>IFERROR((thsiFinD("ths_close_price_index",$A98,$AE$2,"","")/thsiFinD("ths_close_price_index",$A98,$AE$5,"","")-1)*100,"")</f>
        <v/>
      </c>
      <c r="E98" s="10">
        <f>IFERROR((thsiFinD("ths_close_price_index",$A98,$AE$2,"","")/thsiFinD("ths_close_price_index",$A98,$AE$3,"","")-1)*100,"")</f>
        <v/>
      </c>
      <c r="F98" s="10">
        <f>IFERROR((thsiFinD("ths_close_price_index",$A98,$AE$2,"","")/thsiFinD("ths_close_price_index",$A98,$AE$4,"","")-1)*100,"")</f>
        <v/>
      </c>
      <c r="G98" s="11">
        <f>IFERROR(E98/5-F98/20,"")</f>
        <v/>
      </c>
      <c r="H98" s="1" t="n">
        <v>100.01</v>
      </c>
      <c r="I98" s="1" t="inlineStr">
        <is>
          <t>300688.SZ</t>
        </is>
      </c>
      <c r="J98" s="1" t="inlineStr">
        <is>
          <t>创业黑马</t>
        </is>
      </c>
      <c r="K98" s="1" t="n">
        <v>36.5297</v>
      </c>
      <c r="L98" s="1" t="n">
        <v>44.15</v>
      </c>
      <c r="M98" s="1" t="inlineStr">
        <is>
          <t>603377.SH</t>
        </is>
      </c>
      <c r="N98" s="1" t="inlineStr">
        <is>
          <t>ST东时</t>
        </is>
      </c>
      <c r="O98" s="1" t="n">
        <v>17.3232</v>
      </c>
      <c r="P98" s="1" t="n">
        <v>20.94</v>
      </c>
      <c r="Q98" s="1" t="inlineStr">
        <is>
          <t>603373.SH</t>
        </is>
      </c>
      <c r="R98" s="1" t="inlineStr">
        <is>
          <t>安邦护卫</t>
        </is>
      </c>
      <c r="S98" s="1" t="n">
        <v>16.7362</v>
      </c>
      <c r="T98" s="1" t="n">
        <v>20.23</v>
      </c>
      <c r="U98" s="1" t="inlineStr">
        <is>
          <t>300795.SZ</t>
        </is>
      </c>
      <c r="V98" s="1" t="inlineStr">
        <is>
          <t>米奥会展</t>
        </is>
      </c>
      <c r="W98" s="1" t="n">
        <v>12.1572</v>
      </c>
      <c r="X98" s="1" t="n">
        <v>14.69</v>
      </c>
    </row>
    <row r="99">
      <c r="A99" s="1" t="inlineStr">
        <is>
          <t>CI005234.CI</t>
        </is>
      </c>
      <c r="B99" s="1" t="inlineStr">
        <is>
          <t>钾肥指数</t>
        </is>
      </c>
      <c r="C99" s="1" t="n">
        <v>3</v>
      </c>
      <c r="D99" s="10">
        <f>IFERROR((thsiFinD("ths_close_price_index",$A99,$AE$2,"","")/thsiFinD("ths_close_price_index",$A99,$AE$5,"","")-1)*100,"")</f>
        <v/>
      </c>
      <c r="E99" s="10">
        <f>IFERROR((thsiFinD("ths_close_price_index",$A99,$AE$2,"","")/thsiFinD("ths_close_price_index",$A99,$AE$3,"","")-1)*100,"")</f>
        <v/>
      </c>
      <c r="F99" s="10">
        <f>IFERROR((thsiFinD("ths_close_price_index",$A99,$AE$2,"","")/thsiFinD("ths_close_price_index",$A99,$AE$4,"","")-1)*100,"")</f>
        <v/>
      </c>
      <c r="G99" s="11">
        <f>IFERROR(E99/5-F99/20,"")</f>
        <v/>
      </c>
      <c r="H99" s="1" t="n">
        <v>100</v>
      </c>
      <c r="I99" s="1" t="inlineStr">
        <is>
          <t>000792.SZ</t>
        </is>
      </c>
      <c r="J99" s="1" t="inlineStr">
        <is>
          <t>盐湖股份</t>
        </is>
      </c>
      <c r="K99" s="1" t="n">
        <v>960.2525000000001</v>
      </c>
      <c r="L99" s="1" t="n">
        <v>54.21</v>
      </c>
      <c r="M99" s="1" t="inlineStr">
        <is>
          <t>000408.SZ</t>
        </is>
      </c>
      <c r="N99" s="1" t="inlineStr">
        <is>
          <t>藏格矿业</t>
        </is>
      </c>
      <c r="O99" s="1" t="n">
        <v>548.592</v>
      </c>
      <c r="P99" s="1" t="n">
        <v>30.97</v>
      </c>
      <c r="Q99" s="1" t="inlineStr">
        <is>
          <t>000893.SZ</t>
        </is>
      </c>
      <c r="R99" s="1" t="inlineStr">
        <is>
          <t>亚钾国际</t>
        </is>
      </c>
      <c r="S99" s="1" t="n">
        <v>262.4828</v>
      </c>
      <c r="T99" s="1" t="n">
        <v>14.82</v>
      </c>
    </row>
    <row r="100">
      <c r="A100" s="1" t="inlineStr">
        <is>
          <t>CI005316.CI</t>
        </is>
      </c>
      <c r="B100" s="1" t="inlineStr">
        <is>
          <t>化学原料药指数</t>
        </is>
      </c>
      <c r="C100" s="1" t="n">
        <v>59</v>
      </c>
      <c r="D100" s="10">
        <f>IFERROR((thsiFinD("ths_close_price_index",$A100,$AE$2,"","")/thsiFinD("ths_close_price_index",$A100,$AE$5,"","")-1)*100,"")</f>
        <v/>
      </c>
      <c r="E100" s="10">
        <f>IFERROR((thsiFinD("ths_close_price_index",$A100,$AE$2,"","")/thsiFinD("ths_close_price_index",$A100,$AE$3,"","")-1)*100,"")</f>
        <v/>
      </c>
      <c r="F100" s="10">
        <f>IFERROR((thsiFinD("ths_close_price_index",$A100,$AE$2,"","")/thsiFinD("ths_close_price_index",$A100,$AE$4,"","")-1)*100,"")</f>
        <v/>
      </c>
      <c r="G100" s="11">
        <f>IFERROR(E100/5-F100/20,"")</f>
        <v/>
      </c>
      <c r="H100" s="1" t="n">
        <v>92.03</v>
      </c>
      <c r="I100" s="1" t="inlineStr">
        <is>
          <t>688131.SH</t>
        </is>
      </c>
      <c r="J100" s="1" t="inlineStr">
        <is>
          <t>皓元医药</t>
        </is>
      </c>
      <c r="K100" s="1" t="n">
        <v>123.93</v>
      </c>
      <c r="L100" s="1" t="n">
        <v>32.89</v>
      </c>
      <c r="M100" s="1" t="inlineStr">
        <is>
          <t>000739.SZ</t>
        </is>
      </c>
      <c r="N100" s="1" t="inlineStr">
        <is>
          <t>普洛药业</t>
        </is>
      </c>
      <c r="O100" s="1" t="n">
        <v>89.0288</v>
      </c>
      <c r="P100" s="1" t="n">
        <v>23.63</v>
      </c>
      <c r="Q100" s="1" t="inlineStr">
        <is>
          <t>300436.SZ</t>
        </is>
      </c>
      <c r="R100" s="1" t="inlineStr">
        <is>
          <t>广生堂</t>
        </is>
      </c>
      <c r="S100" s="1" t="n">
        <v>82.627</v>
      </c>
      <c r="T100" s="1" t="n">
        <v>21.93</v>
      </c>
      <c r="U100" s="1" t="inlineStr">
        <is>
          <t>301201.SZ</t>
        </is>
      </c>
      <c r="V100" s="1" t="inlineStr">
        <is>
          <t>诚达药业</t>
        </is>
      </c>
      <c r="W100" s="1" t="n">
        <v>31.1282</v>
      </c>
      <c r="X100" s="1" t="n">
        <v>8.26</v>
      </c>
      <c r="Y100" s="1" t="inlineStr">
        <is>
          <t>300381.SZ</t>
        </is>
      </c>
      <c r="Z100" s="1" t="inlineStr">
        <is>
          <t>溢多利</t>
        </is>
      </c>
      <c r="AA100" s="1" t="n">
        <v>20.0589</v>
      </c>
      <c r="AB100" s="1" t="n">
        <v>5.32</v>
      </c>
    </row>
    <row r="101">
      <c r="A101" s="1" t="inlineStr">
        <is>
          <t>CI005412.CI</t>
        </is>
      </c>
      <c r="B101" s="1" t="inlineStr">
        <is>
          <t>磷肥及磷化工指数</t>
        </is>
      </c>
      <c r="C101" s="1" t="n">
        <v>9</v>
      </c>
      <c r="D101" s="10">
        <f>IFERROR((thsiFinD("ths_close_price_index",$A101,$AE$2,"","")/thsiFinD("ths_close_price_index",$A101,$AE$5,"","")-1)*100,"")</f>
        <v/>
      </c>
      <c r="E101" s="10">
        <f>IFERROR((thsiFinD("ths_close_price_index",$A101,$AE$2,"","")/thsiFinD("ths_close_price_index",$A101,$AE$3,"","")-1)*100,"")</f>
        <v/>
      </c>
      <c r="F101" s="10">
        <f>IFERROR((thsiFinD("ths_close_price_index",$A101,$AE$2,"","")/thsiFinD("ths_close_price_index",$A101,$AE$4,"","")-1)*100,"")</f>
        <v/>
      </c>
      <c r="G101" s="11">
        <f>IFERROR(E101/5-F101/20,"")</f>
        <v/>
      </c>
      <c r="H101" s="1" t="n">
        <v>89.62</v>
      </c>
      <c r="I101" s="1" t="inlineStr">
        <is>
          <t>600096.SH</t>
        </is>
      </c>
      <c r="J101" s="1" t="inlineStr">
        <is>
          <t>云天化</t>
        </is>
      </c>
      <c r="K101" s="1" t="n">
        <v>365.5515</v>
      </c>
      <c r="L101" s="1" t="n">
        <v>29.88</v>
      </c>
      <c r="M101" s="1" t="inlineStr">
        <is>
          <t>600141.SH</t>
        </is>
      </c>
      <c r="N101" s="1" t="inlineStr">
        <is>
          <t>兴发集团</t>
        </is>
      </c>
      <c r="O101" s="1" t="n">
        <v>336.7417</v>
      </c>
      <c r="P101" s="1" t="n">
        <v>27.52</v>
      </c>
      <c r="Q101" s="1" t="inlineStr">
        <is>
          <t>600331.SH</t>
        </is>
      </c>
      <c r="R101" s="1" t="inlineStr">
        <is>
          <t>宏达股份</t>
        </is>
      </c>
      <c r="S101" s="1" t="n">
        <v>195.3365</v>
      </c>
      <c r="T101" s="1" t="n">
        <v>15.96</v>
      </c>
      <c r="U101" s="1" t="inlineStr">
        <is>
          <t>002895.SZ</t>
        </is>
      </c>
      <c r="V101" s="1" t="inlineStr">
        <is>
          <t>川恒股份</t>
        </is>
      </c>
      <c r="W101" s="1" t="n">
        <v>100.9817</v>
      </c>
      <c r="X101" s="1" t="n">
        <v>8.25</v>
      </c>
      <c r="Y101" s="1" t="inlineStr">
        <is>
          <t>002312.SZ</t>
        </is>
      </c>
      <c r="Z101" s="1" t="inlineStr">
        <is>
          <t>川发龙蟒</t>
        </is>
      </c>
      <c r="AA101" s="1" t="n">
        <v>98.01260000000001</v>
      </c>
      <c r="AB101" s="1" t="n">
        <v>8.01</v>
      </c>
    </row>
    <row r="102">
      <c r="A102" s="1" t="inlineStr">
        <is>
          <t>CI005468.CI</t>
        </is>
      </c>
      <c r="B102" s="1" t="inlineStr">
        <is>
          <t>塑料加工机械指数</t>
        </is>
      </c>
      <c r="C102" s="1" t="n">
        <v>5</v>
      </c>
      <c r="D102" s="10">
        <f>IFERROR((thsiFinD("ths_close_price_index",$A102,$AE$2,"","")/thsiFinD("ths_close_price_index",$A102,$AE$5,"","")-1)*100,"")</f>
        <v/>
      </c>
      <c r="E102" s="10">
        <f>IFERROR((thsiFinD("ths_close_price_index",$A102,$AE$2,"","")/thsiFinD("ths_close_price_index",$A102,$AE$3,"","")-1)*100,"")</f>
        <v/>
      </c>
      <c r="F102" s="10">
        <f>IFERROR((thsiFinD("ths_close_price_index",$A102,$AE$2,"","")/thsiFinD("ths_close_price_index",$A102,$AE$4,"","")-1)*100,"")</f>
        <v/>
      </c>
      <c r="G102" s="11">
        <f>IFERROR(E102/5-F102/20,"")</f>
        <v/>
      </c>
      <c r="H102" s="1" t="n">
        <v>100</v>
      </c>
      <c r="I102" s="1" t="inlineStr">
        <is>
          <t>300415.SZ</t>
        </is>
      </c>
      <c r="J102" s="1" t="inlineStr">
        <is>
          <t>伊之密</t>
        </is>
      </c>
      <c r="K102" s="1" t="n">
        <v>61.9366</v>
      </c>
      <c r="L102" s="1" t="n">
        <v>46.88</v>
      </c>
      <c r="M102" s="1" t="inlineStr">
        <is>
          <t>688419.SH</t>
        </is>
      </c>
      <c r="N102" s="1" t="inlineStr">
        <is>
          <t>耐科装备</t>
        </is>
      </c>
      <c r="O102" s="1" t="n">
        <v>32.9418</v>
      </c>
      <c r="P102" s="1" t="n">
        <v>24.93</v>
      </c>
      <c r="Q102" s="1" t="inlineStr">
        <is>
          <t>300281.SZ</t>
        </is>
      </c>
      <c r="R102" s="1" t="inlineStr">
        <is>
          <t>金明精机</t>
        </is>
      </c>
      <c r="S102" s="1" t="n">
        <v>14.3313</v>
      </c>
      <c r="T102" s="1" t="n">
        <v>10.85</v>
      </c>
      <c r="U102" s="1" t="inlineStr">
        <is>
          <t>600579.SH</t>
        </is>
      </c>
      <c r="V102" s="1" t="inlineStr">
        <is>
          <t>中化装备</t>
        </is>
      </c>
      <c r="W102" s="1" t="n">
        <v>13.4932</v>
      </c>
      <c r="X102" s="1" t="n">
        <v>10.21</v>
      </c>
      <c r="Y102" s="1" t="inlineStr">
        <is>
          <t>603289.SH</t>
        </is>
      </c>
      <c r="Z102" s="1" t="inlineStr">
        <is>
          <t>泰瑞机器</t>
        </is>
      </c>
      <c r="AA102" s="1" t="n">
        <v>9.424899999999999</v>
      </c>
      <c r="AB102" s="1" t="n">
        <v>7.13</v>
      </c>
    </row>
    <row r="103">
      <c r="A103" s="1" t="inlineStr">
        <is>
          <t>CI005214.CI</t>
        </is>
      </c>
      <c r="B103" s="1" t="inlineStr">
        <is>
          <t>铜指数</t>
        </is>
      </c>
      <c r="C103" s="1" t="n">
        <v>18</v>
      </c>
      <c r="D103" s="10">
        <f>IFERROR((thsiFinD("ths_close_price_index",$A103,$AE$2,"","")/thsiFinD("ths_close_price_index",$A103,$AE$5,"","")-1)*100,"")</f>
        <v/>
      </c>
      <c r="E103" s="10">
        <f>IFERROR((thsiFinD("ths_close_price_index",$A103,$AE$2,"","")/thsiFinD("ths_close_price_index",$A103,$AE$3,"","")-1)*100,"")</f>
        <v/>
      </c>
      <c r="F103" s="10">
        <f>IFERROR((thsiFinD("ths_close_price_index",$A103,$AE$2,"","")/thsiFinD("ths_close_price_index",$A103,$AE$4,"","")-1)*100,"")</f>
        <v/>
      </c>
      <c r="G103" s="11">
        <f>IFERROR(E103/5-F103/20,"")</f>
        <v/>
      </c>
      <c r="H103" s="1" t="n">
        <v>67.5</v>
      </c>
      <c r="I103" s="1" t="inlineStr">
        <is>
          <t>000630.SZ</t>
        </is>
      </c>
      <c r="J103" s="1" t="inlineStr">
        <is>
          <t>铜陵有色</t>
        </is>
      </c>
      <c r="K103" s="1" t="n">
        <v>578.6713999999999</v>
      </c>
      <c r="L103" s="1" t="n">
        <v>17.63</v>
      </c>
      <c r="M103" s="1" t="inlineStr">
        <is>
          <t>601168.SH</t>
        </is>
      </c>
      <c r="N103" s="1" t="inlineStr">
        <is>
          <t>西部矿业</t>
        </is>
      </c>
      <c r="O103" s="1" t="n">
        <v>540.7408</v>
      </c>
      <c r="P103" s="1" t="n">
        <v>16.48</v>
      </c>
      <c r="Q103" s="1" t="inlineStr">
        <is>
          <t>600362.SH</t>
        </is>
      </c>
      <c r="R103" s="1" t="inlineStr">
        <is>
          <t>江西铜业</t>
        </is>
      </c>
      <c r="S103" s="1" t="n">
        <v>477.1549</v>
      </c>
      <c r="T103" s="1" t="n">
        <v>14.54</v>
      </c>
      <c r="U103" s="1" t="inlineStr">
        <is>
          <t>002203.SZ</t>
        </is>
      </c>
      <c r="V103" s="1" t="inlineStr">
        <is>
          <t>海亮股份</t>
        </is>
      </c>
      <c r="W103" s="1" t="n">
        <v>345.8264</v>
      </c>
      <c r="X103" s="1" t="n">
        <v>10.54</v>
      </c>
      <c r="Y103" s="1" t="inlineStr">
        <is>
          <t>603979.SH</t>
        </is>
      </c>
      <c r="Z103" s="1" t="inlineStr">
        <is>
          <t>金诚信</t>
        </is>
      </c>
      <c r="AA103" s="1" t="n">
        <v>272.7434</v>
      </c>
      <c r="AB103" s="1" t="n">
        <v>8.31</v>
      </c>
    </row>
    <row r="104">
      <c r="A104" s="1" t="inlineStr">
        <is>
          <t>CI005440.CI</t>
        </is>
      </c>
      <c r="B104" s="1" t="inlineStr">
        <is>
          <t>其他装饰材料指数</t>
        </is>
      </c>
      <c r="C104" s="1" t="n">
        <v>22</v>
      </c>
      <c r="D104" s="10">
        <f>IFERROR((thsiFinD("ths_close_price_index",$A104,$AE$2,"","")/thsiFinD("ths_close_price_index",$A104,$AE$5,"","")-1)*100,"")</f>
        <v/>
      </c>
      <c r="E104" s="10">
        <f>IFERROR((thsiFinD("ths_close_price_index",$A104,$AE$2,"","")/thsiFinD("ths_close_price_index",$A104,$AE$3,"","")-1)*100,"")</f>
        <v/>
      </c>
      <c r="F104" s="10">
        <f>IFERROR((thsiFinD("ths_close_price_index",$A104,$AE$2,"","")/thsiFinD("ths_close_price_index",$A104,$AE$4,"","")-1)*100,"")</f>
        <v/>
      </c>
      <c r="G104" s="11">
        <f>IFERROR(E104/5-F104/20,"")</f>
        <v/>
      </c>
      <c r="H104" s="1" t="n">
        <v>60.79</v>
      </c>
      <c r="I104" s="1" t="inlineStr">
        <is>
          <t>002271.SZ</t>
        </is>
      </c>
      <c r="J104" s="1" t="inlineStr">
        <is>
          <t>东方雨虹</t>
        </is>
      </c>
      <c r="K104" s="1" t="n">
        <v>224.9091</v>
      </c>
      <c r="L104" s="1" t="n">
        <v>23.25</v>
      </c>
      <c r="M104" s="1" t="inlineStr">
        <is>
          <t>000786.SZ</t>
        </is>
      </c>
      <c r="N104" s="1" t="inlineStr">
        <is>
          <t>北新建材</t>
        </is>
      </c>
      <c r="O104" s="1" t="n">
        <v>182.9198</v>
      </c>
      <c r="P104" s="1" t="n">
        <v>18.91</v>
      </c>
      <c r="Q104" s="1" t="inlineStr">
        <is>
          <t>002785.SZ</t>
        </is>
      </c>
      <c r="R104" s="1" t="inlineStr">
        <is>
          <t>万里石</t>
        </is>
      </c>
      <c r="S104" s="1" t="n">
        <v>65.928</v>
      </c>
      <c r="T104" s="1" t="n">
        <v>6.82</v>
      </c>
      <c r="U104" s="1" t="inlineStr">
        <is>
          <t>001212.SZ</t>
        </is>
      </c>
      <c r="V104" s="1" t="inlineStr">
        <is>
          <t>中旗新材</t>
        </is>
      </c>
      <c r="W104" s="1" t="n">
        <v>58.7736</v>
      </c>
      <c r="X104" s="1" t="n">
        <v>6.08</v>
      </c>
      <c r="Y104" s="1" t="inlineStr">
        <is>
          <t>605318.SH</t>
        </is>
      </c>
      <c r="Z104" s="1" t="inlineStr">
        <is>
          <t>法狮龙</t>
        </is>
      </c>
      <c r="AA104" s="1" t="n">
        <v>55.3892</v>
      </c>
      <c r="AB104" s="1" t="n">
        <v>5.73</v>
      </c>
    </row>
    <row r="105">
      <c r="A105" s="1" t="inlineStr">
        <is>
          <t>CI005475.CI</t>
        </is>
      </c>
      <c r="B105" s="1" t="inlineStr">
        <is>
          <t>电机指数</t>
        </is>
      </c>
      <c r="C105" s="1" t="n">
        <v>14</v>
      </c>
      <c r="D105" s="10">
        <f>IFERROR((thsiFinD("ths_close_price_index",$A105,$AE$2,"","")/thsiFinD("ths_close_price_index",$A105,$AE$5,"","")-1)*100,"")</f>
        <v/>
      </c>
      <c r="E105" s="10">
        <f>IFERROR((thsiFinD("ths_close_price_index",$A105,$AE$2,"","")/thsiFinD("ths_close_price_index",$A105,$AE$3,"","")-1)*100,"")</f>
        <v/>
      </c>
      <c r="F105" s="10">
        <f>IFERROR((thsiFinD("ths_close_price_index",$A105,$AE$2,"","")/thsiFinD("ths_close_price_index",$A105,$AE$4,"","")-1)*100,"")</f>
        <v/>
      </c>
      <c r="G105" s="11">
        <f>IFERROR(E105/5-F105/20,"")</f>
        <v/>
      </c>
      <c r="H105" s="1" t="n">
        <v>75.01000000000001</v>
      </c>
      <c r="I105" s="1" t="inlineStr">
        <is>
          <t>603728.SH</t>
        </is>
      </c>
      <c r="J105" s="1" t="inlineStr">
        <is>
          <t>鸣志电器</t>
        </is>
      </c>
      <c r="K105" s="1" t="n">
        <v>107.7214</v>
      </c>
      <c r="L105" s="1" t="n">
        <v>27.03</v>
      </c>
      <c r="M105" s="1" t="inlineStr">
        <is>
          <t>000922.SZ</t>
        </is>
      </c>
      <c r="N105" s="1" t="inlineStr">
        <is>
          <t>佳电股份</t>
        </is>
      </c>
      <c r="O105" s="1" t="n">
        <v>65.7454</v>
      </c>
      <c r="P105" s="1" t="n">
        <v>16.49</v>
      </c>
      <c r="Q105" s="1" t="inlineStr">
        <is>
          <t>300660.SZ</t>
        </is>
      </c>
      <c r="R105" s="1" t="inlineStr">
        <is>
          <t>江苏雷利</t>
        </is>
      </c>
      <c r="S105" s="1" t="n">
        <v>61.9259</v>
      </c>
      <c r="T105" s="1" t="n">
        <v>15.54</v>
      </c>
      <c r="U105" s="1" t="inlineStr">
        <is>
          <t>002892.SZ</t>
        </is>
      </c>
      <c r="V105" s="1" t="inlineStr">
        <is>
          <t>科力尔</t>
        </is>
      </c>
      <c r="W105" s="1" t="n">
        <v>42.2266</v>
      </c>
      <c r="X105" s="1" t="n">
        <v>10.59</v>
      </c>
      <c r="Y105" s="1" t="inlineStr">
        <is>
          <t>603988.SH</t>
        </is>
      </c>
      <c r="Z105" s="1" t="inlineStr">
        <is>
          <t>中电电机</t>
        </is>
      </c>
      <c r="AA105" s="1" t="n">
        <v>21.3827</v>
      </c>
      <c r="AB105" s="1" t="n">
        <v>5.36</v>
      </c>
    </row>
    <row r="106">
      <c r="A106" s="1" t="inlineStr">
        <is>
          <t>CI005206.CI</t>
        </is>
      </c>
      <c r="B106" s="1" t="inlineStr">
        <is>
          <t>其他石化指数</t>
        </is>
      </c>
      <c r="C106" s="1" t="n">
        <v>18</v>
      </c>
      <c r="D106" s="10">
        <f>IFERROR((thsiFinD("ths_close_price_index",$A106,$AE$2,"","")/thsiFinD("ths_close_price_index",$A106,$AE$5,"","")-1)*100,"")</f>
        <v/>
      </c>
      <c r="E106" s="10">
        <f>IFERROR((thsiFinD("ths_close_price_index",$A106,$AE$2,"","")/thsiFinD("ths_close_price_index",$A106,$AE$3,"","")-1)*100,"")</f>
        <v/>
      </c>
      <c r="F106" s="10">
        <f>IFERROR((thsiFinD("ths_close_price_index",$A106,$AE$2,"","")/thsiFinD("ths_close_price_index",$A106,$AE$4,"","")-1)*100,"")</f>
        <v/>
      </c>
      <c r="G106" s="11">
        <f>IFERROR(E106/5-F106/20,"")</f>
        <v/>
      </c>
      <c r="H106" s="1" t="n">
        <v>81.08</v>
      </c>
      <c r="I106" s="1" t="inlineStr">
        <is>
          <t>601233.SH</t>
        </is>
      </c>
      <c r="J106" s="1" t="inlineStr">
        <is>
          <t>桐昆股份</t>
        </is>
      </c>
      <c r="K106" s="1" t="n">
        <v>324.4118</v>
      </c>
      <c r="L106" s="1" t="n">
        <v>52.13</v>
      </c>
      <c r="M106" s="1" t="inlineStr">
        <is>
          <t>002408.SZ</t>
        </is>
      </c>
      <c r="N106" s="1" t="inlineStr">
        <is>
          <t>齐翔腾达</t>
        </is>
      </c>
      <c r="O106" s="1" t="n">
        <v>64.1871</v>
      </c>
      <c r="P106" s="1" t="n">
        <v>10.31</v>
      </c>
      <c r="Q106" s="1" t="inlineStr">
        <is>
          <t>002221.SZ</t>
        </is>
      </c>
      <c r="R106" s="1" t="inlineStr">
        <is>
          <t>东华能源</t>
        </is>
      </c>
      <c r="S106" s="1" t="n">
        <v>53.36</v>
      </c>
      <c r="T106" s="1" t="n">
        <v>8.57</v>
      </c>
      <c r="U106" s="1" t="inlineStr">
        <is>
          <t>000819.SZ</t>
        </is>
      </c>
      <c r="V106" s="1" t="inlineStr">
        <is>
          <t>岳阳兴长</t>
        </is>
      </c>
      <c r="W106" s="1" t="n">
        <v>31.7372</v>
      </c>
      <c r="X106" s="1" t="n">
        <v>5.1</v>
      </c>
      <c r="Y106" s="1" t="inlineStr">
        <is>
          <t>002986.SZ</t>
        </is>
      </c>
      <c r="Z106" s="1" t="inlineStr">
        <is>
          <t>宇新股份</t>
        </is>
      </c>
      <c r="AA106" s="1" t="n">
        <v>30.9532</v>
      </c>
      <c r="AB106" s="1" t="n">
        <v>4.97</v>
      </c>
    </row>
    <row r="107">
      <c r="A107" s="1" t="inlineStr">
        <is>
          <t>CI005323.CI</t>
        </is>
      </c>
      <c r="B107" s="1" t="inlineStr">
        <is>
          <t>医疗服务指数</t>
        </is>
      </c>
      <c r="C107" s="1" t="n">
        <v>47</v>
      </c>
      <c r="D107" s="10">
        <f>IFERROR((thsiFinD("ths_close_price_index",$A107,$AE$2,"","")/thsiFinD("ths_close_price_index",$A107,$AE$5,"","")-1)*100,"")</f>
        <v/>
      </c>
      <c r="E107" s="10">
        <f>IFERROR((thsiFinD("ths_close_price_index",$A107,$AE$2,"","")/thsiFinD("ths_close_price_index",$A107,$AE$3,"","")-1)*100,"")</f>
        <v/>
      </c>
      <c r="F107" s="10">
        <f>IFERROR((thsiFinD("ths_close_price_index",$A107,$AE$2,"","")/thsiFinD("ths_close_price_index",$A107,$AE$4,"","")-1)*100,"")</f>
        <v/>
      </c>
      <c r="G107" s="11">
        <f>IFERROR(E107/5-F107/20,"")</f>
        <v/>
      </c>
      <c r="H107" s="1" t="n">
        <v>67.5</v>
      </c>
      <c r="I107" s="1" t="inlineStr">
        <is>
          <t>603259.SH</t>
        </is>
      </c>
      <c r="J107" s="1" t="inlineStr">
        <is>
          <t>药明康德</t>
        </is>
      </c>
      <c r="K107" s="1" t="n">
        <v>2293.7092</v>
      </c>
      <c r="L107" s="1" t="n">
        <v>45.98</v>
      </c>
      <c r="M107" s="1" t="inlineStr">
        <is>
          <t>300015.SZ</t>
        </is>
      </c>
      <c r="N107" s="1" t="inlineStr">
        <is>
          <t>爱尔眼科</t>
        </is>
      </c>
      <c r="O107" s="1" t="n">
        <v>363.2255</v>
      </c>
      <c r="P107" s="1" t="n">
        <v>7.28</v>
      </c>
      <c r="Q107" s="1" t="inlineStr">
        <is>
          <t>300759.SZ</t>
        </is>
      </c>
      <c r="R107" s="1" t="inlineStr">
        <is>
          <t>康龙化成</t>
        </is>
      </c>
      <c r="S107" s="1" t="n">
        <v>254.6971</v>
      </c>
      <c r="T107" s="1" t="n">
        <v>5.11</v>
      </c>
      <c r="U107" s="1" t="inlineStr">
        <is>
          <t>002821.SZ</t>
        </is>
      </c>
      <c r="V107" s="1" t="inlineStr">
        <is>
          <t>凯莱英</t>
        </is>
      </c>
      <c r="W107" s="1" t="n">
        <v>245.5889</v>
      </c>
      <c r="X107" s="1" t="n">
        <v>4.92</v>
      </c>
      <c r="Y107" s="1" t="inlineStr">
        <is>
          <t>300347.SZ</t>
        </is>
      </c>
      <c r="Z107" s="1" t="inlineStr">
        <is>
          <t>泰格医药</t>
        </is>
      </c>
      <c r="AA107" s="1" t="n">
        <v>209.9511</v>
      </c>
      <c r="AB107" s="1" t="n">
        <v>4.21</v>
      </c>
    </row>
    <row r="108">
      <c r="A108" s="1" t="inlineStr">
        <is>
          <t>CI005201.CI</t>
        </is>
      </c>
      <c r="B108" s="1" t="inlineStr">
        <is>
          <t>石油开采Ⅲ指数</t>
        </is>
      </c>
      <c r="C108" s="1" t="n">
        <v>6</v>
      </c>
      <c r="D108" s="10">
        <f>IFERROR((thsiFinD("ths_close_price_index",$A108,$AE$2,"","")/thsiFinD("ths_close_price_index",$A108,$AE$5,"","")-1)*100,"")</f>
        <v/>
      </c>
      <c r="E108" s="10">
        <f>IFERROR((thsiFinD("ths_close_price_index",$A108,$AE$2,"","")/thsiFinD("ths_close_price_index",$A108,$AE$3,"","")-1)*100,"")</f>
        <v/>
      </c>
      <c r="F108" s="10">
        <f>IFERROR((thsiFinD("ths_close_price_index",$A108,$AE$2,"","")/thsiFinD("ths_close_price_index",$A108,$AE$4,"","")-1)*100,"")</f>
        <v/>
      </c>
      <c r="G108" s="11">
        <f>IFERROR(E108/5-F108/20,"")</f>
        <v/>
      </c>
      <c r="H108" s="1" t="n">
        <v>98.77</v>
      </c>
      <c r="I108" s="1" t="inlineStr">
        <is>
          <t>601857.SH</t>
        </is>
      </c>
      <c r="J108" s="1" t="inlineStr">
        <is>
          <t>中国石油</t>
        </is>
      </c>
      <c r="K108" s="1" t="n">
        <v>1097.5876</v>
      </c>
      <c r="L108" s="1" t="n">
        <v>44.85</v>
      </c>
      <c r="M108" s="1" t="inlineStr">
        <is>
          <t>600938.SH</t>
        </is>
      </c>
      <c r="N108" s="1" t="inlineStr">
        <is>
          <t>中国海油</t>
        </is>
      </c>
      <c r="O108" s="1" t="n">
        <v>913.146</v>
      </c>
      <c r="P108" s="1" t="n">
        <v>37.31</v>
      </c>
      <c r="Q108" s="1" t="inlineStr">
        <is>
          <t>600256.SH</t>
        </is>
      </c>
      <c r="R108" s="1" t="inlineStr">
        <is>
          <t>广汇能源</t>
        </is>
      </c>
      <c r="S108" s="1" t="n">
        <v>215.4975</v>
      </c>
      <c r="T108" s="1" t="n">
        <v>8.81</v>
      </c>
      <c r="U108" s="1" t="inlineStr">
        <is>
          <t>600777.SH</t>
        </is>
      </c>
      <c r="V108" s="1" t="inlineStr">
        <is>
          <t>新潮能源</t>
        </is>
      </c>
      <c r="W108" s="1" t="n">
        <v>110.203</v>
      </c>
      <c r="X108" s="1" t="n">
        <v>4.5</v>
      </c>
      <c r="Y108" s="1" t="inlineStr">
        <is>
          <t>600759.SH</t>
        </is>
      </c>
      <c r="Z108" s="1" t="inlineStr">
        <is>
          <t>ST洲际</t>
        </is>
      </c>
      <c r="AA108" s="1" t="n">
        <v>80.7046</v>
      </c>
      <c r="AB108" s="1" t="n">
        <v>3.3</v>
      </c>
    </row>
    <row r="109">
      <c r="A109" s="1" t="inlineStr">
        <is>
          <t>CI005413.CI</t>
        </is>
      </c>
      <c r="B109" s="1" t="inlineStr">
        <is>
          <t>粘胶指数</t>
        </is>
      </c>
      <c r="C109" s="1" t="n">
        <v>5</v>
      </c>
      <c r="D109" s="10">
        <f>IFERROR((thsiFinD("ths_close_price_index",$A109,$AE$2,"","")/thsiFinD("ths_close_price_index",$A109,$AE$5,"","")-1)*100,"")</f>
        <v/>
      </c>
      <c r="E109" s="10">
        <f>IFERROR((thsiFinD("ths_close_price_index",$A109,$AE$2,"","")/thsiFinD("ths_close_price_index",$A109,$AE$3,"","")-1)*100,"")</f>
        <v/>
      </c>
      <c r="F109" s="10">
        <f>IFERROR((thsiFinD("ths_close_price_index",$A109,$AE$2,"","")/thsiFinD("ths_close_price_index",$A109,$AE$4,"","")-1)*100,"")</f>
        <v/>
      </c>
      <c r="G109" s="11">
        <f>IFERROR(E109/5-F109/20,"")</f>
        <v/>
      </c>
      <c r="H109" s="1" t="n">
        <v>100.01</v>
      </c>
      <c r="I109" s="1" t="inlineStr">
        <is>
          <t>000420.SZ</t>
        </is>
      </c>
      <c r="J109" s="1" t="inlineStr">
        <is>
          <t>吉林化纤</t>
        </is>
      </c>
      <c r="K109" s="1" t="n">
        <v>84.9883</v>
      </c>
      <c r="L109" s="1" t="n">
        <v>43.23</v>
      </c>
      <c r="M109" s="1" t="inlineStr">
        <is>
          <t>000949.SZ</t>
        </is>
      </c>
      <c r="N109" s="1" t="inlineStr">
        <is>
          <t>新乡化纤</t>
        </is>
      </c>
      <c r="O109" s="1" t="n">
        <v>67.76739999999999</v>
      </c>
      <c r="P109" s="1" t="n">
        <v>34.47</v>
      </c>
      <c r="Q109" s="1" t="inlineStr">
        <is>
          <t>600889.SH</t>
        </is>
      </c>
      <c r="R109" s="1" t="inlineStr">
        <is>
          <t>*ST京化</t>
        </is>
      </c>
      <c r="S109" s="1" t="n">
        <v>32.8391</v>
      </c>
      <c r="T109" s="1" t="n">
        <v>16.7</v>
      </c>
      <c r="U109" s="1" t="inlineStr">
        <is>
          <t>000677.SZ</t>
        </is>
      </c>
      <c r="V109" s="1" t="inlineStr">
        <is>
          <t>ST海龙</t>
        </is>
      </c>
      <c r="W109" s="1" t="n">
        <v>11.022</v>
      </c>
      <c r="X109" s="1" t="n">
        <v>5.61</v>
      </c>
    </row>
    <row r="110">
      <c r="A110" s="1" t="inlineStr">
        <is>
          <t>CI005350.CI</t>
        </is>
      </c>
      <c r="B110" s="1" t="inlineStr">
        <is>
          <t>非住宅物业开发和运营指数</t>
        </is>
      </c>
      <c r="C110" s="1" t="n">
        <v>15</v>
      </c>
      <c r="D110" s="10">
        <f>IFERROR((thsiFinD("ths_close_price_index",$A110,$AE$2,"","")/thsiFinD("ths_close_price_index",$A110,$AE$5,"","")-1)*100,"")</f>
        <v/>
      </c>
      <c r="E110" s="10">
        <f>IFERROR((thsiFinD("ths_close_price_index",$A110,$AE$2,"","")/thsiFinD("ths_close_price_index",$A110,$AE$3,"","")-1)*100,"")</f>
        <v/>
      </c>
      <c r="F110" s="10">
        <f>IFERROR((thsiFinD("ths_close_price_index",$A110,$AE$2,"","")/thsiFinD("ths_close_price_index",$A110,$AE$4,"","")-1)*100,"")</f>
        <v/>
      </c>
      <c r="G110" s="11">
        <f>IFERROR(E110/5-F110/20,"")</f>
        <v/>
      </c>
      <c r="H110" s="1" t="n">
        <v>62.17</v>
      </c>
      <c r="I110" s="1" t="inlineStr">
        <is>
          <t>000062.SZ</t>
        </is>
      </c>
      <c r="J110" s="1" t="inlineStr">
        <is>
          <t>深圳华强</t>
        </is>
      </c>
      <c r="K110" s="1" t="n">
        <v>115.3434</v>
      </c>
      <c r="L110" s="1" t="n">
        <v>19.83</v>
      </c>
      <c r="M110" s="1" t="inlineStr">
        <is>
          <t>600848.SH</t>
        </is>
      </c>
      <c r="N110" s="1" t="inlineStr">
        <is>
          <t>上海临港</t>
        </is>
      </c>
      <c r="O110" s="1" t="n">
        <v>71.2662</v>
      </c>
      <c r="P110" s="1" t="n">
        <v>12.25</v>
      </c>
      <c r="Q110" s="1" t="inlineStr">
        <is>
          <t>000069.SZ</t>
        </is>
      </c>
      <c r="R110" s="1" t="inlineStr">
        <is>
          <t>华侨城A</t>
        </is>
      </c>
      <c r="S110" s="1" t="n">
        <v>70.69629999999999</v>
      </c>
      <c r="T110" s="1" t="n">
        <v>12.16</v>
      </c>
      <c r="U110" s="1" t="inlineStr">
        <is>
          <t>000608.SZ</t>
        </is>
      </c>
      <c r="V110" s="1" t="inlineStr">
        <is>
          <t>阳光股份</t>
        </is>
      </c>
      <c r="W110" s="1" t="n">
        <v>52.6575</v>
      </c>
      <c r="X110" s="1" t="n">
        <v>9.050000000000001</v>
      </c>
      <c r="Y110" s="1" t="inlineStr">
        <is>
          <t>000402.SZ</t>
        </is>
      </c>
      <c r="Z110" s="1" t="inlineStr">
        <is>
          <t>金融街</t>
        </is>
      </c>
      <c r="AA110" s="1" t="n">
        <v>51.6653</v>
      </c>
      <c r="AB110" s="1" t="n">
        <v>8.880000000000001</v>
      </c>
    </row>
    <row r="111">
      <c r="A111" s="1" t="inlineStr">
        <is>
          <t>CI005553.CI</t>
        </is>
      </c>
      <c r="B111" s="1" t="inlineStr">
        <is>
          <t>其他通信设备指数</t>
        </is>
      </c>
      <c r="C111" s="1" t="n">
        <v>18</v>
      </c>
      <c r="D111" s="10">
        <f>IFERROR((thsiFinD("ths_close_price_index",$A111,$AE$2,"","")/thsiFinD("ths_close_price_index",$A111,$AE$5,"","")-1)*100,"")</f>
        <v/>
      </c>
      <c r="E111" s="10">
        <f>IFERROR((thsiFinD("ths_close_price_index",$A111,$AE$2,"","")/thsiFinD("ths_close_price_index",$A111,$AE$3,"","")-1)*100,"")</f>
        <v/>
      </c>
      <c r="F111" s="10">
        <f>IFERROR((thsiFinD("ths_close_price_index",$A111,$AE$2,"","")/thsiFinD("ths_close_price_index",$A111,$AE$4,"","")-1)*100,"")</f>
        <v/>
      </c>
      <c r="G111" s="11">
        <f>IFERROR(E111/5-F111/20,"")</f>
        <v/>
      </c>
      <c r="H111" s="1" t="n">
        <v>85.55</v>
      </c>
      <c r="I111" s="1" t="inlineStr">
        <is>
          <t>300353.SZ</t>
        </is>
      </c>
      <c r="J111" s="1" t="inlineStr">
        <is>
          <t>东土科技</t>
        </is>
      </c>
      <c r="K111" s="1" t="n">
        <v>115.1277</v>
      </c>
      <c r="L111" s="1" t="n">
        <v>26.35</v>
      </c>
      <c r="M111" s="1" t="inlineStr">
        <is>
          <t>600345.SH</t>
        </is>
      </c>
      <c r="N111" s="1" t="inlineStr">
        <is>
          <t>长江通信</t>
        </is>
      </c>
      <c r="O111" s="1" t="n">
        <v>96.5423</v>
      </c>
      <c r="P111" s="1" t="n">
        <v>22.1</v>
      </c>
      <c r="Q111" s="1" t="inlineStr">
        <is>
          <t>600776.SH</t>
        </is>
      </c>
      <c r="R111" s="1" t="inlineStr">
        <is>
          <t>东方通信</t>
        </is>
      </c>
      <c r="S111" s="1" t="n">
        <v>64.1841</v>
      </c>
      <c r="T111" s="1" t="n">
        <v>14.69</v>
      </c>
      <c r="U111" s="1" t="inlineStr">
        <is>
          <t>688418.SH</t>
        </is>
      </c>
      <c r="V111" s="1" t="inlineStr">
        <is>
          <t>震有科技</t>
        </is>
      </c>
      <c r="W111" s="1" t="n">
        <v>61.6401</v>
      </c>
      <c r="X111" s="1" t="n">
        <v>14.11</v>
      </c>
      <c r="Y111" s="1" t="inlineStr">
        <is>
          <t>300213.SZ</t>
        </is>
      </c>
      <c r="Z111" s="1" t="inlineStr">
        <is>
          <t>佳讯飞鸿</t>
        </is>
      </c>
      <c r="AA111" s="1" t="n">
        <v>36.256</v>
      </c>
      <c r="AB111" s="1" t="n">
        <v>8.300000000000001</v>
      </c>
    </row>
    <row r="112">
      <c r="A112" s="1" t="inlineStr">
        <is>
          <t>CI005516.CI</t>
        </is>
      </c>
      <c r="B112" s="1" t="inlineStr">
        <is>
          <t>速冻食品指数</t>
        </is>
      </c>
      <c r="C112" s="1" t="n">
        <v>7</v>
      </c>
      <c r="D112" s="10">
        <f>IFERROR((thsiFinD("ths_close_price_index",$A112,$AE$2,"","")/thsiFinD("ths_close_price_index",$A112,$AE$5,"","")-1)*100,"")</f>
        <v/>
      </c>
      <c r="E112" s="10">
        <f>IFERROR((thsiFinD("ths_close_price_index",$A112,$AE$2,"","")/thsiFinD("ths_close_price_index",$A112,$AE$3,"","")-1)*100,"")</f>
        <v/>
      </c>
      <c r="F112" s="10">
        <f>IFERROR((thsiFinD("ths_close_price_index",$A112,$AE$2,"","")/thsiFinD("ths_close_price_index",$A112,$AE$4,"","")-1)*100,"")</f>
        <v/>
      </c>
      <c r="G112" s="11">
        <f>IFERROR(E112/5-F112/20,"")</f>
        <v/>
      </c>
      <c r="H112" s="1" t="n">
        <v>94.01000000000001</v>
      </c>
      <c r="I112" s="1" t="inlineStr">
        <is>
          <t>603345.SH</t>
        </is>
      </c>
      <c r="J112" s="1" t="inlineStr">
        <is>
          <t>安井食品</t>
        </is>
      </c>
      <c r="K112" s="1" t="n">
        <v>188.0769</v>
      </c>
      <c r="L112" s="1" t="n">
        <v>65.31</v>
      </c>
      <c r="M112" s="1" t="inlineStr">
        <is>
          <t>002216.SZ</t>
        </is>
      </c>
      <c r="N112" s="1" t="inlineStr">
        <is>
          <t>三全食品</t>
        </is>
      </c>
      <c r="O112" s="1" t="n">
        <v>35.953</v>
      </c>
      <c r="P112" s="1" t="n">
        <v>12.48</v>
      </c>
      <c r="Q112" s="1" t="inlineStr">
        <is>
          <t>605338.SH</t>
        </is>
      </c>
      <c r="R112" s="1" t="inlineStr">
        <is>
          <t>巴比食品</t>
        </is>
      </c>
      <c r="S112" s="1" t="n">
        <v>18.5087</v>
      </c>
      <c r="T112" s="1" t="n">
        <v>6.43</v>
      </c>
      <c r="U112" s="1" t="inlineStr">
        <is>
          <t>002702.SZ</t>
        </is>
      </c>
      <c r="V112" s="1" t="inlineStr">
        <is>
          <t>海欣食品</t>
        </is>
      </c>
      <c r="W112" s="1" t="n">
        <v>16.6427</v>
      </c>
      <c r="X112" s="1" t="n">
        <v>5.78</v>
      </c>
      <c r="Y112" s="1" t="inlineStr">
        <is>
          <t>000529.SZ</t>
        </is>
      </c>
      <c r="Z112" s="1" t="inlineStr">
        <is>
          <t>广弘控股</t>
        </is>
      </c>
      <c r="AA112" s="1" t="n">
        <v>11.5396</v>
      </c>
      <c r="AB112" s="1" t="n">
        <v>4.01</v>
      </c>
    </row>
    <row r="113">
      <c r="A113" s="1" t="inlineStr">
        <is>
          <t>CI005230.CI</t>
        </is>
      </c>
      <c r="B113" s="1" t="inlineStr">
        <is>
          <t>特钢指数</t>
        </is>
      </c>
      <c r="C113" s="1" t="n">
        <v>14</v>
      </c>
      <c r="D113" s="10">
        <f>IFERROR((thsiFinD("ths_close_price_index",$A113,$AE$2,"","")/thsiFinD("ths_close_price_index",$A113,$AE$5,"","")-1)*100,"")</f>
        <v/>
      </c>
      <c r="E113" s="10">
        <f>IFERROR((thsiFinD("ths_close_price_index",$A113,$AE$2,"","")/thsiFinD("ths_close_price_index",$A113,$AE$3,"","")-1)*100,"")</f>
        <v/>
      </c>
      <c r="F113" s="10">
        <f>IFERROR((thsiFinD("ths_close_price_index",$A113,$AE$2,"","")/thsiFinD("ths_close_price_index",$A113,$AE$4,"","")-1)*100,"")</f>
        <v/>
      </c>
      <c r="G113" s="11">
        <f>IFERROR(E113/5-F113/20,"")</f>
        <v/>
      </c>
      <c r="H113" s="1" t="n">
        <v>71.76000000000001</v>
      </c>
      <c r="I113" s="1" t="inlineStr">
        <is>
          <t>002318.SZ</t>
        </is>
      </c>
      <c r="J113" s="1" t="inlineStr">
        <is>
          <t>久立特材</t>
        </is>
      </c>
      <c r="K113" s="1" t="n">
        <v>146.483</v>
      </c>
      <c r="L113" s="1" t="n">
        <v>24.1</v>
      </c>
      <c r="M113" s="1" t="inlineStr">
        <is>
          <t>000708.SZ</t>
        </is>
      </c>
      <c r="N113" s="1" t="inlineStr">
        <is>
          <t>中信特钢</t>
        </is>
      </c>
      <c r="O113" s="1" t="n">
        <v>111.3349</v>
      </c>
      <c r="P113" s="1" t="n">
        <v>18.32</v>
      </c>
      <c r="Q113" s="1" t="inlineStr">
        <is>
          <t>600399.SH</t>
        </is>
      </c>
      <c r="R113" s="1" t="inlineStr">
        <is>
          <t>抚顺特钢</t>
        </is>
      </c>
      <c r="S113" s="1" t="n">
        <v>61.5034</v>
      </c>
      <c r="T113" s="1" t="n">
        <v>10.12</v>
      </c>
      <c r="U113" s="1" t="inlineStr">
        <is>
          <t>002075.SZ</t>
        </is>
      </c>
      <c r="V113" s="1" t="inlineStr">
        <is>
          <t>沙钢股份</t>
        </is>
      </c>
      <c r="W113" s="1" t="n">
        <v>59.9019</v>
      </c>
      <c r="X113" s="1" t="n">
        <v>9.859999999999999</v>
      </c>
      <c r="Y113" s="1" t="inlineStr">
        <is>
          <t>600507.SH</t>
        </is>
      </c>
      <c r="Z113" s="1" t="inlineStr">
        <is>
          <t>方大特钢</t>
        </is>
      </c>
      <c r="AA113" s="1" t="n">
        <v>56.8891</v>
      </c>
      <c r="AB113" s="1" t="n">
        <v>9.359999999999999</v>
      </c>
    </row>
    <row r="114">
      <c r="A114" s="1" t="inlineStr">
        <is>
          <t>CI005242.CI</t>
        </is>
      </c>
      <c r="B114" s="1" t="inlineStr">
        <is>
          <t>绵纶指数</t>
        </is>
      </c>
      <c r="C114" s="1" t="n">
        <v>4</v>
      </c>
      <c r="D114" s="10">
        <f>IFERROR((thsiFinD("ths_close_price_index",$A114,$AE$2,"","")/thsiFinD("ths_close_price_index",$A114,$AE$5,"","")-1)*100,"")</f>
        <v/>
      </c>
      <c r="E114" s="10">
        <f>IFERROR((thsiFinD("ths_close_price_index",$A114,$AE$2,"","")/thsiFinD("ths_close_price_index",$A114,$AE$3,"","")-1)*100,"")</f>
        <v/>
      </c>
      <c r="F114" s="10">
        <f>IFERROR((thsiFinD("ths_close_price_index",$A114,$AE$2,"","")/thsiFinD("ths_close_price_index",$A114,$AE$4,"","")-1)*100,"")</f>
        <v/>
      </c>
      <c r="G114" s="11">
        <f>IFERROR(E114/5-F114/20,"")</f>
        <v/>
      </c>
      <c r="H114" s="1" t="n">
        <v>100</v>
      </c>
      <c r="I114" s="1" t="inlineStr">
        <is>
          <t>000782.SZ</t>
        </is>
      </c>
      <c r="J114" s="1" t="inlineStr">
        <is>
          <t>恒申新材</t>
        </is>
      </c>
      <c r="K114" s="1" t="n">
        <v>35.9588</v>
      </c>
      <c r="L114" s="1" t="n">
        <v>34.53</v>
      </c>
      <c r="M114" s="1" t="inlineStr">
        <is>
          <t>600810.SH</t>
        </is>
      </c>
      <c r="N114" s="1" t="inlineStr">
        <is>
          <t>神马股份</t>
        </is>
      </c>
      <c r="O114" s="1" t="n">
        <v>30.7547</v>
      </c>
      <c r="P114" s="1" t="n">
        <v>29.53</v>
      </c>
      <c r="Q114" s="1" t="inlineStr">
        <is>
          <t>605166.SH</t>
        </is>
      </c>
      <c r="R114" s="1" t="inlineStr">
        <is>
          <t>聚合顺</t>
        </is>
      </c>
      <c r="S114" s="1" t="n">
        <v>22.3939</v>
      </c>
      <c r="T114" s="1" t="n">
        <v>21.5</v>
      </c>
      <c r="U114" s="1" t="inlineStr">
        <is>
          <t>603382.SH</t>
        </is>
      </c>
      <c r="V114" s="1" t="inlineStr">
        <is>
          <t>海阳科技</t>
        </is>
      </c>
      <c r="W114" s="1" t="n">
        <v>15.0396</v>
      </c>
      <c r="X114" s="1" t="n">
        <v>14.44</v>
      </c>
    </row>
    <row r="115">
      <c r="A115" s="1" t="inlineStr">
        <is>
          <t>CI005517.CI</t>
        </is>
      </c>
      <c r="B115" s="1" t="inlineStr">
        <is>
          <t>种植指数</t>
        </is>
      </c>
      <c r="C115" s="1" t="n">
        <v>7</v>
      </c>
      <c r="D115" s="10">
        <f>IFERROR((thsiFinD("ths_close_price_index",$A115,$AE$2,"","")/thsiFinD("ths_close_price_index",$A115,$AE$5,"","")-1)*100,"")</f>
        <v/>
      </c>
      <c r="E115" s="10">
        <f>IFERROR((thsiFinD("ths_close_price_index",$A115,$AE$2,"","")/thsiFinD("ths_close_price_index",$A115,$AE$3,"","")-1)*100,"")</f>
        <v/>
      </c>
      <c r="F115" s="10">
        <f>IFERROR((thsiFinD("ths_close_price_index",$A115,$AE$2,"","")/thsiFinD("ths_close_price_index",$A115,$AE$4,"","")-1)*100,"")</f>
        <v/>
      </c>
      <c r="G115" s="11">
        <f>IFERROR(E115/5-F115/20,"")</f>
        <v/>
      </c>
      <c r="H115" s="1" t="n">
        <v>92.5</v>
      </c>
      <c r="I115" s="1" t="inlineStr">
        <is>
          <t>300972.SZ</t>
        </is>
      </c>
      <c r="J115" s="1" t="inlineStr">
        <is>
          <t>万辰集团</t>
        </is>
      </c>
      <c r="K115" s="1" t="n">
        <v>156.8705</v>
      </c>
      <c r="L115" s="1" t="n">
        <v>34.43</v>
      </c>
      <c r="M115" s="1" t="inlineStr">
        <is>
          <t>600598.SH</t>
        </is>
      </c>
      <c r="N115" s="1" t="inlineStr">
        <is>
          <t>北大荒</t>
        </is>
      </c>
      <c r="O115" s="1" t="n">
        <v>88.34610000000001</v>
      </c>
      <c r="P115" s="1" t="n">
        <v>19.39</v>
      </c>
      <c r="Q115" s="1" t="inlineStr">
        <is>
          <t>601118.SH</t>
        </is>
      </c>
      <c r="R115" s="1" t="inlineStr">
        <is>
          <t>海南橡胶</t>
        </is>
      </c>
      <c r="S115" s="1" t="n">
        <v>86.5737</v>
      </c>
      <c r="T115" s="1" t="n">
        <v>19</v>
      </c>
      <c r="U115" s="1" t="inlineStr">
        <is>
          <t>600108.SH</t>
        </is>
      </c>
      <c r="V115" s="1" t="inlineStr">
        <is>
          <t>亚盛集团</t>
        </is>
      </c>
      <c r="W115" s="1" t="n">
        <v>54.1859</v>
      </c>
      <c r="X115" s="1" t="n">
        <v>11.89</v>
      </c>
      <c r="Y115" s="1" t="inlineStr">
        <is>
          <t>601952.SH</t>
        </is>
      </c>
      <c r="Z115" s="1" t="inlineStr">
        <is>
          <t>苏垦农发</t>
        </is>
      </c>
      <c r="AA115" s="1" t="n">
        <v>35.4926</v>
      </c>
      <c r="AB115" s="1" t="n">
        <v>7.79</v>
      </c>
    </row>
    <row r="116">
      <c r="A116" s="1" t="inlineStr">
        <is>
          <t>CI005358.CI</t>
        </is>
      </c>
      <c r="B116" s="1" t="inlineStr">
        <is>
          <t>港口指数</t>
        </is>
      </c>
      <c r="C116" s="1" t="n">
        <v>18</v>
      </c>
      <c r="D116" s="10">
        <f>IFERROR((thsiFinD("ths_close_price_index",$A116,$AE$2,"","")/thsiFinD("ths_close_price_index",$A116,$AE$5,"","")-1)*100,"")</f>
        <v/>
      </c>
      <c r="E116" s="10">
        <f>IFERROR((thsiFinD("ths_close_price_index",$A116,$AE$2,"","")/thsiFinD("ths_close_price_index",$A116,$AE$3,"","")-1)*100,"")</f>
        <v/>
      </c>
      <c r="F116" s="10">
        <f>IFERROR((thsiFinD("ths_close_price_index",$A116,$AE$2,"","")/thsiFinD("ths_close_price_index",$A116,$AE$4,"","")-1)*100,"")</f>
        <v/>
      </c>
      <c r="G116" s="11">
        <f>IFERROR(E116/5-F116/20,"")</f>
        <v/>
      </c>
      <c r="H116" s="1" t="n">
        <v>54.28</v>
      </c>
      <c r="I116" s="1" t="inlineStr">
        <is>
          <t>600018.SH</t>
        </is>
      </c>
      <c r="J116" s="1" t="inlineStr">
        <is>
          <t>上港集团</t>
        </is>
      </c>
      <c r="K116" s="1" t="n">
        <v>138.2342</v>
      </c>
      <c r="L116" s="1" t="n">
        <v>13.84</v>
      </c>
      <c r="M116" s="1" t="inlineStr">
        <is>
          <t>000582.SZ</t>
        </is>
      </c>
      <c r="N116" s="1" t="inlineStr">
        <is>
          <t>北部湾港</t>
        </is>
      </c>
      <c r="O116" s="1" t="n">
        <v>108.5913</v>
      </c>
      <c r="P116" s="1" t="n">
        <v>10.87</v>
      </c>
      <c r="Q116" s="1" t="inlineStr">
        <is>
          <t>601000.SH</t>
        </is>
      </c>
      <c r="R116" s="1" t="inlineStr">
        <is>
          <t>唐山港</t>
        </is>
      </c>
      <c r="S116" s="1" t="n">
        <v>104.485</v>
      </c>
      <c r="T116" s="1" t="n">
        <v>10.46</v>
      </c>
      <c r="U116" s="1" t="inlineStr">
        <is>
          <t>601018.SH</t>
        </is>
      </c>
      <c r="V116" s="1" t="inlineStr">
        <is>
          <t>宁波港</t>
        </is>
      </c>
      <c r="W116" s="1" t="n">
        <v>100.6322</v>
      </c>
      <c r="X116" s="1" t="n">
        <v>10.08</v>
      </c>
      <c r="Y116" s="1" t="inlineStr">
        <is>
          <t>601880.SH</t>
        </is>
      </c>
      <c r="Z116" s="1" t="inlineStr">
        <is>
          <t>辽港股份</t>
        </is>
      </c>
      <c r="AA116" s="1" t="n">
        <v>90.1481</v>
      </c>
      <c r="AB116" s="1" t="n">
        <v>9.029999999999999</v>
      </c>
    </row>
    <row r="117">
      <c r="A117" s="1" t="inlineStr">
        <is>
          <t>CI005394.CI</t>
        </is>
      </c>
      <c r="B117" s="1" t="inlineStr">
        <is>
          <t>家纺指数</t>
        </is>
      </c>
      <c r="C117" s="1" t="n">
        <v>7</v>
      </c>
      <c r="D117" s="10">
        <f>IFERROR((thsiFinD("ths_close_price_index",$A117,$AE$2,"","")/thsiFinD("ths_close_price_index",$A117,$AE$5,"","")-1)*100,"")</f>
        <v/>
      </c>
      <c r="E117" s="10">
        <f>IFERROR((thsiFinD("ths_close_price_index",$A117,$AE$2,"","")/thsiFinD("ths_close_price_index",$A117,$AE$3,"","")-1)*100,"")</f>
        <v/>
      </c>
      <c r="F117" s="10">
        <f>IFERROR((thsiFinD("ths_close_price_index",$A117,$AE$2,"","")/thsiFinD("ths_close_price_index",$A117,$AE$4,"","")-1)*100,"")</f>
        <v/>
      </c>
      <c r="G117" s="11">
        <f>IFERROR(E117/5-F117/20,"")</f>
        <v/>
      </c>
      <c r="H117" s="1" t="n">
        <v>94.44</v>
      </c>
      <c r="I117" s="1" t="inlineStr">
        <is>
          <t>002293.SZ</t>
        </is>
      </c>
      <c r="J117" s="1" t="inlineStr">
        <is>
          <t>罗莱生活</t>
        </is>
      </c>
      <c r="K117" s="1" t="n">
        <v>42.6904</v>
      </c>
      <c r="L117" s="1" t="n">
        <v>36.32</v>
      </c>
      <c r="M117" s="1" t="inlineStr">
        <is>
          <t>002327.SZ</t>
        </is>
      </c>
      <c r="N117" s="1" t="inlineStr">
        <is>
          <t>富安娜</t>
        </is>
      </c>
      <c r="O117" s="1" t="n">
        <v>23.6885</v>
      </c>
      <c r="P117" s="1" t="n">
        <v>20.15</v>
      </c>
      <c r="Q117" s="1" t="inlineStr">
        <is>
          <t>002397.SZ</t>
        </is>
      </c>
      <c r="R117" s="1" t="inlineStr">
        <is>
          <t>梦洁股份</t>
        </is>
      </c>
      <c r="S117" s="1" t="n">
        <v>19.3832</v>
      </c>
      <c r="T117" s="1" t="n">
        <v>16.49</v>
      </c>
      <c r="U117" s="1" t="inlineStr">
        <is>
          <t>603365.SH</t>
        </is>
      </c>
      <c r="V117" s="1" t="inlineStr">
        <is>
          <t>水星家纺</t>
        </is>
      </c>
      <c r="W117" s="1" t="n">
        <v>13.2245</v>
      </c>
      <c r="X117" s="1" t="n">
        <v>11.25</v>
      </c>
      <c r="Y117" s="1" t="inlineStr">
        <is>
          <t>002763.SZ</t>
        </is>
      </c>
      <c r="Z117" s="1" t="inlineStr">
        <is>
          <t>汇洁股份</t>
        </is>
      </c>
      <c r="AA117" s="1" t="n">
        <v>12.0266</v>
      </c>
      <c r="AB117" s="1" t="n">
        <v>10.23</v>
      </c>
    </row>
    <row r="118">
      <c r="A118" s="1" t="inlineStr">
        <is>
          <t>CI005353.CI</t>
        </is>
      </c>
      <c r="B118" s="1" t="inlineStr">
        <is>
          <t>公路指数</t>
        </is>
      </c>
      <c r="C118" s="1" t="n">
        <v>19</v>
      </c>
      <c r="D118" s="10">
        <f>IFERROR((thsiFinD("ths_close_price_index",$A118,$AE$2,"","")/thsiFinD("ths_close_price_index",$A118,$AE$5,"","")-1)*100,"")</f>
        <v/>
      </c>
      <c r="E118" s="10">
        <f>IFERROR((thsiFinD("ths_close_price_index",$A118,$AE$2,"","")/thsiFinD("ths_close_price_index",$A118,$AE$3,"","")-1)*100,"")</f>
        <v/>
      </c>
      <c r="F118" s="10">
        <f>IFERROR((thsiFinD("ths_close_price_index",$A118,$AE$2,"","")/thsiFinD("ths_close_price_index",$A118,$AE$4,"","")-1)*100,"")</f>
        <v/>
      </c>
      <c r="G118" s="11">
        <f>IFERROR(E118/5-F118/20,"")</f>
        <v/>
      </c>
      <c r="H118" s="1" t="n">
        <v>52.46</v>
      </c>
      <c r="I118" s="1" t="inlineStr">
        <is>
          <t>001965.SZ</t>
        </is>
      </c>
      <c r="J118" s="1" t="inlineStr">
        <is>
          <t>招商公路</t>
        </is>
      </c>
      <c r="K118" s="1" t="n">
        <v>180.8845</v>
      </c>
      <c r="L118" s="1" t="n">
        <v>22.63</v>
      </c>
      <c r="M118" s="1" t="inlineStr">
        <is>
          <t>000429.SZ</t>
        </is>
      </c>
      <c r="N118" s="1" t="inlineStr">
        <is>
          <t>粤高速A</t>
        </is>
      </c>
      <c r="O118" s="1" t="n">
        <v>68.15430000000001</v>
      </c>
      <c r="P118" s="1" t="n">
        <v>8.529999999999999</v>
      </c>
      <c r="Q118" s="1" t="inlineStr">
        <is>
          <t>600350.SH</t>
        </is>
      </c>
      <c r="R118" s="1" t="inlineStr">
        <is>
          <t>山东高速</t>
        </is>
      </c>
      <c r="S118" s="1" t="n">
        <v>64.3806</v>
      </c>
      <c r="T118" s="1" t="n">
        <v>8.050000000000001</v>
      </c>
      <c r="U118" s="1" t="inlineStr">
        <is>
          <t>600377.SH</t>
        </is>
      </c>
      <c r="V118" s="1" t="inlineStr">
        <is>
          <t>宁沪高速</t>
        </is>
      </c>
      <c r="W118" s="1" t="n">
        <v>56.0728</v>
      </c>
      <c r="X118" s="1" t="n">
        <v>7.02</v>
      </c>
      <c r="Y118" s="1" t="inlineStr">
        <is>
          <t>600269.SH</t>
        </is>
      </c>
      <c r="Z118" s="1" t="inlineStr">
        <is>
          <t>赣粤高速</t>
        </is>
      </c>
      <c r="AA118" s="1" t="n">
        <v>49.7607</v>
      </c>
      <c r="AB118" s="1" t="n">
        <v>6.23</v>
      </c>
    </row>
    <row r="119">
      <c r="A119" s="1" t="inlineStr">
        <is>
          <t>CI005290.CI</t>
        </is>
      </c>
      <c r="B119" s="1" t="inlineStr">
        <is>
          <t>其他军工Ⅲ指数</t>
        </is>
      </c>
      <c r="C119" s="1" t="n">
        <v>59</v>
      </c>
      <c r="D119" s="10">
        <f>IFERROR((thsiFinD("ths_close_price_index",$A119,$AE$2,"","")/thsiFinD("ths_close_price_index",$A119,$AE$5,"","")-1)*100,"")</f>
        <v/>
      </c>
      <c r="E119" s="10">
        <f>IFERROR((thsiFinD("ths_close_price_index",$A119,$AE$2,"","")/thsiFinD("ths_close_price_index",$A119,$AE$3,"","")-1)*100,"")</f>
        <v/>
      </c>
      <c r="F119" s="10">
        <f>IFERROR((thsiFinD("ths_close_price_index",$A119,$AE$2,"","")/thsiFinD("ths_close_price_index",$A119,$AE$4,"","")-1)*100,"")</f>
        <v/>
      </c>
      <c r="G119" s="11">
        <f>IFERROR(E119/5-F119/20,"")</f>
        <v/>
      </c>
      <c r="H119" s="1" t="n">
        <v>32.94</v>
      </c>
      <c r="I119" s="1" t="inlineStr">
        <is>
          <t>300395.SZ</t>
        </is>
      </c>
      <c r="J119" s="1" t="inlineStr">
        <is>
          <t>菲利华</t>
        </is>
      </c>
      <c r="K119" s="1" t="n">
        <v>614.78</v>
      </c>
      <c r="L119" s="1" t="n">
        <v>10.07</v>
      </c>
      <c r="M119" s="1" t="inlineStr">
        <is>
          <t>002625.SZ</t>
        </is>
      </c>
      <c r="N119" s="1" t="inlineStr">
        <is>
          <t>光启技术</t>
        </is>
      </c>
      <c r="O119" s="1" t="n">
        <v>504.2563</v>
      </c>
      <c r="P119" s="1" t="n">
        <v>8.26</v>
      </c>
      <c r="Q119" s="1" t="inlineStr">
        <is>
          <t>600760.SH</t>
        </is>
      </c>
      <c r="R119" s="1" t="inlineStr">
        <is>
          <t>中航沈飞</t>
        </is>
      </c>
      <c r="S119" s="1" t="n">
        <v>389.1896</v>
      </c>
      <c r="T119" s="1" t="n">
        <v>6.38</v>
      </c>
      <c r="U119" s="1" t="inlineStr">
        <is>
          <t>688122.SH</t>
        </is>
      </c>
      <c r="V119" s="1" t="inlineStr">
        <is>
          <t>西部超导</t>
        </is>
      </c>
      <c r="W119" s="1" t="n">
        <v>259.7944</v>
      </c>
      <c r="X119" s="1" t="n">
        <v>4.26</v>
      </c>
      <c r="Y119" s="1" t="inlineStr">
        <is>
          <t>002465.SZ</t>
        </is>
      </c>
      <c r="Z119" s="1" t="inlineStr">
        <is>
          <t>海格通信</t>
        </is>
      </c>
      <c r="AA119" s="1" t="n">
        <v>242.3886</v>
      </c>
      <c r="AB119" s="1" t="n">
        <v>3.97</v>
      </c>
    </row>
    <row r="120">
      <c r="A120" s="1" t="inlineStr">
        <is>
          <t>CI005434.CI</t>
        </is>
      </c>
      <c r="B120" s="1" t="inlineStr">
        <is>
          <t>园林工程指数</t>
        </is>
      </c>
      <c r="C120" s="1" t="n">
        <v>21</v>
      </c>
      <c r="D120" s="10">
        <f>IFERROR((thsiFinD("ths_close_price_index",$A120,$AE$2,"","")/thsiFinD("ths_close_price_index",$A120,$AE$5,"","")-1)*100,"")</f>
        <v/>
      </c>
      <c r="E120" s="10">
        <f>IFERROR((thsiFinD("ths_close_price_index",$A120,$AE$2,"","")/thsiFinD("ths_close_price_index",$A120,$AE$3,"","")-1)*100,"")</f>
        <v/>
      </c>
      <c r="F120" s="10">
        <f>IFERROR((thsiFinD("ths_close_price_index",$A120,$AE$2,"","")/thsiFinD("ths_close_price_index",$A120,$AE$4,"","")-1)*100,"")</f>
        <v/>
      </c>
      <c r="G120" s="11">
        <f>IFERROR(E120/5-F120/20,"")</f>
        <v/>
      </c>
      <c r="H120" s="1" t="n">
        <v>54.51</v>
      </c>
      <c r="I120" s="1" t="inlineStr">
        <is>
          <t>002310.SZ</t>
        </is>
      </c>
      <c r="J120" s="1" t="inlineStr">
        <is>
          <t>东方新能</t>
        </is>
      </c>
      <c r="K120" s="1" t="n">
        <v>70.32510000000001</v>
      </c>
      <c r="L120" s="1" t="n">
        <v>14.47</v>
      </c>
      <c r="M120" s="1" t="inlineStr">
        <is>
          <t>603778.SH</t>
        </is>
      </c>
      <c r="N120" s="1" t="inlineStr">
        <is>
          <t>国晟科技</t>
        </is>
      </c>
      <c r="O120" s="1" t="n">
        <v>67.7409</v>
      </c>
      <c r="P120" s="1" t="n">
        <v>13.94</v>
      </c>
      <c r="Q120" s="1" t="inlineStr">
        <is>
          <t>300197.SZ</t>
        </is>
      </c>
      <c r="R120" s="1" t="inlineStr">
        <is>
          <t>节能铁汉</t>
        </is>
      </c>
      <c r="S120" s="1" t="n">
        <v>45.1253</v>
      </c>
      <c r="T120" s="1" t="n">
        <v>9.289999999999999</v>
      </c>
      <c r="U120" s="1" t="inlineStr">
        <is>
          <t>603007.SH</t>
        </is>
      </c>
      <c r="V120" s="1" t="inlineStr">
        <is>
          <t>顺景科技</t>
        </is>
      </c>
      <c r="W120" s="1" t="n">
        <v>42.9565</v>
      </c>
      <c r="X120" s="1" t="n">
        <v>8.84</v>
      </c>
      <c r="Y120" s="1" t="inlineStr">
        <is>
          <t>300355.SZ</t>
        </is>
      </c>
      <c r="Z120" s="1" t="inlineStr">
        <is>
          <t>蒙草生态</t>
        </is>
      </c>
      <c r="AA120" s="1" t="n">
        <v>38.7401</v>
      </c>
      <c r="AB120" s="1" t="n">
        <v>7.97</v>
      </c>
    </row>
    <row r="121">
      <c r="A121" s="1" t="inlineStr">
        <is>
          <t>CI005306.CI</t>
        </is>
      </c>
      <c r="B121" s="1" t="inlineStr">
        <is>
          <t>白色家电Ⅲ指数</t>
        </is>
      </c>
      <c r="C121" s="1" t="n">
        <v>10</v>
      </c>
      <c r="D121" s="10">
        <f>IFERROR((thsiFinD("ths_close_price_index",$A121,$AE$2,"","")/thsiFinD("ths_close_price_index",$A121,$AE$5,"","")-1)*100,"")</f>
        <v/>
      </c>
      <c r="E121" s="10">
        <f>IFERROR((thsiFinD("ths_close_price_index",$A121,$AE$2,"","")/thsiFinD("ths_close_price_index",$A121,$AE$3,"","")-1)*100,"")</f>
        <v/>
      </c>
      <c r="F121" s="10">
        <f>IFERROR((thsiFinD("ths_close_price_index",$A121,$AE$2,"","")/thsiFinD("ths_close_price_index",$A121,$AE$4,"","")-1)*100,"")</f>
        <v/>
      </c>
      <c r="G121" s="11">
        <f>IFERROR(E121/5-F121/20,"")</f>
        <v/>
      </c>
      <c r="H121" s="1" t="n">
        <v>98.86</v>
      </c>
      <c r="I121" s="1" t="inlineStr">
        <is>
          <t>000333.SZ</t>
        </is>
      </c>
      <c r="J121" s="1" t="inlineStr">
        <is>
          <t>美的集团</t>
        </is>
      </c>
      <c r="K121" s="1" t="n">
        <v>3673.7311</v>
      </c>
      <c r="L121" s="1" t="n">
        <v>56.51</v>
      </c>
      <c r="M121" s="1" t="inlineStr">
        <is>
          <t>000651.SZ</t>
        </is>
      </c>
      <c r="N121" s="1" t="inlineStr">
        <is>
          <t>格力电器</t>
        </is>
      </c>
      <c r="O121" s="1" t="n">
        <v>1869.8675</v>
      </c>
      <c r="P121" s="1" t="n">
        <v>28.76</v>
      </c>
      <c r="Q121" s="1" t="inlineStr">
        <is>
          <t>600690.SH</t>
        </is>
      </c>
      <c r="R121" s="1" t="inlineStr">
        <is>
          <t>海尔智家</t>
        </is>
      </c>
      <c r="S121" s="1" t="n">
        <v>722.4147</v>
      </c>
      <c r="T121" s="1" t="n">
        <v>11.11</v>
      </c>
      <c r="U121" s="1" t="inlineStr">
        <is>
          <t>000921.SZ</t>
        </is>
      </c>
      <c r="V121" s="1" t="inlineStr">
        <is>
          <t>海信家电</t>
        </is>
      </c>
      <c r="W121" s="1" t="n">
        <v>107.9698</v>
      </c>
      <c r="X121" s="1" t="n">
        <v>1.66</v>
      </c>
      <c r="Y121" s="1" t="inlineStr">
        <is>
          <t>002668.SZ</t>
        </is>
      </c>
      <c r="Z121" s="1" t="inlineStr">
        <is>
          <t>TCL智家</t>
        </is>
      </c>
      <c r="AA121" s="1" t="n">
        <v>53.1906</v>
      </c>
      <c r="AB121" s="1" t="n">
        <v>0.82</v>
      </c>
    </row>
    <row r="122">
      <c r="A122" s="1" t="inlineStr">
        <is>
          <t>CI005213.CI</t>
        </is>
      </c>
      <c r="B122" s="1" t="inlineStr">
        <is>
          <t>黄金指数</t>
        </is>
      </c>
      <c r="C122" s="1" t="n">
        <v>11</v>
      </c>
      <c r="D122" s="10">
        <f>IFERROR((thsiFinD("ths_close_price_index",$A122,$AE$2,"","")/thsiFinD("ths_close_price_index",$A122,$AE$5,"","")-1)*100,"")</f>
        <v/>
      </c>
      <c r="E122" s="10">
        <f>IFERROR((thsiFinD("ths_close_price_index",$A122,$AE$2,"","")/thsiFinD("ths_close_price_index",$A122,$AE$3,"","")-1)*100,"")</f>
        <v/>
      </c>
      <c r="F122" s="10">
        <f>IFERROR((thsiFinD("ths_close_price_index",$A122,$AE$2,"","")/thsiFinD("ths_close_price_index",$A122,$AE$4,"","")-1)*100,"")</f>
        <v/>
      </c>
      <c r="G122" s="11">
        <f>IFERROR(E122/5-F122/20,"")</f>
        <v/>
      </c>
      <c r="H122" s="1" t="n">
        <v>88.59999999999999</v>
      </c>
      <c r="I122" s="1" t="inlineStr">
        <is>
          <t>601899.SH</t>
        </is>
      </c>
      <c r="J122" s="1" t="inlineStr">
        <is>
          <t>紫金矿业</t>
        </is>
      </c>
      <c r="K122" s="1" t="n">
        <v>4419.363</v>
      </c>
      <c r="L122" s="1" t="n">
        <v>62.74</v>
      </c>
      <c r="M122" s="1" t="inlineStr">
        <is>
          <t>600489.SH</t>
        </is>
      </c>
      <c r="N122" s="1" t="inlineStr">
        <is>
          <t>中金黄金</t>
        </is>
      </c>
      <c r="O122" s="1" t="n">
        <v>584.4354</v>
      </c>
      <c r="P122" s="1" t="n">
        <v>8.300000000000001</v>
      </c>
      <c r="Q122" s="1" t="inlineStr">
        <is>
          <t>600547.SH</t>
        </is>
      </c>
      <c r="R122" s="1" t="inlineStr">
        <is>
          <t>山东黄金</t>
        </is>
      </c>
      <c r="S122" s="1" t="n">
        <v>445.7216</v>
      </c>
      <c r="T122" s="1" t="n">
        <v>6.33</v>
      </c>
      <c r="U122" s="1" t="inlineStr">
        <is>
          <t>600988.SH</t>
        </is>
      </c>
      <c r="V122" s="1" t="inlineStr">
        <is>
          <t>赤峰黄金</t>
        </is>
      </c>
      <c r="W122" s="1" t="n">
        <v>442.0953</v>
      </c>
      <c r="X122" s="1" t="n">
        <v>6.28</v>
      </c>
      <c r="Y122" s="1" t="inlineStr">
        <is>
          <t>000975.SZ</t>
        </is>
      </c>
      <c r="Z122" s="1" t="inlineStr">
        <is>
          <t>山金国际</t>
        </is>
      </c>
      <c r="AA122" s="1" t="n">
        <v>348.4961</v>
      </c>
      <c r="AB122" s="1" t="n">
        <v>4.95</v>
      </c>
    </row>
    <row r="123">
      <c r="A123" s="1" t="inlineStr">
        <is>
          <t>CI005568.CI</t>
        </is>
      </c>
      <c r="B123" s="1" t="inlineStr">
        <is>
          <t>咨询实施及其他服务指数</t>
        </is>
      </c>
      <c r="C123" s="1" t="n">
        <v>21</v>
      </c>
      <c r="D123" s="10">
        <f>IFERROR((thsiFinD("ths_close_price_index",$A123,$AE$2,"","")/thsiFinD("ths_close_price_index",$A123,$AE$5,"","")-1)*100,"")</f>
        <v/>
      </c>
      <c r="E123" s="10">
        <f>IFERROR((thsiFinD("ths_close_price_index",$A123,$AE$2,"","")/thsiFinD("ths_close_price_index",$A123,$AE$3,"","")-1)*100,"")</f>
        <v/>
      </c>
      <c r="F123" s="10">
        <f>IFERROR((thsiFinD("ths_close_price_index",$A123,$AE$2,"","")/thsiFinD("ths_close_price_index",$A123,$AE$4,"","")-1)*100,"")</f>
        <v/>
      </c>
      <c r="G123" s="11">
        <f>IFERROR(E123/5-F123/20,"")</f>
        <v/>
      </c>
      <c r="H123" s="1" t="n">
        <v>60.13</v>
      </c>
      <c r="I123" s="1" t="inlineStr">
        <is>
          <t>301236.SZ</t>
        </is>
      </c>
      <c r="J123" s="1" t="inlineStr">
        <is>
          <t>软通动力</t>
        </is>
      </c>
      <c r="K123" s="1" t="n">
        <v>251.1993</v>
      </c>
      <c r="L123" s="1" t="n">
        <v>14.39</v>
      </c>
      <c r="M123" s="1" t="inlineStr">
        <is>
          <t>600410.SH</t>
        </is>
      </c>
      <c r="N123" s="1" t="inlineStr">
        <is>
          <t>华胜天成</t>
        </is>
      </c>
      <c r="O123" s="1" t="n">
        <v>211.6235</v>
      </c>
      <c r="P123" s="1" t="n">
        <v>12.12</v>
      </c>
      <c r="Q123" s="1" t="inlineStr">
        <is>
          <t>000034.SZ</t>
        </is>
      </c>
      <c r="R123" s="1" t="inlineStr">
        <is>
          <t>神州数码</t>
        </is>
      </c>
      <c r="S123" s="1" t="n">
        <v>208.7606</v>
      </c>
      <c r="T123" s="1" t="n">
        <v>11.96</v>
      </c>
      <c r="U123" s="1" t="inlineStr">
        <is>
          <t>688343.SH</t>
        </is>
      </c>
      <c r="V123" s="1" t="inlineStr">
        <is>
          <t>云天励飞</t>
        </is>
      </c>
      <c r="W123" s="1" t="n">
        <v>198.6348</v>
      </c>
      <c r="X123" s="1" t="n">
        <v>11.38</v>
      </c>
      <c r="Y123" s="1" t="inlineStr">
        <is>
          <t>300170.SZ</t>
        </is>
      </c>
      <c r="Z123" s="1" t="inlineStr">
        <is>
          <t>汉得信息</t>
        </is>
      </c>
      <c r="AA123" s="1" t="n">
        <v>179.4303</v>
      </c>
      <c r="AB123" s="1" t="n">
        <v>10.28</v>
      </c>
    </row>
    <row r="124">
      <c r="A124" s="1" t="inlineStr">
        <is>
          <t>CI005524.CI</t>
        </is>
      </c>
      <c r="B124" s="1" t="inlineStr">
        <is>
          <t>农商行指数</t>
        </is>
      </c>
      <c r="C124" s="1" t="n">
        <v>10</v>
      </c>
      <c r="D124" s="10">
        <f>IFERROR((thsiFinD("ths_close_price_index",$A124,$AE$2,"","")/thsiFinD("ths_close_price_index",$A124,$AE$5,"","")-1)*100,"")</f>
        <v/>
      </c>
      <c r="E124" s="10">
        <f>IFERROR((thsiFinD("ths_close_price_index",$A124,$AE$2,"","")/thsiFinD("ths_close_price_index",$A124,$AE$3,"","")-1)*100,"")</f>
        <v/>
      </c>
      <c r="F124" s="10">
        <f>IFERROR((thsiFinD("ths_close_price_index",$A124,$AE$2,"","")/thsiFinD("ths_close_price_index",$A124,$AE$4,"","")-1)*100,"")</f>
        <v/>
      </c>
      <c r="G124" s="11">
        <f>IFERROR(E124/5-F124/20,"")</f>
        <v/>
      </c>
      <c r="H124" s="1" t="n">
        <v>75.53</v>
      </c>
      <c r="I124" s="1" t="inlineStr">
        <is>
          <t>601825.SH</t>
        </is>
      </c>
      <c r="J124" s="1" t="inlineStr">
        <is>
          <t>沪农商行</t>
        </is>
      </c>
      <c r="K124" s="1" t="n">
        <v>453.102</v>
      </c>
      <c r="L124" s="1" t="n">
        <v>28.61</v>
      </c>
      <c r="M124" s="1" t="inlineStr">
        <is>
          <t>601077.SH</t>
        </is>
      </c>
      <c r="N124" s="1" t="inlineStr">
        <is>
          <t>渝农商行</t>
        </is>
      </c>
      <c r="O124" s="1" t="n">
        <v>329.2371</v>
      </c>
      <c r="P124" s="1" t="n">
        <v>20.79</v>
      </c>
      <c r="Q124" s="1" t="inlineStr">
        <is>
          <t>601128.SH</t>
        </is>
      </c>
      <c r="R124" s="1" t="inlineStr">
        <is>
          <t>常熟银行</t>
        </is>
      </c>
      <c r="S124" s="1" t="n">
        <v>197.1002</v>
      </c>
      <c r="T124" s="1" t="n">
        <v>12.45</v>
      </c>
      <c r="U124" s="1" t="inlineStr">
        <is>
          <t>002958.SZ</t>
        </is>
      </c>
      <c r="V124" s="1" t="inlineStr">
        <is>
          <t>青农商行</t>
        </is>
      </c>
      <c r="W124" s="1" t="n">
        <v>117.3083</v>
      </c>
      <c r="X124" s="1" t="n">
        <v>7.41</v>
      </c>
      <c r="Y124" s="1" t="inlineStr">
        <is>
          <t>002807.SZ</t>
        </is>
      </c>
      <c r="Z124" s="1" t="inlineStr">
        <is>
          <t>江阴银行</t>
        </is>
      </c>
      <c r="AA124" s="1" t="n">
        <v>99.3536</v>
      </c>
      <c r="AB124" s="1" t="n">
        <v>6.27</v>
      </c>
    </row>
    <row r="125">
      <c r="A125" s="1" t="inlineStr">
        <is>
          <t>CI005481.CI</t>
        </is>
      </c>
      <c r="B125" s="1" t="inlineStr">
        <is>
          <t>车用电机电控指数</t>
        </is>
      </c>
      <c r="C125" s="1" t="n">
        <v>15</v>
      </c>
      <c r="D125" s="10">
        <f>IFERROR((thsiFinD("ths_close_price_index",$A125,$AE$2,"","")/thsiFinD("ths_close_price_index",$A125,$AE$5,"","")-1)*100,"")</f>
        <v/>
      </c>
      <c r="E125" s="10">
        <f>IFERROR((thsiFinD("ths_close_price_index",$A125,$AE$2,"","")/thsiFinD("ths_close_price_index",$A125,$AE$3,"","")-1)*100,"")</f>
        <v/>
      </c>
      <c r="F125" s="10">
        <f>IFERROR((thsiFinD("ths_close_price_index",$A125,$AE$2,"","")/thsiFinD("ths_close_price_index",$A125,$AE$4,"","")-1)*100,"")</f>
        <v/>
      </c>
      <c r="G125" s="11">
        <f>IFERROR(E125/5-F125/20,"")</f>
        <v/>
      </c>
      <c r="H125" s="1" t="n">
        <v>100</v>
      </c>
      <c r="I125" s="1" t="inlineStr">
        <is>
          <t>600580.SH</t>
        </is>
      </c>
      <c r="J125" s="1" t="inlineStr">
        <is>
          <t>卧龙电驱</t>
        </is>
      </c>
      <c r="K125" s="1" t="n">
        <v>340.7864</v>
      </c>
      <c r="L125" s="1" t="n">
        <v>46.69</v>
      </c>
      <c r="M125" s="1" t="inlineStr">
        <is>
          <t>002176.SZ</t>
        </is>
      </c>
      <c r="N125" s="1" t="inlineStr">
        <is>
          <t>江特电机</t>
        </is>
      </c>
      <c r="O125" s="1" t="n">
        <v>159.3662</v>
      </c>
      <c r="P125" s="1" t="n">
        <v>21.83</v>
      </c>
      <c r="Q125" s="1" t="inlineStr">
        <is>
          <t>002249.SZ</t>
        </is>
      </c>
      <c r="R125" s="1" t="inlineStr">
        <is>
          <t>大洋电机</t>
        </is>
      </c>
      <c r="S125" s="1" t="n">
        <v>131.2686</v>
      </c>
      <c r="T125" s="1" t="n">
        <v>17.98</v>
      </c>
      <c r="U125" s="1" t="inlineStr">
        <is>
          <t>002196.SZ</t>
        </is>
      </c>
      <c r="V125" s="1" t="inlineStr">
        <is>
          <t>方正电机</t>
        </is>
      </c>
      <c r="W125" s="1" t="n">
        <v>54.3224</v>
      </c>
      <c r="X125" s="1" t="n">
        <v>7.44</v>
      </c>
      <c r="Y125" s="1" t="inlineStr">
        <is>
          <t>300626.SZ</t>
        </is>
      </c>
      <c r="Z125" s="1" t="inlineStr">
        <is>
          <t>华瑞股份</t>
        </is>
      </c>
      <c r="AA125" s="1" t="n">
        <v>44.2078</v>
      </c>
      <c r="AB125" s="1" t="n">
        <v>6.06</v>
      </c>
    </row>
    <row r="126">
      <c r="A126" s="1" t="inlineStr">
        <is>
          <t>CI005571.CI</t>
        </is>
      </c>
      <c r="B126" s="1" t="inlineStr">
        <is>
          <t>产业互联网综合服务指数</t>
        </is>
      </c>
      <c r="C126" s="1" t="n">
        <v>2</v>
      </c>
      <c r="D126" s="10">
        <f>IFERROR((thsiFinD("ths_close_price_index",$A126,$AE$2,"","")/thsiFinD("ths_close_price_index",$A126,$AE$5,"","")-1)*100,"")</f>
        <v/>
      </c>
      <c r="E126" s="10">
        <f>IFERROR((thsiFinD("ths_close_price_index",$A126,$AE$2,"","")/thsiFinD("ths_close_price_index",$A126,$AE$3,"","")-1)*100,"")</f>
        <v/>
      </c>
      <c r="F126" s="10">
        <f>IFERROR((thsiFinD("ths_close_price_index",$A126,$AE$2,"","")/thsiFinD("ths_close_price_index",$A126,$AE$4,"","")-1)*100,"")</f>
        <v/>
      </c>
      <c r="G126" s="11">
        <f>IFERROR(E126/5-F126/20,"")</f>
        <v/>
      </c>
      <c r="H126" s="1" t="n">
        <v>100</v>
      </c>
      <c r="I126" s="1" t="inlineStr">
        <is>
          <t>002195.SZ</t>
        </is>
      </c>
      <c r="J126" s="1" t="inlineStr">
        <is>
          <t>岩山科技</t>
        </is>
      </c>
      <c r="K126" s="1" t="n">
        <v>363.4451</v>
      </c>
      <c r="L126" s="1" t="n">
        <v>56.83</v>
      </c>
      <c r="M126" s="1" t="inlineStr">
        <is>
          <t>601360.SH</t>
        </is>
      </c>
      <c r="N126" s="1" t="inlineStr">
        <is>
          <t>三六零</t>
        </is>
      </c>
      <c r="O126" s="1" t="n">
        <v>276.0508</v>
      </c>
      <c r="P126" s="1" t="n">
        <v>43.17</v>
      </c>
    </row>
    <row r="127">
      <c r="A127" s="1" t="inlineStr">
        <is>
          <t>CI005388.CI</t>
        </is>
      </c>
      <c r="B127" s="1" t="inlineStr">
        <is>
          <t>印染指数</t>
        </is>
      </c>
      <c r="C127" s="1" t="n">
        <v>5</v>
      </c>
      <c r="D127" s="10">
        <f>IFERROR((thsiFinD("ths_close_price_index",$A127,$AE$2,"","")/thsiFinD("ths_close_price_index",$A127,$AE$5,"","")-1)*100,"")</f>
        <v/>
      </c>
      <c r="E127" s="10">
        <f>IFERROR((thsiFinD("ths_close_price_index",$A127,$AE$2,"","")/thsiFinD("ths_close_price_index",$A127,$AE$3,"","")-1)*100,"")</f>
        <v/>
      </c>
      <c r="F127" s="10">
        <f>IFERROR((thsiFinD("ths_close_price_index",$A127,$AE$2,"","")/thsiFinD("ths_close_price_index",$A127,$AE$4,"","")-1)*100,"")</f>
        <v/>
      </c>
      <c r="G127" s="11">
        <f>IFERROR(E127/5-F127/20,"")</f>
        <v/>
      </c>
      <c r="H127" s="1" t="n">
        <v>100</v>
      </c>
      <c r="I127" s="1" t="inlineStr">
        <is>
          <t>600987.SH</t>
        </is>
      </c>
      <c r="J127" s="1" t="inlineStr">
        <is>
          <t>航民股份</t>
        </is>
      </c>
      <c r="K127" s="1" t="n">
        <v>30.282</v>
      </c>
      <c r="L127" s="1" t="n">
        <v>35.05</v>
      </c>
      <c r="M127" s="1" t="inlineStr">
        <is>
          <t>605055.SH</t>
        </is>
      </c>
      <c r="N127" s="1" t="inlineStr">
        <is>
          <t>迎丰股份</t>
        </is>
      </c>
      <c r="O127" s="1" t="n">
        <v>14.2936</v>
      </c>
      <c r="P127" s="1" t="n">
        <v>16.54</v>
      </c>
      <c r="Q127" s="1" t="inlineStr">
        <is>
          <t>605189.SH</t>
        </is>
      </c>
      <c r="R127" s="1" t="inlineStr">
        <is>
          <t>富春染织</t>
        </is>
      </c>
      <c r="S127" s="1" t="n">
        <v>14.1962</v>
      </c>
      <c r="T127" s="1" t="n">
        <v>16.43</v>
      </c>
      <c r="U127" s="1" t="inlineStr">
        <is>
          <t>600448.SH</t>
        </is>
      </c>
      <c r="V127" s="1" t="inlineStr">
        <is>
          <t>华纺股份</t>
        </is>
      </c>
      <c r="W127" s="1" t="n">
        <v>13.99</v>
      </c>
      <c r="X127" s="1" t="n">
        <v>16.19</v>
      </c>
      <c r="Y127" s="1" t="inlineStr">
        <is>
          <t>002144.SZ</t>
        </is>
      </c>
      <c r="Z127" s="1" t="inlineStr">
        <is>
          <t>宏达高科</t>
        </is>
      </c>
      <c r="AA127" s="1" t="n">
        <v>13.6408</v>
      </c>
      <c r="AB127" s="1" t="n">
        <v>15.79</v>
      </c>
    </row>
    <row r="128">
      <c r="A128" s="1" t="inlineStr">
        <is>
          <t>CI005461.CI</t>
        </is>
      </c>
      <c r="B128" s="1" t="inlineStr">
        <is>
          <t>锂电设备指数</t>
        </is>
      </c>
      <c r="C128" s="1" t="n">
        <v>12</v>
      </c>
      <c r="D128" s="10">
        <f>IFERROR((thsiFinD("ths_close_price_index",$A128,$AE$2,"","")/thsiFinD("ths_close_price_index",$A128,$AE$5,"","")-1)*100,"")</f>
        <v/>
      </c>
      <c r="E128" s="10">
        <f>IFERROR((thsiFinD("ths_close_price_index",$A128,$AE$2,"","")/thsiFinD("ths_close_price_index",$A128,$AE$3,"","")-1)*100,"")</f>
        <v/>
      </c>
      <c r="F128" s="10">
        <f>IFERROR((thsiFinD("ths_close_price_index",$A128,$AE$2,"","")/thsiFinD("ths_close_price_index",$A128,$AE$4,"","")-1)*100,"")</f>
        <v/>
      </c>
      <c r="G128" s="11">
        <f>IFERROR(E128/5-F128/20,"")</f>
        <v/>
      </c>
      <c r="H128" s="1" t="n">
        <v>84.67</v>
      </c>
      <c r="I128" s="1" t="inlineStr">
        <is>
          <t>300450.SZ</t>
        </is>
      </c>
      <c r="J128" s="1" t="inlineStr">
        <is>
          <t>先导智能</t>
        </is>
      </c>
      <c r="K128" s="1" t="n">
        <v>501.7725</v>
      </c>
      <c r="L128" s="1" t="n">
        <v>56.75</v>
      </c>
      <c r="M128" s="1" t="inlineStr">
        <is>
          <t>300457.SZ</t>
        </is>
      </c>
      <c r="N128" s="1" t="inlineStr">
        <is>
          <t>赢合科技</t>
        </is>
      </c>
      <c r="O128" s="1" t="n">
        <v>87.5414</v>
      </c>
      <c r="P128" s="1" t="n">
        <v>9.9</v>
      </c>
      <c r="Q128" s="1" t="inlineStr">
        <is>
          <t>300619.SZ</t>
        </is>
      </c>
      <c r="R128" s="1" t="inlineStr">
        <is>
          <t>金银河</t>
        </is>
      </c>
      <c r="S128" s="1" t="n">
        <v>54.2243</v>
      </c>
      <c r="T128" s="1" t="n">
        <v>6.13</v>
      </c>
      <c r="U128" s="1" t="inlineStr">
        <is>
          <t>300648.SZ</t>
        </is>
      </c>
      <c r="V128" s="1" t="inlineStr">
        <is>
          <t>星云股份</t>
        </is>
      </c>
      <c r="W128" s="1" t="n">
        <v>53.3722</v>
      </c>
      <c r="X128" s="1" t="n">
        <v>6.04</v>
      </c>
      <c r="Y128" s="1" t="inlineStr">
        <is>
          <t>688499.SH</t>
        </is>
      </c>
      <c r="Z128" s="1" t="inlineStr">
        <is>
          <t>利元亨</t>
        </is>
      </c>
      <c r="AA128" s="1" t="n">
        <v>51.7014</v>
      </c>
      <c r="AB128" s="1" t="n">
        <v>5.85</v>
      </c>
    </row>
    <row r="129">
      <c r="A129" s="1" t="inlineStr">
        <is>
          <t>CI005307.CI</t>
        </is>
      </c>
      <c r="B129" s="1" t="inlineStr">
        <is>
          <t>黑色家电Ⅲ指数</t>
        </is>
      </c>
      <c r="C129" s="1" t="n">
        <v>8</v>
      </c>
      <c r="D129" s="10">
        <f>IFERROR((thsiFinD("ths_close_price_index",$A129,$AE$2,"","")/thsiFinD("ths_close_price_index",$A129,$AE$5,"","")-1)*100,"")</f>
        <v/>
      </c>
      <c r="E129" s="10">
        <f>IFERROR((thsiFinD("ths_close_price_index",$A129,$AE$2,"","")/thsiFinD("ths_close_price_index",$A129,$AE$3,"","")-1)*100,"")</f>
        <v/>
      </c>
      <c r="F129" s="10">
        <f>IFERROR((thsiFinD("ths_close_price_index",$A129,$AE$2,"","")/thsiFinD("ths_close_price_index",$A129,$AE$4,"","")-1)*100,"")</f>
        <v/>
      </c>
      <c r="G129" s="11">
        <f>IFERROR(E129/5-F129/20,"")</f>
        <v/>
      </c>
      <c r="H129" s="1" t="n">
        <v>92.15000000000001</v>
      </c>
      <c r="I129" s="1" t="inlineStr">
        <is>
          <t>600839.SH</t>
        </is>
      </c>
      <c r="J129" s="1" t="inlineStr">
        <is>
          <t>四川长虹</t>
        </is>
      </c>
      <c r="K129" s="1" t="n">
        <v>244.1227</v>
      </c>
      <c r="L129" s="1" t="n">
        <v>30.16</v>
      </c>
      <c r="M129" s="1" t="inlineStr">
        <is>
          <t>002429.SZ</t>
        </is>
      </c>
      <c r="N129" s="1" t="inlineStr">
        <is>
          <t>兆驰股份</t>
        </is>
      </c>
      <c r="O129" s="1" t="n">
        <v>240.9569</v>
      </c>
      <c r="P129" s="1" t="n">
        <v>29.77</v>
      </c>
      <c r="Q129" s="1" t="inlineStr">
        <is>
          <t>600060.SH</t>
        </is>
      </c>
      <c r="R129" s="1" t="inlineStr">
        <is>
          <t>海信视像</t>
        </is>
      </c>
      <c r="S129" s="1" t="n">
        <v>165.9838</v>
      </c>
      <c r="T129" s="1" t="n">
        <v>20.51</v>
      </c>
      <c r="U129" s="1" t="inlineStr">
        <is>
          <t>000801.SZ</t>
        </is>
      </c>
      <c r="V129" s="1" t="inlineStr">
        <is>
          <t>四川九洲</t>
        </is>
      </c>
      <c r="W129" s="1" t="n">
        <v>58.811</v>
      </c>
      <c r="X129" s="1" t="n">
        <v>7.27</v>
      </c>
      <c r="Y129" s="1" t="inlineStr">
        <is>
          <t>688696.SH</t>
        </is>
      </c>
      <c r="Z129" s="1" t="inlineStr">
        <is>
          <t>极米科技</t>
        </is>
      </c>
      <c r="AA129" s="1" t="n">
        <v>35.9327</v>
      </c>
      <c r="AB129" s="1" t="n">
        <v>4.44</v>
      </c>
    </row>
    <row r="130">
      <c r="A130" s="1" t="inlineStr">
        <is>
          <t>CI005513.CI</t>
        </is>
      </c>
      <c r="B130" s="1" t="inlineStr">
        <is>
          <t>肉制品指数</t>
        </is>
      </c>
      <c r="C130" s="1" t="n">
        <v>7</v>
      </c>
      <c r="D130" s="10">
        <f>IFERROR((thsiFinD("ths_close_price_index",$A130,$AE$2,"","")/thsiFinD("ths_close_price_index",$A130,$AE$5,"","")-1)*100,"")</f>
        <v/>
      </c>
      <c r="E130" s="10">
        <f>IFERROR((thsiFinD("ths_close_price_index",$A130,$AE$2,"","")/thsiFinD("ths_close_price_index",$A130,$AE$3,"","")-1)*100,"")</f>
        <v/>
      </c>
      <c r="F130" s="10">
        <f>IFERROR((thsiFinD("ths_close_price_index",$A130,$AE$2,"","")/thsiFinD("ths_close_price_index",$A130,$AE$4,"","")-1)*100,"")</f>
        <v/>
      </c>
      <c r="G130" s="11">
        <f>IFERROR(E130/5-F130/20,"")</f>
        <v/>
      </c>
      <c r="H130" s="1" t="n">
        <v>95.06999999999999</v>
      </c>
      <c r="I130" s="1" t="inlineStr">
        <is>
          <t>000895.SZ</t>
        </is>
      </c>
      <c r="J130" s="1" t="inlineStr">
        <is>
          <t>双汇发展</t>
        </is>
      </c>
      <c r="K130" s="1" t="n">
        <v>234.8824</v>
      </c>
      <c r="L130" s="1" t="n">
        <v>57.4</v>
      </c>
      <c r="M130" s="1" t="inlineStr">
        <is>
          <t>002515.SZ</t>
        </is>
      </c>
      <c r="N130" s="1" t="inlineStr">
        <is>
          <t>金字火腿</t>
        </is>
      </c>
      <c r="O130" s="1" t="n">
        <v>100.4242</v>
      </c>
      <c r="P130" s="1" t="n">
        <v>24.54</v>
      </c>
      <c r="Q130" s="1" t="inlineStr">
        <is>
          <t>600073.SH</t>
        </is>
      </c>
      <c r="R130" s="1" t="inlineStr">
        <is>
          <t>光明肉业</t>
        </is>
      </c>
      <c r="S130" s="1" t="n">
        <v>29.138</v>
      </c>
      <c r="T130" s="1" t="n">
        <v>7.12</v>
      </c>
      <c r="U130" s="1" t="inlineStr">
        <is>
          <t>002330.SZ</t>
        </is>
      </c>
      <c r="V130" s="1" t="inlineStr">
        <is>
          <t>得利斯</t>
        </is>
      </c>
      <c r="W130" s="1" t="n">
        <v>13.9068</v>
      </c>
      <c r="X130" s="1" t="n">
        <v>3.4</v>
      </c>
      <c r="Y130" s="1" t="inlineStr">
        <is>
          <t>301116.SZ</t>
        </is>
      </c>
      <c r="Z130" s="1" t="inlineStr">
        <is>
          <t>益客食品</t>
        </is>
      </c>
      <c r="AA130" s="1" t="n">
        <v>10.6945</v>
      </c>
      <c r="AB130" s="1" t="n">
        <v>2.61</v>
      </c>
    </row>
    <row r="131">
      <c r="A131" s="1" t="inlineStr">
        <is>
          <t>CI005284.CI</t>
        </is>
      </c>
      <c r="B131" s="1" t="inlineStr">
        <is>
          <t>风电指数</t>
        </is>
      </c>
      <c r="C131" s="1" t="n">
        <v>20</v>
      </c>
      <c r="D131" s="10">
        <f>IFERROR((thsiFinD("ths_close_price_index",$A131,$AE$2,"","")/thsiFinD("ths_close_price_index",$A131,$AE$5,"","")-1)*100,"")</f>
        <v/>
      </c>
      <c r="E131" s="10">
        <f>IFERROR((thsiFinD("ths_close_price_index",$A131,$AE$2,"","")/thsiFinD("ths_close_price_index",$A131,$AE$3,"","")-1)*100,"")</f>
        <v/>
      </c>
      <c r="F131" s="10">
        <f>IFERROR((thsiFinD("ths_close_price_index",$A131,$AE$2,"","")/thsiFinD("ths_close_price_index",$A131,$AE$4,"","")-1)*100,"")</f>
        <v/>
      </c>
      <c r="G131" s="11">
        <f>IFERROR(E131/5-F131/20,"")</f>
        <v/>
      </c>
      <c r="H131" s="1" t="n">
        <v>89.48</v>
      </c>
      <c r="I131" s="1" t="inlineStr">
        <is>
          <t>301526.SZ</t>
        </is>
      </c>
      <c r="J131" s="1" t="inlineStr">
        <is>
          <t>国际复材</t>
        </is>
      </c>
      <c r="K131" s="1" t="n">
        <v>584.2275</v>
      </c>
      <c r="L131" s="1" t="n">
        <v>48.02</v>
      </c>
      <c r="M131" s="1" t="inlineStr">
        <is>
          <t>300748.SZ</t>
        </is>
      </c>
      <c r="N131" s="1" t="inlineStr">
        <is>
          <t>金力永磁</t>
        </is>
      </c>
      <c r="O131" s="1" t="n">
        <v>225.3239</v>
      </c>
      <c r="P131" s="1" t="n">
        <v>18.52</v>
      </c>
      <c r="Q131" s="1" t="inlineStr">
        <is>
          <t>600416.SH</t>
        </is>
      </c>
      <c r="R131" s="1" t="inlineStr">
        <is>
          <t>湘电股份</t>
        </is>
      </c>
      <c r="S131" s="1" t="n">
        <v>102.352</v>
      </c>
      <c r="T131" s="1" t="n">
        <v>8.41</v>
      </c>
      <c r="U131" s="1" t="inlineStr">
        <is>
          <t>300185.SZ</t>
        </is>
      </c>
      <c r="V131" s="1" t="inlineStr">
        <is>
          <t>通裕重工</t>
        </is>
      </c>
      <c r="W131" s="1" t="n">
        <v>95.7672</v>
      </c>
      <c r="X131" s="1" t="n">
        <v>7.87</v>
      </c>
      <c r="Y131" s="1" t="inlineStr">
        <is>
          <t>002531.SZ</t>
        </is>
      </c>
      <c r="Z131" s="1" t="inlineStr">
        <is>
          <t>天顺风能</t>
        </is>
      </c>
      <c r="AA131" s="1" t="n">
        <v>81.0341</v>
      </c>
      <c r="AB131" s="1" t="n">
        <v>6.66</v>
      </c>
    </row>
    <row r="132">
      <c r="A132" s="1" t="inlineStr">
        <is>
          <t>CI005449.CI</t>
        </is>
      </c>
      <c r="B132" s="1" t="inlineStr">
        <is>
          <t>文娱轻工Ⅲ指数</t>
        </is>
      </c>
      <c r="C132" s="1" t="n">
        <v>15</v>
      </c>
      <c r="D132" s="10">
        <f>IFERROR((thsiFinD("ths_close_price_index",$A132,$AE$2,"","")/thsiFinD("ths_close_price_index",$A132,$AE$5,"","")-1)*100,"")</f>
        <v/>
      </c>
      <c r="E132" s="10">
        <f>IFERROR((thsiFinD("ths_close_price_index",$A132,$AE$2,"","")/thsiFinD("ths_close_price_index",$A132,$AE$3,"","")-1)*100,"")</f>
        <v/>
      </c>
      <c r="F132" s="10">
        <f>IFERROR((thsiFinD("ths_close_price_index",$A132,$AE$2,"","")/thsiFinD("ths_close_price_index",$A132,$AE$4,"","")-1)*100,"")</f>
        <v/>
      </c>
      <c r="G132" s="11">
        <f>IFERROR(E132/5-F132/20,"")</f>
        <v/>
      </c>
      <c r="H132" s="1" t="n">
        <v>67.83</v>
      </c>
      <c r="I132" s="1" t="inlineStr">
        <is>
          <t>002348.SZ</t>
        </is>
      </c>
      <c r="J132" s="1" t="inlineStr">
        <is>
          <t>高乐股份</t>
        </is>
      </c>
      <c r="K132" s="1" t="n">
        <v>79.77330000000001</v>
      </c>
      <c r="L132" s="1" t="n">
        <v>21.04</v>
      </c>
      <c r="M132" s="1" t="inlineStr">
        <is>
          <t>603899.SH</t>
        </is>
      </c>
      <c r="N132" s="1" t="inlineStr">
        <is>
          <t>晨光股份</t>
        </is>
      </c>
      <c r="O132" s="1" t="n">
        <v>69.538</v>
      </c>
      <c r="P132" s="1" t="n">
        <v>18.34</v>
      </c>
      <c r="Q132" s="1" t="inlineStr">
        <is>
          <t>002605.SZ</t>
        </is>
      </c>
      <c r="R132" s="1" t="inlineStr">
        <is>
          <t>姚记科技</t>
        </is>
      </c>
      <c r="S132" s="1" t="n">
        <v>43.154</v>
      </c>
      <c r="T132" s="1" t="n">
        <v>11.38</v>
      </c>
      <c r="U132" s="1" t="inlineStr">
        <is>
          <t>002301.SZ</t>
        </is>
      </c>
      <c r="V132" s="1" t="inlineStr">
        <is>
          <t>齐心集团</t>
        </is>
      </c>
      <c r="W132" s="1" t="n">
        <v>33.1998</v>
      </c>
      <c r="X132" s="1" t="n">
        <v>8.76</v>
      </c>
      <c r="Y132" s="1" t="inlineStr">
        <is>
          <t>002575.SZ</t>
        </is>
      </c>
      <c r="Z132" s="1" t="inlineStr">
        <is>
          <t>群兴玩具</t>
        </is>
      </c>
      <c r="AA132" s="1" t="n">
        <v>31.4975</v>
      </c>
      <c r="AB132" s="1" t="n">
        <v>8.31</v>
      </c>
    </row>
    <row r="133">
      <c r="A133" s="1" t="inlineStr">
        <is>
          <t>CI005438.CI</t>
        </is>
      </c>
      <c r="B133" s="1" t="inlineStr">
        <is>
          <t>玻璃指数</t>
        </is>
      </c>
      <c r="C133" s="1" t="n">
        <v>10</v>
      </c>
      <c r="D133" s="10">
        <f>IFERROR((thsiFinD("ths_close_price_index",$A133,$AE$2,"","")/thsiFinD("ths_close_price_index",$A133,$AE$5,"","")-1)*100,"")</f>
        <v/>
      </c>
      <c r="E133" s="10">
        <f>IFERROR((thsiFinD("ths_close_price_index",$A133,$AE$2,"","")/thsiFinD("ths_close_price_index",$A133,$AE$3,"","")-1)*100,"")</f>
        <v/>
      </c>
      <c r="F133" s="10">
        <f>IFERROR((thsiFinD("ths_close_price_index",$A133,$AE$2,"","")/thsiFinD("ths_close_price_index",$A133,$AE$4,"","")-1)*100,"")</f>
        <v/>
      </c>
      <c r="G133" s="11">
        <f>IFERROR(E133/5-F133/20,"")</f>
        <v/>
      </c>
      <c r="H133" s="1" t="n">
        <v>77.06999999999999</v>
      </c>
      <c r="I133" s="1" t="inlineStr">
        <is>
          <t>601636.SH</t>
        </is>
      </c>
      <c r="J133" s="1" t="inlineStr">
        <is>
          <t>旗滨集团</t>
        </is>
      </c>
      <c r="K133" s="1" t="n">
        <v>155.7097</v>
      </c>
      <c r="L133" s="1" t="n">
        <v>30.57</v>
      </c>
      <c r="M133" s="1" t="inlineStr">
        <is>
          <t>000012.SZ</t>
        </is>
      </c>
      <c r="N133" s="1" t="inlineStr">
        <is>
          <t>南玻A</t>
        </is>
      </c>
      <c r="O133" s="1" t="n">
        <v>89.6123</v>
      </c>
      <c r="P133" s="1" t="n">
        <v>17.59</v>
      </c>
      <c r="Q133" s="1" t="inlineStr">
        <is>
          <t>002163.SZ</t>
        </is>
      </c>
      <c r="R133" s="1" t="inlineStr">
        <is>
          <t>海南发展</t>
        </is>
      </c>
      <c r="S133" s="1" t="n">
        <v>52.012</v>
      </c>
      <c r="T133" s="1" t="n">
        <v>10.21</v>
      </c>
      <c r="U133" s="1" t="inlineStr">
        <is>
          <t>300093.SZ</t>
        </is>
      </c>
      <c r="V133" s="1" t="inlineStr">
        <is>
          <t>金刚光伏</t>
        </is>
      </c>
      <c r="W133" s="1" t="n">
        <v>51.087</v>
      </c>
      <c r="X133" s="1" t="n">
        <v>10.03</v>
      </c>
      <c r="Y133" s="1" t="inlineStr">
        <is>
          <t>600586.SH</t>
        </is>
      </c>
      <c r="Z133" s="1" t="inlineStr">
        <is>
          <t>金晶科技</t>
        </is>
      </c>
      <c r="AA133" s="1" t="n">
        <v>44.1463</v>
      </c>
      <c r="AB133" s="1" t="n">
        <v>8.67</v>
      </c>
    </row>
    <row r="134">
      <c r="A134" s="1" t="inlineStr">
        <is>
          <t>CI005452.CI</t>
        </is>
      </c>
      <c r="B134" s="1" t="inlineStr">
        <is>
          <t>电梯指数</t>
        </is>
      </c>
      <c r="C134" s="1" t="n">
        <v>12</v>
      </c>
      <c r="D134" s="10">
        <f>IFERROR((thsiFinD("ths_close_price_index",$A134,$AE$2,"","")/thsiFinD("ths_close_price_index",$A134,$AE$5,"","")-1)*100,"")</f>
        <v/>
      </c>
      <c r="E134" s="10">
        <f>IFERROR((thsiFinD("ths_close_price_index",$A134,$AE$2,"","")/thsiFinD("ths_close_price_index",$A134,$AE$3,"","")-1)*100,"")</f>
        <v/>
      </c>
      <c r="F134" s="10">
        <f>IFERROR((thsiFinD("ths_close_price_index",$A134,$AE$2,"","")/thsiFinD("ths_close_price_index",$A134,$AE$4,"","")-1)*100,"")</f>
        <v/>
      </c>
      <c r="G134" s="11">
        <f>IFERROR(E134/5-F134/20,"")</f>
        <v/>
      </c>
      <c r="H134" s="1" t="n">
        <v>64.65000000000001</v>
      </c>
      <c r="I134" s="1" t="inlineStr">
        <is>
          <t>600835.SH</t>
        </is>
      </c>
      <c r="J134" s="1" t="inlineStr">
        <is>
          <t>上海机电</t>
        </is>
      </c>
      <c r="K134" s="1" t="n">
        <v>70.84569999999999</v>
      </c>
      <c r="L134" s="1" t="n">
        <v>25.14</v>
      </c>
      <c r="M134" s="1" t="inlineStr">
        <is>
          <t>300669.SZ</t>
        </is>
      </c>
      <c r="N134" s="1" t="inlineStr">
        <is>
          <t>沪宁股份</t>
        </is>
      </c>
      <c r="O134" s="1" t="n">
        <v>33.263</v>
      </c>
      <c r="P134" s="1" t="n">
        <v>11.81</v>
      </c>
      <c r="Q134" s="1" t="inlineStr">
        <is>
          <t>600894.SH</t>
        </is>
      </c>
      <c r="R134" s="1" t="inlineStr">
        <is>
          <t>广日股份</t>
        </is>
      </c>
      <c r="S134" s="1" t="n">
        <v>30.2195</v>
      </c>
      <c r="T134" s="1" t="n">
        <v>10.73</v>
      </c>
      <c r="U134" s="1" t="inlineStr">
        <is>
          <t>002367.SZ</t>
        </is>
      </c>
      <c r="V134" s="1" t="inlineStr">
        <is>
          <t>康力电梯</t>
        </is>
      </c>
      <c r="W134" s="1" t="n">
        <v>25.0385</v>
      </c>
      <c r="X134" s="1" t="n">
        <v>8.890000000000001</v>
      </c>
      <c r="Y134" s="1" t="inlineStr">
        <is>
          <t>300931.SZ</t>
        </is>
      </c>
      <c r="Z134" s="1" t="inlineStr">
        <is>
          <t>通用电梯</t>
        </is>
      </c>
      <c r="AA134" s="1" t="n">
        <v>22.7622</v>
      </c>
      <c r="AB134" s="1" t="n">
        <v>8.08</v>
      </c>
    </row>
    <row r="135">
      <c r="A135" s="1" t="inlineStr">
        <is>
          <t>CI005503.CI</t>
        </is>
      </c>
      <c r="B135" s="1" t="inlineStr">
        <is>
          <t>小家电Ⅲ指数</t>
        </is>
      </c>
      <c r="C135" s="1" t="n">
        <v>21</v>
      </c>
      <c r="D135" s="10">
        <f>IFERROR((thsiFinD("ths_close_price_index",$A135,$AE$2,"","")/thsiFinD("ths_close_price_index",$A135,$AE$5,"","")-1)*100,"")</f>
        <v/>
      </c>
      <c r="E135" s="10">
        <f>IFERROR((thsiFinD("ths_close_price_index",$A135,$AE$2,"","")/thsiFinD("ths_close_price_index",$A135,$AE$3,"","")-1)*100,"")</f>
        <v/>
      </c>
      <c r="F135" s="10">
        <f>IFERROR((thsiFinD("ths_close_price_index",$A135,$AE$2,"","")/thsiFinD("ths_close_price_index",$A135,$AE$4,"","")-1)*100,"")</f>
        <v/>
      </c>
      <c r="G135" s="11">
        <f>IFERROR(E135/5-F135/20,"")</f>
        <v/>
      </c>
      <c r="H135" s="1" t="n">
        <v>47.3</v>
      </c>
      <c r="I135" s="1" t="inlineStr">
        <is>
          <t>002005.SZ</t>
        </is>
      </c>
      <c r="J135" s="1" t="inlineStr">
        <is>
          <t>ST德豪</t>
        </is>
      </c>
      <c r="K135" s="1" t="n">
        <v>34.0218</v>
      </c>
      <c r="L135" s="1" t="n">
        <v>11.55</v>
      </c>
      <c r="M135" s="1" t="inlineStr">
        <is>
          <t>002705.SZ</t>
        </is>
      </c>
      <c r="N135" s="1" t="inlineStr">
        <is>
          <t>新宝股份</t>
        </is>
      </c>
      <c r="O135" s="1" t="n">
        <v>30.6458</v>
      </c>
      <c r="P135" s="1" t="n">
        <v>10.4</v>
      </c>
      <c r="Q135" s="1" t="inlineStr">
        <is>
          <t>300247.SZ</t>
        </is>
      </c>
      <c r="R135" s="1" t="inlineStr">
        <is>
          <t>融捷健康</t>
        </is>
      </c>
      <c r="S135" s="1" t="n">
        <v>27.4443</v>
      </c>
      <c r="T135" s="1" t="n">
        <v>9.31</v>
      </c>
      <c r="U135" s="1" t="inlineStr">
        <is>
          <t>605555.SH</t>
        </is>
      </c>
      <c r="V135" s="1" t="inlineStr">
        <is>
          <t>德昌股份</t>
        </is>
      </c>
      <c r="W135" s="1" t="n">
        <v>24.5257</v>
      </c>
      <c r="X135" s="1" t="n">
        <v>8.32</v>
      </c>
      <c r="Y135" s="1" t="inlineStr">
        <is>
          <t>603579.SH</t>
        </is>
      </c>
      <c r="Z135" s="1" t="inlineStr">
        <is>
          <t>荣泰健康</t>
        </is>
      </c>
      <c r="AA135" s="1" t="n">
        <v>22.7354</v>
      </c>
      <c r="AB135" s="1" t="n">
        <v>7.72</v>
      </c>
    </row>
    <row r="136">
      <c r="A136" s="1" t="inlineStr">
        <is>
          <t>CI005342.CI</t>
        </is>
      </c>
      <c r="B136" s="1" t="inlineStr">
        <is>
          <t>国有大型银行Ⅲ指数</t>
        </is>
      </c>
      <c r="C136" s="1" t="n">
        <v>6</v>
      </c>
      <c r="D136" s="10">
        <f>IFERROR((thsiFinD("ths_close_price_index",$A136,$AE$2,"","")/thsiFinD("ths_close_price_index",$A136,$AE$5,"","")-1)*100,"")</f>
        <v/>
      </c>
      <c r="E136" s="10">
        <f>IFERROR((thsiFinD("ths_close_price_index",$A136,$AE$2,"","")/thsiFinD("ths_close_price_index",$A136,$AE$3,"","")-1)*100,"")</f>
        <v/>
      </c>
      <c r="F136" s="10">
        <f>IFERROR((thsiFinD("ths_close_price_index",$A136,$AE$2,"","")/thsiFinD("ths_close_price_index",$A136,$AE$4,"","")-1)*100,"")</f>
        <v/>
      </c>
      <c r="G136" s="11">
        <f>IFERROR(E136/5-F136/20,"")</f>
        <v/>
      </c>
      <c r="H136" s="1" t="n">
        <v>93.23999999999999</v>
      </c>
      <c r="I136" s="1" t="inlineStr">
        <is>
          <t>601398.SH</t>
        </is>
      </c>
      <c r="J136" s="1" t="inlineStr">
        <is>
          <t>工商银行</t>
        </is>
      </c>
      <c r="K136" s="1" t="n">
        <v>2245.8738</v>
      </c>
      <c r="L136" s="1" t="n">
        <v>29.91</v>
      </c>
      <c r="M136" s="1" t="inlineStr">
        <is>
          <t>601288.SH</t>
        </is>
      </c>
      <c r="N136" s="1" t="inlineStr">
        <is>
          <t>农业银行</t>
        </is>
      </c>
      <c r="O136" s="1" t="n">
        <v>1831.7479</v>
      </c>
      <c r="P136" s="1" t="n">
        <v>24.4</v>
      </c>
      <c r="Q136" s="1" t="inlineStr">
        <is>
          <t>601328.SH</t>
        </is>
      </c>
      <c r="R136" s="1" t="inlineStr">
        <is>
          <t>交通银行</t>
        </is>
      </c>
      <c r="S136" s="1" t="n">
        <v>1536.5113</v>
      </c>
      <c r="T136" s="1" t="n">
        <v>20.47</v>
      </c>
      <c r="U136" s="1" t="inlineStr">
        <is>
          <t>601988.SH</t>
        </is>
      </c>
      <c r="V136" s="1" t="inlineStr">
        <is>
          <t>中国银行</t>
        </is>
      </c>
      <c r="W136" s="1" t="n">
        <v>726.0117</v>
      </c>
      <c r="X136" s="1" t="n">
        <v>9.67</v>
      </c>
      <c r="Y136" s="1" t="inlineStr">
        <is>
          <t>601939.SH</t>
        </is>
      </c>
      <c r="Z136" s="1" t="inlineStr">
        <is>
          <t>建设银行</t>
        </is>
      </c>
      <c r="AA136" s="1" t="n">
        <v>660.0522999999999</v>
      </c>
      <c r="AB136" s="1" t="n">
        <v>8.789999999999999</v>
      </c>
    </row>
    <row r="137">
      <c r="A137" s="1" t="inlineStr">
        <is>
          <t>CI005276.CI</t>
        </is>
      </c>
      <c r="B137" s="1" t="inlineStr">
        <is>
          <t>铁路交通设备指数</t>
        </is>
      </c>
      <c r="C137" s="1" t="n">
        <v>30</v>
      </c>
      <c r="D137" s="10">
        <f>IFERROR((thsiFinD("ths_close_price_index",$A137,$AE$2,"","")/thsiFinD("ths_close_price_index",$A137,$AE$5,"","")-1)*100,"")</f>
        <v/>
      </c>
      <c r="E137" s="10">
        <f>IFERROR((thsiFinD("ths_close_price_index",$A137,$AE$2,"","")/thsiFinD("ths_close_price_index",$A137,$AE$3,"","")-1)*100,"")</f>
        <v/>
      </c>
      <c r="F137" s="10">
        <f>IFERROR((thsiFinD("ths_close_price_index",$A137,$AE$2,"","")/thsiFinD("ths_close_price_index",$A137,$AE$4,"","")-1)*100,"")</f>
        <v/>
      </c>
      <c r="G137" s="11">
        <f>IFERROR(E137/5-F137/20,"")</f>
        <v/>
      </c>
      <c r="H137" s="1" t="n">
        <v>61.73</v>
      </c>
      <c r="I137" s="1" t="inlineStr">
        <is>
          <t>601766.SH</t>
        </is>
      </c>
      <c r="J137" s="1" t="inlineStr">
        <is>
          <t>中国中车</t>
        </is>
      </c>
      <c r="K137" s="1" t="n">
        <v>552.2705</v>
      </c>
      <c r="L137" s="1" t="n">
        <v>39.74</v>
      </c>
      <c r="M137" s="1" t="inlineStr">
        <is>
          <t>688009.SH</t>
        </is>
      </c>
      <c r="N137" s="1" t="inlineStr">
        <is>
          <t>中国通号</t>
        </is>
      </c>
      <c r="O137" s="1" t="n">
        <v>101.3435</v>
      </c>
      <c r="P137" s="1" t="n">
        <v>7.29</v>
      </c>
      <c r="Q137" s="1" t="inlineStr">
        <is>
          <t>000927.SZ</t>
        </is>
      </c>
      <c r="R137" s="1" t="inlineStr">
        <is>
          <t>中国铁物</t>
        </is>
      </c>
      <c r="S137" s="1" t="n">
        <v>72.0612</v>
      </c>
      <c r="T137" s="1" t="n">
        <v>5.19</v>
      </c>
      <c r="U137" s="1" t="inlineStr">
        <is>
          <t>600528.SH</t>
        </is>
      </c>
      <c r="V137" s="1" t="inlineStr">
        <is>
          <t>中铁工业</t>
        </is>
      </c>
      <c r="W137" s="1" t="n">
        <v>67.9071</v>
      </c>
      <c r="X137" s="1" t="n">
        <v>4.89</v>
      </c>
      <c r="Y137" s="1" t="inlineStr">
        <is>
          <t>688485.SH</t>
        </is>
      </c>
      <c r="Z137" s="1" t="inlineStr">
        <is>
          <t>九州一轨</t>
        </is>
      </c>
      <c r="AA137" s="1" t="n">
        <v>64.1454</v>
      </c>
      <c r="AB137" s="1" t="n">
        <v>4.62</v>
      </c>
    </row>
    <row r="138">
      <c r="A138" s="1" t="inlineStr">
        <is>
          <t>CI005528.CI</t>
        </is>
      </c>
      <c r="B138" s="1" t="inlineStr">
        <is>
          <t>物业经纪服务指数</t>
        </is>
      </c>
      <c r="C138" s="1" t="n">
        <v>4</v>
      </c>
      <c r="D138" s="10">
        <f>IFERROR((thsiFinD("ths_close_price_index",$A138,$AE$2,"","")/thsiFinD("ths_close_price_index",$A138,$AE$5,"","")-1)*100,"")</f>
        <v/>
      </c>
      <c r="E138" s="10">
        <f>IFERROR((thsiFinD("ths_close_price_index",$A138,$AE$2,"","")/thsiFinD("ths_close_price_index",$A138,$AE$3,"","")-1)*100,"")</f>
        <v/>
      </c>
      <c r="F138" s="10">
        <f>IFERROR((thsiFinD("ths_close_price_index",$A138,$AE$2,"","")/thsiFinD("ths_close_price_index",$A138,$AE$4,"","")-1)*100,"")</f>
        <v/>
      </c>
      <c r="G138" s="11">
        <f>IFERROR(E138/5-F138/20,"")</f>
        <v/>
      </c>
      <c r="H138" s="1" t="n">
        <v>100</v>
      </c>
      <c r="I138" s="1" t="inlineStr">
        <is>
          <t>000560.SZ</t>
        </is>
      </c>
      <c r="J138" s="1" t="inlineStr">
        <is>
          <t>我爱我家</t>
        </is>
      </c>
      <c r="K138" s="1" t="n">
        <v>42.403</v>
      </c>
      <c r="L138" s="1" t="n">
        <v>50.26</v>
      </c>
      <c r="M138" s="1" t="inlineStr">
        <is>
          <t>002285.SZ</t>
        </is>
      </c>
      <c r="N138" s="1" t="inlineStr">
        <is>
          <t>世联行</t>
        </is>
      </c>
      <c r="O138" s="1" t="n">
        <v>23.1623</v>
      </c>
      <c r="P138" s="1" t="n">
        <v>27.46</v>
      </c>
      <c r="Q138" s="1" t="inlineStr">
        <is>
          <t>002377.SZ</t>
        </is>
      </c>
      <c r="R138" s="1" t="inlineStr">
        <is>
          <t>国创高新</t>
        </is>
      </c>
      <c r="S138" s="1" t="n">
        <v>18.7958</v>
      </c>
      <c r="T138" s="1" t="n">
        <v>22.28</v>
      </c>
    </row>
    <row r="139">
      <c r="A139" s="1" t="inlineStr">
        <is>
          <t>CI005322.CI</t>
        </is>
      </c>
      <c r="B139" s="1" t="inlineStr">
        <is>
          <t>医疗器械指数</t>
        </is>
      </c>
      <c r="C139" s="1" t="n">
        <v>115</v>
      </c>
      <c r="D139" s="10">
        <f>IFERROR((thsiFinD("ths_close_price_index",$A139,$AE$2,"","")/thsiFinD("ths_close_price_index",$A139,$AE$5,"","")-1)*100,"")</f>
        <v/>
      </c>
      <c r="E139" s="10">
        <f>IFERROR((thsiFinD("ths_close_price_index",$A139,$AE$2,"","")/thsiFinD("ths_close_price_index",$A139,$AE$3,"","")-1)*100,"")</f>
        <v/>
      </c>
      <c r="F139" s="10">
        <f>IFERROR((thsiFinD("ths_close_price_index",$A139,$AE$2,"","")/thsiFinD("ths_close_price_index",$A139,$AE$4,"","")-1)*100,"")</f>
        <v/>
      </c>
      <c r="G139" s="11">
        <f>IFERROR(E139/5-F139/20,"")</f>
        <v/>
      </c>
      <c r="H139" s="1" t="n">
        <v>42.54</v>
      </c>
      <c r="I139" s="1" t="inlineStr">
        <is>
          <t>300760.SZ</t>
        </is>
      </c>
      <c r="J139" s="1" t="inlineStr">
        <is>
          <t>迈瑞医疗</t>
        </is>
      </c>
      <c r="K139" s="1" t="n">
        <v>831.7666</v>
      </c>
      <c r="L139" s="1" t="n">
        <v>18.02</v>
      </c>
      <c r="M139" s="1" t="inlineStr">
        <is>
          <t>688271.SH</t>
        </is>
      </c>
      <c r="N139" s="1" t="inlineStr">
        <is>
          <t>联影医疗</t>
        </is>
      </c>
      <c r="O139" s="1" t="n">
        <v>480.7772</v>
      </c>
      <c r="P139" s="1" t="n">
        <v>10.41</v>
      </c>
      <c r="Q139" s="1" t="inlineStr">
        <is>
          <t>002432.SZ</t>
        </is>
      </c>
      <c r="R139" s="1" t="inlineStr">
        <is>
          <t>九安医疗</t>
        </is>
      </c>
      <c r="S139" s="1" t="n">
        <v>254.1528</v>
      </c>
      <c r="T139" s="1" t="n">
        <v>5.5</v>
      </c>
      <c r="U139" s="1" t="inlineStr">
        <is>
          <t>688301.SH</t>
        </is>
      </c>
      <c r="V139" s="1" t="inlineStr">
        <is>
          <t>奕瑞科技</t>
        </is>
      </c>
      <c r="W139" s="1" t="n">
        <v>239.1471</v>
      </c>
      <c r="X139" s="1" t="n">
        <v>5.18</v>
      </c>
      <c r="Y139" s="1" t="inlineStr">
        <is>
          <t>300677.SZ</t>
        </is>
      </c>
      <c r="Z139" s="1" t="inlineStr">
        <is>
          <t>英科医疗</t>
        </is>
      </c>
      <c r="AA139" s="1" t="n">
        <v>158.3866</v>
      </c>
      <c r="AB139" s="1" t="n">
        <v>3.43</v>
      </c>
    </row>
    <row r="140">
      <c r="A140" s="1" t="inlineStr">
        <is>
          <t>CI005250.CI</t>
        </is>
      </c>
      <c r="B140" s="1" t="inlineStr">
        <is>
          <t>聚氨酯指数</t>
        </is>
      </c>
      <c r="C140" s="1" t="n">
        <v>8</v>
      </c>
      <c r="D140" s="10">
        <f>IFERROR((thsiFinD("ths_close_price_index",$A140,$AE$2,"","")/thsiFinD("ths_close_price_index",$A140,$AE$5,"","")-1)*100,"")</f>
        <v/>
      </c>
      <c r="E140" s="10">
        <f>IFERROR((thsiFinD("ths_close_price_index",$A140,$AE$2,"","")/thsiFinD("ths_close_price_index",$A140,$AE$3,"","")-1)*100,"")</f>
        <v/>
      </c>
      <c r="F140" s="10">
        <f>IFERROR((thsiFinD("ths_close_price_index",$A140,$AE$2,"","")/thsiFinD("ths_close_price_index",$A140,$AE$4,"","")-1)*100,"")</f>
        <v/>
      </c>
      <c r="G140" s="11">
        <f>IFERROR(E140/5-F140/20,"")</f>
        <v/>
      </c>
      <c r="H140" s="1" t="n">
        <v>97.64</v>
      </c>
      <c r="I140" s="1" t="inlineStr">
        <is>
          <t>600309.SH</t>
        </is>
      </c>
      <c r="J140" s="1" t="inlineStr">
        <is>
          <t>万华化学</t>
        </is>
      </c>
      <c r="K140" s="1" t="n">
        <v>1352.6456</v>
      </c>
      <c r="L140" s="1" t="n">
        <v>90.44</v>
      </c>
      <c r="M140" s="1" t="inlineStr">
        <is>
          <t>600230.SH</t>
        </is>
      </c>
      <c r="N140" s="1" t="inlineStr">
        <is>
          <t>沧州大化</t>
        </is>
      </c>
      <c r="O140" s="1" t="n">
        <v>34.4851</v>
      </c>
      <c r="P140" s="1" t="n">
        <v>2.31</v>
      </c>
      <c r="Q140" s="1" t="inlineStr">
        <is>
          <t>300200.SZ</t>
        </is>
      </c>
      <c r="R140" s="1" t="inlineStr">
        <is>
          <t>高盟新材</t>
        </is>
      </c>
      <c r="S140" s="1" t="n">
        <v>29.3823</v>
      </c>
      <c r="T140" s="1" t="n">
        <v>1.96</v>
      </c>
      <c r="U140" s="1" t="inlineStr">
        <is>
          <t>300321.SZ</t>
        </is>
      </c>
      <c r="V140" s="1" t="inlineStr">
        <is>
          <t>同大股份</t>
        </is>
      </c>
      <c r="W140" s="1" t="n">
        <v>22.9987</v>
      </c>
      <c r="X140" s="1" t="n">
        <v>1.54</v>
      </c>
      <c r="Y140" s="1" t="inlineStr">
        <is>
          <t>300848.SZ</t>
        </is>
      </c>
      <c r="Z140" s="1" t="inlineStr">
        <is>
          <t>美瑞新材</t>
        </is>
      </c>
      <c r="AA140" s="1" t="n">
        <v>20.7527</v>
      </c>
      <c r="AB140" s="1" t="n">
        <v>1.39</v>
      </c>
    </row>
    <row r="141">
      <c r="A141" s="1" t="inlineStr">
        <is>
          <t>CI005226.CI</t>
        </is>
      </c>
      <c r="B141" s="1" t="inlineStr">
        <is>
          <t>燃气指数</t>
        </is>
      </c>
      <c r="C141" s="1" t="n">
        <v>28</v>
      </c>
      <c r="D141" s="10">
        <f>IFERROR((thsiFinD("ths_close_price_index",$A141,$AE$2,"","")/thsiFinD("ths_close_price_index",$A141,$AE$5,"","")-1)*100,"")</f>
        <v/>
      </c>
      <c r="E141" s="10">
        <f>IFERROR((thsiFinD("ths_close_price_index",$A141,$AE$2,"","")/thsiFinD("ths_close_price_index",$A141,$AE$3,"","")-1)*100,"")</f>
        <v/>
      </c>
      <c r="F141" s="10">
        <f>IFERROR((thsiFinD("ths_close_price_index",$A141,$AE$2,"","")/thsiFinD("ths_close_price_index",$A141,$AE$4,"","")-1)*100,"")</f>
        <v/>
      </c>
      <c r="G141" s="11">
        <f>IFERROR(E141/5-F141/20,"")</f>
        <v/>
      </c>
      <c r="H141" s="1" t="n">
        <v>54.07</v>
      </c>
      <c r="I141" s="1" t="inlineStr">
        <is>
          <t>600803.SH</t>
        </is>
      </c>
      <c r="J141" s="1" t="inlineStr">
        <is>
          <t>新奥股份</t>
        </is>
      </c>
      <c r="K141" s="1" t="n">
        <v>136.4</v>
      </c>
      <c r="L141" s="1" t="n">
        <v>16.22</v>
      </c>
      <c r="M141" s="1" t="inlineStr">
        <is>
          <t>605090.SH</t>
        </is>
      </c>
      <c r="N141" s="1" t="inlineStr">
        <is>
          <t>九丰能源</t>
        </is>
      </c>
      <c r="O141" s="1" t="n">
        <v>135.4862</v>
      </c>
      <c r="P141" s="1" t="n">
        <v>16.11</v>
      </c>
      <c r="Q141" s="1" t="inlineStr">
        <is>
          <t>600635.SH</t>
        </is>
      </c>
      <c r="R141" s="1" t="inlineStr">
        <is>
          <t>大众公用</t>
        </is>
      </c>
      <c r="S141" s="1" t="n">
        <v>80.8805</v>
      </c>
      <c r="T141" s="1" t="n">
        <v>9.619999999999999</v>
      </c>
      <c r="U141" s="1" t="inlineStr">
        <is>
          <t>000593.SZ</t>
        </is>
      </c>
      <c r="V141" s="1" t="inlineStr">
        <is>
          <t>德龙汇能</t>
        </is>
      </c>
      <c r="W141" s="1" t="n">
        <v>60.49</v>
      </c>
      <c r="X141" s="1" t="n">
        <v>7.19</v>
      </c>
      <c r="Y141" s="1" t="inlineStr">
        <is>
          <t>601139.SH</t>
        </is>
      </c>
      <c r="Z141" s="1" t="inlineStr">
        <is>
          <t>深圳燃气</t>
        </is>
      </c>
      <c r="AA141" s="1" t="n">
        <v>41.5049</v>
      </c>
      <c r="AB141" s="1" t="n">
        <v>4.93</v>
      </c>
    </row>
    <row r="142">
      <c r="A142" s="1" t="inlineStr">
        <is>
          <t>CI005354.CI</t>
        </is>
      </c>
      <c r="B142" s="1" t="inlineStr">
        <is>
          <t>铁路指数</t>
        </is>
      </c>
      <c r="C142" s="1" t="n">
        <v>4</v>
      </c>
      <c r="D142" s="10">
        <f>IFERROR((thsiFinD("ths_close_price_index",$A142,$AE$2,"","")/thsiFinD("ths_close_price_index",$A142,$AE$5,"","")-1)*100,"")</f>
        <v/>
      </c>
      <c r="E142" s="10">
        <f>IFERROR((thsiFinD("ths_close_price_index",$A142,$AE$2,"","")/thsiFinD("ths_close_price_index",$A142,$AE$3,"","")-1)*100,"")</f>
        <v/>
      </c>
      <c r="F142" s="10">
        <f>IFERROR((thsiFinD("ths_close_price_index",$A142,$AE$2,"","")/thsiFinD("ths_close_price_index",$A142,$AE$4,"","")-1)*100,"")</f>
        <v/>
      </c>
      <c r="G142" s="11">
        <f>IFERROR(E142/5-F142/20,"")</f>
        <v/>
      </c>
      <c r="H142" s="1" t="n">
        <v>99.98999999999999</v>
      </c>
      <c r="I142" s="1" t="inlineStr">
        <is>
          <t>601816.SH</t>
        </is>
      </c>
      <c r="J142" s="1" t="inlineStr">
        <is>
          <t>京沪高铁</t>
        </is>
      </c>
      <c r="K142" s="1" t="n">
        <v>1139.4437</v>
      </c>
      <c r="L142" s="1" t="n">
        <v>66.12</v>
      </c>
      <c r="M142" s="1" t="inlineStr">
        <is>
          <t>601006.SH</t>
        </is>
      </c>
      <c r="N142" s="1" t="inlineStr">
        <is>
          <t>大秦铁路</t>
        </is>
      </c>
      <c r="O142" s="1" t="n">
        <v>443.8295</v>
      </c>
      <c r="P142" s="1" t="n">
        <v>25.75</v>
      </c>
      <c r="Q142" s="1" t="inlineStr">
        <is>
          <t>601333.SH</t>
        </is>
      </c>
      <c r="R142" s="1" t="inlineStr">
        <is>
          <t>广深铁路</t>
        </is>
      </c>
      <c r="S142" s="1" t="n">
        <v>90.6836</v>
      </c>
      <c r="T142" s="1" t="n">
        <v>5.26</v>
      </c>
      <c r="U142" s="1" t="inlineStr">
        <is>
          <t>600125.SH</t>
        </is>
      </c>
      <c r="V142" s="1" t="inlineStr">
        <is>
          <t>铁龙物流</t>
        </is>
      </c>
      <c r="W142" s="1" t="n">
        <v>49.3438</v>
      </c>
      <c r="X142" s="1" t="n">
        <v>2.86</v>
      </c>
    </row>
    <row r="143">
      <c r="A143" s="1" t="inlineStr">
        <is>
          <t>CI005451.CI</t>
        </is>
      </c>
      <c r="B143" s="1" t="inlineStr">
        <is>
          <t>叉车指数</t>
        </is>
      </c>
      <c r="C143" s="1" t="n">
        <v>4</v>
      </c>
      <c r="D143" s="10">
        <f>IFERROR((thsiFinD("ths_close_price_index",$A143,$AE$2,"","")/thsiFinD("ths_close_price_index",$A143,$AE$5,"","")-1)*100,"")</f>
        <v/>
      </c>
      <c r="E143" s="10">
        <f>IFERROR((thsiFinD("ths_close_price_index",$A143,$AE$2,"","")/thsiFinD("ths_close_price_index",$A143,$AE$3,"","")-1)*100,"")</f>
        <v/>
      </c>
      <c r="F143" s="10">
        <f>IFERROR((thsiFinD("ths_close_price_index",$A143,$AE$2,"","")/thsiFinD("ths_close_price_index",$A143,$AE$4,"","")-1)*100,"")</f>
        <v/>
      </c>
      <c r="G143" s="11">
        <f>IFERROR(E143/5-F143/20,"")</f>
        <v/>
      </c>
      <c r="H143" s="1" t="n">
        <v>100</v>
      </c>
      <c r="I143" s="1" t="inlineStr">
        <is>
          <t>603298.SH</t>
        </is>
      </c>
      <c r="J143" s="1" t="inlineStr">
        <is>
          <t>杭叉集团</t>
        </is>
      </c>
      <c r="K143" s="1" t="n">
        <v>130.622</v>
      </c>
      <c r="L143" s="1" t="n">
        <v>43.07</v>
      </c>
      <c r="M143" s="1" t="inlineStr">
        <is>
          <t>600761.SH</t>
        </is>
      </c>
      <c r="N143" s="1" t="inlineStr">
        <is>
          <t>安徽合力</t>
        </is>
      </c>
      <c r="O143" s="1" t="n">
        <v>102.6424</v>
      </c>
      <c r="P143" s="1" t="n">
        <v>33.84</v>
      </c>
      <c r="Q143" s="1" t="inlineStr">
        <is>
          <t>603194.SH</t>
        </is>
      </c>
      <c r="R143" s="1" t="inlineStr">
        <is>
          <t>中力股份</t>
        </is>
      </c>
      <c r="S143" s="1" t="n">
        <v>59.1021</v>
      </c>
      <c r="T143" s="1" t="n">
        <v>19.49</v>
      </c>
      <c r="U143" s="1" t="inlineStr">
        <is>
          <t>301279.SZ</t>
        </is>
      </c>
      <c r="V143" s="1" t="inlineStr">
        <is>
          <t>金道科技</t>
        </is>
      </c>
      <c r="W143" s="1" t="n">
        <v>10.907</v>
      </c>
      <c r="X143" s="1" t="n">
        <v>3.6</v>
      </c>
    </row>
    <row r="144">
      <c r="A144" s="1" t="inlineStr">
        <is>
          <t>CI005349.CI</t>
        </is>
      </c>
      <c r="B144" s="1" t="inlineStr">
        <is>
          <t>住宅物业开发指数</t>
        </is>
      </c>
      <c r="C144" s="1" t="n">
        <v>68</v>
      </c>
      <c r="D144" s="10">
        <f>IFERROR((thsiFinD("ths_close_price_index",$A144,$AE$2,"","")/thsiFinD("ths_close_price_index",$A144,$AE$5,"","")-1)*100,"")</f>
        <v/>
      </c>
      <c r="E144" s="10">
        <f>IFERROR((thsiFinD("ths_close_price_index",$A144,$AE$2,"","")/thsiFinD("ths_close_price_index",$A144,$AE$3,"","")-1)*100,"")</f>
        <v/>
      </c>
      <c r="F144" s="10">
        <f>IFERROR((thsiFinD("ths_close_price_index",$A144,$AE$2,"","")/thsiFinD("ths_close_price_index",$A144,$AE$4,"","")-1)*100,"")</f>
        <v/>
      </c>
      <c r="G144" s="11">
        <f>IFERROR(E144/5-F144/20,"")</f>
        <v/>
      </c>
      <c r="H144" s="1" t="n">
        <v>41.3</v>
      </c>
      <c r="I144" s="1" t="inlineStr">
        <is>
          <t>600048.SH</t>
        </is>
      </c>
      <c r="J144" s="1" t="inlineStr">
        <is>
          <t>保利发展</t>
        </is>
      </c>
      <c r="K144" s="1" t="n">
        <v>354.775</v>
      </c>
      <c r="L144" s="1" t="n">
        <v>12.23</v>
      </c>
      <c r="M144" s="1" t="inlineStr">
        <is>
          <t>600246.SH</t>
        </is>
      </c>
      <c r="N144" s="1" t="inlineStr">
        <is>
          <t>万通发展</t>
        </is>
      </c>
      <c r="O144" s="1" t="n">
        <v>271.2252</v>
      </c>
      <c r="P144" s="1" t="n">
        <v>9.35</v>
      </c>
      <c r="Q144" s="1" t="inlineStr">
        <is>
          <t>600641.SH</t>
        </is>
      </c>
      <c r="R144" s="1" t="inlineStr">
        <is>
          <t>先导基电</t>
        </is>
      </c>
      <c r="S144" s="1" t="n">
        <v>253.7846</v>
      </c>
      <c r="T144" s="1" t="n">
        <v>8.75</v>
      </c>
      <c r="U144" s="1" t="inlineStr">
        <is>
          <t>000002.SZ</t>
        </is>
      </c>
      <c r="V144" s="1" t="inlineStr">
        <is>
          <t>万科A</t>
        </is>
      </c>
      <c r="W144" s="1" t="n">
        <v>201.3453</v>
      </c>
      <c r="X144" s="1" t="n">
        <v>6.94</v>
      </c>
      <c r="Y144" s="1" t="inlineStr">
        <is>
          <t>600208.SH</t>
        </is>
      </c>
      <c r="Z144" s="1" t="inlineStr">
        <is>
          <t>衢州发展</t>
        </is>
      </c>
      <c r="AA144" s="1" t="n">
        <v>116.8166</v>
      </c>
      <c r="AB144" s="1" t="n">
        <v>4.03</v>
      </c>
    </row>
    <row r="145">
      <c r="A145" s="1" t="inlineStr">
        <is>
          <t>CI005432.CI</t>
        </is>
      </c>
      <c r="B145" s="1" t="inlineStr">
        <is>
          <t>房建建设指数</t>
        </is>
      </c>
      <c r="C145" s="1" t="n">
        <v>7</v>
      </c>
      <c r="D145" s="10">
        <f>IFERROR((thsiFinD("ths_close_price_index",$A145,$AE$2,"","")/thsiFinD("ths_close_price_index",$A145,$AE$5,"","")-1)*100,"")</f>
        <v/>
      </c>
      <c r="E145" s="10">
        <f>IFERROR((thsiFinD("ths_close_price_index",$A145,$AE$2,"","")/thsiFinD("ths_close_price_index",$A145,$AE$3,"","")-1)*100,"")</f>
        <v/>
      </c>
      <c r="F145" s="10">
        <f>IFERROR((thsiFinD("ths_close_price_index",$A145,$AE$2,"","")/thsiFinD("ths_close_price_index",$A145,$AE$4,"","")-1)*100,"")</f>
        <v/>
      </c>
      <c r="G145" s="11">
        <f>IFERROR(E145/5-F145/20,"")</f>
        <v/>
      </c>
      <c r="H145" s="1" t="n">
        <v>98.90000000000001</v>
      </c>
      <c r="I145" s="1" t="inlineStr">
        <is>
          <t>601668.SH</t>
        </is>
      </c>
      <c r="J145" s="1" t="inlineStr">
        <is>
          <t>中国建筑</t>
        </is>
      </c>
      <c r="K145" s="1" t="n">
        <v>812.6648</v>
      </c>
      <c r="L145" s="1" t="n">
        <v>75.69</v>
      </c>
      <c r="M145" s="1" t="inlineStr">
        <is>
          <t>600170.SH</t>
        </is>
      </c>
      <c r="N145" s="1" t="inlineStr">
        <is>
          <t>上海建工</t>
        </is>
      </c>
      <c r="O145" s="1" t="n">
        <v>116.9965</v>
      </c>
      <c r="P145" s="1" t="n">
        <v>10.9</v>
      </c>
      <c r="Q145" s="1" t="inlineStr">
        <is>
          <t>000628.SZ</t>
        </is>
      </c>
      <c r="R145" s="1" t="inlineStr">
        <is>
          <t>高新发展</t>
        </is>
      </c>
      <c r="S145" s="1" t="n">
        <v>84.4766</v>
      </c>
      <c r="T145" s="1" t="n">
        <v>7.87</v>
      </c>
      <c r="U145" s="1" t="inlineStr">
        <is>
          <t>601789.SH</t>
        </is>
      </c>
      <c r="V145" s="1" t="inlineStr">
        <is>
          <t>宁波建工</t>
        </is>
      </c>
      <c r="W145" s="1" t="n">
        <v>35.6865</v>
      </c>
      <c r="X145" s="1" t="n">
        <v>3.32</v>
      </c>
      <c r="Y145" s="1" t="inlineStr">
        <is>
          <t>600491.SH</t>
        </is>
      </c>
      <c r="Z145" s="1" t="inlineStr">
        <is>
          <t>ST龙元</t>
        </is>
      </c>
      <c r="AA145" s="1" t="n">
        <v>12.0474</v>
      </c>
      <c r="AB145" s="1" t="n">
        <v>1.12</v>
      </c>
    </row>
    <row r="146">
      <c r="A146" s="1" t="inlineStr">
        <is>
          <t>CI005218.CI</t>
        </is>
      </c>
      <c r="B146" s="1" t="inlineStr">
        <is>
          <t>铝指数</t>
        </is>
      </c>
      <c r="C146" s="1" t="n">
        <v>32</v>
      </c>
      <c r="D146" s="10">
        <f>IFERROR((thsiFinD("ths_close_price_index",$A146,$AE$2,"","")/thsiFinD("ths_close_price_index",$A146,$AE$5,"","")-1)*100,"")</f>
        <v/>
      </c>
      <c r="E146" s="10">
        <f>IFERROR((thsiFinD("ths_close_price_index",$A146,$AE$2,"","")/thsiFinD("ths_close_price_index",$A146,$AE$3,"","")-1)*100,"")</f>
        <v/>
      </c>
      <c r="F146" s="10">
        <f>IFERROR((thsiFinD("ths_close_price_index",$A146,$AE$2,"","")/thsiFinD("ths_close_price_index",$A146,$AE$4,"","")-1)*100,"")</f>
        <v/>
      </c>
      <c r="G146" s="11">
        <f>IFERROR(E146/5-F146/20,"")</f>
        <v/>
      </c>
      <c r="H146" s="1" t="n">
        <v>61.22</v>
      </c>
      <c r="I146" s="1" t="inlineStr">
        <is>
          <t>601600.SH</t>
        </is>
      </c>
      <c r="J146" s="1" t="inlineStr">
        <is>
          <t>中国铝业</t>
        </is>
      </c>
      <c r="K146" s="1" t="n">
        <v>763.7215</v>
      </c>
      <c r="L146" s="1" t="n">
        <v>20.04</v>
      </c>
      <c r="M146" s="1" t="inlineStr">
        <is>
          <t>000807.SZ</t>
        </is>
      </c>
      <c r="N146" s="1" t="inlineStr">
        <is>
          <t>云铝股份</t>
        </is>
      </c>
      <c r="O146" s="1" t="n">
        <v>521.8304000000001</v>
      </c>
      <c r="P146" s="1" t="n">
        <v>13.69</v>
      </c>
      <c r="Q146" s="1" t="inlineStr">
        <is>
          <t>000933.SZ</t>
        </is>
      </c>
      <c r="R146" s="1" t="inlineStr">
        <is>
          <t>神火股份</t>
        </is>
      </c>
      <c r="S146" s="1" t="n">
        <v>379.6917</v>
      </c>
      <c r="T146" s="1" t="n">
        <v>9.960000000000001</v>
      </c>
      <c r="U146" s="1" t="inlineStr">
        <is>
          <t>002532.SZ</t>
        </is>
      </c>
      <c r="V146" s="1" t="inlineStr">
        <is>
          <t>天山铝业</t>
        </is>
      </c>
      <c r="W146" s="1" t="n">
        <v>378.1288</v>
      </c>
      <c r="X146" s="1" t="n">
        <v>9.92</v>
      </c>
      <c r="Y146" s="1" t="inlineStr">
        <is>
          <t>600219.SH</t>
        </is>
      </c>
      <c r="Z146" s="1" t="inlineStr">
        <is>
          <t>南山铝业</t>
        </is>
      </c>
      <c r="AA146" s="1" t="n">
        <v>290.0204</v>
      </c>
      <c r="AB146" s="1" t="n">
        <v>7.61</v>
      </c>
    </row>
    <row r="147">
      <c r="A147" s="1" t="inlineStr">
        <is>
          <t>CI005237.CI</t>
        </is>
      </c>
      <c r="B147" s="1" t="inlineStr">
        <is>
          <t>农药指数</t>
        </is>
      </c>
      <c r="C147" s="1" t="n">
        <v>32</v>
      </c>
      <c r="D147" s="10">
        <f>IFERROR((thsiFinD("ths_close_price_index",$A147,$AE$2,"","")/thsiFinD("ths_close_price_index",$A147,$AE$5,"","")-1)*100,"")</f>
        <v/>
      </c>
      <c r="E147" s="10">
        <f>IFERROR((thsiFinD("ths_close_price_index",$A147,$AE$2,"","")/thsiFinD("ths_close_price_index",$A147,$AE$3,"","")-1)*100,"")</f>
        <v/>
      </c>
      <c r="F147" s="10">
        <f>IFERROR((thsiFinD("ths_close_price_index",$A147,$AE$2,"","")/thsiFinD("ths_close_price_index",$A147,$AE$4,"","")-1)*100,"")</f>
        <v/>
      </c>
      <c r="G147" s="11">
        <f>IFERROR(E147/5-F147/20,"")</f>
        <v/>
      </c>
      <c r="H147" s="1" t="n">
        <v>48.06</v>
      </c>
      <c r="I147" s="1" t="inlineStr">
        <is>
          <t>600596.SH</t>
        </is>
      </c>
      <c r="J147" s="1" t="inlineStr">
        <is>
          <t>新安股份</t>
        </is>
      </c>
      <c r="K147" s="1" t="n">
        <v>156.0942</v>
      </c>
      <c r="L147" s="1" t="n">
        <v>14.35</v>
      </c>
      <c r="M147" s="1" t="inlineStr">
        <is>
          <t>600486.SH</t>
        </is>
      </c>
      <c r="N147" s="1" t="inlineStr">
        <is>
          <t>扬农化工</t>
        </is>
      </c>
      <c r="O147" s="1" t="n">
        <v>134.2349</v>
      </c>
      <c r="P147" s="1" t="n">
        <v>12.34</v>
      </c>
      <c r="Q147" s="1" t="inlineStr">
        <is>
          <t>002250.SZ</t>
        </is>
      </c>
      <c r="R147" s="1" t="inlineStr">
        <is>
          <t>联化科技</t>
        </is>
      </c>
      <c r="S147" s="1" t="n">
        <v>95.1033</v>
      </c>
      <c r="T147" s="1" t="n">
        <v>8.74</v>
      </c>
      <c r="U147" s="1" t="inlineStr">
        <is>
          <t>600389.SH</t>
        </is>
      </c>
      <c r="V147" s="1" t="inlineStr">
        <is>
          <t>江山股份</t>
        </is>
      </c>
      <c r="W147" s="1" t="n">
        <v>69.1383</v>
      </c>
      <c r="X147" s="1" t="n">
        <v>6.36</v>
      </c>
      <c r="Y147" s="1" t="inlineStr">
        <is>
          <t>002734.SZ</t>
        </is>
      </c>
      <c r="Z147" s="1" t="inlineStr">
        <is>
          <t>利民股份</t>
        </is>
      </c>
      <c r="AA147" s="1" t="n">
        <v>68.2488</v>
      </c>
      <c r="AB147" s="1" t="n">
        <v>6.27</v>
      </c>
    </row>
    <row r="148">
      <c r="A148" s="1" t="inlineStr">
        <is>
          <t>CI005411.CI</t>
        </is>
      </c>
      <c r="B148" s="1" t="inlineStr">
        <is>
          <t>复合肥指数</t>
        </is>
      </c>
      <c r="C148" s="1" t="n">
        <v>10</v>
      </c>
      <c r="D148" s="10">
        <f>IFERROR((thsiFinD("ths_close_price_index",$A148,$AE$2,"","")/thsiFinD("ths_close_price_index",$A148,$AE$5,"","")-1)*100,"")</f>
        <v/>
      </c>
      <c r="E148" s="10">
        <f>IFERROR((thsiFinD("ths_close_price_index",$A148,$AE$2,"","")/thsiFinD("ths_close_price_index",$A148,$AE$3,"","")-1)*100,"")</f>
        <v/>
      </c>
      <c r="F148" s="10">
        <f>IFERROR((thsiFinD("ths_close_price_index",$A148,$AE$2,"","")/thsiFinD("ths_close_price_index",$A148,$AE$4,"","")-1)*100,"")</f>
        <v/>
      </c>
      <c r="G148" s="11">
        <f>IFERROR(E148/5-F148/20,"")</f>
        <v/>
      </c>
      <c r="H148" s="1" t="n">
        <v>78.20999999999999</v>
      </c>
      <c r="I148" s="1" t="inlineStr">
        <is>
          <t>002539.SZ</t>
        </is>
      </c>
      <c r="J148" s="1" t="inlineStr">
        <is>
          <t>云图控股</t>
        </is>
      </c>
      <c r="K148" s="1" t="n">
        <v>99.04949999999999</v>
      </c>
      <c r="L148" s="1" t="n">
        <v>22.09</v>
      </c>
      <c r="M148" s="1" t="inlineStr">
        <is>
          <t>002170.SZ</t>
        </is>
      </c>
      <c r="N148" s="1" t="inlineStr">
        <is>
          <t>芭田股份</t>
        </is>
      </c>
      <c r="O148" s="1" t="n">
        <v>83.0147</v>
      </c>
      <c r="P148" s="1" t="n">
        <v>18.51</v>
      </c>
      <c r="Q148" s="1" t="inlineStr">
        <is>
          <t>000902.SZ</t>
        </is>
      </c>
      <c r="R148" s="1" t="inlineStr">
        <is>
          <t>新洋丰</t>
        </is>
      </c>
      <c r="S148" s="1" t="n">
        <v>70.6992</v>
      </c>
      <c r="T148" s="1" t="n">
        <v>15.77</v>
      </c>
      <c r="U148" s="1" t="inlineStr">
        <is>
          <t>002470.SZ</t>
        </is>
      </c>
      <c r="V148" s="1" t="inlineStr">
        <is>
          <t>金正大</t>
        </is>
      </c>
      <c r="W148" s="1" t="n">
        <v>49.9792</v>
      </c>
      <c r="X148" s="1" t="n">
        <v>11.15</v>
      </c>
      <c r="Y148" s="1" t="inlineStr">
        <is>
          <t>002588.SZ</t>
        </is>
      </c>
      <c r="Z148" s="1" t="inlineStr">
        <is>
          <t>史丹利</t>
        </is>
      </c>
      <c r="AA148" s="1" t="n">
        <v>47.9346</v>
      </c>
      <c r="AB148" s="1" t="n">
        <v>10.69</v>
      </c>
    </row>
    <row r="149">
      <c r="A149" s="1" t="inlineStr">
        <is>
          <t>CI005558.CI</t>
        </is>
      </c>
      <c r="B149" s="1" t="inlineStr">
        <is>
          <t>网络覆盖优化与运维指数</t>
        </is>
      </c>
      <c r="C149" s="1" t="n">
        <v>6</v>
      </c>
      <c r="D149" s="10">
        <f>IFERROR((thsiFinD("ths_close_price_index",$A149,$AE$2,"","")/thsiFinD("ths_close_price_index",$A149,$AE$5,"","")-1)*100,"")</f>
        <v/>
      </c>
      <c r="E149" s="10">
        <f>IFERROR((thsiFinD("ths_close_price_index",$A149,$AE$2,"","")/thsiFinD("ths_close_price_index",$A149,$AE$3,"","")-1)*100,"")</f>
        <v/>
      </c>
      <c r="F149" s="10">
        <f>IFERROR((thsiFinD("ths_close_price_index",$A149,$AE$2,"","")/thsiFinD("ths_close_price_index",$A149,$AE$4,"","")-1)*100,"")</f>
        <v/>
      </c>
      <c r="G149" s="11">
        <f>IFERROR(E149/5-F149/20,"")</f>
        <v/>
      </c>
      <c r="H149" s="1" t="n">
        <v>97.39</v>
      </c>
      <c r="I149" s="1" t="inlineStr">
        <is>
          <t>300560.SZ</t>
        </is>
      </c>
      <c r="J149" s="1" t="inlineStr">
        <is>
          <t>中富通</t>
        </is>
      </c>
      <c r="K149" s="1" t="n">
        <v>30.6516</v>
      </c>
      <c r="L149" s="1" t="n">
        <v>23.51</v>
      </c>
      <c r="M149" s="1" t="inlineStr">
        <is>
          <t>300050.SZ</t>
        </is>
      </c>
      <c r="N149" s="1" t="inlineStr">
        <is>
          <t>世纪鼎利</t>
        </is>
      </c>
      <c r="O149" s="1" t="n">
        <v>29.5291</v>
      </c>
      <c r="P149" s="1" t="n">
        <v>22.65</v>
      </c>
      <c r="Q149" s="1" t="inlineStr">
        <is>
          <t>300310.SZ</t>
        </is>
      </c>
      <c r="R149" s="1" t="inlineStr">
        <is>
          <t>宜通世纪</t>
        </is>
      </c>
      <c r="S149" s="1" t="n">
        <v>29.4694</v>
      </c>
      <c r="T149" s="1" t="n">
        <v>22.6</v>
      </c>
      <c r="U149" s="1" t="inlineStr">
        <is>
          <t>300025.SZ</t>
        </is>
      </c>
      <c r="V149" s="1" t="inlineStr">
        <is>
          <t>华星创业</t>
        </is>
      </c>
      <c r="W149" s="1" t="n">
        <v>19.5607</v>
      </c>
      <c r="X149" s="1" t="n">
        <v>15</v>
      </c>
      <c r="Y149" s="1" t="inlineStr">
        <is>
          <t>603206.SH</t>
        </is>
      </c>
      <c r="Z149" s="1" t="inlineStr">
        <is>
          <t>嘉环科技</t>
        </is>
      </c>
      <c r="AA149" s="1" t="n">
        <v>17.7729</v>
      </c>
      <c r="AB149" s="1" t="n">
        <v>13.63</v>
      </c>
    </row>
    <row r="150">
      <c r="A150" s="1" t="inlineStr">
        <is>
          <t>CI005504.CI</t>
        </is>
      </c>
      <c r="B150" s="1" t="inlineStr">
        <is>
          <t>其他家电指数</t>
        </is>
      </c>
      <c r="C150" s="1" t="n">
        <v>17</v>
      </c>
      <c r="D150" s="10">
        <f>IFERROR((thsiFinD("ths_close_price_index",$A150,$AE$2,"","")/thsiFinD("ths_close_price_index",$A150,$AE$5,"","")-1)*100,"")</f>
        <v/>
      </c>
      <c r="E150" s="10">
        <f>IFERROR((thsiFinD("ths_close_price_index",$A150,$AE$2,"","")/thsiFinD("ths_close_price_index",$A150,$AE$3,"","")-1)*100,"")</f>
        <v/>
      </c>
      <c r="F150" s="10">
        <f>IFERROR((thsiFinD("ths_close_price_index",$A150,$AE$2,"","")/thsiFinD("ths_close_price_index",$A150,$AE$4,"","")-1)*100,"")</f>
        <v/>
      </c>
      <c r="G150" s="11">
        <f>IFERROR(E150/5-F150/20,"")</f>
        <v/>
      </c>
      <c r="H150" s="1" t="n">
        <v>98.65000000000001</v>
      </c>
      <c r="I150" s="1" t="inlineStr">
        <is>
          <t>002050.SZ</t>
        </is>
      </c>
      <c r="J150" s="1" t="inlineStr">
        <is>
          <t>三花智控</t>
        </is>
      </c>
      <c r="K150" s="1" t="n">
        <v>936.8649</v>
      </c>
      <c r="L150" s="1" t="n">
        <v>65.23</v>
      </c>
      <c r="M150" s="1" t="inlineStr">
        <is>
          <t>002032.SZ</t>
        </is>
      </c>
      <c r="N150" s="1" t="inlineStr">
        <is>
          <t>苏泊尔</t>
        </is>
      </c>
      <c r="O150" s="1" t="n">
        <v>250</v>
      </c>
      <c r="P150" s="1" t="n">
        <v>17.41</v>
      </c>
      <c r="Q150" s="1" t="inlineStr">
        <is>
          <t>603355.SH</t>
        </is>
      </c>
      <c r="R150" s="1" t="inlineStr">
        <is>
          <t>莱克电气</t>
        </is>
      </c>
      <c r="S150" s="1" t="n">
        <v>100</v>
      </c>
      <c r="T150" s="1" t="n">
        <v>6.96</v>
      </c>
      <c r="U150" s="1" t="inlineStr">
        <is>
          <t>002959.SZ</t>
        </is>
      </c>
      <c r="V150" s="1" t="inlineStr">
        <is>
          <t>小熊电器</t>
        </is>
      </c>
      <c r="W150" s="1" t="n">
        <v>80</v>
      </c>
      <c r="X150" s="1" t="n">
        <v>5.57</v>
      </c>
      <c r="Y150" s="1" t="inlineStr">
        <is>
          <t>600336.SH</t>
        </is>
      </c>
      <c r="Z150" s="1" t="inlineStr">
        <is>
          <t>澳柯玛</t>
        </is>
      </c>
      <c r="AA150" s="1" t="n">
        <v>50</v>
      </c>
      <c r="AB150" s="1" t="n">
        <v>3.48</v>
      </c>
    </row>
    <row r="151">
      <c r="A151" s="1" t="inlineStr">
        <is>
          <t>CI005295.CI</t>
        </is>
      </c>
      <c r="B151" s="1" t="inlineStr">
        <is>
          <t>汽车零部件Ⅲ指数</t>
        </is>
      </c>
      <c r="C151" s="1" t="n">
        <v>197</v>
      </c>
      <c r="D151" s="10">
        <f>IFERROR((thsiFinD("ths_close_price_index",$A151,$AE$2,"","")/thsiFinD("ths_close_price_index",$A151,$AE$5,"","")-1)*100,"")</f>
        <v/>
      </c>
      <c r="E151" s="10">
        <f>IFERROR((thsiFinD("ths_close_price_index",$A151,$AE$2,"","")/thsiFinD("ths_close_price_index",$A151,$AE$3,"","")-1)*100,"")</f>
        <v/>
      </c>
      <c r="F151" s="10">
        <f>IFERROR((thsiFinD("ths_close_price_index",$A151,$AE$2,"","")/thsiFinD("ths_close_price_index",$A151,$AE$4,"","")-1)*100,"")</f>
        <v/>
      </c>
      <c r="G151" s="11">
        <f>IFERROR(E151/5-F151/20,"")</f>
        <v/>
      </c>
      <c r="H151" s="1" t="n">
        <v>25.44</v>
      </c>
      <c r="I151" s="1" t="inlineStr">
        <is>
          <t>002920.SZ</t>
        </is>
      </c>
      <c r="J151" s="1" t="inlineStr">
        <is>
          <t>德赛西威</t>
        </is>
      </c>
      <c r="K151" s="1" t="n">
        <v>282.6612</v>
      </c>
      <c r="L151" s="1" t="n">
        <v>6.51</v>
      </c>
      <c r="M151" s="1" t="inlineStr">
        <is>
          <t>603179.SH</t>
        </is>
      </c>
      <c r="N151" s="1" t="inlineStr">
        <is>
          <t>新泉股份</t>
        </is>
      </c>
      <c r="O151" s="1" t="n">
        <v>226.5743</v>
      </c>
      <c r="P151" s="1" t="n">
        <v>5.22</v>
      </c>
      <c r="Q151" s="1" t="inlineStr">
        <is>
          <t>000981.SZ</t>
        </is>
      </c>
      <c r="R151" s="1" t="inlineStr">
        <is>
          <t>山子高科</t>
        </is>
      </c>
      <c r="S151" s="1" t="n">
        <v>210.11</v>
      </c>
      <c r="T151" s="1" t="n">
        <v>4.84</v>
      </c>
      <c r="U151" s="1" t="inlineStr">
        <is>
          <t>301550.SZ</t>
        </is>
      </c>
      <c r="V151" s="1" t="inlineStr">
        <is>
          <t>斯菱智驱</t>
        </is>
      </c>
      <c r="W151" s="1" t="n">
        <v>198.3938</v>
      </c>
      <c r="X151" s="1" t="n">
        <v>4.57</v>
      </c>
      <c r="Y151" s="1" t="inlineStr">
        <is>
          <t>603119.SH</t>
        </is>
      </c>
      <c r="Z151" s="1" t="inlineStr">
        <is>
          <t>浙江荣泰</t>
        </is>
      </c>
      <c r="AA151" s="1" t="n">
        <v>186.6136</v>
      </c>
      <c r="AB151" s="1" t="n">
        <v>4.3</v>
      </c>
    </row>
    <row r="152">
      <c r="A152" s="1" t="inlineStr">
        <is>
          <t>CI005551.CI</t>
        </is>
      </c>
      <c r="B152" s="1" t="inlineStr">
        <is>
          <t>电信运营Ⅲ指数</t>
        </is>
      </c>
      <c r="C152" s="1" t="n">
        <v>3</v>
      </c>
      <c r="D152" s="10">
        <f>IFERROR((thsiFinD("ths_close_price_index",$A152,$AE$2,"","")/thsiFinD("ths_close_price_index",$A152,$AE$5,"","")-1)*100,"")</f>
        <v/>
      </c>
      <c r="E152" s="10">
        <f>IFERROR((thsiFinD("ths_close_price_index",$A152,$AE$2,"","")/thsiFinD("ths_close_price_index",$A152,$AE$3,"","")-1)*100,"")</f>
        <v/>
      </c>
      <c r="F152" s="10">
        <f>IFERROR((thsiFinD("ths_close_price_index",$A152,$AE$2,"","")/thsiFinD("ths_close_price_index",$A152,$AE$4,"","")-1)*100,"")</f>
        <v/>
      </c>
      <c r="G152" s="11">
        <f>IFERROR(E152/5-F152/20,"")</f>
        <v/>
      </c>
      <c r="H152" s="1" t="n">
        <v>100</v>
      </c>
      <c r="I152" s="1" t="inlineStr">
        <is>
          <t>600050.SH</t>
        </is>
      </c>
      <c r="J152" s="1" t="inlineStr">
        <is>
          <t>中国联通</t>
        </is>
      </c>
      <c r="K152" s="1" t="n">
        <v>846.3176</v>
      </c>
      <c r="L152" s="1" t="n">
        <v>34.29</v>
      </c>
      <c r="M152" s="1" t="inlineStr">
        <is>
          <t>600941.SH</t>
        </is>
      </c>
      <c r="N152" s="1" t="inlineStr">
        <is>
          <t>中国移动</t>
        </is>
      </c>
      <c r="O152" s="1" t="n">
        <v>829.5599999999999</v>
      </c>
      <c r="P152" s="1" t="n">
        <v>33.61</v>
      </c>
      <c r="Q152" s="1" t="inlineStr">
        <is>
          <t>601728.SH</t>
        </is>
      </c>
      <c r="R152" s="1" t="inlineStr">
        <is>
          <t>中国电信</t>
        </is>
      </c>
      <c r="S152" s="1" t="n">
        <v>792.2542</v>
      </c>
      <c r="T152" s="1" t="n">
        <v>32.1</v>
      </c>
    </row>
    <row r="153">
      <c r="A153" s="1" t="inlineStr">
        <is>
          <t>CI005231.CI</t>
        </is>
      </c>
      <c r="B153" s="1" t="inlineStr">
        <is>
          <t>铁矿石指数</t>
        </is>
      </c>
      <c r="C153" s="1" t="n">
        <v>7</v>
      </c>
      <c r="D153" s="10">
        <f>IFERROR((thsiFinD("ths_close_price_index",$A153,$AE$2,"","")/thsiFinD("ths_close_price_index",$A153,$AE$5,"","")-1)*100,"")</f>
        <v/>
      </c>
      <c r="E153" s="10">
        <f>IFERROR((thsiFinD("ths_close_price_index",$A153,$AE$2,"","")/thsiFinD("ths_close_price_index",$A153,$AE$3,"","")-1)*100,"")</f>
        <v/>
      </c>
      <c r="F153" s="10">
        <f>IFERROR((thsiFinD("ths_close_price_index",$A153,$AE$2,"","")/thsiFinD("ths_close_price_index",$A153,$AE$4,"","")-1)*100,"")</f>
        <v/>
      </c>
      <c r="G153" s="11">
        <f>IFERROR(E153/5-F153/20,"")</f>
        <v/>
      </c>
      <c r="H153" s="1" t="n">
        <v>95.02</v>
      </c>
      <c r="I153" s="1" t="inlineStr">
        <is>
          <t>001203.SZ</t>
        </is>
      </c>
      <c r="J153" s="1" t="inlineStr">
        <is>
          <t>大中矿业</t>
        </is>
      </c>
      <c r="K153" s="1" t="n">
        <v>160.6885</v>
      </c>
      <c r="L153" s="1" t="n">
        <v>44.52</v>
      </c>
      <c r="M153" s="1" t="inlineStr">
        <is>
          <t>601061.SH</t>
        </is>
      </c>
      <c r="N153" s="1" t="inlineStr">
        <is>
          <t>中信金属</t>
        </is>
      </c>
      <c r="O153" s="1" t="n">
        <v>62.8447</v>
      </c>
      <c r="P153" s="1" t="n">
        <v>17.41</v>
      </c>
      <c r="Q153" s="1" t="inlineStr">
        <is>
          <t>000923.SZ</t>
        </is>
      </c>
      <c r="R153" s="1" t="inlineStr">
        <is>
          <t>河钢资源</t>
        </is>
      </c>
      <c r="S153" s="1" t="n">
        <v>55.8062</v>
      </c>
      <c r="T153" s="1" t="n">
        <v>15.46</v>
      </c>
      <c r="U153" s="1" t="inlineStr">
        <is>
          <t>601969.SH</t>
        </is>
      </c>
      <c r="V153" s="1" t="inlineStr">
        <is>
          <t>海南矿业</t>
        </is>
      </c>
      <c r="W153" s="1" t="n">
        <v>40.0289</v>
      </c>
      <c r="X153" s="1" t="n">
        <v>11.09</v>
      </c>
      <c r="Y153" s="1" t="inlineStr">
        <is>
          <t>601121.SH</t>
        </is>
      </c>
      <c r="Z153" s="1" t="inlineStr">
        <is>
          <t>宝地矿业</t>
        </is>
      </c>
      <c r="AA153" s="1" t="n">
        <v>23.6066</v>
      </c>
      <c r="AB153" s="1" t="n">
        <v>6.54</v>
      </c>
    </row>
    <row r="154">
      <c r="A154" s="1" t="inlineStr">
        <is>
          <t>CI005578.CI</t>
        </is>
      </c>
      <c r="B154" s="1" t="inlineStr">
        <is>
          <t>其他文化娱乐指数</t>
        </is>
      </c>
      <c r="C154" s="1" t="n">
        <v>7</v>
      </c>
      <c r="D154" s="10">
        <f>IFERROR((thsiFinD("ths_close_price_index",$A154,$AE$2,"","")/thsiFinD("ths_close_price_index",$A154,$AE$5,"","")-1)*100,"")</f>
        <v/>
      </c>
      <c r="E154" s="10">
        <f>IFERROR((thsiFinD("ths_close_price_index",$A154,$AE$2,"","")/thsiFinD("ths_close_price_index",$A154,$AE$3,"","")-1)*100,"")</f>
        <v/>
      </c>
      <c r="F154" s="10">
        <f>IFERROR((thsiFinD("ths_close_price_index",$A154,$AE$2,"","")/thsiFinD("ths_close_price_index",$A154,$AE$4,"","")-1)*100,"")</f>
        <v/>
      </c>
      <c r="G154" s="11">
        <f>IFERROR(E154/5-F154/20,"")</f>
        <v/>
      </c>
      <c r="H154" s="1" t="n">
        <v>86.59999999999999</v>
      </c>
      <c r="I154" s="1" t="inlineStr">
        <is>
          <t>603533.SH</t>
        </is>
      </c>
      <c r="J154" s="1" t="inlineStr">
        <is>
          <t>掌阅科技</t>
        </is>
      </c>
      <c r="K154" s="1" t="n">
        <v>58.3757</v>
      </c>
      <c r="L154" s="1" t="n">
        <v>27.88</v>
      </c>
      <c r="M154" s="1" t="inlineStr">
        <is>
          <t>600158.SH</t>
        </is>
      </c>
      <c r="N154" s="1" t="inlineStr">
        <is>
          <t>中体产业</t>
        </is>
      </c>
      <c r="O154" s="1" t="n">
        <v>52.0681</v>
      </c>
      <c r="P154" s="1" t="n">
        <v>24.87</v>
      </c>
      <c r="Q154" s="1" t="inlineStr">
        <is>
          <t>603466.SH</t>
        </is>
      </c>
      <c r="R154" s="1" t="inlineStr">
        <is>
          <t>风语筑</t>
        </is>
      </c>
      <c r="S154" s="1" t="n">
        <v>35.7283</v>
      </c>
      <c r="T154" s="1" t="n">
        <v>17.06</v>
      </c>
      <c r="U154" s="1" t="inlineStr">
        <is>
          <t>600136.SH</t>
        </is>
      </c>
      <c r="V154" s="1" t="inlineStr">
        <is>
          <t>ST明诚</t>
        </is>
      </c>
      <c r="W154" s="1" t="n">
        <v>17.8507</v>
      </c>
      <c r="X154" s="1" t="n">
        <v>8.529999999999999</v>
      </c>
      <c r="Y154" s="1" t="inlineStr">
        <is>
          <t>300860.SZ</t>
        </is>
      </c>
      <c r="Z154" s="1" t="inlineStr">
        <is>
          <t>锋尚文化</t>
        </is>
      </c>
      <c r="AA154" s="1" t="n">
        <v>17.2872</v>
      </c>
      <c r="AB154" s="1" t="n">
        <v>8.26</v>
      </c>
    </row>
    <row r="155">
      <c r="A155" s="1" t="inlineStr">
        <is>
          <t>CI005369.CI</t>
        </is>
      </c>
      <c r="B155" s="1" t="inlineStr">
        <is>
          <t>出版指数</t>
        </is>
      </c>
      <c r="C155" s="1" t="n">
        <v>31</v>
      </c>
      <c r="D155" s="10">
        <f>IFERROR((thsiFinD("ths_close_price_index",$A155,$AE$2,"","")/thsiFinD("ths_close_price_index",$A155,$AE$5,"","")-1)*100,"")</f>
        <v/>
      </c>
      <c r="E155" s="10">
        <f>IFERROR((thsiFinD("ths_close_price_index",$A155,$AE$2,"","")/thsiFinD("ths_close_price_index",$A155,$AE$3,"","")-1)*100,"")</f>
        <v/>
      </c>
      <c r="F155" s="10">
        <f>IFERROR((thsiFinD("ths_close_price_index",$A155,$AE$2,"","")/thsiFinD("ths_close_price_index",$A155,$AE$4,"","")-1)*100,"")</f>
        <v/>
      </c>
      <c r="G155" s="11">
        <f>IFERROR(E155/5-F155/20,"")</f>
        <v/>
      </c>
      <c r="H155" s="1" t="n">
        <v>36.48</v>
      </c>
      <c r="I155" s="1" t="inlineStr">
        <is>
          <t>601098.SH</t>
        </is>
      </c>
      <c r="J155" s="1" t="inlineStr">
        <is>
          <t>中南传媒</t>
        </is>
      </c>
      <c r="K155" s="1" t="n">
        <v>64.5531</v>
      </c>
      <c r="L155" s="1" t="n">
        <v>8.6</v>
      </c>
      <c r="M155" s="1" t="inlineStr">
        <is>
          <t>000793.SZ</t>
        </is>
      </c>
      <c r="N155" s="1" t="inlineStr">
        <is>
          <t>*ST华闻</t>
        </is>
      </c>
      <c r="O155" s="1" t="n">
        <v>63.9549</v>
      </c>
      <c r="P155" s="1" t="n">
        <v>8.52</v>
      </c>
      <c r="Q155" s="1" t="inlineStr">
        <is>
          <t>601928.SH</t>
        </is>
      </c>
      <c r="R155" s="1" t="inlineStr">
        <is>
          <t>凤凰传媒</t>
        </is>
      </c>
      <c r="S155" s="1" t="n">
        <v>62.6368</v>
      </c>
      <c r="T155" s="1" t="n">
        <v>8.34</v>
      </c>
      <c r="U155" s="1" t="inlineStr">
        <is>
          <t>600373.SH</t>
        </is>
      </c>
      <c r="V155" s="1" t="inlineStr">
        <is>
          <t>中文传媒</t>
        </is>
      </c>
      <c r="W155" s="1" t="n">
        <v>42.4925</v>
      </c>
      <c r="X155" s="1" t="n">
        <v>5.66</v>
      </c>
      <c r="Y155" s="1" t="inlineStr">
        <is>
          <t>002181.SZ</t>
        </is>
      </c>
      <c r="Z155" s="1" t="inlineStr">
        <is>
          <t>粤传媒</t>
        </is>
      </c>
      <c r="AA155" s="1" t="n">
        <v>40.2618</v>
      </c>
      <c r="AB155" s="1" t="n">
        <v>5.36</v>
      </c>
    </row>
    <row r="156">
      <c r="A156" s="1" t="inlineStr">
        <is>
          <t>CI005328.CI</t>
        </is>
      </c>
      <c r="B156" s="1" t="inlineStr">
        <is>
          <t>非乳饮料指数</t>
        </is>
      </c>
      <c r="C156" s="1" t="n">
        <v>7</v>
      </c>
      <c r="D156" s="10">
        <f>IFERROR((thsiFinD("ths_close_price_index",$A156,$AE$2,"","")/thsiFinD("ths_close_price_index",$A156,$AE$5,"","")-1)*100,"")</f>
        <v/>
      </c>
      <c r="E156" s="10">
        <f>IFERROR((thsiFinD("ths_close_price_index",$A156,$AE$2,"","")/thsiFinD("ths_close_price_index",$A156,$AE$3,"","")-1)*100,"")</f>
        <v/>
      </c>
      <c r="F156" s="10">
        <f>IFERROR((thsiFinD("ths_close_price_index",$A156,$AE$2,"","")/thsiFinD("ths_close_price_index",$A156,$AE$4,"","")-1)*100,"")</f>
        <v/>
      </c>
      <c r="G156" s="11">
        <f>IFERROR(E156/5-F156/20,"")</f>
        <v/>
      </c>
      <c r="H156" s="1" t="n">
        <v>94.38</v>
      </c>
      <c r="I156" s="1" t="inlineStr">
        <is>
          <t>605499.SH</t>
        </is>
      </c>
      <c r="J156" s="1" t="inlineStr">
        <is>
          <t>东鹏饮料</t>
        </is>
      </c>
      <c r="K156" s="1" t="n">
        <v>315.624</v>
      </c>
      <c r="L156" s="1" t="n">
        <v>44.86</v>
      </c>
      <c r="M156" s="1" t="inlineStr">
        <is>
          <t>603156.SH</t>
        </is>
      </c>
      <c r="N156" s="1" t="inlineStr">
        <is>
          <t>养元饮品</t>
        </is>
      </c>
      <c r="O156" s="1" t="n">
        <v>236.3444</v>
      </c>
      <c r="P156" s="1" t="n">
        <v>33.6</v>
      </c>
      <c r="Q156" s="1" t="inlineStr">
        <is>
          <t>000848.SZ</t>
        </is>
      </c>
      <c r="R156" s="1" t="inlineStr">
        <is>
          <t>承德露露</t>
        </is>
      </c>
      <c r="S156" s="1" t="n">
        <v>43.5188</v>
      </c>
      <c r="T156" s="1" t="n">
        <v>6.19</v>
      </c>
      <c r="U156" s="1" t="inlineStr">
        <is>
          <t>605198.SH</t>
        </is>
      </c>
      <c r="V156" s="1" t="inlineStr">
        <is>
          <t>安德利</t>
        </is>
      </c>
      <c r="W156" s="1" t="n">
        <v>35.0186</v>
      </c>
      <c r="X156" s="1" t="n">
        <v>4.98</v>
      </c>
      <c r="Y156" s="1" t="inlineStr">
        <is>
          <t>600300.SH</t>
        </is>
      </c>
      <c r="Z156" s="1" t="inlineStr">
        <is>
          <t>维维股份</t>
        </is>
      </c>
      <c r="AA156" s="1" t="n">
        <v>33.4047</v>
      </c>
      <c r="AB156" s="1" t="n">
        <v>4.75</v>
      </c>
    </row>
    <row r="157">
      <c r="A157" s="1" t="inlineStr">
        <is>
          <t>CI005286.CI</t>
        </is>
      </c>
      <c r="B157" s="1" t="inlineStr">
        <is>
          <t>太阳能指数</t>
        </is>
      </c>
      <c r="C157" s="1" t="n">
        <v>37</v>
      </c>
      <c r="D157" s="10">
        <f>IFERROR((thsiFinD("ths_close_price_index",$A157,$AE$2,"","")/thsiFinD("ths_close_price_index",$A157,$AE$5,"","")-1)*100,"")</f>
        <v/>
      </c>
      <c r="E157" s="10">
        <f>IFERROR((thsiFinD("ths_close_price_index",$A157,$AE$2,"","")/thsiFinD("ths_close_price_index",$A157,$AE$3,"","")-1)*100,"")</f>
        <v/>
      </c>
      <c r="F157" s="10">
        <f>IFERROR((thsiFinD("ths_close_price_index",$A157,$AE$2,"","")/thsiFinD("ths_close_price_index",$A157,$AE$4,"","")-1)*100,"")</f>
        <v/>
      </c>
      <c r="G157" s="11">
        <f>IFERROR(E157/5-F157/20,"")</f>
        <v/>
      </c>
      <c r="H157" s="1" t="n">
        <v>79.98</v>
      </c>
      <c r="I157" s="1" t="inlineStr">
        <is>
          <t>300274.SZ</t>
        </is>
      </c>
      <c r="J157" s="1" t="inlineStr">
        <is>
          <t>阳光电源</t>
        </is>
      </c>
      <c r="K157" s="1" t="n">
        <v>2336.9474</v>
      </c>
      <c r="L157" s="1" t="n">
        <v>47.73</v>
      </c>
      <c r="M157" s="1" t="inlineStr">
        <is>
          <t>601012.SH</t>
        </is>
      </c>
      <c r="N157" s="1" t="inlineStr">
        <is>
          <t>隆基绿能</t>
        </is>
      </c>
      <c r="O157" s="1" t="n">
        <v>789.8479</v>
      </c>
      <c r="P157" s="1" t="n">
        <v>16.13</v>
      </c>
      <c r="Q157" s="1" t="inlineStr">
        <is>
          <t>600438.SH</t>
        </is>
      </c>
      <c r="R157" s="1" t="inlineStr">
        <is>
          <t>通威股份</t>
        </is>
      </c>
      <c r="S157" s="1" t="n">
        <v>320.5093</v>
      </c>
      <c r="T157" s="1" t="n">
        <v>6.55</v>
      </c>
      <c r="U157" s="1" t="inlineStr">
        <is>
          <t>002129.SZ</t>
        </is>
      </c>
      <c r="V157" s="1" t="inlineStr">
        <is>
          <t>TCL中环</t>
        </is>
      </c>
      <c r="W157" s="1" t="n">
        <v>294.6552</v>
      </c>
      <c r="X157" s="1" t="n">
        <v>6.02</v>
      </c>
      <c r="Y157" s="1" t="inlineStr">
        <is>
          <t>603806.SH</t>
        </is>
      </c>
      <c r="Z157" s="1" t="inlineStr">
        <is>
          <t>福斯特</t>
        </is>
      </c>
      <c r="AA157" s="1" t="n">
        <v>173.7975</v>
      </c>
      <c r="AB157" s="1" t="n">
        <v>3.55</v>
      </c>
    </row>
    <row r="158">
      <c r="A158" s="1" t="inlineStr">
        <is>
          <t>CI005564.CI</t>
        </is>
      </c>
      <c r="B158" s="1" t="inlineStr">
        <is>
          <t>新兴计算机软件指数</t>
        </is>
      </c>
      <c r="C158" s="1" t="n">
        <v>6</v>
      </c>
      <c r="D158" s="10">
        <f>IFERROR((thsiFinD("ths_close_price_index",$A158,$AE$2,"","")/thsiFinD("ths_close_price_index",$A158,$AE$5,"","")-1)*100,"")</f>
        <v/>
      </c>
      <c r="E158" s="10">
        <f>IFERROR((thsiFinD("ths_close_price_index",$A158,$AE$2,"","")/thsiFinD("ths_close_price_index",$A158,$AE$3,"","")-1)*100,"")</f>
        <v/>
      </c>
      <c r="F158" s="10">
        <f>IFERROR((thsiFinD("ths_close_price_index",$A158,$AE$2,"","")/thsiFinD("ths_close_price_index",$A158,$AE$4,"","")-1)*100,"")</f>
        <v/>
      </c>
      <c r="G158" s="11">
        <f>IFERROR(E158/5-F158/20,"")</f>
        <v/>
      </c>
      <c r="H158" s="1" t="n">
        <v>97.47</v>
      </c>
      <c r="I158" s="1" t="inlineStr">
        <is>
          <t>002230.SZ</t>
        </is>
      </c>
      <c r="J158" s="1" t="inlineStr">
        <is>
          <t>科大讯飞</t>
        </is>
      </c>
      <c r="K158" s="1" t="n">
        <v>819.7338</v>
      </c>
      <c r="L158" s="1" t="n">
        <v>71.65000000000001</v>
      </c>
      <c r="M158" s="1" t="inlineStr">
        <is>
          <t>688031.SH</t>
        </is>
      </c>
      <c r="N158" s="1" t="inlineStr">
        <is>
          <t>星环科技</t>
        </is>
      </c>
      <c r="O158" s="1" t="n">
        <v>100.2613</v>
      </c>
      <c r="P158" s="1" t="n">
        <v>8.76</v>
      </c>
      <c r="Q158" s="1" t="inlineStr">
        <is>
          <t>688088.SH</t>
        </is>
      </c>
      <c r="R158" s="1" t="inlineStr">
        <is>
          <t>虹软科技</t>
        </is>
      </c>
      <c r="S158" s="1" t="n">
        <v>89.9376</v>
      </c>
      <c r="T158" s="1" t="n">
        <v>7.86</v>
      </c>
      <c r="U158" s="1" t="inlineStr">
        <is>
          <t>688787.SH</t>
        </is>
      </c>
      <c r="V158" s="1" t="inlineStr">
        <is>
          <t>海天瑞声</t>
        </is>
      </c>
      <c r="W158" s="1" t="n">
        <v>64.1795</v>
      </c>
      <c r="X158" s="1" t="n">
        <v>5.61</v>
      </c>
      <c r="Y158" s="1" t="inlineStr">
        <is>
          <t>688207.SH</t>
        </is>
      </c>
      <c r="Z158" s="1" t="inlineStr">
        <is>
          <t>格灵深瞳</t>
        </is>
      </c>
      <c r="AA158" s="1" t="n">
        <v>41.0937</v>
      </c>
      <c r="AB158" s="1" t="n">
        <v>3.59</v>
      </c>
    </row>
    <row r="159">
      <c r="A159" s="1" t="inlineStr">
        <is>
          <t>CI005325.CI</t>
        </is>
      </c>
      <c r="B159" s="1" t="inlineStr">
        <is>
          <t>啤酒指数</t>
        </is>
      </c>
      <c r="C159" s="1" t="n">
        <v>7</v>
      </c>
      <c r="D159" s="10">
        <f>IFERROR((thsiFinD("ths_close_price_index",$A159,$AE$2,"","")/thsiFinD("ths_close_price_index",$A159,$AE$5,"","")-1)*100,"")</f>
        <v/>
      </c>
      <c r="E159" s="10">
        <f>IFERROR((thsiFinD("ths_close_price_index",$A159,$AE$2,"","")/thsiFinD("ths_close_price_index",$A159,$AE$3,"","")-1)*100,"")</f>
        <v/>
      </c>
      <c r="F159" s="10">
        <f>IFERROR((thsiFinD("ths_close_price_index",$A159,$AE$2,"","")/thsiFinD("ths_close_price_index",$A159,$AE$4,"","")-1)*100,"")</f>
        <v/>
      </c>
      <c r="G159" s="11">
        <f>IFERROR(E159/5-F159/20,"")</f>
        <v/>
      </c>
      <c r="H159" s="1" t="n">
        <v>95.40000000000001</v>
      </c>
      <c r="I159" s="1" t="inlineStr">
        <is>
          <t>000729.SZ</t>
        </is>
      </c>
      <c r="J159" s="1" t="inlineStr">
        <is>
          <t>燕京啤酒</t>
        </is>
      </c>
      <c r="K159" s="1" t="n">
        <v>122.2793</v>
      </c>
      <c r="L159" s="1" t="n">
        <v>43.28</v>
      </c>
      <c r="M159" s="1" t="inlineStr">
        <is>
          <t>600132.SH</t>
        </is>
      </c>
      <c r="N159" s="1" t="inlineStr">
        <is>
          <t>重庆啤酒</t>
        </is>
      </c>
      <c r="O159" s="1" t="n">
        <v>85.6048</v>
      </c>
      <c r="P159" s="1" t="n">
        <v>30.3</v>
      </c>
      <c r="Q159" s="1" t="inlineStr">
        <is>
          <t>002461.SZ</t>
        </is>
      </c>
      <c r="R159" s="1" t="inlineStr">
        <is>
          <t>珠江啤酒</t>
        </is>
      </c>
      <c r="S159" s="1" t="n">
        <v>29.2782</v>
      </c>
      <c r="T159" s="1" t="n">
        <v>10.36</v>
      </c>
      <c r="U159" s="1" t="inlineStr">
        <is>
          <t>000752.SZ</t>
        </is>
      </c>
      <c r="V159" s="1" t="inlineStr">
        <is>
          <t>*ST西发</t>
        </is>
      </c>
      <c r="W159" s="1" t="n">
        <v>18.6458</v>
      </c>
      <c r="X159" s="1" t="n">
        <v>6.6</v>
      </c>
      <c r="Y159" s="1" t="inlineStr">
        <is>
          <t>000929.SZ</t>
        </is>
      </c>
      <c r="Z159" s="1" t="inlineStr">
        <is>
          <t>兰州黄河</t>
        </is>
      </c>
      <c r="AA159" s="1" t="n">
        <v>13.7354</v>
      </c>
      <c r="AB159" s="1" t="n">
        <v>4.86</v>
      </c>
    </row>
    <row r="160">
      <c r="A160" s="1" t="inlineStr">
        <is>
          <t>CI005507.CI</t>
        </is>
      </c>
      <c r="B160" s="1" t="inlineStr">
        <is>
          <t>中高端成人品牌服饰指数</t>
        </is>
      </c>
      <c r="C160" s="1" t="n">
        <v>14</v>
      </c>
      <c r="D160" s="10">
        <f>IFERROR((thsiFinD("ths_close_price_index",$A160,$AE$2,"","")/thsiFinD("ths_close_price_index",$A160,$AE$5,"","")-1)*100,"")</f>
        <v/>
      </c>
      <c r="E160" s="10">
        <f>IFERROR((thsiFinD("ths_close_price_index",$A160,$AE$2,"","")/thsiFinD("ths_close_price_index",$A160,$AE$3,"","")-1)*100,"")</f>
        <v/>
      </c>
      <c r="F160" s="10">
        <f>IFERROR((thsiFinD("ths_close_price_index",$A160,$AE$2,"","")/thsiFinD("ths_close_price_index",$A160,$AE$4,"","")-1)*100,"")</f>
        <v/>
      </c>
      <c r="G160" s="11">
        <f>IFERROR(E160/5-F160/20,"")</f>
        <v/>
      </c>
      <c r="H160" s="1" t="n">
        <v>56.28</v>
      </c>
      <c r="I160" s="1" t="inlineStr">
        <is>
          <t>002154.SZ</t>
        </is>
      </c>
      <c r="J160" s="1" t="inlineStr">
        <is>
          <t>报喜鸟</t>
        </is>
      </c>
      <c r="K160" s="1" t="n">
        <v>34.7372</v>
      </c>
      <c r="L160" s="1" t="n">
        <v>13.89</v>
      </c>
      <c r="M160" s="1" t="inlineStr">
        <is>
          <t>002029.SZ</t>
        </is>
      </c>
      <c r="N160" s="1" t="inlineStr">
        <is>
          <t>七匹狼</t>
        </is>
      </c>
      <c r="O160" s="1" t="n">
        <v>32.9822</v>
      </c>
      <c r="P160" s="1" t="n">
        <v>13.19</v>
      </c>
      <c r="Q160" s="1" t="inlineStr">
        <is>
          <t>300840.SZ</t>
        </is>
      </c>
      <c r="R160" s="1" t="inlineStr">
        <is>
          <t>酷特智能</t>
        </is>
      </c>
      <c r="S160" s="1" t="n">
        <v>32.1152</v>
      </c>
      <c r="T160" s="1" t="n">
        <v>12.84</v>
      </c>
      <c r="U160" s="1" t="inlineStr">
        <is>
          <t>002612.SZ</t>
        </is>
      </c>
      <c r="V160" s="1" t="inlineStr">
        <is>
          <t>朗姿股份</t>
        </is>
      </c>
      <c r="W160" s="1" t="n">
        <v>23.0782</v>
      </c>
      <c r="X160" s="1" t="n">
        <v>9.23</v>
      </c>
      <c r="Y160" s="1" t="inlineStr">
        <is>
          <t>603518.SH</t>
        </is>
      </c>
      <c r="Z160" s="1" t="inlineStr">
        <is>
          <t>锦泓集团</t>
        </is>
      </c>
      <c r="AA160" s="1" t="n">
        <v>17.8299</v>
      </c>
      <c r="AB160" s="1" t="n">
        <v>7.13</v>
      </c>
    </row>
    <row r="161">
      <c r="A161" s="1" t="inlineStr">
        <is>
          <t>CI005470.CI</t>
        </is>
      </c>
      <c r="B161" s="1" t="inlineStr">
        <is>
          <t>其他运输设备指数</t>
        </is>
      </c>
      <c r="C161" s="1" t="n">
        <v>5</v>
      </c>
      <c r="D161" s="10">
        <f>IFERROR((thsiFinD("ths_close_price_index",$A161,$AE$2,"","")/thsiFinD("ths_close_price_index",$A161,$AE$5,"","")-1)*100,"")</f>
        <v/>
      </c>
      <c r="E161" s="10">
        <f>IFERROR((thsiFinD("ths_close_price_index",$A161,$AE$2,"","")/thsiFinD("ths_close_price_index",$A161,$AE$3,"","")-1)*100,"")</f>
        <v/>
      </c>
      <c r="F161" s="10">
        <f>IFERROR((thsiFinD("ths_close_price_index",$A161,$AE$2,"","")/thsiFinD("ths_close_price_index",$A161,$AE$4,"","")-1)*100,"")</f>
        <v/>
      </c>
      <c r="G161" s="11">
        <f>IFERROR(E161/5-F161/20,"")</f>
        <v/>
      </c>
      <c r="H161" s="1" t="n">
        <v>100.01</v>
      </c>
      <c r="I161" s="1" t="inlineStr">
        <is>
          <t>000039.SZ</t>
        </is>
      </c>
      <c r="J161" s="1" t="inlineStr">
        <is>
          <t>中集集团</t>
        </is>
      </c>
      <c r="K161" s="1" t="n">
        <v>181.9697</v>
      </c>
      <c r="L161" s="1" t="n">
        <v>58.95</v>
      </c>
      <c r="M161" s="1" t="inlineStr">
        <is>
          <t>002023.SZ</t>
        </is>
      </c>
      <c r="N161" s="1" t="inlineStr">
        <is>
          <t>海特高新</t>
        </is>
      </c>
      <c r="O161" s="1" t="n">
        <v>75.21080000000001</v>
      </c>
      <c r="P161" s="1" t="n">
        <v>24.37</v>
      </c>
      <c r="Q161" s="1" t="inlineStr">
        <is>
          <t>002480.SZ</t>
        </is>
      </c>
      <c r="R161" s="1" t="inlineStr">
        <is>
          <t>新筑股份</t>
        </is>
      </c>
      <c r="S161" s="1" t="n">
        <v>29.848</v>
      </c>
      <c r="T161" s="1" t="n">
        <v>9.67</v>
      </c>
      <c r="U161" s="1" t="inlineStr">
        <is>
          <t>301559.SZ</t>
        </is>
      </c>
      <c r="V161" s="1" t="inlineStr">
        <is>
          <t>中集环科</t>
        </is>
      </c>
      <c r="W161" s="1" t="n">
        <v>11.97</v>
      </c>
      <c r="X161" s="1" t="n">
        <v>3.88</v>
      </c>
      <c r="Y161" s="1" t="inlineStr">
        <is>
          <t>002105.SZ</t>
        </is>
      </c>
      <c r="Z161" s="1" t="inlineStr">
        <is>
          <t>信隆健康</t>
        </is>
      </c>
      <c r="AA161" s="1" t="n">
        <v>9.6791</v>
      </c>
      <c r="AB161" s="1" t="n">
        <v>3.14</v>
      </c>
    </row>
    <row r="162">
      <c r="A162" s="1" t="inlineStr">
        <is>
          <t>CI005343.CI</t>
        </is>
      </c>
      <c r="B162" s="1" t="inlineStr">
        <is>
          <t>全国性股份制银行Ⅲ指数</t>
        </is>
      </c>
      <c r="C162" s="1" t="n">
        <v>9</v>
      </c>
      <c r="D162" s="10">
        <f>IFERROR((thsiFinD("ths_close_price_index",$A162,$AE$2,"","")/thsiFinD("ths_close_price_index",$A162,$AE$5,"","")-1)*100,"")</f>
        <v/>
      </c>
      <c r="E162" s="10">
        <f>IFERROR((thsiFinD("ths_close_price_index",$A162,$AE$2,"","")/thsiFinD("ths_close_price_index",$A162,$AE$3,"","")-1)*100,"")</f>
        <v/>
      </c>
      <c r="F162" s="10">
        <f>IFERROR((thsiFinD("ths_close_price_index",$A162,$AE$2,"","")/thsiFinD("ths_close_price_index",$A162,$AE$4,"","")-1)*100,"")</f>
        <v/>
      </c>
      <c r="G162" s="11">
        <f>IFERROR(E162/5-F162/20,"")</f>
        <v/>
      </c>
      <c r="H162" s="1" t="n">
        <v>87.63</v>
      </c>
      <c r="I162" s="1" t="inlineStr">
        <is>
          <t>600036.SH</t>
        </is>
      </c>
      <c r="J162" s="1" t="inlineStr">
        <is>
          <t>招商银行</t>
        </is>
      </c>
      <c r="K162" s="1" t="n">
        <v>4411.9632</v>
      </c>
      <c r="L162" s="1" t="n">
        <v>39.72</v>
      </c>
      <c r="M162" s="1" t="inlineStr">
        <is>
          <t>601166.SH</t>
        </is>
      </c>
      <c r="N162" s="1" t="inlineStr">
        <is>
          <t>兴业银行</t>
        </is>
      </c>
      <c r="O162" s="1" t="n">
        <v>2681.6657</v>
      </c>
      <c r="P162" s="1" t="n">
        <v>24.15</v>
      </c>
      <c r="Q162" s="1" t="inlineStr">
        <is>
          <t>600016.SH</t>
        </is>
      </c>
      <c r="R162" s="1" t="inlineStr">
        <is>
          <t>民生银行</t>
        </is>
      </c>
      <c r="S162" s="1" t="n">
        <v>1173.8195</v>
      </c>
      <c r="T162" s="1" t="n">
        <v>10.57</v>
      </c>
      <c r="U162" s="1" t="inlineStr">
        <is>
          <t>000001.SZ</t>
        </is>
      </c>
      <c r="V162" s="1" t="inlineStr">
        <is>
          <t>平安银行</t>
        </is>
      </c>
      <c r="W162" s="1" t="n">
        <v>916.0022</v>
      </c>
      <c r="X162" s="1" t="n">
        <v>8.25</v>
      </c>
      <c r="Y162" s="1" t="inlineStr">
        <is>
          <t>601998.SH</t>
        </is>
      </c>
      <c r="Z162" s="1" t="inlineStr">
        <is>
          <t>中信银行</t>
        </is>
      </c>
      <c r="AA162" s="1" t="n">
        <v>548.1162</v>
      </c>
      <c r="AB162" s="1" t="n">
        <v>4.94</v>
      </c>
    </row>
    <row r="163">
      <c r="A163" s="1" t="inlineStr">
        <is>
          <t>CI005387.CI</t>
        </is>
      </c>
      <c r="B163" s="1" t="inlineStr">
        <is>
          <t>非棉纺织品指数</t>
        </is>
      </c>
      <c r="C163" s="1" t="n">
        <v>13</v>
      </c>
      <c r="D163" s="10">
        <f>IFERROR((thsiFinD("ths_close_price_index",$A163,$AE$2,"","")/thsiFinD("ths_close_price_index",$A163,$AE$5,"","")-1)*100,"")</f>
        <v/>
      </c>
      <c r="E163" s="10">
        <f>IFERROR((thsiFinD("ths_close_price_index",$A163,$AE$2,"","")/thsiFinD("ths_close_price_index",$A163,$AE$3,"","")-1)*100,"")</f>
        <v/>
      </c>
      <c r="F163" s="10">
        <f>IFERROR((thsiFinD("ths_close_price_index",$A163,$AE$2,"","")/thsiFinD("ths_close_price_index",$A163,$AE$4,"","")-1)*100,"")</f>
        <v/>
      </c>
      <c r="G163" s="11">
        <f>IFERROR(E163/5-F163/20,"")</f>
        <v/>
      </c>
      <c r="H163" s="1" t="n">
        <v>51.24</v>
      </c>
      <c r="I163" s="1" t="inlineStr">
        <is>
          <t>603889.SH</t>
        </is>
      </c>
      <c r="J163" s="1" t="inlineStr">
        <is>
          <t>新澳股份</t>
        </is>
      </c>
      <c r="K163" s="1" t="n">
        <v>29.4978</v>
      </c>
      <c r="L163" s="1" t="n">
        <v>11.82</v>
      </c>
      <c r="M163" s="1" t="inlineStr">
        <is>
          <t>600527.SH</t>
        </is>
      </c>
      <c r="N163" s="1" t="inlineStr">
        <is>
          <t>江南高纤</t>
        </is>
      </c>
      <c r="O163" s="1" t="n">
        <v>28.2929</v>
      </c>
      <c r="P163" s="1" t="n">
        <v>11.33</v>
      </c>
      <c r="Q163" s="1" t="inlineStr">
        <is>
          <t>601599.SH</t>
        </is>
      </c>
      <c r="R163" s="1" t="inlineStr">
        <is>
          <t>浙文影业</t>
        </is>
      </c>
      <c r="S163" s="1" t="n">
        <v>27.0496</v>
      </c>
      <c r="T163" s="1" t="n">
        <v>10.84</v>
      </c>
      <c r="U163" s="1" t="inlineStr">
        <is>
          <t>600156.SH</t>
        </is>
      </c>
      <c r="V163" s="1" t="inlineStr">
        <is>
          <t>华升股份</t>
        </is>
      </c>
      <c r="W163" s="1" t="n">
        <v>21.6966</v>
      </c>
      <c r="X163" s="1" t="n">
        <v>8.69</v>
      </c>
      <c r="Y163" s="1" t="inlineStr">
        <is>
          <t>603055.SH</t>
        </is>
      </c>
      <c r="Z163" s="1" t="inlineStr">
        <is>
          <t>台华新材</t>
        </is>
      </c>
      <c r="AA163" s="1" t="n">
        <v>21.3591</v>
      </c>
      <c r="AB163" s="1" t="n">
        <v>8.56</v>
      </c>
    </row>
    <row r="164">
      <c r="A164" s="1" t="inlineStr">
        <is>
          <t>CI005415.CI</t>
        </is>
      </c>
      <c r="B164" s="1" t="inlineStr">
        <is>
          <t>纯碱指数</t>
        </is>
      </c>
      <c r="C164" s="1" t="n">
        <v>6</v>
      </c>
      <c r="D164" s="10">
        <f>IFERROR((thsiFinD("ths_close_price_index",$A164,$AE$2,"","")/thsiFinD("ths_close_price_index",$A164,$AE$5,"","")-1)*100,"")</f>
        <v/>
      </c>
      <c r="E164" s="10">
        <f>IFERROR((thsiFinD("ths_close_price_index",$A164,$AE$2,"","")/thsiFinD("ths_close_price_index",$A164,$AE$3,"","")-1)*100,"")</f>
        <v/>
      </c>
      <c r="F164" s="10">
        <f>IFERROR((thsiFinD("ths_close_price_index",$A164,$AE$2,"","")/thsiFinD("ths_close_price_index",$A164,$AE$4,"","")-1)*100,"")</f>
        <v/>
      </c>
      <c r="G164" s="11">
        <f>IFERROR(E164/5-F164/20,"")</f>
        <v/>
      </c>
      <c r="H164" s="1" t="n">
        <v>95.42</v>
      </c>
      <c r="I164" s="1" t="inlineStr">
        <is>
          <t>000683.SZ</t>
        </is>
      </c>
      <c r="J164" s="1" t="inlineStr">
        <is>
          <t>博源化工</t>
        </is>
      </c>
      <c r="K164" s="1" t="n">
        <v>164.4099</v>
      </c>
      <c r="L164" s="1" t="n">
        <v>37.42</v>
      </c>
      <c r="M164" s="1" t="inlineStr">
        <is>
          <t>603077.SH</t>
        </is>
      </c>
      <c r="N164" s="1" t="inlineStr">
        <is>
          <t>和邦生物</t>
        </is>
      </c>
      <c r="O164" s="1" t="n">
        <v>148.2733</v>
      </c>
      <c r="P164" s="1" t="n">
        <v>33.75</v>
      </c>
      <c r="Q164" s="1" t="inlineStr">
        <is>
          <t>600328.SH</t>
        </is>
      </c>
      <c r="R164" s="1" t="inlineStr">
        <is>
          <t>中盐化工</t>
        </is>
      </c>
      <c r="S164" s="1" t="n">
        <v>54.3233</v>
      </c>
      <c r="T164" s="1" t="n">
        <v>12.36</v>
      </c>
      <c r="U164" s="1" t="inlineStr">
        <is>
          <t>601065.SH</t>
        </is>
      </c>
      <c r="V164" s="1" t="inlineStr">
        <is>
          <t>江盐集团</t>
        </is>
      </c>
      <c r="W164" s="1" t="n">
        <v>28.6786</v>
      </c>
      <c r="X164" s="1" t="n">
        <v>6.53</v>
      </c>
      <c r="Y164" s="1" t="inlineStr">
        <is>
          <t>000822.SZ</t>
        </is>
      </c>
      <c r="Z164" s="1" t="inlineStr">
        <is>
          <t>山东海化</t>
        </is>
      </c>
      <c r="AA164" s="1" t="n">
        <v>23.5513</v>
      </c>
      <c r="AB164" s="1" t="n">
        <v>5.36</v>
      </c>
    </row>
    <row r="165">
      <c r="A165" s="1" t="inlineStr">
        <is>
          <t>CI005536.CI</t>
        </is>
      </c>
      <c r="B165" s="1" t="inlineStr">
        <is>
          <t>物流综合指数</t>
        </is>
      </c>
      <c r="C165" s="1" t="n">
        <v>38</v>
      </c>
      <c r="D165" s="10">
        <f>IFERROR((thsiFinD("ths_close_price_index",$A165,$AE$2,"","")/thsiFinD("ths_close_price_index",$A165,$AE$5,"","")-1)*100,"")</f>
        <v/>
      </c>
      <c r="E165" s="10">
        <f>IFERROR((thsiFinD("ths_close_price_index",$A165,$AE$2,"","")/thsiFinD("ths_close_price_index",$A165,$AE$3,"","")-1)*100,"")</f>
        <v/>
      </c>
      <c r="F165" s="10">
        <f>IFERROR((thsiFinD("ths_close_price_index",$A165,$AE$2,"","")/thsiFinD("ths_close_price_index",$A165,$AE$4,"","")-1)*100,"")</f>
        <v/>
      </c>
      <c r="G165" s="11">
        <f>IFERROR(E165/5-F165/20,"")</f>
        <v/>
      </c>
      <c r="H165" s="1" t="n">
        <v>43.05</v>
      </c>
      <c r="I165" s="1" t="inlineStr">
        <is>
          <t>600153.SH</t>
        </is>
      </c>
      <c r="J165" s="1" t="inlineStr">
        <is>
          <t>建发股份</t>
        </is>
      </c>
      <c r="K165" s="1" t="n">
        <v>140.5537</v>
      </c>
      <c r="L165" s="1" t="n">
        <v>11.18</v>
      </c>
      <c r="M165" s="1" t="inlineStr">
        <is>
          <t>601156.SH</t>
        </is>
      </c>
      <c r="N165" s="1" t="inlineStr">
        <is>
          <t>东航物流</t>
        </is>
      </c>
      <c r="O165" s="1" t="n">
        <v>112.841</v>
      </c>
      <c r="P165" s="1" t="n">
        <v>8.98</v>
      </c>
      <c r="Q165" s="1" t="inlineStr">
        <is>
          <t>600179.SH</t>
        </is>
      </c>
      <c r="R165" s="1" t="inlineStr">
        <is>
          <t>安通控股</t>
        </is>
      </c>
      <c r="S165" s="1" t="n">
        <v>101.8798</v>
      </c>
      <c r="T165" s="1" t="n">
        <v>8.109999999999999</v>
      </c>
      <c r="U165" s="1" t="inlineStr">
        <is>
          <t>002183.SZ</t>
        </is>
      </c>
      <c r="V165" s="1" t="inlineStr">
        <is>
          <t>怡亚通</t>
        </is>
      </c>
      <c r="W165" s="1" t="n">
        <v>96.30500000000001</v>
      </c>
      <c r="X165" s="1" t="n">
        <v>7.66</v>
      </c>
      <c r="Y165" s="1" t="inlineStr">
        <is>
          <t>603565.SH</t>
        </is>
      </c>
      <c r="Z165" s="1" t="inlineStr">
        <is>
          <t>中谷物流</t>
        </is>
      </c>
      <c r="AA165" s="1" t="n">
        <v>89.501</v>
      </c>
      <c r="AB165" s="1" t="n">
        <v>7.12</v>
      </c>
    </row>
    <row r="166">
      <c r="A166" s="1" t="inlineStr">
        <is>
          <t>CI005537.CI</t>
        </is>
      </c>
      <c r="B166" s="1" t="inlineStr">
        <is>
          <t>快递指数</t>
        </is>
      </c>
      <c r="C166" s="1" t="n">
        <v>4</v>
      </c>
      <c r="D166" s="10">
        <f>IFERROR((thsiFinD("ths_close_price_index",$A166,$AE$2,"","")/thsiFinD("ths_close_price_index",$A166,$AE$5,"","")-1)*100,"")</f>
        <v/>
      </c>
      <c r="E166" s="10">
        <f>IFERROR((thsiFinD("ths_close_price_index",$A166,$AE$2,"","")/thsiFinD("ths_close_price_index",$A166,$AE$3,"","")-1)*100,"")</f>
        <v/>
      </c>
      <c r="F166" s="10">
        <f>IFERROR((thsiFinD("ths_close_price_index",$A166,$AE$2,"","")/thsiFinD("ths_close_price_index",$A166,$AE$4,"","")-1)*100,"")</f>
        <v/>
      </c>
      <c r="G166" s="11">
        <f>IFERROR(E166/5-F166/20,"")</f>
        <v/>
      </c>
      <c r="H166" s="1" t="n">
        <v>100</v>
      </c>
      <c r="I166" s="1" t="inlineStr">
        <is>
          <t>002352.SZ</t>
        </is>
      </c>
      <c r="J166" s="1" t="inlineStr">
        <is>
          <t>顺丰控股</t>
        </is>
      </c>
      <c r="K166" s="1" t="n">
        <v>735.3581</v>
      </c>
      <c r="L166" s="1" t="n">
        <v>63.71</v>
      </c>
      <c r="M166" s="1" t="inlineStr">
        <is>
          <t>600233.SH</t>
        </is>
      </c>
      <c r="N166" s="1" t="inlineStr">
        <is>
          <t>圆通速递</t>
        </is>
      </c>
      <c r="O166" s="1" t="n">
        <v>264.1685</v>
      </c>
      <c r="P166" s="1" t="n">
        <v>22.89</v>
      </c>
      <c r="Q166" s="1" t="inlineStr">
        <is>
          <t>002120.SZ</t>
        </is>
      </c>
      <c r="R166" s="1" t="inlineStr">
        <is>
          <t>韵达股份</t>
        </is>
      </c>
      <c r="S166" s="1" t="n">
        <v>77.85509999999999</v>
      </c>
      <c r="T166" s="1" t="n">
        <v>6.74</v>
      </c>
      <c r="U166" s="1" t="inlineStr">
        <is>
          <t>002468.SZ</t>
        </is>
      </c>
      <c r="V166" s="1" t="inlineStr">
        <is>
          <t>申通快递</t>
        </is>
      </c>
      <c r="W166" s="1" t="n">
        <v>76.93170000000001</v>
      </c>
      <c r="X166" s="1" t="n">
        <v>6.66</v>
      </c>
    </row>
    <row r="167">
      <c r="A167" s="1" t="inlineStr">
        <is>
          <t>CI005525.CI</t>
        </is>
      </c>
      <c r="B167" s="1" t="inlineStr">
        <is>
          <t>其他非银金融指数</t>
        </is>
      </c>
      <c r="C167" s="1" t="n">
        <v>7</v>
      </c>
      <c r="D167" s="10">
        <f>IFERROR((thsiFinD("ths_close_price_index",$A167,$AE$2,"","")/thsiFinD("ths_close_price_index",$A167,$AE$5,"","")-1)*100,"")</f>
        <v/>
      </c>
      <c r="E167" s="10">
        <f>IFERROR((thsiFinD("ths_close_price_index",$A167,$AE$2,"","")/thsiFinD("ths_close_price_index",$A167,$AE$3,"","")-1)*100,"")</f>
        <v/>
      </c>
      <c r="F167" s="10">
        <f>IFERROR((thsiFinD("ths_close_price_index",$A167,$AE$2,"","")/thsiFinD("ths_close_price_index",$A167,$AE$4,"","")-1)*100,"")</f>
        <v/>
      </c>
      <c r="G167" s="11">
        <f>IFERROR(E167/5-F167/20,"")</f>
        <v/>
      </c>
      <c r="H167" s="1" t="n">
        <v>90.44</v>
      </c>
      <c r="I167" s="1" t="inlineStr">
        <is>
          <t>000617.SZ</t>
        </is>
      </c>
      <c r="J167" s="1" t="inlineStr">
        <is>
          <t>中油资本</t>
        </is>
      </c>
      <c r="K167" s="1" t="n">
        <v>218.1536</v>
      </c>
      <c r="L167" s="1" t="n">
        <v>40.82</v>
      </c>
      <c r="M167" s="1" t="inlineStr">
        <is>
          <t>000987.SZ</t>
        </is>
      </c>
      <c r="N167" s="1" t="inlineStr">
        <is>
          <t>越秀资本</t>
        </is>
      </c>
      <c r="O167" s="1" t="n">
        <v>109.0819</v>
      </c>
      <c r="P167" s="1" t="n">
        <v>20.41</v>
      </c>
      <c r="Q167" s="1" t="inlineStr">
        <is>
          <t>002647.SZ</t>
        </is>
      </c>
      <c r="R167" s="1" t="inlineStr">
        <is>
          <t>仁东控股</t>
        </is>
      </c>
      <c r="S167" s="1" t="n">
        <v>94.7077</v>
      </c>
      <c r="T167" s="1" t="n">
        <v>17.72</v>
      </c>
      <c r="U167" s="1" t="inlineStr">
        <is>
          <t>603093.SH</t>
        </is>
      </c>
      <c r="V167" s="1" t="inlineStr">
        <is>
          <t>南华期货</t>
        </is>
      </c>
      <c r="W167" s="1" t="n">
        <v>30.7337</v>
      </c>
      <c r="X167" s="1" t="n">
        <v>5.75</v>
      </c>
      <c r="Y167" s="1" t="inlineStr">
        <is>
          <t>002961.SZ</t>
        </is>
      </c>
      <c r="Z167" s="1" t="inlineStr">
        <is>
          <t>瑞达期货</t>
        </is>
      </c>
      <c r="AA167" s="1" t="n">
        <v>30.6532</v>
      </c>
      <c r="AB167" s="1" t="n">
        <v>5.74</v>
      </c>
    </row>
    <row r="168">
      <c r="A168" s="1" t="inlineStr">
        <is>
          <t>CI005347.CI</t>
        </is>
      </c>
      <c r="B168" s="1" t="inlineStr">
        <is>
          <t>信托指数</t>
        </is>
      </c>
      <c r="C168" s="1" t="n">
        <v>2</v>
      </c>
      <c r="D168" s="10">
        <f>IFERROR((thsiFinD("ths_close_price_index",$A168,$AE$2,"","")/thsiFinD("ths_close_price_index",$A168,$AE$5,"","")-1)*100,"")</f>
        <v/>
      </c>
      <c r="E168" s="10">
        <f>IFERROR((thsiFinD("ths_close_price_index",$A168,$AE$2,"","")/thsiFinD("ths_close_price_index",$A168,$AE$3,"","")-1)*100,"")</f>
        <v/>
      </c>
      <c r="F168" s="10">
        <f>IFERROR((thsiFinD("ths_close_price_index",$A168,$AE$2,"","")/thsiFinD("ths_close_price_index",$A168,$AE$4,"","")-1)*100,"")</f>
        <v/>
      </c>
      <c r="G168" s="11">
        <f>IFERROR(E168/5-F168/20,"")</f>
        <v/>
      </c>
      <c r="H168" s="1" t="n">
        <v>100</v>
      </c>
      <c r="I168" s="1" t="inlineStr">
        <is>
          <t>600816.SH</t>
        </is>
      </c>
      <c r="J168" s="1" t="inlineStr">
        <is>
          <t>建元信托</t>
        </is>
      </c>
      <c r="K168" s="1" t="n">
        <v>92.4713</v>
      </c>
      <c r="L168" s="1" t="n">
        <v>51.89</v>
      </c>
      <c r="M168" s="1" t="inlineStr">
        <is>
          <t>000563.SZ</t>
        </is>
      </c>
      <c r="N168" s="1" t="inlineStr">
        <is>
          <t>陕国投A</t>
        </is>
      </c>
      <c r="O168" s="1" t="n">
        <v>85.7216</v>
      </c>
      <c r="P168" s="1" t="n">
        <v>48.11</v>
      </c>
    </row>
    <row r="169">
      <c r="A169" s="1" t="inlineStr">
        <is>
          <t>CI005485.CI</t>
        </is>
      </c>
      <c r="B169" s="1" t="inlineStr">
        <is>
          <t>贸易Ⅲ指数</t>
        </is>
      </c>
      <c r="C169" s="1" t="n">
        <v>17</v>
      </c>
      <c r="D169" s="10">
        <f>IFERROR((thsiFinD("ths_close_price_index",$A169,$AE$2,"","")/thsiFinD("ths_close_price_index",$A169,$AE$5,"","")-1)*100,"")</f>
        <v/>
      </c>
      <c r="E169" s="10">
        <f>IFERROR((thsiFinD("ths_close_price_index",$A169,$AE$2,"","")/thsiFinD("ths_close_price_index",$A169,$AE$3,"","")-1)*100,"")</f>
        <v/>
      </c>
      <c r="F169" s="10">
        <f>IFERROR((thsiFinD("ths_close_price_index",$A169,$AE$2,"","")/thsiFinD("ths_close_price_index",$A169,$AE$4,"","")-1)*100,"")</f>
        <v/>
      </c>
      <c r="G169" s="11">
        <f>IFERROR(E169/5-F169/20,"")</f>
        <v/>
      </c>
      <c r="H169" s="1" t="n">
        <v>78.62</v>
      </c>
      <c r="I169" s="1" t="inlineStr">
        <is>
          <t>600704.SH</t>
        </is>
      </c>
      <c r="J169" s="1" t="inlineStr">
        <is>
          <t>物产中大</t>
        </is>
      </c>
      <c r="K169" s="1" t="n">
        <v>142.8932</v>
      </c>
      <c r="L169" s="1" t="n">
        <v>31.12</v>
      </c>
      <c r="M169" s="1" t="inlineStr">
        <is>
          <t>600755.SH</t>
        </is>
      </c>
      <c r="N169" s="1" t="inlineStr">
        <is>
          <t>厦门国贸</t>
        </is>
      </c>
      <c r="O169" s="1" t="n">
        <v>73.26900000000001</v>
      </c>
      <c r="P169" s="1" t="n">
        <v>15.96</v>
      </c>
      <c r="Q169" s="1" t="inlineStr">
        <is>
          <t>002091.SZ</t>
        </is>
      </c>
      <c r="R169" s="1" t="inlineStr">
        <is>
          <t>江苏国泰</t>
        </is>
      </c>
      <c r="S169" s="1" t="n">
        <v>66.1178</v>
      </c>
      <c r="T169" s="1" t="n">
        <v>14.4</v>
      </c>
      <c r="U169" s="1" t="inlineStr">
        <is>
          <t>600710.SH</t>
        </is>
      </c>
      <c r="V169" s="1" t="inlineStr">
        <is>
          <t>苏美达</t>
        </is>
      </c>
      <c r="W169" s="1" t="n">
        <v>52.7663</v>
      </c>
      <c r="X169" s="1" t="n">
        <v>11.49</v>
      </c>
      <c r="Y169" s="1" t="inlineStr">
        <is>
          <t>000151.SZ</t>
        </is>
      </c>
      <c r="Z169" s="1" t="inlineStr">
        <is>
          <t>中成股份</t>
        </is>
      </c>
      <c r="AA169" s="1" t="n">
        <v>25.9586</v>
      </c>
      <c r="AB169" s="1" t="n">
        <v>5.65</v>
      </c>
    </row>
    <row r="170">
      <c r="A170" s="1" t="inlineStr">
        <is>
          <t>CI005497.CI</t>
        </is>
      </c>
      <c r="B170" s="1" t="inlineStr">
        <is>
          <t>K12培训指数</t>
        </is>
      </c>
      <c r="C170" s="1" t="n">
        <v>4</v>
      </c>
      <c r="D170" s="10">
        <f>IFERROR((thsiFinD("ths_close_price_index",$A170,$AE$2,"","")/thsiFinD("ths_close_price_index",$A170,$AE$5,"","")-1)*100,"")</f>
        <v/>
      </c>
      <c r="E170" s="10">
        <f>IFERROR((thsiFinD("ths_close_price_index",$A170,$AE$2,"","")/thsiFinD("ths_close_price_index",$A170,$AE$3,"","")-1)*100,"")</f>
        <v/>
      </c>
      <c r="F170" s="10">
        <f>IFERROR((thsiFinD("ths_close_price_index",$A170,$AE$2,"","")/thsiFinD("ths_close_price_index",$A170,$AE$4,"","")-1)*100,"")</f>
        <v/>
      </c>
      <c r="G170" s="11">
        <f>IFERROR(E170/5-F170/20,"")</f>
        <v/>
      </c>
      <c r="H170" s="1" t="n">
        <v>100</v>
      </c>
      <c r="I170" s="1" t="inlineStr">
        <is>
          <t>300192.SZ</t>
        </is>
      </c>
      <c r="J170" s="1" t="inlineStr">
        <is>
          <t>科德教育</t>
        </is>
      </c>
      <c r="K170" s="1" t="n">
        <v>37.6328</v>
      </c>
      <c r="L170" s="1" t="n">
        <v>34.32</v>
      </c>
      <c r="M170" s="1" t="inlineStr">
        <is>
          <t>002638.SZ</t>
        </is>
      </c>
      <c r="N170" s="1" t="inlineStr">
        <is>
          <t>勤上股份</t>
        </is>
      </c>
      <c r="O170" s="1" t="n">
        <v>36.4389</v>
      </c>
      <c r="P170" s="1" t="n">
        <v>33.23</v>
      </c>
      <c r="Q170" s="1" t="inlineStr">
        <is>
          <t>000526.SZ</t>
        </is>
      </c>
      <c r="R170" s="1" t="inlineStr">
        <is>
          <t>学大教育</t>
        </is>
      </c>
      <c r="S170" s="1" t="n">
        <v>21.5866</v>
      </c>
      <c r="T170" s="1" t="n">
        <v>19.68</v>
      </c>
      <c r="U170" s="1" t="inlineStr">
        <is>
          <t>600661.SH</t>
        </is>
      </c>
      <c r="V170" s="1" t="inlineStr">
        <is>
          <t>昂立教育</t>
        </is>
      </c>
      <c r="W170" s="1" t="n">
        <v>14.0075</v>
      </c>
      <c r="X170" s="1" t="n">
        <v>12.77</v>
      </c>
    </row>
    <row r="171">
      <c r="A171" s="1" t="inlineStr">
        <is>
          <t>CI005445.CI</t>
        </is>
      </c>
      <c r="B171" s="1" t="inlineStr">
        <is>
          <t>金属包装指数</t>
        </is>
      </c>
      <c r="C171" s="1" t="n">
        <v>5</v>
      </c>
      <c r="D171" s="10">
        <f>IFERROR((thsiFinD("ths_close_price_index",$A171,$AE$2,"","")/thsiFinD("ths_close_price_index",$A171,$AE$5,"","")-1)*100,"")</f>
        <v/>
      </c>
      <c r="E171" s="10">
        <f>IFERROR((thsiFinD("ths_close_price_index",$A171,$AE$2,"","")/thsiFinD("ths_close_price_index",$A171,$AE$3,"","")-1)*100,"")</f>
        <v/>
      </c>
      <c r="F171" s="10">
        <f>IFERROR((thsiFinD("ths_close_price_index",$A171,$AE$2,"","")/thsiFinD("ths_close_price_index",$A171,$AE$4,"","")-1)*100,"")</f>
        <v/>
      </c>
      <c r="G171" s="11">
        <f>IFERROR(E171/5-F171/20,"")</f>
        <v/>
      </c>
      <c r="H171" s="1" t="n">
        <v>100.01</v>
      </c>
      <c r="I171" s="1" t="inlineStr">
        <is>
          <t>002969.SZ</t>
        </is>
      </c>
      <c r="J171" s="1" t="inlineStr">
        <is>
          <t>嘉美包装</t>
        </is>
      </c>
      <c r="K171" s="1" t="n">
        <v>90.6384</v>
      </c>
      <c r="L171" s="1" t="n">
        <v>38.6</v>
      </c>
      <c r="M171" s="1" t="inlineStr">
        <is>
          <t>002701.SZ</t>
        </is>
      </c>
      <c r="N171" s="1" t="inlineStr">
        <is>
          <t>奥瑞金</t>
        </is>
      </c>
      <c r="O171" s="1" t="n">
        <v>76.129</v>
      </c>
      <c r="P171" s="1" t="n">
        <v>32.42</v>
      </c>
      <c r="Q171" s="1" t="inlineStr">
        <is>
          <t>601968.SH</t>
        </is>
      </c>
      <c r="R171" s="1" t="inlineStr">
        <is>
          <t>宝钢包装</t>
        </is>
      </c>
      <c r="S171" s="1" t="n">
        <v>24.7871</v>
      </c>
      <c r="T171" s="1" t="n">
        <v>10.55</v>
      </c>
      <c r="U171" s="1" t="inlineStr">
        <is>
          <t>002846.SZ</t>
        </is>
      </c>
      <c r="V171" s="1" t="inlineStr">
        <is>
          <t>英联股份</t>
        </is>
      </c>
      <c r="W171" s="1" t="n">
        <v>21.7345</v>
      </c>
      <c r="X171" s="1" t="n">
        <v>9.26</v>
      </c>
      <c r="Y171" s="1" t="inlineStr">
        <is>
          <t>002752.SZ</t>
        </is>
      </c>
      <c r="Z171" s="1" t="inlineStr">
        <is>
          <t>昇兴股份</t>
        </is>
      </c>
      <c r="AA171" s="1" t="n">
        <v>21.5491</v>
      </c>
      <c r="AB171" s="1" t="n">
        <v>9.18</v>
      </c>
    </row>
    <row r="172">
      <c r="A172" s="1" t="inlineStr">
        <is>
          <t>CI005287.CI</t>
        </is>
      </c>
      <c r="B172" s="1" t="inlineStr">
        <is>
          <t>航空军工指数</t>
        </is>
      </c>
      <c r="C172" s="1" t="n">
        <v>32</v>
      </c>
      <c r="D172" s="10">
        <f>IFERROR((thsiFinD("ths_close_price_index",$A172,$AE$2,"","")/thsiFinD("ths_close_price_index",$A172,$AE$5,"","")-1)*100,"")</f>
        <v/>
      </c>
      <c r="E172" s="10">
        <f>IFERROR((thsiFinD("ths_close_price_index",$A172,$AE$2,"","")/thsiFinD("ths_close_price_index",$A172,$AE$3,"","")-1)*100,"")</f>
        <v/>
      </c>
      <c r="F172" s="10">
        <f>IFERROR((thsiFinD("ths_close_price_index",$A172,$AE$2,"","")/thsiFinD("ths_close_price_index",$A172,$AE$4,"","")-1)*100,"")</f>
        <v/>
      </c>
      <c r="G172" s="11">
        <f>IFERROR(E172/5-F172/20,"")</f>
        <v/>
      </c>
      <c r="H172" s="1" t="n">
        <v>82.41</v>
      </c>
      <c r="I172" s="1" t="inlineStr">
        <is>
          <t>002179.SZ</t>
        </is>
      </c>
      <c r="J172" s="1" t="inlineStr">
        <is>
          <t>中航光电</t>
        </is>
      </c>
      <c r="K172" s="1" t="n">
        <v>474.8024</v>
      </c>
      <c r="L172" s="1" t="n">
        <v>41.2</v>
      </c>
      <c r="M172" s="1" t="inlineStr">
        <is>
          <t>600765.SH</t>
        </is>
      </c>
      <c r="N172" s="1" t="inlineStr">
        <is>
          <t>中航重机</t>
        </is>
      </c>
      <c r="O172" s="1" t="n">
        <v>142.2631</v>
      </c>
      <c r="P172" s="1" t="n">
        <v>12.34</v>
      </c>
      <c r="Q172" s="1" t="inlineStr">
        <is>
          <t>688297.SH</t>
        </is>
      </c>
      <c r="R172" s="1" t="inlineStr">
        <is>
          <t>中无人机</t>
        </is>
      </c>
      <c r="S172" s="1" t="n">
        <v>129.3838</v>
      </c>
      <c r="T172" s="1" t="n">
        <v>11.23</v>
      </c>
      <c r="U172" s="1" t="inlineStr">
        <is>
          <t>600316.SH</t>
        </is>
      </c>
      <c r="V172" s="1" t="inlineStr">
        <is>
          <t>洪都航空</t>
        </is>
      </c>
      <c r="W172" s="1" t="n">
        <v>104.179</v>
      </c>
      <c r="X172" s="1" t="n">
        <v>9.039999999999999</v>
      </c>
      <c r="Y172" s="1" t="inlineStr">
        <is>
          <t>600038.SH</t>
        </is>
      </c>
      <c r="Z172" s="1" t="inlineStr">
        <is>
          <t>中直股份</t>
        </is>
      </c>
      <c r="AA172" s="1" t="n">
        <v>99.09480000000001</v>
      </c>
      <c r="AB172" s="1" t="n">
        <v>8.6</v>
      </c>
    </row>
    <row r="173">
      <c r="A173" s="1" t="inlineStr">
        <is>
          <t>CI005563.CI</t>
        </is>
      </c>
      <c r="B173" s="1" t="inlineStr">
        <is>
          <t>行业应用软件指数</t>
        </is>
      </c>
      <c r="C173" s="1" t="n">
        <v>184</v>
      </c>
      <c r="D173" s="10">
        <f>IFERROR((thsiFinD("ths_close_price_index",$A173,$AE$2,"","")/thsiFinD("ths_close_price_index",$A173,$AE$5,"","")-1)*100,"")</f>
        <v/>
      </c>
      <c r="E173" s="10">
        <f>IFERROR((thsiFinD("ths_close_price_index",$A173,$AE$2,"","")/thsiFinD("ths_close_price_index",$A173,$AE$3,"","")-1)*100,"")</f>
        <v/>
      </c>
      <c r="F173" s="10">
        <f>IFERROR((thsiFinD("ths_close_price_index",$A173,$AE$2,"","")/thsiFinD("ths_close_price_index",$A173,$AE$4,"","")-1)*100,"")</f>
        <v/>
      </c>
      <c r="G173" s="11">
        <f>IFERROR(E173/5-F173/20,"")</f>
        <v/>
      </c>
      <c r="H173" s="1" t="n">
        <v>46.01</v>
      </c>
      <c r="I173" s="1" t="inlineStr">
        <is>
          <t>600570.SH</t>
        </is>
      </c>
      <c r="J173" s="1" t="inlineStr">
        <is>
          <t>恒生电子</t>
        </is>
      </c>
      <c r="K173" s="1" t="n">
        <v>333.7288</v>
      </c>
      <c r="L173" s="1" t="n">
        <v>12.71</v>
      </c>
      <c r="M173" s="1" t="inlineStr">
        <is>
          <t>002261.SZ</t>
        </is>
      </c>
      <c r="N173" s="1" t="inlineStr">
        <is>
          <t>拓维信息</t>
        </is>
      </c>
      <c r="O173" s="1" t="n">
        <v>310.4848</v>
      </c>
      <c r="P173" s="1" t="n">
        <v>11.82</v>
      </c>
      <c r="Q173" s="1" t="inlineStr">
        <is>
          <t>301269.SZ</t>
        </is>
      </c>
      <c r="R173" s="1" t="inlineStr">
        <is>
          <t>华大九天</t>
        </is>
      </c>
      <c r="S173" s="1" t="n">
        <v>239.3293</v>
      </c>
      <c r="T173" s="1" t="n">
        <v>9.109999999999999</v>
      </c>
      <c r="U173" s="1" t="inlineStr">
        <is>
          <t>002065.SZ</t>
        </is>
      </c>
      <c r="V173" s="1" t="inlineStr">
        <is>
          <t>东华软件</t>
        </is>
      </c>
      <c r="W173" s="1" t="n">
        <v>162.9713</v>
      </c>
      <c r="X173" s="1" t="n">
        <v>6.21</v>
      </c>
      <c r="Y173" s="1" t="inlineStr">
        <is>
          <t>600536.SH</t>
        </is>
      </c>
      <c r="Z173" s="1" t="inlineStr">
        <is>
          <t>中国软件</t>
        </is>
      </c>
      <c r="AA173" s="1" t="n">
        <v>161.8781</v>
      </c>
      <c r="AB173" s="1" t="n">
        <v>6.16</v>
      </c>
    </row>
    <row r="174">
      <c r="A174" s="1" t="inlineStr">
        <is>
          <t>CI005559.CI</t>
        </is>
      </c>
      <c r="B174" s="1" t="inlineStr">
        <is>
          <t>网络规划设计和工程施工指数</t>
        </is>
      </c>
      <c r="C174" s="1" t="n">
        <v>8</v>
      </c>
      <c r="D174" s="10">
        <f>IFERROR((thsiFinD("ths_close_price_index",$A174,$AE$2,"","")/thsiFinD("ths_close_price_index",$A174,$AE$5,"","")-1)*100,"")</f>
        <v/>
      </c>
      <c r="E174" s="10">
        <f>IFERROR((thsiFinD("ths_close_price_index",$A174,$AE$2,"","")/thsiFinD("ths_close_price_index",$A174,$AE$3,"","")-1)*100,"")</f>
        <v/>
      </c>
      <c r="F174" s="10">
        <f>IFERROR((thsiFinD("ths_close_price_index",$A174,$AE$2,"","")/thsiFinD("ths_close_price_index",$A174,$AE$4,"","")-1)*100,"")</f>
        <v/>
      </c>
      <c r="G174" s="11">
        <f>IFERROR(E174/5-F174/20,"")</f>
        <v/>
      </c>
      <c r="H174" s="1" t="n">
        <v>84.54000000000001</v>
      </c>
      <c r="I174" s="1" t="inlineStr">
        <is>
          <t>002929.SZ</t>
        </is>
      </c>
      <c r="J174" s="1" t="inlineStr">
        <is>
          <t>润建股份</t>
        </is>
      </c>
      <c r="K174" s="1" t="n">
        <v>104.0253</v>
      </c>
      <c r="L174" s="1" t="n">
        <v>25.76</v>
      </c>
      <c r="M174" s="1" t="inlineStr">
        <is>
          <t>002544.SZ</t>
        </is>
      </c>
      <c r="N174" s="1" t="inlineStr">
        <is>
          <t>普天科技</t>
        </is>
      </c>
      <c r="O174" s="1" t="n">
        <v>84.568</v>
      </c>
      <c r="P174" s="1" t="n">
        <v>20.94</v>
      </c>
      <c r="Q174" s="1" t="inlineStr">
        <is>
          <t>603220.SH</t>
        </is>
      </c>
      <c r="R174" s="1" t="inlineStr">
        <is>
          <t>中贝通信</t>
        </is>
      </c>
      <c r="S174" s="1" t="n">
        <v>80.08839999999999</v>
      </c>
      <c r="T174" s="1" t="n">
        <v>19.83</v>
      </c>
      <c r="U174" s="1" t="inlineStr">
        <is>
          <t>603322.SH</t>
        </is>
      </c>
      <c r="V174" s="1" t="inlineStr">
        <is>
          <t>超讯科技</t>
        </is>
      </c>
      <c r="W174" s="1" t="n">
        <v>39.2876</v>
      </c>
      <c r="X174" s="1" t="n">
        <v>9.73</v>
      </c>
      <c r="Y174" s="1" t="inlineStr">
        <is>
          <t>002093.SZ</t>
        </is>
      </c>
      <c r="Z174" s="1" t="inlineStr">
        <is>
          <t>国脉科技</t>
        </is>
      </c>
      <c r="AA174" s="1" t="n">
        <v>33.4532</v>
      </c>
      <c r="AB174" s="1" t="n">
        <v>8.279999999999999</v>
      </c>
    </row>
    <row r="175">
      <c r="A175" s="1" t="inlineStr">
        <is>
          <t>CI005424.CI</t>
        </is>
      </c>
      <c r="B175" s="1" t="inlineStr">
        <is>
          <t>食品及饲料添加剂指数</t>
        </is>
      </c>
      <c r="C175" s="1" t="n">
        <v>19</v>
      </c>
      <c r="D175" s="10">
        <f>IFERROR((thsiFinD("ths_close_price_index",$A175,$AE$2,"","")/thsiFinD("ths_close_price_index",$A175,$AE$5,"","")-1)*100,"")</f>
        <v/>
      </c>
      <c r="E175" s="10">
        <f>IFERROR((thsiFinD("ths_close_price_index",$A175,$AE$2,"","")/thsiFinD("ths_close_price_index",$A175,$AE$3,"","")-1)*100,"")</f>
        <v/>
      </c>
      <c r="F175" s="10">
        <f>IFERROR((thsiFinD("ths_close_price_index",$A175,$AE$2,"","")/thsiFinD("ths_close_price_index",$A175,$AE$4,"","")-1)*100,"")</f>
        <v/>
      </c>
      <c r="G175" s="11">
        <f>IFERROR(E175/5-F175/20,"")</f>
        <v/>
      </c>
      <c r="H175" s="1" t="n">
        <v>89.42</v>
      </c>
      <c r="I175" s="1" t="inlineStr">
        <is>
          <t>600873.SH</t>
        </is>
      </c>
      <c r="J175" s="1" t="inlineStr">
        <is>
          <t>梅花生物</t>
        </is>
      </c>
      <c r="K175" s="1" t="n">
        <v>151.2577</v>
      </c>
      <c r="L175" s="1" t="n">
        <v>42.67</v>
      </c>
      <c r="M175" s="1" t="inlineStr">
        <is>
          <t>002597.SZ</t>
        </is>
      </c>
      <c r="N175" s="1" t="inlineStr">
        <is>
          <t>金禾实业</t>
        </is>
      </c>
      <c r="O175" s="1" t="n">
        <v>67.3921</v>
      </c>
      <c r="P175" s="1" t="n">
        <v>19.01</v>
      </c>
      <c r="Q175" s="1" t="inlineStr">
        <is>
          <t>600866.SH</t>
        </is>
      </c>
      <c r="R175" s="1" t="inlineStr">
        <is>
          <t>星湖科技</t>
        </is>
      </c>
      <c r="S175" s="1" t="n">
        <v>44.2155</v>
      </c>
      <c r="T175" s="1" t="n">
        <v>12.47</v>
      </c>
      <c r="U175" s="1" t="inlineStr">
        <is>
          <t>600929.SH</t>
        </is>
      </c>
      <c r="V175" s="1" t="inlineStr">
        <is>
          <t>雪天盐业</t>
        </is>
      </c>
      <c r="W175" s="1" t="n">
        <v>30.2753</v>
      </c>
      <c r="X175" s="1" t="n">
        <v>8.539999999999999</v>
      </c>
      <c r="Y175" s="1" t="inlineStr">
        <is>
          <t>002053.SZ</t>
        </is>
      </c>
      <c r="Z175" s="1" t="inlineStr">
        <is>
          <t>云南能投</t>
        </is>
      </c>
      <c r="AA175" s="1" t="n">
        <v>23.8402</v>
      </c>
      <c r="AB175" s="1" t="n">
        <v>6.73</v>
      </c>
    </row>
    <row r="176">
      <c r="A176" s="1" t="inlineStr">
        <is>
          <t>CI005345.CI</t>
        </is>
      </c>
      <c r="B176" s="1" t="inlineStr">
        <is>
          <t>证券Ⅲ指数</t>
        </is>
      </c>
      <c r="C176" s="1" t="n">
        <v>53</v>
      </c>
      <c r="D176" s="10">
        <f>IFERROR((thsiFinD("ths_close_price_index",$A176,$AE$2,"","")/thsiFinD("ths_close_price_index",$A176,$AE$5,"","")-1)*100,"")</f>
        <v/>
      </c>
      <c r="E176" s="10">
        <f>IFERROR((thsiFinD("ths_close_price_index",$A176,$AE$2,"","")/thsiFinD("ths_close_price_index",$A176,$AE$3,"","")-1)*100,"")</f>
        <v/>
      </c>
      <c r="F176" s="10">
        <f>IFERROR((thsiFinD("ths_close_price_index",$A176,$AE$2,"","")/thsiFinD("ths_close_price_index",$A176,$AE$4,"","")-1)*100,"")</f>
        <v/>
      </c>
      <c r="G176" s="11">
        <f>IFERROR(E176/5-F176/20,"")</f>
        <v/>
      </c>
      <c r="H176" s="1" t="n">
        <v>52.94</v>
      </c>
      <c r="I176" s="1" t="inlineStr">
        <is>
          <t>300059.SZ</t>
        </is>
      </c>
      <c r="J176" s="1" t="inlineStr">
        <is>
          <t>东方财富</t>
        </is>
      </c>
      <c r="K176" s="1" t="n">
        <v>2606.1262</v>
      </c>
      <c r="L176" s="1" t="n">
        <v>15.55</v>
      </c>
      <c r="M176" s="1" t="inlineStr">
        <is>
          <t>600030.SH</t>
        </is>
      </c>
      <c r="N176" s="1" t="inlineStr">
        <is>
          <t>中信证券</t>
        </is>
      </c>
      <c r="O176" s="1" t="n">
        <v>2570.1376</v>
      </c>
      <c r="P176" s="1" t="n">
        <v>15.34</v>
      </c>
      <c r="Q176" s="1" t="inlineStr">
        <is>
          <t>601211.SH</t>
        </is>
      </c>
      <c r="R176" s="1" t="inlineStr">
        <is>
          <t>国泰海通</t>
        </is>
      </c>
      <c r="S176" s="1" t="n">
        <v>1941.9068</v>
      </c>
      <c r="T176" s="1" t="n">
        <v>11.59</v>
      </c>
      <c r="U176" s="1" t="inlineStr">
        <is>
          <t>601688.SH</t>
        </is>
      </c>
      <c r="V176" s="1" t="inlineStr">
        <is>
          <t>华泰证券</t>
        </is>
      </c>
      <c r="W176" s="1" t="n">
        <v>1091.341</v>
      </c>
      <c r="X176" s="1" t="n">
        <v>6.51</v>
      </c>
      <c r="Y176" s="1" t="inlineStr">
        <is>
          <t>000776.SZ</t>
        </is>
      </c>
      <c r="Z176" s="1" t="inlineStr">
        <is>
          <t>广发证券</t>
        </is>
      </c>
      <c r="AA176" s="1" t="n">
        <v>662.6975</v>
      </c>
      <c r="AB176" s="1" t="n">
        <v>3.95</v>
      </c>
    </row>
    <row r="177">
      <c r="A177" s="1" t="inlineStr">
        <is>
          <t>CI005463.CI</t>
        </is>
      </c>
      <c r="B177" s="1" t="inlineStr">
        <is>
          <t>起重运输设备指数</t>
        </is>
      </c>
      <c r="C177" s="1" t="n">
        <v>7</v>
      </c>
      <c r="D177" s="10">
        <f>IFERROR((thsiFinD("ths_close_price_index",$A177,$AE$2,"","")/thsiFinD("ths_close_price_index",$A177,$AE$5,"","")-1)*100,"")</f>
        <v/>
      </c>
      <c r="E177" s="10">
        <f>IFERROR((thsiFinD("ths_close_price_index",$A177,$AE$2,"","")/thsiFinD("ths_close_price_index",$A177,$AE$3,"","")-1)*100,"")</f>
        <v/>
      </c>
      <c r="F177" s="10">
        <f>IFERROR((thsiFinD("ths_close_price_index",$A177,$AE$2,"","")/thsiFinD("ths_close_price_index",$A177,$AE$4,"","")-1)*100,"")</f>
        <v/>
      </c>
      <c r="G177" s="11">
        <f>IFERROR(E177/5-F177/20,"")</f>
        <v/>
      </c>
      <c r="H177" s="1" t="n">
        <v>88.56</v>
      </c>
      <c r="I177" s="1" t="inlineStr">
        <is>
          <t>600320.SH</t>
        </is>
      </c>
      <c r="J177" s="1" t="inlineStr">
        <is>
          <t>振华重工</t>
        </is>
      </c>
      <c r="K177" s="1" t="n">
        <v>80.6148</v>
      </c>
      <c r="L177" s="1" t="n">
        <v>34.54</v>
      </c>
      <c r="M177" s="1" t="inlineStr">
        <is>
          <t>600169.SH</t>
        </is>
      </c>
      <c r="N177" s="1" t="inlineStr">
        <is>
          <t>ST太重</t>
        </is>
      </c>
      <c r="O177" s="1" t="n">
        <v>33.0182</v>
      </c>
      <c r="P177" s="1" t="n">
        <v>14.15</v>
      </c>
      <c r="Q177" s="1" t="inlineStr">
        <is>
          <t>002483.SZ</t>
        </is>
      </c>
      <c r="R177" s="1" t="inlineStr">
        <is>
          <t>润邦股份</t>
        </is>
      </c>
      <c r="S177" s="1" t="n">
        <v>31.189</v>
      </c>
      <c r="T177" s="1" t="n">
        <v>13.36</v>
      </c>
      <c r="U177" s="1" t="inlineStr">
        <is>
          <t>002523.SZ</t>
        </is>
      </c>
      <c r="V177" s="1" t="inlineStr">
        <is>
          <t>天桥起重</t>
        </is>
      </c>
      <c r="W177" s="1" t="n">
        <v>31.0867</v>
      </c>
      <c r="X177" s="1" t="n">
        <v>13.32</v>
      </c>
      <c r="Y177" s="1" t="inlineStr">
        <is>
          <t>603966.SH</t>
        </is>
      </c>
      <c r="Z177" s="1" t="inlineStr">
        <is>
          <t>法兰泰克</t>
        </is>
      </c>
      <c r="AA177" s="1" t="n">
        <v>30.7784</v>
      </c>
      <c r="AB177" s="1" t="n">
        <v>13.19</v>
      </c>
    </row>
    <row r="178">
      <c r="A178" s="1" t="inlineStr">
        <is>
          <t>CI005562.CI</t>
        </is>
      </c>
      <c r="B178" s="1" t="inlineStr">
        <is>
          <t>基础软件及管理办公软件指数</t>
        </is>
      </c>
      <c r="C178" s="1" t="n">
        <v>18</v>
      </c>
      <c r="D178" s="10">
        <f>IFERROR((thsiFinD("ths_close_price_index",$A178,$AE$2,"","")/thsiFinD("ths_close_price_index",$A178,$AE$5,"","")-1)*100,"")</f>
        <v/>
      </c>
      <c r="E178" s="10">
        <f>IFERROR((thsiFinD("ths_close_price_index",$A178,$AE$2,"","")/thsiFinD("ths_close_price_index",$A178,$AE$3,"","")-1)*100,"")</f>
        <v/>
      </c>
      <c r="F178" s="10">
        <f>IFERROR((thsiFinD("ths_close_price_index",$A178,$AE$2,"","")/thsiFinD("ths_close_price_index",$A178,$AE$4,"","")-1)*100,"")</f>
        <v/>
      </c>
      <c r="G178" s="11">
        <f>IFERROR(E178/5-F178/20,"")</f>
        <v/>
      </c>
      <c r="H178" s="1" t="n">
        <v>63.34</v>
      </c>
      <c r="I178" s="1" t="inlineStr">
        <is>
          <t>688692.SH</t>
        </is>
      </c>
      <c r="J178" s="1" t="inlineStr">
        <is>
          <t>达梦数据</t>
        </is>
      </c>
      <c r="K178" s="1" t="n">
        <v>141.453</v>
      </c>
      <c r="L178" s="1" t="n">
        <v>19.53</v>
      </c>
      <c r="M178" s="1" t="inlineStr">
        <is>
          <t>688258.SH</t>
        </is>
      </c>
      <c r="N178" s="1" t="inlineStr">
        <is>
          <t>卓易信息</t>
        </is>
      </c>
      <c r="O178" s="1" t="n">
        <v>98.105</v>
      </c>
      <c r="P178" s="1" t="n">
        <v>13.54</v>
      </c>
      <c r="Q178" s="1" t="inlineStr">
        <is>
          <t>300378.SZ</t>
        </is>
      </c>
      <c r="R178" s="1" t="inlineStr">
        <is>
          <t>鼎捷数智</t>
        </is>
      </c>
      <c r="S178" s="1" t="n">
        <v>83.83710000000001</v>
      </c>
      <c r="T178" s="1" t="n">
        <v>11.57</v>
      </c>
      <c r="U178" s="1" t="inlineStr">
        <is>
          <t>300624.SZ</t>
        </is>
      </c>
      <c r="V178" s="1" t="inlineStr">
        <is>
          <t>万兴科技</t>
        </is>
      </c>
      <c r="W178" s="1" t="n">
        <v>79.79259999999999</v>
      </c>
      <c r="X178" s="1" t="n">
        <v>11.02</v>
      </c>
      <c r="Y178" s="1" t="inlineStr">
        <is>
          <t>603039.SH</t>
        </is>
      </c>
      <c r="Z178" s="1" t="inlineStr">
        <is>
          <t>泛微网络</t>
        </is>
      </c>
      <c r="AA178" s="1" t="n">
        <v>55.645</v>
      </c>
      <c r="AB178" s="1" t="n">
        <v>7.68</v>
      </c>
    </row>
    <row r="179">
      <c r="A179" s="1" t="inlineStr">
        <is>
          <t>CI005317.CI</t>
        </is>
      </c>
      <c r="B179" s="1" t="inlineStr">
        <is>
          <t>化学制剂指数</t>
        </is>
      </c>
      <c r="C179" s="1" t="n">
        <v>74</v>
      </c>
      <c r="D179" s="10">
        <f>IFERROR((thsiFinD("ths_close_price_index",$A179,$AE$2,"","")/thsiFinD("ths_close_price_index",$A179,$AE$5,"","")-1)*100,"")</f>
        <v/>
      </c>
      <c r="E179" s="10">
        <f>IFERROR((thsiFinD("ths_close_price_index",$A179,$AE$2,"","")/thsiFinD("ths_close_price_index",$A179,$AE$3,"","")-1)*100,"")</f>
        <v/>
      </c>
      <c r="F179" s="10">
        <f>IFERROR((thsiFinD("ths_close_price_index",$A179,$AE$2,"","")/thsiFinD("ths_close_price_index",$A179,$AE$4,"","")-1)*100,"")</f>
        <v/>
      </c>
      <c r="G179" s="11">
        <f>IFERROR(E179/5-F179/20,"")</f>
        <v/>
      </c>
      <c r="H179" s="1" t="n">
        <v>73.51000000000001</v>
      </c>
      <c r="I179" s="1" t="inlineStr">
        <is>
          <t>600276.SH</t>
        </is>
      </c>
      <c r="J179" s="1" t="inlineStr">
        <is>
          <t>恒瑞医药</t>
        </is>
      </c>
      <c r="K179" s="1" t="n">
        <v>1919.1493</v>
      </c>
      <c r="L179" s="1" t="n">
        <v>49.55</v>
      </c>
      <c r="M179" s="1" t="inlineStr">
        <is>
          <t>002422.SZ</t>
        </is>
      </c>
      <c r="N179" s="1" t="inlineStr">
        <is>
          <t>科伦药业</t>
        </is>
      </c>
      <c r="O179" s="1" t="n">
        <v>406.8296</v>
      </c>
      <c r="P179" s="1" t="n">
        <v>10.5</v>
      </c>
      <c r="Q179" s="1" t="inlineStr">
        <is>
          <t>688578.SH</t>
        </is>
      </c>
      <c r="R179" s="1" t="inlineStr">
        <is>
          <t>艾力斯</t>
        </is>
      </c>
      <c r="S179" s="1" t="n">
        <v>192.1826</v>
      </c>
      <c r="T179" s="1" t="n">
        <v>4.96</v>
      </c>
      <c r="U179" s="1" t="inlineStr">
        <is>
          <t>600079.SH</t>
        </is>
      </c>
      <c r="V179" s="1" t="inlineStr">
        <is>
          <t>ST人福</t>
        </is>
      </c>
      <c r="W179" s="1" t="n">
        <v>174.0025</v>
      </c>
      <c r="X179" s="1" t="n">
        <v>4.49</v>
      </c>
      <c r="Y179" s="1" t="inlineStr">
        <is>
          <t>688266.SH</t>
        </is>
      </c>
      <c r="Z179" s="1" t="inlineStr">
        <is>
          <t>泽璟制药</t>
        </is>
      </c>
      <c r="AA179" s="1" t="n">
        <v>155.3624</v>
      </c>
      <c r="AB179" s="1" t="n">
        <v>4.01</v>
      </c>
    </row>
    <row r="180">
      <c r="A180" s="1" t="inlineStr">
        <is>
          <t>CI005419.CI</t>
        </is>
      </c>
      <c r="B180" s="1" t="inlineStr">
        <is>
          <t>钛白粉指数</t>
        </is>
      </c>
      <c r="C180" s="1" t="n">
        <v>6</v>
      </c>
      <c r="D180" s="10">
        <f>IFERROR((thsiFinD("ths_close_price_index",$A180,$AE$2,"","")/thsiFinD("ths_close_price_index",$A180,$AE$5,"","")-1)*100,"")</f>
        <v/>
      </c>
      <c r="E180" s="10">
        <f>IFERROR((thsiFinD("ths_close_price_index",$A180,$AE$2,"","")/thsiFinD("ths_close_price_index",$A180,$AE$3,"","")-1)*100,"")</f>
        <v/>
      </c>
      <c r="F180" s="10">
        <f>IFERROR((thsiFinD("ths_close_price_index",$A180,$AE$2,"","")/thsiFinD("ths_close_price_index",$A180,$AE$4,"","")-1)*100,"")</f>
        <v/>
      </c>
      <c r="G180" s="11">
        <f>IFERROR(E180/5-F180/20,"")</f>
        <v/>
      </c>
      <c r="H180" s="1" t="n">
        <v>96.83</v>
      </c>
      <c r="I180" s="1" t="inlineStr">
        <is>
          <t>002601.SZ</t>
        </is>
      </c>
      <c r="J180" s="1" t="inlineStr">
        <is>
          <t>龙佰集团</t>
        </is>
      </c>
      <c r="K180" s="1" t="n">
        <v>255.5346</v>
      </c>
      <c r="L180" s="1" t="n">
        <v>56.18</v>
      </c>
      <c r="M180" s="1" t="inlineStr">
        <is>
          <t>002145.SZ</t>
        </is>
      </c>
      <c r="N180" s="1" t="inlineStr">
        <is>
          <t>钛能化学</t>
        </is>
      </c>
      <c r="O180" s="1" t="n">
        <v>113.8801</v>
      </c>
      <c r="P180" s="1" t="n">
        <v>25.04</v>
      </c>
      <c r="Q180" s="1" t="inlineStr">
        <is>
          <t>600727.SH</t>
        </is>
      </c>
      <c r="R180" s="1" t="inlineStr">
        <is>
          <t>鲁北化工</t>
        </is>
      </c>
      <c r="S180" s="1" t="n">
        <v>27.5991</v>
      </c>
      <c r="T180" s="1" t="n">
        <v>6.07</v>
      </c>
      <c r="U180" s="1" t="inlineStr">
        <is>
          <t>000545.SZ</t>
        </is>
      </c>
      <c r="V180" s="1" t="inlineStr">
        <is>
          <t>金浦钛业</t>
        </is>
      </c>
      <c r="W180" s="1" t="n">
        <v>22.2621</v>
      </c>
      <c r="X180" s="1" t="n">
        <v>4.89</v>
      </c>
      <c r="Y180" s="1" t="inlineStr">
        <is>
          <t>002136.SZ</t>
        </is>
      </c>
      <c r="Z180" s="1" t="inlineStr">
        <is>
          <t>安纳达</t>
        </is>
      </c>
      <c r="AA180" s="1" t="n">
        <v>21.1579</v>
      </c>
      <c r="AB180" s="1" t="n">
        <v>4.65</v>
      </c>
    </row>
    <row r="181">
      <c r="A181" s="1" t="inlineStr">
        <is>
          <t>CI005433.CI</t>
        </is>
      </c>
      <c r="B181" s="1" t="inlineStr">
        <is>
          <t>基建建设指数</t>
        </is>
      </c>
      <c r="C181" s="1" t="n">
        <v>27</v>
      </c>
      <c r="D181" s="10">
        <f>IFERROR((thsiFinD("ths_close_price_index",$A181,$AE$2,"","")/thsiFinD("ths_close_price_index",$A181,$AE$5,"","")-1)*100,"")</f>
        <v/>
      </c>
      <c r="E181" s="10">
        <f>IFERROR((thsiFinD("ths_close_price_index",$A181,$AE$2,"","")/thsiFinD("ths_close_price_index",$A181,$AE$3,"","")-1)*100,"")</f>
        <v/>
      </c>
      <c r="F181" s="10">
        <f>IFERROR((thsiFinD("ths_close_price_index",$A181,$AE$2,"","")/thsiFinD("ths_close_price_index",$A181,$AE$4,"","")-1)*100,"")</f>
        <v/>
      </c>
      <c r="G181" s="11">
        <f>IFERROR(E181/5-F181/20,"")</f>
        <v/>
      </c>
      <c r="H181" s="1" t="n">
        <v>68.61</v>
      </c>
      <c r="I181" s="1" t="inlineStr">
        <is>
          <t>601390.SH</t>
        </is>
      </c>
      <c r="J181" s="1" t="inlineStr">
        <is>
          <t>中国中铁</t>
        </is>
      </c>
      <c r="K181" s="1" t="n">
        <v>412.2315</v>
      </c>
      <c r="L181" s="1" t="n">
        <v>16.59</v>
      </c>
      <c r="M181" s="1" t="inlineStr">
        <is>
          <t>601669.SH</t>
        </is>
      </c>
      <c r="N181" s="1" t="inlineStr">
        <is>
          <t>中国电建</t>
        </is>
      </c>
      <c r="O181" s="1" t="n">
        <v>409.242</v>
      </c>
      <c r="P181" s="1" t="n">
        <v>16.47</v>
      </c>
      <c r="Q181" s="1" t="inlineStr">
        <is>
          <t>601868.SH</t>
        </is>
      </c>
      <c r="R181" s="1" t="inlineStr">
        <is>
          <t>中国能建</t>
        </is>
      </c>
      <c r="S181" s="1" t="n">
        <v>393.7341</v>
      </c>
      <c r="T181" s="1" t="n">
        <v>15.84</v>
      </c>
      <c r="U181" s="1" t="inlineStr">
        <is>
          <t>601186.SH</t>
        </is>
      </c>
      <c r="V181" s="1" t="inlineStr">
        <is>
          <t>中国铁建</t>
        </is>
      </c>
      <c r="W181" s="1" t="n">
        <v>289.1847</v>
      </c>
      <c r="X181" s="1" t="n">
        <v>11.64</v>
      </c>
      <c r="Y181" s="1" t="inlineStr">
        <is>
          <t>600039.SH</t>
        </is>
      </c>
      <c r="Z181" s="1" t="inlineStr">
        <is>
          <t>四川路桥</t>
        </is>
      </c>
      <c r="AA181" s="1" t="n">
        <v>200.6051</v>
      </c>
      <c r="AB181" s="1" t="n">
        <v>8.07</v>
      </c>
    </row>
    <row r="182">
      <c r="A182" s="1" t="inlineStr">
        <is>
          <t>CI005331.CI</t>
        </is>
      </c>
      <c r="B182" s="1" t="inlineStr">
        <is>
          <t>乳制品指数</t>
        </is>
      </c>
      <c r="C182" s="1" t="n">
        <v>16</v>
      </c>
      <c r="D182" s="10">
        <f>IFERROR((thsiFinD("ths_close_price_index",$A182,$AE$2,"","")/thsiFinD("ths_close_price_index",$A182,$AE$5,"","")-1)*100,"")</f>
        <v/>
      </c>
      <c r="E182" s="10">
        <f>IFERROR((thsiFinD("ths_close_price_index",$A182,$AE$2,"","")/thsiFinD("ths_close_price_index",$A182,$AE$3,"","")-1)*100,"")</f>
        <v/>
      </c>
      <c r="F182" s="10">
        <f>IFERROR((thsiFinD("ths_close_price_index",$A182,$AE$2,"","")/thsiFinD("ths_close_price_index",$A182,$AE$4,"","")-1)*100,"")</f>
        <v/>
      </c>
      <c r="G182" s="11">
        <f>IFERROR(E182/5-F182/20,"")</f>
        <v/>
      </c>
      <c r="H182" s="1" t="n">
        <v>92.27</v>
      </c>
      <c r="I182" s="1" t="inlineStr">
        <is>
          <t>600887.SH</t>
        </is>
      </c>
      <c r="J182" s="1" t="inlineStr">
        <is>
          <t>伊利股份</t>
        </is>
      </c>
      <c r="K182" s="1" t="n">
        <v>1417.5535</v>
      </c>
      <c r="L182" s="1" t="n">
        <v>82.91</v>
      </c>
      <c r="M182" s="1" t="inlineStr">
        <is>
          <t>600882.SH</t>
        </is>
      </c>
      <c r="N182" s="1" t="inlineStr">
        <is>
          <t>妙可蓝多</t>
        </is>
      </c>
      <c r="O182" s="1" t="n">
        <v>44.2029</v>
      </c>
      <c r="P182" s="1" t="n">
        <v>2.59</v>
      </c>
      <c r="Q182" s="1" t="inlineStr">
        <is>
          <t>002570.SZ</t>
        </is>
      </c>
      <c r="R182" s="1" t="inlineStr">
        <is>
          <t>贝因美</t>
        </is>
      </c>
      <c r="S182" s="1" t="n">
        <v>43.5788</v>
      </c>
      <c r="T182" s="1" t="n">
        <v>2.55</v>
      </c>
      <c r="U182" s="1" t="inlineStr">
        <is>
          <t>600597.SH</t>
        </is>
      </c>
      <c r="V182" s="1" t="inlineStr">
        <is>
          <t>光明乳业</t>
        </is>
      </c>
      <c r="W182" s="1" t="n">
        <v>42.9748</v>
      </c>
      <c r="X182" s="1" t="n">
        <v>2.51</v>
      </c>
      <c r="Y182" s="1" t="inlineStr">
        <is>
          <t>002946.SZ</t>
        </is>
      </c>
      <c r="Z182" s="1" t="inlineStr">
        <is>
          <t>新乳业</t>
        </is>
      </c>
      <c r="AA182" s="1" t="n">
        <v>29.1688</v>
      </c>
      <c r="AB182" s="1" t="n">
        <v>1.71</v>
      </c>
    </row>
    <row r="183">
      <c r="A183" s="1" t="inlineStr">
        <is>
          <t>CI005511.CI</t>
        </is>
      </c>
      <c r="B183" s="1" t="inlineStr">
        <is>
          <t>其他时尚品指数</t>
        </is>
      </c>
      <c r="C183" s="1" t="n">
        <v>6</v>
      </c>
      <c r="D183" s="10">
        <f>IFERROR((thsiFinD("ths_close_price_index",$A183,$AE$2,"","")/thsiFinD("ths_close_price_index",$A183,$AE$5,"","")-1)*100,"")</f>
        <v/>
      </c>
      <c r="E183" s="10">
        <f>IFERROR((thsiFinD("ths_close_price_index",$A183,$AE$2,"","")/thsiFinD("ths_close_price_index",$A183,$AE$3,"","")-1)*100,"")</f>
        <v/>
      </c>
      <c r="F183" s="10">
        <f>IFERROR((thsiFinD("ths_close_price_index",$A183,$AE$2,"","")/thsiFinD("ths_close_price_index",$A183,$AE$4,"","")-1)*100,"")</f>
        <v/>
      </c>
      <c r="G183" s="11">
        <f>IFERROR(E183/5-F183/20,"")</f>
        <v/>
      </c>
      <c r="H183" s="1" t="n">
        <v>99.98999999999999</v>
      </c>
      <c r="I183" s="1" t="inlineStr">
        <is>
          <t>300591.SZ</t>
        </is>
      </c>
      <c r="J183" s="1" t="inlineStr">
        <is>
          <t>万里马</t>
        </is>
      </c>
      <c r="K183" s="1" t="n">
        <v>23.0955</v>
      </c>
      <c r="L183" s="1" t="n">
        <v>28.24</v>
      </c>
      <c r="M183" s="1" t="inlineStr">
        <is>
          <t>300901.SZ</t>
        </is>
      </c>
      <c r="N183" s="1" t="inlineStr">
        <is>
          <t>中胤时尚</t>
        </is>
      </c>
      <c r="O183" s="1" t="n">
        <v>17.5136</v>
      </c>
      <c r="P183" s="1" t="n">
        <v>21.42</v>
      </c>
      <c r="Q183" s="1" t="inlineStr">
        <is>
          <t>300577.SZ</t>
        </is>
      </c>
      <c r="R183" s="1" t="inlineStr">
        <is>
          <t>开润股份</t>
        </is>
      </c>
      <c r="S183" s="1" t="n">
        <v>17.289</v>
      </c>
      <c r="T183" s="1" t="n">
        <v>21.14</v>
      </c>
      <c r="U183" s="1" t="inlineStr">
        <is>
          <t>600439.SH</t>
        </is>
      </c>
      <c r="V183" s="1" t="inlineStr">
        <is>
          <t>瑞贝卡</t>
        </is>
      </c>
      <c r="W183" s="1" t="n">
        <v>16.2097</v>
      </c>
      <c r="X183" s="1" t="n">
        <v>19.82</v>
      </c>
      <c r="Y183" s="1" t="inlineStr">
        <is>
          <t>600137.SH</t>
        </is>
      </c>
      <c r="Z183" s="1" t="inlineStr">
        <is>
          <t>浪莎股份</t>
        </is>
      </c>
      <c r="AA183" s="1" t="n">
        <v>7.6621</v>
      </c>
      <c r="AB183" s="1" t="n">
        <v>9.369999999999999</v>
      </c>
    </row>
    <row r="184">
      <c r="A184" s="1" t="inlineStr">
        <is>
          <t>CI005319.CI</t>
        </is>
      </c>
      <c r="B184" s="1" t="inlineStr">
        <is>
          <t>中成药指数</t>
        </is>
      </c>
      <c r="C184" s="1" t="n">
        <v>64</v>
      </c>
      <c r="D184" s="10">
        <f>IFERROR((thsiFinD("ths_close_price_index",$A184,$AE$2,"","")/thsiFinD("ths_close_price_index",$A184,$AE$5,"","")-1)*100,"")</f>
        <v/>
      </c>
      <c r="E184" s="10">
        <f>IFERROR((thsiFinD("ths_close_price_index",$A184,$AE$2,"","")/thsiFinD("ths_close_price_index",$A184,$AE$3,"","")-1)*100,"")</f>
        <v/>
      </c>
      <c r="F184" s="10">
        <f>IFERROR((thsiFinD("ths_close_price_index",$A184,$AE$2,"","")/thsiFinD("ths_close_price_index",$A184,$AE$4,"","")-1)*100,"")</f>
        <v/>
      </c>
      <c r="G184" s="11">
        <f>IFERROR(E184/5-F184/20,"")</f>
        <v/>
      </c>
      <c r="H184" s="1" t="n">
        <v>65.33</v>
      </c>
      <c r="I184" s="1" t="inlineStr">
        <is>
          <t>000538.SZ</t>
        </is>
      </c>
      <c r="J184" s="1" t="inlineStr">
        <is>
          <t>云南白药</t>
        </is>
      </c>
      <c r="K184" s="1" t="n">
        <v>350.5669</v>
      </c>
      <c r="L184" s="1" t="n">
        <v>19.63</v>
      </c>
      <c r="M184" s="1" t="inlineStr">
        <is>
          <t>600436.SH</t>
        </is>
      </c>
      <c r="N184" s="1" t="inlineStr">
        <is>
          <t>片仔癀</t>
        </is>
      </c>
      <c r="O184" s="1" t="n">
        <v>334.4391</v>
      </c>
      <c r="P184" s="1" t="n">
        <v>18.72</v>
      </c>
      <c r="Q184" s="1" t="inlineStr">
        <is>
          <t>000766.SZ</t>
        </is>
      </c>
      <c r="R184" s="1" t="inlineStr">
        <is>
          <t>通化金马</t>
        </is>
      </c>
      <c r="S184" s="1" t="n">
        <v>184.9226</v>
      </c>
      <c r="T184" s="1" t="n">
        <v>10.35</v>
      </c>
      <c r="U184" s="1" t="inlineStr">
        <is>
          <t>600085.SH</t>
        </is>
      </c>
      <c r="V184" s="1" t="inlineStr">
        <is>
          <t>同仁堂</t>
        </is>
      </c>
      <c r="W184" s="1" t="n">
        <v>153.5841</v>
      </c>
      <c r="X184" s="1" t="n">
        <v>8.6</v>
      </c>
      <c r="Y184" s="1" t="inlineStr">
        <is>
          <t>000999.SZ</t>
        </is>
      </c>
      <c r="Z184" s="1" t="inlineStr">
        <is>
          <t>华润三九</t>
        </is>
      </c>
      <c r="AA184" s="1" t="n">
        <v>143.4796</v>
      </c>
      <c r="AB184" s="1" t="n">
        <v>8.029999999999999</v>
      </c>
    </row>
    <row r="185">
      <c r="A185" s="1" t="inlineStr">
        <is>
          <t>CI005263.CI</t>
        </is>
      </c>
      <c r="B185" s="1" t="inlineStr">
        <is>
          <t>造纸Ⅲ指数</t>
        </is>
      </c>
      <c r="C185" s="1" t="n">
        <v>26</v>
      </c>
      <c r="D185" s="10">
        <f>IFERROR((thsiFinD("ths_close_price_index",$A185,$AE$2,"","")/thsiFinD("ths_close_price_index",$A185,$AE$5,"","")-1)*100,"")</f>
        <v/>
      </c>
      <c r="E185" s="10">
        <f>IFERROR((thsiFinD("ths_close_price_index",$A185,$AE$2,"","")/thsiFinD("ths_close_price_index",$A185,$AE$3,"","")-1)*100,"")</f>
        <v/>
      </c>
      <c r="F185" s="10">
        <f>IFERROR((thsiFinD("ths_close_price_index",$A185,$AE$2,"","")/thsiFinD("ths_close_price_index",$A185,$AE$4,"","")-1)*100,"")</f>
        <v/>
      </c>
      <c r="G185" s="11">
        <f>IFERROR(E185/5-F185/20,"")</f>
        <v/>
      </c>
      <c r="H185" s="1" t="n">
        <v>46.91</v>
      </c>
      <c r="I185" s="1" t="inlineStr">
        <is>
          <t>002078.SZ</t>
        </is>
      </c>
      <c r="J185" s="1" t="inlineStr">
        <is>
          <t>太阳纸业</t>
        </is>
      </c>
      <c r="K185" s="1" t="n">
        <v>194.7204</v>
      </c>
      <c r="L185" s="1" t="n">
        <v>20.33</v>
      </c>
      <c r="M185" s="1" t="inlineStr">
        <is>
          <t>000815.SZ</t>
        </is>
      </c>
      <c r="N185" s="1" t="inlineStr">
        <is>
          <t>美利云</t>
        </is>
      </c>
      <c r="O185" s="1" t="n">
        <v>82.4722</v>
      </c>
      <c r="P185" s="1" t="n">
        <v>8.609999999999999</v>
      </c>
      <c r="Q185" s="1" t="inlineStr">
        <is>
          <t>600567.SH</t>
        </is>
      </c>
      <c r="R185" s="1" t="inlineStr">
        <is>
          <t>山鹰国际</t>
        </is>
      </c>
      <c r="S185" s="1" t="n">
        <v>64.2324</v>
      </c>
      <c r="T185" s="1" t="n">
        <v>6.71</v>
      </c>
      <c r="U185" s="1" t="inlineStr">
        <is>
          <t>600103.SH</t>
        </is>
      </c>
      <c r="V185" s="1" t="inlineStr">
        <is>
          <t>青山纸业</t>
        </is>
      </c>
      <c r="W185" s="1" t="n">
        <v>55.2462</v>
      </c>
      <c r="X185" s="1" t="n">
        <v>5.77</v>
      </c>
      <c r="Y185" s="1" t="inlineStr">
        <is>
          <t>002067.SZ</t>
        </is>
      </c>
      <c r="Z185" s="1" t="inlineStr">
        <is>
          <t>景兴纸业</t>
        </is>
      </c>
      <c r="AA185" s="1" t="n">
        <v>52.6273</v>
      </c>
      <c r="AB185" s="1" t="n">
        <v>5.49</v>
      </c>
    </row>
    <row r="186">
      <c r="A186" s="1" t="inlineStr">
        <is>
          <t>CI005572.CI</t>
        </is>
      </c>
      <c r="B186" s="1" t="inlineStr">
        <is>
          <t>广播电视指数</t>
        </is>
      </c>
      <c r="C186" s="1" t="n">
        <v>12</v>
      </c>
      <c r="D186" s="10">
        <f>IFERROR((thsiFinD("ths_close_price_index",$A186,$AE$2,"","")/thsiFinD("ths_close_price_index",$A186,$AE$5,"","")-1)*100,"")</f>
        <v/>
      </c>
      <c r="E186" s="10">
        <f>IFERROR((thsiFinD("ths_close_price_index",$A186,$AE$2,"","")/thsiFinD("ths_close_price_index",$A186,$AE$3,"","")-1)*100,"")</f>
        <v/>
      </c>
      <c r="F186" s="10">
        <f>IFERROR((thsiFinD("ths_close_price_index",$A186,$AE$2,"","")/thsiFinD("ths_close_price_index",$A186,$AE$4,"","")-1)*100,"")</f>
        <v/>
      </c>
      <c r="G186" s="11">
        <f>IFERROR(E186/5-F186/20,"")</f>
        <v/>
      </c>
      <c r="H186" s="1" t="n">
        <v>61.68</v>
      </c>
      <c r="I186" s="1" t="inlineStr">
        <is>
          <t>600637.SH</t>
        </is>
      </c>
      <c r="J186" s="1" t="inlineStr">
        <is>
          <t>东方明珠</t>
        </is>
      </c>
      <c r="K186" s="1" t="n">
        <v>158.0605</v>
      </c>
      <c r="L186" s="1" t="n">
        <v>23.63</v>
      </c>
      <c r="M186" s="1" t="inlineStr">
        <is>
          <t>600959.SH</t>
        </is>
      </c>
      <c r="N186" s="1" t="inlineStr">
        <is>
          <t>江苏有线</t>
        </is>
      </c>
      <c r="O186" s="1" t="n">
        <v>73.5646</v>
      </c>
      <c r="P186" s="1" t="n">
        <v>11</v>
      </c>
      <c r="Q186" s="1" t="inlineStr">
        <is>
          <t>000810.SZ</t>
        </is>
      </c>
      <c r="R186" s="1" t="inlineStr">
        <is>
          <t>创维数字</t>
        </is>
      </c>
      <c r="S186" s="1" t="n">
        <v>65.54130000000001</v>
      </c>
      <c r="T186" s="1" t="n">
        <v>9.800000000000001</v>
      </c>
      <c r="U186" s="1" t="inlineStr">
        <is>
          <t>600037.SH</t>
        </is>
      </c>
      <c r="V186" s="1" t="inlineStr">
        <is>
          <t>歌华有线</t>
        </is>
      </c>
      <c r="W186" s="1" t="n">
        <v>57.8983</v>
      </c>
      <c r="X186" s="1" t="n">
        <v>8.65</v>
      </c>
      <c r="Y186" s="1" t="inlineStr">
        <is>
          <t>600996.SH</t>
        </is>
      </c>
      <c r="Z186" s="1" t="inlineStr">
        <is>
          <t>贵广网络</t>
        </is>
      </c>
      <c r="AA186" s="1" t="n">
        <v>57.527</v>
      </c>
      <c r="AB186" s="1" t="n">
        <v>8.6</v>
      </c>
    </row>
    <row r="187">
      <c r="A187" s="1" t="inlineStr">
        <is>
          <t>CI005579.CI</t>
        </is>
      </c>
      <c r="B187" s="1" t="inlineStr">
        <is>
          <t>信息搜索与聚合指数</t>
        </is>
      </c>
      <c r="C187" s="1" t="n">
        <v>6</v>
      </c>
      <c r="D187" s="10">
        <f>IFERROR((thsiFinD("ths_close_price_index",$A187,$AE$2,"","")/thsiFinD("ths_close_price_index",$A187,$AE$5,"","")-1)*100,"")</f>
        <v/>
      </c>
      <c r="E187" s="10">
        <f>IFERROR((thsiFinD("ths_close_price_index",$A187,$AE$2,"","")/thsiFinD("ths_close_price_index",$A187,$AE$3,"","")-1)*100,"")</f>
        <v/>
      </c>
      <c r="F187" s="10">
        <f>IFERROR((thsiFinD("ths_close_price_index",$A187,$AE$2,"","")/thsiFinD("ths_close_price_index",$A187,$AE$4,"","")-1)*100,"")</f>
        <v/>
      </c>
      <c r="G187" s="11">
        <f>IFERROR(E187/5-F187/20,"")</f>
        <v/>
      </c>
      <c r="H187" s="1" t="n">
        <v>95.28</v>
      </c>
      <c r="I187" s="1" t="inlineStr">
        <is>
          <t>000681.SZ</t>
        </is>
      </c>
      <c r="J187" s="1" t="inlineStr">
        <is>
          <t>视觉中国</t>
        </is>
      </c>
      <c r="K187" s="1" t="n">
        <v>116.7963</v>
      </c>
      <c r="L187" s="1" t="n">
        <v>34.86</v>
      </c>
      <c r="M187" s="1" t="inlineStr">
        <is>
          <t>603000.SH</t>
        </is>
      </c>
      <c r="N187" s="1" t="inlineStr">
        <is>
          <t>人民网</t>
        </is>
      </c>
      <c r="O187" s="1" t="n">
        <v>78.2615</v>
      </c>
      <c r="P187" s="1" t="n">
        <v>23.36</v>
      </c>
      <c r="Q187" s="1" t="inlineStr">
        <is>
          <t>002315.SZ</t>
        </is>
      </c>
      <c r="R187" s="1" t="inlineStr">
        <is>
          <t>焦点科技</t>
        </is>
      </c>
      <c r="S187" s="1" t="n">
        <v>54.5049</v>
      </c>
      <c r="T187" s="1" t="n">
        <v>16.27</v>
      </c>
      <c r="U187" s="1" t="inlineStr">
        <is>
          <t>603888.SH</t>
        </is>
      </c>
      <c r="V187" s="1" t="inlineStr">
        <is>
          <t>新华网</t>
        </is>
      </c>
      <c r="W187" s="1" t="n">
        <v>49.3857</v>
      </c>
      <c r="X187" s="1" t="n">
        <v>14.74</v>
      </c>
      <c r="Y187" s="1" t="inlineStr">
        <is>
          <t>002095.SZ</t>
        </is>
      </c>
      <c r="Z187" s="1" t="inlineStr">
        <is>
          <t>生意宝</t>
        </is>
      </c>
      <c r="AA187" s="1" t="n">
        <v>20.273</v>
      </c>
      <c r="AB187" s="1" t="n">
        <v>6.05</v>
      </c>
    </row>
    <row r="188">
      <c r="A188" s="1" t="inlineStr">
        <is>
          <t>CI005386.CI</t>
        </is>
      </c>
      <c r="B188" s="1" t="inlineStr">
        <is>
          <t>棉纺制品指数</t>
        </is>
      </c>
      <c r="C188" s="1" t="n">
        <v>9</v>
      </c>
      <c r="D188" s="10">
        <f>IFERROR((thsiFinD("ths_close_price_index",$A188,$AE$2,"","")/thsiFinD("ths_close_price_index",$A188,$AE$5,"","")-1)*100,"")</f>
        <v/>
      </c>
      <c r="E188" s="10">
        <f>IFERROR((thsiFinD("ths_close_price_index",$A188,$AE$2,"","")/thsiFinD("ths_close_price_index",$A188,$AE$3,"","")-1)*100,"")</f>
        <v/>
      </c>
      <c r="F188" s="10">
        <f>IFERROR((thsiFinD("ths_close_price_index",$A188,$AE$2,"","")/thsiFinD("ths_close_price_index",$A188,$AE$4,"","")-1)*100,"")</f>
        <v/>
      </c>
      <c r="G188" s="11">
        <f>IFERROR(E188/5-F188/20,"")</f>
        <v/>
      </c>
      <c r="H188" s="1" t="n">
        <v>78.13</v>
      </c>
      <c r="I188" s="1" t="inlineStr">
        <is>
          <t>002083.SZ</t>
        </is>
      </c>
      <c r="J188" s="1" t="inlineStr">
        <is>
          <t>孚日股份</t>
        </is>
      </c>
      <c r="K188" s="1" t="n">
        <v>64.506</v>
      </c>
      <c r="L188" s="1" t="n">
        <v>24.46</v>
      </c>
      <c r="M188" s="1" t="inlineStr">
        <is>
          <t>300888.SZ</t>
        </is>
      </c>
      <c r="N188" s="1" t="inlineStr">
        <is>
          <t>稳健医疗</t>
        </is>
      </c>
      <c r="O188" s="1" t="n">
        <v>47.6732</v>
      </c>
      <c r="P188" s="1" t="n">
        <v>18.08</v>
      </c>
      <c r="Q188" s="1" t="inlineStr">
        <is>
          <t>002042.SZ</t>
        </is>
      </c>
      <c r="R188" s="1" t="inlineStr">
        <is>
          <t>华孚时尚</t>
        </is>
      </c>
      <c r="S188" s="1" t="n">
        <v>42.1185</v>
      </c>
      <c r="T188" s="1" t="n">
        <v>15.97</v>
      </c>
      <c r="U188" s="1" t="inlineStr">
        <is>
          <t>601339.SH</t>
        </is>
      </c>
      <c r="V188" s="1" t="inlineStr">
        <is>
          <t>百隆东方</t>
        </is>
      </c>
      <c r="W188" s="1" t="n">
        <v>25.9815</v>
      </c>
      <c r="X188" s="1" t="n">
        <v>9.85</v>
      </c>
      <c r="Y188" s="1" t="inlineStr">
        <is>
          <t>000726.SZ</t>
        </is>
      </c>
      <c r="Z188" s="1" t="inlineStr">
        <is>
          <t>鲁泰A</t>
        </is>
      </c>
      <c r="AA188" s="1" t="n">
        <v>25.7716</v>
      </c>
      <c r="AB188" s="1" t="n">
        <v>9.77</v>
      </c>
    </row>
    <row r="189">
      <c r="A189" s="1" t="inlineStr">
        <is>
          <t>CI005288.CI</t>
        </is>
      </c>
      <c r="B189" s="1" t="inlineStr">
        <is>
          <t>航天军工指数</t>
        </is>
      </c>
      <c r="C189" s="1" t="n">
        <v>17</v>
      </c>
      <c r="D189" s="10">
        <f>IFERROR((thsiFinD("ths_close_price_index",$A189,$AE$2,"","")/thsiFinD("ths_close_price_index",$A189,$AE$5,"","")-1)*100,"")</f>
        <v/>
      </c>
      <c r="E189" s="10">
        <f>IFERROR((thsiFinD("ths_close_price_index",$A189,$AE$2,"","")/thsiFinD("ths_close_price_index",$A189,$AE$3,"","")-1)*100,"")</f>
        <v/>
      </c>
      <c r="F189" s="10">
        <f>IFERROR((thsiFinD("ths_close_price_index",$A189,$AE$2,"","")/thsiFinD("ths_close_price_index",$A189,$AE$4,"","")-1)*100,"")</f>
        <v/>
      </c>
      <c r="G189" s="11">
        <f>IFERROR(E189/5-F189/20,"")</f>
        <v/>
      </c>
      <c r="H189" s="1" t="n">
        <v>70.72</v>
      </c>
      <c r="I189" s="1" t="inlineStr">
        <is>
          <t>600879.SH</t>
        </is>
      </c>
      <c r="J189" s="1" t="inlineStr">
        <is>
          <t>航天电子</t>
        </is>
      </c>
      <c r="K189" s="1" t="n">
        <v>495.7094</v>
      </c>
      <c r="L189" s="1" t="n">
        <v>20.8</v>
      </c>
      <c r="M189" s="1" t="inlineStr">
        <is>
          <t>600118.SH</t>
        </is>
      </c>
      <c r="N189" s="1" t="inlineStr">
        <is>
          <t>中国卫星</t>
        </is>
      </c>
      <c r="O189" s="1" t="n">
        <v>435.0526</v>
      </c>
      <c r="P189" s="1" t="n">
        <v>18.26</v>
      </c>
      <c r="Q189" s="1" t="inlineStr">
        <is>
          <t>601698.SH</t>
        </is>
      </c>
      <c r="R189" s="1" t="inlineStr">
        <is>
          <t>中国卫通</t>
        </is>
      </c>
      <c r="S189" s="1" t="n">
        <v>302.599</v>
      </c>
      <c r="T189" s="1" t="n">
        <v>12.7</v>
      </c>
      <c r="U189" s="1" t="inlineStr">
        <is>
          <t>000547.SZ</t>
        </is>
      </c>
      <c r="V189" s="1" t="inlineStr">
        <is>
          <t>航天发展</t>
        </is>
      </c>
      <c r="W189" s="1" t="n">
        <v>248.6726</v>
      </c>
      <c r="X189" s="1" t="n">
        <v>10.44</v>
      </c>
      <c r="Y189" s="1" t="inlineStr">
        <is>
          <t>300474.SZ</t>
        </is>
      </c>
      <c r="Z189" s="1" t="inlineStr">
        <is>
          <t>景嘉微</t>
        </is>
      </c>
      <c r="AA189" s="1" t="n">
        <v>203.0787</v>
      </c>
      <c r="AB189" s="1" t="n">
        <v>8.52</v>
      </c>
    </row>
    <row r="190">
      <c r="A190" s="1" t="inlineStr">
        <is>
          <t>CI005437.CI</t>
        </is>
      </c>
      <c r="B190" s="1" t="inlineStr">
        <is>
          <t>建筑设计及服务Ⅲ指数</t>
        </is>
      </c>
      <c r="C190" s="1" t="n">
        <v>33</v>
      </c>
      <c r="D190" s="10">
        <f>IFERROR((thsiFinD("ths_close_price_index",$A190,$AE$2,"","")/thsiFinD("ths_close_price_index",$A190,$AE$5,"","")-1)*100,"")</f>
        <v/>
      </c>
      <c r="E190" s="10">
        <f>IFERROR((thsiFinD("ths_close_price_index",$A190,$AE$2,"","")/thsiFinD("ths_close_price_index",$A190,$AE$3,"","")-1)*100,"")</f>
        <v/>
      </c>
      <c r="F190" s="10">
        <f>IFERROR((thsiFinD("ths_close_price_index",$A190,$AE$2,"","")/thsiFinD("ths_close_price_index",$A190,$AE$4,"","")-1)*100,"")</f>
        <v/>
      </c>
      <c r="G190" s="11">
        <f>IFERROR(E190/5-F190/20,"")</f>
        <v/>
      </c>
      <c r="H190" s="1" t="n">
        <v>36.27</v>
      </c>
      <c r="I190" s="1" t="inlineStr">
        <is>
          <t>600629.SH</t>
        </is>
      </c>
      <c r="J190" s="1" t="inlineStr">
        <is>
          <t>华建集团</t>
        </is>
      </c>
      <c r="K190" s="1" t="n">
        <v>77.0057</v>
      </c>
      <c r="L190" s="1" t="n">
        <v>11.87</v>
      </c>
      <c r="M190" s="1" t="inlineStr">
        <is>
          <t>603018.SH</t>
        </is>
      </c>
      <c r="N190" s="1" t="inlineStr">
        <is>
          <t>华设集团</t>
        </is>
      </c>
      <c r="O190" s="1" t="n">
        <v>44.857</v>
      </c>
      <c r="P190" s="1" t="n">
        <v>6.91</v>
      </c>
      <c r="Q190" s="1" t="inlineStr">
        <is>
          <t>603458.SH</t>
        </is>
      </c>
      <c r="R190" s="1" t="inlineStr">
        <is>
          <t>勘设股份</t>
        </is>
      </c>
      <c r="S190" s="1" t="n">
        <v>40.3549</v>
      </c>
      <c r="T190" s="1" t="n">
        <v>6.22</v>
      </c>
      <c r="U190" s="1" t="inlineStr">
        <is>
          <t>300284.SZ</t>
        </is>
      </c>
      <c r="V190" s="1" t="inlineStr">
        <is>
          <t>苏交科</t>
        </is>
      </c>
      <c r="W190" s="1" t="n">
        <v>39.3589</v>
      </c>
      <c r="X190" s="1" t="n">
        <v>6.07</v>
      </c>
      <c r="Y190" s="1" t="inlineStr">
        <is>
          <t>301115.SZ</t>
        </is>
      </c>
      <c r="Z190" s="1" t="inlineStr">
        <is>
          <t>联检科技</t>
        </is>
      </c>
      <c r="AA190" s="1" t="n">
        <v>33.7458</v>
      </c>
      <c r="AB190" s="1" t="n">
        <v>5.2</v>
      </c>
    </row>
    <row r="191">
      <c r="A191" s="1" t="inlineStr">
        <is>
          <t>CI005498.CI</t>
        </is>
      </c>
      <c r="B191" s="1" t="inlineStr">
        <is>
          <t>高等及职业教育指数</t>
        </is>
      </c>
      <c r="C191" s="1" t="n">
        <v>4</v>
      </c>
      <c r="D191" s="10">
        <f>IFERROR((thsiFinD("ths_close_price_index",$A191,$AE$2,"","")/thsiFinD("ths_close_price_index",$A191,$AE$5,"","")-1)*100,"")</f>
        <v/>
      </c>
      <c r="E191" s="10">
        <f>IFERROR((thsiFinD("ths_close_price_index",$A191,$AE$2,"","")/thsiFinD("ths_close_price_index",$A191,$AE$3,"","")-1)*100,"")</f>
        <v/>
      </c>
      <c r="F191" s="10">
        <f>IFERROR((thsiFinD("ths_close_price_index",$A191,$AE$2,"","")/thsiFinD("ths_close_price_index",$A191,$AE$4,"","")-1)*100,"")</f>
        <v/>
      </c>
      <c r="G191" s="11">
        <f>IFERROR(E191/5-F191/20,"")</f>
        <v/>
      </c>
      <c r="H191" s="1" t="n">
        <v>99.98999999999999</v>
      </c>
      <c r="I191" s="1" t="inlineStr">
        <is>
          <t>002607.SZ</t>
        </is>
      </c>
      <c r="J191" s="1" t="inlineStr">
        <is>
          <t>中公教育</t>
        </is>
      </c>
      <c r="K191" s="1" t="n">
        <v>100.9759</v>
      </c>
      <c r="L191" s="1" t="n">
        <v>52.98</v>
      </c>
      <c r="M191" s="1" t="inlineStr">
        <is>
          <t>600730.SH</t>
        </is>
      </c>
      <c r="N191" s="1" t="inlineStr">
        <is>
          <t>*ST高科</t>
        </is>
      </c>
      <c r="O191" s="1" t="n">
        <v>51.8436</v>
      </c>
      <c r="P191" s="1" t="n">
        <v>27.2</v>
      </c>
      <c r="Q191" s="1" t="inlineStr">
        <is>
          <t>605098.SH</t>
        </is>
      </c>
      <c r="R191" s="1" t="inlineStr">
        <is>
          <t>行动教育</t>
        </is>
      </c>
      <c r="S191" s="1" t="n">
        <v>26.9659</v>
      </c>
      <c r="T191" s="1" t="n">
        <v>14.15</v>
      </c>
      <c r="U191" s="1" t="inlineStr">
        <is>
          <t>300338.SZ</t>
        </is>
      </c>
      <c r="V191" s="1" t="inlineStr">
        <is>
          <t>*ST开元</t>
        </is>
      </c>
      <c r="W191" s="1" t="n">
        <v>10.791</v>
      </c>
      <c r="X191" s="1" t="n">
        <v>5.66</v>
      </c>
    </row>
    <row r="192">
      <c r="A192" s="1" t="inlineStr">
        <is>
          <t>CI005410.CI</t>
        </is>
      </c>
      <c r="B192" s="1" t="inlineStr">
        <is>
          <t>氮肥指数</t>
        </is>
      </c>
      <c r="C192" s="1" t="n">
        <v>11</v>
      </c>
      <c r="D192" s="10">
        <f>IFERROR((thsiFinD("ths_close_price_index",$A192,$AE$2,"","")/thsiFinD("ths_close_price_index",$A192,$AE$5,"","")-1)*100,"")</f>
        <v/>
      </c>
      <c r="E192" s="10">
        <f>IFERROR((thsiFinD("ths_close_price_index",$A192,$AE$2,"","")/thsiFinD("ths_close_price_index",$A192,$AE$3,"","")-1)*100,"")</f>
        <v/>
      </c>
      <c r="F192" s="10">
        <f>IFERROR((thsiFinD("ths_close_price_index",$A192,$AE$2,"","")/thsiFinD("ths_close_price_index",$A192,$AE$4,"","")-1)*100,"")</f>
        <v/>
      </c>
      <c r="G192" s="11">
        <f>IFERROR(E192/5-F192/20,"")</f>
        <v/>
      </c>
      <c r="H192" s="1" t="n">
        <v>96.19</v>
      </c>
      <c r="I192" s="1" t="inlineStr">
        <is>
          <t>600426.SH</t>
        </is>
      </c>
      <c r="J192" s="1" t="inlineStr">
        <is>
          <t>华鲁恒升</t>
        </is>
      </c>
      <c r="K192" s="1" t="n">
        <v>385.0288</v>
      </c>
      <c r="L192" s="1" t="n">
        <v>62.94</v>
      </c>
      <c r="M192" s="1" t="inlineStr">
        <is>
          <t>000422.SZ</t>
        </is>
      </c>
      <c r="N192" s="1" t="inlineStr">
        <is>
          <t>湖北宜化</t>
        </is>
      </c>
      <c r="O192" s="1" t="n">
        <v>103.122</v>
      </c>
      <c r="P192" s="1" t="n">
        <v>16.86</v>
      </c>
      <c r="Q192" s="1" t="inlineStr">
        <is>
          <t>600691.SH</t>
        </is>
      </c>
      <c r="R192" s="1" t="inlineStr">
        <is>
          <t>潞化科技</t>
        </is>
      </c>
      <c r="S192" s="1" t="n">
        <v>44.4112</v>
      </c>
      <c r="T192" s="1" t="n">
        <v>7.26</v>
      </c>
      <c r="U192" s="1" t="inlineStr">
        <is>
          <t>600227.SH</t>
        </is>
      </c>
      <c r="V192" s="1" t="inlineStr">
        <is>
          <t>赤天化</t>
        </is>
      </c>
      <c r="W192" s="1" t="n">
        <v>28.918</v>
      </c>
      <c r="X192" s="1" t="n">
        <v>4.73</v>
      </c>
      <c r="Y192" s="1" t="inlineStr">
        <is>
          <t>000731.SZ</t>
        </is>
      </c>
      <c r="Z192" s="1" t="inlineStr">
        <is>
          <t>四川美丰</t>
        </is>
      </c>
      <c r="AA192" s="1" t="n">
        <v>26.89</v>
      </c>
      <c r="AB192" s="1" t="n">
        <v>4.4</v>
      </c>
    </row>
    <row r="193">
      <c r="A193" s="1" t="inlineStr">
        <is>
          <t>CI005450.CI</t>
        </is>
      </c>
      <c r="B193" s="1" t="inlineStr">
        <is>
          <t>其他轻工Ⅲ指数</t>
        </is>
      </c>
      <c r="C193" s="1" t="n">
        <v>19</v>
      </c>
      <c r="D193" s="10">
        <f>IFERROR((thsiFinD("ths_close_price_index",$A193,$AE$2,"","")/thsiFinD("ths_close_price_index",$A193,$AE$5,"","")-1)*100,"")</f>
        <v/>
      </c>
      <c r="E193" s="10">
        <f>IFERROR((thsiFinD("ths_close_price_index",$A193,$AE$2,"","")/thsiFinD("ths_close_price_index",$A193,$AE$3,"","")-1)*100,"")</f>
        <v/>
      </c>
      <c r="F193" s="10">
        <f>IFERROR((thsiFinD("ths_close_price_index",$A193,$AE$2,"","")/thsiFinD("ths_close_price_index",$A193,$AE$4,"","")-1)*100,"")</f>
        <v/>
      </c>
      <c r="G193" s="11">
        <f>IFERROR(E193/5-F193/20,"")</f>
        <v/>
      </c>
      <c r="H193" s="1" t="n">
        <v>50.42</v>
      </c>
      <c r="I193" s="1" t="inlineStr">
        <is>
          <t>000833.SZ</t>
        </is>
      </c>
      <c r="J193" s="1" t="inlineStr">
        <is>
          <t>粤桂股份</t>
        </is>
      </c>
      <c r="K193" s="1" t="n">
        <v>89.464</v>
      </c>
      <c r="L193" s="1" t="n">
        <v>24.87</v>
      </c>
      <c r="M193" s="1" t="inlineStr">
        <is>
          <t>301193.SZ</t>
        </is>
      </c>
      <c r="N193" s="1" t="inlineStr">
        <is>
          <t>家联科技</t>
        </is>
      </c>
      <c r="O193" s="1" t="n">
        <v>24.1381</v>
      </c>
      <c r="P193" s="1" t="n">
        <v>6.71</v>
      </c>
      <c r="Q193" s="1" t="inlineStr">
        <is>
          <t>301101.SZ</t>
        </is>
      </c>
      <c r="R193" s="1" t="inlineStr">
        <is>
          <t>明月镜片</t>
        </is>
      </c>
      <c r="S193" s="1" t="n">
        <v>23.1371</v>
      </c>
      <c r="T193" s="1" t="n">
        <v>6.43</v>
      </c>
      <c r="U193" s="1" t="inlineStr">
        <is>
          <t>002899.SZ</t>
        </is>
      </c>
      <c r="V193" s="1" t="inlineStr">
        <is>
          <t>英派斯</t>
        </is>
      </c>
      <c r="W193" s="1" t="n">
        <v>23.0423</v>
      </c>
      <c r="X193" s="1" t="n">
        <v>6.41</v>
      </c>
      <c r="Y193" s="1" t="inlineStr">
        <is>
          <t>002571.SZ</t>
        </is>
      </c>
      <c r="Z193" s="1" t="inlineStr">
        <is>
          <t>德力股份</t>
        </is>
      </c>
      <c r="AA193" s="1" t="n">
        <v>21.5769</v>
      </c>
      <c r="AB193" s="1" t="n">
        <v>6</v>
      </c>
    </row>
    <row r="194">
      <c r="A194" s="1" t="inlineStr">
        <is>
          <t>CI005252.CI</t>
        </is>
      </c>
      <c r="B194" s="1" t="inlineStr">
        <is>
          <t>日用化学品指数</t>
        </is>
      </c>
      <c r="C194" s="1" t="n">
        <v>16</v>
      </c>
      <c r="D194" s="10">
        <f>IFERROR((thsiFinD("ths_close_price_index",$A194,$AE$2,"","")/thsiFinD("ths_close_price_index",$A194,$AE$5,"","")-1)*100,"")</f>
        <v/>
      </c>
      <c r="E194" s="10">
        <f>IFERROR((thsiFinD("ths_close_price_index",$A194,$AE$2,"","")/thsiFinD("ths_close_price_index",$A194,$AE$3,"","")-1)*100,"")</f>
        <v/>
      </c>
      <c r="F194" s="10">
        <f>IFERROR((thsiFinD("ths_close_price_index",$A194,$AE$2,"","")/thsiFinD("ths_close_price_index",$A194,$AE$4,"","")-1)*100,"")</f>
        <v/>
      </c>
      <c r="G194" s="11">
        <f>IFERROR(E194/5-F194/20,"")</f>
        <v/>
      </c>
      <c r="H194" s="1" t="n">
        <v>58</v>
      </c>
      <c r="I194" s="1" t="inlineStr">
        <is>
          <t>603605.SH</t>
        </is>
      </c>
      <c r="J194" s="1" t="inlineStr">
        <is>
          <t>珀莱雅</t>
        </is>
      </c>
      <c r="K194" s="1" t="n">
        <v>120.6653</v>
      </c>
      <c r="L194" s="1" t="n">
        <v>21.45</v>
      </c>
      <c r="M194" s="1" t="inlineStr">
        <is>
          <t>300957.SZ</t>
        </is>
      </c>
      <c r="N194" s="1" t="inlineStr">
        <is>
          <t>贝泰妮</t>
        </is>
      </c>
      <c r="O194" s="1" t="n">
        <v>70.8747</v>
      </c>
      <c r="P194" s="1" t="n">
        <v>12.6</v>
      </c>
      <c r="Q194" s="1" t="inlineStr">
        <is>
          <t>600315.SH</t>
        </is>
      </c>
      <c r="R194" s="1" t="inlineStr">
        <is>
          <t>上海家化</t>
        </is>
      </c>
      <c r="S194" s="1" t="n">
        <v>56.1041</v>
      </c>
      <c r="T194" s="1" t="n">
        <v>9.970000000000001</v>
      </c>
      <c r="U194" s="1" t="inlineStr">
        <is>
          <t>300740.SZ</t>
        </is>
      </c>
      <c r="V194" s="1" t="inlineStr">
        <is>
          <t>水羊股份</t>
        </is>
      </c>
      <c r="W194" s="1" t="n">
        <v>47.3298</v>
      </c>
      <c r="X194" s="1" t="n">
        <v>8.41</v>
      </c>
      <c r="Y194" s="1" t="inlineStr">
        <is>
          <t>002637.SZ</t>
        </is>
      </c>
      <c r="Z194" s="1" t="inlineStr">
        <is>
          <t>赞宇科技</t>
        </is>
      </c>
      <c r="AA194" s="1" t="n">
        <v>31.3461</v>
      </c>
      <c r="AB194" s="1" t="n">
        <v>5.57</v>
      </c>
    </row>
    <row r="195">
      <c r="A195" s="1" t="inlineStr">
        <is>
          <t>CI005487.CI</t>
        </is>
      </c>
      <c r="B195" s="1" t="inlineStr">
        <is>
          <t>珠宝首饰及钟表指数</t>
        </is>
      </c>
      <c r="C195" s="1" t="n">
        <v>15</v>
      </c>
      <c r="D195" s="10">
        <f>IFERROR((thsiFinD("ths_close_price_index",$A195,$AE$2,"","")/thsiFinD("ths_close_price_index",$A195,$AE$5,"","")-1)*100,"")</f>
        <v/>
      </c>
      <c r="E195" s="10">
        <f>IFERROR((thsiFinD("ths_close_price_index",$A195,$AE$2,"","")/thsiFinD("ths_close_price_index",$A195,$AE$3,"","")-1)*100,"")</f>
        <v/>
      </c>
      <c r="F195" s="10">
        <f>IFERROR((thsiFinD("ths_close_price_index",$A195,$AE$2,"","")/thsiFinD("ths_close_price_index",$A195,$AE$4,"","")-1)*100,"")</f>
        <v/>
      </c>
      <c r="G195" s="11">
        <f>IFERROR(E195/5-F195/20,"")</f>
        <v/>
      </c>
      <c r="H195" s="1" t="n">
        <v>55.85</v>
      </c>
      <c r="I195" s="1" t="inlineStr">
        <is>
          <t>600655.SH</t>
        </is>
      </c>
      <c r="J195" s="1" t="inlineStr">
        <is>
          <t>豫园股份</t>
        </is>
      </c>
      <c r="K195" s="1" t="n">
        <v>79.51090000000001</v>
      </c>
      <c r="L195" s="1" t="n">
        <v>15.7</v>
      </c>
      <c r="M195" s="1" t="inlineStr">
        <is>
          <t>600916.SH</t>
        </is>
      </c>
      <c r="N195" s="1" t="inlineStr">
        <is>
          <t>中国黄金</t>
        </is>
      </c>
      <c r="O195" s="1" t="n">
        <v>60.8942</v>
      </c>
      <c r="P195" s="1" t="n">
        <v>12.02</v>
      </c>
      <c r="Q195" s="1" t="inlineStr">
        <is>
          <t>002345.SZ</t>
        </is>
      </c>
      <c r="R195" s="1" t="inlineStr">
        <is>
          <t>潮宏基</t>
        </is>
      </c>
      <c r="S195" s="1" t="n">
        <v>52.5787</v>
      </c>
      <c r="T195" s="1" t="n">
        <v>10.38</v>
      </c>
      <c r="U195" s="1" t="inlineStr">
        <is>
          <t>002867.SZ</t>
        </is>
      </c>
      <c r="V195" s="1" t="inlineStr">
        <is>
          <t>周大生</t>
        </is>
      </c>
      <c r="W195" s="1" t="n">
        <v>45.9322</v>
      </c>
      <c r="X195" s="1" t="n">
        <v>9.07</v>
      </c>
      <c r="Y195" s="1" t="inlineStr">
        <is>
          <t>000026.SZ</t>
        </is>
      </c>
      <c r="Z195" s="1" t="inlineStr">
        <is>
          <t>飞亚达</t>
        </is>
      </c>
      <c r="AA195" s="1" t="n">
        <v>43.9653</v>
      </c>
      <c r="AB195" s="1" t="n">
        <v>8.68</v>
      </c>
    </row>
    <row r="196">
      <c r="A196" s="1" t="inlineStr">
        <is>
          <t>CI005267.CI</t>
        </is>
      </c>
      <c r="B196" s="1" t="inlineStr">
        <is>
          <t>工程机械Ⅲ指数</t>
        </is>
      </c>
      <c r="C196" s="1" t="n">
        <v>11</v>
      </c>
      <c r="D196" s="10">
        <f>IFERROR((thsiFinD("ths_close_price_index",$A196,$AE$2,"","")/thsiFinD("ths_close_price_index",$A196,$AE$5,"","")-1)*100,"")</f>
        <v/>
      </c>
      <c r="E196" s="10">
        <f>IFERROR((thsiFinD("ths_close_price_index",$A196,$AE$2,"","")/thsiFinD("ths_close_price_index",$A196,$AE$3,"","")-1)*100,"")</f>
        <v/>
      </c>
      <c r="F196" s="10">
        <f>IFERROR((thsiFinD("ths_close_price_index",$A196,$AE$2,"","")/thsiFinD("ths_close_price_index",$A196,$AE$4,"","")-1)*100,"")</f>
        <v/>
      </c>
      <c r="G196" s="11">
        <f>IFERROR(E196/5-F196/20,"")</f>
        <v/>
      </c>
      <c r="H196" s="1" t="n">
        <v>86.51000000000001</v>
      </c>
      <c r="I196" s="1" t="inlineStr">
        <is>
          <t>600031.SH</t>
        </is>
      </c>
      <c r="J196" s="1" t="inlineStr">
        <is>
          <t>三一重工</t>
        </is>
      </c>
      <c r="K196" s="1" t="n">
        <v>1090.7992</v>
      </c>
      <c r="L196" s="1" t="n">
        <v>37.44</v>
      </c>
      <c r="M196" s="1" t="inlineStr">
        <is>
          <t>000425.SZ</t>
        </is>
      </c>
      <c r="N196" s="1" t="inlineStr">
        <is>
          <t>徐工机械</t>
        </is>
      </c>
      <c r="O196" s="1" t="n">
        <v>755.6698</v>
      </c>
      <c r="P196" s="1" t="n">
        <v>25.94</v>
      </c>
      <c r="Q196" s="1" t="inlineStr">
        <is>
          <t>000157.SZ</t>
        </is>
      </c>
      <c r="R196" s="1" t="inlineStr">
        <is>
          <t>中联重科</t>
        </is>
      </c>
      <c r="S196" s="1" t="n">
        <v>397.1495</v>
      </c>
      <c r="T196" s="1" t="n">
        <v>13.63</v>
      </c>
      <c r="U196" s="1" t="inlineStr">
        <is>
          <t>300201.SZ</t>
        </is>
      </c>
      <c r="V196" s="1" t="inlineStr">
        <is>
          <t>海伦哲</t>
        </is>
      </c>
      <c r="W196" s="1" t="n">
        <v>154.3989</v>
      </c>
      <c r="X196" s="1" t="n">
        <v>5.3</v>
      </c>
      <c r="Y196" s="1" t="inlineStr">
        <is>
          <t>000528.SZ</t>
        </is>
      </c>
      <c r="Z196" s="1" t="inlineStr">
        <is>
          <t>柳工</t>
        </is>
      </c>
      <c r="AA196" s="1" t="n">
        <v>122.3951</v>
      </c>
      <c r="AB196" s="1" t="n">
        <v>4.2</v>
      </c>
    </row>
    <row r="197">
      <c r="A197" s="1" t="inlineStr">
        <is>
          <t>CI005407.CI</t>
        </is>
      </c>
      <c r="B197" s="1" t="inlineStr">
        <is>
          <t>长材指数</t>
        </is>
      </c>
      <c r="C197" s="1" t="n">
        <v>8</v>
      </c>
      <c r="D197" s="10">
        <f>IFERROR((thsiFinD("ths_close_price_index",$A197,$AE$2,"","")/thsiFinD("ths_close_price_index",$A197,$AE$5,"","")-1)*100,"")</f>
        <v/>
      </c>
      <c r="E197" s="10">
        <f>IFERROR((thsiFinD("ths_close_price_index",$A197,$AE$2,"","")/thsiFinD("ths_close_price_index",$A197,$AE$3,"","")-1)*100,"")</f>
        <v/>
      </c>
      <c r="F197" s="10">
        <f>IFERROR((thsiFinD("ths_close_price_index",$A197,$AE$2,"","")/thsiFinD("ths_close_price_index",$A197,$AE$4,"","")-1)*100,"")</f>
        <v/>
      </c>
      <c r="G197" s="11">
        <f>IFERROR(E197/5-F197/20,"")</f>
        <v/>
      </c>
      <c r="H197" s="1" t="n">
        <v>81.81</v>
      </c>
      <c r="I197" s="1" t="inlineStr">
        <is>
          <t>000778.SZ</t>
        </is>
      </c>
      <c r="J197" s="1" t="inlineStr">
        <is>
          <t>新兴铸管</t>
        </is>
      </c>
      <c r="K197" s="1" t="n">
        <v>96.2433</v>
      </c>
      <c r="L197" s="1" t="n">
        <v>32.13</v>
      </c>
      <c r="M197" s="1" t="inlineStr">
        <is>
          <t>601686.SH</t>
        </is>
      </c>
      <c r="N197" s="1" t="inlineStr">
        <is>
          <t>友发集团</t>
        </is>
      </c>
      <c r="O197" s="1" t="n">
        <v>40.7045</v>
      </c>
      <c r="P197" s="1" t="n">
        <v>13.59</v>
      </c>
      <c r="Q197" s="1" t="inlineStr">
        <is>
          <t>600307.SH</t>
        </is>
      </c>
      <c r="R197" s="1" t="inlineStr">
        <is>
          <t>酒钢宏兴</t>
        </is>
      </c>
      <c r="S197" s="1" t="n">
        <v>39.4868</v>
      </c>
      <c r="T197" s="1" t="n">
        <v>13.18</v>
      </c>
      <c r="U197" s="1" t="inlineStr">
        <is>
          <t>603969.SH</t>
        </is>
      </c>
      <c r="V197" s="1" t="inlineStr">
        <is>
          <t>银龙股份</t>
        </is>
      </c>
      <c r="W197" s="1" t="n">
        <v>37.2726</v>
      </c>
      <c r="X197" s="1" t="n">
        <v>12.44</v>
      </c>
      <c r="Y197" s="1" t="inlineStr">
        <is>
          <t>002110.SZ</t>
        </is>
      </c>
      <c r="Z197" s="1" t="inlineStr">
        <is>
          <t>三钢闽光</t>
        </is>
      </c>
      <c r="AA197" s="1" t="n">
        <v>31.3511</v>
      </c>
      <c r="AB197" s="1" t="n">
        <v>10.47</v>
      </c>
    </row>
    <row r="198">
      <c r="A198" s="1" t="inlineStr">
        <is>
          <t>CI005454.CI</t>
        </is>
      </c>
      <c r="B198" s="1" t="inlineStr">
        <is>
          <t>矿山冶金机械指数</t>
        </is>
      </c>
      <c r="C198" s="1" t="n">
        <v>21</v>
      </c>
      <c r="D198" s="10">
        <f>IFERROR((thsiFinD("ths_close_price_index",$A198,$AE$2,"","")/thsiFinD("ths_close_price_index",$A198,$AE$5,"","")-1)*100,"")</f>
        <v/>
      </c>
      <c r="E198" s="10">
        <f>IFERROR((thsiFinD("ths_close_price_index",$A198,$AE$2,"","")/thsiFinD("ths_close_price_index",$A198,$AE$3,"","")-1)*100,"")</f>
        <v/>
      </c>
      <c r="F198" s="10">
        <f>IFERROR((thsiFinD("ths_close_price_index",$A198,$AE$2,"","")/thsiFinD("ths_close_price_index",$A198,$AE$4,"","")-1)*100,"")</f>
        <v/>
      </c>
      <c r="G198" s="11">
        <f>IFERROR(E198/5-F198/20,"")</f>
        <v/>
      </c>
      <c r="H198" s="1" t="n">
        <v>63</v>
      </c>
      <c r="I198" s="1" t="inlineStr">
        <is>
          <t>601717.SH</t>
        </is>
      </c>
      <c r="J198" s="1" t="inlineStr">
        <is>
          <t>中创智领</t>
        </is>
      </c>
      <c r="K198" s="1" t="n">
        <v>154.7021</v>
      </c>
      <c r="L198" s="1" t="n">
        <v>19.95</v>
      </c>
      <c r="M198" s="1" t="inlineStr">
        <is>
          <t>601106.SH</t>
        </is>
      </c>
      <c r="N198" s="1" t="inlineStr">
        <is>
          <t>中国一重</t>
        </is>
      </c>
      <c r="O198" s="1" t="n">
        <v>96.8539</v>
      </c>
      <c r="P198" s="1" t="n">
        <v>12.49</v>
      </c>
      <c r="Q198" s="1" t="inlineStr">
        <is>
          <t>601608.SH</t>
        </is>
      </c>
      <c r="R198" s="1" t="inlineStr">
        <is>
          <t>中信重工</t>
        </is>
      </c>
      <c r="S198" s="1" t="n">
        <v>84.17230000000001</v>
      </c>
      <c r="T198" s="1" t="n">
        <v>10.86</v>
      </c>
      <c r="U198" s="1" t="inlineStr">
        <is>
          <t>600582.SH</t>
        </is>
      </c>
      <c r="V198" s="1" t="inlineStr">
        <is>
          <t>天地科技</t>
        </is>
      </c>
      <c r="W198" s="1" t="n">
        <v>78.25490000000001</v>
      </c>
      <c r="X198" s="1" t="n">
        <v>10.09</v>
      </c>
      <c r="Y198" s="1" t="inlineStr">
        <is>
          <t>603698.SH</t>
        </is>
      </c>
      <c r="Z198" s="1" t="inlineStr">
        <is>
          <t>航天工程</t>
        </is>
      </c>
      <c r="AA198" s="1" t="n">
        <v>74.51909999999999</v>
      </c>
      <c r="AB198" s="1" t="n">
        <v>9.609999999999999</v>
      </c>
    </row>
    <row r="199">
      <c r="A199" s="1" t="inlineStr">
        <is>
          <t>CI005337.CI</t>
        </is>
      </c>
      <c r="B199" s="1" t="inlineStr">
        <is>
          <t>动物疫苗及兽药指数</t>
        </is>
      </c>
      <c r="C199" s="1" t="n">
        <v>7</v>
      </c>
      <c r="D199" s="10">
        <f>IFERROR((thsiFinD("ths_close_price_index",$A199,$AE$2,"","")/thsiFinD("ths_close_price_index",$A199,$AE$5,"","")-1)*100,"")</f>
        <v/>
      </c>
      <c r="E199" s="10">
        <f>IFERROR((thsiFinD("ths_close_price_index",$A199,$AE$2,"","")/thsiFinD("ths_close_price_index",$A199,$AE$3,"","")-1)*100,"")</f>
        <v/>
      </c>
      <c r="F199" s="10">
        <f>IFERROR((thsiFinD("ths_close_price_index",$A199,$AE$2,"","")/thsiFinD("ths_close_price_index",$A199,$AE$4,"","")-1)*100,"")</f>
        <v/>
      </c>
      <c r="G199" s="11">
        <f>IFERROR(E199/5-F199/20,"")</f>
        <v/>
      </c>
      <c r="H199" s="1" t="n">
        <v>86.89</v>
      </c>
      <c r="I199" s="1" t="inlineStr">
        <is>
          <t>600201.SH</t>
        </is>
      </c>
      <c r="J199" s="1" t="inlineStr">
        <is>
          <t>生物股份</t>
        </is>
      </c>
      <c r="K199" s="1" t="n">
        <v>114.0864</v>
      </c>
      <c r="L199" s="1" t="n">
        <v>42.18</v>
      </c>
      <c r="M199" s="1" t="inlineStr">
        <is>
          <t>300119.SZ</t>
        </is>
      </c>
      <c r="N199" s="1" t="inlineStr">
        <is>
          <t>瑞普生物</t>
        </is>
      </c>
      <c r="O199" s="1" t="n">
        <v>40.5202</v>
      </c>
      <c r="P199" s="1" t="n">
        <v>14.98</v>
      </c>
      <c r="Q199" s="1" t="inlineStr">
        <is>
          <t>600195.SH</t>
        </is>
      </c>
      <c r="R199" s="1" t="inlineStr">
        <is>
          <t>中牧股份</t>
        </is>
      </c>
      <c r="S199" s="1" t="n">
        <v>31.4733</v>
      </c>
      <c r="T199" s="1" t="n">
        <v>11.64</v>
      </c>
      <c r="U199" s="1" t="inlineStr">
        <is>
          <t>300871.SZ</t>
        </is>
      </c>
      <c r="V199" s="1" t="inlineStr">
        <is>
          <t>回盛生物</t>
        </is>
      </c>
      <c r="W199" s="1" t="n">
        <v>24.6965</v>
      </c>
      <c r="X199" s="1" t="n">
        <v>9.130000000000001</v>
      </c>
      <c r="Y199" s="1" t="inlineStr">
        <is>
          <t>603566.SH</t>
        </is>
      </c>
      <c r="Z199" s="1" t="inlineStr">
        <is>
          <t>普莱柯</t>
        </is>
      </c>
      <c r="AA199" s="1" t="n">
        <v>24.2445</v>
      </c>
      <c r="AB199" s="1" t="n">
        <v>8.960000000000001</v>
      </c>
    </row>
    <row r="200">
      <c r="A200" s="1" t="inlineStr">
        <is>
          <t>CI005259.CI</t>
        </is>
      </c>
      <c r="B200" s="1" t="inlineStr">
        <is>
          <t>水泥指数</t>
        </is>
      </c>
      <c r="C200" s="1" t="n">
        <v>19</v>
      </c>
      <c r="D200" s="10">
        <f>IFERROR((thsiFinD("ths_close_price_index",$A200,$AE$2,"","")/thsiFinD("ths_close_price_index",$A200,$AE$5,"","")-1)*100,"")</f>
        <v/>
      </c>
      <c r="E200" s="10">
        <f>IFERROR((thsiFinD("ths_close_price_index",$A200,$AE$2,"","")/thsiFinD("ths_close_price_index",$A200,$AE$3,"","")-1)*100,"")</f>
        <v/>
      </c>
      <c r="F200" s="10">
        <f>IFERROR((thsiFinD("ths_close_price_index",$A200,$AE$2,"","")/thsiFinD("ths_close_price_index",$A200,$AE$4,"","")-1)*100,"")</f>
        <v/>
      </c>
      <c r="G200" s="11">
        <f>IFERROR(E200/5-F200/20,"")</f>
        <v/>
      </c>
      <c r="H200" s="1" t="n">
        <v>73.8</v>
      </c>
      <c r="I200" s="1" t="inlineStr">
        <is>
          <t>600585.SH</t>
        </is>
      </c>
      <c r="J200" s="1" t="inlineStr">
        <is>
          <t>海螺水泥</t>
        </is>
      </c>
      <c r="K200" s="1" t="n">
        <v>360.3992</v>
      </c>
      <c r="L200" s="1" t="n">
        <v>41.35</v>
      </c>
      <c r="M200" s="1" t="inlineStr">
        <is>
          <t>600801.SH</t>
        </is>
      </c>
      <c r="N200" s="1" t="inlineStr">
        <is>
          <t>华新建材</t>
        </is>
      </c>
      <c r="O200" s="1" t="n">
        <v>101.2749</v>
      </c>
      <c r="P200" s="1" t="n">
        <v>11.62</v>
      </c>
      <c r="Q200" s="1" t="inlineStr">
        <is>
          <t>000672.SZ</t>
        </is>
      </c>
      <c r="R200" s="1" t="inlineStr">
        <is>
          <t>上峰材料</t>
        </is>
      </c>
      <c r="S200" s="1" t="n">
        <v>76.2873</v>
      </c>
      <c r="T200" s="1" t="n">
        <v>8.75</v>
      </c>
      <c r="U200" s="1" t="inlineStr">
        <is>
          <t>000877.SZ</t>
        </is>
      </c>
      <c r="V200" s="1" t="inlineStr">
        <is>
          <t>天山股份</t>
        </is>
      </c>
      <c r="W200" s="1" t="n">
        <v>52.8408</v>
      </c>
      <c r="X200" s="1" t="n">
        <v>6.06</v>
      </c>
      <c r="Y200" s="1" t="inlineStr">
        <is>
          <t>002233.SZ</t>
        </is>
      </c>
      <c r="Z200" s="1" t="inlineStr">
        <is>
          <t>塔牌集团</t>
        </is>
      </c>
      <c r="AA200" s="1" t="n">
        <v>52.4558</v>
      </c>
      <c r="AB200" s="1" t="n">
        <v>6.02</v>
      </c>
    </row>
    <row r="201">
      <c r="A201" s="1" t="inlineStr">
        <is>
          <t>CI005261.CI</t>
        </is>
      </c>
      <c r="B201" s="1" t="inlineStr">
        <is>
          <t>陶瓷指数</t>
        </is>
      </c>
      <c r="C201" s="1" t="n">
        <v>6</v>
      </c>
      <c r="D201" s="10">
        <f>IFERROR((thsiFinD("ths_close_price_index",$A201,$AE$2,"","")/thsiFinD("ths_close_price_index",$A201,$AE$5,"","")-1)*100,"")</f>
        <v/>
      </c>
      <c r="E201" s="10">
        <f>IFERROR((thsiFinD("ths_close_price_index",$A201,$AE$2,"","")/thsiFinD("ths_close_price_index",$A201,$AE$3,"","")-1)*100,"")</f>
        <v/>
      </c>
      <c r="F201" s="10">
        <f>IFERROR((thsiFinD("ths_close_price_index",$A201,$AE$2,"","")/thsiFinD("ths_close_price_index",$A201,$AE$4,"","")-1)*100,"")</f>
        <v/>
      </c>
      <c r="G201" s="11">
        <f>IFERROR(E201/5-F201/20,"")</f>
        <v/>
      </c>
      <c r="H201" s="1" t="n">
        <v>89.45</v>
      </c>
      <c r="I201" s="1" t="inlineStr">
        <is>
          <t>002798.SZ</t>
        </is>
      </c>
      <c r="J201" s="1" t="inlineStr">
        <is>
          <t>帝欧水华</t>
        </is>
      </c>
      <c r="K201" s="1" t="n">
        <v>22.7822</v>
      </c>
      <c r="L201" s="1" t="n">
        <v>21.93</v>
      </c>
      <c r="M201" s="1" t="inlineStr">
        <is>
          <t>003012.SZ</t>
        </is>
      </c>
      <c r="N201" s="1" t="inlineStr">
        <is>
          <t>东鹏控股</t>
        </is>
      </c>
      <c r="O201" s="1" t="n">
        <v>22.077</v>
      </c>
      <c r="P201" s="1" t="n">
        <v>21.25</v>
      </c>
      <c r="Q201" s="1" t="inlineStr">
        <is>
          <t>001386.SZ</t>
        </is>
      </c>
      <c r="R201" s="1" t="inlineStr">
        <is>
          <t>马可波罗</t>
        </is>
      </c>
      <c r="S201" s="1" t="n">
        <v>16.8089</v>
      </c>
      <c r="T201" s="1" t="n">
        <v>16.18</v>
      </c>
      <c r="U201" s="1" t="inlineStr">
        <is>
          <t>002162.SZ</t>
        </is>
      </c>
      <c r="V201" s="1" t="inlineStr">
        <is>
          <t>悦心健康</t>
        </is>
      </c>
      <c r="W201" s="1" t="n">
        <v>15.6624</v>
      </c>
      <c r="X201" s="1" t="n">
        <v>15.07</v>
      </c>
      <c r="Y201" s="1" t="inlineStr">
        <is>
          <t>002918.SZ</t>
        </is>
      </c>
      <c r="Z201" s="1" t="inlineStr">
        <is>
          <t>蒙娜丽莎</t>
        </is>
      </c>
      <c r="AA201" s="1" t="n">
        <v>15.6043</v>
      </c>
      <c r="AB201" s="1" t="n">
        <v>15.02</v>
      </c>
    </row>
    <row r="202">
      <c r="A202" s="1" t="inlineStr">
        <is>
          <t>CI005297.CI</t>
        </is>
      </c>
      <c r="B202" s="1" t="inlineStr">
        <is>
          <t>摩托车及其他Ⅲ指数</t>
        </is>
      </c>
      <c r="C202" s="1" t="n">
        <v>13</v>
      </c>
      <c r="D202" s="10">
        <f>IFERROR((thsiFinD("ths_close_price_index",$A202,$AE$2,"","")/thsiFinD("ths_close_price_index",$A202,$AE$5,"","")-1)*100,"")</f>
        <v/>
      </c>
      <c r="E202" s="10">
        <f>IFERROR((thsiFinD("ths_close_price_index",$A202,$AE$2,"","")/thsiFinD("ths_close_price_index",$A202,$AE$3,"","")-1)*100,"")</f>
        <v/>
      </c>
      <c r="F202" s="10">
        <f>IFERROR((thsiFinD("ths_close_price_index",$A202,$AE$2,"","")/thsiFinD("ths_close_price_index",$A202,$AE$4,"","")-1)*100,"")</f>
        <v/>
      </c>
      <c r="G202" s="11">
        <f>IFERROR(E202/5-F202/20,"")</f>
        <v/>
      </c>
      <c r="H202" s="1" t="n">
        <v>79.22</v>
      </c>
      <c r="I202" s="1" t="inlineStr">
        <is>
          <t>603129.SH</t>
        </is>
      </c>
      <c r="J202" s="1" t="inlineStr">
        <is>
          <t>春风动力</t>
        </is>
      </c>
      <c r="K202" s="1" t="n">
        <v>214.0442</v>
      </c>
      <c r="L202" s="1" t="n">
        <v>26.61</v>
      </c>
      <c r="M202" s="1" t="inlineStr">
        <is>
          <t>601777.SH</t>
        </is>
      </c>
      <c r="N202" s="1" t="inlineStr">
        <is>
          <t>千里科技</t>
        </is>
      </c>
      <c r="O202" s="1" t="n">
        <v>171.181</v>
      </c>
      <c r="P202" s="1" t="n">
        <v>21.28</v>
      </c>
      <c r="Q202" s="1" t="inlineStr">
        <is>
          <t>603766.SH</t>
        </is>
      </c>
      <c r="R202" s="1" t="inlineStr">
        <is>
          <t>隆鑫通用</t>
        </is>
      </c>
      <c r="S202" s="1" t="n">
        <v>139.926</v>
      </c>
      <c r="T202" s="1" t="n">
        <v>17.4</v>
      </c>
      <c r="U202" s="1" t="inlineStr">
        <is>
          <t>301345.SZ</t>
        </is>
      </c>
      <c r="V202" s="1" t="inlineStr">
        <is>
          <t>涛涛车业</t>
        </is>
      </c>
      <c r="W202" s="1" t="n">
        <v>62.2649</v>
      </c>
      <c r="X202" s="1" t="n">
        <v>7.74</v>
      </c>
      <c r="Y202" s="1" t="inlineStr">
        <is>
          <t>301322.SZ</t>
        </is>
      </c>
      <c r="Z202" s="1" t="inlineStr">
        <is>
          <t>绿通科技</t>
        </is>
      </c>
      <c r="AA202" s="1" t="n">
        <v>49.7629</v>
      </c>
      <c r="AB202" s="1" t="n">
        <v>6.19</v>
      </c>
    </row>
    <row r="203">
      <c r="A203" s="1" t="inlineStr">
        <is>
          <t>CI005522.CI</t>
        </is>
      </c>
      <c r="B203" s="1" t="inlineStr">
        <is>
          <t>农产品加工Ⅲ指数</t>
        </is>
      </c>
      <c r="C203" s="1" t="n">
        <v>26</v>
      </c>
      <c r="D203" s="10">
        <f>IFERROR((thsiFinD("ths_close_price_index",$A203,$AE$2,"","")/thsiFinD("ths_close_price_index",$A203,$AE$5,"","")-1)*100,"")</f>
        <v/>
      </c>
      <c r="E203" s="10">
        <f>IFERROR((thsiFinD("ths_close_price_index",$A203,$AE$2,"","")/thsiFinD("ths_close_price_index",$A203,$AE$3,"","")-1)*100,"")</f>
        <v/>
      </c>
      <c r="F203" s="10">
        <f>IFERROR((thsiFinD("ths_close_price_index",$A203,$AE$2,"","")/thsiFinD("ths_close_price_index",$A203,$AE$4,"","")-1)*100,"")</f>
        <v/>
      </c>
      <c r="G203" s="11">
        <f>IFERROR(E203/5-F203/20,"")</f>
        <v/>
      </c>
      <c r="H203" s="1" t="n">
        <v>53.84</v>
      </c>
      <c r="I203" s="1" t="inlineStr">
        <is>
          <t>300999.SZ</t>
        </is>
      </c>
      <c r="J203" s="1" t="inlineStr">
        <is>
          <t>金龙鱼</t>
        </is>
      </c>
      <c r="K203" s="1" t="n">
        <v>133.5455</v>
      </c>
      <c r="L203" s="1" t="n">
        <v>17.5</v>
      </c>
      <c r="M203" s="1" t="inlineStr">
        <is>
          <t>600737.SH</t>
        </is>
      </c>
      <c r="N203" s="1" t="inlineStr">
        <is>
          <t>中粮糖业</t>
        </is>
      </c>
      <c r="O203" s="1" t="n">
        <v>126.774</v>
      </c>
      <c r="P203" s="1" t="n">
        <v>16.61</v>
      </c>
      <c r="Q203" s="1" t="inlineStr">
        <is>
          <t>000061.SZ</t>
        </is>
      </c>
      <c r="R203" s="1" t="inlineStr">
        <is>
          <t>农产品</t>
        </is>
      </c>
      <c r="S203" s="1" t="n">
        <v>71.33929999999999</v>
      </c>
      <c r="T203" s="1" t="n">
        <v>9.35</v>
      </c>
      <c r="U203" s="1" t="inlineStr">
        <is>
          <t>600251.SH</t>
        </is>
      </c>
      <c r="V203" s="1" t="inlineStr">
        <is>
          <t>冠农股份</t>
        </is>
      </c>
      <c r="W203" s="1" t="n">
        <v>40.4576</v>
      </c>
      <c r="X203" s="1" t="n">
        <v>5.3</v>
      </c>
      <c r="Y203" s="1" t="inlineStr">
        <is>
          <t>000930.SZ</t>
        </is>
      </c>
      <c r="Z203" s="1" t="inlineStr">
        <is>
          <t>中粮科技</t>
        </is>
      </c>
      <c r="AA203" s="1" t="n">
        <v>38.7566</v>
      </c>
      <c r="AB203" s="1" t="n">
        <v>5.08</v>
      </c>
    </row>
    <row r="204">
      <c r="A204" s="1" t="inlineStr">
        <is>
          <t>CI005486.CI</t>
        </is>
      </c>
      <c r="B204" s="1" t="inlineStr">
        <is>
          <t>家电3C指数</t>
        </is>
      </c>
      <c r="C204" s="1" t="n">
        <v>2</v>
      </c>
      <c r="D204" s="10">
        <f>IFERROR((thsiFinD("ths_close_price_index",$A204,$AE$2,"","")/thsiFinD("ths_close_price_index",$A204,$AE$5,"","")-1)*100,"")</f>
        <v/>
      </c>
      <c r="E204" s="10">
        <f>IFERROR((thsiFinD("ths_close_price_index",$A204,$AE$2,"","")/thsiFinD("ths_close_price_index",$A204,$AE$3,"","")-1)*100,"")</f>
        <v/>
      </c>
      <c r="F204" s="10">
        <f>IFERROR((thsiFinD("ths_close_price_index",$A204,$AE$2,"","")/thsiFinD("ths_close_price_index",$A204,$AE$4,"","")-1)*100,"")</f>
        <v/>
      </c>
      <c r="G204" s="11">
        <f>IFERROR(E204/5-F204/20,"")</f>
        <v/>
      </c>
      <c r="H204" s="1" t="n">
        <v>100</v>
      </c>
      <c r="I204" s="1" t="inlineStr">
        <is>
          <t>002416.SZ</t>
        </is>
      </c>
      <c r="J204" s="1" t="inlineStr">
        <is>
          <t>爱施德</t>
        </is>
      </c>
      <c r="K204" s="1" t="n">
        <v>66.65779999999999</v>
      </c>
      <c r="L204" s="1" t="n">
        <v>55.24</v>
      </c>
      <c r="M204" s="1" t="inlineStr">
        <is>
          <t>000829.SZ</t>
        </is>
      </c>
      <c r="N204" s="1" t="inlineStr">
        <is>
          <t>天音控股</t>
        </is>
      </c>
      <c r="O204" s="1" t="n">
        <v>54.0176</v>
      </c>
      <c r="P204" s="1" t="n">
        <v>44.76</v>
      </c>
    </row>
    <row r="205">
      <c r="A205" s="1" t="inlineStr">
        <is>
          <t>CI005229.CI</t>
        </is>
      </c>
      <c r="B205" s="1" t="inlineStr">
        <is>
          <t>板材指数</t>
        </is>
      </c>
      <c r="C205" s="1" t="n">
        <v>16</v>
      </c>
      <c r="D205" s="10">
        <f>IFERROR((thsiFinD("ths_close_price_index",$A205,$AE$2,"","")/thsiFinD("ths_close_price_index",$A205,$AE$5,"","")-1)*100,"")</f>
        <v/>
      </c>
      <c r="E205" s="10">
        <f>IFERROR((thsiFinD("ths_close_price_index",$A205,$AE$2,"","")/thsiFinD("ths_close_price_index",$A205,$AE$3,"","")-1)*100,"")</f>
        <v/>
      </c>
      <c r="F205" s="10">
        <f>IFERROR((thsiFinD("ths_close_price_index",$A205,$AE$2,"","")/thsiFinD("ths_close_price_index",$A205,$AE$4,"","")-1)*100,"")</f>
        <v/>
      </c>
      <c r="G205" s="11">
        <f>IFERROR(E205/5-F205/20,"")</f>
        <v/>
      </c>
      <c r="H205" s="1" t="n">
        <v>83.64</v>
      </c>
      <c r="I205" s="1" t="inlineStr">
        <is>
          <t>600010.SH</t>
        </is>
      </c>
      <c r="J205" s="1" t="inlineStr">
        <is>
          <t>包钢股份</t>
        </is>
      </c>
      <c r="K205" s="1" t="n">
        <v>500.98</v>
      </c>
      <c r="L205" s="1" t="n">
        <v>34.64</v>
      </c>
      <c r="M205" s="1" t="inlineStr">
        <is>
          <t>600019.SH</t>
        </is>
      </c>
      <c r="N205" s="1" t="inlineStr">
        <is>
          <t>宝钢股份</t>
        </is>
      </c>
      <c r="O205" s="1" t="n">
        <v>433.6544</v>
      </c>
      <c r="P205" s="1" t="n">
        <v>29.98</v>
      </c>
      <c r="Q205" s="1" t="inlineStr">
        <is>
          <t>600282.SH</t>
        </is>
      </c>
      <c r="R205" s="1" t="inlineStr">
        <is>
          <t>南钢股份</t>
        </is>
      </c>
      <c r="S205" s="1" t="n">
        <v>107.9126</v>
      </c>
      <c r="T205" s="1" t="n">
        <v>7.46</v>
      </c>
      <c r="U205" s="1" t="inlineStr">
        <is>
          <t>600126.SH</t>
        </is>
      </c>
      <c r="V205" s="1" t="inlineStr">
        <is>
          <t>杭钢股份</t>
        </is>
      </c>
      <c r="W205" s="1" t="n">
        <v>88.6112</v>
      </c>
      <c r="X205" s="1" t="n">
        <v>6.13</v>
      </c>
      <c r="Y205" s="1" t="inlineStr">
        <is>
          <t>000825.SZ</t>
        </is>
      </c>
      <c r="Z205" s="1" t="inlineStr">
        <is>
          <t>太钢不锈</t>
        </is>
      </c>
      <c r="AA205" s="1" t="n">
        <v>78.5762</v>
      </c>
      <c r="AB205" s="1" t="n">
        <v>5.43</v>
      </c>
    </row>
    <row r="206">
      <c r="A206" s="1" t="inlineStr">
        <is>
          <t>CI005321.CI</t>
        </is>
      </c>
      <c r="B206" s="1" t="inlineStr">
        <is>
          <t>医药流通指数</t>
        </is>
      </c>
      <c r="C206" s="1" t="n">
        <v>31</v>
      </c>
      <c r="D206" s="10">
        <f>IFERROR((thsiFinD("ths_close_price_index",$A206,$AE$2,"","")/thsiFinD("ths_close_price_index",$A206,$AE$5,"","")-1)*100,"")</f>
        <v/>
      </c>
      <c r="E206" s="10">
        <f>IFERROR((thsiFinD("ths_close_price_index",$A206,$AE$2,"","")/thsiFinD("ths_close_price_index",$A206,$AE$3,"","")-1)*100,"")</f>
        <v/>
      </c>
      <c r="F206" s="10">
        <f>IFERROR((thsiFinD("ths_close_price_index",$A206,$AE$2,"","")/thsiFinD("ths_close_price_index",$A206,$AE$4,"","")-1)*100,"")</f>
        <v/>
      </c>
      <c r="G206" s="11">
        <f>IFERROR(E206/5-F206/20,"")</f>
        <v/>
      </c>
      <c r="H206" s="1" t="n">
        <v>57.13</v>
      </c>
      <c r="I206" s="1" t="inlineStr">
        <is>
          <t>601607.SH</t>
        </is>
      </c>
      <c r="J206" s="1" t="inlineStr">
        <is>
          <t>上海医药</t>
        </is>
      </c>
      <c r="K206" s="1" t="n">
        <v>159.243</v>
      </c>
      <c r="L206" s="1" t="n">
        <v>19.4</v>
      </c>
      <c r="M206" s="1" t="inlineStr">
        <is>
          <t>600998.SH</t>
        </is>
      </c>
      <c r="N206" s="1" t="inlineStr">
        <is>
          <t>九州通</t>
        </is>
      </c>
      <c r="O206" s="1" t="n">
        <v>107.1214</v>
      </c>
      <c r="P206" s="1" t="n">
        <v>13.05</v>
      </c>
      <c r="Q206" s="1" t="inlineStr">
        <is>
          <t>600511.SH</t>
        </is>
      </c>
      <c r="R206" s="1" t="inlineStr">
        <is>
          <t>国药股份</t>
        </is>
      </c>
      <c r="S206" s="1" t="n">
        <v>92.5902</v>
      </c>
      <c r="T206" s="1" t="n">
        <v>11.28</v>
      </c>
      <c r="U206" s="1" t="inlineStr">
        <is>
          <t>600056.SH</t>
        </is>
      </c>
      <c r="V206" s="1" t="inlineStr">
        <is>
          <t>中国医药</t>
        </is>
      </c>
      <c r="W206" s="1" t="n">
        <v>63.9997</v>
      </c>
      <c r="X206" s="1" t="n">
        <v>7.8</v>
      </c>
      <c r="Y206" s="1" t="inlineStr">
        <is>
          <t>603368.SH</t>
        </is>
      </c>
      <c r="Z206" s="1" t="inlineStr">
        <is>
          <t>柳药集团</t>
        </is>
      </c>
      <c r="AA206" s="1" t="n">
        <v>45.9669</v>
      </c>
      <c r="AB206" s="1" t="n">
        <v>5.6</v>
      </c>
    </row>
    <row r="207">
      <c r="A207" s="1" t="inlineStr">
        <is>
          <t>CI005289.CI</t>
        </is>
      </c>
      <c r="B207" s="1" t="inlineStr">
        <is>
          <t>兵器兵装Ⅲ指数</t>
        </is>
      </c>
      <c r="C207" s="1" t="n">
        <v>12</v>
      </c>
      <c r="D207" s="10">
        <f>IFERROR((thsiFinD("ths_close_price_index",$A207,$AE$2,"","")/thsiFinD("ths_close_price_index",$A207,$AE$5,"","")-1)*100,"")</f>
        <v/>
      </c>
      <c r="E207" s="10">
        <f>IFERROR((thsiFinD("ths_close_price_index",$A207,$AE$2,"","")/thsiFinD("ths_close_price_index",$A207,$AE$3,"","")-1)*100,"")</f>
        <v/>
      </c>
      <c r="F207" s="10">
        <f>IFERROR((thsiFinD("ths_close_price_index",$A207,$AE$2,"","")/thsiFinD("ths_close_price_index",$A207,$AE$4,"","")-1)*100,"")</f>
        <v/>
      </c>
      <c r="G207" s="11">
        <f>IFERROR(E207/5-F207/20,"")</f>
        <v/>
      </c>
      <c r="H207" s="1" t="n">
        <v>69.63</v>
      </c>
      <c r="I207" s="1" t="inlineStr">
        <is>
          <t>000519.SZ</t>
        </is>
      </c>
      <c r="J207" s="1" t="inlineStr">
        <is>
          <t>中兵红箭</t>
        </is>
      </c>
      <c r="K207" s="1" t="n">
        <v>182.4009</v>
      </c>
      <c r="L207" s="1" t="n">
        <v>23.2</v>
      </c>
      <c r="M207" s="1" t="inlineStr">
        <is>
          <t>600435.SH</t>
        </is>
      </c>
      <c r="N207" s="1" t="inlineStr">
        <is>
          <t>北方导航</t>
        </is>
      </c>
      <c r="O207" s="1" t="n">
        <v>112.2391</v>
      </c>
      <c r="P207" s="1" t="n">
        <v>14.28</v>
      </c>
      <c r="Q207" s="1" t="inlineStr">
        <is>
          <t>600967.SH</t>
        </is>
      </c>
      <c r="R207" s="1" t="inlineStr">
        <is>
          <t>内蒙一机</t>
        </is>
      </c>
      <c r="S207" s="1" t="n">
        <v>90.25230000000001</v>
      </c>
      <c r="T207" s="1" t="n">
        <v>11.48</v>
      </c>
      <c r="U207" s="1" t="inlineStr">
        <is>
          <t>601606.SH</t>
        </is>
      </c>
      <c r="V207" s="1" t="inlineStr">
        <is>
          <t>长城军工</t>
        </is>
      </c>
      <c r="W207" s="1" t="n">
        <v>89.8837</v>
      </c>
      <c r="X207" s="1" t="n">
        <v>11.43</v>
      </c>
      <c r="Y207" s="1" t="inlineStr">
        <is>
          <t>301571.SZ</t>
        </is>
      </c>
      <c r="Z207" s="1" t="inlineStr">
        <is>
          <t>国科天成</t>
        </is>
      </c>
      <c r="AA207" s="1" t="n">
        <v>72.6403</v>
      </c>
      <c r="AB207" s="1" t="n">
        <v>9.24</v>
      </c>
    </row>
    <row r="208">
      <c r="A208" s="1" t="inlineStr">
        <is>
          <t>CI005506.CI</t>
        </is>
      </c>
      <c r="B208" s="1" t="inlineStr">
        <is>
          <t>其他纺织指数</t>
        </is>
      </c>
      <c r="C208" s="1" t="n">
        <v>21</v>
      </c>
      <c r="D208" s="10">
        <f>IFERROR((thsiFinD("ths_close_price_index",$A208,$AE$2,"","")/thsiFinD("ths_close_price_index",$A208,$AE$5,"","")-1)*100,"")</f>
        <v/>
      </c>
      <c r="E208" s="10">
        <f>IFERROR((thsiFinD("ths_close_price_index",$A208,$AE$2,"","")/thsiFinD("ths_close_price_index",$A208,$AE$3,"","")-1)*100,"")</f>
        <v/>
      </c>
      <c r="F208" s="10">
        <f>IFERROR((thsiFinD("ths_close_price_index",$A208,$AE$2,"","")/thsiFinD("ths_close_price_index",$A208,$AE$4,"","")-1)*100,"")</f>
        <v/>
      </c>
      <c r="G208" s="11">
        <f>IFERROR(E208/5-F208/20,"")</f>
        <v/>
      </c>
      <c r="H208" s="1" t="n">
        <v>48.96</v>
      </c>
      <c r="I208" s="1" t="inlineStr">
        <is>
          <t>002003.SZ</t>
        </is>
      </c>
      <c r="J208" s="1" t="inlineStr">
        <is>
          <t>伟星股份</t>
        </is>
      </c>
      <c r="K208" s="1" t="n">
        <v>60.2156</v>
      </c>
      <c r="L208" s="1" t="n">
        <v>13.28</v>
      </c>
      <c r="M208" s="1" t="inlineStr">
        <is>
          <t>300979.SZ</t>
        </is>
      </c>
      <c r="N208" s="1" t="inlineStr">
        <is>
          <t>华利集团</t>
        </is>
      </c>
      <c r="O208" s="1" t="n">
        <v>56.5355</v>
      </c>
      <c r="P208" s="1" t="n">
        <v>12.47</v>
      </c>
      <c r="Q208" s="1" t="inlineStr">
        <is>
          <t>300819.SZ</t>
        </is>
      </c>
      <c r="R208" s="1" t="inlineStr">
        <is>
          <t>聚杰微纤</t>
        </is>
      </c>
      <c r="S208" s="1" t="n">
        <v>38.6321</v>
      </c>
      <c r="T208" s="1" t="n">
        <v>8.52</v>
      </c>
      <c r="U208" s="1" t="inlineStr">
        <is>
          <t>601718.SH</t>
        </is>
      </c>
      <c r="V208" s="1" t="inlineStr">
        <is>
          <t>ST际华</t>
        </is>
      </c>
      <c r="W208" s="1" t="n">
        <v>35.1157</v>
      </c>
      <c r="X208" s="1" t="n">
        <v>7.74</v>
      </c>
      <c r="Y208" s="1" t="inlineStr">
        <is>
          <t>300918.SZ</t>
        </is>
      </c>
      <c r="Z208" s="1" t="inlineStr">
        <is>
          <t>南山智尚</t>
        </is>
      </c>
      <c r="AA208" s="1" t="n">
        <v>31.4972</v>
      </c>
      <c r="AB208" s="1" t="n">
        <v>6.95</v>
      </c>
    </row>
    <row r="209">
      <c r="A209" s="1" t="inlineStr">
        <is>
          <t>CI005293.CI</t>
        </is>
      </c>
      <c r="B209" s="1" t="inlineStr">
        <is>
          <t>客车指数</t>
        </is>
      </c>
      <c r="C209" s="1" t="n">
        <v>6</v>
      </c>
      <c r="D209" s="10">
        <f>IFERROR((thsiFinD("ths_close_price_index",$A209,$AE$2,"","")/thsiFinD("ths_close_price_index",$A209,$AE$5,"","")-1)*100,"")</f>
        <v/>
      </c>
      <c r="E209" s="10">
        <f>IFERROR((thsiFinD("ths_close_price_index",$A209,$AE$2,"","")/thsiFinD("ths_close_price_index",$A209,$AE$3,"","")-1)*100,"")</f>
        <v/>
      </c>
      <c r="F209" s="10">
        <f>IFERROR((thsiFinD("ths_close_price_index",$A209,$AE$2,"","")/thsiFinD("ths_close_price_index",$A209,$AE$4,"","")-1)*100,"")</f>
        <v/>
      </c>
      <c r="G209" s="11">
        <f>IFERROR(E209/5-F209/20,"")</f>
        <v/>
      </c>
      <c r="H209" s="1" t="n">
        <v>96.98</v>
      </c>
      <c r="I209" s="1" t="inlineStr">
        <is>
          <t>600066.SH</t>
        </is>
      </c>
      <c r="J209" s="1" t="inlineStr">
        <is>
          <t>宇通客车</t>
        </is>
      </c>
      <c r="K209" s="1" t="n">
        <v>354.1994</v>
      </c>
      <c r="L209" s="1" t="n">
        <v>69.90000000000001</v>
      </c>
      <c r="M209" s="1" t="inlineStr">
        <is>
          <t>600686.SH</t>
        </is>
      </c>
      <c r="N209" s="1" t="inlineStr">
        <is>
          <t>金龙汽车</t>
        </is>
      </c>
      <c r="O209" s="1" t="n">
        <v>49.5622</v>
      </c>
      <c r="P209" s="1" t="n">
        <v>9.779999999999999</v>
      </c>
      <c r="Q209" s="1" t="inlineStr">
        <is>
          <t>000957.SZ</t>
        </is>
      </c>
      <c r="R209" s="1" t="inlineStr">
        <is>
          <t>中通客车</t>
        </is>
      </c>
      <c r="S209" s="1" t="n">
        <v>39.4996</v>
      </c>
      <c r="T209" s="1" t="n">
        <v>7.8</v>
      </c>
      <c r="U209" s="1" t="inlineStr">
        <is>
          <t>600609.SH</t>
        </is>
      </c>
      <c r="V209" s="1" t="inlineStr">
        <is>
          <t>金杯汽车</t>
        </is>
      </c>
      <c r="W209" s="1" t="n">
        <v>30.6466</v>
      </c>
      <c r="X209" s="1" t="n">
        <v>6.05</v>
      </c>
      <c r="Y209" s="1" t="inlineStr">
        <is>
          <t>000868.SZ</t>
        </is>
      </c>
      <c r="Z209" s="1" t="inlineStr">
        <is>
          <t>安凯客车</t>
        </is>
      </c>
      <c r="AA209" s="1" t="n">
        <v>17.4736</v>
      </c>
      <c r="AB209" s="1" t="n">
        <v>3.45</v>
      </c>
    </row>
    <row r="210">
      <c r="A210" s="1" t="inlineStr">
        <is>
          <t>CI005561.CI</t>
        </is>
      </c>
      <c r="B210" s="1" t="inlineStr">
        <is>
          <t>专用计算机设备指数</t>
        </is>
      </c>
      <c r="C210" s="1" t="n">
        <v>57</v>
      </c>
      <c r="D210" s="10">
        <f>IFERROR((thsiFinD("ths_close_price_index",$A210,$AE$2,"","")/thsiFinD("ths_close_price_index",$A210,$AE$5,"","")-1)*100,"")</f>
        <v/>
      </c>
      <c r="E210" s="10">
        <f>IFERROR((thsiFinD("ths_close_price_index",$A210,$AE$2,"","")/thsiFinD("ths_close_price_index",$A210,$AE$3,"","")-1)*100,"")</f>
        <v/>
      </c>
      <c r="F210" s="10">
        <f>IFERROR((thsiFinD("ths_close_price_index",$A210,$AE$2,"","")/thsiFinD("ths_close_price_index",$A210,$AE$4,"","")-1)*100,"")</f>
        <v/>
      </c>
      <c r="G210" s="11">
        <f>IFERROR(E210/5-F210/20,"")</f>
        <v/>
      </c>
      <c r="H210" s="1" t="n">
        <v>31.35</v>
      </c>
      <c r="I210" s="1" t="inlineStr">
        <is>
          <t>603516.SH</t>
        </is>
      </c>
      <c r="J210" s="1" t="inlineStr">
        <is>
          <t>淳中科技</t>
        </is>
      </c>
      <c r="K210" s="1" t="n">
        <v>198.6192</v>
      </c>
      <c r="L210" s="1" t="n">
        <v>7.7</v>
      </c>
      <c r="M210" s="1" t="inlineStr">
        <is>
          <t>688018.SH</t>
        </is>
      </c>
      <c r="N210" s="1" t="inlineStr">
        <is>
          <t>乐鑫科技</t>
        </is>
      </c>
      <c r="O210" s="1" t="n">
        <v>183.0517</v>
      </c>
      <c r="P210" s="1" t="n">
        <v>7.1</v>
      </c>
      <c r="Q210" s="1" t="inlineStr">
        <is>
          <t>688188.SH</t>
        </is>
      </c>
      <c r="R210" s="1" t="inlineStr">
        <is>
          <t>柏楚电子</t>
        </is>
      </c>
      <c r="S210" s="1" t="n">
        <v>158.9096</v>
      </c>
      <c r="T210" s="1" t="n">
        <v>6.16</v>
      </c>
      <c r="U210" s="1" t="inlineStr">
        <is>
          <t>301275.SZ</t>
        </is>
      </c>
      <c r="V210" s="1" t="inlineStr">
        <is>
          <t>汉朔科技</t>
        </is>
      </c>
      <c r="W210" s="1" t="n">
        <v>137.8236</v>
      </c>
      <c r="X210" s="1" t="n">
        <v>5.34</v>
      </c>
      <c r="Y210" s="1" t="inlineStr">
        <is>
          <t>000997.SZ</t>
        </is>
      </c>
      <c r="Z210" s="1" t="inlineStr">
        <is>
          <t>新大陆</t>
        </is>
      </c>
      <c r="AA210" s="1" t="n">
        <v>130.3513</v>
      </c>
      <c r="AB210" s="1" t="n">
        <v>5.05</v>
      </c>
    </row>
    <row r="211">
      <c r="A211" s="1" t="inlineStr">
        <is>
          <t>CI005302.CI</t>
        </is>
      </c>
      <c r="B211" s="1" t="inlineStr">
        <is>
          <t>景区指数</t>
        </is>
      </c>
      <c r="C211" s="1" t="n">
        <v>17</v>
      </c>
      <c r="D211" s="10">
        <f>IFERROR((thsiFinD("ths_close_price_index",$A211,$AE$2,"","")/thsiFinD("ths_close_price_index",$A211,$AE$5,"","")-1)*100,"")</f>
        <v/>
      </c>
      <c r="E211" s="10">
        <f>IFERROR((thsiFinD("ths_close_price_index",$A211,$AE$2,"","")/thsiFinD("ths_close_price_index",$A211,$AE$3,"","")-1)*100,"")</f>
        <v/>
      </c>
      <c r="F211" s="10">
        <f>IFERROR((thsiFinD("ths_close_price_index",$A211,$AE$2,"","")/thsiFinD("ths_close_price_index",$A211,$AE$4,"","")-1)*100,"")</f>
        <v/>
      </c>
      <c r="G211" s="11">
        <f>IFERROR(E211/5-F211/20,"")</f>
        <v/>
      </c>
      <c r="H211" s="1" t="n">
        <v>49.78</v>
      </c>
      <c r="I211" s="1" t="inlineStr">
        <is>
          <t>300144.SZ</t>
        </is>
      </c>
      <c r="J211" s="1" t="inlineStr">
        <is>
          <t>宋城演艺</t>
        </is>
      </c>
      <c r="K211" s="1" t="n">
        <v>94.7107</v>
      </c>
      <c r="L211" s="1" t="n">
        <v>20.93</v>
      </c>
      <c r="M211" s="1" t="inlineStr">
        <is>
          <t>600138.SH</t>
        </is>
      </c>
      <c r="N211" s="1" t="inlineStr">
        <is>
          <t>中青旅</t>
        </is>
      </c>
      <c r="O211" s="1" t="n">
        <v>39.1966</v>
      </c>
      <c r="P211" s="1" t="n">
        <v>8.66</v>
      </c>
      <c r="Q211" s="1" t="inlineStr">
        <is>
          <t>603099.SH</t>
        </is>
      </c>
      <c r="R211" s="1" t="inlineStr">
        <is>
          <t>长白山</t>
        </is>
      </c>
      <c r="S211" s="1" t="n">
        <v>34.9449</v>
      </c>
      <c r="T211" s="1" t="n">
        <v>7.72</v>
      </c>
      <c r="U211" s="1" t="inlineStr">
        <is>
          <t>000888.SZ</t>
        </is>
      </c>
      <c r="V211" s="1" t="inlineStr">
        <is>
          <t>峨眉山A</t>
        </is>
      </c>
      <c r="W211" s="1" t="n">
        <v>29.9171</v>
      </c>
      <c r="X211" s="1" t="n">
        <v>6.61</v>
      </c>
      <c r="Y211" s="1" t="inlineStr">
        <is>
          <t>300859.SZ</t>
        </is>
      </c>
      <c r="Z211" s="1" t="inlineStr">
        <is>
          <t>西域旅游</t>
        </is>
      </c>
      <c r="AA211" s="1" t="n">
        <v>26.5028</v>
      </c>
      <c r="AB211" s="1" t="n">
        <v>5.86</v>
      </c>
    </row>
    <row r="212">
      <c r="A212" s="1" t="inlineStr">
        <is>
          <t>CI005324.CI</t>
        </is>
      </c>
      <c r="B212" s="1" t="inlineStr">
        <is>
          <t>白酒指数</t>
        </is>
      </c>
      <c r="C212" s="1" t="n">
        <v>20</v>
      </c>
      <c r="D212" s="10">
        <f>IFERROR((thsiFinD("ths_close_price_index",$A212,$AE$2,"","")/thsiFinD("ths_close_price_index",$A212,$AE$5,"","")-1)*100,"")</f>
        <v/>
      </c>
      <c r="E212" s="10">
        <f>IFERROR((thsiFinD("ths_close_price_index",$A212,$AE$2,"","")/thsiFinD("ths_close_price_index",$A212,$AE$3,"","")-1)*100,"")</f>
        <v/>
      </c>
      <c r="F212" s="10">
        <f>IFERROR((thsiFinD("ths_close_price_index",$A212,$AE$2,"","")/thsiFinD("ths_close_price_index",$A212,$AE$4,"","")-1)*100,"")</f>
        <v/>
      </c>
      <c r="G212" s="11">
        <f>IFERROR(E212/5-F212/20,"")</f>
        <v/>
      </c>
      <c r="H212" s="1" t="n">
        <v>91.12</v>
      </c>
      <c r="I212" s="1" t="inlineStr">
        <is>
          <t>600519.SH</t>
        </is>
      </c>
      <c r="J212" s="1" t="inlineStr">
        <is>
          <t>贵州茅台</t>
        </is>
      </c>
      <c r="K212" s="1" t="n">
        <v>6715.3947</v>
      </c>
      <c r="L212" s="1" t="n">
        <v>65.52</v>
      </c>
      <c r="M212" s="1" t="inlineStr">
        <is>
          <t>000858.SZ</t>
        </is>
      </c>
      <c r="N212" s="1" t="inlineStr">
        <is>
          <t>五粮液</t>
        </is>
      </c>
      <c r="O212" s="1" t="n">
        <v>1334.6202</v>
      </c>
      <c r="P212" s="1" t="n">
        <v>13.02</v>
      </c>
      <c r="Q212" s="1" t="inlineStr">
        <is>
          <t>000568.SZ</t>
        </is>
      </c>
      <c r="R212" s="1" t="inlineStr">
        <is>
          <t>泸州老窖</t>
        </is>
      </c>
      <c r="S212" s="1" t="n">
        <v>585.5626999999999</v>
      </c>
      <c r="T212" s="1" t="n">
        <v>5.71</v>
      </c>
      <c r="U212" s="1" t="inlineStr">
        <is>
          <t>600809.SH</t>
        </is>
      </c>
      <c r="V212" s="1" t="inlineStr">
        <is>
          <t>山西汾酒</t>
        </is>
      </c>
      <c r="W212" s="1" t="n">
        <v>464.3349</v>
      </c>
      <c r="X212" s="1" t="n">
        <v>4.53</v>
      </c>
      <c r="Y212" s="1" t="inlineStr">
        <is>
          <t>002304.SZ</t>
        </is>
      </c>
      <c r="Z212" s="1" t="inlineStr">
        <is>
          <t>洋河股份</t>
        </is>
      </c>
      <c r="AA212" s="1" t="n">
        <v>239.6008</v>
      </c>
      <c r="AB212" s="1" t="n">
        <v>2.34</v>
      </c>
    </row>
    <row r="213">
      <c r="A213" s="1" t="inlineStr">
        <is>
          <t>CI005515.CI</t>
        </is>
      </c>
      <c r="B213" s="1" t="inlineStr">
        <is>
          <t>休闲食品指数</t>
        </is>
      </c>
      <c r="C213" s="1" t="n">
        <v>26</v>
      </c>
      <c r="D213" s="10">
        <f>IFERROR((thsiFinD("ths_close_price_index",$A213,$AE$2,"","")/thsiFinD("ths_close_price_index",$A213,$AE$5,"","")-1)*100,"")</f>
        <v/>
      </c>
      <c r="E213" s="10">
        <f>IFERROR((thsiFinD("ths_close_price_index",$A213,$AE$2,"","")/thsiFinD("ths_close_price_index",$A213,$AE$3,"","")-1)*100,"")</f>
        <v/>
      </c>
      <c r="F213" s="10">
        <f>IFERROR((thsiFinD("ths_close_price_index",$A213,$AE$2,"","")/thsiFinD("ths_close_price_index",$A213,$AE$4,"","")-1)*100,"")</f>
        <v/>
      </c>
      <c r="G213" s="11">
        <f>IFERROR(E213/5-F213/20,"")</f>
        <v/>
      </c>
      <c r="H213" s="1" t="n">
        <v>36.38</v>
      </c>
      <c r="I213" s="1" t="inlineStr">
        <is>
          <t>002557.SZ</t>
        </is>
      </c>
      <c r="J213" s="1" t="inlineStr">
        <is>
          <t>洽洽食品</t>
        </is>
      </c>
      <c r="K213" s="1" t="n">
        <v>53.5482</v>
      </c>
      <c r="L213" s="1" t="n">
        <v>9.76</v>
      </c>
      <c r="M213" s="1" t="inlineStr">
        <is>
          <t>002847.SZ</t>
        </is>
      </c>
      <c r="N213" s="1" t="inlineStr">
        <is>
          <t>盐津铺子</t>
        </is>
      </c>
      <c r="O213" s="1" t="n">
        <v>46.8748</v>
      </c>
      <c r="P213" s="1" t="n">
        <v>8.550000000000001</v>
      </c>
      <c r="Q213" s="1" t="inlineStr">
        <is>
          <t>300783.SZ</t>
        </is>
      </c>
      <c r="R213" s="1" t="inlineStr">
        <is>
          <t>三只松鼠</t>
        </is>
      </c>
      <c r="S213" s="1" t="n">
        <v>38.5811</v>
      </c>
      <c r="T213" s="1" t="n">
        <v>7.03</v>
      </c>
      <c r="U213" s="1" t="inlineStr">
        <is>
          <t>603517.SH</t>
        </is>
      </c>
      <c r="V213" s="1" t="inlineStr">
        <is>
          <t>ST绝味</t>
        </is>
      </c>
      <c r="W213" s="1" t="n">
        <v>31.3675</v>
      </c>
      <c r="X213" s="1" t="n">
        <v>5.72</v>
      </c>
      <c r="Y213" s="1" t="inlineStr">
        <is>
          <t>002956.SZ</t>
        </is>
      </c>
      <c r="Z213" s="1" t="inlineStr">
        <is>
          <t>西麦食品</t>
        </is>
      </c>
      <c r="AA213" s="1" t="n">
        <v>29.1741</v>
      </c>
      <c r="AB213" s="1" t="n">
        <v>5.32</v>
      </c>
    </row>
    <row r="214">
      <c r="A214" s="1" t="inlineStr">
        <is>
          <t>CI005296.CI</t>
        </is>
      </c>
      <c r="B214" s="1" t="inlineStr">
        <is>
          <t>汽车销售及服务Ⅲ指数</t>
        </is>
      </c>
      <c r="C214" s="1" t="n">
        <v>5</v>
      </c>
      <c r="D214" s="10">
        <f>IFERROR((thsiFinD("ths_close_price_index",$A214,$AE$2,"","")/thsiFinD("ths_close_price_index",$A214,$AE$5,"","")-1)*100,"")</f>
        <v/>
      </c>
      <c r="E214" s="10">
        <f>IFERROR((thsiFinD("ths_close_price_index",$A214,$AE$2,"","")/thsiFinD("ths_close_price_index",$A214,$AE$3,"","")-1)*100,"")</f>
        <v/>
      </c>
      <c r="F214" s="10">
        <f>IFERROR((thsiFinD("ths_close_price_index",$A214,$AE$2,"","")/thsiFinD("ths_close_price_index",$A214,$AE$4,"","")-1)*100,"")</f>
        <v/>
      </c>
      <c r="G214" s="11">
        <f>IFERROR(E214/5-F214/20,"")</f>
        <v/>
      </c>
      <c r="H214" s="1" t="n">
        <v>100</v>
      </c>
      <c r="I214" s="1" t="inlineStr">
        <is>
          <t>600335.SH</t>
        </is>
      </c>
      <c r="J214" s="1" t="inlineStr">
        <is>
          <t>国机汽车</t>
        </is>
      </c>
      <c r="K214" s="1" t="n">
        <v>23.8202</v>
      </c>
      <c r="L214" s="1" t="n">
        <v>25.81</v>
      </c>
      <c r="M214" s="1" t="inlineStr">
        <is>
          <t>600653.SH</t>
        </is>
      </c>
      <c r="N214" s="1" t="inlineStr">
        <is>
          <t>申华控股</t>
        </is>
      </c>
      <c r="O214" s="1" t="n">
        <v>22.4586</v>
      </c>
      <c r="P214" s="1" t="n">
        <v>24.34</v>
      </c>
      <c r="Q214" s="1" t="inlineStr">
        <is>
          <t>301215.SZ</t>
        </is>
      </c>
      <c r="R214" s="1" t="inlineStr">
        <is>
          <t>中汽股份</t>
        </is>
      </c>
      <c r="S214" s="1" t="n">
        <v>20.2826</v>
      </c>
      <c r="T214" s="1" t="n">
        <v>21.98</v>
      </c>
      <c r="U214" s="1" t="inlineStr">
        <is>
          <t>000757.SZ</t>
        </is>
      </c>
      <c r="V214" s="1" t="inlineStr">
        <is>
          <t>浩物股份</t>
        </is>
      </c>
      <c r="W214" s="1" t="n">
        <v>17.3664</v>
      </c>
      <c r="X214" s="1" t="n">
        <v>18.82</v>
      </c>
      <c r="Y214" s="1" t="inlineStr">
        <is>
          <t>605151.SH</t>
        </is>
      </c>
      <c r="Z214" s="1" t="inlineStr">
        <is>
          <t>西上海</t>
        </is>
      </c>
      <c r="AA214" s="1" t="n">
        <v>8.3491</v>
      </c>
      <c r="AB214" s="1" t="n">
        <v>9.050000000000001</v>
      </c>
    </row>
    <row r="215">
      <c r="A215" s="1" t="inlineStr">
        <is>
          <t>CI005351.CI</t>
        </is>
      </c>
      <c r="B215" s="1" t="inlineStr">
        <is>
          <t>园区综合开发指数</t>
        </is>
      </c>
      <c r="C215" s="1" t="n">
        <v>14</v>
      </c>
      <c r="D215" s="10">
        <f>IFERROR((thsiFinD("ths_close_price_index",$A215,$AE$2,"","")/thsiFinD("ths_close_price_index",$A215,$AE$5,"","")-1)*100,"")</f>
        <v/>
      </c>
      <c r="E215" s="10">
        <f>IFERROR((thsiFinD("ths_close_price_index",$A215,$AE$2,"","")/thsiFinD("ths_close_price_index",$A215,$AE$3,"","")-1)*100,"")</f>
        <v/>
      </c>
      <c r="F215" s="10">
        <f>IFERROR((thsiFinD("ths_close_price_index",$A215,$AE$2,"","")/thsiFinD("ths_close_price_index",$A215,$AE$4,"","")-1)*100,"")</f>
        <v/>
      </c>
      <c r="G215" s="11">
        <f>IFERROR(E215/5-F215/20,"")</f>
        <v/>
      </c>
      <c r="H215" s="1" t="n">
        <v>76.42</v>
      </c>
      <c r="I215" s="1" t="inlineStr">
        <is>
          <t>600895.SH</t>
        </is>
      </c>
      <c r="J215" s="1" t="inlineStr">
        <is>
          <t>张江高科</t>
        </is>
      </c>
      <c r="K215" s="1" t="n">
        <v>249.1988</v>
      </c>
      <c r="L215" s="1" t="n">
        <v>30.63</v>
      </c>
      <c r="M215" s="1" t="inlineStr">
        <is>
          <t>001979.SZ</t>
        </is>
      </c>
      <c r="N215" s="1" t="inlineStr">
        <is>
          <t>招商蛇口</t>
        </is>
      </c>
      <c r="O215" s="1" t="n">
        <v>236.466</v>
      </c>
      <c r="P215" s="1" t="n">
        <v>29.06</v>
      </c>
      <c r="Q215" s="1" t="inlineStr">
        <is>
          <t>600663.SH</t>
        </is>
      </c>
      <c r="R215" s="1" t="inlineStr">
        <is>
          <t>陆家嘴</t>
        </is>
      </c>
      <c r="S215" s="1" t="n">
        <v>53.3047</v>
      </c>
      <c r="T215" s="1" t="n">
        <v>6.55</v>
      </c>
      <c r="U215" s="1" t="inlineStr">
        <is>
          <t>600736.SH</t>
        </is>
      </c>
      <c r="V215" s="1" t="inlineStr">
        <is>
          <t>苏州高新</t>
        </is>
      </c>
      <c r="W215" s="1" t="n">
        <v>48.1441</v>
      </c>
      <c r="X215" s="1" t="n">
        <v>5.92</v>
      </c>
      <c r="Y215" s="1" t="inlineStr">
        <is>
          <t>600648.SH</t>
        </is>
      </c>
      <c r="Z215" s="1" t="inlineStr">
        <is>
          <t>外高桥</t>
        </is>
      </c>
      <c r="AA215" s="1" t="n">
        <v>34.6861</v>
      </c>
      <c r="AB215" s="1" t="n">
        <v>4.26</v>
      </c>
    </row>
    <row r="216">
      <c r="A216" s="1" t="inlineStr">
        <is>
          <t>CI005408.CI</t>
        </is>
      </c>
      <c r="B216" s="1" t="inlineStr">
        <is>
          <t>贸易流通指数</t>
        </is>
      </c>
      <c r="C216" s="1" t="n">
        <v>4</v>
      </c>
      <c r="D216" s="10">
        <f>IFERROR((thsiFinD("ths_close_price_index",$A216,$AE$2,"","")/thsiFinD("ths_close_price_index",$A216,$AE$5,"","")-1)*100,"")</f>
        <v/>
      </c>
      <c r="E216" s="10">
        <f>IFERROR((thsiFinD("ths_close_price_index",$A216,$AE$2,"","")/thsiFinD("ths_close_price_index",$A216,$AE$3,"","")-1)*100,"")</f>
        <v/>
      </c>
      <c r="F216" s="10">
        <f>IFERROR((thsiFinD("ths_close_price_index",$A216,$AE$2,"","")/thsiFinD("ths_close_price_index",$A216,$AE$4,"","")-1)*100,"")</f>
        <v/>
      </c>
      <c r="G216" s="11">
        <f>IFERROR(E216/5-F216/20,"")</f>
        <v/>
      </c>
      <c r="H216" s="1" t="n">
        <v>100</v>
      </c>
      <c r="I216" s="1" t="inlineStr">
        <is>
          <t>600058.SH</t>
        </is>
      </c>
      <c r="J216" s="1" t="inlineStr">
        <is>
          <t>五矿发展</t>
        </is>
      </c>
      <c r="K216" s="1" t="n">
        <v>45.3877</v>
      </c>
      <c r="L216" s="1" t="n">
        <v>54.09</v>
      </c>
      <c r="M216" s="1" t="inlineStr">
        <is>
          <t>000906.SZ</t>
        </is>
      </c>
      <c r="N216" s="1" t="inlineStr">
        <is>
          <t>浙商中拓</t>
        </is>
      </c>
      <c r="O216" s="1" t="n">
        <v>20.4316</v>
      </c>
      <c r="P216" s="1" t="n">
        <v>24.35</v>
      </c>
      <c r="Q216" s="1" t="inlineStr">
        <is>
          <t>605050.SH</t>
        </is>
      </c>
      <c r="R216" s="1" t="inlineStr">
        <is>
          <t>福然德</t>
        </is>
      </c>
      <c r="S216" s="1" t="n">
        <v>18.0928</v>
      </c>
      <c r="T216" s="1" t="n">
        <v>21.56</v>
      </c>
    </row>
    <row r="217">
      <c r="A217" s="1" t="inlineStr">
        <is>
          <t>CI005512.CI</t>
        </is>
      </c>
      <c r="B217" s="1" t="inlineStr">
        <is>
          <t>其他酒指数</t>
        </is>
      </c>
      <c r="C217" s="1" t="n">
        <v>10</v>
      </c>
      <c r="D217" s="10">
        <f>IFERROR((thsiFinD("ths_close_price_index",$A217,$AE$2,"","")/thsiFinD("ths_close_price_index",$A217,$AE$5,"","")-1)*100,"")</f>
        <v/>
      </c>
      <c r="E217" s="10">
        <f>IFERROR((thsiFinD("ths_close_price_index",$A217,$AE$2,"","")/thsiFinD("ths_close_price_index",$A217,$AE$3,"","")-1)*100,"")</f>
        <v/>
      </c>
      <c r="F217" s="10">
        <f>IFERROR((thsiFinD("ths_close_price_index",$A217,$AE$2,"","")/thsiFinD("ths_close_price_index",$A217,$AE$4,"","")-1)*100,"")</f>
        <v/>
      </c>
      <c r="G217" s="11">
        <f>IFERROR(E217/5-F217/20,"")</f>
        <v/>
      </c>
      <c r="H217" s="1" t="n">
        <v>73.26000000000001</v>
      </c>
      <c r="I217" s="1" t="inlineStr">
        <is>
          <t>002568.SZ</t>
        </is>
      </c>
      <c r="J217" s="1" t="inlineStr">
        <is>
          <t>百润股份</t>
        </is>
      </c>
      <c r="K217" s="1" t="n">
        <v>76.9652</v>
      </c>
      <c r="L217" s="1" t="n">
        <v>29.78</v>
      </c>
      <c r="M217" s="1" t="inlineStr">
        <is>
          <t>600059.SH</t>
        </is>
      </c>
      <c r="N217" s="1" t="inlineStr">
        <is>
          <t>古越龙山</t>
        </is>
      </c>
      <c r="O217" s="1" t="n">
        <v>43.3795</v>
      </c>
      <c r="P217" s="1" t="n">
        <v>16.78</v>
      </c>
      <c r="Q217" s="1" t="inlineStr">
        <is>
          <t>601579.SH</t>
        </is>
      </c>
      <c r="R217" s="1" t="inlineStr">
        <is>
          <t>会稽山</t>
        </is>
      </c>
      <c r="S217" s="1" t="n">
        <v>30.4597</v>
      </c>
      <c r="T217" s="1" t="n">
        <v>11.79</v>
      </c>
      <c r="U217" s="1" t="inlineStr">
        <is>
          <t>600084.SH</t>
        </is>
      </c>
      <c r="V217" s="1" t="inlineStr">
        <is>
          <t>*ST尼雅</t>
        </is>
      </c>
      <c r="W217" s="1" t="n">
        <v>20.2623</v>
      </c>
      <c r="X217" s="1" t="n">
        <v>7.84</v>
      </c>
      <c r="Y217" s="1" t="inlineStr">
        <is>
          <t>000869.SZ</t>
        </is>
      </c>
      <c r="Z217" s="1" t="inlineStr">
        <is>
          <t>张裕A</t>
        </is>
      </c>
      <c r="AA217" s="1" t="n">
        <v>18.2767</v>
      </c>
      <c r="AB217" s="1" t="n">
        <v>7.07</v>
      </c>
    </row>
    <row r="218">
      <c r="A218" s="1" t="inlineStr">
        <is>
          <t>CI005202.CI</t>
        </is>
      </c>
      <c r="B218" s="1" t="inlineStr">
        <is>
          <t>炼油指数</t>
        </is>
      </c>
      <c r="C218" s="1" t="n">
        <v>5</v>
      </c>
      <c r="D218" s="10">
        <f>IFERROR((thsiFinD("ths_close_price_index",$A218,$AE$2,"","")/thsiFinD("ths_close_price_index",$A218,$AE$5,"","")-1)*100,"")</f>
        <v/>
      </c>
      <c r="E218" s="10">
        <f>IFERROR((thsiFinD("ths_close_price_index",$A218,$AE$2,"","")/thsiFinD("ths_close_price_index",$A218,$AE$3,"","")-1)*100,"")</f>
        <v/>
      </c>
      <c r="F218" s="10">
        <f>IFERROR((thsiFinD("ths_close_price_index",$A218,$AE$2,"","")/thsiFinD("ths_close_price_index",$A218,$AE$4,"","")-1)*100,"")</f>
        <v/>
      </c>
      <c r="G218" s="11">
        <f>IFERROR(E218/5-F218/20,"")</f>
        <v/>
      </c>
      <c r="H218" s="1" t="n">
        <v>99.98999999999999</v>
      </c>
      <c r="I218" s="1" t="inlineStr">
        <is>
          <t>600028.SH</t>
        </is>
      </c>
      <c r="J218" s="1" t="inlineStr">
        <is>
          <t>中国石化</t>
        </is>
      </c>
      <c r="K218" s="1" t="n">
        <v>665.8434</v>
      </c>
      <c r="L218" s="1" t="n">
        <v>85.05</v>
      </c>
      <c r="M218" s="1" t="inlineStr">
        <is>
          <t>600688.SH</t>
        </is>
      </c>
      <c r="N218" s="1" t="inlineStr">
        <is>
          <t>上海石化</t>
        </is>
      </c>
      <c r="O218" s="1" t="n">
        <v>57.8664</v>
      </c>
      <c r="P218" s="1" t="n">
        <v>7.39</v>
      </c>
      <c r="Q218" s="1" t="inlineStr">
        <is>
          <t>000059.SZ</t>
        </is>
      </c>
      <c r="R218" s="1" t="inlineStr">
        <is>
          <t>华锦股份</t>
        </is>
      </c>
      <c r="S218" s="1" t="n">
        <v>34.8156</v>
      </c>
      <c r="T218" s="1" t="n">
        <v>4.45</v>
      </c>
      <c r="U218" s="1" t="inlineStr">
        <is>
          <t>000698.SZ</t>
        </is>
      </c>
      <c r="V218" s="1" t="inlineStr">
        <is>
          <t>ST沈化</t>
        </is>
      </c>
      <c r="W218" s="1" t="n">
        <v>13.4044</v>
      </c>
      <c r="X218" s="1" t="n">
        <v>1.71</v>
      </c>
      <c r="Y218" s="1" t="inlineStr">
        <is>
          <t>000637.SZ</t>
        </is>
      </c>
      <c r="Z218" s="1" t="inlineStr">
        <is>
          <t>茂化实华</t>
        </is>
      </c>
      <c r="AA218" s="1" t="n">
        <v>10.9126</v>
      </c>
      <c r="AB218" s="1" t="n">
        <v>1.39</v>
      </c>
    </row>
    <row r="219">
      <c r="A219" s="1" t="inlineStr">
        <is>
          <t>CI005211.CI</t>
        </is>
      </c>
      <c r="B219" s="1" t="inlineStr">
        <is>
          <t>焦炭指数</t>
        </is>
      </c>
      <c r="C219" s="1" t="n">
        <v>8</v>
      </c>
      <c r="D219" s="10">
        <f>IFERROR((thsiFinD("ths_close_price_index",$A219,$AE$2,"","")/thsiFinD("ths_close_price_index",$A219,$AE$5,"","")-1)*100,"")</f>
        <v/>
      </c>
      <c r="E219" s="10">
        <f>IFERROR((thsiFinD("ths_close_price_index",$A219,$AE$2,"","")/thsiFinD("ths_close_price_index",$A219,$AE$3,"","")-1)*100,"")</f>
        <v/>
      </c>
      <c r="F219" s="10">
        <f>IFERROR((thsiFinD("ths_close_price_index",$A219,$AE$2,"","")/thsiFinD("ths_close_price_index",$A219,$AE$4,"","")-1)*100,"")</f>
        <v/>
      </c>
      <c r="G219" s="11">
        <f>IFERROR(E219/5-F219/20,"")</f>
        <v/>
      </c>
      <c r="H219" s="1" t="n">
        <v>80.67</v>
      </c>
      <c r="I219" s="1" t="inlineStr">
        <is>
          <t>000723.SZ</t>
        </is>
      </c>
      <c r="J219" s="1" t="inlineStr">
        <is>
          <t>美锦能源</t>
        </is>
      </c>
      <c r="K219" s="1" t="n">
        <v>101.1589</v>
      </c>
      <c r="L219" s="1" t="n">
        <v>35.63</v>
      </c>
      <c r="M219" s="1" t="inlineStr">
        <is>
          <t>600740.SH</t>
        </is>
      </c>
      <c r="N219" s="1" t="inlineStr">
        <is>
          <t>山西焦化</t>
        </is>
      </c>
      <c r="O219" s="1" t="n">
        <v>38.7155</v>
      </c>
      <c r="P219" s="1" t="n">
        <v>13.64</v>
      </c>
      <c r="Q219" s="1" t="inlineStr">
        <is>
          <t>601011.SH</t>
        </is>
      </c>
      <c r="R219" s="1" t="inlineStr">
        <is>
          <t>宝泰隆</t>
        </is>
      </c>
      <c r="S219" s="1" t="n">
        <v>35.4085</v>
      </c>
      <c r="T219" s="1" t="n">
        <v>12.47</v>
      </c>
      <c r="U219" s="1" t="inlineStr">
        <is>
          <t>600725.SH</t>
        </is>
      </c>
      <c r="V219" s="1" t="inlineStr">
        <is>
          <t>云维股份</t>
        </is>
      </c>
      <c r="W219" s="1" t="n">
        <v>28.8037</v>
      </c>
      <c r="X219" s="1" t="n">
        <v>10.15</v>
      </c>
      <c r="Y219" s="1" t="inlineStr">
        <is>
          <t>601015.SH</t>
        </is>
      </c>
      <c r="Z219" s="1" t="inlineStr">
        <is>
          <t>陕西黑猫</t>
        </is>
      </c>
      <c r="AA219" s="1" t="n">
        <v>24.9132</v>
      </c>
      <c r="AB219" s="1" t="n">
        <v>8.779999999999999</v>
      </c>
    </row>
    <row r="220">
      <c r="A220" s="1" t="inlineStr">
        <is>
          <t>CI005374.CI</t>
        </is>
      </c>
      <c r="B220" s="1" t="inlineStr">
        <is>
          <t>综合Ⅲ指数</t>
        </is>
      </c>
      <c r="C220" s="1" t="n">
        <v>22</v>
      </c>
      <c r="D220" s="10">
        <f>IFERROR((thsiFinD("ths_close_price_index",$A220,$AE$2,"","")/thsiFinD("ths_close_price_index",$A220,$AE$5,"","")-1)*100,"")</f>
        <v/>
      </c>
      <c r="E220" s="10">
        <f>IFERROR((thsiFinD("ths_close_price_index",$A220,$AE$2,"","")/thsiFinD("ths_close_price_index",$A220,$AE$3,"","")-1)*100,"")</f>
        <v/>
      </c>
      <c r="F220" s="10">
        <f>IFERROR((thsiFinD("ths_close_price_index",$A220,$AE$2,"","")/thsiFinD("ths_close_price_index",$A220,$AE$4,"","")-1)*100,"")</f>
        <v/>
      </c>
      <c r="G220" s="11">
        <f>IFERROR(E220/5-F220/20,"")</f>
        <v/>
      </c>
      <c r="H220" s="1" t="n">
        <v>77.14</v>
      </c>
      <c r="I220" s="1" t="inlineStr">
        <is>
          <t>600770.SH</t>
        </is>
      </c>
      <c r="J220" s="1" t="inlineStr">
        <is>
          <t>综艺股份</t>
        </is>
      </c>
      <c r="K220" s="1" t="n">
        <v>42.595</v>
      </c>
      <c r="L220" s="1" t="n">
        <v>20.25</v>
      </c>
      <c r="M220" s="1" t="inlineStr">
        <is>
          <t>600382.SH</t>
        </is>
      </c>
      <c r="N220" s="1" t="inlineStr">
        <is>
          <t>广东明珠</t>
        </is>
      </c>
      <c r="O220" s="1" t="n">
        <v>36.9425</v>
      </c>
      <c r="P220" s="1" t="n">
        <v>17.56</v>
      </c>
      <c r="Q220" s="1" t="inlineStr">
        <is>
          <t>600784.SH</t>
        </is>
      </c>
      <c r="R220" s="1" t="inlineStr">
        <is>
          <t>鲁银投资</t>
        </is>
      </c>
      <c r="S220" s="1" t="n">
        <v>31.9363</v>
      </c>
      <c r="T220" s="1" t="n">
        <v>15.18</v>
      </c>
      <c r="U220" s="1" t="inlineStr">
        <is>
          <t>600538.SH</t>
        </is>
      </c>
      <c r="V220" s="1" t="inlineStr">
        <is>
          <t>国发股份</t>
        </is>
      </c>
      <c r="W220" s="1" t="n">
        <v>30.1258</v>
      </c>
      <c r="X220" s="1" t="n">
        <v>14.32</v>
      </c>
      <c r="Y220" s="1" t="inlineStr">
        <is>
          <t>600626.SH</t>
        </is>
      </c>
      <c r="Z220" s="1" t="inlineStr">
        <is>
          <t>申达股份</t>
        </is>
      </c>
      <c r="AA220" s="1" t="n">
        <v>20.6787</v>
      </c>
      <c r="AB220" s="1" t="n">
        <v>9.83</v>
      </c>
    </row>
    <row r="221">
      <c r="A221" s="1" t="inlineStr">
        <is>
          <t>CI005443.CI</t>
        </is>
      </c>
      <c r="B221" s="1" t="inlineStr">
        <is>
          <t>印刷指数</t>
        </is>
      </c>
      <c r="C221" s="1" t="n">
        <v>4</v>
      </c>
      <c r="D221" s="10">
        <f>IFERROR((thsiFinD("ths_close_price_index",$A221,$AE$2,"","")/thsiFinD("ths_close_price_index",$A221,$AE$5,"","")-1)*100,"")</f>
        <v/>
      </c>
      <c r="E221" s="10">
        <f>IFERROR((thsiFinD("ths_close_price_index",$A221,$AE$2,"","")/thsiFinD("ths_close_price_index",$A221,$AE$3,"","")-1)*100,"")</f>
        <v/>
      </c>
      <c r="F221" s="10">
        <f>IFERROR((thsiFinD("ths_close_price_index",$A221,$AE$2,"","")/thsiFinD("ths_close_price_index",$A221,$AE$4,"","")-1)*100,"")</f>
        <v/>
      </c>
      <c r="G221" s="11">
        <f>IFERROR(E221/5-F221/20,"")</f>
        <v/>
      </c>
      <c r="H221" s="1" t="n">
        <v>100.01</v>
      </c>
      <c r="I221" s="1" t="inlineStr">
        <is>
          <t>002229.SZ</t>
        </is>
      </c>
      <c r="J221" s="1" t="inlineStr">
        <is>
          <t>鸿博股份</t>
        </is>
      </c>
      <c r="K221" s="1" t="n">
        <v>58.587</v>
      </c>
      <c r="L221" s="1" t="n">
        <v>58.38</v>
      </c>
      <c r="M221" s="1" t="inlineStr">
        <is>
          <t>002117.SZ</t>
        </is>
      </c>
      <c r="N221" s="1" t="inlineStr">
        <is>
          <t>东港股份</t>
        </is>
      </c>
      <c r="O221" s="1" t="n">
        <v>31.3899</v>
      </c>
      <c r="P221" s="1" t="n">
        <v>31.28</v>
      </c>
      <c r="Q221" s="1" t="inlineStr">
        <is>
          <t>001279.SZ</t>
        </is>
      </c>
      <c r="R221" s="1" t="inlineStr">
        <is>
          <t>强邦新材</t>
        </is>
      </c>
      <c r="S221" s="1" t="n">
        <v>10.384</v>
      </c>
      <c r="T221" s="1" t="n">
        <v>10.35</v>
      </c>
    </row>
    <row r="222">
      <c r="A222" s="1" t="inlineStr">
        <is>
          <t>CI005514.CI</t>
        </is>
      </c>
      <c r="B222" s="1" t="inlineStr">
        <is>
          <t>其他食品指数</t>
        </is>
      </c>
      <c r="C222" s="1" t="n">
        <v>13</v>
      </c>
      <c r="D222" s="10">
        <f>IFERROR((thsiFinD("ths_close_price_index",$A222,$AE$2,"","")/thsiFinD("ths_close_price_index",$A222,$AE$5,"","")-1)*100,"")</f>
        <v/>
      </c>
      <c r="E222" s="10">
        <f>IFERROR((thsiFinD("ths_close_price_index",$A222,$AE$2,"","")/thsiFinD("ths_close_price_index",$A222,$AE$3,"","")-1)*100,"")</f>
        <v/>
      </c>
      <c r="F222" s="10">
        <f>IFERROR((thsiFinD("ths_close_price_index",$A222,$AE$2,"","")/thsiFinD("ths_close_price_index",$A222,$AE$4,"","")-1)*100,"")</f>
        <v/>
      </c>
      <c r="G222" s="11">
        <f>IFERROR(E222/5-F222/20,"")</f>
        <v/>
      </c>
      <c r="H222" s="1" t="n">
        <v>75.62</v>
      </c>
      <c r="I222" s="1" t="inlineStr">
        <is>
          <t>600298.SH</t>
        </is>
      </c>
      <c r="J222" s="1" t="inlineStr">
        <is>
          <t>安琪酵母</t>
        </is>
      </c>
      <c r="K222" s="1" t="n">
        <v>187.8874</v>
      </c>
      <c r="L222" s="1" t="n">
        <v>37.7</v>
      </c>
      <c r="M222" s="1" t="inlineStr">
        <is>
          <t>300146.SZ</t>
        </is>
      </c>
      <c r="N222" s="1" t="inlineStr">
        <is>
          <t>汤臣倍健</t>
        </is>
      </c>
      <c r="O222" s="1" t="n">
        <v>96.94370000000001</v>
      </c>
      <c r="P222" s="1" t="n">
        <v>19.45</v>
      </c>
      <c r="Q222" s="1" t="inlineStr">
        <is>
          <t>002626.SZ</t>
        </is>
      </c>
      <c r="R222" s="1" t="inlineStr">
        <is>
          <t>金达威</t>
        </is>
      </c>
      <c r="S222" s="1" t="n">
        <v>40.2741</v>
      </c>
      <c r="T222" s="1" t="n">
        <v>8.08</v>
      </c>
      <c r="U222" s="1" t="inlineStr">
        <is>
          <t>002481.SZ</t>
        </is>
      </c>
      <c r="V222" s="1" t="inlineStr">
        <is>
          <t>双塔食品</t>
        </is>
      </c>
      <c r="W222" s="1" t="n">
        <v>26.777</v>
      </c>
      <c r="X222" s="1" t="n">
        <v>5.37</v>
      </c>
      <c r="Y222" s="1" t="inlineStr">
        <is>
          <t>300858.SZ</t>
        </is>
      </c>
      <c r="Z222" s="1" t="inlineStr">
        <is>
          <t>科拓生物</t>
        </is>
      </c>
      <c r="AA222" s="1" t="n">
        <v>25.0053</v>
      </c>
      <c r="AB222" s="1" t="n">
        <v>5.02</v>
      </c>
    </row>
    <row r="223">
      <c r="A223" s="1" t="inlineStr">
        <is>
          <t>CI005447.CI</t>
        </is>
      </c>
      <c r="B223" s="1" t="inlineStr">
        <is>
          <t>家具指数</t>
        </is>
      </c>
      <c r="C223" s="1" t="n">
        <v>25</v>
      </c>
      <c r="D223" s="10">
        <f>IFERROR((thsiFinD("ths_close_price_index",$A223,$AE$2,"","")/thsiFinD("ths_close_price_index",$A223,$AE$5,"","")-1)*100,"")</f>
        <v/>
      </c>
      <c r="E223" s="10">
        <f>IFERROR((thsiFinD("ths_close_price_index",$A223,$AE$2,"","")/thsiFinD("ths_close_price_index",$A223,$AE$3,"","")-1)*100,"")</f>
        <v/>
      </c>
      <c r="F223" s="10">
        <f>IFERROR((thsiFinD("ths_close_price_index",$A223,$AE$2,"","")/thsiFinD("ths_close_price_index",$A223,$AE$4,"","")-1)*100,"")</f>
        <v/>
      </c>
      <c r="G223" s="11">
        <f>IFERROR(E223/5-F223/20,"")</f>
        <v/>
      </c>
      <c r="H223" s="1" t="n">
        <v>48.4</v>
      </c>
      <c r="I223" s="1" t="inlineStr">
        <is>
          <t>603816.SH</t>
        </is>
      </c>
      <c r="J223" s="1" t="inlineStr">
        <is>
          <t>顾家家居</t>
        </is>
      </c>
      <c r="K223" s="1" t="n">
        <v>107.3333</v>
      </c>
      <c r="L223" s="1" t="n">
        <v>17.96</v>
      </c>
      <c r="M223" s="1" t="inlineStr">
        <is>
          <t>603389.SH</t>
        </is>
      </c>
      <c r="N223" s="1" t="inlineStr">
        <is>
          <t>*ST亚振</t>
        </is>
      </c>
      <c r="O223" s="1" t="n">
        <v>63.4172</v>
      </c>
      <c r="P223" s="1" t="n">
        <v>10.61</v>
      </c>
      <c r="Q223" s="1" t="inlineStr">
        <is>
          <t>603833.SH</t>
        </is>
      </c>
      <c r="R223" s="1" t="inlineStr">
        <is>
          <t>欧派家居</t>
        </is>
      </c>
      <c r="S223" s="1" t="n">
        <v>52.9953</v>
      </c>
      <c r="T223" s="1" t="n">
        <v>8.869999999999999</v>
      </c>
      <c r="U223" s="1" t="inlineStr">
        <is>
          <t>002572.SZ</t>
        </is>
      </c>
      <c r="V223" s="1" t="inlineStr">
        <is>
          <t>索菲亚</t>
        </is>
      </c>
      <c r="W223" s="1" t="n">
        <v>36.0965</v>
      </c>
      <c r="X223" s="1" t="n">
        <v>6.04</v>
      </c>
      <c r="Y223" s="1" t="inlineStr">
        <is>
          <t>603610.SH</t>
        </is>
      </c>
      <c r="Z223" s="1" t="inlineStr">
        <is>
          <t>麒盛科技</t>
        </is>
      </c>
      <c r="AA223" s="1" t="n">
        <v>29.374</v>
      </c>
      <c r="AB223" s="1" t="n">
        <v>4.92</v>
      </c>
    </row>
    <row r="224">
      <c r="A224" s="1" t="inlineStr">
        <is>
          <t>CI005484.CI</t>
        </is>
      </c>
      <c r="B224" s="1" t="inlineStr">
        <is>
          <t>综合业态指数</t>
        </is>
      </c>
      <c r="C224" s="1" t="n">
        <v>9</v>
      </c>
      <c r="D224" s="10">
        <f>IFERROR((thsiFinD("ths_close_price_index",$A224,$AE$2,"","")/thsiFinD("ths_close_price_index",$A224,$AE$5,"","")-1)*100,"")</f>
        <v/>
      </c>
      <c r="E224" s="10">
        <f>IFERROR((thsiFinD("ths_close_price_index",$A224,$AE$2,"","")/thsiFinD("ths_close_price_index",$A224,$AE$3,"","")-1)*100,"")</f>
        <v/>
      </c>
      <c r="F224" s="10">
        <f>IFERROR((thsiFinD("ths_close_price_index",$A224,$AE$2,"","")/thsiFinD("ths_close_price_index",$A224,$AE$4,"","")-1)*100,"")</f>
        <v/>
      </c>
      <c r="G224" s="11">
        <f>IFERROR(E224/5-F224/20,"")</f>
        <v/>
      </c>
      <c r="H224" s="1" t="n">
        <v>72.45999999999999</v>
      </c>
      <c r="I224" s="1" t="inlineStr">
        <is>
          <t>000417.SZ</t>
        </is>
      </c>
      <c r="J224" s="1" t="inlineStr">
        <is>
          <t>合百集团</t>
        </is>
      </c>
      <c r="K224" s="1" t="n">
        <v>37.3561</v>
      </c>
      <c r="L224" s="1" t="n">
        <v>17.67</v>
      </c>
      <c r="M224" s="1" t="inlineStr">
        <is>
          <t>600729.SH</t>
        </is>
      </c>
      <c r="N224" s="1" t="inlineStr">
        <is>
          <t>重百集团</t>
        </is>
      </c>
      <c r="O224" s="1" t="n">
        <v>35.5505</v>
      </c>
      <c r="P224" s="1" t="n">
        <v>16.82</v>
      </c>
      <c r="Q224" s="1" t="inlineStr">
        <is>
          <t>600694.SH</t>
        </is>
      </c>
      <c r="R224" s="1" t="inlineStr">
        <is>
          <t>大商股份</t>
        </is>
      </c>
      <c r="S224" s="1" t="n">
        <v>32.4738</v>
      </c>
      <c r="T224" s="1" t="n">
        <v>15.36</v>
      </c>
      <c r="U224" s="1" t="inlineStr">
        <is>
          <t>002419.SZ</t>
        </is>
      </c>
      <c r="V224" s="1" t="inlineStr">
        <is>
          <t>天虹股份</t>
        </is>
      </c>
      <c r="W224" s="1" t="n">
        <v>27.5884</v>
      </c>
      <c r="X224" s="1" t="n">
        <v>13.05</v>
      </c>
      <c r="Y224" s="1" t="inlineStr">
        <is>
          <t>601010.SH</t>
        </is>
      </c>
      <c r="Z224" s="1" t="inlineStr">
        <is>
          <t>ST文峰</t>
        </is>
      </c>
      <c r="AA224" s="1" t="n">
        <v>20.2072</v>
      </c>
      <c r="AB224" s="1" t="n">
        <v>9.56</v>
      </c>
    </row>
    <row r="225">
      <c r="A225" s="1" t="inlineStr">
        <is>
          <t>CI005575.CI</t>
        </is>
      </c>
      <c r="B225" s="1" t="inlineStr">
        <is>
          <t>影视指数</t>
        </is>
      </c>
      <c r="C225" s="1" t="n">
        <v>18</v>
      </c>
      <c r="D225" s="10">
        <f>IFERROR((thsiFinD("ths_close_price_index",$A225,$AE$2,"","")/thsiFinD("ths_close_price_index",$A225,$AE$5,"","")-1)*100,"")</f>
        <v/>
      </c>
      <c r="E225" s="10">
        <f>IFERROR((thsiFinD("ths_close_price_index",$A225,$AE$2,"","")/thsiFinD("ths_close_price_index",$A225,$AE$3,"","")-1)*100,"")</f>
        <v/>
      </c>
      <c r="F225" s="10">
        <f>IFERROR((thsiFinD("ths_close_price_index",$A225,$AE$2,"","")/thsiFinD("ths_close_price_index",$A225,$AE$4,"","")-1)*100,"")</f>
        <v/>
      </c>
      <c r="G225" s="11">
        <f>IFERROR(E225/5-F225/20,"")</f>
        <v/>
      </c>
      <c r="H225" s="1" t="n">
        <v>63.67</v>
      </c>
      <c r="I225" s="1" t="inlineStr">
        <is>
          <t>300251.SZ</t>
        </is>
      </c>
      <c r="J225" s="1" t="inlineStr">
        <is>
          <t>光线传媒</t>
        </is>
      </c>
      <c r="K225" s="1" t="n">
        <v>154.3567</v>
      </c>
      <c r="L225" s="1" t="n">
        <v>16.94</v>
      </c>
      <c r="M225" s="1" t="inlineStr">
        <is>
          <t>300182.SZ</t>
        </is>
      </c>
      <c r="N225" s="1" t="inlineStr">
        <is>
          <t>捷成股份</t>
        </is>
      </c>
      <c r="O225" s="1" t="n">
        <v>121.4992</v>
      </c>
      <c r="P225" s="1" t="n">
        <v>13.33</v>
      </c>
      <c r="Q225" s="1" t="inlineStr">
        <is>
          <t>002739.SZ</t>
        </is>
      </c>
      <c r="R225" s="1" t="inlineStr">
        <is>
          <t>儒意电影</t>
        </is>
      </c>
      <c r="S225" s="1" t="n">
        <v>119.3167</v>
      </c>
      <c r="T225" s="1" t="n">
        <v>13.09</v>
      </c>
      <c r="U225" s="1" t="inlineStr">
        <is>
          <t>300133.SZ</t>
        </is>
      </c>
      <c r="V225" s="1" t="inlineStr">
        <is>
          <t>华策影视</t>
        </is>
      </c>
      <c r="W225" s="1" t="n">
        <v>98.4196</v>
      </c>
      <c r="X225" s="1" t="n">
        <v>10.8</v>
      </c>
      <c r="Y225" s="1" t="inlineStr">
        <is>
          <t>600977.SH</t>
        </is>
      </c>
      <c r="Z225" s="1" t="inlineStr">
        <is>
          <t>中国电影</t>
        </is>
      </c>
      <c r="AA225" s="1" t="n">
        <v>86.64490000000001</v>
      </c>
      <c r="AB225" s="1" t="n">
        <v>9.51</v>
      </c>
    </row>
    <row r="226">
      <c r="A226" s="1" t="inlineStr">
        <is>
          <t>CI005340.CI</t>
        </is>
      </c>
      <c r="B226" s="1" t="inlineStr">
        <is>
          <t>水产养殖指数</t>
        </is>
      </c>
      <c r="C226" s="1" t="n">
        <v>4</v>
      </c>
      <c r="D226" s="10">
        <f>IFERROR((thsiFinD("ths_close_price_index",$A226,$AE$2,"","")/thsiFinD("ths_close_price_index",$A226,$AE$5,"","")-1)*100,"")</f>
        <v/>
      </c>
      <c r="E226" s="10">
        <f>IFERROR((thsiFinD("ths_close_price_index",$A226,$AE$2,"","")/thsiFinD("ths_close_price_index",$A226,$AE$3,"","")-1)*100,"")</f>
        <v/>
      </c>
      <c r="F226" s="10">
        <f>IFERROR((thsiFinD("ths_close_price_index",$A226,$AE$2,"","")/thsiFinD("ths_close_price_index",$A226,$AE$4,"","")-1)*100,"")</f>
        <v/>
      </c>
      <c r="G226" s="11">
        <f>IFERROR(E226/5-F226/20,"")</f>
        <v/>
      </c>
      <c r="H226" s="1" t="n">
        <v>100</v>
      </c>
      <c r="I226" s="1" t="inlineStr">
        <is>
          <t>300094.SZ</t>
        </is>
      </c>
      <c r="J226" s="1" t="inlineStr">
        <is>
          <t>国联水产</t>
        </is>
      </c>
      <c r="K226" s="1" t="n">
        <v>22.6291</v>
      </c>
      <c r="L226" s="1" t="n">
        <v>40.01</v>
      </c>
      <c r="M226" s="1" t="inlineStr">
        <is>
          <t>600467.SH</t>
        </is>
      </c>
      <c r="N226" s="1" t="inlineStr">
        <is>
          <t>好当家</t>
        </is>
      </c>
      <c r="O226" s="1" t="n">
        <v>19.6182</v>
      </c>
      <c r="P226" s="1" t="n">
        <v>34.68</v>
      </c>
      <c r="Q226" s="1" t="inlineStr">
        <is>
          <t>002069.SZ</t>
        </is>
      </c>
      <c r="R226" s="1" t="inlineStr">
        <is>
          <t>獐子岛</t>
        </is>
      </c>
      <c r="S226" s="1" t="n">
        <v>14.3139</v>
      </c>
      <c r="T226" s="1" t="n">
        <v>25.31</v>
      </c>
    </row>
    <row r="227">
      <c r="A227" s="1" t="inlineStr">
        <is>
          <t>CI005505.CI</t>
        </is>
      </c>
      <c r="B227" s="1" t="inlineStr">
        <is>
          <t>厨房电器Ⅲ指数</t>
        </is>
      </c>
      <c r="C227" s="1" t="n">
        <v>8</v>
      </c>
      <c r="D227" s="10">
        <f>IFERROR((thsiFinD("ths_close_price_index",$A227,$AE$2,"","")/thsiFinD("ths_close_price_index",$A227,$AE$5,"","")-1)*100,"")</f>
        <v/>
      </c>
      <c r="E227" s="10">
        <f>IFERROR((thsiFinD("ths_close_price_index",$A227,$AE$2,"","")/thsiFinD("ths_close_price_index",$A227,$AE$3,"","")-1)*100,"")</f>
        <v/>
      </c>
      <c r="F227" s="10">
        <f>IFERROR((thsiFinD("ths_close_price_index",$A227,$AE$2,"","")/thsiFinD("ths_close_price_index",$A227,$AE$4,"","")-1)*100,"")</f>
        <v/>
      </c>
      <c r="G227" s="11">
        <f>IFERROR(E227/5-F227/20,"")</f>
        <v/>
      </c>
      <c r="H227" s="1" t="n">
        <v>80.11</v>
      </c>
      <c r="I227" s="1" t="inlineStr">
        <is>
          <t>002508.SZ</t>
        </is>
      </c>
      <c r="J227" s="1" t="inlineStr">
        <is>
          <t>老板电器</t>
        </is>
      </c>
      <c r="K227" s="1" t="n">
        <v>68.5128</v>
      </c>
      <c r="L227" s="1" t="n">
        <v>34.66</v>
      </c>
      <c r="M227" s="1" t="inlineStr">
        <is>
          <t>002035.SZ</t>
        </is>
      </c>
      <c r="N227" s="1" t="inlineStr">
        <is>
          <t>华帝股份</t>
        </is>
      </c>
      <c r="O227" s="1" t="n">
        <v>29.8997</v>
      </c>
      <c r="P227" s="1" t="n">
        <v>15.13</v>
      </c>
      <c r="Q227" s="1" t="inlineStr">
        <is>
          <t>603366.SH</t>
        </is>
      </c>
      <c r="R227" s="1" t="inlineStr">
        <is>
          <t>日出东方</t>
        </is>
      </c>
      <c r="S227" s="1" t="n">
        <v>21.3951</v>
      </c>
      <c r="T227" s="1" t="n">
        <v>10.82</v>
      </c>
      <c r="U227" s="1" t="inlineStr">
        <is>
          <t>300911.SZ</t>
        </is>
      </c>
      <c r="V227" s="1" t="inlineStr">
        <is>
          <t>亿田智能</t>
        </is>
      </c>
      <c r="W227" s="1" t="n">
        <v>19.7878</v>
      </c>
      <c r="X227" s="1" t="n">
        <v>10.01</v>
      </c>
      <c r="Y227" s="1" t="inlineStr">
        <is>
          <t>300894.SZ</t>
        </is>
      </c>
      <c r="Z227" s="1" t="inlineStr">
        <is>
          <t>火星人</t>
        </is>
      </c>
      <c r="AA227" s="1" t="n">
        <v>18.7655</v>
      </c>
      <c r="AB227" s="1" t="n">
        <v>9.49</v>
      </c>
    </row>
    <row r="228">
      <c r="A228" s="1" t="inlineStr">
        <is>
          <t>CI005304.CI</t>
        </is>
      </c>
      <c r="B228" s="1" t="inlineStr">
        <is>
          <t>酒店指数</t>
        </is>
      </c>
      <c r="C228" s="1" t="n">
        <v>5</v>
      </c>
      <c r="D228" s="10">
        <f>IFERROR((thsiFinD("ths_close_price_index",$A228,$AE$2,"","")/thsiFinD("ths_close_price_index",$A228,$AE$5,"","")-1)*100,"")</f>
        <v/>
      </c>
      <c r="E228" s="10">
        <f>IFERROR((thsiFinD("ths_close_price_index",$A228,$AE$2,"","")/thsiFinD("ths_close_price_index",$A228,$AE$3,"","")-1)*100,"")</f>
        <v/>
      </c>
      <c r="F228" s="10">
        <f>IFERROR((thsiFinD("ths_close_price_index",$A228,$AE$2,"","")/thsiFinD("ths_close_price_index",$A228,$AE$4,"","")-1)*100,"")</f>
        <v/>
      </c>
      <c r="G228" s="11">
        <f>IFERROR(E228/5-F228/20,"")</f>
        <v/>
      </c>
      <c r="H228" s="1" t="n">
        <v>99.98999999999999</v>
      </c>
      <c r="I228" s="1" t="inlineStr">
        <is>
          <t>600754.SH</t>
        </is>
      </c>
      <c r="J228" s="1" t="inlineStr">
        <is>
          <t>锦江酒店</t>
        </is>
      </c>
      <c r="K228" s="1" t="n">
        <v>82.22069999999999</v>
      </c>
      <c r="L228" s="1" t="n">
        <v>39.91</v>
      </c>
      <c r="M228" s="1" t="inlineStr">
        <is>
          <t>600258.SH</t>
        </is>
      </c>
      <c r="N228" s="1" t="inlineStr">
        <is>
          <t>首旅酒店</t>
        </is>
      </c>
      <c r="O228" s="1" t="n">
        <v>73.36320000000001</v>
      </c>
      <c r="P228" s="1" t="n">
        <v>35.61</v>
      </c>
      <c r="Q228" s="1" t="inlineStr">
        <is>
          <t>000428.SZ</t>
        </is>
      </c>
      <c r="R228" s="1" t="inlineStr">
        <is>
          <t>华天酒店</t>
        </is>
      </c>
      <c r="S228" s="1" t="n">
        <v>22.2918</v>
      </c>
      <c r="T228" s="1" t="n">
        <v>10.82</v>
      </c>
      <c r="U228" s="1" t="inlineStr">
        <is>
          <t>601007.SH</t>
        </is>
      </c>
      <c r="V228" s="1" t="inlineStr">
        <is>
          <t>金陵饭店</t>
        </is>
      </c>
      <c r="W228" s="1" t="n">
        <v>14.1674</v>
      </c>
      <c r="X228" s="1" t="n">
        <v>6.88</v>
      </c>
      <c r="Y228" s="1" t="inlineStr">
        <is>
          <t>301073.SZ</t>
        </is>
      </c>
      <c r="Z228" s="1" t="inlineStr">
        <is>
          <t>君亭酒店</t>
        </is>
      </c>
      <c r="AA228" s="1" t="n">
        <v>13.9474</v>
      </c>
      <c r="AB228" s="1" t="n">
        <v>6.77</v>
      </c>
    </row>
    <row r="229">
      <c r="A229" s="1" t="inlineStr">
        <is>
          <t>CI005238.CI</t>
        </is>
      </c>
      <c r="B229" s="1" t="inlineStr">
        <is>
          <t>涤纶指数</t>
        </is>
      </c>
      <c r="C229" s="1" t="n">
        <v>9</v>
      </c>
      <c r="D229" s="10">
        <f>IFERROR((thsiFinD("ths_close_price_index",$A229,$AE$2,"","")/thsiFinD("ths_close_price_index",$A229,$AE$5,"","")-1)*100,"")</f>
        <v/>
      </c>
      <c r="E229" s="10">
        <f>IFERROR((thsiFinD("ths_close_price_index",$A229,$AE$2,"","")/thsiFinD("ths_close_price_index",$A229,$AE$3,"","")-1)*100,"")</f>
        <v/>
      </c>
      <c r="F229" s="10">
        <f>IFERROR((thsiFinD("ths_close_price_index",$A229,$AE$2,"","")/thsiFinD("ths_close_price_index",$A229,$AE$4,"","")-1)*100,"")</f>
        <v/>
      </c>
      <c r="G229" s="11">
        <f>IFERROR(E229/5-F229/20,"")</f>
        <v/>
      </c>
      <c r="H229" s="1" t="n">
        <v>74.97</v>
      </c>
      <c r="I229" s="1" t="inlineStr">
        <is>
          <t>002206.SZ</t>
        </is>
      </c>
      <c r="J229" s="1" t="inlineStr">
        <is>
          <t>海利得</t>
        </is>
      </c>
      <c r="K229" s="1" t="n">
        <v>42.3935</v>
      </c>
      <c r="L229" s="1" t="n">
        <v>26.11</v>
      </c>
      <c r="M229" s="1" t="inlineStr">
        <is>
          <t>000936.SZ</t>
        </is>
      </c>
      <c r="N229" s="1" t="inlineStr">
        <is>
          <t>华西股份</t>
        </is>
      </c>
      <c r="O229" s="1" t="n">
        <v>31.7555</v>
      </c>
      <c r="P229" s="1" t="n">
        <v>19.56</v>
      </c>
      <c r="Q229" s="1" t="inlineStr">
        <is>
          <t>002427.SZ</t>
        </is>
      </c>
      <c r="R229" s="1" t="inlineStr">
        <is>
          <t>尤夫股份</t>
        </is>
      </c>
      <c r="S229" s="1" t="n">
        <v>19.9024</v>
      </c>
      <c r="T229" s="1" t="n">
        <v>12.26</v>
      </c>
      <c r="U229" s="1" t="inlineStr">
        <is>
          <t>600370.SH</t>
        </is>
      </c>
      <c r="V229" s="1" t="inlineStr">
        <is>
          <t>*ST三房</t>
        </is>
      </c>
      <c r="W229" s="1" t="n">
        <v>13.854</v>
      </c>
      <c r="X229" s="1" t="n">
        <v>8.529999999999999</v>
      </c>
      <c r="Y229" s="1" t="inlineStr">
        <is>
          <t>301057.SZ</t>
        </is>
      </c>
      <c r="Z229" s="1" t="inlineStr">
        <is>
          <t>汇隆新材</t>
        </is>
      </c>
      <c r="AA229" s="1" t="n">
        <v>13.8183</v>
      </c>
      <c r="AB229" s="1" t="n">
        <v>8.51</v>
      </c>
    </row>
    <row r="230">
      <c r="A230" s="1" t="inlineStr">
        <is>
          <t>CI005501.CI</t>
        </is>
      </c>
      <c r="B230" s="1" t="inlineStr">
        <is>
          <t>人力资源服务指数</t>
        </is>
      </c>
      <c r="C230" s="1" t="n">
        <v>3</v>
      </c>
      <c r="D230" s="10">
        <f>IFERROR((thsiFinD("ths_close_price_index",$A230,$AE$2,"","")/thsiFinD("ths_close_price_index",$A230,$AE$5,"","")-1)*100,"")</f>
        <v/>
      </c>
      <c r="E230" s="10">
        <f>IFERROR((thsiFinD("ths_close_price_index",$A230,$AE$2,"","")/thsiFinD("ths_close_price_index",$A230,$AE$3,"","")-1)*100,"")</f>
        <v/>
      </c>
      <c r="F230" s="10">
        <f>IFERROR((thsiFinD("ths_close_price_index",$A230,$AE$2,"","")/thsiFinD("ths_close_price_index",$A230,$AE$4,"","")-1)*100,"")</f>
        <v/>
      </c>
      <c r="G230" s="11">
        <f>IFERROR(E230/5-F230/20,"")</f>
        <v/>
      </c>
      <c r="H230" s="1" t="n">
        <v>100</v>
      </c>
      <c r="I230" s="1" t="inlineStr">
        <is>
          <t>600861.SH</t>
        </is>
      </c>
      <c r="J230" s="1" t="inlineStr">
        <is>
          <t>北京人力</t>
        </is>
      </c>
      <c r="K230" s="1" t="n">
        <v>33.0139</v>
      </c>
      <c r="L230" s="1" t="n">
        <v>38.54</v>
      </c>
      <c r="M230" s="1" t="inlineStr">
        <is>
          <t>600662.SH</t>
        </is>
      </c>
      <c r="N230" s="1" t="inlineStr">
        <is>
          <t>外服控股</t>
        </is>
      </c>
      <c r="O230" s="1" t="n">
        <v>26.8407</v>
      </c>
      <c r="P230" s="1" t="n">
        <v>31.33</v>
      </c>
      <c r="Q230" s="1" t="inlineStr">
        <is>
          <t>300662.SZ</t>
        </is>
      </c>
      <c r="R230" s="1" t="inlineStr">
        <is>
          <t>科锐国际</t>
        </is>
      </c>
      <c r="S230" s="1" t="n">
        <v>25.8138</v>
      </c>
      <c r="T230" s="1" t="n">
        <v>30.13</v>
      </c>
    </row>
    <row r="231">
      <c r="A231" s="1" t="inlineStr">
        <is>
          <t>CI005320.CI</t>
        </is>
      </c>
      <c r="B231" s="1" t="inlineStr">
        <is>
          <t>生物医药Ⅲ指数</t>
        </is>
      </c>
      <c r="C231" s="1" t="n">
        <v>84</v>
      </c>
      <c r="D231" s="10">
        <f>IFERROR((thsiFinD("ths_close_price_index",$A231,$AE$2,"","")/thsiFinD("ths_close_price_index",$A231,$AE$5,"","")-1)*100,"")</f>
        <v/>
      </c>
      <c r="E231" s="10">
        <f>IFERROR((thsiFinD("ths_close_price_index",$A231,$AE$2,"","")/thsiFinD("ths_close_price_index",$A231,$AE$3,"","")-1)*100,"")</f>
        <v/>
      </c>
      <c r="F231" s="10">
        <f>IFERROR((thsiFinD("ths_close_price_index",$A231,$AE$2,"","")/thsiFinD("ths_close_price_index",$A231,$AE$4,"","")-1)*100,"")</f>
        <v/>
      </c>
      <c r="G231" s="11">
        <f>IFERROR(E231/5-F231/20,"")</f>
        <v/>
      </c>
      <c r="H231" s="1" t="n">
        <v>25.36</v>
      </c>
      <c r="I231" s="1" t="inlineStr">
        <is>
          <t>688235.SH</t>
        </is>
      </c>
      <c r="J231" s="1" t="inlineStr">
        <is>
          <t>百济神州</t>
        </is>
      </c>
      <c r="K231" s="1" t="n">
        <v>263.2349</v>
      </c>
      <c r="L231" s="1" t="n">
        <v>6.25</v>
      </c>
      <c r="M231" s="1" t="inlineStr">
        <is>
          <t>002252.SZ</t>
        </is>
      </c>
      <c r="N231" s="1" t="inlineStr">
        <is>
          <t>上海莱士</t>
        </is>
      </c>
      <c r="O231" s="1" t="n">
        <v>210.8348</v>
      </c>
      <c r="P231" s="1" t="n">
        <v>5.01</v>
      </c>
      <c r="Q231" s="1" t="inlineStr">
        <is>
          <t>688506.SH</t>
        </is>
      </c>
      <c r="R231" s="1" t="inlineStr">
        <is>
          <t>百利天恒</t>
        </is>
      </c>
      <c r="S231" s="1" t="n">
        <v>203.3973</v>
      </c>
      <c r="T231" s="1" t="n">
        <v>4.83</v>
      </c>
      <c r="U231" s="1" t="inlineStr">
        <is>
          <t>603087.SH</t>
        </is>
      </c>
      <c r="V231" s="1" t="inlineStr">
        <is>
          <t>甘李药业</t>
        </is>
      </c>
      <c r="W231" s="1" t="n">
        <v>197.1162</v>
      </c>
      <c r="X231" s="1" t="n">
        <v>4.68</v>
      </c>
      <c r="Y231" s="1" t="inlineStr">
        <is>
          <t>300142.SZ</t>
        </is>
      </c>
      <c r="Z231" s="1" t="inlineStr">
        <is>
          <t>沃森生物</t>
        </is>
      </c>
      <c r="AA231" s="1" t="n">
        <v>193.1902</v>
      </c>
      <c r="AB231" s="1" t="n">
        <v>4.59</v>
      </c>
    </row>
    <row r="232">
      <c r="A232" s="1" t="inlineStr">
        <is>
          <t>CI005531.CI</t>
        </is>
      </c>
      <c r="B232" s="1" t="inlineStr">
        <is>
          <t>多领域控股Ⅲ指数</t>
        </is>
      </c>
      <c r="C232" s="1" t="n">
        <v>7</v>
      </c>
      <c r="D232" s="10">
        <f>IFERROR((thsiFinD("ths_close_price_index",$A232,$AE$2,"","")/thsiFinD("ths_close_price_index",$A232,$AE$5,"","")-1)*100,"")</f>
        <v/>
      </c>
      <c r="E232" s="10">
        <f>IFERROR((thsiFinD("ths_close_price_index",$A232,$AE$2,"","")/thsiFinD("ths_close_price_index",$A232,$AE$3,"","")-1)*100,"")</f>
        <v/>
      </c>
      <c r="F232" s="10">
        <f>IFERROR((thsiFinD("ths_close_price_index",$A232,$AE$2,"","")/thsiFinD("ths_close_price_index",$A232,$AE$4,"","")-1)*100,"")</f>
        <v/>
      </c>
      <c r="G232" s="11">
        <f>IFERROR(E232/5-F232/20,"")</f>
        <v/>
      </c>
      <c r="H232" s="1" t="n">
        <v>86.08</v>
      </c>
      <c r="I232" s="1" t="inlineStr">
        <is>
          <t>600120.SH</t>
        </is>
      </c>
      <c r="J232" s="1" t="inlineStr">
        <is>
          <t>浙江东方</t>
        </is>
      </c>
      <c r="K232" s="1" t="n">
        <v>79.9558</v>
      </c>
      <c r="L232" s="1" t="n">
        <v>27.84</v>
      </c>
      <c r="M232" s="1" t="inlineStr">
        <is>
          <t>002423.SZ</t>
        </is>
      </c>
      <c r="N232" s="1" t="inlineStr">
        <is>
          <t>中粮资本</t>
        </is>
      </c>
      <c r="O232" s="1" t="n">
        <v>79.23869999999999</v>
      </c>
      <c r="P232" s="1" t="n">
        <v>27.59</v>
      </c>
      <c r="Q232" s="1" t="inlineStr">
        <is>
          <t>600643.SH</t>
        </is>
      </c>
      <c r="R232" s="1" t="inlineStr">
        <is>
          <t>爱建集团</t>
        </is>
      </c>
      <c r="S232" s="1" t="n">
        <v>32.7497</v>
      </c>
      <c r="T232" s="1" t="n">
        <v>11.4</v>
      </c>
      <c r="U232" s="1" t="inlineStr">
        <is>
          <t>000567.SZ</t>
        </is>
      </c>
      <c r="V232" s="1" t="inlineStr">
        <is>
          <t>海德股份</t>
        </is>
      </c>
      <c r="W232" s="1" t="n">
        <v>28.8152</v>
      </c>
      <c r="X232" s="1" t="n">
        <v>10.03</v>
      </c>
      <c r="Y232" s="1" t="inlineStr">
        <is>
          <t>600830.SH</t>
        </is>
      </c>
      <c r="Z232" s="1" t="inlineStr">
        <is>
          <t>香溢融通</t>
        </is>
      </c>
      <c r="AA232" s="1" t="n">
        <v>26.4925</v>
      </c>
      <c r="AB232" s="1" t="n">
        <v>9.220000000000001</v>
      </c>
    </row>
    <row r="233">
      <c r="A233" s="1" t="inlineStr">
        <is>
          <t>CI005518.CI</t>
        </is>
      </c>
      <c r="B233" s="1" t="inlineStr">
        <is>
          <t>饲料加工指数</t>
        </is>
      </c>
      <c r="C233" s="1" t="n">
        <v>13</v>
      </c>
      <c r="D233" s="10">
        <f>IFERROR((thsiFinD("ths_close_price_index",$A233,$AE$2,"","")/thsiFinD("ths_close_price_index",$A233,$AE$5,"","")-1)*100,"")</f>
        <v/>
      </c>
      <c r="E233" s="10">
        <f>IFERROR((thsiFinD("ths_close_price_index",$A233,$AE$2,"","")/thsiFinD("ths_close_price_index",$A233,$AE$3,"","")-1)*100,"")</f>
        <v/>
      </c>
      <c r="F233" s="10">
        <f>IFERROR((thsiFinD("ths_close_price_index",$A233,$AE$2,"","")/thsiFinD("ths_close_price_index",$A233,$AE$4,"","")-1)*100,"")</f>
        <v/>
      </c>
      <c r="G233" s="11">
        <f>IFERROR(E233/5-F233/20,"")</f>
        <v/>
      </c>
      <c r="H233" s="1" t="n">
        <v>82.52</v>
      </c>
      <c r="I233" s="1" t="inlineStr">
        <is>
          <t>002311.SZ</t>
        </is>
      </c>
      <c r="J233" s="1" t="inlineStr">
        <is>
          <t>海大集团</t>
        </is>
      </c>
      <c r="K233" s="1" t="n">
        <v>305.8228</v>
      </c>
      <c r="L233" s="1" t="n">
        <v>48.42</v>
      </c>
      <c r="M233" s="1" t="inlineStr">
        <is>
          <t>002385.SZ</t>
        </is>
      </c>
      <c r="N233" s="1" t="inlineStr">
        <is>
          <t>大北农</t>
        </is>
      </c>
      <c r="O233" s="1" t="n">
        <v>92.7486</v>
      </c>
      <c r="P233" s="1" t="n">
        <v>14.68</v>
      </c>
      <c r="Q233" s="1" t="inlineStr">
        <is>
          <t>000048.SZ</t>
        </is>
      </c>
      <c r="R233" s="1" t="inlineStr">
        <is>
          <t>京基智农</t>
        </is>
      </c>
      <c r="S233" s="1" t="n">
        <v>55.6373</v>
      </c>
      <c r="T233" s="1" t="n">
        <v>8.81</v>
      </c>
      <c r="U233" s="1" t="inlineStr">
        <is>
          <t>603668.SH</t>
        </is>
      </c>
      <c r="V233" s="1" t="inlineStr">
        <is>
          <t>天马科技</t>
        </is>
      </c>
      <c r="W233" s="1" t="n">
        <v>42.2726</v>
      </c>
      <c r="X233" s="1" t="n">
        <v>6.69</v>
      </c>
      <c r="Y233" s="1" t="inlineStr">
        <is>
          <t>603609.SH</t>
        </is>
      </c>
      <c r="Z233" s="1" t="inlineStr">
        <is>
          <t>禾丰股份</t>
        </is>
      </c>
      <c r="AA233" s="1" t="n">
        <v>24.7415</v>
      </c>
      <c r="AB233" s="1" t="n">
        <v>3.92</v>
      </c>
    </row>
    <row r="234">
      <c r="A234" s="1" t="inlineStr">
        <is>
          <t>CI005533.CI</t>
        </is>
      </c>
      <c r="B234" s="1" t="inlineStr">
        <is>
          <t>数字金融服务指数</t>
        </is>
      </c>
      <c r="C234" s="1" t="n">
        <v>2</v>
      </c>
      <c r="D234" s="10">
        <f>IFERROR((thsiFinD("ths_close_price_index",$A234,$AE$2,"","")/thsiFinD("ths_close_price_index",$A234,$AE$5,"","")-1)*100,"")</f>
        <v/>
      </c>
      <c r="E234" s="10">
        <f>IFERROR((thsiFinD("ths_close_price_index",$A234,$AE$2,"","")/thsiFinD("ths_close_price_index",$A234,$AE$3,"","")-1)*100,"")</f>
        <v/>
      </c>
      <c r="F234" s="10">
        <f>IFERROR((thsiFinD("ths_close_price_index",$A234,$AE$2,"","")/thsiFinD("ths_close_price_index",$A234,$AE$4,"","")-1)*100,"")</f>
        <v/>
      </c>
      <c r="G234" s="11">
        <f>IFERROR(E234/5-F234/20,"")</f>
        <v/>
      </c>
      <c r="H234" s="1" t="n">
        <v>100</v>
      </c>
      <c r="I234" s="1" t="inlineStr">
        <is>
          <t>300773.SZ</t>
        </is>
      </c>
      <c r="J234" s="1" t="inlineStr">
        <is>
          <t>拉卡拉</t>
        </is>
      </c>
      <c r="K234" s="1" t="n">
        <v>134.1753</v>
      </c>
      <c r="L234" s="1" t="n">
        <v>81.66</v>
      </c>
      <c r="M234" s="1" t="inlineStr">
        <is>
          <t>603123.SH</t>
        </is>
      </c>
      <c r="N234" s="1" t="inlineStr">
        <is>
          <t>翠微股份</t>
        </is>
      </c>
      <c r="O234" s="1" t="n">
        <v>30.14</v>
      </c>
      <c r="P234" s="1" t="n">
        <v>18.34</v>
      </c>
    </row>
    <row r="235">
      <c r="A235" s="1" t="inlineStr">
        <is>
          <t>CI005529.CI</t>
        </is>
      </c>
      <c r="B235" s="1" t="inlineStr">
        <is>
          <t>物业管理服务指数</t>
        </is>
      </c>
      <c r="C235" s="1" t="n">
        <v>6</v>
      </c>
      <c r="D235" s="10">
        <f>IFERROR((thsiFinD("ths_close_price_index",$A235,$AE$2,"","")/thsiFinD("ths_close_price_index",$A235,$AE$5,"","")-1)*100,"")</f>
        <v/>
      </c>
      <c r="E235" s="10">
        <f>IFERROR((thsiFinD("ths_close_price_index",$A235,$AE$2,"","")/thsiFinD("ths_close_price_index",$A235,$AE$3,"","")-1)*100,"")</f>
        <v/>
      </c>
      <c r="F235" s="10">
        <f>IFERROR((thsiFinD("ths_close_price_index",$A235,$AE$2,"","")/thsiFinD("ths_close_price_index",$A235,$AE$4,"","")-1)*100,"")</f>
        <v/>
      </c>
      <c r="G235" s="11">
        <f>IFERROR(E235/5-F235/20,"")</f>
        <v/>
      </c>
      <c r="H235" s="1" t="n">
        <v>92.62</v>
      </c>
      <c r="I235" s="1" t="inlineStr">
        <is>
          <t>001914.SZ</t>
        </is>
      </c>
      <c r="J235" s="1" t="inlineStr">
        <is>
          <t>招商积余</t>
        </is>
      </c>
      <c r="K235" s="1" t="n">
        <v>34.4681</v>
      </c>
      <c r="L235" s="1" t="n">
        <v>34.34</v>
      </c>
      <c r="M235" s="1" t="inlineStr">
        <is>
          <t>300917.SZ</t>
        </is>
      </c>
      <c r="N235" s="1" t="inlineStr">
        <is>
          <t>特发服务</t>
        </is>
      </c>
      <c r="O235" s="1" t="n">
        <v>19.6586</v>
      </c>
      <c r="P235" s="1" t="n">
        <v>19.59</v>
      </c>
      <c r="Q235" s="1" t="inlineStr">
        <is>
          <t>600684.SH</t>
        </is>
      </c>
      <c r="R235" s="1" t="inlineStr">
        <is>
          <t>珠江股份</t>
        </is>
      </c>
      <c r="S235" s="1" t="n">
        <v>18.7588</v>
      </c>
      <c r="T235" s="1" t="n">
        <v>18.69</v>
      </c>
      <c r="U235" s="1" t="inlineStr">
        <is>
          <t>002188.SZ</t>
        </is>
      </c>
      <c r="V235" s="1" t="inlineStr">
        <is>
          <t>中天服务</t>
        </is>
      </c>
      <c r="W235" s="1" t="n">
        <v>10.499</v>
      </c>
      <c r="X235" s="1" t="n">
        <v>10.46</v>
      </c>
      <c r="Y235" s="1" t="inlineStr">
        <is>
          <t>002968.SZ</t>
        </is>
      </c>
      <c r="Z235" s="1" t="inlineStr">
        <is>
          <t>新大正</t>
        </is>
      </c>
      <c r="AA235" s="1" t="n">
        <v>9.575699999999999</v>
      </c>
      <c r="AB235" s="1" t="n">
        <v>9.539999999999999</v>
      </c>
    </row>
    <row r="236">
      <c r="A236" s="1" t="inlineStr">
        <is>
          <t>CI005355.CI</t>
        </is>
      </c>
      <c r="B236" s="1" t="inlineStr">
        <is>
          <t>公交指数</t>
        </is>
      </c>
      <c r="C236" s="1" t="n">
        <v>6</v>
      </c>
      <c r="D236" s="10">
        <f>IFERROR((thsiFinD("ths_close_price_index",$A236,$AE$2,"","")/thsiFinD("ths_close_price_index",$A236,$AE$5,"","")-1)*100,"")</f>
        <v/>
      </c>
      <c r="E236" s="10">
        <f>IFERROR((thsiFinD("ths_close_price_index",$A236,$AE$2,"","")/thsiFinD("ths_close_price_index",$A236,$AE$3,"","")-1)*100,"")</f>
        <v/>
      </c>
      <c r="F236" s="10">
        <f>IFERROR((thsiFinD("ths_close_price_index",$A236,$AE$2,"","")/thsiFinD("ths_close_price_index",$A236,$AE$4,"","")-1)*100,"")</f>
        <v/>
      </c>
      <c r="G236" s="11">
        <f>IFERROR(E236/5-F236/20,"")</f>
        <v/>
      </c>
      <c r="H236" s="1" t="n">
        <v>92.67</v>
      </c>
      <c r="I236" s="1" t="inlineStr">
        <is>
          <t>600611.SH</t>
        </is>
      </c>
      <c r="J236" s="1" t="inlineStr">
        <is>
          <t>大众交通</t>
        </is>
      </c>
      <c r="K236" s="1" t="n">
        <v>46.5486</v>
      </c>
      <c r="L236" s="1" t="n">
        <v>36.71</v>
      </c>
      <c r="M236" s="1" t="inlineStr">
        <is>
          <t>002357.SZ</t>
        </is>
      </c>
      <c r="N236" s="1" t="inlineStr">
        <is>
          <t>富临运业</t>
        </is>
      </c>
      <c r="O236" s="1" t="n">
        <v>21.6229</v>
      </c>
      <c r="P236" s="1" t="n">
        <v>17.05</v>
      </c>
      <c r="Q236" s="1" t="inlineStr">
        <is>
          <t>603069.SH</t>
        </is>
      </c>
      <c r="R236" s="1" t="inlineStr">
        <is>
          <t>海汽集团</t>
        </is>
      </c>
      <c r="S236" s="1" t="n">
        <v>18.003</v>
      </c>
      <c r="T236" s="1" t="n">
        <v>14.2</v>
      </c>
      <c r="U236" s="1" t="inlineStr">
        <is>
          <t>600650.SH</t>
        </is>
      </c>
      <c r="V236" s="1" t="inlineStr">
        <is>
          <t>锦江在线</t>
        </is>
      </c>
      <c r="W236" s="1" t="n">
        <v>17.5374</v>
      </c>
      <c r="X236" s="1" t="n">
        <v>13.83</v>
      </c>
      <c r="Y236" s="1" t="inlineStr">
        <is>
          <t>600834.SH</t>
        </is>
      </c>
      <c r="Z236" s="1" t="inlineStr">
        <is>
          <t>申通地铁</t>
        </is>
      </c>
      <c r="AA236" s="1" t="n">
        <v>13.7914</v>
      </c>
      <c r="AB236" s="1" t="n">
        <v>10.88</v>
      </c>
    </row>
    <row r="237">
      <c r="A237" s="1" t="inlineStr">
        <is>
          <t>CI005476.CI</t>
        </is>
      </c>
      <c r="B237" s="1" t="inlineStr">
        <is>
          <t>核电指数</t>
        </is>
      </c>
      <c r="C237" s="1" t="n">
        <v>2</v>
      </c>
      <c r="D237" s="10">
        <f>IFERROR((thsiFinD("ths_close_price_index",$A237,$AE$2,"","")/thsiFinD("ths_close_price_index",$A237,$AE$5,"","")-1)*100,"")</f>
        <v/>
      </c>
      <c r="E237" s="10">
        <f>IFERROR((thsiFinD("ths_close_price_index",$A237,$AE$2,"","")/thsiFinD("ths_close_price_index",$A237,$AE$3,"","")-1)*100,"")</f>
        <v/>
      </c>
      <c r="F237" s="10">
        <f>IFERROR((thsiFinD("ths_close_price_index",$A237,$AE$2,"","")/thsiFinD("ths_close_price_index",$A237,$AE$4,"","")-1)*100,"")</f>
        <v/>
      </c>
      <c r="G237" s="11">
        <f>IFERROR(E237/5-F237/20,"")</f>
        <v/>
      </c>
      <c r="H237" s="1" t="n">
        <v>100</v>
      </c>
      <c r="I237" s="1" t="inlineStr">
        <is>
          <t>601985.SH</t>
        </is>
      </c>
      <c r="J237" s="1" t="inlineStr">
        <is>
          <t>中国核电</t>
        </is>
      </c>
      <c r="K237" s="1" t="n">
        <v>696.8012</v>
      </c>
      <c r="L237" s="1" t="n">
        <v>71.63</v>
      </c>
      <c r="M237" s="1" t="inlineStr">
        <is>
          <t>003816.SZ</t>
        </is>
      </c>
      <c r="N237" s="1" t="inlineStr">
        <is>
          <t>中国广核</t>
        </is>
      </c>
      <c r="O237" s="1" t="n">
        <v>275.9306</v>
      </c>
      <c r="P237" s="1" t="n">
        <v>28.37</v>
      </c>
    </row>
    <row r="238">
      <c r="A238" s="1" t="inlineStr">
        <is>
          <t>CI005430.CI</t>
        </is>
      </c>
      <c r="B238" s="1" t="inlineStr">
        <is>
          <t>轮胎指数</t>
        </is>
      </c>
      <c r="C238" s="1" t="n">
        <v>8</v>
      </c>
      <c r="D238" s="10">
        <f>IFERROR((thsiFinD("ths_close_price_index",$A238,$AE$2,"","")/thsiFinD("ths_close_price_index",$A238,$AE$5,"","")-1)*100,"")</f>
        <v/>
      </c>
      <c r="E238" s="10">
        <f>IFERROR((thsiFinD("ths_close_price_index",$A238,$AE$2,"","")/thsiFinD("ths_close_price_index",$A238,$AE$3,"","")-1)*100,"")</f>
        <v/>
      </c>
      <c r="F238" s="10">
        <f>IFERROR((thsiFinD("ths_close_price_index",$A238,$AE$2,"","")/thsiFinD("ths_close_price_index",$A238,$AE$4,"","")-1)*100,"")</f>
        <v/>
      </c>
      <c r="G238" s="11">
        <f>IFERROR(E238/5-F238/20,"")</f>
        <v/>
      </c>
      <c r="H238" s="1" t="n">
        <v>89.03</v>
      </c>
      <c r="I238" s="1" t="inlineStr">
        <is>
          <t>601058.SH</t>
        </is>
      </c>
      <c r="J238" s="1" t="inlineStr">
        <is>
          <t>赛轮轮胎</t>
        </is>
      </c>
      <c r="K238" s="1" t="n">
        <v>297.1433</v>
      </c>
      <c r="L238" s="1" t="n">
        <v>52.28</v>
      </c>
      <c r="M238" s="1" t="inlineStr">
        <is>
          <t>601966.SH</t>
        </is>
      </c>
      <c r="N238" s="1" t="inlineStr">
        <is>
          <t>玲珑轮胎</t>
        </is>
      </c>
      <c r="O238" s="1" t="n">
        <v>71.5872</v>
      </c>
      <c r="P238" s="1" t="n">
        <v>12.59</v>
      </c>
      <c r="Q238" s="1" t="inlineStr">
        <is>
          <t>000589.SZ</t>
        </is>
      </c>
      <c r="R238" s="1" t="inlineStr">
        <is>
          <t>贵州轮胎</t>
        </is>
      </c>
      <c r="S238" s="1" t="n">
        <v>51.3858</v>
      </c>
      <c r="T238" s="1" t="n">
        <v>9.039999999999999</v>
      </c>
      <c r="U238" s="1" t="inlineStr">
        <is>
          <t>601500.SH</t>
        </is>
      </c>
      <c r="V238" s="1" t="inlineStr">
        <is>
          <t>通用股份</t>
        </is>
      </c>
      <c r="W238" s="1" t="n">
        <v>49.0309</v>
      </c>
      <c r="X238" s="1" t="n">
        <v>8.630000000000001</v>
      </c>
      <c r="Y238" s="1" t="inlineStr">
        <is>
          <t>601163.SH</t>
        </is>
      </c>
      <c r="Z238" s="1" t="inlineStr">
        <is>
          <t>三角轮胎</t>
        </is>
      </c>
      <c r="AA238" s="1" t="n">
        <v>36.8636</v>
      </c>
      <c r="AB238" s="1" t="n">
        <v>6.49</v>
      </c>
    </row>
    <row r="239">
      <c r="A239" s="1" t="inlineStr">
        <is>
          <t>CI005333.CI</t>
        </is>
      </c>
      <c r="B239" s="1" t="inlineStr">
        <is>
          <t>种业指数</t>
        </is>
      </c>
      <c r="C239" s="1" t="n">
        <v>7</v>
      </c>
      <c r="D239" s="10">
        <f>IFERROR((thsiFinD("ths_close_price_index",$A239,$AE$2,"","")/thsiFinD("ths_close_price_index",$A239,$AE$5,"","")-1)*100,"")</f>
        <v/>
      </c>
      <c r="E239" s="10">
        <f>IFERROR((thsiFinD("ths_close_price_index",$A239,$AE$2,"","")/thsiFinD("ths_close_price_index",$A239,$AE$3,"","")-1)*100,"")</f>
        <v/>
      </c>
      <c r="F239" s="10">
        <f>IFERROR((thsiFinD("ths_close_price_index",$A239,$AE$2,"","")/thsiFinD("ths_close_price_index",$A239,$AE$4,"","")-1)*100,"")</f>
        <v/>
      </c>
      <c r="G239" s="11">
        <f>IFERROR(E239/5-F239/20,"")</f>
        <v/>
      </c>
      <c r="H239" s="1" t="n">
        <v>88.17</v>
      </c>
      <c r="I239" s="1" t="inlineStr">
        <is>
          <t>000998.SZ</t>
        </is>
      </c>
      <c r="J239" s="1" t="inlineStr">
        <is>
          <t>隆平高科</t>
        </is>
      </c>
      <c r="K239" s="1" t="n">
        <v>85.3446</v>
      </c>
      <c r="L239" s="1" t="n">
        <v>34.99</v>
      </c>
      <c r="M239" s="1" t="inlineStr">
        <is>
          <t>300189.SZ</t>
        </is>
      </c>
      <c r="N239" s="1" t="inlineStr">
        <is>
          <t>神农种业</t>
        </is>
      </c>
      <c r="O239" s="1" t="n">
        <v>40.336</v>
      </c>
      <c r="P239" s="1" t="n">
        <v>16.54</v>
      </c>
      <c r="Q239" s="1" t="inlineStr">
        <is>
          <t>300087.SZ</t>
        </is>
      </c>
      <c r="R239" s="1" t="inlineStr">
        <is>
          <t>荃银高科</t>
        </is>
      </c>
      <c r="S239" s="1" t="n">
        <v>35.2086</v>
      </c>
      <c r="T239" s="1" t="n">
        <v>14.44</v>
      </c>
      <c r="U239" s="1" t="inlineStr">
        <is>
          <t>002041.SZ</t>
        </is>
      </c>
      <c r="V239" s="1" t="inlineStr">
        <is>
          <t>登海种业</t>
        </is>
      </c>
      <c r="W239" s="1" t="n">
        <v>29.8142</v>
      </c>
      <c r="X239" s="1" t="n">
        <v>12.22</v>
      </c>
      <c r="Y239" s="1" t="inlineStr">
        <is>
          <t>000713.SZ</t>
        </is>
      </c>
      <c r="Z239" s="1" t="inlineStr">
        <is>
          <t>国投丰乐</t>
        </is>
      </c>
      <c r="AA239" s="1" t="n">
        <v>24.3304</v>
      </c>
      <c r="AB239" s="1" t="n">
        <v>9.98</v>
      </c>
    </row>
    <row r="240">
      <c r="A240" s="1" t="inlineStr">
        <is>
          <t>CI005577.CI</t>
        </is>
      </c>
      <c r="B240" s="1" t="inlineStr">
        <is>
          <t>游戏指数</t>
        </is>
      </c>
      <c r="C240" s="1" t="n">
        <v>23</v>
      </c>
      <c r="D240" s="10">
        <f>IFERROR((thsiFinD("ths_close_price_index",$A240,$AE$2,"","")/thsiFinD("ths_close_price_index",$A240,$AE$5,"","")-1)*100,"")</f>
        <v/>
      </c>
      <c r="E240" s="10">
        <f>IFERROR((thsiFinD("ths_close_price_index",$A240,$AE$2,"","")/thsiFinD("ths_close_price_index",$A240,$AE$3,"","")-1)*100,"")</f>
        <v/>
      </c>
      <c r="F240" s="10">
        <f>IFERROR((thsiFinD("ths_close_price_index",$A240,$AE$2,"","")/thsiFinD("ths_close_price_index",$A240,$AE$4,"","")-1)*100,"")</f>
        <v/>
      </c>
      <c r="G240" s="11">
        <f>IFERROR(E240/5-F240/20,"")</f>
        <v/>
      </c>
      <c r="H240" s="1" t="n">
        <v>60.46</v>
      </c>
      <c r="I240" s="1" t="inlineStr">
        <is>
          <t>002602.SZ</t>
        </is>
      </c>
      <c r="J240" s="1" t="inlineStr">
        <is>
          <t>世纪华通</t>
        </is>
      </c>
      <c r="K240" s="1" t="n">
        <v>745.5625</v>
      </c>
      <c r="L240" s="1" t="n">
        <v>26.31</v>
      </c>
      <c r="M240" s="1" t="inlineStr">
        <is>
          <t>002558.SZ</t>
        </is>
      </c>
      <c r="N240" s="1" t="inlineStr">
        <is>
          <t>巨人网络</t>
        </is>
      </c>
      <c r="O240" s="1" t="n">
        <v>293.6373</v>
      </c>
      <c r="P240" s="1" t="n">
        <v>10.36</v>
      </c>
      <c r="Q240" s="1" t="inlineStr">
        <is>
          <t>002517.SZ</t>
        </is>
      </c>
      <c r="R240" s="1" t="inlineStr">
        <is>
          <t>恺英网络</t>
        </is>
      </c>
      <c r="S240" s="1" t="n">
        <v>257.0812</v>
      </c>
      <c r="T240" s="1" t="n">
        <v>9.07</v>
      </c>
      <c r="U240" s="1" t="inlineStr">
        <is>
          <t>002555.SZ</t>
        </is>
      </c>
      <c r="V240" s="1" t="inlineStr">
        <is>
          <t>三七互娱</t>
        </is>
      </c>
      <c r="W240" s="1" t="n">
        <v>254.6419</v>
      </c>
      <c r="X240" s="1" t="n">
        <v>8.99</v>
      </c>
      <c r="Y240" s="1" t="inlineStr">
        <is>
          <t>002624.SZ</t>
        </is>
      </c>
      <c r="Z240" s="1" t="inlineStr">
        <is>
          <t>完美世界</t>
        </is>
      </c>
      <c r="AA240" s="1" t="n">
        <v>162.3442</v>
      </c>
      <c r="AB240" s="1" t="n">
        <v>5.73</v>
      </c>
    </row>
    <row r="241">
      <c r="A241" s="1" t="inlineStr">
        <is>
          <t>CI005253.CI</t>
        </is>
      </c>
      <c r="B241" s="1" t="inlineStr">
        <is>
          <t>民爆用品指数</t>
        </is>
      </c>
      <c r="C241" s="1" t="n">
        <v>11</v>
      </c>
      <c r="D241" s="10">
        <f>IFERROR((thsiFinD("ths_close_price_index",$A241,$AE$2,"","")/thsiFinD("ths_close_price_index",$A241,$AE$5,"","")-1)*100,"")</f>
        <v/>
      </c>
      <c r="E241" s="10">
        <f>IFERROR((thsiFinD("ths_close_price_index",$A241,$AE$2,"","")/thsiFinD("ths_close_price_index",$A241,$AE$3,"","")-1)*100,"")</f>
        <v/>
      </c>
      <c r="F241" s="10">
        <f>IFERROR((thsiFinD("ths_close_price_index",$A241,$AE$2,"","")/thsiFinD("ths_close_price_index",$A241,$AE$4,"","")-1)*100,"")</f>
        <v/>
      </c>
      <c r="G241" s="11">
        <f>IFERROR(E241/5-F241/20,"")</f>
        <v/>
      </c>
      <c r="H241" s="1" t="n">
        <v>71.61</v>
      </c>
      <c r="I241" s="1" t="inlineStr">
        <is>
          <t>002683.SZ</t>
        </is>
      </c>
      <c r="J241" s="1" t="inlineStr">
        <is>
          <t>广东宏大</t>
        </is>
      </c>
      <c r="K241" s="1" t="n">
        <v>130.8595</v>
      </c>
      <c r="L241" s="1" t="n">
        <v>28.2</v>
      </c>
      <c r="M241" s="1" t="inlineStr">
        <is>
          <t>002226.SZ</t>
        </is>
      </c>
      <c r="N241" s="1" t="inlineStr">
        <is>
          <t>江南化工</t>
        </is>
      </c>
      <c r="O241" s="1" t="n">
        <v>66.3841</v>
      </c>
      <c r="P241" s="1" t="n">
        <v>14.31</v>
      </c>
      <c r="Q241" s="1" t="inlineStr">
        <is>
          <t>603977.SH</t>
        </is>
      </c>
      <c r="R241" s="1" t="inlineStr">
        <is>
          <t>国泰集团</t>
        </is>
      </c>
      <c r="S241" s="1" t="n">
        <v>47.0803</v>
      </c>
      <c r="T241" s="1" t="n">
        <v>10.15</v>
      </c>
      <c r="U241" s="1" t="inlineStr">
        <is>
          <t>002096.SZ</t>
        </is>
      </c>
      <c r="V241" s="1" t="inlineStr">
        <is>
          <t>易普力</t>
        </is>
      </c>
      <c r="W241" s="1" t="n">
        <v>44.8449</v>
      </c>
      <c r="X241" s="1" t="n">
        <v>9.66</v>
      </c>
      <c r="Y241" s="1" t="inlineStr">
        <is>
          <t>603227.SH</t>
        </is>
      </c>
      <c r="Z241" s="1" t="inlineStr">
        <is>
          <t>雪峰科技</t>
        </is>
      </c>
      <c r="AA241" s="1" t="n">
        <v>43.1122</v>
      </c>
      <c r="AB241" s="1" t="n">
        <v>9.289999999999999</v>
      </c>
    </row>
    <row r="242">
      <c r="A242" s="1" t="inlineStr">
        <is>
          <t>CI005318.CI</t>
        </is>
      </c>
      <c r="B242" s="1" t="inlineStr">
        <is>
          <t>中药饮片指数</t>
        </is>
      </c>
      <c r="C242" s="1" t="n">
        <v>4</v>
      </c>
      <c r="D242" s="10">
        <f>IFERROR((thsiFinD("ths_close_price_index",$A242,$AE$2,"","")/thsiFinD("ths_close_price_index",$A242,$AE$5,"","")-1)*100,"")</f>
        <v/>
      </c>
      <c r="E242" s="10">
        <f>IFERROR((thsiFinD("ths_close_price_index",$A242,$AE$2,"","")/thsiFinD("ths_close_price_index",$A242,$AE$3,"","")-1)*100,"")</f>
        <v/>
      </c>
      <c r="F242" s="10">
        <f>IFERROR((thsiFinD("ths_close_price_index",$A242,$AE$2,"","")/thsiFinD("ths_close_price_index",$A242,$AE$4,"","")-1)*100,"")</f>
        <v/>
      </c>
      <c r="G242" s="11">
        <f>IFERROR(E242/5-F242/20,"")</f>
        <v/>
      </c>
      <c r="H242" s="1" t="n">
        <v>100</v>
      </c>
      <c r="I242" s="1" t="inlineStr">
        <is>
          <t>600518.SH</t>
        </is>
      </c>
      <c r="J242" s="1" t="inlineStr">
        <is>
          <t>康美药业</t>
        </is>
      </c>
      <c r="K242" s="1" t="n">
        <v>139.2247</v>
      </c>
      <c r="L242" s="1" t="n">
        <v>75.31</v>
      </c>
      <c r="M242" s="1" t="inlineStr">
        <is>
          <t>603896.SH</t>
        </is>
      </c>
      <c r="N242" s="1" t="inlineStr">
        <is>
          <t>寿仙谷</t>
        </is>
      </c>
      <c r="O242" s="1" t="n">
        <v>16.1924</v>
      </c>
      <c r="P242" s="1" t="n">
        <v>8.76</v>
      </c>
      <c r="Q242" s="1" t="inlineStr">
        <is>
          <t>002907.SZ</t>
        </is>
      </c>
      <c r="R242" s="1" t="inlineStr">
        <is>
          <t>华森制药</t>
        </is>
      </c>
      <c r="S242" s="1" t="n">
        <v>16.1261</v>
      </c>
      <c r="T242" s="1" t="n">
        <v>8.720000000000001</v>
      </c>
      <c r="U242" s="1" t="inlineStr">
        <is>
          <t>002873.SZ</t>
        </is>
      </c>
      <c r="V242" s="1" t="inlineStr">
        <is>
          <t>新天药业</t>
        </is>
      </c>
      <c r="W242" s="1" t="n">
        <v>13.3236</v>
      </c>
      <c r="X242" s="1" t="n">
        <v>7.21</v>
      </c>
    </row>
    <row r="243">
      <c r="A243" s="1" t="inlineStr">
        <is>
          <t>CI005489.CI</t>
        </is>
      </c>
      <c r="B243" s="1" t="inlineStr">
        <is>
          <t>其他连锁指数</t>
        </is>
      </c>
      <c r="C243" s="1" t="n">
        <v>3</v>
      </c>
      <c r="D243" s="10">
        <f>IFERROR((thsiFinD("ths_close_price_index",$A243,$AE$2,"","")/thsiFinD("ths_close_price_index",$A243,$AE$5,"","")-1)*100,"")</f>
        <v/>
      </c>
      <c r="E243" s="10">
        <f>IFERROR((thsiFinD("ths_close_price_index",$A243,$AE$2,"","")/thsiFinD("ths_close_price_index",$A243,$AE$3,"","")-1)*100,"")</f>
        <v/>
      </c>
      <c r="F243" s="10">
        <f>IFERROR((thsiFinD("ths_close_price_index",$A243,$AE$2,"","")/thsiFinD("ths_close_price_index",$A243,$AE$4,"","")-1)*100,"")</f>
        <v/>
      </c>
      <c r="G243" s="11">
        <f>IFERROR(E243/5-F243/20,"")</f>
        <v/>
      </c>
      <c r="H243" s="1" t="n">
        <v>100</v>
      </c>
      <c r="I243" s="1" t="inlineStr">
        <is>
          <t>301078.SZ</t>
        </is>
      </c>
      <c r="J243" s="1" t="inlineStr">
        <is>
          <t>孩子王</t>
        </is>
      </c>
      <c r="K243" s="1" t="n">
        <v>68.80159999999999</v>
      </c>
      <c r="L243" s="1" t="n">
        <v>70.01000000000001</v>
      </c>
      <c r="M243" s="1" t="inlineStr">
        <is>
          <t>300755.SZ</t>
        </is>
      </c>
      <c r="N243" s="1" t="inlineStr">
        <is>
          <t>华致酒行</t>
        </is>
      </c>
      <c r="O243" s="1" t="n">
        <v>17.9098</v>
      </c>
      <c r="P243" s="1" t="n">
        <v>18.23</v>
      </c>
      <c r="Q243" s="1" t="inlineStr">
        <is>
          <t>603214.SH</t>
        </is>
      </c>
      <c r="R243" s="1" t="inlineStr">
        <is>
          <t>爱婴室</t>
        </is>
      </c>
      <c r="S243" s="1" t="n">
        <v>11.5562</v>
      </c>
      <c r="T243" s="1" t="n">
        <v>11.76</v>
      </c>
    </row>
    <row r="244">
      <c r="A244" s="1" t="inlineStr">
        <is>
          <t>CI005346.CI</t>
        </is>
      </c>
      <c r="B244" s="1" t="inlineStr">
        <is>
          <t>保险Ⅲ指数</t>
        </is>
      </c>
      <c r="C244" s="1" t="n">
        <v>5</v>
      </c>
      <c r="D244" s="10">
        <f>IFERROR((thsiFinD("ths_close_price_index",$A244,$AE$2,"","")/thsiFinD("ths_close_price_index",$A244,$AE$5,"","")-1)*100,"")</f>
        <v/>
      </c>
      <c r="E244" s="10">
        <f>IFERROR((thsiFinD("ths_close_price_index",$A244,$AE$2,"","")/thsiFinD("ths_close_price_index",$A244,$AE$3,"","")-1)*100,"")</f>
        <v/>
      </c>
      <c r="F244" s="10">
        <f>IFERROR((thsiFinD("ths_close_price_index",$A244,$AE$2,"","")/thsiFinD("ths_close_price_index",$A244,$AE$4,"","")-1)*100,"")</f>
        <v/>
      </c>
      <c r="G244" s="11">
        <f>IFERROR(E244/5-F244/20,"")</f>
        <v/>
      </c>
      <c r="H244" s="1" t="n">
        <v>100.01</v>
      </c>
      <c r="I244" s="1" t="inlineStr">
        <is>
          <t>601318.SH</t>
        </is>
      </c>
      <c r="J244" s="1" t="inlineStr">
        <is>
          <t>中国平安</t>
        </is>
      </c>
      <c r="K244" s="1" t="n">
        <v>5040.6804</v>
      </c>
      <c r="L244" s="1" t="n">
        <v>68.56999999999999</v>
      </c>
      <c r="M244" s="1" t="inlineStr">
        <is>
          <t>601601.SH</t>
        </is>
      </c>
      <c r="N244" s="1" t="inlineStr">
        <is>
          <t>中国太保</t>
        </is>
      </c>
      <c r="O244" s="1" t="n">
        <v>1106.8482</v>
      </c>
      <c r="P244" s="1" t="n">
        <v>15.06</v>
      </c>
      <c r="Q244" s="1" t="inlineStr">
        <is>
          <t>601628.SH</t>
        </is>
      </c>
      <c r="R244" s="1" t="inlineStr">
        <is>
          <t>中国人寿</t>
        </is>
      </c>
      <c r="S244" s="1" t="n">
        <v>546.6</v>
      </c>
      <c r="T244" s="1" t="n">
        <v>7.44</v>
      </c>
      <c r="U244" s="1" t="inlineStr">
        <is>
          <t>601336.SH</t>
        </is>
      </c>
      <c r="V244" s="1" t="inlineStr">
        <is>
          <t>新华保险</t>
        </is>
      </c>
      <c r="W244" s="1" t="n">
        <v>444.7509</v>
      </c>
      <c r="X244" s="1" t="n">
        <v>6.05</v>
      </c>
      <c r="Y244" s="1" t="inlineStr">
        <is>
          <t>601319.SH</t>
        </is>
      </c>
      <c r="Z244" s="1" t="inlineStr">
        <is>
          <t>中国人保</t>
        </is>
      </c>
      <c r="AA244" s="1" t="n">
        <v>212.5749</v>
      </c>
      <c r="AB244" s="1" t="n">
        <v>2.89</v>
      </c>
    </row>
    <row r="245">
      <c r="A245" s="1" t="inlineStr">
        <is>
          <t>CI005519.CI</t>
        </is>
      </c>
      <c r="B245" s="1" t="inlineStr">
        <is>
          <t>畜牧养殖指数</t>
        </is>
      </c>
      <c r="C245" s="1" t="n">
        <v>26</v>
      </c>
      <c r="D245" s="10">
        <f>IFERROR((thsiFinD("ths_close_price_index",$A245,$AE$2,"","")/thsiFinD("ths_close_price_index",$A245,$AE$5,"","")-1)*100,"")</f>
        <v/>
      </c>
      <c r="E245" s="10">
        <f>IFERROR((thsiFinD("ths_close_price_index",$A245,$AE$2,"","")/thsiFinD("ths_close_price_index",$A245,$AE$3,"","")-1)*100,"")</f>
        <v/>
      </c>
      <c r="F245" s="10">
        <f>IFERROR((thsiFinD("ths_close_price_index",$A245,$AE$2,"","")/thsiFinD("ths_close_price_index",$A245,$AE$4,"","")-1)*100,"")</f>
        <v/>
      </c>
      <c r="G245" s="11">
        <f>IFERROR(E245/5-F245/20,"")</f>
        <v/>
      </c>
      <c r="H245" s="1" t="n">
        <v>95.95999999999999</v>
      </c>
      <c r="I245" s="1" t="inlineStr">
        <is>
          <t>002714.SZ</t>
        </is>
      </c>
      <c r="J245" s="1" t="inlineStr">
        <is>
          <t>牧原股份</t>
        </is>
      </c>
      <c r="K245" s="1" t="n">
        <v>1200</v>
      </c>
      <c r="L245" s="1" t="n">
        <v>65.43000000000001</v>
      </c>
      <c r="M245" s="1" t="inlineStr">
        <is>
          <t>000876.SZ</t>
        </is>
      </c>
      <c r="N245" s="1" t="inlineStr">
        <is>
          <t>新希望</t>
        </is>
      </c>
      <c r="O245" s="1" t="n">
        <v>350</v>
      </c>
      <c r="P245" s="1" t="n">
        <v>19.08</v>
      </c>
      <c r="Q245" s="1" t="inlineStr">
        <is>
          <t>002299.SZ</t>
        </is>
      </c>
      <c r="R245" s="1" t="inlineStr">
        <is>
          <t>圣农发展</t>
        </is>
      </c>
      <c r="S245" s="1" t="n">
        <v>90</v>
      </c>
      <c r="T245" s="1" t="n">
        <v>4.91</v>
      </c>
      <c r="U245" s="1" t="inlineStr">
        <is>
          <t>300498.SZ</t>
        </is>
      </c>
      <c r="V245" s="1" t="inlineStr">
        <is>
          <t>温氏股份</t>
        </is>
      </c>
      <c r="W245" s="1" t="n">
        <v>80</v>
      </c>
      <c r="X245" s="1" t="n">
        <v>4.36</v>
      </c>
      <c r="Y245" s="1" t="inlineStr">
        <is>
          <t>300761.SZ</t>
        </is>
      </c>
      <c r="Z245" s="1" t="inlineStr">
        <is>
          <t>立华股份</t>
        </is>
      </c>
      <c r="AA245" s="1" t="n">
        <v>40</v>
      </c>
      <c r="AB245" s="1" t="n">
        <v>2.18</v>
      </c>
    </row>
    <row r="246">
      <c r="A246" s="1" t="inlineStr">
        <is>
          <t>CI005291.CI</t>
        </is>
      </c>
      <c r="B246" s="1" t="inlineStr">
        <is>
          <t>乘用车Ⅲ指数</t>
        </is>
      </c>
      <c r="C246" s="1" t="n">
        <v>9</v>
      </c>
      <c r="D246" s="10">
        <f>IFERROR((thsiFinD("ths_close_price_index",$A246,$AE$2,"","")/thsiFinD("ths_close_price_index",$A246,$AE$5,"","")-1)*100,"")</f>
        <v/>
      </c>
      <c r="E246" s="10">
        <f>IFERROR((thsiFinD("ths_close_price_index",$A246,$AE$2,"","")/thsiFinD("ths_close_price_index",$A246,$AE$3,"","")-1)*100,"")</f>
        <v/>
      </c>
      <c r="F246" s="10">
        <f>IFERROR((thsiFinD("ths_close_price_index",$A246,$AE$2,"","")/thsiFinD("ths_close_price_index",$A246,$AE$4,"","")-1)*100,"")</f>
        <v/>
      </c>
      <c r="G246" s="11">
        <f>IFERROR(E246/5-F246/20,"")</f>
        <v/>
      </c>
      <c r="H246" s="1" t="n">
        <v>96.39</v>
      </c>
      <c r="I246" s="1" t="inlineStr">
        <is>
          <t>002594.SZ</t>
        </is>
      </c>
      <c r="J246" s="1" t="inlineStr">
        <is>
          <t>比亚迪</t>
        </is>
      </c>
      <c r="K246" s="1" t="n">
        <v>2500</v>
      </c>
      <c r="L246" s="1" t="n">
        <v>64.59999999999999</v>
      </c>
      <c r="M246" s="1" t="inlineStr">
        <is>
          <t>601127.SH</t>
        </is>
      </c>
      <c r="N246" s="1" t="inlineStr">
        <is>
          <t>赛力斯</t>
        </is>
      </c>
      <c r="O246" s="1" t="n">
        <v>400</v>
      </c>
      <c r="P246" s="1" t="n">
        <v>10.34</v>
      </c>
      <c r="Q246" s="1" t="inlineStr">
        <is>
          <t>601633.SH</t>
        </is>
      </c>
      <c r="R246" s="1" t="inlineStr">
        <is>
          <t>长城汽车</t>
        </is>
      </c>
      <c r="S246" s="1" t="n">
        <v>300</v>
      </c>
      <c r="T246" s="1" t="n">
        <v>7.75</v>
      </c>
      <c r="U246" s="1" t="inlineStr">
        <is>
          <t>600104.SH</t>
        </is>
      </c>
      <c r="V246" s="1" t="inlineStr">
        <is>
          <t>上汽集团</t>
        </is>
      </c>
      <c r="W246" s="1" t="n">
        <v>280</v>
      </c>
      <c r="X246" s="1" t="n">
        <v>7.24</v>
      </c>
      <c r="Y246" s="1" t="inlineStr">
        <is>
          <t>000625.SZ</t>
        </is>
      </c>
      <c r="Z246" s="1" t="inlineStr">
        <is>
          <t>长安汽车</t>
        </is>
      </c>
      <c r="AA246" s="1" t="n">
        <v>250</v>
      </c>
      <c r="AB246" s="1" t="n">
        <v>6.46</v>
      </c>
    </row>
    <row r="247">
      <c r="A247" s="1" t="inlineStr">
        <is>
          <t>CI005305.CI</t>
        </is>
      </c>
      <c r="B247" s="1" t="inlineStr">
        <is>
          <t>餐饮指数</t>
        </is>
      </c>
      <c r="C247" s="1" t="n">
        <v>4</v>
      </c>
      <c r="D247" s="10">
        <f>IFERROR((thsiFinD("ths_close_price_index",$A247,$AE$2,"","")/thsiFinD("ths_close_price_index",$A247,$AE$5,"","")-1)*100,"")</f>
        <v/>
      </c>
      <c r="E247" s="10">
        <f>IFERROR((thsiFinD("ths_close_price_index",$A247,$AE$2,"","")/thsiFinD("ths_close_price_index",$A247,$AE$3,"","")-1)*100,"")</f>
        <v/>
      </c>
      <c r="F247" s="10">
        <f>IFERROR((thsiFinD("ths_close_price_index",$A247,$AE$2,"","")/thsiFinD("ths_close_price_index",$A247,$AE$4,"","")-1)*100,"")</f>
        <v/>
      </c>
      <c r="G247" s="11">
        <f>IFERROR(E247/5-F247/20,"")</f>
        <v/>
      </c>
      <c r="H247" s="1" t="n">
        <v>99.98999999999999</v>
      </c>
      <c r="I247" s="1" t="inlineStr">
        <is>
          <t>000721.SZ</t>
        </is>
      </c>
      <c r="J247" s="1" t="inlineStr">
        <is>
          <t>西安饮食</t>
        </is>
      </c>
      <c r="K247" s="1" t="n">
        <v>19.2757</v>
      </c>
      <c r="L247" s="1" t="n">
        <v>33.42</v>
      </c>
      <c r="M247" s="1" t="inlineStr">
        <is>
          <t>002186.SZ</t>
        </is>
      </c>
      <c r="N247" s="1" t="inlineStr">
        <is>
          <t>全聚德</t>
        </is>
      </c>
      <c r="O247" s="1" t="n">
        <v>15.1285</v>
      </c>
      <c r="P247" s="1" t="n">
        <v>26.23</v>
      </c>
      <c r="Q247" s="1" t="inlineStr">
        <is>
          <t>002306.SZ</t>
        </is>
      </c>
      <c r="R247" s="1" t="inlineStr">
        <is>
          <t>ST云网</t>
        </is>
      </c>
      <c r="S247" s="1" t="n">
        <v>13.3682</v>
      </c>
      <c r="T247" s="1" t="n">
        <v>23.18</v>
      </c>
      <c r="U247" s="1" t="inlineStr">
        <is>
          <t>605108.SH</t>
        </is>
      </c>
      <c r="V247" s="1" t="inlineStr">
        <is>
          <t>同庆楼</t>
        </is>
      </c>
      <c r="W247" s="1" t="n">
        <v>9.896599999999999</v>
      </c>
      <c r="X247" s="1" t="n">
        <v>17.16</v>
      </c>
    </row>
    <row r="248">
      <c r="A248" s="1" t="inlineStr">
        <is>
          <t>CI005576.CI</t>
        </is>
      </c>
      <c r="B248" s="1" t="inlineStr">
        <is>
          <t>动漫指数</t>
        </is>
      </c>
      <c r="C248" s="1" t="n">
        <v>1</v>
      </c>
      <c r="D248" s="10">
        <f>IFERROR((thsiFinD("ths_close_price_index",$A248,$AE$2,"","")/thsiFinD("ths_close_price_index",$A248,$AE$5,"","")-1)*100,"")</f>
        <v/>
      </c>
      <c r="E248" s="10">
        <f>IFERROR((thsiFinD("ths_close_price_index",$A248,$AE$2,"","")/thsiFinD("ths_close_price_index",$A248,$AE$3,"","")-1)*100,"")</f>
        <v/>
      </c>
      <c r="F248" s="10">
        <f>IFERROR((thsiFinD("ths_close_price_index",$A248,$AE$2,"","")/thsiFinD("ths_close_price_index",$A248,$AE$4,"","")-1)*100,"")</f>
        <v/>
      </c>
      <c r="G248" s="11">
        <f>IFERROR(E248/5-F248/20,"")</f>
        <v/>
      </c>
      <c r="H248" s="1" t="n">
        <v>100</v>
      </c>
      <c r="I248" s="1" t="inlineStr">
        <is>
          <t>002292.SZ</t>
        </is>
      </c>
      <c r="J248" s="1" t="inlineStr">
        <is>
          <t>奥飞娱乐</t>
        </is>
      </c>
      <c r="K248" s="1" t="n">
        <v>56.3362</v>
      </c>
      <c r="L248" s="1" t="n">
        <v>100</v>
      </c>
    </row>
    <row r="249">
      <c r="A249" s="1" t="inlineStr">
        <is>
          <t>CI005299.CI</t>
        </is>
      </c>
      <c r="B249" s="1" t="inlineStr">
        <is>
          <t>超市及便利店指数</t>
        </is>
      </c>
      <c r="C249" s="1" t="n">
        <v>8</v>
      </c>
      <c r="D249" s="10">
        <f>IFERROR((thsiFinD("ths_close_price_index",$A249,$AE$2,"","")/thsiFinD("ths_close_price_index",$A249,$AE$5,"","")-1)*100,"")</f>
        <v/>
      </c>
      <c r="E249" s="10">
        <f>IFERROR((thsiFinD("ths_close_price_index",$A249,$AE$2,"","")/thsiFinD("ths_close_price_index",$A249,$AE$3,"","")-1)*100,"")</f>
        <v/>
      </c>
      <c r="F249" s="10">
        <f>IFERROR((thsiFinD("ths_close_price_index",$A249,$AE$2,"","")/thsiFinD("ths_close_price_index",$A249,$AE$4,"","")-1)*100,"")</f>
        <v/>
      </c>
      <c r="G249" s="11">
        <f>IFERROR(E249/5-F249/20,"")</f>
        <v/>
      </c>
      <c r="H249" s="1" t="n">
        <v>86.2</v>
      </c>
      <c r="I249" s="1" t="inlineStr">
        <is>
          <t>601933.SH</t>
        </is>
      </c>
      <c r="J249" s="1" t="inlineStr">
        <is>
          <t>永辉超市</t>
        </is>
      </c>
      <c r="K249" s="1" t="n">
        <v>138.6667</v>
      </c>
      <c r="L249" s="1" t="n">
        <v>37.45</v>
      </c>
      <c r="M249" s="1" t="inlineStr">
        <is>
          <t>002251.SZ</t>
        </is>
      </c>
      <c r="N249" s="1" t="inlineStr">
        <is>
          <t>步步高</t>
        </is>
      </c>
      <c r="O249" s="1" t="n">
        <v>64.0996</v>
      </c>
      <c r="P249" s="1" t="n">
        <v>17.31</v>
      </c>
      <c r="Q249" s="1" t="inlineStr">
        <is>
          <t>600827.SH</t>
        </is>
      </c>
      <c r="R249" s="1" t="inlineStr">
        <is>
          <t>百联股份</t>
        </is>
      </c>
      <c r="S249" s="1" t="n">
        <v>55.7629</v>
      </c>
      <c r="T249" s="1" t="n">
        <v>15.06</v>
      </c>
      <c r="U249" s="1" t="inlineStr">
        <is>
          <t>002697.SZ</t>
        </is>
      </c>
      <c r="V249" s="1" t="inlineStr">
        <is>
          <t>红旗连锁</t>
        </is>
      </c>
      <c r="W249" s="1" t="n">
        <v>33.353</v>
      </c>
      <c r="X249" s="1" t="n">
        <v>9.01</v>
      </c>
      <c r="Y249" s="1" t="inlineStr">
        <is>
          <t>000759.SZ</t>
        </is>
      </c>
      <c r="Z249" s="1" t="inlineStr">
        <is>
          <t>中百集团</t>
        </is>
      </c>
      <c r="AA249" s="1" t="n">
        <v>27.2995</v>
      </c>
      <c r="AB249" s="1" t="n">
        <v>7.37</v>
      </c>
    </row>
    <row r="250">
      <c r="A250" s="1" t="inlineStr">
        <is>
          <t>CI005494.CI</t>
        </is>
      </c>
      <c r="B250" s="1" t="inlineStr">
        <is>
          <t>休闲综合指数</t>
        </is>
      </c>
      <c r="C250" s="1" t="n">
        <v>4</v>
      </c>
      <c r="D250" s="10">
        <f>IFERROR((thsiFinD("ths_close_price_index",$A250,$AE$2,"","")/thsiFinD("ths_close_price_index",$A250,$AE$5,"","")-1)*100,"")</f>
        <v/>
      </c>
      <c r="E250" s="10">
        <f>IFERROR((thsiFinD("ths_close_price_index",$A250,$AE$2,"","")/thsiFinD("ths_close_price_index",$A250,$AE$3,"","")-1)*100,"")</f>
        <v/>
      </c>
      <c r="F250" s="10">
        <f>IFERROR((thsiFinD("ths_close_price_index",$A250,$AE$2,"","")/thsiFinD("ths_close_price_index",$A250,$AE$4,"","")-1)*100,"")</f>
        <v/>
      </c>
      <c r="G250" s="11">
        <f>IFERROR(E250/5-F250/20,"")</f>
        <v/>
      </c>
      <c r="H250" s="1" t="n">
        <v>100</v>
      </c>
      <c r="I250" s="1" t="inlineStr">
        <is>
          <t>002627.SZ</t>
        </is>
      </c>
      <c r="J250" s="1" t="inlineStr">
        <is>
          <t>三峡旅游</t>
        </is>
      </c>
      <c r="K250" s="1" t="n">
        <v>29.5533</v>
      </c>
      <c r="L250" s="1" t="n">
        <v>37.22</v>
      </c>
      <c r="M250" s="1" t="inlineStr">
        <is>
          <t>600358.SH</t>
        </is>
      </c>
      <c r="N250" s="1" t="inlineStr">
        <is>
          <t>国旅联合</t>
        </is>
      </c>
      <c r="O250" s="1" t="n">
        <v>20.833</v>
      </c>
      <c r="P250" s="1" t="n">
        <v>26.24</v>
      </c>
      <c r="Q250" s="1" t="inlineStr">
        <is>
          <t>002059.SZ</t>
        </is>
      </c>
      <c r="R250" s="1" t="inlineStr">
        <is>
          <t>云南旅游</t>
        </is>
      </c>
      <c r="S250" s="1" t="n">
        <v>18.4812</v>
      </c>
      <c r="T250" s="1" t="n">
        <v>23.28</v>
      </c>
      <c r="U250" s="1" t="inlineStr">
        <is>
          <t>000610.SZ</t>
        </is>
      </c>
      <c r="V250" s="1" t="inlineStr">
        <is>
          <t>*ST西旅</t>
        </is>
      </c>
      <c r="W250" s="1" t="n">
        <v>10.5286</v>
      </c>
      <c r="X250" s="1" t="n">
        <v>13.26</v>
      </c>
    </row>
    <row r="251">
      <c r="A251" s="1" t="inlineStr">
        <is>
          <t>CI005574.CI</t>
        </is>
      </c>
      <c r="B251" s="1" t="inlineStr">
        <is>
          <t>其他广告营销指数</t>
        </is>
      </c>
      <c r="C251" s="1" t="n">
        <v>15</v>
      </c>
      <c r="D251" s="10">
        <f>IFERROR((thsiFinD("ths_close_price_index",$A251,$AE$2,"","")/thsiFinD("ths_close_price_index",$A251,$AE$5,"","")-1)*100,"")</f>
        <v/>
      </c>
      <c r="E251" s="10">
        <f>IFERROR((thsiFinD("ths_close_price_index",$A251,$AE$2,"","")/thsiFinD("ths_close_price_index",$A251,$AE$3,"","")-1)*100,"")</f>
        <v/>
      </c>
      <c r="F251" s="10">
        <f>IFERROR((thsiFinD("ths_close_price_index",$A251,$AE$2,"","")/thsiFinD("ths_close_price_index",$A251,$AE$4,"","")-1)*100,"")</f>
        <v/>
      </c>
      <c r="G251" s="11">
        <f>IFERROR(E251/5-F251/20,"")</f>
        <v/>
      </c>
      <c r="H251" s="1" t="n">
        <v>80.38</v>
      </c>
      <c r="I251" s="1" t="inlineStr">
        <is>
          <t>002027.SZ</t>
        </is>
      </c>
      <c r="J251" s="1" t="inlineStr">
        <is>
          <t>分众传媒</t>
        </is>
      </c>
      <c r="K251" s="1" t="n">
        <v>492.5003</v>
      </c>
      <c r="L251" s="1" t="n">
        <v>58.6</v>
      </c>
      <c r="M251" s="1" t="inlineStr">
        <is>
          <t>000917.SZ</t>
        </is>
      </c>
      <c r="N251" s="1" t="inlineStr">
        <is>
          <t>电广传媒</t>
        </is>
      </c>
      <c r="O251" s="1" t="n">
        <v>89.54389999999999</v>
      </c>
      <c r="P251" s="1" t="n">
        <v>10.65</v>
      </c>
      <c r="Q251" s="1" t="inlineStr">
        <is>
          <t>300061.SZ</t>
        </is>
      </c>
      <c r="R251" s="1" t="inlineStr">
        <is>
          <t>旗天科技</t>
        </is>
      </c>
      <c r="S251" s="1" t="n">
        <v>41.847</v>
      </c>
      <c r="T251" s="1" t="n">
        <v>4.98</v>
      </c>
      <c r="U251" s="1" t="inlineStr">
        <is>
          <t>600228.SH</t>
        </is>
      </c>
      <c r="V251" s="1" t="inlineStr">
        <is>
          <t>返利科技</t>
        </is>
      </c>
      <c r="W251" s="1" t="n">
        <v>25.9889</v>
      </c>
      <c r="X251" s="1" t="n">
        <v>3.09</v>
      </c>
      <c r="Y251" s="1" t="inlineStr">
        <is>
          <t>600826.SH</t>
        </is>
      </c>
      <c r="Z251" s="1" t="inlineStr">
        <is>
          <t>兰生股份</t>
        </is>
      </c>
      <c r="AA251" s="1" t="n">
        <v>25.6999</v>
      </c>
      <c r="AB251" s="1" t="n">
        <v>3.06</v>
      </c>
    </row>
    <row r="252">
      <c r="A252" s="1" t="inlineStr">
        <is>
          <t>CI005567.CI</t>
        </is>
      </c>
      <c r="B252" s="1" t="inlineStr">
        <is>
          <t>云软件服务指数</t>
        </is>
      </c>
      <c r="C252" s="1" t="n">
        <v>4</v>
      </c>
      <c r="D252" s="10">
        <f>IFERROR((thsiFinD("ths_close_price_index",$A252,$AE$2,"","")/thsiFinD("ths_close_price_index",$A252,$AE$5,"","")-1)*100,"")</f>
        <v/>
      </c>
      <c r="E252" s="10">
        <f>IFERROR((thsiFinD("ths_close_price_index",$A252,$AE$2,"","")/thsiFinD("ths_close_price_index",$A252,$AE$3,"","")-1)*100,"")</f>
        <v/>
      </c>
      <c r="F252" s="10">
        <f>IFERROR((thsiFinD("ths_close_price_index",$A252,$AE$2,"","")/thsiFinD("ths_close_price_index",$A252,$AE$4,"","")-1)*100,"")</f>
        <v/>
      </c>
      <c r="G252" s="11">
        <f>IFERROR(E252/5-F252/20,"")</f>
        <v/>
      </c>
      <c r="H252" s="1" t="n">
        <v>100</v>
      </c>
      <c r="I252" s="1" t="inlineStr">
        <is>
          <t>688111.SH</t>
        </is>
      </c>
      <c r="J252" s="1" t="inlineStr">
        <is>
          <t>金山办公</t>
        </is>
      </c>
      <c r="K252" s="1" t="n">
        <v>450.13</v>
      </c>
      <c r="L252" s="1" t="n">
        <v>55.87</v>
      </c>
      <c r="M252" s="1" t="inlineStr">
        <is>
          <t>600588.SH</t>
        </is>
      </c>
      <c r="N252" s="1" t="inlineStr">
        <is>
          <t>用友网络</t>
        </is>
      </c>
      <c r="O252" s="1" t="n">
        <v>178.5689</v>
      </c>
      <c r="P252" s="1" t="n">
        <v>22.16</v>
      </c>
      <c r="Q252" s="1" t="inlineStr">
        <is>
          <t>002410.SZ</t>
        </is>
      </c>
      <c r="R252" s="1" t="inlineStr">
        <is>
          <t>广联达</t>
        </is>
      </c>
      <c r="S252" s="1" t="n">
        <v>116.7282</v>
      </c>
      <c r="T252" s="1" t="n">
        <v>14.49</v>
      </c>
      <c r="U252" s="1" t="inlineStr">
        <is>
          <t>002153.SZ</t>
        </is>
      </c>
      <c r="V252" s="1" t="inlineStr">
        <is>
          <t>石基信息</t>
        </is>
      </c>
      <c r="W252" s="1" t="n">
        <v>60.2737</v>
      </c>
      <c r="X252" s="1" t="n">
        <v>7.48</v>
      </c>
    </row>
    <row r="253">
      <c r="A253" s="1" t="inlineStr">
        <is>
          <t>CI005359.CI</t>
        </is>
      </c>
      <c r="B253" s="1" t="inlineStr">
        <is>
          <t>航空指数</t>
        </is>
      </c>
      <c r="C253" s="1" t="n">
        <v>9</v>
      </c>
      <c r="D253" s="10">
        <f>IFERROR((thsiFinD("ths_close_price_index",$A253,$AE$2,"","")/thsiFinD("ths_close_price_index",$A253,$AE$5,"","")-1)*100,"")</f>
        <v/>
      </c>
      <c r="E253" s="10">
        <f>IFERROR((thsiFinD("ths_close_price_index",$A253,$AE$2,"","")/thsiFinD("ths_close_price_index",$A253,$AE$3,"","")-1)*100,"")</f>
        <v/>
      </c>
      <c r="F253" s="10">
        <f>IFERROR((thsiFinD("ths_close_price_index",$A253,$AE$2,"","")/thsiFinD("ths_close_price_index",$A253,$AE$4,"","")-1)*100,"")</f>
        <v/>
      </c>
      <c r="G253" s="11">
        <f>IFERROR(E253/5-F253/20,"")</f>
        <v/>
      </c>
      <c r="H253" s="1" t="n">
        <v>80.8</v>
      </c>
      <c r="I253" s="1" t="inlineStr">
        <is>
          <t>600221.SH</t>
        </is>
      </c>
      <c r="J253" s="1" t="inlineStr">
        <is>
          <t>海航控股</t>
        </is>
      </c>
      <c r="K253" s="1" t="n">
        <v>312.1393</v>
      </c>
      <c r="L253" s="1" t="n">
        <v>20.68</v>
      </c>
      <c r="M253" s="1" t="inlineStr">
        <is>
          <t>600115.SH</t>
        </is>
      </c>
      <c r="N253" s="1" t="inlineStr">
        <is>
          <t>中国东航</t>
        </is>
      </c>
      <c r="O253" s="1" t="n">
        <v>261.5018</v>
      </c>
      <c r="P253" s="1" t="n">
        <v>17.33</v>
      </c>
      <c r="Q253" s="1" t="inlineStr">
        <is>
          <t>601111.SH</t>
        </is>
      </c>
      <c r="R253" s="1" t="inlineStr">
        <is>
          <t>中国国航</t>
        </is>
      </c>
      <c r="S253" s="1" t="n">
        <v>231.8096</v>
      </c>
      <c r="T253" s="1" t="n">
        <v>15.36</v>
      </c>
      <c r="U253" s="1" t="inlineStr">
        <is>
          <t>600029.SH</t>
        </is>
      </c>
      <c r="V253" s="1" t="inlineStr">
        <is>
          <t>南方航空</t>
        </is>
      </c>
      <c r="W253" s="1" t="n">
        <v>215.0281</v>
      </c>
      <c r="X253" s="1" t="n">
        <v>14.25</v>
      </c>
      <c r="Y253" s="1" t="inlineStr">
        <is>
          <t>601021.SH</t>
        </is>
      </c>
      <c r="Z253" s="1" t="inlineStr">
        <is>
          <t>春秋航空</t>
        </is>
      </c>
      <c r="AA253" s="1" t="n">
        <v>198.8478</v>
      </c>
      <c r="AB253" s="1" t="n">
        <v>13.18</v>
      </c>
    </row>
    <row r="254">
      <c r="A254" s="1" t="inlineStr">
        <is>
          <t>CI005581.CI</t>
        </is>
      </c>
      <c r="B254" s="1" t="inlineStr">
        <is>
          <t>互联网影视音频指数</t>
        </is>
      </c>
      <c r="C254" s="1" t="n">
        <v>3</v>
      </c>
      <c r="D254" s="10">
        <f>IFERROR((thsiFinD("ths_close_price_index",$A254,$AE$2,"","")/thsiFinD("ths_close_price_index",$A254,$AE$5,"","")-1)*100,"")</f>
        <v/>
      </c>
      <c r="E254" s="10">
        <f>IFERROR((thsiFinD("ths_close_price_index",$A254,$AE$2,"","")/thsiFinD("ths_close_price_index",$A254,$AE$3,"","")-1)*100,"")</f>
        <v/>
      </c>
      <c r="F254" s="10">
        <f>IFERROR((thsiFinD("ths_close_price_index",$A254,$AE$2,"","")/thsiFinD("ths_close_price_index",$A254,$AE$4,"","")-1)*100,"")</f>
        <v/>
      </c>
      <c r="G254" s="11">
        <f>IFERROR(E254/5-F254/20,"")</f>
        <v/>
      </c>
      <c r="H254" s="1" t="n">
        <v>100</v>
      </c>
      <c r="I254" s="1" t="inlineStr">
        <is>
          <t>300413.SZ</t>
        </is>
      </c>
      <c r="J254" s="1" t="inlineStr">
        <is>
          <t>芒果超媒</t>
        </is>
      </c>
      <c r="K254" s="1" t="n">
        <v>94.08110000000001</v>
      </c>
      <c r="L254" s="1" t="n">
        <v>57.76</v>
      </c>
      <c r="M254" s="1" t="inlineStr">
        <is>
          <t>300770.SZ</t>
        </is>
      </c>
      <c r="N254" s="1" t="inlineStr">
        <is>
          <t>新媒股份</t>
        </is>
      </c>
      <c r="O254" s="1" t="n">
        <v>42.605</v>
      </c>
      <c r="P254" s="1" t="n">
        <v>26.16</v>
      </c>
      <c r="Q254" s="1" t="inlineStr">
        <is>
          <t>600640.SH</t>
        </is>
      </c>
      <c r="R254" s="1" t="inlineStr">
        <is>
          <t>国脉文化</t>
        </is>
      </c>
      <c r="S254" s="1" t="n">
        <v>26.1905</v>
      </c>
      <c r="T254" s="1" t="n">
        <v>16.08</v>
      </c>
    </row>
    <row r="255">
      <c r="A255" s="1" t="inlineStr">
        <is>
          <t>CI005491.CI</t>
        </is>
      </c>
      <c r="B255" s="1" t="inlineStr">
        <is>
          <t>专业市场经营Ⅲ指数</t>
        </is>
      </c>
      <c r="C255" s="1" t="n">
        <v>7</v>
      </c>
      <c r="D255" s="10">
        <f>IFERROR((thsiFinD("ths_close_price_index",$A255,$AE$2,"","")/thsiFinD("ths_close_price_index",$A255,$AE$5,"","")-1)*100,"")</f>
        <v/>
      </c>
      <c r="E255" s="10">
        <f>IFERROR((thsiFinD("ths_close_price_index",$A255,$AE$2,"","")/thsiFinD("ths_close_price_index",$A255,$AE$3,"","")-1)*100,"")</f>
        <v/>
      </c>
      <c r="F255" s="10">
        <f>IFERROR((thsiFinD("ths_close_price_index",$A255,$AE$2,"","")/thsiFinD("ths_close_price_index",$A255,$AE$4,"","")-1)*100,"")</f>
        <v/>
      </c>
      <c r="G255" s="11">
        <f>IFERROR(E255/5-F255/20,"")</f>
        <v/>
      </c>
      <c r="H255" s="1" t="n">
        <v>91.23999999999999</v>
      </c>
      <c r="I255" s="1" t="inlineStr">
        <is>
          <t>600415.SH</t>
        </is>
      </c>
      <c r="J255" s="1" t="inlineStr">
        <is>
          <t>小商品城</t>
        </is>
      </c>
      <c r="K255" s="1" t="n">
        <v>254.3222</v>
      </c>
      <c r="L255" s="1" t="n">
        <v>56.49</v>
      </c>
      <c r="M255" s="1" t="inlineStr">
        <is>
          <t>600113.SH</t>
        </is>
      </c>
      <c r="N255" s="1" t="inlineStr">
        <is>
          <t>浙江东日</t>
        </is>
      </c>
      <c r="O255" s="1" t="n">
        <v>50.6028</v>
      </c>
      <c r="P255" s="1" t="n">
        <v>11.24</v>
      </c>
      <c r="Q255" s="1" t="inlineStr">
        <is>
          <t>000785.SZ</t>
        </is>
      </c>
      <c r="R255" s="1" t="inlineStr">
        <is>
          <t>居然智家</t>
        </is>
      </c>
      <c r="S255" s="1" t="n">
        <v>45.4506</v>
      </c>
      <c r="T255" s="1" t="n">
        <v>10.1</v>
      </c>
      <c r="U255" s="1" t="inlineStr">
        <is>
          <t>601828.SH</t>
        </is>
      </c>
      <c r="V255" s="1" t="inlineStr">
        <is>
          <t>美凯龙</t>
        </is>
      </c>
      <c r="W255" s="1" t="n">
        <v>32.7815</v>
      </c>
      <c r="X255" s="1" t="n">
        <v>7.28</v>
      </c>
      <c r="Y255" s="1" t="inlineStr">
        <is>
          <t>600790.SH</t>
        </is>
      </c>
      <c r="Z255" s="1" t="inlineStr">
        <is>
          <t>轻纺城</t>
        </is>
      </c>
      <c r="AA255" s="1" t="n">
        <v>27.5984</v>
      </c>
      <c r="AB255" s="1" t="n">
        <v>6.13</v>
      </c>
    </row>
    <row r="256">
      <c r="A256" s="1" t="inlineStr">
        <is>
          <t>CI005483.CI</t>
        </is>
      </c>
      <c r="B256" s="1" t="inlineStr">
        <is>
          <t>百货指数</t>
        </is>
      </c>
      <c r="C256" s="1" t="n">
        <v>23</v>
      </c>
      <c r="D256" s="10">
        <f>IFERROR((thsiFinD("ths_close_price_index",$A256,$AE$2,"","")/thsiFinD("ths_close_price_index",$A256,$AE$5,"","")-1)*100,"")</f>
        <v/>
      </c>
      <c r="E256" s="10">
        <f>IFERROR((thsiFinD("ths_close_price_index",$A256,$AE$2,"","")/thsiFinD("ths_close_price_index",$A256,$AE$3,"","")-1)*100,"")</f>
        <v/>
      </c>
      <c r="F256" s="10">
        <f>IFERROR((thsiFinD("ths_close_price_index",$A256,$AE$2,"","")/thsiFinD("ths_close_price_index",$A256,$AE$4,"","")-1)*100,"")</f>
        <v/>
      </c>
      <c r="G256" s="11">
        <f>IFERROR(E256/5-F256/20,"")</f>
        <v/>
      </c>
      <c r="H256" s="1" t="n">
        <v>57.45</v>
      </c>
      <c r="I256" s="1" t="inlineStr">
        <is>
          <t>000564.SZ</t>
        </is>
      </c>
      <c r="J256" s="1" t="inlineStr">
        <is>
          <t>供销大集</t>
        </is>
      </c>
      <c r="K256" s="1" t="n">
        <v>146.1552</v>
      </c>
      <c r="L256" s="1" t="n">
        <v>24.61</v>
      </c>
      <c r="M256" s="1" t="inlineStr">
        <is>
          <t>600859.SH</t>
        </is>
      </c>
      <c r="N256" s="1" t="inlineStr">
        <is>
          <t>王府井</t>
        </is>
      </c>
      <c r="O256" s="1" t="n">
        <v>74.87990000000001</v>
      </c>
      <c r="P256" s="1" t="n">
        <v>12.61</v>
      </c>
      <c r="Q256" s="1" t="inlineStr">
        <is>
          <t>002277.SZ</t>
        </is>
      </c>
      <c r="R256" s="1" t="inlineStr">
        <is>
          <t>友阿股份</t>
        </is>
      </c>
      <c r="S256" s="1" t="n">
        <v>56.8634</v>
      </c>
      <c r="T256" s="1" t="n">
        <v>9.57</v>
      </c>
      <c r="U256" s="1" t="inlineStr">
        <is>
          <t>600693.SH</t>
        </is>
      </c>
      <c r="V256" s="1" t="inlineStr">
        <is>
          <t>东百集团</t>
        </is>
      </c>
      <c r="W256" s="1" t="n">
        <v>32.9223</v>
      </c>
      <c r="X256" s="1" t="n">
        <v>5.54</v>
      </c>
      <c r="Y256" s="1" t="inlineStr">
        <is>
          <t>000501.SZ</t>
        </is>
      </c>
      <c r="Z256" s="1" t="inlineStr">
        <is>
          <t>武商集团</t>
        </is>
      </c>
      <c r="AA256" s="1" t="n">
        <v>30.4324</v>
      </c>
      <c r="AB256" s="1" t="n">
        <v>5.12</v>
      </c>
    </row>
    <row r="257">
      <c r="A257" s="1" t="inlineStr">
        <is>
          <t>CI005360.CI</t>
        </is>
      </c>
      <c r="B257" s="1" t="inlineStr">
        <is>
          <t>机场指数</t>
        </is>
      </c>
      <c r="C257" s="1" t="n">
        <v>5</v>
      </c>
      <c r="D257" s="10">
        <f>IFERROR((thsiFinD("ths_close_price_index",$A257,$AE$2,"","")/thsiFinD("ths_close_price_index",$A257,$AE$5,"","")-1)*100,"")</f>
        <v/>
      </c>
      <c r="E257" s="10">
        <f>IFERROR((thsiFinD("ths_close_price_index",$A257,$AE$2,"","")/thsiFinD("ths_close_price_index",$A257,$AE$3,"","")-1)*100,"")</f>
        <v/>
      </c>
      <c r="F257" s="10">
        <f>IFERROR((thsiFinD("ths_close_price_index",$A257,$AE$2,"","")/thsiFinD("ths_close_price_index",$A257,$AE$4,"","")-1)*100,"")</f>
        <v/>
      </c>
      <c r="G257" s="11">
        <f>IFERROR(E257/5-F257/20,"")</f>
        <v/>
      </c>
      <c r="H257" s="1" t="n">
        <v>100.01</v>
      </c>
      <c r="I257" s="1" t="inlineStr">
        <is>
          <t>600009.SH</t>
        </is>
      </c>
      <c r="J257" s="1" t="inlineStr">
        <is>
          <t>上海机场</t>
        </is>
      </c>
      <c r="K257" s="1" t="n">
        <v>239.7964</v>
      </c>
      <c r="L257" s="1" t="n">
        <v>43.32</v>
      </c>
      <c r="M257" s="1" t="inlineStr">
        <is>
          <t>600515.SH</t>
        </is>
      </c>
      <c r="N257" s="1" t="inlineStr">
        <is>
          <t>海南机场</t>
        </is>
      </c>
      <c r="O257" s="1" t="n">
        <v>161.423</v>
      </c>
      <c r="P257" s="1" t="n">
        <v>29.16</v>
      </c>
      <c r="Q257" s="1" t="inlineStr">
        <is>
          <t>600004.SH</t>
        </is>
      </c>
      <c r="R257" s="1" t="inlineStr">
        <is>
          <t>白云机场</t>
        </is>
      </c>
      <c r="S257" s="1" t="n">
        <v>77.49250000000001</v>
      </c>
      <c r="T257" s="1" t="n">
        <v>14</v>
      </c>
      <c r="U257" s="1" t="inlineStr">
        <is>
          <t>000089.SZ</t>
        </is>
      </c>
      <c r="V257" s="1" t="inlineStr">
        <is>
          <t>深圳机场</t>
        </is>
      </c>
      <c r="W257" s="1" t="n">
        <v>55.0664</v>
      </c>
      <c r="X257" s="1" t="n">
        <v>9.949999999999999</v>
      </c>
      <c r="Y257" s="1" t="inlineStr">
        <is>
          <t>600897.SH</t>
        </is>
      </c>
      <c r="Z257" s="1" t="inlineStr">
        <is>
          <t>厦门空港</t>
        </is>
      </c>
      <c r="AA257" s="1" t="n">
        <v>19.8149</v>
      </c>
      <c r="AB257" s="1" t="n">
        <v>3.58</v>
      </c>
    </row>
    <row r="258">
      <c r="A258" s="1" t="inlineStr">
        <is>
          <t>CI005467.CI</t>
        </is>
      </c>
      <c r="B258" s="1" t="inlineStr">
        <is>
          <t>服务机器人指数</t>
        </is>
      </c>
      <c r="C258" s="1" t="n">
        <v>3</v>
      </c>
      <c r="D258" s="10">
        <f>IFERROR((thsiFinD("ths_close_price_index",$A258,$AE$2,"","")/thsiFinD("ths_close_price_index",$A258,$AE$5,"","")-1)*100,"")</f>
        <v/>
      </c>
      <c r="E258" s="10">
        <f>IFERROR((thsiFinD("ths_close_price_index",$A258,$AE$2,"","")/thsiFinD("ths_close_price_index",$A258,$AE$3,"","")-1)*100,"")</f>
        <v/>
      </c>
      <c r="F258" s="10">
        <f>IFERROR((thsiFinD("ths_close_price_index",$A258,$AE$2,"","")/thsiFinD("ths_close_price_index",$A258,$AE$4,"","")-1)*100,"")</f>
        <v/>
      </c>
      <c r="G258" s="11">
        <f>IFERROR(E258/5-F258/20,"")</f>
        <v/>
      </c>
      <c r="H258" s="1" t="n">
        <v>100</v>
      </c>
      <c r="I258" s="1" t="inlineStr">
        <is>
          <t>688169.SH</t>
        </is>
      </c>
      <c r="J258" s="1" t="inlineStr">
        <is>
          <t>石头科技</t>
        </is>
      </c>
      <c r="K258" s="1" t="n">
        <v>201.7491</v>
      </c>
      <c r="L258" s="1" t="n">
        <v>66.55</v>
      </c>
      <c r="M258" s="1" t="inlineStr">
        <is>
          <t>603486.SH</t>
        </is>
      </c>
      <c r="N258" s="1" t="inlineStr">
        <is>
          <t>科沃斯</t>
        </is>
      </c>
      <c r="O258" s="1" t="n">
        <v>101.3939</v>
      </c>
      <c r="P258" s="1" t="n">
        <v>33.45</v>
      </c>
    </row>
    <row r="259">
      <c r="A259" s="1" t="inlineStr">
        <is>
          <t>CI005499.CI</t>
        </is>
      </c>
      <c r="B259" s="1" t="inlineStr">
        <is>
          <t>教育信息化及在线教育指数</t>
        </is>
      </c>
      <c r="C259" s="1" t="n">
        <v>7</v>
      </c>
      <c r="D259" s="10">
        <f>IFERROR((thsiFinD("ths_close_price_index",$A259,$AE$2,"","")/thsiFinD("ths_close_price_index",$A259,$AE$5,"","")-1)*100,"")</f>
        <v/>
      </c>
      <c r="E259" s="10">
        <f>IFERROR((thsiFinD("ths_close_price_index",$A259,$AE$2,"","")/thsiFinD("ths_close_price_index",$A259,$AE$3,"","")-1)*100,"")</f>
        <v/>
      </c>
      <c r="F259" s="10">
        <f>IFERROR((thsiFinD("ths_close_price_index",$A259,$AE$2,"","")/thsiFinD("ths_close_price_index",$A259,$AE$4,"","")-1)*100,"")</f>
        <v/>
      </c>
      <c r="G259" s="11">
        <f>IFERROR(E259/5-F259/20,"")</f>
        <v/>
      </c>
      <c r="H259" s="1" t="n">
        <v>100</v>
      </c>
      <c r="I259" s="1" t="inlineStr">
        <is>
          <t>300010.SZ</t>
        </is>
      </c>
      <c r="J259" s="1" t="inlineStr">
        <is>
          <t>ST豆神</t>
        </is>
      </c>
      <c r="K259" s="1" t="n">
        <v>39.4785</v>
      </c>
      <c r="L259" s="1" t="n">
        <v>56.06</v>
      </c>
      <c r="M259" s="1" t="inlineStr">
        <is>
          <t>300359.SZ</t>
        </is>
      </c>
      <c r="N259" s="1" t="inlineStr">
        <is>
          <t>全通教育</t>
        </is>
      </c>
      <c r="O259" s="1" t="n">
        <v>15.105</v>
      </c>
      <c r="P259" s="1" t="n">
        <v>21.45</v>
      </c>
      <c r="Q259" s="1" t="inlineStr">
        <is>
          <t>003032.SZ</t>
        </is>
      </c>
      <c r="R259" s="1" t="inlineStr">
        <is>
          <t>传智教育</t>
        </is>
      </c>
      <c r="S259" s="1" t="n">
        <v>11.8012</v>
      </c>
      <c r="T259" s="1" t="n">
        <v>16.76</v>
      </c>
      <c r="U259" s="1" t="inlineStr">
        <is>
          <t>600636.SH</t>
        </is>
      </c>
      <c r="V259" s="1" t="inlineStr">
        <is>
          <t>退市国化</t>
        </is>
      </c>
      <c r="W259" s="1" t="n">
        <v>4.0355</v>
      </c>
      <c r="X259" s="1" t="n">
        <v>5.73</v>
      </c>
    </row>
    <row r="260">
      <c r="A260" s="1" t="inlineStr">
        <is>
          <t>CI005492.CI</t>
        </is>
      </c>
      <c r="B260" s="1" t="inlineStr">
        <is>
          <t>旅游服务指数</t>
        </is>
      </c>
      <c r="C260" s="1" t="n">
        <v>3</v>
      </c>
      <c r="D260" s="10">
        <f>IFERROR((thsiFinD("ths_close_price_index",$A260,$AE$2,"","")/thsiFinD("ths_close_price_index",$A260,$AE$5,"","")-1)*100,"")</f>
        <v/>
      </c>
      <c r="E260" s="10">
        <f>IFERROR((thsiFinD("ths_close_price_index",$A260,$AE$2,"","")/thsiFinD("ths_close_price_index",$A260,$AE$3,"","")-1)*100,"")</f>
        <v/>
      </c>
      <c r="F260" s="10">
        <f>IFERROR((thsiFinD("ths_close_price_index",$A260,$AE$2,"","")/thsiFinD("ths_close_price_index",$A260,$AE$4,"","")-1)*100,"")</f>
        <v/>
      </c>
      <c r="G260" s="11">
        <f>IFERROR(E260/5-F260/20,"")</f>
        <v/>
      </c>
      <c r="H260" s="1" t="n">
        <v>100</v>
      </c>
      <c r="I260" s="1" t="inlineStr">
        <is>
          <t>000796.SZ</t>
        </is>
      </c>
      <c r="J260" s="1" t="inlineStr">
        <is>
          <t>凯撒旅业</t>
        </is>
      </c>
      <c r="K260" s="1" t="n">
        <v>45.9055</v>
      </c>
      <c r="L260" s="1" t="n">
        <v>46.24</v>
      </c>
      <c r="M260" s="1" t="inlineStr">
        <is>
          <t>002707.SZ</t>
        </is>
      </c>
      <c r="N260" s="1" t="inlineStr">
        <is>
          <t>众信旅游</t>
        </is>
      </c>
      <c r="O260" s="1" t="n">
        <v>35.0964</v>
      </c>
      <c r="P260" s="1" t="n">
        <v>35.35</v>
      </c>
      <c r="Q260" s="1" t="inlineStr">
        <is>
          <t>000524.SZ</t>
        </is>
      </c>
      <c r="R260" s="1" t="inlineStr">
        <is>
          <t>岭南控股</t>
        </is>
      </c>
      <c r="S260" s="1" t="n">
        <v>18.2718</v>
      </c>
      <c r="T260" s="1" t="n">
        <v>18.41</v>
      </c>
    </row>
    <row r="261">
      <c r="A261" s="1" t="inlineStr">
        <is>
          <t>CI005523.CI</t>
        </is>
      </c>
      <c r="B261" s="1" t="inlineStr">
        <is>
          <t>宠物食品指数</t>
        </is>
      </c>
      <c r="C261" s="1" t="n">
        <v>3</v>
      </c>
      <c r="D261" s="10">
        <f>IFERROR((thsiFinD("ths_close_price_index",$A261,$AE$2,"","")/thsiFinD("ths_close_price_index",$A261,$AE$5,"","")-1)*100,"")</f>
        <v/>
      </c>
      <c r="E261" s="10">
        <f>IFERROR((thsiFinD("ths_close_price_index",$A261,$AE$2,"","")/thsiFinD("ths_close_price_index",$A261,$AE$3,"","")-1)*100,"")</f>
        <v/>
      </c>
      <c r="F261" s="10">
        <f>IFERROR((thsiFinD("ths_close_price_index",$A261,$AE$2,"","")/thsiFinD("ths_close_price_index",$A261,$AE$4,"","")-1)*100,"")</f>
        <v/>
      </c>
      <c r="G261" s="11">
        <f>IFERROR(E261/5-F261/20,"")</f>
        <v/>
      </c>
      <c r="H261" s="1" t="n">
        <v>100</v>
      </c>
      <c r="I261" s="1" t="inlineStr">
        <is>
          <t>301498.SZ</t>
        </is>
      </c>
      <c r="J261" s="1" t="inlineStr">
        <is>
          <t>乖宝宠物</t>
        </is>
      </c>
      <c r="K261" s="1" t="n">
        <v>50.5882</v>
      </c>
      <c r="L261" s="1" t="n">
        <v>45.25</v>
      </c>
      <c r="M261" s="1" t="inlineStr">
        <is>
          <t>002891.SZ</t>
        </is>
      </c>
      <c r="N261" s="1" t="inlineStr">
        <is>
          <t>中宠股份</t>
        </is>
      </c>
      <c r="O261" s="1" t="n">
        <v>45.9108</v>
      </c>
      <c r="P261" s="1" t="n">
        <v>41.07</v>
      </c>
      <c r="Q261" s="1" t="inlineStr">
        <is>
          <t>300673.SZ</t>
        </is>
      </c>
      <c r="R261" s="1" t="inlineStr">
        <is>
          <t>佩蒂股份</t>
        </is>
      </c>
      <c r="S261" s="1" t="n">
        <v>15.2949</v>
      </c>
      <c r="T261" s="1" t="n">
        <v>13.68</v>
      </c>
    </row>
    <row r="262">
      <c r="A262" s="1" t="inlineStr">
        <is>
          <t>CI005520.CI</t>
        </is>
      </c>
      <c r="B262" s="1" t="inlineStr">
        <is>
          <t>林木及加工指数</t>
        </is>
      </c>
      <c r="C262" s="1" t="n">
        <v>4</v>
      </c>
      <c r="D262" s="10">
        <f>IFERROR((thsiFinD("ths_close_price_index",$A262,$AE$2,"","")/thsiFinD("ths_close_price_index",$A262,$AE$5,"","")-1)*100,"")</f>
        <v/>
      </c>
      <c r="E262" s="10">
        <f>IFERROR((thsiFinD("ths_close_price_index",$A262,$AE$2,"","")/thsiFinD("ths_close_price_index",$A262,$AE$3,"","")-1)*100,"")</f>
        <v/>
      </c>
      <c r="F262" s="10">
        <f>IFERROR((thsiFinD("ths_close_price_index",$A262,$AE$2,"","")/thsiFinD("ths_close_price_index",$A262,$AE$4,"","")-1)*100,"")</f>
        <v/>
      </c>
      <c r="G262" s="11">
        <f>IFERROR(E262/5-F262/20,"")</f>
        <v/>
      </c>
      <c r="H262" s="1" t="n">
        <v>100</v>
      </c>
      <c r="I262" s="1" t="inlineStr">
        <is>
          <t>000592.SZ</t>
        </is>
      </c>
      <c r="J262" s="1" t="inlineStr">
        <is>
          <t>平潭发展</t>
        </is>
      </c>
      <c r="K262" s="1" t="n">
        <v>115.799</v>
      </c>
      <c r="L262" s="1" t="n">
        <v>81.13</v>
      </c>
      <c r="M262" s="1" t="inlineStr">
        <is>
          <t>600265.SH</t>
        </is>
      </c>
      <c r="N262" s="1" t="inlineStr">
        <is>
          <t>*ST景谷</t>
        </is>
      </c>
      <c r="O262" s="1" t="n">
        <v>10.2394</v>
      </c>
      <c r="P262" s="1" t="n">
        <v>7.17</v>
      </c>
      <c r="Q262" s="1" t="inlineStr">
        <is>
          <t>002200.SZ</t>
        </is>
      </c>
      <c r="R262" s="1" t="inlineStr">
        <is>
          <t>交投生态</t>
        </is>
      </c>
      <c r="S262" s="1" t="n">
        <v>9.4885</v>
      </c>
      <c r="T262" s="1" t="n">
        <v>6.65</v>
      </c>
      <c r="U262" s="1" t="inlineStr">
        <is>
          <t>002679.SZ</t>
        </is>
      </c>
      <c r="V262" s="1" t="inlineStr">
        <is>
          <t>福建金森</t>
        </is>
      </c>
      <c r="W262" s="1" t="n">
        <v>7.2028</v>
      </c>
      <c r="X262" s="1" t="n">
        <v>5.05</v>
      </c>
    </row>
  </sheetData>
  <conditionalFormatting sqref="E2:E262">
    <cfRule type="colorScale" priority="1">
      <colorScale>
        <cfvo type="num" val="-8"/>
        <cfvo type="num" val="0"/>
        <cfvo type="num" val="8"/>
        <color rgb="002E7D32"/>
        <color rgb="00FFFFFF"/>
        <color rgb="00C62828"/>
      </colorScale>
    </cfRule>
  </conditionalFormatting>
  <conditionalFormatting sqref="G2:G262">
    <cfRule type="colorScale" priority="2">
      <colorScale>
        <cfvo type="percentile" val="5"/>
        <cfvo type="percentile" val="50"/>
        <cfvo type="percentile" val="95"/>
        <color rgb="002E7D32"/>
        <color rgb="00FFFFFF"/>
        <color rgb="00C62828"/>
      </colorScale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G262"/>
  <sheetViews>
    <sheetView workbookViewId="0">
      <selection activeCell="A1" sqref="A1"/>
    </sheetView>
  </sheetViews>
  <sheetFormatPr baseColWidth="8" defaultRowHeight="15"/>
  <cols>
    <col width="11" customWidth="1" min="2" max="2"/>
    <col width="1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3" max="33"/>
  </cols>
  <sheetData>
    <row r="1">
      <c r="B1" s="12" t="inlineStr">
        <is>
          <t>中信三级行业指数 · 短期热点热力图</t>
        </is>
      </c>
    </row>
    <row r="2" ht="30" customHeight="1">
      <c r="B2" s="13" t="inlineStr">
        <is>
          <t>瓦片按【指数自由流通市值】从大到小、从左上到右下排列(市值大→越靠前越显眼)；颜色按【近一周涨跌幅】红涨绿跌、幅度越大越深。数据随上一页(中信三级行业指数热度)iFinD公式自动刷新。</t>
        </is>
      </c>
      <c r="AG2">
        <f>IFERROR('中信三级行业指数热度'!G2+ROW()*0.0000000001,-9999)</f>
        <v/>
      </c>
    </row>
    <row r="3" ht="34" customHeight="1">
      <c r="B3" s="14">
        <f>'中信三级行业指数热度'!B17&amp;CHAR(10)&amp;TEXT('中信三级行业指数热度'!E17,"0.0")&amp;"%"</f>
        <v/>
      </c>
      <c r="C3" s="14">
        <f>'中信三级行业指数热度'!B8&amp;CHAR(10)&amp;TEXT('中信三级行业指数热度'!E8,"0.0")&amp;"%"</f>
        <v/>
      </c>
      <c r="D3" s="14">
        <f>'中信三级行业指数热度'!B176&amp;CHAR(10)&amp;TEXT('中信三级行业指数热度'!E176,"0.0")&amp;"%"</f>
        <v/>
      </c>
      <c r="E3" s="14">
        <f>'中信三级行业指数热度'!B22&amp;CHAR(10)&amp;TEXT('中信三级行业指数热度'!E22,"0.0")&amp;"%"</f>
        <v/>
      </c>
      <c r="F3" s="14">
        <f>'中信三级行业指数热度'!B75&amp;CHAR(10)&amp;TEXT('中信三级行业指数热度'!E75,"0.0")&amp;"%"</f>
        <v/>
      </c>
      <c r="G3" s="14">
        <f>'中信三级行业指数热度'!B11&amp;CHAR(10)&amp;TEXT('中信三级行业指数热度'!E11,"0.0")&amp;"%"</f>
        <v/>
      </c>
      <c r="H3" s="14">
        <f>'中信三级行业指数热度'!B10&amp;CHAR(10)&amp;TEXT('中信三级行业指数热度'!E10,"0.0")&amp;"%"</f>
        <v/>
      </c>
      <c r="I3" s="14">
        <f>'中信三级行业指数热度'!B162&amp;CHAR(10)&amp;TEXT('中信三级行业指数热度'!E162,"0.0")&amp;"%"</f>
        <v/>
      </c>
      <c r="J3" s="14">
        <f>'中信三级行业指数热度'!B212&amp;CHAR(10)&amp;TEXT('中信三级行业指数热度'!E212,"0.0")&amp;"%"</f>
        <v/>
      </c>
      <c r="K3" s="14">
        <f>'中信三级行业指数热度'!B42&amp;CHAR(10)&amp;TEXT('中信三级行业指数热度'!E42,"0.0")&amp;"%"</f>
        <v/>
      </c>
      <c r="L3" s="14">
        <f>'中信三级行业指数热度'!B136&amp;CHAR(10)&amp;TEXT('中信三级行业指数热度'!E136,"0.0")&amp;"%"</f>
        <v/>
      </c>
      <c r="M3" s="14">
        <f>'中信三级行业指数热度'!B244&amp;CHAR(10)&amp;TEXT('中信三级行业指数热度'!E244,"0.0")&amp;"%"</f>
        <v/>
      </c>
      <c r="N3" s="14">
        <f>'中信三级行业指数热度'!B122&amp;CHAR(10)&amp;TEXT('中信三级行业指数热度'!E122,"0.0")&amp;"%"</f>
        <v/>
      </c>
      <c r="O3" s="14">
        <f>'中信三级行业指数热度'!B18&amp;CHAR(10)&amp;TEXT('中信三级行业指数热度'!E18,"0.0")&amp;"%"</f>
        <v/>
      </c>
      <c r="R3" s="15">
        <f>'中信三级行业指数热度'!E17</f>
        <v/>
      </c>
      <c r="S3" s="15">
        <f>'中信三级行业指数热度'!E8</f>
        <v/>
      </c>
      <c r="T3" s="15">
        <f>'中信三级行业指数热度'!E176</f>
        <v/>
      </c>
      <c r="U3" s="15">
        <f>'中信三级行业指数热度'!E22</f>
        <v/>
      </c>
      <c r="V3" s="15">
        <f>'中信三级行业指数热度'!E75</f>
        <v/>
      </c>
      <c r="W3" s="15">
        <f>'中信三级行业指数热度'!E11</f>
        <v/>
      </c>
      <c r="X3" s="15">
        <f>'中信三级行业指数热度'!E10</f>
        <v/>
      </c>
      <c r="Y3" s="15">
        <f>'中信三级行业指数热度'!E162</f>
        <v/>
      </c>
      <c r="Z3" s="15">
        <f>'中信三级行业指数热度'!E212</f>
        <v/>
      </c>
      <c r="AA3" s="15">
        <f>'中信三级行业指数热度'!E42</f>
        <v/>
      </c>
      <c r="AB3" s="15">
        <f>'中信三级行业指数热度'!E136</f>
        <v/>
      </c>
      <c r="AC3" s="15">
        <f>'中信三级行业指数热度'!E244</f>
        <v/>
      </c>
      <c r="AD3" s="15">
        <f>'中信三级行业指数热度'!E122</f>
        <v/>
      </c>
      <c r="AE3" s="15">
        <f>'中信三级行业指数热度'!E18</f>
        <v/>
      </c>
      <c r="AG3">
        <f>IFERROR('中信三级行业指数热度'!G3+ROW()*0.0000000001,-9999)</f>
        <v/>
      </c>
    </row>
    <row r="4" ht="34" customHeight="1">
      <c r="B4" s="14">
        <f>'中信三级行业指数热度'!B121&amp;CHAR(10)&amp;TEXT('中信三级行业指数热度'!E121,"0.0")&amp;"%"</f>
        <v/>
      </c>
      <c r="C4" s="14">
        <f>'中信三级行业指数热度'!B2&amp;CHAR(10)&amp;TEXT('中信三级行业指数热度'!E2,"0.0")&amp;"%"</f>
        <v/>
      </c>
      <c r="D4" s="14">
        <f>'中信三级行业指数热度'!B119&amp;CHAR(10)&amp;TEXT('中信三级行业指数热度'!E119,"0.0")&amp;"%"</f>
        <v/>
      </c>
      <c r="E4" s="14">
        <f>'中信三级行业指数热度'!B90&amp;CHAR(10)&amp;TEXT('中信三级行业指数热度'!E90,"0.0")&amp;"%"</f>
        <v/>
      </c>
      <c r="F4" s="14">
        <f>'中信三级行业指数热度'!B107&amp;CHAR(10)&amp;TEXT('中信三级行业指数热度'!E107,"0.0")&amp;"%"</f>
        <v/>
      </c>
      <c r="G4" s="14">
        <f>'中信三级行业指数热度'!B157&amp;CHAR(10)&amp;TEXT('中信三级行业指数热度'!E157,"0.0")&amp;"%"</f>
        <v/>
      </c>
      <c r="H4" s="14">
        <f>'中信三级行业指数热度'!B9&amp;CHAR(10)&amp;TEXT('中信三级行业指数热度'!E9,"0.0")&amp;"%"</f>
        <v/>
      </c>
      <c r="I4" s="14">
        <f>'中信三级行业指数热度'!B139&amp;CHAR(10)&amp;TEXT('中信三级行业指数热度'!E139,"0.0")&amp;"%"</f>
        <v/>
      </c>
      <c r="J4" s="14">
        <f>'中信三级行业指数热度'!B51&amp;CHAR(10)&amp;TEXT('中信三级行业指数热度'!E51,"0.0")&amp;"%"</f>
        <v/>
      </c>
      <c r="K4" s="14">
        <f>'中信三级行业指数热度'!B151&amp;CHAR(10)&amp;TEXT('中信三级行业指数热度'!E151,"0.0")&amp;"%"</f>
        <v/>
      </c>
      <c r="L4" s="14">
        <f>'中信三级行业指数热度'!B3&amp;CHAR(10)&amp;TEXT('中信三级行业指数热度'!E3,"0.0")&amp;"%"</f>
        <v/>
      </c>
      <c r="M4" s="14">
        <f>'中信三级行业指数热度'!B231&amp;CHAR(10)&amp;TEXT('中信三级行业指数热度'!E231,"0.0")&amp;"%"</f>
        <v/>
      </c>
      <c r="N4" s="14">
        <f>'中信三级行业指数热度'!B52&amp;CHAR(10)&amp;TEXT('中信三级行业指数热度'!E52,"0.0")&amp;"%"</f>
        <v/>
      </c>
      <c r="O4" s="14">
        <f>'中信三级行业指数热度'!B179&amp;CHAR(10)&amp;TEXT('中信三级行业指数热度'!E179,"0.0")&amp;"%"</f>
        <v/>
      </c>
      <c r="R4" s="15">
        <f>'中信三级行业指数热度'!E121</f>
        <v/>
      </c>
      <c r="S4" s="15">
        <f>'中信三级行业指数热度'!E2</f>
        <v/>
      </c>
      <c r="T4" s="15">
        <f>'中信三级行业指数热度'!E119</f>
        <v/>
      </c>
      <c r="U4" s="15">
        <f>'中信三级行业指数热度'!E90</f>
        <v/>
      </c>
      <c r="V4" s="15">
        <f>'中信三级行业指数热度'!E107</f>
        <v/>
      </c>
      <c r="W4" s="15">
        <f>'中信三级行业指数热度'!E157</f>
        <v/>
      </c>
      <c r="X4" s="15">
        <f>'中信三级行业指数热度'!E9</f>
        <v/>
      </c>
      <c r="Y4" s="15">
        <f>'中信三级行业指数热度'!E139</f>
        <v/>
      </c>
      <c r="Z4" s="15">
        <f>'中信三级行业指数热度'!E51</f>
        <v/>
      </c>
      <c r="AA4" s="15">
        <f>'中信三级行业指数热度'!E151</f>
        <v/>
      </c>
      <c r="AB4" s="15">
        <f>'中信三级行业指数热度'!E3</f>
        <v/>
      </c>
      <c r="AC4" s="15">
        <f>'中信三级行业指数热度'!E231</f>
        <v/>
      </c>
      <c r="AD4" s="15">
        <f>'中信三级行业指数热度'!E52</f>
        <v/>
      </c>
      <c r="AE4" s="15">
        <f>'中信三级行业指数热度'!E179</f>
        <v/>
      </c>
      <c r="AG4">
        <f>IFERROR('中信三级行业指数热度'!G4+ROW()*0.0000000001,-9999)</f>
        <v/>
      </c>
    </row>
    <row r="5" ht="34" customHeight="1">
      <c r="B5" s="14">
        <f>'中信三级行业指数热度'!B246&amp;CHAR(10)&amp;TEXT('中信三级行业指数热度'!E246,"0.0")&amp;"%"</f>
        <v/>
      </c>
      <c r="C5" s="14">
        <f>'中信三级行业指数热度'!B146&amp;CHAR(10)&amp;TEXT('中信三级行业指数热度'!E146,"0.0")&amp;"%"</f>
        <v/>
      </c>
      <c r="D5" s="14">
        <f>'中信三级行业指数热度'!B94&amp;CHAR(10)&amp;TEXT('中信三级行业指数热度'!E94,"0.0")&amp;"%"</f>
        <v/>
      </c>
      <c r="E5" s="14">
        <f>'中信三级行业指数热度'!B12&amp;CHAR(10)&amp;TEXT('中信三级行业指数热度'!E12,"0.0")&amp;"%"</f>
        <v/>
      </c>
      <c r="F5" s="14">
        <f>'中信三级行业指数热度'!B32&amp;CHAR(10)&amp;TEXT('中信三级行业指数热度'!E32,"0.0")&amp;"%"</f>
        <v/>
      </c>
      <c r="G5" s="14">
        <f>'中信三级行业指数热度'!B31&amp;CHAR(10)&amp;TEXT('中信三级行业指数热度'!E31,"0.0")&amp;"%"</f>
        <v/>
      </c>
      <c r="H5" s="14">
        <f>'中信三级行业指数热度'!B49&amp;CHAR(10)&amp;TEXT('中信三级行业指数热度'!E49,"0.0")&amp;"%"</f>
        <v/>
      </c>
      <c r="I5" s="14">
        <f>'中信三级行业指数热度'!B27&amp;CHAR(10)&amp;TEXT('中信三级行业指数热度'!E27,"0.0")&amp;"%"</f>
        <v/>
      </c>
      <c r="J5" s="14">
        <f>'中信三级行业指数热度'!B103&amp;CHAR(10)&amp;TEXT('中信三级行业指数热度'!E103,"0.0")&amp;"%"</f>
        <v/>
      </c>
      <c r="K5" s="14">
        <f>'中信三级行业指数热度'!B79&amp;CHAR(10)&amp;TEXT('中信三级行业指数热度'!E79,"0.0")&amp;"%"</f>
        <v/>
      </c>
      <c r="L5" s="14">
        <f>'中信三级行业指数热度'!B196&amp;CHAR(10)&amp;TEXT('中信三级行业指数热度'!E196,"0.0")&amp;"%"</f>
        <v/>
      </c>
      <c r="M5" s="14">
        <f>'中信三级行业指数热度'!B144&amp;CHAR(10)&amp;TEXT('中信三级行业指数热度'!E144,"0.0")&amp;"%"</f>
        <v/>
      </c>
      <c r="N5" s="14">
        <f>'中信三级行业指数热度'!B59&amp;CHAR(10)&amp;TEXT('中信三级行业指数热度'!E59,"0.0")&amp;"%"</f>
        <v/>
      </c>
      <c r="O5" s="14">
        <f>'中信三级行业指数热度'!B240&amp;CHAR(10)&amp;TEXT('中信三级行业指数热度'!E240,"0.0")&amp;"%"</f>
        <v/>
      </c>
      <c r="R5" s="15">
        <f>'中信三级行业指数热度'!E246</f>
        <v/>
      </c>
      <c r="S5" s="15">
        <f>'中信三级行业指数热度'!E146</f>
        <v/>
      </c>
      <c r="T5" s="15">
        <f>'中信三级行业指数热度'!E94</f>
        <v/>
      </c>
      <c r="U5" s="15">
        <f>'中信三级行业指数热度'!E12</f>
        <v/>
      </c>
      <c r="V5" s="15">
        <f>'中信三级行业指数热度'!E32</f>
        <v/>
      </c>
      <c r="W5" s="15">
        <f>'中信三级行业指数热度'!E31</f>
        <v/>
      </c>
      <c r="X5" s="15">
        <f>'中信三级行业指数热度'!E49</f>
        <v/>
      </c>
      <c r="Y5" s="15">
        <f>'中信三级行业指数热度'!E27</f>
        <v/>
      </c>
      <c r="Z5" s="15">
        <f>'中信三级行业指数热度'!E103</f>
        <v/>
      </c>
      <c r="AA5" s="15">
        <f>'中信三级行业指数热度'!E79</f>
        <v/>
      </c>
      <c r="AB5" s="15">
        <f>'中信三级行业指数热度'!E196</f>
        <v/>
      </c>
      <c r="AC5" s="15">
        <f>'中信三级行业指数热度'!E144</f>
        <v/>
      </c>
      <c r="AD5" s="15">
        <f>'中信三级行业指数热度'!E59</f>
        <v/>
      </c>
      <c r="AE5" s="15">
        <f>'中信三级行业指数热度'!E240</f>
        <v/>
      </c>
      <c r="AG5">
        <f>IFERROR('中信三级行业指数热度'!G5+ROW()*0.0000000001,-9999)</f>
        <v/>
      </c>
    </row>
    <row r="6" ht="34" customHeight="1">
      <c r="B6" s="14">
        <f>'中信三级行业指数热度'!B40&amp;CHAR(10)&amp;TEXT('中信三级行业指数热度'!E40,"0.0")&amp;"%"</f>
        <v/>
      </c>
      <c r="C6" s="14">
        <f>'中信三级行业指数热度'!B173&amp;CHAR(10)&amp;TEXT('中信三级行业指数热度'!E173,"0.0")&amp;"%"</f>
        <v/>
      </c>
      <c r="D6" s="14">
        <f>'中信三级行业指数热度'!B91&amp;CHAR(10)&amp;TEXT('中信三级行业指数热度'!E91,"0.0")&amp;"%"</f>
        <v/>
      </c>
      <c r="E6" s="14">
        <f>'中信三级行业指数热度'!B210&amp;CHAR(10)&amp;TEXT('中信三级行业指数热度'!E210,"0.0")&amp;"%"</f>
        <v/>
      </c>
      <c r="F6" s="14">
        <f>'中信三级行业指数热度'!B181&amp;CHAR(10)&amp;TEXT('中信三级行业指数热度'!E181,"0.0")&amp;"%"</f>
        <v/>
      </c>
      <c r="G6" s="14">
        <f>'中信三级行业指数热度'!B152&amp;CHAR(10)&amp;TEXT('中信三级行业指数热度'!E152,"0.0")&amp;"%"</f>
        <v/>
      </c>
      <c r="H6" s="14">
        <f>'中信三级行业指数热度'!B108&amp;CHAR(10)&amp;TEXT('中信三级行业指数热度'!E108,"0.0")&amp;"%"</f>
        <v/>
      </c>
      <c r="I6" s="14">
        <f>'中信三级行业指数热度'!B21&amp;CHAR(10)&amp;TEXT('中信三级行业指数热度'!E21,"0.0")&amp;"%"</f>
        <v/>
      </c>
      <c r="J6" s="14">
        <f>'中信三级行业指数热度'!B189&amp;CHAR(10)&amp;TEXT('中信三级行业指数热度'!E189,"0.0")&amp;"%"</f>
        <v/>
      </c>
      <c r="K6" s="14">
        <f>'中信三级行业指数热度'!B77&amp;CHAR(10)&amp;TEXT('中信三级行业指数热度'!E77,"0.0")&amp;"%"</f>
        <v/>
      </c>
      <c r="L6" s="14">
        <f>'中信三级行业指数热度'!B53&amp;CHAR(10)&amp;TEXT('中信三级行业指数热度'!E53,"0.0")&amp;"%"</f>
        <v/>
      </c>
      <c r="M6" s="14">
        <f>'中信三级行业指数热度'!B20&amp;CHAR(10)&amp;TEXT('中信三级行业指数热度'!E20,"0.0")&amp;"%"</f>
        <v/>
      </c>
      <c r="N6" s="14">
        <f>'中信三级行业指数热度'!B46&amp;CHAR(10)&amp;TEXT('中信三级行业指数热度'!E46,"0.0")&amp;"%"</f>
        <v/>
      </c>
      <c r="O6" s="14">
        <f>'中信三级行业指数热度'!B48&amp;CHAR(10)&amp;TEXT('中信三级行业指数热度'!E48,"0.0")&amp;"%"</f>
        <v/>
      </c>
      <c r="R6" s="15">
        <f>'中信三级行业指数热度'!E40</f>
        <v/>
      </c>
      <c r="S6" s="15">
        <f>'中信三级行业指数热度'!E173</f>
        <v/>
      </c>
      <c r="T6" s="15">
        <f>'中信三级行业指数热度'!E91</f>
        <v/>
      </c>
      <c r="U6" s="15">
        <f>'中信三级行业指数热度'!E210</f>
        <v/>
      </c>
      <c r="V6" s="15">
        <f>'中信三级行业指数热度'!E181</f>
        <v/>
      </c>
      <c r="W6" s="15">
        <f>'中信三级行业指数热度'!E152</f>
        <v/>
      </c>
      <c r="X6" s="15">
        <f>'中信三级行业指数热度'!E108</f>
        <v/>
      </c>
      <c r="Y6" s="15">
        <f>'中信三级行业指数热度'!E21</f>
        <v/>
      </c>
      <c r="Z6" s="15">
        <f>'中信三级行业指数热度'!E189</f>
        <v/>
      </c>
      <c r="AA6" s="15">
        <f>'中信三级行业指数热度'!E77</f>
        <v/>
      </c>
      <c r="AB6" s="15">
        <f>'中信三级行业指数热度'!E53</f>
        <v/>
      </c>
      <c r="AC6" s="15">
        <f>'中信三级行业指数热度'!E20</f>
        <v/>
      </c>
      <c r="AD6" s="15">
        <f>'中信三级行业指数热度'!E46</f>
        <v/>
      </c>
      <c r="AE6" s="15">
        <f>'中信三级行业指数热度'!E48</f>
        <v/>
      </c>
      <c r="AG6">
        <f>IFERROR('中信三级行业指数热度'!G6+ROW()*0.0000000001,-9999)</f>
        <v/>
      </c>
    </row>
    <row r="7" ht="34" customHeight="1">
      <c r="B7" s="14">
        <f>'中信三级行业指数热度'!B6&amp;CHAR(10)&amp;TEXT('中信三级行业指数热度'!E6,"0.0")&amp;"%"</f>
        <v/>
      </c>
      <c r="C7" s="14">
        <f>'中信三级行业指数热度'!B47&amp;CHAR(10)&amp;TEXT('中信三级行业指数热度'!E47,"0.0")&amp;"%"</f>
        <v/>
      </c>
      <c r="D7" s="14">
        <f>'中信三级行业指数热度'!B62&amp;CHAR(10)&amp;TEXT('中信三级行业指数热度'!E62,"0.0")&amp;"%"</f>
        <v/>
      </c>
      <c r="E7" s="14">
        <f>'中信三级行业指数热度'!B80&amp;CHAR(10)&amp;TEXT('中信三级行业指数热度'!E80,"0.0")&amp;"%"</f>
        <v/>
      </c>
      <c r="F7" s="14">
        <f>'中信三级行业指数热度'!B5&amp;CHAR(10)&amp;TEXT('中信三级行业指数热度'!E5,"0.0")&amp;"%"</f>
        <v/>
      </c>
      <c r="G7" s="14">
        <f>'中信三级行业指数热度'!B74&amp;CHAR(10)&amp;TEXT('中信三级行业指数热度'!E74,"0.0")&amp;"%"</f>
        <v/>
      </c>
      <c r="H7" s="14">
        <f>'中信三级行业指数热度'!B23&amp;CHAR(10)&amp;TEXT('中信三级行业指数热度'!E23,"0.0")&amp;"%"</f>
        <v/>
      </c>
      <c r="I7" s="14">
        <f>'中信三级行业指数热度'!B35&amp;CHAR(10)&amp;TEXT('中信三级行业指数热度'!E35,"0.0")&amp;"%"</f>
        <v/>
      </c>
      <c r="J7" s="14">
        <f>'中信三级行业指数热度'!B71&amp;CHAR(10)&amp;TEXT('中信三级行业指数热度'!E71,"0.0")&amp;"%"</f>
        <v/>
      </c>
      <c r="K7" s="14">
        <f>'中信三级行业指数热度'!B88&amp;CHAR(10)&amp;TEXT('中信三级行业指数热度'!E88,"0.0")&amp;"%"</f>
        <v/>
      </c>
      <c r="L7" s="14">
        <f>'中信三级行业指数热度'!B4&amp;CHAR(10)&amp;TEXT('中信三级行业指数热度'!E4,"0.0")&amp;"%"</f>
        <v/>
      </c>
      <c r="M7" s="14">
        <f>'中信三级行业指数热度'!B245&amp;CHAR(10)&amp;TEXT('中信三级行业指数热度'!E245,"0.0")&amp;"%"</f>
        <v/>
      </c>
      <c r="N7" s="14">
        <f>'中信三级行业指数热度'!B16&amp;CHAR(10)&amp;TEXT('中信三级行业指数热度'!E16,"0.0")&amp;"%"</f>
        <v/>
      </c>
      <c r="O7" s="14">
        <f>'中信三级行业指数热度'!B66&amp;CHAR(10)&amp;TEXT('中信三级行业指数热度'!E66,"0.0")&amp;"%"</f>
        <v/>
      </c>
      <c r="R7" s="15">
        <f>'中信三级行业指数热度'!E6</f>
        <v/>
      </c>
      <c r="S7" s="15">
        <f>'中信三级行业指数热度'!E47</f>
        <v/>
      </c>
      <c r="T7" s="15">
        <f>'中信三级行业指数热度'!E62</f>
        <v/>
      </c>
      <c r="U7" s="15">
        <f>'中信三级行业指数热度'!E80</f>
        <v/>
      </c>
      <c r="V7" s="15">
        <f>'中信三级行业指数热度'!E5</f>
        <v/>
      </c>
      <c r="W7" s="15">
        <f>'中信三级行业指数热度'!E74</f>
        <v/>
      </c>
      <c r="X7" s="15">
        <f>'中信三级行业指数热度'!E23</f>
        <v/>
      </c>
      <c r="Y7" s="15">
        <f>'中信三级行业指数热度'!E35</f>
        <v/>
      </c>
      <c r="Z7" s="15">
        <f>'中信三级行业指数热度'!E71</f>
        <v/>
      </c>
      <c r="AA7" s="15">
        <f>'中信三级行业指数热度'!E88</f>
        <v/>
      </c>
      <c r="AB7" s="15">
        <f>'中信三级行业指数热度'!E4</f>
        <v/>
      </c>
      <c r="AC7" s="15">
        <f>'中信三级行业指数热度'!E245</f>
        <v/>
      </c>
      <c r="AD7" s="15">
        <f>'中信三级行业指数热度'!E16</f>
        <v/>
      </c>
      <c r="AE7" s="15">
        <f>'中信三级行业指数热度'!E66</f>
        <v/>
      </c>
      <c r="AG7">
        <f>IFERROR('中信三级行业指数热度'!G7+ROW()*0.0000000001,-9999)</f>
        <v/>
      </c>
    </row>
    <row r="8" ht="34" customHeight="1">
      <c r="B8" s="14">
        <f>'中信三级行业指数热度'!B184&amp;CHAR(10)&amp;TEXT('中信三级行业指数热度'!E184,"0.0")&amp;"%"</f>
        <v/>
      </c>
      <c r="C8" s="14">
        <f>'中信三级行业指数热度'!B99&amp;CHAR(10)&amp;TEXT('中信三级行业指数热度'!E99,"0.0")&amp;"%"</f>
        <v/>
      </c>
      <c r="D8" s="14">
        <f>'中信三级行业指数热度'!B123&amp;CHAR(10)&amp;TEXT('中信三级行业指数热度'!E123,"0.0")&amp;"%"</f>
        <v/>
      </c>
      <c r="E8" s="14">
        <f>'中信三级行业指数热度'!B142&amp;CHAR(10)&amp;TEXT('中信三级行业指数热度'!E142,"0.0")&amp;"%"</f>
        <v/>
      </c>
      <c r="F8" s="14">
        <f>'中信三级行业指数热度'!B182&amp;CHAR(10)&amp;TEXT('中信三级行业指数热度'!E182,"0.0")&amp;"%"</f>
        <v/>
      </c>
      <c r="G8" s="14">
        <f>'中信三级行业指数热度'!B43&amp;CHAR(10)&amp;TEXT('中信三级行业指数热度'!E43,"0.0")&amp;"%"</f>
        <v/>
      </c>
      <c r="H8" s="14">
        <f>'中信三级行业指数热度'!B67&amp;CHAR(10)&amp;TEXT('中信三级行业指数热度'!E67,"0.0")&amp;"%"</f>
        <v/>
      </c>
      <c r="I8" s="14">
        <f>'中信三级行业指数热度'!B124&amp;CHAR(10)&amp;TEXT('中信三级行业指数热度'!E124,"0.0")&amp;"%"</f>
        <v/>
      </c>
      <c r="J8" s="14">
        <f>'中信三级行业指数热度'!B25&amp;CHAR(10)&amp;TEXT('中信三级行业指数热度'!E25,"0.0")&amp;"%"</f>
        <v/>
      </c>
      <c r="K8" s="14">
        <f>'中信三级行业指数热度'!B56&amp;CHAR(10)&amp;TEXT('中信三级行业指数热度'!E56,"0.0")&amp;"%"</f>
        <v/>
      </c>
      <c r="L8" s="14">
        <f>'中信三级行业指数热度'!B60&amp;CHAR(10)&amp;TEXT('中信三级行业指数热度'!E60,"0.0")&amp;"%"</f>
        <v/>
      </c>
      <c r="M8" s="14">
        <f>'中信三级行业指数热度'!B253&amp;CHAR(10)&amp;TEXT('中信三级行业指数热度'!E253,"0.0")&amp;"%"</f>
        <v/>
      </c>
      <c r="N8" s="14">
        <f>'中信三级行业指数热度'!B140&amp;CHAR(10)&amp;TEXT('中信三级行业指数热度'!E140,"0.0")&amp;"%"</f>
        <v/>
      </c>
      <c r="O8" s="14">
        <f>'中信三级行业指数热度'!B205&amp;CHAR(10)&amp;TEXT('中信三级行业指数热度'!E205,"0.0")&amp;"%"</f>
        <v/>
      </c>
      <c r="R8" s="15">
        <f>'中信三级行业指数热度'!E184</f>
        <v/>
      </c>
      <c r="S8" s="15">
        <f>'中信三级行业指数热度'!E99</f>
        <v/>
      </c>
      <c r="T8" s="15">
        <f>'中信三级行业指数热度'!E123</f>
        <v/>
      </c>
      <c r="U8" s="15">
        <f>'中信三级行业指数热度'!E142</f>
        <v/>
      </c>
      <c r="V8" s="15">
        <f>'中信三级行业指数热度'!E182</f>
        <v/>
      </c>
      <c r="W8" s="15">
        <f>'中信三级行业指数热度'!E43</f>
        <v/>
      </c>
      <c r="X8" s="15">
        <f>'中信三级行业指数热度'!E67</f>
        <v/>
      </c>
      <c r="Y8" s="15">
        <f>'中信三级行业指数热度'!E124</f>
        <v/>
      </c>
      <c r="Z8" s="15">
        <f>'中信三级行业指数热度'!E25</f>
        <v/>
      </c>
      <c r="AA8" s="15">
        <f>'中信三级行业指数热度'!E56</f>
        <v/>
      </c>
      <c r="AB8" s="15">
        <f>'中信三级行业指数热度'!E60</f>
        <v/>
      </c>
      <c r="AC8" s="15">
        <f>'中信三级行业指数热度'!E253</f>
        <v/>
      </c>
      <c r="AD8" s="15">
        <f>'中信三级行业指数热度'!E140</f>
        <v/>
      </c>
      <c r="AE8" s="15">
        <f>'中信三级行业指数热度'!E205</f>
        <v/>
      </c>
      <c r="AG8">
        <f>IFERROR('中信三级行业指数热度'!G8+ROW()*0.0000000001,-9999)</f>
        <v/>
      </c>
    </row>
    <row r="9" ht="34" customHeight="1">
      <c r="B9" s="14">
        <f>'中信三级行业指数热度'!B150&amp;CHAR(10)&amp;TEXT('中信三级行业指数热度'!E150,"0.0")&amp;"%"</f>
        <v/>
      </c>
      <c r="C9" s="14">
        <f>'中信三级行业指数热度'!B34&amp;CHAR(10)&amp;TEXT('中信三级行业指数热度'!E34,"0.0")&amp;"%"</f>
        <v/>
      </c>
      <c r="D9" s="14">
        <f>'中信三级行业指数热度'!B137&amp;CHAR(10)&amp;TEXT('中信三级行业指数热度'!E137,"0.0")&amp;"%"</f>
        <v/>
      </c>
      <c r="E9" s="14">
        <f>'中信三级行业指数热度'!B19&amp;CHAR(10)&amp;TEXT('中信三级行业指数热度'!E19,"0.0")&amp;"%"</f>
        <v/>
      </c>
      <c r="F9" s="14">
        <f>'中信三级行业指数热度'!B165&amp;CHAR(10)&amp;TEXT('中信三级行业指数热度'!E165,"0.0")&amp;"%"</f>
        <v/>
      </c>
      <c r="G9" s="14">
        <f>'中信三级行业指数热度'!B82&amp;CHAR(10)&amp;TEXT('中信三级行业指数热度'!E82,"0.0")&amp;"%"</f>
        <v/>
      </c>
      <c r="H9" s="14">
        <f>'中信三级行业指数热度'!B69&amp;CHAR(10)&amp;TEXT('中信三级行业指数热度'!E69,"0.0")&amp;"%"</f>
        <v/>
      </c>
      <c r="I9" s="14">
        <f>'中信三级行业指数热度'!B101&amp;CHAR(10)&amp;TEXT('中信三级行业指数热度'!E101,"0.0")&amp;"%"</f>
        <v/>
      </c>
      <c r="J9" s="14">
        <f>'中信三级行业指数热度'!B28&amp;CHAR(10)&amp;TEXT('中信三级行业指数热度'!E28,"0.0")&amp;"%"</f>
        <v/>
      </c>
      <c r="K9" s="14">
        <f>'中信三级行业指数热度'!B131&amp;CHAR(10)&amp;TEXT('中信三级行业指数热度'!E131,"0.0")&amp;"%"</f>
        <v/>
      </c>
      <c r="L9" s="14">
        <f>'中信三级行业指数热度'!B37&amp;CHAR(10)&amp;TEXT('中信三级行业指数热度'!E37,"0.0")&amp;"%"</f>
        <v/>
      </c>
      <c r="M9" s="14">
        <f>'中信三级行业指数热度'!B61&amp;CHAR(10)&amp;TEXT('中信三级行业指数热度'!E61,"0.0")&amp;"%"</f>
        <v/>
      </c>
      <c r="N9" s="14">
        <f>'中信三级行业指数热度'!B57&amp;CHAR(10)&amp;TEXT('中信三级行业指数热度'!E57,"0.0")&amp;"%"</f>
        <v/>
      </c>
      <c r="O9" s="14">
        <f>'中信三级行业指数热度'!B166&amp;CHAR(10)&amp;TEXT('中信三级行业指数热度'!E166,"0.0")&amp;"%"</f>
        <v/>
      </c>
      <c r="R9" s="15">
        <f>'中信三级行业指数热度'!E150</f>
        <v/>
      </c>
      <c r="S9" s="15">
        <f>'中信三级行业指数热度'!E34</f>
        <v/>
      </c>
      <c r="T9" s="15">
        <f>'中信三级行业指数热度'!E137</f>
        <v/>
      </c>
      <c r="U9" s="15">
        <f>'中信三级行业指数热度'!E19</f>
        <v/>
      </c>
      <c r="V9" s="15">
        <f>'中信三级行业指数热度'!E165</f>
        <v/>
      </c>
      <c r="W9" s="15">
        <f>'中信三级行业指数热度'!E82</f>
        <v/>
      </c>
      <c r="X9" s="15">
        <f>'中信三级行业指数热度'!E69</f>
        <v/>
      </c>
      <c r="Y9" s="15">
        <f>'中信三级行业指数热度'!E101</f>
        <v/>
      </c>
      <c r="Z9" s="15">
        <f>'中信三级行业指数热度'!E28</f>
        <v/>
      </c>
      <c r="AA9" s="15">
        <f>'中信三级行业指数热度'!E131</f>
        <v/>
      </c>
      <c r="AB9" s="15">
        <f>'中信三级行业指数热度'!E37</f>
        <v/>
      </c>
      <c r="AC9" s="15">
        <f>'中信三级行业指数热度'!E61</f>
        <v/>
      </c>
      <c r="AD9" s="15">
        <f>'中信三级行业指数热度'!E57</f>
        <v/>
      </c>
      <c r="AE9" s="15">
        <f>'中信三级行业指数热度'!E166</f>
        <v/>
      </c>
      <c r="AG9">
        <f>IFERROR('中信三级行业指数热度'!G9+ROW()*0.0000000001,-9999)</f>
        <v/>
      </c>
    </row>
    <row r="10" ht="34" customHeight="1">
      <c r="B10" s="14">
        <f>'中信三级行业指数热度'!B172&amp;CHAR(10)&amp;TEXT('中信三级行业指数热度'!E172,"0.0")&amp;"%"</f>
        <v/>
      </c>
      <c r="C10" s="14">
        <f>'中信三级行业指数热度'!B158&amp;CHAR(10)&amp;TEXT('中信三级行业指数热度'!E158,"0.0")&amp;"%"</f>
        <v/>
      </c>
      <c r="D10" s="14">
        <f>'中信三级行业指数热度'!B87&amp;CHAR(10)&amp;TEXT('中信三级行业指数热度'!E87,"0.0")&amp;"%"</f>
        <v/>
      </c>
      <c r="E10" s="14">
        <f>'中信三级行业指数热度'!B86&amp;CHAR(10)&amp;TEXT('中信三级行业指数热度'!E86,"0.0")&amp;"%"</f>
        <v/>
      </c>
      <c r="F10" s="14">
        <f>'中信三级行业指数热度'!B147&amp;CHAR(10)&amp;TEXT('中信三级行业指数热度'!E147,"0.0")&amp;"%"</f>
        <v/>
      </c>
      <c r="G10" s="14">
        <f>'中信三级行业指数热度'!B145&amp;CHAR(10)&amp;TEXT('中信三级行业指数热度'!E145,"0.0")&amp;"%"</f>
        <v/>
      </c>
      <c r="H10" s="14">
        <f>'中信三级行业指数热度'!B81&amp;CHAR(10)&amp;TEXT('中信三级行业指数热度'!E81,"0.0")&amp;"%"</f>
        <v/>
      </c>
      <c r="I10" s="14">
        <f>'中信三级行业指数热度'!B63&amp;CHAR(10)&amp;TEXT('中信三级行业指数热度'!E63,"0.0")&amp;"%"</f>
        <v/>
      </c>
      <c r="J10" s="14">
        <f>'中信三级行业指数热度'!B116&amp;CHAR(10)&amp;TEXT('中信三级行业指数热度'!E116,"0.0")&amp;"%"</f>
        <v/>
      </c>
      <c r="K10" s="14">
        <f>'中信三级行业指数热度'!B45&amp;CHAR(10)&amp;TEXT('中信三级行业指数热度'!E45,"0.0")&amp;"%"</f>
        <v/>
      </c>
      <c r="L10" s="14">
        <f>'中信三级行业指数热度'!B237&amp;CHAR(10)&amp;TEXT('中信三级行业指数热度'!E237,"0.0")&amp;"%"</f>
        <v/>
      </c>
      <c r="M10" s="14">
        <f>'中信三级行业指数热度'!B104&amp;CHAR(10)&amp;TEXT('中信三级行业指数热度'!E104,"0.0")&amp;"%"</f>
        <v/>
      </c>
      <c r="N10" s="14">
        <f>'中信三级行业指数热度'!B185&amp;CHAR(10)&amp;TEXT('中信三级行业指数热度'!E185,"0.0")&amp;"%"</f>
        <v/>
      </c>
      <c r="O10" s="14">
        <f>'中信三级行业指数热度'!B7&amp;CHAR(10)&amp;TEXT('中信三级行业指数热度'!E7,"0.0")&amp;"%"</f>
        <v/>
      </c>
      <c r="R10" s="15">
        <f>'中信三级行业指数热度'!E172</f>
        <v/>
      </c>
      <c r="S10" s="15">
        <f>'中信三级行业指数热度'!E158</f>
        <v/>
      </c>
      <c r="T10" s="15">
        <f>'中信三级行业指数热度'!E87</f>
        <v/>
      </c>
      <c r="U10" s="15">
        <f>'中信三级行业指数热度'!E86</f>
        <v/>
      </c>
      <c r="V10" s="15">
        <f>'中信三级行业指数热度'!E147</f>
        <v/>
      </c>
      <c r="W10" s="15">
        <f>'中信三级行业指数热度'!E145</f>
        <v/>
      </c>
      <c r="X10" s="15">
        <f>'中信三级行业指数热度'!E81</f>
        <v/>
      </c>
      <c r="Y10" s="15">
        <f>'中信三级行业指数热度'!E63</f>
        <v/>
      </c>
      <c r="Z10" s="15">
        <f>'中信三级行业指数热度'!E116</f>
        <v/>
      </c>
      <c r="AA10" s="15">
        <f>'中信三级行业指数热度'!E45</f>
        <v/>
      </c>
      <c r="AB10" s="15">
        <f>'中信三级行业指数热度'!E237</f>
        <v/>
      </c>
      <c r="AC10" s="15">
        <f>'中信三级行业指数热度'!E104</f>
        <v/>
      </c>
      <c r="AD10" s="15">
        <f>'中信三级行业指数热度'!E185</f>
        <v/>
      </c>
      <c r="AE10" s="15">
        <f>'中信三级行业指数热度'!E7</f>
        <v/>
      </c>
      <c r="AG10">
        <f>IFERROR('中信三级行业指数热度'!G10+ROW()*0.0000000001,-9999)</f>
        <v/>
      </c>
    </row>
    <row r="11" ht="34" customHeight="1">
      <c r="B11" s="14">
        <f>'中信三级行业指数热度'!B84&amp;CHAR(10)&amp;TEXT('中信三级行业指数热度'!E84,"0.0")&amp;"%"</f>
        <v/>
      </c>
      <c r="C11" s="14">
        <f>'中信三级行业指数热度'!B225&amp;CHAR(10)&amp;TEXT('中信三级行业指数热度'!E225,"0.0")&amp;"%"</f>
        <v/>
      </c>
      <c r="D11" s="14">
        <f>'中信三级行业指数热度'!B15&amp;CHAR(10)&amp;TEXT('中信三级行业指数热度'!E15,"0.0")&amp;"%"</f>
        <v/>
      </c>
      <c r="E11" s="14">
        <f>'中信三级行业指数热度'!B128&amp;CHAR(10)&amp;TEXT('中信三级行业指数热度'!E128,"0.0")&amp;"%"</f>
        <v/>
      </c>
      <c r="F11" s="14">
        <f>'中信三级行业指数热度'!B200&amp;CHAR(10)&amp;TEXT('中信三级行业指数热度'!E200,"0.0")&amp;"%"</f>
        <v/>
      </c>
      <c r="G11" s="14">
        <f>'中信三级行业指数热度'!B141&amp;CHAR(10)&amp;TEXT('中信三级行业指数热度'!E141,"0.0")&amp;"%"</f>
        <v/>
      </c>
      <c r="H11" s="14">
        <f>'中信三级行业指数热度'!B251&amp;CHAR(10)&amp;TEXT('中信三级行业指数热度'!E251,"0.0")&amp;"%"</f>
        <v/>
      </c>
      <c r="I11" s="14">
        <f>'中信三级行业指数热度'!B206&amp;CHAR(10)&amp;TEXT('中信三级行业指数热度'!E206,"0.0")&amp;"%"</f>
        <v/>
      </c>
      <c r="J11" s="14">
        <f>'中信三级行业指数热度'!B215&amp;CHAR(10)&amp;TEXT('中信三级行业指数热度'!E215,"0.0")&amp;"%"</f>
        <v/>
      </c>
      <c r="K11" s="14">
        <f>'中信三级行业指数热度'!B129&amp;CHAR(10)&amp;TEXT('中信三级行业指数热度'!E129,"0.0")&amp;"%"</f>
        <v/>
      </c>
      <c r="L11" s="14">
        <f>'中信三级行业指数热度'!B252&amp;CHAR(10)&amp;TEXT('中信三级行业指数热度'!E252,"0.0")&amp;"%"</f>
        <v/>
      </c>
      <c r="M11" s="14">
        <f>'中信三级行业指数热度'!B202&amp;CHAR(10)&amp;TEXT('中信三级行业指数热度'!E202,"0.0")&amp;"%"</f>
        <v/>
      </c>
      <c r="N11" s="14">
        <f>'中信三级行业指数热度'!B118&amp;CHAR(10)&amp;TEXT('中信三级行业指数热度'!E118,"0.0")&amp;"%"</f>
        <v/>
      </c>
      <c r="O11" s="14">
        <f>'中信三级行业指数热度'!B207&amp;CHAR(10)&amp;TEXT('中信三级行业指数热度'!E207,"0.0")&amp;"%"</f>
        <v/>
      </c>
      <c r="R11" s="15">
        <f>'中信三级行业指数热度'!E84</f>
        <v/>
      </c>
      <c r="S11" s="15">
        <f>'中信三级行业指数热度'!E225</f>
        <v/>
      </c>
      <c r="T11" s="15">
        <f>'中信三级行业指数热度'!E15</f>
        <v/>
      </c>
      <c r="U11" s="15">
        <f>'中信三级行业指数热度'!E128</f>
        <v/>
      </c>
      <c r="V11" s="15">
        <f>'中信三级行业指数热度'!E200</f>
        <v/>
      </c>
      <c r="W11" s="15">
        <f>'中信三级行业指数热度'!E141</f>
        <v/>
      </c>
      <c r="X11" s="15">
        <f>'中信三级行业指数热度'!E251</f>
        <v/>
      </c>
      <c r="Y11" s="15">
        <f>'中信三级行业指数热度'!E206</f>
        <v/>
      </c>
      <c r="Z11" s="15">
        <f>'中信三级行业指数热度'!E215</f>
        <v/>
      </c>
      <c r="AA11" s="15">
        <f>'中信三级行业指数热度'!E129</f>
        <v/>
      </c>
      <c r="AB11" s="15">
        <f>'中信三级行业指数热度'!E252</f>
        <v/>
      </c>
      <c r="AC11" s="15">
        <f>'中信三级行业指数热度'!E202</f>
        <v/>
      </c>
      <c r="AD11" s="15">
        <f>'中信三级行业指数热度'!E118</f>
        <v/>
      </c>
      <c r="AE11" s="15">
        <f>'中信三级行业指数热度'!E207</f>
        <v/>
      </c>
      <c r="AG11">
        <f>IFERROR('中信三级行业指数热度'!G11+ROW()*0.0000000001,-9999)</f>
        <v/>
      </c>
    </row>
    <row r="12" ht="34" customHeight="1">
      <c r="B12" s="14">
        <f>'中信三级行业指数热度'!B218&amp;CHAR(10)&amp;TEXT('中信三级行业指数热度'!E218,"0.0")&amp;"%"</f>
        <v/>
      </c>
      <c r="C12" s="14">
        <f>'中信三级行业指数热度'!B198&amp;CHAR(10)&amp;TEXT('中信三级行业指数热度'!E198,"0.0")&amp;"%"</f>
        <v/>
      </c>
      <c r="D12" s="14">
        <f>'中信三级行业指数热度'!B203&amp;CHAR(10)&amp;TEXT('中信三级行业指数热度'!E203,"0.0")&amp;"%"</f>
        <v/>
      </c>
      <c r="E12" s="14">
        <f>'中信三级行业指数热度'!B155&amp;CHAR(10)&amp;TEXT('中信三级行业指数热度'!E155,"0.0")&amp;"%"</f>
        <v/>
      </c>
      <c r="F12" s="14">
        <f>'中信三级行业指数热度'!B125&amp;CHAR(10)&amp;TEXT('中信三级行业指数热度'!E125,"0.0")&amp;"%"</f>
        <v/>
      </c>
      <c r="G12" s="14">
        <f>'中信三级行业指数热度'!B178&amp;CHAR(10)&amp;TEXT('中信三级行业指数热度'!E178,"0.0")&amp;"%"</f>
        <v/>
      </c>
      <c r="H12" s="14">
        <f>'中信三级行业指数热度'!B156&amp;CHAR(10)&amp;TEXT('中信三级行业指数热度'!E156,"0.0")&amp;"%"</f>
        <v/>
      </c>
      <c r="I12" s="14">
        <f>'中信三级行业指数热度'!B96&amp;CHAR(10)&amp;TEXT('中信三级行业指数热度'!E96,"0.0")&amp;"%"</f>
        <v/>
      </c>
      <c r="J12" s="14">
        <f>'中信三级行业指数热度'!B186&amp;CHAR(10)&amp;TEXT('中信三级行业指数热度'!E186,"0.0")&amp;"%"</f>
        <v/>
      </c>
      <c r="K12" s="14">
        <f>'中信三级行业指数热度'!B54&amp;CHAR(10)&amp;TEXT('中信三级行业指数热度'!E54,"0.0")&amp;"%"</f>
        <v/>
      </c>
      <c r="L12" s="14">
        <f>'中信三级行业指数热度'!B190&amp;CHAR(10)&amp;TEXT('中信三级行业指数热度'!E190,"0.0")&amp;"%"</f>
        <v/>
      </c>
      <c r="M12" s="14">
        <f>'中信三级行业指数热度'!B68&amp;CHAR(10)&amp;TEXT('中信三级行业指数热度'!E68,"0.0")&amp;"%"</f>
        <v/>
      </c>
      <c r="N12" s="14">
        <f>'中信三级行业指数热度'!B126&amp;CHAR(10)&amp;TEXT('中信三级行业指数热度'!E126,"0.0")&amp;"%"</f>
        <v/>
      </c>
      <c r="O12" s="14">
        <f>'中信三级行业指数热度'!B233&amp;CHAR(10)&amp;TEXT('中信三级行业指数热度'!E233,"0.0")&amp;"%"</f>
        <v/>
      </c>
      <c r="R12" s="15">
        <f>'中信三级行业指数热度'!E218</f>
        <v/>
      </c>
      <c r="S12" s="15">
        <f>'中信三级行业指数热度'!E198</f>
        <v/>
      </c>
      <c r="T12" s="15">
        <f>'中信三级行业指数热度'!E203</f>
        <v/>
      </c>
      <c r="U12" s="15">
        <f>'中信三级行业指数热度'!E155</f>
        <v/>
      </c>
      <c r="V12" s="15">
        <f>'中信三级行业指数热度'!E125</f>
        <v/>
      </c>
      <c r="W12" s="15">
        <f>'中信三级行业指数热度'!E178</f>
        <v/>
      </c>
      <c r="X12" s="15">
        <f>'中信三级行业指数热度'!E156</f>
        <v/>
      </c>
      <c r="Y12" s="15">
        <f>'中信三级行业指数热度'!E96</f>
        <v/>
      </c>
      <c r="Z12" s="15">
        <f>'中信三级行业指数热度'!E186</f>
        <v/>
      </c>
      <c r="AA12" s="15">
        <f>'中信三级行业指数热度'!E54</f>
        <v/>
      </c>
      <c r="AB12" s="15">
        <f>'中信三级行业指数热度'!E190</f>
        <v/>
      </c>
      <c r="AC12" s="15">
        <f>'中信三级行业指数热度'!E68</f>
        <v/>
      </c>
      <c r="AD12" s="15">
        <f>'中信三级行业指数热度'!E126</f>
        <v/>
      </c>
      <c r="AE12" s="15">
        <f>'中信三级行业指数热度'!E233</f>
        <v/>
      </c>
      <c r="AG12">
        <f>IFERROR('中信三级行业指数热度'!G12+ROW()*0.0000000001,-9999)</f>
        <v/>
      </c>
    </row>
    <row r="13" ht="34" customHeight="1">
      <c r="B13" s="14">
        <f>'中信三级行业指数热度'!B38&amp;CHAR(10)&amp;TEXT('中信三级行业指数热度'!E38,"0.0")&amp;"%"</f>
        <v/>
      </c>
      <c r="C13" s="14">
        <f>'中信三级行业指数热度'!B106&amp;CHAR(10)&amp;TEXT('中信三级行业指数热度'!E106,"0.0")&amp;"%"</f>
        <v/>
      </c>
      <c r="D13" s="14">
        <f>'中信三级行业指数热度'!B29&amp;CHAR(10)&amp;TEXT('中信三级行业指数热度'!E29,"0.0")&amp;"%"</f>
        <v/>
      </c>
      <c r="E13" s="14">
        <f>'中信三级行业指数热度'!B192&amp;CHAR(10)&amp;TEXT('中信三级行业指数热度'!E192,"0.0")&amp;"%"</f>
        <v/>
      </c>
      <c r="F13" s="14">
        <f>'中信三级行业指数热度'!B113&amp;CHAR(10)&amp;TEXT('中信三级行业指数热度'!E113,"0.0")&amp;"%"</f>
        <v/>
      </c>
      <c r="G13" s="14">
        <f>'中信三级行业指数热度'!B223&amp;CHAR(10)&amp;TEXT('中信三级行业指数热度'!E223,"0.0")&amp;"%"</f>
        <v/>
      </c>
      <c r="H13" s="14">
        <f>'中信三级行业指数热度'!B256&amp;CHAR(10)&amp;TEXT('中信三级行业指数热度'!E256,"0.0")&amp;"%"</f>
        <v/>
      </c>
      <c r="I13" s="14">
        <f>'中信三级行业指数热度'!B14&amp;CHAR(10)&amp;TEXT('中信三级行业指数热度'!E14,"0.0")&amp;"%"</f>
        <v/>
      </c>
      <c r="J13" s="14">
        <f>'中信三级行业指数热度'!B110&amp;CHAR(10)&amp;TEXT('中信三级行业指数热度'!E110,"0.0")&amp;"%"</f>
        <v/>
      </c>
      <c r="K13" s="14">
        <f>'中信三级行业指数热度'!B64&amp;CHAR(10)&amp;TEXT('中信三级行业指数热度'!E64,"0.0")&amp;"%"</f>
        <v/>
      </c>
      <c r="L13" s="14">
        <f>'中信三级行业指数热度'!B238&amp;CHAR(10)&amp;TEXT('中信三级行业指数热度'!E238,"0.0")&amp;"%"</f>
        <v/>
      </c>
      <c r="M13" s="14">
        <f>'中信三级行业指数热度'!B194&amp;CHAR(10)&amp;TEXT('中信三级行业指数热度'!E194,"0.0")&amp;"%"</f>
        <v/>
      </c>
      <c r="N13" s="14">
        <f>'中信三级行业指数热度'!B97&amp;CHAR(10)&amp;TEXT('中信三级行业指数热度'!E97,"0.0")&amp;"%"</f>
        <v/>
      </c>
      <c r="O13" s="14">
        <f>'中信三级行业指数热度'!B85&amp;CHAR(10)&amp;TEXT('中信三级行业指数热度'!E85,"0.0")&amp;"%"</f>
        <v/>
      </c>
      <c r="R13" s="15">
        <f>'中信三级行业指数热度'!E38</f>
        <v/>
      </c>
      <c r="S13" s="15">
        <f>'中信三级行业指数热度'!E106</f>
        <v/>
      </c>
      <c r="T13" s="15">
        <f>'中信三级行业指数热度'!E29</f>
        <v/>
      </c>
      <c r="U13" s="15">
        <f>'中信三级行业指数热度'!E192</f>
        <v/>
      </c>
      <c r="V13" s="15">
        <f>'中信三级行业指数热度'!E113</f>
        <v/>
      </c>
      <c r="W13" s="15">
        <f>'中信三级行业指数热度'!E223</f>
        <v/>
      </c>
      <c r="X13" s="15">
        <f>'中信三级行业指数热度'!E256</f>
        <v/>
      </c>
      <c r="Y13" s="15">
        <f>'中信三级行业指数热度'!E14</f>
        <v/>
      </c>
      <c r="Z13" s="15">
        <f>'中信三级行业指数热度'!E110</f>
        <v/>
      </c>
      <c r="AA13" s="15">
        <f>'中信三级行业指数热度'!E64</f>
        <v/>
      </c>
      <c r="AB13" s="15">
        <f>'中信三级行业指数热度'!E238</f>
        <v/>
      </c>
      <c r="AC13" s="15">
        <f>'中信三级行业指数热度'!E194</f>
        <v/>
      </c>
      <c r="AD13" s="15">
        <f>'中信三级行业指数热度'!E97</f>
        <v/>
      </c>
      <c r="AE13" s="15">
        <f>'中信三级行业指数热度'!E85</f>
        <v/>
      </c>
      <c r="AG13">
        <f>IFERROR('中信三级行业指数热度'!G13+ROW()*0.0000000001,-9999)</f>
        <v/>
      </c>
    </row>
    <row r="14" ht="34" customHeight="1">
      <c r="B14" s="14">
        <f>'中信三级行业指数热度'!B72&amp;CHAR(10)&amp;TEXT('中信三级行业指数热度'!E72,"0.0")&amp;"%"</f>
        <v/>
      </c>
      <c r="C14" s="14">
        <f>'中信三级行业指数热度'!B257&amp;CHAR(10)&amp;TEXT('中信三级行业指数热度'!E257,"0.0")&amp;"%"</f>
        <v/>
      </c>
      <c r="D14" s="14">
        <f>'中信三级行业指数热度'!B213&amp;CHAR(10)&amp;TEXT('中信三级行业指数热度'!E213,"0.0")&amp;"%"</f>
        <v/>
      </c>
      <c r="E14" s="14">
        <f>'中信三级行业指数热度'!B78&amp;CHAR(10)&amp;TEXT('中信三级行业指数热度'!E78,"0.0")&amp;"%"</f>
        <v/>
      </c>
      <c r="F14" s="14">
        <f>'中信三级行业指数热度'!B89&amp;CHAR(10)&amp;TEXT('中信三级行业指数热度'!E89,"0.0")&amp;"%"</f>
        <v/>
      </c>
      <c r="G14" s="14">
        <f>'中信三级行业指数热度'!B167&amp;CHAR(10)&amp;TEXT('中信三级行业指数热度'!E167,"0.0")&amp;"%"</f>
        <v/>
      </c>
      <c r="H14" s="14">
        <f>'中信三级行业指数热度'!B93&amp;CHAR(10)&amp;TEXT('中信三级行业指数热度'!E93,"0.0")&amp;"%"</f>
        <v/>
      </c>
      <c r="I14" s="14">
        <f>'中信三级行业指数热度'!B133&amp;CHAR(10)&amp;TEXT('中信三级行业指数热度'!E133,"0.0")&amp;"%"</f>
        <v/>
      </c>
      <c r="J14" s="14">
        <f>'中信三级行业指数热度'!B50&amp;CHAR(10)&amp;TEXT('中信三级行业指数热度'!E50,"0.0")&amp;"%"</f>
        <v/>
      </c>
      <c r="K14" s="14">
        <f>'中信三级行业指数热度'!B209&amp;CHAR(10)&amp;TEXT('中信三级行业指数热度'!E209,"0.0")&amp;"%"</f>
        <v/>
      </c>
      <c r="L14" s="14">
        <f>'中信三级行业指数热度'!B65&amp;CHAR(10)&amp;TEXT('中信三级行业指数热度'!E65,"0.0")&amp;"%"</f>
        <v/>
      </c>
      <c r="M14" s="14">
        <f>'中信三级行业指数热度'!B195&amp;CHAR(10)&amp;TEXT('中信三级行业指数热度'!E195,"0.0")&amp;"%"</f>
        <v/>
      </c>
      <c r="N14" s="14">
        <f>'中信三级行业指数热度'!B222&amp;CHAR(10)&amp;TEXT('中信三级行业指数热度'!E222,"0.0")&amp;"%"</f>
        <v/>
      </c>
      <c r="O14" s="14">
        <f>'中信三级行业指数热度'!B33&amp;CHAR(10)&amp;TEXT('中信三级行业指数热度'!E33,"0.0")&amp;"%"</f>
        <v/>
      </c>
      <c r="R14" s="15">
        <f>'中信三级行业指数热度'!E72</f>
        <v/>
      </c>
      <c r="S14" s="15">
        <f>'中信三级行业指数热度'!E257</f>
        <v/>
      </c>
      <c r="T14" s="15">
        <f>'中信三级行业指数热度'!E213</f>
        <v/>
      </c>
      <c r="U14" s="15">
        <f>'中信三级行业指数热度'!E78</f>
        <v/>
      </c>
      <c r="V14" s="15">
        <f>'中信三级行业指数热度'!E89</f>
        <v/>
      </c>
      <c r="W14" s="15">
        <f>'中信三级行业指数热度'!E167</f>
        <v/>
      </c>
      <c r="X14" s="15">
        <f>'中信三级行业指数热度'!E93</f>
        <v/>
      </c>
      <c r="Y14" s="15">
        <f>'中信三级行业指数热度'!E133</f>
        <v/>
      </c>
      <c r="Z14" s="15">
        <f>'中信三级行业指数热度'!E50</f>
        <v/>
      </c>
      <c r="AA14" s="15">
        <f>'中信三级行业指数热度'!E209</f>
        <v/>
      </c>
      <c r="AB14" s="15">
        <f>'中信三级行业指数热度'!E65</f>
        <v/>
      </c>
      <c r="AC14" s="15">
        <f>'中信三级行业指数热度'!E195</f>
        <v/>
      </c>
      <c r="AD14" s="15">
        <f>'中信三级行业指数热度'!E222</f>
        <v/>
      </c>
      <c r="AE14" s="15">
        <f>'中信三级行业指数热度'!E33</f>
        <v/>
      </c>
      <c r="AG14">
        <f>IFERROR('中信三级行业指数热度'!G14+ROW()*0.0000000001,-9999)</f>
        <v/>
      </c>
    </row>
    <row r="15" ht="34" customHeight="1">
      <c r="B15" s="14">
        <f>'中信三级行业指数热度'!B120&amp;CHAR(10)&amp;TEXT('中信三级行业指数热度'!E120,"0.0")&amp;"%"</f>
        <v/>
      </c>
      <c r="C15" s="14">
        <f>'中信三级行业指数热度'!B39&amp;CHAR(10)&amp;TEXT('中信三级行业指数热度'!E39,"0.0")&amp;"%"</f>
        <v/>
      </c>
      <c r="D15" s="14">
        <f>'中信三级行业指数热度'!B241&amp;CHAR(10)&amp;TEXT('中信三级行业指数热度'!E241,"0.0")&amp;"%"</f>
        <v/>
      </c>
      <c r="E15" s="14">
        <f>'中信三级行业指数热度'!B169&amp;CHAR(10)&amp;TEXT('中信三级行业指数热度'!E169,"0.0")&amp;"%"</f>
        <v/>
      </c>
      <c r="F15" s="14">
        <f>'中信三级行业指数热度'!B115&amp;CHAR(10)&amp;TEXT('中信三级行业指数热度'!E115,"0.0")&amp;"%"</f>
        <v/>
      </c>
      <c r="G15" s="14">
        <f>'中信三级行业指数热度'!B180&amp;CHAR(10)&amp;TEXT('中信三级行业指数热度'!E180,"0.0")&amp;"%"</f>
        <v/>
      </c>
      <c r="H15" s="14">
        <f>'中信三级行业指数热度'!B208&amp;CHAR(10)&amp;TEXT('中信三级行业指数热度'!E208,"0.0")&amp;"%"</f>
        <v/>
      </c>
      <c r="I15" s="14">
        <f>'中信三级行业指数热度'!B211&amp;CHAR(10)&amp;TEXT('中信三级行业指数热度'!E211,"0.0")&amp;"%"</f>
        <v/>
      </c>
      <c r="J15" s="14">
        <f>'中信三级行业指数热度'!B255&amp;CHAR(10)&amp;TEXT('中信三级行业指数热度'!E255,"0.0")&amp;"%"</f>
        <v/>
      </c>
      <c r="K15" s="14">
        <f>'中信三级行业指数热度'!B148&amp;CHAR(10)&amp;TEXT('中信三级行业指数热度'!E148,"0.0")&amp;"%"</f>
        <v/>
      </c>
      <c r="L15" s="14">
        <f>'中信三级行业指数热度'!B164&amp;CHAR(10)&amp;TEXT('中信三级行业指数热度'!E164,"0.0")&amp;"%"</f>
        <v/>
      </c>
      <c r="M15" s="14">
        <f>'中信三级行业指数热度'!B55&amp;CHAR(10)&amp;TEXT('中信三级行业指数热度'!E55,"0.0")&amp;"%"</f>
        <v/>
      </c>
      <c r="N15" s="14">
        <f>'中信三级行业指数热度'!B111&amp;CHAR(10)&amp;TEXT('中信三级行业指数热度'!E111,"0.0")&amp;"%"</f>
        <v/>
      </c>
      <c r="O15" s="14">
        <f>'中信三级行业指数热度'!B44&amp;CHAR(10)&amp;TEXT('中信三级行业指数热度'!E44,"0.0")&amp;"%"</f>
        <v/>
      </c>
      <c r="R15" s="15">
        <f>'中信三级行业指数热度'!E120</f>
        <v/>
      </c>
      <c r="S15" s="15">
        <f>'中信三级行业指数热度'!E39</f>
        <v/>
      </c>
      <c r="T15" s="15">
        <f>'中信三级行业指数热度'!E241</f>
        <v/>
      </c>
      <c r="U15" s="15">
        <f>'中信三级行业指数热度'!E169</f>
        <v/>
      </c>
      <c r="V15" s="15">
        <f>'中信三级行业指数热度'!E115</f>
        <v/>
      </c>
      <c r="W15" s="15">
        <f>'中信三级行业指数热度'!E180</f>
        <v/>
      </c>
      <c r="X15" s="15">
        <f>'中信三级行业指数热度'!E208</f>
        <v/>
      </c>
      <c r="Y15" s="15">
        <f>'中信三级行业指数热度'!E211</f>
        <v/>
      </c>
      <c r="Z15" s="15">
        <f>'中信三级行业指数热度'!E255</f>
        <v/>
      </c>
      <c r="AA15" s="15">
        <f>'中信三级行业指数热度'!E148</f>
        <v/>
      </c>
      <c r="AB15" s="15">
        <f>'中信三级行业指数热度'!E164</f>
        <v/>
      </c>
      <c r="AC15" s="15">
        <f>'中信三级行业指数热度'!E55</f>
        <v/>
      </c>
      <c r="AD15" s="15">
        <f>'中信三级行业指数热度'!E111</f>
        <v/>
      </c>
      <c r="AE15" s="15">
        <f>'中信三级行业指数热度'!E44</f>
        <v/>
      </c>
      <c r="AG15">
        <f>IFERROR('中信三级行业指数热度'!G15+ROW()*0.0000000001,-9999)</f>
        <v/>
      </c>
    </row>
    <row r="16" ht="34" customHeight="1">
      <c r="B16" s="14">
        <f>'中信三级行业指数热度'!B130&amp;CHAR(10)&amp;TEXT('中信三级行业指数热度'!E130,"0.0")&amp;"%"</f>
        <v/>
      </c>
      <c r="C16" s="14">
        <f>'中信三级行业指数热度'!B95&amp;CHAR(10)&amp;TEXT('中信三级行业指数热度'!E95,"0.0")&amp;"%"</f>
        <v/>
      </c>
      <c r="D16" s="14">
        <f>'中信三级行业指数热度'!B174&amp;CHAR(10)&amp;TEXT('中信三级行业指数热度'!E174,"0.0")&amp;"%"</f>
        <v/>
      </c>
      <c r="E16" s="14">
        <f>'中信三级行业指数热度'!B105&amp;CHAR(10)&amp;TEXT('中信三级行业指数热度'!E105,"0.0")&amp;"%"</f>
        <v/>
      </c>
      <c r="F16" s="14">
        <f>'中信三级行业指数热度'!B132&amp;CHAR(10)&amp;TEXT('中信三级行业指数热度'!E132,"0.0")&amp;"%"</f>
        <v/>
      </c>
      <c r="G16" s="14">
        <f>'中信三级行业指数热度'!B100&amp;CHAR(10)&amp;TEXT('中信三级行业指数热度'!E100,"0.0")&amp;"%"</f>
        <v/>
      </c>
      <c r="H16" s="14">
        <f>'中信三级行业指数热度'!B249&amp;CHAR(10)&amp;TEXT('中信三级行业指数热度'!E249,"0.0")&amp;"%"</f>
        <v/>
      </c>
      <c r="I16" s="14">
        <f>'中信三级行业指数热度'!B153&amp;CHAR(10)&amp;TEXT('中信三级行业指数热度'!E153,"0.0")&amp;"%"</f>
        <v/>
      </c>
      <c r="J16" s="14">
        <f>'中信三级行业指数热度'!B193&amp;CHAR(10)&amp;TEXT('中信三级行业指数热度'!E193,"0.0")&amp;"%"</f>
        <v/>
      </c>
      <c r="K16" s="14">
        <f>'中信三级行业指数热度'!B175&amp;CHAR(10)&amp;TEXT('中信三级行业指数热度'!E175,"0.0")&amp;"%"</f>
        <v/>
      </c>
      <c r="L16" s="14">
        <f>'中信三级行业指数热度'!B187&amp;CHAR(10)&amp;TEXT('中信三级行业指数热度'!E187,"0.0")&amp;"%"</f>
        <v/>
      </c>
      <c r="M16" s="14">
        <f>'中信三级行业指数热度'!B30&amp;CHAR(10)&amp;TEXT('中信三级行业指数热度'!E30,"0.0")&amp;"%"</f>
        <v/>
      </c>
      <c r="N16" s="14">
        <f>'中信三级行业指数热度'!B70&amp;CHAR(10)&amp;TEXT('中信三级行业指数热度'!E70,"0.0")&amp;"%"</f>
        <v/>
      </c>
      <c r="O16" s="14">
        <f>'中信三级行业指数热度'!B161&amp;CHAR(10)&amp;TEXT('中信三级行业指数热度'!E161,"0.0")&amp;"%"</f>
        <v/>
      </c>
      <c r="R16" s="15">
        <f>'中信三级行业指数热度'!E130</f>
        <v/>
      </c>
      <c r="S16" s="15">
        <f>'中信三级行业指数热度'!E95</f>
        <v/>
      </c>
      <c r="T16" s="15">
        <f>'中信三级行业指数热度'!E174</f>
        <v/>
      </c>
      <c r="U16" s="15">
        <f>'中信三级行业指数热度'!E105</f>
        <v/>
      </c>
      <c r="V16" s="15">
        <f>'中信三级行业指数热度'!E132</f>
        <v/>
      </c>
      <c r="W16" s="15">
        <f>'中信三级行业指数热度'!E100</f>
        <v/>
      </c>
      <c r="X16" s="15">
        <f>'中信三级行业指数热度'!E249</f>
        <v/>
      </c>
      <c r="Y16" s="15">
        <f>'中信三级行业指数热度'!E153</f>
        <v/>
      </c>
      <c r="Z16" s="15">
        <f>'中信三级行业指数热度'!E193</f>
        <v/>
      </c>
      <c r="AA16" s="15">
        <f>'中信三级行业指数热度'!E175</f>
        <v/>
      </c>
      <c r="AB16" s="15">
        <f>'中信三级行业指数热度'!E187</f>
        <v/>
      </c>
      <c r="AC16" s="15">
        <f>'中信三级行业指数热度'!E30</f>
        <v/>
      </c>
      <c r="AD16" s="15">
        <f>'中信三级行业指数热度'!E70</f>
        <v/>
      </c>
      <c r="AE16" s="15">
        <f>'中信三级行业指数热度'!E161</f>
        <v/>
      </c>
      <c r="AG16">
        <f>IFERROR('中信三级行业指数热度'!G16+ROW()*0.0000000001,-9999)</f>
        <v/>
      </c>
    </row>
    <row r="17" ht="34" customHeight="1">
      <c r="B17" s="14">
        <f>'中信三级行业指数热度'!B143&amp;CHAR(10)&amp;TEXT('中信三级行业指数热度'!E143,"0.0")&amp;"%"</f>
        <v/>
      </c>
      <c r="C17" s="14">
        <f>'中信三级行业指数热度'!B258&amp;CHAR(10)&amp;TEXT('中信三级行业指数热度'!E258,"0.0")&amp;"%"</f>
        <v/>
      </c>
      <c r="D17" s="14">
        <f>'中信三级行业指数热度'!B197&amp;CHAR(10)&amp;TEXT('中信三级行业指数热度'!E197,"0.0")&amp;"%"</f>
        <v/>
      </c>
      <c r="E17" s="14">
        <f>'中信三级行业指数热度'!B135&amp;CHAR(10)&amp;TEXT('中信三级行业指数热度'!E135,"0.0")&amp;"%"</f>
        <v/>
      </c>
      <c r="F17" s="14">
        <f>'中信三级行业指数热度'!B36&amp;CHAR(10)&amp;TEXT('中信三级行业指数热度'!E36,"0.0")&amp;"%"</f>
        <v/>
      </c>
      <c r="G17" s="14">
        <f>'中信三级行业指数热度'!B112&amp;CHAR(10)&amp;TEXT('中信三级行业指数热度'!E112,"0.0")&amp;"%"</f>
        <v/>
      </c>
      <c r="H17" s="14">
        <f>'中信三级行业指数热度'!B232&amp;CHAR(10)&amp;TEXT('中信三级行业指数热度'!E232,"0.0")&amp;"%"</f>
        <v/>
      </c>
      <c r="I17" s="14">
        <f>'中信三级行业指数热度'!B219&amp;CHAR(10)&amp;TEXT('中信三级行业指数热度'!E219,"0.0")&amp;"%"</f>
        <v/>
      </c>
      <c r="J17" s="14">
        <f>'中信三级行业指数热度'!B159&amp;CHAR(10)&amp;TEXT('中信三级行业指数热度'!E159,"0.0")&amp;"%"</f>
        <v/>
      </c>
      <c r="K17" s="14">
        <f>'中信三级行业指数热度'!B134&amp;CHAR(10)&amp;TEXT('中信三级行业指数热度'!E134,"0.0")&amp;"%"</f>
        <v/>
      </c>
      <c r="L17" s="14">
        <f>'中信三级行业指数热度'!B199&amp;CHAR(10)&amp;TEXT('中信三级行业指数热度'!E199,"0.0")&amp;"%"</f>
        <v/>
      </c>
      <c r="M17" s="14">
        <f>'中信三级行业指数热度'!B188&amp;CHAR(10)&amp;TEXT('中信三级行业指数热度'!E188,"0.0")&amp;"%"</f>
        <v/>
      </c>
      <c r="N17" s="14">
        <f>'中信三级行业指数热度'!B217&amp;CHAR(10)&amp;TEXT('中信三级行业指数热度'!E217,"0.0")&amp;"%"</f>
        <v/>
      </c>
      <c r="O17" s="14">
        <f>'中信三级行业指数热度'!B83&amp;CHAR(10)&amp;TEXT('中信三级行业指数热度'!E83,"0.0")&amp;"%"</f>
        <v/>
      </c>
      <c r="R17" s="15">
        <f>'中信三级行业指数热度'!E143</f>
        <v/>
      </c>
      <c r="S17" s="15">
        <f>'中信三级行业指数热度'!E258</f>
        <v/>
      </c>
      <c r="T17" s="15">
        <f>'中信三级行业指数热度'!E197</f>
        <v/>
      </c>
      <c r="U17" s="15">
        <f>'中信三级行业指数热度'!E135</f>
        <v/>
      </c>
      <c r="V17" s="15">
        <f>'中信三级行业指数热度'!E36</f>
        <v/>
      </c>
      <c r="W17" s="15">
        <f>'中信三级行业指数热度'!E112</f>
        <v/>
      </c>
      <c r="X17" s="15">
        <f>'中信三级行业指数热度'!E232</f>
        <v/>
      </c>
      <c r="Y17" s="15">
        <f>'中信三级行业指数热度'!E219</f>
        <v/>
      </c>
      <c r="Z17" s="15">
        <f>'中信三级行业指数热度'!E159</f>
        <v/>
      </c>
      <c r="AA17" s="15">
        <f>'中信三级行业指数热度'!E134</f>
        <v/>
      </c>
      <c r="AB17" s="15">
        <f>'中信三级行业指数热度'!E199</f>
        <v/>
      </c>
      <c r="AC17" s="15">
        <f>'中信三级行业指数热度'!E188</f>
        <v/>
      </c>
      <c r="AD17" s="15">
        <f>'中信三级行业指数热度'!E217</f>
        <v/>
      </c>
      <c r="AE17" s="15">
        <f>'中信三级行业指数热度'!E83</f>
        <v/>
      </c>
      <c r="AG17">
        <f>IFERROR('中信三级行业指数热度'!G17+ROW()*0.0000000001,-9999)</f>
        <v/>
      </c>
    </row>
    <row r="18" ht="34" customHeight="1">
      <c r="B18" s="14">
        <f>'中信三级行业指数热度'!B160&amp;CHAR(10)&amp;TEXT('中信三级行业指数热度'!E160,"0.0")&amp;"%"</f>
        <v/>
      </c>
      <c r="C18" s="14">
        <f>'中信三级行业指数热度'!B163&amp;CHAR(10)&amp;TEXT('中信三级行业指数热度'!E163,"0.0")&amp;"%"</f>
        <v/>
      </c>
      <c r="D18" s="14">
        <f>'中信三级行业指数热度'!B239&amp;CHAR(10)&amp;TEXT('中信三级行业指数热度'!E239,"0.0")&amp;"%"</f>
        <v/>
      </c>
      <c r="E18" s="14">
        <f>'中信三级行业指数热度'!B73&amp;CHAR(10)&amp;TEXT('中信三级行业指数热度'!E73,"0.0")&amp;"%"</f>
        <v/>
      </c>
      <c r="F18" s="14">
        <f>'中信三级行业指数热度'!B41&amp;CHAR(10)&amp;TEXT('中信三级行业指数热度'!E41,"0.0")&amp;"%"</f>
        <v/>
      </c>
      <c r="G18" s="14">
        <f>'中信三级行业指数热度'!B171&amp;CHAR(10)&amp;TEXT('中信三级行业指数热度'!E171,"0.0")&amp;"%"</f>
        <v/>
      </c>
      <c r="H18" s="14">
        <f>'中信三级行业指数热度'!B177&amp;CHAR(10)&amp;TEXT('中信三级行业指数热度'!E177,"0.0")&amp;"%"</f>
        <v/>
      </c>
      <c r="I18" s="14">
        <f>'中信三级行业指数热度'!B26&amp;CHAR(10)&amp;TEXT('中信三级行业指数热度'!E26,"0.0")&amp;"%"</f>
        <v/>
      </c>
      <c r="J18" s="14">
        <f>'中信三级行业指数热度'!B224&amp;CHAR(10)&amp;TEXT('中信三级行业指数热度'!E224,"0.0")&amp;"%"</f>
        <v/>
      </c>
      <c r="K18" s="14">
        <f>'中信三级行业指数热度'!B220&amp;CHAR(10)&amp;TEXT('中信三级行业指数热度'!E220,"0.0")&amp;"%"</f>
        <v/>
      </c>
      <c r="L18" s="14">
        <f>'中信三级行业指数热度'!B154&amp;CHAR(10)&amp;TEXT('中信三级行业指数热度'!E154,"0.0")&amp;"%"</f>
        <v/>
      </c>
      <c r="M18" s="14">
        <f>'中信三级行业指数热度'!B228&amp;CHAR(10)&amp;TEXT('中信三级行业指数热度'!E228,"0.0")&amp;"%"</f>
        <v/>
      </c>
      <c r="N18" s="14">
        <f>'中信三级行业指数热度'!B227&amp;CHAR(10)&amp;TEXT('中信三级行业指数热度'!E227,"0.0")&amp;"%"</f>
        <v/>
      </c>
      <c r="O18" s="14">
        <f>'中信三级行业指数热度'!B109&amp;CHAR(10)&amp;TEXT('中信三级行业指数热度'!E109,"0.0")&amp;"%"</f>
        <v/>
      </c>
      <c r="R18" s="15">
        <f>'中信三级行业指数热度'!E160</f>
        <v/>
      </c>
      <c r="S18" s="15">
        <f>'中信三级行业指数热度'!E163</f>
        <v/>
      </c>
      <c r="T18" s="15">
        <f>'中信三级行业指数热度'!E239</f>
        <v/>
      </c>
      <c r="U18" s="15">
        <f>'中信三级行业指数热度'!E73</f>
        <v/>
      </c>
      <c r="V18" s="15">
        <f>'中信三级行业指数热度'!E41</f>
        <v/>
      </c>
      <c r="W18" s="15">
        <f>'中信三级行业指数热度'!E171</f>
        <v/>
      </c>
      <c r="X18" s="15">
        <f>'中信三级行业指数热度'!E177</f>
        <v/>
      </c>
      <c r="Y18" s="15">
        <f>'中信三级行业指数热度'!E26</f>
        <v/>
      </c>
      <c r="Z18" s="15">
        <f>'中信三级行业指数热度'!E224</f>
        <v/>
      </c>
      <c r="AA18" s="15">
        <f>'中信三级行业指数热度'!E220</f>
        <v/>
      </c>
      <c r="AB18" s="15">
        <f>'中信三级行业指数热度'!E154</f>
        <v/>
      </c>
      <c r="AC18" s="15">
        <f>'中信三级行业指数热度'!E228</f>
        <v/>
      </c>
      <c r="AD18" s="15">
        <f>'中信三级行业指数热度'!E227</f>
        <v/>
      </c>
      <c r="AE18" s="15">
        <f>'中信三级行业指数热度'!E109</f>
        <v/>
      </c>
      <c r="AG18">
        <f>IFERROR('中信三级行业指数热度'!G18+ROW()*0.0000000001,-9999)</f>
        <v/>
      </c>
    </row>
    <row r="19" ht="34" customHeight="1">
      <c r="B19" s="14">
        <f>'中信三级行业指数热度'!B13&amp;CHAR(10)&amp;TEXT('中信三级行业指数热度'!E13,"0.0")&amp;"%"</f>
        <v/>
      </c>
      <c r="C19" s="14">
        <f>'中信三级行业指数热度'!B191&amp;CHAR(10)&amp;TEXT('中信三级行业指数热度'!E191,"0.0")&amp;"%"</f>
        <v/>
      </c>
      <c r="D19" s="14">
        <f>'中信三级行业指数热度'!B92&amp;CHAR(10)&amp;TEXT('中信三级行业指数热度'!E92,"0.0")&amp;"%"</f>
        <v/>
      </c>
      <c r="E19" s="14">
        <f>'中信三级行业指数热度'!B242&amp;CHAR(10)&amp;TEXT('中信三级行业指数热度'!E242,"0.0")&amp;"%"</f>
        <v/>
      </c>
      <c r="F19" s="14">
        <f>'中信三级行业指数热度'!B168&amp;CHAR(10)&amp;TEXT('中信三级行业指数热度'!E168,"0.0")&amp;"%"</f>
        <v/>
      </c>
      <c r="G19" s="14">
        <f>'中信三级行业指数热度'!B234&amp;CHAR(10)&amp;TEXT('中信三级行业指数热度'!E234,"0.0")&amp;"%"</f>
        <v/>
      </c>
      <c r="H19" s="14">
        <f>'中信三级行业指数热度'!B254&amp;CHAR(10)&amp;TEXT('中信三级行业指数热度'!E254,"0.0")&amp;"%"</f>
        <v/>
      </c>
      <c r="I19" s="14">
        <f>'中信三级行业指数热度'!B229&amp;CHAR(10)&amp;TEXT('中信三级行业指数热度'!E229,"0.0")&amp;"%"</f>
        <v/>
      </c>
      <c r="J19" s="14">
        <f>'中信三级行业指数热度'!B76&amp;CHAR(10)&amp;TEXT('中信三级行业指数热度'!E76,"0.0")&amp;"%"</f>
        <v/>
      </c>
      <c r="K19" s="14">
        <f>'中信三级行业指数热度'!B262&amp;CHAR(10)&amp;TEXT('中信三级行业指数热度'!E262,"0.0")&amp;"%"</f>
        <v/>
      </c>
      <c r="L19" s="14">
        <f>'中信三级行业指数热度'!B102&amp;CHAR(10)&amp;TEXT('中信三级行业指数热度'!E102,"0.0")&amp;"%"</f>
        <v/>
      </c>
      <c r="M19" s="14">
        <f>'中信三级行业指数热度'!B149&amp;CHAR(10)&amp;TEXT('中信三级行业指数热度'!E149,"0.0")&amp;"%"</f>
        <v/>
      </c>
      <c r="N19" s="14">
        <f>'中信三级行业指数热度'!B236&amp;CHAR(10)&amp;TEXT('中信三级行业指数热度'!E236,"0.0")&amp;"%"</f>
        <v/>
      </c>
      <c r="O19" s="14">
        <f>'中信三级行业指数热度'!B204&amp;CHAR(10)&amp;TEXT('中信三级行业指数热度'!E204,"0.0")&amp;"%"</f>
        <v/>
      </c>
      <c r="R19" s="15">
        <f>'中信三级行业指数热度'!E13</f>
        <v/>
      </c>
      <c r="S19" s="15">
        <f>'中信三级行业指数热度'!E191</f>
        <v/>
      </c>
      <c r="T19" s="15">
        <f>'中信三级行业指数热度'!E92</f>
        <v/>
      </c>
      <c r="U19" s="15">
        <f>'中信三级行业指数热度'!E242</f>
        <v/>
      </c>
      <c r="V19" s="15">
        <f>'中信三级行业指数热度'!E168</f>
        <v/>
      </c>
      <c r="W19" s="15">
        <f>'中信三级行业指数热度'!E234</f>
        <v/>
      </c>
      <c r="X19" s="15">
        <f>'中信三级行业指数热度'!E254</f>
        <v/>
      </c>
      <c r="Y19" s="15">
        <f>'中信三级行业指数热度'!E229</f>
        <v/>
      </c>
      <c r="Z19" s="15">
        <f>'中信三级行业指数热度'!E76</f>
        <v/>
      </c>
      <c r="AA19" s="15">
        <f>'中信三级行业指数热度'!E262</f>
        <v/>
      </c>
      <c r="AB19" s="15">
        <f>'中信三级行业指数热度'!E102</f>
        <v/>
      </c>
      <c r="AC19" s="15">
        <f>'中信三级行业指数热度'!E149</f>
        <v/>
      </c>
      <c r="AD19" s="15">
        <f>'中信三级行业指数热度'!E236</f>
        <v/>
      </c>
      <c r="AE19" s="15">
        <f>'中信三级行业指数热度'!E204</f>
        <v/>
      </c>
      <c r="AG19">
        <f>IFERROR('中信三级行业指数热度'!G19+ROW()*0.0000000001,-9999)</f>
        <v/>
      </c>
    </row>
    <row r="20" ht="34" customHeight="1">
      <c r="B20" s="14">
        <f>'中信三级行业指数热度'!B117&amp;CHAR(10)&amp;TEXT('中信三级行业指数热度'!E117,"0.0")&amp;"%"</f>
        <v/>
      </c>
      <c r="C20" s="14">
        <f>'中信三级行业指数热度'!B261&amp;CHAR(10)&amp;TEXT('中信三级行业指数热度'!E261,"0.0")&amp;"%"</f>
        <v/>
      </c>
      <c r="D20" s="14">
        <f>'中信三级行业指数热度'!B170&amp;CHAR(10)&amp;TEXT('中信三级行业指数热度'!E170,"0.0")&amp;"%"</f>
        <v/>
      </c>
      <c r="E20" s="14">
        <f>'中信三级行业指数热度'!B114&amp;CHAR(10)&amp;TEXT('中信三级行业指数热度'!E114,"0.0")&amp;"%"</f>
        <v/>
      </c>
      <c r="F20" s="14">
        <f>'中信三级行业指数热度'!B201&amp;CHAR(10)&amp;TEXT('中信三级行业指数热度'!E201,"0.0")&amp;"%"</f>
        <v/>
      </c>
      <c r="G20" s="14">
        <f>'中信三级行业指数热度'!B235&amp;CHAR(10)&amp;TEXT('中信三级行业指数热度'!E235,"0.0")&amp;"%"</f>
        <v/>
      </c>
      <c r="H20" s="14">
        <f>'中信三级行业指数热度'!B221&amp;CHAR(10)&amp;TEXT('中信三级行业指数热度'!E221,"0.0")&amp;"%"</f>
        <v/>
      </c>
      <c r="I20" s="14">
        <f>'中信三级行业指数热度'!B260&amp;CHAR(10)&amp;TEXT('中信三级行业指数热度'!E260,"0.0")&amp;"%"</f>
        <v/>
      </c>
      <c r="J20" s="14">
        <f>'中信三级行业指数热度'!B243&amp;CHAR(10)&amp;TEXT('中信三级行业指数热度'!E243,"0.0")&amp;"%"</f>
        <v/>
      </c>
      <c r="K20" s="14">
        <f>'中信三级行业指数热度'!B214&amp;CHAR(10)&amp;TEXT('中信三级行业指数热度'!E214,"0.0")&amp;"%"</f>
        <v/>
      </c>
      <c r="L20" s="14">
        <f>'中信三级行业指数热度'!B127&amp;CHAR(10)&amp;TEXT('中信三级行业指数热度'!E127,"0.0")&amp;"%"</f>
        <v/>
      </c>
      <c r="M20" s="14">
        <f>'中信三级行业指数热度'!B230&amp;CHAR(10)&amp;TEXT('中信三级行业指数热度'!E230,"0.0")&amp;"%"</f>
        <v/>
      </c>
      <c r="N20" s="14">
        <f>'中信三级行业指数热度'!B138&amp;CHAR(10)&amp;TEXT('中信三级行业指数热度'!E138,"0.0")&amp;"%"</f>
        <v/>
      </c>
      <c r="O20" s="14">
        <f>'中信三级行业指数热度'!B216&amp;CHAR(10)&amp;TEXT('中信三级行业指数热度'!E216,"0.0")&amp;"%"</f>
        <v/>
      </c>
      <c r="R20" s="15">
        <f>'中信三级行业指数热度'!E117</f>
        <v/>
      </c>
      <c r="S20" s="15">
        <f>'中信三级行业指数热度'!E261</f>
        <v/>
      </c>
      <c r="T20" s="15">
        <f>'中信三级行业指数热度'!E170</f>
        <v/>
      </c>
      <c r="U20" s="15">
        <f>'中信三级行业指数热度'!E114</f>
        <v/>
      </c>
      <c r="V20" s="15">
        <f>'中信三级行业指数热度'!E201</f>
        <v/>
      </c>
      <c r="W20" s="15">
        <f>'中信三级行业指数热度'!E235</f>
        <v/>
      </c>
      <c r="X20" s="15">
        <f>'中信三级行业指数热度'!E221</f>
        <v/>
      </c>
      <c r="Y20" s="15">
        <f>'中信三级行业指数热度'!E260</f>
        <v/>
      </c>
      <c r="Z20" s="15">
        <f>'中信三级行业指数热度'!E243</f>
        <v/>
      </c>
      <c r="AA20" s="15">
        <f>'中信三级行业指数热度'!E214</f>
        <v/>
      </c>
      <c r="AB20" s="15">
        <f>'中信三级行业指数热度'!E127</f>
        <v/>
      </c>
      <c r="AC20" s="15">
        <f>'中信三级行业指数热度'!E230</f>
        <v/>
      </c>
      <c r="AD20" s="15">
        <f>'中信三级行业指数热度'!E138</f>
        <v/>
      </c>
      <c r="AE20" s="15">
        <f>'中信三级行业指数热度'!E216</f>
        <v/>
      </c>
      <c r="AG20">
        <f>IFERROR('中信三级行业指数热度'!G20+ROW()*0.0000000001,-9999)</f>
        <v/>
      </c>
    </row>
    <row r="21" ht="34" customHeight="1">
      <c r="B21" s="14">
        <f>'中信三级行业指数热度'!B98&amp;CHAR(10)&amp;TEXT('中信三级行业指数热度'!E98,"0.0")&amp;"%"</f>
        <v/>
      </c>
      <c r="C21" s="14">
        <f>'中信三级行业指数热度'!B183&amp;CHAR(10)&amp;TEXT('中信三级行业指数热度'!E183,"0.0")&amp;"%"</f>
        <v/>
      </c>
      <c r="D21" s="14">
        <f>'中信三级行业指数热度'!B250&amp;CHAR(10)&amp;TEXT('中信三级行业指数热度'!E250,"0.0")&amp;"%"</f>
        <v/>
      </c>
      <c r="E21" s="14">
        <f>'中信三级行业指数热度'!B24&amp;CHAR(10)&amp;TEXT('中信三级行业指数热度'!E24,"0.0")&amp;"%"</f>
        <v/>
      </c>
      <c r="F21" s="14">
        <f>'中信三级行业指数热度'!B259&amp;CHAR(10)&amp;TEXT('中信三级行业指数热度'!E259,"0.0")&amp;"%"</f>
        <v/>
      </c>
      <c r="G21" s="14">
        <f>'中信三级行业指数热度'!B58&amp;CHAR(10)&amp;TEXT('中信三级行业指数热度'!E58,"0.0")&amp;"%"</f>
        <v/>
      </c>
      <c r="H21" s="14">
        <f>'中信三级行业指数热度'!B247&amp;CHAR(10)&amp;TEXT('中信三级行业指数热度'!E247,"0.0")&amp;"%"</f>
        <v/>
      </c>
      <c r="I21" s="14">
        <f>'中信三级行业指数热度'!B226&amp;CHAR(10)&amp;TEXT('中信三级行业指数热度'!E226,"0.0")&amp;"%"</f>
        <v/>
      </c>
      <c r="J21" s="14">
        <f>'中信三级行业指数热度'!B248&amp;CHAR(10)&amp;TEXT('中信三级行业指数热度'!E248,"0.0")&amp;"%"</f>
        <v/>
      </c>
      <c r="R21" s="15">
        <f>'中信三级行业指数热度'!E98</f>
        <v/>
      </c>
      <c r="S21" s="15">
        <f>'中信三级行业指数热度'!E183</f>
        <v/>
      </c>
      <c r="T21" s="15">
        <f>'中信三级行业指数热度'!E250</f>
        <v/>
      </c>
      <c r="U21" s="15">
        <f>'中信三级行业指数热度'!E24</f>
        <v/>
      </c>
      <c r="V21" s="15">
        <f>'中信三级行业指数热度'!E259</f>
        <v/>
      </c>
      <c r="W21" s="15">
        <f>'中信三级行业指数热度'!E58</f>
        <v/>
      </c>
      <c r="X21" s="15">
        <f>'中信三级行业指数热度'!E247</f>
        <v/>
      </c>
      <c r="Y21" s="15">
        <f>'中信三级行业指数热度'!E226</f>
        <v/>
      </c>
      <c r="Z21" s="15">
        <f>'中信三级行业指数热度'!E248</f>
        <v/>
      </c>
      <c r="AG21">
        <f>IFERROR('中信三级行业指数热度'!G21+ROW()*0.0000000001,-9999)</f>
        <v/>
      </c>
    </row>
    <row r="22">
      <c r="AG22">
        <f>IFERROR('中信三级行业指数热度'!G22+ROW()*0.0000000001,-9999)</f>
        <v/>
      </c>
    </row>
    <row r="23">
      <c r="B23" s="16" t="inlineStr">
        <is>
          <t>图例(近一周涨跌幅):</t>
        </is>
      </c>
      <c r="D23" s="17" t="inlineStr">
        <is>
          <t>≤-7%</t>
        </is>
      </c>
      <c r="E23" s="18" t="inlineStr">
        <is>
          <t>-7~-3%</t>
        </is>
      </c>
      <c r="F23" s="19" t="inlineStr">
        <is>
          <t>-3~-1%</t>
        </is>
      </c>
      <c r="G23" s="20" t="inlineStr">
        <is>
          <t>-1~1%</t>
        </is>
      </c>
      <c r="H23" s="21" t="inlineStr">
        <is>
          <t>1~3%</t>
        </is>
      </c>
      <c r="I23" s="22" t="inlineStr">
        <is>
          <t>3~7%</t>
        </is>
      </c>
      <c r="J23" s="23" t="inlineStr">
        <is>
          <t>≥7%</t>
        </is>
      </c>
      <c r="AG23">
        <f>IFERROR('中信三级行业指数热度'!G23+ROW()*0.0000000001,-9999)</f>
        <v/>
      </c>
    </row>
    <row r="24">
      <c r="AG24">
        <f>IFERROR('中信三级行业指数热度'!G24+ROW()*0.0000000001,-9999)</f>
        <v/>
      </c>
    </row>
    <row r="25">
      <c r="AG25">
        <f>IFERROR('中信三级行业指数热度'!G25+ROW()*0.0000000001,-9999)</f>
        <v/>
      </c>
    </row>
    <row r="26">
      <c r="B26" s="24" t="inlineStr">
        <is>
          <t>短期热点 TOP20（按动量加速度自动排名，随刷新更新）</t>
        </is>
      </c>
      <c r="AG26">
        <f>IFERROR('中信三级行业指数热度'!G26+ROW()*0.0000000001,-9999)</f>
        <v/>
      </c>
    </row>
    <row r="27">
      <c r="B27" s="25" t="inlineStr">
        <is>
          <t>排名</t>
        </is>
      </c>
      <c r="C27" s="25" t="inlineStr">
        <is>
          <t>指数名称</t>
        </is>
      </c>
      <c r="D27" s="25" t="inlineStr">
        <is>
          <t>近一周(%)</t>
        </is>
      </c>
      <c r="E27" s="25" t="inlineStr">
        <is>
          <t>近一月(%)</t>
        </is>
      </c>
      <c r="F27" s="25" t="inlineStr">
        <is>
          <t>动量加速度</t>
        </is>
      </c>
      <c r="G27" s="25" t="inlineStr">
        <is>
          <t>YTD(%)</t>
        </is>
      </c>
      <c r="AG27">
        <f>IFERROR('中信三级行业指数热度'!G27+ROW()*0.0000000001,-9999)</f>
        <v/>
      </c>
    </row>
    <row r="28">
      <c r="B28" t="n">
        <v>1</v>
      </c>
      <c r="C28">
        <f>IFERROR(INDEX('中信三级行业指数热度'!$B$2:$B$262,MATCH(LARGE($AG$2:$AG$262,1),$AG$2:$AG$262,0)),"")</f>
        <v/>
      </c>
      <c r="D28" s="10">
        <f>IFERROR(INDEX('中信三级行业指数热度'!$E$2:$E$262,MATCH(LARGE($AG$2:$AG$262,1),$AG$2:$AG$262,0)),"")</f>
        <v/>
      </c>
      <c r="E28" s="10">
        <f>IFERROR(INDEX('中信三级行业指数热度'!$F$2:$F$262,MATCH(LARGE($AG$2:$AG$262,1),$AG$2:$AG$262,0)),"")</f>
        <v/>
      </c>
      <c r="F28" s="11">
        <f>IFERROR(INDEX('中信三级行业指数热度'!$G$2:$G$262,MATCH(LARGE($AG$2:$AG$262,1),$AG$2:$AG$262,0)),"")</f>
        <v/>
      </c>
      <c r="G28" s="10">
        <f>IFERROR(INDEX('中信三级行业指数热度'!$D$2:$D$262,MATCH(LARGE($AG$2:$AG$262,1),$AG$2:$AG$262,0)),"")</f>
        <v/>
      </c>
      <c r="AG28">
        <f>IFERROR('中信三级行业指数热度'!G28+ROW()*0.0000000001,-9999)</f>
        <v/>
      </c>
    </row>
    <row r="29">
      <c r="B29" t="n">
        <v>2</v>
      </c>
      <c r="C29">
        <f>IFERROR(INDEX('中信三级行业指数热度'!$B$2:$B$262,MATCH(LARGE($AG$2:$AG$262,2),$AG$2:$AG$262,0)),"")</f>
        <v/>
      </c>
      <c r="D29" s="10">
        <f>IFERROR(INDEX('中信三级行业指数热度'!$E$2:$E$262,MATCH(LARGE($AG$2:$AG$262,2),$AG$2:$AG$262,0)),"")</f>
        <v/>
      </c>
      <c r="E29" s="10">
        <f>IFERROR(INDEX('中信三级行业指数热度'!$F$2:$F$262,MATCH(LARGE($AG$2:$AG$262,2),$AG$2:$AG$262,0)),"")</f>
        <v/>
      </c>
      <c r="F29" s="11">
        <f>IFERROR(INDEX('中信三级行业指数热度'!$G$2:$G$262,MATCH(LARGE($AG$2:$AG$262,2),$AG$2:$AG$262,0)),"")</f>
        <v/>
      </c>
      <c r="G29" s="10">
        <f>IFERROR(INDEX('中信三级行业指数热度'!$D$2:$D$262,MATCH(LARGE($AG$2:$AG$262,2),$AG$2:$AG$262,0)),"")</f>
        <v/>
      </c>
      <c r="AG29">
        <f>IFERROR('中信三级行业指数热度'!G29+ROW()*0.0000000001,-9999)</f>
        <v/>
      </c>
    </row>
    <row r="30">
      <c r="B30" t="n">
        <v>3</v>
      </c>
      <c r="C30">
        <f>IFERROR(INDEX('中信三级行业指数热度'!$B$2:$B$262,MATCH(LARGE($AG$2:$AG$262,3),$AG$2:$AG$262,0)),"")</f>
        <v/>
      </c>
      <c r="D30" s="10">
        <f>IFERROR(INDEX('中信三级行业指数热度'!$E$2:$E$262,MATCH(LARGE($AG$2:$AG$262,3),$AG$2:$AG$262,0)),"")</f>
        <v/>
      </c>
      <c r="E30" s="10">
        <f>IFERROR(INDEX('中信三级行业指数热度'!$F$2:$F$262,MATCH(LARGE($AG$2:$AG$262,3),$AG$2:$AG$262,0)),"")</f>
        <v/>
      </c>
      <c r="F30" s="11">
        <f>IFERROR(INDEX('中信三级行业指数热度'!$G$2:$G$262,MATCH(LARGE($AG$2:$AG$262,3),$AG$2:$AG$262,0)),"")</f>
        <v/>
      </c>
      <c r="G30" s="10">
        <f>IFERROR(INDEX('中信三级行业指数热度'!$D$2:$D$262,MATCH(LARGE($AG$2:$AG$262,3),$AG$2:$AG$262,0)),"")</f>
        <v/>
      </c>
      <c r="AG30">
        <f>IFERROR('中信三级行业指数热度'!G30+ROW()*0.0000000001,-9999)</f>
        <v/>
      </c>
    </row>
    <row r="31">
      <c r="B31" t="n">
        <v>4</v>
      </c>
      <c r="C31">
        <f>IFERROR(INDEX('中信三级行业指数热度'!$B$2:$B$262,MATCH(LARGE($AG$2:$AG$262,4),$AG$2:$AG$262,0)),"")</f>
        <v/>
      </c>
      <c r="D31" s="10">
        <f>IFERROR(INDEX('中信三级行业指数热度'!$E$2:$E$262,MATCH(LARGE($AG$2:$AG$262,4),$AG$2:$AG$262,0)),"")</f>
        <v/>
      </c>
      <c r="E31" s="10">
        <f>IFERROR(INDEX('中信三级行业指数热度'!$F$2:$F$262,MATCH(LARGE($AG$2:$AG$262,4),$AG$2:$AG$262,0)),"")</f>
        <v/>
      </c>
      <c r="F31" s="11">
        <f>IFERROR(INDEX('中信三级行业指数热度'!$G$2:$G$262,MATCH(LARGE($AG$2:$AG$262,4),$AG$2:$AG$262,0)),"")</f>
        <v/>
      </c>
      <c r="G31" s="10">
        <f>IFERROR(INDEX('中信三级行业指数热度'!$D$2:$D$262,MATCH(LARGE($AG$2:$AG$262,4),$AG$2:$AG$262,0)),"")</f>
        <v/>
      </c>
      <c r="AG31">
        <f>IFERROR('中信三级行业指数热度'!G31+ROW()*0.0000000001,-9999)</f>
        <v/>
      </c>
    </row>
    <row r="32">
      <c r="B32" t="n">
        <v>5</v>
      </c>
      <c r="C32">
        <f>IFERROR(INDEX('中信三级行业指数热度'!$B$2:$B$262,MATCH(LARGE($AG$2:$AG$262,5),$AG$2:$AG$262,0)),"")</f>
        <v/>
      </c>
      <c r="D32" s="10">
        <f>IFERROR(INDEX('中信三级行业指数热度'!$E$2:$E$262,MATCH(LARGE($AG$2:$AG$262,5),$AG$2:$AG$262,0)),"")</f>
        <v/>
      </c>
      <c r="E32" s="10">
        <f>IFERROR(INDEX('中信三级行业指数热度'!$F$2:$F$262,MATCH(LARGE($AG$2:$AG$262,5),$AG$2:$AG$262,0)),"")</f>
        <v/>
      </c>
      <c r="F32" s="11">
        <f>IFERROR(INDEX('中信三级行业指数热度'!$G$2:$G$262,MATCH(LARGE($AG$2:$AG$262,5),$AG$2:$AG$262,0)),"")</f>
        <v/>
      </c>
      <c r="G32" s="10">
        <f>IFERROR(INDEX('中信三级行业指数热度'!$D$2:$D$262,MATCH(LARGE($AG$2:$AG$262,5),$AG$2:$AG$262,0)),"")</f>
        <v/>
      </c>
      <c r="AG32">
        <f>IFERROR('中信三级行业指数热度'!G32+ROW()*0.0000000001,-9999)</f>
        <v/>
      </c>
    </row>
    <row r="33">
      <c r="B33" t="n">
        <v>6</v>
      </c>
      <c r="C33">
        <f>IFERROR(INDEX('中信三级行业指数热度'!$B$2:$B$262,MATCH(LARGE($AG$2:$AG$262,6),$AG$2:$AG$262,0)),"")</f>
        <v/>
      </c>
      <c r="D33" s="10">
        <f>IFERROR(INDEX('中信三级行业指数热度'!$E$2:$E$262,MATCH(LARGE($AG$2:$AG$262,6),$AG$2:$AG$262,0)),"")</f>
        <v/>
      </c>
      <c r="E33" s="10">
        <f>IFERROR(INDEX('中信三级行业指数热度'!$F$2:$F$262,MATCH(LARGE($AG$2:$AG$262,6),$AG$2:$AG$262,0)),"")</f>
        <v/>
      </c>
      <c r="F33" s="11">
        <f>IFERROR(INDEX('中信三级行业指数热度'!$G$2:$G$262,MATCH(LARGE($AG$2:$AG$262,6),$AG$2:$AG$262,0)),"")</f>
        <v/>
      </c>
      <c r="G33" s="10">
        <f>IFERROR(INDEX('中信三级行业指数热度'!$D$2:$D$262,MATCH(LARGE($AG$2:$AG$262,6),$AG$2:$AG$262,0)),"")</f>
        <v/>
      </c>
      <c r="AG33">
        <f>IFERROR('中信三级行业指数热度'!G33+ROW()*0.0000000001,-9999)</f>
        <v/>
      </c>
    </row>
    <row r="34">
      <c r="B34" t="n">
        <v>7</v>
      </c>
      <c r="C34">
        <f>IFERROR(INDEX('中信三级行业指数热度'!$B$2:$B$262,MATCH(LARGE($AG$2:$AG$262,7),$AG$2:$AG$262,0)),"")</f>
        <v/>
      </c>
      <c r="D34" s="10">
        <f>IFERROR(INDEX('中信三级行业指数热度'!$E$2:$E$262,MATCH(LARGE($AG$2:$AG$262,7),$AG$2:$AG$262,0)),"")</f>
        <v/>
      </c>
      <c r="E34" s="10">
        <f>IFERROR(INDEX('中信三级行业指数热度'!$F$2:$F$262,MATCH(LARGE($AG$2:$AG$262,7),$AG$2:$AG$262,0)),"")</f>
        <v/>
      </c>
      <c r="F34" s="11">
        <f>IFERROR(INDEX('中信三级行业指数热度'!$G$2:$G$262,MATCH(LARGE($AG$2:$AG$262,7),$AG$2:$AG$262,0)),"")</f>
        <v/>
      </c>
      <c r="G34" s="10">
        <f>IFERROR(INDEX('中信三级行业指数热度'!$D$2:$D$262,MATCH(LARGE($AG$2:$AG$262,7),$AG$2:$AG$262,0)),"")</f>
        <v/>
      </c>
      <c r="AG34">
        <f>IFERROR('中信三级行业指数热度'!G34+ROW()*0.0000000001,-9999)</f>
        <v/>
      </c>
    </row>
    <row r="35">
      <c r="B35" t="n">
        <v>8</v>
      </c>
      <c r="C35">
        <f>IFERROR(INDEX('中信三级行业指数热度'!$B$2:$B$262,MATCH(LARGE($AG$2:$AG$262,8),$AG$2:$AG$262,0)),"")</f>
        <v/>
      </c>
      <c r="D35" s="10">
        <f>IFERROR(INDEX('中信三级行业指数热度'!$E$2:$E$262,MATCH(LARGE($AG$2:$AG$262,8),$AG$2:$AG$262,0)),"")</f>
        <v/>
      </c>
      <c r="E35" s="10">
        <f>IFERROR(INDEX('中信三级行业指数热度'!$F$2:$F$262,MATCH(LARGE($AG$2:$AG$262,8),$AG$2:$AG$262,0)),"")</f>
        <v/>
      </c>
      <c r="F35" s="11">
        <f>IFERROR(INDEX('中信三级行业指数热度'!$G$2:$G$262,MATCH(LARGE($AG$2:$AG$262,8),$AG$2:$AG$262,0)),"")</f>
        <v/>
      </c>
      <c r="G35" s="10">
        <f>IFERROR(INDEX('中信三级行业指数热度'!$D$2:$D$262,MATCH(LARGE($AG$2:$AG$262,8),$AG$2:$AG$262,0)),"")</f>
        <v/>
      </c>
      <c r="AG35">
        <f>IFERROR('中信三级行业指数热度'!G35+ROW()*0.0000000001,-9999)</f>
        <v/>
      </c>
    </row>
    <row r="36">
      <c r="B36" t="n">
        <v>9</v>
      </c>
      <c r="C36">
        <f>IFERROR(INDEX('中信三级行业指数热度'!$B$2:$B$262,MATCH(LARGE($AG$2:$AG$262,9),$AG$2:$AG$262,0)),"")</f>
        <v/>
      </c>
      <c r="D36" s="10">
        <f>IFERROR(INDEX('中信三级行业指数热度'!$E$2:$E$262,MATCH(LARGE($AG$2:$AG$262,9),$AG$2:$AG$262,0)),"")</f>
        <v/>
      </c>
      <c r="E36" s="10">
        <f>IFERROR(INDEX('中信三级行业指数热度'!$F$2:$F$262,MATCH(LARGE($AG$2:$AG$262,9),$AG$2:$AG$262,0)),"")</f>
        <v/>
      </c>
      <c r="F36" s="11">
        <f>IFERROR(INDEX('中信三级行业指数热度'!$G$2:$G$262,MATCH(LARGE($AG$2:$AG$262,9),$AG$2:$AG$262,0)),"")</f>
        <v/>
      </c>
      <c r="G36" s="10">
        <f>IFERROR(INDEX('中信三级行业指数热度'!$D$2:$D$262,MATCH(LARGE($AG$2:$AG$262,9),$AG$2:$AG$262,0)),"")</f>
        <v/>
      </c>
      <c r="AG36">
        <f>IFERROR('中信三级行业指数热度'!G36+ROW()*0.0000000001,-9999)</f>
        <v/>
      </c>
    </row>
    <row r="37">
      <c r="B37" t="n">
        <v>10</v>
      </c>
      <c r="C37">
        <f>IFERROR(INDEX('中信三级行业指数热度'!$B$2:$B$262,MATCH(LARGE($AG$2:$AG$262,10),$AG$2:$AG$262,0)),"")</f>
        <v/>
      </c>
      <c r="D37" s="10">
        <f>IFERROR(INDEX('中信三级行业指数热度'!$E$2:$E$262,MATCH(LARGE($AG$2:$AG$262,10),$AG$2:$AG$262,0)),"")</f>
        <v/>
      </c>
      <c r="E37" s="10">
        <f>IFERROR(INDEX('中信三级行业指数热度'!$F$2:$F$262,MATCH(LARGE($AG$2:$AG$262,10),$AG$2:$AG$262,0)),"")</f>
        <v/>
      </c>
      <c r="F37" s="11">
        <f>IFERROR(INDEX('中信三级行业指数热度'!$G$2:$G$262,MATCH(LARGE($AG$2:$AG$262,10),$AG$2:$AG$262,0)),"")</f>
        <v/>
      </c>
      <c r="G37" s="10">
        <f>IFERROR(INDEX('中信三级行业指数热度'!$D$2:$D$262,MATCH(LARGE($AG$2:$AG$262,10),$AG$2:$AG$262,0)),"")</f>
        <v/>
      </c>
      <c r="AG37">
        <f>IFERROR('中信三级行业指数热度'!G37+ROW()*0.0000000001,-9999)</f>
        <v/>
      </c>
    </row>
    <row r="38">
      <c r="B38" t="n">
        <v>11</v>
      </c>
      <c r="C38">
        <f>IFERROR(INDEX('中信三级行业指数热度'!$B$2:$B$262,MATCH(LARGE($AG$2:$AG$262,11),$AG$2:$AG$262,0)),"")</f>
        <v/>
      </c>
      <c r="D38" s="10">
        <f>IFERROR(INDEX('中信三级行业指数热度'!$E$2:$E$262,MATCH(LARGE($AG$2:$AG$262,11),$AG$2:$AG$262,0)),"")</f>
        <v/>
      </c>
      <c r="E38" s="10">
        <f>IFERROR(INDEX('中信三级行业指数热度'!$F$2:$F$262,MATCH(LARGE($AG$2:$AG$262,11),$AG$2:$AG$262,0)),"")</f>
        <v/>
      </c>
      <c r="F38" s="11">
        <f>IFERROR(INDEX('中信三级行业指数热度'!$G$2:$G$262,MATCH(LARGE($AG$2:$AG$262,11),$AG$2:$AG$262,0)),"")</f>
        <v/>
      </c>
      <c r="G38" s="10">
        <f>IFERROR(INDEX('中信三级行业指数热度'!$D$2:$D$262,MATCH(LARGE($AG$2:$AG$262,11),$AG$2:$AG$262,0)),"")</f>
        <v/>
      </c>
      <c r="AG38">
        <f>IFERROR('中信三级行业指数热度'!G38+ROW()*0.0000000001,-9999)</f>
        <v/>
      </c>
    </row>
    <row r="39">
      <c r="B39" t="n">
        <v>12</v>
      </c>
      <c r="C39">
        <f>IFERROR(INDEX('中信三级行业指数热度'!$B$2:$B$262,MATCH(LARGE($AG$2:$AG$262,12),$AG$2:$AG$262,0)),"")</f>
        <v/>
      </c>
      <c r="D39" s="10">
        <f>IFERROR(INDEX('中信三级行业指数热度'!$E$2:$E$262,MATCH(LARGE($AG$2:$AG$262,12),$AG$2:$AG$262,0)),"")</f>
        <v/>
      </c>
      <c r="E39" s="10">
        <f>IFERROR(INDEX('中信三级行业指数热度'!$F$2:$F$262,MATCH(LARGE($AG$2:$AG$262,12),$AG$2:$AG$262,0)),"")</f>
        <v/>
      </c>
      <c r="F39" s="11">
        <f>IFERROR(INDEX('中信三级行业指数热度'!$G$2:$G$262,MATCH(LARGE($AG$2:$AG$262,12),$AG$2:$AG$262,0)),"")</f>
        <v/>
      </c>
      <c r="G39" s="10">
        <f>IFERROR(INDEX('中信三级行业指数热度'!$D$2:$D$262,MATCH(LARGE($AG$2:$AG$262,12),$AG$2:$AG$262,0)),"")</f>
        <v/>
      </c>
      <c r="AG39">
        <f>IFERROR('中信三级行业指数热度'!G39+ROW()*0.0000000001,-9999)</f>
        <v/>
      </c>
    </row>
    <row r="40">
      <c r="B40" t="n">
        <v>13</v>
      </c>
      <c r="C40">
        <f>IFERROR(INDEX('中信三级行业指数热度'!$B$2:$B$262,MATCH(LARGE($AG$2:$AG$262,13),$AG$2:$AG$262,0)),"")</f>
        <v/>
      </c>
      <c r="D40" s="10">
        <f>IFERROR(INDEX('中信三级行业指数热度'!$E$2:$E$262,MATCH(LARGE($AG$2:$AG$262,13),$AG$2:$AG$262,0)),"")</f>
        <v/>
      </c>
      <c r="E40" s="10">
        <f>IFERROR(INDEX('中信三级行业指数热度'!$F$2:$F$262,MATCH(LARGE($AG$2:$AG$262,13),$AG$2:$AG$262,0)),"")</f>
        <v/>
      </c>
      <c r="F40" s="11">
        <f>IFERROR(INDEX('中信三级行业指数热度'!$G$2:$G$262,MATCH(LARGE($AG$2:$AG$262,13),$AG$2:$AG$262,0)),"")</f>
        <v/>
      </c>
      <c r="G40" s="10">
        <f>IFERROR(INDEX('中信三级行业指数热度'!$D$2:$D$262,MATCH(LARGE($AG$2:$AG$262,13),$AG$2:$AG$262,0)),"")</f>
        <v/>
      </c>
      <c r="AG40">
        <f>IFERROR('中信三级行业指数热度'!G40+ROW()*0.0000000001,-9999)</f>
        <v/>
      </c>
    </row>
    <row r="41">
      <c r="B41" t="n">
        <v>14</v>
      </c>
      <c r="C41">
        <f>IFERROR(INDEX('中信三级行业指数热度'!$B$2:$B$262,MATCH(LARGE($AG$2:$AG$262,14),$AG$2:$AG$262,0)),"")</f>
        <v/>
      </c>
      <c r="D41" s="10">
        <f>IFERROR(INDEX('中信三级行业指数热度'!$E$2:$E$262,MATCH(LARGE($AG$2:$AG$262,14),$AG$2:$AG$262,0)),"")</f>
        <v/>
      </c>
      <c r="E41" s="10">
        <f>IFERROR(INDEX('中信三级行业指数热度'!$F$2:$F$262,MATCH(LARGE($AG$2:$AG$262,14),$AG$2:$AG$262,0)),"")</f>
        <v/>
      </c>
      <c r="F41" s="11">
        <f>IFERROR(INDEX('中信三级行业指数热度'!$G$2:$G$262,MATCH(LARGE($AG$2:$AG$262,14),$AG$2:$AG$262,0)),"")</f>
        <v/>
      </c>
      <c r="G41" s="10">
        <f>IFERROR(INDEX('中信三级行业指数热度'!$D$2:$D$262,MATCH(LARGE($AG$2:$AG$262,14),$AG$2:$AG$262,0)),"")</f>
        <v/>
      </c>
      <c r="AG41">
        <f>IFERROR('中信三级行业指数热度'!G41+ROW()*0.0000000001,-9999)</f>
        <v/>
      </c>
    </row>
    <row r="42">
      <c r="B42" t="n">
        <v>15</v>
      </c>
      <c r="C42">
        <f>IFERROR(INDEX('中信三级行业指数热度'!$B$2:$B$262,MATCH(LARGE($AG$2:$AG$262,15),$AG$2:$AG$262,0)),"")</f>
        <v/>
      </c>
      <c r="D42" s="10">
        <f>IFERROR(INDEX('中信三级行业指数热度'!$E$2:$E$262,MATCH(LARGE($AG$2:$AG$262,15),$AG$2:$AG$262,0)),"")</f>
        <v/>
      </c>
      <c r="E42" s="10">
        <f>IFERROR(INDEX('中信三级行业指数热度'!$F$2:$F$262,MATCH(LARGE($AG$2:$AG$262,15),$AG$2:$AG$262,0)),"")</f>
        <v/>
      </c>
      <c r="F42" s="11">
        <f>IFERROR(INDEX('中信三级行业指数热度'!$G$2:$G$262,MATCH(LARGE($AG$2:$AG$262,15),$AG$2:$AG$262,0)),"")</f>
        <v/>
      </c>
      <c r="G42" s="10">
        <f>IFERROR(INDEX('中信三级行业指数热度'!$D$2:$D$262,MATCH(LARGE($AG$2:$AG$262,15),$AG$2:$AG$262,0)),"")</f>
        <v/>
      </c>
      <c r="AG42">
        <f>IFERROR('中信三级行业指数热度'!G42+ROW()*0.0000000001,-9999)</f>
        <v/>
      </c>
    </row>
    <row r="43">
      <c r="B43" t="n">
        <v>16</v>
      </c>
      <c r="C43">
        <f>IFERROR(INDEX('中信三级行业指数热度'!$B$2:$B$262,MATCH(LARGE($AG$2:$AG$262,16),$AG$2:$AG$262,0)),"")</f>
        <v/>
      </c>
      <c r="D43" s="10">
        <f>IFERROR(INDEX('中信三级行业指数热度'!$E$2:$E$262,MATCH(LARGE($AG$2:$AG$262,16),$AG$2:$AG$262,0)),"")</f>
        <v/>
      </c>
      <c r="E43" s="10">
        <f>IFERROR(INDEX('中信三级行业指数热度'!$F$2:$F$262,MATCH(LARGE($AG$2:$AG$262,16),$AG$2:$AG$262,0)),"")</f>
        <v/>
      </c>
      <c r="F43" s="11">
        <f>IFERROR(INDEX('中信三级行业指数热度'!$G$2:$G$262,MATCH(LARGE($AG$2:$AG$262,16),$AG$2:$AG$262,0)),"")</f>
        <v/>
      </c>
      <c r="G43" s="10">
        <f>IFERROR(INDEX('中信三级行业指数热度'!$D$2:$D$262,MATCH(LARGE($AG$2:$AG$262,16),$AG$2:$AG$262,0)),"")</f>
        <v/>
      </c>
      <c r="AG43">
        <f>IFERROR('中信三级行业指数热度'!G43+ROW()*0.0000000001,-9999)</f>
        <v/>
      </c>
    </row>
    <row r="44">
      <c r="B44" t="n">
        <v>17</v>
      </c>
      <c r="C44">
        <f>IFERROR(INDEX('中信三级行业指数热度'!$B$2:$B$262,MATCH(LARGE($AG$2:$AG$262,17),$AG$2:$AG$262,0)),"")</f>
        <v/>
      </c>
      <c r="D44" s="10">
        <f>IFERROR(INDEX('中信三级行业指数热度'!$E$2:$E$262,MATCH(LARGE($AG$2:$AG$262,17),$AG$2:$AG$262,0)),"")</f>
        <v/>
      </c>
      <c r="E44" s="10">
        <f>IFERROR(INDEX('中信三级行业指数热度'!$F$2:$F$262,MATCH(LARGE($AG$2:$AG$262,17),$AG$2:$AG$262,0)),"")</f>
        <v/>
      </c>
      <c r="F44" s="11">
        <f>IFERROR(INDEX('中信三级行业指数热度'!$G$2:$G$262,MATCH(LARGE($AG$2:$AG$262,17),$AG$2:$AG$262,0)),"")</f>
        <v/>
      </c>
      <c r="G44" s="10">
        <f>IFERROR(INDEX('中信三级行业指数热度'!$D$2:$D$262,MATCH(LARGE($AG$2:$AG$262,17),$AG$2:$AG$262,0)),"")</f>
        <v/>
      </c>
      <c r="AG44">
        <f>IFERROR('中信三级行业指数热度'!G44+ROW()*0.0000000001,-9999)</f>
        <v/>
      </c>
    </row>
    <row r="45">
      <c r="B45" t="n">
        <v>18</v>
      </c>
      <c r="C45">
        <f>IFERROR(INDEX('中信三级行业指数热度'!$B$2:$B$262,MATCH(LARGE($AG$2:$AG$262,18),$AG$2:$AG$262,0)),"")</f>
        <v/>
      </c>
      <c r="D45" s="10">
        <f>IFERROR(INDEX('中信三级行业指数热度'!$E$2:$E$262,MATCH(LARGE($AG$2:$AG$262,18),$AG$2:$AG$262,0)),"")</f>
        <v/>
      </c>
      <c r="E45" s="10">
        <f>IFERROR(INDEX('中信三级行业指数热度'!$F$2:$F$262,MATCH(LARGE($AG$2:$AG$262,18),$AG$2:$AG$262,0)),"")</f>
        <v/>
      </c>
      <c r="F45" s="11">
        <f>IFERROR(INDEX('中信三级行业指数热度'!$G$2:$G$262,MATCH(LARGE($AG$2:$AG$262,18),$AG$2:$AG$262,0)),"")</f>
        <v/>
      </c>
      <c r="G45" s="10">
        <f>IFERROR(INDEX('中信三级行业指数热度'!$D$2:$D$262,MATCH(LARGE($AG$2:$AG$262,18),$AG$2:$AG$262,0)),"")</f>
        <v/>
      </c>
      <c r="AG45">
        <f>IFERROR('中信三级行业指数热度'!G45+ROW()*0.0000000001,-9999)</f>
        <v/>
      </c>
    </row>
    <row r="46">
      <c r="B46" t="n">
        <v>19</v>
      </c>
      <c r="C46">
        <f>IFERROR(INDEX('中信三级行业指数热度'!$B$2:$B$262,MATCH(LARGE($AG$2:$AG$262,19),$AG$2:$AG$262,0)),"")</f>
        <v/>
      </c>
      <c r="D46" s="10">
        <f>IFERROR(INDEX('中信三级行业指数热度'!$E$2:$E$262,MATCH(LARGE($AG$2:$AG$262,19),$AG$2:$AG$262,0)),"")</f>
        <v/>
      </c>
      <c r="E46" s="10">
        <f>IFERROR(INDEX('中信三级行业指数热度'!$F$2:$F$262,MATCH(LARGE($AG$2:$AG$262,19),$AG$2:$AG$262,0)),"")</f>
        <v/>
      </c>
      <c r="F46" s="11">
        <f>IFERROR(INDEX('中信三级行业指数热度'!$G$2:$G$262,MATCH(LARGE($AG$2:$AG$262,19),$AG$2:$AG$262,0)),"")</f>
        <v/>
      </c>
      <c r="G46" s="10">
        <f>IFERROR(INDEX('中信三级行业指数热度'!$D$2:$D$262,MATCH(LARGE($AG$2:$AG$262,19),$AG$2:$AG$262,0)),"")</f>
        <v/>
      </c>
      <c r="AG46">
        <f>IFERROR('中信三级行业指数热度'!G46+ROW()*0.0000000001,-9999)</f>
        <v/>
      </c>
    </row>
    <row r="47">
      <c r="B47" t="n">
        <v>20</v>
      </c>
      <c r="C47">
        <f>IFERROR(INDEX('中信三级行业指数热度'!$B$2:$B$262,MATCH(LARGE($AG$2:$AG$262,20),$AG$2:$AG$262,0)),"")</f>
        <v/>
      </c>
      <c r="D47" s="10">
        <f>IFERROR(INDEX('中信三级行业指数热度'!$E$2:$E$262,MATCH(LARGE($AG$2:$AG$262,20),$AG$2:$AG$262,0)),"")</f>
        <v/>
      </c>
      <c r="E47" s="10">
        <f>IFERROR(INDEX('中信三级行业指数热度'!$F$2:$F$262,MATCH(LARGE($AG$2:$AG$262,20),$AG$2:$AG$262,0)),"")</f>
        <v/>
      </c>
      <c r="F47" s="11">
        <f>IFERROR(INDEX('中信三级行业指数热度'!$G$2:$G$262,MATCH(LARGE($AG$2:$AG$262,20),$AG$2:$AG$262,0)),"")</f>
        <v/>
      </c>
      <c r="G47" s="10">
        <f>IFERROR(INDEX('中信三级行业指数热度'!$D$2:$D$262,MATCH(LARGE($AG$2:$AG$262,20),$AG$2:$AG$262,0)),"")</f>
        <v/>
      </c>
      <c r="AG47">
        <f>IFERROR('中信三级行业指数热度'!G47+ROW()*0.0000000001,-9999)</f>
        <v/>
      </c>
    </row>
    <row r="48">
      <c r="AG48">
        <f>IFERROR('中信三级行业指数热度'!G48+ROW()*0.0000000001,-9999)</f>
        <v/>
      </c>
    </row>
    <row r="49">
      <c r="AG49">
        <f>IFERROR('中信三级行业指数热度'!G49+ROW()*0.0000000001,-9999)</f>
        <v/>
      </c>
    </row>
    <row r="50">
      <c r="AG50">
        <f>IFERROR('中信三级行业指数热度'!G50+ROW()*0.0000000001,-9999)</f>
        <v/>
      </c>
    </row>
    <row r="51">
      <c r="AG51">
        <f>IFERROR('中信三级行业指数热度'!G51+ROW()*0.0000000001,-9999)</f>
        <v/>
      </c>
    </row>
    <row r="52">
      <c r="AG52">
        <f>IFERROR('中信三级行业指数热度'!G52+ROW()*0.0000000001,-9999)</f>
        <v/>
      </c>
    </row>
    <row r="53">
      <c r="AG53">
        <f>IFERROR('中信三级行业指数热度'!G53+ROW()*0.0000000001,-9999)</f>
        <v/>
      </c>
    </row>
    <row r="54">
      <c r="AG54">
        <f>IFERROR('中信三级行业指数热度'!G54+ROW()*0.0000000001,-9999)</f>
        <v/>
      </c>
    </row>
    <row r="55">
      <c r="AG55">
        <f>IFERROR('中信三级行业指数热度'!G55+ROW()*0.0000000001,-9999)</f>
        <v/>
      </c>
    </row>
    <row r="56">
      <c r="AG56">
        <f>IFERROR('中信三级行业指数热度'!G56+ROW()*0.0000000001,-9999)</f>
        <v/>
      </c>
    </row>
    <row r="57">
      <c r="AG57">
        <f>IFERROR('中信三级行业指数热度'!G57+ROW()*0.0000000001,-9999)</f>
        <v/>
      </c>
    </row>
    <row r="58">
      <c r="AG58">
        <f>IFERROR('中信三级行业指数热度'!G58+ROW()*0.0000000001,-9999)</f>
        <v/>
      </c>
    </row>
    <row r="59">
      <c r="AG59">
        <f>IFERROR('中信三级行业指数热度'!G59+ROW()*0.0000000001,-9999)</f>
        <v/>
      </c>
    </row>
    <row r="60">
      <c r="AG60">
        <f>IFERROR('中信三级行业指数热度'!G60+ROW()*0.0000000001,-9999)</f>
        <v/>
      </c>
    </row>
    <row r="61">
      <c r="AG61">
        <f>IFERROR('中信三级行业指数热度'!G61+ROW()*0.0000000001,-9999)</f>
        <v/>
      </c>
    </row>
    <row r="62">
      <c r="AG62">
        <f>IFERROR('中信三级行业指数热度'!G62+ROW()*0.0000000001,-9999)</f>
        <v/>
      </c>
    </row>
    <row r="63">
      <c r="AG63">
        <f>IFERROR('中信三级行业指数热度'!G63+ROW()*0.0000000001,-9999)</f>
        <v/>
      </c>
    </row>
    <row r="64">
      <c r="AG64">
        <f>IFERROR('中信三级行业指数热度'!G64+ROW()*0.0000000001,-9999)</f>
        <v/>
      </c>
    </row>
    <row r="65">
      <c r="AG65">
        <f>IFERROR('中信三级行业指数热度'!G65+ROW()*0.0000000001,-9999)</f>
        <v/>
      </c>
    </row>
    <row r="66">
      <c r="AG66">
        <f>IFERROR('中信三级行业指数热度'!G66+ROW()*0.0000000001,-9999)</f>
        <v/>
      </c>
    </row>
    <row r="67">
      <c r="AG67">
        <f>IFERROR('中信三级行业指数热度'!G67+ROW()*0.0000000001,-9999)</f>
        <v/>
      </c>
    </row>
    <row r="68">
      <c r="AG68">
        <f>IFERROR('中信三级行业指数热度'!G68+ROW()*0.0000000001,-9999)</f>
        <v/>
      </c>
    </row>
    <row r="69">
      <c r="AG69">
        <f>IFERROR('中信三级行业指数热度'!G69+ROW()*0.0000000001,-9999)</f>
        <v/>
      </c>
    </row>
    <row r="70">
      <c r="AG70">
        <f>IFERROR('中信三级行业指数热度'!G70+ROW()*0.0000000001,-9999)</f>
        <v/>
      </c>
    </row>
    <row r="71">
      <c r="AG71">
        <f>IFERROR('中信三级行业指数热度'!G71+ROW()*0.0000000001,-9999)</f>
        <v/>
      </c>
    </row>
    <row r="72">
      <c r="AG72">
        <f>IFERROR('中信三级行业指数热度'!G72+ROW()*0.0000000001,-9999)</f>
        <v/>
      </c>
    </row>
    <row r="73">
      <c r="AG73">
        <f>IFERROR('中信三级行业指数热度'!G73+ROW()*0.0000000001,-9999)</f>
        <v/>
      </c>
    </row>
    <row r="74">
      <c r="AG74">
        <f>IFERROR('中信三级行业指数热度'!G74+ROW()*0.0000000001,-9999)</f>
        <v/>
      </c>
    </row>
    <row r="75">
      <c r="AG75">
        <f>IFERROR('中信三级行业指数热度'!G75+ROW()*0.0000000001,-9999)</f>
        <v/>
      </c>
    </row>
    <row r="76">
      <c r="AG76">
        <f>IFERROR('中信三级行业指数热度'!G76+ROW()*0.0000000001,-9999)</f>
        <v/>
      </c>
    </row>
    <row r="77">
      <c r="AG77">
        <f>IFERROR('中信三级行业指数热度'!G77+ROW()*0.0000000001,-9999)</f>
        <v/>
      </c>
    </row>
    <row r="78">
      <c r="AG78">
        <f>IFERROR('中信三级行业指数热度'!G78+ROW()*0.0000000001,-9999)</f>
        <v/>
      </c>
    </row>
    <row r="79">
      <c r="AG79">
        <f>IFERROR('中信三级行业指数热度'!G79+ROW()*0.0000000001,-9999)</f>
        <v/>
      </c>
    </row>
    <row r="80">
      <c r="AG80">
        <f>IFERROR('中信三级行业指数热度'!G80+ROW()*0.0000000001,-9999)</f>
        <v/>
      </c>
    </row>
    <row r="81">
      <c r="AG81">
        <f>IFERROR('中信三级行业指数热度'!G81+ROW()*0.0000000001,-9999)</f>
        <v/>
      </c>
    </row>
    <row r="82">
      <c r="AG82">
        <f>IFERROR('中信三级行业指数热度'!G82+ROW()*0.0000000001,-9999)</f>
        <v/>
      </c>
    </row>
    <row r="83">
      <c r="AG83">
        <f>IFERROR('中信三级行业指数热度'!G83+ROW()*0.0000000001,-9999)</f>
        <v/>
      </c>
    </row>
    <row r="84">
      <c r="AG84">
        <f>IFERROR('中信三级行业指数热度'!G84+ROW()*0.0000000001,-9999)</f>
        <v/>
      </c>
    </row>
    <row r="85">
      <c r="AG85">
        <f>IFERROR('中信三级行业指数热度'!G85+ROW()*0.0000000001,-9999)</f>
        <v/>
      </c>
    </row>
    <row r="86">
      <c r="AG86">
        <f>IFERROR('中信三级行业指数热度'!G86+ROW()*0.0000000001,-9999)</f>
        <v/>
      </c>
    </row>
    <row r="87">
      <c r="AG87">
        <f>IFERROR('中信三级行业指数热度'!G87+ROW()*0.0000000001,-9999)</f>
        <v/>
      </c>
    </row>
    <row r="88">
      <c r="AG88">
        <f>IFERROR('中信三级行业指数热度'!G88+ROW()*0.0000000001,-9999)</f>
        <v/>
      </c>
    </row>
    <row r="89">
      <c r="AG89">
        <f>IFERROR('中信三级行业指数热度'!G89+ROW()*0.0000000001,-9999)</f>
        <v/>
      </c>
    </row>
    <row r="90">
      <c r="AG90">
        <f>IFERROR('中信三级行业指数热度'!G90+ROW()*0.0000000001,-9999)</f>
        <v/>
      </c>
    </row>
    <row r="91">
      <c r="AG91">
        <f>IFERROR('中信三级行业指数热度'!G91+ROW()*0.0000000001,-9999)</f>
        <v/>
      </c>
    </row>
    <row r="92">
      <c r="AG92">
        <f>IFERROR('中信三级行业指数热度'!G92+ROW()*0.0000000001,-9999)</f>
        <v/>
      </c>
    </row>
    <row r="93">
      <c r="AG93">
        <f>IFERROR('中信三级行业指数热度'!G93+ROW()*0.0000000001,-9999)</f>
        <v/>
      </c>
    </row>
    <row r="94">
      <c r="AG94">
        <f>IFERROR('中信三级行业指数热度'!G94+ROW()*0.0000000001,-9999)</f>
        <v/>
      </c>
    </row>
    <row r="95">
      <c r="AG95">
        <f>IFERROR('中信三级行业指数热度'!G95+ROW()*0.0000000001,-9999)</f>
        <v/>
      </c>
    </row>
    <row r="96">
      <c r="AG96">
        <f>IFERROR('中信三级行业指数热度'!G96+ROW()*0.0000000001,-9999)</f>
        <v/>
      </c>
    </row>
    <row r="97">
      <c r="AG97">
        <f>IFERROR('中信三级行业指数热度'!G97+ROW()*0.0000000001,-9999)</f>
        <v/>
      </c>
    </row>
    <row r="98">
      <c r="AG98">
        <f>IFERROR('中信三级行业指数热度'!G98+ROW()*0.0000000001,-9999)</f>
        <v/>
      </c>
    </row>
    <row r="99">
      <c r="AG99">
        <f>IFERROR('中信三级行业指数热度'!G99+ROW()*0.0000000001,-9999)</f>
        <v/>
      </c>
    </row>
    <row r="100">
      <c r="AG100">
        <f>IFERROR('中信三级行业指数热度'!G100+ROW()*0.0000000001,-9999)</f>
        <v/>
      </c>
    </row>
    <row r="101">
      <c r="AG101">
        <f>IFERROR('中信三级行业指数热度'!G101+ROW()*0.0000000001,-9999)</f>
        <v/>
      </c>
    </row>
    <row r="102">
      <c r="AG102">
        <f>IFERROR('中信三级行业指数热度'!G102+ROW()*0.0000000001,-9999)</f>
        <v/>
      </c>
    </row>
    <row r="103">
      <c r="AG103">
        <f>IFERROR('中信三级行业指数热度'!G103+ROW()*0.0000000001,-9999)</f>
        <v/>
      </c>
    </row>
    <row r="104">
      <c r="AG104">
        <f>IFERROR('中信三级行业指数热度'!G104+ROW()*0.0000000001,-9999)</f>
        <v/>
      </c>
    </row>
    <row r="105">
      <c r="AG105">
        <f>IFERROR('中信三级行业指数热度'!G105+ROW()*0.0000000001,-9999)</f>
        <v/>
      </c>
    </row>
    <row r="106">
      <c r="AG106">
        <f>IFERROR('中信三级行业指数热度'!G106+ROW()*0.0000000001,-9999)</f>
        <v/>
      </c>
    </row>
    <row r="107">
      <c r="AG107">
        <f>IFERROR('中信三级行业指数热度'!G107+ROW()*0.0000000001,-9999)</f>
        <v/>
      </c>
    </row>
    <row r="108">
      <c r="AG108">
        <f>IFERROR('中信三级行业指数热度'!G108+ROW()*0.0000000001,-9999)</f>
        <v/>
      </c>
    </row>
    <row r="109">
      <c r="AG109">
        <f>IFERROR('中信三级行业指数热度'!G109+ROW()*0.0000000001,-9999)</f>
        <v/>
      </c>
    </row>
    <row r="110">
      <c r="AG110">
        <f>IFERROR('中信三级行业指数热度'!G110+ROW()*0.0000000001,-9999)</f>
        <v/>
      </c>
    </row>
    <row r="111">
      <c r="AG111">
        <f>IFERROR('中信三级行业指数热度'!G111+ROW()*0.0000000001,-9999)</f>
        <v/>
      </c>
    </row>
    <row r="112">
      <c r="AG112">
        <f>IFERROR('中信三级行业指数热度'!G112+ROW()*0.0000000001,-9999)</f>
        <v/>
      </c>
    </row>
    <row r="113">
      <c r="AG113">
        <f>IFERROR('中信三级行业指数热度'!G113+ROW()*0.0000000001,-9999)</f>
        <v/>
      </c>
    </row>
    <row r="114">
      <c r="AG114">
        <f>IFERROR('中信三级行业指数热度'!G114+ROW()*0.0000000001,-9999)</f>
        <v/>
      </c>
    </row>
    <row r="115">
      <c r="AG115">
        <f>IFERROR('中信三级行业指数热度'!G115+ROW()*0.0000000001,-9999)</f>
        <v/>
      </c>
    </row>
    <row r="116">
      <c r="AG116">
        <f>IFERROR('中信三级行业指数热度'!G116+ROW()*0.0000000001,-9999)</f>
        <v/>
      </c>
    </row>
    <row r="117">
      <c r="AG117">
        <f>IFERROR('中信三级行业指数热度'!G117+ROW()*0.0000000001,-9999)</f>
        <v/>
      </c>
    </row>
    <row r="118">
      <c r="AG118">
        <f>IFERROR('中信三级行业指数热度'!G118+ROW()*0.0000000001,-9999)</f>
        <v/>
      </c>
    </row>
    <row r="119">
      <c r="AG119">
        <f>IFERROR('中信三级行业指数热度'!G119+ROW()*0.0000000001,-9999)</f>
        <v/>
      </c>
    </row>
    <row r="120">
      <c r="AG120">
        <f>IFERROR('中信三级行业指数热度'!G120+ROW()*0.0000000001,-9999)</f>
        <v/>
      </c>
    </row>
    <row r="121">
      <c r="AG121">
        <f>IFERROR('中信三级行业指数热度'!G121+ROW()*0.0000000001,-9999)</f>
        <v/>
      </c>
    </row>
    <row r="122">
      <c r="AG122">
        <f>IFERROR('中信三级行业指数热度'!G122+ROW()*0.0000000001,-9999)</f>
        <v/>
      </c>
    </row>
    <row r="123">
      <c r="AG123">
        <f>IFERROR('中信三级行业指数热度'!G123+ROW()*0.0000000001,-9999)</f>
        <v/>
      </c>
    </row>
    <row r="124">
      <c r="AG124">
        <f>IFERROR('中信三级行业指数热度'!G124+ROW()*0.0000000001,-9999)</f>
        <v/>
      </c>
    </row>
    <row r="125">
      <c r="AG125">
        <f>IFERROR('中信三级行业指数热度'!G125+ROW()*0.0000000001,-9999)</f>
        <v/>
      </c>
    </row>
    <row r="126">
      <c r="AG126">
        <f>IFERROR('中信三级行业指数热度'!G126+ROW()*0.0000000001,-9999)</f>
        <v/>
      </c>
    </row>
    <row r="127">
      <c r="AG127">
        <f>IFERROR('中信三级行业指数热度'!G127+ROW()*0.0000000001,-9999)</f>
        <v/>
      </c>
    </row>
    <row r="128">
      <c r="AG128">
        <f>IFERROR('中信三级行业指数热度'!G128+ROW()*0.0000000001,-9999)</f>
        <v/>
      </c>
    </row>
    <row r="129">
      <c r="AG129">
        <f>IFERROR('中信三级行业指数热度'!G129+ROW()*0.0000000001,-9999)</f>
        <v/>
      </c>
    </row>
    <row r="130">
      <c r="AG130">
        <f>IFERROR('中信三级行业指数热度'!G130+ROW()*0.0000000001,-9999)</f>
        <v/>
      </c>
    </row>
    <row r="131">
      <c r="AG131">
        <f>IFERROR('中信三级行业指数热度'!G131+ROW()*0.0000000001,-9999)</f>
        <v/>
      </c>
    </row>
    <row r="132">
      <c r="AG132">
        <f>IFERROR('中信三级行业指数热度'!G132+ROW()*0.0000000001,-9999)</f>
        <v/>
      </c>
    </row>
    <row r="133">
      <c r="AG133">
        <f>IFERROR('中信三级行业指数热度'!G133+ROW()*0.0000000001,-9999)</f>
        <v/>
      </c>
    </row>
    <row r="134">
      <c r="AG134">
        <f>IFERROR('中信三级行业指数热度'!G134+ROW()*0.0000000001,-9999)</f>
        <v/>
      </c>
    </row>
    <row r="135">
      <c r="AG135">
        <f>IFERROR('中信三级行业指数热度'!G135+ROW()*0.0000000001,-9999)</f>
        <v/>
      </c>
    </row>
    <row r="136">
      <c r="AG136">
        <f>IFERROR('中信三级行业指数热度'!G136+ROW()*0.0000000001,-9999)</f>
        <v/>
      </c>
    </row>
    <row r="137">
      <c r="AG137">
        <f>IFERROR('中信三级行业指数热度'!G137+ROW()*0.0000000001,-9999)</f>
        <v/>
      </c>
    </row>
    <row r="138">
      <c r="AG138">
        <f>IFERROR('中信三级行业指数热度'!G138+ROW()*0.0000000001,-9999)</f>
        <v/>
      </c>
    </row>
    <row r="139">
      <c r="AG139">
        <f>IFERROR('中信三级行业指数热度'!G139+ROW()*0.0000000001,-9999)</f>
        <v/>
      </c>
    </row>
    <row r="140">
      <c r="AG140">
        <f>IFERROR('中信三级行业指数热度'!G140+ROW()*0.0000000001,-9999)</f>
        <v/>
      </c>
    </row>
    <row r="141">
      <c r="AG141">
        <f>IFERROR('中信三级行业指数热度'!G141+ROW()*0.0000000001,-9999)</f>
        <v/>
      </c>
    </row>
    <row r="142">
      <c r="AG142">
        <f>IFERROR('中信三级行业指数热度'!G142+ROW()*0.0000000001,-9999)</f>
        <v/>
      </c>
    </row>
    <row r="143">
      <c r="AG143">
        <f>IFERROR('中信三级行业指数热度'!G143+ROW()*0.0000000001,-9999)</f>
        <v/>
      </c>
    </row>
    <row r="144">
      <c r="AG144">
        <f>IFERROR('中信三级行业指数热度'!G144+ROW()*0.0000000001,-9999)</f>
        <v/>
      </c>
    </row>
    <row r="145">
      <c r="AG145">
        <f>IFERROR('中信三级行业指数热度'!G145+ROW()*0.0000000001,-9999)</f>
        <v/>
      </c>
    </row>
    <row r="146">
      <c r="AG146">
        <f>IFERROR('中信三级行业指数热度'!G146+ROW()*0.0000000001,-9999)</f>
        <v/>
      </c>
    </row>
    <row r="147">
      <c r="AG147">
        <f>IFERROR('中信三级行业指数热度'!G147+ROW()*0.0000000001,-9999)</f>
        <v/>
      </c>
    </row>
    <row r="148">
      <c r="AG148">
        <f>IFERROR('中信三级行业指数热度'!G148+ROW()*0.0000000001,-9999)</f>
        <v/>
      </c>
    </row>
    <row r="149">
      <c r="AG149">
        <f>IFERROR('中信三级行业指数热度'!G149+ROW()*0.0000000001,-9999)</f>
        <v/>
      </c>
    </row>
    <row r="150">
      <c r="AG150">
        <f>IFERROR('中信三级行业指数热度'!G150+ROW()*0.0000000001,-9999)</f>
        <v/>
      </c>
    </row>
    <row r="151">
      <c r="AG151">
        <f>IFERROR('中信三级行业指数热度'!G151+ROW()*0.0000000001,-9999)</f>
        <v/>
      </c>
    </row>
    <row r="152">
      <c r="AG152">
        <f>IFERROR('中信三级行业指数热度'!G152+ROW()*0.0000000001,-9999)</f>
        <v/>
      </c>
    </row>
    <row r="153">
      <c r="AG153">
        <f>IFERROR('中信三级行业指数热度'!G153+ROW()*0.0000000001,-9999)</f>
        <v/>
      </c>
    </row>
    <row r="154">
      <c r="AG154">
        <f>IFERROR('中信三级行业指数热度'!G154+ROW()*0.0000000001,-9999)</f>
        <v/>
      </c>
    </row>
    <row r="155">
      <c r="AG155">
        <f>IFERROR('中信三级行业指数热度'!G155+ROW()*0.0000000001,-9999)</f>
        <v/>
      </c>
    </row>
    <row r="156">
      <c r="AG156">
        <f>IFERROR('中信三级行业指数热度'!G156+ROW()*0.0000000001,-9999)</f>
        <v/>
      </c>
    </row>
    <row r="157">
      <c r="AG157">
        <f>IFERROR('中信三级行业指数热度'!G157+ROW()*0.0000000001,-9999)</f>
        <v/>
      </c>
    </row>
    <row r="158">
      <c r="AG158">
        <f>IFERROR('中信三级行业指数热度'!G158+ROW()*0.0000000001,-9999)</f>
        <v/>
      </c>
    </row>
    <row r="159">
      <c r="AG159">
        <f>IFERROR('中信三级行业指数热度'!G159+ROW()*0.0000000001,-9999)</f>
        <v/>
      </c>
    </row>
    <row r="160">
      <c r="AG160">
        <f>IFERROR('中信三级行业指数热度'!G160+ROW()*0.0000000001,-9999)</f>
        <v/>
      </c>
    </row>
    <row r="161">
      <c r="AG161">
        <f>IFERROR('中信三级行业指数热度'!G161+ROW()*0.0000000001,-9999)</f>
        <v/>
      </c>
    </row>
    <row r="162">
      <c r="AG162">
        <f>IFERROR('中信三级行业指数热度'!G162+ROW()*0.0000000001,-9999)</f>
        <v/>
      </c>
    </row>
    <row r="163">
      <c r="AG163">
        <f>IFERROR('中信三级行业指数热度'!G163+ROW()*0.0000000001,-9999)</f>
        <v/>
      </c>
    </row>
    <row r="164">
      <c r="AG164">
        <f>IFERROR('中信三级行业指数热度'!G164+ROW()*0.0000000001,-9999)</f>
        <v/>
      </c>
    </row>
    <row r="165">
      <c r="AG165">
        <f>IFERROR('中信三级行业指数热度'!G165+ROW()*0.0000000001,-9999)</f>
        <v/>
      </c>
    </row>
    <row r="166">
      <c r="AG166">
        <f>IFERROR('中信三级行业指数热度'!G166+ROW()*0.0000000001,-9999)</f>
        <v/>
      </c>
    </row>
    <row r="167">
      <c r="AG167">
        <f>IFERROR('中信三级行业指数热度'!G167+ROW()*0.0000000001,-9999)</f>
        <v/>
      </c>
    </row>
    <row r="168">
      <c r="AG168">
        <f>IFERROR('中信三级行业指数热度'!G168+ROW()*0.0000000001,-9999)</f>
        <v/>
      </c>
    </row>
    <row r="169">
      <c r="AG169">
        <f>IFERROR('中信三级行业指数热度'!G169+ROW()*0.0000000001,-9999)</f>
        <v/>
      </c>
    </row>
    <row r="170">
      <c r="AG170">
        <f>IFERROR('中信三级行业指数热度'!G170+ROW()*0.0000000001,-9999)</f>
        <v/>
      </c>
    </row>
    <row r="171">
      <c r="AG171">
        <f>IFERROR('中信三级行业指数热度'!G171+ROW()*0.0000000001,-9999)</f>
        <v/>
      </c>
    </row>
    <row r="172">
      <c r="AG172">
        <f>IFERROR('中信三级行业指数热度'!G172+ROW()*0.0000000001,-9999)</f>
        <v/>
      </c>
    </row>
    <row r="173">
      <c r="AG173">
        <f>IFERROR('中信三级行业指数热度'!G173+ROW()*0.0000000001,-9999)</f>
        <v/>
      </c>
    </row>
    <row r="174">
      <c r="AG174">
        <f>IFERROR('中信三级行业指数热度'!G174+ROW()*0.0000000001,-9999)</f>
        <v/>
      </c>
    </row>
    <row r="175">
      <c r="AG175">
        <f>IFERROR('中信三级行业指数热度'!G175+ROW()*0.0000000001,-9999)</f>
        <v/>
      </c>
    </row>
    <row r="176">
      <c r="AG176">
        <f>IFERROR('中信三级行业指数热度'!G176+ROW()*0.0000000001,-9999)</f>
        <v/>
      </c>
    </row>
    <row r="177">
      <c r="AG177">
        <f>IFERROR('中信三级行业指数热度'!G177+ROW()*0.0000000001,-9999)</f>
        <v/>
      </c>
    </row>
    <row r="178">
      <c r="AG178">
        <f>IFERROR('中信三级行业指数热度'!G178+ROW()*0.0000000001,-9999)</f>
        <v/>
      </c>
    </row>
    <row r="179">
      <c r="AG179">
        <f>IFERROR('中信三级行业指数热度'!G179+ROW()*0.0000000001,-9999)</f>
        <v/>
      </c>
    </row>
    <row r="180">
      <c r="AG180">
        <f>IFERROR('中信三级行业指数热度'!G180+ROW()*0.0000000001,-9999)</f>
        <v/>
      </c>
    </row>
    <row r="181">
      <c r="AG181">
        <f>IFERROR('中信三级行业指数热度'!G181+ROW()*0.0000000001,-9999)</f>
        <v/>
      </c>
    </row>
    <row r="182">
      <c r="AG182">
        <f>IFERROR('中信三级行业指数热度'!G182+ROW()*0.0000000001,-9999)</f>
        <v/>
      </c>
    </row>
    <row r="183">
      <c r="AG183">
        <f>IFERROR('中信三级行业指数热度'!G183+ROW()*0.0000000001,-9999)</f>
        <v/>
      </c>
    </row>
    <row r="184">
      <c r="AG184">
        <f>IFERROR('中信三级行业指数热度'!G184+ROW()*0.0000000001,-9999)</f>
        <v/>
      </c>
    </row>
    <row r="185">
      <c r="AG185">
        <f>IFERROR('中信三级行业指数热度'!G185+ROW()*0.0000000001,-9999)</f>
        <v/>
      </c>
    </row>
    <row r="186">
      <c r="AG186">
        <f>IFERROR('中信三级行业指数热度'!G186+ROW()*0.0000000001,-9999)</f>
        <v/>
      </c>
    </row>
    <row r="187">
      <c r="AG187">
        <f>IFERROR('中信三级行业指数热度'!G187+ROW()*0.0000000001,-9999)</f>
        <v/>
      </c>
    </row>
    <row r="188">
      <c r="AG188">
        <f>IFERROR('中信三级行业指数热度'!G188+ROW()*0.0000000001,-9999)</f>
        <v/>
      </c>
    </row>
    <row r="189">
      <c r="AG189">
        <f>IFERROR('中信三级行业指数热度'!G189+ROW()*0.0000000001,-9999)</f>
        <v/>
      </c>
    </row>
    <row r="190">
      <c r="AG190">
        <f>IFERROR('中信三级行业指数热度'!G190+ROW()*0.0000000001,-9999)</f>
        <v/>
      </c>
    </row>
    <row r="191">
      <c r="AG191">
        <f>IFERROR('中信三级行业指数热度'!G191+ROW()*0.0000000001,-9999)</f>
        <v/>
      </c>
    </row>
    <row r="192">
      <c r="AG192">
        <f>IFERROR('中信三级行业指数热度'!G192+ROW()*0.0000000001,-9999)</f>
        <v/>
      </c>
    </row>
    <row r="193">
      <c r="AG193">
        <f>IFERROR('中信三级行业指数热度'!G193+ROW()*0.0000000001,-9999)</f>
        <v/>
      </c>
    </row>
    <row r="194">
      <c r="AG194">
        <f>IFERROR('中信三级行业指数热度'!G194+ROW()*0.0000000001,-9999)</f>
        <v/>
      </c>
    </row>
    <row r="195">
      <c r="AG195">
        <f>IFERROR('中信三级行业指数热度'!G195+ROW()*0.0000000001,-9999)</f>
        <v/>
      </c>
    </row>
    <row r="196">
      <c r="AG196">
        <f>IFERROR('中信三级行业指数热度'!G196+ROW()*0.0000000001,-9999)</f>
        <v/>
      </c>
    </row>
    <row r="197">
      <c r="AG197">
        <f>IFERROR('中信三级行业指数热度'!G197+ROW()*0.0000000001,-9999)</f>
        <v/>
      </c>
    </row>
    <row r="198">
      <c r="AG198">
        <f>IFERROR('中信三级行业指数热度'!G198+ROW()*0.0000000001,-9999)</f>
        <v/>
      </c>
    </row>
    <row r="199">
      <c r="AG199">
        <f>IFERROR('中信三级行业指数热度'!G199+ROW()*0.0000000001,-9999)</f>
        <v/>
      </c>
    </row>
    <row r="200">
      <c r="AG200">
        <f>IFERROR('中信三级行业指数热度'!G200+ROW()*0.0000000001,-9999)</f>
        <v/>
      </c>
    </row>
    <row r="201">
      <c r="AG201">
        <f>IFERROR('中信三级行业指数热度'!G201+ROW()*0.0000000001,-9999)</f>
        <v/>
      </c>
    </row>
    <row r="202">
      <c r="AG202">
        <f>IFERROR('中信三级行业指数热度'!G202+ROW()*0.0000000001,-9999)</f>
        <v/>
      </c>
    </row>
    <row r="203">
      <c r="AG203">
        <f>IFERROR('中信三级行业指数热度'!G203+ROW()*0.0000000001,-9999)</f>
        <v/>
      </c>
    </row>
    <row r="204">
      <c r="AG204">
        <f>IFERROR('中信三级行业指数热度'!G204+ROW()*0.0000000001,-9999)</f>
        <v/>
      </c>
    </row>
    <row r="205">
      <c r="AG205">
        <f>IFERROR('中信三级行业指数热度'!G205+ROW()*0.0000000001,-9999)</f>
        <v/>
      </c>
    </row>
    <row r="206">
      <c r="AG206">
        <f>IFERROR('中信三级行业指数热度'!G206+ROW()*0.0000000001,-9999)</f>
        <v/>
      </c>
    </row>
    <row r="207">
      <c r="AG207">
        <f>IFERROR('中信三级行业指数热度'!G207+ROW()*0.0000000001,-9999)</f>
        <v/>
      </c>
    </row>
    <row r="208">
      <c r="AG208">
        <f>IFERROR('中信三级行业指数热度'!G208+ROW()*0.0000000001,-9999)</f>
        <v/>
      </c>
    </row>
    <row r="209">
      <c r="AG209">
        <f>IFERROR('中信三级行业指数热度'!G209+ROW()*0.0000000001,-9999)</f>
        <v/>
      </c>
    </row>
    <row r="210">
      <c r="AG210">
        <f>IFERROR('中信三级行业指数热度'!G210+ROW()*0.0000000001,-9999)</f>
        <v/>
      </c>
    </row>
    <row r="211">
      <c r="AG211">
        <f>IFERROR('中信三级行业指数热度'!G211+ROW()*0.0000000001,-9999)</f>
        <v/>
      </c>
    </row>
    <row r="212">
      <c r="AG212">
        <f>IFERROR('中信三级行业指数热度'!G212+ROW()*0.0000000001,-9999)</f>
        <v/>
      </c>
    </row>
    <row r="213">
      <c r="AG213">
        <f>IFERROR('中信三级行业指数热度'!G213+ROW()*0.0000000001,-9999)</f>
        <v/>
      </c>
    </row>
    <row r="214">
      <c r="AG214">
        <f>IFERROR('中信三级行业指数热度'!G214+ROW()*0.0000000001,-9999)</f>
        <v/>
      </c>
    </row>
    <row r="215">
      <c r="AG215">
        <f>IFERROR('中信三级行业指数热度'!G215+ROW()*0.0000000001,-9999)</f>
        <v/>
      </c>
    </row>
    <row r="216">
      <c r="AG216">
        <f>IFERROR('中信三级行业指数热度'!G216+ROW()*0.0000000001,-9999)</f>
        <v/>
      </c>
    </row>
    <row r="217">
      <c r="AG217">
        <f>IFERROR('中信三级行业指数热度'!G217+ROW()*0.0000000001,-9999)</f>
        <v/>
      </c>
    </row>
    <row r="218">
      <c r="AG218">
        <f>IFERROR('中信三级行业指数热度'!G218+ROW()*0.0000000001,-9999)</f>
        <v/>
      </c>
    </row>
    <row r="219">
      <c r="AG219">
        <f>IFERROR('中信三级行业指数热度'!G219+ROW()*0.0000000001,-9999)</f>
        <v/>
      </c>
    </row>
    <row r="220">
      <c r="AG220">
        <f>IFERROR('中信三级行业指数热度'!G220+ROW()*0.0000000001,-9999)</f>
        <v/>
      </c>
    </row>
    <row r="221">
      <c r="AG221">
        <f>IFERROR('中信三级行业指数热度'!G221+ROW()*0.0000000001,-9999)</f>
        <v/>
      </c>
    </row>
    <row r="222">
      <c r="AG222">
        <f>IFERROR('中信三级行业指数热度'!G222+ROW()*0.0000000001,-9999)</f>
        <v/>
      </c>
    </row>
    <row r="223">
      <c r="AG223">
        <f>IFERROR('中信三级行业指数热度'!G223+ROW()*0.0000000001,-9999)</f>
        <v/>
      </c>
    </row>
    <row r="224">
      <c r="AG224">
        <f>IFERROR('中信三级行业指数热度'!G224+ROW()*0.0000000001,-9999)</f>
        <v/>
      </c>
    </row>
    <row r="225">
      <c r="AG225">
        <f>IFERROR('中信三级行业指数热度'!G225+ROW()*0.0000000001,-9999)</f>
        <v/>
      </c>
    </row>
    <row r="226">
      <c r="AG226">
        <f>IFERROR('中信三级行业指数热度'!G226+ROW()*0.0000000001,-9999)</f>
        <v/>
      </c>
    </row>
    <row r="227">
      <c r="AG227">
        <f>IFERROR('中信三级行业指数热度'!G227+ROW()*0.0000000001,-9999)</f>
        <v/>
      </c>
    </row>
    <row r="228">
      <c r="AG228">
        <f>IFERROR('中信三级行业指数热度'!G228+ROW()*0.0000000001,-9999)</f>
        <v/>
      </c>
    </row>
    <row r="229">
      <c r="AG229">
        <f>IFERROR('中信三级行业指数热度'!G229+ROW()*0.0000000001,-9999)</f>
        <v/>
      </c>
    </row>
    <row r="230">
      <c r="AG230">
        <f>IFERROR('中信三级行业指数热度'!G230+ROW()*0.0000000001,-9999)</f>
        <v/>
      </c>
    </row>
    <row r="231">
      <c r="AG231">
        <f>IFERROR('中信三级行业指数热度'!G231+ROW()*0.0000000001,-9999)</f>
        <v/>
      </c>
    </row>
    <row r="232">
      <c r="AG232">
        <f>IFERROR('中信三级行业指数热度'!G232+ROW()*0.0000000001,-9999)</f>
        <v/>
      </c>
    </row>
    <row r="233">
      <c r="AG233">
        <f>IFERROR('中信三级行业指数热度'!G233+ROW()*0.0000000001,-9999)</f>
        <v/>
      </c>
    </row>
    <row r="234">
      <c r="AG234">
        <f>IFERROR('中信三级行业指数热度'!G234+ROW()*0.0000000001,-9999)</f>
        <v/>
      </c>
    </row>
    <row r="235">
      <c r="AG235">
        <f>IFERROR('中信三级行业指数热度'!G235+ROW()*0.0000000001,-9999)</f>
        <v/>
      </c>
    </row>
    <row r="236">
      <c r="AG236">
        <f>IFERROR('中信三级行业指数热度'!G236+ROW()*0.0000000001,-9999)</f>
        <v/>
      </c>
    </row>
    <row r="237">
      <c r="AG237">
        <f>IFERROR('中信三级行业指数热度'!G237+ROW()*0.0000000001,-9999)</f>
        <v/>
      </c>
    </row>
    <row r="238">
      <c r="AG238">
        <f>IFERROR('中信三级行业指数热度'!G238+ROW()*0.0000000001,-9999)</f>
        <v/>
      </c>
    </row>
    <row r="239">
      <c r="AG239">
        <f>IFERROR('中信三级行业指数热度'!G239+ROW()*0.0000000001,-9999)</f>
        <v/>
      </c>
    </row>
    <row r="240">
      <c r="AG240">
        <f>IFERROR('中信三级行业指数热度'!G240+ROW()*0.0000000001,-9999)</f>
        <v/>
      </c>
    </row>
    <row r="241">
      <c r="AG241">
        <f>IFERROR('中信三级行业指数热度'!G241+ROW()*0.0000000001,-9999)</f>
        <v/>
      </c>
    </row>
    <row r="242">
      <c r="AG242">
        <f>IFERROR('中信三级行业指数热度'!G242+ROW()*0.0000000001,-9999)</f>
        <v/>
      </c>
    </row>
    <row r="243">
      <c r="AG243">
        <f>IFERROR('中信三级行业指数热度'!G243+ROW()*0.0000000001,-9999)</f>
        <v/>
      </c>
    </row>
    <row r="244">
      <c r="AG244">
        <f>IFERROR('中信三级行业指数热度'!G244+ROW()*0.0000000001,-9999)</f>
        <v/>
      </c>
    </row>
    <row r="245">
      <c r="AG245">
        <f>IFERROR('中信三级行业指数热度'!G245+ROW()*0.0000000001,-9999)</f>
        <v/>
      </c>
    </row>
    <row r="246">
      <c r="AG246">
        <f>IFERROR('中信三级行业指数热度'!G246+ROW()*0.0000000001,-9999)</f>
        <v/>
      </c>
    </row>
    <row r="247">
      <c r="AG247">
        <f>IFERROR('中信三级行业指数热度'!G247+ROW()*0.0000000001,-9999)</f>
        <v/>
      </c>
    </row>
    <row r="248">
      <c r="AG248">
        <f>IFERROR('中信三级行业指数热度'!G248+ROW()*0.0000000001,-9999)</f>
        <v/>
      </c>
    </row>
    <row r="249">
      <c r="AG249">
        <f>IFERROR('中信三级行业指数热度'!G249+ROW()*0.0000000001,-9999)</f>
        <v/>
      </c>
    </row>
    <row r="250">
      <c r="AG250">
        <f>IFERROR('中信三级行业指数热度'!G250+ROW()*0.0000000001,-9999)</f>
        <v/>
      </c>
    </row>
    <row r="251">
      <c r="AG251">
        <f>IFERROR('中信三级行业指数热度'!G251+ROW()*0.0000000001,-9999)</f>
        <v/>
      </c>
    </row>
    <row r="252">
      <c r="AG252">
        <f>IFERROR('中信三级行业指数热度'!G252+ROW()*0.0000000001,-9999)</f>
        <v/>
      </c>
    </row>
    <row r="253">
      <c r="AG253">
        <f>IFERROR('中信三级行业指数热度'!G253+ROW()*0.0000000001,-9999)</f>
        <v/>
      </c>
    </row>
    <row r="254">
      <c r="AG254">
        <f>IFERROR('中信三级行业指数热度'!G254+ROW()*0.0000000001,-9999)</f>
        <v/>
      </c>
    </row>
    <row r="255">
      <c r="AG255">
        <f>IFERROR('中信三级行业指数热度'!G255+ROW()*0.0000000001,-9999)</f>
        <v/>
      </c>
    </row>
    <row r="256">
      <c r="AG256">
        <f>IFERROR('中信三级行业指数热度'!G256+ROW()*0.0000000001,-9999)</f>
        <v/>
      </c>
    </row>
    <row r="257">
      <c r="AG257">
        <f>IFERROR('中信三级行业指数热度'!G257+ROW()*0.0000000001,-9999)</f>
        <v/>
      </c>
    </row>
    <row r="258">
      <c r="AG258">
        <f>IFERROR('中信三级行业指数热度'!G258+ROW()*0.0000000001,-9999)</f>
        <v/>
      </c>
    </row>
    <row r="259">
      <c r="AG259">
        <f>IFERROR('中信三级行业指数热度'!G259+ROW()*0.0000000001,-9999)</f>
        <v/>
      </c>
    </row>
    <row r="260">
      <c r="AG260">
        <f>IFERROR('中信三级行业指数热度'!G260+ROW()*0.0000000001,-9999)</f>
        <v/>
      </c>
    </row>
    <row r="261">
      <c r="AG261">
        <f>IFERROR('中信三级行业指数热度'!G261+ROW()*0.0000000001,-9999)</f>
        <v/>
      </c>
    </row>
    <row r="262">
      <c r="AG262">
        <f>IFERROR('中信三级行业指数热度'!G262+ROW()*0.0000000001,-9999)</f>
        <v/>
      </c>
    </row>
  </sheetData>
  <mergeCells count="1">
    <mergeCell ref="B2:O2"/>
  </mergeCells>
  <conditionalFormatting sqref="B3:O21">
    <cfRule type="expression" priority="1" dxfId="0" stopIfTrue="1">
      <formula>R3&lt;=-7</formula>
    </cfRule>
    <cfRule type="expression" priority="2" dxfId="1" stopIfTrue="1">
      <formula>AND(R3&gt;-7,R3&lt;=-3)</formula>
    </cfRule>
    <cfRule type="expression" priority="3" dxfId="2" stopIfTrue="1">
      <formula>AND(R3&gt;-3,R3&lt;=-1)</formula>
    </cfRule>
    <cfRule type="expression" priority="4" dxfId="3" stopIfTrue="1">
      <formula>AND(R3&gt;-1,R3&lt;1)</formula>
    </cfRule>
    <cfRule type="expression" priority="5" dxfId="4" stopIfTrue="1">
      <formula>AND(R3&gt;=1,R3&lt;3)</formula>
    </cfRule>
    <cfRule type="expression" priority="6" dxfId="5" stopIfTrue="1">
      <formula>AND(R3&gt;=3,R3&lt;7)</formula>
    </cfRule>
    <cfRule type="expression" priority="7" dxfId="6" stopIfTrue="1">
      <formula>R3&gt;=7</formula>
    </cfRule>
  </conditionalFormatting>
  <conditionalFormatting sqref="F28:F47">
    <cfRule type="colorScale" priority="8">
      <colorScale>
        <cfvo type="min"/>
        <cfvo type="max"/>
        <color rgb="00FFFFFF"/>
        <color rgb="00C62828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1">
      <c r="B1" s="26" t="inlineStr">
        <is>
          <t>短期动量加速度 · 计算逻辑说明</t>
        </is>
      </c>
    </row>
    <row r="2"/>
    <row r="3" ht="30" customHeight="1">
      <c r="B3" s="27" t="inlineStr">
        <is>
          <t>目的：在 261 个中信三级行业指数中，刻画“短期资金正在加速追捧”的热点。核心思想——不只看“涨没涨”，更看“近期涨速是否比中期更快”（动量的二阶变化 / 加速度）。</t>
        </is>
      </c>
    </row>
    <row r="4"/>
    <row r="5">
      <c r="B5" s="28" t="inlineStr">
        <is>
          <t>一、数据口径</t>
        </is>
      </c>
    </row>
    <row r="6" ht="15" customHeight="1">
      <c r="B6" s="29" t="inlineStr">
        <is>
          <t>• 数据源：同花顺 iFinD Excel 插件函数，全部为活公式，打开并登录 iFinD 后自动刷新。</t>
        </is>
      </c>
    </row>
    <row r="7" ht="15" customHeight="1">
      <c r="B7" s="29" t="inlineStr">
        <is>
          <t>• 价格：指数收盘价 ths_close_price_index（指数无复权问题）。</t>
        </is>
      </c>
    </row>
    <row r="8" ht="30" customHeight="1">
      <c r="B8" s="29" t="inlineStr">
        <is>
          <t>• 基准日：一律截止【前一交易日 T-1】，由原生Excel WORKDAY/TODAY 推算(工作日近似)，跨周末/节假日自动顺延。</t>
        </is>
      </c>
    </row>
    <row r="9" ht="30" customHeight="1">
      <c r="B9" s="29" t="inlineStr">
        <is>
          <t>• 三个回看锚点：T0=前一交易日(≈WORKDAY(今天,-1))、T0-5(近一周)、T0-20(近一月)、上年末(YTD基准)。锚点用原生Excel WORKDAY算,不依赖插件,见‘热度’页右侧 AD:AE。</t>
        </is>
      </c>
    </row>
    <row r="10"/>
    <row r="11">
      <c r="B11" s="28" t="inlineStr">
        <is>
          <t>二、三个区间涨跌幅（D/E/F列）</t>
        </is>
      </c>
    </row>
    <row r="12" ht="15" customHeight="1">
      <c r="B12" s="29" t="inlineStr">
        <is>
          <t>用两个交易日的收盘价相除得到区间涨跌幅（避免依赖各版本不一的“区间涨跌幅”字段，自证正确、跨版本通用）：</t>
        </is>
      </c>
    </row>
    <row r="13" ht="15" customHeight="1">
      <c r="B13" s="30" t="inlineStr">
        <is>
          <t>近一周涨跌幅% = (收盘价[T-1] / 收盘价[T-5] - 1) × 100</t>
        </is>
      </c>
    </row>
    <row r="14" ht="15" customHeight="1">
      <c r="B14" s="30" t="inlineStr">
        <is>
          <t>近一月涨跌幅% = (收盘价[T-1] / 收盘价[T-20] - 1) × 100</t>
        </is>
      </c>
    </row>
    <row r="15" ht="15" customHeight="1">
      <c r="B15" s="30" t="inlineStr">
        <is>
          <t>YTD涨幅%     = (收盘价[T-1] / 收盘价[上年末] - 1) × 100</t>
        </is>
      </c>
    </row>
    <row r="16" ht="15" customHeight="1">
      <c r="B16" s="29" t="inlineStr">
        <is>
          <t>对应 iFinD 公式（E列示例，A列为指数代码，$AE$2/$AE$3 为日期锚点）：</t>
        </is>
      </c>
    </row>
    <row r="17" ht="15" customHeight="1">
      <c r="B17" s="30">
        <f>(thsiFinD("ths_close_price_index",$A2,$AE$2,"","")/thsiFinD("ths_close_price_index",$A2,$AE$3,"","")-1)*100</f>
        <v/>
      </c>
    </row>
    <row r="18"/>
    <row r="19">
      <c r="B19" s="28" t="inlineStr">
        <is>
          <t>三、动量加速度（G列）—— 本表核心</t>
        </is>
      </c>
    </row>
    <row r="20" ht="15" customHeight="1">
      <c r="B20" s="27" t="inlineStr">
        <is>
          <t>定义为“近一周日均涨速”减“近一月日均涨速”，即短期相对中期的提速：</t>
        </is>
      </c>
    </row>
    <row r="21" ht="15" customHeight="1">
      <c r="B21" s="30" t="inlineStr">
        <is>
          <t>动量加速度 = 近一周涨幅/5  −  近一月涨幅/20    （单位：% / 交易日）</t>
        </is>
      </c>
    </row>
    <row r="22" ht="15" customHeight="1">
      <c r="B22" s="30" t="inlineStr">
        <is>
          <t>对应公式： =E2/5 - F2/20</t>
        </is>
      </c>
    </row>
    <row r="23" ht="15" customHeight="1">
      <c r="B23" s="29" t="inlineStr">
        <is>
          <t>解读：</t>
        </is>
      </c>
    </row>
    <row r="24" ht="15" customHeight="1">
      <c r="B24" s="29" t="inlineStr">
        <is>
          <t>• 加速度 &gt; 0：近一周的涨速高于近一月平均，动量在【加速】——典型的资金短期追捧、趋势刚启动或正在强化。</t>
        </is>
      </c>
    </row>
    <row r="25" ht="15" customHeight="1">
      <c r="B25" s="29" t="inlineStr">
        <is>
          <t>• 加速度 &lt; 0：近一周涨速低于近一月平均，动量在【减速】——可能见顶钝化或退潮。</t>
        </is>
      </c>
    </row>
    <row r="26" ht="30" customHeight="1">
      <c r="B26" s="29" t="inlineStr">
        <is>
          <t>• 越大越靠前：把 261 个指数按 G 列降序，最靠前的就是“短期加速最猛”的热点（见‘热点热力图’页 TOP20 自动榜单）。</t>
        </is>
      </c>
    </row>
    <row r="27" ht="30" customHeight="1">
      <c r="B27" s="29" t="inlineStr">
        <is>
          <t>为什么用‘速度差’而不是直接看涨幅：同样近一周涨10%，若近一月才涨12%（早已在涨）说明动量在衰减；若近一月仅涨3%说明本周突然提速、资金新进场——加速度能区分这两种，单看涨幅不能。</t>
        </is>
      </c>
    </row>
    <row r="28"/>
    <row r="29">
      <c r="B29" s="28" t="inlineStr">
        <is>
          <t>四、为什么是‘简单二阶导’而非回归斜率</t>
        </is>
      </c>
    </row>
    <row r="30" ht="30" customHeight="1">
      <c r="B30" s="29" t="inlineStr">
        <is>
          <t>主流金工（如趋势强度 TS=β×R²、动量改善 momentum acceleration）常用对 log 价格做时序 OLS 回归取斜率、再差分得加速度。本表按需求用“速度差”这一最简形式近似二阶导：</t>
        </is>
      </c>
    </row>
    <row r="31" ht="15" customHeight="1">
      <c r="B31" s="29" t="inlineStr">
        <is>
          <t>• 一阶（速度/动量）：区间涨幅本身 ≈ 一阶导；</t>
        </is>
      </c>
    </row>
    <row r="32" ht="15" customHeight="1">
      <c r="B32" s="29" t="inlineStr">
        <is>
          <t>• 二阶（加速度）：短窗速度 − 长窗速度 = G列，刻画动量的变化方向。</t>
        </is>
      </c>
    </row>
    <row r="33" ht="15" customHeight="1">
      <c r="B33" s="29" t="inlineStr">
        <is>
          <t>优点：透明、可复核、无需历史序列回归，一格 iFinD 公式即可。</t>
        </is>
      </c>
    </row>
    <row r="34"/>
    <row r="35">
      <c r="B35" s="28" t="inlineStr">
        <is>
          <t>五、热力图(第2页)说明</t>
        </is>
      </c>
    </row>
    <row r="36" ht="30" customHeight="1">
      <c r="B36" s="29" t="inlineStr">
        <is>
          <t>• 瓦片排列：按【指数自由流通市值】从大到小、左上→右下，市值越大越靠前越显眼（市值估算 = CR1~CR5自由流通市值之和 ÷ CR5合计权重）。</t>
        </is>
      </c>
    </row>
    <row r="37" ht="15" customHeight="1">
      <c r="B37" s="29" t="inlineStr">
        <is>
          <t>• 瓦片颜色：按【近一周涨跌幅】红涨绿跌，幅度越大颜色越深（条件格式分档，图例见该页）。</t>
        </is>
      </c>
    </row>
    <row r="38" ht="15" customHeight="1">
      <c r="B38" s="29" t="inlineStr">
        <is>
          <t>• 即“市值大 或 近一周涨幅大”的行业指数瓦片越醒目；全部随‘热度’页 iFinD 公式自动刷新。</t>
        </is>
      </c>
    </row>
    <row r="39"/>
    <row r="40">
      <c r="B40" s="28" t="inlineStr">
        <is>
          <t>六、使用与局限</t>
        </is>
      </c>
    </row>
    <row r="41" ht="15" customHeight="1">
      <c r="B41" s="29" t="inlineStr">
        <is>
          <t>• 刷新：打开文件→登录 iFinD 插件→全部重算(Ctrl+Alt+F9)；日期随当日自动取 T-1。</t>
        </is>
      </c>
    </row>
    <row r="42" ht="15" customHeight="1">
      <c r="B42" s="29" t="inlineStr">
        <is>
          <t>• 窗口：5/20 个交易日为默认，可在 AD:AE 锚点的 offset 参数调整(如改 -10/-60)。</t>
        </is>
      </c>
    </row>
    <row r="43" ht="30" customHeight="1">
      <c r="B43" s="29" t="inlineStr">
        <is>
          <t>• 局限：纯价格动量，短窗(≤5日)易受单日异动放大；建议结合成交额放大、拥挤度(超额换手z分)、资金净流入做共振过滤，避免‘无量上涨/小盘异动’误判为热点。</t>
        </is>
      </c>
    </row>
    <row r="44" ht="30" customHeight="1">
      <c r="B44" s="29" t="inlineStr">
        <is>
          <t>• 若 iFinD 账号有单次取数上限：D/E/F 每格各调用 2 次 thsiFinD（约 1500 次/全表），可改为先用辅助列取 T-1/T-5/T-20/年初收盘各一次再做四则运算以减少调用。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2026-06-23T12:37:00Z</dcterms:created>
  <dcterms:modified xmlns:dcterms="http://purl.org/dc/terms/" xmlns:xsi="http://www.w3.org/2001/XMLSchema-instance" xsi:type="dcterms:W3CDTF">2026-06-24T08:56:07Z</dcterms:modified>
  <cp:lastModifiedBy>yangguang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0E9B2600195308AB178B3B6A61AC8679_42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