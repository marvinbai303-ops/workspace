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ixin\Desktop\"/>
    </mc:Choice>
  </mc:AlternateContent>
  <bookViews>
    <workbookView xWindow="240" yWindow="20" windowWidth="16100" windowHeight="9660"/>
  </bookViews>
  <sheets>
    <sheet name="同花顺A股概念指数" sheetId="1" r:id="rId1"/>
  </sheets>
  <externalReferences>
    <externalReference r:id="rId2"/>
  </externalReferences>
  <definedNames>
    <definedName name="_xlnm._FilterDatabase" localSheetId="0" hidden="1">同花顺A股概念指数!$A$2:$C$395</definedName>
  </definedNames>
  <calcPr calcId="152511"/>
</workbook>
</file>

<file path=xl/calcChain.xml><?xml version="1.0" encoding="utf-8"?>
<calcChain xmlns="http://schemas.openxmlformats.org/spreadsheetml/2006/main">
  <c r="A1" i="1" l="1"/>
  <c r="C212" i="1"/>
  <c r="C54" i="1"/>
  <c r="C217" i="1"/>
  <c r="C39" i="1"/>
  <c r="C365" i="1"/>
  <c r="C299" i="1"/>
  <c r="C353" i="1"/>
  <c r="C52" i="1"/>
  <c r="C80" i="1"/>
  <c r="C389" i="1"/>
  <c r="C215" i="1"/>
  <c r="C119" i="1"/>
  <c r="C285" i="1"/>
  <c r="C296" i="1"/>
  <c r="C344" i="1"/>
  <c r="C369" i="1"/>
  <c r="C237" i="1"/>
  <c r="C106" i="1"/>
  <c r="C178" i="1"/>
  <c r="C244" i="1"/>
  <c r="C338" i="1"/>
  <c r="C129" i="1"/>
  <c r="C35" i="1"/>
  <c r="C341" i="1"/>
  <c r="C203" i="1"/>
  <c r="C133" i="1"/>
  <c r="C394" i="1"/>
  <c r="C24" i="1"/>
  <c r="C254" i="1"/>
  <c r="C50" i="1"/>
  <c r="C230" i="1"/>
  <c r="C160" i="1"/>
  <c r="C316" i="1"/>
  <c r="C161" i="1"/>
  <c r="C79" i="1"/>
  <c r="C287" i="1"/>
  <c r="C366" i="1"/>
  <c r="C204" i="1"/>
  <c r="C40" i="1"/>
  <c r="C329" i="1"/>
  <c r="C84" i="1"/>
  <c r="C29" i="1"/>
  <c r="C227" i="1"/>
  <c r="C27" i="1"/>
  <c r="C221" i="1"/>
  <c r="C123" i="1"/>
  <c r="C288" i="1"/>
  <c r="C275" i="1"/>
  <c r="C258" i="1"/>
  <c r="C378" i="1"/>
  <c r="C3" i="1"/>
  <c r="C65" i="1"/>
  <c r="C208" i="1"/>
  <c r="C159" i="1"/>
  <c r="C319" i="1"/>
  <c r="C255" i="1"/>
  <c r="C325" i="1"/>
  <c r="C190" i="1"/>
  <c r="C188" i="1"/>
  <c r="C112" i="1"/>
  <c r="C147" i="1"/>
  <c r="C267" i="1"/>
  <c r="C184" i="1"/>
  <c r="C290" i="1"/>
  <c r="C349" i="1"/>
  <c r="C32" i="1"/>
  <c r="C183" i="1"/>
  <c r="C166" i="1"/>
  <c r="C222" i="1"/>
  <c r="C265" i="1"/>
  <c r="C134" i="1"/>
  <c r="C359" i="1"/>
  <c r="C251" i="1"/>
  <c r="C279" i="1"/>
  <c r="C68" i="1"/>
  <c r="C38" i="1"/>
  <c r="C135" i="1"/>
  <c r="C309" i="1"/>
  <c r="C239" i="1"/>
  <c r="C263" i="1"/>
  <c r="C121" i="1"/>
  <c r="C16" i="1"/>
  <c r="C197" i="1"/>
  <c r="C245" i="1"/>
  <c r="C323" i="1"/>
  <c r="C85" i="1"/>
  <c r="C33" i="1"/>
  <c r="C346" i="1"/>
  <c r="C105" i="1"/>
  <c r="C350" i="1"/>
  <c r="C71" i="1"/>
  <c r="C12" i="1"/>
  <c r="C23" i="1"/>
  <c r="C42" i="1"/>
  <c r="C13" i="1"/>
  <c r="C169" i="1"/>
  <c r="C165" i="1"/>
  <c r="C62" i="1"/>
  <c r="C136" i="1"/>
  <c r="C59" i="1"/>
  <c r="C163" i="1"/>
  <c r="C72" i="1"/>
  <c r="C314" i="1"/>
  <c r="C248" i="1"/>
  <c r="C202" i="1"/>
  <c r="C225" i="1"/>
  <c r="C337" i="1"/>
  <c r="C138" i="1"/>
  <c r="C49" i="1"/>
  <c r="C56" i="1"/>
  <c r="C10" i="1"/>
  <c r="C210" i="1"/>
  <c r="C53" i="1"/>
  <c r="C108" i="1"/>
  <c r="C274" i="1"/>
  <c r="C234" i="1"/>
  <c r="C172" i="1"/>
  <c r="C167" i="1"/>
  <c r="C219" i="1"/>
  <c r="C391" i="1"/>
  <c r="C368" i="1"/>
  <c r="C256" i="1"/>
  <c r="C177" i="1"/>
  <c r="C90" i="1"/>
  <c r="C294" i="1"/>
  <c r="C158" i="1"/>
  <c r="C292" i="1"/>
  <c r="C18" i="1"/>
  <c r="C162" i="1"/>
  <c r="C192" i="1"/>
  <c r="C7" i="1"/>
  <c r="C171" i="1"/>
  <c r="C107" i="1"/>
  <c r="C137" i="1"/>
  <c r="C191" i="1"/>
  <c r="C250" i="1"/>
  <c r="C388" i="1"/>
  <c r="C143" i="1"/>
  <c r="C379" i="1"/>
  <c r="C17" i="1"/>
  <c r="C78" i="1"/>
  <c r="C200" i="1"/>
  <c r="C94" i="1"/>
  <c r="C60" i="1"/>
  <c r="C201" i="1"/>
  <c r="C122" i="1"/>
  <c r="C271" i="1"/>
  <c r="C348" i="1"/>
  <c r="C148" i="1"/>
  <c r="C207" i="1"/>
  <c r="C168" i="1"/>
  <c r="C261" i="1"/>
  <c r="C223" i="1"/>
  <c r="C100" i="1"/>
  <c r="C266" i="1"/>
  <c r="C69" i="1"/>
  <c r="C152" i="1"/>
  <c r="C339" i="1"/>
  <c r="C282" i="1"/>
  <c r="C63" i="1"/>
  <c r="C15" i="1"/>
  <c r="C243" i="1"/>
  <c r="C331" i="1"/>
  <c r="C211" i="1"/>
  <c r="C382" i="1"/>
  <c r="C306" i="1"/>
  <c r="C330" i="1"/>
  <c r="C70" i="1"/>
  <c r="C278" i="1"/>
  <c r="C268" i="1"/>
  <c r="C149" i="1"/>
  <c r="C232" i="1"/>
  <c r="C131" i="1"/>
  <c r="C30" i="1"/>
  <c r="C372" i="1"/>
  <c r="C142" i="1"/>
  <c r="C88" i="1"/>
  <c r="C361" i="1"/>
  <c r="C220" i="1"/>
  <c r="C82" i="1"/>
  <c r="C6" i="1"/>
  <c r="C374" i="1"/>
  <c r="C315" i="1"/>
  <c r="C272" i="1"/>
  <c r="C226" i="1"/>
  <c r="C213" i="1"/>
  <c r="C140" i="1"/>
  <c r="C26" i="1"/>
  <c r="C377" i="1"/>
  <c r="C31" i="1"/>
  <c r="C395" i="1"/>
  <c r="C214" i="1"/>
  <c r="C174" i="1"/>
  <c r="C246" i="1"/>
  <c r="C180" i="1"/>
  <c r="C205" i="1"/>
  <c r="C193" i="1"/>
  <c r="C46" i="1"/>
  <c r="C76" i="1"/>
  <c r="C189" i="1"/>
  <c r="C300" i="1"/>
  <c r="C4" i="1"/>
  <c r="C117" i="1"/>
  <c r="C358" i="1"/>
  <c r="C342" i="1"/>
  <c r="C253" i="1"/>
  <c r="C51" i="1"/>
  <c r="C95" i="1"/>
  <c r="C87" i="1"/>
  <c r="C164" i="1"/>
  <c r="C176" i="1"/>
  <c r="C335" i="1"/>
  <c r="C383" i="1"/>
  <c r="C355" i="1"/>
  <c r="C229" i="1"/>
  <c r="C66" i="1"/>
  <c r="C185" i="1"/>
  <c r="C283" i="1"/>
  <c r="C110" i="1"/>
  <c r="C317" i="1"/>
  <c r="C74" i="1"/>
  <c r="C247" i="1"/>
  <c r="C155" i="1"/>
  <c r="C313" i="1"/>
  <c r="C118" i="1"/>
  <c r="C356" i="1"/>
  <c r="C130" i="1"/>
  <c r="C304" i="1"/>
  <c r="C141" i="1"/>
  <c r="C182" i="1"/>
  <c r="C295" i="1"/>
  <c r="C297" i="1"/>
  <c r="C154" i="1"/>
  <c r="C231" i="1"/>
  <c r="C354" i="1"/>
  <c r="C308" i="1"/>
  <c r="C387" i="1"/>
  <c r="C145" i="1"/>
  <c r="C252" i="1"/>
  <c r="C102" i="1"/>
  <c r="C186" i="1"/>
  <c r="C273" i="1"/>
  <c r="C371" i="1"/>
  <c r="C81" i="1"/>
  <c r="C376" i="1"/>
  <c r="C175" i="1"/>
  <c r="C151" i="1"/>
  <c r="C270" i="1"/>
  <c r="C150" i="1"/>
  <c r="C91" i="1"/>
  <c r="C14" i="1"/>
  <c r="C83" i="1"/>
  <c r="C343" i="1"/>
  <c r="C153" i="1"/>
  <c r="C113" i="1"/>
  <c r="C360" i="1"/>
  <c r="C357" i="1"/>
  <c r="C103" i="1"/>
  <c r="C194" i="1"/>
  <c r="C286" i="1"/>
  <c r="C43" i="1"/>
  <c r="C240" i="1"/>
  <c r="C44" i="1"/>
  <c r="C259" i="1"/>
  <c r="C170" i="1"/>
  <c r="C173" i="1"/>
  <c r="C364" i="1"/>
  <c r="C45" i="1"/>
  <c r="C97" i="1"/>
  <c r="C86" i="1"/>
  <c r="C157" i="1"/>
  <c r="C381" i="1"/>
  <c r="C196" i="1"/>
  <c r="C124" i="1"/>
  <c r="C312" i="1"/>
  <c r="C132" i="1"/>
  <c r="C144" i="1"/>
  <c r="C373" i="1"/>
  <c r="C58" i="1"/>
  <c r="C332" i="1"/>
  <c r="C20" i="1"/>
  <c r="C114" i="1"/>
  <c r="C92" i="1"/>
  <c r="C93" i="1"/>
  <c r="C99" i="1"/>
  <c r="C380" i="1"/>
  <c r="C181" i="1"/>
  <c r="C125" i="1"/>
  <c r="C25" i="1"/>
  <c r="C385" i="1"/>
  <c r="C390" i="1"/>
  <c r="C126" i="1"/>
  <c r="C305" i="1"/>
  <c r="C392" i="1"/>
  <c r="C276" i="1"/>
  <c r="C318" i="1"/>
  <c r="C187" i="1"/>
  <c r="C367" i="1"/>
  <c r="C195" i="1"/>
  <c r="C67" i="1"/>
  <c r="C257" i="1"/>
  <c r="C238" i="1"/>
  <c r="C347" i="1"/>
  <c r="C11" i="1"/>
  <c r="C370" i="1"/>
  <c r="C235" i="1"/>
  <c r="C34" i="1"/>
  <c r="C281" i="1"/>
  <c r="C321" i="1"/>
  <c r="C36" i="1"/>
  <c r="C198" i="1"/>
  <c r="C22" i="1"/>
  <c r="C206" i="1"/>
  <c r="C101" i="1"/>
  <c r="C109" i="1"/>
  <c r="C333" i="1"/>
  <c r="C336" i="1"/>
  <c r="C47" i="1"/>
  <c r="C293" i="1"/>
  <c r="C291" i="1"/>
  <c r="C302" i="1"/>
  <c r="C98" i="1"/>
  <c r="C277" i="1"/>
  <c r="C269" i="1"/>
  <c r="C115" i="1"/>
  <c r="C28" i="1"/>
  <c r="C393" i="1"/>
  <c r="C311" i="1"/>
  <c r="C345" i="1"/>
  <c r="C21" i="1"/>
  <c r="C128" i="1"/>
  <c r="C262" i="1"/>
  <c r="C199" i="1"/>
  <c r="C96" i="1"/>
  <c r="C320" i="1"/>
  <c r="C8" i="1"/>
  <c r="C73" i="1"/>
  <c r="C289" i="1"/>
  <c r="C104" i="1"/>
  <c r="C64" i="1"/>
  <c r="C139" i="1"/>
  <c r="C41" i="1"/>
  <c r="C89" i="1"/>
  <c r="C384" i="1"/>
  <c r="C324" i="1"/>
  <c r="C156" i="1"/>
  <c r="C77" i="1"/>
  <c r="C127" i="1"/>
  <c r="C352" i="1"/>
  <c r="C216" i="1"/>
  <c r="C179" i="1"/>
  <c r="C9" i="1"/>
  <c r="C116" i="1"/>
  <c r="C228" i="1"/>
  <c r="C218" i="1"/>
  <c r="C303" i="1"/>
  <c r="C5" i="1"/>
  <c r="C328" i="1"/>
  <c r="C61" i="1"/>
  <c r="C375" i="1"/>
  <c r="C260" i="1"/>
  <c r="C310" i="1"/>
  <c r="C362" i="1"/>
  <c r="C224" i="1"/>
  <c r="C307" i="1"/>
  <c r="C363" i="1"/>
  <c r="C48" i="1"/>
  <c r="C111" i="1"/>
  <c r="C284" i="1"/>
  <c r="C298" i="1"/>
  <c r="C334" i="1"/>
  <c r="C146" i="1"/>
  <c r="C233" i="1"/>
  <c r="C264" i="1"/>
  <c r="C322" i="1"/>
  <c r="C327" i="1"/>
  <c r="C241" i="1"/>
  <c r="C236" i="1"/>
  <c r="C386" i="1"/>
  <c r="C57" i="1"/>
  <c r="C19" i="1"/>
  <c r="C75" i="1"/>
  <c r="C37" i="1"/>
  <c r="C55" i="1"/>
  <c r="C249" i="1"/>
  <c r="C301" i="1"/>
  <c r="C280" i="1"/>
  <c r="C209" i="1"/>
  <c r="C351" i="1"/>
  <c r="C326" i="1"/>
  <c r="C340" i="1"/>
  <c r="C242" i="1"/>
  <c r="C120" i="1"/>
  <c r="B36" i="1" l="1"/>
  <c r="B183" i="1"/>
  <c r="B200" i="1"/>
  <c r="B317" i="1"/>
  <c r="B321" i="1"/>
  <c r="B242" i="1"/>
  <c r="B78" i="1"/>
  <c r="B32" i="1"/>
  <c r="B281" i="1"/>
  <c r="B110" i="1"/>
  <c r="B340" i="1"/>
  <c r="B34" i="1"/>
  <c r="B17" i="1"/>
  <c r="B349" i="1"/>
  <c r="B283" i="1"/>
  <c r="B326" i="1"/>
  <c r="B235" i="1"/>
  <c r="B379" i="1"/>
  <c r="B290" i="1"/>
  <c r="B370" i="1"/>
  <c r="B185" i="1"/>
  <c r="B351" i="1"/>
  <c r="B143" i="1"/>
  <c r="B11" i="1"/>
  <c r="B184" i="1"/>
  <c r="B66" i="1"/>
  <c r="B209" i="1"/>
  <c r="B347" i="1"/>
  <c r="B229" i="1"/>
  <c r="B388" i="1"/>
  <c r="B267" i="1"/>
  <c r="B280" i="1"/>
  <c r="B238" i="1"/>
  <c r="B355" i="1"/>
  <c r="B250" i="1"/>
  <c r="B147" i="1"/>
  <c r="B301" i="1"/>
  <c r="B257" i="1"/>
  <c r="B383" i="1"/>
  <c r="B191" i="1"/>
  <c r="B249" i="1"/>
  <c r="B67" i="1"/>
  <c r="B112" i="1"/>
  <c r="B335" i="1"/>
  <c r="B176" i="1"/>
  <c r="B55" i="1"/>
  <c r="B195" i="1"/>
  <c r="B188" i="1"/>
  <c r="B137" i="1"/>
  <c r="B120" i="1"/>
  <c r="B234" i="1"/>
  <c r="B202" i="1"/>
  <c r="B62" i="1"/>
  <c r="B71" i="1"/>
  <c r="B323" i="1"/>
  <c r="B309" i="1"/>
  <c r="B134" i="1"/>
  <c r="B367" i="1"/>
  <c r="B164" i="1"/>
  <c r="B37" i="1"/>
  <c r="B187" i="1"/>
  <c r="B190" i="1"/>
  <c r="B107" i="1"/>
  <c r="B318" i="1"/>
  <c r="B87" i="1"/>
  <c r="B75" i="1"/>
  <c r="B325" i="1"/>
  <c r="B276" i="1"/>
  <c r="B171" i="1"/>
  <c r="B95" i="1"/>
  <c r="B19" i="1"/>
  <c r="B392" i="1"/>
  <c r="B255" i="1"/>
  <c r="B7" i="1"/>
  <c r="B305" i="1"/>
  <c r="B51" i="1"/>
  <c r="B57" i="1"/>
  <c r="B319" i="1"/>
  <c r="B126" i="1"/>
  <c r="B192" i="1"/>
  <c r="B386" i="1"/>
  <c r="B253" i="1"/>
  <c r="B390" i="1"/>
  <c r="B236" i="1"/>
  <c r="B159" i="1"/>
  <c r="B342" i="1"/>
  <c r="B385" i="1"/>
  <c r="B162" i="1"/>
  <c r="B241" i="1"/>
  <c r="B327" i="1"/>
  <c r="B322" i="1"/>
  <c r="B264" i="1"/>
  <c r="B233" i="1"/>
  <c r="B146" i="1"/>
  <c r="B334" i="1"/>
  <c r="B298" i="1"/>
  <c r="B284" i="1"/>
  <c r="B111" i="1"/>
  <c r="B48" i="1"/>
  <c r="B363" i="1"/>
  <c r="B307" i="1"/>
  <c r="B224" i="1"/>
  <c r="B362" i="1"/>
  <c r="B310" i="1"/>
  <c r="B260" i="1"/>
  <c r="B375" i="1"/>
  <c r="B108" i="1"/>
  <c r="B49" i="1"/>
  <c r="B72" i="1"/>
  <c r="B13" i="1"/>
  <c r="B346" i="1"/>
  <c r="B121" i="1"/>
  <c r="B68" i="1"/>
  <c r="B166" i="1"/>
  <c r="B61" i="1"/>
  <c r="B328" i="1"/>
  <c r="B5" i="1"/>
  <c r="B303" i="1"/>
  <c r="B218" i="1"/>
  <c r="B228" i="1"/>
  <c r="B116" i="1"/>
  <c r="B9" i="1"/>
  <c r="B179" i="1"/>
  <c r="B216" i="1"/>
  <c r="B352" i="1"/>
  <c r="B127" i="1"/>
  <c r="B77" i="1"/>
  <c r="B156" i="1"/>
  <c r="B324" i="1"/>
  <c r="B384" i="1"/>
  <c r="B89" i="1"/>
  <c r="B41" i="1"/>
  <c r="B139" i="1"/>
  <c r="B64" i="1"/>
  <c r="B104" i="1"/>
  <c r="B289" i="1"/>
  <c r="B73" i="1"/>
  <c r="B8" i="1"/>
  <c r="B320" i="1"/>
  <c r="B96" i="1"/>
  <c r="B199" i="1"/>
  <c r="B262" i="1"/>
  <c r="B128" i="1"/>
  <c r="B21" i="1"/>
  <c r="B345" i="1"/>
  <c r="B311" i="1"/>
  <c r="B393" i="1"/>
  <c r="B28" i="1"/>
  <c r="B115" i="1"/>
  <c r="B269" i="1"/>
  <c r="B277" i="1"/>
  <c r="B98" i="1"/>
  <c r="B302" i="1"/>
  <c r="B291" i="1"/>
  <c r="B293" i="1"/>
  <c r="B47" i="1"/>
  <c r="B336" i="1"/>
  <c r="B333" i="1"/>
  <c r="B109" i="1"/>
  <c r="B101" i="1"/>
  <c r="B206" i="1"/>
  <c r="B22" i="1"/>
  <c r="B198" i="1"/>
  <c r="B10" i="1"/>
  <c r="B337" i="1"/>
  <c r="B163" i="1"/>
  <c r="B42" i="1"/>
  <c r="B33" i="1"/>
  <c r="B263" i="1"/>
  <c r="B251" i="1"/>
  <c r="B208" i="1"/>
  <c r="B358" i="1"/>
  <c r="B25" i="1"/>
  <c r="B18" i="1"/>
  <c r="B65" i="1"/>
  <c r="B117" i="1"/>
  <c r="B125" i="1"/>
  <c r="B292" i="1"/>
  <c r="B4" i="1"/>
  <c r="B3" i="1"/>
  <c r="B181" i="1"/>
  <c r="B158" i="1"/>
  <c r="B380" i="1"/>
  <c r="B300" i="1"/>
  <c r="B99" i="1"/>
  <c r="B294" i="1"/>
  <c r="B93" i="1"/>
  <c r="B378" i="1"/>
  <c r="B189" i="1"/>
  <c r="B90" i="1"/>
  <c r="B92" i="1"/>
  <c r="B76" i="1"/>
  <c r="B114" i="1"/>
  <c r="B177" i="1"/>
  <c r="B46" i="1"/>
  <c r="B20" i="1"/>
  <c r="B256" i="1"/>
  <c r="B332" i="1"/>
  <c r="B193" i="1"/>
  <c r="B368" i="1"/>
  <c r="B58" i="1"/>
  <c r="B205" i="1"/>
  <c r="B373" i="1"/>
  <c r="B391" i="1"/>
  <c r="B180" i="1"/>
  <c r="B144" i="1"/>
  <c r="B219" i="1"/>
  <c r="B132" i="1"/>
  <c r="B246" i="1"/>
  <c r="B312" i="1"/>
  <c r="B167" i="1"/>
  <c r="B174" i="1"/>
  <c r="B124" i="1"/>
  <c r="B196" i="1"/>
  <c r="B381" i="1"/>
  <c r="B157" i="1"/>
  <c r="B172" i="1"/>
  <c r="B214" i="1"/>
  <c r="B86" i="1"/>
  <c r="B274" i="1"/>
  <c r="B225" i="1"/>
  <c r="B136" i="1"/>
  <c r="B12" i="1"/>
  <c r="B85" i="1"/>
  <c r="B239" i="1"/>
  <c r="B359" i="1"/>
  <c r="B97" i="1"/>
  <c r="B45" i="1"/>
  <c r="B364" i="1"/>
  <c r="B173" i="1"/>
  <c r="B170" i="1"/>
  <c r="B259" i="1"/>
  <c r="B44" i="1"/>
  <c r="B240" i="1"/>
  <c r="B43" i="1"/>
  <c r="B286" i="1"/>
  <c r="B194" i="1"/>
  <c r="B103" i="1"/>
  <c r="B357" i="1"/>
  <c r="B360" i="1"/>
  <c r="B113" i="1"/>
  <c r="B153" i="1"/>
  <c r="B343" i="1"/>
  <c r="B83" i="1"/>
  <c r="B14" i="1"/>
  <c r="B91" i="1"/>
  <c r="B150" i="1"/>
  <c r="B270" i="1"/>
  <c r="B151" i="1"/>
  <c r="B175" i="1"/>
  <c r="B376" i="1"/>
  <c r="B81" i="1"/>
  <c r="B371" i="1"/>
  <c r="B273" i="1"/>
  <c r="B186" i="1"/>
  <c r="B102" i="1"/>
  <c r="B252" i="1"/>
  <c r="B145" i="1"/>
  <c r="B387" i="1"/>
  <c r="B308" i="1"/>
  <c r="B354" i="1"/>
  <c r="B231" i="1"/>
  <c r="B154" i="1"/>
  <c r="B297" i="1"/>
  <c r="B295" i="1"/>
  <c r="B182" i="1"/>
  <c r="B141" i="1"/>
  <c r="B304" i="1"/>
  <c r="B130" i="1"/>
  <c r="B356" i="1"/>
  <c r="B118" i="1"/>
  <c r="B313" i="1"/>
  <c r="B155" i="1"/>
  <c r="B247" i="1"/>
  <c r="B74" i="1"/>
  <c r="B210" i="1"/>
  <c r="B314" i="1"/>
  <c r="B169" i="1"/>
  <c r="B105" i="1"/>
  <c r="B16" i="1"/>
  <c r="B279" i="1"/>
  <c r="B395" i="1"/>
  <c r="B31" i="1"/>
  <c r="B377" i="1"/>
  <c r="B26" i="1"/>
  <c r="B140" i="1"/>
  <c r="B213" i="1"/>
  <c r="B226" i="1"/>
  <c r="B272" i="1"/>
  <c r="B315" i="1"/>
  <c r="B374" i="1"/>
  <c r="B6" i="1"/>
  <c r="B82" i="1"/>
  <c r="B220" i="1"/>
  <c r="B361" i="1"/>
  <c r="B88" i="1"/>
  <c r="B142" i="1"/>
  <c r="B372" i="1"/>
  <c r="B30" i="1"/>
  <c r="B131" i="1"/>
  <c r="B232" i="1"/>
  <c r="B149" i="1"/>
  <c r="B268" i="1"/>
  <c r="B278" i="1"/>
  <c r="B70" i="1"/>
  <c r="B330" i="1"/>
  <c r="B306" i="1"/>
  <c r="B382" i="1"/>
  <c r="B211" i="1"/>
  <c r="B331" i="1"/>
  <c r="B243" i="1"/>
  <c r="B15" i="1"/>
  <c r="B63" i="1"/>
  <c r="B282" i="1"/>
  <c r="B339" i="1"/>
  <c r="B152" i="1"/>
  <c r="B69" i="1"/>
  <c r="B266" i="1"/>
  <c r="B100" i="1"/>
  <c r="B223" i="1"/>
  <c r="B261" i="1"/>
  <c r="B168" i="1"/>
  <c r="B207" i="1"/>
  <c r="B148" i="1"/>
  <c r="B348" i="1"/>
  <c r="B271" i="1"/>
  <c r="B122" i="1"/>
  <c r="B201" i="1"/>
  <c r="B60" i="1"/>
  <c r="B94" i="1"/>
  <c r="B53" i="1"/>
  <c r="B138" i="1"/>
  <c r="B59" i="1"/>
  <c r="B23" i="1"/>
  <c r="B197" i="1"/>
  <c r="B38" i="1"/>
  <c r="B222" i="1"/>
  <c r="B258" i="1"/>
  <c r="B275" i="1"/>
  <c r="B288" i="1"/>
  <c r="B123" i="1"/>
  <c r="B221" i="1"/>
  <c r="B27" i="1"/>
  <c r="B227" i="1"/>
  <c r="B29" i="1"/>
  <c r="B84" i="1"/>
  <c r="B329" i="1"/>
  <c r="B40" i="1"/>
  <c r="B204" i="1"/>
  <c r="B366" i="1"/>
  <c r="B287" i="1"/>
  <c r="B79" i="1"/>
  <c r="B161" i="1"/>
  <c r="B316" i="1"/>
  <c r="B160" i="1"/>
  <c r="B230" i="1"/>
  <c r="B50" i="1"/>
  <c r="B254" i="1"/>
  <c r="B24" i="1"/>
  <c r="B394" i="1"/>
  <c r="B133" i="1"/>
  <c r="B203" i="1"/>
  <c r="B341" i="1"/>
  <c r="B35" i="1"/>
  <c r="B129" i="1"/>
  <c r="B338" i="1"/>
  <c r="B244" i="1"/>
  <c r="B178" i="1"/>
  <c r="B106" i="1"/>
  <c r="B237" i="1"/>
  <c r="B369" i="1"/>
  <c r="B344" i="1"/>
  <c r="B296" i="1"/>
  <c r="B285" i="1"/>
  <c r="B119" i="1"/>
  <c r="B215" i="1"/>
  <c r="B389" i="1"/>
  <c r="B80" i="1"/>
  <c r="B52" i="1"/>
  <c r="B353" i="1"/>
  <c r="B299" i="1"/>
  <c r="B365" i="1"/>
  <c r="B39" i="1"/>
  <c r="B217" i="1"/>
  <c r="B54" i="1"/>
  <c r="B212" i="1"/>
  <c r="B56" i="1"/>
  <c r="B248" i="1"/>
  <c r="B165" i="1"/>
  <c r="B350" i="1"/>
  <c r="B245" i="1"/>
  <c r="B135" i="1"/>
  <c r="B265" i="1"/>
</calcChain>
</file>

<file path=xl/sharedStrings.xml><?xml version="1.0" encoding="utf-8"?>
<sst xmlns="http://schemas.openxmlformats.org/spreadsheetml/2006/main" count="397" uniqueCount="397">
  <si>
    <t>证券代码</t>
  </si>
  <si>
    <t>证券名称</t>
  </si>
  <si>
    <t>883300.TI</t>
  </si>
  <si>
    <t>883301.TI</t>
  </si>
  <si>
    <t>883302.TI</t>
  </si>
  <si>
    <t>883303.TI</t>
  </si>
  <si>
    <t>883304.TI</t>
  </si>
  <si>
    <t>885311.TI</t>
  </si>
  <si>
    <t>885312.TI</t>
  </si>
  <si>
    <t>885333.TI</t>
  </si>
  <si>
    <t>885338.TI</t>
  </si>
  <si>
    <t>885343.TI</t>
  </si>
  <si>
    <t>885345.TI</t>
  </si>
  <si>
    <t>885355.TI</t>
  </si>
  <si>
    <t>885362.TI</t>
  </si>
  <si>
    <t>885372.TI</t>
  </si>
  <si>
    <t>885376.TI</t>
  </si>
  <si>
    <t>885378.TI</t>
  </si>
  <si>
    <t>885386.TI</t>
  </si>
  <si>
    <t>885398.TI</t>
  </si>
  <si>
    <t>885402.TI</t>
  </si>
  <si>
    <t>885406.TI</t>
  </si>
  <si>
    <t>885410.TI</t>
  </si>
  <si>
    <t>885412.TI</t>
  </si>
  <si>
    <t>885413.TI</t>
  </si>
  <si>
    <t>885418.TI</t>
  </si>
  <si>
    <t>885423.TI</t>
  </si>
  <si>
    <t>885425.TI</t>
  </si>
  <si>
    <t>885426.TI</t>
  </si>
  <si>
    <t>885427.TI</t>
  </si>
  <si>
    <t>885428.TI</t>
  </si>
  <si>
    <t>885430.TI</t>
  </si>
  <si>
    <t>885431.TI</t>
  </si>
  <si>
    <t>885439.TI</t>
  </si>
  <si>
    <t>885454.TI</t>
  </si>
  <si>
    <t>885456.TI</t>
  </si>
  <si>
    <t>885457.TI</t>
  </si>
  <si>
    <t>885459.TI</t>
  </si>
  <si>
    <t>885461.TI</t>
  </si>
  <si>
    <t>885462.TI</t>
  </si>
  <si>
    <t>885467.TI</t>
  </si>
  <si>
    <t>885472.TI</t>
  </si>
  <si>
    <t>885478.TI</t>
  </si>
  <si>
    <t>885480.TI</t>
  </si>
  <si>
    <t>885487.TI</t>
  </si>
  <si>
    <t>885490.TI</t>
  </si>
  <si>
    <t>885493.TI</t>
  </si>
  <si>
    <t>885494.TI</t>
  </si>
  <si>
    <t>885497.TI</t>
  </si>
  <si>
    <t>885502.TI</t>
  </si>
  <si>
    <t>885505.TI</t>
  </si>
  <si>
    <t>885508.TI</t>
  </si>
  <si>
    <t>885514.TI</t>
  </si>
  <si>
    <t>885517.TI</t>
  </si>
  <si>
    <t>885520.TI</t>
  </si>
  <si>
    <t>885521.TI</t>
  </si>
  <si>
    <t>885522.TI</t>
  </si>
  <si>
    <t>885525.TI</t>
  </si>
  <si>
    <t>885530.TI</t>
  </si>
  <si>
    <t>885531.TI</t>
  </si>
  <si>
    <t>885537.TI</t>
  </si>
  <si>
    <t>885539.TI</t>
  </si>
  <si>
    <t>885540.TI</t>
  </si>
  <si>
    <t>885543.TI</t>
  </si>
  <si>
    <t>885545.TI</t>
  </si>
  <si>
    <t>885551.TI</t>
  </si>
  <si>
    <t>885552.TI</t>
  </si>
  <si>
    <t>885555.TI</t>
  </si>
  <si>
    <t>885556.TI</t>
  </si>
  <si>
    <t>885562.TI</t>
  </si>
  <si>
    <t>885564.TI</t>
  </si>
  <si>
    <t>885566.TI</t>
  </si>
  <si>
    <t>885570.TI</t>
  </si>
  <si>
    <t>885571.TI</t>
  </si>
  <si>
    <t>885572.TI</t>
  </si>
  <si>
    <t>885573.TI</t>
  </si>
  <si>
    <t>885574.TI</t>
  </si>
  <si>
    <t>885578.TI</t>
  </si>
  <si>
    <t>885580.TI</t>
  </si>
  <si>
    <t>885586.TI</t>
  </si>
  <si>
    <t>885587.TI</t>
  </si>
  <si>
    <t>885591.TI</t>
  </si>
  <si>
    <t>885595.TI</t>
  </si>
  <si>
    <t>885598.TI</t>
  </si>
  <si>
    <t>885603.TI</t>
  </si>
  <si>
    <t>885611.TI</t>
  </si>
  <si>
    <t>885615.TI</t>
  </si>
  <si>
    <t>885617.TI</t>
  </si>
  <si>
    <t>885620.TI</t>
  </si>
  <si>
    <t>885623.TI</t>
  </si>
  <si>
    <t>885629.TI</t>
  </si>
  <si>
    <t>885633.TI</t>
  </si>
  <si>
    <t>885640.TI</t>
  </si>
  <si>
    <t>885641.TI</t>
  </si>
  <si>
    <t>885642.TI</t>
  </si>
  <si>
    <t>885650.TI</t>
  </si>
  <si>
    <t>885652.TI</t>
  </si>
  <si>
    <t>885661.TI</t>
  </si>
  <si>
    <t>885662.TI</t>
  </si>
  <si>
    <t>885663.TI</t>
  </si>
  <si>
    <t>885690.TI</t>
  </si>
  <si>
    <t>885692.TI</t>
  </si>
  <si>
    <t>885694.TI</t>
  </si>
  <si>
    <t>885697.TI</t>
  </si>
  <si>
    <t>885699.TI</t>
  </si>
  <si>
    <t>885700.TI</t>
  </si>
  <si>
    <t>885705.TI</t>
  </si>
  <si>
    <t>885706.TI</t>
  </si>
  <si>
    <t>885709.TI</t>
  </si>
  <si>
    <t>885710.TI</t>
  </si>
  <si>
    <t>885728.TI</t>
  </si>
  <si>
    <t>885730.TI</t>
  </si>
  <si>
    <t>885733.TI</t>
  </si>
  <si>
    <t>885734.TI</t>
  </si>
  <si>
    <t>885736.TI</t>
  </si>
  <si>
    <t>885737.TI</t>
  </si>
  <si>
    <t>885738.TI</t>
  </si>
  <si>
    <t>885739.TI</t>
  </si>
  <si>
    <t>885740.TI</t>
  </si>
  <si>
    <t>885741.TI</t>
  </si>
  <si>
    <t>885742.TI</t>
  </si>
  <si>
    <t>885743.TI</t>
  </si>
  <si>
    <t>885744.TI</t>
  </si>
  <si>
    <t>885747.TI</t>
  </si>
  <si>
    <t>885748.TI</t>
  </si>
  <si>
    <t>885749.TI</t>
  </si>
  <si>
    <t>885750.TI</t>
  </si>
  <si>
    <t>885753.TI</t>
  </si>
  <si>
    <t>885756.TI</t>
  </si>
  <si>
    <t>885757.TI</t>
  </si>
  <si>
    <t>885758.TI</t>
  </si>
  <si>
    <t>885759.TI</t>
  </si>
  <si>
    <t>885760.TI</t>
  </si>
  <si>
    <t>885761.TI</t>
  </si>
  <si>
    <t>885764.TI</t>
  </si>
  <si>
    <t>885767.TI</t>
  </si>
  <si>
    <t>885768.TI</t>
  </si>
  <si>
    <t>885769.TI</t>
  </si>
  <si>
    <t>885770.TI</t>
  </si>
  <si>
    <t>885771.TI</t>
  </si>
  <si>
    <t>885772.TI</t>
  </si>
  <si>
    <t>885774.TI</t>
  </si>
  <si>
    <t>885775.TI</t>
  </si>
  <si>
    <t>885779.TI</t>
  </si>
  <si>
    <t>885780.TI</t>
  </si>
  <si>
    <t>885781.TI</t>
  </si>
  <si>
    <t>885782.TI</t>
  </si>
  <si>
    <t>885783.TI</t>
  </si>
  <si>
    <t>885785.TI</t>
  </si>
  <si>
    <t>885786.TI</t>
  </si>
  <si>
    <t>885787.TI</t>
  </si>
  <si>
    <t>885789.TI</t>
  </si>
  <si>
    <t>885791.TI</t>
  </si>
  <si>
    <t>885792.TI</t>
  </si>
  <si>
    <t>885795.TI</t>
  </si>
  <si>
    <t>885797.TI</t>
  </si>
  <si>
    <t>885800.TI</t>
  </si>
  <si>
    <t>885805.TI</t>
  </si>
  <si>
    <t>885806.TI</t>
  </si>
  <si>
    <t>885808.TI</t>
  </si>
  <si>
    <t>885809.TI</t>
  </si>
  <si>
    <t>885810.TI</t>
  </si>
  <si>
    <t>885811.TI</t>
  </si>
  <si>
    <t>885812.TI</t>
  </si>
  <si>
    <t>885814.TI</t>
  </si>
  <si>
    <t>885818.TI</t>
  </si>
  <si>
    <t>885819.TI</t>
  </si>
  <si>
    <t>885820.TI</t>
  </si>
  <si>
    <t>885823.TI</t>
  </si>
  <si>
    <t>885825.TI</t>
  </si>
  <si>
    <t>885827.TI</t>
  </si>
  <si>
    <t>885829.TI</t>
  </si>
  <si>
    <t>885832.TI</t>
  </si>
  <si>
    <t>885834.TI</t>
  </si>
  <si>
    <t>885835.TI</t>
  </si>
  <si>
    <t>885838.TI</t>
  </si>
  <si>
    <t>885839.TI</t>
  </si>
  <si>
    <t>885840.TI</t>
  </si>
  <si>
    <t>885842.TI</t>
  </si>
  <si>
    <t>885843.TI</t>
  </si>
  <si>
    <t>885844.TI</t>
  </si>
  <si>
    <t>885845.TI</t>
  </si>
  <si>
    <t>885846.TI</t>
  </si>
  <si>
    <t>885849.TI</t>
  </si>
  <si>
    <t>885851.TI</t>
  </si>
  <si>
    <t>885852.TI</t>
  </si>
  <si>
    <t>885854.TI</t>
  </si>
  <si>
    <t>885856.TI</t>
  </si>
  <si>
    <t>885860.TI</t>
  </si>
  <si>
    <t>885861.TI</t>
  </si>
  <si>
    <t>885863.TI</t>
  </si>
  <si>
    <t>885864.TI</t>
  </si>
  <si>
    <t>885865.TI</t>
  </si>
  <si>
    <t>885866.TI</t>
  </si>
  <si>
    <t>885868.TI</t>
  </si>
  <si>
    <t>885874.TI</t>
  </si>
  <si>
    <t>885875.TI</t>
  </si>
  <si>
    <t>885876.TI</t>
  </si>
  <si>
    <t>885877.TI</t>
  </si>
  <si>
    <t>885878.TI</t>
  </si>
  <si>
    <t>885879.TI</t>
  </si>
  <si>
    <t>885881.TI</t>
  </si>
  <si>
    <t>885882.TI</t>
  </si>
  <si>
    <t>885884.TI</t>
  </si>
  <si>
    <t>885886.TI</t>
  </si>
  <si>
    <t>885887.TI</t>
  </si>
  <si>
    <t>885888.TI</t>
  </si>
  <si>
    <t>885890.TI</t>
  </si>
  <si>
    <t>885893.TI</t>
  </si>
  <si>
    <t>885894.TI</t>
  </si>
  <si>
    <t>885897.TI</t>
  </si>
  <si>
    <t>885898.TI</t>
  </si>
  <si>
    <t>885899.TI</t>
  </si>
  <si>
    <t>885900.TI</t>
  </si>
  <si>
    <t>885901.TI</t>
  </si>
  <si>
    <t>885902.TI</t>
  </si>
  <si>
    <t>885903.TI</t>
  </si>
  <si>
    <t>885904.TI</t>
  </si>
  <si>
    <t>885905.TI</t>
  </si>
  <si>
    <t>885907.TI</t>
  </si>
  <si>
    <t>885908.TI</t>
  </si>
  <si>
    <t>885909.TI</t>
  </si>
  <si>
    <t>885910.TI</t>
  </si>
  <si>
    <t>885912.TI</t>
  </si>
  <si>
    <t>885913.TI</t>
  </si>
  <si>
    <t>885914.TI</t>
  </si>
  <si>
    <t>885915.TI</t>
  </si>
  <si>
    <t>885916.TI</t>
  </si>
  <si>
    <t>885918.TI</t>
  </si>
  <si>
    <t>885919.TI</t>
  </si>
  <si>
    <t>885920.TI</t>
  </si>
  <si>
    <t>885921.TI</t>
  </si>
  <si>
    <t>885922.TI</t>
  </si>
  <si>
    <t>885923.TI</t>
  </si>
  <si>
    <t>885924.TI</t>
  </si>
  <si>
    <t>885925.TI</t>
  </si>
  <si>
    <t>885926.TI</t>
  </si>
  <si>
    <t>885927.TI</t>
  </si>
  <si>
    <t>885928.TI</t>
  </si>
  <si>
    <t>885929.TI</t>
  </si>
  <si>
    <t>885930.TI</t>
  </si>
  <si>
    <t>885931.TI</t>
  </si>
  <si>
    <t>885933.TI</t>
  </si>
  <si>
    <t>885934.TI</t>
  </si>
  <si>
    <t>885935.TI</t>
  </si>
  <si>
    <t>885936.TI</t>
  </si>
  <si>
    <t>885937.TI</t>
  </si>
  <si>
    <t>885938.TI</t>
  </si>
  <si>
    <t>885939.TI</t>
  </si>
  <si>
    <t>885940.TI</t>
  </si>
  <si>
    <t>885942.TI</t>
  </si>
  <si>
    <t>885943.TI</t>
  </si>
  <si>
    <t>885944.TI</t>
  </si>
  <si>
    <t>885945.TI</t>
  </si>
  <si>
    <t>885946.TI</t>
  </si>
  <si>
    <t>885947.TI</t>
  </si>
  <si>
    <t>885948.TI</t>
  </si>
  <si>
    <t>885950.TI</t>
  </si>
  <si>
    <t>885951.TI</t>
  </si>
  <si>
    <t>885952.TI</t>
  </si>
  <si>
    <t>885953.TI</t>
  </si>
  <si>
    <t>885955.TI</t>
  </si>
  <si>
    <t>885956.TI</t>
  </si>
  <si>
    <t>885957.TI</t>
  </si>
  <si>
    <t>885958.TI</t>
  </si>
  <si>
    <t>885959.TI</t>
  </si>
  <si>
    <t>885960.TI</t>
  </si>
  <si>
    <t>885961.TI</t>
  </si>
  <si>
    <t>885962.TI</t>
  </si>
  <si>
    <t>885963.TI</t>
  </si>
  <si>
    <t>885964.TI</t>
  </si>
  <si>
    <t>885965.TI</t>
  </si>
  <si>
    <t>885966.TI</t>
  </si>
  <si>
    <t>885967.TI</t>
  </si>
  <si>
    <t>885968.TI</t>
  </si>
  <si>
    <t>885969.TI</t>
  </si>
  <si>
    <t>885970.TI</t>
  </si>
  <si>
    <t>885971.TI</t>
  </si>
  <si>
    <t>885972.TI</t>
  </si>
  <si>
    <t>885973.TI</t>
  </si>
  <si>
    <t>885974.TI</t>
  </si>
  <si>
    <t>885975.TI</t>
  </si>
  <si>
    <t>885976.TI</t>
  </si>
  <si>
    <t>885977.TI</t>
  </si>
  <si>
    <t>885980.TI</t>
  </si>
  <si>
    <t>885981.TI</t>
  </si>
  <si>
    <t>885982.TI</t>
  </si>
  <si>
    <t>885985.TI</t>
  </si>
  <si>
    <t>885986.TI</t>
  </si>
  <si>
    <t>885987.TI</t>
  </si>
  <si>
    <t>885988.TI</t>
  </si>
  <si>
    <t>885989.TI</t>
  </si>
  <si>
    <t>885990.TI</t>
  </si>
  <si>
    <t>885991.TI</t>
  </si>
  <si>
    <t>885994.TI</t>
  </si>
  <si>
    <t>885995.TI</t>
  </si>
  <si>
    <t>885996.TI</t>
  </si>
  <si>
    <t>885997.TI</t>
  </si>
  <si>
    <t>885998.TI</t>
  </si>
  <si>
    <t>885999.TI</t>
  </si>
  <si>
    <t>886000.TI</t>
  </si>
  <si>
    <t>886001.TI</t>
  </si>
  <si>
    <t>886002.TI</t>
  </si>
  <si>
    <t>886003.TI</t>
  </si>
  <si>
    <t>886004.TI</t>
  </si>
  <si>
    <t>886005.TI</t>
  </si>
  <si>
    <t>886006.TI</t>
  </si>
  <si>
    <t>886007.TI</t>
  </si>
  <si>
    <t>886008.TI</t>
  </si>
  <si>
    <t>886009.TI</t>
  </si>
  <si>
    <t>886010.TI</t>
  </si>
  <si>
    <t>886011.TI</t>
  </si>
  <si>
    <t>886012.TI</t>
  </si>
  <si>
    <t>886013.TI</t>
  </si>
  <si>
    <t>886015.TI</t>
  </si>
  <si>
    <t>886016.TI</t>
  </si>
  <si>
    <t>886017.TI</t>
  </si>
  <si>
    <t>886018.TI</t>
  </si>
  <si>
    <t>886019.TI</t>
  </si>
  <si>
    <t>886020.TI</t>
  </si>
  <si>
    <t>886021.TI</t>
  </si>
  <si>
    <t>886023.TI</t>
  </si>
  <si>
    <t>886026.TI</t>
  </si>
  <si>
    <t>886028.TI</t>
  </si>
  <si>
    <t>886030.TI</t>
  </si>
  <si>
    <t>886031.TI</t>
  </si>
  <si>
    <t>886032.TI</t>
  </si>
  <si>
    <t>886033.TI</t>
  </si>
  <si>
    <t>886034.TI</t>
  </si>
  <si>
    <t>886035.TI</t>
  </si>
  <si>
    <t>886036.TI</t>
  </si>
  <si>
    <t>886037.TI</t>
  </si>
  <si>
    <t>886038.TI</t>
  </si>
  <si>
    <t>886039.TI</t>
  </si>
  <si>
    <t>886040.TI</t>
  </si>
  <si>
    <t>886041.TI</t>
  </si>
  <si>
    <t>886042.TI</t>
  </si>
  <si>
    <t>886043.TI</t>
  </si>
  <si>
    <t>886044.TI</t>
  </si>
  <si>
    <t>886045.TI</t>
  </si>
  <si>
    <t>886046.TI</t>
  </si>
  <si>
    <t>886047.TI</t>
  </si>
  <si>
    <t>886048.TI</t>
  </si>
  <si>
    <t>886049.TI</t>
  </si>
  <si>
    <t>886050.TI</t>
  </si>
  <si>
    <t>886051.TI</t>
  </si>
  <si>
    <t>886052.TI</t>
  </si>
  <si>
    <t>886053.TI</t>
  </si>
  <si>
    <t>886054.TI</t>
  </si>
  <si>
    <t>886055.TI</t>
  </si>
  <si>
    <t>886056.TI</t>
  </si>
  <si>
    <t>886057.TI</t>
  </si>
  <si>
    <t>886058.TI</t>
  </si>
  <si>
    <t>886059.TI</t>
  </si>
  <si>
    <t>886060.TI</t>
  </si>
  <si>
    <t>886061.TI</t>
  </si>
  <si>
    <t>886062.TI</t>
  </si>
  <si>
    <t>886063.TI</t>
  </si>
  <si>
    <t>886064.TI</t>
  </si>
  <si>
    <t>886065.TI</t>
  </si>
  <si>
    <t>886066.TI</t>
  </si>
  <si>
    <t>886067.TI</t>
  </si>
  <si>
    <t>886068.TI</t>
  </si>
  <si>
    <t>886069.TI</t>
  </si>
  <si>
    <t>886070.TI</t>
  </si>
  <si>
    <t>886071.TI</t>
  </si>
  <si>
    <t>886072.TI</t>
  </si>
  <si>
    <t>886073.TI</t>
  </si>
  <si>
    <t>886074.TI</t>
  </si>
  <si>
    <t>886075.TI</t>
  </si>
  <si>
    <t>886076.TI</t>
  </si>
  <si>
    <t>886077.TI</t>
  </si>
  <si>
    <t>886078.TI</t>
  </si>
  <si>
    <t>886080.TI</t>
  </si>
  <si>
    <t>886081.TI</t>
  </si>
  <si>
    <t>886082.TI</t>
  </si>
  <si>
    <t>886084.TI</t>
  </si>
  <si>
    <t>886085.TI</t>
  </si>
  <si>
    <t>886086.TI</t>
  </si>
  <si>
    <t>886087.TI</t>
  </si>
  <si>
    <t>886090.TI</t>
  </si>
  <si>
    <t>886091.TI</t>
  </si>
  <si>
    <t>886093.TI</t>
  </si>
  <si>
    <t>886094.TI</t>
  </si>
  <si>
    <t>886095.TI</t>
  </si>
  <si>
    <t>886096.TI</t>
  </si>
  <si>
    <t>886098.TI</t>
  </si>
  <si>
    <t>886099.TI</t>
  </si>
  <si>
    <t>886100.TI</t>
  </si>
  <si>
    <t>886101.TI</t>
  </si>
  <si>
    <t>886102.TI</t>
  </si>
  <si>
    <t>886105.TI</t>
  </si>
  <si>
    <t>886107.TI</t>
  </si>
  <si>
    <t>886108.TI</t>
  </si>
  <si>
    <t>886109.TI</t>
  </si>
  <si>
    <t>数据来源：同花顺iFinD</t>
  </si>
  <si>
    <t>YTD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</si>
</sst>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%"/>
  </numFmts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</font>
    <font>
      <b/>
      <sz val="11"/>
      <color rgb="FFFF0000"/>
      <name val="宋体"/>
      <family val="2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77" fontId="0" fillId="0" borderId="0" xfId="1" applyNumberFormat="1" applyFont="1" applyAlignment="1"/>
    <xf numFmtId="177" fontId="0" fillId="0" borderId="0" xfId="1" applyNumberFormat="1" applyFont="1" applyAlignment="1">
      <alignment horizontal="right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7"/>
  <sheetViews>
    <sheetView tabSelected="1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I19" sqref="I19"/>
    </sheetView>
  </sheetViews>
  <sheetFormatPr defaultRowHeight="14" x14ac:dyDescent="0.25"/>
  <cols>
    <col min="1" max="1" width="10.26953125" bestFit="1" customWidth="1"/>
    <col min="3" max="3" width="8.7265625" style="4"/>
  </cols>
  <sheetData>
    <row r="1" spans="1:3" x14ac:dyDescent="0.25">
      <c r="A1" s="3">
        <f ca="1">TODAY()-1</f>
        <v>46190</v>
      </c>
    </row>
    <row r="2" spans="1:3" x14ac:dyDescent="0.25">
      <c r="A2" s="1" t="s">
        <v>0</v>
      </c>
      <c r="B2" s="1" t="s">
        <v>1</v>
      </c>
      <c r="C2" s="4" t="s">
        <v>396</v>
      </c>
    </row>
    <row r="3" spans="1:3" x14ac:dyDescent="0.25">
      <c r="A3" s="1" t="s">
        <v>319</v>
      </c>
      <c r="B3" s="1" t="str">
        <f>[1]!thsiFinD("THS_GPJC_STOCK",A3)</f>
        <v>PET铜箔</v>
      </c>
      <c r="C3" s="5">
        <f ca="1">[1]!thsiFinD("ths_chg_ratio_y_index",A3,$A$1)/100</f>
        <v>0.89802355055255001</v>
      </c>
    </row>
    <row r="4" spans="1:3" x14ac:dyDescent="0.25">
      <c r="A4" s="1" t="s">
        <v>327</v>
      </c>
      <c r="B4" s="1" t="str">
        <f>[1]!thsiFinD("THS_GPJC_STOCK",A4)</f>
        <v>共封装光学(CPO)</v>
      </c>
      <c r="C4" s="5">
        <f ca="1">[1]!thsiFinD("ths_chg_ratio_y_index",A4,$A$1)/100</f>
        <v>0.87597825206598001</v>
      </c>
    </row>
    <row r="5" spans="1:3" x14ac:dyDescent="0.25">
      <c r="A5" s="1" t="s">
        <v>376</v>
      </c>
      <c r="B5" s="1" t="str">
        <f>[1]!thsiFinD("THS_GPJC_STOCK",A5)</f>
        <v>光纤概念</v>
      </c>
      <c r="C5" s="5">
        <f ca="1">[1]!thsiFinD("ths_chg_ratio_y_index",A5,$A$1)/100</f>
        <v>0.78440071253202004</v>
      </c>
    </row>
    <row r="6" spans="1:3" x14ac:dyDescent="0.25">
      <c r="A6" s="1" t="s">
        <v>309</v>
      </c>
      <c r="B6" s="1" t="str">
        <f>[1]!thsiFinD("THS_GPJC_STOCK",A6)</f>
        <v>先进封装</v>
      </c>
      <c r="C6" s="5">
        <f ca="1">[1]!thsiFinD("ths_chg_ratio_y_index",A6,$A$1)/100</f>
        <v>0.76774727539601006</v>
      </c>
    </row>
    <row r="7" spans="1:3" x14ac:dyDescent="0.25">
      <c r="A7" s="1" t="s">
        <v>265</v>
      </c>
      <c r="B7" s="1" t="str">
        <f>[1]!thsiFinD("THS_GPJC_STOCK",A7)</f>
        <v>PCB概念</v>
      </c>
      <c r="C7" s="5">
        <f ca="1">[1]!thsiFinD("ths_chg_ratio_y_index",A7,$A$1)/100</f>
        <v>0.76446952499020993</v>
      </c>
    </row>
    <row r="8" spans="1:3" x14ac:dyDescent="0.25">
      <c r="A8" s="1" t="s">
        <v>208</v>
      </c>
      <c r="B8" s="1" t="str">
        <f>[1]!thsiFinD("THS_GPJC_STOCK",A8)</f>
        <v>国家大基金持股</v>
      </c>
      <c r="C8" s="5">
        <f ca="1">[1]!thsiFinD("ths_chg_ratio_y_index",A8,$A$1)/100</f>
        <v>0.74721507569623002</v>
      </c>
    </row>
    <row r="9" spans="1:3" x14ac:dyDescent="0.25">
      <c r="A9" s="1" t="s">
        <v>336</v>
      </c>
      <c r="B9" s="1" t="str">
        <f>[1]!thsiFinD("THS_GPJC_STOCK",A9)</f>
        <v>存储芯片</v>
      </c>
      <c r="C9" s="5">
        <f ca="1">[1]!thsiFinD("ths_chg_ratio_y_index",A9,$A$1)/100</f>
        <v>0.74493006993007005</v>
      </c>
    </row>
    <row r="10" spans="1:3" x14ac:dyDescent="0.25">
      <c r="A10" s="1" t="s">
        <v>348</v>
      </c>
      <c r="B10" s="1" t="str">
        <f>[1]!thsiFinD("THS_GPJC_STOCK",A10)</f>
        <v>光刻机</v>
      </c>
      <c r="C10" s="5">
        <f ca="1">[1]!thsiFinD("ths_chg_ratio_y_index",A10,$A$1)/100</f>
        <v>0.65436980130293998</v>
      </c>
    </row>
    <row r="11" spans="1:3" x14ac:dyDescent="0.25">
      <c r="A11" s="1" t="s">
        <v>210</v>
      </c>
      <c r="B11" s="1" t="str">
        <f>[1]!thsiFinD("THS_GPJC_STOCK",A11)</f>
        <v>中芯国际概念</v>
      </c>
      <c r="C11" s="5">
        <f ca="1">[1]!thsiFinD("ths_chg_ratio_y_index",A11,$A$1)/100</f>
        <v>0.63480127031675004</v>
      </c>
    </row>
    <row r="12" spans="1:3" x14ac:dyDescent="0.25">
      <c r="A12" s="1" t="s">
        <v>196</v>
      </c>
      <c r="B12" s="1" t="str">
        <f>[1]!thsiFinD("THS_GPJC_STOCK",A12)</f>
        <v>MiniLED</v>
      </c>
      <c r="C12" s="5">
        <f ca="1">[1]!thsiFinD("ths_chg_ratio_y_index",A12,$A$1)/100</f>
        <v>0.56900633675738999</v>
      </c>
    </row>
    <row r="13" spans="1:3" x14ac:dyDescent="0.25">
      <c r="A13" s="1" t="s">
        <v>220</v>
      </c>
      <c r="B13" s="1" t="str">
        <f>[1]!thsiFinD("THS_GPJC_STOCK",A13)</f>
        <v>第三代半导体</v>
      </c>
      <c r="C13" s="5">
        <f ca="1">[1]!thsiFinD("ths_chg_ratio_y_index",A13,$A$1)/100</f>
        <v>0.56340540083203994</v>
      </c>
    </row>
    <row r="14" spans="1:3" x14ac:dyDescent="0.25">
      <c r="A14" s="1" t="s">
        <v>246</v>
      </c>
      <c r="B14" s="1" t="str">
        <f>[1]!thsiFinD("THS_GPJC_STOCK",A14)</f>
        <v>培育钻石</v>
      </c>
      <c r="C14" s="5">
        <f ca="1">[1]!thsiFinD("ths_chg_ratio_y_index",A14,$A$1)/100</f>
        <v>0.54665016681490997</v>
      </c>
    </row>
    <row r="15" spans="1:3" x14ac:dyDescent="0.25">
      <c r="A15" s="1" t="s">
        <v>149</v>
      </c>
      <c r="B15" s="1" t="str">
        <f>[1]!thsiFinD("THS_GPJC_STOCK",A15)</f>
        <v>富士康概念</v>
      </c>
      <c r="C15" s="5">
        <f ca="1">[1]!thsiFinD("ths_chg_ratio_y_index",A15,$A$1)/100</f>
        <v>0.52116534467740994</v>
      </c>
    </row>
    <row r="16" spans="1:3" x14ac:dyDescent="0.25">
      <c r="A16" s="1" t="s">
        <v>116</v>
      </c>
      <c r="B16" s="1" t="str">
        <f>[1]!thsiFinD("THS_GPJC_STOCK",A16)</f>
        <v>OLED</v>
      </c>
      <c r="C16" s="5">
        <f ca="1">[1]!thsiFinD("ths_chg_ratio_y_index",A16,$A$1)/100</f>
        <v>0.49829575829531997</v>
      </c>
    </row>
    <row r="17" spans="1:3" x14ac:dyDescent="0.25">
      <c r="A17" s="1" t="s">
        <v>298</v>
      </c>
      <c r="B17" s="1" t="str">
        <f>[1]!thsiFinD("THS_GPJC_STOCK",A17)</f>
        <v>F5G概念</v>
      </c>
      <c r="C17" s="5">
        <f ca="1">[1]!thsiFinD("ths_chg_ratio_y_index",A17,$A$1)/100</f>
        <v>0.49137423154401</v>
      </c>
    </row>
    <row r="18" spans="1:3" x14ac:dyDescent="0.25">
      <c r="A18" s="1" t="s">
        <v>367</v>
      </c>
      <c r="B18" s="1" t="str">
        <f>[1]!thsiFinD("THS_GPJC_STOCK",A18)</f>
        <v>铜缆高速连接</v>
      </c>
      <c r="C18" s="5">
        <f ca="1">[1]!thsiFinD("ths_chg_ratio_y_index",A18,$A$1)/100</f>
        <v>0.48470485090133003</v>
      </c>
    </row>
    <row r="19" spans="1:3" x14ac:dyDescent="0.25">
      <c r="A19" s="1" t="s">
        <v>289</v>
      </c>
      <c r="B19" s="1" t="str">
        <f>[1]!thsiFinD("THS_GPJC_STOCK",A19)</f>
        <v>MicroLED概念</v>
      </c>
      <c r="C19" s="5">
        <f ca="1">[1]!thsiFinD("ths_chg_ratio_y_index",A19,$A$1)/100</f>
        <v>0.46542021173625003</v>
      </c>
    </row>
    <row r="20" spans="1:3" x14ac:dyDescent="0.25">
      <c r="A20" s="1" t="s">
        <v>191</v>
      </c>
      <c r="B20" s="1" t="str">
        <f>[1]!thsiFinD("THS_GPJC_STOCK",A20)</f>
        <v>光刻胶</v>
      </c>
      <c r="C20" s="5">
        <f ca="1">[1]!thsiFinD("ths_chg_ratio_y_index",A20,$A$1)/100</f>
        <v>0.46515808894895999</v>
      </c>
    </row>
    <row r="21" spans="1:3" x14ac:dyDescent="0.25">
      <c r="A21" s="1" t="s">
        <v>160</v>
      </c>
      <c r="B21" s="1" t="str">
        <f>[1]!thsiFinD("THS_GPJC_STOCK",A21)</f>
        <v>柔性屏(折叠屏)</v>
      </c>
      <c r="C21" s="5">
        <f ca="1">[1]!thsiFinD("ths_chg_ratio_y_index",A21,$A$1)/100</f>
        <v>0.46110057556938999</v>
      </c>
    </row>
    <row r="22" spans="1:3" x14ac:dyDescent="0.25">
      <c r="A22" s="1" t="s">
        <v>16</v>
      </c>
      <c r="B22" s="1" t="str">
        <f>[1]!thsiFinD("THS_GPJC_STOCK",A22)</f>
        <v>苹果概念</v>
      </c>
      <c r="C22" s="5">
        <f ca="1">[1]!thsiFinD("ths_chg_ratio_y_index",A22,$A$1)/100</f>
        <v>0.42664045414955998</v>
      </c>
    </row>
    <row r="23" spans="1:3" x14ac:dyDescent="0.25">
      <c r="A23" s="1" t="s">
        <v>204</v>
      </c>
      <c r="B23" s="1" t="str">
        <f>[1]!thsiFinD("THS_GPJC_STOCK",A23)</f>
        <v>超级电容</v>
      </c>
      <c r="C23" s="5">
        <f ca="1">[1]!thsiFinD("ths_chg_ratio_y_index",A23,$A$1)/100</f>
        <v>0.42339815477419995</v>
      </c>
    </row>
    <row r="24" spans="1:3" x14ac:dyDescent="0.25">
      <c r="A24" s="1" t="s">
        <v>219</v>
      </c>
      <c r="B24" s="1" t="str">
        <f>[1]!thsiFinD("THS_GPJC_STOCK",A24)</f>
        <v>科创次新股</v>
      </c>
      <c r="C24" s="5">
        <f ca="1">[1]!thsiFinD("ths_chg_ratio_y_index",A24,$A$1)/100</f>
        <v>0.41044615213576002</v>
      </c>
    </row>
    <row r="25" spans="1:3" x14ac:dyDescent="0.25">
      <c r="A25" s="1" t="s">
        <v>375</v>
      </c>
      <c r="B25" s="1" t="str">
        <f>[1]!thsiFinD("THS_GPJC_STOCK",A25)</f>
        <v>同花顺果指数</v>
      </c>
      <c r="C25" s="5">
        <f ca="1">[1]!thsiFinD("ths_chg_ratio_y_index",A25,$A$1)/100</f>
        <v>0.39915126247606997</v>
      </c>
    </row>
    <row r="26" spans="1:3" x14ac:dyDescent="0.25">
      <c r="A26" s="1" t="s">
        <v>365</v>
      </c>
      <c r="B26" s="1" t="str">
        <f>[1]!thsiFinD("THS_GPJC_STOCK",A26)</f>
        <v>AI PC</v>
      </c>
      <c r="C26" s="5">
        <f ca="1">[1]!thsiFinD("ths_chg_ratio_y_index",A26,$A$1)/100</f>
        <v>0.37574843583029</v>
      </c>
    </row>
    <row r="27" spans="1:3" x14ac:dyDescent="0.25">
      <c r="A27" s="1" t="s">
        <v>347</v>
      </c>
      <c r="B27" s="1" t="str">
        <f>[1]!thsiFinD("THS_GPJC_STOCK",A27)</f>
        <v>BC电池</v>
      </c>
      <c r="C27" s="5">
        <f ca="1">[1]!thsiFinD("ths_chg_ratio_y_index",A27,$A$1)/100</f>
        <v>0.36721144507053999</v>
      </c>
    </row>
    <row r="28" spans="1:3" x14ac:dyDescent="0.25">
      <c r="A28" s="1" t="s">
        <v>128</v>
      </c>
      <c r="B28" s="1" t="str">
        <f>[1]!thsiFinD("THS_GPJC_STOCK",A28)</f>
        <v>芯片概念</v>
      </c>
      <c r="C28" s="5">
        <f ca="1">[1]!thsiFinD("ths_chg_ratio_y_index",A28,$A$1)/100</f>
        <v>0.35094381203028002</v>
      </c>
    </row>
    <row r="29" spans="1:3" x14ac:dyDescent="0.25">
      <c r="A29" s="1" t="s">
        <v>331</v>
      </c>
      <c r="B29" s="1" t="str">
        <f>[1]!thsiFinD("THS_GPJC_STOCK",A29)</f>
        <v>6G概念</v>
      </c>
      <c r="C29" s="5">
        <f ca="1">[1]!thsiFinD("ths_chg_ratio_y_index",A29,$A$1)/100</f>
        <v>0.32408003304292998</v>
      </c>
    </row>
    <row r="30" spans="1:3" x14ac:dyDescent="0.25">
      <c r="A30" s="1" t="s">
        <v>253</v>
      </c>
      <c r="B30" s="1" t="str">
        <f>[1]!thsiFinD("THS_GPJC_STOCK",A30)</f>
        <v>汽车芯片</v>
      </c>
      <c r="C30" s="5">
        <f ca="1">[1]!thsiFinD("ths_chg_ratio_y_index",A30,$A$1)/100</f>
        <v>0.32282117456463</v>
      </c>
    </row>
    <row r="31" spans="1:3" x14ac:dyDescent="0.25">
      <c r="A31" s="1" t="s">
        <v>381</v>
      </c>
      <c r="B31" s="1" t="str">
        <f>[1]!thsiFinD("THS_GPJC_STOCK",A31)</f>
        <v>华为手机</v>
      </c>
      <c r="C31" s="5">
        <f ca="1">[1]!thsiFinD("ths_chg_ratio_y_index",A31,$A$1)/100</f>
        <v>0.32255572786766001</v>
      </c>
    </row>
    <row r="32" spans="1:3" x14ac:dyDescent="0.25">
      <c r="A32" s="1" t="s">
        <v>338</v>
      </c>
      <c r="B32" s="1" t="str">
        <f>[1]!thsiFinD("THS_GPJC_STOCK",A32)</f>
        <v>液冷服务器</v>
      </c>
      <c r="C32" s="5">
        <f ca="1">[1]!thsiFinD("ths_chg_ratio_y_index",A32,$A$1)/100</f>
        <v>0.31279322050392999</v>
      </c>
    </row>
    <row r="33" spans="1:3" x14ac:dyDescent="0.25">
      <c r="A33" s="1" t="s">
        <v>156</v>
      </c>
      <c r="B33" s="1" t="str">
        <f>[1]!thsiFinD("THS_GPJC_STOCK",A33)</f>
        <v>消费电子概念</v>
      </c>
      <c r="C33" s="5">
        <f ca="1">[1]!thsiFinD("ths_chg_ratio_y_index",A33,$A$1)/100</f>
        <v>0.30886444327622997</v>
      </c>
    </row>
    <row r="34" spans="1:3" x14ac:dyDescent="0.25">
      <c r="A34" s="1" t="s">
        <v>306</v>
      </c>
      <c r="B34" s="1" t="str">
        <f>[1]!thsiFinD("THS_GPJC_STOCK",A34)</f>
        <v>钙钛矿电池</v>
      </c>
      <c r="C34" s="5">
        <f ca="1">[1]!thsiFinD("ths_chg_ratio_y_index",A34,$A$1)/100</f>
        <v>0.30755898711711999</v>
      </c>
    </row>
    <row r="35" spans="1:3" x14ac:dyDescent="0.25">
      <c r="A35" s="1" t="s">
        <v>179</v>
      </c>
      <c r="B35" s="1" t="str">
        <f>[1]!thsiFinD("THS_GPJC_STOCK",A35)</f>
        <v>华为海思概念股</v>
      </c>
      <c r="C35" s="5">
        <f ca="1">[1]!thsiFinD("ths_chg_ratio_y_index",A35,$A$1)/100</f>
        <v>0.29680401038671</v>
      </c>
    </row>
    <row r="36" spans="1:3" x14ac:dyDescent="0.25">
      <c r="A36" s="1" t="s">
        <v>394</v>
      </c>
      <c r="B36" s="1" t="str">
        <f>[1]!thsiFinD("THS_GPJC_STOCK",A36)</f>
        <v>2026一季报预增</v>
      </c>
      <c r="C36" s="5">
        <f ca="1">[1]!thsiFinD("ths_chg_ratio_y_index",A36,$A$1)/100</f>
        <v>0.28994900000000001</v>
      </c>
    </row>
    <row r="37" spans="1:3" x14ac:dyDescent="0.25">
      <c r="A37" s="1" t="s">
        <v>377</v>
      </c>
      <c r="B37" s="1" t="str">
        <f>[1]!thsiFinD("THS_GPJC_STOCK",A37)</f>
        <v>AI眼镜</v>
      </c>
      <c r="C37" s="5">
        <f ca="1">[1]!thsiFinD("ths_chg_ratio_y_index",A37,$A$1)/100</f>
        <v>0.27697130972955003</v>
      </c>
    </row>
    <row r="38" spans="1:3" x14ac:dyDescent="0.25">
      <c r="A38" s="1" t="s">
        <v>68</v>
      </c>
      <c r="B38" s="1" t="str">
        <f>[1]!thsiFinD("THS_GPJC_STOCK",A38)</f>
        <v>5G</v>
      </c>
      <c r="C38" s="5">
        <f ca="1">[1]!thsiFinD("ths_chg_ratio_y_index",A38,$A$1)/100</f>
        <v>0.26700954052287001</v>
      </c>
    </row>
    <row r="39" spans="1:3" x14ac:dyDescent="0.25">
      <c r="A39" s="1" t="s">
        <v>27</v>
      </c>
      <c r="B39" s="1" t="str">
        <f>[1]!thsiFinD("THS_GPJC_STOCK",A39)</f>
        <v>特高压</v>
      </c>
      <c r="C39" s="5">
        <f ca="1">[1]!thsiFinD("ths_chg_ratio_y_index",A39,$A$1)/100</f>
        <v>0.26444169654318</v>
      </c>
    </row>
    <row r="40" spans="1:3" x14ac:dyDescent="0.25">
      <c r="A40" s="1" t="s">
        <v>307</v>
      </c>
      <c r="B40" s="1" t="str">
        <f>[1]!thsiFinD("THS_GPJC_STOCK",A40)</f>
        <v>TOPCON电池</v>
      </c>
      <c r="C40" s="5">
        <f ca="1">[1]!thsiFinD("ths_chg_ratio_y_index",A40,$A$1)/100</f>
        <v>0.26099212334173999</v>
      </c>
    </row>
    <row r="41" spans="1:3" x14ac:dyDescent="0.25">
      <c r="A41" s="1" t="s">
        <v>256</v>
      </c>
      <c r="B41" s="1" t="str">
        <f>[1]!thsiFinD("THS_GPJC_STOCK",A41)</f>
        <v>柔性直流输电</v>
      </c>
      <c r="C41" s="5">
        <f ca="1">[1]!thsiFinD("ths_chg_ratio_y_index",A41,$A$1)/100</f>
        <v>0.25395540733711003</v>
      </c>
    </row>
    <row r="42" spans="1:3" x14ac:dyDescent="0.25">
      <c r="A42" s="1" t="s">
        <v>212</v>
      </c>
      <c r="B42" s="1" t="str">
        <f>[1]!thsiFinD("THS_GPJC_STOCK",A42)</f>
        <v>新型烟草(电子烟)</v>
      </c>
      <c r="C42" s="5">
        <f ca="1">[1]!thsiFinD("ths_chg_ratio_y_index",A42,$A$1)/100</f>
        <v>0.25267591850309001</v>
      </c>
    </row>
    <row r="43" spans="1:3" x14ac:dyDescent="0.25">
      <c r="A43" s="1" t="s">
        <v>326</v>
      </c>
      <c r="B43" s="1" t="str">
        <f>[1]!thsiFinD("THS_GPJC_STOCK",A43)</f>
        <v>固态电池</v>
      </c>
      <c r="C43" s="5">
        <f ca="1">[1]!thsiFinD("ths_chg_ratio_y_index",A43,$A$1)/100</f>
        <v>0.25118075694629</v>
      </c>
    </row>
    <row r="44" spans="1:3" x14ac:dyDescent="0.25">
      <c r="A44" s="1" t="s">
        <v>342</v>
      </c>
      <c r="B44" s="1" t="str">
        <f>[1]!thsiFinD("THS_GPJC_STOCK",A44)</f>
        <v>英伟达概念</v>
      </c>
      <c r="C44" s="5">
        <f ca="1">[1]!thsiFinD("ths_chg_ratio_y_index",A44,$A$1)/100</f>
        <v>0.24939386230259999</v>
      </c>
    </row>
    <row r="45" spans="1:3" x14ac:dyDescent="0.25">
      <c r="A45" s="1" t="s">
        <v>382</v>
      </c>
      <c r="B45" s="1" t="str">
        <f>[1]!thsiFinD("THS_GPJC_STOCK",A45)</f>
        <v>华为数字能源</v>
      </c>
      <c r="C45" s="5">
        <f ca="1">[1]!thsiFinD("ths_chg_ratio_y_index",A45,$A$1)/100</f>
        <v>0.24824600482672998</v>
      </c>
    </row>
    <row r="46" spans="1:3" x14ac:dyDescent="0.25">
      <c r="A46" s="1" t="s">
        <v>199</v>
      </c>
      <c r="B46" s="1" t="str">
        <f>[1]!thsiFinD("THS_GPJC_STOCK",A46)</f>
        <v>HJT电池</v>
      </c>
      <c r="C46" s="5">
        <f ca="1">[1]!thsiFinD("ths_chg_ratio_y_index",A46,$A$1)/100</f>
        <v>0.24654742338647001</v>
      </c>
    </row>
    <row r="47" spans="1:3" x14ac:dyDescent="0.25">
      <c r="A47" s="1" t="s">
        <v>64</v>
      </c>
      <c r="B47" s="1" t="str">
        <f>[1]!thsiFinD("THS_GPJC_STOCK",A47)</f>
        <v>汽车电子</v>
      </c>
      <c r="C47" s="5">
        <f ca="1">[1]!thsiFinD("ths_chg_ratio_y_index",A47,$A$1)/100</f>
        <v>0.24390993305135</v>
      </c>
    </row>
    <row r="48" spans="1:3" x14ac:dyDescent="0.25">
      <c r="A48" s="1" t="s">
        <v>65</v>
      </c>
      <c r="B48" s="1" t="str">
        <f>[1]!thsiFinD("THS_GPJC_STOCK",A48)</f>
        <v>氟化工概念</v>
      </c>
      <c r="C48" s="5">
        <f ca="1">[1]!thsiFinD("ths_chg_ratio_y_index",A48,$A$1)/100</f>
        <v>0.23621237109255</v>
      </c>
    </row>
    <row r="49" spans="1:3" x14ac:dyDescent="0.25">
      <c r="A49" s="1" t="s">
        <v>332</v>
      </c>
      <c r="B49" s="1" t="str">
        <f>[1]!thsiFinD("THS_GPJC_STOCK",A49)</f>
        <v>超导概念</v>
      </c>
      <c r="C49" s="5">
        <f ca="1">[1]!thsiFinD("ths_chg_ratio_y_index",A49,$A$1)/100</f>
        <v>0.23560390317447</v>
      </c>
    </row>
    <row r="50" spans="1:3" x14ac:dyDescent="0.25">
      <c r="A50" s="1" t="s">
        <v>235</v>
      </c>
      <c r="B50" s="1" t="str">
        <f>[1]!thsiFinD("THS_GPJC_STOCK",A50)</f>
        <v>MCU芯片</v>
      </c>
      <c r="C50" s="5">
        <f ca="1">[1]!thsiFinD("ths_chg_ratio_y_index",A50,$A$1)/100</f>
        <v>0.21618601027353002</v>
      </c>
    </row>
    <row r="51" spans="1:3" x14ac:dyDescent="0.25">
      <c r="A51" s="1" t="s">
        <v>249</v>
      </c>
      <c r="B51" s="1" t="str">
        <f>[1]!thsiFinD("THS_GPJC_STOCK",A51)</f>
        <v>WiFi6</v>
      </c>
      <c r="C51" s="5">
        <f ca="1">[1]!thsiFinD("ths_chg_ratio_y_index",A51,$A$1)/100</f>
        <v>0.20967684223311001</v>
      </c>
    </row>
    <row r="52" spans="1:3" x14ac:dyDescent="0.25">
      <c r="A52" s="1" t="s">
        <v>59</v>
      </c>
      <c r="B52" s="1" t="str">
        <f>[1]!thsiFinD("THS_GPJC_STOCK",A52)</f>
        <v>光伏概念</v>
      </c>
      <c r="C52" s="5">
        <f ca="1">[1]!thsiFinD("ths_chg_ratio_y_index",A52,$A$1)/100</f>
        <v>0.20887690689110999</v>
      </c>
    </row>
    <row r="53" spans="1:3" x14ac:dyDescent="0.25">
      <c r="A53" s="1" t="s">
        <v>364</v>
      </c>
      <c r="B53" s="1" t="str">
        <f>[1]!thsiFinD("THS_GPJC_STOCK",A53)</f>
        <v>AI手机</v>
      </c>
      <c r="C53" s="5">
        <f ca="1">[1]!thsiFinD("ths_chg_ratio_y_index",A53,$A$1)/100</f>
        <v>0.20838676656012001</v>
      </c>
    </row>
    <row r="54" spans="1:3" x14ac:dyDescent="0.25">
      <c r="A54" s="1" t="s">
        <v>11</v>
      </c>
      <c r="B54" s="1" t="str">
        <f>[1]!thsiFinD("THS_GPJC_STOCK",A54)</f>
        <v>稀土永磁</v>
      </c>
      <c r="C54" s="5">
        <f ca="1">[1]!thsiFinD("ths_chg_ratio_y_index",A54,$A$1)/100</f>
        <v>0.20725879099265998</v>
      </c>
    </row>
    <row r="55" spans="1:3" x14ac:dyDescent="0.25">
      <c r="A55" s="1" t="s">
        <v>34</v>
      </c>
      <c r="B55" s="1" t="str">
        <f>[1]!thsiFinD("THS_GPJC_STOCK",A55)</f>
        <v>智能穿戴</v>
      </c>
      <c r="C55" s="5">
        <f ca="1">[1]!thsiFinD("ths_chg_ratio_y_index",A55,$A$1)/100</f>
        <v>0.20700628163261001</v>
      </c>
    </row>
    <row r="56" spans="1:3" x14ac:dyDescent="0.25">
      <c r="A56" s="1" t="s">
        <v>340</v>
      </c>
      <c r="B56" s="1" t="str">
        <f>[1]!thsiFinD("THS_GPJC_STOCK",A56)</f>
        <v>MR(混合现实)</v>
      </c>
      <c r="C56" s="5">
        <f ca="1">[1]!thsiFinD("ths_chg_ratio_y_index",A56,$A$1)/100</f>
        <v>0.20606105002163003</v>
      </c>
    </row>
    <row r="57" spans="1:3" x14ac:dyDescent="0.25">
      <c r="A57" s="1" t="s">
        <v>241</v>
      </c>
      <c r="B57" s="1" t="str">
        <f>[1]!thsiFinD("THS_GPJC_STOCK",A57)</f>
        <v>PVDF概念</v>
      </c>
      <c r="C57" s="5">
        <f ca="1">[1]!thsiFinD("ths_chg_ratio_y_index",A57,$A$1)/100</f>
        <v>0.20263811614047</v>
      </c>
    </row>
    <row r="58" spans="1:3" x14ac:dyDescent="0.25">
      <c r="A58" s="1" t="s">
        <v>151</v>
      </c>
      <c r="B58" s="1" t="str">
        <f>[1]!thsiFinD("THS_GPJC_STOCK",A58)</f>
        <v>宁德时代概念</v>
      </c>
      <c r="C58" s="5">
        <f ca="1">[1]!thsiFinD("ths_chg_ratio_y_index",A58,$A$1)/100</f>
        <v>0.19852438533549002</v>
      </c>
    </row>
    <row r="59" spans="1:3" x14ac:dyDescent="0.25">
      <c r="A59" s="1" t="s">
        <v>260</v>
      </c>
      <c r="B59" s="1" t="str">
        <f>[1]!thsiFinD("THS_GPJC_STOCK",A59)</f>
        <v>电子纸</v>
      </c>
      <c r="C59" s="5">
        <f ca="1">[1]!thsiFinD("ths_chg_ratio_y_index",A59,$A$1)/100</f>
        <v>0.19757651857413999</v>
      </c>
    </row>
    <row r="60" spans="1:3" x14ac:dyDescent="0.25">
      <c r="A60" s="1" t="s">
        <v>13</v>
      </c>
      <c r="B60" s="1" t="str">
        <f>[1]!thsiFinD("THS_GPJC_STOCK",A60)</f>
        <v>石墨烯</v>
      </c>
      <c r="C60" s="5">
        <f ca="1">[1]!thsiFinD("ths_chg_ratio_y_index",A60,$A$1)/100</f>
        <v>0.19103074397345002</v>
      </c>
    </row>
    <row r="61" spans="1:3" x14ac:dyDescent="0.25">
      <c r="A61" s="1" t="s">
        <v>392</v>
      </c>
      <c r="B61" s="1" t="str">
        <f>[1]!thsiFinD("THS_GPJC_STOCK",A61)</f>
        <v>2025年报预增</v>
      </c>
      <c r="C61" s="5">
        <f ca="1">[1]!thsiFinD("ths_chg_ratio_y_index",A61,$A$1)/100</f>
        <v>0.19065100000000001</v>
      </c>
    </row>
    <row r="62" spans="1:3" x14ac:dyDescent="0.25">
      <c r="A62" s="1" t="s">
        <v>244</v>
      </c>
      <c r="B62" s="1" t="str">
        <f>[1]!thsiFinD("THS_GPJC_STOCK",A62)</f>
        <v>抽水蓄能</v>
      </c>
      <c r="C62" s="5">
        <f ca="1">[1]!thsiFinD("ths_chg_ratio_y_index",A62,$A$1)/100</f>
        <v>0.18890038157896999</v>
      </c>
    </row>
    <row r="63" spans="1:3" x14ac:dyDescent="0.25">
      <c r="A63" s="1" t="s">
        <v>141</v>
      </c>
      <c r="B63" s="1" t="str">
        <f>[1]!thsiFinD("THS_GPJC_STOCK",A63)</f>
        <v>无线充电</v>
      </c>
      <c r="C63" s="5">
        <f ca="1">[1]!thsiFinD("ths_chg_ratio_y_index",A63,$A$1)/100</f>
        <v>0.18682626892372001</v>
      </c>
    </row>
    <row r="64" spans="1:3" x14ac:dyDescent="0.25">
      <c r="A64" s="1" t="s">
        <v>240</v>
      </c>
      <c r="B64" s="1" t="str">
        <f>[1]!thsiFinD("THS_GPJC_STOCK",A64)</f>
        <v>工业母机</v>
      </c>
      <c r="C64" s="5">
        <f ca="1">[1]!thsiFinD("ths_chg_ratio_y_index",A64,$A$1)/100</f>
        <v>0.18516930212809998</v>
      </c>
    </row>
    <row r="65" spans="1:3" x14ac:dyDescent="0.25">
      <c r="A65" s="1" t="s">
        <v>359</v>
      </c>
      <c r="B65" s="1" t="str">
        <f>[1]!thsiFinD("THS_GPJC_STOCK",A65)</f>
        <v>可控核聚变</v>
      </c>
      <c r="C65" s="5">
        <f ca="1">[1]!thsiFinD("ths_chg_ratio_y_index",A65,$A$1)/100</f>
        <v>0.18415383916814002</v>
      </c>
    </row>
    <row r="66" spans="1:3" x14ac:dyDescent="0.25">
      <c r="A66" s="1" t="s">
        <v>194</v>
      </c>
      <c r="B66" s="1" t="str">
        <f>[1]!thsiFinD("THS_GPJC_STOCK",A66)</f>
        <v>无线耳机</v>
      </c>
      <c r="C66" s="5">
        <f ca="1">[1]!thsiFinD("ths_chg_ratio_y_index",A66,$A$1)/100</f>
        <v>0.18196007187719002</v>
      </c>
    </row>
    <row r="67" spans="1:3" x14ac:dyDescent="0.25">
      <c r="A67" s="1" t="s">
        <v>66</v>
      </c>
      <c r="B67" s="1" t="str">
        <f>[1]!thsiFinD("THS_GPJC_STOCK",A67)</f>
        <v>小金属概念</v>
      </c>
      <c r="C67" s="5">
        <f ca="1">[1]!thsiFinD("ths_chg_ratio_y_index",A67,$A$1)/100</f>
        <v>0.18195980950210999</v>
      </c>
    </row>
    <row r="68" spans="1:3" x14ac:dyDescent="0.25">
      <c r="A68" s="1" t="s">
        <v>60</v>
      </c>
      <c r="B68" s="1" t="str">
        <f>[1]!thsiFinD("THS_GPJC_STOCK",A68)</f>
        <v>3D打印</v>
      </c>
      <c r="C68" s="5">
        <f ca="1">[1]!thsiFinD("ths_chg_ratio_y_index",A68,$A$1)/100</f>
        <v>0.18069817581525999</v>
      </c>
    </row>
    <row r="69" spans="1:3" x14ac:dyDescent="0.25">
      <c r="A69" s="1" t="s">
        <v>109</v>
      </c>
      <c r="B69" s="1" t="str">
        <f>[1]!thsiFinD("THS_GPJC_STOCK",A69)</f>
        <v>锂电池概念</v>
      </c>
      <c r="C69" s="5">
        <f ca="1">[1]!thsiFinD("ths_chg_ratio_y_index",A69,$A$1)/100</f>
        <v>0.17726800509688001</v>
      </c>
    </row>
    <row r="70" spans="1:3" x14ac:dyDescent="0.25">
      <c r="A70" s="1" t="s">
        <v>205</v>
      </c>
      <c r="B70" s="1" t="str">
        <f>[1]!thsiFinD("THS_GPJC_STOCK",A70)</f>
        <v>数据中心(AIDC)</v>
      </c>
      <c r="C70" s="5">
        <f ca="1">[1]!thsiFinD("ths_chg_ratio_y_index",A70,$A$1)/100</f>
        <v>0.16796383919482</v>
      </c>
    </row>
    <row r="71" spans="1:3" x14ac:dyDescent="0.25">
      <c r="A71" s="1" t="s">
        <v>188</v>
      </c>
      <c r="B71" s="1" t="str">
        <f>[1]!thsiFinD("THS_GPJC_STOCK",A71)</f>
        <v>中船系</v>
      </c>
      <c r="C71" s="5">
        <f ca="1">[1]!thsiFinD("ths_chg_ratio_y_index",A71,$A$1)/100</f>
        <v>0.16405430889834999</v>
      </c>
    </row>
    <row r="72" spans="1:3" x14ac:dyDescent="0.25">
      <c r="A72" s="1" t="s">
        <v>276</v>
      </c>
      <c r="B72" s="1" t="str">
        <f>[1]!thsiFinD("THS_GPJC_STOCK",A72)</f>
        <v>金属锌</v>
      </c>
      <c r="C72" s="5">
        <f ca="1">[1]!thsiFinD("ths_chg_ratio_y_index",A72,$A$1)/100</f>
        <v>0.16202946249484002</v>
      </c>
    </row>
    <row r="73" spans="1:3" x14ac:dyDescent="0.25">
      <c r="A73" s="1" t="s">
        <v>216</v>
      </c>
      <c r="B73" s="1" t="str">
        <f>[1]!thsiFinD("THS_GPJC_STOCK",A73)</f>
        <v>环氧丙烷</v>
      </c>
      <c r="C73" s="5">
        <f ca="1">[1]!thsiFinD("ths_chg_ratio_y_index",A73,$A$1)/100</f>
        <v>0.15809062329946999</v>
      </c>
    </row>
    <row r="74" spans="1:3" x14ac:dyDescent="0.25">
      <c r="A74" s="1" t="s">
        <v>6</v>
      </c>
      <c r="B74" s="1" t="str">
        <f>[1]!thsiFinD("THS_GPJC_STOCK",A74)</f>
        <v>中证500成份股</v>
      </c>
      <c r="C74" s="5">
        <f ca="1">[1]!thsiFinD("ths_chg_ratio_y_index",A74,$A$1)/100</f>
        <v>0.15558302982892999</v>
      </c>
    </row>
    <row r="75" spans="1:3" x14ac:dyDescent="0.25">
      <c r="A75" s="1" t="s">
        <v>329</v>
      </c>
      <c r="B75" s="1" t="str">
        <f>[1]!thsiFinD("THS_GPJC_STOCK",A75)</f>
        <v>毫米波雷达</v>
      </c>
      <c r="C75" s="5">
        <f ca="1">[1]!thsiFinD("ths_chg_ratio_y_index",A75,$A$1)/100</f>
        <v>0.15285652900784</v>
      </c>
    </row>
    <row r="76" spans="1:3" x14ac:dyDescent="0.25">
      <c r="A76" s="1" t="s">
        <v>223</v>
      </c>
      <c r="B76" s="1" t="str">
        <f>[1]!thsiFinD("THS_GPJC_STOCK",A76)</f>
        <v>有机硅概念</v>
      </c>
      <c r="C76" s="5">
        <f ca="1">[1]!thsiFinD("ths_chg_ratio_y_index",A76,$A$1)/100</f>
        <v>0.1492677889524</v>
      </c>
    </row>
    <row r="77" spans="1:3" x14ac:dyDescent="0.25">
      <c r="A77" s="1" t="s">
        <v>296</v>
      </c>
      <c r="B77" s="1" t="str">
        <f>[1]!thsiFinD("THS_GPJC_STOCK",A77)</f>
        <v>超超临界发电</v>
      </c>
      <c r="C77" s="5">
        <f ca="1">[1]!thsiFinD("ths_chg_ratio_y_index",A77,$A$1)/100</f>
        <v>0.14698053182707999</v>
      </c>
    </row>
    <row r="78" spans="1:3" x14ac:dyDescent="0.25">
      <c r="A78" s="1" t="s">
        <v>346</v>
      </c>
      <c r="B78" s="1" t="str">
        <f>[1]!thsiFinD("THS_GPJC_STOCK",A78)</f>
        <v>核污染防治</v>
      </c>
      <c r="C78" s="5">
        <f ca="1">[1]!thsiFinD("ths_chg_ratio_y_index",A78,$A$1)/100</f>
        <v>0.14300534055559</v>
      </c>
    </row>
    <row r="79" spans="1:3" x14ac:dyDescent="0.25">
      <c r="A79" s="1" t="s">
        <v>275</v>
      </c>
      <c r="B79" s="1" t="str">
        <f>[1]!thsiFinD("THS_GPJC_STOCK",A79)</f>
        <v>金属镍</v>
      </c>
      <c r="C79" s="5">
        <f ca="1">[1]!thsiFinD("ths_chg_ratio_y_index",A79,$A$1)/100</f>
        <v>0.14048757799187001</v>
      </c>
    </row>
    <row r="80" spans="1:3" x14ac:dyDescent="0.25">
      <c r="A80" s="1" t="s">
        <v>67</v>
      </c>
      <c r="B80" s="1" t="str">
        <f>[1]!thsiFinD("THS_GPJC_STOCK",A80)</f>
        <v>PM2.5</v>
      </c>
      <c r="C80" s="5">
        <f ca="1">[1]!thsiFinD("ths_chg_ratio_y_index",A80,$A$1)/100</f>
        <v>0.13915905381051</v>
      </c>
    </row>
    <row r="81" spans="1:3" x14ac:dyDescent="0.25">
      <c r="A81" s="1" t="s">
        <v>190</v>
      </c>
      <c r="B81" s="1" t="str">
        <f>[1]!thsiFinD("THS_GPJC_STOCK",A81)</f>
        <v>磷化工</v>
      </c>
      <c r="C81" s="5">
        <f ca="1">[1]!thsiFinD("ths_chg_ratio_y_index",A81,$A$1)/100</f>
        <v>0.13828760317458</v>
      </c>
    </row>
    <row r="82" spans="1:3" x14ac:dyDescent="0.25">
      <c r="A82" s="1" t="s">
        <v>301</v>
      </c>
      <c r="B82" s="1" t="str">
        <f>[1]!thsiFinD("THS_GPJC_STOCK",A82)</f>
        <v>高压快充</v>
      </c>
      <c r="C82" s="5">
        <f ca="1">[1]!thsiFinD("ths_chg_ratio_y_index",A82,$A$1)/100</f>
        <v>0.13520090008332</v>
      </c>
    </row>
    <row r="83" spans="1:3" x14ac:dyDescent="0.25">
      <c r="A83" s="1" t="s">
        <v>254</v>
      </c>
      <c r="B83" s="1" t="str">
        <f>[1]!thsiFinD("THS_GPJC_STOCK",A83)</f>
        <v>传感器</v>
      </c>
      <c r="C83" s="5">
        <f ca="1">[1]!thsiFinD("ths_chg_ratio_y_index",A83,$A$1)/100</f>
        <v>0.13299563633549</v>
      </c>
    </row>
    <row r="84" spans="1:3" x14ac:dyDescent="0.25">
      <c r="A84" s="1" t="s">
        <v>323</v>
      </c>
      <c r="B84" s="1" t="str">
        <f>[1]!thsiFinD("THS_GPJC_STOCK",A84)</f>
        <v>血氧仪</v>
      </c>
      <c r="C84" s="5">
        <f ca="1">[1]!thsiFinD("ths_chg_ratio_y_index",A84,$A$1)/100</f>
        <v>0.13091426830813002</v>
      </c>
    </row>
    <row r="85" spans="1:3" x14ac:dyDescent="0.25">
      <c r="A85" s="1" t="s">
        <v>148</v>
      </c>
      <c r="B85" s="1" t="str">
        <f>[1]!thsiFinD("THS_GPJC_STOCK",A85)</f>
        <v>小米概念</v>
      </c>
      <c r="C85" s="5">
        <f ca="1">[1]!thsiFinD("ths_chg_ratio_y_index",A85,$A$1)/100</f>
        <v>0.12849297023181999</v>
      </c>
    </row>
    <row r="86" spans="1:3" x14ac:dyDescent="0.25">
      <c r="A86" s="1" t="s">
        <v>7</v>
      </c>
      <c r="B86" s="1" t="str">
        <f>[1]!thsiFinD("THS_GPJC_STOCK",A86)</f>
        <v>智能电网</v>
      </c>
      <c r="C86" s="5">
        <f ca="1">[1]!thsiFinD("ths_chg_ratio_y_index",A86,$A$1)/100</f>
        <v>0.12836395864949998</v>
      </c>
    </row>
    <row r="87" spans="1:3" x14ac:dyDescent="0.25">
      <c r="A87" s="1" t="s">
        <v>337</v>
      </c>
      <c r="B87" s="1" t="str">
        <f>[1]!thsiFinD("THS_GPJC_STOCK",A87)</f>
        <v>太赫兹</v>
      </c>
      <c r="C87" s="5">
        <f ca="1">[1]!thsiFinD("ths_chg_ratio_y_index",A87,$A$1)/100</f>
        <v>0.12643043506079998</v>
      </c>
    </row>
    <row r="88" spans="1:3" x14ac:dyDescent="0.25">
      <c r="A88" s="1" t="s">
        <v>277</v>
      </c>
      <c r="B88" s="1" t="str">
        <f>[1]!thsiFinD("THS_GPJC_STOCK",A88)</f>
        <v>金属铅</v>
      </c>
      <c r="C88" s="5">
        <f ca="1">[1]!thsiFinD("ths_chg_ratio_y_index",A88,$A$1)/100</f>
        <v>0.12373786084393</v>
      </c>
    </row>
    <row r="89" spans="1:3" x14ac:dyDescent="0.25">
      <c r="A89" s="1" t="s">
        <v>264</v>
      </c>
      <c r="B89" s="1" t="str">
        <f>[1]!thsiFinD("THS_GPJC_STOCK",A89)</f>
        <v>硅能源</v>
      </c>
      <c r="C89" s="5">
        <f ca="1">[1]!thsiFinD("ths_chg_ratio_y_index",A89,$A$1)/100</f>
        <v>0.12315898988661</v>
      </c>
    </row>
    <row r="90" spans="1:3" x14ac:dyDescent="0.25">
      <c r="A90" s="1" t="s">
        <v>239</v>
      </c>
      <c r="B90" s="1" t="str">
        <f>[1]!thsiFinD("THS_GPJC_STOCK",A90)</f>
        <v>专精特新</v>
      </c>
      <c r="C90" s="5">
        <f ca="1">[1]!thsiFinD("ths_chg_ratio_y_index",A90,$A$1)/100</f>
        <v>0.12114376364879</v>
      </c>
    </row>
    <row r="91" spans="1:3" x14ac:dyDescent="0.25">
      <c r="A91" s="1" t="s">
        <v>238</v>
      </c>
      <c r="B91" s="1" t="str">
        <f>[1]!thsiFinD("THS_GPJC_STOCK",A91)</f>
        <v>钠离子电池</v>
      </c>
      <c r="C91" s="5">
        <f ca="1">[1]!thsiFinD("ths_chg_ratio_y_index",A91,$A$1)/100</f>
        <v>0.1210127175363</v>
      </c>
    </row>
    <row r="92" spans="1:3" x14ac:dyDescent="0.25">
      <c r="A92" s="1" t="s">
        <v>231</v>
      </c>
      <c r="B92" s="1" t="str">
        <f>[1]!thsiFinD("THS_GPJC_STOCK",A92)</f>
        <v>储能</v>
      </c>
      <c r="C92" s="5">
        <f ca="1">[1]!thsiFinD("ths_chg_ratio_y_index",A92,$A$1)/100</f>
        <v>0.12060804299037001</v>
      </c>
    </row>
    <row r="93" spans="1:3" x14ac:dyDescent="0.25">
      <c r="A93" s="1" t="s">
        <v>263</v>
      </c>
      <c r="B93" s="1" t="str">
        <f>[1]!thsiFinD("THS_GPJC_STOCK",A93)</f>
        <v>东数西算(算力)</v>
      </c>
      <c r="C93" s="5">
        <f ca="1">[1]!thsiFinD("ths_chg_ratio_y_index",A93,$A$1)/100</f>
        <v>0.11876337221624</v>
      </c>
    </row>
    <row r="94" spans="1:3" x14ac:dyDescent="0.25">
      <c r="A94" s="1" t="s">
        <v>5</v>
      </c>
      <c r="B94" s="1" t="str">
        <f>[1]!thsiFinD("THS_GPJC_STOCK",A94)</f>
        <v>上证380成份股</v>
      </c>
      <c r="C94" s="5">
        <f ca="1">[1]!thsiFinD("ths_chg_ratio_y_index",A94,$A$1)/100</f>
        <v>0.11780482992060999</v>
      </c>
    </row>
    <row r="95" spans="1:3" x14ac:dyDescent="0.25">
      <c r="A95" s="1" t="s">
        <v>297</v>
      </c>
      <c r="B95" s="1" t="str">
        <f>[1]!thsiFinD("THS_GPJC_STOCK",A95)</f>
        <v>比亚迪概念</v>
      </c>
      <c r="C95" s="5">
        <f ca="1">[1]!thsiFinD("ths_chg_ratio_y_index",A95,$A$1)/100</f>
        <v>0.11764800948402999</v>
      </c>
    </row>
    <row r="96" spans="1:3" x14ac:dyDescent="0.25">
      <c r="A96" s="1" t="s">
        <v>192</v>
      </c>
      <c r="B96" s="1" t="str">
        <f>[1]!thsiFinD("THS_GPJC_STOCK",A96)</f>
        <v>金属钴</v>
      </c>
      <c r="C96" s="5">
        <f ca="1">[1]!thsiFinD("ths_chg_ratio_y_index",A96,$A$1)/100</f>
        <v>0.11636128007671</v>
      </c>
    </row>
    <row r="97" spans="1:3" x14ac:dyDescent="0.25">
      <c r="A97" s="1" t="s">
        <v>390</v>
      </c>
      <c r="B97" s="1" t="str">
        <f>[1]!thsiFinD("THS_GPJC_STOCK",A97)</f>
        <v>中国AI 50</v>
      </c>
      <c r="C97" s="5">
        <f ca="1">[1]!thsiFinD("ths_chg_ratio_y_index",A97,$A$1)/100</f>
        <v>0.11525643127020001</v>
      </c>
    </row>
    <row r="98" spans="1:3" x14ac:dyDescent="0.25">
      <c r="A98" s="1" t="s">
        <v>96</v>
      </c>
      <c r="B98" s="1" t="str">
        <f>[1]!thsiFinD("THS_GPJC_STOCK",A98)</f>
        <v>钛白粉概念</v>
      </c>
      <c r="C98" s="5">
        <f ca="1">[1]!thsiFinD("ths_chg_ratio_y_index",A98,$A$1)/100</f>
        <v>0.11223263273402999</v>
      </c>
    </row>
    <row r="99" spans="1:3" x14ac:dyDescent="0.25">
      <c r="A99" s="1" t="s">
        <v>279</v>
      </c>
      <c r="B99" s="1" t="str">
        <f>[1]!thsiFinD("THS_GPJC_STOCK",A99)</f>
        <v>金属铜</v>
      </c>
      <c r="C99" s="5">
        <f ca="1">[1]!thsiFinD("ths_chg_ratio_y_index",A99,$A$1)/100</f>
        <v>0.10390855156080001</v>
      </c>
    </row>
    <row r="100" spans="1:3" x14ac:dyDescent="0.25">
      <c r="A100" s="1" t="s">
        <v>93</v>
      </c>
      <c r="B100" s="1" t="str">
        <f>[1]!thsiFinD("THS_GPJC_STOCK",A100)</f>
        <v>风电</v>
      </c>
      <c r="C100" s="5">
        <f ca="1">[1]!thsiFinD("ths_chg_ratio_y_index",A100,$A$1)/100</f>
        <v>9.8682932698166997E-2</v>
      </c>
    </row>
    <row r="101" spans="1:3" x14ac:dyDescent="0.25">
      <c r="A101" s="1" t="s">
        <v>32</v>
      </c>
      <c r="B101" s="1" t="str">
        <f>[1]!thsiFinD("THS_GPJC_STOCK",A101)</f>
        <v>新能源汽车</v>
      </c>
      <c r="C101" s="5">
        <f ca="1">[1]!thsiFinD("ths_chg_ratio_y_index",A101,$A$1)/100</f>
        <v>9.7651068104805006E-2</v>
      </c>
    </row>
    <row r="102" spans="1:3" x14ac:dyDescent="0.25">
      <c r="A102" s="1" t="s">
        <v>158</v>
      </c>
      <c r="B102" s="1" t="str">
        <f>[1]!thsiFinD("THS_GPJC_STOCK",A102)</f>
        <v>华为概念</v>
      </c>
      <c r="C102" s="5">
        <f ca="1">[1]!thsiFinD("ths_chg_ratio_y_index",A102,$A$1)/100</f>
        <v>9.6406252066364995E-2</v>
      </c>
    </row>
    <row r="103" spans="1:3" x14ac:dyDescent="0.25">
      <c r="A103" s="1" t="s">
        <v>302</v>
      </c>
      <c r="B103" s="1" t="str">
        <f>[1]!thsiFinD("THS_GPJC_STOCK",A103)</f>
        <v>机器视觉</v>
      </c>
      <c r="C103" s="5">
        <f ca="1">[1]!thsiFinD("ths_chg_ratio_y_index",A103,$A$1)/100</f>
        <v>9.6057486749608997E-2</v>
      </c>
    </row>
    <row r="104" spans="1:3" x14ac:dyDescent="0.25">
      <c r="A104" s="1" t="s">
        <v>232</v>
      </c>
      <c r="B104" s="1" t="str">
        <f>[1]!thsiFinD("THS_GPJC_STOCK",A104)</f>
        <v>盐湖提锂</v>
      </c>
      <c r="C104" s="5">
        <f ca="1">[1]!thsiFinD("ths_chg_ratio_y_index",A104,$A$1)/100</f>
        <v>9.5425941278564005E-2</v>
      </c>
    </row>
    <row r="105" spans="1:3" x14ac:dyDescent="0.25">
      <c r="A105" s="1" t="s">
        <v>172</v>
      </c>
      <c r="B105" s="1" t="str">
        <f>[1]!thsiFinD("THS_GPJC_STOCK",A105)</f>
        <v>长三角一体化</v>
      </c>
      <c r="C105" s="5">
        <f ca="1">[1]!thsiFinD("ths_chg_ratio_y_index",A105,$A$1)/100</f>
        <v>9.3179648369976997E-2</v>
      </c>
    </row>
    <row r="106" spans="1:3" x14ac:dyDescent="0.25">
      <c r="A106" s="1" t="s">
        <v>139</v>
      </c>
      <c r="B106" s="1" t="str">
        <f>[1]!thsiFinD("THS_GPJC_STOCK",A106)</f>
        <v>智能音箱</v>
      </c>
      <c r="C106" s="5">
        <f ca="1">[1]!thsiFinD("ths_chg_ratio_y_index",A106,$A$1)/100</f>
        <v>9.0752130767578001E-2</v>
      </c>
    </row>
    <row r="107" spans="1:3" x14ac:dyDescent="0.25">
      <c r="A107" s="1" t="s">
        <v>353</v>
      </c>
      <c r="B107" s="1" t="str">
        <f>[1]!thsiFinD("THS_GPJC_STOCK",A107)</f>
        <v>智能座舱</v>
      </c>
      <c r="C107" s="5">
        <f ca="1">[1]!thsiFinD("ths_chg_ratio_y_index",A107,$A$1)/100</f>
        <v>8.9407885173971011E-2</v>
      </c>
    </row>
    <row r="108" spans="1:3" x14ac:dyDescent="0.25">
      <c r="A108" s="1" t="s">
        <v>372</v>
      </c>
      <c r="B108" s="1" t="str">
        <f>[1]!thsiFinD("THS_GPJC_STOCK",A108)</f>
        <v>商业航天</v>
      </c>
      <c r="C108" s="5">
        <f ca="1">[1]!thsiFinD("ths_chg_ratio_y_index",A108,$A$1)/100</f>
        <v>8.6112311850063003E-2</v>
      </c>
    </row>
    <row r="109" spans="1:3" x14ac:dyDescent="0.25">
      <c r="A109" s="1" t="s">
        <v>40</v>
      </c>
      <c r="B109" s="1" t="str">
        <f>[1]!thsiFinD("THS_GPJC_STOCK",A109)</f>
        <v>特斯拉概念</v>
      </c>
      <c r="C109" s="5">
        <f ca="1">[1]!thsiFinD("ths_chg_ratio_y_index",A109,$A$1)/100</f>
        <v>8.1999857386027011E-2</v>
      </c>
    </row>
    <row r="110" spans="1:3" x14ac:dyDescent="0.25">
      <c r="A110" s="1" t="s">
        <v>322</v>
      </c>
      <c r="B110" s="1" t="str">
        <f>[1]!thsiFinD("THS_GPJC_STOCK",A110)</f>
        <v>POE胶膜</v>
      </c>
      <c r="C110" s="5">
        <f ca="1">[1]!thsiFinD("ths_chg_ratio_y_index",A110,$A$1)/100</f>
        <v>7.9258701887123001E-2</v>
      </c>
    </row>
    <row r="111" spans="1:3" x14ac:dyDescent="0.25">
      <c r="A111" s="1" t="s">
        <v>73</v>
      </c>
      <c r="B111" s="1" t="str">
        <f>[1]!thsiFinD("THS_GPJC_STOCK",A111)</f>
        <v>核电</v>
      </c>
      <c r="C111" s="5">
        <f ca="1">[1]!thsiFinD("ths_chg_ratio_y_index",A111,$A$1)/100</f>
        <v>7.8826920367441003E-2</v>
      </c>
    </row>
    <row r="112" spans="1:3" x14ac:dyDescent="0.25">
      <c r="A112" s="1" t="s">
        <v>58</v>
      </c>
      <c r="B112" s="1" t="str">
        <f>[1]!thsiFinD("THS_GPJC_STOCK",A112)</f>
        <v>黄金概念</v>
      </c>
      <c r="C112" s="5">
        <f ca="1">[1]!thsiFinD("ths_chg_ratio_y_index",A112,$A$1)/100</f>
        <v>7.8313718761326007E-2</v>
      </c>
    </row>
    <row r="113" spans="1:3" x14ac:dyDescent="0.25">
      <c r="A113" s="1" t="s">
        <v>278</v>
      </c>
      <c r="B113" s="1" t="str">
        <f>[1]!thsiFinD("THS_GPJC_STOCK",A113)</f>
        <v>金属回收</v>
      </c>
      <c r="C113" s="5">
        <f ca="1">[1]!thsiFinD("ths_chg_ratio_y_index",A113,$A$1)/100</f>
        <v>7.8232096431104001E-2</v>
      </c>
    </row>
    <row r="114" spans="1:3" x14ac:dyDescent="0.25">
      <c r="A114" s="1" t="s">
        <v>215</v>
      </c>
      <c r="B114" s="1" t="str">
        <f>[1]!thsiFinD("THS_GPJC_STOCK",A114)</f>
        <v>汽车拆解概念</v>
      </c>
      <c r="C114" s="5">
        <f ca="1">[1]!thsiFinD("ths_chg_ratio_y_index",A114,$A$1)/100</f>
        <v>7.4146533281162996E-2</v>
      </c>
    </row>
    <row r="115" spans="1:3" x14ac:dyDescent="0.25">
      <c r="A115" s="1" t="s">
        <v>120</v>
      </c>
      <c r="B115" s="1" t="str">
        <f>[1]!thsiFinD("THS_GPJC_STOCK",A115)</f>
        <v>摘帽</v>
      </c>
      <c r="C115" s="5">
        <f ca="1">[1]!thsiFinD("ths_chg_ratio_y_index",A115,$A$1)/100</f>
        <v>7.3068110902111003E-2</v>
      </c>
    </row>
    <row r="116" spans="1:3" x14ac:dyDescent="0.25">
      <c r="A116" s="1" t="s">
        <v>344</v>
      </c>
      <c r="B116" s="1" t="str">
        <f>[1]!thsiFinD("THS_GPJC_STOCK",A116)</f>
        <v>算力租赁</v>
      </c>
      <c r="C116" s="5">
        <f ca="1">[1]!thsiFinD("ths_chg_ratio_y_index",A116,$A$1)/100</f>
        <v>7.2704751508981993E-2</v>
      </c>
    </row>
    <row r="117" spans="1:3" x14ac:dyDescent="0.25">
      <c r="A117" s="1" t="s">
        <v>351</v>
      </c>
      <c r="B117" s="1" t="str">
        <f>[1]!thsiFinD("THS_GPJC_STOCK",A117)</f>
        <v>新型工业化</v>
      </c>
      <c r="C117" s="5">
        <f ca="1">[1]!thsiFinD("ths_chg_ratio_y_index",A117,$A$1)/100</f>
        <v>7.2508393397976004E-2</v>
      </c>
    </row>
    <row r="118" spans="1:3" x14ac:dyDescent="0.25">
      <c r="A118" s="1" t="s">
        <v>38</v>
      </c>
      <c r="B118" s="1" t="str">
        <f>[1]!thsiFinD("THS_GPJC_STOCK",A118)</f>
        <v>充电桩</v>
      </c>
      <c r="C118" s="5">
        <f ca="1">[1]!thsiFinD("ths_chg_ratio_y_index",A118,$A$1)/100</f>
        <v>7.2102797905634994E-2</v>
      </c>
    </row>
    <row r="119" spans="1:3" x14ac:dyDescent="0.25">
      <c r="A119" s="1" t="s">
        <v>91</v>
      </c>
      <c r="B119" s="1" t="str">
        <f>[1]!thsiFinD("THS_GPJC_STOCK",A119)</f>
        <v>染料</v>
      </c>
      <c r="C119" s="5">
        <f ca="1">[1]!thsiFinD("ths_chg_ratio_y_index",A119,$A$1)/100</f>
        <v>7.1174613408171009E-2</v>
      </c>
    </row>
    <row r="120" spans="1:3" x14ac:dyDescent="0.25">
      <c r="A120" s="1" t="s">
        <v>2</v>
      </c>
      <c r="B120" s="1" t="str">
        <f>[1]!thsiFinD("THS_GPJC_STOCK",A120)</f>
        <v>沪深300样本股</v>
      </c>
      <c r="C120" s="5">
        <f ca="1">[1]!thsiFinD("ths_chg_ratio_y_index",A120,$A$1)/100</f>
        <v>6.5107971161614001E-2</v>
      </c>
    </row>
    <row r="121" spans="1:3" x14ac:dyDescent="0.25">
      <c r="A121" s="1" t="s">
        <v>108</v>
      </c>
      <c r="B121" s="1" t="str">
        <f>[1]!thsiFinD("THS_GPJC_STOCK",A121)</f>
        <v>虚拟现实</v>
      </c>
      <c r="C121" s="5">
        <f ca="1">[1]!thsiFinD("ths_chg_ratio_y_index",A121,$A$1)/100</f>
        <v>6.4477612528937994E-2</v>
      </c>
    </row>
    <row r="122" spans="1:3" x14ac:dyDescent="0.25">
      <c r="A122" s="1" t="s">
        <v>29</v>
      </c>
      <c r="B122" s="1" t="str">
        <f>[1]!thsiFinD("THS_GPJC_STOCK",A122)</f>
        <v>高端装备</v>
      </c>
      <c r="C122" s="5">
        <f ca="1">[1]!thsiFinD("ths_chg_ratio_y_index",A122,$A$1)/100</f>
        <v>6.3963668621942998E-2</v>
      </c>
    </row>
    <row r="123" spans="1:3" x14ac:dyDescent="0.25">
      <c r="A123" s="1" t="s">
        <v>363</v>
      </c>
      <c r="B123" s="1" t="str">
        <f>[1]!thsiFinD("THS_GPJC_STOCK",A123)</f>
        <v>人形机器人</v>
      </c>
      <c r="C123" s="5">
        <f ca="1">[1]!thsiFinD("ths_chg_ratio_y_index",A123,$A$1)/100</f>
        <v>6.3381093804302999E-2</v>
      </c>
    </row>
    <row r="124" spans="1:3" x14ac:dyDescent="0.25">
      <c r="A124" s="1" t="s">
        <v>55</v>
      </c>
      <c r="B124" s="1" t="str">
        <f>[1]!thsiFinD("THS_GPJC_STOCK",A124)</f>
        <v>粤港澳大湾区</v>
      </c>
      <c r="C124" s="5">
        <f ca="1">[1]!thsiFinD("ths_chg_ratio_y_index",A124,$A$1)/100</f>
        <v>6.2832545355351002E-2</v>
      </c>
    </row>
    <row r="125" spans="1:3" x14ac:dyDescent="0.25">
      <c r="A125" s="1" t="s">
        <v>343</v>
      </c>
      <c r="B125" s="1" t="str">
        <f>[1]!thsiFinD("THS_GPJC_STOCK",A125)</f>
        <v>空间计算</v>
      </c>
      <c r="C125" s="5">
        <f ca="1">[1]!thsiFinD("ths_chg_ratio_y_index",A125,$A$1)/100</f>
        <v>6.2442640029902997E-2</v>
      </c>
    </row>
    <row r="126" spans="1:3" x14ac:dyDescent="0.25">
      <c r="A126" s="1" t="s">
        <v>225</v>
      </c>
      <c r="B126" s="1" t="str">
        <f>[1]!thsiFinD("THS_GPJC_STOCK",A126)</f>
        <v>煤炭概念</v>
      </c>
      <c r="C126" s="5">
        <f ca="1">[1]!thsiFinD("ths_chg_ratio_y_index",A126,$A$1)/100</f>
        <v>6.0852841470624995E-2</v>
      </c>
    </row>
    <row r="127" spans="1:3" x14ac:dyDescent="0.25">
      <c r="A127" s="1" t="s">
        <v>304</v>
      </c>
      <c r="B127" s="1" t="str">
        <f>[1]!thsiFinD("THS_GPJC_STOCK",A127)</f>
        <v>虚拟电厂</v>
      </c>
      <c r="C127" s="5">
        <f ca="1">[1]!thsiFinD("ths_chg_ratio_y_index",A127,$A$1)/100</f>
        <v>6.0518821579548E-2</v>
      </c>
    </row>
    <row r="128" spans="1:3" x14ac:dyDescent="0.25">
      <c r="A128" s="1" t="s">
        <v>168</v>
      </c>
      <c r="B128" s="1" t="str">
        <f>[1]!thsiFinD("THS_GPJC_STOCK",A128)</f>
        <v>氢能源</v>
      </c>
      <c r="C128" s="5">
        <f ca="1">[1]!thsiFinD("ths_chg_ratio_y_index",A128,$A$1)/100</f>
        <v>5.4526092548906002E-2</v>
      </c>
    </row>
    <row r="129" spans="1:3" x14ac:dyDescent="0.25">
      <c r="A129" s="1" t="s">
        <v>171</v>
      </c>
      <c r="B129" s="1" t="str">
        <f>[1]!thsiFinD("THS_GPJC_STOCK",A129)</f>
        <v>丙烯酸</v>
      </c>
      <c r="C129" s="5">
        <f ca="1">[1]!thsiFinD("ths_chg_ratio_y_index",A129,$A$1)/100</f>
        <v>5.3439251125049998E-2</v>
      </c>
    </row>
    <row r="130" spans="1:3" x14ac:dyDescent="0.25">
      <c r="A130" s="1" t="s">
        <v>54</v>
      </c>
      <c r="B130" s="1" t="str">
        <f>[1]!thsiFinD("THS_GPJC_STOCK",A130)</f>
        <v>沪股通</v>
      </c>
      <c r="C130" s="5">
        <f ca="1">[1]!thsiFinD("ths_chg_ratio_y_index",A130,$A$1)/100</f>
        <v>5.3138163680846E-2</v>
      </c>
    </row>
    <row r="131" spans="1:3" x14ac:dyDescent="0.25">
      <c r="A131" s="1" t="s">
        <v>245</v>
      </c>
      <c r="B131" s="1" t="str">
        <f>[1]!thsiFinD("THS_GPJC_STOCK",A131)</f>
        <v>绿色电力</v>
      </c>
      <c r="C131" s="5">
        <f ca="1">[1]!thsiFinD("ths_chg_ratio_y_index",A131,$A$1)/100</f>
        <v>5.2090873270045995E-2</v>
      </c>
    </row>
    <row r="132" spans="1:3" x14ac:dyDescent="0.25">
      <c r="A132" s="1" t="s">
        <v>95</v>
      </c>
      <c r="B132" s="1" t="str">
        <f>[1]!thsiFinD("THS_GPJC_STOCK",A132)</f>
        <v>碳纤维</v>
      </c>
      <c r="C132" s="5">
        <f ca="1">[1]!thsiFinD("ths_chg_ratio_y_index",A132,$A$1)/100</f>
        <v>5.0719480219964995E-2</v>
      </c>
    </row>
    <row r="133" spans="1:3" x14ac:dyDescent="0.25">
      <c r="A133" s="1" t="s">
        <v>203</v>
      </c>
      <c r="B133" s="1" t="str">
        <f>[1]!thsiFinD("THS_GPJC_STOCK",A133)</f>
        <v>航空发动机</v>
      </c>
      <c r="C133" s="5">
        <f ca="1">[1]!thsiFinD("ths_chg_ratio_y_index",A133,$A$1)/100</f>
        <v>4.9274809216330005E-2</v>
      </c>
    </row>
    <row r="134" spans="1:3" x14ac:dyDescent="0.25">
      <c r="A134" s="1" t="s">
        <v>28</v>
      </c>
      <c r="B134" s="1" t="str">
        <f>[1]!thsiFinD("THS_GPJC_STOCK",A134)</f>
        <v>海工装备</v>
      </c>
      <c r="C134" s="5">
        <f ca="1">[1]!thsiFinD("ths_chg_ratio_y_index",A134,$A$1)/100</f>
        <v>4.7860428115840993E-2</v>
      </c>
    </row>
    <row r="135" spans="1:3" x14ac:dyDescent="0.25">
      <c r="A135" s="1" t="s">
        <v>76</v>
      </c>
      <c r="B135" s="1" t="str">
        <f>[1]!thsiFinD("THS_GPJC_STOCK",A135)</f>
        <v>卫星导航</v>
      </c>
      <c r="C135" s="5">
        <f ca="1">[1]!thsiFinD("ths_chg_ratio_y_index",A135,$A$1)/100</f>
        <v>4.7138613617315001E-2</v>
      </c>
    </row>
    <row r="136" spans="1:3" x14ac:dyDescent="0.25">
      <c r="A136" s="1" t="s">
        <v>252</v>
      </c>
      <c r="B136" s="1" t="str">
        <f>[1]!thsiFinD("THS_GPJC_STOCK",A136)</f>
        <v>动力电池回收</v>
      </c>
      <c r="C136" s="5">
        <f ca="1">[1]!thsiFinD("ths_chg_ratio_y_index",A136,$A$1)/100</f>
        <v>4.6551543420156001E-2</v>
      </c>
    </row>
    <row r="137" spans="1:3" x14ac:dyDescent="0.25">
      <c r="A137" s="1" t="s">
        <v>10</v>
      </c>
      <c r="B137" s="1" t="str">
        <f>[1]!thsiFinD("THS_GPJC_STOCK",A137)</f>
        <v>融资融券</v>
      </c>
      <c r="C137" s="5">
        <f ca="1">[1]!thsiFinD("ths_chg_ratio_y_index",A137,$A$1)/100</f>
        <v>4.5559716609966994E-2</v>
      </c>
    </row>
    <row r="138" spans="1:3" x14ac:dyDescent="0.25">
      <c r="A138" s="1" t="s">
        <v>324</v>
      </c>
      <c r="B138" s="1" t="str">
        <f>[1]!thsiFinD("THS_GPJC_STOCK",A138)</f>
        <v>成飞概念</v>
      </c>
      <c r="C138" s="5">
        <f ca="1">[1]!thsiFinD("ths_chg_ratio_y_index",A138,$A$1)/100</f>
        <v>4.5211990956843001E-2</v>
      </c>
    </row>
    <row r="139" spans="1:3" x14ac:dyDescent="0.25">
      <c r="A139" s="1" t="s">
        <v>248</v>
      </c>
      <c r="B139" s="1" t="str">
        <f>[1]!thsiFinD("THS_GPJC_STOCK",A139)</f>
        <v>海峡两岸</v>
      </c>
      <c r="C139" s="5">
        <f ca="1">[1]!thsiFinD("ths_chg_ratio_y_index",A139,$A$1)/100</f>
        <v>4.4309947542622997E-2</v>
      </c>
    </row>
    <row r="140" spans="1:3" x14ac:dyDescent="0.25">
      <c r="A140" s="1" t="s">
        <v>357</v>
      </c>
      <c r="B140" s="1" t="str">
        <f>[1]!thsiFinD("THS_GPJC_STOCK",A140)</f>
        <v>PEEK材料</v>
      </c>
      <c r="C140" s="5">
        <f ca="1">[1]!thsiFinD("ths_chg_ratio_y_index",A140,$A$1)/100</f>
        <v>4.3929471748895998E-2</v>
      </c>
    </row>
    <row r="141" spans="1:3" x14ac:dyDescent="0.25">
      <c r="A141" s="1" t="s">
        <v>70</v>
      </c>
      <c r="B141" s="1" t="str">
        <f>[1]!thsiFinD("THS_GPJC_STOCK",A141)</f>
        <v>无人机</v>
      </c>
      <c r="C141" s="5">
        <f ca="1">[1]!thsiFinD("ths_chg_ratio_y_index",A141,$A$1)/100</f>
        <v>4.3318612425541005E-2</v>
      </c>
    </row>
    <row r="142" spans="1:3" x14ac:dyDescent="0.25">
      <c r="A142" s="1" t="s">
        <v>269</v>
      </c>
      <c r="B142" s="1" t="str">
        <f>[1]!thsiFinD("THS_GPJC_STOCK",A142)</f>
        <v>智慧灯杆</v>
      </c>
      <c r="C142" s="5">
        <f ca="1">[1]!thsiFinD("ths_chg_ratio_y_index",A142,$A$1)/100</f>
        <v>4.2689020120578999E-2</v>
      </c>
    </row>
    <row r="143" spans="1:3" x14ac:dyDescent="0.25">
      <c r="A143" s="1" t="s">
        <v>218</v>
      </c>
      <c r="B143" s="1" t="str">
        <f>[1]!thsiFinD("THS_GPJC_STOCK",A143)</f>
        <v>注册制次新股</v>
      </c>
      <c r="C143" s="5">
        <f ca="1">[1]!thsiFinD("ths_chg_ratio_y_index",A143,$A$1)/100</f>
        <v>4.2282093243335005E-2</v>
      </c>
    </row>
    <row r="144" spans="1:3" x14ac:dyDescent="0.25">
      <c r="A144" s="1" t="s">
        <v>111</v>
      </c>
      <c r="B144" s="1" t="str">
        <f>[1]!thsiFinD("THS_GPJC_STOCK",A144)</f>
        <v>量子科技</v>
      </c>
      <c r="C144" s="5">
        <f ca="1">[1]!thsiFinD("ths_chg_ratio_y_index",A144,$A$1)/100</f>
        <v>4.1001453386137005E-2</v>
      </c>
    </row>
    <row r="145" spans="1:3" x14ac:dyDescent="0.25">
      <c r="A145" s="1" t="s">
        <v>142</v>
      </c>
      <c r="B145" s="1" t="str">
        <f>[1]!thsiFinD("THS_GPJC_STOCK",A145)</f>
        <v>燃料电池</v>
      </c>
      <c r="C145" s="5">
        <f ca="1">[1]!thsiFinD("ths_chg_ratio_y_index",A145,$A$1)/100</f>
        <v>4.0388948902905002E-2</v>
      </c>
    </row>
    <row r="146" spans="1:3" x14ac:dyDescent="0.25">
      <c r="A146" s="1" t="s">
        <v>105</v>
      </c>
      <c r="B146" s="1" t="str">
        <f>[1]!thsiFinD("THS_GPJC_STOCK",A146)</f>
        <v>军工</v>
      </c>
      <c r="C146" s="5">
        <f ca="1">[1]!thsiFinD("ths_chg_ratio_y_index",A146,$A$1)/100</f>
        <v>4.0330831815795998E-2</v>
      </c>
    </row>
    <row r="147" spans="1:3" x14ac:dyDescent="0.25">
      <c r="A147" s="1" t="s">
        <v>114</v>
      </c>
      <c r="B147" s="1" t="str">
        <f>[1]!thsiFinD("THS_GPJC_STOCK",A147)</f>
        <v>无人驾驶</v>
      </c>
      <c r="C147" s="5">
        <f ca="1">[1]!thsiFinD("ths_chg_ratio_y_index",A147,$A$1)/100</f>
        <v>3.8504538866940996E-2</v>
      </c>
    </row>
    <row r="148" spans="1:3" x14ac:dyDescent="0.25">
      <c r="A148" s="1" t="s">
        <v>53</v>
      </c>
      <c r="B148" s="1" t="str">
        <f>[1]!thsiFinD("THS_GPJC_STOCK",A148)</f>
        <v>机器人概念</v>
      </c>
      <c r="C148" s="5">
        <f ca="1">[1]!thsiFinD("ths_chg_ratio_y_index",A148,$A$1)/100</f>
        <v>3.7977718199598998E-2</v>
      </c>
    </row>
    <row r="149" spans="1:3" x14ac:dyDescent="0.25">
      <c r="A149" s="1" t="s">
        <v>229</v>
      </c>
      <c r="B149" s="1" t="str">
        <f>[1]!thsiFinD("THS_GPJC_STOCK",A149)</f>
        <v>碳中和</v>
      </c>
      <c r="C149" s="5">
        <f ca="1">[1]!thsiFinD("ths_chg_ratio_y_index",A149,$A$1)/100</f>
        <v>3.6608126575094005E-2</v>
      </c>
    </row>
    <row r="150" spans="1:3" x14ac:dyDescent="0.25">
      <c r="A150" s="1" t="s">
        <v>230</v>
      </c>
      <c r="B150" s="1" t="str">
        <f>[1]!thsiFinD("THS_GPJC_STOCK",A150)</f>
        <v>光伏建筑一体化</v>
      </c>
      <c r="C150" s="5">
        <f ca="1">[1]!thsiFinD("ths_chg_ratio_y_index",A150,$A$1)/100</f>
        <v>3.5778809646205001E-2</v>
      </c>
    </row>
    <row r="151" spans="1:3" x14ac:dyDescent="0.25">
      <c r="A151" s="1" t="s">
        <v>214</v>
      </c>
      <c r="B151" s="1" t="str">
        <f>[1]!thsiFinD("THS_GPJC_STOCK",A151)</f>
        <v>可降解塑料</v>
      </c>
      <c r="C151" s="5">
        <f ca="1">[1]!thsiFinD("ths_chg_ratio_y_index",A151,$A$1)/100</f>
        <v>3.5137124854916005E-2</v>
      </c>
    </row>
    <row r="152" spans="1:3" x14ac:dyDescent="0.25">
      <c r="A152" s="1" t="s">
        <v>117</v>
      </c>
      <c r="B152" s="1" t="str">
        <f>[1]!thsiFinD("THS_GPJC_STOCK",A152)</f>
        <v>股权转让(并购重组)</v>
      </c>
      <c r="C152" s="5">
        <f ca="1">[1]!thsiFinD("ths_chg_ratio_y_index",A152,$A$1)/100</f>
        <v>3.3467752645263998E-2</v>
      </c>
    </row>
    <row r="153" spans="1:3" x14ac:dyDescent="0.25">
      <c r="A153" s="1" t="s">
        <v>270</v>
      </c>
      <c r="B153" s="1" t="str">
        <f>[1]!thsiFinD("THS_GPJC_STOCK",A153)</f>
        <v>俄乌冲突概念</v>
      </c>
      <c r="C153" s="5">
        <f ca="1">[1]!thsiFinD("ths_chg_ratio_y_index",A153,$A$1)/100</f>
        <v>3.3199168166547999E-2</v>
      </c>
    </row>
    <row r="154" spans="1:3" x14ac:dyDescent="0.25">
      <c r="A154" s="1" t="s">
        <v>102</v>
      </c>
      <c r="B154" s="1" t="str">
        <f>[1]!thsiFinD("THS_GPJC_STOCK",A154)</f>
        <v>深股通</v>
      </c>
      <c r="C154" s="5">
        <f ca="1">[1]!thsiFinD("ths_chg_ratio_y_index",A154,$A$1)/100</f>
        <v>3.1035731794285999E-2</v>
      </c>
    </row>
    <row r="155" spans="1:3" x14ac:dyDescent="0.25">
      <c r="A155" s="1" t="s">
        <v>22</v>
      </c>
      <c r="B155" s="1" t="str">
        <f>[1]!thsiFinD("THS_GPJC_STOCK",A155)</f>
        <v>固废处理</v>
      </c>
      <c r="C155" s="5">
        <f ca="1">[1]!thsiFinD("ths_chg_ratio_y_index",A155,$A$1)/100</f>
        <v>3.0070943261493999E-2</v>
      </c>
    </row>
    <row r="156" spans="1:3" x14ac:dyDescent="0.25">
      <c r="A156" s="1" t="s">
        <v>288</v>
      </c>
      <c r="B156" s="1" t="str">
        <f>[1]!thsiFinD("THS_GPJC_STOCK",A156)</f>
        <v>碳交易</v>
      </c>
      <c r="C156" s="5">
        <f ca="1">[1]!thsiFinD("ths_chg_ratio_y_index",A156,$A$1)/100</f>
        <v>3.0001152688206002E-2</v>
      </c>
    </row>
    <row r="157" spans="1:3" x14ac:dyDescent="0.25">
      <c r="A157" s="1" t="s">
        <v>31</v>
      </c>
      <c r="B157" s="1" t="str">
        <f>[1]!thsiFinD("THS_GPJC_STOCK",A157)</f>
        <v>天然气</v>
      </c>
      <c r="C157" s="5">
        <f ca="1">[1]!thsiFinD("ths_chg_ratio_y_index",A157,$A$1)/100</f>
        <v>2.8514119429994E-2</v>
      </c>
    </row>
    <row r="158" spans="1:3" x14ac:dyDescent="0.25">
      <c r="A158" s="1" t="s">
        <v>303</v>
      </c>
      <c r="B158" s="1" t="str">
        <f>[1]!thsiFinD("THS_GPJC_STOCK",A158)</f>
        <v>钒电池</v>
      </c>
      <c r="C158" s="5">
        <f ca="1">[1]!thsiFinD("ths_chg_ratio_y_index",A158,$A$1)/100</f>
        <v>2.8187670543353999E-2</v>
      </c>
    </row>
    <row r="159" spans="1:3" x14ac:dyDescent="0.25">
      <c r="A159" s="1" t="s">
        <v>177</v>
      </c>
      <c r="B159" s="1" t="str">
        <f>[1]!thsiFinD("THS_GPJC_STOCK",A159)</f>
        <v>人民币贬值受益</v>
      </c>
      <c r="C159" s="5">
        <f ca="1">[1]!thsiFinD("ths_chg_ratio_y_index",A159,$A$1)/100</f>
        <v>2.6540497654230003E-2</v>
      </c>
    </row>
    <row r="160" spans="1:3" x14ac:dyDescent="0.25">
      <c r="A160" s="1" t="s">
        <v>251</v>
      </c>
      <c r="B160" s="1" t="str">
        <f>[1]!thsiFinD("THS_GPJC_STOCK",A160)</f>
        <v>EDR概念</v>
      </c>
      <c r="C160" s="5">
        <f ca="1">[1]!thsiFinD("ths_chg_ratio_y_index",A160,$A$1)/100</f>
        <v>2.4052322153293001E-2</v>
      </c>
    </row>
    <row r="161" spans="1:3" x14ac:dyDescent="0.25">
      <c r="A161" s="1" t="s">
        <v>267</v>
      </c>
      <c r="B161" s="1" t="str">
        <f>[1]!thsiFinD("THS_GPJC_STOCK",A161)</f>
        <v>净水概念</v>
      </c>
      <c r="C161" s="5">
        <f ca="1">[1]!thsiFinD("ths_chg_ratio_y_index",A161,$A$1)/100</f>
        <v>1.772077165176E-2</v>
      </c>
    </row>
    <row r="162" spans="1:3" x14ac:dyDescent="0.25">
      <c r="A162" s="1" t="s">
        <v>153</v>
      </c>
      <c r="B162" s="1" t="str">
        <f>[1]!thsiFinD("THS_GPJC_STOCK",A162)</f>
        <v>赛马概念</v>
      </c>
      <c r="C162" s="5">
        <f ca="1">[1]!thsiFinD("ths_chg_ratio_y_index",A162,$A$1)/100</f>
        <v>1.7157770169109E-2</v>
      </c>
    </row>
    <row r="163" spans="1:3" x14ac:dyDescent="0.25">
      <c r="A163" s="1" t="s">
        <v>268</v>
      </c>
      <c r="B163" s="1" t="str">
        <f>[1]!thsiFinD("THS_GPJC_STOCK",A163)</f>
        <v>土壤修复</v>
      </c>
      <c r="C163" s="5">
        <f ca="1">[1]!thsiFinD("ths_chg_ratio_y_index",A163,$A$1)/100</f>
        <v>1.6561045976772E-2</v>
      </c>
    </row>
    <row r="164" spans="1:3" x14ac:dyDescent="0.25">
      <c r="A164" s="1" t="s">
        <v>385</v>
      </c>
      <c r="B164" s="1" t="str">
        <f>[1]!thsiFinD("THS_GPJC_STOCK",A164)</f>
        <v>同花顺新质50</v>
      </c>
      <c r="C164" s="5">
        <f ca="1">[1]!thsiFinD("ths_chg_ratio_y_index",A164,$A$1)/100</f>
        <v>1.6209625791540002E-2</v>
      </c>
    </row>
    <row r="165" spans="1:3" x14ac:dyDescent="0.25">
      <c r="A165" s="1" t="s">
        <v>236</v>
      </c>
      <c r="B165" s="1" t="str">
        <f>[1]!thsiFinD("THS_GPJC_STOCK",A165)</f>
        <v>牙科医疗</v>
      </c>
      <c r="C165" s="5">
        <f ca="1">[1]!thsiFinD("ths_chg_ratio_y_index",A165,$A$1)/100</f>
        <v>1.4512068710203002E-2</v>
      </c>
    </row>
    <row r="166" spans="1:3" x14ac:dyDescent="0.25">
      <c r="A166" s="1" t="s">
        <v>4</v>
      </c>
      <c r="B166" s="1" t="str">
        <f>[1]!thsiFinD("THS_GPJC_STOCK",A166)</f>
        <v>上证180成份股</v>
      </c>
      <c r="C166" s="5">
        <f ca="1">[1]!thsiFinD("ths_chg_ratio_y_index",A166,$A$1)/100</f>
        <v>1.0626146930967998E-2</v>
      </c>
    </row>
    <row r="167" spans="1:3" x14ac:dyDescent="0.25">
      <c r="A167" s="1" t="s">
        <v>71</v>
      </c>
      <c r="B167" s="1" t="str">
        <f>[1]!thsiFinD("THS_GPJC_STOCK",A167)</f>
        <v>大飞机</v>
      </c>
      <c r="C167" s="5">
        <f ca="1">[1]!thsiFinD("ths_chg_ratio_y_index",A167,$A$1)/100</f>
        <v>1.0460335776225E-2</v>
      </c>
    </row>
    <row r="168" spans="1:3" x14ac:dyDescent="0.25">
      <c r="A168" s="1" t="s">
        <v>69</v>
      </c>
      <c r="B168" s="1" t="str">
        <f>[1]!thsiFinD("THS_GPJC_STOCK",A168)</f>
        <v>高铁</v>
      </c>
      <c r="C168" s="5">
        <f ca="1">[1]!thsiFinD("ths_chg_ratio_y_index",A168,$A$1)/100</f>
        <v>7.7290932118363994E-3</v>
      </c>
    </row>
    <row r="169" spans="1:3" x14ac:dyDescent="0.25">
      <c r="A169" s="1" t="s">
        <v>228</v>
      </c>
      <c r="B169" s="1" t="str">
        <f>[1]!thsiFinD("THS_GPJC_STOCK",A169)</f>
        <v>快手概念</v>
      </c>
      <c r="C169" s="5">
        <f ca="1">[1]!thsiFinD("ths_chg_ratio_y_index",A169,$A$1)/100</f>
        <v>5.1606024200459002E-3</v>
      </c>
    </row>
    <row r="170" spans="1:3" x14ac:dyDescent="0.25">
      <c r="A170" s="1" t="s">
        <v>358</v>
      </c>
      <c r="B170" s="1" t="str">
        <f>[1]!thsiFinD("THS_GPJC_STOCK",A170)</f>
        <v>小米汽车</v>
      </c>
      <c r="C170" s="5">
        <f ca="1">[1]!thsiFinD("ths_chg_ratio_y_index",A170,$A$1)/100</f>
        <v>3.8527310022865003E-3</v>
      </c>
    </row>
    <row r="171" spans="1:3" x14ac:dyDescent="0.25">
      <c r="A171" s="1" t="s">
        <v>305</v>
      </c>
      <c r="B171" s="1" t="str">
        <f>[1]!thsiFinD("THS_GPJC_STOCK",A171)</f>
        <v>生物质能发电</v>
      </c>
      <c r="C171" s="5">
        <f ca="1">[1]!thsiFinD("ths_chg_ratio_y_index",A171,$A$1)/100</f>
        <v>3.6423682042682998E-3</v>
      </c>
    </row>
    <row r="172" spans="1:3" x14ac:dyDescent="0.25">
      <c r="A172" s="1" t="s">
        <v>23</v>
      </c>
      <c r="B172" s="1" t="str">
        <f>[1]!thsiFinD("THS_GPJC_STOCK",A172)</f>
        <v>污水处理</v>
      </c>
      <c r="C172" s="5">
        <f ca="1">[1]!thsiFinD("ths_chg_ratio_y_index",A172,$A$1)/100</f>
        <v>2.6044229304207998E-3</v>
      </c>
    </row>
    <row r="173" spans="1:3" x14ac:dyDescent="0.25">
      <c r="A173" s="1" t="s">
        <v>366</v>
      </c>
      <c r="B173" s="1" t="str">
        <f>[1]!thsiFinD("THS_GPJC_STOCK",A173)</f>
        <v>高股息精选</v>
      </c>
      <c r="C173" s="5">
        <f ca="1">[1]!thsiFinD("ths_chg_ratio_y_index",A173,$A$1)/100</f>
        <v>1.6617469304224999E-3</v>
      </c>
    </row>
    <row r="174" spans="1:3" x14ac:dyDescent="0.25">
      <c r="A174" s="1" t="s">
        <v>63</v>
      </c>
      <c r="B174" s="1" t="str">
        <f>[1]!thsiFinD("THS_GPJC_STOCK",A174)</f>
        <v>家用电器</v>
      </c>
      <c r="C174" s="5">
        <f ca="1">[1]!thsiFinD("ths_chg_ratio_y_index",A174,$A$1)/100</f>
        <v>3.6334760770359998E-4</v>
      </c>
    </row>
    <row r="175" spans="1:3" x14ac:dyDescent="0.25">
      <c r="A175" s="1" t="s">
        <v>206</v>
      </c>
      <c r="B175" s="1" t="str">
        <f>[1]!thsiFinD("THS_GPJC_STOCK",A175)</f>
        <v>C2M概念</v>
      </c>
      <c r="C175" s="5">
        <f ca="1">[1]!thsiFinD("ths_chg_ratio_y_index",A175,$A$1)/100</f>
        <v>-4.2622887762959004E-5</v>
      </c>
    </row>
    <row r="176" spans="1:3" x14ac:dyDescent="0.25">
      <c r="A176" s="1" t="s">
        <v>42</v>
      </c>
      <c r="B176" s="1" t="str">
        <f>[1]!thsiFinD("THS_GPJC_STOCK",A176)</f>
        <v>智能家居</v>
      </c>
      <c r="C176" s="5">
        <f ca="1">[1]!thsiFinD("ths_chg_ratio_y_index",A176,$A$1)/100</f>
        <v>-7.6103600446922012E-4</v>
      </c>
    </row>
    <row r="177" spans="1:3" x14ac:dyDescent="0.25">
      <c r="A177" s="1" t="s">
        <v>207</v>
      </c>
      <c r="B177" s="1" t="str">
        <f>[1]!thsiFinD("THS_GPJC_STOCK",A177)</f>
        <v>抖音概念(字节概念)</v>
      </c>
      <c r="C177" s="5">
        <f ca="1">[1]!thsiFinD("ths_chg_ratio_y_index",A177,$A$1)/100</f>
        <v>-9.6456295014419008E-4</v>
      </c>
    </row>
    <row r="178" spans="1:3" x14ac:dyDescent="0.25">
      <c r="A178" s="1" t="s">
        <v>147</v>
      </c>
      <c r="B178" s="1" t="str">
        <f>[1]!thsiFinD("THS_GPJC_STOCK",A178)</f>
        <v>工业互联网</v>
      </c>
      <c r="C178" s="5">
        <f ca="1">[1]!thsiFinD("ths_chg_ratio_y_index",A178,$A$1)/100</f>
        <v>-2.3850892775968001E-3</v>
      </c>
    </row>
    <row r="179" spans="1:3" x14ac:dyDescent="0.25">
      <c r="A179" s="1" t="s">
        <v>328</v>
      </c>
      <c r="B179" s="1" t="str">
        <f>[1]!thsiFinD("THS_GPJC_STOCK",A179)</f>
        <v>数字水印</v>
      </c>
      <c r="C179" s="5">
        <f ca="1">[1]!thsiFinD("ths_chg_ratio_y_index",A179,$A$1)/100</f>
        <v>-3.0750094092084003E-3</v>
      </c>
    </row>
    <row r="180" spans="1:3" x14ac:dyDescent="0.25">
      <c r="A180" s="1" t="s">
        <v>119</v>
      </c>
      <c r="B180" s="1" t="str">
        <f>[1]!thsiFinD("THS_GPJC_STOCK",A180)</f>
        <v>中字头股票</v>
      </c>
      <c r="C180" s="5">
        <f ca="1">[1]!thsiFinD("ths_chg_ratio_y_index",A180,$A$1)/100</f>
        <v>-3.0780629901436003E-3</v>
      </c>
    </row>
    <row r="181" spans="1:3" x14ac:dyDescent="0.25">
      <c r="A181" s="1" t="s">
        <v>311</v>
      </c>
      <c r="B181" s="1" t="str">
        <f>[1]!thsiFinD("THS_GPJC_STOCK",A181)</f>
        <v>光热发电</v>
      </c>
      <c r="C181" s="5">
        <f ca="1">[1]!thsiFinD("ths_chg_ratio_y_index",A181,$A$1)/100</f>
        <v>-3.5810566883430002E-3</v>
      </c>
    </row>
    <row r="182" spans="1:3" x14ac:dyDescent="0.25">
      <c r="A182" s="1" t="s">
        <v>78</v>
      </c>
      <c r="B182" s="1" t="str">
        <f>[1]!thsiFinD("THS_GPJC_STOCK",A182)</f>
        <v>足球概念</v>
      </c>
      <c r="C182" s="5">
        <f ca="1">[1]!thsiFinD("ths_chg_ratio_y_index",A182,$A$1)/100</f>
        <v>-3.8057605344849E-3</v>
      </c>
    </row>
    <row r="183" spans="1:3" x14ac:dyDescent="0.25">
      <c r="A183" s="1" t="s">
        <v>386</v>
      </c>
      <c r="B183" s="1" t="str">
        <f>[1]!thsiFinD("THS_GPJC_STOCK",A183)</f>
        <v>小红书概念</v>
      </c>
      <c r="C183" s="5">
        <f ca="1">[1]!thsiFinD("ths_chg_ratio_y_index",A183,$A$1)/100</f>
        <v>-4.0895194130320996E-3</v>
      </c>
    </row>
    <row r="184" spans="1:3" x14ac:dyDescent="0.25">
      <c r="A184" s="1" t="s">
        <v>202</v>
      </c>
      <c r="B184" s="1" t="str">
        <f>[1]!thsiFinD("THS_GPJC_STOCK",A184)</f>
        <v>消毒剂</v>
      </c>
      <c r="C184" s="5">
        <f ca="1">[1]!thsiFinD("ths_chg_ratio_y_index",A184,$A$1)/100</f>
        <v>-4.4128365309496001E-3</v>
      </c>
    </row>
    <row r="185" spans="1:3" x14ac:dyDescent="0.25">
      <c r="A185" s="1" t="s">
        <v>234</v>
      </c>
      <c r="B185" s="1" t="str">
        <f>[1]!thsiFinD("THS_GPJC_STOCK",A185)</f>
        <v>共同富裕示范区</v>
      </c>
      <c r="C185" s="5">
        <f ca="1">[1]!thsiFinD("ths_chg_ratio_y_index",A185,$A$1)/100</f>
        <v>-6.1259958820781002E-3</v>
      </c>
    </row>
    <row r="186" spans="1:3" x14ac:dyDescent="0.25">
      <c r="A186" s="1" t="s">
        <v>166</v>
      </c>
      <c r="B186" s="1" t="str">
        <f>[1]!thsiFinD("THS_GPJC_STOCK",A186)</f>
        <v>电力物联网</v>
      </c>
      <c r="C186" s="5">
        <f ca="1">[1]!thsiFinD("ths_chg_ratio_y_index",A186,$A$1)/100</f>
        <v>-6.2270311508123002E-3</v>
      </c>
    </row>
    <row r="187" spans="1:3" x14ac:dyDescent="0.25">
      <c r="A187" s="1" t="s">
        <v>369</v>
      </c>
      <c r="B187" s="1" t="str">
        <f>[1]!thsiFinD("THS_GPJC_STOCK",A187)</f>
        <v>同花顺出海50</v>
      </c>
      <c r="C187" s="5">
        <f ca="1">[1]!thsiFinD("ths_chg_ratio_y_index",A187,$A$1)/100</f>
        <v>-6.7672827697899994E-3</v>
      </c>
    </row>
    <row r="188" spans="1:3" x14ac:dyDescent="0.25">
      <c r="A188" s="1" t="s">
        <v>18</v>
      </c>
      <c r="B188" s="1" t="str">
        <f>[1]!thsiFinD("THS_GPJC_STOCK",A188)</f>
        <v>建筑节能</v>
      </c>
      <c r="C188" s="5">
        <f ca="1">[1]!thsiFinD("ths_chg_ratio_y_index",A188,$A$1)/100</f>
        <v>-7.2331608361231002E-3</v>
      </c>
    </row>
    <row r="189" spans="1:3" x14ac:dyDescent="0.25">
      <c r="A189" s="1" t="s">
        <v>247</v>
      </c>
      <c r="B189" s="1" t="str">
        <f>[1]!thsiFinD("THS_GPJC_STOCK",A189)</f>
        <v>换电概念</v>
      </c>
      <c r="C189" s="5">
        <f ca="1">[1]!thsiFinD("ths_chg_ratio_y_index",A189,$A$1)/100</f>
        <v>-8.1301653709456006E-3</v>
      </c>
    </row>
    <row r="190" spans="1:3" x14ac:dyDescent="0.25">
      <c r="A190" s="1" t="s">
        <v>361</v>
      </c>
      <c r="B190" s="1" t="str">
        <f>[1]!thsiFinD("THS_GPJC_STOCK",A190)</f>
        <v>低空经济</v>
      </c>
      <c r="C190" s="5">
        <f ca="1">[1]!thsiFinD("ths_chg_ratio_y_index",A190,$A$1)/100</f>
        <v>-9.4609497102245994E-3</v>
      </c>
    </row>
    <row r="191" spans="1:3" x14ac:dyDescent="0.25">
      <c r="A191" s="1" t="s">
        <v>82</v>
      </c>
      <c r="B191" s="1" t="str">
        <f>[1]!thsiFinD("THS_GPJC_STOCK",A191)</f>
        <v>央企国企改革</v>
      </c>
      <c r="C191" s="5">
        <f ca="1">[1]!thsiFinD("ths_chg_ratio_y_index",A191,$A$1)/100</f>
        <v>-1.0207061545633E-2</v>
      </c>
    </row>
    <row r="192" spans="1:3" x14ac:dyDescent="0.25">
      <c r="A192" s="1" t="s">
        <v>217</v>
      </c>
      <c r="B192" s="1" t="str">
        <f>[1]!thsiFinD("THS_GPJC_STOCK",A192)</f>
        <v>代糖概念</v>
      </c>
      <c r="C192" s="5">
        <f ca="1">[1]!thsiFinD("ths_chg_ratio_y_index",A192,$A$1)/100</f>
        <v>-1.1438789522902998E-2</v>
      </c>
    </row>
    <row r="193" spans="1:3" x14ac:dyDescent="0.25">
      <c r="A193" s="1" t="s">
        <v>167</v>
      </c>
      <c r="B193" s="1" t="str">
        <f>[1]!thsiFinD("THS_GPJC_STOCK",A193)</f>
        <v>数字孪生</v>
      </c>
      <c r="C193" s="5">
        <f ca="1">[1]!thsiFinD("ths_chg_ratio_y_index",A193,$A$1)/100</f>
        <v>-1.1886339292924E-2</v>
      </c>
    </row>
    <row r="194" spans="1:3" x14ac:dyDescent="0.25">
      <c r="A194" s="1" t="s">
        <v>310</v>
      </c>
      <c r="B194" s="1" t="str">
        <f>[1]!thsiFinD("THS_GPJC_STOCK",A194)</f>
        <v>空气能热泵</v>
      </c>
      <c r="C194" s="5">
        <f ca="1">[1]!thsiFinD("ths_chg_ratio_y_index",A194,$A$1)/100</f>
        <v>-1.2555603151101999E-2</v>
      </c>
    </row>
    <row r="195" spans="1:3" x14ac:dyDescent="0.25">
      <c r="A195" s="1" t="s">
        <v>26</v>
      </c>
      <c r="B195" s="1" t="str">
        <f>[1]!thsiFinD("THS_GPJC_STOCK",A195)</f>
        <v>安防</v>
      </c>
      <c r="C195" s="5">
        <f ca="1">[1]!thsiFinD("ths_chg_ratio_y_index",A195,$A$1)/100</f>
        <v>-1.4567038455226999E-2</v>
      </c>
    </row>
    <row r="196" spans="1:3" x14ac:dyDescent="0.25">
      <c r="A196" s="1" t="s">
        <v>47</v>
      </c>
      <c r="B196" s="1" t="str">
        <f>[1]!thsiFinD("THS_GPJC_STOCK",A196)</f>
        <v>一带一路</v>
      </c>
      <c r="C196" s="5">
        <f ca="1">[1]!thsiFinD("ths_chg_ratio_y_index",A196,$A$1)/100</f>
        <v>-1.4690677637826E-2</v>
      </c>
    </row>
    <row r="197" spans="1:3" x14ac:dyDescent="0.25">
      <c r="A197" s="1" t="s">
        <v>124</v>
      </c>
      <c r="B197" s="1" t="str">
        <f>[1]!thsiFinD("THS_GPJC_STOCK",A197)</f>
        <v>可燃冰</v>
      </c>
      <c r="C197" s="5">
        <f ca="1">[1]!thsiFinD("ths_chg_ratio_y_index",A197,$A$1)/100</f>
        <v>-1.5301387419379E-2</v>
      </c>
    </row>
    <row r="198" spans="1:3" x14ac:dyDescent="0.25">
      <c r="A198" s="1" t="s">
        <v>8</v>
      </c>
      <c r="B198" s="1" t="str">
        <f>[1]!thsiFinD("THS_GPJC_STOCK",A198)</f>
        <v>物联网</v>
      </c>
      <c r="C198" s="5">
        <f ca="1">[1]!thsiFinD("ths_chg_ratio_y_index",A198,$A$1)/100</f>
        <v>-1.5918930994639001E-2</v>
      </c>
    </row>
    <row r="199" spans="1:3" x14ac:dyDescent="0.25">
      <c r="A199" s="1" t="s">
        <v>184</v>
      </c>
      <c r="B199" s="1" t="str">
        <f>[1]!thsiFinD("THS_GPJC_STOCK",A199)</f>
        <v>烟草</v>
      </c>
      <c r="C199" s="5">
        <f ca="1">[1]!thsiFinD("ths_chg_ratio_y_index",A199,$A$1)/100</f>
        <v>-1.7065118837232E-2</v>
      </c>
    </row>
    <row r="200" spans="1:3" x14ac:dyDescent="0.25">
      <c r="A200" s="1" t="s">
        <v>378</v>
      </c>
      <c r="B200" s="1" t="str">
        <f>[1]!thsiFinD("THS_GPJC_STOCK",A200)</f>
        <v>西部大开发</v>
      </c>
      <c r="C200" s="5">
        <f ca="1">[1]!thsiFinD("ths_chg_ratio_y_index",A200,$A$1)/100</f>
        <v>-1.7915495618397E-2</v>
      </c>
    </row>
    <row r="201" spans="1:3" x14ac:dyDescent="0.25">
      <c r="A201" s="1" t="s">
        <v>21</v>
      </c>
      <c r="B201" s="1" t="str">
        <f>[1]!thsiFinD("THS_GPJC_STOCK",A201)</f>
        <v>食品安全</v>
      </c>
      <c r="C201" s="5">
        <f ca="1">[1]!thsiFinD("ths_chg_ratio_y_index",A201,$A$1)/100</f>
        <v>-2.0391441952965002E-2</v>
      </c>
    </row>
    <row r="202" spans="1:3" x14ac:dyDescent="0.25">
      <c r="A202" s="1" t="s">
        <v>300</v>
      </c>
      <c r="B202" s="1" t="str">
        <f>[1]!thsiFinD("THS_GPJC_STOCK",A202)</f>
        <v>一体化压铸</v>
      </c>
      <c r="C202" s="5">
        <f ca="1">[1]!thsiFinD("ths_chg_ratio_y_index",A202,$A$1)/100</f>
        <v>-2.4312542914978003E-2</v>
      </c>
    </row>
    <row r="203" spans="1:3" x14ac:dyDescent="0.25">
      <c r="A203" s="1" t="s">
        <v>195</v>
      </c>
      <c r="B203" s="1" t="str">
        <f>[1]!thsiFinD("THS_GPJC_STOCK",A203)</f>
        <v>云游戏</v>
      </c>
      <c r="C203" s="5">
        <f ca="1">[1]!thsiFinD("ths_chg_ratio_y_index",A203,$A$1)/100</f>
        <v>-2.6759428414766001E-2</v>
      </c>
    </row>
    <row r="204" spans="1:3" x14ac:dyDescent="0.25">
      <c r="A204" s="1" t="s">
        <v>299</v>
      </c>
      <c r="B204" s="1" t="str">
        <f>[1]!thsiFinD("THS_GPJC_STOCK",A204)</f>
        <v>汽车热管理</v>
      </c>
      <c r="C204" s="5">
        <f ca="1">[1]!thsiFinD("ths_chg_ratio_y_index",A204,$A$1)/100</f>
        <v>-2.7010564061957999E-2</v>
      </c>
    </row>
    <row r="205" spans="1:3" x14ac:dyDescent="0.25">
      <c r="A205" s="1" t="s">
        <v>143</v>
      </c>
      <c r="B205" s="1" t="str">
        <f>[1]!thsiFinD("THS_GPJC_STOCK",A205)</f>
        <v>腾讯概念</v>
      </c>
      <c r="C205" s="5">
        <f ca="1">[1]!thsiFinD("ths_chg_ratio_y_index",A205,$A$1)/100</f>
        <v>-2.7909987908845003E-2</v>
      </c>
    </row>
    <row r="206" spans="1:3" x14ac:dyDescent="0.25">
      <c r="A206" s="1" t="s">
        <v>24</v>
      </c>
      <c r="B206" s="1" t="str">
        <f>[1]!thsiFinD("THS_GPJC_STOCK",A206)</f>
        <v>创投</v>
      </c>
      <c r="C206" s="5">
        <f ca="1">[1]!thsiFinD("ths_chg_ratio_y_index",A206,$A$1)/100</f>
        <v>-3.0189322493435998E-2</v>
      </c>
    </row>
    <row r="207" spans="1:3" x14ac:dyDescent="0.25">
      <c r="A207" s="1" t="s">
        <v>61</v>
      </c>
      <c r="B207" s="1" t="str">
        <f>[1]!thsiFinD("THS_GPJC_STOCK",A207)</f>
        <v>医疗器械概念</v>
      </c>
      <c r="C207" s="5">
        <f ca="1">[1]!thsiFinD("ths_chg_ratio_y_index",A207,$A$1)/100</f>
        <v>-3.0468769056395999E-2</v>
      </c>
    </row>
    <row r="208" spans="1:3" x14ac:dyDescent="0.25">
      <c r="A208" s="1" t="s">
        <v>391</v>
      </c>
      <c r="B208" s="1" t="str">
        <f>[1]!thsiFinD("THS_GPJC_STOCK",A208)</f>
        <v>雅下水电概念</v>
      </c>
      <c r="C208" s="5">
        <f ca="1">[1]!thsiFinD("ths_chg_ratio_y_index",A208,$A$1)/100</f>
        <v>-3.0690994321374E-2</v>
      </c>
    </row>
    <row r="209" spans="1:3" x14ac:dyDescent="0.25">
      <c r="A209" s="1" t="s">
        <v>186</v>
      </c>
      <c r="B209" s="1" t="str">
        <f>[1]!thsiFinD("THS_GPJC_STOCK",A209)</f>
        <v>垃圾分类</v>
      </c>
      <c r="C209" s="5">
        <f ca="1">[1]!thsiFinD("ths_chg_ratio_y_index",A209,$A$1)/100</f>
        <v>-3.0928913666570003E-2</v>
      </c>
    </row>
    <row r="210" spans="1:3" x14ac:dyDescent="0.25">
      <c r="A210" s="1" t="s">
        <v>356</v>
      </c>
      <c r="B210" s="1" t="str">
        <f>[1]!thsiFinD("THS_GPJC_STOCK",A210)</f>
        <v>多模态AI</v>
      </c>
      <c r="C210" s="5">
        <f ca="1">[1]!thsiFinD("ths_chg_ratio_y_index",A210,$A$1)/100</f>
        <v>-3.1501162871604003E-2</v>
      </c>
    </row>
    <row r="211" spans="1:3" x14ac:dyDescent="0.25">
      <c r="A211" s="1" t="s">
        <v>173</v>
      </c>
      <c r="B211" s="1" t="str">
        <f>[1]!thsiFinD("THS_GPJC_STOCK",A211)</f>
        <v>华为汽车</v>
      </c>
      <c r="C211" s="5">
        <f ca="1">[1]!thsiFinD("ths_chg_ratio_y_index",A211,$A$1)/100</f>
        <v>-3.1626342694988999E-2</v>
      </c>
    </row>
    <row r="212" spans="1:3" x14ac:dyDescent="0.25">
      <c r="A212" s="1" t="s">
        <v>3</v>
      </c>
      <c r="B212" s="1" t="str">
        <f>[1]!thsiFinD("THS_GPJC_STOCK",A212)</f>
        <v>上证50样本股</v>
      </c>
      <c r="C212" s="5">
        <f ca="1">[1]!thsiFinD("ths_chg_ratio_y_index",A212,$A$1)/100</f>
        <v>-3.1889097465302003E-2</v>
      </c>
    </row>
    <row r="213" spans="1:3" x14ac:dyDescent="0.25">
      <c r="A213" s="1" t="s">
        <v>349</v>
      </c>
      <c r="B213" s="1" t="str">
        <f>[1]!thsiFinD("THS_GPJC_STOCK",A213)</f>
        <v>星闪概念</v>
      </c>
      <c r="C213" s="5">
        <f ca="1">[1]!thsiFinD("ths_chg_ratio_y_index",A213,$A$1)/100</f>
        <v>-3.2425629710380002E-2</v>
      </c>
    </row>
    <row r="214" spans="1:3" x14ac:dyDescent="0.25">
      <c r="A214" s="1" t="s">
        <v>15</v>
      </c>
      <c r="B214" s="1" t="str">
        <f>[1]!thsiFinD("THS_GPJC_STOCK",A214)</f>
        <v>页岩气</v>
      </c>
      <c r="C214" s="5">
        <f ca="1">[1]!thsiFinD("ths_chg_ratio_y_index",A214,$A$1)/100</f>
        <v>-3.3692831107446003E-2</v>
      </c>
    </row>
    <row r="215" spans="1:3" x14ac:dyDescent="0.25">
      <c r="A215" s="1" t="s">
        <v>83</v>
      </c>
      <c r="B215" s="1" t="str">
        <f>[1]!thsiFinD("THS_GPJC_STOCK",A215)</f>
        <v>新股与次新股</v>
      </c>
      <c r="C215" s="5">
        <f ca="1">[1]!thsiFinD("ths_chg_ratio_y_index",A215,$A$1)/100</f>
        <v>-3.4177481738458998E-2</v>
      </c>
    </row>
    <row r="216" spans="1:3" x14ac:dyDescent="0.25">
      <c r="A216" s="1" t="s">
        <v>320</v>
      </c>
      <c r="B216" s="1" t="str">
        <f>[1]!thsiFinD("THS_GPJC_STOCK",A216)</f>
        <v>国企改革</v>
      </c>
      <c r="C216" s="5">
        <f ca="1">[1]!thsiFinD("ths_chg_ratio_y_index",A216,$A$1)/100</f>
        <v>-3.421347136715E-2</v>
      </c>
    </row>
    <row r="217" spans="1:3" x14ac:dyDescent="0.25">
      <c r="A217" s="1" t="s">
        <v>19</v>
      </c>
      <c r="B217" s="1" t="str">
        <f>[1]!thsiFinD("THS_GPJC_STOCK",A217)</f>
        <v>煤化工概念</v>
      </c>
      <c r="C217" s="5">
        <f ca="1">[1]!thsiFinD("ths_chg_ratio_y_index",A217,$A$1)/100</f>
        <v>-3.4229115793177001E-2</v>
      </c>
    </row>
    <row r="218" spans="1:3" x14ac:dyDescent="0.25">
      <c r="A218" s="1" t="s">
        <v>360</v>
      </c>
      <c r="B218" s="1" t="str">
        <f>[1]!thsiFinD("THS_GPJC_STOCK",A218)</f>
        <v>飞行汽车(eVTOL)</v>
      </c>
      <c r="C218" s="5">
        <f ca="1">[1]!thsiFinD("ths_chg_ratio_y_index",A218,$A$1)/100</f>
        <v>-3.6461092050819002E-2</v>
      </c>
    </row>
    <row r="219" spans="1:3" x14ac:dyDescent="0.25">
      <c r="A219" s="1" t="s">
        <v>103</v>
      </c>
      <c r="B219" s="1" t="str">
        <f>[1]!thsiFinD("THS_GPJC_STOCK",A219)</f>
        <v>深圳国企改革</v>
      </c>
      <c r="C219" s="5">
        <f ca="1">[1]!thsiFinD("ths_chg_ratio_y_index",A219,$A$1)/100</f>
        <v>-3.8330162422586002E-2</v>
      </c>
    </row>
    <row r="220" spans="1:3" x14ac:dyDescent="0.25">
      <c r="A220" s="1" t="s">
        <v>293</v>
      </c>
      <c r="B220" s="1" t="str">
        <f>[1]!thsiFinD("THS_GPJC_STOCK",A220)</f>
        <v>新型城镇化</v>
      </c>
      <c r="C220" s="5">
        <f ca="1">[1]!thsiFinD("ths_chg_ratio_y_index",A220,$A$1)/100</f>
        <v>-3.9689148565479997E-2</v>
      </c>
    </row>
    <row r="221" spans="1:3" x14ac:dyDescent="0.25">
      <c r="A221" s="1" t="s">
        <v>355</v>
      </c>
      <c r="B221" s="1" t="str">
        <f>[1]!thsiFinD("THS_GPJC_STOCK",A221)</f>
        <v>长安汽车概念</v>
      </c>
      <c r="C221" s="5">
        <f ca="1">[1]!thsiFinD("ths_chg_ratio_y_index",A221,$A$1)/100</f>
        <v>-3.9712650102940998E-2</v>
      </c>
    </row>
    <row r="222" spans="1:3" x14ac:dyDescent="0.25">
      <c r="A222" s="1" t="s">
        <v>12</v>
      </c>
      <c r="B222" s="1" t="str">
        <f>[1]!thsiFinD("THS_GPJC_STOCK",A222)</f>
        <v>新疆振兴</v>
      </c>
      <c r="C222" s="5">
        <f ca="1">[1]!thsiFinD("ths_chg_ratio_y_index",A222,$A$1)/100</f>
        <v>-4.0388928257161998E-2</v>
      </c>
    </row>
    <row r="223" spans="1:3" x14ac:dyDescent="0.25">
      <c r="A223" s="1" t="s">
        <v>85</v>
      </c>
      <c r="B223" s="1" t="str">
        <f>[1]!thsiFinD("THS_GPJC_STOCK",A223)</f>
        <v>阿里巴巴概念</v>
      </c>
      <c r="C223" s="5">
        <f ca="1">[1]!thsiFinD("ths_chg_ratio_y_index",A223,$A$1)/100</f>
        <v>-4.1472299367407005E-2</v>
      </c>
    </row>
    <row r="224" spans="1:3" x14ac:dyDescent="0.25">
      <c r="A224" s="1" t="s">
        <v>41</v>
      </c>
      <c r="B224" s="1" t="str">
        <f>[1]!thsiFinD("THS_GPJC_STOCK",A224)</f>
        <v>上海自贸区</v>
      </c>
      <c r="C224" s="5">
        <f ca="1">[1]!thsiFinD("ths_chg_ratio_y_index",A224,$A$1)/100</f>
        <v>-4.1590679317293003E-2</v>
      </c>
    </row>
    <row r="225" spans="1:3" x14ac:dyDescent="0.25">
      <c r="A225" s="1" t="s">
        <v>308</v>
      </c>
      <c r="B225" s="1" t="str">
        <f>[1]!thsiFinD("THS_GPJC_STOCK",A225)</f>
        <v>减速器</v>
      </c>
      <c r="C225" s="5">
        <f ca="1">[1]!thsiFinD("ths_chg_ratio_y_index",A225,$A$1)/100</f>
        <v>-4.1803009624816999E-2</v>
      </c>
    </row>
    <row r="226" spans="1:3" x14ac:dyDescent="0.25">
      <c r="A226" s="1" t="s">
        <v>341</v>
      </c>
      <c r="B226" s="1" t="str">
        <f>[1]!thsiFinD("THS_GPJC_STOCK",A226)</f>
        <v>脑机接口</v>
      </c>
      <c r="C226" s="5">
        <f ca="1">[1]!thsiFinD("ths_chg_ratio_y_index",A226,$A$1)/100</f>
        <v>-4.4064839398229999E-2</v>
      </c>
    </row>
    <row r="227" spans="1:3" x14ac:dyDescent="0.25">
      <c r="A227" s="1" t="s">
        <v>339</v>
      </c>
      <c r="B227" s="1" t="str">
        <f>[1]!thsiFinD("THS_GPJC_STOCK",A227)</f>
        <v>同花顺中特估100</v>
      </c>
      <c r="C227" s="5">
        <f ca="1">[1]!thsiFinD("ths_chg_ratio_y_index",A227,$A$1)/100</f>
        <v>-4.5713387208228998E-2</v>
      </c>
    </row>
    <row r="228" spans="1:3" x14ac:dyDescent="0.25">
      <c r="A228" s="1" t="s">
        <v>352</v>
      </c>
      <c r="B228" s="1" t="str">
        <f>[1]!thsiFinD("THS_GPJC_STOCK",A228)</f>
        <v>华为昇腾</v>
      </c>
      <c r="C228" s="5">
        <f ca="1">[1]!thsiFinD("ths_chg_ratio_y_index",A228,$A$1)/100</f>
        <v>-4.6515932629511994E-2</v>
      </c>
    </row>
    <row r="229" spans="1:3" x14ac:dyDescent="0.25">
      <c r="A229" s="1" t="s">
        <v>170</v>
      </c>
      <c r="B229" s="1" t="str">
        <f>[1]!thsiFinD("THS_GPJC_STOCK",A229)</f>
        <v>横琴新区</v>
      </c>
      <c r="C229" s="5">
        <f ca="1">[1]!thsiFinD("ths_chg_ratio_y_index",A229,$A$1)/100</f>
        <v>-4.7873944698762001E-2</v>
      </c>
    </row>
    <row r="230" spans="1:3" x14ac:dyDescent="0.25">
      <c r="A230" s="1" t="s">
        <v>243</v>
      </c>
      <c r="B230" s="1" t="str">
        <f>[1]!thsiFinD("THS_GPJC_STOCK",A230)</f>
        <v>元宇宙</v>
      </c>
      <c r="C230" s="5">
        <f ca="1">[1]!thsiFinD("ths_chg_ratio_y_index",A230,$A$1)/100</f>
        <v>-4.8157943671019006E-2</v>
      </c>
    </row>
    <row r="231" spans="1:3" x14ac:dyDescent="0.25">
      <c r="A231" s="1" t="s">
        <v>110</v>
      </c>
      <c r="B231" s="1" t="str">
        <f>[1]!thsiFinD("THS_GPJC_STOCK",A231)</f>
        <v>人工智能</v>
      </c>
      <c r="C231" s="5">
        <f ca="1">[1]!thsiFinD("ths_chg_ratio_y_index",A231,$A$1)/100</f>
        <v>-4.8219311406429002E-2</v>
      </c>
    </row>
    <row r="232" spans="1:3" x14ac:dyDescent="0.25">
      <c r="A232" s="1" t="s">
        <v>237</v>
      </c>
      <c r="B232" s="1" t="str">
        <f>[1]!thsiFinD("THS_GPJC_STOCK",A232)</f>
        <v>CRO概念</v>
      </c>
      <c r="C232" s="5">
        <f ca="1">[1]!thsiFinD("ths_chg_ratio_y_index",A232,$A$1)/100</f>
        <v>-4.8269262330691003E-2</v>
      </c>
    </row>
    <row r="233" spans="1:3" x14ac:dyDescent="0.25">
      <c r="A233" s="1" t="s">
        <v>113</v>
      </c>
      <c r="B233" s="1" t="str">
        <f>[1]!thsiFinD("THS_GPJC_STOCK",A233)</f>
        <v>广东自贸区</v>
      </c>
      <c r="C233" s="5">
        <f ca="1">[1]!thsiFinD("ths_chg_ratio_y_index",A233,$A$1)/100</f>
        <v>-4.9271163957626006E-2</v>
      </c>
    </row>
    <row r="234" spans="1:3" x14ac:dyDescent="0.25">
      <c r="A234" s="1" t="s">
        <v>388</v>
      </c>
      <c r="B234" s="1" t="str">
        <f>[1]!thsiFinD("THS_GPJC_STOCK",A234)</f>
        <v>DeepSeek概念</v>
      </c>
      <c r="C234" s="5">
        <f ca="1">[1]!thsiFinD("ths_chg_ratio_y_index",A234,$A$1)/100</f>
        <v>-4.9923533377184005E-2</v>
      </c>
    </row>
    <row r="235" spans="1:3" x14ac:dyDescent="0.25">
      <c r="A235" s="1" t="s">
        <v>266</v>
      </c>
      <c r="B235" s="1" t="str">
        <f>[1]!thsiFinD("THS_GPJC_STOCK",A235)</f>
        <v>民爆概念</v>
      </c>
      <c r="C235" s="5">
        <f ca="1">[1]!thsiFinD("ths_chg_ratio_y_index",A235,$A$1)/100</f>
        <v>-5.0371049603589999E-2</v>
      </c>
    </row>
    <row r="236" spans="1:3" x14ac:dyDescent="0.25">
      <c r="A236" s="1" t="s">
        <v>185</v>
      </c>
      <c r="B236" s="1" t="str">
        <f>[1]!thsiFinD("THS_GPJC_STOCK",A236)</f>
        <v>青蒿素</v>
      </c>
      <c r="C236" s="5">
        <f ca="1">[1]!thsiFinD("ths_chg_ratio_y_index",A236,$A$1)/100</f>
        <v>-5.1235856804021006E-2</v>
      </c>
    </row>
    <row r="237" spans="1:3" x14ac:dyDescent="0.25">
      <c r="A237" s="1" t="s">
        <v>131</v>
      </c>
      <c r="B237" s="1" t="str">
        <f>[1]!thsiFinD("THS_GPJC_STOCK",A237)</f>
        <v>人脸识别</v>
      </c>
      <c r="C237" s="5">
        <f ca="1">[1]!thsiFinD("ths_chg_ratio_y_index",A237,$A$1)/100</f>
        <v>-5.1828510407366996E-2</v>
      </c>
    </row>
    <row r="238" spans="1:3" x14ac:dyDescent="0.25">
      <c r="A238" s="1" t="s">
        <v>138</v>
      </c>
      <c r="B238" s="1" t="str">
        <f>[1]!thsiFinD("THS_GPJC_STOCK",A238)</f>
        <v>智能物流</v>
      </c>
      <c r="C238" s="5">
        <f ca="1">[1]!thsiFinD("ths_chg_ratio_y_index",A238,$A$1)/100</f>
        <v>-5.2445432584390002E-2</v>
      </c>
    </row>
    <row r="239" spans="1:3" x14ac:dyDescent="0.25">
      <c r="A239" s="1" t="s">
        <v>92</v>
      </c>
      <c r="B239" s="1" t="str">
        <f>[1]!thsiFinD("THS_GPJC_STOCK",A239)</f>
        <v>草甘膦</v>
      </c>
      <c r="C239" s="5">
        <f ca="1">[1]!thsiFinD("ths_chg_ratio_y_index",A239,$A$1)/100</f>
        <v>-5.3076357165849998E-2</v>
      </c>
    </row>
    <row r="240" spans="1:3" x14ac:dyDescent="0.25">
      <c r="A240" s="1" t="s">
        <v>334</v>
      </c>
      <c r="B240" s="1" t="str">
        <f>[1]!thsiFinD("THS_GPJC_STOCK",A240)</f>
        <v>MLOps概念</v>
      </c>
      <c r="C240" s="5">
        <f ca="1">[1]!thsiFinD("ths_chg_ratio_y_index",A240,$A$1)/100</f>
        <v>-5.3609215528499995E-2</v>
      </c>
    </row>
    <row r="241" spans="1:3" x14ac:dyDescent="0.25">
      <c r="A241" s="1" t="s">
        <v>145</v>
      </c>
      <c r="B241" s="1" t="str">
        <f>[1]!thsiFinD("THS_GPJC_STOCK",A241)</f>
        <v>石墨电极</v>
      </c>
      <c r="C241" s="5">
        <f ca="1">[1]!thsiFinD("ths_chg_ratio_y_index",A241,$A$1)/100</f>
        <v>-5.4015601719091998E-2</v>
      </c>
    </row>
    <row r="242" spans="1:3" x14ac:dyDescent="0.25">
      <c r="A242" s="1" t="s">
        <v>354</v>
      </c>
      <c r="B242" s="1" t="str">
        <f>[1]!thsiFinD("THS_GPJC_STOCK",A242)</f>
        <v>短剧游戏</v>
      </c>
      <c r="C242" s="5">
        <f ca="1">[1]!thsiFinD("ths_chg_ratio_y_index",A242,$A$1)/100</f>
        <v>-5.5303335130087998E-2</v>
      </c>
    </row>
    <row r="243" spans="1:3" x14ac:dyDescent="0.25">
      <c r="A243" s="1" t="s">
        <v>157</v>
      </c>
      <c r="B243" s="1" t="str">
        <f>[1]!thsiFinD("THS_GPJC_STOCK",A243)</f>
        <v>芬太尼</v>
      </c>
      <c r="C243" s="5">
        <f ca="1">[1]!thsiFinD("ths_chg_ratio_y_index",A243,$A$1)/100</f>
        <v>-5.5690072639225E-2</v>
      </c>
    </row>
    <row r="244" spans="1:3" x14ac:dyDescent="0.25">
      <c r="A244" s="1" t="s">
        <v>155</v>
      </c>
      <c r="B244" s="1" t="str">
        <f>[1]!thsiFinD("THS_GPJC_STOCK",A244)</f>
        <v>百度概念</v>
      </c>
      <c r="C244" s="5">
        <f ca="1">[1]!thsiFinD("ths_chg_ratio_y_index",A244,$A$1)/100</f>
        <v>-5.5746681378025E-2</v>
      </c>
    </row>
    <row r="245" spans="1:3" x14ac:dyDescent="0.25">
      <c r="A245" s="1" t="s">
        <v>132</v>
      </c>
      <c r="B245" s="1" t="str">
        <f>[1]!thsiFinD("THS_GPJC_STOCK",A245)</f>
        <v>装配式建筑</v>
      </c>
      <c r="C245" s="5">
        <f ca="1">[1]!thsiFinD("ths_chg_ratio_y_index",A245,$A$1)/100</f>
        <v>-5.6384240203800999E-2</v>
      </c>
    </row>
    <row r="246" spans="1:3" x14ac:dyDescent="0.25">
      <c r="A246" s="1" t="s">
        <v>87</v>
      </c>
      <c r="B246" s="1" t="str">
        <f>[1]!thsiFinD("THS_GPJC_STOCK",A246)</f>
        <v>福建自贸区</v>
      </c>
      <c r="C246" s="5">
        <f ca="1">[1]!thsiFinD("ths_chg_ratio_y_index",A246,$A$1)/100</f>
        <v>-5.6874220930921003E-2</v>
      </c>
    </row>
    <row r="247" spans="1:3" x14ac:dyDescent="0.25">
      <c r="A247" s="1" t="s">
        <v>14</v>
      </c>
      <c r="B247" s="1" t="str">
        <f>[1]!thsiFinD("THS_GPJC_STOCK",A247)</f>
        <v>云计算</v>
      </c>
      <c r="C247" s="5">
        <f ca="1">[1]!thsiFinD("ths_chg_ratio_y_index",A247,$A$1)/100</f>
        <v>-5.6877839013036002E-2</v>
      </c>
    </row>
    <row r="248" spans="1:3" x14ac:dyDescent="0.25">
      <c r="A248" s="1" t="s">
        <v>292</v>
      </c>
      <c r="B248" s="1" t="str">
        <f>[1]!thsiFinD("THS_GPJC_STOCK",A248)</f>
        <v>露营经济</v>
      </c>
      <c r="C248" s="5">
        <f ca="1">[1]!thsiFinD("ths_chg_ratio_y_index",A248,$A$1)/100</f>
        <v>-5.7876748230989997E-2</v>
      </c>
    </row>
    <row r="249" spans="1:3" x14ac:dyDescent="0.25">
      <c r="A249" s="1" t="s">
        <v>74</v>
      </c>
      <c r="B249" s="1" t="str">
        <f>[1]!thsiFinD("THS_GPJC_STOCK",A249)</f>
        <v>水利</v>
      </c>
      <c r="C249" s="5">
        <f ca="1">[1]!thsiFinD("ths_chg_ratio_y_index",A249,$A$1)/100</f>
        <v>-5.8578377886369E-2</v>
      </c>
    </row>
    <row r="250" spans="1:3" x14ac:dyDescent="0.25">
      <c r="A250" s="1" t="s">
        <v>122</v>
      </c>
      <c r="B250" s="1" t="str">
        <f>[1]!thsiFinD("THS_GPJC_STOCK",A250)</f>
        <v>雄安新区</v>
      </c>
      <c r="C250" s="5">
        <f ca="1">[1]!thsiFinD("ths_chg_ratio_y_index",A250,$A$1)/100</f>
        <v>-5.8754553556072994E-2</v>
      </c>
    </row>
    <row r="251" spans="1:3" x14ac:dyDescent="0.25">
      <c r="A251" s="1" t="s">
        <v>44</v>
      </c>
      <c r="B251" s="1" t="str">
        <f>[1]!thsiFinD("THS_GPJC_STOCK",A251)</f>
        <v>天津自贸区</v>
      </c>
      <c r="C251" s="5">
        <f ca="1">[1]!thsiFinD("ths_chg_ratio_y_index",A251,$A$1)/100</f>
        <v>-6.0034720009914999E-2</v>
      </c>
    </row>
    <row r="252" spans="1:3" x14ac:dyDescent="0.25">
      <c r="A252" s="1" t="s">
        <v>150</v>
      </c>
      <c r="B252" s="1" t="str">
        <f>[1]!thsiFinD("THS_GPJC_STOCK",A252)</f>
        <v>独角兽概念</v>
      </c>
      <c r="C252" s="5">
        <f ca="1">[1]!thsiFinD("ths_chg_ratio_y_index",A252,$A$1)/100</f>
        <v>-6.0323656051335002E-2</v>
      </c>
    </row>
    <row r="253" spans="1:3" x14ac:dyDescent="0.25">
      <c r="A253" s="1" t="s">
        <v>201</v>
      </c>
      <c r="B253" s="1" t="str">
        <f>[1]!thsiFinD("THS_GPJC_STOCK",A253)</f>
        <v>云办公</v>
      </c>
      <c r="C253" s="5">
        <f ca="1">[1]!thsiFinD("ths_chg_ratio_y_index",A253,$A$1)/100</f>
        <v>-6.0725544957578002E-2</v>
      </c>
    </row>
    <row r="254" spans="1:3" x14ac:dyDescent="0.25">
      <c r="A254" s="1" t="s">
        <v>227</v>
      </c>
      <c r="B254" s="1" t="str">
        <f>[1]!thsiFinD("THS_GPJC_STOCK",A254)</f>
        <v>同花顺漂亮100</v>
      </c>
      <c r="C254" s="5">
        <f ca="1">[1]!thsiFinD("ths_chg_ratio_y_index",A254,$A$1)/100</f>
        <v>-6.2823665914058996E-2</v>
      </c>
    </row>
    <row r="255" spans="1:3" x14ac:dyDescent="0.25">
      <c r="A255" s="1" t="s">
        <v>273</v>
      </c>
      <c r="B255" s="1" t="str">
        <f>[1]!thsiFinD("THS_GPJC_STOCK",A255)</f>
        <v>化肥</v>
      </c>
      <c r="C255" s="5">
        <f ca="1">[1]!thsiFinD("ths_chg_ratio_y_index",A255,$A$1)/100</f>
        <v>-6.2836973152753994E-2</v>
      </c>
    </row>
    <row r="256" spans="1:3" x14ac:dyDescent="0.25">
      <c r="A256" s="1" t="s">
        <v>183</v>
      </c>
      <c r="B256" s="1" t="str">
        <f>[1]!thsiFinD("THS_GPJC_STOCK",A256)</f>
        <v>黑龙江自贸区</v>
      </c>
      <c r="C256" s="5">
        <f ca="1">[1]!thsiFinD("ths_chg_ratio_y_index",A256,$A$1)/100</f>
        <v>-6.2924941021721997E-2</v>
      </c>
    </row>
    <row r="257" spans="1:3" x14ac:dyDescent="0.25">
      <c r="A257" s="1" t="s">
        <v>98</v>
      </c>
      <c r="B257" s="1" t="str">
        <f>[1]!thsiFinD("THS_GPJC_STOCK",A257)</f>
        <v>车联网(车路协同)</v>
      </c>
      <c r="C257" s="5">
        <f ca="1">[1]!thsiFinD("ths_chg_ratio_y_index",A257,$A$1)/100</f>
        <v>-6.3884006264193993E-2</v>
      </c>
    </row>
    <row r="258" spans="1:3" x14ac:dyDescent="0.25">
      <c r="A258" s="1" t="s">
        <v>387</v>
      </c>
      <c r="B258" s="1" t="str">
        <f>[1]!thsiFinD("THS_GPJC_STOCK",A258)</f>
        <v>AI智能体</v>
      </c>
      <c r="C258" s="5">
        <f ca="1">[1]!thsiFinD("ths_chg_ratio_y_index",A258,$A$1)/100</f>
        <v>-6.4385203809995004E-2</v>
      </c>
    </row>
    <row r="259" spans="1:3" x14ac:dyDescent="0.25">
      <c r="A259" s="1" t="s">
        <v>350</v>
      </c>
      <c r="B259" s="1" t="str">
        <f>[1]!thsiFinD("THS_GPJC_STOCK",A259)</f>
        <v>阿尔茨海默概念</v>
      </c>
      <c r="C259" s="5">
        <f ca="1">[1]!thsiFinD("ths_chg_ratio_y_index",A259,$A$1)/100</f>
        <v>-6.4996601339147003E-2</v>
      </c>
    </row>
    <row r="260" spans="1:3" x14ac:dyDescent="0.25">
      <c r="A260" s="1" t="s">
        <v>17</v>
      </c>
      <c r="B260" s="1" t="str">
        <f>[1]!thsiFinD("THS_GPJC_STOCK",A260)</f>
        <v>智慧城市</v>
      </c>
      <c r="C260" s="5">
        <f ca="1">[1]!thsiFinD("ths_chg_ratio_y_index",A260,$A$1)/100</f>
        <v>-6.5029118381338E-2</v>
      </c>
    </row>
    <row r="261" spans="1:3" x14ac:dyDescent="0.25">
      <c r="A261" s="1" t="s">
        <v>77</v>
      </c>
      <c r="B261" s="1" t="str">
        <f>[1]!thsiFinD("THS_GPJC_STOCK",A261)</f>
        <v>基因测序</v>
      </c>
      <c r="C261" s="5">
        <f ca="1">[1]!thsiFinD("ths_chg_ratio_y_index",A261,$A$1)/100</f>
        <v>-6.5286230233699005E-2</v>
      </c>
    </row>
    <row r="262" spans="1:3" x14ac:dyDescent="0.25">
      <c r="A262" s="1" t="s">
        <v>176</v>
      </c>
      <c r="B262" s="1" t="str">
        <f>[1]!thsiFinD("THS_GPJC_STOCK",A262)</f>
        <v>人造肉</v>
      </c>
      <c r="C262" s="5">
        <f ca="1">[1]!thsiFinD("ths_chg_ratio_y_index",A262,$A$1)/100</f>
        <v>-6.6254982938939E-2</v>
      </c>
    </row>
    <row r="263" spans="1:3" x14ac:dyDescent="0.25">
      <c r="A263" s="1" t="s">
        <v>100</v>
      </c>
      <c r="B263" s="1" t="str">
        <f>[1]!thsiFinD("THS_GPJC_STOCK",A263)</f>
        <v>PPP概念</v>
      </c>
      <c r="C263" s="5">
        <f ca="1">[1]!thsiFinD("ths_chg_ratio_y_index",A263,$A$1)/100</f>
        <v>-6.6607014070710999E-2</v>
      </c>
    </row>
    <row r="264" spans="1:3" x14ac:dyDescent="0.25">
      <c r="A264" s="1" t="s">
        <v>121</v>
      </c>
      <c r="B264" s="1" t="str">
        <f>[1]!thsiFinD("THS_GPJC_STOCK",A264)</f>
        <v>军民融合</v>
      </c>
      <c r="C264" s="5">
        <f ca="1">[1]!thsiFinD("ths_chg_ratio_y_index",A264,$A$1)/100</f>
        <v>-6.7427694638794E-2</v>
      </c>
    </row>
    <row r="265" spans="1:3" x14ac:dyDescent="0.25">
      <c r="A265" s="1" t="s">
        <v>20</v>
      </c>
      <c r="B265" s="1" t="str">
        <f>[1]!thsiFinD("THS_GPJC_STOCK",A265)</f>
        <v>智能医疗</v>
      </c>
      <c r="C265" s="5">
        <f ca="1">[1]!thsiFinD("ths_chg_ratio_y_index",A265,$A$1)/100</f>
        <v>-6.7649990489035999E-2</v>
      </c>
    </row>
    <row r="266" spans="1:3" x14ac:dyDescent="0.25">
      <c r="A266" s="1" t="s">
        <v>101</v>
      </c>
      <c r="B266" s="1" t="str">
        <f>[1]!thsiFinD("THS_GPJC_STOCK",A266)</f>
        <v>地下管网</v>
      </c>
      <c r="C266" s="5">
        <f ca="1">[1]!thsiFinD("ths_chg_ratio_y_index",A266,$A$1)/100</f>
        <v>-6.7949533953862995E-2</v>
      </c>
    </row>
    <row r="267" spans="1:3" x14ac:dyDescent="0.25">
      <c r="A267" s="1" t="s">
        <v>154</v>
      </c>
      <c r="B267" s="1" t="str">
        <f>[1]!thsiFinD("THS_GPJC_STOCK",A267)</f>
        <v>国产航母</v>
      </c>
      <c r="C267" s="5">
        <f ca="1">[1]!thsiFinD("ths_chg_ratio_y_index",A267,$A$1)/100</f>
        <v>-6.8410405988060002E-2</v>
      </c>
    </row>
    <row r="268" spans="1:3" x14ac:dyDescent="0.25">
      <c r="A268" s="1" t="s">
        <v>221</v>
      </c>
      <c r="B268" s="1" t="str">
        <f>[1]!thsiFinD("THS_GPJC_STOCK",A268)</f>
        <v>辅助生殖</v>
      </c>
      <c r="C268" s="5">
        <f ca="1">[1]!thsiFinD("ths_chg_ratio_y_index",A268,$A$1)/100</f>
        <v>-6.9308167081439997E-2</v>
      </c>
    </row>
    <row r="269" spans="1:3" x14ac:dyDescent="0.25">
      <c r="A269" s="1" t="s">
        <v>112</v>
      </c>
      <c r="B269" s="1" t="str">
        <f>[1]!thsiFinD("THS_GPJC_STOCK",A269)</f>
        <v>航运概念</v>
      </c>
      <c r="C269" s="5">
        <f ca="1">[1]!thsiFinD("ths_chg_ratio_y_index",A269,$A$1)/100</f>
        <v>-7.1213117611409998E-2</v>
      </c>
    </row>
    <row r="270" spans="1:3" x14ac:dyDescent="0.25">
      <c r="A270" s="1" t="s">
        <v>222</v>
      </c>
      <c r="B270" s="1" t="str">
        <f>[1]!thsiFinD("THS_GPJC_STOCK",A270)</f>
        <v>拼多多概念</v>
      </c>
      <c r="C270" s="5">
        <f ca="1">[1]!thsiFinD("ths_chg_ratio_y_index",A270,$A$1)/100</f>
        <v>-7.376654936182199E-2</v>
      </c>
    </row>
    <row r="271" spans="1:3" x14ac:dyDescent="0.25">
      <c r="A271" s="1" t="s">
        <v>37</v>
      </c>
      <c r="B271" s="1" t="str">
        <f>[1]!thsiFinD("THS_GPJC_STOCK",A271)</f>
        <v>网络安全</v>
      </c>
      <c r="C271" s="5">
        <f ca="1">[1]!thsiFinD("ths_chg_ratio_y_index",A271,$A$1)/100</f>
        <v>-7.4947770964034002E-2</v>
      </c>
    </row>
    <row r="272" spans="1:3" x14ac:dyDescent="0.25">
      <c r="A272" s="1" t="s">
        <v>333</v>
      </c>
      <c r="B272" s="1" t="str">
        <f>[1]!thsiFinD("THS_GPJC_STOCK",A272)</f>
        <v>ERP概念</v>
      </c>
      <c r="C272" s="5">
        <f ca="1">[1]!thsiFinD("ths_chg_ratio_y_index",A272,$A$1)/100</f>
        <v>-7.5676561276797991E-2</v>
      </c>
    </row>
    <row r="273" spans="1:3" x14ac:dyDescent="0.25">
      <c r="A273" s="1" t="s">
        <v>174</v>
      </c>
      <c r="B273" s="1" t="str">
        <f>[1]!thsiFinD("THS_GPJC_STOCK",A273)</f>
        <v>参股银行</v>
      </c>
      <c r="C273" s="5">
        <f ca="1">[1]!thsiFinD("ths_chg_ratio_y_index",A273,$A$1)/100</f>
        <v>-7.6537606054168997E-2</v>
      </c>
    </row>
    <row r="274" spans="1:3" x14ac:dyDescent="0.25">
      <c r="A274" s="1" t="s">
        <v>380</v>
      </c>
      <c r="B274" s="1" t="str">
        <f>[1]!thsiFinD("THS_GPJC_STOCK",A274)</f>
        <v>智谱AI</v>
      </c>
      <c r="C274" s="5">
        <f ca="1">[1]!thsiFinD("ths_chg_ratio_y_index",A274,$A$1)/100</f>
        <v>-7.7741446354606003E-2</v>
      </c>
    </row>
    <row r="275" spans="1:3" x14ac:dyDescent="0.25">
      <c r="A275" s="1" t="s">
        <v>379</v>
      </c>
      <c r="B275" s="1" t="str">
        <f>[1]!thsiFinD("THS_GPJC_STOCK",A275)</f>
        <v>房屋检测</v>
      </c>
      <c r="C275" s="5">
        <f ca="1">[1]!thsiFinD("ths_chg_ratio_y_index",A275,$A$1)/100</f>
        <v>-7.8212426492398998E-2</v>
      </c>
    </row>
    <row r="276" spans="1:3" x14ac:dyDescent="0.25">
      <c r="A276" s="1" t="s">
        <v>313</v>
      </c>
      <c r="B276" s="1" t="str">
        <f>[1]!thsiFinD("THS_GPJC_STOCK",A276)</f>
        <v>信创</v>
      </c>
      <c r="C276" s="5">
        <f ca="1">[1]!thsiFinD("ths_chg_ratio_y_index",A276,$A$1)/100</f>
        <v>-7.8561357519963002E-2</v>
      </c>
    </row>
    <row r="277" spans="1:3" x14ac:dyDescent="0.25">
      <c r="A277" s="1" t="s">
        <v>104</v>
      </c>
      <c r="B277" s="1" t="str">
        <f>[1]!thsiFinD("THS_GPJC_STOCK",A277)</f>
        <v>ST板块</v>
      </c>
      <c r="C277" s="5">
        <f ca="1">[1]!thsiFinD("ths_chg_ratio_y_index",A277,$A$1)/100</f>
        <v>-7.8898102569185002E-2</v>
      </c>
    </row>
    <row r="278" spans="1:3" x14ac:dyDescent="0.25">
      <c r="A278" s="1" t="s">
        <v>213</v>
      </c>
      <c r="B278" s="1" t="str">
        <f>[1]!thsiFinD("THS_GPJC_STOCK",A278)</f>
        <v>NMN概念</v>
      </c>
      <c r="C278" s="5">
        <f ca="1">[1]!thsiFinD("ths_chg_ratio_y_index",A278,$A$1)/100</f>
        <v>-8.1160701354121997E-2</v>
      </c>
    </row>
    <row r="279" spans="1:3" x14ac:dyDescent="0.25">
      <c r="A279" s="1" t="s">
        <v>52</v>
      </c>
      <c r="B279" s="1" t="str">
        <f>[1]!thsiFinD("THS_GPJC_STOCK",A279)</f>
        <v>京津冀一体化</v>
      </c>
      <c r="C279" s="5">
        <f ca="1">[1]!thsiFinD("ths_chg_ratio_y_index",A279,$A$1)/100</f>
        <v>-8.1780615595771003E-2</v>
      </c>
    </row>
    <row r="280" spans="1:3" x14ac:dyDescent="0.25">
      <c r="A280" s="1" t="s">
        <v>146</v>
      </c>
      <c r="B280" s="1" t="str">
        <f>[1]!thsiFinD("THS_GPJC_STOCK",A280)</f>
        <v>水泥概念</v>
      </c>
      <c r="C280" s="5">
        <f ca="1">[1]!thsiFinD("ths_chg_ratio_y_index",A280,$A$1)/100</f>
        <v>-8.2523849293637E-2</v>
      </c>
    </row>
    <row r="281" spans="1:3" x14ac:dyDescent="0.25">
      <c r="A281" s="1" t="s">
        <v>330</v>
      </c>
      <c r="B281" s="1" t="str">
        <f>[1]!thsiFinD("THS_GPJC_STOCK",A281)</f>
        <v>时空大数据</v>
      </c>
      <c r="C281" s="5">
        <f ca="1">[1]!thsiFinD("ths_chg_ratio_y_index",A281,$A$1)/100</f>
        <v>-8.2603046838648012E-2</v>
      </c>
    </row>
    <row r="282" spans="1:3" x14ac:dyDescent="0.25">
      <c r="A282" s="1" t="s">
        <v>133</v>
      </c>
      <c r="B282" s="1" t="str">
        <f>[1]!thsiFinD("THS_GPJC_STOCK",A282)</f>
        <v>超级品牌</v>
      </c>
      <c r="C282" s="5">
        <f ca="1">[1]!thsiFinD("ths_chg_ratio_y_index",A282,$A$1)/100</f>
        <v>-8.2804059069536001E-2</v>
      </c>
    </row>
    <row r="283" spans="1:3" x14ac:dyDescent="0.25">
      <c r="A283" s="1" t="s">
        <v>282</v>
      </c>
      <c r="B283" s="1" t="str">
        <f>[1]!thsiFinD("THS_GPJC_STOCK",A283)</f>
        <v>数字经济</v>
      </c>
      <c r="C283" s="5">
        <f ca="1">[1]!thsiFinD("ths_chg_ratio_y_index",A283,$A$1)/100</f>
        <v>-8.6701308585972997E-2</v>
      </c>
    </row>
    <row r="284" spans="1:3" x14ac:dyDescent="0.25">
      <c r="A284" s="1" t="s">
        <v>81</v>
      </c>
      <c r="B284" s="1" t="str">
        <f>[1]!thsiFinD("THS_GPJC_STOCK",A284)</f>
        <v>中韩自贸区</v>
      </c>
      <c r="C284" s="5">
        <f ca="1">[1]!thsiFinD("ths_chg_ratio_y_index",A284,$A$1)/100</f>
        <v>-8.7136814969274001E-2</v>
      </c>
    </row>
    <row r="285" spans="1:3" x14ac:dyDescent="0.25">
      <c r="A285" s="1" t="s">
        <v>99</v>
      </c>
      <c r="B285" s="1" t="str">
        <f>[1]!thsiFinD("THS_GPJC_STOCK",A285)</f>
        <v>证金持股</v>
      </c>
      <c r="C285" s="5">
        <f ca="1">[1]!thsiFinD("ths_chg_ratio_y_index",A285,$A$1)/100</f>
        <v>-8.7462626149601E-2</v>
      </c>
    </row>
    <row r="286" spans="1:3" x14ac:dyDescent="0.25">
      <c r="A286" s="1" t="s">
        <v>318</v>
      </c>
      <c r="B286" s="1" t="str">
        <f>[1]!thsiFinD("THS_GPJC_STOCK",A286)</f>
        <v>AIGC概念</v>
      </c>
      <c r="C286" s="5">
        <f ca="1">[1]!thsiFinD("ths_chg_ratio_y_index",A286,$A$1)/100</f>
        <v>-8.7590393989157994E-2</v>
      </c>
    </row>
    <row r="287" spans="1:3" x14ac:dyDescent="0.25">
      <c r="A287" s="1" t="s">
        <v>283</v>
      </c>
      <c r="B287" s="1" t="str">
        <f>[1]!thsiFinD("THS_GPJC_STOCK",A287)</f>
        <v>国资云</v>
      </c>
      <c r="C287" s="5">
        <f ca="1">[1]!thsiFinD("ths_chg_ratio_y_index",A287,$A$1)/100</f>
        <v>-8.9913805088279994E-2</v>
      </c>
    </row>
    <row r="288" spans="1:3" x14ac:dyDescent="0.25">
      <c r="A288" s="1" t="s">
        <v>371</v>
      </c>
      <c r="B288" s="1" t="str">
        <f>[1]!thsiFinD("THS_GPJC_STOCK",A288)</f>
        <v>合成生物</v>
      </c>
      <c r="C288" s="5">
        <f ca="1">[1]!thsiFinD("ths_chg_ratio_y_index",A288,$A$1)/100</f>
        <v>-8.9930058165593005E-2</v>
      </c>
    </row>
    <row r="289" spans="1:3" x14ac:dyDescent="0.25">
      <c r="A289" s="1" t="s">
        <v>224</v>
      </c>
      <c r="B289" s="1" t="str">
        <f>[1]!thsiFinD("THS_GPJC_STOCK",A289)</f>
        <v>医美概念</v>
      </c>
      <c r="C289" s="5">
        <f ca="1">[1]!thsiFinD("ths_chg_ratio_y_index",A289,$A$1)/100</f>
        <v>-9.061648885858499E-2</v>
      </c>
    </row>
    <row r="290" spans="1:3" x14ac:dyDescent="0.25">
      <c r="A290" s="1" t="s">
        <v>250</v>
      </c>
      <c r="B290" s="1" t="str">
        <f>[1]!thsiFinD("THS_GPJC_STOCK",A290)</f>
        <v>数据安全</v>
      </c>
      <c r="C290" s="5">
        <f ca="1">[1]!thsiFinD("ths_chg_ratio_y_index",A290,$A$1)/100</f>
        <v>-9.0993143014729994E-2</v>
      </c>
    </row>
    <row r="291" spans="1:3" x14ac:dyDescent="0.25">
      <c r="A291" s="1" t="s">
        <v>80</v>
      </c>
      <c r="B291" s="1" t="str">
        <f>[1]!thsiFinD("THS_GPJC_STOCK",A291)</f>
        <v>举牌</v>
      </c>
      <c r="C291" s="5">
        <f ca="1">[1]!thsiFinD("ths_chg_ratio_y_index",A291,$A$1)/100</f>
        <v>-9.2132000596481994E-2</v>
      </c>
    </row>
    <row r="292" spans="1:3" x14ac:dyDescent="0.25">
      <c r="A292" s="1" t="s">
        <v>335</v>
      </c>
      <c r="B292" s="1" t="str">
        <f>[1]!thsiFinD("THS_GPJC_STOCK",A292)</f>
        <v>数据要素</v>
      </c>
      <c r="C292" s="5">
        <f ca="1">[1]!thsiFinD("ths_chg_ratio_y_index",A292,$A$1)/100</f>
        <v>-9.2329791165791E-2</v>
      </c>
    </row>
    <row r="293" spans="1:3" x14ac:dyDescent="0.25">
      <c r="A293" s="1" t="s">
        <v>72</v>
      </c>
      <c r="B293" s="1" t="str">
        <f>[1]!thsiFinD("THS_GPJC_STOCK",A293)</f>
        <v>期货概念</v>
      </c>
      <c r="C293" s="5">
        <f ca="1">[1]!thsiFinD("ths_chg_ratio_y_index",A293,$A$1)/100</f>
        <v>-9.3803336432033008E-2</v>
      </c>
    </row>
    <row r="294" spans="1:3" x14ac:dyDescent="0.25">
      <c r="A294" s="1" t="s">
        <v>271</v>
      </c>
      <c r="B294" s="1" t="str">
        <f>[1]!thsiFinD("THS_GPJC_STOCK",A294)</f>
        <v>中俄贸易概念</v>
      </c>
      <c r="C294" s="5">
        <f ca="1">[1]!thsiFinD("ths_chg_ratio_y_index",A294,$A$1)/100</f>
        <v>-9.6056627969763012E-2</v>
      </c>
    </row>
    <row r="295" spans="1:3" x14ac:dyDescent="0.25">
      <c r="A295" s="1" t="s">
        <v>86</v>
      </c>
      <c r="B295" s="1" t="str">
        <f>[1]!thsiFinD("THS_GPJC_STOCK",A295)</f>
        <v>体育产业</v>
      </c>
      <c r="C295" s="5">
        <f ca="1">[1]!thsiFinD("ths_chg_ratio_y_index",A295,$A$1)/100</f>
        <v>-9.6610421359564991E-2</v>
      </c>
    </row>
    <row r="296" spans="1:3" x14ac:dyDescent="0.25">
      <c r="A296" s="1" t="s">
        <v>107</v>
      </c>
      <c r="B296" s="1" t="str">
        <f>[1]!thsiFinD("THS_GPJC_STOCK",A296)</f>
        <v>农机</v>
      </c>
      <c r="C296" s="5">
        <f ca="1">[1]!thsiFinD("ths_chg_ratio_y_index",A296,$A$1)/100</f>
        <v>-9.6640690199931004E-2</v>
      </c>
    </row>
    <row r="297" spans="1:3" x14ac:dyDescent="0.25">
      <c r="A297" s="1" t="s">
        <v>94</v>
      </c>
      <c r="B297" s="1" t="str">
        <f>[1]!thsiFinD("THS_GPJC_STOCK",A297)</f>
        <v>跨境电商</v>
      </c>
      <c r="C297" s="5">
        <f ca="1">[1]!thsiFinD("ths_chg_ratio_y_index",A297,$A$1)/100</f>
        <v>-9.9214936508868007E-2</v>
      </c>
    </row>
    <row r="298" spans="1:3" x14ac:dyDescent="0.25">
      <c r="A298" s="1" t="s">
        <v>89</v>
      </c>
      <c r="B298" s="1" t="str">
        <f>[1]!thsiFinD("THS_GPJC_STOCK",A298)</f>
        <v>参股保险</v>
      </c>
      <c r="C298" s="5">
        <f ca="1">[1]!thsiFinD("ths_chg_ratio_y_index",A298,$A$1)/100</f>
        <v>-0.10088983115597999</v>
      </c>
    </row>
    <row r="299" spans="1:3" x14ac:dyDescent="0.25">
      <c r="A299" s="1" t="s">
        <v>43</v>
      </c>
      <c r="B299" s="1" t="str">
        <f>[1]!thsiFinD("THS_GPJC_STOCK",A299)</f>
        <v>在线教育</v>
      </c>
      <c r="C299" s="5">
        <f ca="1">[1]!thsiFinD("ths_chg_ratio_y_index",A299,$A$1)/100</f>
        <v>-0.10187964358887999</v>
      </c>
    </row>
    <row r="300" spans="1:3" x14ac:dyDescent="0.25">
      <c r="A300" s="1" t="s">
        <v>287</v>
      </c>
      <c r="B300" s="1" t="str">
        <f>[1]!thsiFinD("THS_GPJC_STOCK",A300)</f>
        <v>毛发医疗</v>
      </c>
      <c r="C300" s="5">
        <f ca="1">[1]!thsiFinD("ths_chg_ratio_y_index",A300,$A$1)/100</f>
        <v>-0.102358366306</v>
      </c>
    </row>
    <row r="301" spans="1:3" x14ac:dyDescent="0.25">
      <c r="A301" s="1" t="s">
        <v>106</v>
      </c>
      <c r="B301" s="1" t="str">
        <f>[1]!thsiFinD("THS_GPJC_STOCK",A301)</f>
        <v>乡村振兴</v>
      </c>
      <c r="C301" s="5">
        <f ca="1">[1]!thsiFinD("ths_chg_ratio_y_index",A301,$A$1)/100</f>
        <v>-0.10301144407739</v>
      </c>
    </row>
    <row r="302" spans="1:3" x14ac:dyDescent="0.25">
      <c r="A302" s="1" t="s">
        <v>88</v>
      </c>
      <c r="B302" s="1" t="str">
        <f>[1]!thsiFinD("THS_GPJC_STOCK",A302)</f>
        <v>参股券商</v>
      </c>
      <c r="C302" s="5">
        <f ca="1">[1]!thsiFinD("ths_chg_ratio_y_index",A302,$A$1)/100</f>
        <v>-0.10376465035594</v>
      </c>
    </row>
    <row r="303" spans="1:3" x14ac:dyDescent="0.25">
      <c r="A303" s="1" t="s">
        <v>368</v>
      </c>
      <c r="B303" s="1" t="str">
        <f>[1]!thsiFinD("THS_GPJC_STOCK",A303)</f>
        <v>AI语料</v>
      </c>
      <c r="C303" s="5">
        <f ca="1">[1]!thsiFinD("ths_chg_ratio_y_index",A303,$A$1)/100</f>
        <v>-0.10430937513943001</v>
      </c>
    </row>
    <row r="304" spans="1:3" x14ac:dyDescent="0.25">
      <c r="A304" s="1" t="s">
        <v>62</v>
      </c>
      <c r="B304" s="1" t="str">
        <f>[1]!thsiFinD("THS_GPJC_STOCK",A304)</f>
        <v>三胎概念</v>
      </c>
      <c r="C304" s="5">
        <f ca="1">[1]!thsiFinD("ths_chg_ratio_y_index",A304,$A$1)/100</f>
        <v>-0.10582208530060001</v>
      </c>
    </row>
    <row r="305" spans="1:3" x14ac:dyDescent="0.25">
      <c r="A305" s="1" t="s">
        <v>257</v>
      </c>
      <c r="B305" s="1" t="str">
        <f>[1]!thsiFinD("THS_GPJC_STOCK",A305)</f>
        <v>虚拟数字人</v>
      </c>
      <c r="C305" s="5">
        <f ca="1">[1]!thsiFinD("ths_chg_ratio_y_index",A305,$A$1)/100</f>
        <v>-0.10706355115917</v>
      </c>
    </row>
    <row r="306" spans="1:3" x14ac:dyDescent="0.25">
      <c r="A306" s="1" t="s">
        <v>189</v>
      </c>
      <c r="B306" s="1" t="str">
        <f>[1]!thsiFinD("THS_GPJC_STOCK",A306)</f>
        <v>ETC</v>
      </c>
      <c r="C306" s="5">
        <f ca="1">[1]!thsiFinD("ths_chg_ratio_y_index",A306,$A$1)/100</f>
        <v>-0.10736369751315999</v>
      </c>
    </row>
    <row r="307" spans="1:3" x14ac:dyDescent="0.25">
      <c r="A307" s="1" t="s">
        <v>49</v>
      </c>
      <c r="B307" s="1" t="str">
        <f>[1]!thsiFinD("THS_GPJC_STOCK",A307)</f>
        <v>冷链物流</v>
      </c>
      <c r="C307" s="5">
        <f ca="1">[1]!thsiFinD("ths_chg_ratio_y_index",A307,$A$1)/100</f>
        <v>-0.10745357779678001</v>
      </c>
    </row>
    <row r="308" spans="1:3" x14ac:dyDescent="0.25">
      <c r="A308" s="1" t="s">
        <v>126</v>
      </c>
      <c r="B308" s="1" t="str">
        <f>[1]!thsiFinD("THS_GPJC_STOCK",A308)</f>
        <v>特色小镇</v>
      </c>
      <c r="C308" s="5">
        <f ca="1">[1]!thsiFinD("ths_chg_ratio_y_index",A308,$A$1)/100</f>
        <v>-0.1077129213155</v>
      </c>
    </row>
    <row r="309" spans="1:3" x14ac:dyDescent="0.25">
      <c r="A309" s="1" t="s">
        <v>84</v>
      </c>
      <c r="B309" s="1" t="str">
        <f>[1]!thsiFinD("THS_GPJC_STOCK",A309)</f>
        <v>网络游戏</v>
      </c>
      <c r="C309" s="5">
        <f ca="1">[1]!thsiFinD("ths_chg_ratio_y_index",A309,$A$1)/100</f>
        <v>-0.10815108172298001</v>
      </c>
    </row>
    <row r="310" spans="1:3" x14ac:dyDescent="0.25">
      <c r="A310" s="1" t="s">
        <v>25</v>
      </c>
      <c r="B310" s="1" t="str">
        <f>[1]!thsiFinD("THS_GPJC_STOCK",A310)</f>
        <v>文化传媒概念</v>
      </c>
      <c r="C310" s="5">
        <f ca="1">[1]!thsiFinD("ths_chg_ratio_y_index",A310,$A$1)/100</f>
        <v>-0.10873251320566001</v>
      </c>
    </row>
    <row r="311" spans="1:3" x14ac:dyDescent="0.25">
      <c r="A311" s="1" t="s">
        <v>144</v>
      </c>
      <c r="B311" s="1" t="str">
        <f>[1]!thsiFinD("THS_GPJC_STOCK",A311)</f>
        <v>啤酒概念</v>
      </c>
      <c r="C311" s="5">
        <f ca="1">[1]!thsiFinD("ths_chg_ratio_y_index",A311,$A$1)/100</f>
        <v>-0.10875879207772</v>
      </c>
    </row>
    <row r="312" spans="1:3" x14ac:dyDescent="0.25">
      <c r="A312" s="1" t="s">
        <v>79</v>
      </c>
      <c r="B312" s="1" t="str">
        <f>[1]!thsiFinD("THS_GPJC_STOCK",A312)</f>
        <v>职业教育</v>
      </c>
      <c r="C312" s="5">
        <f ca="1">[1]!thsiFinD("ths_chg_ratio_y_index",A312,$A$1)/100</f>
        <v>-0.10901832087210001</v>
      </c>
    </row>
    <row r="313" spans="1:3" x14ac:dyDescent="0.25">
      <c r="A313" s="1" t="s">
        <v>30</v>
      </c>
      <c r="B313" s="1" t="str">
        <f>[1]!thsiFinD("THS_GPJC_STOCK",A313)</f>
        <v>特钢概念</v>
      </c>
      <c r="C313" s="5">
        <f ca="1">[1]!thsiFinD("ths_chg_ratio_y_index",A313,$A$1)/100</f>
        <v>-0.10934327634718001</v>
      </c>
    </row>
    <row r="314" spans="1:3" x14ac:dyDescent="0.25">
      <c r="A314" s="1" t="s">
        <v>284</v>
      </c>
      <c r="B314" s="1" t="str">
        <f>[1]!thsiFinD("THS_GPJC_STOCK",A314)</f>
        <v>华为鲲鹏</v>
      </c>
      <c r="C314" s="5">
        <f ca="1">[1]!thsiFinD("ths_chg_ratio_y_index",A314,$A$1)/100</f>
        <v>-0.11041406732821001</v>
      </c>
    </row>
    <row r="315" spans="1:3" x14ac:dyDescent="0.25">
      <c r="A315" s="1" t="s">
        <v>325</v>
      </c>
      <c r="B315" s="1" t="str">
        <f>[1]!thsiFinD("THS_GPJC_STOCK",A315)</f>
        <v>ChatGPT概念</v>
      </c>
      <c r="C315" s="5">
        <f ca="1">[1]!thsiFinD("ths_chg_ratio_y_index",A315,$A$1)/100</f>
        <v>-0.11098912883818</v>
      </c>
    </row>
    <row r="316" spans="1:3" x14ac:dyDescent="0.25">
      <c r="A316" s="1" t="s">
        <v>259</v>
      </c>
      <c r="B316" s="1" t="str">
        <f>[1]!thsiFinD("THS_GPJC_STOCK",A316)</f>
        <v>幽门螺杆菌概念</v>
      </c>
      <c r="C316" s="5">
        <f ca="1">[1]!thsiFinD("ths_chg_ratio_y_index",A316,$A$1)/100</f>
        <v>-0.11123419559591</v>
      </c>
    </row>
    <row r="317" spans="1:3" x14ac:dyDescent="0.25">
      <c r="A317" s="1" t="s">
        <v>370</v>
      </c>
      <c r="B317" s="1" t="str">
        <f>[1]!thsiFinD("THS_GPJC_STOCK",A317)</f>
        <v>军工信息化</v>
      </c>
      <c r="C317" s="5">
        <f ca="1">[1]!thsiFinD("ths_chg_ratio_y_index",A317,$A$1)/100</f>
        <v>-0.11167060479613999</v>
      </c>
    </row>
    <row r="318" spans="1:3" x14ac:dyDescent="0.25">
      <c r="A318" s="1" t="s">
        <v>345</v>
      </c>
      <c r="B318" s="1" t="str">
        <f>[1]!thsiFinD("THS_GPJC_STOCK",A318)</f>
        <v>减肥药</v>
      </c>
      <c r="C318" s="5">
        <f ca="1">[1]!thsiFinD("ths_chg_ratio_y_index",A318,$A$1)/100</f>
        <v>-0.11171440805534001</v>
      </c>
    </row>
    <row r="319" spans="1:3" x14ac:dyDescent="0.25">
      <c r="A319" s="1" t="s">
        <v>233</v>
      </c>
      <c r="B319" s="1" t="str">
        <f>[1]!thsiFinD("THS_GPJC_STOCK",A319)</f>
        <v>鸿蒙概念</v>
      </c>
      <c r="C319" s="5">
        <f ca="1">[1]!thsiFinD("ths_chg_ratio_y_index",A319,$A$1)/100</f>
        <v>-0.11273627306705</v>
      </c>
    </row>
    <row r="320" spans="1:3" x14ac:dyDescent="0.25">
      <c r="A320" s="1" t="s">
        <v>200</v>
      </c>
      <c r="B320" s="1" t="str">
        <f>[1]!thsiFinD("THS_GPJC_STOCK",A320)</f>
        <v>流感</v>
      </c>
      <c r="C320" s="5">
        <f ca="1">[1]!thsiFinD("ths_chg_ratio_y_index",A320,$A$1)/100</f>
        <v>-0.11297600607090001</v>
      </c>
    </row>
    <row r="321" spans="1:3" x14ac:dyDescent="0.25">
      <c r="A321" s="1" t="s">
        <v>362</v>
      </c>
      <c r="B321" s="1" t="str">
        <f>[1]!thsiFinD("THS_GPJC_STOCK",A321)</f>
        <v>AI视频</v>
      </c>
      <c r="C321" s="5">
        <f ca="1">[1]!thsiFinD("ths_chg_ratio_y_index",A321,$A$1)/100</f>
        <v>-0.11371464193215999</v>
      </c>
    </row>
    <row r="322" spans="1:3" x14ac:dyDescent="0.25">
      <c r="A322" s="1" t="s">
        <v>129</v>
      </c>
      <c r="B322" s="1" t="str">
        <f>[1]!thsiFinD("THS_GPJC_STOCK",A322)</f>
        <v>区块链</v>
      </c>
      <c r="C322" s="5">
        <f ca="1">[1]!thsiFinD("ths_chg_ratio_y_index",A322,$A$1)/100</f>
        <v>-0.11581838516383</v>
      </c>
    </row>
    <row r="323" spans="1:3" x14ac:dyDescent="0.25">
      <c r="A323" s="1" t="s">
        <v>140</v>
      </c>
      <c r="B323" s="1" t="str">
        <f>[1]!thsiFinD("THS_GPJC_STOCK",A323)</f>
        <v>语音技术</v>
      </c>
      <c r="C323" s="5">
        <f ca="1">[1]!thsiFinD("ths_chg_ratio_y_index",A323,$A$1)/100</f>
        <v>-0.11686977334616999</v>
      </c>
    </row>
    <row r="324" spans="1:3" x14ac:dyDescent="0.25">
      <c r="A324" s="1" t="s">
        <v>280</v>
      </c>
      <c r="B324" s="1" t="str">
        <f>[1]!thsiFinD("THS_GPJC_STOCK",A324)</f>
        <v>两轮车</v>
      </c>
      <c r="C324" s="5">
        <f ca="1">[1]!thsiFinD("ths_chg_ratio_y_index",A324,$A$1)/100</f>
        <v>-0.11721345137957</v>
      </c>
    </row>
    <row r="325" spans="1:3" x14ac:dyDescent="0.25">
      <c r="A325" s="1" t="s">
        <v>321</v>
      </c>
      <c r="B325" s="1" t="str">
        <f>[1]!thsiFinD("THS_GPJC_STOCK",A325)</f>
        <v>数据确权</v>
      </c>
      <c r="C325" s="5">
        <f ca="1">[1]!thsiFinD("ths_chg_ratio_y_index",A325,$A$1)/100</f>
        <v>-0.11796761632968999</v>
      </c>
    </row>
    <row r="326" spans="1:3" x14ac:dyDescent="0.25">
      <c r="A326" s="1" t="s">
        <v>274</v>
      </c>
      <c r="B326" s="1" t="str">
        <f>[1]!thsiFinD("THS_GPJC_STOCK",A326)</f>
        <v>托育服务</v>
      </c>
      <c r="C326" s="5">
        <f ca="1">[1]!thsiFinD("ths_chg_ratio_y_index",A326,$A$1)/100</f>
        <v>-0.11878539375524999</v>
      </c>
    </row>
    <row r="327" spans="1:3" x14ac:dyDescent="0.25">
      <c r="A327" s="1" t="s">
        <v>137</v>
      </c>
      <c r="B327" s="1" t="str">
        <f>[1]!thsiFinD("THS_GPJC_STOCK",A327)</f>
        <v>细胞免疫治疗</v>
      </c>
      <c r="C327" s="5">
        <f ca="1">[1]!thsiFinD("ths_chg_ratio_y_index",A327,$A$1)/100</f>
        <v>-0.11932584503705</v>
      </c>
    </row>
    <row r="328" spans="1:3" x14ac:dyDescent="0.25">
      <c r="A328" s="1" t="s">
        <v>384</v>
      </c>
      <c r="B328" s="1" t="str">
        <f>[1]!thsiFinD("THS_GPJC_STOCK",A328)</f>
        <v>IP经济(谷子经济)</v>
      </c>
      <c r="C328" s="5">
        <f ca="1">[1]!thsiFinD("ths_chg_ratio_y_index",A328,$A$1)/100</f>
        <v>-0.12026411644215002</v>
      </c>
    </row>
    <row r="329" spans="1:3" x14ac:dyDescent="0.25">
      <c r="A329" s="1" t="s">
        <v>315</v>
      </c>
      <c r="B329" s="1" t="str">
        <f>[1]!thsiFinD("THS_GPJC_STOCK",A329)</f>
        <v>供销社</v>
      </c>
      <c r="C329" s="5">
        <f ca="1">[1]!thsiFinD("ths_chg_ratio_y_index",A329,$A$1)/100</f>
        <v>-0.12054658044699</v>
      </c>
    </row>
    <row r="330" spans="1:3" x14ac:dyDescent="0.25">
      <c r="A330" s="1" t="s">
        <v>197</v>
      </c>
      <c r="B330" s="1" t="str">
        <f>[1]!thsiFinD("THS_GPJC_STOCK",A330)</f>
        <v>网红经济</v>
      </c>
      <c r="C330" s="5">
        <f ca="1">[1]!thsiFinD("ths_chg_ratio_y_index",A330,$A$1)/100</f>
        <v>-0.12135095459201001</v>
      </c>
    </row>
    <row r="331" spans="1:3" x14ac:dyDescent="0.25">
      <c r="A331" s="1" t="s">
        <v>165</v>
      </c>
      <c r="B331" s="1" t="str">
        <f>[1]!thsiFinD("THS_GPJC_STOCK",A331)</f>
        <v>工业大麻</v>
      </c>
      <c r="C331" s="5">
        <f ca="1">[1]!thsiFinD("ths_chg_ratio_y_index",A331,$A$1)/100</f>
        <v>-0.12185398304679999</v>
      </c>
    </row>
    <row r="332" spans="1:3" x14ac:dyDescent="0.25">
      <c r="A332" s="1" t="s">
        <v>175</v>
      </c>
      <c r="B332" s="1" t="str">
        <f>[1]!thsiFinD("THS_GPJC_STOCK",A332)</f>
        <v>眼科医疗</v>
      </c>
      <c r="C332" s="5">
        <f ca="1">[1]!thsiFinD("ths_chg_ratio_y_index",A332,$A$1)/100</f>
        <v>-0.12325456848435999</v>
      </c>
    </row>
    <row r="333" spans="1:3" x14ac:dyDescent="0.25">
      <c r="A333" s="1" t="s">
        <v>48</v>
      </c>
      <c r="B333" s="1" t="str">
        <f>[1]!thsiFinD("THS_GPJC_STOCK",A333)</f>
        <v>旅游概念</v>
      </c>
      <c r="C333" s="5">
        <f ca="1">[1]!thsiFinD("ths_chg_ratio_y_index",A333,$A$1)/100</f>
        <v>-0.12341847538598999</v>
      </c>
    </row>
    <row r="334" spans="1:3" x14ac:dyDescent="0.25">
      <c r="A334" s="1" t="s">
        <v>97</v>
      </c>
      <c r="B334" s="1" t="str">
        <f>[1]!thsiFinD("THS_GPJC_STOCK",A334)</f>
        <v>医药电商</v>
      </c>
      <c r="C334" s="5">
        <f ca="1">[1]!thsiFinD("ths_chg_ratio_y_index",A334,$A$1)/100</f>
        <v>-0.12386496518802</v>
      </c>
    </row>
    <row r="335" spans="1:3" x14ac:dyDescent="0.25">
      <c r="A335" s="1" t="s">
        <v>50</v>
      </c>
      <c r="B335" s="1" t="str">
        <f>[1]!thsiFinD("THS_GPJC_STOCK",A335)</f>
        <v>生态农业</v>
      </c>
      <c r="C335" s="5">
        <f ca="1">[1]!thsiFinD("ths_chg_ratio_y_index",A335,$A$1)/100</f>
        <v>-0.12512928107484</v>
      </c>
    </row>
    <row r="336" spans="1:3" x14ac:dyDescent="0.25">
      <c r="A336" s="1" t="s">
        <v>56</v>
      </c>
      <c r="B336" s="1" t="str">
        <f>[1]!thsiFinD("THS_GPJC_STOCK",A336)</f>
        <v>养老概念</v>
      </c>
      <c r="C336" s="5">
        <f ca="1">[1]!thsiFinD("ths_chg_ratio_y_index",A336,$A$1)/100</f>
        <v>-0.12582592381108001</v>
      </c>
    </row>
    <row r="337" spans="1:3" x14ac:dyDescent="0.25">
      <c r="A337" s="1" t="s">
        <v>316</v>
      </c>
      <c r="B337" s="1" t="str">
        <f>[1]!thsiFinD("THS_GPJC_STOCK",A337)</f>
        <v>Web3.0</v>
      </c>
      <c r="C337" s="5">
        <f ca="1">[1]!thsiFinD("ths_chg_ratio_y_index",A337,$A$1)/100</f>
        <v>-0.12740564815700001</v>
      </c>
    </row>
    <row r="338" spans="1:3" x14ac:dyDescent="0.25">
      <c r="A338" s="1" t="s">
        <v>163</v>
      </c>
      <c r="B338" s="1" t="str">
        <f>[1]!thsiFinD("THS_GPJC_STOCK",A338)</f>
        <v>农业种植</v>
      </c>
      <c r="C338" s="5">
        <f ca="1">[1]!thsiFinD("ths_chg_ratio_y_index",A338,$A$1)/100</f>
        <v>-0.12741315280973001</v>
      </c>
    </row>
    <row r="339" spans="1:3" x14ac:dyDescent="0.25">
      <c r="A339" s="1" t="s">
        <v>125</v>
      </c>
      <c r="B339" s="1" t="str">
        <f>[1]!thsiFinD("THS_GPJC_STOCK",A339)</f>
        <v>蚂蚁集团概念</v>
      </c>
      <c r="C339" s="5">
        <f ca="1">[1]!thsiFinD("ths_chg_ratio_y_index",A339,$A$1)/100</f>
        <v>-0.12765114364161001</v>
      </c>
    </row>
    <row r="340" spans="1:3" x14ac:dyDescent="0.25">
      <c r="A340" s="1" t="s">
        <v>314</v>
      </c>
      <c r="B340" s="1" t="str">
        <f>[1]!thsiFinD("THS_GPJC_STOCK",A340)</f>
        <v>创新药</v>
      </c>
      <c r="C340" s="5">
        <f ca="1">[1]!thsiFinD("ths_chg_ratio_y_index",A340,$A$1)/100</f>
        <v>-0.12915889190810001</v>
      </c>
    </row>
    <row r="341" spans="1:3" x14ac:dyDescent="0.25">
      <c r="A341" s="1" t="s">
        <v>187</v>
      </c>
      <c r="B341" s="1" t="str">
        <f>[1]!thsiFinD("THS_GPJC_STOCK",A341)</f>
        <v>仿制药一致性评价</v>
      </c>
      <c r="C341" s="5">
        <f ca="1">[1]!thsiFinD("ths_chg_ratio_y_index",A341,$A$1)/100</f>
        <v>-0.13129631847782</v>
      </c>
    </row>
    <row r="342" spans="1:3" x14ac:dyDescent="0.25">
      <c r="A342" s="1" t="s">
        <v>169</v>
      </c>
      <c r="B342" s="1" t="str">
        <f>[1]!thsiFinD("THS_GPJC_STOCK",A342)</f>
        <v>冰雪产业</v>
      </c>
      <c r="C342" s="5">
        <f ca="1">[1]!thsiFinD("ths_chg_ratio_y_index",A342,$A$1)/100</f>
        <v>-0.13152211651503001</v>
      </c>
    </row>
    <row r="343" spans="1:3" x14ac:dyDescent="0.25">
      <c r="A343" s="1" t="s">
        <v>262</v>
      </c>
      <c r="B343" s="1" t="str">
        <f>[1]!thsiFinD("THS_GPJC_STOCK",A343)</f>
        <v>智慧政务</v>
      </c>
      <c r="C343" s="5">
        <f ca="1">[1]!thsiFinD("ths_chg_ratio_y_index",A343,$A$1)/100</f>
        <v>-0.13176618444968</v>
      </c>
    </row>
    <row r="344" spans="1:3" x14ac:dyDescent="0.25">
      <c r="A344" s="1" t="s">
        <v>115</v>
      </c>
      <c r="B344" s="1" t="str">
        <f>[1]!thsiFinD("THS_GPJC_STOCK",A344)</f>
        <v>电子竞技</v>
      </c>
      <c r="C344" s="5">
        <f ca="1">[1]!thsiFinD("ths_chg_ratio_y_index",A344,$A$1)/100</f>
        <v>-0.13189910187191001</v>
      </c>
    </row>
    <row r="345" spans="1:3" x14ac:dyDescent="0.25">
      <c r="A345" s="1" t="s">
        <v>152</v>
      </c>
      <c r="B345" s="1" t="str">
        <f>[1]!thsiFinD("THS_GPJC_STOCK",A345)</f>
        <v>知识产权保护</v>
      </c>
      <c r="C345" s="5">
        <f ca="1">[1]!thsiFinD("ths_chg_ratio_y_index",A345,$A$1)/100</f>
        <v>-0.13202263507049999</v>
      </c>
    </row>
    <row r="346" spans="1:3" x14ac:dyDescent="0.25">
      <c r="A346" s="1" t="s">
        <v>164</v>
      </c>
      <c r="B346" s="1" t="str">
        <f>[1]!thsiFinD("THS_GPJC_STOCK",A346)</f>
        <v>信托概念</v>
      </c>
      <c r="C346" s="5">
        <f ca="1">[1]!thsiFinD("ths_chg_ratio_y_index",A346,$A$1)/100</f>
        <v>-0.13206774518541001</v>
      </c>
    </row>
    <row r="347" spans="1:3" x14ac:dyDescent="0.25">
      <c r="A347" s="1" t="s">
        <v>178</v>
      </c>
      <c r="B347" s="1" t="str">
        <f>[1]!thsiFinD("THS_GPJC_STOCK",A347)</f>
        <v>数字乡村</v>
      </c>
      <c r="C347" s="5">
        <f ca="1">[1]!thsiFinD("ths_chg_ratio_y_index",A347,$A$1)/100</f>
        <v>-0.13289182539496</v>
      </c>
    </row>
    <row r="348" spans="1:3" x14ac:dyDescent="0.25">
      <c r="A348" s="1" t="s">
        <v>45</v>
      </c>
      <c r="B348" s="1" t="str">
        <f>[1]!thsiFinD("THS_GPJC_STOCK",A348)</f>
        <v>民营医院</v>
      </c>
      <c r="C348" s="5">
        <f ca="1">[1]!thsiFinD("ths_chg_ratio_y_index",A348,$A$1)/100</f>
        <v>-0.13404179340036002</v>
      </c>
    </row>
    <row r="349" spans="1:3" x14ac:dyDescent="0.25">
      <c r="A349" s="1" t="s">
        <v>290</v>
      </c>
      <c r="B349" s="1" t="str">
        <f>[1]!thsiFinD("THS_GPJC_STOCK",A349)</f>
        <v>统一大市场</v>
      </c>
      <c r="C349" s="5">
        <f ca="1">[1]!thsiFinD("ths_chg_ratio_y_index",A349,$A$1)/100</f>
        <v>-0.13465416681965001</v>
      </c>
    </row>
    <row r="350" spans="1:3" x14ac:dyDescent="0.25">
      <c r="A350" s="1" t="s">
        <v>180</v>
      </c>
      <c r="B350" s="1" t="str">
        <f>[1]!thsiFinD("THS_GPJC_STOCK",A350)</f>
        <v>国产操作系统</v>
      </c>
      <c r="C350" s="5">
        <f ca="1">[1]!thsiFinD("ths_chg_ratio_y_index",A350,$A$1)/100</f>
        <v>-0.13492720378997</v>
      </c>
    </row>
    <row r="351" spans="1:3" x14ac:dyDescent="0.25">
      <c r="A351" s="1" t="s">
        <v>226</v>
      </c>
      <c r="B351" s="1" t="str">
        <f>[1]!thsiFinD("THS_GPJC_STOCK",A351)</f>
        <v>物业管理</v>
      </c>
      <c r="C351" s="5">
        <f ca="1">[1]!thsiFinD("ths_chg_ratio_y_index",A351,$A$1)/100</f>
        <v>-0.13654879364104</v>
      </c>
    </row>
    <row r="352" spans="1:3" x14ac:dyDescent="0.25">
      <c r="A352" s="1" t="s">
        <v>312</v>
      </c>
      <c r="B352" s="1" t="str">
        <f>[1]!thsiFinD("THS_GPJC_STOCK",A352)</f>
        <v>宠物经济</v>
      </c>
      <c r="C352" s="5">
        <f ca="1">[1]!thsiFinD("ths_chg_ratio_y_index",A352,$A$1)/100</f>
        <v>-0.1366408389787</v>
      </c>
    </row>
    <row r="353" spans="1:3" x14ac:dyDescent="0.25">
      <c r="A353" s="1" t="s">
        <v>51</v>
      </c>
      <c r="B353" s="1" t="str">
        <f>[1]!thsiFinD("THS_GPJC_STOCK",A353)</f>
        <v>禽流感</v>
      </c>
      <c r="C353" s="5">
        <f ca="1">[1]!thsiFinD("ths_chg_ratio_y_index",A353,$A$1)/100</f>
        <v>-0.13866907469019002</v>
      </c>
    </row>
    <row r="354" spans="1:3" x14ac:dyDescent="0.25">
      <c r="A354" s="1" t="s">
        <v>118</v>
      </c>
      <c r="B354" s="1" t="str">
        <f>[1]!thsiFinD("THS_GPJC_STOCK",A354)</f>
        <v>化债概念(AMC概念)</v>
      </c>
      <c r="C354" s="5">
        <f ca="1">[1]!thsiFinD("ths_chg_ratio_y_index",A354,$A$1)/100</f>
        <v>-0.13873560307350999</v>
      </c>
    </row>
    <row r="355" spans="1:3" x14ac:dyDescent="0.25">
      <c r="A355" s="1" t="s">
        <v>130</v>
      </c>
      <c r="B355" s="1" t="str">
        <f>[1]!thsiFinD("THS_GPJC_STOCK",A355)</f>
        <v>租售同权</v>
      </c>
      <c r="C355" s="5">
        <f ca="1">[1]!thsiFinD("ths_chg_ratio_y_index",A355,$A$1)/100</f>
        <v>-0.14346399944822</v>
      </c>
    </row>
    <row r="356" spans="1:3" x14ac:dyDescent="0.25">
      <c r="A356" s="1" t="s">
        <v>46</v>
      </c>
      <c r="B356" s="1" t="str">
        <f>[1]!thsiFinD("THS_GPJC_STOCK",A356)</f>
        <v>上海国企改革</v>
      </c>
      <c r="C356" s="5">
        <f ca="1">[1]!thsiFinD("ths_chg_ratio_y_index",A356,$A$1)/100</f>
        <v>-0.14347855833309001</v>
      </c>
    </row>
    <row r="357" spans="1:3" x14ac:dyDescent="0.25">
      <c r="A357" s="1" t="s">
        <v>294</v>
      </c>
      <c r="B357" s="1" t="str">
        <f>[1]!thsiFinD("THS_GPJC_STOCK",A357)</f>
        <v>猴痘概念</v>
      </c>
      <c r="C357" s="5">
        <f ca="1">[1]!thsiFinD("ths_chg_ratio_y_index",A357,$A$1)/100</f>
        <v>-0.14418776741174</v>
      </c>
    </row>
    <row r="358" spans="1:3" x14ac:dyDescent="0.25">
      <c r="A358" s="1" t="s">
        <v>383</v>
      </c>
      <c r="B358" s="1" t="str">
        <f>[1]!thsiFinD("THS_GPJC_STOCK",A358)</f>
        <v>华为盘古</v>
      </c>
      <c r="C358" s="5">
        <f ca="1">[1]!thsiFinD("ths_chg_ratio_y_index",A358,$A$1)/100</f>
        <v>-0.1444170858729</v>
      </c>
    </row>
    <row r="359" spans="1:3" x14ac:dyDescent="0.25">
      <c r="A359" s="1" t="s">
        <v>36</v>
      </c>
      <c r="B359" s="1" t="str">
        <f>[1]!thsiFinD("THS_GPJC_STOCK",A359)</f>
        <v>手机游戏</v>
      </c>
      <c r="C359" s="5">
        <f ca="1">[1]!thsiFinD("ths_chg_ratio_y_index",A359,$A$1)/100</f>
        <v>-0.14450093861641</v>
      </c>
    </row>
    <row r="360" spans="1:3" x14ac:dyDescent="0.25">
      <c r="A360" s="1" t="s">
        <v>286</v>
      </c>
      <c r="B360" s="1" t="str">
        <f>[1]!thsiFinD("THS_GPJC_STOCK",A360)</f>
        <v>华为欧拉</v>
      </c>
      <c r="C360" s="5">
        <f ca="1">[1]!thsiFinD("ths_chg_ratio_y_index",A360,$A$1)/100</f>
        <v>-0.1450949471911</v>
      </c>
    </row>
    <row r="361" spans="1:3" x14ac:dyDescent="0.25">
      <c r="A361" s="1" t="s">
        <v>285</v>
      </c>
      <c r="B361" s="1" t="str">
        <f>[1]!thsiFinD("THS_GPJC_STOCK",A361)</f>
        <v>家庭医生</v>
      </c>
      <c r="C361" s="5">
        <f ca="1">[1]!thsiFinD("ths_chg_ratio_y_index",A361,$A$1)/100</f>
        <v>-0.14581173080286999</v>
      </c>
    </row>
    <row r="362" spans="1:3" x14ac:dyDescent="0.25">
      <c r="A362" s="1" t="s">
        <v>33</v>
      </c>
      <c r="B362" s="1" t="str">
        <f>[1]!thsiFinD("THS_GPJC_STOCK",A362)</f>
        <v>土地流转</v>
      </c>
      <c r="C362" s="5">
        <f ca="1">[1]!thsiFinD("ths_chg_ratio_y_index",A362,$A$1)/100</f>
        <v>-0.14623024444013999</v>
      </c>
    </row>
    <row r="363" spans="1:3" x14ac:dyDescent="0.25">
      <c r="A363" s="1" t="s">
        <v>57</v>
      </c>
      <c r="B363" s="1" t="str">
        <f>[1]!thsiFinD("THS_GPJC_STOCK",A363)</f>
        <v>白酒概念</v>
      </c>
      <c r="C363" s="5">
        <f ca="1">[1]!thsiFinD("ths_chg_ratio_y_index",A363,$A$1)/100</f>
        <v>-0.14639886982818001</v>
      </c>
    </row>
    <row r="364" spans="1:3" x14ac:dyDescent="0.25">
      <c r="A364" s="1" t="s">
        <v>374</v>
      </c>
      <c r="B364" s="1" t="str">
        <f>[1]!thsiFinD("THS_GPJC_STOCK",A364)</f>
        <v>维生素</v>
      </c>
      <c r="C364" s="5">
        <f ca="1">[1]!thsiFinD("ths_chg_ratio_y_index",A364,$A$1)/100</f>
        <v>-0.14865987223572</v>
      </c>
    </row>
    <row r="365" spans="1:3" x14ac:dyDescent="0.25">
      <c r="A365" s="1" t="s">
        <v>35</v>
      </c>
      <c r="B365" s="1" t="str">
        <f>[1]!thsiFinD("THS_GPJC_STOCK",A365)</f>
        <v>互联网金融</v>
      </c>
      <c r="C365" s="5">
        <f ca="1">[1]!thsiFinD("ths_chg_ratio_y_index",A365,$A$1)/100</f>
        <v>-0.15044456289381999</v>
      </c>
    </row>
    <row r="366" spans="1:3" x14ac:dyDescent="0.25">
      <c r="A366" s="1" t="s">
        <v>291</v>
      </c>
      <c r="B366" s="1" t="str">
        <f>[1]!thsiFinD("THS_GPJC_STOCK",A366)</f>
        <v>肝炎概念</v>
      </c>
      <c r="C366" s="5">
        <f ca="1">[1]!thsiFinD("ths_chg_ratio_y_index",A366,$A$1)/100</f>
        <v>-0.15113035217616</v>
      </c>
    </row>
    <row r="367" spans="1:3" x14ac:dyDescent="0.25">
      <c r="A367" s="1" t="s">
        <v>393</v>
      </c>
      <c r="B367" s="1" t="str">
        <f>[1]!thsiFinD("THS_GPJC_STOCK",A367)</f>
        <v>AI应用</v>
      </c>
      <c r="C367" s="5">
        <f ca="1">[1]!thsiFinD("ths_chg_ratio_y_index",A367,$A$1)/100</f>
        <v>-0.153943</v>
      </c>
    </row>
    <row r="368" spans="1:3" x14ac:dyDescent="0.25">
      <c r="A368" s="1" t="s">
        <v>159</v>
      </c>
      <c r="B368" s="1" t="str">
        <f>[1]!thsiFinD("THS_GPJC_STOCK",A368)</f>
        <v>养鸡</v>
      </c>
      <c r="C368" s="5">
        <f ca="1">[1]!thsiFinD("ths_chg_ratio_y_index",A368,$A$1)/100</f>
        <v>-0.15410487143203</v>
      </c>
    </row>
    <row r="369" spans="1:3" x14ac:dyDescent="0.25">
      <c r="A369" s="1" t="s">
        <v>123</v>
      </c>
      <c r="B369" s="1" t="str">
        <f>[1]!thsiFinD("THS_GPJC_STOCK",A369)</f>
        <v>共享单车</v>
      </c>
      <c r="C369" s="5">
        <f ca="1">[1]!thsiFinD("ths_chg_ratio_y_index",A369,$A$1)/100</f>
        <v>-0.1582083454323</v>
      </c>
    </row>
    <row r="370" spans="1:3" x14ac:dyDescent="0.25">
      <c r="A370" s="1" t="s">
        <v>242</v>
      </c>
      <c r="B370" s="1" t="str">
        <f>[1]!thsiFinD("THS_GPJC_STOCK",A370)</f>
        <v>NFT概念</v>
      </c>
      <c r="C370" s="5">
        <f ca="1">[1]!thsiFinD("ths_chg_ratio_y_index",A370,$A$1)/100</f>
        <v>-0.16373841398991001</v>
      </c>
    </row>
    <row r="371" spans="1:3" x14ac:dyDescent="0.25">
      <c r="A371" s="1" t="s">
        <v>182</v>
      </c>
      <c r="B371" s="1" t="str">
        <f>[1]!thsiFinD("THS_GPJC_STOCK",A371)</f>
        <v>动物疫苗</v>
      </c>
      <c r="C371" s="5">
        <f ca="1">[1]!thsiFinD("ths_chg_ratio_y_index",A371,$A$1)/100</f>
        <v>-0.16539736415771</v>
      </c>
    </row>
    <row r="372" spans="1:3" x14ac:dyDescent="0.25">
      <c r="A372" s="1" t="s">
        <v>261</v>
      </c>
      <c r="B372" s="1" t="str">
        <f>[1]!thsiFinD("THS_GPJC_STOCK",A372)</f>
        <v>重组蛋白</v>
      </c>
      <c r="C372" s="5">
        <f ca="1">[1]!thsiFinD("ths_chg_ratio_y_index",A372,$A$1)/100</f>
        <v>-0.16917709643194001</v>
      </c>
    </row>
    <row r="373" spans="1:3" x14ac:dyDescent="0.25">
      <c r="A373" s="1" t="s">
        <v>135</v>
      </c>
      <c r="B373" s="1" t="str">
        <f>[1]!thsiFinD("THS_GPJC_STOCK",A373)</f>
        <v>互联网保险</v>
      </c>
      <c r="C373" s="5">
        <f ca="1">[1]!thsiFinD("ths_chg_ratio_y_index",A373,$A$1)/100</f>
        <v>-0.17077248700338998</v>
      </c>
    </row>
    <row r="374" spans="1:3" x14ac:dyDescent="0.25">
      <c r="A374" s="1" t="s">
        <v>317</v>
      </c>
      <c r="B374" s="1" t="str">
        <f>[1]!thsiFinD("THS_GPJC_STOCK",A374)</f>
        <v>高压氧舱</v>
      </c>
      <c r="C374" s="5">
        <f ca="1">[1]!thsiFinD("ths_chg_ratio_y_index",A374,$A$1)/100</f>
        <v>-0.17203077375136</v>
      </c>
    </row>
    <row r="375" spans="1:3" x14ac:dyDescent="0.25">
      <c r="A375" s="1" t="s">
        <v>9</v>
      </c>
      <c r="B375" s="1" t="str">
        <f>[1]!thsiFinD("THS_GPJC_STOCK",A375)</f>
        <v>移动支付</v>
      </c>
      <c r="C375" s="5">
        <f ca="1">[1]!thsiFinD("ths_chg_ratio_y_index",A375,$A$1)/100</f>
        <v>-0.17311833457966</v>
      </c>
    </row>
    <row r="376" spans="1:3" x14ac:dyDescent="0.25">
      <c r="A376" s="1" t="s">
        <v>198</v>
      </c>
      <c r="B376" s="1" t="str">
        <f>[1]!thsiFinD("THS_GPJC_STOCK",A376)</f>
        <v>转基因</v>
      </c>
      <c r="C376" s="5">
        <f ca="1">[1]!thsiFinD("ths_chg_ratio_y_index",A376,$A$1)/100</f>
        <v>-0.17328650422388001</v>
      </c>
    </row>
    <row r="377" spans="1:3" x14ac:dyDescent="0.25">
      <c r="A377" s="1" t="s">
        <v>373</v>
      </c>
      <c r="B377" s="1" t="str">
        <f>[1]!thsiFinD("THS_GPJC_STOCK",A377)</f>
        <v>财税数字化</v>
      </c>
      <c r="C377" s="5">
        <f ca="1">[1]!thsiFinD("ths_chg_ratio_y_index",A377,$A$1)/100</f>
        <v>-0.17550402178489999</v>
      </c>
    </row>
    <row r="378" spans="1:3" x14ac:dyDescent="0.25">
      <c r="A378" s="1" t="s">
        <v>255</v>
      </c>
      <c r="B378" s="1" t="str">
        <f>[1]!thsiFinD("THS_GPJC_STOCK",A378)</f>
        <v>DRG/DIP</v>
      </c>
      <c r="C378" s="5">
        <f ca="1">[1]!thsiFinD("ths_chg_ratio_y_index",A378,$A$1)/100</f>
        <v>-0.17871439765973002</v>
      </c>
    </row>
    <row r="379" spans="1:3" x14ac:dyDescent="0.25">
      <c r="A379" s="1" t="s">
        <v>258</v>
      </c>
      <c r="B379" s="1" t="str">
        <f>[1]!thsiFinD("THS_GPJC_STOCK",A379)</f>
        <v>预制菜</v>
      </c>
      <c r="C379" s="5">
        <f ca="1">[1]!thsiFinD("ths_chg_ratio_y_index",A379,$A$1)/100</f>
        <v>-0.18005156693673002</v>
      </c>
    </row>
    <row r="380" spans="1:3" x14ac:dyDescent="0.25">
      <c r="A380" s="1" t="s">
        <v>295</v>
      </c>
      <c r="B380" s="1" t="str">
        <f>[1]!thsiFinD("THS_GPJC_STOCK",A380)</f>
        <v>粮食概念</v>
      </c>
      <c r="C380" s="5">
        <f ca="1">[1]!thsiFinD("ths_chg_ratio_y_index",A380,$A$1)/100</f>
        <v>-0.18103584266331002</v>
      </c>
    </row>
    <row r="381" spans="1:3" x14ac:dyDescent="0.25">
      <c r="A381" s="1" t="s">
        <v>39</v>
      </c>
      <c r="B381" s="1" t="str">
        <f>[1]!thsiFinD("THS_GPJC_STOCK",A381)</f>
        <v>乳业</v>
      </c>
      <c r="C381" s="5">
        <f ca="1">[1]!thsiFinD("ths_chg_ratio_y_index",A381,$A$1)/100</f>
        <v>-0.18172523622513001</v>
      </c>
    </row>
    <row r="382" spans="1:3" x14ac:dyDescent="0.25">
      <c r="A382" s="1" t="s">
        <v>181</v>
      </c>
      <c r="B382" s="1" t="str">
        <f>[1]!thsiFinD("THS_GPJC_STOCK",A382)</f>
        <v>生物疫苗</v>
      </c>
      <c r="C382" s="5">
        <f ca="1">[1]!thsiFinD("ths_chg_ratio_y_index",A382,$A$1)/100</f>
        <v>-0.18385332219476999</v>
      </c>
    </row>
    <row r="383" spans="1:3" x14ac:dyDescent="0.25">
      <c r="A383" s="1" t="s">
        <v>90</v>
      </c>
      <c r="B383" s="1" t="str">
        <f>[1]!thsiFinD("THS_GPJC_STOCK",A383)</f>
        <v>农村电商</v>
      </c>
      <c r="C383" s="5">
        <f ca="1">[1]!thsiFinD("ths_chg_ratio_y_index",A383,$A$1)/100</f>
        <v>-0.18832461063872</v>
      </c>
    </row>
    <row r="384" spans="1:3" x14ac:dyDescent="0.25">
      <c r="A384" s="1" t="s">
        <v>272</v>
      </c>
      <c r="B384" s="1" t="str">
        <f>[1]!thsiFinD("THS_GPJC_STOCK",A384)</f>
        <v>跨境支付(CIPS)</v>
      </c>
      <c r="C384" s="5">
        <f ca="1">[1]!thsiFinD("ths_chg_ratio_y_index",A384,$A$1)/100</f>
        <v>-0.19156091214806001</v>
      </c>
    </row>
    <row r="385" spans="1:3" x14ac:dyDescent="0.25">
      <c r="A385" s="1" t="s">
        <v>161</v>
      </c>
      <c r="B385" s="1" t="str">
        <f>[1]!thsiFinD("THS_GPJC_STOCK",A385)</f>
        <v>大豆</v>
      </c>
      <c r="C385" s="5">
        <f ca="1">[1]!thsiFinD("ths_chg_ratio_y_index",A385,$A$1)/100</f>
        <v>-0.19651214620012999</v>
      </c>
    </row>
    <row r="386" spans="1:3" x14ac:dyDescent="0.25">
      <c r="A386" s="1" t="s">
        <v>209</v>
      </c>
      <c r="B386" s="1" t="str">
        <f>[1]!thsiFinD("THS_GPJC_STOCK",A386)</f>
        <v>海南自贸区</v>
      </c>
      <c r="C386" s="5">
        <f ca="1">[1]!thsiFinD("ths_chg_ratio_y_index",A386,$A$1)/100</f>
        <v>-0.19904371776447999</v>
      </c>
    </row>
    <row r="387" spans="1:3" x14ac:dyDescent="0.25">
      <c r="A387" s="1" t="s">
        <v>134</v>
      </c>
      <c r="B387" s="1" t="str">
        <f>[1]!thsiFinD("THS_GPJC_STOCK",A387)</f>
        <v>自由贸易港</v>
      </c>
      <c r="C387" s="5">
        <f ca="1">[1]!thsiFinD("ths_chg_ratio_y_index",A387,$A$1)/100</f>
        <v>-0.20086965569265</v>
      </c>
    </row>
    <row r="388" spans="1:3" x14ac:dyDescent="0.25">
      <c r="A388" s="1" t="s">
        <v>162</v>
      </c>
      <c r="B388" s="1" t="str">
        <f>[1]!thsiFinD("THS_GPJC_STOCK",A388)</f>
        <v>玉米</v>
      </c>
      <c r="C388" s="5">
        <f ca="1">[1]!thsiFinD("ths_chg_ratio_y_index",A388,$A$1)/100</f>
        <v>-0.20726463961850999</v>
      </c>
    </row>
    <row r="389" spans="1:3" x14ac:dyDescent="0.25">
      <c r="A389" s="1" t="s">
        <v>75</v>
      </c>
      <c r="B389" s="1" t="str">
        <f>[1]!thsiFinD("THS_GPJC_STOCK",A389)</f>
        <v>猪肉</v>
      </c>
      <c r="C389" s="5">
        <f ca="1">[1]!thsiFinD("ths_chg_ratio_y_index",A389,$A$1)/100</f>
        <v>-0.21254775331164003</v>
      </c>
    </row>
    <row r="390" spans="1:3" x14ac:dyDescent="0.25">
      <c r="A390" s="1" t="s">
        <v>193</v>
      </c>
      <c r="B390" s="1" t="str">
        <f>[1]!thsiFinD("THS_GPJC_STOCK",A390)</f>
        <v>数字货币</v>
      </c>
      <c r="C390" s="5">
        <f ca="1">[1]!thsiFinD("ths_chg_ratio_y_index",A390,$A$1)/100</f>
        <v>-0.21505409793992999</v>
      </c>
    </row>
    <row r="391" spans="1:3" x14ac:dyDescent="0.25">
      <c r="A391" s="1" t="s">
        <v>127</v>
      </c>
      <c r="B391" s="1" t="str">
        <f>[1]!thsiFinD("THS_GPJC_STOCK",A391)</f>
        <v>网约车</v>
      </c>
      <c r="C391" s="5">
        <f ca="1">[1]!thsiFinD("ths_chg_ratio_y_index",A391,$A$1)/100</f>
        <v>-0.21612147890787997</v>
      </c>
    </row>
    <row r="392" spans="1:3" x14ac:dyDescent="0.25">
      <c r="A392" s="1" t="s">
        <v>281</v>
      </c>
      <c r="B392" s="1" t="str">
        <f>[1]!thsiFinD("THS_GPJC_STOCK",A392)</f>
        <v>电子身份证</v>
      </c>
      <c r="C392" s="5">
        <f ca="1">[1]!thsiFinD("ths_chg_ratio_y_index",A392,$A$1)/100</f>
        <v>-0.22143820904100997</v>
      </c>
    </row>
    <row r="393" spans="1:3" x14ac:dyDescent="0.25">
      <c r="A393" s="1" t="s">
        <v>136</v>
      </c>
      <c r="B393" s="1" t="str">
        <f>[1]!thsiFinD("THS_GPJC_STOCK",A393)</f>
        <v>无人零售</v>
      </c>
      <c r="C393" s="5">
        <f ca="1">[1]!thsiFinD("ths_chg_ratio_y_index",A393,$A$1)/100</f>
        <v>-0.23587211154074</v>
      </c>
    </row>
    <row r="394" spans="1:3" x14ac:dyDescent="0.25">
      <c r="A394" s="1" t="s">
        <v>211</v>
      </c>
      <c r="B394" s="1" t="str">
        <f>[1]!thsiFinD("THS_GPJC_STOCK",A394)</f>
        <v>免税店</v>
      </c>
      <c r="C394" s="5">
        <f ca="1">[1]!thsiFinD("ths_chg_ratio_y_index",A394,$A$1)/100</f>
        <v>-0.25317718387930999</v>
      </c>
    </row>
    <row r="395" spans="1:3" x14ac:dyDescent="0.25">
      <c r="A395" s="1" t="s">
        <v>389</v>
      </c>
      <c r="B395" s="1" t="str">
        <f>[1]!thsiFinD("THS_GPJC_STOCK",A395)</f>
        <v>兵装重组概念</v>
      </c>
      <c r="C395" s="5">
        <f ca="1">[1]!thsiFinD("ths_chg_ratio_y_index",A395,$A$1)/100</f>
        <v>-0.26288896764720998</v>
      </c>
    </row>
    <row r="397" spans="1:3" x14ac:dyDescent="0.25">
      <c r="A397" s="2" t="s">
        <v>395</v>
      </c>
    </row>
  </sheetData>
  <autoFilter ref="A2:C395">
    <sortState ref="A3:C395">
      <sortCondition descending="1" ref="C2:C395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同花顺A股概念指数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白昕</cp:lastModifiedBy>
  <dcterms:created xsi:type="dcterms:W3CDTF">2026-06-18T14:30:11Z</dcterms:created>
  <dcterms:modified xsi:type="dcterms:W3CDTF">2026-06-18T06:53:51Z</dcterms:modified>
</cp:coreProperties>
</file>