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1620" tabRatio="600" firstSheet="0" activeTab="0" autoFilterDateGrouping="1"/>
  </bookViews>
  <sheets>
    <sheet xmlns:r="http://schemas.openxmlformats.org/officeDocument/2006/relationships" name="概念指数热点监控" sheetId="1" state="visible" r:id="rId1"/>
    <sheet xmlns:r="http://schemas.openxmlformats.org/officeDocument/2006/relationships" name="分类规则" sheetId="2" state="visible" r:id="rId2"/>
    <sheet xmlns:r="http://schemas.openxmlformats.org/officeDocument/2006/relationships" name="二级赛道热度" sheetId="3" state="visible" r:id="rId3"/>
  </sheets>
  <externalReferences>
    <externalReference xmlns:r="http://schemas.openxmlformats.org/officeDocument/2006/relationships" r:id="rId4"/>
  </externalReference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6"/>
    </font>
    <font>
      <name val="Arial"/>
      <b val="1"/>
      <sz val="11"/>
    </font>
    <font>
      <name val="Arial"/>
      <i val="1"/>
      <sz val="9"/>
    </font>
    <font>
      <name val="Arial"/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2" fillId="0" borderId="0"/>
    <xf numFmtId="9" fontId="2" fillId="0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4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1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165" fontId="6" fillId="0" borderId="2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iFinD/ThsFunc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6"/>
  <sheetViews>
    <sheetView tabSelected="1" workbookViewId="0">
      <pane ySplit="3" topLeftCell="A4" activePane="bottomLeft" state="frozen"/>
      <selection pane="bottomLeft" activeCell="D9" sqref="D9"/>
    </sheetView>
  </sheetViews>
  <sheetFormatPr baseColWidth="8" defaultRowHeight="14"/>
  <cols>
    <col width="11" customWidth="1" min="1" max="1"/>
    <col width="17" customWidth="1" min="2" max="2"/>
    <col width="10" customWidth="1" min="3" max="5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5" customWidth="1" min="9" max="9"/>
    <col width="11" customWidth="1" min="10" max="10"/>
    <col width="14" customWidth="1" min="11" max="11"/>
    <col width="11" customWidth="1" min="12" max="12"/>
    <col width="12" customWidth="1" min="13" max="13"/>
    <col width="14" customWidth="1" min="14" max="14"/>
    <col width="11" customWidth="1" min="15" max="15"/>
    <col width="12" customWidth="1" min="16" max="16"/>
    <col width="14" customWidth="1" min="17" max="17"/>
    <col width="11" customWidth="1" min="18" max="18"/>
    <col width="12" customWidth="1" min="19" max="19"/>
    <col width="14" customWidth="1" min="20" max="20"/>
    <col width="11" customWidth="1" min="21" max="21"/>
    <col width="12" customWidth="1" min="22" max="22"/>
    <col width="14" customWidth="1" min="23" max="23"/>
    <col width="11" customWidth="1" min="24" max="24"/>
    <col width="12" customWidth="1" min="25" max="25"/>
  </cols>
  <sheetData>
    <row r="1">
      <c r="C1" s="3" t="n">
        <v>46023</v>
      </c>
      <c r="D1" s="3">
        <f>DATE(YEAR(D2),MONTH(D2),DAY(D2)-7)</f>
        <v/>
      </c>
      <c r="E1" s="3">
        <f>DATE(YEAR(E2),MONTH(E2),DAY(E2)-30)</f>
        <v/>
      </c>
    </row>
    <row r="2">
      <c r="A2" s="3">
        <f>TODAY()-1</f>
        <v/>
      </c>
      <c r="C2" s="3">
        <f>A2</f>
        <v/>
      </c>
      <c r="D2" s="3">
        <f>C2</f>
        <v/>
      </c>
      <c r="E2" s="3">
        <f>D2</f>
        <v/>
      </c>
      <c r="K2" s="19" t="inlineStr">
        <is>
          <t>↓前5大重仓=iFinD智能选股快照(按A股流通市值取前5,数据日2026-06-18),非单元格公式,需定期手动刷新</t>
        </is>
      </c>
    </row>
    <row r="3">
      <c r="A3" s="6" t="inlineStr">
        <is>
          <t>概念代码</t>
        </is>
      </c>
      <c r="B3" s="6" t="inlineStr">
        <is>
          <t>概念名称</t>
        </is>
      </c>
      <c r="C3" s="6" t="inlineStr">
        <is>
          <t>YTD涨跌幅</t>
        </is>
      </c>
      <c r="D3" s="6" t="inlineStr">
        <is>
          <t>近一周</t>
        </is>
      </c>
      <c r="E3" s="6" t="inlineStr">
        <is>
          <t>近一月</t>
        </is>
      </c>
      <c r="F3" s="6" t="inlineStr">
        <is>
          <t>加速度</t>
        </is>
      </c>
      <c r="G3" s="6" t="inlineStr">
        <is>
          <t>概念类型</t>
        </is>
      </c>
      <c r="H3" s="6" t="inlineStr">
        <is>
          <t>一级</t>
        </is>
      </c>
      <c r="I3" s="6" t="inlineStr">
        <is>
          <t>二级</t>
        </is>
      </c>
      <c r="J3" s="6" t="inlineStr">
        <is>
          <t>产业链位置</t>
        </is>
      </c>
      <c r="K3" s="6" t="inlineStr">
        <is>
          <t>第1大重仓-名称</t>
        </is>
      </c>
      <c r="L3" s="6" t="inlineStr">
        <is>
          <t>第1大重仓-代码</t>
        </is>
      </c>
      <c r="M3" s="6" t="inlineStr">
        <is>
          <t>第1大重仓-流通市值(亿元)</t>
        </is>
      </c>
      <c r="N3" s="6" t="inlineStr">
        <is>
          <t>第2大重仓-名称</t>
        </is>
      </c>
      <c r="O3" s="6" t="inlineStr">
        <is>
          <t>第2大重仓-代码</t>
        </is>
      </c>
      <c r="P3" s="6" t="inlineStr">
        <is>
          <t>第2大重仓-流通市值(亿元)</t>
        </is>
      </c>
      <c r="Q3" s="6" t="inlineStr">
        <is>
          <t>第3大重仓-名称</t>
        </is>
      </c>
      <c r="R3" s="6" t="inlineStr">
        <is>
          <t>第3大重仓-代码</t>
        </is>
      </c>
      <c r="S3" s="6" t="inlineStr">
        <is>
          <t>第3大重仓-流通市值(亿元)</t>
        </is>
      </c>
      <c r="T3" s="6" t="inlineStr">
        <is>
          <t>第4大重仓-名称</t>
        </is>
      </c>
      <c r="U3" s="6" t="inlineStr">
        <is>
          <t>第4大重仓-代码</t>
        </is>
      </c>
      <c r="V3" s="6" t="inlineStr">
        <is>
          <t>第4大重仓-流通市值(亿元)</t>
        </is>
      </c>
      <c r="W3" s="6" t="inlineStr">
        <is>
          <t>第5大重仓-名称</t>
        </is>
      </c>
      <c r="X3" s="6" t="inlineStr">
        <is>
          <t>第5大重仓-代码</t>
        </is>
      </c>
      <c r="Y3" s="6" t="inlineStr">
        <is>
          <t>第5大重仓-流通市值(亿元)</t>
        </is>
      </c>
    </row>
    <row r="4">
      <c r="A4" s="7" t="inlineStr">
        <is>
          <t>886020.TI</t>
        </is>
      </c>
      <c r="B4" s="8">
        <f>[1]!thsiFinD("THS_GPJC_STOCK",$A4)</f>
        <v/>
      </c>
      <c r="C4" s="9">
        <f>[1]!thsiFinD("ths_int_chg_ratio_index",$A4,C$1,C$2)/100</f>
        <v/>
      </c>
      <c r="D4" s="9">
        <f>[1]!thsiFinD("ths_int_chg_ratio_index",$A4,D$1,D$2)/100</f>
        <v/>
      </c>
      <c r="E4" s="9">
        <f>[1]!thsiFinD("ths_int_chg_ratio_index",$A4,E$1,E$2)/100</f>
        <v/>
      </c>
      <c r="F4" s="10">
        <f>D4-(E4-D4)/3</f>
        <v/>
      </c>
      <c r="G4" s="7" t="inlineStr">
        <is>
          <t>产业链</t>
        </is>
      </c>
      <c r="H4" s="7">
        <f>IFERROR(VLOOKUP($I4,'分类规则'!$A$30:$C$200,2,0),"")</f>
        <v/>
      </c>
      <c r="I4" s="7" t="inlineStr">
        <is>
          <t>电子材料</t>
        </is>
      </c>
      <c r="J4" s="7">
        <f>IFERROR(VLOOKUP($I4,'分类规则'!$A$30:$C$200,3,0),"")</f>
        <v/>
      </c>
      <c r="K4" s="8" t="inlineStr">
        <is>
          <t>中天科技</t>
        </is>
      </c>
      <c r="L4" s="7" t="inlineStr">
        <is>
          <t>600522.SH</t>
        </is>
      </c>
      <c r="M4" s="20" t="n">
        <v>1929.7</v>
      </c>
      <c r="N4" s="8" t="inlineStr">
        <is>
          <t>铜冠铜箔</t>
        </is>
      </c>
      <c r="O4" s="7" t="inlineStr">
        <is>
          <t>301217.SZ</t>
        </is>
      </c>
      <c r="P4" s="20" t="n">
        <v>1656.4</v>
      </c>
      <c r="Q4" s="8" t="inlineStr">
        <is>
          <t>恒力石化</t>
        </is>
      </c>
      <c r="R4" s="7" t="inlineStr">
        <is>
          <t>600346.SH</t>
        </is>
      </c>
      <c r="S4" s="20" t="n">
        <v>1208.6</v>
      </c>
      <c r="T4" s="8" t="inlineStr">
        <is>
          <t>东材科技</t>
        </is>
      </c>
      <c r="U4" s="7" t="inlineStr">
        <is>
          <t>601208.SH</t>
        </is>
      </c>
      <c r="V4" s="20" t="n">
        <v>755.9</v>
      </c>
      <c r="W4" s="8" t="inlineStr">
        <is>
          <t>远东股份</t>
        </is>
      </c>
      <c r="X4" s="7" t="inlineStr">
        <is>
          <t>600869.SH</t>
        </is>
      </c>
      <c r="Y4" s="20" t="n">
        <v>729.3</v>
      </c>
    </row>
    <row r="5">
      <c r="A5" s="7" t="inlineStr">
        <is>
          <t>886033.TI</t>
        </is>
      </c>
      <c r="B5" s="8">
        <f>[1]!thsiFinD("THS_GPJC_STOCK",$A5)</f>
        <v/>
      </c>
      <c r="C5" s="9">
        <f>[1]!thsiFinD("ths_int_chg_ratio_index",$A5,C$1,C$2)/100</f>
        <v/>
      </c>
      <c r="D5" s="9">
        <f>[1]!thsiFinD("ths_int_chg_ratio_index",$A5,D$1,D$2)/100</f>
        <v/>
      </c>
      <c r="E5" s="9">
        <f>[1]!thsiFinD("ths_int_chg_ratio_index",$A5,E$1,E$2)/100</f>
        <v/>
      </c>
      <c r="F5" s="10">
        <f>D5-(E5-D5)/3</f>
        <v/>
      </c>
      <c r="G5" s="7" t="inlineStr">
        <is>
          <t>产业链</t>
        </is>
      </c>
      <c r="H5" s="7">
        <f>IFERROR(VLOOKUP($I5,'分类规则'!$A$30:$C$200,2,0),"")</f>
        <v/>
      </c>
      <c r="I5" s="7" t="inlineStr">
        <is>
          <t>光通信/算力硬件</t>
        </is>
      </c>
      <c r="J5" s="7">
        <f>IFERROR(VLOOKUP($I5,'分类规则'!$A$30:$C$200,3,0),"")</f>
        <v/>
      </c>
      <c r="K5" s="8" t="inlineStr">
        <is>
          <t>工业富联</t>
        </is>
      </c>
      <c r="L5" s="7" t="inlineStr">
        <is>
          <t>601138.SH</t>
        </is>
      </c>
      <c r="M5" s="20" t="n">
        <v>15494.3</v>
      </c>
      <c r="N5" s="8" t="inlineStr">
        <is>
          <t>中际旭创</t>
        </is>
      </c>
      <c r="O5" s="7" t="inlineStr">
        <is>
          <t>300308.SZ</t>
        </is>
      </c>
      <c r="P5" s="20" t="n">
        <v>15182.6</v>
      </c>
      <c r="Q5" s="8" t="inlineStr">
        <is>
          <t>新易盛</t>
        </is>
      </c>
      <c r="R5" s="7" t="inlineStr">
        <is>
          <t>300502.SZ</t>
        </is>
      </c>
      <c r="S5" s="20" t="n">
        <v>7293.2</v>
      </c>
      <c r="T5" s="8" t="inlineStr">
        <is>
          <t>立讯精密</t>
        </is>
      </c>
      <c r="U5" s="7" t="inlineStr">
        <is>
          <t>002475.SZ</t>
        </is>
      </c>
      <c r="V5" s="20" t="n">
        <v>5083.4</v>
      </c>
      <c r="W5" s="8" t="inlineStr">
        <is>
          <t>生益科技</t>
        </is>
      </c>
      <c r="X5" s="7" t="inlineStr">
        <is>
          <t>600183.SH</t>
        </is>
      </c>
      <c r="Y5" s="20" t="n">
        <v>4402.8</v>
      </c>
    </row>
    <row r="6">
      <c r="A6" s="7" t="inlineStr">
        <is>
          <t>886084.TI</t>
        </is>
      </c>
      <c r="B6" s="8">
        <f>[1]!thsiFinD("THS_GPJC_STOCK",$A6)</f>
        <v/>
      </c>
      <c r="C6" s="9">
        <f>[1]!thsiFinD("ths_int_chg_ratio_index",$A6,C$1,C$2)/100</f>
        <v/>
      </c>
      <c r="D6" s="9">
        <f>[1]!thsiFinD("ths_int_chg_ratio_index",$A6,D$1,D$2)/100</f>
        <v/>
      </c>
      <c r="E6" s="9">
        <f>[1]!thsiFinD("ths_int_chg_ratio_index",$A6,E$1,E$2)/100</f>
        <v/>
      </c>
      <c r="F6" s="10">
        <f>D6-(E6-D6)/3</f>
        <v/>
      </c>
      <c r="G6" s="7" t="inlineStr">
        <is>
          <t>产业链</t>
        </is>
      </c>
      <c r="H6" s="7">
        <f>IFERROR(VLOOKUP($I6,'分类规则'!$A$30:$C$200,2,0),"")</f>
        <v/>
      </c>
      <c r="I6" s="7" t="inlineStr">
        <is>
          <t>光通信/算力硬件</t>
        </is>
      </c>
      <c r="J6" s="7">
        <f>IFERROR(VLOOKUP($I6,'分类规则'!$A$30:$C$200,3,0),"")</f>
        <v/>
      </c>
      <c r="K6" s="8" t="inlineStr">
        <is>
          <t>东山精密</t>
        </is>
      </c>
      <c r="L6" s="7" t="inlineStr">
        <is>
          <t>002384.SZ</t>
        </is>
      </c>
      <c r="M6" s="20" t="n">
        <v>3784.7</v>
      </c>
      <c r="N6" s="8" t="inlineStr">
        <is>
          <t>天孚通信</t>
        </is>
      </c>
      <c r="O6" s="7" t="inlineStr">
        <is>
          <t>300394.SZ</t>
        </is>
      </c>
      <c r="P6" s="20" t="n">
        <v>3663.5</v>
      </c>
      <c r="Q6" s="8" t="inlineStr">
        <is>
          <t>三环集团</t>
        </is>
      </c>
      <c r="R6" s="7" t="inlineStr">
        <is>
          <t>300408.SZ</t>
        </is>
      </c>
      <c r="S6" s="20" t="n">
        <v>2952.2</v>
      </c>
      <c r="T6" s="8" t="inlineStr">
        <is>
          <t>海康威视</t>
        </is>
      </c>
      <c r="U6" s="7" t="inlineStr">
        <is>
          <t>002415.SZ</t>
        </is>
      </c>
      <c r="V6" s="20" t="n">
        <v>2922</v>
      </c>
      <c r="W6" s="8" t="inlineStr">
        <is>
          <t>蓝思科技</t>
        </is>
      </c>
      <c r="X6" s="7" t="inlineStr">
        <is>
          <t>300433.SZ</t>
        </is>
      </c>
      <c r="Y6" s="20" t="n">
        <v>2771.6</v>
      </c>
    </row>
    <row r="7">
      <c r="A7" s="7" t="inlineStr">
        <is>
          <t>886009.TI</t>
        </is>
      </c>
      <c r="B7" s="8">
        <f>[1]!thsiFinD("THS_GPJC_STOCK",$A7)</f>
        <v/>
      </c>
      <c r="C7" s="9">
        <f>[1]!thsiFinD("ths_int_chg_ratio_index",$A7,C$1,C$2)/100</f>
        <v/>
      </c>
      <c r="D7" s="9">
        <f>[1]!thsiFinD("ths_int_chg_ratio_index",$A7,D$1,D$2)/100</f>
        <v/>
      </c>
      <c r="E7" s="9">
        <f>[1]!thsiFinD("ths_int_chg_ratio_index",$A7,E$1,E$2)/100</f>
        <v/>
      </c>
      <c r="F7" s="10">
        <f>D7-(E7-D7)/3</f>
        <v/>
      </c>
      <c r="G7" s="7" t="inlineStr">
        <is>
          <t>产业链</t>
        </is>
      </c>
      <c r="H7" s="7">
        <f>IFERROR(VLOOKUP($I7,'分类规则'!$A$30:$C$200,2,0),"")</f>
        <v/>
      </c>
      <c r="I7" s="7" t="inlineStr">
        <is>
          <t>半导体</t>
        </is>
      </c>
      <c r="J7" s="7">
        <f>IFERROR(VLOOKUP($I7,'分类规则'!$A$30:$C$200,3,0),"")</f>
        <v/>
      </c>
      <c r="K7" s="8" t="inlineStr">
        <is>
          <t>寒武纪</t>
        </is>
      </c>
      <c r="L7" s="7" t="inlineStr">
        <is>
          <t>688256.SH</t>
        </is>
      </c>
      <c r="M7" s="20" t="n">
        <v>9471.299999999999</v>
      </c>
      <c r="N7" s="8" t="inlineStr">
        <is>
          <t>生益科技</t>
        </is>
      </c>
      <c r="O7" s="7" t="inlineStr">
        <is>
          <t>600183.SH</t>
        </is>
      </c>
      <c r="P7" s="20" t="n">
        <v>4402.8</v>
      </c>
      <c r="Q7" s="8" t="inlineStr">
        <is>
          <t>天孚通信</t>
        </is>
      </c>
      <c r="R7" s="7" t="inlineStr">
        <is>
          <t>300394.SZ</t>
        </is>
      </c>
      <c r="S7" s="20" t="n">
        <v>3663.5</v>
      </c>
      <c r="T7" s="8" t="inlineStr">
        <is>
          <t>中微公司</t>
        </is>
      </c>
      <c r="U7" s="7" t="inlineStr">
        <is>
          <t>688012.SH</t>
        </is>
      </c>
      <c r="V7" s="20" t="n">
        <v>3373.1</v>
      </c>
      <c r="W7" s="8" t="inlineStr">
        <is>
          <t>深南电路</t>
        </is>
      </c>
      <c r="X7" s="7" t="inlineStr">
        <is>
          <t>002916.SZ</t>
        </is>
      </c>
      <c r="Y7" s="20" t="n">
        <v>3016.9</v>
      </c>
    </row>
    <row r="8">
      <c r="A8" s="7" t="inlineStr">
        <is>
          <t>885959.TI</t>
        </is>
      </c>
      <c r="B8" s="8">
        <f>[1]!thsiFinD("THS_GPJC_STOCK",$A8)</f>
        <v/>
      </c>
      <c r="C8" s="9">
        <f>[1]!thsiFinD("ths_int_chg_ratio_index",$A8,C$1,C$2)/100</f>
        <v/>
      </c>
      <c r="D8" s="9">
        <f>[1]!thsiFinD("ths_int_chg_ratio_index",$A8,D$1,D$2)/100</f>
        <v/>
      </c>
      <c r="E8" s="9">
        <f>[1]!thsiFinD("ths_int_chg_ratio_index",$A8,E$1,E$2)/100</f>
        <v/>
      </c>
      <c r="F8" s="10">
        <f>D8-(E8-D8)/3</f>
        <v/>
      </c>
      <c r="G8" s="7" t="inlineStr">
        <is>
          <t>产业链</t>
        </is>
      </c>
      <c r="H8" s="7">
        <f>IFERROR(VLOOKUP($I8,'分类规则'!$A$30:$C$200,2,0),"")</f>
        <v/>
      </c>
      <c r="I8" s="7" t="inlineStr">
        <is>
          <t>PCB/覆铜板</t>
        </is>
      </c>
      <c r="J8" s="7">
        <f>IFERROR(VLOOKUP($I8,'分类规则'!$A$30:$C$200,3,0),"")</f>
        <v/>
      </c>
      <c r="K8" s="8" t="inlineStr">
        <is>
          <t>生益科技</t>
        </is>
      </c>
      <c r="L8" s="7" t="inlineStr">
        <is>
          <t>600183.SH</t>
        </is>
      </c>
      <c r="M8" s="20" t="n">
        <v>4402.8</v>
      </c>
      <c r="N8" s="8" t="inlineStr">
        <is>
          <t>东山精密</t>
        </is>
      </c>
      <c r="O8" s="7" t="inlineStr">
        <is>
          <t>002384.SZ</t>
        </is>
      </c>
      <c r="P8" s="20" t="n">
        <v>3784.7</v>
      </c>
      <c r="Q8" s="8" t="inlineStr">
        <is>
          <t>胜宏科技</t>
        </is>
      </c>
      <c r="R8" s="7" t="inlineStr">
        <is>
          <t>300476.SZ</t>
        </is>
      </c>
      <c r="S8" s="20" t="n">
        <v>3192.6</v>
      </c>
      <c r="T8" s="8" t="inlineStr">
        <is>
          <t>深南电路</t>
        </is>
      </c>
      <c r="U8" s="7" t="inlineStr">
        <is>
          <t>002916.SZ</t>
        </is>
      </c>
      <c r="V8" s="20" t="n">
        <v>3016.9</v>
      </c>
      <c r="W8" s="8" t="inlineStr">
        <is>
          <t>沪电股份</t>
        </is>
      </c>
      <c r="X8" s="7" t="inlineStr">
        <is>
          <t>002463.SZ</t>
        </is>
      </c>
      <c r="Y8" s="20" t="n">
        <v>2843.8</v>
      </c>
    </row>
    <row r="9">
      <c r="A9" s="7" t="inlineStr">
        <is>
          <t>885893.TI</t>
        </is>
      </c>
      <c r="B9" s="8">
        <f>[1]!thsiFinD("THS_GPJC_STOCK",$A9)</f>
        <v/>
      </c>
      <c r="C9" s="9">
        <f>[1]!thsiFinD("ths_int_chg_ratio_index",$A9,C$1,C$2)/100</f>
        <v/>
      </c>
      <c r="D9" s="9">
        <f>[1]!thsiFinD("ths_int_chg_ratio_index",$A9,D$1,D$2)/100</f>
        <v/>
      </c>
      <c r="E9" s="9">
        <f>[1]!thsiFinD("ths_int_chg_ratio_index",$A9,E$1,E$2)/100</f>
        <v/>
      </c>
      <c r="F9" s="10">
        <f>D9-(E9-D9)/3</f>
        <v/>
      </c>
      <c r="G9" s="7" t="inlineStr">
        <is>
          <t>产业链</t>
        </is>
      </c>
      <c r="H9" s="7">
        <f>IFERROR(VLOOKUP($I9,'分类规则'!$A$30:$C$200,2,0),"")</f>
        <v/>
      </c>
      <c r="I9" s="7" t="inlineStr">
        <is>
          <t>半导体</t>
        </is>
      </c>
      <c r="J9" s="7">
        <f>IFERROR(VLOOKUP($I9,'分类规则'!$A$30:$C$200,3,0),"")</f>
        <v/>
      </c>
      <c r="K9" s="8" t="inlineStr">
        <is>
          <t>北方华创</t>
        </is>
      </c>
      <c r="L9" s="7" t="inlineStr">
        <is>
          <t>002371.SZ</t>
        </is>
      </c>
      <c r="M9" s="20" t="n">
        <v>5222.2</v>
      </c>
      <c r="N9" s="8" t="inlineStr">
        <is>
          <t>中微公司</t>
        </is>
      </c>
      <c r="O9" s="7" t="inlineStr">
        <is>
          <t>688012.SH</t>
        </is>
      </c>
      <c r="P9" s="20" t="n">
        <v>3373.1</v>
      </c>
      <c r="Q9" s="8" t="inlineStr">
        <is>
          <t>深南电路</t>
        </is>
      </c>
      <c r="R9" s="7" t="inlineStr">
        <is>
          <t>002916.SZ</t>
        </is>
      </c>
      <c r="S9" s="20" t="n">
        <v>3016.9</v>
      </c>
      <c r="T9" s="8" t="inlineStr">
        <is>
          <t>中芯国际</t>
        </is>
      </c>
      <c r="U9" s="7" t="inlineStr">
        <is>
          <t>688981.SH</t>
        </is>
      </c>
      <c r="V9" s="20" t="n">
        <v>2813.4</v>
      </c>
      <c r="W9" s="8" t="inlineStr">
        <is>
          <t>拓荆科技</t>
        </is>
      </c>
      <c r="X9" s="7" t="inlineStr">
        <is>
          <t>688072.SH</t>
        </is>
      </c>
      <c r="Y9" s="20" t="n">
        <v>2075</v>
      </c>
    </row>
    <row r="10">
      <c r="A10" s="7" t="inlineStr">
        <is>
          <t>886042.TI</t>
        </is>
      </c>
      <c r="B10" s="8">
        <f>[1]!thsiFinD("THS_GPJC_STOCK",$A10)</f>
        <v/>
      </c>
      <c r="C10" s="9">
        <f>[1]!thsiFinD("ths_int_chg_ratio_index",$A10,C$1,C$2)/100</f>
        <v/>
      </c>
      <c r="D10" s="9">
        <f>[1]!thsiFinD("ths_int_chg_ratio_index",$A10,D$1,D$2)/100</f>
        <v/>
      </c>
      <c r="E10" s="9">
        <f>[1]!thsiFinD("ths_int_chg_ratio_index",$A10,E$1,E$2)/100</f>
        <v/>
      </c>
      <c r="F10" s="10">
        <f>D10-(E10-D10)/3</f>
        <v/>
      </c>
      <c r="G10" s="7" t="inlineStr">
        <is>
          <t>产业链</t>
        </is>
      </c>
      <c r="H10" s="7">
        <f>IFERROR(VLOOKUP($I10,'分类规则'!$A$30:$C$200,2,0),"")</f>
        <v/>
      </c>
      <c r="I10" s="7" t="inlineStr">
        <is>
          <t>半导体</t>
        </is>
      </c>
      <c r="J10" s="7">
        <f>IFERROR(VLOOKUP($I10,'分类规则'!$A$30:$C$200,3,0),"")</f>
        <v/>
      </c>
      <c r="K10" s="8" t="inlineStr">
        <is>
          <t>北方华创</t>
        </is>
      </c>
      <c r="L10" s="7" t="inlineStr">
        <is>
          <t>002371.SZ</t>
        </is>
      </c>
      <c r="M10" s="20" t="n">
        <v>5222.2</v>
      </c>
      <c r="N10" s="8" t="inlineStr">
        <is>
          <t>生益科技</t>
        </is>
      </c>
      <c r="O10" s="7" t="inlineStr">
        <is>
          <t>600183.SH</t>
        </is>
      </c>
      <c r="P10" s="20" t="n">
        <v>4402.8</v>
      </c>
      <c r="Q10" s="8" t="inlineStr">
        <is>
          <t>兆易创新</t>
        </is>
      </c>
      <c r="R10" s="7" t="inlineStr">
        <is>
          <t>603986.SH</t>
        </is>
      </c>
      <c r="S10" s="20" t="n">
        <v>4204.8</v>
      </c>
      <c r="T10" s="8" t="inlineStr">
        <is>
          <t>中微公司</t>
        </is>
      </c>
      <c r="U10" s="7" t="inlineStr">
        <is>
          <t>688012.SH</t>
        </is>
      </c>
      <c r="V10" s="20" t="n">
        <v>3373.1</v>
      </c>
      <c r="W10" s="8" t="inlineStr">
        <is>
          <t>澜起科技</t>
        </is>
      </c>
      <c r="X10" s="7" t="inlineStr">
        <is>
          <t>688008.SH</t>
        </is>
      </c>
      <c r="Y10" s="20" t="n">
        <v>3094.2</v>
      </c>
    </row>
    <row r="11">
      <c r="A11" s="7" t="inlineStr">
        <is>
          <t>886054.TI</t>
        </is>
      </c>
      <c r="B11" s="8">
        <f>[1]!thsiFinD("THS_GPJC_STOCK",$A11)</f>
        <v/>
      </c>
      <c r="C11" s="9">
        <f>[1]!thsiFinD("ths_int_chg_ratio_index",$A11,C$1,C$2)/100</f>
        <v/>
      </c>
      <c r="D11" s="9">
        <f>[1]!thsiFinD("ths_int_chg_ratio_index",$A11,D$1,D$2)/100</f>
        <v/>
      </c>
      <c r="E11" s="9">
        <f>[1]!thsiFinD("ths_int_chg_ratio_index",$A11,E$1,E$2)/100</f>
        <v/>
      </c>
      <c r="F11" s="10">
        <f>D11-(E11-D11)/3</f>
        <v/>
      </c>
      <c r="G11" s="7" t="inlineStr">
        <is>
          <t>产业链</t>
        </is>
      </c>
      <c r="H11" s="7">
        <f>IFERROR(VLOOKUP($I11,'分类规则'!$A$30:$C$200,2,0),"")</f>
        <v/>
      </c>
      <c r="I11" s="7" t="inlineStr">
        <is>
          <t>半导体</t>
        </is>
      </c>
      <c r="J11" s="7">
        <f>IFERROR(VLOOKUP($I11,'分类规则'!$A$30:$C$200,3,0),"")</f>
        <v/>
      </c>
      <c r="K11" s="8" t="inlineStr">
        <is>
          <t>大族激光</t>
        </is>
      </c>
      <c r="L11" s="7" t="inlineStr">
        <is>
          <t>002008.SZ</t>
        </is>
      </c>
      <c r="M11" s="20" t="n">
        <v>1290.6</v>
      </c>
      <c r="N11" s="8" t="inlineStr">
        <is>
          <t>江丰电子</t>
        </is>
      </c>
      <c r="O11" s="7" t="inlineStr">
        <is>
          <t>300666.SZ</t>
        </is>
      </c>
      <c r="P11" s="20" t="n">
        <v>688.1</v>
      </c>
      <c r="Q11" s="8" t="inlineStr">
        <is>
          <t>芯碁微装</t>
        </is>
      </c>
      <c r="R11" s="7" t="inlineStr">
        <is>
          <t>688630.SH</t>
        </is>
      </c>
      <c r="S11" s="20" t="n">
        <v>661.3</v>
      </c>
      <c r="T11" s="8" t="inlineStr">
        <is>
          <t>富创精密</t>
        </is>
      </c>
      <c r="U11" s="7" t="inlineStr">
        <is>
          <t>688409.SH</t>
        </is>
      </c>
      <c r="V11" s="20" t="n">
        <v>622.5</v>
      </c>
      <c r="W11" s="8" t="inlineStr">
        <is>
          <t>中瓷电子</t>
        </is>
      </c>
      <c r="X11" s="7" t="inlineStr">
        <is>
          <t>003031.SZ</t>
        </is>
      </c>
      <c r="Y11" s="20" t="n">
        <v>599.7</v>
      </c>
    </row>
    <row r="12">
      <c r="A12" s="7" t="inlineStr">
        <is>
          <t>885897.TI</t>
        </is>
      </c>
      <c r="B12" s="8">
        <f>[1]!thsiFinD("THS_GPJC_STOCK",$A12)</f>
        <v/>
      </c>
      <c r="C12" s="9">
        <f>[1]!thsiFinD("ths_int_chg_ratio_index",$A12,C$1,C$2)/100</f>
        <v/>
      </c>
      <c r="D12" s="9">
        <f>[1]!thsiFinD("ths_int_chg_ratio_index",$A12,D$1,D$2)/100</f>
        <v/>
      </c>
      <c r="E12" s="9">
        <f>[1]!thsiFinD("ths_int_chg_ratio_index",$A12,E$1,E$2)/100</f>
        <v/>
      </c>
      <c r="F12" s="10">
        <f>D12-(E12-D12)/3</f>
        <v/>
      </c>
      <c r="G12" s="7" t="inlineStr">
        <is>
          <t>公司链</t>
        </is>
      </c>
      <c r="H12" s="7">
        <f>IFERROR(VLOOKUP($I12,'分类规则'!$A$30:$C$200,2,0),"")</f>
        <v/>
      </c>
      <c r="I12" s="7" t="inlineStr">
        <is>
          <t>半导体</t>
        </is>
      </c>
      <c r="J12" s="7">
        <f>IFERROR(VLOOKUP($I12,'分类规则'!$A$30:$C$200,3,0),"")</f>
        <v/>
      </c>
      <c r="K12" s="8" t="inlineStr">
        <is>
          <t>北方华创</t>
        </is>
      </c>
      <c r="L12" s="7" t="inlineStr">
        <is>
          <t>002371.SZ</t>
        </is>
      </c>
      <c r="M12" s="20" t="n">
        <v>5222.2</v>
      </c>
      <c r="N12" s="8" t="inlineStr">
        <is>
          <t>中微公司</t>
        </is>
      </c>
      <c r="O12" s="7" t="inlineStr">
        <is>
          <t>688012.SH</t>
        </is>
      </c>
      <c r="P12" s="20" t="n">
        <v>3373.1</v>
      </c>
      <c r="Q12" s="8" t="inlineStr">
        <is>
          <t>澜起科技</t>
        </is>
      </c>
      <c r="R12" s="7" t="inlineStr">
        <is>
          <t>688008.SH</t>
        </is>
      </c>
      <c r="S12" s="20" t="n">
        <v>3094.2</v>
      </c>
      <c r="T12" s="8" t="inlineStr">
        <is>
          <t>中芯国际</t>
        </is>
      </c>
      <c r="U12" s="7" t="inlineStr">
        <is>
          <t>688981.SH</t>
        </is>
      </c>
      <c r="V12" s="20" t="n">
        <v>2813.4</v>
      </c>
      <c r="W12" s="8" t="inlineStr">
        <is>
          <t>盛美上海</t>
        </is>
      </c>
      <c r="X12" s="7" t="inlineStr">
        <is>
          <t>688082.SH</t>
        </is>
      </c>
      <c r="Y12" s="20" t="n">
        <v>1808.2</v>
      </c>
    </row>
    <row r="13">
      <c r="A13" s="7" t="inlineStr">
        <is>
          <t>885875.TI</t>
        </is>
      </c>
      <c r="B13" s="8">
        <f>[1]!thsiFinD("THS_GPJC_STOCK",$A13)</f>
        <v/>
      </c>
      <c r="C13" s="9">
        <f>[1]!thsiFinD("ths_int_chg_ratio_index",$A13,C$1,C$2)/100</f>
        <v/>
      </c>
      <c r="D13" s="9">
        <f>[1]!thsiFinD("ths_int_chg_ratio_index",$A13,D$1,D$2)/100</f>
        <v/>
      </c>
      <c r="E13" s="9">
        <f>[1]!thsiFinD("ths_int_chg_ratio_index",$A13,E$1,E$2)/100</f>
        <v/>
      </c>
      <c r="F13" s="10">
        <f>D13-(E13-D13)/3</f>
        <v/>
      </c>
      <c r="G13" s="7" t="inlineStr">
        <is>
          <t>产业链</t>
        </is>
      </c>
      <c r="H13" s="7">
        <f>IFERROR(VLOOKUP($I13,'分类规则'!$A$30:$C$200,2,0),"")</f>
        <v/>
      </c>
      <c r="I13" s="7" t="inlineStr">
        <is>
          <t>面板显示</t>
        </is>
      </c>
      <c r="J13" s="7">
        <f>IFERROR(VLOOKUP($I13,'分类规则'!$A$30:$C$200,3,0),"")</f>
        <v/>
      </c>
      <c r="K13" s="8" t="inlineStr">
        <is>
          <t>生益科技</t>
        </is>
      </c>
      <c r="L13" s="7" t="inlineStr">
        <is>
          <t>600183.SH</t>
        </is>
      </c>
      <c r="M13" s="20" t="n">
        <v>4402.8</v>
      </c>
      <c r="N13" s="8" t="inlineStr">
        <is>
          <t>东山精密</t>
        </is>
      </c>
      <c r="O13" s="7" t="inlineStr">
        <is>
          <t>002384.SZ</t>
        </is>
      </c>
      <c r="P13" s="20" t="n">
        <v>3784.7</v>
      </c>
      <c r="Q13" s="8" t="inlineStr">
        <is>
          <t>中微公司</t>
        </is>
      </c>
      <c r="R13" s="7" t="inlineStr">
        <is>
          <t>688012.SH</t>
        </is>
      </c>
      <c r="S13" s="20" t="n">
        <v>3373.1</v>
      </c>
      <c r="T13" s="8" t="inlineStr">
        <is>
          <t>鹏鼎控股</t>
        </is>
      </c>
      <c r="U13" s="7" t="inlineStr">
        <is>
          <t>002938.SZ</t>
        </is>
      </c>
      <c r="V13" s="20" t="n">
        <v>2769.2</v>
      </c>
      <c r="W13" s="8" t="inlineStr">
        <is>
          <t>京东方A</t>
        </is>
      </c>
      <c r="X13" s="7" t="inlineStr">
        <is>
          <t>000725.SZ</t>
        </is>
      </c>
      <c r="Y13" s="20" t="n">
        <v>2316.5</v>
      </c>
    </row>
    <row r="14">
      <c r="A14" s="7" t="inlineStr">
        <is>
          <t>885908.TI</t>
        </is>
      </c>
      <c r="B14" s="8">
        <f>[1]!thsiFinD("THS_GPJC_STOCK",$A14)</f>
        <v/>
      </c>
      <c r="C14" s="9">
        <f>[1]!thsiFinD("ths_int_chg_ratio_index",$A14,C$1,C$2)/100</f>
        <v/>
      </c>
      <c r="D14" s="9">
        <f>[1]!thsiFinD("ths_int_chg_ratio_index",$A14,D$1,D$2)/100</f>
        <v/>
      </c>
      <c r="E14" s="9">
        <f>[1]!thsiFinD("ths_int_chg_ratio_index",$A14,E$1,E$2)/100</f>
        <v/>
      </c>
      <c r="F14" s="10">
        <f>D14-(E14-D14)/3</f>
        <v/>
      </c>
      <c r="G14" s="7" t="inlineStr">
        <is>
          <t>产业链</t>
        </is>
      </c>
      <c r="H14" s="7">
        <f>IFERROR(VLOOKUP($I14,'分类规则'!$A$30:$C$200,2,0),"")</f>
        <v/>
      </c>
      <c r="I14" s="7" t="inlineStr">
        <is>
          <t>半导体</t>
        </is>
      </c>
      <c r="J14" s="7">
        <f>IFERROR(VLOOKUP($I14,'分类规则'!$A$30:$C$200,3,0),"")</f>
        <v/>
      </c>
      <c r="K14" s="8" t="inlineStr">
        <is>
          <t>北方华创</t>
        </is>
      </c>
      <c r="L14" s="7" t="inlineStr">
        <is>
          <t>002371.SZ</t>
        </is>
      </c>
      <c r="M14" s="20" t="n">
        <v>5222.2</v>
      </c>
      <c r="N14" s="8" t="inlineStr">
        <is>
          <t>格力电器</t>
        </is>
      </c>
      <c r="O14" s="7" t="inlineStr">
        <is>
          <t>000651.SZ</t>
        </is>
      </c>
      <c r="P14" s="20" t="n">
        <v>2027.7</v>
      </c>
      <c r="Q14" s="8" t="inlineStr">
        <is>
          <t>长飞光纤</t>
        </is>
      </c>
      <c r="R14" s="7" t="inlineStr">
        <is>
          <t>601869.SH</t>
        </is>
      </c>
      <c r="S14" s="20" t="n">
        <v>1916.1</v>
      </c>
      <c r="T14" s="8" t="inlineStr">
        <is>
          <t>盛美上海</t>
        </is>
      </c>
      <c r="U14" s="7" t="inlineStr">
        <is>
          <t>688082.SH</t>
        </is>
      </c>
      <c r="V14" s="20" t="n">
        <v>1808.2</v>
      </c>
      <c r="W14" s="8" t="inlineStr">
        <is>
          <t>华工科技</t>
        </is>
      </c>
      <c r="X14" s="7" t="inlineStr">
        <is>
          <t>000988.SZ</t>
        </is>
      </c>
      <c r="Y14" s="20" t="n">
        <v>1784.4</v>
      </c>
    </row>
    <row r="15">
      <c r="A15" s="7" t="inlineStr">
        <is>
          <t>885937.TI</t>
        </is>
      </c>
      <c r="B15" s="8">
        <f>[1]!thsiFinD("THS_GPJC_STOCK",$A15)</f>
        <v/>
      </c>
      <c r="C15" s="9">
        <f>[1]!thsiFinD("ths_int_chg_ratio_index",$A15,C$1,C$2)/100</f>
        <v/>
      </c>
      <c r="D15" s="9">
        <f>[1]!thsiFinD("ths_int_chg_ratio_index",$A15,D$1,D$2)/100</f>
        <v/>
      </c>
      <c r="E15" s="9">
        <f>[1]!thsiFinD("ths_int_chg_ratio_index",$A15,E$1,E$2)/100</f>
        <v/>
      </c>
      <c r="F15" s="10">
        <f>D15-(E15-D15)/3</f>
        <v/>
      </c>
      <c r="G15" s="7" t="inlineStr">
        <is>
          <t>产业链</t>
        </is>
      </c>
      <c r="H15" s="7">
        <f>IFERROR(VLOOKUP($I15,'分类规则'!$A$30:$C$200,2,0),"")</f>
        <v/>
      </c>
      <c r="I15" s="7" t="inlineStr">
        <is>
          <t>超硬材料</t>
        </is>
      </c>
      <c r="J15" s="7">
        <f>IFERROR(VLOOKUP($I15,'分类规则'!$A$30:$C$200,3,0),"")</f>
        <v/>
      </c>
      <c r="K15" s="8" t="inlineStr">
        <is>
          <t>晶盛机电</t>
        </is>
      </c>
      <c r="L15" s="7" t="inlineStr">
        <is>
          <t>300316.SZ</t>
        </is>
      </c>
      <c r="M15" s="20" t="n">
        <v>663.7</v>
      </c>
      <c r="N15" s="8" t="inlineStr">
        <is>
          <t>国机精工</t>
        </is>
      </c>
      <c r="O15" s="7" t="inlineStr">
        <is>
          <t>002046.SZ</t>
        </is>
      </c>
      <c r="P15" s="20" t="n">
        <v>337.7</v>
      </c>
      <c r="Q15" s="8" t="inlineStr">
        <is>
          <t>中兵红箭</t>
        </is>
      </c>
      <c r="R15" s="7" t="inlineStr">
        <is>
          <t>000519.SZ</t>
        </is>
      </c>
      <c r="S15" s="20" t="n">
        <v>283.2</v>
      </c>
      <c r="T15" s="8" t="inlineStr">
        <is>
          <t>楚江新材</t>
        </is>
      </c>
      <c r="U15" s="7" t="inlineStr">
        <is>
          <t>002171.SZ</t>
        </is>
      </c>
      <c r="V15" s="20" t="n">
        <v>248.2</v>
      </c>
      <c r="W15" s="8" t="inlineStr">
        <is>
          <t>英诺激光</t>
        </is>
      </c>
      <c r="X15" s="7" t="inlineStr">
        <is>
          <t>301021.SZ</t>
        </is>
      </c>
      <c r="Y15" s="20" t="n">
        <v>189.9</v>
      </c>
    </row>
    <row r="16">
      <c r="A16" s="7" t="inlineStr">
        <is>
          <t>885786.TI</t>
        </is>
      </c>
      <c r="B16" s="8">
        <f>[1]!thsiFinD("THS_GPJC_STOCK",$A16)</f>
        <v/>
      </c>
      <c r="C16" s="9">
        <f>[1]!thsiFinD("ths_int_chg_ratio_index",$A16,C$1,C$2)/100</f>
        <v/>
      </c>
      <c r="D16" s="9">
        <f>[1]!thsiFinD("ths_int_chg_ratio_index",$A16,D$1,D$2)/100</f>
        <v/>
      </c>
      <c r="E16" s="9">
        <f>[1]!thsiFinD("ths_int_chg_ratio_index",$A16,E$1,E$2)/100</f>
        <v/>
      </c>
      <c r="F16" s="10">
        <f>D16-(E16-D16)/3</f>
        <v/>
      </c>
      <c r="G16" s="7" t="inlineStr">
        <is>
          <t>公司链</t>
        </is>
      </c>
      <c r="H16" s="7">
        <f>IFERROR(VLOOKUP($I16,'分类规则'!$A$30:$C$200,2,0),"")</f>
        <v/>
      </c>
      <c r="I16" s="7" t="inlineStr">
        <is>
          <t>消费电子</t>
        </is>
      </c>
      <c r="J16" s="7">
        <f>IFERROR(VLOOKUP($I16,'分类规则'!$A$30:$C$200,3,0),"")</f>
        <v/>
      </c>
      <c r="K16" s="8" t="inlineStr">
        <is>
          <t>工业富联</t>
        </is>
      </c>
      <c r="L16" s="7" t="inlineStr">
        <is>
          <t>601138.SH</t>
        </is>
      </c>
      <c r="M16" s="20" t="n">
        <v>15494.3</v>
      </c>
      <c r="N16" s="8" t="inlineStr">
        <is>
          <t>胜宏科技</t>
        </is>
      </c>
      <c r="O16" s="7" t="inlineStr">
        <is>
          <t>300476.SZ</t>
        </is>
      </c>
      <c r="P16" s="20" t="n">
        <v>3192.6</v>
      </c>
      <c r="Q16" s="8" t="inlineStr">
        <is>
          <t>深南电路</t>
        </is>
      </c>
      <c r="R16" s="7" t="inlineStr">
        <is>
          <t>002916.SZ</t>
        </is>
      </c>
      <c r="S16" s="20" t="n">
        <v>3016.9</v>
      </c>
      <c r="T16" s="8" t="inlineStr">
        <is>
          <t>鹏鼎控股</t>
        </is>
      </c>
      <c r="U16" s="7" t="inlineStr">
        <is>
          <t>002938.SZ</t>
        </is>
      </c>
      <c r="V16" s="20" t="n">
        <v>2769.2</v>
      </c>
      <c r="W16" s="8" t="inlineStr">
        <is>
          <t>大族激光</t>
        </is>
      </c>
      <c r="X16" s="7" t="inlineStr">
        <is>
          <t>002008.SZ</t>
        </is>
      </c>
      <c r="Y16" s="20" t="n">
        <v>1290.6</v>
      </c>
    </row>
    <row r="17">
      <c r="A17" s="7" t="inlineStr">
        <is>
          <t>885738.TI</t>
        </is>
      </c>
      <c r="B17" s="8">
        <f>[1]!thsiFinD("THS_GPJC_STOCK",$A17)</f>
        <v/>
      </c>
      <c r="C17" s="9">
        <f>[1]!thsiFinD("ths_int_chg_ratio_index",$A17,C$1,C$2)/100</f>
        <v/>
      </c>
      <c r="D17" s="9">
        <f>[1]!thsiFinD("ths_int_chg_ratio_index",$A17,D$1,D$2)/100</f>
        <v/>
      </c>
      <c r="E17" s="9">
        <f>[1]!thsiFinD("ths_int_chg_ratio_index",$A17,E$1,E$2)/100</f>
        <v/>
      </c>
      <c r="F17" s="10">
        <f>D17-(E17-D17)/3</f>
        <v/>
      </c>
      <c r="G17" s="7" t="inlineStr">
        <is>
          <t>产业链</t>
        </is>
      </c>
      <c r="H17" s="7">
        <f>IFERROR(VLOOKUP($I17,'分类规则'!$A$30:$C$200,2,0),"")</f>
        <v/>
      </c>
      <c r="I17" s="7" t="inlineStr">
        <is>
          <t>面板显示</t>
        </is>
      </c>
      <c r="J17" s="7">
        <f>IFERROR(VLOOKUP($I17,'分类规则'!$A$30:$C$200,3,0),"")</f>
        <v/>
      </c>
      <c r="K17" s="8" t="inlineStr">
        <is>
          <t>北方华创</t>
        </is>
      </c>
      <c r="L17" s="7" t="inlineStr">
        <is>
          <t>002371.SZ</t>
        </is>
      </c>
      <c r="M17" s="20" t="n">
        <v>5222.2</v>
      </c>
      <c r="N17" s="8" t="inlineStr">
        <is>
          <t>中芯国际</t>
        </is>
      </c>
      <c r="O17" s="7" t="inlineStr">
        <is>
          <t>688981.SH</t>
        </is>
      </c>
      <c r="P17" s="20" t="n">
        <v>2813.4</v>
      </c>
      <c r="Q17" s="8" t="inlineStr">
        <is>
          <t>蓝思科技</t>
        </is>
      </c>
      <c r="R17" s="7" t="inlineStr">
        <is>
          <t>300433.SZ</t>
        </is>
      </c>
      <c r="S17" s="20" t="n">
        <v>2771.6</v>
      </c>
      <c r="T17" s="8" t="inlineStr">
        <is>
          <t>京东方A</t>
        </is>
      </c>
      <c r="U17" s="7" t="inlineStr">
        <is>
          <t>000725.SZ</t>
        </is>
      </c>
      <c r="V17" s="20" t="n">
        <v>2316.5</v>
      </c>
      <c r="W17" s="8" t="inlineStr">
        <is>
          <t>大族激光</t>
        </is>
      </c>
      <c r="X17" s="7" t="inlineStr">
        <is>
          <t>002008.SZ</t>
        </is>
      </c>
      <c r="Y17" s="20" t="n">
        <v>1290.6</v>
      </c>
    </row>
    <row r="18">
      <c r="A18" s="7" t="inlineStr">
        <is>
          <t>885998.TI</t>
        </is>
      </c>
      <c r="B18" s="8">
        <f>[1]!thsiFinD("THS_GPJC_STOCK",$A18)</f>
        <v/>
      </c>
      <c r="C18" s="9">
        <f>[1]!thsiFinD("ths_int_chg_ratio_index",$A18,C$1,C$2)/100</f>
        <v/>
      </c>
      <c r="D18" s="9">
        <f>[1]!thsiFinD("ths_int_chg_ratio_index",$A18,D$1,D$2)/100</f>
        <v/>
      </c>
      <c r="E18" s="9">
        <f>[1]!thsiFinD("ths_int_chg_ratio_index",$A18,E$1,E$2)/100</f>
        <v/>
      </c>
      <c r="F18" s="10">
        <f>D18-(E18-D18)/3</f>
        <v/>
      </c>
      <c r="G18" s="7" t="inlineStr">
        <is>
          <t>产业链</t>
        </is>
      </c>
      <c r="H18" s="7">
        <f>IFERROR(VLOOKUP($I18,'分类规则'!$A$30:$C$200,2,0),"")</f>
        <v/>
      </c>
      <c r="I18" s="7" t="inlineStr">
        <is>
          <t>光通信/算力硬件</t>
        </is>
      </c>
      <c r="J18" s="7">
        <f>IFERROR(VLOOKUP($I18,'分类规则'!$A$30:$C$200,3,0),"")</f>
        <v/>
      </c>
      <c r="K18" s="8" t="inlineStr">
        <is>
          <t>中际旭创</t>
        </is>
      </c>
      <c r="L18" s="7" t="inlineStr">
        <is>
          <t>300308.SZ</t>
        </is>
      </c>
      <c r="M18" s="20" t="n">
        <v>15182.6</v>
      </c>
      <c r="N18" s="8" t="inlineStr">
        <is>
          <t>亨通光电</t>
        </is>
      </c>
      <c r="O18" s="7" t="inlineStr">
        <is>
          <t>600487.SH</t>
        </is>
      </c>
      <c r="P18" s="20" t="n">
        <v>2714.4</v>
      </c>
      <c r="Q18" s="8" t="inlineStr">
        <is>
          <t>光迅科技</t>
        </is>
      </c>
      <c r="R18" s="7" t="inlineStr">
        <is>
          <t>002281.SZ</t>
        </is>
      </c>
      <c r="S18" s="20" t="n">
        <v>2077.7</v>
      </c>
      <c r="T18" s="8" t="inlineStr">
        <is>
          <t>华工科技</t>
        </is>
      </c>
      <c r="U18" s="7" t="inlineStr">
        <is>
          <t>000988.SZ</t>
        </is>
      </c>
      <c r="V18" s="20" t="n">
        <v>1784.4</v>
      </c>
      <c r="W18" s="8" t="inlineStr">
        <is>
          <t>上港集团</t>
        </is>
      </c>
      <c r="X18" s="7" t="inlineStr">
        <is>
          <t>600018.SH</t>
        </is>
      </c>
      <c r="Y18" s="20" t="n">
        <v>1136.8</v>
      </c>
    </row>
    <row r="19">
      <c r="A19" s="7" t="inlineStr">
        <is>
          <t>886073.TI</t>
        </is>
      </c>
      <c r="B19" s="8">
        <f>[1]!thsiFinD("THS_GPJC_STOCK",$A19)</f>
        <v/>
      </c>
      <c r="C19" s="9">
        <f>[1]!thsiFinD("ths_int_chg_ratio_index",$A19,C$1,C$2)/100</f>
        <v/>
      </c>
      <c r="D19" s="9">
        <f>[1]!thsiFinD("ths_int_chg_ratio_index",$A19,D$1,D$2)/100</f>
        <v/>
      </c>
      <c r="E19" s="9">
        <f>[1]!thsiFinD("ths_int_chg_ratio_index",$A19,E$1,E$2)/100</f>
        <v/>
      </c>
      <c r="F19" s="10">
        <f>D19-(E19-D19)/3</f>
        <v/>
      </c>
      <c r="G19" s="7" t="inlineStr">
        <is>
          <t>产业链</t>
        </is>
      </c>
      <c r="H19" s="7">
        <f>IFERROR(VLOOKUP($I19,'分类规则'!$A$30:$C$200,2,0),"")</f>
        <v/>
      </c>
      <c r="I19" s="7" t="inlineStr">
        <is>
          <t>光通信/算力硬件</t>
        </is>
      </c>
      <c r="J19" s="7">
        <f>IFERROR(VLOOKUP($I19,'分类规则'!$A$30:$C$200,3,0),"")</f>
        <v/>
      </c>
      <c r="K19" s="8" t="n"/>
      <c r="L19" s="7" t="n"/>
      <c r="M19" s="7" t="n"/>
      <c r="N19" s="8" t="n"/>
      <c r="O19" s="7" t="n"/>
      <c r="P19" s="7" t="n"/>
      <c r="Q19" s="8" t="n"/>
      <c r="R19" s="7" t="n"/>
      <c r="S19" s="7" t="n"/>
      <c r="T19" s="8" t="n"/>
      <c r="U19" s="7" t="n"/>
      <c r="V19" s="7" t="n"/>
      <c r="W19" s="8" t="n"/>
      <c r="X19" s="7" t="n"/>
      <c r="Y19" s="7" t="n"/>
    </row>
    <row r="20">
      <c r="A20" s="7" t="inlineStr">
        <is>
          <t>885987.TI</t>
        </is>
      </c>
      <c r="B20" s="8">
        <f>[1]!thsiFinD("THS_GPJC_STOCK",$A20)</f>
        <v/>
      </c>
      <c r="C20" s="9">
        <f>[1]!thsiFinD("ths_int_chg_ratio_index",$A20,C$1,C$2)/100</f>
        <v/>
      </c>
      <c r="D20" s="9">
        <f>[1]!thsiFinD("ths_int_chg_ratio_index",$A20,D$1,D$2)/100</f>
        <v/>
      </c>
      <c r="E20" s="9">
        <f>[1]!thsiFinD("ths_int_chg_ratio_index",$A20,E$1,E$2)/100</f>
        <v/>
      </c>
      <c r="F20" s="10">
        <f>D20-(E20-D20)/3</f>
        <v/>
      </c>
      <c r="G20" s="7" t="inlineStr">
        <is>
          <t>产业链</t>
        </is>
      </c>
      <c r="H20" s="7">
        <f>IFERROR(VLOOKUP($I20,'分类规则'!$A$30:$C$200,2,0),"")</f>
        <v/>
      </c>
      <c r="I20" s="7" t="inlineStr">
        <is>
          <t>面板显示</t>
        </is>
      </c>
      <c r="J20" s="7">
        <f>IFERROR(VLOOKUP($I20,'分类规则'!$A$30:$C$200,3,0),"")</f>
        <v/>
      </c>
      <c r="K20" s="8" t="inlineStr">
        <is>
          <t>京东方A</t>
        </is>
      </c>
      <c r="L20" s="7" t="inlineStr">
        <is>
          <t>000725.SZ</t>
        </is>
      </c>
      <c r="M20" s="20" t="n">
        <v>2316.5</v>
      </c>
      <c r="N20" s="8" t="inlineStr">
        <is>
          <t>华工科技</t>
        </is>
      </c>
      <c r="O20" s="7" t="inlineStr">
        <is>
          <t>000988.SZ</t>
        </is>
      </c>
      <c r="P20" s="20" t="n">
        <v>1784.4</v>
      </c>
      <c r="Q20" s="8" t="inlineStr">
        <is>
          <t>大族激光</t>
        </is>
      </c>
      <c r="R20" s="7" t="inlineStr">
        <is>
          <t>002008.SZ</t>
        </is>
      </c>
      <c r="S20" s="20" t="n">
        <v>1290.6</v>
      </c>
      <c r="T20" s="8" t="inlineStr">
        <is>
          <t>华海清科</t>
        </is>
      </c>
      <c r="U20" s="7" t="inlineStr">
        <is>
          <t>688120.SH</t>
        </is>
      </c>
      <c r="V20" s="20" t="n">
        <v>1122.3</v>
      </c>
      <c r="W20" s="8" t="inlineStr">
        <is>
          <t>晶合集成</t>
        </is>
      </c>
      <c r="X20" s="7" t="inlineStr">
        <is>
          <t>688249.SH</t>
        </is>
      </c>
      <c r="Y20" s="20" t="n">
        <v>1003</v>
      </c>
    </row>
    <row r="21">
      <c r="A21" s="7" t="inlineStr">
        <is>
          <t>885864.TI</t>
        </is>
      </c>
      <c r="B21" s="8">
        <f>[1]!thsiFinD("THS_GPJC_STOCK",$A21)</f>
        <v/>
      </c>
      <c r="C21" s="9">
        <f>[1]!thsiFinD("ths_int_chg_ratio_index",$A21,C$1,C$2)/100</f>
        <v/>
      </c>
      <c r="D21" s="9">
        <f>[1]!thsiFinD("ths_int_chg_ratio_index",$A21,D$1,D$2)/100</f>
        <v/>
      </c>
      <c r="E21" s="9">
        <f>[1]!thsiFinD("ths_int_chg_ratio_index",$A21,E$1,E$2)/100</f>
        <v/>
      </c>
      <c r="F21" s="10">
        <f>D21-(E21-D21)/3</f>
        <v/>
      </c>
      <c r="G21" s="7" t="inlineStr">
        <is>
          <t>产业链</t>
        </is>
      </c>
      <c r="H21" s="7">
        <f>IFERROR(VLOOKUP($I21,'分类规则'!$A$30:$C$200,2,0),"")</f>
        <v/>
      </c>
      <c r="I21" s="7" t="inlineStr">
        <is>
          <t>半导体</t>
        </is>
      </c>
      <c r="J21" s="7">
        <f>IFERROR(VLOOKUP($I21,'分类规则'!$A$30:$C$200,3,0),"")</f>
        <v/>
      </c>
      <c r="K21" s="8" t="inlineStr">
        <is>
          <t>东材科技</t>
        </is>
      </c>
      <c r="L21" s="7" t="inlineStr">
        <is>
          <t>601208.SH</t>
        </is>
      </c>
      <c r="M21" s="20" t="n">
        <v>755.9</v>
      </c>
      <c r="N21" s="8" t="inlineStr">
        <is>
          <t>鼎龙股份</t>
        </is>
      </c>
      <c r="O21" s="7" t="inlineStr">
        <is>
          <t>300054.SZ</t>
        </is>
      </c>
      <c r="P21" s="20" t="n">
        <v>684.8</v>
      </c>
      <c r="Q21" s="8" t="inlineStr">
        <is>
          <t>芯碁微装</t>
        </is>
      </c>
      <c r="R21" s="7" t="inlineStr">
        <is>
          <t>688630.SH</t>
        </is>
      </c>
      <c r="S21" s="20" t="n">
        <v>661.3</v>
      </c>
      <c r="T21" s="8" t="inlineStr">
        <is>
          <t>芯源微</t>
        </is>
      </c>
      <c r="U21" s="7" t="inlineStr">
        <is>
          <t>688037.SH</t>
        </is>
      </c>
      <c r="V21" s="20" t="n">
        <v>590.9</v>
      </c>
      <c r="W21" s="8" t="inlineStr">
        <is>
          <t>圣泉集团</t>
        </is>
      </c>
      <c r="X21" s="7" t="inlineStr">
        <is>
          <t>605589.SH</t>
        </is>
      </c>
      <c r="Y21" s="20" t="n">
        <v>590.6</v>
      </c>
    </row>
    <row r="22">
      <c r="A22" s="7" t="inlineStr">
        <is>
          <t>885809.TI</t>
        </is>
      </c>
      <c r="B22" s="8">
        <f>[1]!thsiFinD("THS_GPJC_STOCK",$A22)</f>
        <v/>
      </c>
      <c r="C22" s="9">
        <f>[1]!thsiFinD("ths_int_chg_ratio_index",$A22,C$1,C$2)/100</f>
        <v/>
      </c>
      <c r="D22" s="9">
        <f>[1]!thsiFinD("ths_int_chg_ratio_index",$A22,D$1,D$2)/100</f>
        <v/>
      </c>
      <c r="E22" s="9">
        <f>[1]!thsiFinD("ths_int_chg_ratio_index",$A22,E$1,E$2)/100</f>
        <v/>
      </c>
      <c r="F22" s="10">
        <f>D22-(E22-D22)/3</f>
        <v/>
      </c>
      <c r="G22" s="7" t="inlineStr">
        <is>
          <t>产业链</t>
        </is>
      </c>
      <c r="H22" s="7">
        <f>IFERROR(VLOOKUP($I22,'分类规则'!$A$30:$C$200,2,0),"")</f>
        <v/>
      </c>
      <c r="I22" s="7" t="inlineStr">
        <is>
          <t>面板显示</t>
        </is>
      </c>
      <c r="J22" s="7">
        <f>IFERROR(VLOOKUP($I22,'分类规则'!$A$30:$C$200,3,0),"")</f>
        <v/>
      </c>
      <c r="K22" s="8" t="inlineStr">
        <is>
          <t>蓝思科技</t>
        </is>
      </c>
      <c r="L22" s="7" t="inlineStr">
        <is>
          <t>300433.SZ</t>
        </is>
      </c>
      <c r="M22" s="20" t="n">
        <v>2771.6</v>
      </c>
      <c r="N22" s="8" t="inlineStr">
        <is>
          <t>京东方A</t>
        </is>
      </c>
      <c r="O22" s="7" t="inlineStr">
        <is>
          <t>000725.SZ</t>
        </is>
      </c>
      <c r="P22" s="20" t="n">
        <v>2316.5</v>
      </c>
      <c r="Q22" s="8" t="inlineStr">
        <is>
          <t>华工科技</t>
        </is>
      </c>
      <c r="R22" s="7" t="inlineStr">
        <is>
          <t>000988.SZ</t>
        </is>
      </c>
      <c r="S22" s="20" t="n">
        <v>1784.4</v>
      </c>
      <c r="T22" s="8" t="inlineStr">
        <is>
          <t>领益智造</t>
        </is>
      </c>
      <c r="U22" s="7" t="inlineStr">
        <is>
          <t>002600.SZ</t>
        </is>
      </c>
      <c r="V22" s="20" t="n">
        <v>1211</v>
      </c>
      <c r="W22" s="8" t="inlineStr">
        <is>
          <t>TCL科技</t>
        </is>
      </c>
      <c r="X22" s="7" t="inlineStr">
        <is>
          <t>000100.SZ</t>
        </is>
      </c>
      <c r="Y22" s="20" t="n">
        <v>956.6</v>
      </c>
    </row>
    <row r="23">
      <c r="A23" s="7" t="inlineStr">
        <is>
          <t>885376.TI</t>
        </is>
      </c>
      <c r="B23" s="8">
        <f>[1]!thsiFinD("THS_GPJC_STOCK",$A23)</f>
        <v/>
      </c>
      <c r="C23" s="9">
        <f>[1]!thsiFinD("ths_int_chg_ratio_index",$A23,C$1,C$2)/100</f>
        <v/>
      </c>
      <c r="D23" s="9">
        <f>[1]!thsiFinD("ths_int_chg_ratio_index",$A23,D$1,D$2)/100</f>
        <v/>
      </c>
      <c r="E23" s="9">
        <f>[1]!thsiFinD("ths_int_chg_ratio_index",$A23,E$1,E$2)/100</f>
        <v/>
      </c>
      <c r="F23" s="10">
        <f>D23-(E23-D23)/3</f>
        <v/>
      </c>
      <c r="G23" s="7" t="inlineStr">
        <is>
          <t>公司链</t>
        </is>
      </c>
      <c r="H23" s="7">
        <f>IFERROR(VLOOKUP($I23,'分类规则'!$A$30:$C$200,2,0),"")</f>
        <v/>
      </c>
      <c r="I23" s="7" t="inlineStr">
        <is>
          <t>消费电子</t>
        </is>
      </c>
      <c r="J23" s="7">
        <f>IFERROR(VLOOKUP($I23,'分类规则'!$A$30:$C$200,3,0),"")</f>
        <v/>
      </c>
      <c r="K23" s="8" t="inlineStr">
        <is>
          <t>工业富联</t>
        </is>
      </c>
      <c r="L23" s="7" t="inlineStr">
        <is>
          <t>601138.SH</t>
        </is>
      </c>
      <c r="M23" s="20" t="n">
        <v>15494.3</v>
      </c>
      <c r="N23" s="8" t="inlineStr">
        <is>
          <t>立讯精密</t>
        </is>
      </c>
      <c r="O23" s="7" t="inlineStr">
        <is>
          <t>002475.SZ</t>
        </is>
      </c>
      <c r="P23" s="20" t="n">
        <v>5083.4</v>
      </c>
      <c r="Q23" s="8" t="inlineStr">
        <is>
          <t>东山精密</t>
        </is>
      </c>
      <c r="R23" s="7" t="inlineStr">
        <is>
          <t>002384.SZ</t>
        </is>
      </c>
      <c r="S23" s="20" t="n">
        <v>3784.7</v>
      </c>
      <c r="T23" s="8" t="inlineStr">
        <is>
          <t>深南电路</t>
        </is>
      </c>
      <c r="U23" s="7" t="inlineStr">
        <is>
          <t>002916.SZ</t>
        </is>
      </c>
      <c r="V23" s="20" t="n">
        <v>3016.9</v>
      </c>
      <c r="W23" s="8" t="inlineStr">
        <is>
          <t>蓝思科技</t>
        </is>
      </c>
      <c r="X23" s="7" t="inlineStr">
        <is>
          <t>300433.SZ</t>
        </is>
      </c>
      <c r="Y23" s="20" t="n">
        <v>2771.6</v>
      </c>
    </row>
    <row r="24">
      <c r="A24" s="7" t="inlineStr">
        <is>
          <t>885886.TI</t>
        </is>
      </c>
      <c r="B24" s="8">
        <f>[1]!thsiFinD("THS_GPJC_STOCK",$A24)</f>
        <v/>
      </c>
      <c r="C24" s="9">
        <f>[1]!thsiFinD("ths_int_chg_ratio_index",$A24,C$1,C$2)/100</f>
        <v/>
      </c>
      <c r="D24" s="9">
        <f>[1]!thsiFinD("ths_int_chg_ratio_index",$A24,D$1,D$2)/100</f>
        <v/>
      </c>
      <c r="E24" s="9">
        <f>[1]!thsiFinD("ths_int_chg_ratio_index",$A24,E$1,E$2)/100</f>
        <v/>
      </c>
      <c r="F24" s="10">
        <f>D24-(E24-D24)/3</f>
        <v/>
      </c>
      <c r="G24" s="7" t="inlineStr">
        <is>
          <t>产业链</t>
        </is>
      </c>
      <c r="H24" s="7">
        <f>IFERROR(VLOOKUP($I24,'分类规则'!$A$30:$C$200,2,0),"")</f>
        <v/>
      </c>
      <c r="I24" s="7" t="inlineStr">
        <is>
          <t>储能/电池</t>
        </is>
      </c>
      <c r="J24" s="7">
        <f>IFERROR(VLOOKUP($I24,'分类规则'!$A$30:$C$200,3,0),"")</f>
        <v/>
      </c>
      <c r="K24" s="8" t="inlineStr">
        <is>
          <t>中天科技</t>
        </is>
      </c>
      <c r="L24" s="7" t="inlineStr">
        <is>
          <t>600522.SH</t>
        </is>
      </c>
      <c r="M24" s="20" t="n">
        <v>1930</v>
      </c>
      <c r="N24" s="8" t="inlineStr">
        <is>
          <t>思源电气</t>
        </is>
      </c>
      <c r="O24" s="7" t="inlineStr">
        <is>
          <t>002028.SZ</t>
        </is>
      </c>
      <c r="P24" s="20" t="n">
        <v>1161.5</v>
      </c>
      <c r="Q24" s="8" t="inlineStr">
        <is>
          <t>东阳光</t>
        </is>
      </c>
      <c r="R24" s="7" t="inlineStr">
        <is>
          <t>600673.SH</t>
        </is>
      </c>
      <c r="S24" s="20" t="n">
        <v>1088.4</v>
      </c>
      <c r="T24" s="8" t="inlineStr">
        <is>
          <t>江海股份</t>
        </is>
      </c>
      <c r="U24" s="7" t="inlineStr">
        <is>
          <t>002484.SZ</t>
        </is>
      </c>
      <c r="V24" s="20" t="n">
        <v>886.6</v>
      </c>
      <c r="W24" s="8" t="inlineStr">
        <is>
          <t>风华高科</t>
        </is>
      </c>
      <c r="X24" s="7" t="inlineStr">
        <is>
          <t>000636.SZ</t>
        </is>
      </c>
      <c r="Y24" s="20" t="n">
        <v>863.1</v>
      </c>
    </row>
    <row r="25">
      <c r="A25" s="7" t="inlineStr">
        <is>
          <t>885907.TI</t>
        </is>
      </c>
      <c r="B25" s="8">
        <f>[1]!thsiFinD("THS_GPJC_STOCK",$A25)</f>
        <v/>
      </c>
      <c r="C25" s="9">
        <f>[1]!thsiFinD("ths_int_chg_ratio_index",$A25,C$1,C$2)/100</f>
        <v/>
      </c>
      <c r="D25" s="9">
        <f>[1]!thsiFinD("ths_int_chg_ratio_index",$A25,D$1,D$2)/100</f>
        <v/>
      </c>
      <c r="E25" s="9">
        <f>[1]!thsiFinD("ths_int_chg_ratio_index",$A25,E$1,E$2)/100</f>
        <v/>
      </c>
      <c r="F25" s="10">
        <f>D25-(E25-D25)/3</f>
        <v/>
      </c>
      <c r="G25" s="7" t="inlineStr">
        <is>
          <t>宽基风格</t>
        </is>
      </c>
      <c r="H25" s="7">
        <f>IFERROR(VLOOKUP($I25,'分类规则'!$A$30:$C$200,2,0),"")</f>
        <v/>
      </c>
      <c r="I25" s="7" t="inlineStr">
        <is>
          <t>次新股</t>
        </is>
      </c>
      <c r="J25" s="7">
        <f>IFERROR(VLOOKUP($I25,'分类规则'!$A$30:$C$200,3,0),"")</f>
        <v/>
      </c>
      <c r="K25" s="8" t="inlineStr">
        <is>
          <t>联讯仪器</t>
        </is>
      </c>
      <c r="L25" s="7" t="inlineStr">
        <is>
          <t>688808.SH</t>
        </is>
      </c>
      <c r="M25" s="20" t="n">
        <v>457.9</v>
      </c>
      <c r="N25" s="8" t="inlineStr">
        <is>
          <t>盛合晶微</t>
        </is>
      </c>
      <c r="O25" s="7" t="inlineStr">
        <is>
          <t>688820.SH</t>
        </is>
      </c>
      <c r="P25" s="20" t="n">
        <v>320.9</v>
      </c>
      <c r="Q25" s="8" t="inlineStr">
        <is>
          <t>摩尔线程</t>
        </is>
      </c>
      <c r="R25" s="7" t="inlineStr">
        <is>
          <t>688795.SH</t>
        </is>
      </c>
      <c r="S25" s="20" t="n">
        <v>202.2</v>
      </c>
      <c r="T25" s="8" t="inlineStr">
        <is>
          <t>强一股份</t>
        </is>
      </c>
      <c r="U25" s="7" t="inlineStr">
        <is>
          <t>688809.SH</t>
        </is>
      </c>
      <c r="V25" s="20" t="n">
        <v>152.4</v>
      </c>
      <c r="W25" s="8" t="inlineStr">
        <is>
          <t>沐曦股份</t>
        </is>
      </c>
      <c r="X25" s="7" t="inlineStr">
        <is>
          <t>688802.SH</t>
        </is>
      </c>
      <c r="Y25" s="20" t="n">
        <v>142.6</v>
      </c>
    </row>
    <row r="26">
      <c r="A26" s="7" t="inlineStr">
        <is>
          <t>886082.TI</t>
        </is>
      </c>
      <c r="B26" s="8">
        <f>[1]!thsiFinD("THS_GPJC_STOCK",$A26)</f>
        <v/>
      </c>
      <c r="C26" s="9">
        <f>[1]!thsiFinD("ths_int_chg_ratio_index",$A26,C$1,C$2)/100</f>
        <v/>
      </c>
      <c r="D26" s="9">
        <f>[1]!thsiFinD("ths_int_chg_ratio_index",$A26,D$1,D$2)/100</f>
        <v/>
      </c>
      <c r="E26" s="9">
        <f>[1]!thsiFinD("ths_int_chg_ratio_index",$A26,E$1,E$2)/100</f>
        <v/>
      </c>
      <c r="F26" s="10">
        <f>D26-(E26-D26)/3</f>
        <v/>
      </c>
      <c r="G26" s="7" t="inlineStr">
        <is>
          <t>宽基风格</t>
        </is>
      </c>
      <c r="H26" s="7">
        <f>IFERROR(VLOOKUP($I26,'分类规则'!$A$30:$C$200,2,0),"")</f>
        <v/>
      </c>
      <c r="I26" s="7" t="inlineStr">
        <is>
          <t>主题指数</t>
        </is>
      </c>
      <c r="J26" s="7">
        <f>IFERROR(VLOOKUP($I26,'分类规则'!$A$30:$C$200,3,0),"")</f>
        <v/>
      </c>
      <c r="K26" s="8" t="n"/>
      <c r="L26" s="7" t="n"/>
      <c r="M26" s="7" t="n"/>
      <c r="N26" s="8" t="n"/>
      <c r="O26" s="7" t="n"/>
      <c r="P26" s="7" t="n"/>
      <c r="Q26" s="8" t="n"/>
      <c r="R26" s="7" t="n"/>
      <c r="S26" s="7" t="n"/>
      <c r="T26" s="8" t="n"/>
      <c r="U26" s="7" t="n"/>
      <c r="V26" s="7" t="n"/>
      <c r="W26" s="8" t="n"/>
      <c r="X26" s="7" t="n"/>
      <c r="Y26" s="7" t="n"/>
    </row>
    <row r="27">
      <c r="A27" s="7" t="inlineStr">
        <is>
          <t>886071.TI</t>
        </is>
      </c>
      <c r="B27" s="8">
        <f>[1]!thsiFinD("THS_GPJC_STOCK",$A27)</f>
        <v/>
      </c>
      <c r="C27" s="9">
        <f>[1]!thsiFinD("ths_int_chg_ratio_index",$A27,C$1,C$2)/100</f>
        <v/>
      </c>
      <c r="D27" s="9">
        <f>[1]!thsiFinD("ths_int_chg_ratio_index",$A27,D$1,D$2)/100</f>
        <v/>
      </c>
      <c r="E27" s="9">
        <f>[1]!thsiFinD("ths_int_chg_ratio_index",$A27,E$1,E$2)/100</f>
        <v/>
      </c>
      <c r="F27" s="10">
        <f>D27-(E27-D27)/3</f>
        <v/>
      </c>
      <c r="G27" s="7" t="inlineStr">
        <is>
          <t>产业链</t>
        </is>
      </c>
      <c r="H27" s="7">
        <f>IFERROR(VLOOKUP($I27,'分类规则'!$A$30:$C$200,2,0),"")</f>
        <v/>
      </c>
      <c r="I27" s="7" t="inlineStr">
        <is>
          <t>消费电子</t>
        </is>
      </c>
      <c r="J27" s="7">
        <f>IFERROR(VLOOKUP($I27,'分类规则'!$A$30:$C$200,3,0),"")</f>
        <v/>
      </c>
      <c r="K27" s="8" t="inlineStr">
        <is>
          <t>胜宏科技</t>
        </is>
      </c>
      <c r="L27" s="7" t="inlineStr">
        <is>
          <t>300476.SZ</t>
        </is>
      </c>
      <c r="M27" s="20" t="n">
        <v>3192.6</v>
      </c>
      <c r="N27" s="8" t="inlineStr">
        <is>
          <t>鹏鼎控股</t>
        </is>
      </c>
      <c r="O27" s="7" t="inlineStr">
        <is>
          <t>002938.SZ</t>
        </is>
      </c>
      <c r="P27" s="20" t="n">
        <v>2769.2</v>
      </c>
      <c r="Q27" s="8" t="inlineStr">
        <is>
          <t>京东方A</t>
        </is>
      </c>
      <c r="R27" s="7" t="inlineStr">
        <is>
          <t>000725.SZ</t>
        </is>
      </c>
      <c r="S27" s="20" t="n">
        <v>2316.5</v>
      </c>
      <c r="T27" s="8" t="inlineStr">
        <is>
          <t>佰维存储</t>
        </is>
      </c>
      <c r="U27" s="7" t="inlineStr">
        <is>
          <t>688525.SH</t>
        </is>
      </c>
      <c r="V27" s="20" t="n">
        <v>1821.2</v>
      </c>
      <c r="W27" s="8" t="inlineStr">
        <is>
          <t>江波龙</t>
        </is>
      </c>
      <c r="X27" s="7" t="inlineStr">
        <is>
          <t>301308.SZ</t>
        </is>
      </c>
      <c r="Y27" s="20" t="n">
        <v>1628.5</v>
      </c>
    </row>
    <row r="28">
      <c r="A28" s="7" t="inlineStr">
        <is>
          <t>886053.TI</t>
        </is>
      </c>
      <c r="B28" s="8">
        <f>[1]!thsiFinD("THS_GPJC_STOCK",$A28)</f>
        <v/>
      </c>
      <c r="C28" s="9">
        <f>[1]!thsiFinD("ths_int_chg_ratio_index",$A28,C$1,C$2)/100</f>
        <v/>
      </c>
      <c r="D28" s="9">
        <f>[1]!thsiFinD("ths_int_chg_ratio_index",$A28,D$1,D$2)/100</f>
        <v/>
      </c>
      <c r="E28" s="9">
        <f>[1]!thsiFinD("ths_int_chg_ratio_index",$A28,E$1,E$2)/100</f>
        <v/>
      </c>
      <c r="F28" s="10">
        <f>D28-(E28-D28)/3</f>
        <v/>
      </c>
      <c r="G28" s="7" t="inlineStr">
        <is>
          <t>产业链</t>
        </is>
      </c>
      <c r="H28" s="7">
        <f>IFERROR(VLOOKUP($I28,'分类规则'!$A$30:$C$200,2,0),"")</f>
        <v/>
      </c>
      <c r="I28" s="7" t="inlineStr">
        <is>
          <t>光伏</t>
        </is>
      </c>
      <c r="J28" s="7">
        <f>IFERROR(VLOOKUP($I28,'分类规则'!$A$30:$C$200,3,0),"")</f>
        <v/>
      </c>
      <c r="K28" s="8" t="inlineStr">
        <is>
          <t>罗博特科</t>
        </is>
      </c>
      <c r="L28" s="7" t="inlineStr">
        <is>
          <t>300757.SZ</t>
        </is>
      </c>
      <c r="M28" s="20" t="n">
        <v>1082.7</v>
      </c>
      <c r="N28" s="8" t="inlineStr">
        <is>
          <t>隆基绿能</t>
        </is>
      </c>
      <c r="O28" s="7" t="inlineStr">
        <is>
          <t>601012.SH</t>
        </is>
      </c>
      <c r="P28" s="20" t="n">
        <v>973</v>
      </c>
      <c r="Q28" s="8" t="inlineStr">
        <is>
          <t>东材科技</t>
        </is>
      </c>
      <c r="R28" s="7" t="inlineStr">
        <is>
          <t>601208.SH</t>
        </is>
      </c>
      <c r="S28" s="20" t="n">
        <v>755.9</v>
      </c>
      <c r="T28" s="8" t="inlineStr">
        <is>
          <t>先导智能</t>
        </is>
      </c>
      <c r="U28" s="7" t="inlineStr">
        <is>
          <t>300450.SZ</t>
        </is>
      </c>
      <c r="V28" s="20" t="n">
        <v>728.7</v>
      </c>
      <c r="W28" s="8" t="inlineStr">
        <is>
          <t>晶盛机电</t>
        </is>
      </c>
      <c r="X28" s="7" t="inlineStr">
        <is>
          <t>300316.SZ</t>
        </is>
      </c>
      <c r="Y28" s="20" t="n">
        <v>663.7</v>
      </c>
    </row>
    <row r="29">
      <c r="A29" s="7" t="inlineStr">
        <is>
          <t>885756.TI</t>
        </is>
      </c>
      <c r="B29" s="8">
        <f>[1]!thsiFinD("THS_GPJC_STOCK",$A29)</f>
        <v/>
      </c>
      <c r="C29" s="9">
        <f>[1]!thsiFinD("ths_int_chg_ratio_index",$A29,C$1,C$2)/100</f>
        <v/>
      </c>
      <c r="D29" s="9">
        <f>[1]!thsiFinD("ths_int_chg_ratio_index",$A29,D$1,D$2)/100</f>
        <v/>
      </c>
      <c r="E29" s="9">
        <f>[1]!thsiFinD("ths_int_chg_ratio_index",$A29,E$1,E$2)/100</f>
        <v/>
      </c>
      <c r="F29" s="10">
        <f>D29-(E29-D29)/3</f>
        <v/>
      </c>
      <c r="G29" s="7" t="inlineStr">
        <is>
          <t>产业链</t>
        </is>
      </c>
      <c r="H29" s="7">
        <f>IFERROR(VLOOKUP($I29,'分类规则'!$A$30:$C$200,2,0),"")</f>
        <v/>
      </c>
      <c r="I29" s="7" t="inlineStr">
        <is>
          <t>半导体</t>
        </is>
      </c>
      <c r="J29" s="7">
        <f>IFERROR(VLOOKUP($I29,'分类规则'!$A$30:$C$200,3,0),"")</f>
        <v/>
      </c>
      <c r="K29" s="8" t="inlineStr">
        <is>
          <t>工业富联</t>
        </is>
      </c>
      <c r="L29" s="7" t="inlineStr">
        <is>
          <t>601138.SH</t>
        </is>
      </c>
      <c r="M29" s="20" t="n">
        <v>15494.3</v>
      </c>
      <c r="N29" s="8" t="inlineStr">
        <is>
          <t>中际旭创</t>
        </is>
      </c>
      <c r="O29" s="7" t="inlineStr">
        <is>
          <t>300308.SZ</t>
        </is>
      </c>
      <c r="P29" s="20" t="n">
        <v>15182.6</v>
      </c>
      <c r="Q29" s="8" t="inlineStr">
        <is>
          <t>寒武纪</t>
        </is>
      </c>
      <c r="R29" s="7" t="inlineStr">
        <is>
          <t>688256.SH</t>
        </is>
      </c>
      <c r="S29" s="20" t="n">
        <v>9471.299999999999</v>
      </c>
      <c r="T29" s="8" t="inlineStr">
        <is>
          <t>海光信息</t>
        </is>
      </c>
      <c r="U29" s="7" t="inlineStr">
        <is>
          <t>688041.SH</t>
        </is>
      </c>
      <c r="V29" s="20" t="n">
        <v>7623.8</v>
      </c>
      <c r="W29" s="8" t="inlineStr">
        <is>
          <t>新易盛</t>
        </is>
      </c>
      <c r="X29" s="7" t="inlineStr">
        <is>
          <t>300502.SZ</t>
        </is>
      </c>
      <c r="Y29" s="20" t="n">
        <v>7293.2</v>
      </c>
    </row>
    <row r="30">
      <c r="A30" s="7" t="inlineStr">
        <is>
          <t>886037.TI</t>
        </is>
      </c>
      <c r="B30" s="8">
        <f>[1]!thsiFinD("THS_GPJC_STOCK",$A30)</f>
        <v/>
      </c>
      <c r="C30" s="9">
        <f>[1]!thsiFinD("ths_int_chg_ratio_index",$A30,C$1,C$2)/100</f>
        <v/>
      </c>
      <c r="D30" s="9">
        <f>[1]!thsiFinD("ths_int_chg_ratio_index",$A30,D$1,D$2)/100</f>
        <v/>
      </c>
      <c r="E30" s="9">
        <f>[1]!thsiFinD("ths_int_chg_ratio_index",$A30,E$1,E$2)/100</f>
        <v/>
      </c>
      <c r="F30" s="10">
        <f>D30-(E30-D30)/3</f>
        <v/>
      </c>
      <c r="G30" s="7" t="inlineStr">
        <is>
          <t>产业链</t>
        </is>
      </c>
      <c r="H30" s="7">
        <f>IFERROR(VLOOKUP($I30,'分类规则'!$A$30:$C$200,2,0),"")</f>
        <v/>
      </c>
      <c r="I30" s="7" t="inlineStr">
        <is>
          <t>通信</t>
        </is>
      </c>
      <c r="J30" s="7">
        <f>IFERROR(VLOOKUP($I30,'分类规则'!$A$30:$C$200,3,0),"")</f>
        <v/>
      </c>
      <c r="K30" s="8" t="inlineStr">
        <is>
          <t>中国电信</t>
        </is>
      </c>
      <c r="L30" s="7" t="inlineStr">
        <is>
          <t>601728.SH</t>
        </is>
      </c>
      <c r="M30" s="20" t="n">
        <v>4409.4</v>
      </c>
      <c r="N30" s="8" t="inlineStr">
        <is>
          <t>亨通光电</t>
        </is>
      </c>
      <c r="O30" s="7" t="inlineStr">
        <is>
          <t>600487.SH</t>
        </is>
      </c>
      <c r="P30" s="20" t="n">
        <v>2714.4</v>
      </c>
      <c r="Q30" s="8" t="inlineStr">
        <is>
          <t>光迅科技</t>
        </is>
      </c>
      <c r="R30" s="7" t="inlineStr">
        <is>
          <t>002281.SZ</t>
        </is>
      </c>
      <c r="S30" s="20" t="n">
        <v>2077.7</v>
      </c>
      <c r="T30" s="8" t="inlineStr">
        <is>
          <t>中天科技</t>
        </is>
      </c>
      <c r="U30" s="7" t="inlineStr">
        <is>
          <t>600522.SH</t>
        </is>
      </c>
      <c r="V30" s="20" t="n">
        <v>1930</v>
      </c>
      <c r="W30" s="8" t="inlineStr">
        <is>
          <t>华工科技</t>
        </is>
      </c>
      <c r="X30" s="7" t="inlineStr">
        <is>
          <t>000988.SZ</t>
        </is>
      </c>
      <c r="Y30" s="20" t="n">
        <v>1784.4</v>
      </c>
    </row>
    <row r="31">
      <c r="A31" s="7" t="inlineStr">
        <is>
          <t>885945.TI</t>
        </is>
      </c>
      <c r="B31" s="8">
        <f>[1]!thsiFinD("THS_GPJC_STOCK",$A31)</f>
        <v/>
      </c>
      <c r="C31" s="9">
        <f>[1]!thsiFinD("ths_int_chg_ratio_index",$A31,C$1,C$2)/100</f>
        <v/>
      </c>
      <c r="D31" s="9">
        <f>[1]!thsiFinD("ths_int_chg_ratio_index",$A31,D$1,D$2)/100</f>
        <v/>
      </c>
      <c r="E31" s="9">
        <f>[1]!thsiFinD("ths_int_chg_ratio_index",$A31,E$1,E$2)/100</f>
        <v/>
      </c>
      <c r="F31" s="10">
        <f>D31-(E31-D31)/3</f>
        <v/>
      </c>
      <c r="G31" s="7" t="inlineStr">
        <is>
          <t>产业链</t>
        </is>
      </c>
      <c r="H31" s="7">
        <f>IFERROR(VLOOKUP($I31,'分类规则'!$A$30:$C$200,2,0),"")</f>
        <v/>
      </c>
      <c r="I31" s="7" t="inlineStr">
        <is>
          <t>半导体</t>
        </is>
      </c>
      <c r="J31" s="7">
        <f>IFERROR(VLOOKUP($I31,'分类规则'!$A$30:$C$200,3,0),"")</f>
        <v/>
      </c>
      <c r="K31" s="8" t="inlineStr">
        <is>
          <t>寒武纪</t>
        </is>
      </c>
      <c r="L31" s="7" t="inlineStr">
        <is>
          <t>688256.SH</t>
        </is>
      </c>
      <c r="M31" s="20" t="n">
        <v>9471.299999999999</v>
      </c>
      <c r="N31" s="8" t="inlineStr">
        <is>
          <t>兆易创新</t>
        </is>
      </c>
      <c r="O31" s="7" t="inlineStr">
        <is>
          <t>603986.SH</t>
        </is>
      </c>
      <c r="P31" s="20" t="n">
        <v>4204.8</v>
      </c>
      <c r="Q31" s="8" t="inlineStr">
        <is>
          <t>源杰科技</t>
        </is>
      </c>
      <c r="R31" s="7" t="inlineStr">
        <is>
          <t>688498.SH</t>
        </is>
      </c>
      <c r="S31" s="20" t="n">
        <v>2056.4</v>
      </c>
      <c r="T31" s="8" t="inlineStr">
        <is>
          <t>佰维存储</t>
        </is>
      </c>
      <c r="U31" s="7" t="inlineStr">
        <is>
          <t>688525.SH</t>
        </is>
      </c>
      <c r="V31" s="20" t="n">
        <v>1821.2</v>
      </c>
      <c r="W31" s="8" t="inlineStr">
        <is>
          <t>中兴通讯</t>
        </is>
      </c>
      <c r="X31" s="7" t="inlineStr">
        <is>
          <t>000063.SZ</t>
        </is>
      </c>
      <c r="Y31" s="20" t="n">
        <v>1526.1</v>
      </c>
    </row>
    <row r="32">
      <c r="A32" s="7" t="inlineStr">
        <is>
          <t>886091.TI</t>
        </is>
      </c>
      <c r="B32" s="8">
        <f>[1]!thsiFinD("THS_GPJC_STOCK",$A32)</f>
        <v/>
      </c>
      <c r="C32" s="9">
        <f>[1]!thsiFinD("ths_int_chg_ratio_index",$A32,C$1,C$2)/100</f>
        <v/>
      </c>
      <c r="D32" s="9">
        <f>[1]!thsiFinD("ths_int_chg_ratio_index",$A32,D$1,D$2)/100</f>
        <v/>
      </c>
      <c r="E32" s="9">
        <f>[1]!thsiFinD("ths_int_chg_ratio_index",$A32,E$1,E$2)/100</f>
        <v/>
      </c>
      <c r="F32" s="10">
        <f>D32-(E32-D32)/3</f>
        <v/>
      </c>
      <c r="G32" s="7" t="inlineStr">
        <is>
          <t>公司链</t>
        </is>
      </c>
      <c r="H32" s="7">
        <f>IFERROR(VLOOKUP($I32,'分类规则'!$A$30:$C$200,2,0),"")</f>
        <v/>
      </c>
      <c r="I32" s="7" t="inlineStr">
        <is>
          <t>消费电子</t>
        </is>
      </c>
      <c r="J32" s="7">
        <f>IFERROR(VLOOKUP($I32,'分类规则'!$A$30:$C$200,3,0),"")</f>
        <v/>
      </c>
      <c r="K32" s="8" t="inlineStr">
        <is>
          <t>立讯精密</t>
        </is>
      </c>
      <c r="L32" s="7" t="inlineStr">
        <is>
          <t>002475.SZ</t>
        </is>
      </c>
      <c r="M32" s="20" t="n">
        <v>5083.4</v>
      </c>
      <c r="N32" s="8" t="inlineStr">
        <is>
          <t>宏和科技</t>
        </is>
      </c>
      <c r="O32" s="7" t="inlineStr">
        <is>
          <t>603256.SH</t>
        </is>
      </c>
      <c r="P32" s="20" t="n">
        <v>2267.9</v>
      </c>
      <c r="Q32" s="8" t="inlineStr">
        <is>
          <t>豪威集团</t>
        </is>
      </c>
      <c r="R32" s="7" t="inlineStr">
        <is>
          <t>603501.SH</t>
        </is>
      </c>
      <c r="S32" s="20" t="n">
        <v>1089.2</v>
      </c>
      <c r="T32" s="8" t="inlineStr">
        <is>
          <t>景旺电子</t>
        </is>
      </c>
      <c r="U32" s="7" t="inlineStr">
        <is>
          <t>603228.SH</t>
        </is>
      </c>
      <c r="V32" s="20" t="n">
        <v>791</v>
      </c>
      <c r="W32" s="8" t="inlineStr">
        <is>
          <t>华勤技术</t>
        </is>
      </c>
      <c r="X32" s="7" t="inlineStr">
        <is>
          <t>603296.SH</t>
        </is>
      </c>
      <c r="Y32" s="20" t="n">
        <v>642.1</v>
      </c>
    </row>
    <row r="33">
      <c r="A33" s="7" t="inlineStr">
        <is>
          <t>886044.TI</t>
        </is>
      </c>
      <c r="B33" s="8">
        <f>[1]!thsiFinD("THS_GPJC_STOCK",$A33)</f>
        <v/>
      </c>
      <c r="C33" s="9">
        <f>[1]!thsiFinD("ths_int_chg_ratio_index",$A33,C$1,C$2)/100</f>
        <v/>
      </c>
      <c r="D33" s="9">
        <f>[1]!thsiFinD("ths_int_chg_ratio_index",$A33,D$1,D$2)/100</f>
        <v/>
      </c>
      <c r="E33" s="9">
        <f>[1]!thsiFinD("ths_int_chg_ratio_index",$A33,E$1,E$2)/100</f>
        <v/>
      </c>
      <c r="F33" s="10">
        <f>D33-(E33-D33)/3</f>
        <v/>
      </c>
      <c r="G33" s="7" t="inlineStr">
        <is>
          <t>产业链</t>
        </is>
      </c>
      <c r="H33" s="7">
        <f>IFERROR(VLOOKUP($I33,'分类规则'!$A$30:$C$200,2,0),"")</f>
        <v/>
      </c>
      <c r="I33" s="7" t="inlineStr">
        <is>
          <t>光通信/算力硬件</t>
        </is>
      </c>
      <c r="J33" s="7">
        <f>IFERROR(VLOOKUP($I33,'分类规则'!$A$30:$C$200,3,0),"")</f>
        <v/>
      </c>
      <c r="K33" s="8" t="inlineStr">
        <is>
          <t>工业富联</t>
        </is>
      </c>
      <c r="L33" s="7" t="inlineStr">
        <is>
          <t>601138.SH</t>
        </is>
      </c>
      <c r="M33" s="20" t="n">
        <v>15494.3</v>
      </c>
      <c r="N33" s="8" t="inlineStr">
        <is>
          <t>中际旭创</t>
        </is>
      </c>
      <c r="O33" s="7" t="inlineStr">
        <is>
          <t>300308.SZ</t>
        </is>
      </c>
      <c r="P33" s="20" t="n">
        <v>15182.6</v>
      </c>
      <c r="Q33" s="8" t="inlineStr">
        <is>
          <t>美的集团</t>
        </is>
      </c>
      <c r="R33" s="7" t="inlineStr">
        <is>
          <t>000333.SZ</t>
        </is>
      </c>
      <c r="S33" s="20" t="n">
        <v>5352.5</v>
      </c>
      <c r="T33" s="8" t="inlineStr">
        <is>
          <t>立讯精密</t>
        </is>
      </c>
      <c r="U33" s="7" t="inlineStr">
        <is>
          <t>002475.SZ</t>
        </is>
      </c>
      <c r="V33" s="20" t="n">
        <v>5083.4</v>
      </c>
      <c r="W33" s="8" t="inlineStr">
        <is>
          <t>蓝思科技</t>
        </is>
      </c>
      <c r="X33" s="7" t="inlineStr">
        <is>
          <t>300433.SZ</t>
        </is>
      </c>
      <c r="Y33" s="20" t="n">
        <v>2771.6</v>
      </c>
    </row>
    <row r="34">
      <c r="A34" s="7" t="inlineStr">
        <is>
          <t>885800.TI</t>
        </is>
      </c>
      <c r="B34" s="8">
        <f>[1]!thsiFinD("THS_GPJC_STOCK",$A34)</f>
        <v/>
      </c>
      <c r="C34" s="9">
        <f>[1]!thsiFinD("ths_int_chg_ratio_index",$A34,C$1,C$2)/100</f>
        <v/>
      </c>
      <c r="D34" s="9">
        <f>[1]!thsiFinD("ths_int_chg_ratio_index",$A34,D$1,D$2)/100</f>
        <v/>
      </c>
      <c r="E34" s="9">
        <f>[1]!thsiFinD("ths_int_chg_ratio_index",$A34,E$1,E$2)/100</f>
        <v/>
      </c>
      <c r="F34" s="10">
        <f>D34-(E34-D34)/3</f>
        <v/>
      </c>
      <c r="G34" s="7" t="inlineStr">
        <is>
          <t>产业链</t>
        </is>
      </c>
      <c r="H34" s="7">
        <f>IFERROR(VLOOKUP($I34,'分类规则'!$A$30:$C$200,2,0),"")</f>
        <v/>
      </c>
      <c r="I34" s="7" t="inlineStr">
        <is>
          <t>消费电子</t>
        </is>
      </c>
      <c r="J34" s="7">
        <f>IFERROR(VLOOKUP($I34,'分类规则'!$A$30:$C$200,3,0),"")</f>
        <v/>
      </c>
      <c r="K34" s="8" t="inlineStr">
        <is>
          <t>立讯精密</t>
        </is>
      </c>
      <c r="L34" s="7" t="inlineStr">
        <is>
          <t>002475.SZ</t>
        </is>
      </c>
      <c r="M34" s="20" t="n">
        <v>5083.4</v>
      </c>
      <c r="N34" s="8" t="inlineStr">
        <is>
          <t>东山精密</t>
        </is>
      </c>
      <c r="O34" s="7" t="inlineStr">
        <is>
          <t>002384.SZ</t>
        </is>
      </c>
      <c r="P34" s="20" t="n">
        <v>3784.7</v>
      </c>
      <c r="Q34" s="8" t="inlineStr">
        <is>
          <t>澜起科技</t>
        </is>
      </c>
      <c r="R34" s="7" t="inlineStr">
        <is>
          <t>688008.SH</t>
        </is>
      </c>
      <c r="S34" s="20" t="n">
        <v>3094.2</v>
      </c>
      <c r="T34" s="8" t="inlineStr">
        <is>
          <t>三环集团</t>
        </is>
      </c>
      <c r="U34" s="7" t="inlineStr">
        <is>
          <t>300408.SZ</t>
        </is>
      </c>
      <c r="V34" s="20" t="n">
        <v>2952.2</v>
      </c>
      <c r="W34" s="8" t="inlineStr">
        <is>
          <t>中芯国际</t>
        </is>
      </c>
      <c r="X34" s="7" t="inlineStr">
        <is>
          <t>688981.SH</t>
        </is>
      </c>
      <c r="Y34" s="20" t="n">
        <v>2813.4</v>
      </c>
    </row>
    <row r="35">
      <c r="A35" s="7" t="inlineStr">
        <is>
          <t>886006.TI</t>
        </is>
      </c>
      <c r="B35" s="8">
        <f>[1]!thsiFinD("THS_GPJC_STOCK",$A35)</f>
        <v/>
      </c>
      <c r="C35" s="9">
        <f>[1]!thsiFinD("ths_int_chg_ratio_index",$A35,C$1,C$2)/100</f>
        <v/>
      </c>
      <c r="D35" s="9">
        <f>[1]!thsiFinD("ths_int_chg_ratio_index",$A35,D$1,D$2)/100</f>
        <v/>
      </c>
      <c r="E35" s="9">
        <f>[1]!thsiFinD("ths_int_chg_ratio_index",$A35,E$1,E$2)/100</f>
        <v/>
      </c>
      <c r="F35" s="10">
        <f>D35-(E35-D35)/3</f>
        <v/>
      </c>
      <c r="G35" s="7" t="inlineStr">
        <is>
          <t>产业链</t>
        </is>
      </c>
      <c r="H35" s="7">
        <f>IFERROR(VLOOKUP($I35,'分类规则'!$A$30:$C$200,2,0),"")</f>
        <v/>
      </c>
      <c r="I35" s="7" t="inlineStr">
        <is>
          <t>光伏</t>
        </is>
      </c>
      <c r="J35" s="7">
        <f>IFERROR(VLOOKUP($I35,'分类规则'!$A$30:$C$200,3,0),"")</f>
        <v/>
      </c>
      <c r="K35" s="8" t="inlineStr">
        <is>
          <t>京东方A</t>
        </is>
      </c>
      <c r="L35" s="7" t="inlineStr">
        <is>
          <t>000725.SZ</t>
        </is>
      </c>
      <c r="M35" s="20" t="n">
        <v>2316.5</v>
      </c>
      <c r="N35" s="8" t="inlineStr">
        <is>
          <t>中天科技</t>
        </is>
      </c>
      <c r="O35" s="7" t="inlineStr">
        <is>
          <t>600522.SH</t>
        </is>
      </c>
      <c r="P35" s="20" t="n">
        <v>1930</v>
      </c>
      <c r="Q35" s="8" t="inlineStr">
        <is>
          <t>华工科技</t>
        </is>
      </c>
      <c r="R35" s="7" t="inlineStr">
        <is>
          <t>000988.SZ</t>
        </is>
      </c>
      <c r="S35" s="20" t="n">
        <v>1784.4</v>
      </c>
      <c r="T35" s="8" t="inlineStr">
        <is>
          <t>中国核电</t>
        </is>
      </c>
      <c r="U35" s="7" t="inlineStr">
        <is>
          <t>601985.SH</t>
        </is>
      </c>
      <c r="V35" s="20" t="n">
        <v>1722.2</v>
      </c>
      <c r="W35" s="8" t="inlineStr">
        <is>
          <t>大族激光</t>
        </is>
      </c>
      <c r="X35" s="7" t="inlineStr">
        <is>
          <t>002008.SZ</t>
        </is>
      </c>
      <c r="Y35" s="20" t="n">
        <v>1290.6</v>
      </c>
    </row>
    <row r="36">
      <c r="A36" s="7" t="inlineStr">
        <is>
          <t>885843.TI</t>
        </is>
      </c>
      <c r="B36" s="8">
        <f>[1]!thsiFinD("THS_GPJC_STOCK",$A36)</f>
        <v/>
      </c>
      <c r="C36" s="9">
        <f>[1]!thsiFinD("ths_int_chg_ratio_index",$A36,C$1,C$2)/100</f>
        <v/>
      </c>
      <c r="D36" s="9">
        <f>[1]!thsiFinD("ths_int_chg_ratio_index",$A36,D$1,D$2)/100</f>
        <v/>
      </c>
      <c r="E36" s="9">
        <f>[1]!thsiFinD("ths_int_chg_ratio_index",$A36,E$1,E$2)/100</f>
        <v/>
      </c>
      <c r="F36" s="10">
        <f>D36-(E36-D36)/3</f>
        <v/>
      </c>
      <c r="G36" s="7" t="inlineStr">
        <is>
          <t>公司链</t>
        </is>
      </c>
      <c r="H36" s="7">
        <f>IFERROR(VLOOKUP($I36,'分类规则'!$A$30:$C$200,2,0),"")</f>
        <v/>
      </c>
      <c r="I36" s="7" t="inlineStr">
        <is>
          <t>半导体</t>
        </is>
      </c>
      <c r="J36" s="7">
        <f>IFERROR(VLOOKUP($I36,'分类规则'!$A$30:$C$200,3,0),"")</f>
        <v/>
      </c>
      <c r="K36" s="8" t="inlineStr">
        <is>
          <t>北方华创</t>
        </is>
      </c>
      <c r="L36" s="7" t="inlineStr">
        <is>
          <t>002371.SZ</t>
        </is>
      </c>
      <c r="M36" s="20" t="n">
        <v>5222.2</v>
      </c>
      <c r="N36" s="8" t="inlineStr">
        <is>
          <t>罗博特科</t>
        </is>
      </c>
      <c r="O36" s="7" t="inlineStr">
        <is>
          <t>300757.SZ</t>
        </is>
      </c>
      <c r="P36" s="20" t="n">
        <v>1082.7</v>
      </c>
      <c r="Q36" s="8" t="inlineStr">
        <is>
          <t>通富微电</t>
        </is>
      </c>
      <c r="R36" s="7" t="inlineStr">
        <is>
          <t>002156.SZ</t>
        </is>
      </c>
      <c r="S36" s="20" t="n">
        <v>1036</v>
      </c>
      <c r="T36" s="8" t="inlineStr">
        <is>
          <t>华天科技</t>
        </is>
      </c>
      <c r="U36" s="7" t="inlineStr">
        <is>
          <t>002185.SZ</t>
        </is>
      </c>
      <c r="V36" s="20" t="n">
        <v>651.6</v>
      </c>
      <c r="W36" s="8" t="inlineStr">
        <is>
          <t>中瓷电子</t>
        </is>
      </c>
      <c r="X36" s="7" t="inlineStr">
        <is>
          <t>003031.SZ</t>
        </is>
      </c>
      <c r="Y36" s="20" t="n">
        <v>599.7</v>
      </c>
    </row>
    <row r="37">
      <c r="A37" s="7" t="inlineStr">
        <is>
          <t>886109.TI</t>
        </is>
      </c>
      <c r="B37" s="8">
        <f>[1]!thsiFinD("THS_GPJC_STOCK",$A37)</f>
        <v/>
      </c>
      <c r="C37" s="9">
        <f>[1]!thsiFinD("ths_int_chg_ratio_index",$A37,C$1,C$2)/100</f>
        <v/>
      </c>
      <c r="D37" s="9">
        <f>[1]!thsiFinD("ths_int_chg_ratio_index",$A37,D$1,D$2)/100</f>
        <v/>
      </c>
      <c r="E37" s="9">
        <f>[1]!thsiFinD("ths_int_chg_ratio_index",$A37,E$1,E$2)/100</f>
        <v/>
      </c>
      <c r="F37" s="10">
        <f>D37-(E37-D37)/3</f>
        <v/>
      </c>
      <c r="G37" s="7" t="inlineStr">
        <is>
          <t>主题事件</t>
        </is>
      </c>
      <c r="H37" s="7">
        <f>IFERROR(VLOOKUP($I37,'分类规则'!$A$30:$C$200,2,0),"")</f>
        <v/>
      </c>
      <c r="I37" s="7" t="inlineStr">
        <is>
          <t>预增</t>
        </is>
      </c>
      <c r="J37" s="7">
        <f>IFERROR(VLOOKUP($I37,'分类规则'!$A$30:$C$200,3,0),"")</f>
        <v/>
      </c>
      <c r="K37" s="8" t="n"/>
      <c r="L37" s="7" t="n"/>
      <c r="M37" s="7" t="n"/>
      <c r="N37" s="8" t="n"/>
      <c r="O37" s="7" t="n"/>
      <c r="P37" s="7" t="n"/>
      <c r="Q37" s="8" t="n"/>
      <c r="R37" s="7" t="n"/>
      <c r="S37" s="7" t="n"/>
      <c r="T37" s="8" t="n"/>
      <c r="U37" s="7" t="n"/>
      <c r="V37" s="7" t="n"/>
      <c r="W37" s="8" t="n"/>
      <c r="X37" s="7" t="n"/>
      <c r="Y37" s="7" t="n"/>
    </row>
    <row r="38">
      <c r="A38" s="7" t="inlineStr">
        <is>
          <t>886085.TI</t>
        </is>
      </c>
      <c r="B38" s="8">
        <f>[1]!thsiFinD("THS_GPJC_STOCK",$A38)</f>
        <v/>
      </c>
      <c r="C38" s="9">
        <f>[1]!thsiFinD("ths_int_chg_ratio_index",$A38,C$1,C$2)/100</f>
        <v/>
      </c>
      <c r="D38" s="9">
        <f>[1]!thsiFinD("ths_int_chg_ratio_index",$A38,D$1,D$2)/100</f>
        <v/>
      </c>
      <c r="E38" s="9">
        <f>[1]!thsiFinD("ths_int_chg_ratio_index",$A38,E$1,E$2)/100</f>
        <v/>
      </c>
      <c r="F38" s="10">
        <f>D38-(E38-D38)/3</f>
        <v/>
      </c>
      <c r="G38" s="7" t="inlineStr">
        <is>
          <t>产业链</t>
        </is>
      </c>
      <c r="H38" s="7">
        <f>IFERROR(VLOOKUP($I38,'分类规则'!$A$30:$C$200,2,0),"")</f>
        <v/>
      </c>
      <c r="I38" s="7" t="inlineStr">
        <is>
          <t>消费电子</t>
        </is>
      </c>
      <c r="J38" s="7">
        <f>IFERROR(VLOOKUP($I38,'分类规则'!$A$30:$C$200,3,0),"")</f>
        <v/>
      </c>
      <c r="K38" s="8" t="inlineStr">
        <is>
          <t>立讯精密</t>
        </is>
      </c>
      <c r="L38" s="7" t="inlineStr">
        <is>
          <t>002475.SZ</t>
        </is>
      </c>
      <c r="M38" s="20" t="n">
        <v>5083.4</v>
      </c>
      <c r="N38" s="8" t="inlineStr">
        <is>
          <t>蓝思科技</t>
        </is>
      </c>
      <c r="O38" s="7" t="inlineStr">
        <is>
          <t>300433.SZ</t>
        </is>
      </c>
      <c r="P38" s="20" t="n">
        <v>2771.6</v>
      </c>
      <c r="Q38" s="8" t="inlineStr">
        <is>
          <t>鹏鼎控股</t>
        </is>
      </c>
      <c r="R38" s="7" t="inlineStr">
        <is>
          <t>002938.SZ</t>
        </is>
      </c>
      <c r="S38" s="20" t="n">
        <v>2769.2</v>
      </c>
      <c r="T38" s="8" t="inlineStr">
        <is>
          <t>京东方A</t>
        </is>
      </c>
      <c r="U38" s="7" t="inlineStr">
        <is>
          <t>000725.SZ</t>
        </is>
      </c>
      <c r="V38" s="20" t="n">
        <v>2316.5</v>
      </c>
      <c r="W38" s="8" t="inlineStr">
        <is>
          <t>佰维存储</t>
        </is>
      </c>
      <c r="X38" s="7" t="inlineStr">
        <is>
          <t>688525.SH</t>
        </is>
      </c>
      <c r="Y38" s="20" t="n">
        <v>1821.2</v>
      </c>
    </row>
    <row r="39">
      <c r="A39" s="7" t="inlineStr">
        <is>
          <t>885556.TI</t>
        </is>
      </c>
      <c r="B39" s="8">
        <f>[1]!thsiFinD("THS_GPJC_STOCK",$A39)</f>
        <v/>
      </c>
      <c r="C39" s="9">
        <f>[1]!thsiFinD("ths_int_chg_ratio_index",$A39,C$1,C$2)/100</f>
        <v/>
      </c>
      <c r="D39" s="9">
        <f>[1]!thsiFinD("ths_int_chg_ratio_index",$A39,D$1,D$2)/100</f>
        <v/>
      </c>
      <c r="E39" s="9">
        <f>[1]!thsiFinD("ths_int_chg_ratio_index",$A39,E$1,E$2)/100</f>
        <v/>
      </c>
      <c r="F39" s="10">
        <f>D39-(E39-D39)/3</f>
        <v/>
      </c>
      <c r="G39" s="7" t="inlineStr">
        <is>
          <t>产业链</t>
        </is>
      </c>
      <c r="H39" s="7">
        <f>IFERROR(VLOOKUP($I39,'分类规则'!$A$30:$C$200,2,0),"")</f>
        <v/>
      </c>
      <c r="I39" s="7" t="inlineStr">
        <is>
          <t>通信</t>
        </is>
      </c>
      <c r="J39" s="7">
        <f>IFERROR(VLOOKUP($I39,'分类规则'!$A$30:$C$200,3,0),"")</f>
        <v/>
      </c>
      <c r="K39" s="8" t="inlineStr">
        <is>
          <t>工业富联</t>
        </is>
      </c>
      <c r="L39" s="7" t="inlineStr">
        <is>
          <t>601138.SH</t>
        </is>
      </c>
      <c r="M39" s="20" t="n">
        <v>15494.3</v>
      </c>
      <c r="N39" s="8" t="inlineStr">
        <is>
          <t>中际旭创</t>
        </is>
      </c>
      <c r="O39" s="7" t="inlineStr">
        <is>
          <t>300308.SZ</t>
        </is>
      </c>
      <c r="P39" s="20" t="n">
        <v>15182.6</v>
      </c>
      <c r="Q39" s="8" t="inlineStr">
        <is>
          <t>新易盛</t>
        </is>
      </c>
      <c r="R39" s="7" t="inlineStr">
        <is>
          <t>300502.SZ</t>
        </is>
      </c>
      <c r="S39" s="20" t="n">
        <v>7293.2</v>
      </c>
      <c r="T39" s="8" t="inlineStr">
        <is>
          <t>立讯精密</t>
        </is>
      </c>
      <c r="U39" s="7" t="inlineStr">
        <is>
          <t>002475.SZ</t>
        </is>
      </c>
      <c r="V39" s="20" t="n">
        <v>5083.4</v>
      </c>
      <c r="W39" s="8" t="inlineStr">
        <is>
          <t>中国电信</t>
        </is>
      </c>
      <c r="X39" s="7" t="inlineStr">
        <is>
          <t>601728.SH</t>
        </is>
      </c>
      <c r="Y39" s="20" t="n">
        <v>4409.4</v>
      </c>
    </row>
    <row r="40">
      <c r="A40" s="7" t="inlineStr">
        <is>
          <t>885425.TI</t>
        </is>
      </c>
      <c r="B40" s="8">
        <f>[1]!thsiFinD("THS_GPJC_STOCK",$A40)</f>
        <v/>
      </c>
      <c r="C40" s="9">
        <f>[1]!thsiFinD("ths_int_chg_ratio_index",$A40,C$1,C$2)/100</f>
        <v/>
      </c>
      <c r="D40" s="9">
        <f>[1]!thsiFinD("ths_int_chg_ratio_index",$A40,D$1,D$2)/100</f>
        <v/>
      </c>
      <c r="E40" s="9">
        <f>[1]!thsiFinD("ths_int_chg_ratio_index",$A40,E$1,E$2)/100</f>
        <v/>
      </c>
      <c r="F40" s="10">
        <f>D40-(E40-D40)/3</f>
        <v/>
      </c>
      <c r="G40" s="7" t="inlineStr">
        <is>
          <t>产业链</t>
        </is>
      </c>
      <c r="H40" s="7">
        <f>IFERROR(VLOOKUP($I40,'分类规则'!$A$30:$C$200,2,0),"")</f>
        <v/>
      </c>
      <c r="I40" s="7" t="inlineStr">
        <is>
          <t>电力设备</t>
        </is>
      </c>
      <c r="J40" s="7">
        <f>IFERROR(VLOOKUP($I40,'分类规则'!$A$30:$C$200,3,0),"")</f>
        <v/>
      </c>
      <c r="K40" s="8" t="inlineStr">
        <is>
          <t>亨通光电</t>
        </is>
      </c>
      <c r="L40" s="7" t="inlineStr">
        <is>
          <t>600487.SH</t>
        </is>
      </c>
      <c r="M40" s="20" t="n">
        <v>2714.4</v>
      </c>
      <c r="N40" s="8" t="inlineStr">
        <is>
          <t>中天科技</t>
        </is>
      </c>
      <c r="O40" s="7" t="inlineStr">
        <is>
          <t>600522.SH</t>
        </is>
      </c>
      <c r="P40" s="20" t="n">
        <v>1930</v>
      </c>
      <c r="Q40" s="8" t="inlineStr">
        <is>
          <t>长飞光纤</t>
        </is>
      </c>
      <c r="R40" s="7" t="inlineStr">
        <is>
          <t>601869.SH</t>
        </is>
      </c>
      <c r="S40" s="20" t="n">
        <v>1916.1</v>
      </c>
      <c r="T40" s="8" t="inlineStr">
        <is>
          <t>国电南瑞</t>
        </is>
      </c>
      <c r="U40" s="7" t="inlineStr">
        <is>
          <t>600406.SH</t>
        </is>
      </c>
      <c r="V40" s="20" t="n">
        <v>1846.7</v>
      </c>
      <c r="W40" s="8" t="inlineStr">
        <is>
          <t>中国中车</t>
        </is>
      </c>
      <c r="X40" s="7" t="inlineStr">
        <is>
          <t>601766.SH</t>
        </is>
      </c>
      <c r="Y40" s="20" t="n">
        <v>1362.4</v>
      </c>
    </row>
    <row r="41">
      <c r="A41" s="7" t="inlineStr">
        <is>
          <t>886007.TI</t>
        </is>
      </c>
      <c r="B41" s="8">
        <f>[1]!thsiFinD("THS_GPJC_STOCK",$A41)</f>
        <v/>
      </c>
      <c r="C41" s="9">
        <f>[1]!thsiFinD("ths_int_chg_ratio_index",$A41,C$1,C$2)/100</f>
        <v/>
      </c>
      <c r="D41" s="9">
        <f>[1]!thsiFinD("ths_int_chg_ratio_index",$A41,D$1,D$2)/100</f>
        <v/>
      </c>
      <c r="E41" s="9">
        <f>[1]!thsiFinD("ths_int_chg_ratio_index",$A41,E$1,E$2)/100</f>
        <v/>
      </c>
      <c r="F41" s="10">
        <f>D41-(E41-D41)/3</f>
        <v/>
      </c>
      <c r="G41" s="7" t="inlineStr">
        <is>
          <t>产业链</t>
        </is>
      </c>
      <c r="H41" s="7">
        <f>IFERROR(VLOOKUP($I41,'分类规则'!$A$30:$C$200,2,0),"")</f>
        <v/>
      </c>
      <c r="I41" s="7" t="inlineStr">
        <is>
          <t>光伏</t>
        </is>
      </c>
      <c r="J41" s="7">
        <f>IFERROR(VLOOKUP($I41,'分类规则'!$A$30:$C$200,3,0),"")</f>
        <v/>
      </c>
      <c r="K41" s="8" t="inlineStr">
        <is>
          <t>蓝思科技</t>
        </is>
      </c>
      <c r="L41" s="7" t="inlineStr">
        <is>
          <t>300433.SZ</t>
        </is>
      </c>
      <c r="M41" s="20" t="n">
        <v>2771.6</v>
      </c>
      <c r="N41" s="8" t="inlineStr">
        <is>
          <t>大族激光</t>
        </is>
      </c>
      <c r="O41" s="7" t="inlineStr">
        <is>
          <t>002008.SZ</t>
        </is>
      </c>
      <c r="P41" s="20" t="n">
        <v>1290.6</v>
      </c>
      <c r="Q41" s="8" t="inlineStr">
        <is>
          <t>罗博特科</t>
        </is>
      </c>
      <c r="R41" s="7" t="inlineStr">
        <is>
          <t>300757.SZ</t>
        </is>
      </c>
      <c r="S41" s="20" t="n">
        <v>1082.7</v>
      </c>
      <c r="T41" s="8" t="inlineStr">
        <is>
          <t>隆基绿能</t>
        </is>
      </c>
      <c r="U41" s="7" t="inlineStr">
        <is>
          <t>601012.SH</t>
        </is>
      </c>
      <c r="V41" s="20" t="n">
        <v>973</v>
      </c>
      <c r="W41" s="8" t="inlineStr">
        <is>
          <t>先导智能</t>
        </is>
      </c>
      <c r="X41" s="7" t="inlineStr">
        <is>
          <t>300450.SZ</t>
        </is>
      </c>
      <c r="Y41" s="20" t="n">
        <v>728.7</v>
      </c>
    </row>
    <row r="42">
      <c r="A42" s="7" t="inlineStr">
        <is>
          <t>885948.TI</t>
        </is>
      </c>
      <c r="B42" s="8">
        <f>[1]!thsiFinD("THS_GPJC_STOCK",$A42)</f>
        <v/>
      </c>
      <c r="C42" s="9">
        <f>[1]!thsiFinD("ths_int_chg_ratio_index",$A42,C$1,C$2)/100</f>
        <v/>
      </c>
      <c r="D42" s="9">
        <f>[1]!thsiFinD("ths_int_chg_ratio_index",$A42,D$1,D$2)/100</f>
        <v/>
      </c>
      <c r="E42" s="9">
        <f>[1]!thsiFinD("ths_int_chg_ratio_index",$A42,E$1,E$2)/100</f>
        <v/>
      </c>
      <c r="F42" s="10">
        <f>D42-(E42-D42)/3</f>
        <v/>
      </c>
      <c r="G42" s="7" t="inlineStr">
        <is>
          <t>产业链</t>
        </is>
      </c>
      <c r="H42" s="7">
        <f>IFERROR(VLOOKUP($I42,'分类规则'!$A$30:$C$200,2,0),"")</f>
        <v/>
      </c>
      <c r="I42" s="7" t="inlineStr">
        <is>
          <t>电力设备</t>
        </is>
      </c>
      <c r="J42" s="7">
        <f>IFERROR(VLOOKUP($I42,'分类规则'!$A$30:$C$200,3,0),"")</f>
        <v/>
      </c>
      <c r="K42" s="8" t="inlineStr">
        <is>
          <t>亨通光电</t>
        </is>
      </c>
      <c r="L42" s="7" t="inlineStr">
        <is>
          <t>600487.SH</t>
        </is>
      </c>
      <c r="M42" s="20" t="n">
        <v>2714.4</v>
      </c>
      <c r="N42" s="8" t="inlineStr">
        <is>
          <t>中天科技</t>
        </is>
      </c>
      <c r="O42" s="7" t="inlineStr">
        <is>
          <t>600522.SH</t>
        </is>
      </c>
      <c r="P42" s="20" t="n">
        <v>1930</v>
      </c>
      <c r="Q42" s="8" t="inlineStr">
        <is>
          <t>国电南瑞</t>
        </is>
      </c>
      <c r="R42" s="7" t="inlineStr">
        <is>
          <t>600406.SH</t>
        </is>
      </c>
      <c r="S42" s="20" t="n">
        <v>1846.7</v>
      </c>
      <c r="T42" s="8" t="inlineStr">
        <is>
          <t>特变电工</t>
        </is>
      </c>
      <c r="U42" s="7" t="inlineStr">
        <is>
          <t>600089.SH</t>
        </is>
      </c>
      <c r="V42" s="20" t="n">
        <v>1178.3</v>
      </c>
      <c r="W42" s="8" t="inlineStr">
        <is>
          <t>中国能建</t>
        </is>
      </c>
      <c r="X42" s="7" t="inlineStr">
        <is>
          <t>601868.SH</t>
        </is>
      </c>
      <c r="Y42" s="20" t="n">
        <v>895</v>
      </c>
    </row>
    <row r="43">
      <c r="A43" s="7" t="inlineStr">
        <is>
          <t>885899.TI</t>
        </is>
      </c>
      <c r="B43" s="8">
        <f>[1]!thsiFinD("THS_GPJC_STOCK",$A43)</f>
        <v/>
      </c>
      <c r="C43" s="9">
        <f>[1]!thsiFinD("ths_int_chg_ratio_index",$A43,C$1,C$2)/100</f>
        <v/>
      </c>
      <c r="D43" s="9">
        <f>[1]!thsiFinD("ths_int_chg_ratio_index",$A43,D$1,D$2)/100</f>
        <v/>
      </c>
      <c r="E43" s="9">
        <f>[1]!thsiFinD("ths_int_chg_ratio_index",$A43,E$1,E$2)/100</f>
        <v/>
      </c>
      <c r="F43" s="10">
        <f>D43-(E43-D43)/3</f>
        <v/>
      </c>
      <c r="G43" s="7" t="inlineStr">
        <is>
          <t>产业链</t>
        </is>
      </c>
      <c r="H43" s="7">
        <f>IFERROR(VLOOKUP($I43,'分类规则'!$A$30:$C$200,2,0),"")</f>
        <v/>
      </c>
      <c r="I43" s="7" t="inlineStr">
        <is>
          <t>烟草</t>
        </is>
      </c>
      <c r="J43" s="7">
        <f>IFERROR(VLOOKUP($I43,'分类规则'!$A$30:$C$200,3,0),"")</f>
        <v/>
      </c>
      <c r="K43" s="8" t="inlineStr">
        <is>
          <t>蓝思科技</t>
        </is>
      </c>
      <c r="L43" s="7" t="inlineStr">
        <is>
          <t>300433.SZ</t>
        </is>
      </c>
      <c r="M43" s="20" t="n">
        <v>2771.6</v>
      </c>
      <c r="N43" s="8" t="inlineStr">
        <is>
          <t>亿纬锂能</t>
        </is>
      </c>
      <c r="O43" s="7" t="inlineStr">
        <is>
          <t>300014.SZ</t>
        </is>
      </c>
      <c r="P43" s="20" t="n">
        <v>1408.2</v>
      </c>
      <c r="Q43" s="8" t="inlineStr">
        <is>
          <t>欣旺达</t>
        </is>
      </c>
      <c r="R43" s="7" t="inlineStr">
        <is>
          <t>300207.SZ</t>
        </is>
      </c>
      <c r="S43" s="20" t="n">
        <v>356.5</v>
      </c>
      <c r="T43" s="8" t="inlineStr">
        <is>
          <t>鹏辉能源</t>
        </is>
      </c>
      <c r="U43" s="7" t="inlineStr">
        <is>
          <t>300438.SZ</t>
        </is>
      </c>
      <c r="V43" s="20" t="n">
        <v>328.2</v>
      </c>
      <c r="W43" s="8" t="inlineStr">
        <is>
          <t>电连技术</t>
        </is>
      </c>
      <c r="X43" s="7" t="inlineStr">
        <is>
          <t>300679.SZ</t>
        </is>
      </c>
      <c r="Y43" s="20" t="n">
        <v>259.5</v>
      </c>
    </row>
    <row r="44">
      <c r="A44" s="7" t="inlineStr">
        <is>
          <t>886032.TI</t>
        </is>
      </c>
      <c r="B44" s="8">
        <f>[1]!thsiFinD("THS_GPJC_STOCK",$A44)</f>
        <v/>
      </c>
      <c r="C44" s="9">
        <f>[1]!thsiFinD("ths_int_chg_ratio_index",$A44,C$1,C$2)/100</f>
        <v/>
      </c>
      <c r="D44" s="9">
        <f>[1]!thsiFinD("ths_int_chg_ratio_index",$A44,D$1,D$2)/100</f>
        <v/>
      </c>
      <c r="E44" s="9">
        <f>[1]!thsiFinD("ths_int_chg_ratio_index",$A44,E$1,E$2)/100</f>
        <v/>
      </c>
      <c r="F44" s="10">
        <f>D44-(E44-D44)/3</f>
        <v/>
      </c>
      <c r="G44" s="7" t="inlineStr">
        <is>
          <t>产业链</t>
        </is>
      </c>
      <c r="H44" s="7">
        <f>IFERROR(VLOOKUP($I44,'分类规则'!$A$30:$C$200,2,0),"")</f>
        <v/>
      </c>
      <c r="I44" s="7" t="inlineStr">
        <is>
          <t>储能/电池</t>
        </is>
      </c>
      <c r="J44" s="7">
        <f>IFERROR(VLOOKUP($I44,'分类规则'!$A$30:$C$200,3,0),"")</f>
        <v/>
      </c>
      <c r="K44" s="8" t="inlineStr">
        <is>
          <t>宁德时代</t>
        </is>
      </c>
      <c r="L44" s="7" t="inlineStr">
        <is>
          <t>300750.SZ</t>
        </is>
      </c>
      <c r="M44" s="20" t="n">
        <v>16668.3</v>
      </c>
      <c r="N44" s="8" t="inlineStr">
        <is>
          <t>中天科技</t>
        </is>
      </c>
      <c r="O44" s="7" t="inlineStr">
        <is>
          <t>600522.SH</t>
        </is>
      </c>
      <c r="P44" s="20" t="n">
        <v>1930</v>
      </c>
      <c r="Q44" s="8" t="inlineStr">
        <is>
          <t>铜冠铜箔</t>
        </is>
      </c>
      <c r="R44" s="7" t="inlineStr">
        <is>
          <t>301217.SZ</t>
        </is>
      </c>
      <c r="S44" s="20" t="n">
        <v>1658</v>
      </c>
      <c r="T44" s="8" t="inlineStr">
        <is>
          <t>潍柴动力</t>
        </is>
      </c>
      <c r="U44" s="7" t="inlineStr">
        <is>
          <t>000338.SZ</t>
        </is>
      </c>
      <c r="V44" s="20" t="n">
        <v>1490.4</v>
      </c>
      <c r="W44" s="8" t="inlineStr">
        <is>
          <t>亿纬锂能</t>
        </is>
      </c>
      <c r="X44" s="7" t="inlineStr">
        <is>
          <t>300014.SZ</t>
        </is>
      </c>
      <c r="Y44" s="20" t="n">
        <v>1408.2</v>
      </c>
    </row>
    <row r="45">
      <c r="A45" s="7" t="inlineStr">
        <is>
          <t>886048.TI</t>
        </is>
      </c>
      <c r="B45" s="8">
        <f>[1]!thsiFinD("THS_GPJC_STOCK",$A45)</f>
        <v/>
      </c>
      <c r="C45" s="9">
        <f>[1]!thsiFinD("ths_int_chg_ratio_index",$A45,C$1,C$2)/100</f>
        <v/>
      </c>
      <c r="D45" s="9">
        <f>[1]!thsiFinD("ths_int_chg_ratio_index",$A45,D$1,D$2)/100</f>
        <v/>
      </c>
      <c r="E45" s="9">
        <f>[1]!thsiFinD("ths_int_chg_ratio_index",$A45,E$1,E$2)/100</f>
        <v/>
      </c>
      <c r="F45" s="10">
        <f>D45-(E45-D45)/3</f>
        <v/>
      </c>
      <c r="G45" s="7" t="inlineStr">
        <is>
          <t>公司链</t>
        </is>
      </c>
      <c r="H45" s="7">
        <f>IFERROR(VLOOKUP($I45,'分类规则'!$A$30:$C$200,2,0),"")</f>
        <v/>
      </c>
      <c r="I45" s="7" t="inlineStr">
        <is>
          <t>光通信/算力硬件</t>
        </is>
      </c>
      <c r="J45" s="7">
        <f>IFERROR(VLOOKUP($I45,'分类规则'!$A$30:$C$200,3,0),"")</f>
        <v/>
      </c>
      <c r="K45" s="8" t="inlineStr">
        <is>
          <t>工业富联</t>
        </is>
      </c>
      <c r="L45" s="7" t="inlineStr">
        <is>
          <t>601138.SH</t>
        </is>
      </c>
      <c r="M45" s="20" t="n">
        <v>15494.3</v>
      </c>
      <c r="N45" s="8" t="inlineStr">
        <is>
          <t>天孚通信</t>
        </is>
      </c>
      <c r="O45" s="7" t="inlineStr">
        <is>
          <t>300394.SZ</t>
        </is>
      </c>
      <c r="P45" s="20" t="n">
        <v>3663.5</v>
      </c>
      <c r="Q45" s="8" t="inlineStr">
        <is>
          <t>胜宏科技</t>
        </is>
      </c>
      <c r="R45" s="7" t="inlineStr">
        <is>
          <t>300476.SZ</t>
        </is>
      </c>
      <c r="S45" s="20" t="n">
        <v>3192.6</v>
      </c>
      <c r="T45" s="8" t="inlineStr">
        <is>
          <t>协创数据</t>
        </is>
      </c>
      <c r="U45" s="7" t="inlineStr">
        <is>
          <t>300857.SZ</t>
        </is>
      </c>
      <c r="V45" s="20" t="n">
        <v>1352.3</v>
      </c>
      <c r="W45" s="8" t="inlineStr">
        <is>
          <t>领益智造</t>
        </is>
      </c>
      <c r="X45" s="7" t="inlineStr">
        <is>
          <t>002600.SZ</t>
        </is>
      </c>
      <c r="Y45" s="20" t="n">
        <v>1211</v>
      </c>
    </row>
    <row r="46">
      <c r="A46" s="7" t="inlineStr">
        <is>
          <t>886093.TI</t>
        </is>
      </c>
      <c r="B46" s="8">
        <f>[1]!thsiFinD("THS_GPJC_STOCK",$A46)</f>
        <v/>
      </c>
      <c r="C46" s="9">
        <f>[1]!thsiFinD("ths_int_chg_ratio_index",$A46,C$1,C$2)/100</f>
        <v/>
      </c>
      <c r="D46" s="9">
        <f>[1]!thsiFinD("ths_int_chg_ratio_index",$A46,D$1,D$2)/100</f>
        <v/>
      </c>
      <c r="E46" s="9">
        <f>[1]!thsiFinD("ths_int_chg_ratio_index",$A46,E$1,E$2)/100</f>
        <v/>
      </c>
      <c r="F46" s="10">
        <f>D46-(E46-D46)/3</f>
        <v/>
      </c>
      <c r="G46" s="7" t="inlineStr">
        <is>
          <t>公司链</t>
        </is>
      </c>
      <c r="H46" s="7">
        <f>IFERROR(VLOOKUP($I46,'分类规则'!$A$30:$C$200,2,0),"")</f>
        <v/>
      </c>
      <c r="I46" s="7" t="inlineStr">
        <is>
          <t>储能/电池</t>
        </is>
      </c>
      <c r="J46" s="7">
        <f>IFERROR(VLOOKUP($I46,'分类规则'!$A$30:$C$200,3,0),"")</f>
        <v/>
      </c>
      <c r="K46" s="8" t="n"/>
      <c r="L46" s="7" t="n"/>
      <c r="M46" s="7" t="n"/>
      <c r="N46" s="8" t="n"/>
      <c r="O46" s="7" t="n"/>
      <c r="P46" s="7" t="n"/>
      <c r="Q46" s="8" t="n"/>
      <c r="R46" s="7" t="n"/>
      <c r="S46" s="7" t="n"/>
      <c r="T46" s="8" t="n"/>
      <c r="U46" s="7" t="n"/>
      <c r="V46" s="7" t="n"/>
      <c r="W46" s="8" t="n"/>
      <c r="X46" s="7" t="n"/>
      <c r="Y46" s="7" t="n"/>
    </row>
    <row r="47">
      <c r="A47" s="7" t="inlineStr">
        <is>
          <t>885878.TI</t>
        </is>
      </c>
      <c r="B47" s="8">
        <f>[1]!thsiFinD("THS_GPJC_STOCK",$A47)</f>
        <v/>
      </c>
      <c r="C47" s="9">
        <f>[1]!thsiFinD("ths_int_chg_ratio_index",$A47,C$1,C$2)/100</f>
        <v/>
      </c>
      <c r="D47" s="9">
        <f>[1]!thsiFinD("ths_int_chg_ratio_index",$A47,D$1,D$2)/100</f>
        <v/>
      </c>
      <c r="E47" s="9">
        <f>[1]!thsiFinD("ths_int_chg_ratio_index",$A47,E$1,E$2)/100</f>
        <v/>
      </c>
      <c r="F47" s="10">
        <f>D47-(E47-D47)/3</f>
        <v/>
      </c>
      <c r="G47" s="7" t="inlineStr">
        <is>
          <t>产业链</t>
        </is>
      </c>
      <c r="H47" s="7">
        <f>IFERROR(VLOOKUP($I47,'分类规则'!$A$30:$C$200,2,0),"")</f>
        <v/>
      </c>
      <c r="I47" s="7" t="inlineStr">
        <is>
          <t>光伏</t>
        </is>
      </c>
      <c r="J47" s="7">
        <f>IFERROR(VLOOKUP($I47,'分类规则'!$A$30:$C$200,3,0),"")</f>
        <v/>
      </c>
      <c r="K47" s="8" t="inlineStr">
        <is>
          <t>大族激光</t>
        </is>
      </c>
      <c r="L47" s="7" t="inlineStr">
        <is>
          <t>002008.SZ</t>
        </is>
      </c>
      <c r="M47" s="20" t="n">
        <v>1290.6</v>
      </c>
      <c r="N47" s="8" t="inlineStr">
        <is>
          <t>罗博特科</t>
        </is>
      </c>
      <c r="O47" s="7" t="inlineStr">
        <is>
          <t>300757.SZ</t>
        </is>
      </c>
      <c r="P47" s="20" t="n">
        <v>1082.7</v>
      </c>
      <c r="Q47" s="8" t="inlineStr">
        <is>
          <t>隆基绿能</t>
        </is>
      </c>
      <c r="R47" s="7" t="inlineStr">
        <is>
          <t>601012.SH</t>
        </is>
      </c>
      <c r="S47" s="20" t="n">
        <v>973</v>
      </c>
      <c r="T47" s="8" t="inlineStr">
        <is>
          <t>先导智能</t>
        </is>
      </c>
      <c r="U47" s="7" t="inlineStr">
        <is>
          <t>300450.SZ</t>
        </is>
      </c>
      <c r="V47" s="20" t="n">
        <v>728.7</v>
      </c>
      <c r="W47" s="8" t="inlineStr">
        <is>
          <t>通威股份</t>
        </is>
      </c>
      <c r="X47" s="7" t="inlineStr">
        <is>
          <t>600438.SH</t>
        </is>
      </c>
      <c r="Y47" s="20" t="n">
        <v>578.5</v>
      </c>
    </row>
    <row r="48">
      <c r="A48" s="7" t="inlineStr">
        <is>
          <t>885545.TI</t>
        </is>
      </c>
      <c r="B48" s="8">
        <f>[1]!thsiFinD("THS_GPJC_STOCK",$A48)</f>
        <v/>
      </c>
      <c r="C48" s="9">
        <f>[1]!thsiFinD("ths_int_chg_ratio_index",$A48,C$1,C$2)/100</f>
        <v/>
      </c>
      <c r="D48" s="9">
        <f>[1]!thsiFinD("ths_int_chg_ratio_index",$A48,D$1,D$2)/100</f>
        <v/>
      </c>
      <c r="E48" s="9">
        <f>[1]!thsiFinD("ths_int_chg_ratio_index",$A48,E$1,E$2)/100</f>
        <v/>
      </c>
      <c r="F48" s="10">
        <f>D48-(E48-D48)/3</f>
        <v/>
      </c>
      <c r="G48" s="7" t="inlineStr">
        <is>
          <t>产业链</t>
        </is>
      </c>
      <c r="H48" s="7">
        <f>IFERROR(VLOOKUP($I48,'分类规则'!$A$30:$C$200,2,0),"")</f>
        <v/>
      </c>
      <c r="I48" s="7" t="inlineStr">
        <is>
          <t>汽车</t>
        </is>
      </c>
      <c r="J48" s="7">
        <f>IFERROR(VLOOKUP($I48,'分类规则'!$A$30:$C$200,3,0),"")</f>
        <v/>
      </c>
      <c r="K48" s="8" t="inlineStr">
        <is>
          <t>中际旭创</t>
        </is>
      </c>
      <c r="L48" s="7" t="inlineStr">
        <is>
          <t>300308.SZ</t>
        </is>
      </c>
      <c r="M48" s="20" t="n">
        <v>15182.6</v>
      </c>
      <c r="N48" s="8" t="inlineStr">
        <is>
          <t>立讯精密</t>
        </is>
      </c>
      <c r="O48" s="7" t="inlineStr">
        <is>
          <t>002475.SZ</t>
        </is>
      </c>
      <c r="P48" s="20" t="n">
        <v>5083.4</v>
      </c>
      <c r="Q48" s="8" t="inlineStr">
        <is>
          <t>生益科技</t>
        </is>
      </c>
      <c r="R48" s="7" t="inlineStr">
        <is>
          <t>600183.SH</t>
        </is>
      </c>
      <c r="S48" s="20" t="n">
        <v>4402.8</v>
      </c>
      <c r="T48" s="8" t="inlineStr">
        <is>
          <t>兆易创新</t>
        </is>
      </c>
      <c r="U48" s="7" t="inlineStr">
        <is>
          <t>603986.SH</t>
        </is>
      </c>
      <c r="V48" s="20" t="n">
        <v>4204.8</v>
      </c>
      <c r="W48" s="8" t="inlineStr">
        <is>
          <t>胜宏科技</t>
        </is>
      </c>
      <c r="X48" s="7" t="inlineStr">
        <is>
          <t>300476.SZ</t>
        </is>
      </c>
      <c r="Y48" s="20" t="n">
        <v>3192.6</v>
      </c>
    </row>
    <row r="49">
      <c r="A49" s="7" t="inlineStr">
        <is>
          <t>885551.TI</t>
        </is>
      </c>
      <c r="B49" s="8">
        <f>[1]!thsiFinD("THS_GPJC_STOCK",$A49)</f>
        <v/>
      </c>
      <c r="C49" s="9">
        <f>[1]!thsiFinD("ths_int_chg_ratio_index",$A49,C$1,C$2)/100</f>
        <v/>
      </c>
      <c r="D49" s="9">
        <f>[1]!thsiFinD("ths_int_chg_ratio_index",$A49,D$1,D$2)/100</f>
        <v/>
      </c>
      <c r="E49" s="9">
        <f>[1]!thsiFinD("ths_int_chg_ratio_index",$A49,E$1,E$2)/100</f>
        <v/>
      </c>
      <c r="F49" s="10">
        <f>D49-(E49-D49)/3</f>
        <v/>
      </c>
      <c r="G49" s="7" t="inlineStr">
        <is>
          <t>产业链</t>
        </is>
      </c>
      <c r="H49" s="7">
        <f>IFERROR(VLOOKUP($I49,'分类规则'!$A$30:$C$200,2,0),"")</f>
        <v/>
      </c>
      <c r="I49" s="7" t="inlineStr">
        <is>
          <t>化工</t>
        </is>
      </c>
      <c r="J49" s="7">
        <f>IFERROR(VLOOKUP($I49,'分类规则'!$A$30:$C$200,3,0),"")</f>
        <v/>
      </c>
      <c r="K49" s="8" t="inlineStr">
        <is>
          <t>巨化股份</t>
        </is>
      </c>
      <c r="L49" s="7" t="inlineStr">
        <is>
          <t>600160.SH</t>
        </is>
      </c>
      <c r="M49" s="20" t="n">
        <v>1191.1</v>
      </c>
      <c r="N49" s="8" t="inlineStr">
        <is>
          <t>东阳光</t>
        </is>
      </c>
      <c r="O49" s="7" t="inlineStr">
        <is>
          <t>600673.SH</t>
        </is>
      </c>
      <c r="P49" s="20" t="n">
        <v>1088.4</v>
      </c>
      <c r="Q49" s="8" t="inlineStr">
        <is>
          <t>新和成</t>
        </is>
      </c>
      <c r="R49" s="7" t="inlineStr">
        <is>
          <t>002001.SZ</t>
        </is>
      </c>
      <c r="S49" s="20" t="n">
        <v>850.3</v>
      </c>
      <c r="T49" s="8" t="inlineStr">
        <is>
          <t>天赐材料</t>
        </is>
      </c>
      <c r="U49" s="7" t="inlineStr">
        <is>
          <t>002709.SZ</t>
        </is>
      </c>
      <c r="V49" s="20" t="n">
        <v>778.8</v>
      </c>
      <c r="W49" s="8" t="inlineStr">
        <is>
          <t>包钢股份</t>
        </is>
      </c>
      <c r="X49" s="7" t="inlineStr">
        <is>
          <t>600010.SH</t>
        </is>
      </c>
      <c r="Y49" s="20" t="n">
        <v>761</v>
      </c>
    </row>
    <row r="50">
      <c r="A50" s="7" t="inlineStr">
        <is>
          <t>886038.TI</t>
        </is>
      </c>
      <c r="B50" s="8">
        <f>[1]!thsiFinD("THS_GPJC_STOCK",$A50)</f>
        <v/>
      </c>
      <c r="C50" s="9">
        <f>[1]!thsiFinD("ths_int_chg_ratio_index",$A50,C$1,C$2)/100</f>
        <v/>
      </c>
      <c r="D50" s="9">
        <f>[1]!thsiFinD("ths_int_chg_ratio_index",$A50,D$1,D$2)/100</f>
        <v/>
      </c>
      <c r="E50" s="9">
        <f>[1]!thsiFinD("ths_int_chg_ratio_index",$A50,E$1,E$2)/100</f>
        <v/>
      </c>
      <c r="F50" s="10">
        <f>D50-(E50-D50)/3</f>
        <v/>
      </c>
      <c r="G50" s="7" t="inlineStr">
        <is>
          <t>产业链</t>
        </is>
      </c>
      <c r="H50" s="7">
        <f>IFERROR(VLOOKUP($I50,'分类规则'!$A$30:$C$200,2,0),"")</f>
        <v/>
      </c>
      <c r="I50" s="7" t="inlineStr">
        <is>
          <t>新材料</t>
        </is>
      </c>
      <c r="J50" s="7">
        <f>IFERROR(VLOOKUP($I50,'分类规则'!$A$30:$C$200,3,0),"")</f>
        <v/>
      </c>
      <c r="K50" s="8" t="inlineStr">
        <is>
          <t>中天科技</t>
        </is>
      </c>
      <c r="L50" s="7" t="inlineStr">
        <is>
          <t>600522.SH</t>
        </is>
      </c>
      <c r="M50" s="20" t="n">
        <v>1930</v>
      </c>
      <c r="N50" s="8" t="inlineStr">
        <is>
          <t>上海电气</t>
        </is>
      </c>
      <c r="O50" s="7" t="inlineStr">
        <is>
          <t>601727.SH</t>
        </is>
      </c>
      <c r="P50" s="20" t="n">
        <v>922.2</v>
      </c>
      <c r="Q50" s="8" t="inlineStr">
        <is>
          <t>永鼎股份</t>
        </is>
      </c>
      <c r="R50" s="7" t="inlineStr">
        <is>
          <t>600105.SH</t>
        </is>
      </c>
      <c r="S50" s="20" t="n">
        <v>908.2</v>
      </c>
      <c r="T50" s="8" t="inlineStr">
        <is>
          <t>远东股份</t>
        </is>
      </c>
      <c r="U50" s="7" t="inlineStr">
        <is>
          <t>600869.SH</t>
        </is>
      </c>
      <c r="V50" s="20" t="n">
        <v>729.3</v>
      </c>
      <c r="W50" s="8" t="inlineStr">
        <is>
          <t>中信金属</t>
        </is>
      </c>
      <c r="X50" s="7" t="inlineStr">
        <is>
          <t>601061.SH</t>
        </is>
      </c>
      <c r="Y50" s="20" t="n">
        <v>586</v>
      </c>
    </row>
    <row r="51">
      <c r="A51" s="7" t="inlineStr">
        <is>
          <t>885925.TI</t>
        </is>
      </c>
      <c r="B51" s="8">
        <f>[1]!thsiFinD("THS_GPJC_STOCK",$A51)</f>
        <v/>
      </c>
      <c r="C51" s="9">
        <f>[1]!thsiFinD("ths_int_chg_ratio_index",$A51,C$1,C$2)/100</f>
        <v/>
      </c>
      <c r="D51" s="9">
        <f>[1]!thsiFinD("ths_int_chg_ratio_index",$A51,D$1,D$2)/100</f>
        <v/>
      </c>
      <c r="E51" s="9">
        <f>[1]!thsiFinD("ths_int_chg_ratio_index",$A51,E$1,E$2)/100</f>
        <v/>
      </c>
      <c r="F51" s="10">
        <f>D51-(E51-D51)/3</f>
        <v/>
      </c>
      <c r="G51" s="7" t="inlineStr">
        <is>
          <t>产业链</t>
        </is>
      </c>
      <c r="H51" s="7">
        <f>IFERROR(VLOOKUP($I51,'分类规则'!$A$30:$C$200,2,0),"")</f>
        <v/>
      </c>
      <c r="I51" s="7" t="inlineStr">
        <is>
          <t>半导体</t>
        </is>
      </c>
      <c r="J51" s="7">
        <f>IFERROR(VLOOKUP($I51,'分类规则'!$A$30:$C$200,3,0),"")</f>
        <v/>
      </c>
      <c r="K51" s="8" t="inlineStr">
        <is>
          <t>美的集团</t>
        </is>
      </c>
      <c r="L51" s="7" t="inlineStr">
        <is>
          <t>000333.SZ</t>
        </is>
      </c>
      <c r="M51" s="20" t="n">
        <v>5352.5</v>
      </c>
      <c r="N51" s="8" t="inlineStr">
        <is>
          <t>兆易创新</t>
        </is>
      </c>
      <c r="O51" s="7" t="inlineStr">
        <is>
          <t>603986.SH</t>
        </is>
      </c>
      <c r="P51" s="20" t="n">
        <v>4204.8</v>
      </c>
      <c r="Q51" s="8" t="inlineStr">
        <is>
          <t>格力电器</t>
        </is>
      </c>
      <c r="R51" s="7" t="inlineStr">
        <is>
          <t>000651.SZ</t>
        </is>
      </c>
      <c r="S51" s="20" t="n">
        <v>2027.7</v>
      </c>
      <c r="T51" s="8" t="inlineStr">
        <is>
          <t>芯原股份</t>
        </is>
      </c>
      <c r="U51" s="7" t="inlineStr">
        <is>
          <t>688521.SH</t>
        </is>
      </c>
      <c r="V51" s="20" t="n">
        <v>1441</v>
      </c>
      <c r="W51" s="8" t="inlineStr">
        <is>
          <t>长城汽车</t>
        </is>
      </c>
      <c r="X51" s="7" t="inlineStr">
        <is>
          <t>601633.SH</t>
        </is>
      </c>
      <c r="Y51" s="20" t="n">
        <v>1097.9</v>
      </c>
    </row>
    <row r="52">
      <c r="A52" s="7" t="inlineStr">
        <is>
          <t>885940.TI</t>
        </is>
      </c>
      <c r="B52" s="8">
        <f>[1]!thsiFinD("THS_GPJC_STOCK",$A52)</f>
        <v/>
      </c>
      <c r="C52" s="9">
        <f>[1]!thsiFinD("ths_int_chg_ratio_index",$A52,C$1,C$2)/100</f>
        <v/>
      </c>
      <c r="D52" s="9">
        <f>[1]!thsiFinD("ths_int_chg_ratio_index",$A52,D$1,D$2)/100</f>
        <v/>
      </c>
      <c r="E52" s="9">
        <f>[1]!thsiFinD("ths_int_chg_ratio_index",$A52,E$1,E$2)/100</f>
        <v/>
      </c>
      <c r="F52" s="10">
        <f>D52-(E52-D52)/3</f>
        <v/>
      </c>
      <c r="G52" s="7" t="inlineStr">
        <is>
          <t>产业链</t>
        </is>
      </c>
      <c r="H52" s="7">
        <f>IFERROR(VLOOKUP($I52,'分类规则'!$A$30:$C$200,2,0),"")</f>
        <v/>
      </c>
      <c r="I52" s="7" t="inlineStr">
        <is>
          <t>通信</t>
        </is>
      </c>
      <c r="J52" s="7">
        <f>IFERROR(VLOOKUP($I52,'分类规则'!$A$30:$C$200,3,0),"")</f>
        <v/>
      </c>
      <c r="K52" s="8" t="inlineStr">
        <is>
          <t>烽火通信</t>
        </is>
      </c>
      <c r="L52" s="7" t="inlineStr">
        <is>
          <t>600498.SH</t>
        </is>
      </c>
      <c r="M52" s="20" t="n">
        <v>957.7</v>
      </c>
      <c r="N52" s="8" t="inlineStr">
        <is>
          <t>环旭电子</t>
        </is>
      </c>
      <c r="O52" s="7" t="inlineStr">
        <is>
          <t>601231.SH</t>
        </is>
      </c>
      <c r="P52" s="20" t="n">
        <v>896.1</v>
      </c>
      <c r="Q52" s="8" t="inlineStr">
        <is>
          <t>信维通信</t>
        </is>
      </c>
      <c r="R52" s="7" t="inlineStr">
        <is>
          <t>300136.SZ</t>
        </is>
      </c>
      <c r="S52" s="20" t="n">
        <v>886.7</v>
      </c>
      <c r="T52" s="8" t="inlineStr">
        <is>
          <t>紫光股份</t>
        </is>
      </c>
      <c r="U52" s="7" t="inlineStr">
        <is>
          <t>000938.SZ</t>
        </is>
      </c>
      <c r="V52" s="20" t="n">
        <v>785.1</v>
      </c>
      <c r="W52" s="8" t="inlineStr">
        <is>
          <t>锐捷网络</t>
        </is>
      </c>
      <c r="X52" s="7" t="inlineStr">
        <is>
          <t>301165.SZ</t>
        </is>
      </c>
      <c r="Y52" s="20" t="n">
        <v>755</v>
      </c>
    </row>
    <row r="53">
      <c r="A53" s="7" t="inlineStr">
        <is>
          <t>885531.TI</t>
        </is>
      </c>
      <c r="B53" s="8">
        <f>[1]!thsiFinD("THS_GPJC_STOCK",$A53)</f>
        <v/>
      </c>
      <c r="C53" s="9">
        <f>[1]!thsiFinD("ths_int_chg_ratio_index",$A53,C$1,C$2)/100</f>
        <v/>
      </c>
      <c r="D53" s="9">
        <f>[1]!thsiFinD("ths_int_chg_ratio_index",$A53,D$1,D$2)/100</f>
        <v/>
      </c>
      <c r="E53" s="9">
        <f>[1]!thsiFinD("ths_int_chg_ratio_index",$A53,E$1,E$2)/100</f>
        <v/>
      </c>
      <c r="F53" s="10">
        <f>D53-(E53-D53)/3</f>
        <v/>
      </c>
      <c r="G53" s="7" t="inlineStr">
        <is>
          <t>产业链</t>
        </is>
      </c>
      <c r="H53" s="7">
        <f>IFERROR(VLOOKUP($I53,'分类规则'!$A$30:$C$200,2,0),"")</f>
        <v/>
      </c>
      <c r="I53" s="7" t="inlineStr">
        <is>
          <t>光伏</t>
        </is>
      </c>
      <c r="J53" s="7">
        <f>IFERROR(VLOOKUP($I53,'分类规则'!$A$30:$C$200,3,0),"")</f>
        <v/>
      </c>
      <c r="K53" s="8" t="inlineStr">
        <is>
          <t>北方华创</t>
        </is>
      </c>
      <c r="L53" s="7" t="inlineStr">
        <is>
          <t>002371.SZ</t>
        </is>
      </c>
      <c r="M53" s="20" t="n">
        <v>5222.2</v>
      </c>
      <c r="N53" s="8" t="inlineStr">
        <is>
          <t>兆易创新</t>
        </is>
      </c>
      <c r="O53" s="7" t="inlineStr">
        <is>
          <t>603986.SH</t>
        </is>
      </c>
      <c r="P53" s="20" t="n">
        <v>4204.8</v>
      </c>
      <c r="Q53" s="8" t="inlineStr">
        <is>
          <t>胜宏科技</t>
        </is>
      </c>
      <c r="R53" s="7" t="inlineStr">
        <is>
          <t>300476.SZ</t>
        </is>
      </c>
      <c r="S53" s="20" t="n">
        <v>3192.6</v>
      </c>
      <c r="T53" s="8" t="inlineStr">
        <is>
          <t>比亚迪</t>
        </is>
      </c>
      <c r="U53" s="7" t="inlineStr">
        <is>
          <t>002594.SZ</t>
        </is>
      </c>
      <c r="V53" s="20" t="n">
        <v>3072.8</v>
      </c>
      <c r="W53" s="8" t="inlineStr">
        <is>
          <t>蓝思科技</t>
        </is>
      </c>
      <c r="X53" s="7" t="inlineStr">
        <is>
          <t>300433.SZ</t>
        </is>
      </c>
      <c r="Y53" s="20" t="n">
        <v>2771.6</v>
      </c>
    </row>
    <row r="54">
      <c r="A54" s="7" t="inlineStr">
        <is>
          <t>886070.TI</t>
        </is>
      </c>
      <c r="B54" s="8">
        <f>[1]!thsiFinD("THS_GPJC_STOCK",$A54)</f>
        <v/>
      </c>
      <c r="C54" s="9">
        <f>[1]!thsiFinD("ths_int_chg_ratio_index",$A54,C$1,C$2)/100</f>
        <v/>
      </c>
      <c r="D54" s="9">
        <f>[1]!thsiFinD("ths_int_chg_ratio_index",$A54,D$1,D$2)/100</f>
        <v/>
      </c>
      <c r="E54" s="9">
        <f>[1]!thsiFinD("ths_int_chg_ratio_index",$A54,E$1,E$2)/100</f>
        <v/>
      </c>
      <c r="F54" s="10">
        <f>D54-(E54-D54)/3</f>
        <v/>
      </c>
      <c r="G54" s="7" t="inlineStr">
        <is>
          <t>产业链</t>
        </is>
      </c>
      <c r="H54" s="7">
        <f>IFERROR(VLOOKUP($I54,'分类规则'!$A$30:$C$200,2,0),"")</f>
        <v/>
      </c>
      <c r="I54" s="7" t="inlineStr">
        <is>
          <t>消费电子</t>
        </is>
      </c>
      <c r="J54" s="7">
        <f>IFERROR(VLOOKUP($I54,'分类规则'!$A$30:$C$200,3,0),"")</f>
        <v/>
      </c>
      <c r="K54" s="8" t="inlineStr">
        <is>
          <t>东山精密</t>
        </is>
      </c>
      <c r="L54" s="7" t="inlineStr">
        <is>
          <t>002384.SZ</t>
        </is>
      </c>
      <c r="M54" s="20" t="n">
        <v>3784.7</v>
      </c>
      <c r="N54" s="8" t="inlineStr">
        <is>
          <t>胜宏科技</t>
        </is>
      </c>
      <c r="O54" s="7" t="inlineStr">
        <is>
          <t>300476.SZ</t>
        </is>
      </c>
      <c r="P54" s="20" t="n">
        <v>3192.6</v>
      </c>
      <c r="Q54" s="8" t="inlineStr">
        <is>
          <t>蓝思科技</t>
        </is>
      </c>
      <c r="R54" s="7" t="inlineStr">
        <is>
          <t>300433.SZ</t>
        </is>
      </c>
      <c r="S54" s="20" t="n">
        <v>2771.6</v>
      </c>
      <c r="T54" s="8" t="inlineStr">
        <is>
          <t>鹏鼎控股</t>
        </is>
      </c>
      <c r="U54" s="7" t="inlineStr">
        <is>
          <t>002938.SZ</t>
        </is>
      </c>
      <c r="V54" s="20" t="n">
        <v>2769.2</v>
      </c>
      <c r="W54" s="8" t="inlineStr">
        <is>
          <t>佰维存储</t>
        </is>
      </c>
      <c r="X54" s="7" t="inlineStr">
        <is>
          <t>688525.SH</t>
        </is>
      </c>
      <c r="Y54" s="20" t="n">
        <v>1821.2</v>
      </c>
    </row>
    <row r="55">
      <c r="A55" s="7" t="inlineStr">
        <is>
          <t>885343.TI</t>
        </is>
      </c>
      <c r="B55" s="8">
        <f>[1]!thsiFinD("THS_GPJC_STOCK",$A55)</f>
        <v/>
      </c>
      <c r="C55" s="9">
        <f>[1]!thsiFinD("ths_int_chg_ratio_index",$A55,C$1,C$2)/100</f>
        <v/>
      </c>
      <c r="D55" s="9">
        <f>[1]!thsiFinD("ths_int_chg_ratio_index",$A55,D$1,D$2)/100</f>
        <v/>
      </c>
      <c r="E55" s="9">
        <f>[1]!thsiFinD("ths_int_chg_ratio_index",$A55,E$1,E$2)/100</f>
        <v/>
      </c>
      <c r="F55" s="10">
        <f>D55-(E55-D55)/3</f>
        <v/>
      </c>
      <c r="G55" s="7" t="inlineStr">
        <is>
          <t>产业链</t>
        </is>
      </c>
      <c r="H55" s="7">
        <f>IFERROR(VLOOKUP($I55,'分类规则'!$A$30:$C$200,2,0),"")</f>
        <v/>
      </c>
      <c r="I55" s="7" t="inlineStr">
        <is>
          <t>有色金属</t>
        </is>
      </c>
      <c r="J55" s="7">
        <f>IFERROR(VLOOKUP($I55,'分类规则'!$A$30:$C$200,3,0),"")</f>
        <v/>
      </c>
      <c r="K55" s="8" t="inlineStr">
        <is>
          <t>北方稀土</t>
        </is>
      </c>
      <c r="L55" s="7" t="inlineStr">
        <is>
          <t>600111.SH</t>
        </is>
      </c>
      <c r="M55" s="20" t="n">
        <v>1858.1</v>
      </c>
      <c r="N55" s="8" t="inlineStr">
        <is>
          <t>厦门钨业</t>
        </is>
      </c>
      <c r="O55" s="7" t="inlineStr">
        <is>
          <t>600549.SH</t>
        </is>
      </c>
      <c r="P55" s="20" t="n">
        <v>1335</v>
      </c>
      <c r="Q55" s="8" t="inlineStr">
        <is>
          <t>中国铝业</t>
        </is>
      </c>
      <c r="R55" s="7" t="inlineStr">
        <is>
          <t>601600.SH</t>
        </is>
      </c>
      <c r="S55" s="20" t="n">
        <v>1235.7</v>
      </c>
      <c r="T55" s="8" t="inlineStr">
        <is>
          <t>领益智造</t>
        </is>
      </c>
      <c r="U55" s="7" t="inlineStr">
        <is>
          <t>002600.SZ</t>
        </is>
      </c>
      <c r="V55" s="20" t="n">
        <v>1211</v>
      </c>
      <c r="W55" s="8" t="inlineStr">
        <is>
          <t>包钢股份</t>
        </is>
      </c>
      <c r="X55" s="7" t="inlineStr">
        <is>
          <t>600010.SH</t>
        </is>
      </c>
      <c r="Y55" s="20" t="n">
        <v>761</v>
      </c>
    </row>
    <row r="56">
      <c r="A56" s="7" t="inlineStr">
        <is>
          <t>885454.TI</t>
        </is>
      </c>
      <c r="B56" s="8">
        <f>[1]!thsiFinD("THS_GPJC_STOCK",$A56)</f>
        <v/>
      </c>
      <c r="C56" s="9">
        <f>[1]!thsiFinD("ths_int_chg_ratio_index",$A56,C$1,C$2)/100</f>
        <v/>
      </c>
      <c r="D56" s="9">
        <f>[1]!thsiFinD("ths_int_chg_ratio_index",$A56,D$1,D$2)/100</f>
        <v/>
      </c>
      <c r="E56" s="9">
        <f>[1]!thsiFinD("ths_int_chg_ratio_index",$A56,E$1,E$2)/100</f>
        <v/>
      </c>
      <c r="F56" s="10">
        <f>D56-(E56-D56)/3</f>
        <v/>
      </c>
      <c r="G56" s="7" t="inlineStr">
        <is>
          <t>产业链</t>
        </is>
      </c>
      <c r="H56" s="7">
        <f>IFERROR(VLOOKUP($I56,'分类规则'!$A$30:$C$200,2,0),"")</f>
        <v/>
      </c>
      <c r="I56" s="7" t="inlineStr">
        <is>
          <t>消费电子</t>
        </is>
      </c>
      <c r="J56" s="7">
        <f>IFERROR(VLOOKUP($I56,'分类规则'!$A$30:$C$200,3,0),"")</f>
        <v/>
      </c>
      <c r="K56" s="8" t="inlineStr">
        <is>
          <t>立讯精密</t>
        </is>
      </c>
      <c r="L56" s="7" t="inlineStr">
        <is>
          <t>002475.SZ</t>
        </is>
      </c>
      <c r="M56" s="20" t="n">
        <v>5083.4</v>
      </c>
      <c r="N56" s="8" t="inlineStr">
        <is>
          <t>东山精密</t>
        </is>
      </c>
      <c r="O56" s="7" t="inlineStr">
        <is>
          <t>002384.SZ</t>
        </is>
      </c>
      <c r="P56" s="20" t="n">
        <v>3784.7</v>
      </c>
      <c r="Q56" s="8" t="inlineStr">
        <is>
          <t>蓝思科技</t>
        </is>
      </c>
      <c r="R56" s="7" t="inlineStr">
        <is>
          <t>300433.SZ</t>
        </is>
      </c>
      <c r="S56" s="20" t="n">
        <v>2771.6</v>
      </c>
      <c r="T56" s="8" t="inlineStr">
        <is>
          <t>鹏鼎控股</t>
        </is>
      </c>
      <c r="U56" s="7" t="inlineStr">
        <is>
          <t>002938.SZ</t>
        </is>
      </c>
      <c r="V56" s="20" t="n">
        <v>2769.2</v>
      </c>
      <c r="W56" s="8" t="inlineStr">
        <is>
          <t>京东方A</t>
        </is>
      </c>
      <c r="X56" s="7" t="inlineStr">
        <is>
          <t>000725.SZ</t>
        </is>
      </c>
      <c r="Y56" s="20" t="n">
        <v>2316.5</v>
      </c>
    </row>
    <row r="57">
      <c r="A57" s="7" t="inlineStr">
        <is>
          <t>886046.TI</t>
        </is>
      </c>
      <c r="B57" s="8">
        <f>[1]!thsiFinD("THS_GPJC_STOCK",$A57)</f>
        <v/>
      </c>
      <c r="C57" s="9">
        <f>[1]!thsiFinD("ths_int_chg_ratio_index",$A57,C$1,C$2)/100</f>
        <v/>
      </c>
      <c r="D57" s="9">
        <f>[1]!thsiFinD("ths_int_chg_ratio_index",$A57,D$1,D$2)/100</f>
        <v/>
      </c>
      <c r="E57" s="9">
        <f>[1]!thsiFinD("ths_int_chg_ratio_index",$A57,E$1,E$2)/100</f>
        <v/>
      </c>
      <c r="F57" s="10">
        <f>D57-(E57-D57)/3</f>
        <v/>
      </c>
      <c r="G57" s="7" t="inlineStr">
        <is>
          <t>产业链</t>
        </is>
      </c>
      <c r="H57" s="7">
        <f>IFERROR(VLOOKUP($I57,'分类规则'!$A$30:$C$200,2,0),"")</f>
        <v/>
      </c>
      <c r="I57" s="7" t="inlineStr">
        <is>
          <t>消费电子</t>
        </is>
      </c>
      <c r="J57" s="7">
        <f>IFERROR(VLOOKUP($I57,'分类规则'!$A$30:$C$200,3,0),"")</f>
        <v/>
      </c>
      <c r="K57" s="8" t="inlineStr">
        <is>
          <t>立讯精密</t>
        </is>
      </c>
      <c r="L57" s="7" t="inlineStr">
        <is>
          <t>002475.SZ</t>
        </is>
      </c>
      <c r="M57" s="20" t="n">
        <v>5083.4</v>
      </c>
      <c r="N57" s="8" t="inlineStr">
        <is>
          <t>大族激光</t>
        </is>
      </c>
      <c r="O57" s="7" t="inlineStr">
        <is>
          <t>002008.SZ</t>
        </is>
      </c>
      <c r="P57" s="20" t="n">
        <v>1290.6</v>
      </c>
      <c r="Q57" s="8" t="inlineStr">
        <is>
          <t>领益智造</t>
        </is>
      </c>
      <c r="R57" s="7" t="inlineStr">
        <is>
          <t>002600.SZ</t>
        </is>
      </c>
      <c r="S57" s="20" t="n">
        <v>1211</v>
      </c>
      <c r="T57" s="8" t="inlineStr">
        <is>
          <t>歌尔股份</t>
        </is>
      </c>
      <c r="U57" s="7" t="inlineStr">
        <is>
          <t>002241.SZ</t>
        </is>
      </c>
      <c r="V57" s="20" t="n">
        <v>751.9</v>
      </c>
      <c r="W57" s="8" t="inlineStr">
        <is>
          <t>炬光科技</t>
        </is>
      </c>
      <c r="X57" s="7" t="inlineStr">
        <is>
          <t>688167.SH</t>
        </is>
      </c>
      <c r="Y57" s="20" t="n">
        <v>511.4</v>
      </c>
    </row>
    <row r="58">
      <c r="A58" s="7" t="inlineStr">
        <is>
          <t>885931.TI</t>
        </is>
      </c>
      <c r="B58" s="8">
        <f>[1]!thsiFinD("THS_GPJC_STOCK",$A58)</f>
        <v/>
      </c>
      <c r="C58" s="9">
        <f>[1]!thsiFinD("ths_int_chg_ratio_index",$A58,C$1,C$2)/100</f>
        <v/>
      </c>
      <c r="D58" s="9">
        <f>[1]!thsiFinD("ths_int_chg_ratio_index",$A58,D$1,D$2)/100</f>
        <v/>
      </c>
      <c r="E58" s="9">
        <f>[1]!thsiFinD("ths_int_chg_ratio_index",$A58,E$1,E$2)/100</f>
        <v/>
      </c>
      <c r="F58" s="10">
        <f>D58-(E58-D58)/3</f>
        <v/>
      </c>
      <c r="G58" s="7" t="inlineStr">
        <is>
          <t>产业链</t>
        </is>
      </c>
      <c r="H58" s="7">
        <f>IFERROR(VLOOKUP($I58,'分类规则'!$A$30:$C$200,2,0),"")</f>
        <v/>
      </c>
      <c r="I58" s="7" t="inlineStr">
        <is>
          <t>化工</t>
        </is>
      </c>
      <c r="J58" s="7">
        <f>IFERROR(VLOOKUP($I58,'分类规则'!$A$30:$C$200,3,0),"")</f>
        <v/>
      </c>
      <c r="K58" s="8" t="inlineStr">
        <is>
          <t>巨化股份</t>
        </is>
      </c>
      <c r="L58" s="7" t="inlineStr">
        <is>
          <t>600160.SH</t>
        </is>
      </c>
      <c r="M58" s="20" t="n">
        <v>1191.1</v>
      </c>
      <c r="N58" s="8" t="inlineStr">
        <is>
          <t>东阳光</t>
        </is>
      </c>
      <c r="O58" s="7" t="inlineStr">
        <is>
          <t>600673.SH</t>
        </is>
      </c>
      <c r="P58" s="20" t="n">
        <v>1088.4</v>
      </c>
      <c r="Q58" s="8" t="inlineStr">
        <is>
          <t>昊华科技</t>
        </is>
      </c>
      <c r="R58" s="7" t="inlineStr">
        <is>
          <t>600378.SH</t>
        </is>
      </c>
      <c r="S58" s="20" t="n">
        <v>698.9</v>
      </c>
      <c r="T58" s="8" t="inlineStr">
        <is>
          <t>璞泰来</t>
        </is>
      </c>
      <c r="U58" s="7" t="inlineStr">
        <is>
          <t>603659.SH</t>
        </is>
      </c>
      <c r="V58" s="20" t="n">
        <v>632.4</v>
      </c>
      <c r="W58" s="8" t="inlineStr">
        <is>
          <t>多氟多</t>
        </is>
      </c>
      <c r="X58" s="7" t="inlineStr">
        <is>
          <t>002407.SZ</t>
        </is>
      </c>
      <c r="Y58" s="20" t="n">
        <v>418.3</v>
      </c>
    </row>
    <row r="59">
      <c r="A59" s="7" t="inlineStr">
        <is>
          <t>885789.TI</t>
        </is>
      </c>
      <c r="B59" s="8">
        <f>[1]!thsiFinD("THS_GPJC_STOCK",$A59)</f>
        <v/>
      </c>
      <c r="C59" s="9">
        <f>[1]!thsiFinD("ths_int_chg_ratio_index",$A59,C$1,C$2)/100</f>
        <v/>
      </c>
      <c r="D59" s="9">
        <f>[1]!thsiFinD("ths_int_chg_ratio_index",$A59,D$1,D$2)/100</f>
        <v/>
      </c>
      <c r="E59" s="9">
        <f>[1]!thsiFinD("ths_int_chg_ratio_index",$A59,E$1,E$2)/100</f>
        <v/>
      </c>
      <c r="F59" s="10">
        <f>D59-(E59-D59)/3</f>
        <v/>
      </c>
      <c r="G59" s="7" t="inlineStr">
        <is>
          <t>公司链</t>
        </is>
      </c>
      <c r="H59" s="7">
        <f>IFERROR(VLOOKUP($I59,'分类规则'!$A$30:$C$200,2,0),"")</f>
        <v/>
      </c>
      <c r="I59" s="7" t="inlineStr">
        <is>
          <t>储能/电池</t>
        </is>
      </c>
      <c r="J59" s="7">
        <f>IFERROR(VLOOKUP($I59,'分类规则'!$A$30:$C$200,3,0),"")</f>
        <v/>
      </c>
      <c r="K59" s="8" t="n"/>
      <c r="L59" s="7" t="n"/>
      <c r="M59" s="7" t="n"/>
      <c r="N59" s="8" t="n"/>
      <c r="O59" s="7" t="n"/>
      <c r="P59" s="7" t="n"/>
      <c r="Q59" s="8" t="n"/>
      <c r="R59" s="7" t="n"/>
      <c r="S59" s="7" t="n"/>
      <c r="T59" s="8" t="n"/>
      <c r="U59" s="7" t="n"/>
      <c r="V59" s="7" t="n"/>
      <c r="W59" s="8" t="n"/>
      <c r="X59" s="7" t="n"/>
      <c r="Y59" s="7" t="n"/>
    </row>
    <row r="60">
      <c r="A60" s="7" t="inlineStr">
        <is>
          <t>885953.TI</t>
        </is>
      </c>
      <c r="B60" s="8">
        <f>[1]!thsiFinD("THS_GPJC_STOCK",$A60)</f>
        <v/>
      </c>
      <c r="C60" s="9">
        <f>[1]!thsiFinD("ths_int_chg_ratio_index",$A60,C$1,C$2)/100</f>
        <v/>
      </c>
      <c r="D60" s="9">
        <f>[1]!thsiFinD("ths_int_chg_ratio_index",$A60,D$1,D$2)/100</f>
        <v/>
      </c>
      <c r="E60" s="9">
        <f>[1]!thsiFinD("ths_int_chg_ratio_index",$A60,E$1,E$2)/100</f>
        <v/>
      </c>
      <c r="F60" s="10">
        <f>D60-(E60-D60)/3</f>
        <v/>
      </c>
      <c r="G60" s="7" t="inlineStr">
        <is>
          <t>产业链</t>
        </is>
      </c>
      <c r="H60" s="7">
        <f>IFERROR(VLOOKUP($I60,'分类规则'!$A$30:$C$200,2,0),"")</f>
        <v/>
      </c>
      <c r="I60" s="7" t="inlineStr">
        <is>
          <t>面板显示</t>
        </is>
      </c>
      <c r="J60" s="7">
        <f>IFERROR(VLOOKUP($I60,'分类规则'!$A$30:$C$200,3,0),"")</f>
        <v/>
      </c>
      <c r="K60" s="8" t="inlineStr">
        <is>
          <t>京东方A</t>
        </is>
      </c>
      <c r="L60" s="7" t="inlineStr">
        <is>
          <t>000725.SZ</t>
        </is>
      </c>
      <c r="M60" s="20" t="n">
        <v>2316.5</v>
      </c>
      <c r="N60" s="8" t="inlineStr">
        <is>
          <t>汇顶科技</t>
        </is>
      </c>
      <c r="O60" s="7" t="inlineStr">
        <is>
          <t>603160.SH</t>
        </is>
      </c>
      <c r="P60" s="20" t="n">
        <v>275.1</v>
      </c>
      <c r="Q60" s="8" t="inlineStr">
        <is>
          <t>飞凯材料</t>
        </is>
      </c>
      <c r="R60" s="7" t="inlineStr">
        <is>
          <t>300398.SZ</t>
        </is>
      </c>
      <c r="S60" s="20" t="n">
        <v>259.9</v>
      </c>
      <c r="T60" s="8" t="inlineStr">
        <is>
          <t>长信科技</t>
        </is>
      </c>
      <c r="U60" s="7" t="inlineStr">
        <is>
          <t>300088.SZ</t>
        </is>
      </c>
      <c r="V60" s="20" t="n">
        <v>257.7</v>
      </c>
      <c r="W60" s="8" t="inlineStr">
        <is>
          <t>深天马A</t>
        </is>
      </c>
      <c r="X60" s="7" t="inlineStr">
        <is>
          <t>000050.SZ</t>
        </is>
      </c>
      <c r="Y60" s="20" t="n">
        <v>217.8</v>
      </c>
    </row>
    <row r="61">
      <c r="A61" s="7" t="inlineStr">
        <is>
          <t>885355.TI</t>
        </is>
      </c>
      <c r="B61" s="8">
        <f>[1]!thsiFinD("THS_GPJC_STOCK",$A61)</f>
        <v/>
      </c>
      <c r="C61" s="9">
        <f>[1]!thsiFinD("ths_int_chg_ratio_index",$A61,C$1,C$2)/100</f>
        <v/>
      </c>
      <c r="D61" s="9">
        <f>[1]!thsiFinD("ths_int_chg_ratio_index",$A61,D$1,D$2)/100</f>
        <v/>
      </c>
      <c r="E61" s="9">
        <f>[1]!thsiFinD("ths_int_chg_ratio_index",$A61,E$1,E$2)/100</f>
        <v/>
      </c>
      <c r="F61" s="10">
        <f>D61-(E61-D61)/3</f>
        <v/>
      </c>
      <c r="G61" s="7" t="inlineStr">
        <is>
          <t>产业链</t>
        </is>
      </c>
      <c r="H61" s="7">
        <f>IFERROR(VLOOKUP($I61,'分类规则'!$A$30:$C$200,2,0),"")</f>
        <v/>
      </c>
      <c r="I61" s="7" t="inlineStr">
        <is>
          <t>新材料</t>
        </is>
      </c>
      <c r="J61" s="7">
        <f>IFERROR(VLOOKUP($I61,'分类规则'!$A$30:$C$200,3,0),"")</f>
        <v/>
      </c>
      <c r="K61" s="8" t="inlineStr">
        <is>
          <t>中国动力</t>
        </is>
      </c>
      <c r="L61" s="7" t="inlineStr">
        <is>
          <t>600482.SH</t>
        </is>
      </c>
      <c r="M61" s="20" t="n">
        <v>751</v>
      </c>
      <c r="N61" s="8" t="inlineStr">
        <is>
          <t>圣泉集团</t>
        </is>
      </c>
      <c r="O61" s="7" t="inlineStr">
        <is>
          <t>605589.SH</t>
        </is>
      </c>
      <c r="P61" s="20" t="n">
        <v>590.6</v>
      </c>
      <c r="Q61" s="8" t="inlineStr">
        <is>
          <t>广汽集团</t>
        </is>
      </c>
      <c r="R61" s="7" t="inlineStr">
        <is>
          <t>601238.SH</t>
        </is>
      </c>
      <c r="S61" s="20" t="n">
        <v>408.3</v>
      </c>
      <c r="T61" s="8" t="inlineStr">
        <is>
          <t>彤程新材</t>
        </is>
      </c>
      <c r="U61" s="7" t="inlineStr">
        <is>
          <t>603650.SH</t>
        </is>
      </c>
      <c r="V61" s="20" t="n">
        <v>405.4</v>
      </c>
      <c r="W61" s="8" t="inlineStr">
        <is>
          <t>格林美</t>
        </is>
      </c>
      <c r="X61" s="7" t="inlineStr">
        <is>
          <t>002340.SZ</t>
        </is>
      </c>
      <c r="Y61" s="20" t="n">
        <v>376.6</v>
      </c>
    </row>
    <row r="62">
      <c r="A62" s="7" t="inlineStr">
        <is>
          <t>886107.TI</t>
        </is>
      </c>
      <c r="B62" s="8">
        <f>[1]!thsiFinD("THS_GPJC_STOCK",$A62)</f>
        <v/>
      </c>
      <c r="C62" s="9">
        <f>[1]!thsiFinD("ths_int_chg_ratio_index",$A62,C$1,C$2)/100</f>
        <v/>
      </c>
      <c r="D62" s="9">
        <f>[1]!thsiFinD("ths_int_chg_ratio_index",$A62,D$1,D$2)/100</f>
        <v/>
      </c>
      <c r="E62" s="9">
        <f>[1]!thsiFinD("ths_int_chg_ratio_index",$A62,E$1,E$2)/100</f>
        <v/>
      </c>
      <c r="F62" s="10">
        <f>D62-(E62-D62)/3</f>
        <v/>
      </c>
      <c r="G62" s="7" t="inlineStr">
        <is>
          <t>主题事件</t>
        </is>
      </c>
      <c r="H62" s="7">
        <f>IFERROR(VLOOKUP($I62,'分类规则'!$A$30:$C$200,2,0),"")</f>
        <v/>
      </c>
      <c r="I62" s="7" t="inlineStr">
        <is>
          <t>预增</t>
        </is>
      </c>
      <c r="J62" s="7">
        <f>IFERROR(VLOOKUP($I62,'分类规则'!$A$30:$C$200,3,0),"")</f>
        <v/>
      </c>
      <c r="K62" s="8" t="n"/>
      <c r="L62" s="7" t="n"/>
      <c r="M62" s="7" t="n"/>
      <c r="N62" s="8" t="n"/>
      <c r="O62" s="7" t="n"/>
      <c r="P62" s="7" t="n"/>
      <c r="Q62" s="8" t="n"/>
      <c r="R62" s="7" t="n"/>
      <c r="S62" s="7" t="n"/>
      <c r="T62" s="8" t="n"/>
      <c r="U62" s="7" t="n"/>
      <c r="V62" s="7" t="n"/>
      <c r="W62" s="8" t="n"/>
      <c r="X62" s="7" t="n"/>
      <c r="Y62" s="7" t="n"/>
    </row>
    <row r="63">
      <c r="A63" s="7" t="inlineStr">
        <is>
          <t>885935.TI</t>
        </is>
      </c>
      <c r="B63" s="8">
        <f>[1]!thsiFinD("THS_GPJC_STOCK",$A63)</f>
        <v/>
      </c>
      <c r="C63" s="9">
        <f>[1]!thsiFinD("ths_int_chg_ratio_index",$A63,C$1,C$2)/100</f>
        <v/>
      </c>
      <c r="D63" s="9">
        <f>[1]!thsiFinD("ths_int_chg_ratio_index",$A63,D$1,D$2)/100</f>
        <v/>
      </c>
      <c r="E63" s="9">
        <f>[1]!thsiFinD("ths_int_chg_ratio_index",$A63,E$1,E$2)/100</f>
        <v/>
      </c>
      <c r="F63" s="10">
        <f>D63-(E63-D63)/3</f>
        <v/>
      </c>
      <c r="G63" s="7" t="inlineStr">
        <is>
          <t>产业链</t>
        </is>
      </c>
      <c r="H63" s="7">
        <f>IFERROR(VLOOKUP($I63,'分类规则'!$A$30:$C$200,2,0),"")</f>
        <v/>
      </c>
      <c r="I63" s="7" t="inlineStr">
        <is>
          <t>电力运营/储能</t>
        </is>
      </c>
      <c r="J63" s="7">
        <f>IFERROR(VLOOKUP($I63,'分类规则'!$A$30:$C$200,3,0),"")</f>
        <v/>
      </c>
      <c r="K63" s="8" t="inlineStr">
        <is>
          <t>国电南瑞</t>
        </is>
      </c>
      <c r="L63" s="7" t="inlineStr">
        <is>
          <t>600406.SH</t>
        </is>
      </c>
      <c r="M63" s="20" t="n">
        <v>1846.7</v>
      </c>
      <c r="N63" s="8" t="inlineStr">
        <is>
          <t>特变电工</t>
        </is>
      </c>
      <c r="O63" s="7" t="inlineStr">
        <is>
          <t>600089.SH</t>
        </is>
      </c>
      <c r="P63" s="20" t="n">
        <v>1178.3</v>
      </c>
      <c r="Q63" s="8" t="inlineStr">
        <is>
          <t>三峡能源</t>
        </is>
      </c>
      <c r="R63" s="7" t="inlineStr">
        <is>
          <t>600905.SH</t>
        </is>
      </c>
      <c r="S63" s="20" t="n">
        <v>1163.5</v>
      </c>
      <c r="T63" s="8" t="inlineStr">
        <is>
          <t>思源电气</t>
        </is>
      </c>
      <c r="U63" s="7" t="inlineStr">
        <is>
          <t>002028.SZ</t>
        </is>
      </c>
      <c r="V63" s="20" t="n">
        <v>1161.5</v>
      </c>
      <c r="W63" s="8" t="inlineStr">
        <is>
          <t>国投电力</t>
        </is>
      </c>
      <c r="X63" s="7" t="inlineStr">
        <is>
          <t>600886.SH</t>
        </is>
      </c>
      <c r="Y63" s="20" t="n">
        <v>974.3</v>
      </c>
    </row>
    <row r="64">
      <c r="A64" s="7" t="inlineStr">
        <is>
          <t>885774.TI</t>
        </is>
      </c>
      <c r="B64" s="8">
        <f>[1]!thsiFinD("THS_GPJC_STOCK",$A64)</f>
        <v/>
      </c>
      <c r="C64" s="9">
        <f>[1]!thsiFinD("ths_int_chg_ratio_index",$A64,C$1,C$2)/100</f>
        <v/>
      </c>
      <c r="D64" s="9">
        <f>[1]!thsiFinD("ths_int_chg_ratio_index",$A64,D$1,D$2)/100</f>
        <v/>
      </c>
      <c r="E64" s="9">
        <f>[1]!thsiFinD("ths_int_chg_ratio_index",$A64,E$1,E$2)/100</f>
        <v/>
      </c>
      <c r="F64" s="10">
        <f>D64-(E64-D64)/3</f>
        <v/>
      </c>
      <c r="G64" s="7" t="inlineStr">
        <is>
          <t>产业链</t>
        </is>
      </c>
      <c r="H64" s="7">
        <f>IFERROR(VLOOKUP($I64,'分类规则'!$A$30:$C$200,2,0),"")</f>
        <v/>
      </c>
      <c r="I64" s="7" t="inlineStr">
        <is>
          <t>消费电子</t>
        </is>
      </c>
      <c r="J64" s="7">
        <f>IFERROR(VLOOKUP($I64,'分类规则'!$A$30:$C$200,3,0),"")</f>
        <v/>
      </c>
      <c r="K64" s="8" t="inlineStr">
        <is>
          <t>海尔智家</t>
        </is>
      </c>
      <c r="L64" s="7" t="inlineStr">
        <is>
          <t>600690.SH</t>
        </is>
      </c>
      <c r="M64" s="20" t="n">
        <v>1216.2</v>
      </c>
      <c r="N64" s="8" t="inlineStr">
        <is>
          <t>领益智造</t>
        </is>
      </c>
      <c r="O64" s="7" t="inlineStr">
        <is>
          <t>002600.SZ</t>
        </is>
      </c>
      <c r="P64" s="20" t="n">
        <v>1211</v>
      </c>
      <c r="Q64" s="8" t="inlineStr">
        <is>
          <t>赛力斯</t>
        </is>
      </c>
      <c r="R64" s="7" t="inlineStr">
        <is>
          <t>601127.SH</t>
        </is>
      </c>
      <c r="S64" s="20" t="n">
        <v>1009.2</v>
      </c>
      <c r="T64" s="8" t="inlineStr">
        <is>
          <t>信维通信</t>
        </is>
      </c>
      <c r="U64" s="7" t="inlineStr">
        <is>
          <t>300136.SZ</t>
        </is>
      </c>
      <c r="V64" s="20" t="n">
        <v>886.7</v>
      </c>
      <c r="W64" s="8" t="inlineStr">
        <is>
          <t>公牛集团</t>
        </is>
      </c>
      <c r="X64" s="7" t="inlineStr">
        <is>
          <t>603195.SH</t>
        </is>
      </c>
      <c r="Y64" s="20" t="n">
        <v>708.6</v>
      </c>
    </row>
    <row r="65">
      <c r="A65" s="7" t="inlineStr">
        <is>
          <t>885930.TI</t>
        </is>
      </c>
      <c r="B65" s="8">
        <f>[1]!thsiFinD("THS_GPJC_STOCK",$A65)</f>
        <v/>
      </c>
      <c r="C65" s="9">
        <f>[1]!thsiFinD("ths_int_chg_ratio_index",$A65,C$1,C$2)/100</f>
        <v/>
      </c>
      <c r="D65" s="9">
        <f>[1]!thsiFinD("ths_int_chg_ratio_index",$A65,D$1,D$2)/100</f>
        <v/>
      </c>
      <c r="E65" s="9">
        <f>[1]!thsiFinD("ths_int_chg_ratio_index",$A65,E$1,E$2)/100</f>
        <v/>
      </c>
      <c r="F65" s="10">
        <f>D65-(E65-D65)/3</f>
        <v/>
      </c>
      <c r="G65" s="7" t="inlineStr">
        <is>
          <t>产业链</t>
        </is>
      </c>
      <c r="H65" s="7">
        <f>IFERROR(VLOOKUP($I65,'分类规则'!$A$30:$C$200,2,0),"")</f>
        <v/>
      </c>
      <c r="I65" s="7" t="inlineStr">
        <is>
          <t>工业自动化</t>
        </is>
      </c>
      <c r="J65" s="7">
        <f>IFERROR(VLOOKUP($I65,'分类规则'!$A$30:$C$200,3,0),"")</f>
        <v/>
      </c>
      <c r="K65" s="8" t="inlineStr">
        <is>
          <t>格力电器</t>
        </is>
      </c>
      <c r="L65" s="7" t="inlineStr">
        <is>
          <t>000651.SZ</t>
        </is>
      </c>
      <c r="M65" s="20" t="n">
        <v>2027.7</v>
      </c>
      <c r="N65" s="8" t="inlineStr">
        <is>
          <t>华工科技</t>
        </is>
      </c>
      <c r="O65" s="7" t="inlineStr">
        <is>
          <t>000988.SZ</t>
        </is>
      </c>
      <c r="P65" s="20" t="n">
        <v>1784.4</v>
      </c>
      <c r="Q65" s="8" t="inlineStr">
        <is>
          <t>汇川技术</t>
        </is>
      </c>
      <c r="R65" s="7" t="inlineStr">
        <is>
          <t>300124.SZ</t>
        </is>
      </c>
      <c r="S65" s="20" t="n">
        <v>1715.7</v>
      </c>
      <c r="T65" s="8" t="inlineStr">
        <is>
          <t>大族数控</t>
        </is>
      </c>
      <c r="U65" s="7" t="inlineStr">
        <is>
          <t>301200.SZ</t>
        </is>
      </c>
      <c r="V65" s="20" t="n">
        <v>1433.1</v>
      </c>
      <c r="W65" s="8" t="inlineStr">
        <is>
          <t>中钨高新</t>
        </is>
      </c>
      <c r="X65" s="7" t="inlineStr">
        <is>
          <t>000657.SZ</t>
        </is>
      </c>
      <c r="Y65" s="20" t="n">
        <v>1430.8</v>
      </c>
    </row>
    <row r="66">
      <c r="A66" s="7" t="inlineStr">
        <is>
          <t>886065.TI</t>
        </is>
      </c>
      <c r="B66" s="8">
        <f>[1]!thsiFinD("THS_GPJC_STOCK",$A66)</f>
        <v/>
      </c>
      <c r="C66" s="9">
        <f>[1]!thsiFinD("ths_int_chg_ratio_index",$A66,C$1,C$2)/100</f>
        <v/>
      </c>
      <c r="D66" s="9">
        <f>[1]!thsiFinD("ths_int_chg_ratio_index",$A66,D$1,D$2)/100</f>
        <v/>
      </c>
      <c r="E66" s="9">
        <f>[1]!thsiFinD("ths_int_chg_ratio_index",$A66,E$1,E$2)/100</f>
        <v/>
      </c>
      <c r="F66" s="10">
        <f>D66-(E66-D66)/3</f>
        <v/>
      </c>
      <c r="G66" s="7" t="inlineStr">
        <is>
          <t>产业链</t>
        </is>
      </c>
      <c r="H66" s="7">
        <f>IFERROR(VLOOKUP($I66,'分类规则'!$A$30:$C$200,2,0),"")</f>
        <v/>
      </c>
      <c r="I66" s="7" t="inlineStr">
        <is>
          <t>核电</t>
        </is>
      </c>
      <c r="J66" s="7">
        <f>IFERROR(VLOOKUP($I66,'分类规则'!$A$30:$C$200,3,0),"")</f>
        <v/>
      </c>
      <c r="K66" s="8" t="inlineStr">
        <is>
          <t>中天科技</t>
        </is>
      </c>
      <c r="L66" s="7" t="inlineStr">
        <is>
          <t>600522.SH</t>
        </is>
      </c>
      <c r="M66" s="20" t="n">
        <v>1930</v>
      </c>
      <c r="N66" s="8" t="inlineStr">
        <is>
          <t>中国核电</t>
        </is>
      </c>
      <c r="O66" s="7" t="inlineStr">
        <is>
          <t>601985.SH</t>
        </is>
      </c>
      <c r="P66" s="20" t="n">
        <v>1722.2</v>
      </c>
      <c r="Q66" s="8" t="inlineStr">
        <is>
          <t>中钨高新</t>
        </is>
      </c>
      <c r="R66" s="7" t="inlineStr">
        <is>
          <t>000657.SZ</t>
        </is>
      </c>
      <c r="S66" s="20" t="n">
        <v>1430.8</v>
      </c>
      <c r="T66" s="8" t="inlineStr">
        <is>
          <t>厦门钨业</t>
        </is>
      </c>
      <c r="U66" s="7" t="inlineStr">
        <is>
          <t>600549.SH</t>
        </is>
      </c>
      <c r="V66" s="20" t="n">
        <v>1335</v>
      </c>
      <c r="W66" s="8" t="inlineStr">
        <is>
          <t>上海电气</t>
        </is>
      </c>
      <c r="X66" s="7" t="inlineStr">
        <is>
          <t>601727.SH</t>
        </is>
      </c>
      <c r="Y66" s="20" t="n">
        <v>922.2</v>
      </c>
    </row>
    <row r="67">
      <c r="A67" s="7" t="inlineStr">
        <is>
          <t>885868.TI</t>
        </is>
      </c>
      <c r="B67" s="8">
        <f>[1]!thsiFinD("THS_GPJC_STOCK",$A67)</f>
        <v/>
      </c>
      <c r="C67" s="9">
        <f>[1]!thsiFinD("ths_int_chg_ratio_index",$A67,C$1,C$2)/100</f>
        <v/>
      </c>
      <c r="D67" s="9">
        <f>[1]!thsiFinD("ths_int_chg_ratio_index",$A67,D$1,D$2)/100</f>
        <v/>
      </c>
      <c r="E67" s="9">
        <f>[1]!thsiFinD("ths_int_chg_ratio_index",$A67,E$1,E$2)/100</f>
        <v/>
      </c>
      <c r="F67" s="10">
        <f>D67-(E67-D67)/3</f>
        <v/>
      </c>
      <c r="G67" s="7" t="inlineStr">
        <is>
          <t>产业链</t>
        </is>
      </c>
      <c r="H67" s="7">
        <f>IFERROR(VLOOKUP($I67,'分类规则'!$A$30:$C$200,2,0),"")</f>
        <v/>
      </c>
      <c r="I67" s="7" t="inlineStr">
        <is>
          <t>消费电子</t>
        </is>
      </c>
      <c r="J67" s="7">
        <f>IFERROR(VLOOKUP($I67,'分类规则'!$A$30:$C$200,3,0),"")</f>
        <v/>
      </c>
      <c r="K67" s="8" t="inlineStr">
        <is>
          <t>立讯精密</t>
        </is>
      </c>
      <c r="L67" s="7" t="inlineStr">
        <is>
          <t>002475.SZ</t>
        </is>
      </c>
      <c r="M67" s="20" t="n">
        <v>5083.4</v>
      </c>
      <c r="N67" s="8" t="inlineStr">
        <is>
          <t>兆易创新</t>
        </is>
      </c>
      <c r="O67" s="7" t="inlineStr">
        <is>
          <t>603986.SH</t>
        </is>
      </c>
      <c r="P67" s="20" t="n">
        <v>4204.8</v>
      </c>
      <c r="Q67" s="8" t="inlineStr">
        <is>
          <t>蓝思科技</t>
        </is>
      </c>
      <c r="R67" s="7" t="inlineStr">
        <is>
          <t>300433.SZ</t>
        </is>
      </c>
      <c r="S67" s="20" t="n">
        <v>2771.6</v>
      </c>
      <c r="T67" s="8" t="inlineStr">
        <is>
          <t>鹏鼎控股</t>
        </is>
      </c>
      <c r="U67" s="7" t="inlineStr">
        <is>
          <t>002938.SZ</t>
        </is>
      </c>
      <c r="V67" s="20" t="n">
        <v>2769.2</v>
      </c>
      <c r="W67" s="8" t="inlineStr">
        <is>
          <t>亿纬锂能</t>
        </is>
      </c>
      <c r="X67" s="7" t="inlineStr">
        <is>
          <t>300014.SZ</t>
        </is>
      </c>
      <c r="Y67" s="20" t="n">
        <v>1408.2</v>
      </c>
    </row>
    <row r="68">
      <c r="A68" s="7" t="inlineStr">
        <is>
          <t>885552.TI</t>
        </is>
      </c>
      <c r="B68" s="8">
        <f>[1]!thsiFinD("THS_GPJC_STOCK",$A68)</f>
        <v/>
      </c>
      <c r="C68" s="9">
        <f>[1]!thsiFinD("ths_int_chg_ratio_index",$A68,C$1,C$2)/100</f>
        <v/>
      </c>
      <c r="D68" s="9">
        <f>[1]!thsiFinD("ths_int_chg_ratio_index",$A68,D$1,D$2)/100</f>
        <v/>
      </c>
      <c r="E68" s="9">
        <f>[1]!thsiFinD("ths_int_chg_ratio_index",$A68,E$1,E$2)/100</f>
        <v/>
      </c>
      <c r="F68" s="10">
        <f>D68-(E68-D68)/3</f>
        <v/>
      </c>
      <c r="G68" s="7" t="inlineStr">
        <is>
          <t>产业链</t>
        </is>
      </c>
      <c r="H68" s="7">
        <f>IFERROR(VLOOKUP($I68,'分类规则'!$A$30:$C$200,2,0),"")</f>
        <v/>
      </c>
      <c r="I68" s="7" t="inlineStr">
        <is>
          <t>有色金属</t>
        </is>
      </c>
      <c r="J68" s="7">
        <f>IFERROR(VLOOKUP($I68,'分类规则'!$A$30:$C$200,3,0),"")</f>
        <v/>
      </c>
      <c r="K68" s="8" t="inlineStr">
        <is>
          <t>紫金矿业</t>
        </is>
      </c>
      <c r="L68" s="7" t="inlineStr">
        <is>
          <t>601899.SH</t>
        </is>
      </c>
      <c r="M68" s="20" t="n">
        <v>6116.7</v>
      </c>
      <c r="N68" s="8" t="inlineStr">
        <is>
          <t>洛阳钼业</t>
        </is>
      </c>
      <c r="O68" s="7" t="inlineStr">
        <is>
          <t>603993.SH</t>
        </is>
      </c>
      <c r="P68" s="20" t="n">
        <v>3499.2</v>
      </c>
      <c r="Q68" s="8" t="inlineStr">
        <is>
          <t>北方稀土</t>
        </is>
      </c>
      <c r="R68" s="7" t="inlineStr">
        <is>
          <t>600111.SH</t>
        </is>
      </c>
      <c r="S68" s="20" t="n">
        <v>1858.1</v>
      </c>
      <c r="T68" s="8" t="inlineStr">
        <is>
          <t>盐湖股份</t>
        </is>
      </c>
      <c r="U68" s="7" t="inlineStr">
        <is>
          <t>000792.SZ</t>
        </is>
      </c>
      <c r="V68" s="20" t="n">
        <v>1574.2</v>
      </c>
      <c r="W68" s="8" t="inlineStr">
        <is>
          <t>中钨高新</t>
        </is>
      </c>
      <c r="X68" s="7" t="inlineStr">
        <is>
          <t>000657.SZ</t>
        </is>
      </c>
      <c r="Y68" s="20" t="n">
        <v>1430.8</v>
      </c>
    </row>
    <row r="69">
      <c r="A69" s="7" t="inlineStr">
        <is>
          <t>885537.TI</t>
        </is>
      </c>
      <c r="B69" s="8">
        <f>[1]!thsiFinD("THS_GPJC_STOCK",$A69)</f>
        <v/>
      </c>
      <c r="C69" s="9">
        <f>[1]!thsiFinD("ths_int_chg_ratio_index",$A69,C$1,C$2)/100</f>
        <v/>
      </c>
      <c r="D69" s="9">
        <f>[1]!thsiFinD("ths_int_chg_ratio_index",$A69,D$1,D$2)/100</f>
        <v/>
      </c>
      <c r="E69" s="9">
        <f>[1]!thsiFinD("ths_int_chg_ratio_index",$A69,E$1,E$2)/100</f>
        <v/>
      </c>
      <c r="F69" s="10">
        <f>D69-(E69-D69)/3</f>
        <v/>
      </c>
      <c r="G69" s="7" t="inlineStr">
        <is>
          <t>产业链</t>
        </is>
      </c>
      <c r="H69" s="7">
        <f>IFERROR(VLOOKUP($I69,'分类规则'!$A$30:$C$200,2,0),"")</f>
        <v/>
      </c>
      <c r="I69" s="7" t="inlineStr">
        <is>
          <t>工业自动化</t>
        </is>
      </c>
      <c r="J69" s="7">
        <f>IFERROR(VLOOKUP($I69,'分类规则'!$A$30:$C$200,3,0),"")</f>
        <v/>
      </c>
      <c r="K69" s="8" t="inlineStr">
        <is>
          <t>蓝思科技</t>
        </is>
      </c>
      <c r="L69" s="7" t="inlineStr">
        <is>
          <t>300433.SZ</t>
        </is>
      </c>
      <c r="M69" s="20" t="n">
        <v>2771.6</v>
      </c>
      <c r="N69" s="8" t="inlineStr">
        <is>
          <t>华工科技</t>
        </is>
      </c>
      <c r="O69" s="7" t="inlineStr">
        <is>
          <t>000988.SZ</t>
        </is>
      </c>
      <c r="P69" s="20" t="n">
        <v>1784.4</v>
      </c>
      <c r="Q69" s="8" t="inlineStr">
        <is>
          <t>大族激光</t>
        </is>
      </c>
      <c r="R69" s="7" t="inlineStr">
        <is>
          <t>002008.SZ</t>
        </is>
      </c>
      <c r="S69" s="20" t="n">
        <v>1290.6</v>
      </c>
      <c r="T69" s="8" t="inlineStr">
        <is>
          <t>领益智造</t>
        </is>
      </c>
      <c r="U69" s="7" t="inlineStr">
        <is>
          <t>002600.SZ</t>
        </is>
      </c>
      <c r="V69" s="20" t="n">
        <v>1211</v>
      </c>
      <c r="W69" s="8" t="inlineStr">
        <is>
          <t>光库科技</t>
        </is>
      </c>
      <c r="X69" s="7" t="inlineStr">
        <is>
          <t>300620.SZ</t>
        </is>
      </c>
      <c r="Y69" s="20" t="n">
        <v>965.7</v>
      </c>
    </row>
    <row r="70">
      <c r="A70" s="7" t="inlineStr">
        <is>
          <t>885710.TI</t>
        </is>
      </c>
      <c r="B70" s="8">
        <f>[1]!thsiFinD("THS_GPJC_STOCK",$A70)</f>
        <v/>
      </c>
      <c r="C70" s="9">
        <f>[1]!thsiFinD("ths_int_chg_ratio_index",$A70,C$1,C$2)/100</f>
        <v/>
      </c>
      <c r="D70" s="9">
        <f>[1]!thsiFinD("ths_int_chg_ratio_index",$A70,D$1,D$2)/100</f>
        <v/>
      </c>
      <c r="E70" s="9">
        <f>[1]!thsiFinD("ths_int_chg_ratio_index",$A70,E$1,E$2)/100</f>
        <v/>
      </c>
      <c r="F70" s="10">
        <f>D70-(E70-D70)/3</f>
        <v/>
      </c>
      <c r="G70" s="7" t="inlineStr">
        <is>
          <t>产业链</t>
        </is>
      </c>
      <c r="H70" s="7">
        <f>IFERROR(VLOOKUP($I70,'分类规则'!$A$30:$C$200,2,0),"")</f>
        <v/>
      </c>
      <c r="I70" s="7" t="inlineStr">
        <is>
          <t>储能/电池</t>
        </is>
      </c>
      <c r="J70" s="7">
        <f>IFERROR(VLOOKUP($I70,'分类规则'!$A$30:$C$200,3,0),"")</f>
        <v/>
      </c>
      <c r="K70" s="8" t="inlineStr">
        <is>
          <t>宁德时代</t>
        </is>
      </c>
      <c r="L70" s="7" t="inlineStr">
        <is>
          <t>300750.SZ</t>
        </is>
      </c>
      <c r="M70" s="20" t="n">
        <v>16668.3</v>
      </c>
      <c r="N70" s="8" t="inlineStr">
        <is>
          <t>紫金矿业</t>
        </is>
      </c>
      <c r="O70" s="7" t="inlineStr">
        <is>
          <t>601899.SH</t>
        </is>
      </c>
      <c r="P70" s="20" t="n">
        <v>6116.7</v>
      </c>
      <c r="Q70" s="8" t="inlineStr">
        <is>
          <t>北方华创</t>
        </is>
      </c>
      <c r="R70" s="7" t="inlineStr">
        <is>
          <t>002371.SZ</t>
        </is>
      </c>
      <c r="S70" s="20" t="n">
        <v>5222.2</v>
      </c>
      <c r="T70" s="8" t="inlineStr">
        <is>
          <t>兆易创新</t>
        </is>
      </c>
      <c r="U70" s="7" t="inlineStr">
        <is>
          <t>603986.SH</t>
        </is>
      </c>
      <c r="V70" s="20" t="n">
        <v>4204.8</v>
      </c>
      <c r="W70" s="8" t="inlineStr">
        <is>
          <t>比亚迪</t>
        </is>
      </c>
      <c r="X70" s="7" t="inlineStr">
        <is>
          <t>002594.SZ</t>
        </is>
      </c>
      <c r="Y70" s="20" t="n">
        <v>3072.8</v>
      </c>
    </row>
    <row r="71">
      <c r="A71" s="7" t="inlineStr">
        <is>
          <t>885887.TI</t>
        </is>
      </c>
      <c r="B71" s="8">
        <f>[1]!thsiFinD("THS_GPJC_STOCK",$A71)</f>
        <v/>
      </c>
      <c r="C71" s="9">
        <f>[1]!thsiFinD("ths_int_chg_ratio_index",$A71,C$1,C$2)/100</f>
        <v/>
      </c>
      <c r="D71" s="9">
        <f>[1]!thsiFinD("ths_int_chg_ratio_index",$A71,D$1,D$2)/100</f>
        <v/>
      </c>
      <c r="E71" s="9">
        <f>[1]!thsiFinD("ths_int_chg_ratio_index",$A71,E$1,E$2)/100</f>
        <v/>
      </c>
      <c r="F71" s="10">
        <f>D71-(E71-D71)/3</f>
        <v/>
      </c>
      <c r="G71" s="7" t="inlineStr">
        <is>
          <t>产业链</t>
        </is>
      </c>
      <c r="H71" s="7">
        <f>IFERROR(VLOOKUP($I71,'分类规则'!$A$30:$C$200,2,0),"")</f>
        <v/>
      </c>
      <c r="I71" s="7" t="inlineStr">
        <is>
          <t>光通信/算力硬件</t>
        </is>
      </c>
      <c r="J71" s="7">
        <f>IFERROR(VLOOKUP($I71,'分类规则'!$A$30:$C$200,3,0),"")</f>
        <v/>
      </c>
      <c r="K71" s="8" t="n"/>
      <c r="L71" s="7" t="n"/>
      <c r="M71" s="7" t="n"/>
      <c r="N71" s="8" t="n"/>
      <c r="O71" s="7" t="n"/>
      <c r="P71" s="7" t="n"/>
      <c r="Q71" s="8" t="n"/>
      <c r="R71" s="7" t="n"/>
      <c r="S71" s="7" t="n"/>
      <c r="T71" s="8" t="n"/>
      <c r="U71" s="7" t="n"/>
      <c r="V71" s="7" t="n"/>
      <c r="W71" s="8" t="n"/>
      <c r="X71" s="7" t="n"/>
      <c r="Y71" s="7" t="n"/>
    </row>
    <row r="72">
      <c r="A72" s="7" t="inlineStr">
        <is>
          <t>885860.TI</t>
        </is>
      </c>
      <c r="B72" s="8">
        <f>[1]!thsiFinD("THS_GPJC_STOCK",$A72)</f>
        <v/>
      </c>
      <c r="C72" s="9">
        <f>[1]!thsiFinD("ths_int_chg_ratio_index",$A72,C$1,C$2)/100</f>
        <v/>
      </c>
      <c r="D72" s="9">
        <f>[1]!thsiFinD("ths_int_chg_ratio_index",$A72,D$1,D$2)/100</f>
        <v/>
      </c>
      <c r="E72" s="9">
        <f>[1]!thsiFinD("ths_int_chg_ratio_index",$A72,E$1,E$2)/100</f>
        <v/>
      </c>
      <c r="F72" s="10">
        <f>D72-(E72-D72)/3</f>
        <v/>
      </c>
      <c r="G72" s="7" t="inlineStr">
        <is>
          <t>公司链</t>
        </is>
      </c>
      <c r="H72" s="7">
        <f>IFERROR(VLOOKUP($I72,'分类规则'!$A$30:$C$200,2,0),"")</f>
        <v/>
      </c>
      <c r="I72" s="7" t="inlineStr">
        <is>
          <t>船舶</t>
        </is>
      </c>
      <c r="J72" s="7">
        <f>IFERROR(VLOOKUP($I72,'分类规则'!$A$30:$C$200,3,0),"")</f>
        <v/>
      </c>
      <c r="K72" s="8" t="inlineStr">
        <is>
          <t>中国船舶</t>
        </is>
      </c>
      <c r="L72" s="7" t="inlineStr">
        <is>
          <t>600150.SH</t>
        </is>
      </c>
      <c r="M72" s="20" t="n">
        <v>2719.8</v>
      </c>
      <c r="N72" s="8" t="inlineStr">
        <is>
          <t>中国动力</t>
        </is>
      </c>
      <c r="O72" s="7" t="inlineStr">
        <is>
          <t>600482.SH</t>
        </is>
      </c>
      <c r="P72" s="20" t="n">
        <v>751</v>
      </c>
      <c r="Q72" s="8" t="inlineStr">
        <is>
          <t>中船防务</t>
        </is>
      </c>
      <c r="R72" s="7" t="inlineStr">
        <is>
          <t>600685.SH</t>
        </is>
      </c>
      <c r="S72" s="20" t="n">
        <v>219.1</v>
      </c>
      <c r="T72" s="8" t="inlineStr">
        <is>
          <t>中国海防</t>
        </is>
      </c>
      <c r="U72" s="7" t="inlineStr">
        <is>
          <t>600764.SH</t>
        </is>
      </c>
      <c r="V72" s="20" t="n">
        <v>133</v>
      </c>
      <c r="W72" s="8" t="inlineStr">
        <is>
          <t>中船科技</t>
        </is>
      </c>
      <c r="X72" s="7" t="inlineStr">
        <is>
          <t>600072.SH</t>
        </is>
      </c>
      <c r="Y72" s="20" t="n">
        <v>102.2</v>
      </c>
    </row>
    <row r="73">
      <c r="A73" s="7" t="inlineStr">
        <is>
          <t>885970.TI</t>
        </is>
      </c>
      <c r="B73" s="8">
        <f>[1]!thsiFinD("THS_GPJC_STOCK",$A73)</f>
        <v/>
      </c>
      <c r="C73" s="9">
        <f>[1]!thsiFinD("ths_int_chg_ratio_index",$A73,C$1,C$2)/100</f>
        <v/>
      </c>
      <c r="D73" s="9">
        <f>[1]!thsiFinD("ths_int_chg_ratio_index",$A73,D$1,D$2)/100</f>
        <v/>
      </c>
      <c r="E73" s="9">
        <f>[1]!thsiFinD("ths_int_chg_ratio_index",$A73,E$1,E$2)/100</f>
        <v/>
      </c>
      <c r="F73" s="10">
        <f>D73-(E73-D73)/3</f>
        <v/>
      </c>
      <c r="G73" s="7" t="inlineStr">
        <is>
          <t>产业链</t>
        </is>
      </c>
      <c r="H73" s="7">
        <f>IFERROR(VLOOKUP($I73,'分类规则'!$A$30:$C$200,2,0),"")</f>
        <v/>
      </c>
      <c r="I73" s="7" t="inlineStr">
        <is>
          <t>有色金属</t>
        </is>
      </c>
      <c r="J73" s="7">
        <f>IFERROR(VLOOKUP($I73,'分类规则'!$A$30:$C$200,3,0),"")</f>
        <v/>
      </c>
      <c r="K73" s="8" t="inlineStr">
        <is>
          <t>紫金矿业</t>
        </is>
      </c>
      <c r="L73" s="7" t="inlineStr">
        <is>
          <t>601899.SH</t>
        </is>
      </c>
      <c r="M73" s="20" t="n">
        <v>6116.7</v>
      </c>
      <c r="N73" s="8" t="inlineStr">
        <is>
          <t>中国中铁</t>
        </is>
      </c>
      <c r="O73" s="7" t="inlineStr">
        <is>
          <t>601390.SH</t>
        </is>
      </c>
      <c r="P73" s="20" t="n">
        <v>923.6</v>
      </c>
      <c r="Q73" s="8" t="inlineStr">
        <is>
          <t>西部矿业</t>
        </is>
      </c>
      <c r="R73" s="7" t="inlineStr">
        <is>
          <t>601168.SH</t>
        </is>
      </c>
      <c r="S73" s="20" t="n">
        <v>756.6</v>
      </c>
      <c r="T73" s="8" t="inlineStr">
        <is>
          <t>兴业银锡</t>
        </is>
      </c>
      <c r="U73" s="7" t="inlineStr">
        <is>
          <t>000426.SZ</t>
        </is>
      </c>
      <c r="V73" s="20" t="n">
        <v>702.4</v>
      </c>
      <c r="W73" s="8" t="inlineStr">
        <is>
          <t>锡业股份</t>
        </is>
      </c>
      <c r="X73" s="7" t="inlineStr">
        <is>
          <t>000960.SZ</t>
        </is>
      </c>
      <c r="Y73" s="20" t="n">
        <v>686.8</v>
      </c>
    </row>
    <row r="74">
      <c r="A74" s="7" t="inlineStr">
        <is>
          <t>885903.TI</t>
        </is>
      </c>
      <c r="B74" s="8">
        <f>[1]!thsiFinD("THS_GPJC_STOCK",$A74)</f>
        <v/>
      </c>
      <c r="C74" s="9">
        <f>[1]!thsiFinD("ths_int_chg_ratio_index",$A74,C$1,C$2)/100</f>
        <v/>
      </c>
      <c r="D74" s="9">
        <f>[1]!thsiFinD("ths_int_chg_ratio_index",$A74,D$1,D$2)/100</f>
        <v/>
      </c>
      <c r="E74" s="9">
        <f>[1]!thsiFinD("ths_int_chg_ratio_index",$A74,E$1,E$2)/100</f>
        <v/>
      </c>
      <c r="F74" s="10">
        <f>D74-(E74-D74)/3</f>
        <v/>
      </c>
      <c r="G74" s="7" t="inlineStr">
        <is>
          <t>产业链</t>
        </is>
      </c>
      <c r="H74" s="7">
        <f>IFERROR(VLOOKUP($I74,'分类规则'!$A$30:$C$200,2,0),"")</f>
        <v/>
      </c>
      <c r="I74" s="7" t="inlineStr">
        <is>
          <t>化工</t>
        </is>
      </c>
      <c r="J74" s="7">
        <f>IFERROR(VLOOKUP($I74,'分类规则'!$A$30:$C$200,3,0),"")</f>
        <v/>
      </c>
      <c r="K74" s="8" t="inlineStr">
        <is>
          <t>万华化学</t>
        </is>
      </c>
      <c r="L74" s="7" t="inlineStr">
        <is>
          <t>600309.SH</t>
        </is>
      </c>
      <c r="M74" s="20" t="n">
        <v>2161.6</v>
      </c>
      <c r="N74" s="8" t="inlineStr">
        <is>
          <t>东方盛虹</t>
        </is>
      </c>
      <c r="O74" s="7" t="inlineStr">
        <is>
          <t>000301.SZ</t>
        </is>
      </c>
      <c r="P74" s="20" t="n">
        <v>765.9</v>
      </c>
      <c r="Q74" s="8" t="inlineStr">
        <is>
          <t>卫星化学</t>
        </is>
      </c>
      <c r="R74" s="7" t="inlineStr">
        <is>
          <t>002648.SZ</t>
        </is>
      </c>
      <c r="S74" s="20" t="n">
        <v>728.8</v>
      </c>
      <c r="T74" s="8" t="inlineStr">
        <is>
          <t>中国化学</t>
        </is>
      </c>
      <c r="U74" s="7" t="inlineStr">
        <is>
          <t>601117.SH</t>
        </is>
      </c>
      <c r="V74" s="20" t="n">
        <v>491.9</v>
      </c>
      <c r="W74" s="8" t="inlineStr">
        <is>
          <t>联泓新科</t>
        </is>
      </c>
      <c r="X74" s="7" t="inlineStr">
        <is>
          <t>003022.SZ</t>
        </is>
      </c>
      <c r="Y74" s="20" t="n">
        <v>376.2</v>
      </c>
    </row>
    <row r="75">
      <c r="A75" s="7" t="inlineStr">
        <is>
          <t>883304.TI</t>
        </is>
      </c>
      <c r="B75" s="8">
        <f>[1]!thsiFinD("THS_GPJC_STOCK",$A75)</f>
        <v/>
      </c>
      <c r="C75" s="9">
        <f>[1]!thsiFinD("ths_int_chg_ratio_index",$A75,C$1,C$2)/100</f>
        <v/>
      </c>
      <c r="D75" s="9">
        <f>[1]!thsiFinD("ths_int_chg_ratio_index",$A75,D$1,D$2)/100</f>
        <v/>
      </c>
      <c r="E75" s="9">
        <f>[1]!thsiFinD("ths_int_chg_ratio_index",$A75,E$1,E$2)/100</f>
        <v/>
      </c>
      <c r="F75" s="10">
        <f>D75-(E75-D75)/3</f>
        <v/>
      </c>
      <c r="G75" s="7" t="inlineStr">
        <is>
          <t>宽基风格</t>
        </is>
      </c>
      <c r="H75" s="7">
        <f>IFERROR(VLOOKUP($I75,'分类规则'!$A$30:$C$200,2,0),"")</f>
        <v/>
      </c>
      <c r="I75" s="7" t="inlineStr">
        <is>
          <t>中证500</t>
        </is>
      </c>
      <c r="J75" s="7">
        <f>IFERROR(VLOOKUP($I75,'分类规则'!$A$30:$C$200,3,0),"")</f>
        <v/>
      </c>
      <c r="K75" s="8" t="inlineStr">
        <is>
          <t>宏和科技</t>
        </is>
      </c>
      <c r="L75" s="7" t="inlineStr">
        <is>
          <t>603256.SH</t>
        </is>
      </c>
      <c r="M75" s="20" t="n">
        <v>2267.9</v>
      </c>
      <c r="N75" s="8" t="inlineStr">
        <is>
          <t>光迅科技</t>
        </is>
      </c>
      <c r="O75" s="7" t="inlineStr">
        <is>
          <t>002281.SZ</t>
        </is>
      </c>
      <c r="P75" s="20" t="n">
        <v>2077.7</v>
      </c>
      <c r="Q75" s="8" t="inlineStr">
        <is>
          <t>源杰科技</t>
        </is>
      </c>
      <c r="R75" s="7" t="inlineStr">
        <is>
          <t>688498.SH</t>
        </is>
      </c>
      <c r="S75" s="20" t="n">
        <v>2056.4</v>
      </c>
      <c r="T75" s="8" t="inlineStr">
        <is>
          <t>长飞光纤</t>
        </is>
      </c>
      <c r="U75" s="7" t="inlineStr">
        <is>
          <t>601869.SH</t>
        </is>
      </c>
      <c r="V75" s="20" t="n">
        <v>1916.1</v>
      </c>
      <c r="W75" s="8" t="inlineStr">
        <is>
          <t>大族数控</t>
        </is>
      </c>
      <c r="X75" s="7" t="inlineStr">
        <is>
          <t>301200.SZ</t>
        </is>
      </c>
      <c r="Y75" s="20" t="n">
        <v>1433.1</v>
      </c>
    </row>
    <row r="76">
      <c r="A76" s="7" t="inlineStr">
        <is>
          <t>886035.TI</t>
        </is>
      </c>
      <c r="B76" s="8">
        <f>[1]!thsiFinD("THS_GPJC_STOCK",$A76)</f>
        <v/>
      </c>
      <c r="C76" s="9">
        <f>[1]!thsiFinD("ths_int_chg_ratio_index",$A76,C$1,C$2)/100</f>
        <v/>
      </c>
      <c r="D76" s="9">
        <f>[1]!thsiFinD("ths_int_chg_ratio_index",$A76,D$1,D$2)/100</f>
        <v/>
      </c>
      <c r="E76" s="9">
        <f>[1]!thsiFinD("ths_int_chg_ratio_index",$A76,E$1,E$2)/100</f>
        <v/>
      </c>
      <c r="F76" s="10">
        <f>D76-(E76-D76)/3</f>
        <v/>
      </c>
      <c r="G76" s="7" t="inlineStr">
        <is>
          <t>产业链</t>
        </is>
      </c>
      <c r="H76" s="7">
        <f>IFERROR(VLOOKUP($I76,'分类规则'!$A$30:$C$200,2,0),"")</f>
        <v/>
      </c>
      <c r="I76" s="7" t="inlineStr">
        <is>
          <t>汽车</t>
        </is>
      </c>
      <c r="J76" s="7">
        <f>IFERROR(VLOOKUP($I76,'分类规则'!$A$30:$C$200,3,0),"")</f>
        <v/>
      </c>
      <c r="K76" s="8" t="inlineStr">
        <is>
          <t>立讯精密</t>
        </is>
      </c>
      <c r="L76" s="7" t="inlineStr">
        <is>
          <t>002475.SZ</t>
        </is>
      </c>
      <c r="M76" s="20" t="n">
        <v>5083.4</v>
      </c>
      <c r="N76" s="8" t="inlineStr">
        <is>
          <t>生益科技</t>
        </is>
      </c>
      <c r="O76" s="7" t="inlineStr">
        <is>
          <t>600183.SH</t>
        </is>
      </c>
      <c r="P76" s="20" t="n">
        <v>4402.8</v>
      </c>
      <c r="Q76" s="8" t="inlineStr">
        <is>
          <t>沪电股份</t>
        </is>
      </c>
      <c r="R76" s="7" t="inlineStr">
        <is>
          <t>002463.SZ</t>
        </is>
      </c>
      <c r="S76" s="20" t="n">
        <v>2843.8</v>
      </c>
      <c r="T76" s="8" t="inlineStr">
        <is>
          <t>长电科技</t>
        </is>
      </c>
      <c r="U76" s="7" t="inlineStr">
        <is>
          <t>600584.SH</t>
        </is>
      </c>
      <c r="V76" s="20" t="n">
        <v>1485.8</v>
      </c>
      <c r="W76" s="8" t="inlineStr">
        <is>
          <t>生益电子</t>
        </is>
      </c>
      <c r="X76" s="7" t="inlineStr">
        <is>
          <t>688183.SH</t>
        </is>
      </c>
      <c r="Y76" s="20" t="n">
        <v>1152.1</v>
      </c>
    </row>
    <row r="77">
      <c r="A77" s="7" t="inlineStr">
        <is>
          <t>885912.TI</t>
        </is>
      </c>
      <c r="B77" s="8">
        <f>[1]!thsiFinD("THS_GPJC_STOCK",$A77)</f>
        <v/>
      </c>
      <c r="C77" s="9">
        <f>[1]!thsiFinD("ths_int_chg_ratio_index",$A77,C$1,C$2)/100</f>
        <v/>
      </c>
      <c r="D77" s="9">
        <f>[1]!thsiFinD("ths_int_chg_ratio_index",$A77,D$1,D$2)/100</f>
        <v/>
      </c>
      <c r="E77" s="9">
        <f>[1]!thsiFinD("ths_int_chg_ratio_index",$A77,E$1,E$2)/100</f>
        <v/>
      </c>
      <c r="F77" s="10">
        <f>D77-(E77-D77)/3</f>
        <v/>
      </c>
      <c r="G77" s="7" t="inlineStr">
        <is>
          <t>产业链</t>
        </is>
      </c>
      <c r="H77" s="7">
        <f>IFERROR(VLOOKUP($I77,'分类规则'!$A$30:$C$200,2,0),"")</f>
        <v/>
      </c>
      <c r="I77" s="7" t="inlineStr">
        <is>
          <t>化工</t>
        </is>
      </c>
      <c r="J77" s="7">
        <f>IFERROR(VLOOKUP($I77,'分类规则'!$A$30:$C$200,3,0),"")</f>
        <v/>
      </c>
      <c r="K77" s="8" t="inlineStr">
        <is>
          <t>天赐材料</t>
        </is>
      </c>
      <c r="L77" s="7" t="inlineStr">
        <is>
          <t>002709.SZ</t>
        </is>
      </c>
      <c r="M77" s="20" t="n">
        <v>778.8</v>
      </c>
      <c r="N77" s="8" t="inlineStr">
        <is>
          <t>合盛硅业</t>
        </is>
      </c>
      <c r="O77" s="7" t="inlineStr">
        <is>
          <t>603260.SH</t>
        </is>
      </c>
      <c r="P77" s="20" t="n">
        <v>572.2</v>
      </c>
      <c r="Q77" s="8" t="inlineStr">
        <is>
          <t>兴发集团</t>
        </is>
      </c>
      <c r="R77" s="7" t="inlineStr">
        <is>
          <t>600141.SH</t>
        </is>
      </c>
      <c r="S77" s="20" t="n">
        <v>464.5</v>
      </c>
      <c r="T77" s="8" t="inlineStr">
        <is>
          <t>大全能源</t>
        </is>
      </c>
      <c r="U77" s="7" t="inlineStr">
        <is>
          <t>688303.SH</t>
        </is>
      </c>
      <c r="V77" s="20" t="n">
        <v>411.9</v>
      </c>
      <c r="W77" s="8" t="inlineStr">
        <is>
          <t>鲁西化工</t>
        </is>
      </c>
      <c r="X77" s="7" t="inlineStr">
        <is>
          <t>000830.SZ</t>
        </is>
      </c>
      <c r="Y77" s="20" t="n">
        <v>239.7</v>
      </c>
    </row>
    <row r="78">
      <c r="A78" s="7" t="inlineStr">
        <is>
          <t>885996.TI</t>
        </is>
      </c>
      <c r="B78" s="8">
        <f>[1]!thsiFinD("THS_GPJC_STOCK",$A78)</f>
        <v/>
      </c>
      <c r="C78" s="9">
        <f>[1]!thsiFinD("ths_int_chg_ratio_index",$A78,C$1,C$2)/100</f>
        <v/>
      </c>
      <c r="D78" s="9">
        <f>[1]!thsiFinD("ths_int_chg_ratio_index",$A78,D$1,D$2)/100</f>
        <v/>
      </c>
      <c r="E78" s="9">
        <f>[1]!thsiFinD("ths_int_chg_ratio_index",$A78,E$1,E$2)/100</f>
        <v/>
      </c>
      <c r="F78" s="10">
        <f>D78-(E78-D78)/3</f>
        <v/>
      </c>
      <c r="G78" s="7" t="inlineStr">
        <is>
          <t>产业链</t>
        </is>
      </c>
      <c r="H78" s="7">
        <f>IFERROR(VLOOKUP($I78,'分类规则'!$A$30:$C$200,2,0),"")</f>
        <v/>
      </c>
      <c r="I78" s="7" t="inlineStr">
        <is>
          <t>火电</t>
        </is>
      </c>
      <c r="J78" s="7">
        <f>IFERROR(VLOOKUP($I78,'分类规则'!$A$30:$C$200,3,0),"")</f>
        <v/>
      </c>
      <c r="K78" s="8" t="inlineStr">
        <is>
          <t>特变电工</t>
        </is>
      </c>
      <c r="L78" s="7" t="inlineStr">
        <is>
          <t>600089.SH</t>
        </is>
      </c>
      <c r="M78" s="20" t="n">
        <v>1178.3</v>
      </c>
      <c r="N78" s="8" t="inlineStr">
        <is>
          <t>上海电气</t>
        </is>
      </c>
      <c r="O78" s="7" t="inlineStr">
        <is>
          <t>601727.SH</t>
        </is>
      </c>
      <c r="P78" s="20" t="n">
        <v>922.2</v>
      </c>
      <c r="Q78" s="8" t="inlineStr">
        <is>
          <t>中国能建</t>
        </is>
      </c>
      <c r="R78" s="7" t="inlineStr">
        <is>
          <t>601868.SH</t>
        </is>
      </c>
      <c r="S78" s="20" t="n">
        <v>895</v>
      </c>
      <c r="T78" s="8" t="inlineStr">
        <is>
          <t>国电电力</t>
        </is>
      </c>
      <c r="U78" s="7" t="inlineStr">
        <is>
          <t>600795.SH</t>
        </is>
      </c>
      <c r="V78" s="20" t="n">
        <v>845.4</v>
      </c>
      <c r="W78" s="8" t="inlineStr">
        <is>
          <t>华能国际</t>
        </is>
      </c>
      <c r="X78" s="7" t="inlineStr">
        <is>
          <t>600011.SH</t>
        </is>
      </c>
      <c r="Y78" s="20" t="n">
        <v>840.2</v>
      </c>
    </row>
    <row r="79">
      <c r="A79" s="7" t="inlineStr">
        <is>
          <t>886052.TI</t>
        </is>
      </c>
      <c r="B79" s="8">
        <f>[1]!thsiFinD("THS_GPJC_STOCK",$A79)</f>
        <v/>
      </c>
      <c r="C79" s="9">
        <f>[1]!thsiFinD("ths_int_chg_ratio_index",$A79,C$1,C$2)/100</f>
        <v/>
      </c>
      <c r="D79" s="9">
        <f>[1]!thsiFinD("ths_int_chg_ratio_index",$A79,D$1,D$2)/100</f>
        <v/>
      </c>
      <c r="E79" s="9">
        <f>[1]!thsiFinD("ths_int_chg_ratio_index",$A79,E$1,E$2)/100</f>
        <v/>
      </c>
      <c r="F79" s="10">
        <f>D79-(E79-D79)/3</f>
        <v/>
      </c>
      <c r="G79" s="7" t="inlineStr">
        <is>
          <t>产业链</t>
        </is>
      </c>
      <c r="H79" s="7">
        <f>IFERROR(VLOOKUP($I79,'分类规则'!$A$30:$C$200,2,0),"")</f>
        <v/>
      </c>
      <c r="I79" s="7" t="inlineStr">
        <is>
          <t>环保</t>
        </is>
      </c>
      <c r="J79" s="7">
        <f>IFERROR(VLOOKUP($I79,'分类规则'!$A$30:$C$200,3,0),"")</f>
        <v/>
      </c>
      <c r="K79" s="8" t="inlineStr">
        <is>
          <t>中国广核</t>
        </is>
      </c>
      <c r="L79" s="7" t="inlineStr">
        <is>
          <t>003816.SZ</t>
        </is>
      </c>
      <c r="M79" s="20" t="n">
        <v>1604.9</v>
      </c>
      <c r="N79" s="8" t="inlineStr">
        <is>
          <t>上海电气</t>
        </is>
      </c>
      <c r="O79" s="7" t="inlineStr">
        <is>
          <t>601727.SH</t>
        </is>
      </c>
      <c r="P79" s="20" t="n">
        <v>922.2</v>
      </c>
      <c r="Q79" s="8" t="inlineStr">
        <is>
          <t>中国动力</t>
        </is>
      </c>
      <c r="R79" s="7" t="inlineStr">
        <is>
          <t>600482.SH</t>
        </is>
      </c>
      <c r="S79" s="20" t="n">
        <v>751</v>
      </c>
      <c r="T79" s="8" t="inlineStr">
        <is>
          <t>应流股份</t>
        </is>
      </c>
      <c r="U79" s="7" t="inlineStr">
        <is>
          <t>603308.SH</t>
        </is>
      </c>
      <c r="V79" s="20" t="n">
        <v>463</v>
      </c>
      <c r="W79" s="8" t="inlineStr">
        <is>
          <t>光智科技</t>
        </is>
      </c>
      <c r="X79" s="7" t="inlineStr">
        <is>
          <t>300489.SZ</t>
        </is>
      </c>
      <c r="Y79" s="20" t="n">
        <v>312.7</v>
      </c>
    </row>
    <row r="80">
      <c r="A80" s="7" t="inlineStr">
        <is>
          <t>885969.TI</t>
        </is>
      </c>
      <c r="B80" s="8">
        <f>[1]!thsiFinD("THS_GPJC_STOCK",$A80)</f>
        <v/>
      </c>
      <c r="C80" s="9">
        <f>[1]!thsiFinD("ths_int_chg_ratio_index",$A80,C$1,C$2)/100</f>
        <v/>
      </c>
      <c r="D80" s="9">
        <f>[1]!thsiFinD("ths_int_chg_ratio_index",$A80,D$1,D$2)/100</f>
        <v/>
      </c>
      <c r="E80" s="9">
        <f>[1]!thsiFinD("ths_int_chg_ratio_index",$A80,E$1,E$2)/100</f>
        <v/>
      </c>
      <c r="F80" s="10">
        <f>D80-(E80-D80)/3</f>
        <v/>
      </c>
      <c r="G80" s="7" t="inlineStr">
        <is>
          <t>产业链</t>
        </is>
      </c>
      <c r="H80" s="7">
        <f>IFERROR(VLOOKUP($I80,'分类规则'!$A$30:$C$200,2,0),"")</f>
        <v/>
      </c>
      <c r="I80" s="7" t="inlineStr">
        <is>
          <t>有色金属</t>
        </is>
      </c>
      <c r="J80" s="7">
        <f>IFERROR(VLOOKUP($I80,'分类规则'!$A$30:$C$200,3,0),"")</f>
        <v/>
      </c>
      <c r="K80" s="8" t="n"/>
      <c r="L80" s="7" t="n"/>
      <c r="M80" s="7" t="n"/>
      <c r="N80" s="8" t="n"/>
      <c r="O80" s="7" t="n"/>
      <c r="P80" s="7" t="n"/>
      <c r="Q80" s="8" t="n"/>
      <c r="R80" s="7" t="n"/>
      <c r="S80" s="7" t="n"/>
      <c r="T80" s="8" t="n"/>
      <c r="U80" s="7" t="n"/>
      <c r="V80" s="7" t="n"/>
      <c r="W80" s="8" t="n"/>
      <c r="X80" s="7" t="n"/>
      <c r="Y80" s="7" t="n"/>
    </row>
    <row r="81">
      <c r="A81" s="7" t="inlineStr">
        <is>
          <t>885555.TI</t>
        </is>
      </c>
      <c r="B81" s="8">
        <f>[1]!thsiFinD("THS_GPJC_STOCK",$A81)</f>
        <v/>
      </c>
      <c r="C81" s="9">
        <f>[1]!thsiFinD("ths_int_chg_ratio_index",$A81,C$1,C$2)/100</f>
        <v/>
      </c>
      <c r="D81" s="9">
        <f>[1]!thsiFinD("ths_int_chg_ratio_index",$A81,D$1,D$2)/100</f>
        <v/>
      </c>
      <c r="E81" s="9">
        <f>[1]!thsiFinD("ths_int_chg_ratio_index",$A81,E$1,E$2)/100</f>
        <v/>
      </c>
      <c r="F81" s="10">
        <f>D81-(E81-D81)/3</f>
        <v/>
      </c>
      <c r="G81" s="7" t="inlineStr">
        <is>
          <t>产业链</t>
        </is>
      </c>
      <c r="H81" s="7">
        <f>IFERROR(VLOOKUP($I81,'分类规则'!$A$30:$C$200,2,0),"")</f>
        <v/>
      </c>
      <c r="I81" s="7" t="inlineStr">
        <is>
          <t>环保</t>
        </is>
      </c>
      <c r="J81" s="7">
        <f>IFERROR(VLOOKUP($I81,'分类规则'!$A$30:$C$200,3,0),"")</f>
        <v/>
      </c>
      <c r="K81" s="8" t="inlineStr">
        <is>
          <t>贵研铂业</t>
        </is>
      </c>
      <c r="L81" s="7" t="inlineStr">
        <is>
          <t>600459.SH</t>
        </is>
      </c>
      <c r="M81" s="20" t="n">
        <v>198.2</v>
      </c>
      <c r="N81" s="8" t="inlineStr">
        <is>
          <t>再升科技</t>
        </is>
      </c>
      <c r="O81" s="7" t="inlineStr">
        <is>
          <t>603601.SH</t>
        </is>
      </c>
      <c r="P81" s="20" t="n">
        <v>171</v>
      </c>
      <c r="Q81" s="8" t="inlineStr">
        <is>
          <t>华盛昌</t>
        </is>
      </c>
      <c r="R81" s="7" t="inlineStr">
        <is>
          <t>002980.SZ</t>
        </is>
      </c>
      <c r="S81" s="20" t="n">
        <v>133</v>
      </c>
      <c r="T81" s="8" t="inlineStr">
        <is>
          <t>优利德</t>
        </is>
      </c>
      <c r="U81" s="7" t="inlineStr">
        <is>
          <t>688628.SH</t>
        </is>
      </c>
      <c r="V81" s="20" t="n">
        <v>118.6</v>
      </c>
      <c r="W81" s="8" t="inlineStr">
        <is>
          <t>美埃科技</t>
        </is>
      </c>
      <c r="X81" s="7" t="inlineStr">
        <is>
          <t>688376.SH</t>
        </is>
      </c>
      <c r="Y81" s="20" t="n">
        <v>106.5</v>
      </c>
    </row>
    <row r="82">
      <c r="A82" s="7" t="inlineStr">
        <is>
          <t>885863.TI</t>
        </is>
      </c>
      <c r="B82" s="8">
        <f>[1]!thsiFinD("THS_GPJC_STOCK",$A82)</f>
        <v/>
      </c>
      <c r="C82" s="9">
        <f>[1]!thsiFinD("ths_int_chg_ratio_index",$A82,C$1,C$2)/100</f>
        <v/>
      </c>
      <c r="D82" s="9">
        <f>[1]!thsiFinD("ths_int_chg_ratio_index",$A82,D$1,D$2)/100</f>
        <v/>
      </c>
      <c r="E82" s="9">
        <f>[1]!thsiFinD("ths_int_chg_ratio_index",$A82,E$1,E$2)/100</f>
        <v/>
      </c>
      <c r="F82" s="10">
        <f>D82-(E82-D82)/3</f>
        <v/>
      </c>
      <c r="G82" s="7" t="inlineStr">
        <is>
          <t>产业链</t>
        </is>
      </c>
      <c r="H82" s="7">
        <f>IFERROR(VLOOKUP($I82,'分类规则'!$A$30:$C$200,2,0),"")</f>
        <v/>
      </c>
      <c r="I82" s="7" t="inlineStr">
        <is>
          <t>化工</t>
        </is>
      </c>
      <c r="J82" s="7">
        <f>IFERROR(VLOOKUP($I82,'分类规则'!$A$30:$C$200,3,0),"")</f>
        <v/>
      </c>
      <c r="K82" s="8" t="inlineStr">
        <is>
          <t>洛阳钼业</t>
        </is>
      </c>
      <c r="L82" s="7" t="inlineStr">
        <is>
          <t>603993.SH</t>
        </is>
      </c>
      <c r="M82" s="20" t="n">
        <v>3499.2</v>
      </c>
      <c r="N82" s="8" t="inlineStr">
        <is>
          <t>华友钴业</t>
        </is>
      </c>
      <c r="O82" s="7" t="inlineStr">
        <is>
          <t>603799.SH</t>
        </is>
      </c>
      <c r="P82" s="20" t="n">
        <v>983.4</v>
      </c>
      <c r="Q82" s="8" t="inlineStr">
        <is>
          <t>昊华科技</t>
        </is>
      </c>
      <c r="R82" s="7" t="inlineStr">
        <is>
          <t>600378.SH</t>
        </is>
      </c>
      <c r="S82" s="20" t="n">
        <v>698.9</v>
      </c>
      <c r="T82" s="8" t="inlineStr">
        <is>
          <t>湖南裕能</t>
        </is>
      </c>
      <c r="U82" s="7" t="inlineStr">
        <is>
          <t>301358.SZ</t>
        </is>
      </c>
      <c r="V82" s="20" t="n">
        <v>578.2</v>
      </c>
      <c r="W82" s="8" t="inlineStr">
        <is>
          <t>云天化</t>
        </is>
      </c>
      <c r="X82" s="7" t="inlineStr">
        <is>
          <t>600096.SH</t>
        </is>
      </c>
      <c r="Y82" s="20" t="n">
        <v>539.1</v>
      </c>
    </row>
    <row r="83">
      <c r="A83" s="7" t="inlineStr">
        <is>
          <t>886001.TI</t>
        </is>
      </c>
      <c r="B83" s="8">
        <f>[1]!thsiFinD("THS_GPJC_STOCK",$A83)</f>
        <v/>
      </c>
      <c r="C83" s="9">
        <f>[1]!thsiFinD("ths_int_chg_ratio_index",$A83,C$1,C$2)/100</f>
        <v/>
      </c>
      <c r="D83" s="9">
        <f>[1]!thsiFinD("ths_int_chg_ratio_index",$A83,D$1,D$2)/100</f>
        <v/>
      </c>
      <c r="E83" s="9">
        <f>[1]!thsiFinD("ths_int_chg_ratio_index",$A83,E$1,E$2)/100</f>
        <v/>
      </c>
      <c r="F83" s="10">
        <f>D83-(E83-D83)/3</f>
        <v/>
      </c>
      <c r="G83" s="7" t="inlineStr">
        <is>
          <t>产业链</t>
        </is>
      </c>
      <c r="H83" s="7">
        <f>IFERROR(VLOOKUP($I83,'分类规则'!$A$30:$C$200,2,0),"")</f>
        <v/>
      </c>
      <c r="I83" s="7" t="inlineStr">
        <is>
          <t>汽车</t>
        </is>
      </c>
      <c r="J83" s="7">
        <f>IFERROR(VLOOKUP($I83,'分类规则'!$A$30:$C$200,3,0),"")</f>
        <v/>
      </c>
      <c r="K83" s="8" t="inlineStr">
        <is>
          <t>东山精密</t>
        </is>
      </c>
      <c r="L83" s="7" t="inlineStr">
        <is>
          <t>002384.SZ</t>
        </is>
      </c>
      <c r="M83" s="20" t="n">
        <v>3784.7</v>
      </c>
      <c r="N83" s="8" t="inlineStr">
        <is>
          <t>比亚迪</t>
        </is>
      </c>
      <c r="O83" s="7" t="inlineStr">
        <is>
          <t>002594.SZ</t>
        </is>
      </c>
      <c r="P83" s="20" t="n">
        <v>3072.8</v>
      </c>
      <c r="Q83" s="8" t="inlineStr">
        <is>
          <t>华工科技</t>
        </is>
      </c>
      <c r="R83" s="7" t="inlineStr">
        <is>
          <t>000988.SZ</t>
        </is>
      </c>
      <c r="S83" s="20" t="n">
        <v>1784.4</v>
      </c>
      <c r="T83" s="8" t="inlineStr">
        <is>
          <t>特变电工</t>
        </is>
      </c>
      <c r="U83" s="7" t="inlineStr">
        <is>
          <t>600089.SH</t>
        </is>
      </c>
      <c r="V83" s="20" t="n">
        <v>1178.3</v>
      </c>
      <c r="W83" s="8" t="inlineStr">
        <is>
          <t>风华高科</t>
        </is>
      </c>
      <c r="X83" s="7" t="inlineStr">
        <is>
          <t>000636.SZ</t>
        </is>
      </c>
      <c r="Y83" s="20" t="n">
        <v>863.1</v>
      </c>
    </row>
    <row r="84">
      <c r="A84" s="7" t="inlineStr">
        <is>
          <t>885946.TI</t>
        </is>
      </c>
      <c r="B84" s="8">
        <f>[1]!thsiFinD("THS_GPJC_STOCK",$A84)</f>
        <v/>
      </c>
      <c r="C84" s="9">
        <f>[1]!thsiFinD("ths_int_chg_ratio_index",$A84,C$1,C$2)/100</f>
        <v/>
      </c>
      <c r="D84" s="9">
        <f>[1]!thsiFinD("ths_int_chg_ratio_index",$A84,D$1,D$2)/100</f>
        <v/>
      </c>
      <c r="E84" s="9">
        <f>[1]!thsiFinD("ths_int_chg_ratio_index",$A84,E$1,E$2)/100</f>
        <v/>
      </c>
      <c r="F84" s="10">
        <f>D84-(E84-D84)/3</f>
        <v/>
      </c>
      <c r="G84" s="7" t="inlineStr">
        <is>
          <t>产业链</t>
        </is>
      </c>
      <c r="H84" s="7">
        <f>IFERROR(VLOOKUP($I84,'分类规则'!$A$30:$C$200,2,0),"")</f>
        <v/>
      </c>
      <c r="I84" s="7" t="inlineStr">
        <is>
          <t>半导体</t>
        </is>
      </c>
      <c r="J84" s="7">
        <f>IFERROR(VLOOKUP($I84,'分类规则'!$A$30:$C$200,3,0),"")</f>
        <v/>
      </c>
      <c r="K84" s="8" t="inlineStr">
        <is>
          <t>兆易创新</t>
        </is>
      </c>
      <c r="L84" s="7" t="inlineStr">
        <is>
          <t>603986.SH</t>
        </is>
      </c>
      <c r="M84" s="20" t="n">
        <v>4204.8</v>
      </c>
      <c r="N84" s="8" t="inlineStr">
        <is>
          <t>蓝思科技</t>
        </is>
      </c>
      <c r="O84" s="7" t="inlineStr">
        <is>
          <t>300433.SZ</t>
        </is>
      </c>
      <c r="P84" s="20" t="n">
        <v>2771.6</v>
      </c>
      <c r="Q84" s="8" t="inlineStr">
        <is>
          <t>京东方A</t>
        </is>
      </c>
      <c r="R84" s="7" t="inlineStr">
        <is>
          <t>000725.SZ</t>
        </is>
      </c>
      <c r="S84" s="20" t="n">
        <v>2316.5</v>
      </c>
      <c r="T84" s="8" t="inlineStr">
        <is>
          <t>华工科技</t>
        </is>
      </c>
      <c r="U84" s="7" t="inlineStr">
        <is>
          <t>000988.SZ</t>
        </is>
      </c>
      <c r="V84" s="20" t="n">
        <v>1784.4</v>
      </c>
      <c r="W84" s="8" t="inlineStr">
        <is>
          <t>豪威集团</t>
        </is>
      </c>
      <c r="X84" s="7" t="inlineStr">
        <is>
          <t>603501.SH</t>
        </is>
      </c>
      <c r="Y84" s="20" t="n">
        <v>1089.2</v>
      </c>
    </row>
    <row r="85">
      <c r="A85" s="7" t="inlineStr">
        <is>
          <t>886028.TI</t>
        </is>
      </c>
      <c r="B85" s="8">
        <f>[1]!thsiFinD("THS_GPJC_STOCK",$A85)</f>
        <v/>
      </c>
      <c r="C85" s="9">
        <f>[1]!thsiFinD("ths_int_chg_ratio_index",$A85,C$1,C$2)/100</f>
        <v/>
      </c>
      <c r="D85" s="9">
        <f>[1]!thsiFinD("ths_int_chg_ratio_index",$A85,D$1,D$2)/100</f>
        <v/>
      </c>
      <c r="E85" s="9">
        <f>[1]!thsiFinD("ths_int_chg_ratio_index",$A85,E$1,E$2)/100</f>
        <v/>
      </c>
      <c r="F85" s="10">
        <f>D85-(E85-D85)/3</f>
        <v/>
      </c>
      <c r="G85" s="7" t="inlineStr">
        <is>
          <t>产业链</t>
        </is>
      </c>
      <c r="H85" s="7">
        <f>IFERROR(VLOOKUP($I85,'分类规则'!$A$30:$C$200,2,0),"")</f>
        <v/>
      </c>
      <c r="I85" s="7" t="inlineStr">
        <is>
          <t>医疗器械</t>
        </is>
      </c>
      <c r="J85" s="7">
        <f>IFERROR(VLOOKUP($I85,'分类规则'!$A$30:$C$200,3,0),"")</f>
        <v/>
      </c>
      <c r="K85" s="8" t="inlineStr">
        <is>
          <t>九安医疗</t>
        </is>
      </c>
      <c r="L85" s="7" t="inlineStr">
        <is>
          <t>002432.SZ</t>
        </is>
      </c>
      <c r="M85" s="20" t="n">
        <v>342</v>
      </c>
      <c r="N85" s="8" t="inlineStr">
        <is>
          <t>科翔股份</t>
        </is>
      </c>
      <c r="O85" s="7" t="inlineStr">
        <is>
          <t>300903.SZ</t>
        </is>
      </c>
      <c r="P85" s="20" t="n">
        <v>335.9</v>
      </c>
      <c r="Q85" s="8" t="inlineStr">
        <is>
          <t>四川长虹</t>
        </is>
      </c>
      <c r="R85" s="7" t="inlineStr">
        <is>
          <t>600839.SH</t>
        </is>
      </c>
      <c r="S85" s="20" t="n">
        <v>312.9</v>
      </c>
      <c r="T85" s="8" t="inlineStr">
        <is>
          <t>鱼跃医疗</t>
        </is>
      </c>
      <c r="U85" s="7" t="inlineStr">
        <is>
          <t>002223.SZ</t>
        </is>
      </c>
      <c r="V85" s="20" t="n">
        <v>232.9</v>
      </c>
      <c r="W85" s="8" t="inlineStr">
        <is>
          <t>乐普医疗</t>
        </is>
      </c>
      <c r="X85" s="7" t="inlineStr">
        <is>
          <t>300003.SZ</t>
        </is>
      </c>
      <c r="Y85" s="20" t="n">
        <v>186.6</v>
      </c>
    </row>
    <row r="86">
      <c r="A86" s="7" t="inlineStr">
        <is>
          <t>885785.TI</t>
        </is>
      </c>
      <c r="B86" s="8">
        <f>[1]!thsiFinD("THS_GPJC_STOCK",$A86)</f>
        <v/>
      </c>
      <c r="C86" s="9">
        <f>[1]!thsiFinD("ths_int_chg_ratio_index",$A86,C$1,C$2)/100</f>
        <v/>
      </c>
      <c r="D86" s="9">
        <f>[1]!thsiFinD("ths_int_chg_ratio_index",$A86,D$1,D$2)/100</f>
        <v/>
      </c>
      <c r="E86" s="9">
        <f>[1]!thsiFinD("ths_int_chg_ratio_index",$A86,E$1,E$2)/100</f>
        <v/>
      </c>
      <c r="F86" s="10">
        <f>D86-(E86-D86)/3</f>
        <v/>
      </c>
      <c r="G86" s="7" t="inlineStr">
        <is>
          <t>公司链</t>
        </is>
      </c>
      <c r="H86" s="7">
        <f>IFERROR(VLOOKUP($I86,'分类规则'!$A$30:$C$200,2,0),"")</f>
        <v/>
      </c>
      <c r="I86" s="7" t="inlineStr">
        <is>
          <t>消费电子</t>
        </is>
      </c>
      <c r="J86" s="7">
        <f>IFERROR(VLOOKUP($I86,'分类规则'!$A$30:$C$200,3,0),"")</f>
        <v/>
      </c>
      <c r="K86" s="8" t="inlineStr">
        <is>
          <t>兆易创新</t>
        </is>
      </c>
      <c r="L86" s="7" t="inlineStr">
        <is>
          <t>603986.SH</t>
        </is>
      </c>
      <c r="M86" s="20" t="n">
        <v>4204.8</v>
      </c>
      <c r="N86" s="8" t="inlineStr">
        <is>
          <t>东山精密</t>
        </is>
      </c>
      <c r="O86" s="7" t="inlineStr">
        <is>
          <t>002384.SZ</t>
        </is>
      </c>
      <c r="P86" s="20" t="n">
        <v>3784.7</v>
      </c>
      <c r="Q86" s="8" t="inlineStr">
        <is>
          <t>胜宏科技</t>
        </is>
      </c>
      <c r="R86" s="7" t="inlineStr">
        <is>
          <t>300476.SZ</t>
        </is>
      </c>
      <c r="S86" s="20" t="n">
        <v>3192.6</v>
      </c>
      <c r="T86" s="8" t="inlineStr">
        <is>
          <t>三环集团</t>
        </is>
      </c>
      <c r="U86" s="7" t="inlineStr">
        <is>
          <t>300408.SZ</t>
        </is>
      </c>
      <c r="V86" s="20" t="n">
        <v>2952.2</v>
      </c>
      <c r="W86" s="8" t="inlineStr">
        <is>
          <t>蓝思科技</t>
        </is>
      </c>
      <c r="X86" s="7" t="inlineStr">
        <is>
          <t>300433.SZ</t>
        </is>
      </c>
      <c r="Y86" s="20" t="n">
        <v>2771.6</v>
      </c>
    </row>
    <row r="87">
      <c r="A87" s="7" t="inlineStr">
        <is>
          <t>885311.TI</t>
        </is>
      </c>
      <c r="B87" s="8">
        <f>[1]!thsiFinD("THS_GPJC_STOCK",$A87)</f>
        <v/>
      </c>
      <c r="C87" s="9">
        <f>[1]!thsiFinD("ths_int_chg_ratio_index",$A87,C$1,C$2)/100</f>
        <v/>
      </c>
      <c r="D87" s="9">
        <f>[1]!thsiFinD("ths_int_chg_ratio_index",$A87,D$1,D$2)/100</f>
        <v/>
      </c>
      <c r="E87" s="9">
        <f>[1]!thsiFinD("ths_int_chg_ratio_index",$A87,E$1,E$2)/100</f>
        <v/>
      </c>
      <c r="F87" s="10">
        <f>D87-(E87-D87)/3</f>
        <v/>
      </c>
      <c r="G87" s="7" t="inlineStr">
        <is>
          <t>产业链</t>
        </is>
      </c>
      <c r="H87" s="7">
        <f>IFERROR(VLOOKUP($I87,'分类规则'!$A$30:$C$200,2,0),"")</f>
        <v/>
      </c>
      <c r="I87" s="7" t="inlineStr">
        <is>
          <t>电力设备</t>
        </is>
      </c>
      <c r="J87" s="7">
        <f>IFERROR(VLOOKUP($I87,'分类规则'!$A$30:$C$200,3,0),"")</f>
        <v/>
      </c>
      <c r="K87" s="8" t="inlineStr">
        <is>
          <t>美的集团</t>
        </is>
      </c>
      <c r="L87" s="7" t="inlineStr">
        <is>
          <t>000333.SZ</t>
        </is>
      </c>
      <c r="M87" s="20" t="n">
        <v>5352.5</v>
      </c>
      <c r="N87" s="8" t="inlineStr">
        <is>
          <t>胜宏科技</t>
        </is>
      </c>
      <c r="O87" s="7" t="inlineStr">
        <is>
          <t>300476.SZ</t>
        </is>
      </c>
      <c r="P87" s="20" t="n">
        <v>3192.6</v>
      </c>
      <c r="Q87" s="8" t="inlineStr">
        <is>
          <t>亨通光电</t>
        </is>
      </c>
      <c r="R87" s="7" t="inlineStr">
        <is>
          <t>600487.SH</t>
        </is>
      </c>
      <c r="S87" s="20" t="n">
        <v>2714.4</v>
      </c>
      <c r="T87" s="8" t="inlineStr">
        <is>
          <t>中天科技</t>
        </is>
      </c>
      <c r="U87" s="7" t="inlineStr">
        <is>
          <t>600522.SH</t>
        </is>
      </c>
      <c r="V87" s="20" t="n">
        <v>1930</v>
      </c>
      <c r="W87" s="8" t="inlineStr">
        <is>
          <t>长飞光纤</t>
        </is>
      </c>
      <c r="X87" s="7" t="inlineStr">
        <is>
          <t>601869.SH</t>
        </is>
      </c>
      <c r="Y87" s="20" t="n">
        <v>1916.1</v>
      </c>
    </row>
    <row r="88">
      <c r="A88" s="7" t="inlineStr">
        <is>
          <t>886043.TI</t>
        </is>
      </c>
      <c r="B88" s="8">
        <f>[1]!thsiFinD("THS_GPJC_STOCK",$A88)</f>
        <v/>
      </c>
      <c r="C88" s="9">
        <f>[1]!thsiFinD("ths_int_chg_ratio_index",$A88,C$1,C$2)/100</f>
        <v/>
      </c>
      <c r="D88" s="9">
        <f>[1]!thsiFinD("ths_int_chg_ratio_index",$A88,D$1,D$2)/100</f>
        <v/>
      </c>
      <c r="E88" s="9">
        <f>[1]!thsiFinD("ths_int_chg_ratio_index",$A88,E$1,E$2)/100</f>
        <v/>
      </c>
      <c r="F88" s="10">
        <f>D88-(E88-D88)/3</f>
        <v/>
      </c>
      <c r="G88" s="7" t="inlineStr">
        <is>
          <t>产业链</t>
        </is>
      </c>
      <c r="H88" s="7">
        <f>IFERROR(VLOOKUP($I88,'分类规则'!$A$30:$C$200,2,0),"")</f>
        <v/>
      </c>
      <c r="I88" s="7" t="inlineStr">
        <is>
          <t>通信</t>
        </is>
      </c>
      <c r="J88" s="7">
        <f>IFERROR(VLOOKUP($I88,'分类规则'!$A$30:$C$200,3,0),"")</f>
        <v/>
      </c>
      <c r="K88" s="8" t="inlineStr">
        <is>
          <t>亨通光电</t>
        </is>
      </c>
      <c r="L88" s="7" t="inlineStr">
        <is>
          <t>600487.SH</t>
        </is>
      </c>
      <c r="M88" s="20" t="n">
        <v>2714.4</v>
      </c>
      <c r="N88" s="8" t="inlineStr">
        <is>
          <t>长飞光纤</t>
        </is>
      </c>
      <c r="O88" s="7" t="inlineStr">
        <is>
          <t>601869.SH</t>
        </is>
      </c>
      <c r="P88" s="20" t="n">
        <v>1916.1</v>
      </c>
      <c r="Q88" s="8" t="inlineStr">
        <is>
          <t>中兴通讯</t>
        </is>
      </c>
      <c r="R88" s="7" t="inlineStr">
        <is>
          <t>000063.SZ</t>
        </is>
      </c>
      <c r="S88" s="20" t="n">
        <v>1526.1</v>
      </c>
      <c r="T88" s="8" t="inlineStr">
        <is>
          <t>航天电子</t>
        </is>
      </c>
      <c r="U88" s="7" t="inlineStr">
        <is>
          <t>600879.SH</t>
        </is>
      </c>
      <c r="V88" s="20" t="n">
        <v>681.6</v>
      </c>
      <c r="W88" s="8" t="inlineStr">
        <is>
          <t>海格通信</t>
        </is>
      </c>
      <c r="X88" s="7" t="inlineStr">
        <is>
          <t>002465.SZ</t>
        </is>
      </c>
      <c r="Y88" s="20" t="n">
        <v>339</v>
      </c>
    </row>
    <row r="89">
      <c r="A89" s="7" t="inlineStr">
        <is>
          <t>885971.TI</t>
        </is>
      </c>
      <c r="B89" s="8">
        <f>[1]!thsiFinD("THS_GPJC_STOCK",$A89)</f>
        <v/>
      </c>
      <c r="C89" s="9">
        <f>[1]!thsiFinD("ths_int_chg_ratio_index",$A89,C$1,C$2)/100</f>
        <v/>
      </c>
      <c r="D89" s="9">
        <f>[1]!thsiFinD("ths_int_chg_ratio_index",$A89,D$1,D$2)/100</f>
        <v/>
      </c>
      <c r="E89" s="9">
        <f>[1]!thsiFinD("ths_int_chg_ratio_index",$A89,E$1,E$2)/100</f>
        <v/>
      </c>
      <c r="F89" s="10">
        <f>D89-(E89-D89)/3</f>
        <v/>
      </c>
      <c r="G89" s="7" t="inlineStr">
        <is>
          <t>产业链</t>
        </is>
      </c>
      <c r="H89" s="7">
        <f>IFERROR(VLOOKUP($I89,'分类规则'!$A$30:$C$200,2,0),"")</f>
        <v/>
      </c>
      <c r="I89" s="7" t="inlineStr">
        <is>
          <t>有色金属</t>
        </is>
      </c>
      <c r="J89" s="7">
        <f>IFERROR(VLOOKUP($I89,'分类规则'!$A$30:$C$200,3,0),"")</f>
        <v/>
      </c>
      <c r="K89" s="8" t="n"/>
      <c r="L89" s="7" t="n"/>
      <c r="M89" s="7" t="n"/>
      <c r="N89" s="8" t="n"/>
      <c r="O89" s="7" t="n"/>
      <c r="P89" s="7" t="n"/>
      <c r="Q89" s="8" t="n"/>
      <c r="R89" s="7" t="n"/>
      <c r="S89" s="7" t="n"/>
      <c r="T89" s="8" t="n"/>
      <c r="U89" s="7" t="n"/>
      <c r="V89" s="7" t="n"/>
      <c r="W89" s="8" t="n"/>
      <c r="X89" s="7" t="n"/>
      <c r="Y89" s="7" t="n"/>
    </row>
    <row r="90">
      <c r="A90" s="7" t="inlineStr">
        <is>
          <t>885958.TI</t>
        </is>
      </c>
      <c r="B90" s="8">
        <f>[1]!thsiFinD("THS_GPJC_STOCK",$A90)</f>
        <v/>
      </c>
      <c r="C90" s="9">
        <f>[1]!thsiFinD("ths_int_chg_ratio_index",$A90,C$1,C$2)/100</f>
        <v/>
      </c>
      <c r="D90" s="9">
        <f>[1]!thsiFinD("ths_int_chg_ratio_index",$A90,D$1,D$2)/100</f>
        <v/>
      </c>
      <c r="E90" s="9">
        <f>[1]!thsiFinD("ths_int_chg_ratio_index",$A90,E$1,E$2)/100</f>
        <v/>
      </c>
      <c r="F90" s="10">
        <f>D90-(E90-D90)/3</f>
        <v/>
      </c>
      <c r="G90" s="7" t="inlineStr">
        <is>
          <t>产业链</t>
        </is>
      </c>
      <c r="H90" s="7">
        <f>IFERROR(VLOOKUP($I90,'分类规则'!$A$30:$C$200,2,0),"")</f>
        <v/>
      </c>
      <c r="I90" s="7" t="inlineStr">
        <is>
          <t>光伏</t>
        </is>
      </c>
      <c r="J90" s="7">
        <f>IFERROR(VLOOKUP($I90,'分类规则'!$A$30:$C$200,3,0),"")</f>
        <v/>
      </c>
      <c r="K90" s="8" t="n"/>
      <c r="L90" s="7" t="n"/>
      <c r="M90" s="7" t="n"/>
      <c r="N90" s="8" t="n"/>
      <c r="O90" s="7" t="n"/>
      <c r="P90" s="7" t="n"/>
      <c r="Q90" s="8" t="n"/>
      <c r="R90" s="7" t="n"/>
      <c r="S90" s="7" t="n"/>
      <c r="T90" s="8" t="n"/>
      <c r="U90" s="7" t="n"/>
      <c r="V90" s="7" t="n"/>
      <c r="W90" s="8" t="n"/>
      <c r="X90" s="7" t="n"/>
      <c r="Y90" s="7" t="n"/>
    </row>
    <row r="91">
      <c r="A91" s="7" t="inlineStr">
        <is>
          <t>885929.TI</t>
        </is>
      </c>
      <c r="B91" s="8">
        <f>[1]!thsiFinD("THS_GPJC_STOCK",$A91)</f>
        <v/>
      </c>
      <c r="C91" s="9">
        <f>[1]!thsiFinD("ths_int_chg_ratio_index",$A91,C$1,C$2)/100</f>
        <v/>
      </c>
      <c r="D91" s="9">
        <f>[1]!thsiFinD("ths_int_chg_ratio_index",$A91,D$1,D$2)/100</f>
        <v/>
      </c>
      <c r="E91" s="9">
        <f>[1]!thsiFinD("ths_int_chg_ratio_index",$A91,E$1,E$2)/100</f>
        <v/>
      </c>
      <c r="F91" s="10">
        <f>D91-(E91-D91)/3</f>
        <v/>
      </c>
      <c r="G91" s="7" t="inlineStr">
        <is>
          <t>宽基风格</t>
        </is>
      </c>
      <c r="H91" s="7">
        <f>IFERROR(VLOOKUP($I91,'分类规则'!$A$30:$C$200,2,0),"")</f>
        <v/>
      </c>
      <c r="I91" s="7" t="inlineStr">
        <is>
          <t>专精特新</t>
        </is>
      </c>
      <c r="J91" s="7">
        <f>IFERROR(VLOOKUP($I91,'分类规则'!$A$30:$C$200,3,0),"")</f>
        <v/>
      </c>
      <c r="K91" s="8" t="inlineStr">
        <is>
          <t>天孚通信</t>
        </is>
      </c>
      <c r="L91" s="7" t="inlineStr">
        <is>
          <t>300394.SZ</t>
        </is>
      </c>
      <c r="M91" s="20" t="n">
        <v>3663.5</v>
      </c>
      <c r="N91" s="8" t="inlineStr">
        <is>
          <t>宏和科技</t>
        </is>
      </c>
      <c r="O91" s="7" t="inlineStr">
        <is>
          <t>603256.SH</t>
        </is>
      </c>
      <c r="P91" s="20" t="n">
        <v>2267.9</v>
      </c>
      <c r="Q91" s="8" t="inlineStr">
        <is>
          <t>长飞光纤</t>
        </is>
      </c>
      <c r="R91" s="7" t="inlineStr">
        <is>
          <t>601869.SH</t>
        </is>
      </c>
      <c r="S91" s="20" t="n">
        <v>1916.1</v>
      </c>
      <c r="T91" s="8" t="inlineStr">
        <is>
          <t>北方稀土</t>
        </is>
      </c>
      <c r="U91" s="7" t="inlineStr">
        <is>
          <t>600111.SH</t>
        </is>
      </c>
      <c r="V91" s="20" t="n">
        <v>1858.1</v>
      </c>
      <c r="W91" s="8" t="inlineStr">
        <is>
          <t>佰维存储</t>
        </is>
      </c>
      <c r="X91" s="7" t="inlineStr">
        <is>
          <t>688525.SH</t>
        </is>
      </c>
      <c r="Y91" s="20" t="n">
        <v>1821.2</v>
      </c>
    </row>
    <row r="92">
      <c r="A92" s="7" t="inlineStr">
        <is>
          <t>885928.TI</t>
        </is>
      </c>
      <c r="B92" s="8">
        <f>[1]!thsiFinD("THS_GPJC_STOCK",$A92)</f>
        <v/>
      </c>
      <c r="C92" s="9">
        <f>[1]!thsiFinD("ths_int_chg_ratio_index",$A92,C$1,C$2)/100</f>
        <v/>
      </c>
      <c r="D92" s="9">
        <f>[1]!thsiFinD("ths_int_chg_ratio_index",$A92,D$1,D$2)/100</f>
        <v/>
      </c>
      <c r="E92" s="9">
        <f>[1]!thsiFinD("ths_int_chg_ratio_index",$A92,E$1,E$2)/100</f>
        <v/>
      </c>
      <c r="F92" s="10">
        <f>D92-(E92-D92)/3</f>
        <v/>
      </c>
      <c r="G92" s="7" t="inlineStr">
        <is>
          <t>产业链</t>
        </is>
      </c>
      <c r="H92" s="7">
        <f>IFERROR(VLOOKUP($I92,'分类规则'!$A$30:$C$200,2,0),"")</f>
        <v/>
      </c>
      <c r="I92" s="7" t="inlineStr">
        <is>
          <t>储能/电池</t>
        </is>
      </c>
      <c r="J92" s="7">
        <f>IFERROR(VLOOKUP($I92,'分类规则'!$A$30:$C$200,3,0),"")</f>
        <v/>
      </c>
      <c r="K92" s="8" t="inlineStr">
        <is>
          <t>宁德时代</t>
        </is>
      </c>
      <c r="L92" s="7" t="inlineStr">
        <is>
          <t>300750.SZ</t>
        </is>
      </c>
      <c r="M92" s="20" t="n">
        <v>16668.3</v>
      </c>
      <c r="N92" s="8" t="inlineStr">
        <is>
          <t>比亚迪</t>
        </is>
      </c>
      <c r="O92" s="7" t="inlineStr">
        <is>
          <t>002594.SZ</t>
        </is>
      </c>
      <c r="P92" s="20" t="n">
        <v>3072.8</v>
      </c>
      <c r="Q92" s="8" t="inlineStr">
        <is>
          <t>亿纬锂能</t>
        </is>
      </c>
      <c r="R92" s="7" t="inlineStr">
        <is>
          <t>300014.SZ</t>
        </is>
      </c>
      <c r="S92" s="20" t="n">
        <v>1408.2</v>
      </c>
      <c r="T92" s="8" t="inlineStr">
        <is>
          <t>华友钴业</t>
        </is>
      </c>
      <c r="U92" s="7" t="inlineStr">
        <is>
          <t>603799.SH</t>
        </is>
      </c>
      <c r="V92" s="20" t="n">
        <v>983.4</v>
      </c>
      <c r="W92" s="8" t="inlineStr">
        <is>
          <t>天赐材料</t>
        </is>
      </c>
      <c r="X92" s="7" t="inlineStr">
        <is>
          <t>002709.SZ</t>
        </is>
      </c>
      <c r="Y92" s="20" t="n">
        <v>778.8</v>
      </c>
    </row>
    <row r="93">
      <c r="A93" s="7" t="inlineStr">
        <is>
          <t>885921.TI</t>
        </is>
      </c>
      <c r="B93" s="8">
        <f>[1]!thsiFinD("THS_GPJC_STOCK",$A93)</f>
        <v/>
      </c>
      <c r="C93" s="9">
        <f>[1]!thsiFinD("ths_int_chg_ratio_index",$A93,C$1,C$2)/100</f>
        <v/>
      </c>
      <c r="D93" s="9">
        <f>[1]!thsiFinD("ths_int_chg_ratio_index",$A93,D$1,D$2)/100</f>
        <v/>
      </c>
      <c r="E93" s="9">
        <f>[1]!thsiFinD("ths_int_chg_ratio_index",$A93,E$1,E$2)/100</f>
        <v/>
      </c>
      <c r="F93" s="10">
        <f>D93-(E93-D93)/3</f>
        <v/>
      </c>
      <c r="G93" s="7" t="inlineStr">
        <is>
          <t>产业链</t>
        </is>
      </c>
      <c r="H93" s="7">
        <f>IFERROR(VLOOKUP($I93,'分类规则'!$A$30:$C$200,2,0),"")</f>
        <v/>
      </c>
      <c r="I93" s="7" t="inlineStr">
        <is>
          <t>储能/电池</t>
        </is>
      </c>
      <c r="J93" s="7">
        <f>IFERROR(VLOOKUP($I93,'分类规则'!$A$30:$C$200,3,0),"")</f>
        <v/>
      </c>
      <c r="K93" s="8" t="inlineStr">
        <is>
          <t>宁德时代</t>
        </is>
      </c>
      <c r="L93" s="7" t="inlineStr">
        <is>
          <t>300750.SZ</t>
        </is>
      </c>
      <c r="M93" s="20" t="n">
        <v>16668.3</v>
      </c>
      <c r="N93" s="8" t="inlineStr">
        <is>
          <t>长江电力</t>
        </is>
      </c>
      <c r="O93" s="7" t="inlineStr">
        <is>
          <t>600900.SH</t>
        </is>
      </c>
      <c r="P93" s="20" t="n">
        <v>6523.2</v>
      </c>
      <c r="Q93" s="8" t="inlineStr">
        <is>
          <t>美的集团</t>
        </is>
      </c>
      <c r="R93" s="7" t="inlineStr">
        <is>
          <t>000333.SZ</t>
        </is>
      </c>
      <c r="S93" s="20" t="n">
        <v>5352.5</v>
      </c>
      <c r="T93" s="8" t="inlineStr">
        <is>
          <t>胜宏科技</t>
        </is>
      </c>
      <c r="U93" s="7" t="inlineStr">
        <is>
          <t>300476.SZ</t>
        </is>
      </c>
      <c r="V93" s="20" t="n">
        <v>3192.6</v>
      </c>
      <c r="W93" s="8" t="inlineStr">
        <is>
          <t>比亚迪</t>
        </is>
      </c>
      <c r="X93" s="7" t="inlineStr">
        <is>
          <t>002594.SZ</t>
        </is>
      </c>
      <c r="Y93" s="20" t="n">
        <v>3072.8</v>
      </c>
    </row>
    <row r="94">
      <c r="A94" s="7" t="inlineStr">
        <is>
          <t>885957.TI</t>
        </is>
      </c>
      <c r="B94" s="8">
        <f>[1]!thsiFinD("THS_GPJC_STOCK",$A94)</f>
        <v/>
      </c>
      <c r="C94" s="9">
        <f>[1]!thsiFinD("ths_int_chg_ratio_index",$A94,C$1,C$2)/100</f>
        <v/>
      </c>
      <c r="D94" s="9">
        <f>[1]!thsiFinD("ths_int_chg_ratio_index",$A94,D$1,D$2)/100</f>
        <v/>
      </c>
      <c r="E94" s="9">
        <f>[1]!thsiFinD("ths_int_chg_ratio_index",$A94,E$1,E$2)/100</f>
        <v/>
      </c>
      <c r="F94" s="10">
        <f>D94-(E94-D94)/3</f>
        <v/>
      </c>
      <c r="G94" s="7" t="inlineStr">
        <is>
          <t>产业链</t>
        </is>
      </c>
      <c r="H94" s="7">
        <f>IFERROR(VLOOKUP($I94,'分类规则'!$A$30:$C$200,2,0),"")</f>
        <v/>
      </c>
      <c r="I94" s="7" t="inlineStr">
        <is>
          <t>光通信/算力硬件</t>
        </is>
      </c>
      <c r="J94" s="7">
        <f>IFERROR(VLOOKUP($I94,'分类规则'!$A$30:$C$200,3,0),"")</f>
        <v/>
      </c>
      <c r="K94" s="8" t="inlineStr">
        <is>
          <t>工业富联</t>
        </is>
      </c>
      <c r="L94" s="7" t="inlineStr">
        <is>
          <t>601138.SH</t>
        </is>
      </c>
      <c r="M94" s="20" t="n">
        <v>15494.3</v>
      </c>
      <c r="N94" s="8" t="inlineStr">
        <is>
          <t>寒武纪</t>
        </is>
      </c>
      <c r="O94" s="7" t="inlineStr">
        <is>
          <t>688256.SH</t>
        </is>
      </c>
      <c r="P94" s="20" t="n">
        <v>9471.299999999999</v>
      </c>
      <c r="Q94" s="8" t="inlineStr">
        <is>
          <t>海光信息</t>
        </is>
      </c>
      <c r="R94" s="7" t="inlineStr">
        <is>
          <t>688041.SH</t>
        </is>
      </c>
      <c r="S94" s="20" t="n">
        <v>7623.8</v>
      </c>
      <c r="T94" s="8" t="inlineStr">
        <is>
          <t>胜宏科技</t>
        </is>
      </c>
      <c r="U94" s="7" t="inlineStr">
        <is>
          <t>300476.SZ</t>
        </is>
      </c>
      <c r="V94" s="20" t="n">
        <v>3192.6</v>
      </c>
      <c r="W94" s="8" t="inlineStr">
        <is>
          <t>光迅科技</t>
        </is>
      </c>
      <c r="X94" s="7" t="inlineStr">
        <is>
          <t>002281.SZ</t>
        </is>
      </c>
      <c r="Y94" s="20" t="n">
        <v>2077.7</v>
      </c>
    </row>
    <row r="95">
      <c r="A95" s="7" t="inlineStr">
        <is>
          <t>883303.TI</t>
        </is>
      </c>
      <c r="B95" s="8">
        <f>[1]!thsiFinD("THS_GPJC_STOCK",$A95)</f>
        <v/>
      </c>
      <c r="C95" s="9">
        <f>[1]!thsiFinD("ths_int_chg_ratio_index",$A95,C$1,C$2)/100</f>
        <v/>
      </c>
      <c r="D95" s="9">
        <f>[1]!thsiFinD("ths_int_chg_ratio_index",$A95,D$1,D$2)/100</f>
        <v/>
      </c>
      <c r="E95" s="9">
        <f>[1]!thsiFinD("ths_int_chg_ratio_index",$A95,E$1,E$2)/100</f>
        <v/>
      </c>
      <c r="F95" s="10">
        <f>D95-(E95-D95)/3</f>
        <v/>
      </c>
      <c r="G95" s="7" t="inlineStr">
        <is>
          <t>宽基风格</t>
        </is>
      </c>
      <c r="H95" s="7">
        <f>IFERROR(VLOOKUP($I95,'分类规则'!$A$30:$C$200,2,0),"")</f>
        <v/>
      </c>
      <c r="I95" s="7" t="inlineStr">
        <is>
          <t>上证380</t>
        </is>
      </c>
      <c r="J95" s="7">
        <f>IFERROR(VLOOKUP($I95,'分类规则'!$A$30:$C$200,3,0),"")</f>
        <v/>
      </c>
      <c r="K95" s="8" t="inlineStr">
        <is>
          <t>宏和科技</t>
        </is>
      </c>
      <c r="L95" s="7" t="inlineStr">
        <is>
          <t>603256.SH</t>
        </is>
      </c>
      <c r="M95" s="20" t="n">
        <v>2267.9</v>
      </c>
      <c r="N95" s="8" t="inlineStr">
        <is>
          <t>源杰科技</t>
        </is>
      </c>
      <c r="O95" s="7" t="inlineStr">
        <is>
          <t>688498.SH</t>
        </is>
      </c>
      <c r="P95" s="20" t="n">
        <v>2056.4</v>
      </c>
      <c r="Q95" s="8" t="inlineStr">
        <is>
          <t>长飞光纤</t>
        </is>
      </c>
      <c r="R95" s="7" t="inlineStr">
        <is>
          <t>601869.SH</t>
        </is>
      </c>
      <c r="S95" s="20" t="n">
        <v>1916.1</v>
      </c>
      <c r="T95" s="8" t="inlineStr">
        <is>
          <t>华虹宏力</t>
        </is>
      </c>
      <c r="U95" s="7" t="inlineStr">
        <is>
          <t>688347.SH</t>
        </is>
      </c>
      <c r="V95" s="20" t="n">
        <v>1132.8</v>
      </c>
      <c r="W95" s="8" t="inlineStr">
        <is>
          <t>华海清科</t>
        </is>
      </c>
      <c r="X95" s="7" t="inlineStr">
        <is>
          <t>688120.SH</t>
        </is>
      </c>
      <c r="Y95" s="20" t="n">
        <v>1122.3</v>
      </c>
    </row>
    <row r="96">
      <c r="A96" s="7" t="inlineStr">
        <is>
          <t>885997.TI</t>
        </is>
      </c>
      <c r="B96" s="8">
        <f>[1]!thsiFinD("THS_GPJC_STOCK",$A96)</f>
        <v/>
      </c>
      <c r="C96" s="9">
        <f>[1]!thsiFinD("ths_int_chg_ratio_index",$A96,C$1,C$2)/100</f>
        <v/>
      </c>
      <c r="D96" s="9">
        <f>[1]!thsiFinD("ths_int_chg_ratio_index",$A96,D$1,D$2)/100</f>
        <v/>
      </c>
      <c r="E96" s="9">
        <f>[1]!thsiFinD("ths_int_chg_ratio_index",$A96,E$1,E$2)/100</f>
        <v/>
      </c>
      <c r="F96" s="10">
        <f>D96-(E96-D96)/3</f>
        <v/>
      </c>
      <c r="G96" s="7" t="inlineStr">
        <is>
          <t>公司链</t>
        </is>
      </c>
      <c r="H96" s="7">
        <f>IFERROR(VLOOKUP($I96,'分类规则'!$A$30:$C$200,2,0),"")</f>
        <v/>
      </c>
      <c r="I96" s="7" t="inlineStr">
        <is>
          <t>汽车</t>
        </is>
      </c>
      <c r="J96" s="7">
        <f>IFERROR(VLOOKUP($I96,'分类规则'!$A$30:$C$200,3,0),"")</f>
        <v/>
      </c>
      <c r="K96" s="8" t="inlineStr">
        <is>
          <t>比亚迪</t>
        </is>
      </c>
      <c r="L96" s="7" t="inlineStr">
        <is>
          <t>002594.SZ</t>
        </is>
      </c>
      <c r="M96" s="20" t="n">
        <v>3072.8</v>
      </c>
      <c r="N96" s="8" t="inlineStr">
        <is>
          <t>蓝思科技</t>
        </is>
      </c>
      <c r="O96" s="7" t="inlineStr">
        <is>
          <t>300433.SZ</t>
        </is>
      </c>
      <c r="P96" s="20" t="n">
        <v>2771.6</v>
      </c>
      <c r="Q96" s="8" t="inlineStr">
        <is>
          <t>佰维存储</t>
        </is>
      </c>
      <c r="R96" s="7" t="inlineStr">
        <is>
          <t>688525.SH</t>
        </is>
      </c>
      <c r="S96" s="20" t="n">
        <v>1821.2</v>
      </c>
      <c r="T96" s="8" t="inlineStr">
        <is>
          <t>华工科技</t>
        </is>
      </c>
      <c r="U96" s="7" t="inlineStr">
        <is>
          <t>000988.SZ</t>
        </is>
      </c>
      <c r="V96" s="20" t="n">
        <v>1784.4</v>
      </c>
      <c r="W96" s="8" t="inlineStr">
        <is>
          <t>三花智控</t>
        </is>
      </c>
      <c r="X96" s="7" t="inlineStr">
        <is>
          <t>002050.SZ</t>
        </is>
      </c>
      <c r="Y96" s="20" t="n">
        <v>1685.2</v>
      </c>
    </row>
    <row r="97">
      <c r="A97" s="7" t="inlineStr">
        <is>
          <t>885865.TI</t>
        </is>
      </c>
      <c r="B97" s="8">
        <f>[1]!thsiFinD("THS_GPJC_STOCK",$A97)</f>
        <v/>
      </c>
      <c r="C97" s="9">
        <f>[1]!thsiFinD("ths_int_chg_ratio_index",$A97,C$1,C$2)/100</f>
        <v/>
      </c>
      <c r="D97" s="9">
        <f>[1]!thsiFinD("ths_int_chg_ratio_index",$A97,D$1,D$2)/100</f>
        <v/>
      </c>
      <c r="E97" s="9">
        <f>[1]!thsiFinD("ths_int_chg_ratio_index",$A97,E$1,E$2)/100</f>
        <v/>
      </c>
      <c r="F97" s="10">
        <f>D97-(E97-D97)/3</f>
        <v/>
      </c>
      <c r="G97" s="7" t="inlineStr">
        <is>
          <t>产业链</t>
        </is>
      </c>
      <c r="H97" s="7">
        <f>IFERROR(VLOOKUP($I97,'分类规则'!$A$30:$C$200,2,0),"")</f>
        <v/>
      </c>
      <c r="I97" s="7" t="inlineStr">
        <is>
          <t>有色金属</t>
        </is>
      </c>
      <c r="J97" s="7">
        <f>IFERROR(VLOOKUP($I97,'分类规则'!$A$30:$C$200,3,0),"")</f>
        <v/>
      </c>
      <c r="K97" s="8" t="n"/>
      <c r="L97" s="7" t="n"/>
      <c r="M97" s="7" t="n"/>
      <c r="N97" s="8" t="n"/>
      <c r="O97" s="7" t="n"/>
      <c r="P97" s="7" t="n"/>
      <c r="Q97" s="8" t="n"/>
      <c r="R97" s="7" t="n"/>
      <c r="S97" s="7" t="n"/>
      <c r="T97" s="8" t="n"/>
      <c r="U97" s="7" t="n"/>
      <c r="V97" s="7" t="n"/>
      <c r="W97" s="8" t="n"/>
      <c r="X97" s="7" t="n"/>
      <c r="Y97" s="7" t="n"/>
    </row>
    <row r="98">
      <c r="A98" s="7" t="inlineStr">
        <is>
          <t>886102.TI</t>
        </is>
      </c>
      <c r="B98" s="8">
        <f>[1]!thsiFinD("THS_GPJC_STOCK",$A98)</f>
        <v/>
      </c>
      <c r="C98" s="9">
        <f>[1]!thsiFinD("ths_int_chg_ratio_index",$A98,C$1,C$2)/100</f>
        <v/>
      </c>
      <c r="D98" s="9">
        <f>[1]!thsiFinD("ths_int_chg_ratio_index",$A98,D$1,D$2)/100</f>
        <v/>
      </c>
      <c r="E98" s="9">
        <f>[1]!thsiFinD("ths_int_chg_ratio_index",$A98,E$1,E$2)/100</f>
        <v/>
      </c>
      <c r="F98" s="10">
        <f>D98-(E98-D98)/3</f>
        <v/>
      </c>
      <c r="G98" s="7" t="inlineStr">
        <is>
          <t>产业链</t>
        </is>
      </c>
      <c r="H98" s="7">
        <f>IFERROR(VLOOKUP($I98,'分类规则'!$A$30:$C$200,2,0),"")</f>
        <v/>
      </c>
      <c r="I98" s="7" t="inlineStr">
        <is>
          <t>AI应用</t>
        </is>
      </c>
      <c r="J98" s="7">
        <f>IFERROR(VLOOKUP($I98,'分类规则'!$A$30:$C$200,3,0),"")</f>
        <v/>
      </c>
      <c r="K98" s="8" t="n"/>
      <c r="L98" s="7" t="n"/>
      <c r="M98" s="7" t="n"/>
      <c r="N98" s="8" t="n"/>
      <c r="O98" s="7" t="n"/>
      <c r="P98" s="7" t="n"/>
      <c r="Q98" s="8" t="n"/>
      <c r="R98" s="7" t="n"/>
      <c r="S98" s="7" t="n"/>
      <c r="T98" s="8" t="n"/>
      <c r="U98" s="7" t="n"/>
      <c r="V98" s="7" t="n"/>
      <c r="W98" s="8" t="n"/>
      <c r="X98" s="7" t="n"/>
      <c r="Y98" s="7" t="n"/>
    </row>
    <row r="99">
      <c r="A99" s="7" t="inlineStr">
        <is>
          <t>885652.TI</t>
        </is>
      </c>
      <c r="B99" s="8">
        <f>[1]!thsiFinD("THS_GPJC_STOCK",$A99)</f>
        <v/>
      </c>
      <c r="C99" s="9">
        <f>[1]!thsiFinD("ths_int_chg_ratio_index",$A99,C$1,C$2)/100</f>
        <v/>
      </c>
      <c r="D99" s="9">
        <f>[1]!thsiFinD("ths_int_chg_ratio_index",$A99,D$1,D$2)/100</f>
        <v/>
      </c>
      <c r="E99" s="9">
        <f>[1]!thsiFinD("ths_int_chg_ratio_index",$A99,E$1,E$2)/100</f>
        <v/>
      </c>
      <c r="F99" s="10">
        <f>D99-(E99-D99)/3</f>
        <v/>
      </c>
      <c r="G99" s="7" t="inlineStr">
        <is>
          <t>产业链</t>
        </is>
      </c>
      <c r="H99" s="7">
        <f>IFERROR(VLOOKUP($I99,'分类规则'!$A$30:$C$200,2,0),"")</f>
        <v/>
      </c>
      <c r="I99" s="7" t="inlineStr">
        <is>
          <t>化工</t>
        </is>
      </c>
      <c r="J99" s="7">
        <f>IFERROR(VLOOKUP($I99,'分类规则'!$A$30:$C$200,3,0),"")</f>
        <v/>
      </c>
      <c r="K99" s="8" t="inlineStr">
        <is>
          <t>国城矿业</t>
        </is>
      </c>
      <c r="L99" s="7" t="inlineStr">
        <is>
          <t>000688.SZ</t>
        </is>
      </c>
      <c r="M99" s="20" t="n">
        <v>448.7</v>
      </c>
      <c r="N99" s="8" t="inlineStr">
        <is>
          <t>龙佰集团</t>
        </is>
      </c>
      <c r="O99" s="7" t="inlineStr">
        <is>
          <t>002601.SZ</t>
        </is>
      </c>
      <c r="P99" s="20" t="n">
        <v>307.7</v>
      </c>
      <c r="Q99" s="8" t="inlineStr">
        <is>
          <t>钒钛股份</t>
        </is>
      </c>
      <c r="R99" s="7" t="inlineStr">
        <is>
          <t>000629.SZ</t>
        </is>
      </c>
      <c r="S99" s="20" t="n">
        <v>297.3</v>
      </c>
      <c r="T99" s="8" t="inlineStr">
        <is>
          <t>振华股份</t>
        </is>
      </c>
      <c r="U99" s="7" t="inlineStr">
        <is>
          <t>603067.SH</t>
        </is>
      </c>
      <c r="V99" s="20" t="n">
        <v>272.7</v>
      </c>
      <c r="W99" s="8" t="inlineStr">
        <is>
          <t>坤彩科技</t>
        </is>
      </c>
      <c r="X99" s="7" t="inlineStr">
        <is>
          <t>603826.SH</t>
        </is>
      </c>
      <c r="Y99" s="20" t="n">
        <v>203.6</v>
      </c>
    </row>
    <row r="100">
      <c r="A100" s="7" t="inlineStr">
        <is>
          <t>885973.TI</t>
        </is>
      </c>
      <c r="B100" s="8">
        <f>[1]!thsiFinD("THS_GPJC_STOCK",$A100)</f>
        <v/>
      </c>
      <c r="C100" s="9">
        <f>[1]!thsiFinD("ths_int_chg_ratio_index",$A100,C$1,C$2)/100</f>
        <v/>
      </c>
      <c r="D100" s="9">
        <f>[1]!thsiFinD("ths_int_chg_ratio_index",$A100,D$1,D$2)/100</f>
        <v/>
      </c>
      <c r="E100" s="9">
        <f>[1]!thsiFinD("ths_int_chg_ratio_index",$A100,E$1,E$2)/100</f>
        <v/>
      </c>
      <c r="F100" s="10">
        <f>D100-(E100-D100)/3</f>
        <v/>
      </c>
      <c r="G100" s="7" t="inlineStr">
        <is>
          <t>产业链</t>
        </is>
      </c>
      <c r="H100" s="7">
        <f>IFERROR(VLOOKUP($I100,'分类规则'!$A$30:$C$200,2,0),"")</f>
        <v/>
      </c>
      <c r="I100" s="7" t="inlineStr">
        <is>
          <t>有色金属</t>
        </is>
      </c>
      <c r="J100" s="7">
        <f>IFERROR(VLOOKUP($I100,'分类规则'!$A$30:$C$200,3,0),"")</f>
        <v/>
      </c>
      <c r="K100" s="8" t="n"/>
      <c r="L100" s="7" t="n"/>
      <c r="M100" s="7" t="n"/>
      <c r="N100" s="8" t="n"/>
      <c r="O100" s="7" t="n"/>
      <c r="P100" s="7" t="n"/>
      <c r="Q100" s="8" t="n"/>
      <c r="R100" s="7" t="n"/>
      <c r="S100" s="7" t="n"/>
      <c r="T100" s="8" t="n"/>
      <c r="U100" s="7" t="n"/>
      <c r="V100" s="7" t="n"/>
      <c r="W100" s="8" t="n"/>
      <c r="X100" s="7" t="n"/>
      <c r="Y100" s="7" t="n"/>
    </row>
    <row r="101">
      <c r="A101" s="7" t="inlineStr">
        <is>
          <t>885641.TI</t>
        </is>
      </c>
      <c r="B101" s="8">
        <f>[1]!thsiFinD("THS_GPJC_STOCK",$A101)</f>
        <v/>
      </c>
      <c r="C101" s="9">
        <f>[1]!thsiFinD("ths_int_chg_ratio_index",$A101,C$1,C$2)/100</f>
        <v/>
      </c>
      <c r="D101" s="9">
        <f>[1]!thsiFinD("ths_int_chg_ratio_index",$A101,D$1,D$2)/100</f>
        <v/>
      </c>
      <c r="E101" s="9">
        <f>[1]!thsiFinD("ths_int_chg_ratio_index",$A101,E$1,E$2)/100</f>
        <v/>
      </c>
      <c r="F101" s="10">
        <f>D101-(E101-D101)/3</f>
        <v/>
      </c>
      <c r="G101" s="7" t="inlineStr">
        <is>
          <t>产业链</t>
        </is>
      </c>
      <c r="H101" s="7">
        <f>IFERROR(VLOOKUP($I101,'分类规则'!$A$30:$C$200,2,0),"")</f>
        <v/>
      </c>
      <c r="I101" s="7" t="inlineStr">
        <is>
          <t>新能源发电</t>
        </is>
      </c>
      <c r="J101" s="7">
        <f>IFERROR(VLOOKUP($I101,'分类规则'!$A$30:$C$200,3,0),"")</f>
        <v/>
      </c>
      <c r="K101" s="8" t="inlineStr">
        <is>
          <t>中国船舶</t>
        </is>
      </c>
      <c r="L101" s="7" t="inlineStr">
        <is>
          <t>600150.SH</t>
        </is>
      </c>
      <c r="M101" s="20" t="n">
        <v>2719.8</v>
      </c>
      <c r="N101" s="8" t="inlineStr">
        <is>
          <t>亨通光电</t>
        </is>
      </c>
      <c r="O101" s="7" t="inlineStr">
        <is>
          <t>600487.SH</t>
        </is>
      </c>
      <c r="P101" s="20" t="n">
        <v>2714.4</v>
      </c>
      <c r="Q101" s="8" t="inlineStr">
        <is>
          <t>阳光电源</t>
        </is>
      </c>
      <c r="R101" s="7" t="inlineStr">
        <is>
          <t>300274.SZ</t>
        </is>
      </c>
      <c r="S101" s="20" t="n">
        <v>2333.3</v>
      </c>
      <c r="T101" s="8" t="inlineStr">
        <is>
          <t>中国巨石</t>
        </is>
      </c>
      <c r="U101" s="7" t="inlineStr">
        <is>
          <t>600176.SH</t>
        </is>
      </c>
      <c r="V101" s="20" t="n">
        <v>2141.7</v>
      </c>
      <c r="W101" s="8" t="inlineStr">
        <is>
          <t>中天科技</t>
        </is>
      </c>
      <c r="X101" s="7" t="inlineStr">
        <is>
          <t>600522.SH</t>
        </is>
      </c>
      <c r="Y101" s="20" t="n">
        <v>1930</v>
      </c>
    </row>
    <row r="102">
      <c r="A102" s="7" t="inlineStr">
        <is>
          <t>885431.TI</t>
        </is>
      </c>
      <c r="B102" s="8">
        <f>[1]!thsiFinD("THS_GPJC_STOCK",$A102)</f>
        <v/>
      </c>
      <c r="C102" s="9">
        <f>[1]!thsiFinD("ths_int_chg_ratio_index",$A102,C$1,C$2)/100</f>
        <v/>
      </c>
      <c r="D102" s="9">
        <f>[1]!thsiFinD("ths_int_chg_ratio_index",$A102,D$1,D$2)/100</f>
        <v/>
      </c>
      <c r="E102" s="9">
        <f>[1]!thsiFinD("ths_int_chg_ratio_index",$A102,E$1,E$2)/100</f>
        <v/>
      </c>
      <c r="F102" s="10">
        <f>D102-(E102-D102)/3</f>
        <v/>
      </c>
      <c r="G102" s="7" t="inlineStr">
        <is>
          <t>产业链</t>
        </is>
      </c>
      <c r="H102" s="7">
        <f>IFERROR(VLOOKUP($I102,'分类规则'!$A$30:$C$200,2,0),"")</f>
        <v/>
      </c>
      <c r="I102" s="7" t="inlineStr">
        <is>
          <t>汽车</t>
        </is>
      </c>
      <c r="J102" s="7">
        <f>IFERROR(VLOOKUP($I102,'分类规则'!$A$30:$C$200,3,0),"")</f>
        <v/>
      </c>
      <c r="K102" s="8" t="n"/>
      <c r="L102" s="7" t="n"/>
      <c r="M102" s="7" t="n"/>
      <c r="N102" s="8" t="n"/>
      <c r="O102" s="7" t="n"/>
      <c r="P102" s="7" t="n"/>
      <c r="Q102" s="8" t="n"/>
      <c r="R102" s="7" t="n"/>
      <c r="S102" s="7" t="n"/>
      <c r="T102" s="8" t="n"/>
      <c r="U102" s="7" t="n"/>
      <c r="V102" s="7" t="n"/>
      <c r="W102" s="8" t="n"/>
      <c r="X102" s="7" t="n"/>
      <c r="Y102" s="7" t="n"/>
    </row>
    <row r="103">
      <c r="A103" s="7" t="inlineStr">
        <is>
          <t>885806.TI</t>
        </is>
      </c>
      <c r="B103" s="8">
        <f>[1]!thsiFinD("THS_GPJC_STOCK",$A103)</f>
        <v/>
      </c>
      <c r="C103" s="9">
        <f>[1]!thsiFinD("ths_int_chg_ratio_index",$A103,C$1,C$2)/100</f>
        <v/>
      </c>
      <c r="D103" s="9">
        <f>[1]!thsiFinD("ths_int_chg_ratio_index",$A103,D$1,D$2)/100</f>
        <v/>
      </c>
      <c r="E103" s="9">
        <f>[1]!thsiFinD("ths_int_chg_ratio_index",$A103,E$1,E$2)/100</f>
        <v/>
      </c>
      <c r="F103" s="10">
        <f>D103-(E103-D103)/3</f>
        <v/>
      </c>
      <c r="G103" s="7" t="inlineStr">
        <is>
          <t>公司链</t>
        </is>
      </c>
      <c r="H103" s="7">
        <f>IFERROR(VLOOKUP($I103,'分类规则'!$A$30:$C$200,2,0),"")</f>
        <v/>
      </c>
      <c r="I103" s="7" t="inlineStr">
        <is>
          <t>综合</t>
        </is>
      </c>
      <c r="J103" s="7">
        <f>IFERROR(VLOOKUP($I103,'分类规则'!$A$30:$C$200,3,0),"")</f>
        <v/>
      </c>
      <c r="K103" s="8" t="inlineStr">
        <is>
          <t>美的集团</t>
        </is>
      </c>
      <c r="L103" s="7" t="inlineStr">
        <is>
          <t>000333.SZ</t>
        </is>
      </c>
      <c r="M103" s="20" t="n">
        <v>5352.5</v>
      </c>
      <c r="N103" s="8" t="inlineStr">
        <is>
          <t>立讯精密</t>
        </is>
      </c>
      <c r="O103" s="7" t="inlineStr">
        <is>
          <t>002475.SZ</t>
        </is>
      </c>
      <c r="P103" s="20" t="n">
        <v>5083.4</v>
      </c>
      <c r="Q103" s="8" t="inlineStr">
        <is>
          <t>生益科技</t>
        </is>
      </c>
      <c r="R103" s="7" t="inlineStr">
        <is>
          <t>600183.SH</t>
        </is>
      </c>
      <c r="S103" s="20" t="n">
        <v>4402.8</v>
      </c>
      <c r="T103" s="8" t="inlineStr">
        <is>
          <t>东山精密</t>
        </is>
      </c>
      <c r="U103" s="7" t="inlineStr">
        <is>
          <t>002384.SZ</t>
        </is>
      </c>
      <c r="V103" s="20" t="n">
        <v>3784.7</v>
      </c>
      <c r="W103" s="8" t="inlineStr">
        <is>
          <t>天孚通信</t>
        </is>
      </c>
      <c r="X103" s="7" t="inlineStr">
        <is>
          <t>300394.SZ</t>
        </is>
      </c>
      <c r="Y103" s="20" t="n">
        <v>3663.5</v>
      </c>
    </row>
    <row r="104">
      <c r="A104" s="7" t="inlineStr">
        <is>
          <t>886002.TI</t>
        </is>
      </c>
      <c r="B104" s="8">
        <f>[1]!thsiFinD("THS_GPJC_STOCK",$A104)</f>
        <v/>
      </c>
      <c r="C104" s="9">
        <f>[1]!thsiFinD("ths_int_chg_ratio_index",$A104,C$1,C$2)/100</f>
        <v/>
      </c>
      <c r="D104" s="9">
        <f>[1]!thsiFinD("ths_int_chg_ratio_index",$A104,D$1,D$2)/100</f>
        <v/>
      </c>
      <c r="E104" s="9">
        <f>[1]!thsiFinD("ths_int_chg_ratio_index",$A104,E$1,E$2)/100</f>
        <v/>
      </c>
      <c r="F104" s="10">
        <f>D104-(E104-D104)/3</f>
        <v/>
      </c>
      <c r="G104" s="7" t="inlineStr">
        <is>
          <t>产业链</t>
        </is>
      </c>
      <c r="H104" s="7">
        <f>IFERROR(VLOOKUP($I104,'分类规则'!$A$30:$C$200,2,0),"")</f>
        <v/>
      </c>
      <c r="I104" s="7" t="inlineStr">
        <is>
          <t>工业自动化</t>
        </is>
      </c>
      <c r="J104" s="7">
        <f>IFERROR(VLOOKUP($I104,'分类规则'!$A$30:$C$200,3,0),"")</f>
        <v/>
      </c>
      <c r="K104" s="8" t="inlineStr">
        <is>
          <t>立讯精密</t>
        </is>
      </c>
      <c r="L104" s="7" t="inlineStr">
        <is>
          <t>002475.SZ</t>
        </is>
      </c>
      <c r="M104" s="20" t="n">
        <v>5083.4</v>
      </c>
      <c r="N104" s="8" t="inlineStr">
        <is>
          <t>海康威视</t>
        </is>
      </c>
      <c r="O104" s="7" t="inlineStr">
        <is>
          <t>002415.SZ</t>
        </is>
      </c>
      <c r="P104" s="20" t="n">
        <v>2922</v>
      </c>
      <c r="Q104" s="8" t="inlineStr">
        <is>
          <t>汇川技术</t>
        </is>
      </c>
      <c r="R104" s="7" t="inlineStr">
        <is>
          <t>300124.SZ</t>
        </is>
      </c>
      <c r="S104" s="20" t="n">
        <v>1715.7</v>
      </c>
      <c r="T104" s="8" t="inlineStr">
        <is>
          <t>大族激光</t>
        </is>
      </c>
      <c r="U104" s="7" t="inlineStr">
        <is>
          <t>002008.SZ</t>
        </is>
      </c>
      <c r="V104" s="20" t="n">
        <v>1290.6</v>
      </c>
      <c r="W104" s="8" t="inlineStr">
        <is>
          <t>豪威集团</t>
        </is>
      </c>
      <c r="X104" s="7" t="inlineStr">
        <is>
          <t>603501.SH</t>
        </is>
      </c>
      <c r="Y104" s="20" t="n">
        <v>1089.2</v>
      </c>
    </row>
    <row r="105">
      <c r="A105" s="7" t="inlineStr">
        <is>
          <t>885922.TI</t>
        </is>
      </c>
      <c r="B105" s="8">
        <f>[1]!thsiFinD("THS_GPJC_STOCK",$A105)</f>
        <v/>
      </c>
      <c r="C105" s="9">
        <f>[1]!thsiFinD("ths_int_chg_ratio_index",$A105,C$1,C$2)/100</f>
        <v/>
      </c>
      <c r="D105" s="9">
        <f>[1]!thsiFinD("ths_int_chg_ratio_index",$A105,D$1,D$2)/100</f>
        <v/>
      </c>
      <c r="E105" s="9">
        <f>[1]!thsiFinD("ths_int_chg_ratio_index",$A105,E$1,E$2)/100</f>
        <v/>
      </c>
      <c r="F105" s="10">
        <f>D105-(E105-D105)/3</f>
        <v/>
      </c>
      <c r="G105" s="7" t="inlineStr">
        <is>
          <t>产业链</t>
        </is>
      </c>
      <c r="H105" s="7">
        <f>IFERROR(VLOOKUP($I105,'分类规则'!$A$30:$C$200,2,0),"")</f>
        <v/>
      </c>
      <c r="I105" s="7" t="inlineStr">
        <is>
          <t>有色金属</t>
        </is>
      </c>
      <c r="J105" s="7">
        <f>IFERROR(VLOOKUP($I105,'分类规则'!$A$30:$C$200,3,0),"")</f>
        <v/>
      </c>
      <c r="K105" s="8" t="inlineStr">
        <is>
          <t>紫金矿业</t>
        </is>
      </c>
      <c r="L105" s="7" t="inlineStr">
        <is>
          <t>601899.SH</t>
        </is>
      </c>
      <c r="M105" s="20" t="n">
        <v>6116.7</v>
      </c>
      <c r="N105" s="8" t="inlineStr">
        <is>
          <t>洛阳钼业</t>
        </is>
      </c>
      <c r="O105" s="7" t="inlineStr">
        <is>
          <t>603993.SH</t>
        </is>
      </c>
      <c r="P105" s="20" t="n">
        <v>3499.2</v>
      </c>
      <c r="Q105" s="8" t="inlineStr">
        <is>
          <t>比亚迪</t>
        </is>
      </c>
      <c r="R105" s="7" t="inlineStr">
        <is>
          <t>002594.SZ</t>
        </is>
      </c>
      <c r="S105" s="20" t="n">
        <v>3072.8</v>
      </c>
      <c r="T105" s="8" t="inlineStr">
        <is>
          <t>盐湖股份</t>
        </is>
      </c>
      <c r="U105" s="7" t="inlineStr">
        <is>
          <t>000792.SZ</t>
        </is>
      </c>
      <c r="V105" s="20" t="n">
        <v>1574.2</v>
      </c>
      <c r="W105" s="8" t="inlineStr">
        <is>
          <t>亿纬锂能</t>
        </is>
      </c>
      <c r="X105" s="7" t="inlineStr">
        <is>
          <t>300014.SZ</t>
        </is>
      </c>
      <c r="Y105" s="20" t="n">
        <v>1408.2</v>
      </c>
    </row>
    <row r="106">
      <c r="A106" s="7" t="inlineStr">
        <is>
          <t>885832.TI</t>
        </is>
      </c>
      <c r="B106" s="8">
        <f>[1]!thsiFinD("THS_GPJC_STOCK",$A106)</f>
        <v/>
      </c>
      <c r="C106" s="9">
        <f>[1]!thsiFinD("ths_int_chg_ratio_index",$A106,C$1,C$2)/100</f>
        <v/>
      </c>
      <c r="D106" s="9">
        <f>[1]!thsiFinD("ths_int_chg_ratio_index",$A106,D$1,D$2)/100</f>
        <v/>
      </c>
      <c r="E106" s="9">
        <f>[1]!thsiFinD("ths_int_chg_ratio_index",$A106,E$1,E$2)/100</f>
        <v/>
      </c>
      <c r="F106" s="10">
        <f>D106-(E106-D106)/3</f>
        <v/>
      </c>
      <c r="G106" s="7" t="inlineStr">
        <is>
          <t>主题事件</t>
        </is>
      </c>
      <c r="H106" s="7">
        <f>IFERROR(VLOOKUP($I106,'分类规则'!$A$30:$C$200,2,0),"")</f>
        <v/>
      </c>
      <c r="I106" s="7" t="inlineStr">
        <is>
          <t>长三角</t>
        </is>
      </c>
      <c r="J106" s="7">
        <f>IFERROR(VLOOKUP($I106,'分类规则'!$A$30:$C$200,3,0),"")</f>
        <v/>
      </c>
      <c r="K106" s="8" t="n"/>
      <c r="L106" s="7" t="n"/>
      <c r="M106" s="7" t="n"/>
      <c r="N106" s="8" t="n"/>
      <c r="O106" s="7" t="n"/>
      <c r="P106" s="7" t="n"/>
      <c r="Q106" s="8" t="n"/>
      <c r="R106" s="7" t="n"/>
      <c r="S106" s="7" t="n"/>
      <c r="T106" s="8" t="n"/>
      <c r="U106" s="7" t="n"/>
      <c r="V106" s="7" t="n"/>
      <c r="W106" s="8" t="n"/>
      <c r="X106" s="7" t="n"/>
      <c r="Y106" s="7" t="n"/>
    </row>
    <row r="107">
      <c r="A107" s="7" t="inlineStr">
        <is>
          <t>885771.TI</t>
        </is>
      </c>
      <c r="B107" s="8">
        <f>[1]!thsiFinD("THS_GPJC_STOCK",$A107)</f>
        <v/>
      </c>
      <c r="C107" s="9">
        <f>[1]!thsiFinD("ths_int_chg_ratio_index",$A107,C$1,C$2)/100</f>
        <v/>
      </c>
      <c r="D107" s="9">
        <f>[1]!thsiFinD("ths_int_chg_ratio_index",$A107,D$1,D$2)/100</f>
        <v/>
      </c>
      <c r="E107" s="9">
        <f>[1]!thsiFinD("ths_int_chg_ratio_index",$A107,E$1,E$2)/100</f>
        <v/>
      </c>
      <c r="F107" s="10">
        <f>D107-(E107-D107)/3</f>
        <v/>
      </c>
      <c r="G107" s="7" t="inlineStr">
        <is>
          <t>产业链</t>
        </is>
      </c>
      <c r="H107" s="7">
        <f>IFERROR(VLOOKUP($I107,'分类规则'!$A$30:$C$200,2,0),"")</f>
        <v/>
      </c>
      <c r="I107" s="7" t="inlineStr">
        <is>
          <t>消费电子</t>
        </is>
      </c>
      <c r="J107" s="7">
        <f>IFERROR(VLOOKUP($I107,'分类规则'!$A$30:$C$200,3,0),"")</f>
        <v/>
      </c>
      <c r="K107" s="8" t="inlineStr">
        <is>
          <t>立讯精密</t>
        </is>
      </c>
      <c r="L107" s="7" t="inlineStr">
        <is>
          <t>002475.SZ</t>
        </is>
      </c>
      <c r="M107" s="20" t="n">
        <v>5083.4</v>
      </c>
      <c r="N107" s="8" t="inlineStr">
        <is>
          <t>芯原股份</t>
        </is>
      </c>
      <c r="O107" s="7" t="inlineStr">
        <is>
          <t>688521.SH</t>
        </is>
      </c>
      <c r="P107" s="20" t="n">
        <v>1441</v>
      </c>
      <c r="Q107" s="8" t="inlineStr">
        <is>
          <t>协创数据</t>
        </is>
      </c>
      <c r="R107" s="7" t="inlineStr">
        <is>
          <t>300857.SZ</t>
        </is>
      </c>
      <c r="S107" s="20" t="n">
        <v>1352.3</v>
      </c>
      <c r="T107" s="8" t="inlineStr">
        <is>
          <t>领益智造</t>
        </is>
      </c>
      <c r="U107" s="7" t="inlineStr">
        <is>
          <t>002600.SZ</t>
        </is>
      </c>
      <c r="V107" s="20" t="n">
        <v>1211</v>
      </c>
      <c r="W107" s="8" t="inlineStr">
        <is>
          <t>科大讯飞</t>
        </is>
      </c>
      <c r="X107" s="7" t="inlineStr">
        <is>
          <t>002230.SZ</t>
        </is>
      </c>
      <c r="Y107" s="20" t="n">
        <v>932.9</v>
      </c>
    </row>
    <row r="108">
      <c r="A108" s="7" t="inlineStr">
        <is>
          <t>886059.TI</t>
        </is>
      </c>
      <c r="B108" s="8">
        <f>[1]!thsiFinD("THS_GPJC_STOCK",$A108)</f>
        <v/>
      </c>
      <c r="C108" s="9">
        <f>[1]!thsiFinD("ths_int_chg_ratio_index",$A108,C$1,C$2)/100</f>
        <v/>
      </c>
      <c r="D108" s="9">
        <f>[1]!thsiFinD("ths_int_chg_ratio_index",$A108,D$1,D$2)/100</f>
        <v/>
      </c>
      <c r="E108" s="9">
        <f>[1]!thsiFinD("ths_int_chg_ratio_index",$A108,E$1,E$2)/100</f>
        <v/>
      </c>
      <c r="F108" s="10">
        <f>D108-(E108-D108)/3</f>
        <v/>
      </c>
      <c r="G108" s="7" t="inlineStr">
        <is>
          <t>产业链</t>
        </is>
      </c>
      <c r="H108" s="7">
        <f>IFERROR(VLOOKUP($I108,'分类规则'!$A$30:$C$200,2,0),"")</f>
        <v/>
      </c>
      <c r="I108" s="7" t="inlineStr">
        <is>
          <t>汽车</t>
        </is>
      </c>
      <c r="J108" s="7">
        <f>IFERROR(VLOOKUP($I108,'分类规则'!$A$30:$C$200,3,0),"")</f>
        <v/>
      </c>
      <c r="K108" s="8" t="inlineStr">
        <is>
          <t>立讯精密</t>
        </is>
      </c>
      <c r="L108" s="7" t="inlineStr">
        <is>
          <t>002475.SZ</t>
        </is>
      </c>
      <c r="M108" s="20" t="n">
        <v>5083.4</v>
      </c>
      <c r="N108" s="8" t="inlineStr">
        <is>
          <t>比亚迪</t>
        </is>
      </c>
      <c r="O108" s="7" t="inlineStr">
        <is>
          <t>002594.SZ</t>
        </is>
      </c>
      <c r="P108" s="20" t="n">
        <v>3072.8</v>
      </c>
      <c r="Q108" s="8" t="inlineStr">
        <is>
          <t>蓝思科技</t>
        </is>
      </c>
      <c r="R108" s="7" t="inlineStr">
        <is>
          <t>300433.SZ</t>
        </is>
      </c>
      <c r="S108" s="20" t="n">
        <v>2771.6</v>
      </c>
      <c r="T108" s="8" t="inlineStr">
        <is>
          <t>拓普集团</t>
        </is>
      </c>
      <c r="U108" s="7" t="inlineStr">
        <is>
          <t>601689.SH</t>
        </is>
      </c>
      <c r="V108" s="20" t="n">
        <v>1082.7</v>
      </c>
      <c r="W108" s="8" t="inlineStr">
        <is>
          <t>赛力斯</t>
        </is>
      </c>
      <c r="X108" s="7" t="inlineStr">
        <is>
          <t>601127.SH</t>
        </is>
      </c>
      <c r="Y108" s="20" t="n">
        <v>1009.2</v>
      </c>
    </row>
    <row r="109">
      <c r="A109" s="7" t="inlineStr">
        <is>
          <t>886078.TI</t>
        </is>
      </c>
      <c r="B109" s="8">
        <f>[1]!thsiFinD("THS_GPJC_STOCK",$A109)</f>
        <v/>
      </c>
      <c r="C109" s="9">
        <f>[1]!thsiFinD("ths_int_chg_ratio_index",$A109,C$1,C$2)/100</f>
        <v/>
      </c>
      <c r="D109" s="9">
        <f>[1]!thsiFinD("ths_int_chg_ratio_index",$A109,D$1,D$2)/100</f>
        <v/>
      </c>
      <c r="E109" s="9">
        <f>[1]!thsiFinD("ths_int_chg_ratio_index",$A109,E$1,E$2)/100</f>
        <v/>
      </c>
      <c r="F109" s="10">
        <f>D109-(E109-D109)/3</f>
        <v/>
      </c>
      <c r="G109" s="7" t="inlineStr">
        <is>
          <t>产业链</t>
        </is>
      </c>
      <c r="H109" s="7">
        <f>IFERROR(VLOOKUP($I109,'分类规则'!$A$30:$C$200,2,0),"")</f>
        <v/>
      </c>
      <c r="I109" s="7" t="inlineStr">
        <is>
          <t>航空航天</t>
        </is>
      </c>
      <c r="J109" s="7">
        <f>IFERROR(VLOOKUP($I109,'分类规则'!$A$30:$C$200,3,0),"")</f>
        <v/>
      </c>
      <c r="K109" s="8" t="n"/>
      <c r="L109" s="7" t="n"/>
      <c r="M109" s="7" t="n"/>
      <c r="N109" s="8" t="n"/>
      <c r="O109" s="7" t="n"/>
      <c r="P109" s="7" t="n"/>
      <c r="Q109" s="8" t="n"/>
      <c r="R109" s="7" t="n"/>
      <c r="S109" s="7" t="n"/>
      <c r="T109" s="8" t="n"/>
      <c r="U109" s="7" t="n"/>
      <c r="V109" s="7" t="n"/>
      <c r="W109" s="8" t="n"/>
      <c r="X109" s="7" t="n"/>
      <c r="Y109" s="7" t="n"/>
    </row>
    <row r="110">
      <c r="A110" s="7" t="inlineStr">
        <is>
          <t>885467.TI</t>
        </is>
      </c>
      <c r="B110" s="8">
        <f>[1]!thsiFinD("THS_GPJC_STOCK",$A110)</f>
        <v/>
      </c>
      <c r="C110" s="9">
        <f>[1]!thsiFinD("ths_int_chg_ratio_index",$A110,C$1,C$2)/100</f>
        <v/>
      </c>
      <c r="D110" s="9">
        <f>[1]!thsiFinD("ths_int_chg_ratio_index",$A110,D$1,D$2)/100</f>
        <v/>
      </c>
      <c r="E110" s="9">
        <f>[1]!thsiFinD("ths_int_chg_ratio_index",$A110,E$1,E$2)/100</f>
        <v/>
      </c>
      <c r="F110" s="10">
        <f>D110-(E110-D110)/3</f>
        <v/>
      </c>
      <c r="G110" s="7" t="inlineStr">
        <is>
          <t>公司链</t>
        </is>
      </c>
      <c r="H110" s="7">
        <f>IFERROR(VLOOKUP($I110,'分类规则'!$A$30:$C$200,2,0),"")</f>
        <v/>
      </c>
      <c r="I110" s="7" t="inlineStr">
        <is>
          <t>汽车</t>
        </is>
      </c>
      <c r="J110" s="7">
        <f>IFERROR(VLOOKUP($I110,'分类规则'!$A$30:$C$200,3,0),"")</f>
        <v/>
      </c>
      <c r="K110" s="8" t="inlineStr">
        <is>
          <t>宁德时代</t>
        </is>
      </c>
      <c r="L110" s="7" t="inlineStr">
        <is>
          <t>300750.SZ</t>
        </is>
      </c>
      <c r="M110" s="20" t="n">
        <v>16668.3</v>
      </c>
      <c r="N110" s="8" t="inlineStr">
        <is>
          <t>东山精密</t>
        </is>
      </c>
      <c r="O110" s="7" t="inlineStr">
        <is>
          <t>002384.SZ</t>
        </is>
      </c>
      <c r="P110" s="20" t="n">
        <v>3784.7</v>
      </c>
      <c r="Q110" s="8" t="inlineStr">
        <is>
          <t>胜宏科技</t>
        </is>
      </c>
      <c r="R110" s="7" t="inlineStr">
        <is>
          <t>300476.SZ</t>
        </is>
      </c>
      <c r="S110" s="20" t="n">
        <v>3192.6</v>
      </c>
      <c r="T110" s="8" t="inlineStr">
        <is>
          <t>蓝思科技</t>
        </is>
      </c>
      <c r="U110" s="7" t="inlineStr">
        <is>
          <t>300433.SZ</t>
        </is>
      </c>
      <c r="V110" s="20" t="n">
        <v>2771.6</v>
      </c>
      <c r="W110" s="8" t="inlineStr">
        <is>
          <t>华工科技</t>
        </is>
      </c>
      <c r="X110" s="7" t="inlineStr">
        <is>
          <t>000988.SZ</t>
        </is>
      </c>
      <c r="Y110" s="20" t="n">
        <v>1784.4</v>
      </c>
    </row>
    <row r="111">
      <c r="A111" s="7" t="inlineStr">
        <is>
          <t>886026.TI</t>
        </is>
      </c>
      <c r="B111" s="8">
        <f>[1]!thsiFinD("THS_GPJC_STOCK",$A111)</f>
        <v/>
      </c>
      <c r="C111" s="9">
        <f>[1]!thsiFinD("ths_int_chg_ratio_index",$A111,C$1,C$2)/100</f>
        <v/>
      </c>
      <c r="D111" s="9">
        <f>[1]!thsiFinD("ths_int_chg_ratio_index",$A111,D$1,D$2)/100</f>
        <v/>
      </c>
      <c r="E111" s="9">
        <f>[1]!thsiFinD("ths_int_chg_ratio_index",$A111,E$1,E$2)/100</f>
        <v/>
      </c>
      <c r="F111" s="10">
        <f>D111-(E111-D111)/3</f>
        <v/>
      </c>
      <c r="G111" s="7" t="inlineStr">
        <is>
          <t>产业链</t>
        </is>
      </c>
      <c r="H111" s="7">
        <f>IFERROR(VLOOKUP($I111,'分类规则'!$A$30:$C$200,2,0),"")</f>
        <v/>
      </c>
      <c r="I111" s="7" t="inlineStr">
        <is>
          <t>化工</t>
        </is>
      </c>
      <c r="J111" s="7">
        <f>IFERROR(VLOOKUP($I111,'分类规则'!$A$30:$C$200,3,0),"")</f>
        <v/>
      </c>
      <c r="K111" s="8" t="inlineStr">
        <is>
          <t>中国石化</t>
        </is>
      </c>
      <c r="L111" s="7" t="inlineStr">
        <is>
          <t>600028.SH</t>
        </is>
      </c>
      <c r="M111" s="20" t="n">
        <v>4462.8</v>
      </c>
      <c r="N111" s="8" t="inlineStr">
        <is>
          <t>万华化学</t>
        </is>
      </c>
      <c r="O111" s="7" t="inlineStr">
        <is>
          <t>600309.SH</t>
        </is>
      </c>
      <c r="P111" s="20" t="n">
        <v>2161.6</v>
      </c>
      <c r="Q111" s="8" t="inlineStr">
        <is>
          <t>中天科技</t>
        </is>
      </c>
      <c r="R111" s="7" t="inlineStr">
        <is>
          <t>600522.SH</t>
        </is>
      </c>
      <c r="S111" s="20" t="n">
        <v>1930</v>
      </c>
      <c r="T111" s="8" t="inlineStr">
        <is>
          <t>宝丰能源</t>
        </is>
      </c>
      <c r="U111" s="7" t="inlineStr">
        <is>
          <t>600989.SH</t>
        </is>
      </c>
      <c r="V111" s="20" t="n">
        <v>1577.4</v>
      </c>
      <c r="W111" s="8" t="inlineStr">
        <is>
          <t>荣盛石化</t>
        </is>
      </c>
      <c r="X111" s="7" t="inlineStr">
        <is>
          <t>002493.SZ</t>
        </is>
      </c>
      <c r="Y111" s="20" t="n">
        <v>1046.8</v>
      </c>
    </row>
    <row r="112">
      <c r="A112" s="7" t="inlineStr">
        <is>
          <t>885571.TI</t>
        </is>
      </c>
      <c r="B112" s="8">
        <f>[1]!thsiFinD("THS_GPJC_STOCK",$A112)</f>
        <v/>
      </c>
      <c r="C112" s="9">
        <f>[1]!thsiFinD("ths_int_chg_ratio_index",$A112,C$1,C$2)/100</f>
        <v/>
      </c>
      <c r="D112" s="9">
        <f>[1]!thsiFinD("ths_int_chg_ratio_index",$A112,D$1,D$2)/100</f>
        <v/>
      </c>
      <c r="E112" s="9">
        <f>[1]!thsiFinD("ths_int_chg_ratio_index",$A112,E$1,E$2)/100</f>
        <v/>
      </c>
      <c r="F112" s="10">
        <f>D112-(E112-D112)/3</f>
        <v/>
      </c>
      <c r="G112" s="7" t="inlineStr">
        <is>
          <t>产业链</t>
        </is>
      </c>
      <c r="H112" s="7">
        <f>IFERROR(VLOOKUP($I112,'分类规则'!$A$30:$C$200,2,0),"")</f>
        <v/>
      </c>
      <c r="I112" s="7" t="inlineStr">
        <is>
          <t>核电</t>
        </is>
      </c>
      <c r="J112" s="7">
        <f>IFERROR(VLOOKUP($I112,'分类规则'!$A$30:$C$200,3,0),"")</f>
        <v/>
      </c>
      <c r="K112" s="8" t="inlineStr">
        <is>
          <t>长江电力</t>
        </is>
      </c>
      <c r="L112" s="7" t="inlineStr">
        <is>
          <t>600900.SH</t>
        </is>
      </c>
      <c r="M112" s="20" t="n">
        <v>6523.2</v>
      </c>
      <c r="N112" s="8" t="inlineStr">
        <is>
          <t>中天科技</t>
        </is>
      </c>
      <c r="O112" s="7" t="inlineStr">
        <is>
          <t>600522.SH</t>
        </is>
      </c>
      <c r="P112" s="20" t="n">
        <v>1930</v>
      </c>
      <c r="Q112" s="8" t="inlineStr">
        <is>
          <t>中国建筑</t>
        </is>
      </c>
      <c r="R112" s="7" t="inlineStr">
        <is>
          <t>601668.SH</t>
        </is>
      </c>
      <c r="S112" s="20" t="n">
        <v>1904.9</v>
      </c>
      <c r="T112" s="8" t="inlineStr">
        <is>
          <t>国电南瑞</t>
        </is>
      </c>
      <c r="U112" s="7" t="inlineStr">
        <is>
          <t>600406.SH</t>
        </is>
      </c>
      <c r="V112" s="20" t="n">
        <v>1846.7</v>
      </c>
      <c r="W112" s="8" t="inlineStr">
        <is>
          <t>中国核电</t>
        </is>
      </c>
      <c r="X112" s="7" t="inlineStr">
        <is>
          <t>601985.SH</t>
        </is>
      </c>
      <c r="Y112" s="20" t="n">
        <v>1722.2</v>
      </c>
    </row>
    <row r="113">
      <c r="A113" s="7" t="inlineStr">
        <is>
          <t>885530.TI</t>
        </is>
      </c>
      <c r="B113" s="8">
        <f>[1]!thsiFinD("THS_GPJC_STOCK",$A113)</f>
        <v/>
      </c>
      <c r="C113" s="9">
        <f>[1]!thsiFinD("ths_int_chg_ratio_index",$A113,C$1,C$2)/100</f>
        <v/>
      </c>
      <c r="D113" s="9">
        <f>[1]!thsiFinD("ths_int_chg_ratio_index",$A113,D$1,D$2)/100</f>
        <v/>
      </c>
      <c r="E113" s="9">
        <f>[1]!thsiFinD("ths_int_chg_ratio_index",$A113,E$1,E$2)/100</f>
        <v/>
      </c>
      <c r="F113" s="10">
        <f>D113-(E113-D113)/3</f>
        <v/>
      </c>
      <c r="G113" s="7" t="inlineStr">
        <is>
          <t>产业链</t>
        </is>
      </c>
      <c r="H113" s="7">
        <f>IFERROR(VLOOKUP($I113,'分类规则'!$A$30:$C$200,2,0),"")</f>
        <v/>
      </c>
      <c r="I113" s="7" t="inlineStr">
        <is>
          <t>贵金属</t>
        </is>
      </c>
      <c r="J113" s="7">
        <f>IFERROR(VLOOKUP($I113,'分类规则'!$A$30:$C$200,3,0),"")</f>
        <v/>
      </c>
      <c r="K113" s="8" t="inlineStr">
        <is>
          <t>紫金矿业</t>
        </is>
      </c>
      <c r="L113" s="7" t="inlineStr">
        <is>
          <t>601899.SH</t>
        </is>
      </c>
      <c r="M113" s="20" t="n">
        <v>6116.7</v>
      </c>
      <c r="N113" s="8" t="inlineStr">
        <is>
          <t>洛阳钼业</t>
        </is>
      </c>
      <c r="O113" s="7" t="inlineStr">
        <is>
          <t>603993.SH</t>
        </is>
      </c>
      <c r="P113" s="20" t="n">
        <v>3499.2</v>
      </c>
      <c r="Q113" s="8" t="inlineStr">
        <is>
          <t>藏格矿业</t>
        </is>
      </c>
      <c r="R113" s="7" t="inlineStr">
        <is>
          <t>000408.SZ</t>
        </is>
      </c>
      <c r="S113" s="20" t="n">
        <v>1199</v>
      </c>
      <c r="T113" s="8" t="inlineStr">
        <is>
          <t>特变电工</t>
        </is>
      </c>
      <c r="U113" s="7" t="inlineStr">
        <is>
          <t>600089.SH</t>
        </is>
      </c>
      <c r="V113" s="20" t="n">
        <v>1178.3</v>
      </c>
      <c r="W113" s="8" t="inlineStr">
        <is>
          <t>江西铜业</t>
        </is>
      </c>
      <c r="X113" s="7" t="inlineStr">
        <is>
          <t>600362.SH</t>
        </is>
      </c>
      <c r="Y113" s="20" t="n">
        <v>1106.3</v>
      </c>
    </row>
    <row r="114">
      <c r="A114" s="7" t="inlineStr">
        <is>
          <t>885972.TI</t>
        </is>
      </c>
      <c r="B114" s="8">
        <f>[1]!thsiFinD("THS_GPJC_STOCK",$A114)</f>
        <v/>
      </c>
      <c r="C114" s="9">
        <f>[1]!thsiFinD("ths_int_chg_ratio_index",$A114,C$1,C$2)/100</f>
        <v/>
      </c>
      <c r="D114" s="9">
        <f>[1]!thsiFinD("ths_int_chg_ratio_index",$A114,D$1,D$2)/100</f>
        <v/>
      </c>
      <c r="E114" s="9">
        <f>[1]!thsiFinD("ths_int_chg_ratio_index",$A114,E$1,E$2)/100</f>
        <v/>
      </c>
      <c r="F114" s="10">
        <f>D114-(E114-D114)/3</f>
        <v/>
      </c>
      <c r="G114" s="7" t="inlineStr">
        <is>
          <t>产业链</t>
        </is>
      </c>
      <c r="H114" s="7">
        <f>IFERROR(VLOOKUP($I114,'分类规则'!$A$30:$C$200,2,0),"")</f>
        <v/>
      </c>
      <c r="I114" s="7" t="inlineStr">
        <is>
          <t>资源回收</t>
        </is>
      </c>
      <c r="J114" s="7">
        <f>IFERROR(VLOOKUP($I114,'分类规则'!$A$30:$C$200,3,0),"")</f>
        <v/>
      </c>
      <c r="K114" s="8" t="n"/>
      <c r="L114" s="7" t="n"/>
      <c r="M114" s="7" t="n"/>
      <c r="N114" s="8" t="n"/>
      <c r="O114" s="7" t="n"/>
      <c r="P114" s="7" t="n"/>
      <c r="Q114" s="8" t="n"/>
      <c r="R114" s="7" t="n"/>
      <c r="S114" s="7" t="n"/>
      <c r="T114" s="8" t="n"/>
      <c r="U114" s="7" t="n"/>
      <c r="V114" s="7" t="n"/>
      <c r="W114" s="8" t="n"/>
      <c r="X114" s="7" t="n"/>
      <c r="Y114" s="7" t="n"/>
    </row>
    <row r="115">
      <c r="A115" s="7" t="inlineStr">
        <is>
          <t>885902.TI</t>
        </is>
      </c>
      <c r="B115" s="8">
        <f>[1]!thsiFinD("THS_GPJC_STOCK",$A115)</f>
        <v/>
      </c>
      <c r="C115" s="9">
        <f>[1]!thsiFinD("ths_int_chg_ratio_index",$A115,C$1,C$2)/100</f>
        <v/>
      </c>
      <c r="D115" s="9">
        <f>[1]!thsiFinD("ths_int_chg_ratio_index",$A115,D$1,D$2)/100</f>
        <v/>
      </c>
      <c r="E115" s="9">
        <f>[1]!thsiFinD("ths_int_chg_ratio_index",$A115,E$1,E$2)/100</f>
        <v/>
      </c>
      <c r="F115" s="10">
        <f>D115-(E115-D115)/3</f>
        <v/>
      </c>
      <c r="G115" s="7" t="inlineStr">
        <is>
          <t>产业链</t>
        </is>
      </c>
      <c r="H115" s="7">
        <f>IFERROR(VLOOKUP($I115,'分类规则'!$A$30:$C$200,2,0),"")</f>
        <v/>
      </c>
      <c r="I115" s="7" t="inlineStr">
        <is>
          <t>资源回收</t>
        </is>
      </c>
      <c r="J115" s="7">
        <f>IFERROR(VLOOKUP($I115,'分类规则'!$A$30:$C$200,3,0),"")</f>
        <v/>
      </c>
      <c r="K115" s="8" t="inlineStr">
        <is>
          <t>比亚迪</t>
        </is>
      </c>
      <c r="L115" s="7" t="inlineStr">
        <is>
          <t>002594.SZ</t>
        </is>
      </c>
      <c r="M115" s="20" t="n">
        <v>3072.8</v>
      </c>
      <c r="N115" s="8" t="inlineStr">
        <is>
          <t>格林美</t>
        </is>
      </c>
      <c r="O115" s="7" t="inlineStr">
        <is>
          <t>002340.SZ</t>
        </is>
      </c>
      <c r="P115" s="20" t="n">
        <v>376.6</v>
      </c>
      <c r="Q115" s="8" t="inlineStr">
        <is>
          <t>山子高科</t>
        </is>
      </c>
      <c r="R115" s="7" t="inlineStr">
        <is>
          <t>000981.SZ</t>
        </is>
      </c>
      <c r="S115" s="20" t="n">
        <v>308.2</v>
      </c>
      <c r="T115" s="8" t="inlineStr">
        <is>
          <t>华宏科技</t>
        </is>
      </c>
      <c r="U115" s="7" t="inlineStr">
        <is>
          <t>002645.SZ</t>
        </is>
      </c>
      <c r="V115" s="20" t="n">
        <v>245.6</v>
      </c>
      <c r="W115" s="8" t="inlineStr">
        <is>
          <t>物产中大</t>
        </is>
      </c>
      <c r="X115" s="7" t="inlineStr">
        <is>
          <t>600704.SH</t>
        </is>
      </c>
      <c r="Y115" s="20" t="n">
        <v>244.1</v>
      </c>
    </row>
    <row r="116">
      <c r="A116" s="7" t="inlineStr">
        <is>
          <t>885742.TI</t>
        </is>
      </c>
      <c r="B116" s="8">
        <f>[1]!thsiFinD("THS_GPJC_STOCK",$A116)</f>
        <v/>
      </c>
      <c r="C116" s="9">
        <f>[1]!thsiFinD("ths_int_chg_ratio_index",$A116,C$1,C$2)/100</f>
        <v/>
      </c>
      <c r="D116" s="9">
        <f>[1]!thsiFinD("ths_int_chg_ratio_index",$A116,D$1,D$2)/100</f>
        <v/>
      </c>
      <c r="E116" s="9">
        <f>[1]!thsiFinD("ths_int_chg_ratio_index",$A116,E$1,E$2)/100</f>
        <v/>
      </c>
      <c r="F116" s="10">
        <f>D116-(E116-D116)/3</f>
        <v/>
      </c>
      <c r="G116" s="7" t="inlineStr">
        <is>
          <t>主题事件</t>
        </is>
      </c>
      <c r="H116" s="7">
        <f>IFERROR(VLOOKUP($I116,'分类规则'!$A$30:$C$200,2,0),"")</f>
        <v/>
      </c>
      <c r="I116" s="7" t="inlineStr">
        <is>
          <t>摘帽</t>
        </is>
      </c>
      <c r="J116" s="7">
        <f>IFERROR(VLOOKUP($I116,'分类规则'!$A$30:$C$200,3,0),"")</f>
        <v/>
      </c>
      <c r="K116" s="8" t="n"/>
      <c r="L116" s="7" t="n"/>
      <c r="M116" s="7" t="n"/>
      <c r="N116" s="8" t="n"/>
      <c r="O116" s="7" t="n"/>
      <c r="P116" s="7" t="n"/>
      <c r="Q116" s="8" t="n"/>
      <c r="R116" s="7" t="n"/>
      <c r="S116" s="7" t="n"/>
      <c r="T116" s="8" t="n"/>
      <c r="U116" s="7" t="n"/>
      <c r="V116" s="7" t="n"/>
      <c r="W116" s="8" t="n"/>
      <c r="X116" s="7" t="n"/>
      <c r="Y116" s="7" t="n"/>
    </row>
    <row r="117">
      <c r="A117" s="7" t="inlineStr">
        <is>
          <t>886050.TI</t>
        </is>
      </c>
      <c r="B117" s="8">
        <f>[1]!thsiFinD("THS_GPJC_STOCK",$A117)</f>
        <v/>
      </c>
      <c r="C117" s="9">
        <f>[1]!thsiFinD("ths_int_chg_ratio_index",$A117,C$1,C$2)/100</f>
        <v/>
      </c>
      <c r="D117" s="9">
        <f>[1]!thsiFinD("ths_int_chg_ratio_index",$A117,D$1,D$2)/100</f>
        <v/>
      </c>
      <c r="E117" s="9">
        <f>[1]!thsiFinD("ths_int_chg_ratio_index",$A117,E$1,E$2)/100</f>
        <v/>
      </c>
      <c r="F117" s="10">
        <f>D117-(E117-D117)/3</f>
        <v/>
      </c>
      <c r="G117" s="7" t="inlineStr">
        <is>
          <t>产业链</t>
        </is>
      </c>
      <c r="H117" s="7">
        <f>IFERROR(VLOOKUP($I117,'分类规则'!$A$30:$C$200,2,0),"")</f>
        <v/>
      </c>
      <c r="I117" s="7" t="inlineStr">
        <is>
          <t>光通信/算力硬件</t>
        </is>
      </c>
      <c r="J117" s="7">
        <f>IFERROR(VLOOKUP($I117,'分类规则'!$A$30:$C$200,3,0),"")</f>
        <v/>
      </c>
      <c r="K117" s="8" t="inlineStr">
        <is>
          <t>工业富联</t>
        </is>
      </c>
      <c r="L117" s="7" t="inlineStr">
        <is>
          <t>601138.SH</t>
        </is>
      </c>
      <c r="M117" s="20" t="n">
        <v>15494.3</v>
      </c>
      <c r="N117" s="8" t="inlineStr">
        <is>
          <t>润泽科技</t>
        </is>
      </c>
      <c r="O117" s="7" t="inlineStr">
        <is>
          <t>300442.SZ</t>
        </is>
      </c>
      <c r="P117" s="20" t="n">
        <v>1395.6</v>
      </c>
      <c r="Q117" s="8" t="inlineStr">
        <is>
          <t>协创数据</t>
        </is>
      </c>
      <c r="R117" s="7" t="inlineStr">
        <is>
          <t>300857.SZ</t>
        </is>
      </c>
      <c r="S117" s="20" t="n">
        <v>1352.3</v>
      </c>
      <c r="T117" s="8" t="inlineStr">
        <is>
          <t>中国联通</t>
        </is>
      </c>
      <c r="U117" s="7" t="inlineStr">
        <is>
          <t>600050.SH</t>
        </is>
      </c>
      <c r="V117" s="20" t="n">
        <v>1326.4</v>
      </c>
      <c r="W117" s="8" t="inlineStr">
        <is>
          <t>中科曙光</t>
        </is>
      </c>
      <c r="X117" s="7" t="inlineStr">
        <is>
          <t>603019.SH</t>
        </is>
      </c>
      <c r="Y117" s="20" t="n">
        <v>1297.1</v>
      </c>
    </row>
    <row r="118">
      <c r="A118" s="7" t="inlineStr">
        <is>
          <t>886057.TI</t>
        </is>
      </c>
      <c r="B118" s="8">
        <f>[1]!thsiFinD("THS_GPJC_STOCK",$A118)</f>
        <v/>
      </c>
      <c r="C118" s="9">
        <f>[1]!thsiFinD("ths_int_chg_ratio_index",$A118,C$1,C$2)/100</f>
        <v/>
      </c>
      <c r="D118" s="9">
        <f>[1]!thsiFinD("ths_int_chg_ratio_index",$A118,D$1,D$2)/100</f>
        <v/>
      </c>
      <c r="E118" s="9">
        <f>[1]!thsiFinD("ths_int_chg_ratio_index",$A118,E$1,E$2)/100</f>
        <v/>
      </c>
      <c r="F118" s="10">
        <f>D118-(E118-D118)/3</f>
        <v/>
      </c>
      <c r="G118" s="7" t="inlineStr">
        <is>
          <t>主题事件</t>
        </is>
      </c>
      <c r="H118" s="7">
        <f>IFERROR(VLOOKUP($I118,'分类规则'!$A$30:$C$200,2,0),"")</f>
        <v/>
      </c>
      <c r="I118" s="7" t="inlineStr">
        <is>
          <t>新型工业化</t>
        </is>
      </c>
      <c r="J118" s="7">
        <f>IFERROR(VLOOKUP($I118,'分类规则'!$A$30:$C$200,3,0),"")</f>
        <v/>
      </c>
      <c r="K118" s="8" t="inlineStr">
        <is>
          <t>蓝思科技</t>
        </is>
      </c>
      <c r="L118" s="7" t="inlineStr">
        <is>
          <t>300433.SZ</t>
        </is>
      </c>
      <c r="M118" s="20" t="n">
        <v>2771.6</v>
      </c>
      <c r="N118" s="8" t="inlineStr">
        <is>
          <t>华工科技</t>
        </is>
      </c>
      <c r="O118" s="7" t="inlineStr">
        <is>
          <t>000988.SZ</t>
        </is>
      </c>
      <c r="P118" s="20" t="n">
        <v>1784.4</v>
      </c>
      <c r="Q118" s="8" t="inlineStr">
        <is>
          <t>汇川技术</t>
        </is>
      </c>
      <c r="R118" s="7" t="inlineStr">
        <is>
          <t>300124.SZ</t>
        </is>
      </c>
      <c r="S118" s="20" t="n">
        <v>1715.7</v>
      </c>
      <c r="T118" s="8" t="inlineStr">
        <is>
          <t>中科曙光</t>
        </is>
      </c>
      <c r="U118" s="7" t="inlineStr">
        <is>
          <t>603019.SH</t>
        </is>
      </c>
      <c r="V118" s="20" t="n">
        <v>1297.1</v>
      </c>
      <c r="W118" s="8" t="inlineStr">
        <is>
          <t>大族激光</t>
        </is>
      </c>
      <c r="X118" s="7" t="inlineStr">
        <is>
          <t>002008.SZ</t>
        </is>
      </c>
      <c r="Y118" s="20" t="n">
        <v>1290.6</v>
      </c>
    </row>
    <row r="119">
      <c r="A119" s="7" t="inlineStr">
        <is>
          <t>885461.TI</t>
        </is>
      </c>
      <c r="B119" s="8">
        <f>[1]!thsiFinD("THS_GPJC_STOCK",$A119)</f>
        <v/>
      </c>
      <c r="C119" s="9">
        <f>[1]!thsiFinD("ths_int_chg_ratio_index",$A119,C$1,C$2)/100</f>
        <v/>
      </c>
      <c r="D119" s="9">
        <f>[1]!thsiFinD("ths_int_chg_ratio_index",$A119,D$1,D$2)/100</f>
        <v/>
      </c>
      <c r="E119" s="9">
        <f>[1]!thsiFinD("ths_int_chg_ratio_index",$A119,E$1,E$2)/100</f>
        <v/>
      </c>
      <c r="F119" s="10">
        <f>D119-(E119-D119)/3</f>
        <v/>
      </c>
      <c r="G119" s="7" t="inlineStr">
        <is>
          <t>产业链</t>
        </is>
      </c>
      <c r="H119" s="7">
        <f>IFERROR(VLOOKUP($I119,'分类规则'!$A$30:$C$200,2,0),"")</f>
        <v/>
      </c>
      <c r="I119" s="7" t="inlineStr">
        <is>
          <t>汽车</t>
        </is>
      </c>
      <c r="J119" s="7">
        <f>IFERROR(VLOOKUP($I119,'分类规则'!$A$30:$C$200,3,0),"")</f>
        <v/>
      </c>
      <c r="K119" s="8" t="inlineStr">
        <is>
          <t>立讯精密</t>
        </is>
      </c>
      <c r="L119" s="7" t="inlineStr">
        <is>
          <t>002475.SZ</t>
        </is>
      </c>
      <c r="M119" s="20" t="n">
        <v>5083.4</v>
      </c>
      <c r="N119" s="8" t="inlineStr">
        <is>
          <t>中国石化</t>
        </is>
      </c>
      <c r="O119" s="7" t="inlineStr">
        <is>
          <t>600028.SH</t>
        </is>
      </c>
      <c r="P119" s="20" t="n">
        <v>4462.8</v>
      </c>
      <c r="Q119" s="8" t="inlineStr">
        <is>
          <t>比亚迪</t>
        </is>
      </c>
      <c r="R119" s="7" t="inlineStr">
        <is>
          <t>002594.SZ</t>
        </is>
      </c>
      <c r="S119" s="20" t="n">
        <v>3072.8</v>
      </c>
      <c r="T119" s="8" t="inlineStr">
        <is>
          <t>蓝思科技</t>
        </is>
      </c>
      <c r="U119" s="7" t="inlineStr">
        <is>
          <t>300433.SZ</t>
        </is>
      </c>
      <c r="V119" s="20" t="n">
        <v>2771.6</v>
      </c>
      <c r="W119" s="8" t="inlineStr">
        <is>
          <t>阳光电源</t>
        </is>
      </c>
      <c r="X119" s="7" t="inlineStr">
        <is>
          <t>300274.SZ</t>
        </is>
      </c>
      <c r="Y119" s="20" t="n">
        <v>2333.3</v>
      </c>
    </row>
    <row r="120">
      <c r="A120" s="7" t="inlineStr">
        <is>
          <t>885633.TI</t>
        </is>
      </c>
      <c r="B120" s="8">
        <f>[1]!thsiFinD("THS_GPJC_STOCK",$A120)</f>
        <v/>
      </c>
      <c r="C120" s="9">
        <f>[1]!thsiFinD("ths_int_chg_ratio_index",$A120,C$1,C$2)/100</f>
        <v/>
      </c>
      <c r="D120" s="9">
        <f>[1]!thsiFinD("ths_int_chg_ratio_index",$A120,D$1,D$2)/100</f>
        <v/>
      </c>
      <c r="E120" s="9">
        <f>[1]!thsiFinD("ths_int_chg_ratio_index",$A120,E$1,E$2)/100</f>
        <v/>
      </c>
      <c r="F120" s="10">
        <f>D120-(E120-D120)/3</f>
        <v/>
      </c>
      <c r="G120" s="7" t="inlineStr">
        <is>
          <t>产业链</t>
        </is>
      </c>
      <c r="H120" s="7">
        <f>IFERROR(VLOOKUP($I120,'分类规则'!$A$30:$C$200,2,0),"")</f>
        <v/>
      </c>
      <c r="I120" s="7" t="inlineStr">
        <is>
          <t>化工</t>
        </is>
      </c>
      <c r="J120" s="7">
        <f>IFERROR(VLOOKUP($I120,'分类规则'!$A$30:$C$200,3,0),"")</f>
        <v/>
      </c>
      <c r="K120" s="8" t="n"/>
      <c r="L120" s="7" t="n"/>
      <c r="M120" s="7" t="n"/>
      <c r="N120" s="8" t="n"/>
      <c r="O120" s="7" t="n"/>
      <c r="P120" s="7" t="n"/>
      <c r="Q120" s="8" t="n"/>
      <c r="R120" s="7" t="n"/>
      <c r="S120" s="7" t="n"/>
      <c r="T120" s="8" t="n"/>
      <c r="U120" s="7" t="n"/>
      <c r="V120" s="7" t="n"/>
      <c r="W120" s="8" t="n"/>
      <c r="X120" s="7" t="n"/>
      <c r="Y120" s="7" t="n"/>
    </row>
    <row r="121">
      <c r="A121" s="7" t="inlineStr">
        <is>
          <t>883300.TI</t>
        </is>
      </c>
      <c r="B121" s="8">
        <f>[1]!thsiFinD("THS_GPJC_STOCK",$A121)</f>
        <v/>
      </c>
      <c r="C121" s="9">
        <f>[1]!thsiFinD("ths_int_chg_ratio_index",$A121,C$1,C$2)/100</f>
        <v/>
      </c>
      <c r="D121" s="9">
        <f>[1]!thsiFinD("ths_int_chg_ratio_index",$A121,D$1,D$2)/100</f>
        <v/>
      </c>
      <c r="E121" s="9">
        <f>[1]!thsiFinD("ths_int_chg_ratio_index",$A121,E$1,E$2)/100</f>
        <v/>
      </c>
      <c r="F121" s="10">
        <f>D121-(E121-D121)/3</f>
        <v/>
      </c>
      <c r="G121" s="7" t="inlineStr">
        <is>
          <t>宽基风格</t>
        </is>
      </c>
      <c r="H121" s="7">
        <f>IFERROR(VLOOKUP($I121,'分类规则'!$A$30:$C$200,2,0),"")</f>
        <v/>
      </c>
      <c r="I121" s="7" t="inlineStr">
        <is>
          <t>沪深300</t>
        </is>
      </c>
      <c r="J121" s="7">
        <f>IFERROR(VLOOKUP($I121,'分类规则'!$A$30:$C$200,3,0),"")</f>
        <v/>
      </c>
      <c r="K121" s="8" t="inlineStr">
        <is>
          <t>农业银行</t>
        </is>
      </c>
      <c r="L121" s="7" t="inlineStr">
        <is>
          <t>601288.SH</t>
        </is>
      </c>
      <c r="M121" s="20" t="n">
        <v>20335.9</v>
      </c>
      <c r="N121" s="8" t="inlineStr">
        <is>
          <t>工商银行</t>
        </is>
      </c>
      <c r="O121" s="7" t="inlineStr">
        <is>
          <t>601398.SH</t>
        </is>
      </c>
      <c r="P121" s="20" t="n">
        <v>19304.2</v>
      </c>
      <c r="Q121" s="8" t="inlineStr">
        <is>
          <t>宁德时代</t>
        </is>
      </c>
      <c r="R121" s="7" t="inlineStr">
        <is>
          <t>300750.SZ</t>
        </is>
      </c>
      <c r="S121" s="20" t="n">
        <v>16668.3</v>
      </c>
      <c r="T121" s="8" t="inlineStr">
        <is>
          <t>中国石油</t>
        </is>
      </c>
      <c r="U121" s="7" t="inlineStr">
        <is>
          <t>601857.SH</t>
        </is>
      </c>
      <c r="V121" s="20" t="n">
        <v>15512.1</v>
      </c>
      <c r="W121" s="8" t="inlineStr">
        <is>
          <t>工业富联</t>
        </is>
      </c>
      <c r="X121" s="7" t="inlineStr">
        <is>
          <t>601138.SH</t>
        </is>
      </c>
      <c r="Y121" s="20" t="n">
        <v>15494.3</v>
      </c>
    </row>
    <row r="122">
      <c r="A122" s="7" t="inlineStr">
        <is>
          <t>885709.TI</t>
        </is>
      </c>
      <c r="B122" s="8">
        <f>[1]!thsiFinD("THS_GPJC_STOCK",$A122)</f>
        <v/>
      </c>
      <c r="C122" s="9">
        <f>[1]!thsiFinD("ths_int_chg_ratio_index",$A122,C$1,C$2)/100</f>
        <v/>
      </c>
      <c r="D122" s="9">
        <f>[1]!thsiFinD("ths_int_chg_ratio_index",$A122,D$1,D$2)/100</f>
        <v/>
      </c>
      <c r="E122" s="9">
        <f>[1]!thsiFinD("ths_int_chg_ratio_index",$A122,E$1,E$2)/100</f>
        <v/>
      </c>
      <c r="F122" s="10">
        <f>D122-(E122-D122)/3</f>
        <v/>
      </c>
      <c r="G122" s="7" t="inlineStr">
        <is>
          <t>产业链</t>
        </is>
      </c>
      <c r="H122" s="7">
        <f>IFERROR(VLOOKUP($I122,'分类规则'!$A$30:$C$200,2,0),"")</f>
        <v/>
      </c>
      <c r="I122" s="7" t="inlineStr">
        <is>
          <t>消费电子</t>
        </is>
      </c>
      <c r="J122" s="7">
        <f>IFERROR(VLOOKUP($I122,'分类规则'!$A$30:$C$200,3,0),"")</f>
        <v/>
      </c>
      <c r="K122" s="8" t="inlineStr">
        <is>
          <t>工业富联</t>
        </is>
      </c>
      <c r="L122" s="7" t="inlineStr">
        <is>
          <t>601138.SH</t>
        </is>
      </c>
      <c r="M122" s="20" t="n">
        <v>15494.3</v>
      </c>
      <c r="N122" s="8" t="inlineStr">
        <is>
          <t>立讯精密</t>
        </is>
      </c>
      <c r="O122" s="7" t="inlineStr">
        <is>
          <t>002475.SZ</t>
        </is>
      </c>
      <c r="P122" s="20" t="n">
        <v>5083.4</v>
      </c>
      <c r="Q122" s="8" t="inlineStr">
        <is>
          <t>胜宏科技</t>
        </is>
      </c>
      <c r="R122" s="7" t="inlineStr">
        <is>
          <t>300476.SZ</t>
        </is>
      </c>
      <c r="S122" s="20" t="n">
        <v>3192.6</v>
      </c>
      <c r="T122" s="8" t="inlineStr">
        <is>
          <t>蓝思科技</t>
        </is>
      </c>
      <c r="U122" s="7" t="inlineStr">
        <is>
          <t>300433.SZ</t>
        </is>
      </c>
      <c r="V122" s="20" t="n">
        <v>2771.6</v>
      </c>
      <c r="W122" s="8" t="inlineStr">
        <is>
          <t>鹏鼎控股</t>
        </is>
      </c>
      <c r="X122" s="7" t="inlineStr">
        <is>
          <t>002938.SZ</t>
        </is>
      </c>
      <c r="Y122" s="20" t="n">
        <v>2769.2</v>
      </c>
    </row>
    <row r="123">
      <c r="A123" s="7" t="inlineStr">
        <is>
          <t>885427.TI</t>
        </is>
      </c>
      <c r="B123" s="8">
        <f>[1]!thsiFinD("THS_GPJC_STOCK",$A123)</f>
        <v/>
      </c>
      <c r="C123" s="9">
        <f>[1]!thsiFinD("ths_int_chg_ratio_index",$A123,C$1,C$2)/100</f>
        <v/>
      </c>
      <c r="D123" s="9">
        <f>[1]!thsiFinD("ths_int_chg_ratio_index",$A123,D$1,D$2)/100</f>
        <v/>
      </c>
      <c r="E123" s="9">
        <f>[1]!thsiFinD("ths_int_chg_ratio_index",$A123,E$1,E$2)/100</f>
        <v/>
      </c>
      <c r="F123" s="10">
        <f>D123-(E123-D123)/3</f>
        <v/>
      </c>
      <c r="G123" s="7" t="inlineStr">
        <is>
          <t>产业链</t>
        </is>
      </c>
      <c r="H123" s="7">
        <f>IFERROR(VLOOKUP($I123,'分类规则'!$A$30:$C$200,2,0),"")</f>
        <v/>
      </c>
      <c r="I123" s="7" t="inlineStr">
        <is>
          <t>综合装备</t>
        </is>
      </c>
      <c r="J123" s="7">
        <f>IFERROR(VLOOKUP($I123,'分类规则'!$A$30:$C$200,3,0),"")</f>
        <v/>
      </c>
      <c r="K123" s="8" t="inlineStr">
        <is>
          <t>中国船舶</t>
        </is>
      </c>
      <c r="L123" s="7" t="inlineStr">
        <is>
          <t>600150.SH</t>
        </is>
      </c>
      <c r="M123" s="20" t="n">
        <v>2719.8</v>
      </c>
      <c r="N123" s="8" t="inlineStr">
        <is>
          <t>华工科技</t>
        </is>
      </c>
      <c r="O123" s="7" t="inlineStr">
        <is>
          <t>000988.SZ</t>
        </is>
      </c>
      <c r="P123" s="20" t="n">
        <v>1784.4</v>
      </c>
      <c r="Q123" s="8" t="inlineStr">
        <is>
          <t>恒立液压</t>
        </is>
      </c>
      <c r="R123" s="7" t="inlineStr">
        <is>
          <t>601100.SH</t>
        </is>
      </c>
      <c r="S123" s="20" t="n">
        <v>1580.8</v>
      </c>
      <c r="T123" s="8" t="inlineStr">
        <is>
          <t>三一重工</t>
        </is>
      </c>
      <c r="U123" s="7" t="inlineStr">
        <is>
          <t>600031.SH</t>
        </is>
      </c>
      <c r="V123" s="20" t="n">
        <v>1556.7</v>
      </c>
      <c r="W123" s="8" t="inlineStr">
        <is>
          <t>潍柴动力</t>
        </is>
      </c>
      <c r="X123" s="7" t="inlineStr">
        <is>
          <t>000338.SZ</t>
        </is>
      </c>
      <c r="Y123" s="20" t="n">
        <v>1490.4</v>
      </c>
    </row>
    <row r="124">
      <c r="A124" s="7" t="inlineStr">
        <is>
          <t>886069.TI</t>
        </is>
      </c>
      <c r="B124" s="8">
        <f>[1]!thsiFinD("THS_GPJC_STOCK",$A124)</f>
        <v/>
      </c>
      <c r="C124" s="9">
        <f>[1]!thsiFinD("ths_int_chg_ratio_index",$A124,C$1,C$2)/100</f>
        <v/>
      </c>
      <c r="D124" s="9">
        <f>[1]!thsiFinD("ths_int_chg_ratio_index",$A124,D$1,D$2)/100</f>
        <v/>
      </c>
      <c r="E124" s="9">
        <f>[1]!thsiFinD("ths_int_chg_ratio_index",$A124,E$1,E$2)/100</f>
        <v/>
      </c>
      <c r="F124" s="10">
        <f>D124-(E124-D124)/3</f>
        <v/>
      </c>
      <c r="G124" s="7" t="inlineStr">
        <is>
          <t>产业链</t>
        </is>
      </c>
      <c r="H124" s="7">
        <f>IFERROR(VLOOKUP($I124,'分类规则'!$A$30:$C$200,2,0),"")</f>
        <v/>
      </c>
      <c r="I124" s="7" t="inlineStr">
        <is>
          <t>机器人</t>
        </is>
      </c>
      <c r="J124" s="7">
        <f>IFERROR(VLOOKUP($I124,'分类规则'!$A$30:$C$200,3,0),"")</f>
        <v/>
      </c>
      <c r="K124" s="8" t="inlineStr">
        <is>
          <t>美的集团</t>
        </is>
      </c>
      <c r="L124" s="7" t="inlineStr">
        <is>
          <t>000333.SZ</t>
        </is>
      </c>
      <c r="M124" s="20" t="n">
        <v>5352.5</v>
      </c>
      <c r="N124" s="8" t="inlineStr">
        <is>
          <t>立讯精密</t>
        </is>
      </c>
      <c r="O124" s="7" t="inlineStr">
        <is>
          <t>002475.SZ</t>
        </is>
      </c>
      <c r="P124" s="20" t="n">
        <v>5083.4</v>
      </c>
      <c r="Q124" s="8" t="inlineStr">
        <is>
          <t>兆易创新</t>
        </is>
      </c>
      <c r="R124" s="7" t="inlineStr">
        <is>
          <t>603986.SH</t>
        </is>
      </c>
      <c r="S124" s="20" t="n">
        <v>4204.8</v>
      </c>
      <c r="T124" s="8" t="inlineStr">
        <is>
          <t>东山精密</t>
        </is>
      </c>
      <c r="U124" s="7" t="inlineStr">
        <is>
          <t>002384.SZ</t>
        </is>
      </c>
      <c r="V124" s="20" t="n">
        <v>3784.7</v>
      </c>
      <c r="W124" s="8" t="inlineStr">
        <is>
          <t>胜宏科技</t>
        </is>
      </c>
      <c r="X124" s="7" t="inlineStr">
        <is>
          <t>300476.SZ</t>
        </is>
      </c>
      <c r="Y124" s="20" t="n">
        <v>3192.6</v>
      </c>
    </row>
    <row r="125">
      <c r="A125" s="7" t="inlineStr">
        <is>
          <t>885521.TI</t>
        </is>
      </c>
      <c r="B125" s="8">
        <f>[1]!thsiFinD("THS_GPJC_STOCK",$A125)</f>
        <v/>
      </c>
      <c r="C125" s="9">
        <f>[1]!thsiFinD("ths_int_chg_ratio_index",$A125,C$1,C$2)/100</f>
        <v/>
      </c>
      <c r="D125" s="9">
        <f>[1]!thsiFinD("ths_int_chg_ratio_index",$A125,D$1,D$2)/100</f>
        <v/>
      </c>
      <c r="E125" s="9">
        <f>[1]!thsiFinD("ths_int_chg_ratio_index",$A125,E$1,E$2)/100</f>
        <v/>
      </c>
      <c r="F125" s="10">
        <f>D125-(E125-D125)/3</f>
        <v/>
      </c>
      <c r="G125" s="7" t="inlineStr">
        <is>
          <t>主题事件</t>
        </is>
      </c>
      <c r="H125" s="7">
        <f>IFERROR(VLOOKUP($I125,'分类规则'!$A$30:$C$200,2,0),"")</f>
        <v/>
      </c>
      <c r="I125" s="7" t="inlineStr">
        <is>
          <t>大湾区</t>
        </is>
      </c>
      <c r="J125" s="7">
        <f>IFERROR(VLOOKUP($I125,'分类规则'!$A$30:$C$200,3,0),"")</f>
        <v/>
      </c>
      <c r="K125" s="8" t="inlineStr">
        <is>
          <t>立讯精密</t>
        </is>
      </c>
      <c r="L125" s="7" t="inlineStr">
        <is>
          <t>002475.SZ</t>
        </is>
      </c>
      <c r="M125" s="20" t="n">
        <v>5083.4</v>
      </c>
      <c r="N125" s="8" t="inlineStr">
        <is>
          <t>胜宏科技</t>
        </is>
      </c>
      <c r="O125" s="7" t="inlineStr">
        <is>
          <t>300476.SZ</t>
        </is>
      </c>
      <c r="P125" s="20" t="n">
        <v>3192.6</v>
      </c>
      <c r="Q125" s="8" t="inlineStr">
        <is>
          <t>比亚迪</t>
        </is>
      </c>
      <c r="R125" s="7" t="inlineStr">
        <is>
          <t>002594.SZ</t>
        </is>
      </c>
      <c r="S125" s="20" t="n">
        <v>3072.8</v>
      </c>
      <c r="T125" s="8" t="inlineStr">
        <is>
          <t>深南电路</t>
        </is>
      </c>
      <c r="U125" s="7" t="inlineStr">
        <is>
          <t>002916.SZ</t>
        </is>
      </c>
      <c r="V125" s="20" t="n">
        <v>3016.9</v>
      </c>
      <c r="W125" s="8" t="inlineStr">
        <is>
          <t>佰维存储</t>
        </is>
      </c>
      <c r="X125" s="7" t="inlineStr">
        <is>
          <t>688525.SH</t>
        </is>
      </c>
      <c r="Y125" s="20" t="n">
        <v>1821.2</v>
      </c>
    </row>
    <row r="126">
      <c r="A126" s="7" t="inlineStr">
        <is>
          <t>886049.TI</t>
        </is>
      </c>
      <c r="B126" s="8">
        <f>[1]!thsiFinD("THS_GPJC_STOCK",$A126)</f>
        <v/>
      </c>
      <c r="C126" s="9">
        <f>[1]!thsiFinD("ths_int_chg_ratio_index",$A126,C$1,C$2)/100</f>
        <v/>
      </c>
      <c r="D126" s="9">
        <f>[1]!thsiFinD("ths_int_chg_ratio_index",$A126,D$1,D$2)/100</f>
        <v/>
      </c>
      <c r="E126" s="9">
        <f>[1]!thsiFinD("ths_int_chg_ratio_index",$A126,E$1,E$2)/100</f>
        <v/>
      </c>
      <c r="F126" s="10">
        <f>D126-(E126-D126)/3</f>
        <v/>
      </c>
      <c r="G126" s="7" t="inlineStr">
        <is>
          <t>产业链</t>
        </is>
      </c>
      <c r="H126" s="7">
        <f>IFERROR(VLOOKUP($I126,'分类规则'!$A$30:$C$200,2,0),"")</f>
        <v/>
      </c>
      <c r="I126" s="7" t="inlineStr">
        <is>
          <t>消费电子</t>
        </is>
      </c>
      <c r="J126" s="7">
        <f>IFERROR(VLOOKUP($I126,'分类规则'!$A$30:$C$200,3,0),"")</f>
        <v/>
      </c>
      <c r="K126" s="8" t="n"/>
      <c r="L126" s="7" t="n"/>
      <c r="M126" s="7" t="n"/>
      <c r="N126" s="8" t="n"/>
      <c r="O126" s="7" t="n"/>
      <c r="P126" s="7" t="n"/>
      <c r="Q126" s="8" t="n"/>
      <c r="R126" s="7" t="n"/>
      <c r="S126" s="7" t="n"/>
      <c r="T126" s="8" t="n"/>
      <c r="U126" s="7" t="n"/>
      <c r="V126" s="7" t="n"/>
      <c r="W126" s="8" t="n"/>
      <c r="X126" s="7" t="n"/>
      <c r="Y126" s="7" t="n"/>
    </row>
    <row r="127">
      <c r="A127" s="7" t="inlineStr">
        <is>
          <t>885914.TI</t>
        </is>
      </c>
      <c r="B127" s="8">
        <f>[1]!thsiFinD("THS_GPJC_STOCK",$A127)</f>
        <v/>
      </c>
      <c r="C127" s="9">
        <f>[1]!thsiFinD("ths_int_chg_ratio_index",$A127,C$1,C$2)/100</f>
        <v/>
      </c>
      <c r="D127" s="9">
        <f>[1]!thsiFinD("ths_int_chg_ratio_index",$A127,D$1,D$2)/100</f>
        <v/>
      </c>
      <c r="E127" s="9">
        <f>[1]!thsiFinD("ths_int_chg_ratio_index",$A127,E$1,E$2)/100</f>
        <v/>
      </c>
      <c r="F127" s="10">
        <f>D127-(E127-D127)/3</f>
        <v/>
      </c>
      <c r="G127" s="7" t="inlineStr">
        <is>
          <t>产业链</t>
        </is>
      </c>
      <c r="H127" s="7">
        <f>IFERROR(VLOOKUP($I127,'分类规则'!$A$30:$C$200,2,0),"")</f>
        <v/>
      </c>
      <c r="I127" s="7" t="inlineStr">
        <is>
          <t>煤炭</t>
        </is>
      </c>
      <c r="J127" s="7">
        <f>IFERROR(VLOOKUP($I127,'分类规则'!$A$30:$C$200,3,0),"")</f>
        <v/>
      </c>
      <c r="K127" s="8" t="inlineStr">
        <is>
          <t>中国神华</t>
        </is>
      </c>
      <c r="L127" s="7" t="inlineStr">
        <is>
          <t>601088.SH</t>
        </is>
      </c>
      <c r="M127" s="20" t="n">
        <v>6804.2</v>
      </c>
      <c r="N127" s="8" t="inlineStr">
        <is>
          <t>陕西煤业</t>
        </is>
      </c>
      <c r="O127" s="7" t="inlineStr">
        <is>
          <t>601225.SH</t>
        </is>
      </c>
      <c r="P127" s="20" t="n">
        <v>2226.9</v>
      </c>
      <c r="Q127" s="8" t="inlineStr">
        <is>
          <t>宝丰能源</t>
        </is>
      </c>
      <c r="R127" s="7" t="inlineStr">
        <is>
          <t>600989.SH</t>
        </is>
      </c>
      <c r="S127" s="20" t="n">
        <v>1577.4</v>
      </c>
      <c r="T127" s="8" t="inlineStr">
        <is>
          <t>中煤能源</t>
        </is>
      </c>
      <c r="U127" s="7" t="inlineStr">
        <is>
          <t>601898.SH</t>
        </is>
      </c>
      <c r="V127" s="20" t="n">
        <v>1235.5</v>
      </c>
      <c r="W127" s="8" t="inlineStr">
        <is>
          <t>特变电工</t>
        </is>
      </c>
      <c r="X127" s="7" t="inlineStr">
        <is>
          <t>600089.SH</t>
        </is>
      </c>
      <c r="Y127" s="20" t="n">
        <v>1178.3</v>
      </c>
    </row>
    <row r="128">
      <c r="A128" s="7" t="inlineStr">
        <is>
          <t>886004.TI</t>
        </is>
      </c>
      <c r="B128" s="8">
        <f>[1]!thsiFinD("THS_GPJC_STOCK",$A128)</f>
        <v/>
      </c>
      <c r="C128" s="9">
        <f>[1]!thsiFinD("ths_int_chg_ratio_index",$A128,C$1,C$2)/100</f>
        <v/>
      </c>
      <c r="D128" s="9">
        <f>[1]!thsiFinD("ths_int_chg_ratio_index",$A128,D$1,D$2)/100</f>
        <v/>
      </c>
      <c r="E128" s="9">
        <f>[1]!thsiFinD("ths_int_chg_ratio_index",$A128,E$1,E$2)/100</f>
        <v/>
      </c>
      <c r="F128" s="10">
        <f>D128-(E128-D128)/3</f>
        <v/>
      </c>
      <c r="G128" s="7" t="inlineStr">
        <is>
          <t>产业链</t>
        </is>
      </c>
      <c r="H128" s="7">
        <f>IFERROR(VLOOKUP($I128,'分类规则'!$A$30:$C$200,2,0),"")</f>
        <v/>
      </c>
      <c r="I128" s="7" t="inlineStr">
        <is>
          <t>电力运营/储能</t>
        </is>
      </c>
      <c r="J128" s="7">
        <f>IFERROR(VLOOKUP($I128,'分类规则'!$A$30:$C$200,3,0),"")</f>
        <v/>
      </c>
      <c r="K128" s="8" t="inlineStr">
        <is>
          <t>阳光电源</t>
        </is>
      </c>
      <c r="L128" s="7" t="inlineStr">
        <is>
          <t>300274.SZ</t>
        </is>
      </c>
      <c r="M128" s="20" t="n">
        <v>2333.3</v>
      </c>
      <c r="N128" s="8" t="inlineStr">
        <is>
          <t>京东方A</t>
        </is>
      </c>
      <c r="O128" s="7" t="inlineStr">
        <is>
          <t>000725.SZ</t>
        </is>
      </c>
      <c r="P128" s="20" t="n">
        <v>2316.5</v>
      </c>
      <c r="Q128" s="8" t="inlineStr">
        <is>
          <t>国电南瑞</t>
        </is>
      </c>
      <c r="R128" s="7" t="inlineStr">
        <is>
          <t>600406.SH</t>
        </is>
      </c>
      <c r="S128" s="20" t="n">
        <v>1846.7</v>
      </c>
      <c r="T128" s="8" t="inlineStr">
        <is>
          <t>特变电工</t>
        </is>
      </c>
      <c r="U128" s="7" t="inlineStr">
        <is>
          <t>600089.SH</t>
        </is>
      </c>
      <c r="V128" s="20" t="n">
        <v>1178.3</v>
      </c>
      <c r="W128" s="8" t="inlineStr">
        <is>
          <t>上海电气</t>
        </is>
      </c>
      <c r="X128" s="7" t="inlineStr">
        <is>
          <t>601727.SH</t>
        </is>
      </c>
      <c r="Y128" s="20" t="n">
        <v>922.2</v>
      </c>
    </row>
    <row r="129">
      <c r="A129" s="7" t="inlineStr">
        <is>
          <t>885823.TI</t>
        </is>
      </c>
      <c r="B129" s="8">
        <f>[1]!thsiFinD("THS_GPJC_STOCK",$A129)</f>
        <v/>
      </c>
      <c r="C129" s="9">
        <f>[1]!thsiFinD("ths_int_chg_ratio_index",$A129,C$1,C$2)/100</f>
        <v/>
      </c>
      <c r="D129" s="9">
        <f>[1]!thsiFinD("ths_int_chg_ratio_index",$A129,D$1,D$2)/100</f>
        <v/>
      </c>
      <c r="E129" s="9">
        <f>[1]!thsiFinD("ths_int_chg_ratio_index",$A129,E$1,E$2)/100</f>
        <v/>
      </c>
      <c r="F129" s="10">
        <f>D129-(E129-D129)/3</f>
        <v/>
      </c>
      <c r="G129" s="7" t="inlineStr">
        <is>
          <t>产业链</t>
        </is>
      </c>
      <c r="H129" s="7">
        <f>IFERROR(VLOOKUP($I129,'分类规则'!$A$30:$C$200,2,0),"")</f>
        <v/>
      </c>
      <c r="I129" s="7" t="inlineStr">
        <is>
          <t>氢能</t>
        </is>
      </c>
      <c r="J129" s="7">
        <f>IFERROR(VLOOKUP($I129,'分类规则'!$A$30:$C$200,3,0),"")</f>
        <v/>
      </c>
      <c r="K129" s="8" t="inlineStr">
        <is>
          <t>中国石油</t>
        </is>
      </c>
      <c r="L129" s="7" t="inlineStr">
        <is>
          <t>601857.SH</t>
        </is>
      </c>
      <c r="M129" s="20" t="n">
        <v>15512.1</v>
      </c>
      <c r="N129" s="8" t="inlineStr">
        <is>
          <t>紫金矿业</t>
        </is>
      </c>
      <c r="O129" s="7" t="inlineStr">
        <is>
          <t>601899.SH</t>
        </is>
      </c>
      <c r="P129" s="20" t="n">
        <v>6116.7</v>
      </c>
      <c r="Q129" s="8" t="inlineStr">
        <is>
          <t>中国石化</t>
        </is>
      </c>
      <c r="R129" s="7" t="inlineStr">
        <is>
          <t>600028.SH</t>
        </is>
      </c>
      <c r="S129" s="20" t="n">
        <v>4462.8</v>
      </c>
      <c r="T129" s="8" t="inlineStr">
        <is>
          <t>阳光电源</t>
        </is>
      </c>
      <c r="U129" s="7" t="inlineStr">
        <is>
          <t>300274.SZ</t>
        </is>
      </c>
      <c r="V129" s="20" t="n">
        <v>2333.3</v>
      </c>
      <c r="W129" s="8" t="inlineStr">
        <is>
          <t>中天科技</t>
        </is>
      </c>
      <c r="X129" s="7" t="inlineStr">
        <is>
          <t>600522.SH</t>
        </is>
      </c>
      <c r="Y129" s="20" t="n">
        <v>1930</v>
      </c>
    </row>
    <row r="130">
      <c r="A130" s="7" t="inlineStr">
        <is>
          <t>885829.TI</t>
        </is>
      </c>
      <c r="B130" s="8">
        <f>[1]!thsiFinD("THS_GPJC_STOCK",$A130)</f>
        <v/>
      </c>
      <c r="C130" s="9">
        <f>[1]!thsiFinD("ths_int_chg_ratio_index",$A130,C$1,C$2)/100</f>
        <v/>
      </c>
      <c r="D130" s="9">
        <f>[1]!thsiFinD("ths_int_chg_ratio_index",$A130,D$1,D$2)/100</f>
        <v/>
      </c>
      <c r="E130" s="9">
        <f>[1]!thsiFinD("ths_int_chg_ratio_index",$A130,E$1,E$2)/100</f>
        <v/>
      </c>
      <c r="F130" s="10">
        <f>D130-(E130-D130)/3</f>
        <v/>
      </c>
      <c r="G130" s="7" t="inlineStr">
        <is>
          <t>产业链</t>
        </is>
      </c>
      <c r="H130" s="7">
        <f>IFERROR(VLOOKUP($I130,'分类规则'!$A$30:$C$200,2,0),"")</f>
        <v/>
      </c>
      <c r="I130" s="7" t="inlineStr">
        <is>
          <t>化工</t>
        </is>
      </c>
      <c r="J130" s="7">
        <f>IFERROR(VLOOKUP($I130,'分类规则'!$A$30:$C$200,3,0),"")</f>
        <v/>
      </c>
      <c r="K130" s="8" t="n"/>
      <c r="L130" s="7" t="n"/>
      <c r="M130" s="7" t="n"/>
      <c r="N130" s="8" t="n"/>
      <c r="O130" s="7" t="n"/>
      <c r="P130" s="7" t="n"/>
      <c r="Q130" s="8" t="n"/>
      <c r="R130" s="7" t="n"/>
      <c r="S130" s="7" t="n"/>
      <c r="T130" s="8" t="n"/>
      <c r="U130" s="7" t="n"/>
      <c r="V130" s="7" t="n"/>
      <c r="W130" s="8" t="n"/>
      <c r="X130" s="7" t="n"/>
      <c r="Y130" s="7" t="n"/>
    </row>
    <row r="131">
      <c r="A131" s="7" t="inlineStr">
        <is>
          <t>885520.TI</t>
        </is>
      </c>
      <c r="B131" s="8">
        <f>[1]!thsiFinD("THS_GPJC_STOCK",$A131)</f>
        <v/>
      </c>
      <c r="C131" s="9">
        <f>[1]!thsiFinD("ths_int_chg_ratio_index",$A131,C$1,C$2)/100</f>
        <v/>
      </c>
      <c r="D131" s="9">
        <f>[1]!thsiFinD("ths_int_chg_ratio_index",$A131,D$1,D$2)/100</f>
        <v/>
      </c>
      <c r="E131" s="9">
        <f>[1]!thsiFinD("ths_int_chg_ratio_index",$A131,E$1,E$2)/100</f>
        <v/>
      </c>
      <c r="F131" s="10">
        <f>D131-(E131-D131)/3</f>
        <v/>
      </c>
      <c r="G131" s="7" t="inlineStr">
        <is>
          <t>宽基风格</t>
        </is>
      </c>
      <c r="H131" s="7">
        <f>IFERROR(VLOOKUP($I131,'分类规则'!$A$30:$C$200,2,0),"")</f>
        <v/>
      </c>
      <c r="I131" s="7" t="inlineStr">
        <is>
          <t>沪股通</t>
        </is>
      </c>
      <c r="J131" s="7">
        <f>IFERROR(VLOOKUP($I131,'分类规则'!$A$30:$C$200,3,0),"")</f>
        <v/>
      </c>
      <c r="K131" s="8" t="inlineStr">
        <is>
          <t>农业银行</t>
        </is>
      </c>
      <c r="L131" s="7" t="inlineStr">
        <is>
          <t>601288.SH</t>
        </is>
      </c>
      <c r="M131" s="20" t="n">
        <v>20335.9</v>
      </c>
      <c r="N131" s="8" t="inlineStr">
        <is>
          <t>工商银行</t>
        </is>
      </c>
      <c r="O131" s="7" t="inlineStr">
        <is>
          <t>601398.SH</t>
        </is>
      </c>
      <c r="P131" s="20" t="n">
        <v>19304.2</v>
      </c>
      <c r="Q131" s="8" t="inlineStr">
        <is>
          <t>中国石油</t>
        </is>
      </c>
      <c r="R131" s="7" t="inlineStr">
        <is>
          <t>601857.SH</t>
        </is>
      </c>
      <c r="S131" s="20" t="n">
        <v>15512.1</v>
      </c>
      <c r="T131" s="8" t="inlineStr">
        <is>
          <t>工业富联</t>
        </is>
      </c>
      <c r="U131" s="7" t="inlineStr">
        <is>
          <t>601138.SH</t>
        </is>
      </c>
      <c r="V131" s="20" t="n">
        <v>15494.3</v>
      </c>
      <c r="W131" s="8" t="inlineStr">
        <is>
          <t>贵州茅台</t>
        </is>
      </c>
      <c r="X131" s="7" t="inlineStr">
        <is>
          <t>600519.SH</t>
        </is>
      </c>
      <c r="Y131" s="20" t="n">
        <v>15188.5</v>
      </c>
    </row>
    <row r="132">
      <c r="A132" s="7" t="inlineStr">
        <is>
          <t>885936.TI</t>
        </is>
      </c>
      <c r="B132" s="8">
        <f>[1]!thsiFinD("THS_GPJC_STOCK",$A132)</f>
        <v/>
      </c>
      <c r="C132" s="9">
        <f>[1]!thsiFinD("ths_int_chg_ratio_index",$A132,C$1,C$2)/100</f>
        <v/>
      </c>
      <c r="D132" s="9">
        <f>[1]!thsiFinD("ths_int_chg_ratio_index",$A132,D$1,D$2)/100</f>
        <v/>
      </c>
      <c r="E132" s="9">
        <f>[1]!thsiFinD("ths_int_chg_ratio_index",$A132,E$1,E$2)/100</f>
        <v/>
      </c>
      <c r="F132" s="10">
        <f>D132-(E132-D132)/3</f>
        <v/>
      </c>
      <c r="G132" s="7" t="inlineStr">
        <is>
          <t>产业链</t>
        </is>
      </c>
      <c r="H132" s="7">
        <f>IFERROR(VLOOKUP($I132,'分类规则'!$A$30:$C$200,2,0),"")</f>
        <v/>
      </c>
      <c r="I132" s="7" t="inlineStr">
        <is>
          <t>电力运营/储能</t>
        </is>
      </c>
      <c r="J132" s="7">
        <f>IFERROR(VLOOKUP($I132,'分类规则'!$A$30:$C$200,3,0),"")</f>
        <v/>
      </c>
      <c r="K132" s="8" t="inlineStr">
        <is>
          <t>中国神华</t>
        </is>
      </c>
      <c r="L132" s="7" t="inlineStr">
        <is>
          <t>601088.SH</t>
        </is>
      </c>
      <c r="M132" s="20" t="n">
        <v>6804.2</v>
      </c>
      <c r="N132" s="8" t="inlineStr">
        <is>
          <t>长江电力</t>
        </is>
      </c>
      <c r="O132" s="7" t="inlineStr">
        <is>
          <t>600900.SH</t>
        </is>
      </c>
      <c r="P132" s="20" t="n">
        <v>6523.2</v>
      </c>
      <c r="Q132" s="8" t="inlineStr">
        <is>
          <t>恒瑞医药</t>
        </is>
      </c>
      <c r="R132" s="7" t="inlineStr">
        <is>
          <t>600276.SH</t>
        </is>
      </c>
      <c r="S132" s="20" t="n">
        <v>3088.7</v>
      </c>
      <c r="T132" s="8" t="inlineStr">
        <is>
          <t>万华化学</t>
        </is>
      </c>
      <c r="U132" s="7" t="inlineStr">
        <is>
          <t>600309.SH</t>
        </is>
      </c>
      <c r="V132" s="20" t="n">
        <v>2161.6</v>
      </c>
      <c r="W132" s="8" t="inlineStr">
        <is>
          <t>中天科技</t>
        </is>
      </c>
      <c r="X132" s="7" t="inlineStr">
        <is>
          <t>600522.SH</t>
        </is>
      </c>
      <c r="Y132" s="20" t="n">
        <v>1930</v>
      </c>
    </row>
    <row r="133">
      <c r="A133" s="7" t="inlineStr">
        <is>
          <t>885650.TI</t>
        </is>
      </c>
      <c r="B133" s="8">
        <f>[1]!thsiFinD("THS_GPJC_STOCK",$A133)</f>
        <v/>
      </c>
      <c r="C133" s="9">
        <f>[1]!thsiFinD("ths_int_chg_ratio_index",$A133,C$1,C$2)/100</f>
        <v/>
      </c>
      <c r="D133" s="9">
        <f>[1]!thsiFinD("ths_int_chg_ratio_index",$A133,D$1,D$2)/100</f>
        <v/>
      </c>
      <c r="E133" s="9">
        <f>[1]!thsiFinD("ths_int_chg_ratio_index",$A133,E$1,E$2)/100</f>
        <v/>
      </c>
      <c r="F133" s="10">
        <f>D133-(E133-D133)/3</f>
        <v/>
      </c>
      <c r="G133" s="7" t="inlineStr">
        <is>
          <t>产业链</t>
        </is>
      </c>
      <c r="H133" s="7">
        <f>IFERROR(VLOOKUP($I133,'分类规则'!$A$30:$C$200,2,0),"")</f>
        <v/>
      </c>
      <c r="I133" s="7" t="inlineStr">
        <is>
          <t>新材料</t>
        </is>
      </c>
      <c r="J133" s="7">
        <f>IFERROR(VLOOKUP($I133,'分类规则'!$A$30:$C$200,3,0),"")</f>
        <v/>
      </c>
      <c r="K133" s="8" t="inlineStr">
        <is>
          <t>万华化学</t>
        </is>
      </c>
      <c r="L133" s="7" t="inlineStr">
        <is>
          <t>600309.SH</t>
        </is>
      </c>
      <c r="M133" s="20" t="n">
        <v>2161.6</v>
      </c>
      <c r="N133" s="8" t="inlineStr">
        <is>
          <t>领益智造</t>
        </is>
      </c>
      <c r="O133" s="7" t="inlineStr">
        <is>
          <t>002600.SZ</t>
        </is>
      </c>
      <c r="P133" s="20" t="n">
        <v>1211</v>
      </c>
      <c r="Q133" s="8" t="inlineStr">
        <is>
          <t>荣盛石化</t>
        </is>
      </c>
      <c r="R133" s="7" t="inlineStr">
        <is>
          <t>002493.SZ</t>
        </is>
      </c>
      <c r="S133" s="20" t="n">
        <v>1046.8</v>
      </c>
      <c r="T133" s="8" t="inlineStr">
        <is>
          <t>东方盛虹</t>
        </is>
      </c>
      <c r="U133" s="7" t="inlineStr">
        <is>
          <t>000301.SZ</t>
        </is>
      </c>
      <c r="V133" s="20" t="n">
        <v>765.9</v>
      </c>
      <c r="W133" s="8" t="inlineStr">
        <is>
          <t>光启技术</t>
        </is>
      </c>
      <c r="X133" s="7" t="inlineStr">
        <is>
          <t>002625.SZ</t>
        </is>
      </c>
      <c r="Y133" s="20" t="n">
        <v>735.8</v>
      </c>
    </row>
    <row r="134">
      <c r="A134" s="7" t="inlineStr">
        <is>
          <t>885884.TI</t>
        </is>
      </c>
      <c r="B134" s="8">
        <f>[1]!thsiFinD("THS_GPJC_STOCK",$A134)</f>
        <v/>
      </c>
      <c r="C134" s="9">
        <f>[1]!thsiFinD("ths_int_chg_ratio_index",$A134,C$1,C$2)/100</f>
        <v/>
      </c>
      <c r="D134" s="9">
        <f>[1]!thsiFinD("ths_int_chg_ratio_index",$A134,D$1,D$2)/100</f>
        <v/>
      </c>
      <c r="E134" s="9">
        <f>[1]!thsiFinD("ths_int_chg_ratio_index",$A134,E$1,E$2)/100</f>
        <v/>
      </c>
      <c r="F134" s="10">
        <f>D134-(E134-D134)/3</f>
        <v/>
      </c>
      <c r="G134" s="7" t="inlineStr">
        <is>
          <t>产业链</t>
        </is>
      </c>
      <c r="H134" s="7">
        <f>IFERROR(VLOOKUP($I134,'分类规则'!$A$30:$C$200,2,0),"")</f>
        <v/>
      </c>
      <c r="I134" s="7" t="inlineStr">
        <is>
          <t>航空航天</t>
        </is>
      </c>
      <c r="J134" s="7">
        <f>IFERROR(VLOOKUP($I134,'分类规则'!$A$30:$C$200,3,0),"")</f>
        <v/>
      </c>
      <c r="K134" s="8" t="inlineStr">
        <is>
          <t>华工科技</t>
        </is>
      </c>
      <c r="L134" s="7" t="inlineStr">
        <is>
          <t>000988.SZ</t>
        </is>
      </c>
      <c r="M134" s="20" t="n">
        <v>1784.4</v>
      </c>
      <c r="N134" s="8" t="inlineStr">
        <is>
          <t>航发动力</t>
        </is>
      </c>
      <c r="O134" s="7" t="inlineStr">
        <is>
          <t>600893.SH</t>
        </is>
      </c>
      <c r="P134" s="20" t="n">
        <v>1039.9</v>
      </c>
      <c r="Q134" s="8" t="inlineStr">
        <is>
          <t>中控技术</t>
        </is>
      </c>
      <c r="R134" s="7" t="inlineStr">
        <is>
          <t>688777.SH</t>
        </is>
      </c>
      <c r="S134" s="20" t="n">
        <v>980.1</v>
      </c>
      <c r="T134" s="8" t="inlineStr">
        <is>
          <t>上海电气</t>
        </is>
      </c>
      <c r="U134" s="7" t="inlineStr">
        <is>
          <t>601727.SH</t>
        </is>
      </c>
      <c r="V134" s="20" t="n">
        <v>922.2</v>
      </c>
      <c r="W134" s="8" t="inlineStr">
        <is>
          <t>中信特钢</t>
        </is>
      </c>
      <c r="X134" s="7" t="inlineStr">
        <is>
          <t>000708.SZ</t>
        </is>
      </c>
      <c r="Y134" s="20" t="n">
        <v>682.9</v>
      </c>
    </row>
    <row r="135">
      <c r="A135" s="7" t="inlineStr">
        <is>
          <t>885426.TI</t>
        </is>
      </c>
      <c r="B135" s="8">
        <f>[1]!thsiFinD("THS_GPJC_STOCK",$A135)</f>
        <v/>
      </c>
      <c r="C135" s="9">
        <f>[1]!thsiFinD("ths_int_chg_ratio_index",$A135,C$1,C$2)/100</f>
        <v/>
      </c>
      <c r="D135" s="9">
        <f>[1]!thsiFinD("ths_int_chg_ratio_index",$A135,D$1,D$2)/100</f>
        <v/>
      </c>
      <c r="E135" s="9">
        <f>[1]!thsiFinD("ths_int_chg_ratio_index",$A135,E$1,E$2)/100</f>
        <v/>
      </c>
      <c r="F135" s="10">
        <f>D135-(E135-D135)/3</f>
        <v/>
      </c>
      <c r="G135" s="7" t="inlineStr">
        <is>
          <t>产业链</t>
        </is>
      </c>
      <c r="H135" s="7">
        <f>IFERROR(VLOOKUP($I135,'分类规则'!$A$30:$C$200,2,0),"")</f>
        <v/>
      </c>
      <c r="I135" s="7" t="inlineStr">
        <is>
          <t>船舶</t>
        </is>
      </c>
      <c r="J135" s="7">
        <f>IFERROR(VLOOKUP($I135,'分类规则'!$A$30:$C$200,3,0),"")</f>
        <v/>
      </c>
      <c r="K135" s="8" t="inlineStr">
        <is>
          <t>中国船舶</t>
        </is>
      </c>
      <c r="L135" s="7" t="inlineStr">
        <is>
          <t>600150.SH</t>
        </is>
      </c>
      <c r="M135" s="20" t="n">
        <v>2719.8</v>
      </c>
      <c r="N135" s="8" t="inlineStr">
        <is>
          <t>亨通光电</t>
        </is>
      </c>
      <c r="O135" s="7" t="inlineStr">
        <is>
          <t>600487.SH</t>
        </is>
      </c>
      <c r="P135" s="20" t="n">
        <v>2714.4</v>
      </c>
      <c r="Q135" s="8" t="inlineStr">
        <is>
          <t>中天科技</t>
        </is>
      </c>
      <c r="R135" s="7" t="inlineStr">
        <is>
          <t>600522.SH</t>
        </is>
      </c>
      <c r="S135" s="20" t="n">
        <v>1930</v>
      </c>
      <c r="T135" s="8" t="inlineStr">
        <is>
          <t>长飞光纤</t>
        </is>
      </c>
      <c r="U135" s="7" t="inlineStr">
        <is>
          <t>601869.SH</t>
        </is>
      </c>
      <c r="V135" s="20" t="n">
        <v>1916.1</v>
      </c>
      <c r="W135" s="8" t="inlineStr">
        <is>
          <t>中材科技</t>
        </is>
      </c>
      <c r="X135" s="7" t="inlineStr">
        <is>
          <t>002080.SZ</t>
        </is>
      </c>
      <c r="Y135" s="20" t="n">
        <v>1351.7</v>
      </c>
    </row>
    <row r="136">
      <c r="A136" s="7" t="inlineStr">
        <is>
          <t>885574.TI</t>
        </is>
      </c>
      <c r="B136" s="8">
        <f>[1]!thsiFinD("THS_GPJC_STOCK",$A136)</f>
        <v/>
      </c>
      <c r="C136" s="9">
        <f>[1]!thsiFinD("ths_int_chg_ratio_index",$A136,C$1,C$2)/100</f>
        <v/>
      </c>
      <c r="D136" s="9">
        <f>[1]!thsiFinD("ths_int_chg_ratio_index",$A136,D$1,D$2)/100</f>
        <v/>
      </c>
      <c r="E136" s="9">
        <f>[1]!thsiFinD("ths_int_chg_ratio_index",$A136,E$1,E$2)/100</f>
        <v/>
      </c>
      <c r="F136" s="10">
        <f>D136-(E136-D136)/3</f>
        <v/>
      </c>
      <c r="G136" s="7" t="inlineStr">
        <is>
          <t>产业链</t>
        </is>
      </c>
      <c r="H136" s="7">
        <f>IFERROR(VLOOKUP($I136,'分类规则'!$A$30:$C$200,2,0),"")</f>
        <v/>
      </c>
      <c r="I136" s="7" t="inlineStr">
        <is>
          <t>航空航天</t>
        </is>
      </c>
      <c r="J136" s="7">
        <f>IFERROR(VLOOKUP($I136,'分类规则'!$A$30:$C$200,3,0),"")</f>
        <v/>
      </c>
      <c r="K136" s="8" t="inlineStr">
        <is>
          <t>中国电信</t>
        </is>
      </c>
      <c r="L136" s="7" t="inlineStr">
        <is>
          <t>601728.SH</t>
        </is>
      </c>
      <c r="M136" s="20" t="n">
        <v>4409.4</v>
      </c>
      <c r="N136" s="8" t="inlineStr">
        <is>
          <t>华工科技</t>
        </is>
      </c>
      <c r="O136" s="7" t="inlineStr">
        <is>
          <t>000988.SZ</t>
        </is>
      </c>
      <c r="P136" s="20" t="n">
        <v>1784.4</v>
      </c>
      <c r="Q136" s="8" t="inlineStr">
        <is>
          <t>中兴通讯</t>
        </is>
      </c>
      <c r="R136" s="7" t="inlineStr">
        <is>
          <t>000063.SZ</t>
        </is>
      </c>
      <c r="S136" s="20" t="n">
        <v>1526.1</v>
      </c>
      <c r="T136" s="8" t="inlineStr">
        <is>
          <t>中国联通</t>
        </is>
      </c>
      <c r="U136" s="7" t="inlineStr">
        <is>
          <t>600050.SH</t>
        </is>
      </c>
      <c r="V136" s="20" t="n">
        <v>1326.4</v>
      </c>
      <c r="W136" s="8" t="inlineStr">
        <is>
          <t>光库科技</t>
        </is>
      </c>
      <c r="X136" s="7" t="inlineStr">
        <is>
          <t>300620.SZ</t>
        </is>
      </c>
      <c r="Y136" s="20" t="n">
        <v>965.7</v>
      </c>
    </row>
    <row r="137">
      <c r="A137" s="7" t="inlineStr">
        <is>
          <t>885944.TI</t>
        </is>
      </c>
      <c r="B137" s="8">
        <f>[1]!thsiFinD("THS_GPJC_STOCK",$A137)</f>
        <v/>
      </c>
      <c r="C137" s="9">
        <f>[1]!thsiFinD("ths_int_chg_ratio_index",$A137,C$1,C$2)/100</f>
        <v/>
      </c>
      <c r="D137" s="9">
        <f>[1]!thsiFinD("ths_int_chg_ratio_index",$A137,D$1,D$2)/100</f>
        <v/>
      </c>
      <c r="E137" s="9">
        <f>[1]!thsiFinD("ths_int_chg_ratio_index",$A137,E$1,E$2)/100</f>
        <v/>
      </c>
      <c r="F137" s="10">
        <f>D137-(E137-D137)/3</f>
        <v/>
      </c>
      <c r="G137" s="7" t="inlineStr">
        <is>
          <t>产业链</t>
        </is>
      </c>
      <c r="H137" s="7">
        <f>IFERROR(VLOOKUP($I137,'分类规则'!$A$30:$C$200,2,0),"")</f>
        <v/>
      </c>
      <c r="I137" s="7" t="inlineStr">
        <is>
          <t>储能/电池</t>
        </is>
      </c>
      <c r="J137" s="7">
        <f>IFERROR(VLOOKUP($I137,'分类规则'!$A$30:$C$200,3,0),"")</f>
        <v/>
      </c>
      <c r="K137" s="8" t="inlineStr">
        <is>
          <t>宁德时代</t>
        </is>
      </c>
      <c r="L137" s="7" t="inlineStr">
        <is>
          <t>300750.SZ</t>
        </is>
      </c>
      <c r="M137" s="20" t="n">
        <v>16668.3</v>
      </c>
      <c r="N137" s="8" t="inlineStr">
        <is>
          <t>比亚迪</t>
        </is>
      </c>
      <c r="O137" s="7" t="inlineStr">
        <is>
          <t>002594.SZ</t>
        </is>
      </c>
      <c r="P137" s="20" t="n">
        <v>3072.8</v>
      </c>
      <c r="Q137" s="8" t="inlineStr">
        <is>
          <t>亿纬锂能</t>
        </is>
      </c>
      <c r="R137" s="7" t="inlineStr">
        <is>
          <t>300014.SZ</t>
        </is>
      </c>
      <c r="S137" s="20" t="n">
        <v>1408.2</v>
      </c>
      <c r="T137" s="8" t="inlineStr">
        <is>
          <t>厦门钨业</t>
        </is>
      </c>
      <c r="U137" s="7" t="inlineStr">
        <is>
          <t>600549.SH</t>
        </is>
      </c>
      <c r="V137" s="20" t="n">
        <v>1335</v>
      </c>
      <c r="W137" s="8" t="inlineStr">
        <is>
          <t>上汽集团</t>
        </is>
      </c>
      <c r="X137" s="7" t="inlineStr">
        <is>
          <t>600104.SH</t>
        </is>
      </c>
      <c r="Y137" s="20" t="n">
        <v>1202.4</v>
      </c>
    </row>
    <row r="138">
      <c r="A138" s="7" t="inlineStr">
        <is>
          <t>885338.TI</t>
        </is>
      </c>
      <c r="B138" s="8">
        <f>[1]!thsiFinD("THS_GPJC_STOCK",$A138)</f>
        <v/>
      </c>
      <c r="C138" s="9">
        <f>[1]!thsiFinD("ths_int_chg_ratio_index",$A138,C$1,C$2)/100</f>
        <v/>
      </c>
      <c r="D138" s="9">
        <f>[1]!thsiFinD("ths_int_chg_ratio_index",$A138,D$1,D$2)/100</f>
        <v/>
      </c>
      <c r="E138" s="9">
        <f>[1]!thsiFinD("ths_int_chg_ratio_index",$A138,E$1,E$2)/100</f>
        <v/>
      </c>
      <c r="F138" s="10">
        <f>D138-(E138-D138)/3</f>
        <v/>
      </c>
      <c r="G138" s="7" t="inlineStr">
        <is>
          <t>宽基风格</t>
        </is>
      </c>
      <c r="H138" s="7">
        <f>IFERROR(VLOOKUP($I138,'分类规则'!$A$30:$C$200,2,0),"")</f>
        <v/>
      </c>
      <c r="I138" s="7" t="inlineStr">
        <is>
          <t>两融</t>
        </is>
      </c>
      <c r="J138" s="7">
        <f>IFERROR(VLOOKUP($I138,'分类规则'!$A$30:$C$200,3,0),"")</f>
        <v/>
      </c>
      <c r="K138" s="8" t="inlineStr">
        <is>
          <t>农业银行</t>
        </is>
      </c>
      <c r="L138" s="7" t="inlineStr">
        <is>
          <t>601288.SH</t>
        </is>
      </c>
      <c r="M138" s="20" t="n">
        <v>20335.9</v>
      </c>
      <c r="N138" s="8" t="inlineStr">
        <is>
          <t>工商银行</t>
        </is>
      </c>
      <c r="O138" s="7" t="inlineStr">
        <is>
          <t>601398.SH</t>
        </is>
      </c>
      <c r="P138" s="20" t="n">
        <v>19304.2</v>
      </c>
      <c r="Q138" s="8" t="inlineStr">
        <is>
          <t>宁德时代</t>
        </is>
      </c>
      <c r="R138" s="7" t="inlineStr">
        <is>
          <t>300750.SZ</t>
        </is>
      </c>
      <c r="S138" s="20" t="n">
        <v>16668.3</v>
      </c>
      <c r="T138" s="8" t="inlineStr">
        <is>
          <t>中国石油</t>
        </is>
      </c>
      <c r="U138" s="7" t="inlineStr">
        <is>
          <t>601857.SH</t>
        </is>
      </c>
      <c r="V138" s="20" t="n">
        <v>15512.1</v>
      </c>
      <c r="W138" s="8" t="inlineStr">
        <is>
          <t>工业富联</t>
        </is>
      </c>
      <c r="X138" s="7" t="inlineStr">
        <is>
          <t>601138.SH</t>
        </is>
      </c>
      <c r="Y138" s="20" t="n">
        <v>15494.3</v>
      </c>
    </row>
    <row r="139">
      <c r="A139" s="7" t="inlineStr">
        <is>
          <t>886030.TI</t>
        </is>
      </c>
      <c r="B139" s="8">
        <f>[1]!thsiFinD("THS_GPJC_STOCK",$A139)</f>
        <v/>
      </c>
      <c r="C139" s="9">
        <f>[1]!thsiFinD("ths_int_chg_ratio_index",$A139,C$1,C$2)/100</f>
        <v/>
      </c>
      <c r="D139" s="9">
        <f>[1]!thsiFinD("ths_int_chg_ratio_index",$A139,D$1,D$2)/100</f>
        <v/>
      </c>
      <c r="E139" s="9">
        <f>[1]!thsiFinD("ths_int_chg_ratio_index",$A139,E$1,E$2)/100</f>
        <v/>
      </c>
      <c r="F139" s="10">
        <f>D139-(E139-D139)/3</f>
        <v/>
      </c>
      <c r="G139" s="7" t="inlineStr">
        <is>
          <t>公司链</t>
        </is>
      </c>
      <c r="H139" s="7">
        <f>IFERROR(VLOOKUP($I139,'分类规则'!$A$30:$C$200,2,0),"")</f>
        <v/>
      </c>
      <c r="I139" s="7" t="inlineStr">
        <is>
          <t>航空航天</t>
        </is>
      </c>
      <c r="J139" s="7">
        <f>IFERROR(VLOOKUP($I139,'分类规则'!$A$30:$C$200,3,0),"")</f>
        <v/>
      </c>
      <c r="K139" s="8" t="inlineStr">
        <is>
          <t>中航光电</t>
        </is>
      </c>
      <c r="L139" s="7" t="inlineStr">
        <is>
          <t>002179.SZ</t>
        </is>
      </c>
      <c r="M139" s="20" t="n">
        <v>855</v>
      </c>
      <c r="N139" s="8" t="inlineStr">
        <is>
          <t>中航成飞</t>
        </is>
      </c>
      <c r="O139" s="7" t="inlineStr">
        <is>
          <t>302132.SZ</t>
        </is>
      </c>
      <c r="P139" s="20" t="n">
        <v>347.7</v>
      </c>
      <c r="Q139" s="8" t="inlineStr">
        <is>
          <t>海格通信</t>
        </is>
      </c>
      <c r="R139" s="7" t="inlineStr">
        <is>
          <t>002465.SZ</t>
        </is>
      </c>
      <c r="S139" s="20" t="n">
        <v>339</v>
      </c>
      <c r="T139" s="8" t="inlineStr">
        <is>
          <t>申菱环境</t>
        </is>
      </c>
      <c r="U139" s="7" t="inlineStr">
        <is>
          <t>301018.SZ</t>
        </is>
      </c>
      <c r="V139" s="20" t="n">
        <v>329</v>
      </c>
      <c r="W139" s="8" t="inlineStr">
        <is>
          <t>中航重机</t>
        </is>
      </c>
      <c r="X139" s="7" t="inlineStr">
        <is>
          <t>600765.SH</t>
        </is>
      </c>
      <c r="Y139" s="20" t="n">
        <v>215.8</v>
      </c>
    </row>
    <row r="140">
      <c r="A140" s="7" t="inlineStr">
        <is>
          <t>885939.TI</t>
        </is>
      </c>
      <c r="B140" s="8">
        <f>[1]!thsiFinD("THS_GPJC_STOCK",$A140)</f>
        <v/>
      </c>
      <c r="C140" s="9">
        <f>[1]!thsiFinD("ths_int_chg_ratio_index",$A140,C$1,C$2)/100</f>
        <v/>
      </c>
      <c r="D140" s="9">
        <f>[1]!thsiFinD("ths_int_chg_ratio_index",$A140,D$1,D$2)/100</f>
        <v/>
      </c>
      <c r="E140" s="9">
        <f>[1]!thsiFinD("ths_int_chg_ratio_index",$A140,E$1,E$2)/100</f>
        <v/>
      </c>
      <c r="F140" s="10">
        <f>D140-(E140-D140)/3</f>
        <v/>
      </c>
      <c r="G140" s="7" t="inlineStr">
        <is>
          <t>主题事件</t>
        </is>
      </c>
      <c r="H140" s="7">
        <f>IFERROR(VLOOKUP($I140,'分类规则'!$A$30:$C$200,2,0),"")</f>
        <v/>
      </c>
      <c r="I140" s="7" t="inlineStr">
        <is>
          <t>两岸</t>
        </is>
      </c>
      <c r="J140" s="7">
        <f>IFERROR(VLOOKUP($I140,'分类规则'!$A$30:$C$200,3,0),"")</f>
        <v/>
      </c>
      <c r="K140" s="8" t="inlineStr">
        <is>
          <t>工业富联</t>
        </is>
      </c>
      <c r="L140" s="7" t="inlineStr">
        <is>
          <t>601138.SH</t>
        </is>
      </c>
      <c r="M140" s="20" t="n">
        <v>15494.3</v>
      </c>
      <c r="N140" s="8" t="inlineStr">
        <is>
          <t>立讯精密</t>
        </is>
      </c>
      <c r="O140" s="7" t="inlineStr">
        <is>
          <t>002475.SZ</t>
        </is>
      </c>
      <c r="P140" s="20" t="n">
        <v>5083.4</v>
      </c>
      <c r="Q140" s="8" t="inlineStr">
        <is>
          <t>兴业银行</t>
        </is>
      </c>
      <c r="R140" s="7" t="inlineStr">
        <is>
          <t>601166.SH</t>
        </is>
      </c>
      <c r="S140" s="20" t="n">
        <v>3665.4</v>
      </c>
      <c r="T140" s="8" t="inlineStr">
        <is>
          <t>胜宏科技</t>
        </is>
      </c>
      <c r="U140" s="7" t="inlineStr">
        <is>
          <t>300476.SZ</t>
        </is>
      </c>
      <c r="V140" s="20" t="n">
        <v>3192.6</v>
      </c>
      <c r="W140" s="8" t="inlineStr">
        <is>
          <t>沪电股份</t>
        </is>
      </c>
      <c r="X140" s="7" t="inlineStr">
        <is>
          <t>002463.SZ</t>
        </is>
      </c>
      <c r="Y140" s="20" t="n">
        <v>2843.8</v>
      </c>
    </row>
    <row r="141">
      <c r="A141" s="7" t="inlineStr">
        <is>
          <t>886063.TI</t>
        </is>
      </c>
      <c r="B141" s="8">
        <f>[1]!thsiFinD("THS_GPJC_STOCK",$A141)</f>
        <v/>
      </c>
      <c r="C141" s="9">
        <f>[1]!thsiFinD("ths_int_chg_ratio_index",$A141,C$1,C$2)/100</f>
        <v/>
      </c>
      <c r="D141" s="9">
        <f>[1]!thsiFinD("ths_int_chg_ratio_index",$A141,D$1,D$2)/100</f>
        <v/>
      </c>
      <c r="E141" s="9">
        <f>[1]!thsiFinD("ths_int_chg_ratio_index",$A141,E$1,E$2)/100</f>
        <v/>
      </c>
      <c r="F141" s="10">
        <f>D141-(E141-D141)/3</f>
        <v/>
      </c>
      <c r="G141" s="7" t="inlineStr">
        <is>
          <t>产业链</t>
        </is>
      </c>
      <c r="H141" s="7">
        <f>IFERROR(VLOOKUP($I141,'分类规则'!$A$30:$C$200,2,0),"")</f>
        <v/>
      </c>
      <c r="I141" s="7" t="inlineStr">
        <is>
          <t>新材料</t>
        </is>
      </c>
      <c r="J141" s="7">
        <f>IFERROR(VLOOKUP($I141,'分类规则'!$A$30:$C$200,3,0),"")</f>
        <v/>
      </c>
      <c r="K141" s="8" t="n"/>
      <c r="L141" s="7" t="n"/>
      <c r="M141" s="7" t="n"/>
      <c r="N141" s="8" t="n"/>
      <c r="O141" s="7" t="n"/>
      <c r="P141" s="7" t="n"/>
      <c r="Q141" s="8" t="n"/>
      <c r="R141" s="7" t="n"/>
      <c r="S141" s="7" t="n"/>
      <c r="T141" s="8" t="n"/>
      <c r="U141" s="7" t="n"/>
      <c r="V141" s="7" t="n"/>
      <c r="W141" s="8" t="n"/>
      <c r="X141" s="7" t="n"/>
      <c r="Y141" s="7" t="n"/>
    </row>
    <row r="142">
      <c r="A142" s="7" t="inlineStr">
        <is>
          <t>885564.TI</t>
        </is>
      </c>
      <c r="B142" s="8">
        <f>[1]!thsiFinD("THS_GPJC_STOCK",$A142)</f>
        <v/>
      </c>
      <c r="C142" s="9">
        <f>[1]!thsiFinD("ths_int_chg_ratio_index",$A142,C$1,C$2)/100</f>
        <v/>
      </c>
      <c r="D142" s="9">
        <f>[1]!thsiFinD("ths_int_chg_ratio_index",$A142,D$1,D$2)/100</f>
        <v/>
      </c>
      <c r="E142" s="9">
        <f>[1]!thsiFinD("ths_int_chg_ratio_index",$A142,E$1,E$2)/100</f>
        <v/>
      </c>
      <c r="F142" s="10">
        <f>D142-(E142-D142)/3</f>
        <v/>
      </c>
      <c r="G142" s="7" t="inlineStr">
        <is>
          <t>产业链</t>
        </is>
      </c>
      <c r="H142" s="7">
        <f>IFERROR(VLOOKUP($I142,'分类规则'!$A$30:$C$200,2,0),"")</f>
        <v/>
      </c>
      <c r="I142" s="7" t="inlineStr">
        <is>
          <t>航空航天</t>
        </is>
      </c>
      <c r="J142" s="7">
        <f>IFERROR(VLOOKUP($I142,'分类规则'!$A$30:$C$200,3,0),"")</f>
        <v/>
      </c>
      <c r="K142" s="8" t="inlineStr">
        <is>
          <t>海康威视</t>
        </is>
      </c>
      <c r="L142" s="7" t="inlineStr">
        <is>
          <t>002415.SZ</t>
        </is>
      </c>
      <c r="M142" s="20" t="n">
        <v>2922</v>
      </c>
      <c r="N142" s="8" t="inlineStr">
        <is>
          <t>中兴通讯</t>
        </is>
      </c>
      <c r="O142" s="7" t="inlineStr">
        <is>
          <t>000063.SZ</t>
        </is>
      </c>
      <c r="P142" s="20" t="n">
        <v>1526.1</v>
      </c>
      <c r="Q142" s="8" t="inlineStr">
        <is>
          <t>顺丰控股</t>
        </is>
      </c>
      <c r="R142" s="7" t="inlineStr">
        <is>
          <t>002352.SZ</t>
        </is>
      </c>
      <c r="S142" s="20" t="n">
        <v>1504.9</v>
      </c>
      <c r="T142" s="8" t="inlineStr">
        <is>
          <t>亿纬锂能</t>
        </is>
      </c>
      <c r="U142" s="7" t="inlineStr">
        <is>
          <t>300014.SZ</t>
        </is>
      </c>
      <c r="V142" s="20" t="n">
        <v>1408.2</v>
      </c>
      <c r="W142" s="8" t="inlineStr">
        <is>
          <t>中材科技</t>
        </is>
      </c>
      <c r="X142" s="7" t="inlineStr">
        <is>
          <t>002080.SZ</t>
        </is>
      </c>
      <c r="Y142" s="20" t="n">
        <v>1351.7</v>
      </c>
    </row>
    <row r="143">
      <c r="A143" s="7" t="inlineStr">
        <is>
          <t>885963.TI</t>
        </is>
      </c>
      <c r="B143" s="8">
        <f>[1]!thsiFinD("THS_GPJC_STOCK",$A143)</f>
        <v/>
      </c>
      <c r="C143" s="9">
        <f>[1]!thsiFinD("ths_int_chg_ratio_index",$A143,C$1,C$2)/100</f>
        <v/>
      </c>
      <c r="D143" s="9">
        <f>[1]!thsiFinD("ths_int_chg_ratio_index",$A143,D$1,D$2)/100</f>
        <v/>
      </c>
      <c r="E143" s="9">
        <f>[1]!thsiFinD("ths_int_chg_ratio_index",$A143,E$1,E$2)/100</f>
        <v/>
      </c>
      <c r="F143" s="10">
        <f>D143-(E143-D143)/3</f>
        <v/>
      </c>
      <c r="G143" s="7" t="inlineStr">
        <is>
          <t>产业链</t>
        </is>
      </c>
      <c r="H143" s="7">
        <f>IFERROR(VLOOKUP($I143,'分类规则'!$A$30:$C$200,2,0),"")</f>
        <v/>
      </c>
      <c r="I143" s="7" t="inlineStr">
        <is>
          <t>智慧城市</t>
        </is>
      </c>
      <c r="J143" s="7">
        <f>IFERROR(VLOOKUP($I143,'分类规则'!$A$30:$C$200,3,0),"")</f>
        <v/>
      </c>
      <c r="K143" s="8" t="inlineStr">
        <is>
          <t>大华股份</t>
        </is>
      </c>
      <c r="L143" s="7" t="inlineStr">
        <is>
          <t>002236.SZ</t>
        </is>
      </c>
      <c r="M143" s="20" t="n">
        <v>389</v>
      </c>
      <c r="N143" s="8" t="inlineStr">
        <is>
          <t>罗曼股份</t>
        </is>
      </c>
      <c r="O143" s="7" t="inlineStr">
        <is>
          <t>605289.SH</t>
        </is>
      </c>
      <c r="P143" s="20" t="n">
        <v>211.1</v>
      </c>
      <c r="Q143" s="8" t="inlineStr">
        <is>
          <t>特发信息</t>
        </is>
      </c>
      <c r="R143" s="7" t="inlineStr">
        <is>
          <t>000070.SZ</t>
        </is>
      </c>
      <c r="S143" s="20" t="n">
        <v>177.6</v>
      </c>
      <c r="T143" s="8" t="inlineStr">
        <is>
          <t>利亚德</t>
        </is>
      </c>
      <c r="U143" s="7" t="inlineStr">
        <is>
          <t>300296.SZ</t>
        </is>
      </c>
      <c r="V143" s="20" t="n">
        <v>152.8</v>
      </c>
      <c r="W143" s="8" t="inlineStr">
        <is>
          <t>得邦照明</t>
        </is>
      </c>
      <c r="X143" s="7" t="inlineStr">
        <is>
          <t>603303.SH</t>
        </is>
      </c>
      <c r="Y143" s="20" t="n">
        <v>148.8</v>
      </c>
    </row>
    <row r="144">
      <c r="A144" s="7" t="inlineStr">
        <is>
          <t>885905.TI</t>
        </is>
      </c>
      <c r="B144" s="8">
        <f>[1]!thsiFinD("THS_GPJC_STOCK",$A144)</f>
        <v/>
      </c>
      <c r="C144" s="9">
        <f>[1]!thsiFinD("ths_int_chg_ratio_index",$A144,C$1,C$2)/100</f>
        <v/>
      </c>
      <c r="D144" s="9">
        <f>[1]!thsiFinD("ths_int_chg_ratio_index",$A144,D$1,D$2)/100</f>
        <v/>
      </c>
      <c r="E144" s="9">
        <f>[1]!thsiFinD("ths_int_chg_ratio_index",$A144,E$1,E$2)/100</f>
        <v/>
      </c>
      <c r="F144" s="10">
        <f>D144-(E144-D144)/3</f>
        <v/>
      </c>
      <c r="G144" s="7" t="inlineStr">
        <is>
          <t>宽基风格</t>
        </is>
      </c>
      <c r="H144" s="7">
        <f>IFERROR(VLOOKUP($I144,'分类规则'!$A$30:$C$200,2,0),"")</f>
        <v/>
      </c>
      <c r="I144" s="7" t="inlineStr">
        <is>
          <t>次新股</t>
        </is>
      </c>
      <c r="J144" s="7">
        <f>IFERROR(VLOOKUP($I144,'分类规则'!$A$30:$C$200,3,0),"")</f>
        <v/>
      </c>
      <c r="K144" s="8" t="inlineStr">
        <is>
          <t>联讯仪器</t>
        </is>
      </c>
      <c r="L144" s="7" t="inlineStr">
        <is>
          <t>688808.SH</t>
        </is>
      </c>
      <c r="M144" s="20" t="n">
        <v>457.9</v>
      </c>
      <c r="N144" s="8" t="inlineStr">
        <is>
          <t>盛合晶微</t>
        </is>
      </c>
      <c r="O144" s="7" t="inlineStr">
        <is>
          <t>688820.SH</t>
        </is>
      </c>
      <c r="P144" s="20" t="n">
        <v>320.9</v>
      </c>
      <c r="Q144" s="8" t="inlineStr">
        <is>
          <t>摩尔线程</t>
        </is>
      </c>
      <c r="R144" s="7" t="inlineStr">
        <is>
          <t>688795.SH</t>
        </is>
      </c>
      <c r="S144" s="20" t="n">
        <v>202.2</v>
      </c>
      <c r="T144" s="8" t="inlineStr">
        <is>
          <t>大普微</t>
        </is>
      </c>
      <c r="U144" s="7" t="inlineStr">
        <is>
          <t>301666.SZ</t>
        </is>
      </c>
      <c r="V144" s="20" t="n">
        <v>178.3</v>
      </c>
      <c r="W144" s="8" t="inlineStr">
        <is>
          <t>华电新能</t>
        </is>
      </c>
      <c r="X144" s="7" t="inlineStr">
        <is>
          <t>600930.SH</t>
        </is>
      </c>
      <c r="Y144" s="20" t="n">
        <v>170.5</v>
      </c>
    </row>
    <row r="145">
      <c r="A145" s="7" t="inlineStr">
        <is>
          <t>885730.TI</t>
        </is>
      </c>
      <c r="B145" s="8">
        <f>[1]!thsiFinD("THS_GPJC_STOCK",$A145)</f>
        <v/>
      </c>
      <c r="C145" s="9">
        <f>[1]!thsiFinD("ths_int_chg_ratio_index",$A145,C$1,C$2)/100</f>
        <v/>
      </c>
      <c r="D145" s="9">
        <f>[1]!thsiFinD("ths_int_chg_ratio_index",$A145,D$1,D$2)/100</f>
        <v/>
      </c>
      <c r="E145" s="9">
        <f>[1]!thsiFinD("ths_int_chg_ratio_index",$A145,E$1,E$2)/100</f>
        <v/>
      </c>
      <c r="F145" s="10">
        <f>D145-(E145-D145)/3</f>
        <v/>
      </c>
      <c r="G145" s="7" t="inlineStr">
        <is>
          <t>产业链</t>
        </is>
      </c>
      <c r="H145" s="7">
        <f>IFERROR(VLOOKUP($I145,'分类规则'!$A$30:$C$200,2,0),"")</f>
        <v/>
      </c>
      <c r="I145" s="7" t="inlineStr">
        <is>
          <t>通信</t>
        </is>
      </c>
      <c r="J145" s="7">
        <f>IFERROR(VLOOKUP($I145,'分类规则'!$A$30:$C$200,3,0),"")</f>
        <v/>
      </c>
      <c r="K145" s="8" t="inlineStr">
        <is>
          <t>海光信息</t>
        </is>
      </c>
      <c r="L145" s="7" t="inlineStr">
        <is>
          <t>688041.SH</t>
        </is>
      </c>
      <c r="M145" s="20" t="n">
        <v>7623.8</v>
      </c>
      <c r="N145" s="8" t="inlineStr">
        <is>
          <t>中国电信</t>
        </is>
      </c>
      <c r="O145" s="7" t="inlineStr">
        <is>
          <t>601728.SH</t>
        </is>
      </c>
      <c r="P145" s="20" t="n">
        <v>4409.4</v>
      </c>
      <c r="Q145" s="8" t="inlineStr">
        <is>
          <t>亨通光电</t>
        </is>
      </c>
      <c r="R145" s="7" t="inlineStr">
        <is>
          <t>600487.SH</t>
        </is>
      </c>
      <c r="S145" s="20" t="n">
        <v>2714.4</v>
      </c>
      <c r="T145" s="8" t="inlineStr">
        <is>
          <t>光迅科技</t>
        </is>
      </c>
      <c r="U145" s="7" t="inlineStr">
        <is>
          <t>002281.SZ</t>
        </is>
      </c>
      <c r="V145" s="20" t="n">
        <v>2077.7</v>
      </c>
      <c r="W145" s="8" t="inlineStr">
        <is>
          <t>中天科技</t>
        </is>
      </c>
      <c r="X145" s="7" t="inlineStr">
        <is>
          <t>600522.SH</t>
        </is>
      </c>
      <c r="Y145" s="20" t="n">
        <v>1930</v>
      </c>
    </row>
    <row r="146">
      <c r="A146" s="7" t="inlineStr">
        <is>
          <t>885775.TI</t>
        </is>
      </c>
      <c r="B146" s="8">
        <f>[1]!thsiFinD("THS_GPJC_STOCK",$A146)</f>
        <v/>
      </c>
      <c r="C146" s="9">
        <f>[1]!thsiFinD("ths_int_chg_ratio_index",$A146,C$1,C$2)/100</f>
        <v/>
      </c>
      <c r="D146" s="9">
        <f>[1]!thsiFinD("ths_int_chg_ratio_index",$A146,D$1,D$2)/100</f>
        <v/>
      </c>
      <c r="E146" s="9">
        <f>[1]!thsiFinD("ths_int_chg_ratio_index",$A146,E$1,E$2)/100</f>
        <v/>
      </c>
      <c r="F146" s="10">
        <f>D146-(E146-D146)/3</f>
        <v/>
      </c>
      <c r="G146" s="7" t="inlineStr">
        <is>
          <t>产业链</t>
        </is>
      </c>
      <c r="H146" s="7">
        <f>IFERROR(VLOOKUP($I146,'分类规则'!$A$30:$C$200,2,0),"")</f>
        <v/>
      </c>
      <c r="I146" s="7" t="inlineStr">
        <is>
          <t>氢能</t>
        </is>
      </c>
      <c r="J146" s="7">
        <f>IFERROR(VLOOKUP($I146,'分类规则'!$A$30:$C$200,3,0),"")</f>
        <v/>
      </c>
      <c r="K146" s="8" t="inlineStr">
        <is>
          <t>三环集团</t>
        </is>
      </c>
      <c r="L146" s="7" t="inlineStr">
        <is>
          <t>300408.SZ</t>
        </is>
      </c>
      <c r="M146" s="20" t="n">
        <v>2952.2</v>
      </c>
      <c r="N146" s="8" t="inlineStr">
        <is>
          <t>三花智控</t>
        </is>
      </c>
      <c r="O146" s="7" t="inlineStr">
        <is>
          <t>002050.SZ</t>
        </is>
      </c>
      <c r="P146" s="20" t="n">
        <v>1685.2</v>
      </c>
      <c r="Q146" s="8" t="inlineStr">
        <is>
          <t>潍柴动力</t>
        </is>
      </c>
      <c r="R146" s="7" t="inlineStr">
        <is>
          <t>000338.SZ</t>
        </is>
      </c>
      <c r="S146" s="20" t="n">
        <v>1490.4</v>
      </c>
      <c r="T146" s="8" t="inlineStr">
        <is>
          <t>亿纬锂能</t>
        </is>
      </c>
      <c r="U146" s="7" t="inlineStr">
        <is>
          <t>300014.SZ</t>
        </is>
      </c>
      <c r="V146" s="20" t="n">
        <v>1408.2</v>
      </c>
      <c r="W146" s="8" t="inlineStr">
        <is>
          <t>中国中车</t>
        </is>
      </c>
      <c r="X146" s="7" t="inlineStr">
        <is>
          <t>601766.SH</t>
        </is>
      </c>
      <c r="Y146" s="20" t="n">
        <v>1362.4</v>
      </c>
    </row>
    <row r="147">
      <c r="A147" s="7" t="inlineStr">
        <is>
          <t>885700.TI</t>
        </is>
      </c>
      <c r="B147" s="8">
        <f>[1]!thsiFinD("THS_GPJC_STOCK",$A147)</f>
        <v/>
      </c>
      <c r="C147" s="9">
        <f>[1]!thsiFinD("ths_int_chg_ratio_index",$A147,C$1,C$2)/100</f>
        <v/>
      </c>
      <c r="D147" s="9">
        <f>[1]!thsiFinD("ths_int_chg_ratio_index",$A147,D$1,D$2)/100</f>
        <v/>
      </c>
      <c r="E147" s="9">
        <f>[1]!thsiFinD("ths_int_chg_ratio_index",$A147,E$1,E$2)/100</f>
        <v/>
      </c>
      <c r="F147" s="10">
        <f>D147-(E147-D147)/3</f>
        <v/>
      </c>
      <c r="G147" s="7" t="inlineStr">
        <is>
          <t>产业链</t>
        </is>
      </c>
      <c r="H147" s="7">
        <f>IFERROR(VLOOKUP($I147,'分类规则'!$A$30:$C$200,2,0),"")</f>
        <v/>
      </c>
      <c r="I147" s="7" t="inlineStr">
        <is>
          <t>航空航天</t>
        </is>
      </c>
      <c r="J147" s="7">
        <f>IFERROR(VLOOKUP($I147,'分类规则'!$A$30:$C$200,3,0),"")</f>
        <v/>
      </c>
      <c r="K147" s="8" t="n"/>
      <c r="L147" s="7" t="n"/>
      <c r="M147" s="7" t="n"/>
      <c r="N147" s="8" t="n"/>
      <c r="O147" s="7" t="n"/>
      <c r="P147" s="7" t="n"/>
      <c r="Q147" s="8" t="n"/>
      <c r="R147" s="7" t="n"/>
      <c r="S147" s="7" t="n"/>
      <c r="T147" s="8" t="n"/>
      <c r="U147" s="7" t="n"/>
      <c r="V147" s="7" t="n"/>
      <c r="W147" s="8" t="n"/>
      <c r="X147" s="7" t="n"/>
      <c r="Y147" s="7" t="n"/>
    </row>
    <row r="148">
      <c r="A148" s="7" t="inlineStr">
        <is>
          <t>885736.TI</t>
        </is>
      </c>
      <c r="B148" s="8">
        <f>[1]!thsiFinD("THS_GPJC_STOCK",$A148)</f>
        <v/>
      </c>
      <c r="C148" s="9">
        <f>[1]!thsiFinD("ths_int_chg_ratio_index",$A148,C$1,C$2)/100</f>
        <v/>
      </c>
      <c r="D148" s="9">
        <f>[1]!thsiFinD("ths_int_chg_ratio_index",$A148,D$1,D$2)/100</f>
        <v/>
      </c>
      <c r="E148" s="9">
        <f>[1]!thsiFinD("ths_int_chg_ratio_index",$A148,E$1,E$2)/100</f>
        <v/>
      </c>
      <c r="F148" s="10">
        <f>D148-(E148-D148)/3</f>
        <v/>
      </c>
      <c r="G148" s="7" t="inlineStr">
        <is>
          <t>产业链</t>
        </is>
      </c>
      <c r="H148" s="7">
        <f>IFERROR(VLOOKUP($I148,'分类规则'!$A$30:$C$200,2,0),"")</f>
        <v/>
      </c>
      <c r="I148" s="7" t="inlineStr">
        <is>
          <t>汽车</t>
        </is>
      </c>
      <c r="J148" s="7">
        <f>IFERROR(VLOOKUP($I148,'分类规则'!$A$30:$C$200,3,0),"")</f>
        <v/>
      </c>
      <c r="K148" s="8" t="n"/>
      <c r="L148" s="7" t="n"/>
      <c r="M148" s="7" t="n"/>
      <c r="N148" s="8" t="n"/>
      <c r="O148" s="7" t="n"/>
      <c r="P148" s="7" t="n"/>
      <c r="Q148" s="8" t="n"/>
      <c r="R148" s="7" t="n"/>
      <c r="S148" s="7" t="n"/>
      <c r="T148" s="8" t="n"/>
      <c r="U148" s="7" t="n"/>
      <c r="V148" s="7" t="n"/>
      <c r="W148" s="8" t="n"/>
      <c r="X148" s="7" t="n"/>
      <c r="Y148" s="7" t="n"/>
    </row>
    <row r="149">
      <c r="A149" s="7" t="inlineStr">
        <is>
          <t>885517.TI</t>
        </is>
      </c>
      <c r="B149" s="8">
        <f>[1]!thsiFinD("THS_GPJC_STOCK",$A149)</f>
        <v/>
      </c>
      <c r="C149" s="9">
        <f>[1]!thsiFinD("ths_int_chg_ratio_index",$A149,C$1,C$2)/100</f>
        <v/>
      </c>
      <c r="D149" s="9">
        <f>[1]!thsiFinD("ths_int_chg_ratio_index",$A149,D$1,D$2)/100</f>
        <v/>
      </c>
      <c r="E149" s="9">
        <f>[1]!thsiFinD("ths_int_chg_ratio_index",$A149,E$1,E$2)/100</f>
        <v/>
      </c>
      <c r="F149" s="10">
        <f>D149-(E149-D149)/3</f>
        <v/>
      </c>
      <c r="G149" s="7" t="inlineStr">
        <is>
          <t>产业链</t>
        </is>
      </c>
      <c r="H149" s="7">
        <f>IFERROR(VLOOKUP($I149,'分类规则'!$A$30:$C$200,2,0),"")</f>
        <v/>
      </c>
      <c r="I149" s="7" t="inlineStr">
        <is>
          <t>机器人</t>
        </is>
      </c>
      <c r="J149" s="7">
        <f>IFERROR(VLOOKUP($I149,'分类规则'!$A$30:$C$200,3,0),"")</f>
        <v/>
      </c>
      <c r="K149" s="8" t="inlineStr">
        <is>
          <t>工业富联</t>
        </is>
      </c>
      <c r="L149" s="7" t="inlineStr">
        <is>
          <t>601138.SH</t>
        </is>
      </c>
      <c r="M149" s="20" t="n">
        <v>15494.3</v>
      </c>
      <c r="N149" s="8" t="inlineStr">
        <is>
          <t>美的集团</t>
        </is>
      </c>
      <c r="O149" s="7" t="inlineStr">
        <is>
          <t>000333.SZ</t>
        </is>
      </c>
      <c r="P149" s="20" t="n">
        <v>5352.5</v>
      </c>
      <c r="Q149" s="8" t="inlineStr">
        <is>
          <t>立讯精密</t>
        </is>
      </c>
      <c r="R149" s="7" t="inlineStr">
        <is>
          <t>002475.SZ</t>
        </is>
      </c>
      <c r="S149" s="20" t="n">
        <v>5083.4</v>
      </c>
      <c r="T149" s="8" t="inlineStr">
        <is>
          <t>东山精密</t>
        </is>
      </c>
      <c r="U149" s="7" t="inlineStr">
        <is>
          <t>002384.SZ</t>
        </is>
      </c>
      <c r="V149" s="20" t="n">
        <v>3784.7</v>
      </c>
      <c r="W149" s="8" t="inlineStr">
        <is>
          <t>胜宏科技</t>
        </is>
      </c>
      <c r="X149" s="7" t="inlineStr">
        <is>
          <t>300476.SZ</t>
        </is>
      </c>
      <c r="Y149" s="20" t="n">
        <v>3192.6</v>
      </c>
    </row>
    <row r="150">
      <c r="A150" s="7" t="inlineStr">
        <is>
          <t>885919.TI</t>
        </is>
      </c>
      <c r="B150" s="8">
        <f>[1]!thsiFinD("THS_GPJC_STOCK",$A150)</f>
        <v/>
      </c>
      <c r="C150" s="9">
        <f>[1]!thsiFinD("ths_int_chg_ratio_index",$A150,C$1,C$2)/100</f>
        <v/>
      </c>
      <c r="D150" s="9">
        <f>[1]!thsiFinD("ths_int_chg_ratio_index",$A150,D$1,D$2)/100</f>
        <v/>
      </c>
      <c r="E150" s="9">
        <f>[1]!thsiFinD("ths_int_chg_ratio_index",$A150,E$1,E$2)/100</f>
        <v/>
      </c>
      <c r="F150" s="10">
        <f>D150-(E150-D150)/3</f>
        <v/>
      </c>
      <c r="G150" s="7" t="inlineStr">
        <is>
          <t>主题事件</t>
        </is>
      </c>
      <c r="H150" s="7">
        <f>IFERROR(VLOOKUP($I150,'分类规则'!$A$30:$C$200,2,0),"")</f>
        <v/>
      </c>
      <c r="I150" s="7" t="inlineStr">
        <is>
          <t>碳中和</t>
        </is>
      </c>
      <c r="J150" s="7">
        <f>IFERROR(VLOOKUP($I150,'分类规则'!$A$30:$C$200,3,0),"")</f>
        <v/>
      </c>
      <c r="K150" s="8" t="n"/>
      <c r="L150" s="7" t="n"/>
      <c r="M150" s="7" t="n"/>
      <c r="N150" s="8" t="n"/>
      <c r="O150" s="7" t="n"/>
      <c r="P150" s="7" t="n"/>
      <c r="Q150" s="8" t="n"/>
      <c r="R150" s="7" t="n"/>
      <c r="S150" s="7" t="n"/>
      <c r="T150" s="8" t="n"/>
      <c r="U150" s="7" t="n"/>
      <c r="V150" s="7" t="n"/>
      <c r="W150" s="8" t="n"/>
      <c r="X150" s="7" t="n"/>
      <c r="Y150" s="7" t="n"/>
    </row>
    <row r="151">
      <c r="A151" s="7" t="inlineStr">
        <is>
          <t>885920.TI</t>
        </is>
      </c>
      <c r="B151" s="8">
        <f>[1]!thsiFinD("THS_GPJC_STOCK",$A151)</f>
        <v/>
      </c>
      <c r="C151" s="9">
        <f>[1]!thsiFinD("ths_int_chg_ratio_index",$A151,C$1,C$2)/100</f>
        <v/>
      </c>
      <c r="D151" s="9">
        <f>[1]!thsiFinD("ths_int_chg_ratio_index",$A151,D$1,D$2)/100</f>
        <v/>
      </c>
      <c r="E151" s="9">
        <f>[1]!thsiFinD("ths_int_chg_ratio_index",$A151,E$1,E$2)/100</f>
        <v/>
      </c>
      <c r="F151" s="10">
        <f>D151-(E151-D151)/3</f>
        <v/>
      </c>
      <c r="G151" s="7" t="inlineStr">
        <is>
          <t>产业链</t>
        </is>
      </c>
      <c r="H151" s="7">
        <f>IFERROR(VLOOKUP($I151,'分类规则'!$A$30:$C$200,2,0),"")</f>
        <v/>
      </c>
      <c r="I151" s="7" t="inlineStr">
        <is>
          <t>光伏</t>
        </is>
      </c>
      <c r="J151" s="7">
        <f>IFERROR(VLOOKUP($I151,'分类规则'!$A$30:$C$200,3,0),"")</f>
        <v/>
      </c>
      <c r="K151" s="8" t="inlineStr">
        <is>
          <t>京东方A</t>
        </is>
      </c>
      <c r="L151" s="7" t="inlineStr">
        <is>
          <t>000725.SZ</t>
        </is>
      </c>
      <c r="M151" s="20" t="n">
        <v>2316.5</v>
      </c>
      <c r="N151" s="8" t="inlineStr">
        <is>
          <t>中国建筑</t>
        </is>
      </c>
      <c r="O151" s="7" t="inlineStr">
        <is>
          <t>601668.SH</t>
        </is>
      </c>
      <c r="P151" s="20" t="n">
        <v>1904.9</v>
      </c>
      <c r="Q151" s="8" t="inlineStr">
        <is>
          <t>隆基绿能</t>
        </is>
      </c>
      <c r="R151" s="7" t="inlineStr">
        <is>
          <t>601012.SH</t>
        </is>
      </c>
      <c r="S151" s="20" t="n">
        <v>973</v>
      </c>
      <c r="T151" s="8" t="inlineStr">
        <is>
          <t>圣泉集团</t>
        </is>
      </c>
      <c r="U151" s="7" t="inlineStr">
        <is>
          <t>605589.SH</t>
        </is>
      </c>
      <c r="V151" s="20" t="n">
        <v>590.6</v>
      </c>
      <c r="W151" s="8" t="inlineStr">
        <is>
          <t>正泰电器</t>
        </is>
      </c>
      <c r="X151" s="7" t="inlineStr">
        <is>
          <t>601877.SH</t>
        </is>
      </c>
      <c r="Y151" s="20" t="n">
        <v>581.1</v>
      </c>
    </row>
    <row r="152">
      <c r="A152" s="7" t="inlineStr">
        <is>
          <t>885901.TI</t>
        </is>
      </c>
      <c r="B152" s="8">
        <f>[1]!thsiFinD("THS_GPJC_STOCK",$A152)</f>
        <v/>
      </c>
      <c r="C152" s="9">
        <f>[1]!thsiFinD("ths_int_chg_ratio_index",$A152,C$1,C$2)/100</f>
        <v/>
      </c>
      <c r="D152" s="9">
        <f>[1]!thsiFinD("ths_int_chg_ratio_index",$A152,D$1,D$2)/100</f>
        <v/>
      </c>
      <c r="E152" s="9">
        <f>[1]!thsiFinD("ths_int_chg_ratio_index",$A152,E$1,E$2)/100</f>
        <v/>
      </c>
      <c r="F152" s="10">
        <f>D152-(E152-D152)/3</f>
        <v/>
      </c>
      <c r="G152" s="7" t="inlineStr">
        <is>
          <t>产业链</t>
        </is>
      </c>
      <c r="H152" s="7">
        <f>IFERROR(VLOOKUP($I152,'分类规则'!$A$30:$C$200,2,0),"")</f>
        <v/>
      </c>
      <c r="I152" s="7" t="inlineStr">
        <is>
          <t>化工</t>
        </is>
      </c>
      <c r="J152" s="7">
        <f>IFERROR(VLOOKUP($I152,'分类规则'!$A$30:$C$200,3,0),"")</f>
        <v/>
      </c>
      <c r="K152" s="8" t="inlineStr">
        <is>
          <t>万华化学</t>
        </is>
      </c>
      <c r="L152" s="7" t="inlineStr">
        <is>
          <t>600309.SH</t>
        </is>
      </c>
      <c r="M152" s="20" t="n">
        <v>2161.6</v>
      </c>
      <c r="N152" s="8" t="inlineStr">
        <is>
          <t>恒力石化</t>
        </is>
      </c>
      <c r="O152" s="7" t="inlineStr">
        <is>
          <t>600346.SH</t>
        </is>
      </c>
      <c r="P152" s="20" t="n">
        <v>1203.7</v>
      </c>
      <c r="Q152" s="8" t="inlineStr">
        <is>
          <t>上纬新材</t>
        </is>
      </c>
      <c r="R152" s="7" t="inlineStr">
        <is>
          <t>688585.SH</t>
        </is>
      </c>
      <c r="S152" s="20" t="n">
        <v>650.8</v>
      </c>
      <c r="T152" s="8" t="inlineStr">
        <is>
          <t>恒逸石化</t>
        </is>
      </c>
      <c r="U152" s="7" t="inlineStr">
        <is>
          <t>000703.SZ</t>
        </is>
      </c>
      <c r="V152" s="20" t="n">
        <v>473.7</v>
      </c>
      <c r="W152" s="8" t="inlineStr">
        <is>
          <t>华峰化学</t>
        </is>
      </c>
      <c r="X152" s="7" t="inlineStr">
        <is>
          <t>002064.SZ</t>
        </is>
      </c>
      <c r="Y152" s="20" t="n">
        <v>470.4</v>
      </c>
    </row>
    <row r="153">
      <c r="A153" s="7" t="inlineStr">
        <is>
          <t>885739.TI</t>
        </is>
      </c>
      <c r="B153" s="8">
        <f>[1]!thsiFinD("THS_GPJC_STOCK",$A153)</f>
        <v/>
      </c>
      <c r="C153" s="9">
        <f>[1]!thsiFinD("ths_int_chg_ratio_index",$A153,C$1,C$2)/100</f>
        <v/>
      </c>
      <c r="D153" s="9">
        <f>[1]!thsiFinD("ths_int_chg_ratio_index",$A153,D$1,D$2)/100</f>
        <v/>
      </c>
      <c r="E153" s="9">
        <f>[1]!thsiFinD("ths_int_chg_ratio_index",$A153,E$1,E$2)/100</f>
        <v/>
      </c>
      <c r="F153" s="10">
        <f>D153-(E153-D153)/3</f>
        <v/>
      </c>
      <c r="G153" s="7" t="inlineStr">
        <is>
          <t>主题事件</t>
        </is>
      </c>
      <c r="H153" s="7">
        <f>IFERROR(VLOOKUP($I153,'分类规则'!$A$30:$C$200,2,0),"")</f>
        <v/>
      </c>
      <c r="I153" s="7" t="inlineStr">
        <is>
          <t>并购重组</t>
        </is>
      </c>
      <c r="J153" s="7">
        <f>IFERROR(VLOOKUP($I153,'分类规则'!$A$30:$C$200,3,0),"")</f>
        <v/>
      </c>
      <c r="K153" s="8" t="n"/>
      <c r="L153" s="7" t="n"/>
      <c r="M153" s="7" t="n"/>
      <c r="N153" s="8" t="n"/>
      <c r="O153" s="7" t="n"/>
      <c r="P153" s="7" t="n"/>
      <c r="Q153" s="8" t="n"/>
      <c r="R153" s="7" t="n"/>
      <c r="S153" s="7" t="n"/>
      <c r="T153" s="8" t="n"/>
      <c r="U153" s="7" t="n"/>
      <c r="V153" s="7" t="n"/>
      <c r="W153" s="8" t="n"/>
      <c r="X153" s="7" t="n"/>
      <c r="Y153" s="7" t="n"/>
    </row>
    <row r="154">
      <c r="A154" s="7" t="inlineStr">
        <is>
          <t>885964.TI</t>
        </is>
      </c>
      <c r="B154" s="8">
        <f>[1]!thsiFinD("THS_GPJC_STOCK",$A154)</f>
        <v/>
      </c>
      <c r="C154" s="9">
        <f>[1]!thsiFinD("ths_int_chg_ratio_index",$A154,C$1,C$2)/100</f>
        <v/>
      </c>
      <c r="D154" s="9">
        <f>[1]!thsiFinD("ths_int_chg_ratio_index",$A154,D$1,D$2)/100</f>
        <v/>
      </c>
      <c r="E154" s="9">
        <f>[1]!thsiFinD("ths_int_chg_ratio_index",$A154,E$1,E$2)/100</f>
        <v/>
      </c>
      <c r="F154" s="10">
        <f>D154-(E154-D154)/3</f>
        <v/>
      </c>
      <c r="G154" s="7" t="inlineStr">
        <is>
          <t>主题事件</t>
        </is>
      </c>
      <c r="H154" s="7">
        <f>IFERROR(VLOOKUP($I154,'分类规则'!$A$30:$C$200,2,0),"")</f>
        <v/>
      </c>
      <c r="I154" s="7" t="inlineStr">
        <is>
          <t>地缘</t>
        </is>
      </c>
      <c r="J154" s="7">
        <f>IFERROR(VLOOKUP($I154,'分类规则'!$A$30:$C$200,3,0),"")</f>
        <v/>
      </c>
      <c r="K154" s="8" t="inlineStr">
        <is>
          <t>中国石油</t>
        </is>
      </c>
      <c r="L154" s="7" t="inlineStr">
        <is>
          <t>601857.SH</t>
        </is>
      </c>
      <c r="M154" s="20" t="n">
        <v>15512.1</v>
      </c>
      <c r="N154" s="8" t="inlineStr">
        <is>
          <t>中远海控</t>
        </is>
      </c>
      <c r="O154" s="7" t="inlineStr">
        <is>
          <t>601919.SH</t>
        </is>
      </c>
      <c r="P154" s="20" t="n">
        <v>1732.8</v>
      </c>
      <c r="Q154" s="8" t="inlineStr">
        <is>
          <t>招商轮船</t>
        </is>
      </c>
      <c r="R154" s="7" t="inlineStr">
        <is>
          <t>601872.SH</t>
        </is>
      </c>
      <c r="S154" s="20" t="n">
        <v>1384</v>
      </c>
      <c r="T154" s="8" t="inlineStr">
        <is>
          <t>中国铝业</t>
        </is>
      </c>
      <c r="U154" s="7" t="inlineStr">
        <is>
          <t>601600.SH</t>
        </is>
      </c>
      <c r="V154" s="20" t="n">
        <v>1235.7</v>
      </c>
      <c r="W154" s="8" t="inlineStr">
        <is>
          <t>华友钴业</t>
        </is>
      </c>
      <c r="X154" s="7" t="inlineStr">
        <is>
          <t>603799.SH</t>
        </is>
      </c>
      <c r="Y154" s="20" t="n">
        <v>983.4</v>
      </c>
    </row>
    <row r="155">
      <c r="A155" s="7" t="inlineStr">
        <is>
          <t>885694.TI</t>
        </is>
      </c>
      <c r="B155" s="8">
        <f>[1]!thsiFinD("THS_GPJC_STOCK",$A155)</f>
        <v/>
      </c>
      <c r="C155" s="9">
        <f>[1]!thsiFinD("ths_int_chg_ratio_index",$A155,C$1,C$2)/100</f>
        <v/>
      </c>
      <c r="D155" s="9">
        <f>[1]!thsiFinD("ths_int_chg_ratio_index",$A155,D$1,D$2)/100</f>
        <v/>
      </c>
      <c r="E155" s="9">
        <f>[1]!thsiFinD("ths_int_chg_ratio_index",$A155,E$1,E$2)/100</f>
        <v/>
      </c>
      <c r="F155" s="10">
        <f>D155-(E155-D155)/3</f>
        <v/>
      </c>
      <c r="G155" s="7" t="inlineStr">
        <is>
          <t>宽基风格</t>
        </is>
      </c>
      <c r="H155" s="7">
        <f>IFERROR(VLOOKUP($I155,'分类规则'!$A$30:$C$200,2,0),"")</f>
        <v/>
      </c>
      <c r="I155" s="7" t="inlineStr">
        <is>
          <t>深股通</t>
        </is>
      </c>
      <c r="J155" s="7">
        <f>IFERROR(VLOOKUP($I155,'分类规则'!$A$30:$C$200,3,0),"")</f>
        <v/>
      </c>
      <c r="K155" s="8" t="n"/>
      <c r="L155" s="7" t="n"/>
      <c r="M155" s="7" t="n"/>
      <c r="N155" s="8" t="n"/>
      <c r="O155" s="7" t="n"/>
      <c r="P155" s="7" t="n"/>
      <c r="Q155" s="8" t="n"/>
      <c r="R155" s="7" t="n"/>
      <c r="S155" s="7" t="n"/>
      <c r="T155" s="8" t="n"/>
      <c r="U155" s="7" t="n"/>
      <c r="V155" s="7" t="n"/>
      <c r="W155" s="8" t="n"/>
      <c r="X155" s="7" t="n"/>
      <c r="Y155" s="7" t="n"/>
    </row>
    <row r="156">
      <c r="A156" s="7" t="inlineStr">
        <is>
          <t>885410.TI</t>
        </is>
      </c>
      <c r="B156" s="8">
        <f>[1]!thsiFinD("THS_GPJC_STOCK",$A156)</f>
        <v/>
      </c>
      <c r="C156" s="9">
        <f>[1]!thsiFinD("ths_int_chg_ratio_index",$A156,C$1,C$2)/100</f>
        <v/>
      </c>
      <c r="D156" s="9">
        <f>[1]!thsiFinD("ths_int_chg_ratio_index",$A156,D$1,D$2)/100</f>
        <v/>
      </c>
      <c r="E156" s="9">
        <f>[1]!thsiFinD("ths_int_chg_ratio_index",$A156,E$1,E$2)/100</f>
        <v/>
      </c>
      <c r="F156" s="10">
        <f>D156-(E156-D156)/3</f>
        <v/>
      </c>
      <c r="G156" s="7" t="inlineStr">
        <is>
          <t>产业链</t>
        </is>
      </c>
      <c r="H156" s="7">
        <f>IFERROR(VLOOKUP($I156,'分类规则'!$A$30:$C$200,2,0),"")</f>
        <v/>
      </c>
      <c r="I156" s="7" t="inlineStr">
        <is>
          <t>环保</t>
        </is>
      </c>
      <c r="J156" s="7">
        <f>IFERROR(VLOOKUP($I156,'分类规则'!$A$30:$C$200,3,0),"")</f>
        <v/>
      </c>
      <c r="K156" s="8" t="inlineStr">
        <is>
          <t>上海电气</t>
        </is>
      </c>
      <c r="L156" s="7" t="inlineStr">
        <is>
          <t>601727.SH</t>
        </is>
      </c>
      <c r="M156" s="20" t="n">
        <v>922.2</v>
      </c>
      <c r="N156" s="8" t="inlineStr">
        <is>
          <t>天通股份</t>
        </is>
      </c>
      <c r="O156" s="7" t="inlineStr">
        <is>
          <t>600330.SH</t>
        </is>
      </c>
      <c r="P156" s="20" t="n">
        <v>405.6</v>
      </c>
      <c r="Q156" s="8" t="inlineStr">
        <is>
          <t>盛屯矿业</t>
        </is>
      </c>
      <c r="R156" s="7" t="inlineStr">
        <is>
          <t>600711.SH</t>
        </is>
      </c>
      <c r="S156" s="20" t="n">
        <v>396.5</v>
      </c>
      <c r="T156" s="8" t="inlineStr">
        <is>
          <t>格林美</t>
        </is>
      </c>
      <c r="U156" s="7" t="inlineStr">
        <is>
          <t>002340.SZ</t>
        </is>
      </c>
      <c r="V156" s="20" t="n">
        <v>376.6</v>
      </c>
      <c r="W156" s="8" t="inlineStr">
        <is>
          <t>盈峰环境</t>
        </is>
      </c>
      <c r="X156" s="7" t="inlineStr">
        <is>
          <t>000967.SZ</t>
        </is>
      </c>
      <c r="Y156" s="20" t="n">
        <v>342.5</v>
      </c>
    </row>
    <row r="157">
      <c r="A157" s="7" t="inlineStr">
        <is>
          <t>885986.TI</t>
        </is>
      </c>
      <c r="B157" s="8">
        <f>[1]!thsiFinD("THS_GPJC_STOCK",$A157)</f>
        <v/>
      </c>
      <c r="C157" s="9">
        <f>[1]!thsiFinD("ths_int_chg_ratio_index",$A157,C$1,C$2)/100</f>
        <v/>
      </c>
      <c r="D157" s="9">
        <f>[1]!thsiFinD("ths_int_chg_ratio_index",$A157,D$1,D$2)/100</f>
        <v/>
      </c>
      <c r="E157" s="9">
        <f>[1]!thsiFinD("ths_int_chg_ratio_index",$A157,E$1,E$2)/100</f>
        <v/>
      </c>
      <c r="F157" s="10">
        <f>D157-(E157-D157)/3</f>
        <v/>
      </c>
      <c r="G157" s="7" t="inlineStr">
        <is>
          <t>主题事件</t>
        </is>
      </c>
      <c r="H157" s="7">
        <f>IFERROR(VLOOKUP($I157,'分类规则'!$A$30:$C$200,2,0),"")</f>
        <v/>
      </c>
      <c r="I157" s="7" t="inlineStr">
        <is>
          <t>碳交易</t>
        </is>
      </c>
      <c r="J157" s="7">
        <f>IFERROR(VLOOKUP($I157,'分类规则'!$A$30:$C$200,3,0),"")</f>
        <v/>
      </c>
      <c r="K157" s="8" t="n"/>
      <c r="L157" s="7" t="n"/>
      <c r="M157" s="7" t="n"/>
      <c r="N157" s="8" t="n"/>
      <c r="O157" s="7" t="n"/>
      <c r="P157" s="7" t="n"/>
      <c r="Q157" s="8" t="n"/>
      <c r="R157" s="7" t="n"/>
      <c r="S157" s="7" t="n"/>
      <c r="T157" s="8" t="n"/>
      <c r="U157" s="7" t="n"/>
      <c r="V157" s="7" t="n"/>
      <c r="W157" s="8" t="n"/>
      <c r="X157" s="7" t="n"/>
      <c r="Y157" s="7" t="n"/>
    </row>
    <row r="158">
      <c r="A158" s="7" t="inlineStr">
        <is>
          <t>885430.TI</t>
        </is>
      </c>
      <c r="B158" s="8">
        <f>[1]!thsiFinD("THS_GPJC_STOCK",$A158)</f>
        <v/>
      </c>
      <c r="C158" s="9">
        <f>[1]!thsiFinD("ths_int_chg_ratio_index",$A158,C$1,C$2)/100</f>
        <v/>
      </c>
      <c r="D158" s="9">
        <f>[1]!thsiFinD("ths_int_chg_ratio_index",$A158,D$1,D$2)/100</f>
        <v/>
      </c>
      <c r="E158" s="9">
        <f>[1]!thsiFinD("ths_int_chg_ratio_index",$A158,E$1,E$2)/100</f>
        <v/>
      </c>
      <c r="F158" s="10">
        <f>D158-(E158-D158)/3</f>
        <v/>
      </c>
      <c r="G158" s="7" t="inlineStr">
        <is>
          <t>产业链</t>
        </is>
      </c>
      <c r="H158" s="7">
        <f>IFERROR(VLOOKUP($I158,'分类规则'!$A$30:$C$200,2,0),"")</f>
        <v/>
      </c>
      <c r="I158" s="7" t="inlineStr">
        <is>
          <t>油气</t>
        </is>
      </c>
      <c r="J158" s="7">
        <f>IFERROR(VLOOKUP($I158,'分类规则'!$A$30:$C$200,3,0),"")</f>
        <v/>
      </c>
      <c r="K158" s="8" t="inlineStr">
        <is>
          <t>中国石油</t>
        </is>
      </c>
      <c r="L158" s="7" t="inlineStr">
        <is>
          <t>601857.SH</t>
        </is>
      </c>
      <c r="M158" s="20" t="n">
        <v>15512.1</v>
      </c>
      <c r="N158" s="8" t="inlineStr">
        <is>
          <t>中国石化</t>
        </is>
      </c>
      <c r="O158" s="7" t="inlineStr">
        <is>
          <t>600028.SH</t>
        </is>
      </c>
      <c r="P158" s="20" t="n">
        <v>4462.8</v>
      </c>
      <c r="Q158" s="8" t="inlineStr">
        <is>
          <t>招商轮船</t>
        </is>
      </c>
      <c r="R158" s="7" t="inlineStr">
        <is>
          <t>601872.SH</t>
        </is>
      </c>
      <c r="S158" s="20" t="n">
        <v>1384</v>
      </c>
      <c r="T158" s="8" t="inlineStr">
        <is>
          <t>特变电工</t>
        </is>
      </c>
      <c r="U158" s="7" t="inlineStr">
        <is>
          <t>600089.SH</t>
        </is>
      </c>
      <c r="V158" s="20" t="n">
        <v>1178.3</v>
      </c>
      <c r="W158" s="8" t="inlineStr">
        <is>
          <t>杰瑞股份</t>
        </is>
      </c>
      <c r="X158" s="7" t="inlineStr">
        <is>
          <t>002353.SZ</t>
        </is>
      </c>
      <c r="Y158" s="20" t="n">
        <v>1134.8</v>
      </c>
    </row>
    <row r="159">
      <c r="A159" s="7" t="inlineStr">
        <is>
          <t>886003.TI</t>
        </is>
      </c>
      <c r="B159" s="8">
        <f>[1]!thsiFinD("THS_GPJC_STOCK",$A159)</f>
        <v/>
      </c>
      <c r="C159" s="9">
        <f>[1]!thsiFinD("ths_int_chg_ratio_index",$A159,C$1,C$2)/100</f>
        <v/>
      </c>
      <c r="D159" s="9">
        <f>[1]!thsiFinD("ths_int_chg_ratio_index",$A159,D$1,D$2)/100</f>
        <v/>
      </c>
      <c r="E159" s="9">
        <f>[1]!thsiFinD("ths_int_chg_ratio_index",$A159,E$1,E$2)/100</f>
        <v/>
      </c>
      <c r="F159" s="10">
        <f>D159-(E159-D159)/3</f>
        <v/>
      </c>
      <c r="G159" s="7" t="inlineStr">
        <is>
          <t>产业链</t>
        </is>
      </c>
      <c r="H159" s="7">
        <f>IFERROR(VLOOKUP($I159,'分类规则'!$A$30:$C$200,2,0),"")</f>
        <v/>
      </c>
      <c r="I159" s="7" t="inlineStr">
        <is>
          <t>储能/电池</t>
        </is>
      </c>
      <c r="J159" s="7">
        <f>IFERROR(VLOOKUP($I159,'分类规则'!$A$30:$C$200,3,0),"")</f>
        <v/>
      </c>
      <c r="K159" s="8" t="inlineStr">
        <is>
          <t>三峡能源</t>
        </is>
      </c>
      <c r="L159" s="7" t="inlineStr">
        <is>
          <t>600905.SH</t>
        </is>
      </c>
      <c r="M159" s="20" t="n">
        <v>1163.5</v>
      </c>
      <c r="N159" s="8" t="inlineStr">
        <is>
          <t>上海电气</t>
        </is>
      </c>
      <c r="O159" s="7" t="inlineStr">
        <is>
          <t>601727.SH</t>
        </is>
      </c>
      <c r="P159" s="20" t="n">
        <v>922.2</v>
      </c>
      <c r="Q159" s="8" t="inlineStr">
        <is>
          <t>西部矿业</t>
        </is>
      </c>
      <c r="R159" s="7" t="inlineStr">
        <is>
          <t>601168.SH</t>
        </is>
      </c>
      <c r="S159" s="20" t="n">
        <v>756.6</v>
      </c>
      <c r="T159" s="8" t="inlineStr">
        <is>
          <t>海亮股份</t>
        </is>
      </c>
      <c r="U159" s="7" t="inlineStr">
        <is>
          <t>002203.SZ</t>
        </is>
      </c>
      <c r="V159" s="20" t="n">
        <v>564.5</v>
      </c>
      <c r="W159" s="8" t="inlineStr">
        <is>
          <t>申能股份</t>
        </is>
      </c>
      <c r="X159" s="7" t="inlineStr">
        <is>
          <t>600642.SH</t>
        </is>
      </c>
      <c r="Y159" s="20" t="n">
        <v>446.3</v>
      </c>
    </row>
    <row r="160">
      <c r="A160" s="7" t="inlineStr">
        <is>
          <t>885840.TI</t>
        </is>
      </c>
      <c r="B160" s="8">
        <f>[1]!thsiFinD("THS_GPJC_STOCK",$A160)</f>
        <v/>
      </c>
      <c r="C160" s="9">
        <f>[1]!thsiFinD("ths_int_chg_ratio_index",$A160,C$1,C$2)/100</f>
        <v/>
      </c>
      <c r="D160" s="9">
        <f>[1]!thsiFinD("ths_int_chg_ratio_index",$A160,D$1,D$2)/100</f>
        <v/>
      </c>
      <c r="E160" s="9">
        <f>[1]!thsiFinD("ths_int_chg_ratio_index",$A160,E$1,E$2)/100</f>
        <v/>
      </c>
      <c r="F160" s="10">
        <f>D160-(E160-D160)/3</f>
        <v/>
      </c>
      <c r="G160" s="7" t="inlineStr">
        <is>
          <t>主题事件</t>
        </is>
      </c>
      <c r="H160" s="7">
        <f>IFERROR(VLOOKUP($I160,'分类规则'!$A$30:$C$200,2,0),"")</f>
        <v/>
      </c>
      <c r="I160" s="7" t="inlineStr">
        <is>
          <t>汇率</t>
        </is>
      </c>
      <c r="J160" s="7">
        <f>IFERROR(VLOOKUP($I160,'分类规则'!$A$30:$C$200,3,0),"")</f>
        <v/>
      </c>
      <c r="K160" s="8" t="inlineStr">
        <is>
          <t>中际旭创</t>
        </is>
      </c>
      <c r="L160" s="7" t="inlineStr">
        <is>
          <t>300308.SZ</t>
        </is>
      </c>
      <c r="M160" s="20" t="n">
        <v>15182.6</v>
      </c>
      <c r="N160" s="8" t="inlineStr">
        <is>
          <t>新易盛</t>
        </is>
      </c>
      <c r="O160" s="7" t="inlineStr">
        <is>
          <t>300502.SZ</t>
        </is>
      </c>
      <c r="P160" s="20" t="n">
        <v>7293.2</v>
      </c>
      <c r="Q160" s="8" t="inlineStr">
        <is>
          <t>立讯精密</t>
        </is>
      </c>
      <c r="R160" s="7" t="inlineStr">
        <is>
          <t>002475.SZ</t>
        </is>
      </c>
      <c r="S160" s="20" t="n">
        <v>5083.4</v>
      </c>
      <c r="T160" s="8" t="inlineStr">
        <is>
          <t>兆易创新</t>
        </is>
      </c>
      <c r="U160" s="7" t="inlineStr">
        <is>
          <t>603986.SH</t>
        </is>
      </c>
      <c r="V160" s="20" t="n">
        <v>4204.8</v>
      </c>
      <c r="W160" s="8" t="inlineStr">
        <is>
          <t>东山精密</t>
        </is>
      </c>
      <c r="X160" s="7" t="inlineStr">
        <is>
          <t>002384.SZ</t>
        </is>
      </c>
      <c r="Y160" s="20" t="n">
        <v>3784.7</v>
      </c>
    </row>
    <row r="161">
      <c r="A161" s="7" t="inlineStr">
        <is>
          <t>885943.TI</t>
        </is>
      </c>
      <c r="B161" s="8">
        <f>[1]!thsiFinD("THS_GPJC_STOCK",$A161)</f>
        <v/>
      </c>
      <c r="C161" s="9">
        <f>[1]!thsiFinD("ths_int_chg_ratio_index",$A161,C$1,C$2)/100</f>
        <v/>
      </c>
      <c r="D161" s="9">
        <f>[1]!thsiFinD("ths_int_chg_ratio_index",$A161,D$1,D$2)/100</f>
        <v/>
      </c>
      <c r="E161" s="9">
        <f>[1]!thsiFinD("ths_int_chg_ratio_index",$A161,E$1,E$2)/100</f>
        <v/>
      </c>
      <c r="F161" s="10">
        <f>D161-(E161-D161)/3</f>
        <v/>
      </c>
      <c r="G161" s="7" t="inlineStr">
        <is>
          <t>产业链</t>
        </is>
      </c>
      <c r="H161" s="7">
        <f>IFERROR(VLOOKUP($I161,'分类规则'!$A$30:$C$200,2,0),"")</f>
        <v/>
      </c>
      <c r="I161" s="7" t="inlineStr">
        <is>
          <t>半导体</t>
        </is>
      </c>
      <c r="J161" s="7">
        <f>IFERROR(VLOOKUP($I161,'分类规则'!$A$30:$C$200,3,0),"")</f>
        <v/>
      </c>
      <c r="K161" s="8" t="inlineStr">
        <is>
          <t>江波龙</t>
        </is>
      </c>
      <c r="L161" s="7" t="inlineStr">
        <is>
          <t>301308.SZ</t>
        </is>
      </c>
      <c r="M161" s="20" t="n">
        <v>1628.5</v>
      </c>
      <c r="N161" s="8" t="inlineStr">
        <is>
          <t>协创数据</t>
        </is>
      </c>
      <c r="O161" s="7" t="inlineStr">
        <is>
          <t>300857.SZ</t>
        </is>
      </c>
      <c r="P161" s="20" t="n">
        <v>1352.3</v>
      </c>
      <c r="Q161" s="8" t="inlineStr">
        <is>
          <t>三六零</t>
        </is>
      </c>
      <c r="R161" s="7" t="inlineStr">
        <is>
          <t>601360.SH</t>
        </is>
      </c>
      <c r="S161" s="20" t="n">
        <v>655.9</v>
      </c>
      <c r="T161" s="8" t="inlineStr">
        <is>
          <t>均胜电子</t>
        </is>
      </c>
      <c r="U161" s="7" t="inlineStr">
        <is>
          <t>600699.SH</t>
        </is>
      </c>
      <c r="V161" s="20" t="n">
        <v>334.3</v>
      </c>
      <c r="W161" s="8" t="inlineStr">
        <is>
          <t>全志科技</t>
        </is>
      </c>
      <c r="X161" s="7" t="inlineStr">
        <is>
          <t>300458.SZ</t>
        </is>
      </c>
      <c r="Y161" s="20" t="n">
        <v>290.2</v>
      </c>
    </row>
    <row r="162">
      <c r="A162" s="7" t="inlineStr">
        <is>
          <t>885961.TI</t>
        </is>
      </c>
      <c r="B162" s="8">
        <f>[1]!thsiFinD("THS_GPJC_STOCK",$A162)</f>
        <v/>
      </c>
      <c r="C162" s="9">
        <f>[1]!thsiFinD("ths_int_chg_ratio_index",$A162,C$1,C$2)/100</f>
        <v/>
      </c>
      <c r="D162" s="9">
        <f>[1]!thsiFinD("ths_int_chg_ratio_index",$A162,D$1,D$2)/100</f>
        <v/>
      </c>
      <c r="E162" s="9">
        <f>[1]!thsiFinD("ths_int_chg_ratio_index",$A162,E$1,E$2)/100</f>
        <v/>
      </c>
      <c r="F162" s="10">
        <f>D162-(E162-D162)/3</f>
        <v/>
      </c>
      <c r="G162" s="7" t="inlineStr">
        <is>
          <t>产业链</t>
        </is>
      </c>
      <c r="H162" s="7">
        <f>IFERROR(VLOOKUP($I162,'分类规则'!$A$30:$C$200,2,0),"")</f>
        <v/>
      </c>
      <c r="I162" s="7" t="inlineStr">
        <is>
          <t>家电·环保</t>
        </is>
      </c>
      <c r="J162" s="7">
        <f>IFERROR(VLOOKUP($I162,'分类规则'!$A$30:$C$200,3,0),"")</f>
        <v/>
      </c>
      <c r="K162" s="8" t="inlineStr">
        <is>
          <t>美的集团</t>
        </is>
      </c>
      <c r="L162" s="7" t="inlineStr">
        <is>
          <t>000333.SZ</t>
        </is>
      </c>
      <c r="M162" s="20" t="n">
        <v>5352.5</v>
      </c>
      <c r="N162" s="8" t="inlineStr">
        <is>
          <t>格力电器</t>
        </is>
      </c>
      <c r="O162" s="7" t="inlineStr">
        <is>
          <t>000651.SZ</t>
        </is>
      </c>
      <c r="P162" s="20" t="n">
        <v>2027.7</v>
      </c>
      <c r="Q162" s="8" t="inlineStr">
        <is>
          <t>协创数据</t>
        </is>
      </c>
      <c r="R162" s="7" t="inlineStr">
        <is>
          <t>300857.SZ</t>
        </is>
      </c>
      <c r="S162" s="20" t="n">
        <v>1352.3</v>
      </c>
      <c r="T162" s="8" t="inlineStr">
        <is>
          <t>海尔智家</t>
        </is>
      </c>
      <c r="U162" s="7" t="inlineStr">
        <is>
          <t>600690.SH</t>
        </is>
      </c>
      <c r="V162" s="20" t="n">
        <v>1216.2</v>
      </c>
      <c r="W162" s="8" t="inlineStr">
        <is>
          <t>首创环保</t>
        </is>
      </c>
      <c r="X162" s="7" t="inlineStr">
        <is>
          <t>600008.SH</t>
        </is>
      </c>
      <c r="Y162" s="20" t="n">
        <v>218.7</v>
      </c>
    </row>
    <row r="163">
      <c r="A163" s="7" t="inlineStr">
        <is>
          <t>885792.TI</t>
        </is>
      </c>
      <c r="B163" s="8">
        <f>[1]!thsiFinD("THS_GPJC_STOCK",$A163)</f>
        <v/>
      </c>
      <c r="C163" s="9">
        <f>[1]!thsiFinD("ths_int_chg_ratio_index",$A163,C$1,C$2)/100</f>
        <v/>
      </c>
      <c r="D163" s="9">
        <f>[1]!thsiFinD("ths_int_chg_ratio_index",$A163,D$1,D$2)/100</f>
        <v/>
      </c>
      <c r="E163" s="9">
        <f>[1]!thsiFinD("ths_int_chg_ratio_index",$A163,E$1,E$2)/100</f>
        <v/>
      </c>
      <c r="F163" s="10">
        <f>D163-(E163-D163)/3</f>
        <v/>
      </c>
      <c r="G163" s="7" t="inlineStr">
        <is>
          <t>主题事件</t>
        </is>
      </c>
      <c r="H163" s="7">
        <f>IFERROR(VLOOKUP($I163,'分类规则'!$A$30:$C$200,2,0),"")</f>
        <v/>
      </c>
      <c r="I163" s="7" t="inlineStr">
        <is>
          <t>赛马</t>
        </is>
      </c>
      <c r="J163" s="7">
        <f>IFERROR(VLOOKUP($I163,'分类规则'!$A$30:$C$200,3,0),"")</f>
        <v/>
      </c>
      <c r="K163" s="8" t="inlineStr">
        <is>
          <t>中体产业</t>
        </is>
      </c>
      <c r="L163" s="7" t="inlineStr">
        <is>
          <t>600158.SH</t>
        </is>
      </c>
      <c r="M163" s="20" t="n">
        <v>73</v>
      </c>
      <c r="N163" s="8" t="inlineStr">
        <is>
          <t>中牧股份</t>
        </is>
      </c>
      <c r="O163" s="7" t="inlineStr">
        <is>
          <t>600195.SH</t>
        </is>
      </c>
      <c r="P163" s="20" t="n">
        <v>64.90000000000001</v>
      </c>
      <c r="Q163" s="8" t="inlineStr">
        <is>
          <t>*ST正平</t>
        </is>
      </c>
      <c r="R163" s="7" t="inlineStr">
        <is>
          <t>603843.SH</t>
        </is>
      </c>
      <c r="S163" s="20" t="n">
        <v>61.6</v>
      </c>
      <c r="T163" s="8" t="inlineStr">
        <is>
          <t>新华都</t>
        </is>
      </c>
      <c r="U163" s="7" t="inlineStr">
        <is>
          <t>002264.SZ</t>
        </is>
      </c>
      <c r="V163" s="20" t="n">
        <v>38.6</v>
      </c>
      <c r="W163" s="8" t="n"/>
      <c r="X163" s="7" t="n"/>
      <c r="Y163" s="7" t="n"/>
    </row>
    <row r="164">
      <c r="A164" s="7" t="inlineStr">
        <is>
          <t>885962.TI</t>
        </is>
      </c>
      <c r="B164" s="8">
        <f>[1]!thsiFinD("THS_GPJC_STOCK",$A164)</f>
        <v/>
      </c>
      <c r="C164" s="9">
        <f>[1]!thsiFinD("ths_int_chg_ratio_index",$A164,C$1,C$2)/100</f>
        <v/>
      </c>
      <c r="D164" s="9">
        <f>[1]!thsiFinD("ths_int_chg_ratio_index",$A164,D$1,D$2)/100</f>
        <v/>
      </c>
      <c r="E164" s="9">
        <f>[1]!thsiFinD("ths_int_chg_ratio_index",$A164,E$1,E$2)/100</f>
        <v/>
      </c>
      <c r="F164" s="10">
        <f>D164-(E164-D164)/3</f>
        <v/>
      </c>
      <c r="G164" s="7" t="inlineStr">
        <is>
          <t>产业链</t>
        </is>
      </c>
      <c r="H164" s="7">
        <f>IFERROR(VLOOKUP($I164,'分类规则'!$A$30:$C$200,2,0),"")</f>
        <v/>
      </c>
      <c r="I164" s="7" t="inlineStr">
        <is>
          <t>环保</t>
        </is>
      </c>
      <c r="J164" s="7">
        <f>IFERROR(VLOOKUP($I164,'分类规则'!$A$30:$C$200,3,0),"")</f>
        <v/>
      </c>
      <c r="K164" s="8" t="inlineStr">
        <is>
          <t>杰瑞股份</t>
        </is>
      </c>
      <c r="L164" s="7" t="inlineStr">
        <is>
          <t>002353.SZ</t>
        </is>
      </c>
      <c r="M164" s="20" t="n">
        <v>1134.8</v>
      </c>
      <c r="N164" s="8" t="inlineStr">
        <is>
          <t>中国能建</t>
        </is>
      </c>
      <c r="O164" s="7" t="inlineStr">
        <is>
          <t>601868.SH</t>
        </is>
      </c>
      <c r="P164" s="20" t="n">
        <v>895</v>
      </c>
      <c r="Q164" s="8" t="inlineStr">
        <is>
          <t>招商公路</t>
        </is>
      </c>
      <c r="R164" s="7" t="inlineStr">
        <is>
          <t>001965.SZ</t>
        </is>
      </c>
      <c r="S164" s="20" t="n">
        <v>667.3</v>
      </c>
      <c r="T164" s="8" t="inlineStr">
        <is>
          <t>中国电建</t>
        </is>
      </c>
      <c r="U164" s="7" t="inlineStr">
        <is>
          <t>601669.SH</t>
        </is>
      </c>
      <c r="V164" s="20" t="n">
        <v>645.7</v>
      </c>
      <c r="W164" s="8" t="inlineStr">
        <is>
          <t>格林美</t>
        </is>
      </c>
      <c r="X164" s="7" t="inlineStr">
        <is>
          <t>002340.SZ</t>
        </is>
      </c>
      <c r="Y164" s="20" t="n">
        <v>376.6</v>
      </c>
    </row>
    <row r="165">
      <c r="A165" s="7" t="inlineStr">
        <is>
          <t>886096.TI</t>
        </is>
      </c>
      <c r="B165" s="8">
        <f>[1]!thsiFinD("THS_GPJC_STOCK",$A165)</f>
        <v/>
      </c>
      <c r="C165" s="9">
        <f>[1]!thsiFinD("ths_int_chg_ratio_index",$A165,C$1,C$2)/100</f>
        <v/>
      </c>
      <c r="D165" s="9">
        <f>[1]!thsiFinD("ths_int_chg_ratio_index",$A165,D$1,D$2)/100</f>
        <v/>
      </c>
      <c r="E165" s="9">
        <f>[1]!thsiFinD("ths_int_chg_ratio_index",$A165,E$1,E$2)/100</f>
        <v/>
      </c>
      <c r="F165" s="10">
        <f>D165-(E165-D165)/3</f>
        <v/>
      </c>
      <c r="G165" s="7" t="inlineStr">
        <is>
          <t>宽基风格</t>
        </is>
      </c>
      <c r="H165" s="7">
        <f>IFERROR(VLOOKUP($I165,'分类规则'!$A$30:$C$200,2,0),"")</f>
        <v/>
      </c>
      <c r="I165" s="7" t="inlineStr">
        <is>
          <t>主题指数</t>
        </is>
      </c>
      <c r="J165" s="7">
        <f>IFERROR(VLOOKUP($I165,'分类规则'!$A$30:$C$200,3,0),"")</f>
        <v/>
      </c>
      <c r="K165" s="8" t="n"/>
      <c r="L165" s="7" t="n"/>
      <c r="M165" s="7" t="n"/>
      <c r="N165" s="8" t="n"/>
      <c r="O165" s="7" t="n"/>
      <c r="P165" s="7" t="n"/>
      <c r="Q165" s="8" t="n"/>
      <c r="R165" s="7" t="n"/>
      <c r="S165" s="7" t="n"/>
      <c r="T165" s="8" t="n"/>
      <c r="U165" s="7" t="n"/>
      <c r="V165" s="7" t="n"/>
      <c r="W165" s="8" t="n"/>
      <c r="X165" s="7" t="n"/>
      <c r="Y165" s="7" t="n"/>
    </row>
    <row r="166">
      <c r="A166" s="7" t="inlineStr">
        <is>
          <t>885926.TI</t>
        </is>
      </c>
      <c r="B166" s="8">
        <f>[1]!thsiFinD("THS_GPJC_STOCK",$A166)</f>
        <v/>
      </c>
      <c r="C166" s="9">
        <f>[1]!thsiFinD("ths_int_chg_ratio_index",$A166,C$1,C$2)/100</f>
        <v/>
      </c>
      <c r="D166" s="9">
        <f>[1]!thsiFinD("ths_int_chg_ratio_index",$A166,D$1,D$2)/100</f>
        <v/>
      </c>
      <c r="E166" s="9">
        <f>[1]!thsiFinD("ths_int_chg_ratio_index",$A166,E$1,E$2)/100</f>
        <v/>
      </c>
      <c r="F166" s="10">
        <f>D166-(E166-D166)/3</f>
        <v/>
      </c>
      <c r="G166" s="7" t="inlineStr">
        <is>
          <t>产业链</t>
        </is>
      </c>
      <c r="H166" s="7">
        <f>IFERROR(VLOOKUP($I166,'分类规则'!$A$30:$C$200,2,0),"")</f>
        <v/>
      </c>
      <c r="I166" s="7" t="inlineStr">
        <is>
          <t>医疗服务</t>
        </is>
      </c>
      <c r="J166" s="7">
        <f>IFERROR(VLOOKUP($I166,'分类规则'!$A$30:$C$200,3,0),"")</f>
        <v/>
      </c>
      <c r="K166" s="8" t="inlineStr">
        <is>
          <t>国瓷材料</t>
        </is>
      </c>
      <c r="L166" s="7" t="inlineStr">
        <is>
          <t>300285.SZ</t>
        </is>
      </c>
      <c r="M166" s="20" t="n">
        <v>764.3</v>
      </c>
      <c r="N166" s="8" t="inlineStr">
        <is>
          <t>有研新材</t>
        </is>
      </c>
      <c r="O166" s="7" t="inlineStr">
        <is>
          <t>600206.SH</t>
        </is>
      </c>
      <c r="P166" s="20" t="n">
        <v>359.9</v>
      </c>
      <c r="Q166" s="8" t="inlineStr">
        <is>
          <t>奕瑞科技</t>
        </is>
      </c>
      <c r="R166" s="7" t="inlineStr">
        <is>
          <t>688301.SH</t>
        </is>
      </c>
      <c r="S166" s="20" t="n">
        <v>356.8</v>
      </c>
      <c r="T166" s="8" t="inlineStr">
        <is>
          <t>美年健康</t>
        </is>
      </c>
      <c r="U166" s="7" t="inlineStr">
        <is>
          <t>002044.SZ</t>
        </is>
      </c>
      <c r="V166" s="20" t="n">
        <v>217</v>
      </c>
      <c r="W166" s="8" t="inlineStr">
        <is>
          <t>东方精工</t>
        </is>
      </c>
      <c r="X166" s="7" t="inlineStr">
        <is>
          <t>002611.SZ</t>
        </is>
      </c>
      <c r="Y166" s="20" t="n">
        <v>187.8</v>
      </c>
    </row>
    <row r="167">
      <c r="A167" s="7" t="inlineStr">
        <is>
          <t>883302.TI</t>
        </is>
      </c>
      <c r="B167" s="8">
        <f>[1]!thsiFinD("THS_GPJC_STOCK",$A167)</f>
        <v/>
      </c>
      <c r="C167" s="9">
        <f>[1]!thsiFinD("ths_int_chg_ratio_index",$A167,C$1,C$2)/100</f>
        <v/>
      </c>
      <c r="D167" s="9">
        <f>[1]!thsiFinD("ths_int_chg_ratio_index",$A167,D$1,D$2)/100</f>
        <v/>
      </c>
      <c r="E167" s="9">
        <f>[1]!thsiFinD("ths_int_chg_ratio_index",$A167,E$1,E$2)/100</f>
        <v/>
      </c>
      <c r="F167" s="10">
        <f>D167-(E167-D167)/3</f>
        <v/>
      </c>
      <c r="G167" s="7" t="inlineStr">
        <is>
          <t>宽基风格</t>
        </is>
      </c>
      <c r="H167" s="7">
        <f>IFERROR(VLOOKUP($I167,'分类规则'!$A$30:$C$200,2,0),"")</f>
        <v/>
      </c>
      <c r="I167" s="7" t="inlineStr">
        <is>
          <t>上证180</t>
        </is>
      </c>
      <c r="J167" s="7">
        <f>IFERROR(VLOOKUP($I167,'分类规则'!$A$30:$C$200,3,0),"")</f>
        <v/>
      </c>
      <c r="K167" s="8" t="inlineStr">
        <is>
          <t>农业银行</t>
        </is>
      </c>
      <c r="L167" s="7" t="inlineStr">
        <is>
          <t>601288.SH</t>
        </is>
      </c>
      <c r="M167" s="20" t="n">
        <v>20335.9</v>
      </c>
      <c r="N167" s="8" t="inlineStr">
        <is>
          <t>工商银行</t>
        </is>
      </c>
      <c r="O167" s="7" t="inlineStr">
        <is>
          <t>601398.SH</t>
        </is>
      </c>
      <c r="P167" s="20" t="n">
        <v>19304.2</v>
      </c>
      <c r="Q167" s="8" t="inlineStr">
        <is>
          <t>中国石油</t>
        </is>
      </c>
      <c r="R167" s="7" t="inlineStr">
        <is>
          <t>601857.SH</t>
        </is>
      </c>
      <c r="S167" s="20" t="n">
        <v>15512.1</v>
      </c>
      <c r="T167" s="8" t="inlineStr">
        <is>
          <t>工业富联</t>
        </is>
      </c>
      <c r="U167" s="7" t="inlineStr">
        <is>
          <t>601138.SH</t>
        </is>
      </c>
      <c r="V167" s="20" t="n">
        <v>15494.3</v>
      </c>
      <c r="W167" s="8" t="inlineStr">
        <is>
          <t>贵州茅台</t>
        </is>
      </c>
      <c r="X167" s="7" t="inlineStr">
        <is>
          <t>600519.SH</t>
        </is>
      </c>
      <c r="Y167" s="20" t="n">
        <v>15188.5</v>
      </c>
    </row>
    <row r="168">
      <c r="A168" s="7" t="inlineStr">
        <is>
          <t>885566.TI</t>
        </is>
      </c>
      <c r="B168" s="8">
        <f>[1]!thsiFinD("THS_GPJC_STOCK",$A168)</f>
        <v/>
      </c>
      <c r="C168" s="9">
        <f>[1]!thsiFinD("ths_int_chg_ratio_index",$A168,C$1,C$2)/100</f>
        <v/>
      </c>
      <c r="D168" s="9">
        <f>[1]!thsiFinD("ths_int_chg_ratio_index",$A168,D$1,D$2)/100</f>
        <v/>
      </c>
      <c r="E168" s="9">
        <f>[1]!thsiFinD("ths_int_chg_ratio_index",$A168,E$1,E$2)/100</f>
        <v/>
      </c>
      <c r="F168" s="10">
        <f>D168-(E168-D168)/3</f>
        <v/>
      </c>
      <c r="G168" s="7" t="inlineStr">
        <is>
          <t>产业链</t>
        </is>
      </c>
      <c r="H168" s="7">
        <f>IFERROR(VLOOKUP($I168,'分类规则'!$A$30:$C$200,2,0),"")</f>
        <v/>
      </c>
      <c r="I168" s="7" t="inlineStr">
        <is>
          <t>航空航天</t>
        </is>
      </c>
      <c r="J168" s="7">
        <f>IFERROR(VLOOKUP($I168,'分类规则'!$A$30:$C$200,3,0),"")</f>
        <v/>
      </c>
      <c r="K168" s="8" t="inlineStr">
        <is>
          <t>华工科技</t>
        </is>
      </c>
      <c r="L168" s="7" t="inlineStr">
        <is>
          <t>000988.SZ</t>
        </is>
      </c>
      <c r="M168" s="20" t="n">
        <v>1784.4</v>
      </c>
      <c r="N168" s="8" t="inlineStr">
        <is>
          <t>中航沈飞</t>
        </is>
      </c>
      <c r="O168" s="7" t="inlineStr">
        <is>
          <t>600760.SH</t>
        </is>
      </c>
      <c r="P168" s="20" t="n">
        <v>1167.8</v>
      </c>
      <c r="Q168" s="8" t="inlineStr">
        <is>
          <t>航发动力</t>
        </is>
      </c>
      <c r="R168" s="7" t="inlineStr">
        <is>
          <t>600893.SH</t>
        </is>
      </c>
      <c r="S168" s="20" t="n">
        <v>1039.9</v>
      </c>
      <c r="T168" s="8" t="inlineStr">
        <is>
          <t>中控技术</t>
        </is>
      </c>
      <c r="U168" s="7" t="inlineStr">
        <is>
          <t>688777.SH</t>
        </is>
      </c>
      <c r="V168" s="20" t="n">
        <v>980.1</v>
      </c>
      <c r="W168" s="8" t="inlineStr">
        <is>
          <t>上海电气</t>
        </is>
      </c>
      <c r="X168" s="7" t="inlineStr">
        <is>
          <t>601727.SH</t>
        </is>
      </c>
      <c r="Y168" s="20" t="n">
        <v>922.2</v>
      </c>
    </row>
    <row r="169">
      <c r="A169" s="7" t="inlineStr">
        <is>
          <t>885562.TI</t>
        </is>
      </c>
      <c r="B169" s="8">
        <f>[1]!thsiFinD("THS_GPJC_STOCK",$A169)</f>
        <v/>
      </c>
      <c r="C169" s="9">
        <f>[1]!thsiFinD("ths_int_chg_ratio_index",$A169,C$1,C$2)/100</f>
        <v/>
      </c>
      <c r="D169" s="9">
        <f>[1]!thsiFinD("ths_int_chg_ratio_index",$A169,D$1,D$2)/100</f>
        <v/>
      </c>
      <c r="E169" s="9">
        <f>[1]!thsiFinD("ths_int_chg_ratio_index",$A169,E$1,E$2)/100</f>
        <v/>
      </c>
      <c r="F169" s="10">
        <f>D169-(E169-D169)/3</f>
        <v/>
      </c>
      <c r="G169" s="7" t="inlineStr">
        <is>
          <t>产业链</t>
        </is>
      </c>
      <c r="H169" s="7">
        <f>IFERROR(VLOOKUP($I169,'分类规则'!$A$30:$C$200,2,0),"")</f>
        <v/>
      </c>
      <c r="I169" s="7" t="inlineStr">
        <is>
          <t>轨道交通</t>
        </is>
      </c>
      <c r="J169" s="7">
        <f>IFERROR(VLOOKUP($I169,'分类规则'!$A$30:$C$200,3,0),"")</f>
        <v/>
      </c>
      <c r="K169" s="8" t="inlineStr">
        <is>
          <t>京沪高铁</t>
        </is>
      </c>
      <c r="L169" s="7" t="inlineStr">
        <is>
          <t>601816.SH</t>
        </is>
      </c>
      <c r="M169" s="20" t="n">
        <v>2245.7</v>
      </c>
      <c r="N169" s="8" t="inlineStr">
        <is>
          <t>中国中车</t>
        </is>
      </c>
      <c r="O169" s="7" t="inlineStr">
        <is>
          <t>601766.SH</t>
        </is>
      </c>
      <c r="P169" s="20" t="n">
        <v>1362.4</v>
      </c>
      <c r="Q169" s="8" t="inlineStr">
        <is>
          <t>大秦铁路</t>
        </is>
      </c>
      <c r="R169" s="7" t="inlineStr">
        <is>
          <t>601006.SH</t>
        </is>
      </c>
      <c r="S169" s="20" t="n">
        <v>981.2</v>
      </c>
      <c r="T169" s="8" t="inlineStr">
        <is>
          <t>中国中铁</t>
        </is>
      </c>
      <c r="U169" s="7" t="inlineStr">
        <is>
          <t>601390.SH</t>
        </is>
      </c>
      <c r="V169" s="20" t="n">
        <v>923.6</v>
      </c>
      <c r="W169" s="8" t="inlineStr">
        <is>
          <t>英维克</t>
        </is>
      </c>
      <c r="X169" s="7" t="inlineStr">
        <is>
          <t>002837.SZ</t>
        </is>
      </c>
      <c r="Y169" s="20" t="n">
        <v>840.7</v>
      </c>
    </row>
    <row r="170">
      <c r="A170" s="7" t="inlineStr">
        <is>
          <t>885918.TI</t>
        </is>
      </c>
      <c r="B170" s="8">
        <f>[1]!thsiFinD("THS_GPJC_STOCK",$A170)</f>
        <v/>
      </c>
      <c r="C170" s="9">
        <f>[1]!thsiFinD("ths_int_chg_ratio_index",$A170,C$1,C$2)/100</f>
        <v/>
      </c>
      <c r="D170" s="9">
        <f>[1]!thsiFinD("ths_int_chg_ratio_index",$A170,D$1,D$2)/100</f>
        <v/>
      </c>
      <c r="E170" s="9">
        <f>[1]!thsiFinD("ths_int_chg_ratio_index",$A170,E$1,E$2)/100</f>
        <v/>
      </c>
      <c r="F170" s="10">
        <f>D170-(E170-D170)/3</f>
        <v/>
      </c>
      <c r="G170" s="7" t="inlineStr">
        <is>
          <t>公司链</t>
        </is>
      </c>
      <c r="H170" s="7">
        <f>IFERROR(VLOOKUP($I170,'分类规则'!$A$30:$C$200,2,0),"")</f>
        <v/>
      </c>
      <c r="I170" s="7" t="inlineStr">
        <is>
          <t>传媒互联网</t>
        </is>
      </c>
      <c r="J170" s="7">
        <f>IFERROR(VLOOKUP($I170,'分类规则'!$A$30:$C$200,3,0),"")</f>
        <v/>
      </c>
      <c r="K170" s="8" t="inlineStr">
        <is>
          <t>锐捷网络</t>
        </is>
      </c>
      <c r="L170" s="7" t="inlineStr">
        <is>
          <t>301165.SZ</t>
        </is>
      </c>
      <c r="M170" s="20" t="n">
        <v>755</v>
      </c>
      <c r="N170" s="8" t="inlineStr">
        <is>
          <t>蓝色光标</t>
        </is>
      </c>
      <c r="O170" s="7" t="inlineStr">
        <is>
          <t>300058.SZ</t>
        </is>
      </c>
      <c r="P170" s="20" t="n">
        <v>530.4</v>
      </c>
      <c r="Q170" s="8" t="inlineStr">
        <is>
          <t>利欧股份</t>
        </is>
      </c>
      <c r="R170" s="7" t="inlineStr">
        <is>
          <t>002131.SZ</t>
        </is>
      </c>
      <c r="S170" s="20" t="n">
        <v>312.1</v>
      </c>
      <c r="T170" s="8" t="inlineStr">
        <is>
          <t>奥飞数据</t>
        </is>
      </c>
      <c r="U170" s="7" t="inlineStr">
        <is>
          <t>300738.SZ</t>
        </is>
      </c>
      <c r="V170" s="20" t="n">
        <v>208</v>
      </c>
      <c r="W170" s="8" t="inlineStr">
        <is>
          <t>易点天下</t>
        </is>
      </c>
      <c r="X170" s="7" t="inlineStr">
        <is>
          <t>301171.SZ</t>
        </is>
      </c>
      <c r="Y170" s="20" t="n">
        <v>191.7</v>
      </c>
    </row>
    <row r="171">
      <c r="A171" s="7" t="inlineStr">
        <is>
          <t>886064.TI</t>
        </is>
      </c>
      <c r="B171" s="8">
        <f>[1]!thsiFinD("THS_GPJC_STOCK",$A171)</f>
        <v/>
      </c>
      <c r="C171" s="9">
        <f>[1]!thsiFinD("ths_int_chg_ratio_index",$A171,C$1,C$2)/100</f>
        <v/>
      </c>
      <c r="D171" s="9">
        <f>[1]!thsiFinD("ths_int_chg_ratio_index",$A171,D$1,D$2)/100</f>
        <v/>
      </c>
      <c r="E171" s="9">
        <f>[1]!thsiFinD("ths_int_chg_ratio_index",$A171,E$1,E$2)/100</f>
        <v/>
      </c>
      <c r="F171" s="10">
        <f>D171-(E171-D171)/3</f>
        <v/>
      </c>
      <c r="G171" s="7" t="inlineStr">
        <is>
          <t>公司链</t>
        </is>
      </c>
      <c r="H171" s="7">
        <f>IFERROR(VLOOKUP($I171,'分类规则'!$A$30:$C$200,2,0),"")</f>
        <v/>
      </c>
      <c r="I171" s="7" t="inlineStr">
        <is>
          <t>汽车</t>
        </is>
      </c>
      <c r="J171" s="7">
        <f>IFERROR(VLOOKUP($I171,'分类规则'!$A$30:$C$200,3,0),"")</f>
        <v/>
      </c>
      <c r="K171" s="8" t="inlineStr">
        <is>
          <t>宁德时代</t>
        </is>
      </c>
      <c r="L171" s="7" t="inlineStr">
        <is>
          <t>300750.SZ</t>
        </is>
      </c>
      <c r="M171" s="20" t="n">
        <v>16668.3</v>
      </c>
      <c r="N171" s="8" t="inlineStr">
        <is>
          <t>蓝思科技</t>
        </is>
      </c>
      <c r="O171" s="7" t="inlineStr">
        <is>
          <t>300433.SZ</t>
        </is>
      </c>
      <c r="P171" s="20" t="n">
        <v>2771.6</v>
      </c>
      <c r="Q171" s="8" t="inlineStr">
        <is>
          <t>亨通光电</t>
        </is>
      </c>
      <c r="R171" s="7" t="inlineStr">
        <is>
          <t>600487.SH</t>
        </is>
      </c>
      <c r="S171" s="20" t="n">
        <v>2714.4</v>
      </c>
      <c r="T171" s="8" t="inlineStr">
        <is>
          <t>汇川技术</t>
        </is>
      </c>
      <c r="U171" s="7" t="inlineStr">
        <is>
          <t>300124.SZ</t>
        </is>
      </c>
      <c r="V171" s="20" t="n">
        <v>1715.7</v>
      </c>
      <c r="W171" s="8" t="inlineStr">
        <is>
          <t>江波龙</t>
        </is>
      </c>
      <c r="X171" s="7" t="inlineStr">
        <is>
          <t>301308.SZ</t>
        </is>
      </c>
      <c r="Y171" s="20" t="n">
        <v>1628.5</v>
      </c>
    </row>
    <row r="172">
      <c r="A172" s="7" t="inlineStr">
        <is>
          <t>886005.TI</t>
        </is>
      </c>
      <c r="B172" s="8">
        <f>[1]!thsiFinD("THS_GPJC_STOCK",$A172)</f>
        <v/>
      </c>
      <c r="C172" s="9">
        <f>[1]!thsiFinD("ths_int_chg_ratio_index",$A172,C$1,C$2)/100</f>
        <v/>
      </c>
      <c r="D172" s="9">
        <f>[1]!thsiFinD("ths_int_chg_ratio_index",$A172,D$1,D$2)/100</f>
        <v/>
      </c>
      <c r="E172" s="9">
        <f>[1]!thsiFinD("ths_int_chg_ratio_index",$A172,E$1,E$2)/100</f>
        <v/>
      </c>
      <c r="F172" s="10">
        <f>D172-(E172-D172)/3</f>
        <v/>
      </c>
      <c r="G172" s="7" t="inlineStr">
        <is>
          <t>产业链</t>
        </is>
      </c>
      <c r="H172" s="7">
        <f>IFERROR(VLOOKUP($I172,'分类规则'!$A$30:$C$200,2,0),"")</f>
        <v/>
      </c>
      <c r="I172" s="7" t="inlineStr">
        <is>
          <t>新能源发电</t>
        </is>
      </c>
      <c r="J172" s="7">
        <f>IFERROR(VLOOKUP($I172,'分类规则'!$A$30:$C$200,3,0),"")</f>
        <v/>
      </c>
      <c r="K172" s="8" t="inlineStr">
        <is>
          <t>中国能建</t>
        </is>
      </c>
      <c r="L172" s="7" t="inlineStr">
        <is>
          <t>601868.SH</t>
        </is>
      </c>
      <c r="M172" s="20" t="n">
        <v>895</v>
      </c>
      <c r="N172" s="8" t="inlineStr">
        <is>
          <t>伟明环保</t>
        </is>
      </c>
      <c r="O172" s="7" t="inlineStr">
        <is>
          <t>603568.SH</t>
        </is>
      </c>
      <c r="P172" s="20" t="n">
        <v>335.7</v>
      </c>
      <c r="Q172" s="8" t="inlineStr">
        <is>
          <t>协鑫能科</t>
        </is>
      </c>
      <c r="R172" s="7" t="inlineStr">
        <is>
          <t>002015.SZ</t>
        </is>
      </c>
      <c r="S172" s="20" t="n">
        <v>302.4</v>
      </c>
      <c r="T172" s="8" t="inlineStr">
        <is>
          <t>高能环境</t>
        </is>
      </c>
      <c r="U172" s="7" t="inlineStr">
        <is>
          <t>603588.SH</t>
        </is>
      </c>
      <c r="V172" s="20" t="n">
        <v>243.9</v>
      </c>
      <c r="W172" s="8" t="inlineStr">
        <is>
          <t>瀚蓝环境</t>
        </is>
      </c>
      <c r="X172" s="7" t="inlineStr">
        <is>
          <t>600323.SH</t>
        </is>
      </c>
      <c r="Y172" s="20" t="n">
        <v>235.8</v>
      </c>
    </row>
    <row r="173">
      <c r="A173" s="7" t="inlineStr">
        <is>
          <t>885412.TI</t>
        </is>
      </c>
      <c r="B173" s="8">
        <f>[1]!thsiFinD("THS_GPJC_STOCK",$A173)</f>
        <v/>
      </c>
      <c r="C173" s="9">
        <f>[1]!thsiFinD("ths_int_chg_ratio_index",$A173,C$1,C$2)/100</f>
        <v/>
      </c>
      <c r="D173" s="9">
        <f>[1]!thsiFinD("ths_int_chg_ratio_index",$A173,D$1,D$2)/100</f>
        <v/>
      </c>
      <c r="E173" s="9">
        <f>[1]!thsiFinD("ths_int_chg_ratio_index",$A173,E$1,E$2)/100</f>
        <v/>
      </c>
      <c r="F173" s="10">
        <f>D173-(E173-D173)/3</f>
        <v/>
      </c>
      <c r="G173" s="7" t="inlineStr">
        <is>
          <t>产业链</t>
        </is>
      </c>
      <c r="H173" s="7">
        <f>IFERROR(VLOOKUP($I173,'分类规则'!$A$30:$C$200,2,0),"")</f>
        <v/>
      </c>
      <c r="I173" s="7" t="inlineStr">
        <is>
          <t>环保</t>
        </is>
      </c>
      <c r="J173" s="7">
        <f>IFERROR(VLOOKUP($I173,'分类规则'!$A$30:$C$200,3,0),"")</f>
        <v/>
      </c>
      <c r="K173" s="8" t="inlineStr">
        <is>
          <t>沪电股份</t>
        </is>
      </c>
      <c r="L173" s="7" t="inlineStr">
        <is>
          <t>002463.SZ</t>
        </is>
      </c>
      <c r="M173" s="20" t="n">
        <v>2843.8</v>
      </c>
      <c r="N173" s="8" t="inlineStr">
        <is>
          <t>中材科技</t>
        </is>
      </c>
      <c r="O173" s="7" t="inlineStr">
        <is>
          <t>002080.SZ</t>
        </is>
      </c>
      <c r="P173" s="20" t="n">
        <v>1351.7</v>
      </c>
      <c r="Q173" s="8" t="inlineStr">
        <is>
          <t>杰瑞股份</t>
        </is>
      </c>
      <c r="R173" s="7" t="inlineStr">
        <is>
          <t>002353.SZ</t>
        </is>
      </c>
      <c r="S173" s="20" t="n">
        <v>1134.8</v>
      </c>
      <c r="T173" s="8" t="inlineStr">
        <is>
          <t>金风科技</t>
        </is>
      </c>
      <c r="U173" s="7" t="inlineStr">
        <is>
          <t>002202.SZ</t>
        </is>
      </c>
      <c r="V173" s="20" t="n">
        <v>756.5</v>
      </c>
      <c r="W173" s="8" t="inlineStr">
        <is>
          <t>中国电建</t>
        </is>
      </c>
      <c r="X173" s="7" t="inlineStr">
        <is>
          <t>601669.SH</t>
        </is>
      </c>
      <c r="Y173" s="20" t="n">
        <v>645.7</v>
      </c>
    </row>
    <row r="174">
      <c r="A174" s="7" t="inlineStr">
        <is>
          <t>886072.TI</t>
        </is>
      </c>
      <c r="B174" s="8">
        <f>[1]!thsiFinD("THS_GPJC_STOCK",$A174)</f>
        <v/>
      </c>
      <c r="C174" s="9">
        <f>[1]!thsiFinD("ths_int_chg_ratio_index",$A174,C$1,C$2)/100</f>
        <v/>
      </c>
      <c r="D174" s="9">
        <f>[1]!thsiFinD("ths_int_chg_ratio_index",$A174,D$1,D$2)/100</f>
        <v/>
      </c>
      <c r="E174" s="9">
        <f>[1]!thsiFinD("ths_int_chg_ratio_index",$A174,E$1,E$2)/100</f>
        <v/>
      </c>
      <c r="F174" s="10">
        <f>D174-(E174-D174)/3</f>
        <v/>
      </c>
      <c r="G174" s="7" t="inlineStr">
        <is>
          <t>宽基风格</t>
        </is>
      </c>
      <c r="H174" s="7">
        <f>IFERROR(VLOOKUP($I174,'分类规则'!$A$30:$C$200,2,0),"")</f>
        <v/>
      </c>
      <c r="I174" s="7" t="inlineStr">
        <is>
          <t>红利</t>
        </is>
      </c>
      <c r="J174" s="7">
        <f>IFERROR(VLOOKUP($I174,'分类规则'!$A$30:$C$200,3,0),"")</f>
        <v/>
      </c>
      <c r="K174" s="8" t="n"/>
      <c r="L174" s="7" t="n"/>
      <c r="M174" s="7" t="n"/>
      <c r="N174" s="8" t="n"/>
      <c r="O174" s="7" t="n"/>
      <c r="P174" s="7" t="n"/>
      <c r="Q174" s="8" t="n"/>
      <c r="R174" s="7" t="n"/>
      <c r="S174" s="7" t="n"/>
      <c r="T174" s="8" t="n"/>
      <c r="U174" s="7" t="n"/>
      <c r="V174" s="7" t="n"/>
      <c r="W174" s="8" t="n"/>
      <c r="X174" s="7" t="n"/>
      <c r="Y174" s="7" t="n"/>
    </row>
    <row r="175">
      <c r="A175" s="7" t="inlineStr">
        <is>
          <t>885543.TI</t>
        </is>
      </c>
      <c r="B175" s="8">
        <f>[1]!thsiFinD("THS_GPJC_STOCK",$A175)</f>
        <v/>
      </c>
      <c r="C175" s="9">
        <f>[1]!thsiFinD("ths_int_chg_ratio_index",$A175,C$1,C$2)/100</f>
        <v/>
      </c>
      <c r="D175" s="9">
        <f>[1]!thsiFinD("ths_int_chg_ratio_index",$A175,D$1,D$2)/100</f>
        <v/>
      </c>
      <c r="E175" s="9">
        <f>[1]!thsiFinD("ths_int_chg_ratio_index",$A175,E$1,E$2)/100</f>
        <v/>
      </c>
      <c r="F175" s="10">
        <f>D175-(E175-D175)/3</f>
        <v/>
      </c>
      <c r="G175" s="7" t="inlineStr">
        <is>
          <t>产业链</t>
        </is>
      </c>
      <c r="H175" s="7">
        <f>IFERROR(VLOOKUP($I175,'分类规则'!$A$30:$C$200,2,0),"")</f>
        <v/>
      </c>
      <c r="I175" s="7" t="inlineStr">
        <is>
          <t>家电</t>
        </is>
      </c>
      <c r="J175" s="7">
        <f>IFERROR(VLOOKUP($I175,'分类规则'!$A$30:$C$200,3,0),"")</f>
        <v/>
      </c>
      <c r="K175" s="8" t="inlineStr">
        <is>
          <t>美的集团</t>
        </is>
      </c>
      <c r="L175" s="7" t="inlineStr">
        <is>
          <t>000333.SZ</t>
        </is>
      </c>
      <c r="M175" s="20" t="n">
        <v>5352.5</v>
      </c>
      <c r="N175" s="8" t="inlineStr">
        <is>
          <t>格力电器</t>
        </is>
      </c>
      <c r="O175" s="7" t="inlineStr">
        <is>
          <t>000651.SZ</t>
        </is>
      </c>
      <c r="P175" s="20" t="n">
        <v>2027.7</v>
      </c>
      <c r="Q175" s="8" t="inlineStr">
        <is>
          <t>华工科技</t>
        </is>
      </c>
      <c r="R175" s="7" t="inlineStr">
        <is>
          <t>000988.SZ</t>
        </is>
      </c>
      <c r="S175" s="20" t="n">
        <v>1784.4</v>
      </c>
      <c r="T175" s="8" t="inlineStr">
        <is>
          <t>三花智控</t>
        </is>
      </c>
      <c r="U175" s="7" t="inlineStr">
        <is>
          <t>002050.SZ</t>
        </is>
      </c>
      <c r="V175" s="20" t="n">
        <v>1685.2</v>
      </c>
      <c r="W175" s="8" t="inlineStr">
        <is>
          <t>协创数据</t>
        </is>
      </c>
      <c r="X175" s="7" t="inlineStr">
        <is>
          <t>300857.SZ</t>
        </is>
      </c>
      <c r="Y175" s="20" t="n">
        <v>1352.3</v>
      </c>
    </row>
    <row r="176">
      <c r="A176" s="7" t="inlineStr">
        <is>
          <t>885888.TI</t>
        </is>
      </c>
      <c r="B176" s="8">
        <f>[1]!thsiFinD("THS_GPJC_STOCK",$A176)</f>
        <v/>
      </c>
      <c r="C176" s="9">
        <f>[1]!thsiFinD("ths_int_chg_ratio_index",$A176,C$1,C$2)/100</f>
        <v/>
      </c>
      <c r="D176" s="9">
        <f>[1]!thsiFinD("ths_int_chg_ratio_index",$A176,D$1,D$2)/100</f>
        <v/>
      </c>
      <c r="E176" s="9">
        <f>[1]!thsiFinD("ths_int_chg_ratio_index",$A176,E$1,E$2)/100</f>
        <v/>
      </c>
      <c r="F176" s="10">
        <f>D176-(E176-D176)/3</f>
        <v/>
      </c>
      <c r="G176" s="7" t="inlineStr">
        <is>
          <t>产业链</t>
        </is>
      </c>
      <c r="H176" s="7">
        <f>IFERROR(VLOOKUP($I176,'分类规则'!$A$30:$C$200,2,0),"")</f>
        <v/>
      </c>
      <c r="I176" s="7" t="inlineStr">
        <is>
          <t>商贸/服务</t>
        </is>
      </c>
      <c r="J176" s="7">
        <f>IFERROR(VLOOKUP($I176,'分类规则'!$A$30:$C$200,3,0),"")</f>
        <v/>
      </c>
      <c r="K176" s="8" t="inlineStr">
        <is>
          <t>南钢股份</t>
        </is>
      </c>
      <c r="L176" s="7" t="inlineStr">
        <is>
          <t>600282.SH</t>
        </is>
      </c>
      <c r="M176" s="20" t="n">
        <v>289.8</v>
      </c>
      <c r="N176" s="8" t="inlineStr">
        <is>
          <t>欧派家居</t>
        </is>
      </c>
      <c r="O176" s="7" t="inlineStr">
        <is>
          <t>603833.SH</t>
        </is>
      </c>
      <c r="P176" s="20" t="n">
        <v>204.4</v>
      </c>
      <c r="Q176" s="8" t="inlineStr">
        <is>
          <t>汉得信息</t>
        </is>
      </c>
      <c r="R176" s="7" t="inlineStr">
        <is>
          <t>300170.SZ</t>
        </is>
      </c>
      <c r="S176" s="20" t="n">
        <v>177.7</v>
      </c>
      <c r="T176" s="8" t="inlineStr">
        <is>
          <t>松霖科技</t>
        </is>
      </c>
      <c r="U176" s="7" t="inlineStr">
        <is>
          <t>603992.SH</t>
        </is>
      </c>
      <c r="V176" s="20" t="n">
        <v>148.4</v>
      </c>
      <c r="W176" s="8" t="inlineStr">
        <is>
          <t>舍得酒业</t>
        </is>
      </c>
      <c r="X176" s="7" t="inlineStr">
        <is>
          <t>600702.SH</t>
        </is>
      </c>
      <c r="Y176" s="20" t="n">
        <v>126.7</v>
      </c>
    </row>
    <row r="177">
      <c r="A177" s="7" t="inlineStr">
        <is>
          <t>885478.TI</t>
        </is>
      </c>
      <c r="B177" s="8">
        <f>[1]!thsiFinD("THS_GPJC_STOCK",$A177)</f>
        <v/>
      </c>
      <c r="C177" s="9">
        <f>[1]!thsiFinD("ths_int_chg_ratio_index",$A177,C$1,C$2)/100</f>
        <v/>
      </c>
      <c r="D177" s="9">
        <f>[1]!thsiFinD("ths_int_chg_ratio_index",$A177,D$1,D$2)/100</f>
        <v/>
      </c>
      <c r="E177" s="9">
        <f>[1]!thsiFinD("ths_int_chg_ratio_index",$A177,E$1,E$2)/100</f>
        <v/>
      </c>
      <c r="F177" s="10">
        <f>D177-(E177-D177)/3</f>
        <v/>
      </c>
      <c r="G177" s="7" t="inlineStr">
        <is>
          <t>产业链</t>
        </is>
      </c>
      <c r="H177" s="7">
        <f>IFERROR(VLOOKUP($I177,'分类规则'!$A$30:$C$200,2,0),"")</f>
        <v/>
      </c>
      <c r="I177" s="7" t="inlineStr">
        <is>
          <t>AIoT/物联网</t>
        </is>
      </c>
      <c r="J177" s="7">
        <f>IFERROR(VLOOKUP($I177,'分类规则'!$A$30:$C$200,3,0),"")</f>
        <v/>
      </c>
      <c r="K177" s="8" t="inlineStr">
        <is>
          <t>美的集团</t>
        </is>
      </c>
      <c r="L177" s="7" t="inlineStr">
        <is>
          <t>000333.SZ</t>
        </is>
      </c>
      <c r="M177" s="20" t="n">
        <v>5352.5</v>
      </c>
      <c r="N177" s="8" t="inlineStr">
        <is>
          <t>海康威视</t>
        </is>
      </c>
      <c r="O177" s="7" t="inlineStr">
        <is>
          <t>002415.SZ</t>
        </is>
      </c>
      <c r="P177" s="20" t="n">
        <v>2922</v>
      </c>
      <c r="Q177" s="8" t="inlineStr">
        <is>
          <t>蓝思科技</t>
        </is>
      </c>
      <c r="R177" s="7" t="inlineStr">
        <is>
          <t>300433.SZ</t>
        </is>
      </c>
      <c r="S177" s="20" t="n">
        <v>2771.6</v>
      </c>
      <c r="T177" s="8" t="inlineStr">
        <is>
          <t>格力电器</t>
        </is>
      </c>
      <c r="U177" s="7" t="inlineStr">
        <is>
          <t>000651.SZ</t>
        </is>
      </c>
      <c r="V177" s="20" t="n">
        <v>2027.7</v>
      </c>
      <c r="W177" s="8" t="inlineStr">
        <is>
          <t>华工科技</t>
        </is>
      </c>
      <c r="X177" s="7" t="inlineStr">
        <is>
          <t>000988.SZ</t>
        </is>
      </c>
      <c r="Y177" s="20" t="n">
        <v>1784.4</v>
      </c>
    </row>
    <row r="178">
      <c r="A178" s="7" t="inlineStr">
        <is>
          <t>885890.TI</t>
        </is>
      </c>
      <c r="B178" s="8">
        <f>[1]!thsiFinD("THS_GPJC_STOCK",$A178)</f>
        <v/>
      </c>
      <c r="C178" s="9">
        <f>[1]!thsiFinD("ths_int_chg_ratio_index",$A178,C$1,C$2)/100</f>
        <v/>
      </c>
      <c r="D178" s="9">
        <f>[1]!thsiFinD("ths_int_chg_ratio_index",$A178,D$1,D$2)/100</f>
        <v/>
      </c>
      <c r="E178" s="9">
        <f>[1]!thsiFinD("ths_int_chg_ratio_index",$A178,E$1,E$2)/100</f>
        <v/>
      </c>
      <c r="F178" s="10">
        <f>D178-(E178-D178)/3</f>
        <v/>
      </c>
      <c r="G178" s="7" t="inlineStr">
        <is>
          <t>产业链</t>
        </is>
      </c>
      <c r="H178" s="7">
        <f>IFERROR(VLOOKUP($I178,'分类规则'!$A$30:$C$200,2,0),"")</f>
        <v/>
      </c>
      <c r="I178" s="7" t="inlineStr">
        <is>
          <t>AI应用</t>
        </is>
      </c>
      <c r="J178" s="7">
        <f>IFERROR(VLOOKUP($I178,'分类规则'!$A$30:$C$200,3,0),"")</f>
        <v/>
      </c>
      <c r="K178" s="8" t="inlineStr">
        <is>
          <t>海光信息</t>
        </is>
      </c>
      <c r="L178" s="7" t="inlineStr">
        <is>
          <t>688041.SH</t>
        </is>
      </c>
      <c r="M178" s="20" t="n">
        <v>7623.8</v>
      </c>
      <c r="N178" s="8" t="inlineStr">
        <is>
          <t>光迅科技</t>
        </is>
      </c>
      <c r="O178" s="7" t="inlineStr">
        <is>
          <t>002281.SZ</t>
        </is>
      </c>
      <c r="P178" s="20" t="n">
        <v>2077.7</v>
      </c>
      <c r="Q178" s="8" t="inlineStr">
        <is>
          <t>长飞光纤</t>
        </is>
      </c>
      <c r="R178" s="7" t="inlineStr">
        <is>
          <t>601869.SH</t>
        </is>
      </c>
      <c r="S178" s="20" t="n">
        <v>1916.1</v>
      </c>
      <c r="T178" s="8" t="inlineStr">
        <is>
          <t>中兴通讯</t>
        </is>
      </c>
      <c r="U178" s="7" t="inlineStr">
        <is>
          <t>000063.SZ</t>
        </is>
      </c>
      <c r="V178" s="20" t="n">
        <v>1526.1</v>
      </c>
      <c r="W178" s="8" t="inlineStr">
        <is>
          <t>润泽科技</t>
        </is>
      </c>
      <c r="X178" s="7" t="inlineStr">
        <is>
          <t>300442.SZ</t>
        </is>
      </c>
      <c r="Y178" s="20" t="n">
        <v>1395.6</v>
      </c>
    </row>
    <row r="179">
      <c r="A179" s="7" t="inlineStr">
        <is>
          <t>885783.TI</t>
        </is>
      </c>
      <c r="B179" s="8">
        <f>[1]!thsiFinD("THS_GPJC_STOCK",$A179)</f>
        <v/>
      </c>
      <c r="C179" s="9">
        <f>[1]!thsiFinD("ths_int_chg_ratio_index",$A179,C$1,C$2)/100</f>
        <v/>
      </c>
      <c r="D179" s="9">
        <f>[1]!thsiFinD("ths_int_chg_ratio_index",$A179,D$1,D$2)/100</f>
        <v/>
      </c>
      <c r="E179" s="9">
        <f>[1]!thsiFinD("ths_int_chg_ratio_index",$A179,E$1,E$2)/100</f>
        <v/>
      </c>
      <c r="F179" s="10">
        <f>D179-(E179-D179)/3</f>
        <v/>
      </c>
      <c r="G179" s="7" t="inlineStr">
        <is>
          <t>产业链</t>
        </is>
      </c>
      <c r="H179" s="7">
        <f>IFERROR(VLOOKUP($I179,'分类规则'!$A$30:$C$200,2,0),"")</f>
        <v/>
      </c>
      <c r="I179" s="7" t="inlineStr">
        <is>
          <t>AIoT/物联网</t>
        </is>
      </c>
      <c r="J179" s="7">
        <f>IFERROR(VLOOKUP($I179,'分类规则'!$A$30:$C$200,3,0),"")</f>
        <v/>
      </c>
      <c r="K179" s="8" t="inlineStr">
        <is>
          <t>工业富联</t>
        </is>
      </c>
      <c r="L179" s="7" t="inlineStr">
        <is>
          <t>601138.SH</t>
        </is>
      </c>
      <c r="M179" s="20" t="n">
        <v>15494.3</v>
      </c>
      <c r="N179" s="8" t="inlineStr">
        <is>
          <t>美的集团</t>
        </is>
      </c>
      <c r="O179" s="7" t="inlineStr">
        <is>
          <t>000333.SZ</t>
        </is>
      </c>
      <c r="P179" s="20" t="n">
        <v>5352.5</v>
      </c>
      <c r="Q179" s="8" t="inlineStr">
        <is>
          <t>中微公司</t>
        </is>
      </c>
      <c r="R179" s="7" t="inlineStr">
        <is>
          <t>688012.SH</t>
        </is>
      </c>
      <c r="S179" s="20" t="n">
        <v>3373.1</v>
      </c>
      <c r="T179" s="8" t="inlineStr">
        <is>
          <t>海康威视</t>
        </is>
      </c>
      <c r="U179" s="7" t="inlineStr">
        <is>
          <t>002415.SZ</t>
        </is>
      </c>
      <c r="V179" s="20" t="n">
        <v>2922</v>
      </c>
      <c r="W179" s="8" t="inlineStr">
        <is>
          <t>蓝思科技</t>
        </is>
      </c>
      <c r="X179" s="7" t="inlineStr">
        <is>
          <t>300433.SZ</t>
        </is>
      </c>
      <c r="Y179" s="20" t="n">
        <v>2771.6</v>
      </c>
    </row>
    <row r="180">
      <c r="A180" s="7" t="inlineStr">
        <is>
          <t>886034.TI</t>
        </is>
      </c>
      <c r="B180" s="8">
        <f>[1]!thsiFinD("THS_GPJC_STOCK",$A180)</f>
        <v/>
      </c>
      <c r="C180" s="9">
        <f>[1]!thsiFinD("ths_int_chg_ratio_index",$A180,C$1,C$2)/100</f>
        <v/>
      </c>
      <c r="D180" s="9">
        <f>[1]!thsiFinD("ths_int_chg_ratio_index",$A180,D$1,D$2)/100</f>
        <v/>
      </c>
      <c r="E180" s="9">
        <f>[1]!thsiFinD("ths_int_chg_ratio_index",$A180,E$1,E$2)/100</f>
        <v/>
      </c>
      <c r="F180" s="10">
        <f>D180-(E180-D180)/3</f>
        <v/>
      </c>
      <c r="G180" s="7" t="inlineStr">
        <is>
          <t>产业链</t>
        </is>
      </c>
      <c r="H180" s="7">
        <f>IFERROR(VLOOKUP($I180,'分类规则'!$A$30:$C$200,2,0),"")</f>
        <v/>
      </c>
      <c r="I180" s="7" t="inlineStr">
        <is>
          <t>AIoT/物联网</t>
        </is>
      </c>
      <c r="J180" s="7">
        <f>IFERROR(VLOOKUP($I180,'分类规则'!$A$30:$C$200,3,0),"")</f>
        <v/>
      </c>
      <c r="K180" s="8" t="inlineStr">
        <is>
          <t>通鼎互联</t>
        </is>
      </c>
      <c r="L180" s="7" t="inlineStr">
        <is>
          <t>002491.SZ</t>
        </is>
      </c>
      <c r="M180" s="20" t="n">
        <v>371.5</v>
      </c>
      <c r="N180" s="8" t="inlineStr">
        <is>
          <t>锐科激光</t>
        </is>
      </c>
      <c r="O180" s="7" t="inlineStr">
        <is>
          <t>300747.SZ</t>
        </is>
      </c>
      <c r="P180" s="20" t="n">
        <v>282.1</v>
      </c>
      <c r="Q180" s="8" t="inlineStr">
        <is>
          <t>东方国信</t>
        </is>
      </c>
      <c r="R180" s="7" t="inlineStr">
        <is>
          <t>300166.SZ</t>
        </is>
      </c>
      <c r="S180" s="20" t="n">
        <v>169.4</v>
      </c>
      <c r="T180" s="8" t="inlineStr">
        <is>
          <t>星环科技</t>
        </is>
      </c>
      <c r="U180" s="7" t="inlineStr">
        <is>
          <t>688031.SH</t>
        </is>
      </c>
      <c r="V180" s="20" t="n">
        <v>154.3</v>
      </c>
      <c r="W180" s="8" t="inlineStr">
        <is>
          <t>视觉中国</t>
        </is>
      </c>
      <c r="X180" s="7" t="inlineStr">
        <is>
          <t>000681.SZ</t>
        </is>
      </c>
      <c r="Y180" s="20" t="n">
        <v>146.7</v>
      </c>
    </row>
    <row r="181">
      <c r="A181" s="7" t="inlineStr">
        <is>
          <t>885741.TI</t>
        </is>
      </c>
      <c r="B181" s="8">
        <f>[1]!thsiFinD("THS_GPJC_STOCK",$A181)</f>
        <v/>
      </c>
      <c r="C181" s="9">
        <f>[1]!thsiFinD("ths_int_chg_ratio_index",$A181,C$1,C$2)/100</f>
        <v/>
      </c>
      <c r="D181" s="9">
        <f>[1]!thsiFinD("ths_int_chg_ratio_index",$A181,D$1,D$2)/100</f>
        <v/>
      </c>
      <c r="E181" s="9">
        <f>[1]!thsiFinD("ths_int_chg_ratio_index",$A181,E$1,E$2)/100</f>
        <v/>
      </c>
      <c r="F181" s="10">
        <f>D181-(E181-D181)/3</f>
        <v/>
      </c>
      <c r="G181" s="7" t="inlineStr">
        <is>
          <t>宽基风格</t>
        </is>
      </c>
      <c r="H181" s="7">
        <f>IFERROR(VLOOKUP($I181,'分类规则'!$A$30:$C$200,2,0),"")</f>
        <v/>
      </c>
      <c r="I181" s="7" t="inlineStr">
        <is>
          <t>宽基/成分股</t>
        </is>
      </c>
      <c r="J181" s="7">
        <f>IFERROR(VLOOKUP($I181,'分类规则'!$A$30:$C$200,3,0),"")</f>
        <v/>
      </c>
      <c r="K181" s="8" t="inlineStr">
        <is>
          <t>中国石油</t>
        </is>
      </c>
      <c r="L181" s="7" t="inlineStr">
        <is>
          <t>601857.SH</t>
        </is>
      </c>
      <c r="M181" s="20" t="n">
        <v>15512.1</v>
      </c>
      <c r="N181" s="8" t="inlineStr">
        <is>
          <t>中国人寿</t>
        </is>
      </c>
      <c r="O181" s="7" t="inlineStr">
        <is>
          <t>601628.SH</t>
        </is>
      </c>
      <c r="P181" s="20" t="n">
        <v>7017.5</v>
      </c>
      <c r="Q181" s="8" t="inlineStr">
        <is>
          <t>中国神华</t>
        </is>
      </c>
      <c r="R181" s="7" t="inlineStr">
        <is>
          <t>601088.SH</t>
        </is>
      </c>
      <c r="S181" s="20" t="n">
        <v>6804.2</v>
      </c>
      <c r="T181" s="8" t="inlineStr">
        <is>
          <t>中国石化</t>
        </is>
      </c>
      <c r="U181" s="7" t="inlineStr">
        <is>
          <t>600028.SH</t>
        </is>
      </c>
      <c r="V181" s="20" t="n">
        <v>4462.8</v>
      </c>
      <c r="W181" s="8" t="inlineStr">
        <is>
          <t>中国电信</t>
        </is>
      </c>
      <c r="X181" s="7" t="inlineStr">
        <is>
          <t>601728.SH</t>
        </is>
      </c>
      <c r="Y181" s="20" t="n">
        <v>4409.4</v>
      </c>
    </row>
    <row r="182">
      <c r="A182" s="7" t="inlineStr">
        <is>
          <t>886011.TI</t>
        </is>
      </c>
      <c r="B182" s="8">
        <f>[1]!thsiFinD("THS_GPJC_STOCK",$A182)</f>
        <v/>
      </c>
      <c r="C182" s="9">
        <f>[1]!thsiFinD("ths_int_chg_ratio_index",$A182,C$1,C$2)/100</f>
        <v/>
      </c>
      <c r="D182" s="9">
        <f>[1]!thsiFinD("ths_int_chg_ratio_index",$A182,D$1,D$2)/100</f>
        <v/>
      </c>
      <c r="E182" s="9">
        <f>[1]!thsiFinD("ths_int_chg_ratio_index",$A182,E$1,E$2)/100</f>
        <v/>
      </c>
      <c r="F182" s="10">
        <f>D182-(E182-D182)/3</f>
        <v/>
      </c>
      <c r="G182" s="7" t="inlineStr">
        <is>
          <t>产业链</t>
        </is>
      </c>
      <c r="H182" s="7">
        <f>IFERROR(VLOOKUP($I182,'分类规则'!$A$30:$C$200,2,0),"")</f>
        <v/>
      </c>
      <c r="I182" s="7" t="inlineStr">
        <is>
          <t>电力设备</t>
        </is>
      </c>
      <c r="J182" s="7">
        <f>IFERROR(VLOOKUP($I182,'分类规则'!$A$30:$C$200,3,0),"")</f>
        <v/>
      </c>
      <c r="K182" s="8" t="inlineStr">
        <is>
          <t>三峡能源</t>
        </is>
      </c>
      <c r="L182" s="7" t="inlineStr">
        <is>
          <t>600905.SH</t>
        </is>
      </c>
      <c r="M182" s="20" t="n">
        <v>1163.5</v>
      </c>
      <c r="N182" s="8" t="inlineStr">
        <is>
          <t>中国能建</t>
        </is>
      </c>
      <c r="O182" s="7" t="inlineStr">
        <is>
          <t>601868.SH</t>
        </is>
      </c>
      <c r="P182" s="20" t="n">
        <v>895</v>
      </c>
      <c r="Q182" s="8" t="inlineStr">
        <is>
          <t>龙源电力</t>
        </is>
      </c>
      <c r="R182" s="7" t="inlineStr">
        <is>
          <t>001289.SZ</t>
        </is>
      </c>
      <c r="S182" s="20" t="n">
        <v>836.5</v>
      </c>
      <c r="T182" s="8" t="inlineStr">
        <is>
          <t>东方电气</t>
        </is>
      </c>
      <c r="U182" s="7" t="inlineStr">
        <is>
          <t>600875.SH</t>
        </is>
      </c>
      <c r="V182" s="20" t="n">
        <v>737</v>
      </c>
      <c r="W182" s="8" t="inlineStr">
        <is>
          <t>中国电建</t>
        </is>
      </c>
      <c r="X182" s="7" t="inlineStr">
        <is>
          <t>601669.SH</t>
        </is>
      </c>
      <c r="Y182" s="20" t="n">
        <v>645.7</v>
      </c>
    </row>
    <row r="183">
      <c r="A183" s="7" t="inlineStr">
        <is>
          <t>885580.TI</t>
        </is>
      </c>
      <c r="B183" s="8">
        <f>[1]!thsiFinD("THS_GPJC_STOCK",$A183)</f>
        <v/>
      </c>
      <c r="C183" s="9">
        <f>[1]!thsiFinD("ths_int_chg_ratio_index",$A183,C$1,C$2)/100</f>
        <v/>
      </c>
      <c r="D183" s="9">
        <f>[1]!thsiFinD("ths_int_chg_ratio_index",$A183,D$1,D$2)/100</f>
        <v/>
      </c>
      <c r="E183" s="9">
        <f>[1]!thsiFinD("ths_int_chg_ratio_index",$A183,E$1,E$2)/100</f>
        <v/>
      </c>
      <c r="F183" s="10">
        <f>D183-(E183-D183)/3</f>
        <v/>
      </c>
      <c r="G183" s="7" t="inlineStr">
        <is>
          <t>产业链</t>
        </is>
      </c>
      <c r="H183" s="7">
        <f>IFERROR(VLOOKUP($I183,'分类规则'!$A$30:$C$200,2,0),"")</f>
        <v/>
      </c>
      <c r="I183" s="7" t="inlineStr">
        <is>
          <t>商贸/服务</t>
        </is>
      </c>
      <c r="J183" s="7">
        <f>IFERROR(VLOOKUP($I183,'分类规则'!$A$30:$C$200,3,0),"")</f>
        <v/>
      </c>
      <c r="K183" s="8" t="inlineStr">
        <is>
          <t>海康威视</t>
        </is>
      </c>
      <c r="L183" s="7" t="inlineStr">
        <is>
          <t>002415.SZ</t>
        </is>
      </c>
      <c r="M183" s="20" t="n">
        <v>2922</v>
      </c>
      <c r="N183" s="8" t="inlineStr">
        <is>
          <t>上汽集团</t>
        </is>
      </c>
      <c r="O183" s="7" t="inlineStr">
        <is>
          <t>600104.SH</t>
        </is>
      </c>
      <c r="P183" s="20" t="n">
        <v>1202.4</v>
      </c>
      <c r="Q183" s="8" t="inlineStr">
        <is>
          <t>上港集团</t>
        </is>
      </c>
      <c r="R183" s="7" t="inlineStr">
        <is>
          <t>600018.SH</t>
        </is>
      </c>
      <c r="S183" s="20" t="n">
        <v>1136.8</v>
      </c>
      <c r="T183" s="8" t="inlineStr">
        <is>
          <t>儒意电影</t>
        </is>
      </c>
      <c r="U183" s="7" t="inlineStr">
        <is>
          <t>002739.SZ</t>
        </is>
      </c>
      <c r="V183" s="20" t="n">
        <v>167.4</v>
      </c>
      <c r="W183" s="8" t="inlineStr">
        <is>
          <t>江苏有线</t>
        </is>
      </c>
      <c r="X183" s="7" t="inlineStr">
        <is>
          <t>600959.SH</t>
        </is>
      </c>
      <c r="Y183" s="20" t="n">
        <v>155</v>
      </c>
    </row>
    <row r="184">
      <c r="A184" s="7" t="inlineStr">
        <is>
          <t>886098.TI</t>
        </is>
      </c>
      <c r="B184" s="8">
        <f>[1]!thsiFinD("THS_GPJC_STOCK",$A184)</f>
        <v/>
      </c>
      <c r="C184" s="9">
        <f>[1]!thsiFinD("ths_int_chg_ratio_index",$A184,C$1,C$2)/100</f>
        <v/>
      </c>
      <c r="D184" s="9">
        <f>[1]!thsiFinD("ths_int_chg_ratio_index",$A184,D$1,D$2)/100</f>
        <v/>
      </c>
      <c r="E184" s="9">
        <f>[1]!thsiFinD("ths_int_chg_ratio_index",$A184,E$1,E$2)/100</f>
        <v/>
      </c>
      <c r="F184" s="10">
        <f>D184-(E184-D184)/3</f>
        <v/>
      </c>
      <c r="G184" s="7" t="inlineStr">
        <is>
          <t>产业链</t>
        </is>
      </c>
      <c r="H184" s="7">
        <f>IFERROR(VLOOKUP($I184,'分类规则'!$A$30:$C$200,2,0),"")</f>
        <v/>
      </c>
      <c r="I184" s="7" t="inlineStr">
        <is>
          <t>商贸/服务</t>
        </is>
      </c>
      <c r="J184" s="7">
        <f>IFERROR(VLOOKUP($I184,'分类规则'!$A$30:$C$200,3,0),"")</f>
        <v/>
      </c>
      <c r="K184" s="8" t="n"/>
      <c r="L184" s="7" t="n"/>
      <c r="M184" s="7" t="n"/>
      <c r="N184" s="8" t="n"/>
      <c r="O184" s="7" t="n"/>
      <c r="P184" s="7" t="n"/>
      <c r="Q184" s="8" t="n"/>
      <c r="R184" s="7" t="n"/>
      <c r="S184" s="7" t="n"/>
      <c r="T184" s="8" t="n"/>
      <c r="U184" s="7" t="n"/>
      <c r="V184" s="7" t="n"/>
      <c r="W184" s="8" t="n"/>
      <c r="X184" s="7" t="n"/>
      <c r="Y184" s="7" t="n"/>
    </row>
    <row r="185">
      <c r="A185" s="7" t="inlineStr">
        <is>
          <t>885882.TI</t>
        </is>
      </c>
      <c r="B185" s="8">
        <f>[1]!thsiFinD("THS_GPJC_STOCK",$A185)</f>
        <v/>
      </c>
      <c r="C185" s="9">
        <f>[1]!thsiFinD("ths_int_chg_ratio_index",$A185,C$1,C$2)/100</f>
        <v/>
      </c>
      <c r="D185" s="9">
        <f>[1]!thsiFinD("ths_int_chg_ratio_index",$A185,D$1,D$2)/100</f>
        <v/>
      </c>
      <c r="E185" s="9">
        <f>[1]!thsiFinD("ths_int_chg_ratio_index",$A185,E$1,E$2)/100</f>
        <v/>
      </c>
      <c r="F185" s="10">
        <f>D185-(E185-D185)/3</f>
        <v/>
      </c>
      <c r="G185" s="7" t="inlineStr">
        <is>
          <t>产业链</t>
        </is>
      </c>
      <c r="H185" s="7">
        <f>IFERROR(VLOOKUP($I185,'分类规则'!$A$30:$C$200,2,0),"")</f>
        <v/>
      </c>
      <c r="I185" s="7" t="inlineStr">
        <is>
          <t>化工</t>
        </is>
      </c>
      <c r="J185" s="7">
        <f>IFERROR(VLOOKUP($I185,'分类规则'!$A$30:$C$200,3,0),"")</f>
        <v/>
      </c>
      <c r="K185" s="8" t="inlineStr">
        <is>
          <t>巨化股份</t>
        </is>
      </c>
      <c r="L185" s="7" t="inlineStr">
        <is>
          <t>600160.SH</t>
        </is>
      </c>
      <c r="M185" s="20" t="n">
        <v>1191.1</v>
      </c>
      <c r="N185" s="8" t="inlineStr">
        <is>
          <t>东阳光</t>
        </is>
      </c>
      <c r="O185" s="7" t="inlineStr">
        <is>
          <t>600673.SH</t>
        </is>
      </c>
      <c r="P185" s="20" t="n">
        <v>1088.4</v>
      </c>
      <c r="Q185" s="8" t="inlineStr">
        <is>
          <t>金安国纪</t>
        </is>
      </c>
      <c r="R185" s="7" t="inlineStr">
        <is>
          <t>002636.SZ</t>
        </is>
      </c>
      <c r="S185" s="20" t="n">
        <v>756.3</v>
      </c>
      <c r="T185" s="8" t="inlineStr">
        <is>
          <t>兴发集团</t>
        </is>
      </c>
      <c r="U185" s="7" t="inlineStr">
        <is>
          <t>600141.SH</t>
        </is>
      </c>
      <c r="V185" s="20" t="n">
        <v>464.5</v>
      </c>
      <c r="W185" s="8" t="inlineStr">
        <is>
          <t>鲁西化工</t>
        </is>
      </c>
      <c r="X185" s="7" t="inlineStr">
        <is>
          <t>000830.SZ</t>
        </is>
      </c>
      <c r="Y185" s="20" t="n">
        <v>239.7</v>
      </c>
    </row>
    <row r="186">
      <c r="A186" s="7" t="inlineStr">
        <is>
          <t>885924.TI</t>
        </is>
      </c>
      <c r="B186" s="8">
        <f>[1]!thsiFinD("THS_GPJC_STOCK",$A186)</f>
        <v/>
      </c>
      <c r="C186" s="9">
        <f>[1]!thsiFinD("ths_int_chg_ratio_index",$A186,C$1,C$2)/100</f>
        <v/>
      </c>
      <c r="D186" s="9">
        <f>[1]!thsiFinD("ths_int_chg_ratio_index",$A186,D$1,D$2)/100</f>
        <v/>
      </c>
      <c r="E186" s="9">
        <f>[1]!thsiFinD("ths_int_chg_ratio_index",$A186,E$1,E$2)/100</f>
        <v/>
      </c>
      <c r="F186" s="10">
        <f>D186-(E186-D186)/3</f>
        <v/>
      </c>
      <c r="G186" s="7" t="inlineStr">
        <is>
          <t>主题事件</t>
        </is>
      </c>
      <c r="H186" s="7">
        <f>IFERROR(VLOOKUP($I186,'分类规则'!$A$30:$C$200,2,0),"")</f>
        <v/>
      </c>
      <c r="I186" s="7" t="inlineStr">
        <is>
          <t>区域/改革</t>
        </is>
      </c>
      <c r="J186" s="7">
        <f>IFERROR(VLOOKUP($I186,'分类规则'!$A$30:$C$200,3,0),"")</f>
        <v/>
      </c>
      <c r="K186" s="8" t="n"/>
      <c r="L186" s="7" t="n"/>
      <c r="M186" s="7" t="n"/>
      <c r="N186" s="8" t="n"/>
      <c r="O186" s="7" t="n"/>
      <c r="P186" s="7" t="n"/>
      <c r="Q186" s="8" t="n"/>
      <c r="R186" s="7" t="n"/>
      <c r="S186" s="7" t="n"/>
      <c r="T186" s="8" t="n"/>
      <c r="U186" s="7" t="n"/>
      <c r="V186" s="7" t="n"/>
      <c r="W186" s="8" t="n"/>
      <c r="X186" s="7" t="n"/>
      <c r="Y186" s="7" t="n"/>
    </row>
    <row r="187">
      <c r="A187" s="7" t="inlineStr">
        <is>
          <t>885819.TI</t>
        </is>
      </c>
      <c r="B187" s="8">
        <f>[1]!thsiFinD("THS_GPJC_STOCK",$A187)</f>
        <v/>
      </c>
      <c r="C187" s="9">
        <f>[1]!thsiFinD("ths_int_chg_ratio_index",$A187,C$1,C$2)/100</f>
        <v/>
      </c>
      <c r="D187" s="9">
        <f>[1]!thsiFinD("ths_int_chg_ratio_index",$A187,D$1,D$2)/100</f>
        <v/>
      </c>
      <c r="E187" s="9">
        <f>[1]!thsiFinD("ths_int_chg_ratio_index",$A187,E$1,E$2)/100</f>
        <v/>
      </c>
      <c r="F187" s="10">
        <f>D187-(E187-D187)/3</f>
        <v/>
      </c>
      <c r="G187" s="7" t="inlineStr">
        <is>
          <t>产业链</t>
        </is>
      </c>
      <c r="H187" s="7">
        <f>IFERROR(VLOOKUP($I187,'分类规则'!$A$30:$C$200,2,0),"")</f>
        <v/>
      </c>
      <c r="I187" s="7" t="inlineStr">
        <is>
          <t>AIoT/物联网</t>
        </is>
      </c>
      <c r="J187" s="7">
        <f>IFERROR(VLOOKUP($I187,'分类规则'!$A$30:$C$200,3,0),"")</f>
        <v/>
      </c>
      <c r="K187" s="8" t="inlineStr">
        <is>
          <t>国电南瑞</t>
        </is>
      </c>
      <c r="L187" s="7" t="inlineStr">
        <is>
          <t>600406.SH</t>
        </is>
      </c>
      <c r="M187" s="20" t="n">
        <v>1846.7</v>
      </c>
      <c r="N187" s="8" t="inlineStr">
        <is>
          <t>思源电气</t>
        </is>
      </c>
      <c r="O187" s="7" t="inlineStr">
        <is>
          <t>002028.SZ</t>
        </is>
      </c>
      <c r="P187" s="20" t="n">
        <v>1161.5</v>
      </c>
      <c r="Q187" s="8" t="inlineStr">
        <is>
          <t>瑞芯微</t>
        </is>
      </c>
      <c r="R187" s="7" t="inlineStr">
        <is>
          <t>603893.SH</t>
        </is>
      </c>
      <c r="S187" s="20" t="n">
        <v>760.4</v>
      </c>
      <c r="T187" s="8" t="inlineStr">
        <is>
          <t>四方股份</t>
        </is>
      </c>
      <c r="U187" s="7" t="inlineStr">
        <is>
          <t>601126.SH</t>
        </is>
      </c>
      <c r="V187" s="20" t="n">
        <v>615.8</v>
      </c>
      <c r="W187" s="8" t="inlineStr">
        <is>
          <t>润和软件</t>
        </is>
      </c>
      <c r="X187" s="7" t="inlineStr">
        <is>
          <t>300339.SZ</t>
        </is>
      </c>
      <c r="Y187" s="20" t="n">
        <v>312.7</v>
      </c>
    </row>
    <row r="188">
      <c r="A188" s="7" t="inlineStr">
        <is>
          <t>886075.TI</t>
        </is>
      </c>
      <c r="B188" s="8">
        <f>[1]!thsiFinD("THS_GPJC_STOCK",$A188)</f>
        <v/>
      </c>
      <c r="C188" s="9">
        <f>[1]!thsiFinD("ths_int_chg_ratio_index",$A188,C$1,C$2)/100</f>
        <v/>
      </c>
      <c r="D188" s="9">
        <f>[1]!thsiFinD("ths_int_chg_ratio_index",$A188,D$1,D$2)/100</f>
        <v/>
      </c>
      <c r="E188" s="9">
        <f>[1]!thsiFinD("ths_int_chg_ratio_index",$A188,E$1,E$2)/100</f>
        <v/>
      </c>
      <c r="F188" s="10">
        <f>D188-(E188-D188)/3</f>
        <v/>
      </c>
      <c r="G188" s="7" t="inlineStr">
        <is>
          <t>宽基风格</t>
        </is>
      </c>
      <c r="H188" s="7">
        <f>IFERROR(VLOOKUP($I188,'分类规则'!$A$30:$C$200,2,0),"")</f>
        <v/>
      </c>
      <c r="I188" s="7" t="inlineStr">
        <is>
          <t>宽基/成分股</t>
        </is>
      </c>
      <c r="J188" s="7">
        <f>IFERROR(VLOOKUP($I188,'分类规则'!$A$30:$C$200,3,0),"")</f>
        <v/>
      </c>
      <c r="K188" s="8" t="inlineStr">
        <is>
          <t>宁德时代</t>
        </is>
      </c>
      <c r="L188" s="7" t="inlineStr">
        <is>
          <t>300750.SZ</t>
        </is>
      </c>
      <c r="M188" s="20" t="n">
        <v>16668.3</v>
      </c>
      <c r="N188" s="8" t="inlineStr">
        <is>
          <t>工业富联</t>
        </is>
      </c>
      <c r="O188" s="7" t="inlineStr">
        <is>
          <t>601138.SH</t>
        </is>
      </c>
      <c r="P188" s="20" t="n">
        <v>15494.3</v>
      </c>
      <c r="Q188" s="8" t="inlineStr">
        <is>
          <t>紫金矿业</t>
        </is>
      </c>
      <c r="R188" s="7" t="inlineStr">
        <is>
          <t>601899.SH</t>
        </is>
      </c>
      <c r="S188" s="20" t="n">
        <v>6116.7</v>
      </c>
      <c r="T188" s="8" t="inlineStr">
        <is>
          <t>美的集团</t>
        </is>
      </c>
      <c r="U188" s="7" t="inlineStr">
        <is>
          <t>000333.SZ</t>
        </is>
      </c>
      <c r="V188" s="20" t="n">
        <v>5352.5</v>
      </c>
      <c r="W188" s="8" t="inlineStr">
        <is>
          <t>立讯精密</t>
        </is>
      </c>
      <c r="X188" s="7" t="inlineStr">
        <is>
          <t>002475.SZ</t>
        </is>
      </c>
      <c r="Y188" s="20" t="n">
        <v>5083.4</v>
      </c>
    </row>
    <row r="189">
      <c r="A189" s="7" t="inlineStr">
        <is>
          <t>885386.TI</t>
        </is>
      </c>
      <c r="B189" s="8">
        <f>[1]!thsiFinD("THS_GPJC_STOCK",$A189)</f>
        <v/>
      </c>
      <c r="C189" s="9">
        <f>[1]!thsiFinD("ths_int_chg_ratio_index",$A189,C$1,C$2)/100</f>
        <v/>
      </c>
      <c r="D189" s="9">
        <f>[1]!thsiFinD("ths_int_chg_ratio_index",$A189,D$1,D$2)/100</f>
        <v/>
      </c>
      <c r="E189" s="9">
        <f>[1]!thsiFinD("ths_int_chg_ratio_index",$A189,E$1,E$2)/100</f>
        <v/>
      </c>
      <c r="F189" s="10">
        <f>D189-(E189-D189)/3</f>
        <v/>
      </c>
      <c r="G189" s="7" t="inlineStr">
        <is>
          <t>产业链</t>
        </is>
      </c>
      <c r="H189" s="7">
        <f>IFERROR(VLOOKUP($I189,'分类规则'!$A$30:$C$200,2,0),"")</f>
        <v/>
      </c>
      <c r="I189" s="7" t="inlineStr">
        <is>
          <t>地产链</t>
        </is>
      </c>
      <c r="J189" s="7">
        <f>IFERROR(VLOOKUP($I189,'分类规则'!$A$30:$C$200,3,0),"")</f>
        <v/>
      </c>
      <c r="K189" s="8" t="n"/>
      <c r="L189" s="7" t="n"/>
      <c r="M189" s="7" t="n"/>
      <c r="N189" s="8" t="n"/>
      <c r="O189" s="7" t="n"/>
      <c r="P189" s="7" t="n"/>
      <c r="Q189" s="8" t="n"/>
      <c r="R189" s="7" t="n"/>
      <c r="S189" s="7" t="n"/>
      <c r="T189" s="8" t="n"/>
      <c r="U189" s="7" t="n"/>
      <c r="V189" s="7" t="n"/>
      <c r="W189" s="8" t="n"/>
      <c r="X189" s="7" t="n"/>
      <c r="Y189" s="7" t="n"/>
    </row>
    <row r="190">
      <c r="A190" s="7" t="inlineStr">
        <is>
          <t>885938.TI</t>
        </is>
      </c>
      <c r="B190" s="8">
        <f>[1]!thsiFinD("THS_GPJC_STOCK",$A190)</f>
        <v/>
      </c>
      <c r="C190" s="9">
        <f>[1]!thsiFinD("ths_int_chg_ratio_index",$A190,C$1,C$2)/100</f>
        <v/>
      </c>
      <c r="D190" s="9">
        <f>[1]!thsiFinD("ths_int_chg_ratio_index",$A190,D$1,D$2)/100</f>
        <v/>
      </c>
      <c r="E190" s="9">
        <f>[1]!thsiFinD("ths_int_chg_ratio_index",$A190,E$1,E$2)/100</f>
        <v/>
      </c>
      <c r="F190" s="10">
        <f>D190-(E190-D190)/3</f>
        <v/>
      </c>
      <c r="G190" s="7" t="inlineStr">
        <is>
          <t>产业链</t>
        </is>
      </c>
      <c r="H190" s="7">
        <f>IFERROR(VLOOKUP($I190,'分类规则'!$A$30:$C$200,2,0),"")</f>
        <v/>
      </c>
      <c r="I190" s="7" t="inlineStr">
        <is>
          <t>汽车</t>
        </is>
      </c>
      <c r="J190" s="7">
        <f>IFERROR(VLOOKUP($I190,'分类规则'!$A$30:$C$200,3,0),"")</f>
        <v/>
      </c>
      <c r="K190" s="8" t="inlineStr">
        <is>
          <t>宁德时代</t>
        </is>
      </c>
      <c r="L190" s="7" t="inlineStr">
        <is>
          <t>300750.SZ</t>
        </is>
      </c>
      <c r="M190" s="20" t="n">
        <v>16668.3</v>
      </c>
      <c r="N190" s="8" t="inlineStr">
        <is>
          <t>国电南瑞</t>
        </is>
      </c>
      <c r="O190" s="7" t="inlineStr">
        <is>
          <t>600406.SH</t>
        </is>
      </c>
      <c r="P190" s="20" t="n">
        <v>1846.7</v>
      </c>
      <c r="Q190" s="8" t="inlineStr">
        <is>
          <t>汇川技术</t>
        </is>
      </c>
      <c r="R190" s="7" t="inlineStr">
        <is>
          <t>300124.SZ</t>
        </is>
      </c>
      <c r="S190" s="20" t="n">
        <v>1715.7</v>
      </c>
      <c r="T190" s="8" t="inlineStr">
        <is>
          <t>上汽集团</t>
        </is>
      </c>
      <c r="U190" s="7" t="inlineStr">
        <is>
          <t>600104.SH</t>
        </is>
      </c>
      <c r="V190" s="20" t="n">
        <v>1202.4</v>
      </c>
      <c r="W190" s="8" t="inlineStr">
        <is>
          <t>中航光电</t>
        </is>
      </c>
      <c r="X190" s="7" t="inlineStr">
        <is>
          <t>002179.SZ</t>
        </is>
      </c>
      <c r="Y190" s="20" t="n">
        <v>855</v>
      </c>
    </row>
    <row r="191">
      <c r="A191" s="7" t="inlineStr">
        <is>
          <t>886067.TI</t>
        </is>
      </c>
      <c r="B191" s="8">
        <f>[1]!thsiFinD("THS_GPJC_STOCK",$A191)</f>
        <v/>
      </c>
      <c r="C191" s="9">
        <f>[1]!thsiFinD("ths_int_chg_ratio_index",$A191,C$1,C$2)/100</f>
        <v/>
      </c>
      <c r="D191" s="9">
        <f>[1]!thsiFinD("ths_int_chg_ratio_index",$A191,D$1,D$2)/100</f>
        <v/>
      </c>
      <c r="E191" s="9">
        <f>[1]!thsiFinD("ths_int_chg_ratio_index",$A191,E$1,E$2)/100</f>
        <v/>
      </c>
      <c r="F191" s="10">
        <f>D191-(E191-D191)/3</f>
        <v/>
      </c>
      <c r="G191" s="7" t="inlineStr">
        <is>
          <t>产业链</t>
        </is>
      </c>
      <c r="H191" s="7">
        <f>IFERROR(VLOOKUP($I191,'分类规则'!$A$30:$C$200,2,0),"")</f>
        <v/>
      </c>
      <c r="I191" s="7" t="inlineStr">
        <is>
          <t>航空航天</t>
        </is>
      </c>
      <c r="J191" s="7">
        <f>IFERROR(VLOOKUP($I191,'分类规则'!$A$30:$C$200,3,0),"")</f>
        <v/>
      </c>
      <c r="K191" s="8" t="inlineStr">
        <is>
          <t>万华化学</t>
        </is>
      </c>
      <c r="L191" s="7" t="inlineStr">
        <is>
          <t>600309.SH</t>
        </is>
      </c>
      <c r="M191" s="20" t="n">
        <v>2161.6</v>
      </c>
      <c r="N191" s="8" t="inlineStr">
        <is>
          <t>中天科技</t>
        </is>
      </c>
      <c r="O191" s="7" t="inlineStr">
        <is>
          <t>600522.SH</t>
        </is>
      </c>
      <c r="P191" s="20" t="n">
        <v>1930</v>
      </c>
      <c r="Q191" s="8" t="inlineStr">
        <is>
          <t>中兴通讯</t>
        </is>
      </c>
      <c r="R191" s="7" t="inlineStr">
        <is>
          <t>000063.SZ</t>
        </is>
      </c>
      <c r="S191" s="20" t="n">
        <v>1526.1</v>
      </c>
      <c r="T191" s="8" t="inlineStr">
        <is>
          <t>顺丰控股</t>
        </is>
      </c>
      <c r="U191" s="7" t="inlineStr">
        <is>
          <t>002352.SZ</t>
        </is>
      </c>
      <c r="V191" s="20" t="n">
        <v>1504.9</v>
      </c>
      <c r="W191" s="8" t="inlineStr">
        <is>
          <t>亿纬锂能</t>
        </is>
      </c>
      <c r="X191" s="7" t="inlineStr">
        <is>
          <t>300014.SZ</t>
        </is>
      </c>
      <c r="Y191" s="20" t="n">
        <v>1408.2</v>
      </c>
    </row>
    <row r="192">
      <c r="A192" s="7" t="inlineStr">
        <is>
          <t>885595.TI</t>
        </is>
      </c>
      <c r="B192" s="8">
        <f>[1]!thsiFinD("THS_GPJC_STOCK",$A192)</f>
        <v/>
      </c>
      <c r="C192" s="9">
        <f>[1]!thsiFinD("ths_int_chg_ratio_index",$A192,C$1,C$2)/100</f>
        <v/>
      </c>
      <c r="D192" s="9">
        <f>[1]!thsiFinD("ths_int_chg_ratio_index",$A192,D$1,D$2)/100</f>
        <v/>
      </c>
      <c r="E192" s="9">
        <f>[1]!thsiFinD("ths_int_chg_ratio_index",$A192,E$1,E$2)/100</f>
        <v/>
      </c>
      <c r="F192" s="10">
        <f>D192-(E192-D192)/3</f>
        <v/>
      </c>
      <c r="G192" s="7" t="inlineStr">
        <is>
          <t>主题事件</t>
        </is>
      </c>
      <c r="H192" s="7">
        <f>IFERROR(VLOOKUP($I192,'分类规则'!$A$30:$C$200,2,0),"")</f>
        <v/>
      </c>
      <c r="I192" s="7" t="inlineStr">
        <is>
          <t>区域/改革</t>
        </is>
      </c>
      <c r="J192" s="7">
        <f>IFERROR(VLOOKUP($I192,'分类规则'!$A$30:$C$200,3,0),"")</f>
        <v/>
      </c>
      <c r="K192" s="8" t="inlineStr">
        <is>
          <t>中国石油</t>
        </is>
      </c>
      <c r="L192" s="7" t="inlineStr">
        <is>
          <t>601857.SH</t>
        </is>
      </c>
      <c r="M192" s="20" t="n">
        <v>15512.1</v>
      </c>
      <c r="N192" s="8" t="inlineStr">
        <is>
          <t>中国人寿</t>
        </is>
      </c>
      <c r="O192" s="7" t="inlineStr">
        <is>
          <t>601628.SH</t>
        </is>
      </c>
      <c r="P192" s="20" t="n">
        <v>7017.5</v>
      </c>
      <c r="Q192" s="8" t="inlineStr">
        <is>
          <t>中国神华</t>
        </is>
      </c>
      <c r="R192" s="7" t="inlineStr">
        <is>
          <t>601088.SH</t>
        </is>
      </c>
      <c r="S192" s="20" t="n">
        <v>6804.2</v>
      </c>
      <c r="T192" s="8" t="inlineStr">
        <is>
          <t>中国石化</t>
        </is>
      </c>
      <c r="U192" s="7" t="inlineStr">
        <is>
          <t>600028.SH</t>
        </is>
      </c>
      <c r="V192" s="20" t="n">
        <v>4462.8</v>
      </c>
      <c r="W192" s="8" t="inlineStr">
        <is>
          <t>中国电信</t>
        </is>
      </c>
      <c r="X192" s="7" t="inlineStr">
        <is>
          <t>601728.SH</t>
        </is>
      </c>
      <c r="Y192" s="20" t="n">
        <v>4409.4</v>
      </c>
    </row>
    <row r="193">
      <c r="A193" s="7" t="inlineStr">
        <is>
          <t>885904.TI</t>
        </is>
      </c>
      <c r="B193" s="8">
        <f>[1]!thsiFinD("THS_GPJC_STOCK",$A193)</f>
        <v/>
      </c>
      <c r="C193" s="9">
        <f>[1]!thsiFinD("ths_int_chg_ratio_index",$A193,C$1,C$2)/100</f>
        <v/>
      </c>
      <c r="D193" s="9">
        <f>[1]!thsiFinD("ths_int_chg_ratio_index",$A193,D$1,D$2)/100</f>
        <v/>
      </c>
      <c r="E193" s="9">
        <f>[1]!thsiFinD("ths_int_chg_ratio_index",$A193,E$1,E$2)/100</f>
        <v/>
      </c>
      <c r="F193" s="10">
        <f>D193-(E193-D193)/3</f>
        <v/>
      </c>
      <c r="G193" s="7" t="inlineStr">
        <is>
          <t>产业链</t>
        </is>
      </c>
      <c r="H193" s="7">
        <f>IFERROR(VLOOKUP($I193,'分类规则'!$A$30:$C$200,2,0),"")</f>
        <v/>
      </c>
      <c r="I193" s="7" t="inlineStr">
        <is>
          <t>化工</t>
        </is>
      </c>
      <c r="J193" s="7">
        <f>IFERROR(VLOOKUP($I193,'分类规则'!$A$30:$C$200,3,0),"")</f>
        <v/>
      </c>
      <c r="K193" s="8" t="inlineStr">
        <is>
          <t>圣泉集团</t>
        </is>
      </c>
      <c r="L193" s="7" t="inlineStr">
        <is>
          <t>605589.SH</t>
        </is>
      </c>
      <c r="M193" s="20" t="n">
        <v>590.6</v>
      </c>
      <c r="N193" s="8" t="inlineStr">
        <is>
          <t>太阳纸业</t>
        </is>
      </c>
      <c r="O193" s="7" t="inlineStr">
        <is>
          <t>002078.SZ</t>
        </is>
      </c>
      <c r="P193" s="20" t="n">
        <v>348</v>
      </c>
      <c r="Q193" s="8" t="inlineStr">
        <is>
          <t>中化国际</t>
        </is>
      </c>
      <c r="R193" s="7" t="inlineStr">
        <is>
          <t>600500.SH</t>
        </is>
      </c>
      <c r="S193" s="20" t="n">
        <v>316.8</v>
      </c>
      <c r="T193" s="8" t="inlineStr">
        <is>
          <t>梅花生物</t>
        </is>
      </c>
      <c r="U193" s="7" t="inlineStr">
        <is>
          <t>600873.SH</t>
        </is>
      </c>
      <c r="V193" s="20" t="n">
        <v>233</v>
      </c>
      <c r="W193" s="8" t="inlineStr">
        <is>
          <t>鲁信创投</t>
        </is>
      </c>
      <c r="X193" s="7" t="inlineStr">
        <is>
          <t>600783.SH</t>
        </is>
      </c>
      <c r="Y193" s="20" t="n">
        <v>157.3</v>
      </c>
    </row>
    <row r="194">
      <c r="A194" s="7" t="inlineStr">
        <is>
          <t>885820.TI</t>
        </is>
      </c>
      <c r="B194" s="8">
        <f>[1]!thsiFinD("THS_GPJC_STOCK",$A194)</f>
        <v/>
      </c>
      <c r="C194" s="9">
        <f>[1]!thsiFinD("ths_int_chg_ratio_index",$A194,C$1,C$2)/100</f>
        <v/>
      </c>
      <c r="D194" s="9">
        <f>[1]!thsiFinD("ths_int_chg_ratio_index",$A194,D$1,D$2)/100</f>
        <v/>
      </c>
      <c r="E194" s="9">
        <f>[1]!thsiFinD("ths_int_chg_ratio_index",$A194,E$1,E$2)/100</f>
        <v/>
      </c>
      <c r="F194" s="10">
        <f>D194-(E194-D194)/3</f>
        <v/>
      </c>
      <c r="G194" s="7" t="inlineStr">
        <is>
          <t>产业链</t>
        </is>
      </c>
      <c r="H194" s="7">
        <f>IFERROR(VLOOKUP($I194,'分类规则'!$A$30:$C$200,2,0),"")</f>
        <v/>
      </c>
      <c r="I194" s="7" t="inlineStr">
        <is>
          <t>AIoT/物联网</t>
        </is>
      </c>
      <c r="J194" s="7">
        <f>IFERROR(VLOOKUP($I194,'分类规则'!$A$30:$C$200,3,0),"")</f>
        <v/>
      </c>
      <c r="K194" s="8" t="inlineStr">
        <is>
          <t>中国建筑</t>
        </is>
      </c>
      <c r="L194" s="7" t="inlineStr">
        <is>
          <t>601668.SH</t>
        </is>
      </c>
      <c r="M194" s="20" t="n">
        <v>1904.9</v>
      </c>
      <c r="N194" s="8" t="inlineStr">
        <is>
          <t>华工科技</t>
        </is>
      </c>
      <c r="O194" s="7" t="inlineStr">
        <is>
          <t>000988.SZ</t>
        </is>
      </c>
      <c r="P194" s="20" t="n">
        <v>1784.4</v>
      </c>
      <c r="Q194" s="8" t="inlineStr">
        <is>
          <t>顺丰控股</t>
        </is>
      </c>
      <c r="R194" s="7" t="inlineStr">
        <is>
          <t>002352.SZ</t>
        </is>
      </c>
      <c r="S194" s="20" t="n">
        <v>1504.9</v>
      </c>
      <c r="T194" s="8" t="inlineStr">
        <is>
          <t>中科曙光</t>
        </is>
      </c>
      <c r="U194" s="7" t="inlineStr">
        <is>
          <t>603019.SH</t>
        </is>
      </c>
      <c r="V194" s="20" t="n">
        <v>1297.1</v>
      </c>
      <c r="W194" s="8" t="inlineStr">
        <is>
          <t>中控技术</t>
        </is>
      </c>
      <c r="X194" s="7" t="inlineStr">
        <is>
          <t>688777.SH</t>
        </is>
      </c>
      <c r="Y194" s="20" t="n">
        <v>980.1</v>
      </c>
    </row>
    <row r="195">
      <c r="A195" s="7" t="inlineStr">
        <is>
          <t>886010.TI</t>
        </is>
      </c>
      <c r="B195" s="8">
        <f>[1]!thsiFinD("THS_GPJC_STOCK",$A195)</f>
        <v/>
      </c>
      <c r="C195" s="9">
        <f>[1]!thsiFinD("ths_int_chg_ratio_index",$A195,C$1,C$2)/100</f>
        <v/>
      </c>
      <c r="D195" s="9">
        <f>[1]!thsiFinD("ths_int_chg_ratio_index",$A195,D$1,D$2)/100</f>
        <v/>
      </c>
      <c r="E195" s="9">
        <f>[1]!thsiFinD("ths_int_chg_ratio_index",$A195,E$1,E$2)/100</f>
        <v/>
      </c>
      <c r="F195" s="10">
        <f>D195-(E195-D195)/3</f>
        <v/>
      </c>
      <c r="G195" s="7" t="inlineStr">
        <is>
          <t>产业链</t>
        </is>
      </c>
      <c r="H195" s="7">
        <f>IFERROR(VLOOKUP($I195,'分类规则'!$A$30:$C$200,2,0),"")</f>
        <v/>
      </c>
      <c r="I195" s="7" t="inlineStr">
        <is>
          <t>汽车</t>
        </is>
      </c>
      <c r="J195" s="7">
        <f>IFERROR(VLOOKUP($I195,'分类规则'!$A$30:$C$200,3,0),"")</f>
        <v/>
      </c>
      <c r="K195" s="8" t="inlineStr">
        <is>
          <t>美的集团</t>
        </is>
      </c>
      <c r="L195" s="7" t="inlineStr">
        <is>
          <t>000333.SZ</t>
        </is>
      </c>
      <c r="M195" s="20" t="n">
        <v>5352.5</v>
      </c>
      <c r="N195" s="8" t="inlineStr">
        <is>
          <t>格力电器</t>
        </is>
      </c>
      <c r="O195" s="7" t="inlineStr">
        <is>
          <t>000651.SZ</t>
        </is>
      </c>
      <c r="P195" s="20" t="n">
        <v>2027.7</v>
      </c>
      <c r="Q195" s="8" t="inlineStr">
        <is>
          <t>三花智控</t>
        </is>
      </c>
      <c r="R195" s="7" t="inlineStr">
        <is>
          <t>002050.SZ</t>
        </is>
      </c>
      <c r="S195" s="20" t="n">
        <v>1685.2</v>
      </c>
      <c r="T195" s="8" t="inlineStr">
        <is>
          <t>海尔智家</t>
        </is>
      </c>
      <c r="U195" s="7" t="inlineStr">
        <is>
          <t>600690.SH</t>
        </is>
      </c>
      <c r="V195" s="20" t="n">
        <v>1216.2</v>
      </c>
      <c r="W195" s="8" t="inlineStr">
        <is>
          <t>冰轮环境</t>
        </is>
      </c>
      <c r="X195" s="7" t="inlineStr">
        <is>
          <t>000811.SZ</t>
        </is>
      </c>
      <c r="Y195" s="20" t="n">
        <v>393</v>
      </c>
    </row>
    <row r="196">
      <c r="A196" s="7" t="inlineStr">
        <is>
          <t>885423.TI</t>
        </is>
      </c>
      <c r="B196" s="8">
        <f>[1]!thsiFinD("THS_GPJC_STOCK",$A196)</f>
        <v/>
      </c>
      <c r="C196" s="9">
        <f>[1]!thsiFinD("ths_int_chg_ratio_index",$A196,C$1,C$2)/100</f>
        <v/>
      </c>
      <c r="D196" s="9">
        <f>[1]!thsiFinD("ths_int_chg_ratio_index",$A196,D$1,D$2)/100</f>
        <v/>
      </c>
      <c r="E196" s="9">
        <f>[1]!thsiFinD("ths_int_chg_ratio_index",$A196,E$1,E$2)/100</f>
        <v/>
      </c>
      <c r="F196" s="10">
        <f>D196-(E196-D196)/3</f>
        <v/>
      </c>
      <c r="G196" s="7" t="inlineStr">
        <is>
          <t>产业链</t>
        </is>
      </c>
      <c r="H196" s="7">
        <f>IFERROR(VLOOKUP($I196,'分类规则'!$A$30:$C$200,2,0),"")</f>
        <v/>
      </c>
      <c r="I196" s="7" t="inlineStr">
        <is>
          <t>AIoT/物联网</t>
        </is>
      </c>
      <c r="J196" s="7">
        <f>IFERROR(VLOOKUP($I196,'分类规则'!$A$30:$C$200,3,0),"")</f>
        <v/>
      </c>
      <c r="K196" s="8" t="inlineStr">
        <is>
          <t>海康威视</t>
        </is>
      </c>
      <c r="L196" s="7" t="inlineStr">
        <is>
          <t>002415.SZ</t>
        </is>
      </c>
      <c r="M196" s="20" t="n">
        <v>2922</v>
      </c>
      <c r="N196" s="8" t="inlineStr">
        <is>
          <t>亿纬锂能</t>
        </is>
      </c>
      <c r="O196" s="7" t="inlineStr">
        <is>
          <t>300014.SZ</t>
        </is>
      </c>
      <c r="P196" s="20" t="n">
        <v>1408.2</v>
      </c>
      <c r="Q196" s="8" t="inlineStr">
        <is>
          <t>协创数据</t>
        </is>
      </c>
      <c r="R196" s="7" t="inlineStr">
        <is>
          <t>300857.SZ</t>
        </is>
      </c>
      <c r="S196" s="20" t="n">
        <v>1352.3</v>
      </c>
      <c r="T196" s="8" t="inlineStr">
        <is>
          <t>三安光电</t>
        </is>
      </c>
      <c r="U196" s="7" t="inlineStr">
        <is>
          <t>600703.SH</t>
        </is>
      </c>
      <c r="V196" s="20" t="n">
        <v>875.1</v>
      </c>
      <c r="W196" s="8" t="inlineStr">
        <is>
          <t>北京君正</t>
        </is>
      </c>
      <c r="X196" s="7" t="inlineStr">
        <is>
          <t>300223.SZ</t>
        </is>
      </c>
      <c r="Y196" s="20" t="n">
        <v>784.6</v>
      </c>
    </row>
    <row r="197">
      <c r="A197" s="7" t="inlineStr">
        <is>
          <t>885494.TI</t>
        </is>
      </c>
      <c r="B197" s="8">
        <f>[1]!thsiFinD("THS_GPJC_STOCK",$A197)</f>
        <v/>
      </c>
      <c r="C197" s="9">
        <f>[1]!thsiFinD("ths_int_chg_ratio_index",$A197,C$1,C$2)/100</f>
        <v/>
      </c>
      <c r="D197" s="9">
        <f>[1]!thsiFinD("ths_int_chg_ratio_index",$A197,D$1,D$2)/100</f>
        <v/>
      </c>
      <c r="E197" s="9">
        <f>[1]!thsiFinD("ths_int_chg_ratio_index",$A197,E$1,E$2)/100</f>
        <v/>
      </c>
      <c r="F197" s="10">
        <f>D197-(E197-D197)/3</f>
        <v/>
      </c>
      <c r="G197" s="7" t="inlineStr">
        <is>
          <t>主题事件</t>
        </is>
      </c>
      <c r="H197" s="7">
        <f>IFERROR(VLOOKUP($I197,'分类规则'!$A$30:$C$200,2,0),"")</f>
        <v/>
      </c>
      <c r="I197" s="7" t="inlineStr">
        <is>
          <t>区域/改革</t>
        </is>
      </c>
      <c r="J197" s="7">
        <f>IFERROR(VLOOKUP($I197,'分类规则'!$A$30:$C$200,3,0),"")</f>
        <v/>
      </c>
      <c r="K197" s="8" t="inlineStr">
        <is>
          <t>中国石油</t>
        </is>
      </c>
      <c r="L197" s="7" t="inlineStr">
        <is>
          <t>601857.SH</t>
        </is>
      </c>
      <c r="M197" s="20" t="n">
        <v>15512.1</v>
      </c>
      <c r="N197" s="8" t="inlineStr">
        <is>
          <t>紫金矿业</t>
        </is>
      </c>
      <c r="O197" s="7" t="inlineStr">
        <is>
          <t>601899.SH</t>
        </is>
      </c>
      <c r="P197" s="20" t="n">
        <v>6116.7</v>
      </c>
      <c r="Q197" s="8" t="inlineStr">
        <is>
          <t>美的集团</t>
        </is>
      </c>
      <c r="R197" s="7" t="inlineStr">
        <is>
          <t>000333.SZ</t>
        </is>
      </c>
      <c r="S197" s="20" t="n">
        <v>5352.5</v>
      </c>
      <c r="T197" s="8" t="inlineStr">
        <is>
          <t>中国石化</t>
        </is>
      </c>
      <c r="U197" s="7" t="inlineStr">
        <is>
          <t>600028.SH</t>
        </is>
      </c>
      <c r="V197" s="20" t="n">
        <v>4462.8</v>
      </c>
      <c r="W197" s="8" t="inlineStr">
        <is>
          <t>中国船舶</t>
        </is>
      </c>
      <c r="X197" s="7" t="inlineStr">
        <is>
          <t>600150.SH</t>
        </is>
      </c>
      <c r="Y197" s="20" t="n">
        <v>2719.8</v>
      </c>
    </row>
    <row r="198">
      <c r="A198" s="7" t="inlineStr">
        <is>
          <t>885748.TI</t>
        </is>
      </c>
      <c r="B198" s="8">
        <f>[1]!thsiFinD("THS_GPJC_STOCK",$A198)</f>
        <v/>
      </c>
      <c r="C198" s="9">
        <f>[1]!thsiFinD("ths_int_chg_ratio_index",$A198,C$1,C$2)/100</f>
        <v/>
      </c>
      <c r="D198" s="9">
        <f>[1]!thsiFinD("ths_int_chg_ratio_index",$A198,D$1,D$2)/100</f>
        <v/>
      </c>
      <c r="E198" s="9">
        <f>[1]!thsiFinD("ths_int_chg_ratio_index",$A198,E$1,E$2)/100</f>
        <v/>
      </c>
      <c r="F198" s="10">
        <f>D198-(E198-D198)/3</f>
        <v/>
      </c>
      <c r="G198" s="7" t="inlineStr">
        <is>
          <t>产业链</t>
        </is>
      </c>
      <c r="H198" s="7">
        <f>IFERROR(VLOOKUP($I198,'分类规则'!$A$30:$C$200,2,0),"")</f>
        <v/>
      </c>
      <c r="I198" s="7" t="inlineStr">
        <is>
          <t>油气</t>
        </is>
      </c>
      <c r="J198" s="7">
        <f>IFERROR(VLOOKUP($I198,'分类规则'!$A$30:$C$200,3,0),"")</f>
        <v/>
      </c>
      <c r="K198" s="8" t="inlineStr">
        <is>
          <t>中国石化</t>
        </is>
      </c>
      <c r="L198" s="7" t="inlineStr">
        <is>
          <t>600028.SH</t>
        </is>
      </c>
      <c r="M198" s="20" t="n">
        <v>4462.8</v>
      </c>
      <c r="N198" s="8" t="inlineStr">
        <is>
          <t>时代电气</t>
        </is>
      </c>
      <c r="O198" s="7" t="inlineStr">
        <is>
          <t>688187.SH</t>
        </is>
      </c>
      <c r="P198" s="20" t="n">
        <v>510</v>
      </c>
      <c r="Q198" s="8" t="inlineStr">
        <is>
          <t>中海油服</t>
        </is>
      </c>
      <c r="R198" s="7" t="inlineStr">
        <is>
          <t>601808.SH</t>
        </is>
      </c>
      <c r="S198" s="20" t="n">
        <v>351.4</v>
      </c>
      <c r="T198" s="8" t="inlineStr">
        <is>
          <t>石化油服</t>
        </is>
      </c>
      <c r="U198" s="7" t="inlineStr">
        <is>
          <t>600871.SH</t>
        </is>
      </c>
      <c r="V198" s="20" t="n">
        <v>289.9</v>
      </c>
      <c r="W198" s="8" t="inlineStr">
        <is>
          <t>南钢股份</t>
        </is>
      </c>
      <c r="X198" s="7" t="inlineStr">
        <is>
          <t>600282.SH</t>
        </is>
      </c>
      <c r="Y198" s="20" t="n">
        <v>289.8</v>
      </c>
    </row>
    <row r="199">
      <c r="A199" s="7" t="inlineStr">
        <is>
          <t>885312.TI</t>
        </is>
      </c>
      <c r="B199" s="8">
        <f>[1]!thsiFinD("THS_GPJC_STOCK",$A199)</f>
        <v/>
      </c>
      <c r="C199" s="9">
        <f>[1]!thsiFinD("ths_int_chg_ratio_index",$A199,C$1,C$2)/100</f>
        <v/>
      </c>
      <c r="D199" s="9">
        <f>[1]!thsiFinD("ths_int_chg_ratio_index",$A199,D$1,D$2)/100</f>
        <v/>
      </c>
      <c r="E199" s="9">
        <f>[1]!thsiFinD("ths_int_chg_ratio_index",$A199,E$1,E$2)/100</f>
        <v/>
      </c>
      <c r="F199" s="10">
        <f>D199-(E199-D199)/3</f>
        <v/>
      </c>
      <c r="G199" s="7" t="inlineStr">
        <is>
          <t>产业链</t>
        </is>
      </c>
      <c r="H199" s="7">
        <f>IFERROR(VLOOKUP($I199,'分类规则'!$A$30:$C$200,2,0),"")</f>
        <v/>
      </c>
      <c r="I199" s="7" t="inlineStr">
        <is>
          <t>AIoT/物联网</t>
        </is>
      </c>
      <c r="J199" s="7">
        <f>IFERROR(VLOOKUP($I199,'分类规则'!$A$30:$C$200,3,0),"")</f>
        <v/>
      </c>
      <c r="K199" s="8" t="inlineStr">
        <is>
          <t>工业富联</t>
        </is>
      </c>
      <c r="L199" s="7" t="inlineStr">
        <is>
          <t>601138.SH</t>
        </is>
      </c>
      <c r="M199" s="20" t="n">
        <v>15494.3</v>
      </c>
      <c r="N199" s="8" t="inlineStr">
        <is>
          <t>美的集团</t>
        </is>
      </c>
      <c r="O199" s="7" t="inlineStr">
        <is>
          <t>000333.SZ</t>
        </is>
      </c>
      <c r="P199" s="20" t="n">
        <v>5352.5</v>
      </c>
      <c r="Q199" s="8" t="inlineStr">
        <is>
          <t>中国电信</t>
        </is>
      </c>
      <c r="R199" s="7" t="inlineStr">
        <is>
          <t>601728.SH</t>
        </is>
      </c>
      <c r="S199" s="20" t="n">
        <v>4409.4</v>
      </c>
      <c r="T199" s="8" t="inlineStr">
        <is>
          <t>兆易创新</t>
        </is>
      </c>
      <c r="U199" s="7" t="inlineStr">
        <is>
          <t>603986.SH</t>
        </is>
      </c>
      <c r="V199" s="20" t="n">
        <v>4204.8</v>
      </c>
      <c r="W199" s="8" t="inlineStr">
        <is>
          <t>胜宏科技</t>
        </is>
      </c>
      <c r="X199" s="7" t="inlineStr">
        <is>
          <t>300476.SZ</t>
        </is>
      </c>
      <c r="Y199" s="20" t="n">
        <v>3192.6</v>
      </c>
    </row>
    <row r="200">
      <c r="A200" s="7" t="inlineStr">
        <is>
          <t>885851.TI</t>
        </is>
      </c>
      <c r="B200" s="8">
        <f>[1]!thsiFinD("THS_GPJC_STOCK",$A200)</f>
        <v/>
      </c>
      <c r="C200" s="9">
        <f>[1]!thsiFinD("ths_int_chg_ratio_index",$A200,C$1,C$2)/100</f>
        <v/>
      </c>
      <c r="D200" s="9">
        <f>[1]!thsiFinD("ths_int_chg_ratio_index",$A200,D$1,D$2)/100</f>
        <v/>
      </c>
      <c r="E200" s="9">
        <f>[1]!thsiFinD("ths_int_chg_ratio_index",$A200,E$1,E$2)/100</f>
        <v/>
      </c>
      <c r="F200" s="10">
        <f>D200-(E200-D200)/3</f>
        <v/>
      </c>
      <c r="G200" s="7" t="inlineStr">
        <is>
          <t>产业链</t>
        </is>
      </c>
      <c r="H200" s="7">
        <f>IFERROR(VLOOKUP($I200,'分类规则'!$A$30:$C$200,2,0),"")</f>
        <v/>
      </c>
      <c r="I200" s="7" t="inlineStr">
        <is>
          <t>烟草</t>
        </is>
      </c>
      <c r="J200" s="7">
        <f>IFERROR(VLOOKUP($I200,'分类规则'!$A$30:$C$200,3,0),"")</f>
        <v/>
      </c>
      <c r="K200" s="8" t="n"/>
      <c r="L200" s="7" t="n"/>
      <c r="M200" s="7" t="n"/>
      <c r="N200" s="8" t="n"/>
      <c r="O200" s="7" t="n"/>
      <c r="P200" s="7" t="n"/>
      <c r="Q200" s="8" t="n"/>
      <c r="R200" s="7" t="n"/>
      <c r="S200" s="7" t="n"/>
      <c r="T200" s="8" t="n"/>
      <c r="U200" s="7" t="n"/>
      <c r="V200" s="7" t="n"/>
      <c r="W200" s="8" t="n"/>
      <c r="X200" s="7" t="n"/>
      <c r="Y200" s="7" t="n"/>
    </row>
    <row r="201">
      <c r="A201" s="7" t="inlineStr">
        <is>
          <t>886086.TI</t>
        </is>
      </c>
      <c r="B201" s="8">
        <f>[1]!thsiFinD("THS_GPJC_STOCK",$A201)</f>
        <v/>
      </c>
      <c r="C201" s="9">
        <f>[1]!thsiFinD("ths_int_chg_ratio_index",$A201,C$1,C$2)/100</f>
        <v/>
      </c>
      <c r="D201" s="9">
        <f>[1]!thsiFinD("ths_int_chg_ratio_index",$A201,D$1,D$2)/100</f>
        <v/>
      </c>
      <c r="E201" s="9">
        <f>[1]!thsiFinD("ths_int_chg_ratio_index",$A201,E$1,E$2)/100</f>
        <v/>
      </c>
      <c r="F201" s="10">
        <f>D201-(E201-D201)/3</f>
        <v/>
      </c>
      <c r="G201" s="7" t="inlineStr">
        <is>
          <t>主题事件</t>
        </is>
      </c>
      <c r="H201" s="7">
        <f>IFERROR(VLOOKUP($I201,'分类规则'!$A$30:$C$200,2,0),"")</f>
        <v/>
      </c>
      <c r="I201" s="7" t="inlineStr">
        <is>
          <t>区域/改革</t>
        </is>
      </c>
      <c r="J201" s="7">
        <f>IFERROR(VLOOKUP($I201,'分类规则'!$A$30:$C$200,3,0),"")</f>
        <v/>
      </c>
      <c r="K201" s="8" t="n"/>
      <c r="L201" s="7" t="n"/>
      <c r="M201" s="7" t="n"/>
      <c r="N201" s="8" t="n"/>
      <c r="O201" s="7" t="n"/>
      <c r="P201" s="7" t="n"/>
      <c r="Q201" s="8" t="n"/>
      <c r="R201" s="7" t="n"/>
      <c r="S201" s="7" t="n"/>
      <c r="T201" s="8" t="n"/>
      <c r="U201" s="7" t="n"/>
      <c r="V201" s="7" t="n"/>
      <c r="W201" s="8" t="n"/>
      <c r="X201" s="7" t="n"/>
      <c r="Y201" s="7" t="n"/>
    </row>
    <row r="202">
      <c r="A202" s="7" t="inlineStr">
        <is>
          <t>885406.TI</t>
        </is>
      </c>
      <c r="B202" s="8">
        <f>[1]!thsiFinD("THS_GPJC_STOCK",$A202)</f>
        <v/>
      </c>
      <c r="C202" s="9">
        <f>[1]!thsiFinD("ths_int_chg_ratio_index",$A202,C$1,C$2)/100</f>
        <v/>
      </c>
      <c r="D202" s="9">
        <f>[1]!thsiFinD("ths_int_chg_ratio_index",$A202,D$1,D$2)/100</f>
        <v/>
      </c>
      <c r="E202" s="9">
        <f>[1]!thsiFinD("ths_int_chg_ratio_index",$A202,E$1,E$2)/100</f>
        <v/>
      </c>
      <c r="F202" s="10">
        <f>D202-(E202-D202)/3</f>
        <v/>
      </c>
      <c r="G202" s="7" t="inlineStr">
        <is>
          <t>产业链</t>
        </is>
      </c>
      <c r="H202" s="7">
        <f>IFERROR(VLOOKUP($I202,'分类规则'!$A$30:$C$200,2,0),"")</f>
        <v/>
      </c>
      <c r="I202" s="7" t="inlineStr">
        <is>
          <t>食品饮料</t>
        </is>
      </c>
      <c r="J202" s="7">
        <f>IFERROR(VLOOKUP($I202,'分类规则'!$A$30:$C$200,3,0),"")</f>
        <v/>
      </c>
      <c r="K202" s="8" t="n"/>
      <c r="L202" s="7" t="n"/>
      <c r="M202" s="7" t="n"/>
      <c r="N202" s="8" t="n"/>
      <c r="O202" s="7" t="n"/>
      <c r="P202" s="7" t="n"/>
      <c r="Q202" s="8" t="n"/>
      <c r="R202" s="7" t="n"/>
      <c r="S202" s="7" t="n"/>
      <c r="T202" s="8" t="n"/>
      <c r="U202" s="7" t="n"/>
      <c r="V202" s="7" t="n"/>
      <c r="W202" s="8" t="n"/>
      <c r="X202" s="7" t="n"/>
      <c r="Y202" s="7" t="n"/>
    </row>
    <row r="203">
      <c r="A203" s="7" t="inlineStr">
        <is>
          <t>886000.TI</t>
        </is>
      </c>
      <c r="B203" s="8">
        <f>[1]!thsiFinD("THS_GPJC_STOCK",$A203)</f>
        <v/>
      </c>
      <c r="C203" s="9">
        <f>[1]!thsiFinD("ths_int_chg_ratio_index",$A203,C$1,C$2)/100</f>
        <v/>
      </c>
      <c r="D203" s="9">
        <f>[1]!thsiFinD("ths_int_chg_ratio_index",$A203,D$1,D$2)/100</f>
        <v/>
      </c>
      <c r="E203" s="9">
        <f>[1]!thsiFinD("ths_int_chg_ratio_index",$A203,E$1,E$2)/100</f>
        <v/>
      </c>
      <c r="F203" s="10">
        <f>D203-(E203-D203)/3</f>
        <v/>
      </c>
      <c r="G203" s="7" t="inlineStr">
        <is>
          <t>产业链</t>
        </is>
      </c>
      <c r="H203" s="7">
        <f>IFERROR(VLOOKUP($I203,'分类规则'!$A$30:$C$200,2,0),"")</f>
        <v/>
      </c>
      <c r="I203" s="7" t="inlineStr">
        <is>
          <t>汽车</t>
        </is>
      </c>
      <c r="J203" s="7">
        <f>IFERROR(VLOOKUP($I203,'分类规则'!$A$30:$C$200,3,0),"")</f>
        <v/>
      </c>
      <c r="K203" s="8" t="inlineStr">
        <is>
          <t>格力电器</t>
        </is>
      </c>
      <c r="L203" s="7" t="inlineStr">
        <is>
          <t>000651.SZ</t>
        </is>
      </c>
      <c r="M203" s="20" t="n">
        <v>2027.7</v>
      </c>
      <c r="N203" s="8" t="inlineStr">
        <is>
          <t>汇川技术</t>
        </is>
      </c>
      <c r="O203" s="7" t="inlineStr">
        <is>
          <t>300124.SZ</t>
        </is>
      </c>
      <c r="P203" s="20" t="n">
        <v>1715.7</v>
      </c>
      <c r="Q203" s="8" t="inlineStr">
        <is>
          <t>拓普集团</t>
        </is>
      </c>
      <c r="R203" s="7" t="inlineStr">
        <is>
          <t>601689.SH</t>
        </is>
      </c>
      <c r="S203" s="20" t="n">
        <v>1082.7</v>
      </c>
      <c r="T203" s="8" t="inlineStr">
        <is>
          <t>三祥新材</t>
        </is>
      </c>
      <c r="U203" s="7" t="inlineStr">
        <is>
          <t>603663.SH</t>
        </is>
      </c>
      <c r="V203" s="20" t="n">
        <v>370</v>
      </c>
      <c r="W203" s="8" t="inlineStr">
        <is>
          <t>北汽蓝谷</t>
        </is>
      </c>
      <c r="X203" s="7" t="inlineStr">
        <is>
          <t>600733.SH</t>
        </is>
      </c>
      <c r="Y203" s="20" t="n">
        <v>316.7</v>
      </c>
    </row>
    <row r="204">
      <c r="A204" s="7" t="inlineStr">
        <is>
          <t>885874.TI</t>
        </is>
      </c>
      <c r="B204" s="8">
        <f>[1]!thsiFinD("THS_GPJC_STOCK",$A204)</f>
        <v/>
      </c>
      <c r="C204" s="9">
        <f>[1]!thsiFinD("ths_int_chg_ratio_index",$A204,C$1,C$2)/100</f>
        <v/>
      </c>
      <c r="D204" s="9">
        <f>[1]!thsiFinD("ths_int_chg_ratio_index",$A204,D$1,D$2)/100</f>
        <v/>
      </c>
      <c r="E204" s="9">
        <f>[1]!thsiFinD("ths_int_chg_ratio_index",$A204,E$1,E$2)/100</f>
        <v/>
      </c>
      <c r="F204" s="10">
        <f>D204-(E204-D204)/3</f>
        <v/>
      </c>
      <c r="G204" s="7" t="inlineStr">
        <is>
          <t>产业链</t>
        </is>
      </c>
      <c r="H204" s="7">
        <f>IFERROR(VLOOKUP($I204,'分类规则'!$A$30:$C$200,2,0),"")</f>
        <v/>
      </c>
      <c r="I204" s="7" t="inlineStr">
        <is>
          <t>传媒/游戏</t>
        </is>
      </c>
      <c r="J204" s="7">
        <f>IFERROR(VLOOKUP($I204,'分类规则'!$A$30:$C$200,3,0),"")</f>
        <v/>
      </c>
      <c r="K204" s="8" t="inlineStr">
        <is>
          <t>协创数据</t>
        </is>
      </c>
      <c r="L204" s="7" t="inlineStr">
        <is>
          <t>300857.SZ</t>
        </is>
      </c>
      <c r="M204" s="20" t="n">
        <v>1352.3</v>
      </c>
      <c r="N204" s="8" t="inlineStr">
        <is>
          <t>世纪华通</t>
        </is>
      </c>
      <c r="O204" s="7" t="inlineStr">
        <is>
          <t>002602.SZ</t>
        </is>
      </c>
      <c r="P204" s="20" t="n">
        <v>879.5</v>
      </c>
      <c r="Q204" s="8" t="inlineStr">
        <is>
          <t>三六零</t>
        </is>
      </c>
      <c r="R204" s="7" t="inlineStr">
        <is>
          <t>601360.SH</t>
        </is>
      </c>
      <c r="S204" s="20" t="n">
        <v>655.9</v>
      </c>
      <c r="T204" s="8" t="inlineStr">
        <is>
          <t>方正科技</t>
        </is>
      </c>
      <c r="U204" s="7" t="inlineStr">
        <is>
          <t>600601.SH</t>
        </is>
      </c>
      <c r="V204" s="20" t="n">
        <v>600.5</v>
      </c>
      <c r="W204" s="8" t="inlineStr">
        <is>
          <t>昆仑万维</t>
        </is>
      </c>
      <c r="X204" s="7" t="inlineStr">
        <is>
          <t>300418.SZ</t>
        </is>
      </c>
      <c r="Y204" s="20" t="n">
        <v>505.4</v>
      </c>
    </row>
    <row r="205">
      <c r="A205" s="7" t="inlineStr">
        <is>
          <t>885999.TI</t>
        </is>
      </c>
      <c r="B205" s="8">
        <f>[1]!thsiFinD("THS_GPJC_STOCK",$A205)</f>
        <v/>
      </c>
      <c r="C205" s="9">
        <f>[1]!thsiFinD("ths_int_chg_ratio_index",$A205,C$1,C$2)/100</f>
        <v/>
      </c>
      <c r="D205" s="9">
        <f>[1]!thsiFinD("ths_int_chg_ratio_index",$A205,D$1,D$2)/100</f>
        <v/>
      </c>
      <c r="E205" s="9">
        <f>[1]!thsiFinD("ths_int_chg_ratio_index",$A205,E$1,E$2)/100</f>
        <v/>
      </c>
      <c r="F205" s="10">
        <f>D205-(E205-D205)/3</f>
        <v/>
      </c>
      <c r="G205" s="7" t="inlineStr">
        <is>
          <t>产业链</t>
        </is>
      </c>
      <c r="H205" s="7">
        <f>IFERROR(VLOOKUP($I205,'分类规则'!$A$30:$C$200,2,0),"")</f>
        <v/>
      </c>
      <c r="I205" s="7" t="inlineStr">
        <is>
          <t>汽车</t>
        </is>
      </c>
      <c r="J205" s="7">
        <f>IFERROR(VLOOKUP($I205,'分类规则'!$A$30:$C$200,3,0),"")</f>
        <v/>
      </c>
      <c r="K205" s="8" t="inlineStr">
        <is>
          <t>美的集团</t>
        </is>
      </c>
      <c r="L205" s="7" t="inlineStr">
        <is>
          <t>000333.SZ</t>
        </is>
      </c>
      <c r="M205" s="20" t="n">
        <v>5352.5</v>
      </c>
      <c r="N205" s="8" t="inlineStr">
        <is>
          <t>华工科技</t>
        </is>
      </c>
      <c r="O205" s="7" t="inlineStr">
        <is>
          <t>000988.SZ</t>
        </is>
      </c>
      <c r="P205" s="20" t="n">
        <v>1784.4</v>
      </c>
      <c r="Q205" s="8" t="inlineStr">
        <is>
          <t>三花智控</t>
        </is>
      </c>
      <c r="R205" s="7" t="inlineStr">
        <is>
          <t>002050.SZ</t>
        </is>
      </c>
      <c r="S205" s="20" t="n">
        <v>1685.2</v>
      </c>
      <c r="T205" s="8" t="inlineStr">
        <is>
          <t>拓普集团</t>
        </is>
      </c>
      <c r="U205" s="7" t="inlineStr">
        <is>
          <t>601689.SH</t>
        </is>
      </c>
      <c r="V205" s="20" t="n">
        <v>1082.7</v>
      </c>
      <c r="W205" s="8" t="inlineStr">
        <is>
          <t>宇通客车</t>
        </is>
      </c>
      <c r="X205" s="7" t="inlineStr">
        <is>
          <t>600066.SH</t>
        </is>
      </c>
      <c r="Y205" s="20" t="n">
        <v>576.5</v>
      </c>
    </row>
    <row r="206">
      <c r="A206" s="7" t="inlineStr">
        <is>
          <t>885779.TI</t>
        </is>
      </c>
      <c r="B206" s="8">
        <f>[1]!thsiFinD("THS_GPJC_STOCK",$A206)</f>
        <v/>
      </c>
      <c r="C206" s="9">
        <f>[1]!thsiFinD("ths_int_chg_ratio_index",$A206,C$1,C$2)/100</f>
        <v/>
      </c>
      <c r="D206" s="9">
        <f>[1]!thsiFinD("ths_int_chg_ratio_index",$A206,D$1,D$2)/100</f>
        <v/>
      </c>
      <c r="E206" s="9">
        <f>[1]!thsiFinD("ths_int_chg_ratio_index",$A206,E$1,E$2)/100</f>
        <v/>
      </c>
      <c r="F206" s="10">
        <f>D206-(E206-D206)/3</f>
        <v/>
      </c>
      <c r="G206" s="7" t="inlineStr">
        <is>
          <t>产业链</t>
        </is>
      </c>
      <c r="H206" s="7">
        <f>IFERROR(VLOOKUP($I206,'分类规则'!$A$30:$C$200,2,0),"")</f>
        <v/>
      </c>
      <c r="I206" s="7" t="inlineStr">
        <is>
          <t>AI应用</t>
        </is>
      </c>
      <c r="J206" s="7">
        <f>IFERROR(VLOOKUP($I206,'分类规则'!$A$30:$C$200,3,0),"")</f>
        <v/>
      </c>
      <c r="K206" s="8" t="n"/>
      <c r="L206" s="7" t="n"/>
      <c r="M206" s="7" t="n"/>
      <c r="N206" s="8" t="n"/>
      <c r="O206" s="7" t="n"/>
      <c r="P206" s="7" t="n"/>
      <c r="Q206" s="8" t="n"/>
      <c r="R206" s="7" t="n"/>
      <c r="S206" s="7" t="n"/>
      <c r="T206" s="8" t="n"/>
      <c r="U206" s="7" t="n"/>
      <c r="V206" s="7" t="n"/>
      <c r="W206" s="8" t="n"/>
      <c r="X206" s="7" t="n"/>
      <c r="Y206" s="7" t="n"/>
    </row>
    <row r="207">
      <c r="A207" s="7" t="inlineStr">
        <is>
          <t>885413.TI</t>
        </is>
      </c>
      <c r="B207" s="8">
        <f>[1]!thsiFinD("THS_GPJC_STOCK",$A207)</f>
        <v/>
      </c>
      <c r="C207" s="9">
        <f>[1]!thsiFinD("ths_int_chg_ratio_index",$A207,C$1,C$2)/100</f>
        <v/>
      </c>
      <c r="D207" s="9">
        <f>[1]!thsiFinD("ths_int_chg_ratio_index",$A207,D$1,D$2)/100</f>
        <v/>
      </c>
      <c r="E207" s="9">
        <f>[1]!thsiFinD("ths_int_chg_ratio_index",$A207,E$1,E$2)/100</f>
        <v/>
      </c>
      <c r="F207" s="10">
        <f>D207-(E207-D207)/3</f>
        <v/>
      </c>
      <c r="G207" s="7" t="inlineStr">
        <is>
          <t>宽基风格</t>
        </is>
      </c>
      <c r="H207" s="7">
        <f>IFERROR(VLOOKUP($I207,'分类规则'!$A$30:$C$200,2,0),"")</f>
        <v/>
      </c>
      <c r="I207" s="7" t="inlineStr">
        <is>
          <t>金融工具</t>
        </is>
      </c>
      <c r="J207" s="7">
        <f>IFERROR(VLOOKUP($I207,'分类规则'!$A$30:$C$200,3,0),"")</f>
        <v/>
      </c>
      <c r="K207" s="8" t="n"/>
      <c r="L207" s="7" t="n"/>
      <c r="M207" s="7" t="n"/>
      <c r="N207" s="8" t="n"/>
      <c r="O207" s="7" t="n"/>
      <c r="P207" s="7" t="n"/>
      <c r="Q207" s="8" t="n"/>
      <c r="R207" s="7" t="n"/>
      <c r="S207" s="7" t="n"/>
      <c r="T207" s="8" t="n"/>
      <c r="U207" s="7" t="n"/>
      <c r="V207" s="7" t="n"/>
      <c r="W207" s="8" t="n"/>
      <c r="X207" s="7" t="n"/>
      <c r="Y207" s="7" t="n"/>
    </row>
    <row r="208">
      <c r="A208" s="7" t="inlineStr">
        <is>
          <t>885539.TI</t>
        </is>
      </c>
      <c r="B208" s="8">
        <f>[1]!thsiFinD("THS_GPJC_STOCK",$A208)</f>
        <v/>
      </c>
      <c r="C208" s="9">
        <f>[1]!thsiFinD("ths_int_chg_ratio_index",$A208,C$1,C$2)/100</f>
        <v/>
      </c>
      <c r="D208" s="9">
        <f>[1]!thsiFinD("ths_int_chg_ratio_index",$A208,D$1,D$2)/100</f>
        <v/>
      </c>
      <c r="E208" s="9">
        <f>[1]!thsiFinD("ths_int_chg_ratio_index",$A208,E$1,E$2)/100</f>
        <v/>
      </c>
      <c r="F208" s="10">
        <f>D208-(E208-D208)/3</f>
        <v/>
      </c>
      <c r="G208" s="7" t="inlineStr">
        <is>
          <t>产业链</t>
        </is>
      </c>
      <c r="H208" s="7">
        <f>IFERROR(VLOOKUP($I208,'分类规则'!$A$30:$C$200,2,0),"")</f>
        <v/>
      </c>
      <c r="I208" s="7" t="inlineStr">
        <is>
          <t>医疗器械</t>
        </is>
      </c>
      <c r="J208" s="7">
        <f>IFERROR(VLOOKUP($I208,'分类规则'!$A$30:$C$200,3,0),"")</f>
        <v/>
      </c>
      <c r="K208" s="8" t="inlineStr">
        <is>
          <t>工业富联</t>
        </is>
      </c>
      <c r="L208" s="7" t="inlineStr">
        <is>
          <t>601138.SH</t>
        </is>
      </c>
      <c r="M208" s="20" t="n">
        <v>15494.3</v>
      </c>
      <c r="N208" s="8" t="inlineStr">
        <is>
          <t>京东方A</t>
        </is>
      </c>
      <c r="O208" s="7" t="inlineStr">
        <is>
          <t>000725.SZ</t>
        </is>
      </c>
      <c r="P208" s="20" t="n">
        <v>2316.5</v>
      </c>
      <c r="Q208" s="8" t="inlineStr">
        <is>
          <t>迈瑞医疗</t>
        </is>
      </c>
      <c r="R208" s="7" t="inlineStr">
        <is>
          <t>300760.SZ</t>
        </is>
      </c>
      <c r="S208" s="20" t="n">
        <v>1696.1</v>
      </c>
      <c r="T208" s="8" t="inlineStr">
        <is>
          <t>中钨高新</t>
        </is>
      </c>
      <c r="U208" s="7" t="inlineStr">
        <is>
          <t>000657.SZ</t>
        </is>
      </c>
      <c r="V208" s="20" t="n">
        <v>1430.8</v>
      </c>
      <c r="W208" s="8" t="inlineStr">
        <is>
          <t>豪威集团</t>
        </is>
      </c>
      <c r="X208" s="7" t="inlineStr">
        <is>
          <t>603501.SH</t>
        </is>
      </c>
      <c r="Y208" s="20" t="n">
        <v>1089.2</v>
      </c>
    </row>
    <row r="209">
      <c r="A209" s="7" t="inlineStr">
        <is>
          <t>886105.TI</t>
        </is>
      </c>
      <c r="B209" s="8">
        <f>[1]!thsiFinD("THS_GPJC_STOCK",$A209)</f>
        <v/>
      </c>
      <c r="C209" s="9">
        <f>[1]!thsiFinD("ths_int_chg_ratio_index",$A209,C$1,C$2)/100</f>
        <v/>
      </c>
      <c r="D209" s="9">
        <f>[1]!thsiFinD("ths_int_chg_ratio_index",$A209,D$1,D$2)/100</f>
        <v/>
      </c>
      <c r="E209" s="9">
        <f>[1]!thsiFinD("ths_int_chg_ratio_index",$A209,E$1,E$2)/100</f>
        <v/>
      </c>
      <c r="F209" s="10">
        <f>D209-(E209-D209)/3</f>
        <v/>
      </c>
      <c r="G209" s="7" t="inlineStr">
        <is>
          <t>主题事件</t>
        </is>
      </c>
      <c r="H209" s="7">
        <f>IFERROR(VLOOKUP($I209,'分类规则'!$A$30:$C$200,2,0),"")</f>
        <v/>
      </c>
      <c r="I209" s="7" t="inlineStr">
        <is>
          <t>区域/改革</t>
        </is>
      </c>
      <c r="J209" s="7">
        <f>IFERROR(VLOOKUP($I209,'分类规则'!$A$30:$C$200,3,0),"")</f>
        <v/>
      </c>
      <c r="K209" s="8" t="inlineStr">
        <is>
          <t>国电南瑞</t>
        </is>
      </c>
      <c r="L209" s="7" t="inlineStr">
        <is>
          <t>600406.SH</t>
        </is>
      </c>
      <c r="M209" s="20" t="n">
        <v>1846.7</v>
      </c>
      <c r="N209" s="8" t="inlineStr">
        <is>
          <t>三一重工</t>
        </is>
      </c>
      <c r="O209" s="7" t="inlineStr">
        <is>
          <t>600031.SH</t>
        </is>
      </c>
      <c r="P209" s="20" t="n">
        <v>1556.7</v>
      </c>
      <c r="Q209" s="8" t="inlineStr">
        <is>
          <t>中钨高新</t>
        </is>
      </c>
      <c r="R209" s="7" t="inlineStr">
        <is>
          <t>000657.SZ</t>
        </is>
      </c>
      <c r="S209" s="20" t="n">
        <v>1430.8</v>
      </c>
      <c r="T209" s="8" t="inlineStr">
        <is>
          <t>特变电工</t>
        </is>
      </c>
      <c r="U209" s="7" t="inlineStr">
        <is>
          <t>600089.SH</t>
        </is>
      </c>
      <c r="V209" s="20" t="n">
        <v>1178.3</v>
      </c>
      <c r="W209" s="8" t="inlineStr">
        <is>
          <t>大唐发电</t>
        </is>
      </c>
      <c r="X209" s="7" t="inlineStr">
        <is>
          <t>601991.SH</t>
        </is>
      </c>
      <c r="Y209" s="20" t="n">
        <v>1019</v>
      </c>
    </row>
    <row r="210">
      <c r="A210" s="7" t="inlineStr">
        <is>
          <t>885854.TI</t>
        </is>
      </c>
      <c r="B210" s="8">
        <f>[1]!thsiFinD("THS_GPJC_STOCK",$A210)</f>
        <v/>
      </c>
      <c r="C210" s="9">
        <f>[1]!thsiFinD("ths_int_chg_ratio_index",$A210,C$1,C$2)/100</f>
        <v/>
      </c>
      <c r="D210" s="9">
        <f>[1]!thsiFinD("ths_int_chg_ratio_index",$A210,D$1,D$2)/100</f>
        <v/>
      </c>
      <c r="E210" s="9">
        <f>[1]!thsiFinD("ths_int_chg_ratio_index",$A210,E$1,E$2)/100</f>
        <v/>
      </c>
      <c r="F210" s="10">
        <f>D210-(E210-D210)/3</f>
        <v/>
      </c>
      <c r="G210" s="7" t="inlineStr">
        <is>
          <t>产业链</t>
        </is>
      </c>
      <c r="H210" s="7">
        <f>IFERROR(VLOOKUP($I210,'分类规则'!$A$30:$C$200,2,0),"")</f>
        <v/>
      </c>
      <c r="I210" s="7" t="inlineStr">
        <is>
          <t>环保</t>
        </is>
      </c>
      <c r="J210" s="7">
        <f>IFERROR(VLOOKUP($I210,'分类规则'!$A$30:$C$200,3,0),"")</f>
        <v/>
      </c>
      <c r="K210" s="8" t="inlineStr">
        <is>
          <t>格林美</t>
        </is>
      </c>
      <c r="L210" s="7" t="inlineStr">
        <is>
          <t>002340.SZ</t>
        </is>
      </c>
      <c r="M210" s="20" t="n">
        <v>376.6</v>
      </c>
      <c r="N210" s="8" t="inlineStr">
        <is>
          <t>盈峰环境</t>
        </is>
      </c>
      <c r="O210" s="7" t="inlineStr">
        <is>
          <t>000967.SZ</t>
        </is>
      </c>
      <c r="P210" s="20" t="n">
        <v>342.5</v>
      </c>
      <c r="Q210" s="8" t="inlineStr">
        <is>
          <t>伟明环保</t>
        </is>
      </c>
      <c r="R210" s="7" t="inlineStr">
        <is>
          <t>603568.SH</t>
        </is>
      </c>
      <c r="S210" s="20" t="n">
        <v>335.7</v>
      </c>
      <c r="T210" s="8" t="inlineStr">
        <is>
          <t>深圳能源</t>
        </is>
      </c>
      <c r="U210" s="7" t="inlineStr">
        <is>
          <t>000027.SZ</t>
        </is>
      </c>
      <c r="V210" s="20" t="n">
        <v>327.3</v>
      </c>
      <c r="W210" s="8" t="inlineStr">
        <is>
          <t>华宏科技</t>
        </is>
      </c>
      <c r="X210" s="7" t="inlineStr">
        <is>
          <t>002645.SZ</t>
        </is>
      </c>
      <c r="Y210" s="20" t="n">
        <v>245.6</v>
      </c>
    </row>
    <row r="211">
      <c r="A211" s="7" t="inlineStr">
        <is>
          <t>886062.TI</t>
        </is>
      </c>
      <c r="B211" s="8">
        <f>[1]!thsiFinD("THS_GPJC_STOCK",$A211)</f>
        <v/>
      </c>
      <c r="C211" s="9">
        <f>[1]!thsiFinD("ths_int_chg_ratio_index",$A211,C$1,C$2)/100</f>
        <v/>
      </c>
      <c r="D211" s="9">
        <f>[1]!thsiFinD("ths_int_chg_ratio_index",$A211,D$1,D$2)/100</f>
        <v/>
      </c>
      <c r="E211" s="9">
        <f>[1]!thsiFinD("ths_int_chg_ratio_index",$A211,E$1,E$2)/100</f>
        <v/>
      </c>
      <c r="F211" s="10">
        <f>D211-(E211-D211)/3</f>
        <v/>
      </c>
      <c r="G211" s="7" t="inlineStr">
        <is>
          <t>产业链</t>
        </is>
      </c>
      <c r="H211" s="7">
        <f>IFERROR(VLOOKUP($I211,'分类规则'!$A$30:$C$200,2,0),"")</f>
        <v/>
      </c>
      <c r="I211" s="7" t="inlineStr">
        <is>
          <t>AI应用</t>
        </is>
      </c>
      <c r="J211" s="7">
        <f>IFERROR(VLOOKUP($I211,'分类规则'!$A$30:$C$200,3,0),"")</f>
        <v/>
      </c>
      <c r="K211" s="8" t="n"/>
      <c r="L211" s="7" t="n"/>
      <c r="M211" s="7" t="n"/>
      <c r="N211" s="8" t="n"/>
      <c r="O211" s="7" t="n"/>
      <c r="P211" s="7" t="n"/>
      <c r="Q211" s="8" t="n"/>
      <c r="R211" s="7" t="n"/>
      <c r="S211" s="7" t="n"/>
      <c r="T211" s="8" t="n"/>
      <c r="U211" s="7" t="n"/>
      <c r="V211" s="7" t="n"/>
      <c r="W211" s="8" t="n"/>
      <c r="X211" s="7" t="n"/>
      <c r="Y211" s="7" t="n"/>
    </row>
    <row r="212">
      <c r="A212" s="7" t="inlineStr">
        <is>
          <t>885834.TI</t>
        </is>
      </c>
      <c r="B212" s="8">
        <f>[1]!thsiFinD("THS_GPJC_STOCK",$A212)</f>
        <v/>
      </c>
      <c r="C212" s="9">
        <f>[1]!thsiFinD("ths_int_chg_ratio_index",$A212,C$1,C$2)/100</f>
        <v/>
      </c>
      <c r="D212" s="9">
        <f>[1]!thsiFinD("ths_int_chg_ratio_index",$A212,D$1,D$2)/100</f>
        <v/>
      </c>
      <c r="E212" s="9">
        <f>[1]!thsiFinD("ths_int_chg_ratio_index",$A212,E$1,E$2)/100</f>
        <v/>
      </c>
      <c r="F212" s="10">
        <f>D212-(E212-D212)/3</f>
        <v/>
      </c>
      <c r="G212" s="7" t="inlineStr">
        <is>
          <t>公司链</t>
        </is>
      </c>
      <c r="H212" s="7">
        <f>IFERROR(VLOOKUP($I212,'分类规则'!$A$30:$C$200,2,0),"")</f>
        <v/>
      </c>
      <c r="I212" s="7" t="inlineStr">
        <is>
          <t>汽车</t>
        </is>
      </c>
      <c r="J212" s="7">
        <f>IFERROR(VLOOKUP($I212,'分类规则'!$A$30:$C$200,3,0),"")</f>
        <v/>
      </c>
      <c r="K212" s="8" t="inlineStr">
        <is>
          <t>宁德时代</t>
        </is>
      </c>
      <c r="L212" s="7" t="inlineStr">
        <is>
          <t>300750.SZ</t>
        </is>
      </c>
      <c r="M212" s="20" t="n">
        <v>16668.3</v>
      </c>
      <c r="N212" s="8" t="inlineStr">
        <is>
          <t>华工科技</t>
        </is>
      </c>
      <c r="O212" s="7" t="inlineStr">
        <is>
          <t>000988.SZ</t>
        </is>
      </c>
      <c r="P212" s="20" t="n">
        <v>1784.4</v>
      </c>
      <c r="Q212" s="8" t="inlineStr">
        <is>
          <t>三花智控</t>
        </is>
      </c>
      <c r="R212" s="7" t="inlineStr">
        <is>
          <t>002050.SZ</t>
        </is>
      </c>
      <c r="S212" s="20" t="n">
        <v>1685.2</v>
      </c>
      <c r="T212" s="8" t="inlineStr">
        <is>
          <t>上汽集团</t>
        </is>
      </c>
      <c r="U212" s="7" t="inlineStr">
        <is>
          <t>600104.SH</t>
        </is>
      </c>
      <c r="V212" s="20" t="n">
        <v>1202.4</v>
      </c>
      <c r="W212" s="8" t="inlineStr">
        <is>
          <t>拓普集团</t>
        </is>
      </c>
      <c r="X212" s="7" t="inlineStr">
        <is>
          <t>601689.SH</t>
        </is>
      </c>
      <c r="Y212" s="20" t="n">
        <v>1082.7</v>
      </c>
    </row>
    <row r="213">
      <c r="A213" s="7" t="inlineStr">
        <is>
          <t>883301.TI</t>
        </is>
      </c>
      <c r="B213" s="8">
        <f>[1]!thsiFinD("THS_GPJC_STOCK",$A213)</f>
        <v/>
      </c>
      <c r="C213" s="9">
        <f>[1]!thsiFinD("ths_int_chg_ratio_index",$A213,C$1,C$2)/100</f>
        <v/>
      </c>
      <c r="D213" s="9">
        <f>[1]!thsiFinD("ths_int_chg_ratio_index",$A213,D$1,D$2)/100</f>
        <v/>
      </c>
      <c r="E213" s="9">
        <f>[1]!thsiFinD("ths_int_chg_ratio_index",$A213,E$1,E$2)/100</f>
        <v/>
      </c>
      <c r="F213" s="10">
        <f>D213-(E213-D213)/3</f>
        <v/>
      </c>
      <c r="G213" s="7" t="inlineStr">
        <is>
          <t>宽基风格</t>
        </is>
      </c>
      <c r="H213" s="7">
        <f>IFERROR(VLOOKUP($I213,'分类规则'!$A$30:$C$200,2,0),"")</f>
        <v/>
      </c>
      <c r="I213" s="7" t="inlineStr">
        <is>
          <t>宽基/成分股</t>
        </is>
      </c>
      <c r="J213" s="7">
        <f>IFERROR(VLOOKUP($I213,'分类规则'!$A$30:$C$200,3,0),"")</f>
        <v/>
      </c>
      <c r="K213" s="8" t="inlineStr">
        <is>
          <t>农业银行</t>
        </is>
      </c>
      <c r="L213" s="7" t="inlineStr">
        <is>
          <t>601288.SH</t>
        </is>
      </c>
      <c r="M213" s="20" t="n">
        <v>20335.9</v>
      </c>
      <c r="N213" s="8" t="inlineStr">
        <is>
          <t>工商银行</t>
        </is>
      </c>
      <c r="O213" s="7" t="inlineStr">
        <is>
          <t>601398.SH</t>
        </is>
      </c>
      <c r="P213" s="20" t="n">
        <v>19304.2</v>
      </c>
      <c r="Q213" s="8" t="inlineStr">
        <is>
          <t>中国石油</t>
        </is>
      </c>
      <c r="R213" s="7" t="inlineStr">
        <is>
          <t>601857.SH</t>
        </is>
      </c>
      <c r="S213" s="20" t="n">
        <v>15512.1</v>
      </c>
      <c r="T213" s="8" t="inlineStr">
        <is>
          <t>贵州茅台</t>
        </is>
      </c>
      <c r="U213" s="7" t="inlineStr">
        <is>
          <t>600519.SH</t>
        </is>
      </c>
      <c r="V213" s="20" t="n">
        <v>15188.5</v>
      </c>
      <c r="W213" s="8" t="inlineStr">
        <is>
          <t>中国银行</t>
        </is>
      </c>
      <c r="X213" s="7" t="inlineStr">
        <is>
          <t>601988.SH</t>
        </is>
      </c>
      <c r="Y213" s="20" t="n">
        <v>12182.2</v>
      </c>
    </row>
    <row r="214">
      <c r="A214" s="7" t="inlineStr">
        <is>
          <t>886055.TI</t>
        </is>
      </c>
      <c r="B214" s="8">
        <f>[1]!thsiFinD("THS_GPJC_STOCK",$A214)</f>
        <v/>
      </c>
      <c r="C214" s="9">
        <f>[1]!thsiFinD("ths_int_chg_ratio_index",$A214,C$1,C$2)/100</f>
        <v/>
      </c>
      <c r="D214" s="9">
        <f>[1]!thsiFinD("ths_int_chg_ratio_index",$A214,D$1,D$2)/100</f>
        <v/>
      </c>
      <c r="E214" s="9">
        <f>[1]!thsiFinD("ths_int_chg_ratio_index",$A214,E$1,E$2)/100</f>
        <v/>
      </c>
      <c r="F214" s="10">
        <f>D214-(E214-D214)/3</f>
        <v/>
      </c>
      <c r="G214" s="7" t="inlineStr">
        <is>
          <t>产业链</t>
        </is>
      </c>
      <c r="H214" s="7">
        <f>IFERROR(VLOOKUP($I214,'分类规则'!$A$30:$C$200,2,0),"")</f>
        <v/>
      </c>
      <c r="I214" s="7" t="inlineStr">
        <is>
          <t>AIoT/物联网</t>
        </is>
      </c>
      <c r="J214" s="7">
        <f>IFERROR(VLOOKUP($I214,'分类规则'!$A$30:$C$200,3,0),"")</f>
        <v/>
      </c>
      <c r="K214" s="8" t="inlineStr">
        <is>
          <t>中兴通讯</t>
        </is>
      </c>
      <c r="L214" s="7" t="inlineStr">
        <is>
          <t>000063.SZ</t>
        </is>
      </c>
      <c r="M214" s="20" t="n">
        <v>1526.1</v>
      </c>
      <c r="N214" s="8" t="inlineStr">
        <is>
          <t>歌尔股份</t>
        </is>
      </c>
      <c r="O214" s="7" t="inlineStr">
        <is>
          <t>002241.SZ</t>
        </is>
      </c>
      <c r="P214" s="20" t="n">
        <v>751.9</v>
      </c>
      <c r="Q214" s="8" t="inlineStr">
        <is>
          <t>国科微</t>
        </is>
      </c>
      <c r="R214" s="7" t="inlineStr">
        <is>
          <t>300672.SZ</t>
        </is>
      </c>
      <c r="S214" s="20" t="n">
        <v>695.3</v>
      </c>
      <c r="T214" s="8" t="inlineStr">
        <is>
          <t>华勤技术</t>
        </is>
      </c>
      <c r="U214" s="7" t="inlineStr">
        <is>
          <t>603296.SH</t>
        </is>
      </c>
      <c r="V214" s="20" t="n">
        <v>642.1</v>
      </c>
      <c r="W214" s="8" t="inlineStr">
        <is>
          <t>大华股份</t>
        </is>
      </c>
      <c r="X214" s="7" t="inlineStr">
        <is>
          <t>002236.SZ</t>
        </is>
      </c>
      <c r="Y214" s="20" t="n">
        <v>389</v>
      </c>
    </row>
    <row r="215">
      <c r="A215" s="7" t="inlineStr">
        <is>
          <t>885372.TI</t>
        </is>
      </c>
      <c r="B215" s="8">
        <f>[1]!thsiFinD("THS_GPJC_STOCK",$A215)</f>
        <v/>
      </c>
      <c r="C215" s="9">
        <f>[1]!thsiFinD("ths_int_chg_ratio_index",$A215,C$1,C$2)/100</f>
        <v/>
      </c>
      <c r="D215" s="9">
        <f>[1]!thsiFinD("ths_int_chg_ratio_index",$A215,D$1,D$2)/100</f>
        <v/>
      </c>
      <c r="E215" s="9">
        <f>[1]!thsiFinD("ths_int_chg_ratio_index",$A215,E$1,E$2)/100</f>
        <v/>
      </c>
      <c r="F215" s="10">
        <f>D215-(E215-D215)/3</f>
        <v/>
      </c>
      <c r="G215" s="7" t="inlineStr">
        <is>
          <t>产业链</t>
        </is>
      </c>
      <c r="H215" s="7">
        <f>IFERROR(VLOOKUP($I215,'分类规则'!$A$30:$C$200,2,0),"")</f>
        <v/>
      </c>
      <c r="I215" s="7" t="inlineStr">
        <is>
          <t>油气</t>
        </is>
      </c>
      <c r="J215" s="7">
        <f>IFERROR(VLOOKUP($I215,'分类规则'!$A$30:$C$200,3,0),"")</f>
        <v/>
      </c>
      <c r="K215" s="8" t="inlineStr">
        <is>
          <t>中国石油</t>
        </is>
      </c>
      <c r="L215" s="7" t="inlineStr">
        <is>
          <t>601857.SH</t>
        </is>
      </c>
      <c r="M215" s="20" t="n">
        <v>15512.1</v>
      </c>
      <c r="N215" s="8" t="inlineStr">
        <is>
          <t>中国石化</t>
        </is>
      </c>
      <c r="O215" s="7" t="inlineStr">
        <is>
          <t>600028.SH</t>
        </is>
      </c>
      <c r="P215" s="20" t="n">
        <v>4462.8</v>
      </c>
      <c r="Q215" s="8" t="inlineStr">
        <is>
          <t>杰瑞股份</t>
        </is>
      </c>
      <c r="R215" s="7" t="inlineStr">
        <is>
          <t>002353.SZ</t>
        </is>
      </c>
      <c r="S215" s="20" t="n">
        <v>1134.8</v>
      </c>
      <c r="T215" s="8" t="inlineStr">
        <is>
          <t>中国海油</t>
        </is>
      </c>
      <c r="U215" s="7" t="inlineStr">
        <is>
          <t>600938.SH</t>
        </is>
      </c>
      <c r="V215" s="20" t="n">
        <v>917.9</v>
      </c>
      <c r="W215" s="8" t="inlineStr">
        <is>
          <t>昊华科技</t>
        </is>
      </c>
      <c r="X215" s="7" t="inlineStr">
        <is>
          <t>600378.SH</t>
        </is>
      </c>
      <c r="Y215" s="20" t="n">
        <v>698.9</v>
      </c>
    </row>
    <row r="216">
      <c r="A216" s="7" t="inlineStr">
        <is>
          <t>885598.TI</t>
        </is>
      </c>
      <c r="B216" s="8">
        <f>[1]!thsiFinD("THS_GPJC_STOCK",$A216)</f>
        <v/>
      </c>
      <c r="C216" s="9">
        <f>[1]!thsiFinD("ths_int_chg_ratio_index",$A216,C$1,C$2)/100</f>
        <v/>
      </c>
      <c r="D216" s="9">
        <f>[1]!thsiFinD("ths_int_chg_ratio_index",$A216,D$1,D$2)/100</f>
        <v/>
      </c>
      <c r="E216" s="9">
        <f>[1]!thsiFinD("ths_int_chg_ratio_index",$A216,E$1,E$2)/100</f>
        <v/>
      </c>
      <c r="F216" s="10">
        <f>D216-(E216-D216)/3</f>
        <v/>
      </c>
      <c r="G216" s="7" t="inlineStr">
        <is>
          <t>宽基风格</t>
        </is>
      </c>
      <c r="H216" s="7">
        <f>IFERROR(VLOOKUP($I216,'分类规则'!$A$30:$C$200,2,0),"")</f>
        <v/>
      </c>
      <c r="I216" s="7" t="inlineStr">
        <is>
          <t>宽基/成分股</t>
        </is>
      </c>
      <c r="J216" s="7">
        <f>IFERROR(VLOOKUP($I216,'分类规则'!$A$30:$C$200,3,0),"")</f>
        <v/>
      </c>
      <c r="K216" s="8" t="n"/>
      <c r="L216" s="7" t="n"/>
      <c r="M216" s="7" t="n"/>
      <c r="N216" s="8" t="n"/>
      <c r="O216" s="7" t="n"/>
      <c r="P216" s="7" t="n"/>
      <c r="Q216" s="8" t="n"/>
      <c r="R216" s="7" t="n"/>
      <c r="S216" s="7" t="n"/>
      <c r="T216" s="8" t="n"/>
      <c r="U216" s="7" t="n"/>
      <c r="V216" s="7" t="n"/>
      <c r="W216" s="8" t="n"/>
      <c r="X216" s="7" t="n"/>
      <c r="Y216" s="7" t="n"/>
    </row>
    <row r="217">
      <c r="A217" s="7" t="inlineStr">
        <is>
          <t>886021.TI</t>
        </is>
      </c>
      <c r="B217" s="8">
        <f>[1]!thsiFinD("THS_GPJC_STOCK",$A217)</f>
        <v/>
      </c>
      <c r="C217" s="9">
        <f>[1]!thsiFinD("ths_int_chg_ratio_index",$A217,C$1,C$2)/100</f>
        <v/>
      </c>
      <c r="D217" s="9">
        <f>[1]!thsiFinD("ths_int_chg_ratio_index",$A217,D$1,D$2)/100</f>
        <v/>
      </c>
      <c r="E217" s="9">
        <f>[1]!thsiFinD("ths_int_chg_ratio_index",$A217,E$1,E$2)/100</f>
        <v/>
      </c>
      <c r="F217" s="10">
        <f>D217-(E217-D217)/3</f>
        <v/>
      </c>
      <c r="G217" s="7" t="inlineStr">
        <is>
          <t>主题事件</t>
        </is>
      </c>
      <c r="H217" s="7">
        <f>IFERROR(VLOOKUP($I217,'分类规则'!$A$30:$C$200,2,0),"")</f>
        <v/>
      </c>
      <c r="I217" s="7" t="inlineStr">
        <is>
          <t>区域/改革</t>
        </is>
      </c>
      <c r="J217" s="7">
        <f>IFERROR(VLOOKUP($I217,'分类规则'!$A$30:$C$200,3,0),"")</f>
        <v/>
      </c>
      <c r="K217" s="8" t="n"/>
      <c r="L217" s="7" t="n"/>
      <c r="M217" s="7" t="n"/>
      <c r="N217" s="8" t="n"/>
      <c r="O217" s="7" t="n"/>
      <c r="P217" s="7" t="n"/>
      <c r="Q217" s="8" t="n"/>
      <c r="R217" s="7" t="n"/>
      <c r="S217" s="7" t="n"/>
      <c r="T217" s="8" t="n"/>
      <c r="U217" s="7" t="n"/>
      <c r="V217" s="7" t="n"/>
      <c r="W217" s="8" t="n"/>
      <c r="X217" s="7" t="n"/>
      <c r="Y217" s="7" t="n"/>
    </row>
    <row r="218">
      <c r="A218" s="7" t="inlineStr">
        <is>
          <t>885398.TI</t>
        </is>
      </c>
      <c r="B218" s="8">
        <f>[1]!thsiFinD("THS_GPJC_STOCK",$A218)</f>
        <v/>
      </c>
      <c r="C218" s="9">
        <f>[1]!thsiFinD("ths_int_chg_ratio_index",$A218,C$1,C$2)/100</f>
        <v/>
      </c>
      <c r="D218" s="9">
        <f>[1]!thsiFinD("ths_int_chg_ratio_index",$A218,D$1,D$2)/100</f>
        <v/>
      </c>
      <c r="E218" s="9">
        <f>[1]!thsiFinD("ths_int_chg_ratio_index",$A218,E$1,E$2)/100</f>
        <v/>
      </c>
      <c r="F218" s="10">
        <f>D218-(E218-D218)/3</f>
        <v/>
      </c>
      <c r="G218" s="7" t="inlineStr">
        <is>
          <t>产业链</t>
        </is>
      </c>
      <c r="H218" s="7">
        <f>IFERROR(VLOOKUP($I218,'分类规则'!$A$30:$C$200,2,0),"")</f>
        <v/>
      </c>
      <c r="I218" s="7" t="inlineStr">
        <is>
          <t>化工</t>
        </is>
      </c>
      <c r="J218" s="7">
        <f>IFERROR(VLOOKUP($I218,'分类规则'!$A$30:$C$200,3,0),"")</f>
        <v/>
      </c>
      <c r="K218" s="8" t="inlineStr">
        <is>
          <t>中国神华</t>
        </is>
      </c>
      <c r="L218" s="7" t="inlineStr">
        <is>
          <t>601088.SH</t>
        </is>
      </c>
      <c r="M218" s="20" t="n">
        <v>6804.2</v>
      </c>
      <c r="N218" s="8" t="inlineStr">
        <is>
          <t>中国石化</t>
        </is>
      </c>
      <c r="O218" s="7" t="inlineStr">
        <is>
          <t>600028.SH</t>
        </is>
      </c>
      <c r="P218" s="20" t="n">
        <v>4462.8</v>
      </c>
      <c r="Q218" s="8" t="inlineStr">
        <is>
          <t>万华化学</t>
        </is>
      </c>
      <c r="R218" s="7" t="inlineStr">
        <is>
          <t>600309.SH</t>
        </is>
      </c>
      <c r="S218" s="20" t="n">
        <v>2161.6</v>
      </c>
      <c r="T218" s="8" t="inlineStr">
        <is>
          <t>宝丰能源</t>
        </is>
      </c>
      <c r="U218" s="7" t="inlineStr">
        <is>
          <t>600989.SH</t>
        </is>
      </c>
      <c r="V218" s="20" t="n">
        <v>1577.4</v>
      </c>
      <c r="W218" s="8" t="inlineStr">
        <is>
          <t>中煤能源</t>
        </is>
      </c>
      <c r="X218" s="7" t="inlineStr">
        <is>
          <t>601898.SH</t>
        </is>
      </c>
      <c r="Y218" s="20" t="n">
        <v>1235.5</v>
      </c>
    </row>
    <row r="219">
      <c r="A219" s="7" t="inlineStr">
        <is>
          <t>886066.TI</t>
        </is>
      </c>
      <c r="B219" s="8">
        <f>[1]!thsiFinD("THS_GPJC_STOCK",$A219)</f>
        <v/>
      </c>
      <c r="C219" s="9">
        <f>[1]!thsiFinD("ths_int_chg_ratio_index",$A219,C$1,C$2)/100</f>
        <v/>
      </c>
      <c r="D219" s="9">
        <f>[1]!thsiFinD("ths_int_chg_ratio_index",$A219,D$1,D$2)/100</f>
        <v/>
      </c>
      <c r="E219" s="9">
        <f>[1]!thsiFinD("ths_int_chg_ratio_index",$A219,E$1,E$2)/100</f>
        <v/>
      </c>
      <c r="F219" s="10">
        <f>D219-(E219-D219)/3</f>
        <v/>
      </c>
      <c r="G219" s="7" t="inlineStr">
        <is>
          <t>产业链</t>
        </is>
      </c>
      <c r="H219" s="7">
        <f>IFERROR(VLOOKUP($I219,'分类规则'!$A$30:$C$200,2,0),"")</f>
        <v/>
      </c>
      <c r="I219" s="7" t="inlineStr">
        <is>
          <t>航空航天</t>
        </is>
      </c>
      <c r="J219" s="7">
        <f>IFERROR(VLOOKUP($I219,'分类规则'!$A$30:$C$200,3,0),"")</f>
        <v/>
      </c>
      <c r="K219" s="8" t="n"/>
      <c r="L219" s="7" t="n"/>
      <c r="M219" s="7" t="n"/>
      <c r="N219" s="8" t="n"/>
      <c r="O219" s="7" t="n"/>
      <c r="P219" s="7" t="n"/>
      <c r="Q219" s="8" t="n"/>
      <c r="R219" s="7" t="n"/>
      <c r="S219" s="7" t="n"/>
      <c r="T219" s="8" t="n"/>
      <c r="U219" s="7" t="n"/>
      <c r="V219" s="7" t="n"/>
      <c r="W219" s="8" t="n"/>
      <c r="X219" s="7" t="n"/>
      <c r="Y219" s="7" t="n"/>
    </row>
    <row r="220">
      <c r="A220" s="7" t="inlineStr">
        <is>
          <t>885697.TI</t>
        </is>
      </c>
      <c r="B220" s="8">
        <f>[1]!thsiFinD("THS_GPJC_STOCK",$A220)</f>
        <v/>
      </c>
      <c r="C220" s="9">
        <f>[1]!thsiFinD("ths_int_chg_ratio_index",$A220,C$1,C$2)/100</f>
        <v/>
      </c>
      <c r="D220" s="9">
        <f>[1]!thsiFinD("ths_int_chg_ratio_index",$A220,D$1,D$2)/100</f>
        <v/>
      </c>
      <c r="E220" s="9">
        <f>[1]!thsiFinD("ths_int_chg_ratio_index",$A220,E$1,E$2)/100</f>
        <v/>
      </c>
      <c r="F220" s="10">
        <f>D220-(E220-D220)/3</f>
        <v/>
      </c>
      <c r="G220" s="7" t="inlineStr">
        <is>
          <t>主题事件</t>
        </is>
      </c>
      <c r="H220" s="7">
        <f>IFERROR(VLOOKUP($I220,'分类规则'!$A$30:$C$200,2,0),"")</f>
        <v/>
      </c>
      <c r="I220" s="7" t="inlineStr">
        <is>
          <t>区域/改革</t>
        </is>
      </c>
      <c r="J220" s="7">
        <f>IFERROR(VLOOKUP($I220,'分类规则'!$A$30:$C$200,3,0),"")</f>
        <v/>
      </c>
      <c r="K220" s="8" t="n"/>
      <c r="L220" s="7" t="n"/>
      <c r="M220" s="7" t="n"/>
      <c r="N220" s="8" t="n"/>
      <c r="O220" s="7" t="n"/>
      <c r="P220" s="7" t="n"/>
      <c r="Q220" s="8" t="n"/>
      <c r="R220" s="7" t="n"/>
      <c r="S220" s="7" t="n"/>
      <c r="T220" s="8" t="n"/>
      <c r="U220" s="7" t="n"/>
      <c r="V220" s="7" t="n"/>
      <c r="W220" s="8" t="n"/>
      <c r="X220" s="7" t="n"/>
      <c r="Y220" s="7" t="n"/>
    </row>
    <row r="221">
      <c r="A221" s="7" t="inlineStr">
        <is>
          <t>885991.TI</t>
        </is>
      </c>
      <c r="B221" s="8">
        <f>[1]!thsiFinD("THS_GPJC_STOCK",$A221)</f>
        <v/>
      </c>
      <c r="C221" s="9">
        <f>[1]!thsiFinD("ths_int_chg_ratio_index",$A221,C$1,C$2)/100</f>
        <v/>
      </c>
      <c r="D221" s="9">
        <f>[1]!thsiFinD("ths_int_chg_ratio_index",$A221,D$1,D$2)/100</f>
        <v/>
      </c>
      <c r="E221" s="9">
        <f>[1]!thsiFinD("ths_int_chg_ratio_index",$A221,E$1,E$2)/100</f>
        <v/>
      </c>
      <c r="F221" s="10">
        <f>D221-(E221-D221)/3</f>
        <v/>
      </c>
      <c r="G221" s="7" t="inlineStr">
        <is>
          <t>产业链</t>
        </is>
      </c>
      <c r="H221" s="7">
        <f>IFERROR(VLOOKUP($I221,'分类规则'!$A$30:$C$200,2,0),"")</f>
        <v/>
      </c>
      <c r="I221" s="7" t="inlineStr">
        <is>
          <t>地产链</t>
        </is>
      </c>
      <c r="J221" s="7">
        <f>IFERROR(VLOOKUP($I221,'分类规则'!$A$30:$C$200,3,0),"")</f>
        <v/>
      </c>
      <c r="K221" s="8" t="inlineStr">
        <is>
          <t>中国建筑</t>
        </is>
      </c>
      <c r="L221" s="7" t="inlineStr">
        <is>
          <t>601668.SH</t>
        </is>
      </c>
      <c r="M221" s="20" t="n">
        <v>1904.9</v>
      </c>
      <c r="N221" s="8" t="inlineStr">
        <is>
          <t>中国中铁</t>
        </is>
      </c>
      <c r="O221" s="7" t="inlineStr">
        <is>
          <t>601390.SH</t>
        </is>
      </c>
      <c r="P221" s="20" t="n">
        <v>923.6</v>
      </c>
      <c r="Q221" s="8" t="inlineStr">
        <is>
          <t>中国能建</t>
        </is>
      </c>
      <c r="R221" s="7" t="inlineStr">
        <is>
          <t>601868.SH</t>
        </is>
      </c>
      <c r="S221" s="20" t="n">
        <v>895</v>
      </c>
      <c r="T221" s="8" t="inlineStr">
        <is>
          <t>中国电建</t>
        </is>
      </c>
      <c r="U221" s="7" t="inlineStr">
        <is>
          <t>601669.SH</t>
        </is>
      </c>
      <c r="V221" s="20" t="n">
        <v>645.7</v>
      </c>
      <c r="W221" s="8" t="inlineStr">
        <is>
          <t>张江高科</t>
        </is>
      </c>
      <c r="X221" s="7" t="inlineStr">
        <is>
          <t>600895.SH</t>
        </is>
      </c>
      <c r="Y221" s="20" t="n">
        <v>509.4</v>
      </c>
    </row>
    <row r="222">
      <c r="A222" s="7" t="inlineStr">
        <is>
          <t>886061.TI</t>
        </is>
      </c>
      <c r="B222" s="8">
        <f>[1]!thsiFinD("THS_GPJC_STOCK",$A222)</f>
        <v/>
      </c>
      <c r="C222" s="9">
        <f>[1]!thsiFinD("ths_int_chg_ratio_index",$A222,C$1,C$2)/100</f>
        <v/>
      </c>
      <c r="D222" s="9">
        <f>[1]!thsiFinD("ths_int_chg_ratio_index",$A222,D$1,D$2)/100</f>
        <v/>
      </c>
      <c r="E222" s="9">
        <f>[1]!thsiFinD("ths_int_chg_ratio_index",$A222,E$1,E$2)/100</f>
        <v/>
      </c>
      <c r="F222" s="10">
        <f>D222-(E222-D222)/3</f>
        <v/>
      </c>
      <c r="G222" s="7" t="inlineStr">
        <is>
          <t>公司链</t>
        </is>
      </c>
      <c r="H222" s="7">
        <f>IFERROR(VLOOKUP($I222,'分类规则'!$A$30:$C$200,2,0),"")</f>
        <v/>
      </c>
      <c r="I222" s="7" t="inlineStr">
        <is>
          <t>汽车</t>
        </is>
      </c>
      <c r="J222" s="7">
        <f>IFERROR(VLOOKUP($I222,'分类规则'!$A$30:$C$200,3,0),"")</f>
        <v/>
      </c>
      <c r="K222" s="8" t="n"/>
      <c r="L222" s="7" t="n"/>
      <c r="M222" s="7" t="n"/>
      <c r="N222" s="8" t="n"/>
      <c r="O222" s="7" t="n"/>
      <c r="P222" s="7" t="n"/>
      <c r="Q222" s="8" t="n"/>
      <c r="R222" s="7" t="n"/>
      <c r="S222" s="7" t="n"/>
      <c r="T222" s="8" t="n"/>
      <c r="U222" s="7" t="n"/>
      <c r="V222" s="7" t="n"/>
      <c r="W222" s="8" t="n"/>
      <c r="X222" s="7" t="n"/>
      <c r="Y222" s="7" t="n"/>
    </row>
    <row r="223">
      <c r="A223" s="7" t="inlineStr">
        <is>
          <t>885345.TI</t>
        </is>
      </c>
      <c r="B223" s="8">
        <f>[1]!thsiFinD("THS_GPJC_STOCK",$A223)</f>
        <v/>
      </c>
      <c r="C223" s="9">
        <f>[1]!thsiFinD("ths_int_chg_ratio_index",$A223,C$1,C$2)/100</f>
        <v/>
      </c>
      <c r="D223" s="9">
        <f>[1]!thsiFinD("ths_int_chg_ratio_index",$A223,D$1,D$2)/100</f>
        <v/>
      </c>
      <c r="E223" s="9">
        <f>[1]!thsiFinD("ths_int_chg_ratio_index",$A223,E$1,E$2)/100</f>
        <v/>
      </c>
      <c r="F223" s="10">
        <f>D223-(E223-D223)/3</f>
        <v/>
      </c>
      <c r="G223" s="7" t="inlineStr">
        <is>
          <t>主题事件</t>
        </is>
      </c>
      <c r="H223" s="7">
        <f>IFERROR(VLOOKUP($I223,'分类规则'!$A$30:$C$200,2,0),"")</f>
        <v/>
      </c>
      <c r="I223" s="7" t="inlineStr">
        <is>
          <t>区域/改革</t>
        </is>
      </c>
      <c r="J223" s="7">
        <f>IFERROR(VLOOKUP($I223,'分类规则'!$A$30:$C$200,3,0),"")</f>
        <v/>
      </c>
      <c r="K223" s="8" t="inlineStr">
        <is>
          <t>三一重工</t>
        </is>
      </c>
      <c r="L223" s="7" t="inlineStr">
        <is>
          <t>600031.SH</t>
        </is>
      </c>
      <c r="M223" s="20" t="n">
        <v>1556.7</v>
      </c>
      <c r="N223" s="8" t="inlineStr">
        <is>
          <t>特变电工</t>
        </is>
      </c>
      <c r="O223" s="7" t="inlineStr">
        <is>
          <t>600089.SH</t>
        </is>
      </c>
      <c r="P223" s="20" t="n">
        <v>1178.3</v>
      </c>
      <c r="Q223" s="8" t="inlineStr">
        <is>
          <t>申万宏源</t>
        </is>
      </c>
      <c r="R223" s="7" t="inlineStr">
        <is>
          <t>000166.SZ</t>
        </is>
      </c>
      <c r="S223" s="20" t="n">
        <v>993.8</v>
      </c>
      <c r="T223" s="8" t="inlineStr">
        <is>
          <t>中油资本</t>
        </is>
      </c>
      <c r="U223" s="7" t="inlineStr">
        <is>
          <t>000617.SZ</t>
        </is>
      </c>
      <c r="V223" s="20" t="n">
        <v>906.4</v>
      </c>
      <c r="W223" s="8" t="inlineStr">
        <is>
          <t>龙源电力</t>
        </is>
      </c>
      <c r="X223" s="7" t="inlineStr">
        <is>
          <t>001289.SZ</t>
        </is>
      </c>
      <c r="Y223" s="20" t="n">
        <v>836.5</v>
      </c>
    </row>
    <row r="224">
      <c r="A224" s="7" t="inlineStr">
        <is>
          <t>885611.TI</t>
        </is>
      </c>
      <c r="B224" s="8">
        <f>[1]!thsiFinD("THS_GPJC_STOCK",$A224)</f>
        <v/>
      </c>
      <c r="C224" s="9">
        <f>[1]!thsiFinD("ths_int_chg_ratio_index",$A224,C$1,C$2)/100</f>
        <v/>
      </c>
      <c r="D224" s="9">
        <f>[1]!thsiFinD("ths_int_chg_ratio_index",$A224,D$1,D$2)/100</f>
        <v/>
      </c>
      <c r="E224" s="9">
        <f>[1]!thsiFinD("ths_int_chg_ratio_index",$A224,E$1,E$2)/100</f>
        <v/>
      </c>
      <c r="F224" s="10">
        <f>D224-(E224-D224)/3</f>
        <v/>
      </c>
      <c r="G224" s="7" t="inlineStr">
        <is>
          <t>产业链</t>
        </is>
      </c>
      <c r="H224" s="7">
        <f>IFERROR(VLOOKUP($I224,'分类规则'!$A$30:$C$200,2,0),"")</f>
        <v/>
      </c>
      <c r="I224" s="7" t="inlineStr">
        <is>
          <t>AI应用</t>
        </is>
      </c>
      <c r="J224" s="7">
        <f>IFERROR(VLOOKUP($I224,'分类规则'!$A$30:$C$200,3,0),"")</f>
        <v/>
      </c>
      <c r="K224" s="8" t="n"/>
      <c r="L224" s="7" t="n"/>
      <c r="M224" s="7" t="n"/>
      <c r="N224" s="8" t="n"/>
      <c r="O224" s="7" t="n"/>
      <c r="P224" s="7" t="n"/>
      <c r="Q224" s="8" t="n"/>
      <c r="R224" s="7" t="n"/>
      <c r="S224" s="7" t="n"/>
      <c r="T224" s="8" t="n"/>
      <c r="U224" s="7" t="n"/>
      <c r="V224" s="7" t="n"/>
      <c r="W224" s="8" t="n"/>
      <c r="X224" s="7" t="n"/>
      <c r="Y224" s="7" t="n"/>
    </row>
    <row r="225">
      <c r="A225" s="7" t="inlineStr">
        <is>
          <t>885472.TI</t>
        </is>
      </c>
      <c r="B225" s="8">
        <f>[1]!thsiFinD("THS_GPJC_STOCK",$A225)</f>
        <v/>
      </c>
      <c r="C225" s="9">
        <f>[1]!thsiFinD("ths_int_chg_ratio_index",$A225,C$1,C$2)/100</f>
        <v/>
      </c>
      <c r="D225" s="9">
        <f>[1]!thsiFinD("ths_int_chg_ratio_index",$A225,D$1,D$2)/100</f>
        <v/>
      </c>
      <c r="E225" s="9">
        <f>[1]!thsiFinD("ths_int_chg_ratio_index",$A225,E$1,E$2)/100</f>
        <v/>
      </c>
      <c r="F225" s="10">
        <f>D225-(E225-D225)/3</f>
        <v/>
      </c>
      <c r="G225" s="7" t="inlineStr">
        <is>
          <t>主题事件</t>
        </is>
      </c>
      <c r="H225" s="7">
        <f>IFERROR(VLOOKUP($I225,'分类规则'!$A$30:$C$200,2,0),"")</f>
        <v/>
      </c>
      <c r="I225" s="7" t="inlineStr">
        <is>
          <t>区域/改革</t>
        </is>
      </c>
      <c r="J225" s="7">
        <f>IFERROR(VLOOKUP($I225,'分类规则'!$A$30:$C$200,3,0),"")</f>
        <v/>
      </c>
      <c r="K225" s="8" t="inlineStr">
        <is>
          <t>中芯国际</t>
        </is>
      </c>
      <c r="L225" s="7" t="inlineStr">
        <is>
          <t>688981.SH</t>
        </is>
      </c>
      <c r="M225" s="20" t="n">
        <v>2813.4</v>
      </c>
      <c r="N225" s="8" t="inlineStr">
        <is>
          <t>芯原股份</t>
        </is>
      </c>
      <c r="O225" s="7" t="inlineStr">
        <is>
          <t>688521.SH</t>
        </is>
      </c>
      <c r="P225" s="20" t="n">
        <v>1441</v>
      </c>
      <c r="Q225" s="8" t="inlineStr">
        <is>
          <t>招商轮船</t>
        </is>
      </c>
      <c r="R225" s="7" t="inlineStr">
        <is>
          <t>601872.SH</t>
        </is>
      </c>
      <c r="S225" s="20" t="n">
        <v>1384</v>
      </c>
      <c r="T225" s="8" t="inlineStr">
        <is>
          <t>上港集团</t>
        </is>
      </c>
      <c r="U225" s="7" t="inlineStr">
        <is>
          <t>600018.SH</t>
        </is>
      </c>
      <c r="V225" s="20" t="n">
        <v>1136.8</v>
      </c>
      <c r="W225" s="8" t="inlineStr">
        <is>
          <t>中远海能</t>
        </is>
      </c>
      <c r="X225" s="7" t="inlineStr">
        <is>
          <t>600026.SH</t>
        </is>
      </c>
      <c r="Y225" s="20" t="n">
        <v>738.7</v>
      </c>
    </row>
    <row r="226">
      <c r="A226" s="7" t="inlineStr">
        <is>
          <t>886008.TI</t>
        </is>
      </c>
      <c r="B226" s="8">
        <f>[1]!thsiFinD("THS_GPJC_STOCK",$A226)</f>
        <v/>
      </c>
      <c r="C226" s="9">
        <f>[1]!thsiFinD("ths_int_chg_ratio_index",$A226,C$1,C$2)/100</f>
        <v/>
      </c>
      <c r="D226" s="9">
        <f>[1]!thsiFinD("ths_int_chg_ratio_index",$A226,D$1,D$2)/100</f>
        <v/>
      </c>
      <c r="E226" s="9">
        <f>[1]!thsiFinD("ths_int_chg_ratio_index",$A226,E$1,E$2)/100</f>
        <v/>
      </c>
      <c r="F226" s="10">
        <f>D226-(E226-D226)/3</f>
        <v/>
      </c>
      <c r="G226" s="7" t="inlineStr">
        <is>
          <t>产业链</t>
        </is>
      </c>
      <c r="H226" s="7">
        <f>IFERROR(VLOOKUP($I226,'分类规则'!$A$30:$C$200,2,0),"")</f>
        <v/>
      </c>
      <c r="I226" s="7" t="inlineStr">
        <is>
          <t>机器人</t>
        </is>
      </c>
      <c r="J226" s="7">
        <f>IFERROR(VLOOKUP($I226,'分类规则'!$A$30:$C$200,3,0),"")</f>
        <v/>
      </c>
      <c r="K226" s="8" t="inlineStr">
        <is>
          <t>蓝思科技</t>
        </is>
      </c>
      <c r="L226" s="7" t="inlineStr">
        <is>
          <t>300433.SZ</t>
        </is>
      </c>
      <c r="M226" s="20" t="n">
        <v>2771.6</v>
      </c>
      <c r="N226" s="8" t="inlineStr">
        <is>
          <t>大族激光</t>
        </is>
      </c>
      <c r="O226" s="7" t="inlineStr">
        <is>
          <t>002008.SZ</t>
        </is>
      </c>
      <c r="P226" s="20" t="n">
        <v>1290.6</v>
      </c>
      <c r="Q226" s="8" t="inlineStr">
        <is>
          <t>领益智造</t>
        </is>
      </c>
      <c r="R226" s="7" t="inlineStr">
        <is>
          <t>002600.SZ</t>
        </is>
      </c>
      <c r="S226" s="20" t="n">
        <v>1211</v>
      </c>
      <c r="T226" s="8" t="inlineStr">
        <is>
          <t>上海电气</t>
        </is>
      </c>
      <c r="U226" s="7" t="inlineStr">
        <is>
          <t>601727.SH</t>
        </is>
      </c>
      <c r="V226" s="20" t="n">
        <v>922.2</v>
      </c>
      <c r="W226" s="8" t="inlineStr">
        <is>
          <t>绿的谐波</t>
        </is>
      </c>
      <c r="X226" s="7" t="inlineStr">
        <is>
          <t>688017.SH</t>
        </is>
      </c>
      <c r="Y226" s="20" t="n">
        <v>748</v>
      </c>
    </row>
    <row r="227">
      <c r="A227" s="7" t="inlineStr">
        <is>
          <t>886047.TI</t>
        </is>
      </c>
      <c r="B227" s="8">
        <f>[1]!thsiFinD("THS_GPJC_STOCK",$A227)</f>
        <v/>
      </c>
      <c r="C227" s="9">
        <f>[1]!thsiFinD("ths_int_chg_ratio_index",$A227,C$1,C$2)/100</f>
        <v/>
      </c>
      <c r="D227" s="9">
        <f>[1]!thsiFinD("ths_int_chg_ratio_index",$A227,D$1,D$2)/100</f>
        <v/>
      </c>
      <c r="E227" s="9">
        <f>[1]!thsiFinD("ths_int_chg_ratio_index",$A227,E$1,E$2)/100</f>
        <v/>
      </c>
      <c r="F227" s="10">
        <f>D227-(E227-D227)/3</f>
        <v/>
      </c>
      <c r="G227" s="7" t="inlineStr">
        <is>
          <t>产业链</t>
        </is>
      </c>
      <c r="H227" s="7">
        <f>IFERROR(VLOOKUP($I227,'分类规则'!$A$30:$C$200,2,0),"")</f>
        <v/>
      </c>
      <c r="I227" s="7" t="inlineStr">
        <is>
          <t>AIoT/物联网</t>
        </is>
      </c>
      <c r="J227" s="7">
        <f>IFERROR(VLOOKUP($I227,'分类规则'!$A$30:$C$200,3,0),"")</f>
        <v/>
      </c>
      <c r="K227" s="8" t="inlineStr">
        <is>
          <t>亿纬锂能</t>
        </is>
      </c>
      <c r="L227" s="7" t="inlineStr">
        <is>
          <t>300014.SZ</t>
        </is>
      </c>
      <c r="M227" s="20" t="n">
        <v>1408.2</v>
      </c>
      <c r="N227" s="8" t="inlineStr">
        <is>
          <t>科大讯飞</t>
        </is>
      </c>
      <c r="O227" s="7" t="inlineStr">
        <is>
          <t>002230.SZ</t>
        </is>
      </c>
      <c r="P227" s="20" t="n">
        <v>932.9</v>
      </c>
      <c r="Q227" s="8" t="inlineStr">
        <is>
          <t>世纪华通</t>
        </is>
      </c>
      <c r="R227" s="7" t="inlineStr">
        <is>
          <t>002602.SZ</t>
        </is>
      </c>
      <c r="S227" s="20" t="n">
        <v>879.5</v>
      </c>
      <c r="T227" s="8" t="inlineStr">
        <is>
          <t>世运电路</t>
        </is>
      </c>
      <c r="U227" s="7" t="inlineStr">
        <is>
          <t>603920.SH</t>
        </is>
      </c>
      <c r="V227" s="20" t="n">
        <v>421.5</v>
      </c>
      <c r="W227" s="8" t="inlineStr">
        <is>
          <t>岩山科技</t>
        </is>
      </c>
      <c r="X227" s="7" t="inlineStr">
        <is>
          <t>002195.SZ</t>
        </is>
      </c>
      <c r="Y227" s="20" t="n">
        <v>399.8</v>
      </c>
    </row>
    <row r="228">
      <c r="A228" s="7" t="inlineStr">
        <is>
          <t>886045.TI</t>
        </is>
      </c>
      <c r="B228" s="8">
        <f>[1]!thsiFinD("THS_GPJC_STOCK",$A228)</f>
        <v/>
      </c>
      <c r="C228" s="9">
        <f>[1]!thsiFinD("ths_int_chg_ratio_index",$A228,C$1,C$2)/100</f>
        <v/>
      </c>
      <c r="D228" s="9">
        <f>[1]!thsiFinD("ths_int_chg_ratio_index",$A228,D$1,D$2)/100</f>
        <v/>
      </c>
      <c r="E228" s="9">
        <f>[1]!thsiFinD("ths_int_chg_ratio_index",$A228,E$1,E$2)/100</f>
        <v/>
      </c>
      <c r="F228" s="10">
        <f>D228-(E228-D228)/3</f>
        <v/>
      </c>
      <c r="G228" s="7" t="inlineStr">
        <is>
          <t>宽基风格</t>
        </is>
      </c>
      <c r="H228" s="7">
        <f>IFERROR(VLOOKUP($I228,'分类规则'!$A$30:$C$200,2,0),"")</f>
        <v/>
      </c>
      <c r="I228" s="7" t="inlineStr">
        <is>
          <t>宽基/成分股</t>
        </is>
      </c>
      <c r="J228" s="7">
        <f>IFERROR(VLOOKUP($I228,'分类规则'!$A$30:$C$200,3,0),"")</f>
        <v/>
      </c>
      <c r="K228" s="8" t="inlineStr">
        <is>
          <t>农业银行</t>
        </is>
      </c>
      <c r="L228" s="7" t="inlineStr">
        <is>
          <t>601288.SH</t>
        </is>
      </c>
      <c r="M228" s="20" t="n">
        <v>20335.9</v>
      </c>
      <c r="N228" s="8" t="inlineStr">
        <is>
          <t>工商银行</t>
        </is>
      </c>
      <c r="O228" s="7" t="inlineStr">
        <is>
          <t>601398.SH</t>
        </is>
      </c>
      <c r="P228" s="20" t="n">
        <v>19304.2</v>
      </c>
      <c r="Q228" s="8" t="inlineStr">
        <is>
          <t>中国石油</t>
        </is>
      </c>
      <c r="R228" s="7" t="inlineStr">
        <is>
          <t>601857.SH</t>
        </is>
      </c>
      <c r="S228" s="20" t="n">
        <v>15512.1</v>
      </c>
      <c r="T228" s="8" t="inlineStr">
        <is>
          <t>中国银行</t>
        </is>
      </c>
      <c r="U228" s="7" t="inlineStr">
        <is>
          <t>601988.SH</t>
        </is>
      </c>
      <c r="V228" s="20" t="n">
        <v>12182.2</v>
      </c>
      <c r="W228" s="8" t="inlineStr">
        <is>
          <t>招商银行</t>
        </is>
      </c>
      <c r="X228" s="7" t="inlineStr">
        <is>
          <t>600036.SH</t>
        </is>
      </c>
      <c r="Y228" s="20" t="n">
        <v>7686.3</v>
      </c>
    </row>
    <row r="229">
      <c r="A229" s="7" t="inlineStr">
        <is>
          <t>886058.TI</t>
        </is>
      </c>
      <c r="B229" s="8">
        <f>[1]!thsiFinD("THS_GPJC_STOCK",$A229)</f>
        <v/>
      </c>
      <c r="C229" s="9">
        <f>[1]!thsiFinD("ths_int_chg_ratio_index",$A229,C$1,C$2)/100</f>
        <v/>
      </c>
      <c r="D229" s="9">
        <f>[1]!thsiFinD("ths_int_chg_ratio_index",$A229,D$1,D$2)/100</f>
        <v/>
      </c>
      <c r="E229" s="9">
        <f>[1]!thsiFinD("ths_int_chg_ratio_index",$A229,E$1,E$2)/100</f>
        <v/>
      </c>
      <c r="F229" s="10">
        <f>D229-(E229-D229)/3</f>
        <v/>
      </c>
      <c r="G229" s="7" t="inlineStr">
        <is>
          <t>产业链</t>
        </is>
      </c>
      <c r="H229" s="7">
        <f>IFERROR(VLOOKUP($I229,'分类规则'!$A$30:$C$200,2,0),"")</f>
        <v/>
      </c>
      <c r="I229" s="7" t="inlineStr">
        <is>
          <t>信创/国产化</t>
        </is>
      </c>
      <c r="J229" s="7">
        <f>IFERROR(VLOOKUP($I229,'分类规则'!$A$30:$C$200,3,0),"")</f>
        <v/>
      </c>
      <c r="K229" s="8" t="inlineStr">
        <is>
          <t>烽火通信</t>
        </is>
      </c>
      <c r="L229" s="7" t="inlineStr">
        <is>
          <t>600498.SH</t>
        </is>
      </c>
      <c r="M229" s="20" t="n">
        <v>957.7</v>
      </c>
      <c r="N229" s="8" t="inlineStr">
        <is>
          <t>科大讯飞</t>
        </is>
      </c>
      <c r="O229" s="7" t="inlineStr">
        <is>
          <t>002230.SZ</t>
        </is>
      </c>
      <c r="P229" s="20" t="n">
        <v>932.9</v>
      </c>
      <c r="Q229" s="8" t="inlineStr">
        <is>
          <t>高德红外</t>
        </is>
      </c>
      <c r="R229" s="7" t="inlineStr">
        <is>
          <t>002414.SZ</t>
        </is>
      </c>
      <c r="S229" s="20" t="n">
        <v>464.3</v>
      </c>
      <c r="T229" s="8" t="inlineStr">
        <is>
          <t>恒生电子</t>
        </is>
      </c>
      <c r="U229" s="7" t="inlineStr">
        <is>
          <t>600570.SH</t>
        </is>
      </c>
      <c r="V229" s="20" t="n">
        <v>421.3</v>
      </c>
      <c r="W229" s="8" t="inlineStr">
        <is>
          <t>大华股份</t>
        </is>
      </c>
      <c r="X229" s="7" t="inlineStr">
        <is>
          <t>002236.SZ</t>
        </is>
      </c>
      <c r="Y229" s="20" t="n">
        <v>389</v>
      </c>
    </row>
    <row r="230">
      <c r="A230" s="7" t="inlineStr">
        <is>
          <t>885827.TI</t>
        </is>
      </c>
      <c r="B230" s="8">
        <f>[1]!thsiFinD("THS_GPJC_STOCK",$A230)</f>
        <v/>
      </c>
      <c r="C230" s="9">
        <f>[1]!thsiFinD("ths_int_chg_ratio_index",$A230,C$1,C$2)/100</f>
        <v/>
      </c>
      <c r="D230" s="9">
        <f>[1]!thsiFinD("ths_int_chg_ratio_index",$A230,D$1,D$2)/100</f>
        <v/>
      </c>
      <c r="E230" s="9">
        <f>[1]!thsiFinD("ths_int_chg_ratio_index",$A230,E$1,E$2)/100</f>
        <v/>
      </c>
      <c r="F230" s="10">
        <f>D230-(E230-D230)/3</f>
        <v/>
      </c>
      <c r="G230" s="7" t="inlineStr">
        <is>
          <t>主题事件</t>
        </is>
      </c>
      <c r="H230" s="7">
        <f>IFERROR(VLOOKUP($I230,'分类规则'!$A$30:$C$200,2,0),"")</f>
        <v/>
      </c>
      <c r="I230" s="7" t="inlineStr">
        <is>
          <t>区域/改革</t>
        </is>
      </c>
      <c r="J230" s="7">
        <f>IFERROR(VLOOKUP($I230,'分类规则'!$A$30:$C$200,3,0),"")</f>
        <v/>
      </c>
      <c r="K230" s="8" t="inlineStr">
        <is>
          <t>光库科技</t>
        </is>
      </c>
      <c r="L230" s="7" t="inlineStr">
        <is>
          <t>300620.SZ</t>
        </is>
      </c>
      <c r="M230" s="20" t="n">
        <v>965.7</v>
      </c>
      <c r="N230" s="8" t="inlineStr">
        <is>
          <t>全志科技</t>
        </is>
      </c>
      <c r="O230" s="7" t="inlineStr">
        <is>
          <t>300458.SZ</t>
        </is>
      </c>
      <c r="P230" s="20" t="n">
        <v>290.2</v>
      </c>
      <c r="Q230" s="8" t="inlineStr">
        <is>
          <t>博杰股份</t>
        </is>
      </c>
      <c r="R230" s="7" t="inlineStr">
        <is>
          <t>002975.SZ</t>
        </is>
      </c>
      <c r="S230" s="20" t="n">
        <v>187.9</v>
      </c>
      <c r="T230" s="8" t="inlineStr">
        <is>
          <t>丽珠集团</t>
        </is>
      </c>
      <c r="U230" s="7" t="inlineStr">
        <is>
          <t>000513.SZ</t>
        </is>
      </c>
      <c r="V230" s="20" t="n">
        <v>166.5</v>
      </c>
      <c r="W230" s="8" t="inlineStr">
        <is>
          <t>云意电气</t>
        </is>
      </c>
      <c r="X230" s="7" t="inlineStr">
        <is>
          <t>300304.SZ</t>
        </is>
      </c>
      <c r="Y230" s="20" t="n">
        <v>156.2</v>
      </c>
    </row>
    <row r="231">
      <c r="A231" s="7" t="inlineStr">
        <is>
          <t>885934.TI</t>
        </is>
      </c>
      <c r="B231" s="8">
        <f>[1]!thsiFinD("THS_GPJC_STOCK",$A231)</f>
        <v/>
      </c>
      <c r="C231" s="9">
        <f>[1]!thsiFinD("ths_int_chg_ratio_index",$A231,C$1,C$2)/100</f>
        <v/>
      </c>
      <c r="D231" s="9">
        <f>[1]!thsiFinD("ths_int_chg_ratio_index",$A231,D$1,D$2)/100</f>
        <v/>
      </c>
      <c r="E231" s="9">
        <f>[1]!thsiFinD("ths_int_chg_ratio_index",$A231,E$1,E$2)/100</f>
        <v/>
      </c>
      <c r="F231" s="10">
        <f>D231-(E231-D231)/3</f>
        <v/>
      </c>
      <c r="G231" s="7" t="inlineStr">
        <is>
          <t>产业链</t>
        </is>
      </c>
      <c r="H231" s="7">
        <f>IFERROR(VLOOKUP($I231,'分类规则'!$A$30:$C$200,2,0),"")</f>
        <v/>
      </c>
      <c r="I231" s="7" t="inlineStr">
        <is>
          <t>传媒/游戏</t>
        </is>
      </c>
      <c r="J231" s="7">
        <f>IFERROR(VLOOKUP($I231,'分类规则'!$A$30:$C$200,3,0),"")</f>
        <v/>
      </c>
      <c r="K231" s="8" t="inlineStr">
        <is>
          <t>蓝思科技</t>
        </is>
      </c>
      <c r="L231" s="7" t="inlineStr">
        <is>
          <t>300433.SZ</t>
        </is>
      </c>
      <c r="M231" s="20" t="n">
        <v>2771.6</v>
      </c>
      <c r="N231" s="8" t="inlineStr">
        <is>
          <t>中兴通讯</t>
        </is>
      </c>
      <c r="O231" s="7" t="inlineStr">
        <is>
          <t>000063.SZ</t>
        </is>
      </c>
      <c r="P231" s="20" t="n">
        <v>1526.1</v>
      </c>
      <c r="Q231" s="8" t="inlineStr">
        <is>
          <t>浪潮信息</t>
        </is>
      </c>
      <c r="R231" s="7" t="inlineStr">
        <is>
          <t>000977.SZ</t>
        </is>
      </c>
      <c r="S231" s="20" t="n">
        <v>963.1</v>
      </c>
      <c r="T231" s="8" t="inlineStr">
        <is>
          <t>科大讯飞</t>
        </is>
      </c>
      <c r="U231" s="7" t="inlineStr">
        <is>
          <t>002230.SZ</t>
        </is>
      </c>
      <c r="V231" s="20" t="n">
        <v>932.9</v>
      </c>
      <c r="W231" s="8" t="inlineStr">
        <is>
          <t>环旭电子</t>
        </is>
      </c>
      <c r="X231" s="7" t="inlineStr">
        <is>
          <t>601231.SH</t>
        </is>
      </c>
      <c r="Y231" s="20" t="n">
        <v>896.1</v>
      </c>
    </row>
    <row r="232">
      <c r="A232" s="7" t="inlineStr">
        <is>
          <t>885728.TI</t>
        </is>
      </c>
      <c r="B232" s="8">
        <f>[1]!thsiFinD("THS_GPJC_STOCK",$A232)</f>
        <v/>
      </c>
      <c r="C232" s="9">
        <f>[1]!thsiFinD("ths_int_chg_ratio_index",$A232,C$1,C$2)/100</f>
        <v/>
      </c>
      <c r="D232" s="9">
        <f>[1]!thsiFinD("ths_int_chg_ratio_index",$A232,D$1,D$2)/100</f>
        <v/>
      </c>
      <c r="E232" s="9">
        <f>[1]!thsiFinD("ths_int_chg_ratio_index",$A232,E$1,E$2)/100</f>
        <v/>
      </c>
      <c r="F232" s="10">
        <f>D232-(E232-D232)/3</f>
        <v/>
      </c>
      <c r="G232" s="7" t="inlineStr">
        <is>
          <t>产业链</t>
        </is>
      </c>
      <c r="H232" s="7">
        <f>IFERROR(VLOOKUP($I232,'分类规则'!$A$30:$C$200,2,0),"")</f>
        <v/>
      </c>
      <c r="I232" s="7" t="inlineStr">
        <is>
          <t>AI应用</t>
        </is>
      </c>
      <c r="J232" s="7">
        <f>IFERROR(VLOOKUP($I232,'分类规则'!$A$30:$C$200,3,0),"")</f>
        <v/>
      </c>
      <c r="K232" s="8" t="n"/>
      <c r="L232" s="7" t="n"/>
      <c r="M232" s="7" t="n"/>
      <c r="N232" s="8" t="n"/>
      <c r="O232" s="7" t="n"/>
      <c r="P232" s="7" t="n"/>
      <c r="Q232" s="8" t="n"/>
      <c r="R232" s="7" t="n"/>
      <c r="S232" s="7" t="n"/>
      <c r="T232" s="8" t="n"/>
      <c r="U232" s="7" t="n"/>
      <c r="V232" s="7" t="n"/>
      <c r="W232" s="8" t="n"/>
      <c r="X232" s="7" t="n"/>
      <c r="Y232" s="7" t="n"/>
    </row>
    <row r="233">
      <c r="A233" s="7" t="inlineStr">
        <is>
          <t>885927.TI</t>
        </is>
      </c>
      <c r="B233" s="8">
        <f>[1]!thsiFinD("THS_GPJC_STOCK",$A233)</f>
        <v/>
      </c>
      <c r="C233" s="9">
        <f>[1]!thsiFinD("ths_int_chg_ratio_index",$A233,C$1,C$2)/100</f>
        <v/>
      </c>
      <c r="D233" s="9">
        <f>[1]!thsiFinD("ths_int_chg_ratio_index",$A233,D$1,D$2)/100</f>
        <v/>
      </c>
      <c r="E233" s="9">
        <f>[1]!thsiFinD("ths_int_chg_ratio_index",$A233,E$1,E$2)/100</f>
        <v/>
      </c>
      <c r="F233" s="10">
        <f>D233-(E233-D233)/3</f>
        <v/>
      </c>
      <c r="G233" s="7" t="inlineStr">
        <is>
          <t>产业链</t>
        </is>
      </c>
      <c r="H233" s="7">
        <f>IFERROR(VLOOKUP($I233,'分类规则'!$A$30:$C$200,2,0),"")</f>
        <v/>
      </c>
      <c r="I233" s="7" t="inlineStr">
        <is>
          <t>CXO</t>
        </is>
      </c>
      <c r="J233" s="7">
        <f>IFERROR(VLOOKUP($I233,'分类规则'!$A$30:$C$200,3,0),"")</f>
        <v/>
      </c>
      <c r="K233" s="8" t="inlineStr">
        <is>
          <t>药明康德</t>
        </is>
      </c>
      <c r="L233" s="7" t="inlineStr">
        <is>
          <t>603259.SH</t>
        </is>
      </c>
      <c r="M233" s="20" t="n">
        <v>2540.6</v>
      </c>
      <c r="N233" s="8" t="inlineStr">
        <is>
          <t>圣泉集团</t>
        </is>
      </c>
      <c r="O233" s="7" t="inlineStr">
        <is>
          <t>605589.SH</t>
        </is>
      </c>
      <c r="P233" s="20" t="n">
        <v>590.6</v>
      </c>
      <c r="Q233" s="8" t="inlineStr">
        <is>
          <t>凯莱英</t>
        </is>
      </c>
      <c r="R233" s="7" t="inlineStr">
        <is>
          <t>002821.SZ</t>
        </is>
      </c>
      <c r="S233" s="20" t="n">
        <v>392.6</v>
      </c>
      <c r="T233" s="8" t="inlineStr">
        <is>
          <t>康龙化成</t>
        </is>
      </c>
      <c r="U233" s="7" t="inlineStr">
        <is>
          <t>300759.SZ</t>
        </is>
      </c>
      <c r="V233" s="20" t="n">
        <v>322.5</v>
      </c>
      <c r="W233" s="8" t="inlineStr">
        <is>
          <t>泰格医药</t>
        </is>
      </c>
      <c r="X233" s="7" t="inlineStr">
        <is>
          <t>300347.SZ</t>
        </is>
      </c>
      <c r="Y233" s="20" t="n">
        <v>227.3</v>
      </c>
    </row>
    <row r="234">
      <c r="A234" s="7" t="inlineStr">
        <is>
          <t>885734.TI</t>
        </is>
      </c>
      <c r="B234" s="8">
        <f>[1]!thsiFinD("THS_GPJC_STOCK",$A234)</f>
        <v/>
      </c>
      <c r="C234" s="9">
        <f>[1]!thsiFinD("ths_int_chg_ratio_index",$A234,C$1,C$2)/100</f>
        <v/>
      </c>
      <c r="D234" s="9">
        <f>[1]!thsiFinD("ths_int_chg_ratio_index",$A234,D$1,D$2)/100</f>
        <v/>
      </c>
      <c r="E234" s="9">
        <f>[1]!thsiFinD("ths_int_chg_ratio_index",$A234,E$1,E$2)/100</f>
        <v/>
      </c>
      <c r="F234" s="10">
        <f>D234-(E234-D234)/3</f>
        <v/>
      </c>
      <c r="G234" s="7" t="inlineStr">
        <is>
          <t>主题事件</t>
        </is>
      </c>
      <c r="H234" s="7">
        <f>IFERROR(VLOOKUP($I234,'分类规则'!$A$30:$C$200,2,0),"")</f>
        <v/>
      </c>
      <c r="I234" s="7" t="inlineStr">
        <is>
          <t>区域/改革</t>
        </is>
      </c>
      <c r="J234" s="7">
        <f>IFERROR(VLOOKUP($I234,'分类规则'!$A$30:$C$200,3,0),"")</f>
        <v/>
      </c>
      <c r="K234" s="8" t="inlineStr">
        <is>
          <t>广州发展</t>
        </is>
      </c>
      <c r="L234" s="7" t="inlineStr">
        <is>
          <t>600098.SH</t>
        </is>
      </c>
      <c r="M234" s="20" t="n">
        <v>230.7</v>
      </c>
      <c r="N234" s="8" t="inlineStr">
        <is>
          <t>广州港</t>
        </is>
      </c>
      <c r="O234" s="7" t="inlineStr">
        <is>
          <t>601228.SH</t>
        </is>
      </c>
      <c r="P234" s="20" t="n">
        <v>223.3</v>
      </c>
      <c r="Q234" s="8" t="inlineStr">
        <is>
          <t>奥海科技</t>
        </is>
      </c>
      <c r="R234" s="7" t="inlineStr">
        <is>
          <t>002993.SZ</t>
        </is>
      </c>
      <c r="S234" s="20" t="n">
        <v>163.3</v>
      </c>
      <c r="T234" s="8" t="inlineStr">
        <is>
          <t>粤传媒</t>
        </is>
      </c>
      <c r="U234" s="7" t="inlineStr">
        <is>
          <t>002181.SZ</t>
        </is>
      </c>
      <c r="V234" s="20" t="n">
        <v>125.6</v>
      </c>
      <c r="W234" s="8" t="inlineStr">
        <is>
          <t>中京电子</t>
        </is>
      </c>
      <c r="X234" s="7" t="inlineStr">
        <is>
          <t>002579.SZ</t>
        </is>
      </c>
      <c r="Y234" s="20" t="n">
        <v>118.5</v>
      </c>
    </row>
    <row r="235">
      <c r="A235" s="7" t="inlineStr">
        <is>
          <t>886100.TI</t>
        </is>
      </c>
      <c r="B235" s="8">
        <f>[1]!thsiFinD("THS_GPJC_STOCK",$A235)</f>
        <v/>
      </c>
      <c r="C235" s="9">
        <f>[1]!thsiFinD("ths_int_chg_ratio_index",$A235,C$1,C$2)/100</f>
        <v/>
      </c>
      <c r="D235" s="9">
        <f>[1]!thsiFinD("ths_int_chg_ratio_index",$A235,D$1,D$2)/100</f>
        <v/>
      </c>
      <c r="E235" s="9">
        <f>[1]!thsiFinD("ths_int_chg_ratio_index",$A235,E$1,E$2)/100</f>
        <v/>
      </c>
      <c r="F235" s="10">
        <f>D235-(E235-D235)/3</f>
        <v/>
      </c>
      <c r="G235" s="7" t="inlineStr">
        <is>
          <t>产业链</t>
        </is>
      </c>
      <c r="H235" s="7">
        <f>IFERROR(VLOOKUP($I235,'分类规则'!$A$30:$C$200,2,0),"")</f>
        <v/>
      </c>
      <c r="I235" s="7" t="inlineStr">
        <is>
          <t>AI应用</t>
        </is>
      </c>
      <c r="J235" s="7">
        <f>IFERROR(VLOOKUP($I235,'分类规则'!$A$30:$C$200,3,0),"")</f>
        <v/>
      </c>
      <c r="K235" s="8" t="n"/>
      <c r="L235" s="7" t="n"/>
      <c r="M235" s="7" t="n"/>
      <c r="N235" s="8" t="n"/>
      <c r="O235" s="7" t="n"/>
      <c r="P235" s="7" t="n"/>
      <c r="Q235" s="8" t="n"/>
      <c r="R235" s="7" t="n"/>
      <c r="S235" s="7" t="n"/>
      <c r="T235" s="8" t="n"/>
      <c r="U235" s="7" t="n"/>
      <c r="V235" s="7" t="n"/>
      <c r="W235" s="8" t="n"/>
      <c r="X235" s="7" t="n"/>
      <c r="Y235" s="7" t="n"/>
    </row>
    <row r="236">
      <c r="A236" s="7" t="inlineStr">
        <is>
          <t>885960.TI</t>
        </is>
      </c>
      <c r="B236" s="8">
        <f>[1]!thsiFinD("THS_GPJC_STOCK",$A236)</f>
        <v/>
      </c>
      <c r="C236" s="9">
        <f>[1]!thsiFinD("ths_int_chg_ratio_index",$A236,C$1,C$2)/100</f>
        <v/>
      </c>
      <c r="D236" s="9">
        <f>[1]!thsiFinD("ths_int_chg_ratio_index",$A236,D$1,D$2)/100</f>
        <v/>
      </c>
      <c r="E236" s="9">
        <f>[1]!thsiFinD("ths_int_chg_ratio_index",$A236,E$1,E$2)/100</f>
        <v/>
      </c>
      <c r="F236" s="10">
        <f>D236-(E236-D236)/3</f>
        <v/>
      </c>
      <c r="G236" s="7" t="inlineStr">
        <is>
          <t>产业链</t>
        </is>
      </c>
      <c r="H236" s="7">
        <f>IFERROR(VLOOKUP($I236,'分类规则'!$A$30:$C$200,2,0),"")</f>
        <v/>
      </c>
      <c r="I236" s="7" t="inlineStr">
        <is>
          <t>化工</t>
        </is>
      </c>
      <c r="J236" s="7">
        <f>IFERROR(VLOOKUP($I236,'分类规则'!$A$30:$C$200,3,0),"")</f>
        <v/>
      </c>
      <c r="K236" s="8" t="inlineStr">
        <is>
          <t>中国能建</t>
        </is>
      </c>
      <c r="L236" s="7" t="inlineStr">
        <is>
          <t>601868.SH</t>
        </is>
      </c>
      <c r="M236" s="20" t="n">
        <v>895</v>
      </c>
      <c r="N236" s="8" t="inlineStr">
        <is>
          <t>淮北矿业</t>
        </is>
      </c>
      <c r="O236" s="7" t="inlineStr">
        <is>
          <t>600985.SH</t>
        </is>
      </c>
      <c r="P236" s="20" t="n">
        <v>403.5</v>
      </c>
      <c r="Q236" s="8" t="inlineStr">
        <is>
          <t>雅化集团</t>
        </is>
      </c>
      <c r="R236" s="7" t="inlineStr">
        <is>
          <t>002497.SZ</t>
        </is>
      </c>
      <c r="S236" s="20" t="n">
        <v>235</v>
      </c>
      <c r="T236" s="8" t="inlineStr">
        <is>
          <t>广东宏大</t>
        </is>
      </c>
      <c r="U236" s="7" t="inlineStr">
        <is>
          <t>002683.SZ</t>
        </is>
      </c>
      <c r="V236" s="20" t="n">
        <v>199.2</v>
      </c>
      <c r="W236" s="8" t="inlineStr">
        <is>
          <t>金石资源</t>
        </is>
      </c>
      <c r="X236" s="7" t="inlineStr">
        <is>
          <t>603505.SH</t>
        </is>
      </c>
      <c r="Y236" s="20" t="n">
        <v>163</v>
      </c>
    </row>
    <row r="237">
      <c r="A237" s="7" t="inlineStr">
        <is>
          <t>885852.TI</t>
        </is>
      </c>
      <c r="B237" s="8">
        <f>[1]!thsiFinD("THS_GPJC_STOCK",$A237)</f>
        <v/>
      </c>
      <c r="C237" s="9">
        <f>[1]!thsiFinD("ths_int_chg_ratio_index",$A237,C$1,C$2)/100</f>
        <v/>
      </c>
      <c r="D237" s="9">
        <f>[1]!thsiFinD("ths_int_chg_ratio_index",$A237,D$1,D$2)/100</f>
        <v/>
      </c>
      <c r="E237" s="9">
        <f>[1]!thsiFinD("ths_int_chg_ratio_index",$A237,E$1,E$2)/100</f>
        <v/>
      </c>
      <c r="F237" s="10">
        <f>D237-(E237-D237)/3</f>
        <v/>
      </c>
      <c r="G237" s="7" t="inlineStr">
        <is>
          <t>产业链</t>
        </is>
      </c>
      <c r="H237" s="7">
        <f>IFERROR(VLOOKUP($I237,'分类规则'!$A$30:$C$200,2,0),"")</f>
        <v/>
      </c>
      <c r="I237" s="7" t="inlineStr">
        <is>
          <t>创新药</t>
        </is>
      </c>
      <c r="J237" s="7">
        <f>IFERROR(VLOOKUP($I237,'分类规则'!$A$30:$C$200,3,0),"")</f>
        <v/>
      </c>
      <c r="K237" s="8" t="inlineStr">
        <is>
          <t>新和成</t>
        </is>
      </c>
      <c r="L237" s="7" t="inlineStr">
        <is>
          <t>002001.SZ</t>
        </is>
      </c>
      <c r="M237" s="20" t="n">
        <v>850.3</v>
      </c>
      <c r="N237" s="8" t="inlineStr">
        <is>
          <t>复星医药</t>
        </is>
      </c>
      <c r="O237" s="7" t="inlineStr">
        <is>
          <t>600196.SH</t>
        </is>
      </c>
      <c r="P237" s="20" t="n">
        <v>461.6</v>
      </c>
      <c r="Q237" s="8" t="inlineStr">
        <is>
          <t>白云山</t>
        </is>
      </c>
      <c r="R237" s="7" t="inlineStr">
        <is>
          <t>600332.SH</t>
        </is>
      </c>
      <c r="S237" s="20" t="n">
        <v>292.1</v>
      </c>
      <c r="T237" s="8" t="inlineStr">
        <is>
          <t>华润双鹤</t>
        </is>
      </c>
      <c r="U237" s="7" t="inlineStr">
        <is>
          <t>600062.SH</t>
        </is>
      </c>
      <c r="V237" s="20" t="n">
        <v>170.1</v>
      </c>
      <c r="W237" s="8" t="inlineStr">
        <is>
          <t>海正药业</t>
        </is>
      </c>
      <c r="X237" s="7" t="inlineStr">
        <is>
          <t>600267.SH</t>
        </is>
      </c>
      <c r="Y237" s="20" t="n">
        <v>116.3</v>
      </c>
    </row>
    <row r="238">
      <c r="A238" s="7" t="inlineStr">
        <is>
          <t>885759.TI</t>
        </is>
      </c>
      <c r="B238" s="8">
        <f>[1]!thsiFinD("THS_GPJC_STOCK",$A238)</f>
        <v/>
      </c>
      <c r="C238" s="9">
        <f>[1]!thsiFinD("ths_int_chg_ratio_index",$A238,C$1,C$2)/100</f>
        <v/>
      </c>
      <c r="D238" s="9">
        <f>[1]!thsiFinD("ths_int_chg_ratio_index",$A238,D$1,D$2)/100</f>
        <v/>
      </c>
      <c r="E238" s="9">
        <f>[1]!thsiFinD("ths_int_chg_ratio_index",$A238,E$1,E$2)/100</f>
        <v/>
      </c>
      <c r="F238" s="10">
        <f>D238-(E238-D238)/3</f>
        <v/>
      </c>
      <c r="G238" s="7" t="inlineStr">
        <is>
          <t>产业链</t>
        </is>
      </c>
      <c r="H238" s="7">
        <f>IFERROR(VLOOKUP($I238,'分类规则'!$A$30:$C$200,2,0),"")</f>
        <v/>
      </c>
      <c r="I238" s="7" t="inlineStr">
        <is>
          <t>AI应用</t>
        </is>
      </c>
      <c r="J238" s="7">
        <f>IFERROR(VLOOKUP($I238,'分类规则'!$A$30:$C$200,3,0),"")</f>
        <v/>
      </c>
      <c r="K238" s="8" t="n"/>
      <c r="L238" s="7" t="n"/>
      <c r="M238" s="7" t="n"/>
      <c r="N238" s="8" t="n"/>
      <c r="O238" s="7" t="n"/>
      <c r="P238" s="7" t="n"/>
      <c r="Q238" s="8" t="n"/>
      <c r="R238" s="7" t="n"/>
      <c r="S238" s="7" t="n"/>
      <c r="T238" s="8" t="n"/>
      <c r="U238" s="7" t="n"/>
      <c r="V238" s="7" t="n"/>
      <c r="W238" s="8" t="n"/>
      <c r="X238" s="7" t="n"/>
      <c r="Y238" s="7" t="n"/>
    </row>
    <row r="239">
      <c r="A239" s="7" t="inlineStr">
        <is>
          <t>885770.TI</t>
        </is>
      </c>
      <c r="B239" s="8">
        <f>[1]!thsiFinD("THS_GPJC_STOCK",$A239)</f>
        <v/>
      </c>
      <c r="C239" s="9">
        <f>[1]!thsiFinD("ths_int_chg_ratio_index",$A239,C$1,C$2)/100</f>
        <v/>
      </c>
      <c r="D239" s="9">
        <f>[1]!thsiFinD("ths_int_chg_ratio_index",$A239,D$1,D$2)/100</f>
        <v/>
      </c>
      <c r="E239" s="9">
        <f>[1]!thsiFinD("ths_int_chg_ratio_index",$A239,E$1,E$2)/100</f>
        <v/>
      </c>
      <c r="F239" s="10">
        <f>D239-(E239-D239)/3</f>
        <v/>
      </c>
      <c r="G239" s="7" t="inlineStr">
        <is>
          <t>产业链</t>
        </is>
      </c>
      <c r="H239" s="7">
        <f>IFERROR(VLOOKUP($I239,'分类规则'!$A$30:$C$200,2,0),"")</f>
        <v/>
      </c>
      <c r="I239" s="7" t="inlineStr">
        <is>
          <t>AIoT/物联网</t>
        </is>
      </c>
      <c r="J239" s="7">
        <f>IFERROR(VLOOKUP($I239,'分类规则'!$A$30:$C$200,3,0),"")</f>
        <v/>
      </c>
      <c r="K239" s="8" t="inlineStr">
        <is>
          <t>蓝思科技</t>
        </is>
      </c>
      <c r="L239" s="7" t="inlineStr">
        <is>
          <t>300433.SZ</t>
        </is>
      </c>
      <c r="M239" s="20" t="n">
        <v>2771.6</v>
      </c>
      <c r="N239" s="8" t="inlineStr">
        <is>
          <t>格力电器</t>
        </is>
      </c>
      <c r="O239" s="7" t="inlineStr">
        <is>
          <t>000651.SZ</t>
        </is>
      </c>
      <c r="P239" s="20" t="n">
        <v>2027.7</v>
      </c>
      <c r="Q239" s="8" t="inlineStr">
        <is>
          <t>顺丰控股</t>
        </is>
      </c>
      <c r="R239" s="7" t="inlineStr">
        <is>
          <t>002352.SZ</t>
        </is>
      </c>
      <c r="S239" s="20" t="n">
        <v>1504.9</v>
      </c>
      <c r="T239" s="8" t="inlineStr">
        <is>
          <t>潍柴动力</t>
        </is>
      </c>
      <c r="U239" s="7" t="inlineStr">
        <is>
          <t>000338.SZ</t>
        </is>
      </c>
      <c r="V239" s="20" t="n">
        <v>1490.4</v>
      </c>
      <c r="W239" s="8" t="inlineStr">
        <is>
          <t>中控技术</t>
        </is>
      </c>
      <c r="X239" s="7" t="inlineStr">
        <is>
          <t>688777.SH</t>
        </is>
      </c>
      <c r="Y239" s="20" t="n">
        <v>980.1</v>
      </c>
    </row>
    <row r="240">
      <c r="A240" s="7" t="inlineStr">
        <is>
          <t>885640.TI</t>
        </is>
      </c>
      <c r="B240" s="8">
        <f>[1]!thsiFinD("THS_GPJC_STOCK",$A240)</f>
        <v/>
      </c>
      <c r="C240" s="9">
        <f>[1]!thsiFinD("ths_int_chg_ratio_index",$A240,C$1,C$2)/100</f>
        <v/>
      </c>
      <c r="D240" s="9">
        <f>[1]!thsiFinD("ths_int_chg_ratio_index",$A240,D$1,D$2)/100</f>
        <v/>
      </c>
      <c r="E240" s="9">
        <f>[1]!thsiFinD("ths_int_chg_ratio_index",$A240,E$1,E$2)/100</f>
        <v/>
      </c>
      <c r="F240" s="10">
        <f>D240-(E240-D240)/3</f>
        <v/>
      </c>
      <c r="G240" s="7" t="inlineStr">
        <is>
          <t>产业链</t>
        </is>
      </c>
      <c r="H240" s="7">
        <f>IFERROR(VLOOKUP($I240,'分类规则'!$A$30:$C$200,2,0),"")</f>
        <v/>
      </c>
      <c r="I240" s="7" t="inlineStr">
        <is>
          <t>化工</t>
        </is>
      </c>
      <c r="J240" s="7">
        <f>IFERROR(VLOOKUP($I240,'分类规则'!$A$30:$C$200,3,0),"")</f>
        <v/>
      </c>
      <c r="K240" s="8" t="inlineStr">
        <is>
          <t>兴发集团</t>
        </is>
      </c>
      <c r="L240" s="7" t="inlineStr">
        <is>
          <t>600141.SH</t>
        </is>
      </c>
      <c r="M240" s="20" t="n">
        <v>464.5</v>
      </c>
      <c r="N240" s="8" t="inlineStr">
        <is>
          <t>扬农化工</t>
        </is>
      </c>
      <c r="O240" s="7" t="inlineStr">
        <is>
          <t>600486.SH</t>
        </is>
      </c>
      <c r="P240" s="20" t="n">
        <v>217.8</v>
      </c>
      <c r="Q240" s="8" t="inlineStr">
        <is>
          <t>新安股份</t>
        </is>
      </c>
      <c r="R240" s="7" t="inlineStr">
        <is>
          <t>600596.SH</t>
        </is>
      </c>
      <c r="S240" s="20" t="n">
        <v>207.6</v>
      </c>
      <c r="T240" s="8" t="inlineStr">
        <is>
          <t>和邦生物</t>
        </is>
      </c>
      <c r="U240" s="7" t="inlineStr">
        <is>
          <t>603077.SH</t>
        </is>
      </c>
      <c r="V240" s="20" t="n">
        <v>204.9</v>
      </c>
      <c r="W240" s="8" t="inlineStr">
        <is>
          <t>润丰股份</t>
        </is>
      </c>
      <c r="X240" s="7" t="inlineStr">
        <is>
          <t>301035.SZ</t>
        </is>
      </c>
      <c r="Y240" s="20" t="n">
        <v>181.3</v>
      </c>
    </row>
    <row r="241">
      <c r="A241" s="7" t="inlineStr">
        <is>
          <t>886040.TI</t>
        </is>
      </c>
      <c r="B241" s="8">
        <f>[1]!thsiFinD("THS_GPJC_STOCK",$A241)</f>
        <v/>
      </c>
      <c r="C241" s="9">
        <f>[1]!thsiFinD("ths_int_chg_ratio_index",$A241,C$1,C$2)/100</f>
        <v/>
      </c>
      <c r="D241" s="9">
        <f>[1]!thsiFinD("ths_int_chg_ratio_index",$A241,D$1,D$2)/100</f>
        <v/>
      </c>
      <c r="E241" s="9">
        <f>[1]!thsiFinD("ths_int_chg_ratio_index",$A241,E$1,E$2)/100</f>
        <v/>
      </c>
      <c r="F241" s="10">
        <f>D241-(E241-D241)/3</f>
        <v/>
      </c>
      <c r="G241" s="7" t="inlineStr">
        <is>
          <t>产业链</t>
        </is>
      </c>
      <c r="H241" s="7">
        <f>IFERROR(VLOOKUP($I241,'分类规则'!$A$30:$C$200,2,0),"")</f>
        <v/>
      </c>
      <c r="I241" s="7" t="inlineStr">
        <is>
          <t>AI应用</t>
        </is>
      </c>
      <c r="J241" s="7">
        <f>IFERROR(VLOOKUP($I241,'分类规则'!$A$30:$C$200,3,0),"")</f>
        <v/>
      </c>
      <c r="K241" s="8" t="inlineStr">
        <is>
          <t>传音控股</t>
        </is>
      </c>
      <c r="L241" s="7" t="inlineStr">
        <is>
          <t>688036.SH</t>
        </is>
      </c>
      <c r="M241" s="20" t="n">
        <v>616</v>
      </c>
      <c r="N241" s="8" t="inlineStr">
        <is>
          <t>奥比中光</t>
        </is>
      </c>
      <c r="O241" s="7" t="inlineStr">
        <is>
          <t>688322.SH</t>
        </is>
      </c>
      <c r="P241" s="20" t="n">
        <v>426.2</v>
      </c>
      <c r="Q241" s="8" t="inlineStr">
        <is>
          <t>润和软件</t>
        </is>
      </c>
      <c r="R241" s="7" t="inlineStr">
        <is>
          <t>300339.SZ</t>
        </is>
      </c>
      <c r="S241" s="20" t="n">
        <v>312.7</v>
      </c>
      <c r="T241" s="8" t="inlineStr">
        <is>
          <t>中科创达</t>
        </is>
      </c>
      <c r="U241" s="7" t="inlineStr">
        <is>
          <t>300496.SZ</t>
        </is>
      </c>
      <c r="V241" s="20" t="n">
        <v>243.4</v>
      </c>
      <c r="W241" s="8" t="inlineStr">
        <is>
          <t>光环新网</t>
        </is>
      </c>
      <c r="X241" s="7" t="inlineStr">
        <is>
          <t>300383.SZ</t>
        </is>
      </c>
      <c r="Y241" s="20" t="n">
        <v>231.5</v>
      </c>
    </row>
    <row r="242">
      <c r="A242" s="7" t="inlineStr">
        <is>
          <t>885781.TI</t>
        </is>
      </c>
      <c r="B242" s="8">
        <f>[1]!thsiFinD("THS_GPJC_STOCK",$A242)</f>
        <v/>
      </c>
      <c r="C242" s="9">
        <f>[1]!thsiFinD("ths_int_chg_ratio_index",$A242,C$1,C$2)/100</f>
        <v/>
      </c>
      <c r="D242" s="9">
        <f>[1]!thsiFinD("ths_int_chg_ratio_index",$A242,D$1,D$2)/100</f>
        <v/>
      </c>
      <c r="E242" s="9">
        <f>[1]!thsiFinD("ths_int_chg_ratio_index",$A242,E$1,E$2)/100</f>
        <v/>
      </c>
      <c r="F242" s="10">
        <f>D242-(E242-D242)/3</f>
        <v/>
      </c>
      <c r="G242" s="7" t="inlineStr">
        <is>
          <t>产业链</t>
        </is>
      </c>
      <c r="H242" s="7">
        <f>IFERROR(VLOOKUP($I242,'分类规则'!$A$30:$C$200,2,0),"")</f>
        <v/>
      </c>
      <c r="I242" s="7" t="inlineStr">
        <is>
          <t>钢铁/电极材料</t>
        </is>
      </c>
      <c r="J242" s="7">
        <f>IFERROR(VLOOKUP($I242,'分类规则'!$A$30:$C$200,3,0),"")</f>
        <v/>
      </c>
      <c r="K242" s="8" t="inlineStr">
        <is>
          <t>宝钢股份</t>
        </is>
      </c>
      <c r="L242" s="7" t="inlineStr">
        <is>
          <t>600019.SH</t>
        </is>
      </c>
      <c r="M242" s="20" t="n">
        <v>1216.3</v>
      </c>
      <c r="N242" s="8" t="inlineStr">
        <is>
          <t>璞泰来</t>
        </is>
      </c>
      <c r="O242" s="7" t="inlineStr">
        <is>
          <t>603659.SH</t>
        </is>
      </c>
      <c r="P242" s="20" t="n">
        <v>632.4</v>
      </c>
      <c r="Q242" s="8" t="inlineStr">
        <is>
          <t>合盛硅业</t>
        </is>
      </c>
      <c r="R242" s="7" t="inlineStr">
        <is>
          <t>603260.SH</t>
        </is>
      </c>
      <c r="S242" s="20" t="n">
        <v>572.2</v>
      </c>
      <c r="T242" s="8" t="inlineStr">
        <is>
          <t>龙佰集团</t>
        </is>
      </c>
      <c r="U242" s="7" t="inlineStr">
        <is>
          <t>002601.SZ</t>
        </is>
      </c>
      <c r="V242" s="20" t="n">
        <v>307.7</v>
      </c>
      <c r="W242" s="8" t="inlineStr">
        <is>
          <t>贝特瑞</t>
        </is>
      </c>
      <c r="X242" s="7" t="inlineStr">
        <is>
          <t>920185.BJ</t>
        </is>
      </c>
      <c r="Y242" s="20" t="n">
        <v>296.8</v>
      </c>
    </row>
    <row r="243">
      <c r="A243" s="7" t="inlineStr">
        <is>
          <t>886060.TI</t>
        </is>
      </c>
      <c r="B243" s="8">
        <f>[1]!thsiFinD("THS_GPJC_STOCK",$A243)</f>
        <v/>
      </c>
      <c r="C243" s="9">
        <f>[1]!thsiFinD("ths_int_chg_ratio_index",$A243,C$1,C$2)/100</f>
        <v/>
      </c>
      <c r="D243" s="9">
        <f>[1]!thsiFinD("ths_int_chg_ratio_index",$A243,D$1,D$2)/100</f>
        <v/>
      </c>
      <c r="E243" s="9">
        <f>[1]!thsiFinD("ths_int_chg_ratio_index",$A243,E$1,E$2)/100</f>
        <v/>
      </c>
      <c r="F243" s="10">
        <f>D243-(E243-D243)/3</f>
        <v/>
      </c>
      <c r="G243" s="7" t="inlineStr">
        <is>
          <t>产业链</t>
        </is>
      </c>
      <c r="H243" s="7">
        <f>IFERROR(VLOOKUP($I243,'分类规则'!$A$30:$C$200,2,0),"")</f>
        <v/>
      </c>
      <c r="I243" s="7" t="inlineStr">
        <is>
          <t>传媒/游戏</t>
        </is>
      </c>
      <c r="J243" s="7">
        <f>IFERROR(VLOOKUP($I243,'分类规则'!$A$30:$C$200,3,0),"")</f>
        <v/>
      </c>
      <c r="K243" s="8" t="inlineStr">
        <is>
          <t>协创数据</t>
        </is>
      </c>
      <c r="L243" s="7" t="inlineStr">
        <is>
          <t>300857.SZ</t>
        </is>
      </c>
      <c r="M243" s="20" t="n">
        <v>1352.3</v>
      </c>
      <c r="N243" s="8" t="inlineStr">
        <is>
          <t>兆驰股份</t>
        </is>
      </c>
      <c r="O243" s="7" t="inlineStr">
        <is>
          <t>002429.SZ</t>
        </is>
      </c>
      <c r="P243" s="20" t="n">
        <v>537.5</v>
      </c>
      <c r="Q243" s="8" t="inlineStr">
        <is>
          <t>蓝色光标</t>
        </is>
      </c>
      <c r="R243" s="7" t="inlineStr">
        <is>
          <t>300058.SZ</t>
        </is>
      </c>
      <c r="S243" s="20" t="n">
        <v>530.4</v>
      </c>
      <c r="T243" s="8" t="inlineStr">
        <is>
          <t>昆仑万维</t>
        </is>
      </c>
      <c r="U243" s="7" t="inlineStr">
        <is>
          <t>300418.SZ</t>
        </is>
      </c>
      <c r="V243" s="20" t="n">
        <v>505.4</v>
      </c>
      <c r="W243" s="8" t="inlineStr">
        <is>
          <t>岩山科技</t>
        </is>
      </c>
      <c r="X243" s="7" t="inlineStr">
        <is>
          <t>002195.SZ</t>
        </is>
      </c>
      <c r="Y243" s="20" t="n">
        <v>399.8</v>
      </c>
    </row>
    <row r="244">
      <c r="A244" s="7" t="inlineStr">
        <is>
          <t>885805.TI</t>
        </is>
      </c>
      <c r="B244" s="8">
        <f>[1]!thsiFinD("THS_GPJC_STOCK",$A244)</f>
        <v/>
      </c>
      <c r="C244" s="9">
        <f>[1]!thsiFinD("ths_int_chg_ratio_index",$A244,C$1,C$2)/100</f>
        <v/>
      </c>
      <c r="D244" s="9">
        <f>[1]!thsiFinD("ths_int_chg_ratio_index",$A244,D$1,D$2)/100</f>
        <v/>
      </c>
      <c r="E244" s="9">
        <f>[1]!thsiFinD("ths_int_chg_ratio_index",$A244,E$1,E$2)/100</f>
        <v/>
      </c>
      <c r="F244" s="10">
        <f>D244-(E244-D244)/3</f>
        <v/>
      </c>
      <c r="G244" s="7" t="inlineStr">
        <is>
          <t>产业链</t>
        </is>
      </c>
      <c r="H244" s="7">
        <f>IFERROR(VLOOKUP($I244,'分类规则'!$A$30:$C$200,2,0),"")</f>
        <v/>
      </c>
      <c r="I244" s="7" t="inlineStr">
        <is>
          <t>创新药</t>
        </is>
      </c>
      <c r="J244" s="7">
        <f>IFERROR(VLOOKUP($I244,'分类规则'!$A$30:$C$200,3,0),"")</f>
        <v/>
      </c>
      <c r="K244" s="8" t="inlineStr">
        <is>
          <t>ST人福</t>
        </is>
      </c>
      <c r="L244" s="7" t="inlineStr">
        <is>
          <t>600079.SH</t>
        </is>
      </c>
      <c r="M244" s="20" t="n">
        <v>253.2</v>
      </c>
      <c r="N244" s="8" t="inlineStr">
        <is>
          <t>恩华药业</t>
        </is>
      </c>
      <c r="O244" s="7" t="inlineStr">
        <is>
          <t>002262.SZ</t>
        </is>
      </c>
      <c r="P244" s="20" t="n">
        <v>165.2</v>
      </c>
      <c r="Q244" s="8" t="inlineStr">
        <is>
          <t>国药股份</t>
        </is>
      </c>
      <c r="R244" s="7" t="inlineStr">
        <is>
          <t>600511.SH</t>
        </is>
      </c>
      <c r="S244" s="20" t="n">
        <v>150.5</v>
      </c>
      <c r="T244" s="8" t="inlineStr">
        <is>
          <t>羚锐制药</t>
        </is>
      </c>
      <c r="U244" s="7" t="inlineStr">
        <is>
          <t>600285.SH</t>
        </is>
      </c>
      <c r="V244" s="20" t="n">
        <v>114</v>
      </c>
      <c r="W244" s="8" t="inlineStr">
        <is>
          <t>国药现代</t>
        </is>
      </c>
      <c r="X244" s="7" t="inlineStr">
        <is>
          <t>600420.SH</t>
        </is>
      </c>
      <c r="Y244" s="20" t="n">
        <v>110</v>
      </c>
    </row>
    <row r="245">
      <c r="A245" s="7" t="inlineStr">
        <is>
          <t>885797.TI</t>
        </is>
      </c>
      <c r="B245" s="8">
        <f>[1]!thsiFinD("THS_GPJC_STOCK",$A245)</f>
        <v/>
      </c>
      <c r="C245" s="9">
        <f>[1]!thsiFinD("ths_int_chg_ratio_index",$A245,C$1,C$2)/100</f>
        <v/>
      </c>
      <c r="D245" s="9">
        <f>[1]!thsiFinD("ths_int_chg_ratio_index",$A245,D$1,D$2)/100</f>
        <v/>
      </c>
      <c r="E245" s="9">
        <f>[1]!thsiFinD("ths_int_chg_ratio_index",$A245,E$1,E$2)/100</f>
        <v/>
      </c>
      <c r="F245" s="10">
        <f>D245-(E245-D245)/3</f>
        <v/>
      </c>
      <c r="G245" s="7" t="inlineStr">
        <is>
          <t>产业链</t>
        </is>
      </c>
      <c r="H245" s="7">
        <f>IFERROR(VLOOKUP($I245,'分类规则'!$A$30:$C$200,2,0),"")</f>
        <v/>
      </c>
      <c r="I245" s="7" t="inlineStr">
        <is>
          <t>AI应用</t>
        </is>
      </c>
      <c r="J245" s="7">
        <f>IFERROR(VLOOKUP($I245,'分类规则'!$A$30:$C$200,3,0),"")</f>
        <v/>
      </c>
      <c r="K245" s="8" t="n"/>
      <c r="L245" s="7" t="n"/>
      <c r="M245" s="7" t="n"/>
      <c r="N245" s="8" t="n"/>
      <c r="O245" s="7" t="n"/>
      <c r="P245" s="7" t="n"/>
      <c r="Q245" s="8" t="n"/>
      <c r="R245" s="7" t="n"/>
      <c r="S245" s="7" t="n"/>
      <c r="T245" s="8" t="n"/>
      <c r="U245" s="7" t="n"/>
      <c r="V245" s="7" t="n"/>
      <c r="W245" s="8" t="n"/>
      <c r="X245" s="7" t="n"/>
      <c r="Y245" s="7" t="n"/>
    </row>
    <row r="246">
      <c r="A246" s="7" t="inlineStr">
        <is>
          <t>885760.TI</t>
        </is>
      </c>
      <c r="B246" s="8">
        <f>[1]!thsiFinD("THS_GPJC_STOCK",$A246)</f>
        <v/>
      </c>
      <c r="C246" s="9">
        <f>[1]!thsiFinD("ths_int_chg_ratio_index",$A246,C$1,C$2)/100</f>
        <v/>
      </c>
      <c r="D246" s="9">
        <f>[1]!thsiFinD("ths_int_chg_ratio_index",$A246,D$1,D$2)/100</f>
        <v/>
      </c>
      <c r="E246" s="9">
        <f>[1]!thsiFinD("ths_int_chg_ratio_index",$A246,E$1,E$2)/100</f>
        <v/>
      </c>
      <c r="F246" s="10">
        <f>D246-(E246-D246)/3</f>
        <v/>
      </c>
      <c r="G246" s="7" t="inlineStr">
        <is>
          <t>产业链</t>
        </is>
      </c>
      <c r="H246" s="7">
        <f>IFERROR(VLOOKUP($I246,'分类规则'!$A$30:$C$200,2,0),"")</f>
        <v/>
      </c>
      <c r="I246" s="7" t="inlineStr">
        <is>
          <t>地产链</t>
        </is>
      </c>
      <c r="J246" s="7">
        <f>IFERROR(VLOOKUP($I246,'分类规则'!$A$30:$C$200,3,0),"")</f>
        <v/>
      </c>
      <c r="K246" s="8" t="inlineStr">
        <is>
          <t>中国建筑</t>
        </is>
      </c>
      <c r="L246" s="7" t="inlineStr">
        <is>
          <t>601668.SH</t>
        </is>
      </c>
      <c r="M246" s="20" t="n">
        <v>1904.9</v>
      </c>
      <c r="N246" s="8" t="inlineStr">
        <is>
          <t>中国铁建</t>
        </is>
      </c>
      <c r="O246" s="7" t="inlineStr">
        <is>
          <t>601186.SH</t>
        </is>
      </c>
      <c r="P246" s="20" t="n">
        <v>724.7</v>
      </c>
      <c r="Q246" s="8" t="inlineStr">
        <is>
          <t>海螺水泥</t>
        </is>
      </c>
      <c r="R246" s="7" t="inlineStr">
        <is>
          <t>600585.SH</t>
        </is>
      </c>
      <c r="S246" s="20" t="n">
        <v>710.3</v>
      </c>
      <c r="T246" s="8" t="inlineStr">
        <is>
          <t>中国中冶</t>
        </is>
      </c>
      <c r="U246" s="7" t="inlineStr">
        <is>
          <t>601618.SH</t>
        </is>
      </c>
      <c r="V246" s="20" t="n">
        <v>476.7</v>
      </c>
      <c r="W246" s="8" t="inlineStr">
        <is>
          <t>北新建材</t>
        </is>
      </c>
      <c r="X246" s="7" t="inlineStr">
        <is>
          <t>000786.SZ</t>
        </is>
      </c>
      <c r="Y246" s="20" t="n">
        <v>333.2</v>
      </c>
    </row>
    <row r="247">
      <c r="A247" s="7" t="inlineStr">
        <is>
          <t>885617.TI</t>
        </is>
      </c>
      <c r="B247" s="8">
        <f>[1]!thsiFinD("THS_GPJC_STOCK",$A247)</f>
        <v/>
      </c>
      <c r="C247" s="9">
        <f>[1]!thsiFinD("ths_int_chg_ratio_index",$A247,C$1,C$2)/100</f>
        <v/>
      </c>
      <c r="D247" s="9">
        <f>[1]!thsiFinD("ths_int_chg_ratio_index",$A247,D$1,D$2)/100</f>
        <v/>
      </c>
      <c r="E247" s="9">
        <f>[1]!thsiFinD("ths_int_chg_ratio_index",$A247,E$1,E$2)/100</f>
        <v/>
      </c>
      <c r="F247" s="10">
        <f>D247-(E247-D247)/3</f>
        <v/>
      </c>
      <c r="G247" s="7" t="inlineStr">
        <is>
          <t>主题事件</t>
        </is>
      </c>
      <c r="H247" s="7">
        <f>IFERROR(VLOOKUP($I247,'分类规则'!$A$30:$C$200,2,0),"")</f>
        <v/>
      </c>
      <c r="I247" s="7" t="inlineStr">
        <is>
          <t>区域/改革</t>
        </is>
      </c>
      <c r="J247" s="7">
        <f>IFERROR(VLOOKUP($I247,'分类规则'!$A$30:$C$200,3,0),"")</f>
        <v/>
      </c>
      <c r="K247" s="8" t="inlineStr">
        <is>
          <t>紫金矿业</t>
        </is>
      </c>
      <c r="L247" s="7" t="inlineStr">
        <is>
          <t>601899.SH</t>
        </is>
      </c>
      <c r="M247" s="20" t="n">
        <v>6116.7</v>
      </c>
      <c r="N247" s="8" t="inlineStr">
        <is>
          <t>兴业银行</t>
        </is>
      </c>
      <c r="O247" s="7" t="inlineStr">
        <is>
          <t>601166.SH</t>
        </is>
      </c>
      <c r="P247" s="20" t="n">
        <v>3665.4</v>
      </c>
      <c r="Q247" s="8" t="inlineStr">
        <is>
          <t>厦门钨业</t>
        </is>
      </c>
      <c r="R247" s="7" t="inlineStr">
        <is>
          <t>600549.SH</t>
        </is>
      </c>
      <c r="S247" s="20" t="n">
        <v>1335</v>
      </c>
      <c r="T247" s="8" t="inlineStr">
        <is>
          <t>福耀玻璃</t>
        </is>
      </c>
      <c r="U247" s="7" t="inlineStr">
        <is>
          <t>600660.SH</t>
        </is>
      </c>
      <c r="V247" s="20" t="n">
        <v>1000.5</v>
      </c>
      <c r="W247" s="8" t="inlineStr">
        <is>
          <t>三安光电</t>
        </is>
      </c>
      <c r="X247" s="7" t="inlineStr">
        <is>
          <t>600703.SH</t>
        </is>
      </c>
      <c r="Y247" s="20" t="n">
        <v>875.1</v>
      </c>
    </row>
    <row r="248">
      <c r="A248" s="7" t="inlineStr">
        <is>
          <t>885362.TI</t>
        </is>
      </c>
      <c r="B248" s="8">
        <f>[1]!thsiFinD("THS_GPJC_STOCK",$A248)</f>
        <v/>
      </c>
      <c r="C248" s="9">
        <f>[1]!thsiFinD("ths_int_chg_ratio_index",$A248,C$1,C$2)/100</f>
        <v/>
      </c>
      <c r="D248" s="9">
        <f>[1]!thsiFinD("ths_int_chg_ratio_index",$A248,D$1,D$2)/100</f>
        <v/>
      </c>
      <c r="E248" s="9">
        <f>[1]!thsiFinD("ths_int_chg_ratio_index",$A248,E$1,E$2)/100</f>
        <v/>
      </c>
      <c r="F248" s="10">
        <f>D248-(E248-D248)/3</f>
        <v/>
      </c>
      <c r="G248" s="7" t="inlineStr">
        <is>
          <t>产业链</t>
        </is>
      </c>
      <c r="H248" s="7">
        <f>IFERROR(VLOOKUP($I248,'分类规则'!$A$30:$C$200,2,0),"")</f>
        <v/>
      </c>
      <c r="I248" s="7" t="inlineStr">
        <is>
          <t>信创/国产化</t>
        </is>
      </c>
      <c r="J248" s="7">
        <f>IFERROR(VLOOKUP($I248,'分类规则'!$A$30:$C$200,3,0),"")</f>
        <v/>
      </c>
      <c r="K248" s="8" t="n"/>
      <c r="L248" s="7" t="n"/>
      <c r="M248" s="7" t="n"/>
      <c r="N248" s="8" t="n"/>
      <c r="O248" s="7" t="n"/>
      <c r="P248" s="7" t="n"/>
      <c r="Q248" s="8" t="n"/>
      <c r="R248" s="7" t="n"/>
      <c r="S248" s="7" t="n"/>
      <c r="T248" s="8" t="n"/>
      <c r="U248" s="7" t="n"/>
      <c r="V248" s="7" t="n"/>
      <c r="W248" s="8" t="n"/>
      <c r="X248" s="7" t="n"/>
      <c r="Y248" s="7" t="n"/>
    </row>
    <row r="249">
      <c r="A249" s="7" t="inlineStr">
        <is>
          <t>885990.TI</t>
        </is>
      </c>
      <c r="B249" s="8">
        <f>[1]!thsiFinD("THS_GPJC_STOCK",$A249)</f>
        <v/>
      </c>
      <c r="C249" s="9">
        <f>[1]!thsiFinD("ths_int_chg_ratio_index",$A249,C$1,C$2)/100</f>
        <v/>
      </c>
      <c r="D249" s="9">
        <f>[1]!thsiFinD("ths_int_chg_ratio_index",$A249,D$1,D$2)/100</f>
        <v/>
      </c>
      <c r="E249" s="9">
        <f>[1]!thsiFinD("ths_int_chg_ratio_index",$A249,E$1,E$2)/100</f>
        <v/>
      </c>
      <c r="F249" s="10">
        <f>D249-(E249-D249)/3</f>
        <v/>
      </c>
      <c r="G249" s="7" t="inlineStr">
        <is>
          <t>产业链</t>
        </is>
      </c>
      <c r="H249" s="7">
        <f>IFERROR(VLOOKUP($I249,'分类规则'!$A$30:$C$200,2,0),"")</f>
        <v/>
      </c>
      <c r="I249" s="7" t="inlineStr">
        <is>
          <t>商贸/服务</t>
        </is>
      </c>
      <c r="J249" s="7">
        <f>IFERROR(VLOOKUP($I249,'分类规则'!$A$30:$C$200,3,0),"")</f>
        <v/>
      </c>
      <c r="K249" s="8" t="n"/>
      <c r="L249" s="7" t="n"/>
      <c r="M249" s="7" t="n"/>
      <c r="N249" s="8" t="n"/>
      <c r="O249" s="7" t="n"/>
      <c r="P249" s="7" t="n"/>
      <c r="Q249" s="8" t="n"/>
      <c r="R249" s="7" t="n"/>
      <c r="S249" s="7" t="n"/>
      <c r="T249" s="8" t="n"/>
      <c r="U249" s="7" t="n"/>
      <c r="V249" s="7" t="n"/>
      <c r="W249" s="8" t="n"/>
      <c r="X249" s="7" t="n"/>
      <c r="Y249" s="7" t="n"/>
    </row>
    <row r="250">
      <c r="A250" s="7" t="inlineStr">
        <is>
          <t>885572.TI</t>
        </is>
      </c>
      <c r="B250" s="8">
        <f>[1]!thsiFinD("THS_GPJC_STOCK",$A250)</f>
        <v/>
      </c>
      <c r="C250" s="9">
        <f>[1]!thsiFinD("ths_int_chg_ratio_index",$A250,C$1,C$2)/100</f>
        <v/>
      </c>
      <c r="D250" s="9">
        <f>[1]!thsiFinD("ths_int_chg_ratio_index",$A250,D$1,D$2)/100</f>
        <v/>
      </c>
      <c r="E250" s="9">
        <f>[1]!thsiFinD("ths_int_chg_ratio_index",$A250,E$1,E$2)/100</f>
        <v/>
      </c>
      <c r="F250" s="10">
        <f>D250-(E250-D250)/3</f>
        <v/>
      </c>
      <c r="G250" s="7" t="inlineStr">
        <is>
          <t>产业链</t>
        </is>
      </c>
      <c r="H250" s="7">
        <f>IFERROR(VLOOKUP($I250,'分类规则'!$A$30:$C$200,2,0),"")</f>
        <v/>
      </c>
      <c r="I250" s="7" t="inlineStr">
        <is>
          <t>电力运营/储能</t>
        </is>
      </c>
      <c r="J250" s="7">
        <f>IFERROR(VLOOKUP($I250,'分类规则'!$A$30:$C$200,3,0),"")</f>
        <v/>
      </c>
      <c r="K250" s="8" t="inlineStr">
        <is>
          <t>海光信息</t>
        </is>
      </c>
      <c r="L250" s="7" t="inlineStr">
        <is>
          <t>688041.SH</t>
        </is>
      </c>
      <c r="M250" s="20" t="n">
        <v>7623.8</v>
      </c>
      <c r="N250" s="8" t="inlineStr">
        <is>
          <t>长江电力</t>
        </is>
      </c>
      <c r="O250" s="7" t="inlineStr">
        <is>
          <t>600900.SH</t>
        </is>
      </c>
      <c r="P250" s="20" t="n">
        <v>6523.2</v>
      </c>
      <c r="Q250" s="8" t="inlineStr">
        <is>
          <t>亨通光电</t>
        </is>
      </c>
      <c r="R250" s="7" t="inlineStr">
        <is>
          <t>600487.SH</t>
        </is>
      </c>
      <c r="S250" s="20" t="n">
        <v>2714.4</v>
      </c>
      <c r="T250" s="8" t="inlineStr">
        <is>
          <t>中国建筑</t>
        </is>
      </c>
      <c r="U250" s="7" t="inlineStr">
        <is>
          <t>601668.SH</t>
        </is>
      </c>
      <c r="V250" s="20" t="n">
        <v>1904.9</v>
      </c>
      <c r="W250" s="8" t="inlineStr">
        <is>
          <t>国电南瑞</t>
        </is>
      </c>
      <c r="X250" s="7" t="inlineStr">
        <is>
          <t>600406.SH</t>
        </is>
      </c>
      <c r="Y250" s="20" t="n">
        <v>1846.7</v>
      </c>
    </row>
    <row r="251">
      <c r="A251" s="7" t="inlineStr">
        <is>
          <t>885744.TI</t>
        </is>
      </c>
      <c r="B251" s="8">
        <f>[1]!thsiFinD("THS_GPJC_STOCK",$A251)</f>
        <v/>
      </c>
      <c r="C251" s="9">
        <f>[1]!thsiFinD("ths_int_chg_ratio_index",$A251,C$1,C$2)/100</f>
        <v/>
      </c>
      <c r="D251" s="9">
        <f>[1]!thsiFinD("ths_int_chg_ratio_index",$A251,D$1,D$2)/100</f>
        <v/>
      </c>
      <c r="E251" s="9">
        <f>[1]!thsiFinD("ths_int_chg_ratio_index",$A251,E$1,E$2)/100</f>
        <v/>
      </c>
      <c r="F251" s="10">
        <f>D251-(E251-D251)/3</f>
        <v/>
      </c>
      <c r="G251" s="7" t="inlineStr">
        <is>
          <t>主题事件</t>
        </is>
      </c>
      <c r="H251" s="7">
        <f>IFERROR(VLOOKUP($I251,'分类规则'!$A$30:$C$200,2,0),"")</f>
        <v/>
      </c>
      <c r="I251" s="7" t="inlineStr">
        <is>
          <t>区域/改革</t>
        </is>
      </c>
      <c r="J251" s="7">
        <f>IFERROR(VLOOKUP($I251,'分类规则'!$A$30:$C$200,3,0),"")</f>
        <v/>
      </c>
      <c r="K251" s="8" t="inlineStr">
        <is>
          <t>中国中车</t>
        </is>
      </c>
      <c r="L251" s="7" t="inlineStr">
        <is>
          <t>601766.SH</t>
        </is>
      </c>
      <c r="M251" s="20" t="n">
        <v>1362.4</v>
      </c>
      <c r="N251" s="8" t="inlineStr">
        <is>
          <t>中科曙光</t>
        </is>
      </c>
      <c r="O251" s="7" t="inlineStr">
        <is>
          <t>603019.SH</t>
        </is>
      </c>
      <c r="P251" s="20" t="n">
        <v>1297.1</v>
      </c>
      <c r="Q251" s="8" t="inlineStr">
        <is>
          <t>特变电工</t>
        </is>
      </c>
      <c r="R251" s="7" t="inlineStr">
        <is>
          <t>600089.SH</t>
        </is>
      </c>
      <c r="S251" s="20" t="n">
        <v>1178.3</v>
      </c>
      <c r="T251" s="8" t="inlineStr">
        <is>
          <t>长城汽车</t>
        </is>
      </c>
      <c r="U251" s="7" t="inlineStr">
        <is>
          <t>601633.SH</t>
        </is>
      </c>
      <c r="V251" s="20" t="n">
        <v>1097.9</v>
      </c>
      <c r="W251" s="8" t="inlineStr">
        <is>
          <t>科大讯飞</t>
        </is>
      </c>
      <c r="X251" s="7" t="inlineStr">
        <is>
          <t>002230.SZ</t>
        </is>
      </c>
      <c r="Y251" s="20" t="n">
        <v>932.9</v>
      </c>
    </row>
    <row r="252">
      <c r="A252" s="7" t="inlineStr">
        <is>
          <t>885487.TI</t>
        </is>
      </c>
      <c r="B252" s="8">
        <f>[1]!thsiFinD("THS_GPJC_STOCK",$A252)</f>
        <v/>
      </c>
      <c r="C252" s="9">
        <f>[1]!thsiFinD("ths_int_chg_ratio_index",$A252,C$1,C$2)/100</f>
        <v/>
      </c>
      <c r="D252" s="9">
        <f>[1]!thsiFinD("ths_int_chg_ratio_index",$A252,D$1,D$2)/100</f>
        <v/>
      </c>
      <c r="E252" s="9">
        <f>[1]!thsiFinD("ths_int_chg_ratio_index",$A252,E$1,E$2)/100</f>
        <v/>
      </c>
      <c r="F252" s="10">
        <f>D252-(E252-D252)/3</f>
        <v/>
      </c>
      <c r="G252" s="7" t="inlineStr">
        <is>
          <t>主题事件</t>
        </is>
      </c>
      <c r="H252" s="7">
        <f>IFERROR(VLOOKUP($I252,'分类规则'!$A$30:$C$200,2,0),"")</f>
        <v/>
      </c>
      <c r="I252" s="7" t="inlineStr">
        <is>
          <t>区域/改革</t>
        </is>
      </c>
      <c r="J252" s="7">
        <f>IFERROR(VLOOKUP($I252,'分类规则'!$A$30:$C$200,3,0),"")</f>
        <v/>
      </c>
      <c r="K252" s="8" t="inlineStr">
        <is>
          <t>九安医疗</t>
        </is>
      </c>
      <c r="L252" s="7" t="inlineStr">
        <is>
          <t>002432.SZ</t>
        </is>
      </c>
      <c r="M252" s="20" t="n">
        <v>342</v>
      </c>
      <c r="N252" s="8" t="inlineStr">
        <is>
          <t>金开新能</t>
        </is>
      </c>
      <c r="O252" s="7" t="inlineStr">
        <is>
          <t>600821.SH</t>
        </is>
      </c>
      <c r="P252" s="20" t="n">
        <v>128.9</v>
      </c>
      <c r="Q252" s="8" t="inlineStr">
        <is>
          <t>天津港</t>
        </is>
      </c>
      <c r="R252" s="7" t="inlineStr">
        <is>
          <t>600717.SH</t>
        </is>
      </c>
      <c r="S252" s="20" t="n">
        <v>121.8</v>
      </c>
      <c r="T252" s="8" t="inlineStr">
        <is>
          <t>海航科技</t>
        </is>
      </c>
      <c r="U252" s="7" t="inlineStr">
        <is>
          <t>600751.SH</t>
        </is>
      </c>
      <c r="V252" s="20" t="n">
        <v>79.8</v>
      </c>
      <c r="W252" s="8" t="inlineStr">
        <is>
          <t>天津普林</t>
        </is>
      </c>
      <c r="X252" s="7" t="inlineStr">
        <is>
          <t>002134.SZ</t>
        </is>
      </c>
      <c r="Y252" s="20" t="n">
        <v>75.09999999999999</v>
      </c>
    </row>
    <row r="253">
      <c r="A253" s="7" t="inlineStr">
        <is>
          <t>885787.TI</t>
        </is>
      </c>
      <c r="B253" s="8">
        <f>[1]!thsiFinD("THS_GPJC_STOCK",$A253)</f>
        <v/>
      </c>
      <c r="C253" s="9">
        <f>[1]!thsiFinD("ths_int_chg_ratio_index",$A253,C$1,C$2)/100</f>
        <v/>
      </c>
      <c r="D253" s="9">
        <f>[1]!thsiFinD("ths_int_chg_ratio_index",$A253,D$1,D$2)/100</f>
        <v/>
      </c>
      <c r="E253" s="9">
        <f>[1]!thsiFinD("ths_int_chg_ratio_index",$A253,E$1,E$2)/100</f>
        <v/>
      </c>
      <c r="F253" s="10">
        <f>D253-(E253-D253)/3</f>
        <v/>
      </c>
      <c r="G253" s="7" t="inlineStr">
        <is>
          <t>宽基风格</t>
        </is>
      </c>
      <c r="H253" s="7">
        <f>IFERROR(VLOOKUP($I253,'分类规则'!$A$30:$C$200,2,0),"")</f>
        <v/>
      </c>
      <c r="I253" s="7" t="inlineStr">
        <is>
          <t>宽基/成分股</t>
        </is>
      </c>
      <c r="J253" s="7">
        <f>IFERROR(VLOOKUP($I253,'分类规则'!$A$30:$C$200,3,0),"")</f>
        <v/>
      </c>
      <c r="K253" s="8" t="inlineStr">
        <is>
          <t>中国平安</t>
        </is>
      </c>
      <c r="L253" s="7" t="inlineStr">
        <is>
          <t>601318.SH</t>
        </is>
      </c>
      <c r="M253" s="20" t="n">
        <v>5263.9</v>
      </c>
      <c r="N253" s="8" t="inlineStr">
        <is>
          <t>华工科技</t>
        </is>
      </c>
      <c r="O253" s="7" t="inlineStr">
        <is>
          <t>000988.SZ</t>
        </is>
      </c>
      <c r="P253" s="20" t="n">
        <v>1784.4</v>
      </c>
      <c r="Q253" s="8" t="inlineStr">
        <is>
          <t>上汽集团</t>
        </is>
      </c>
      <c r="R253" s="7" t="inlineStr">
        <is>
          <t>600104.SH</t>
        </is>
      </c>
      <c r="S253" s="20" t="n">
        <v>1202.4</v>
      </c>
      <c r="T253" s="8" t="inlineStr">
        <is>
          <t>科大讯飞</t>
        </is>
      </c>
      <c r="U253" s="7" t="inlineStr">
        <is>
          <t>002230.SZ</t>
        </is>
      </c>
      <c r="V253" s="20" t="n">
        <v>932.9</v>
      </c>
      <c r="W253" s="8" t="inlineStr">
        <is>
          <t>上海电气</t>
        </is>
      </c>
      <c r="X253" s="7" t="inlineStr">
        <is>
          <t>601727.SH</t>
        </is>
      </c>
      <c r="Y253" s="20" t="n">
        <v>922.2</v>
      </c>
    </row>
    <row r="254">
      <c r="A254" s="7" t="inlineStr">
        <is>
          <t>885881.TI</t>
        </is>
      </c>
      <c r="B254" s="8">
        <f>[1]!thsiFinD("THS_GPJC_STOCK",$A254)</f>
        <v/>
      </c>
      <c r="C254" s="9">
        <f>[1]!thsiFinD("ths_int_chg_ratio_index",$A254,C$1,C$2)/100</f>
        <v/>
      </c>
      <c r="D254" s="9">
        <f>[1]!thsiFinD("ths_int_chg_ratio_index",$A254,D$1,D$2)/100</f>
        <v/>
      </c>
      <c r="E254" s="9">
        <f>[1]!thsiFinD("ths_int_chg_ratio_index",$A254,E$1,E$2)/100</f>
        <v/>
      </c>
      <c r="F254" s="10">
        <f>D254-(E254-D254)/3</f>
        <v/>
      </c>
      <c r="G254" s="7" t="inlineStr">
        <is>
          <t>产业链</t>
        </is>
      </c>
      <c r="H254" s="7">
        <f>IFERROR(VLOOKUP($I254,'分类规则'!$A$30:$C$200,2,0),"")</f>
        <v/>
      </c>
      <c r="I254" s="7" t="inlineStr">
        <is>
          <t>信创/国产化</t>
        </is>
      </c>
      <c r="J254" s="7">
        <f>IFERROR(VLOOKUP($I254,'分类规则'!$A$30:$C$200,3,0),"")</f>
        <v/>
      </c>
      <c r="K254" s="8" t="inlineStr">
        <is>
          <t>金山办公</t>
        </is>
      </c>
      <c r="L254" s="7" t="inlineStr">
        <is>
          <t>688111.SH</t>
        </is>
      </c>
      <c r="M254" s="20" t="n">
        <v>1008.6</v>
      </c>
      <c r="N254" s="8" t="inlineStr">
        <is>
          <t>锐捷网络</t>
        </is>
      </c>
      <c r="O254" s="7" t="inlineStr">
        <is>
          <t>301165.SZ</t>
        </is>
      </c>
      <c r="P254" s="20" t="n">
        <v>755</v>
      </c>
      <c r="Q254" s="8" t="inlineStr">
        <is>
          <t>三六零</t>
        </is>
      </c>
      <c r="R254" s="7" t="inlineStr">
        <is>
          <t>601360.SH</t>
        </is>
      </c>
      <c r="S254" s="20" t="n">
        <v>655.9</v>
      </c>
      <c r="T254" s="8" t="inlineStr">
        <is>
          <t>深信服</t>
        </is>
      </c>
      <c r="U254" s="7" t="inlineStr">
        <is>
          <t>300454.SZ</t>
        </is>
      </c>
      <c r="V254" s="20" t="n">
        <v>291.5</v>
      </c>
      <c r="W254" s="8" t="inlineStr">
        <is>
          <t>亿联网络</t>
        </is>
      </c>
      <c r="X254" s="7" t="inlineStr">
        <is>
          <t>300628.SZ</t>
        </is>
      </c>
      <c r="Y254" s="20" t="n">
        <v>241</v>
      </c>
    </row>
    <row r="255">
      <c r="A255" s="7" t="inlineStr">
        <is>
          <t>885916.TI</t>
        </is>
      </c>
      <c r="B255" s="8">
        <f>[1]!thsiFinD("THS_GPJC_STOCK",$A255)</f>
        <v/>
      </c>
      <c r="C255" s="9">
        <f>[1]!thsiFinD("ths_int_chg_ratio_index",$A255,C$1,C$2)/100</f>
        <v/>
      </c>
      <c r="D255" s="9">
        <f>[1]!thsiFinD("ths_int_chg_ratio_index",$A255,D$1,D$2)/100</f>
        <v/>
      </c>
      <c r="E255" s="9">
        <f>[1]!thsiFinD("ths_int_chg_ratio_index",$A255,E$1,E$2)/100</f>
        <v/>
      </c>
      <c r="F255" s="10">
        <f>D255-(E255-D255)/3</f>
        <v/>
      </c>
      <c r="G255" s="7" t="inlineStr">
        <is>
          <t>宽基风格</t>
        </is>
      </c>
      <c r="H255" s="7">
        <f>IFERROR(VLOOKUP($I255,'分类规则'!$A$30:$C$200,2,0),"")</f>
        <v/>
      </c>
      <c r="I255" s="7" t="inlineStr">
        <is>
          <t>宽基/成分股</t>
        </is>
      </c>
      <c r="J255" s="7">
        <f>IFERROR(VLOOKUP($I255,'分类规则'!$A$30:$C$200,3,0),"")</f>
        <v/>
      </c>
      <c r="K255" s="8" t="inlineStr">
        <is>
          <t>宁德时代</t>
        </is>
      </c>
      <c r="L255" s="7" t="inlineStr">
        <is>
          <t>300750.SZ</t>
        </is>
      </c>
      <c r="M255" s="20" t="n">
        <v>16668.3</v>
      </c>
      <c r="N255" s="8" t="inlineStr">
        <is>
          <t>工业富联</t>
        </is>
      </c>
      <c r="O255" s="7" t="inlineStr">
        <is>
          <t>601138.SH</t>
        </is>
      </c>
      <c r="P255" s="20" t="n">
        <v>15494.3</v>
      </c>
      <c r="Q255" s="8" t="inlineStr">
        <is>
          <t>贵州茅台</t>
        </is>
      </c>
      <c r="R255" s="7" t="inlineStr">
        <is>
          <t>600519.SH</t>
        </is>
      </c>
      <c r="S255" s="20" t="n">
        <v>15188.5</v>
      </c>
      <c r="T255" s="8" t="inlineStr">
        <is>
          <t>招商银行</t>
        </is>
      </c>
      <c r="U255" s="7" t="inlineStr">
        <is>
          <t>600036.SH</t>
        </is>
      </c>
      <c r="V255" s="20" t="n">
        <v>7686.3</v>
      </c>
      <c r="W255" s="8" t="inlineStr">
        <is>
          <t>中国神华</t>
        </is>
      </c>
      <c r="X255" s="7" t="inlineStr">
        <is>
          <t>601088.SH</t>
        </is>
      </c>
      <c r="Y255" s="20" t="n">
        <v>6804.2</v>
      </c>
    </row>
    <row r="256">
      <c r="A256" s="7" t="inlineStr">
        <is>
          <t>885967.TI</t>
        </is>
      </c>
      <c r="B256" s="8">
        <f>[1]!thsiFinD("THS_GPJC_STOCK",$A256)</f>
        <v/>
      </c>
      <c r="C256" s="9">
        <f>[1]!thsiFinD("ths_int_chg_ratio_index",$A256,C$1,C$2)/100</f>
        <v/>
      </c>
      <c r="D256" s="9">
        <f>[1]!thsiFinD("ths_int_chg_ratio_index",$A256,D$1,D$2)/100</f>
        <v/>
      </c>
      <c r="E256" s="9">
        <f>[1]!thsiFinD("ths_int_chg_ratio_index",$A256,E$1,E$2)/100</f>
        <v/>
      </c>
      <c r="F256" s="10">
        <f>D256-(E256-D256)/3</f>
        <v/>
      </c>
      <c r="G256" s="7" t="inlineStr">
        <is>
          <t>产业链</t>
        </is>
      </c>
      <c r="H256" s="7">
        <f>IFERROR(VLOOKUP($I256,'分类规则'!$A$30:$C$200,2,0),"")</f>
        <v/>
      </c>
      <c r="I256" s="7" t="inlineStr">
        <is>
          <t>化工</t>
        </is>
      </c>
      <c r="J256" s="7">
        <f>IFERROR(VLOOKUP($I256,'分类规则'!$A$30:$C$200,3,0),"")</f>
        <v/>
      </c>
      <c r="K256" s="8" t="inlineStr">
        <is>
          <t>盐湖股份</t>
        </is>
      </c>
      <c r="L256" s="7" t="inlineStr">
        <is>
          <t>000792.SZ</t>
        </is>
      </c>
      <c r="M256" s="20" t="n">
        <v>1574.2</v>
      </c>
      <c r="N256" s="8" t="inlineStr">
        <is>
          <t>中煤能源</t>
        </is>
      </c>
      <c r="O256" s="7" t="inlineStr">
        <is>
          <t>601898.SH</t>
        </is>
      </c>
      <c r="P256" s="20" t="n">
        <v>1235.5</v>
      </c>
      <c r="Q256" s="8" t="inlineStr">
        <is>
          <t>藏格矿业</t>
        </is>
      </c>
      <c r="R256" s="7" t="inlineStr">
        <is>
          <t>000408.SZ</t>
        </is>
      </c>
      <c r="S256" s="20" t="n">
        <v>1199</v>
      </c>
      <c r="T256" s="8" t="inlineStr">
        <is>
          <t>天齐锂业</t>
        </is>
      </c>
      <c r="U256" s="7" t="inlineStr">
        <is>
          <t>002466.SZ</t>
        </is>
      </c>
      <c r="V256" s="20" t="n">
        <v>917.6</v>
      </c>
      <c r="W256" s="8" t="inlineStr">
        <is>
          <t>赣锋锂业</t>
        </is>
      </c>
      <c r="X256" s="7" t="inlineStr">
        <is>
          <t>002460.SZ</t>
        </is>
      </c>
      <c r="Y256" s="20" t="n">
        <v>840.1</v>
      </c>
    </row>
    <row r="257">
      <c r="A257" s="7" t="inlineStr">
        <is>
          <t>885849.TI</t>
        </is>
      </c>
      <c r="B257" s="8">
        <f>[1]!thsiFinD("THS_GPJC_STOCK",$A257)</f>
        <v/>
      </c>
      <c r="C257" s="9">
        <f>[1]!thsiFinD("ths_int_chg_ratio_index",$A257,C$1,C$2)/100</f>
        <v/>
      </c>
      <c r="D257" s="9">
        <f>[1]!thsiFinD("ths_int_chg_ratio_index",$A257,D$1,D$2)/100</f>
        <v/>
      </c>
      <c r="E257" s="9">
        <f>[1]!thsiFinD("ths_int_chg_ratio_index",$A257,E$1,E$2)/100</f>
        <v/>
      </c>
      <c r="F257" s="10">
        <f>D257-(E257-D257)/3</f>
        <v/>
      </c>
      <c r="G257" s="7" t="inlineStr">
        <is>
          <t>主题事件</t>
        </is>
      </c>
      <c r="H257" s="7">
        <f>IFERROR(VLOOKUP($I257,'分类规则'!$A$30:$C$200,2,0),"")</f>
        <v/>
      </c>
      <c r="I257" s="7" t="inlineStr">
        <is>
          <t>区域/改革</t>
        </is>
      </c>
      <c r="J257" s="7">
        <f>IFERROR(VLOOKUP($I257,'分类规则'!$A$30:$C$200,3,0),"")</f>
        <v/>
      </c>
      <c r="K257" s="8" t="inlineStr">
        <is>
          <t>华电能源</t>
        </is>
      </c>
      <c r="L257" s="7" t="inlineStr">
        <is>
          <t>600726.SH</t>
        </is>
      </c>
      <c r="M257" s="20" t="n">
        <v>589.1</v>
      </c>
      <c r="N257" s="8" t="inlineStr">
        <is>
          <t>北大荒</t>
        </is>
      </c>
      <c r="O257" s="7" t="inlineStr">
        <is>
          <t>600598.SH</t>
        </is>
      </c>
      <c r="P257" s="20" t="n">
        <v>245</v>
      </c>
      <c r="Q257" s="8" t="inlineStr">
        <is>
          <t>中国一重</t>
        </is>
      </c>
      <c r="R257" s="7" t="inlineStr">
        <is>
          <t>601106.SH</t>
        </is>
      </c>
      <c r="S257" s="20" t="n">
        <v>239.3</v>
      </c>
      <c r="T257" s="8" t="inlineStr">
        <is>
          <t>湘财股份</t>
        </is>
      </c>
      <c r="U257" s="7" t="inlineStr">
        <is>
          <t>600095.SH</t>
        </is>
      </c>
      <c r="V257" s="20" t="n">
        <v>221.3</v>
      </c>
      <c r="W257" s="8" t="inlineStr">
        <is>
          <t>中直股份</t>
        </is>
      </c>
      <c r="X257" s="7" t="inlineStr">
        <is>
          <t>600038.SH</t>
        </is>
      </c>
      <c r="Y257" s="20" t="n">
        <v>179.7</v>
      </c>
    </row>
    <row r="258">
      <c r="A258" s="7" t="inlineStr">
        <is>
          <t>885662.TI</t>
        </is>
      </c>
      <c r="B258" s="8">
        <f>[1]!thsiFinD("THS_GPJC_STOCK",$A258)</f>
        <v/>
      </c>
      <c r="C258" s="9">
        <f>[1]!thsiFinD("ths_int_chg_ratio_index",$A258,C$1,C$2)/100</f>
        <v/>
      </c>
      <c r="D258" s="9">
        <f>[1]!thsiFinD("ths_int_chg_ratio_index",$A258,D$1,D$2)/100</f>
        <v/>
      </c>
      <c r="E258" s="9">
        <f>[1]!thsiFinD("ths_int_chg_ratio_index",$A258,E$1,E$2)/100</f>
        <v/>
      </c>
      <c r="F258" s="10">
        <f>D258-(E258-D258)/3</f>
        <v/>
      </c>
      <c r="G258" s="7" t="inlineStr">
        <is>
          <t>产业链</t>
        </is>
      </c>
      <c r="H258" s="7">
        <f>IFERROR(VLOOKUP($I258,'分类规则'!$A$30:$C$200,2,0),"")</f>
        <v/>
      </c>
      <c r="I258" s="7" t="inlineStr">
        <is>
          <t>AIoT/物联网</t>
        </is>
      </c>
      <c r="J258" s="7">
        <f>IFERROR(VLOOKUP($I258,'分类规则'!$A$30:$C$200,3,0),"")</f>
        <v/>
      </c>
      <c r="K258" s="8" t="inlineStr">
        <is>
          <t>比亚迪</t>
        </is>
      </c>
      <c r="L258" s="7" t="inlineStr">
        <is>
          <t>002594.SZ</t>
        </is>
      </c>
      <c r="M258" s="20" t="n">
        <v>3072.8</v>
      </c>
      <c r="N258" s="8" t="inlineStr">
        <is>
          <t>国电南瑞</t>
        </is>
      </c>
      <c r="O258" s="7" t="inlineStr">
        <is>
          <t>600406.SH</t>
        </is>
      </c>
      <c r="P258" s="20" t="n">
        <v>1846.7</v>
      </c>
      <c r="Q258" s="8" t="inlineStr">
        <is>
          <t>中兴通讯</t>
        </is>
      </c>
      <c r="R258" s="7" t="inlineStr">
        <is>
          <t>000063.SZ</t>
        </is>
      </c>
      <c r="S258" s="20" t="n">
        <v>1526.1</v>
      </c>
      <c r="T258" s="8" t="inlineStr">
        <is>
          <t>潍柴动力</t>
        </is>
      </c>
      <c r="U258" s="7" t="inlineStr">
        <is>
          <t>000338.SZ</t>
        </is>
      </c>
      <c r="V258" s="20" t="n">
        <v>1490.4</v>
      </c>
      <c r="W258" s="8" t="inlineStr">
        <is>
          <t>协创数据</t>
        </is>
      </c>
      <c r="X258" s="7" t="inlineStr">
        <is>
          <t>300857.SZ</t>
        </is>
      </c>
      <c r="Y258" s="20" t="n">
        <v>1352.3</v>
      </c>
    </row>
    <row r="259">
      <c r="A259" s="7" t="inlineStr">
        <is>
          <t>886099.TI</t>
        </is>
      </c>
      <c r="B259" s="8">
        <f>[1]!thsiFinD("THS_GPJC_STOCK",$A259)</f>
        <v/>
      </c>
      <c r="C259" s="9">
        <f>[1]!thsiFinD("ths_int_chg_ratio_index",$A259,C$1,C$2)/100</f>
        <v/>
      </c>
      <c r="D259" s="9">
        <f>[1]!thsiFinD("ths_int_chg_ratio_index",$A259,D$1,D$2)/100</f>
        <v/>
      </c>
      <c r="E259" s="9">
        <f>[1]!thsiFinD("ths_int_chg_ratio_index",$A259,E$1,E$2)/100</f>
        <v/>
      </c>
      <c r="F259" s="10">
        <f>D259-(E259-D259)/3</f>
        <v/>
      </c>
      <c r="G259" s="7" t="inlineStr">
        <is>
          <t>产业链</t>
        </is>
      </c>
      <c r="H259" s="7">
        <f>IFERROR(VLOOKUP($I259,'分类规则'!$A$30:$C$200,2,0),"")</f>
        <v/>
      </c>
      <c r="I259" s="7" t="inlineStr">
        <is>
          <t>AI应用</t>
        </is>
      </c>
      <c r="J259" s="7">
        <f>IFERROR(VLOOKUP($I259,'分类规则'!$A$30:$C$200,3,0),"")</f>
        <v/>
      </c>
      <c r="K259" s="8" t="n"/>
      <c r="L259" s="7" t="n"/>
      <c r="M259" s="7" t="n"/>
      <c r="N259" s="8" t="n"/>
      <c r="O259" s="7" t="n"/>
      <c r="P259" s="7" t="n"/>
      <c r="Q259" s="8" t="n"/>
      <c r="R259" s="7" t="n"/>
      <c r="S259" s="7" t="n"/>
      <c r="T259" s="8" t="n"/>
      <c r="U259" s="7" t="n"/>
      <c r="V259" s="7" t="n"/>
      <c r="W259" s="8" t="n"/>
      <c r="X259" s="7" t="n"/>
      <c r="Y259" s="7" t="n"/>
    </row>
    <row r="260">
      <c r="A260" s="7" t="inlineStr">
        <is>
          <t>886056.TI</t>
        </is>
      </c>
      <c r="B260" s="8">
        <f>[1]!thsiFinD("THS_GPJC_STOCK",$A260)</f>
        <v/>
      </c>
      <c r="C260" s="9">
        <f>[1]!thsiFinD("ths_int_chg_ratio_index",$A260,C$1,C$2)/100</f>
        <v/>
      </c>
      <c r="D260" s="9">
        <f>[1]!thsiFinD("ths_int_chg_ratio_index",$A260,D$1,D$2)/100</f>
        <v/>
      </c>
      <c r="E260" s="9">
        <f>[1]!thsiFinD("ths_int_chg_ratio_index",$A260,E$1,E$2)/100</f>
        <v/>
      </c>
      <c r="F260" s="10">
        <f>D260-(E260-D260)/3</f>
        <v/>
      </c>
      <c r="G260" s="7" t="inlineStr">
        <is>
          <t>产业链</t>
        </is>
      </c>
      <c r="H260" s="7">
        <f>IFERROR(VLOOKUP($I260,'分类规则'!$A$30:$C$200,2,0),"")</f>
        <v/>
      </c>
      <c r="I260" s="7" t="inlineStr">
        <is>
          <t>创新药</t>
        </is>
      </c>
      <c r="J260" s="7">
        <f>IFERROR(VLOOKUP($I260,'分类规则'!$A$30:$C$200,3,0),"")</f>
        <v/>
      </c>
      <c r="K260" s="8" t="n"/>
      <c r="L260" s="7" t="n"/>
      <c r="M260" s="7" t="n"/>
      <c r="N260" s="8" t="n"/>
      <c r="O260" s="7" t="n"/>
      <c r="P260" s="7" t="n"/>
      <c r="Q260" s="8" t="n"/>
      <c r="R260" s="7" t="n"/>
      <c r="S260" s="7" t="n"/>
      <c r="T260" s="8" t="n"/>
      <c r="U260" s="7" t="n"/>
      <c r="V260" s="7" t="n"/>
      <c r="W260" s="8" t="n"/>
      <c r="X260" s="7" t="n"/>
      <c r="Y260" s="7" t="n"/>
    </row>
    <row r="261">
      <c r="A261" s="7" t="inlineStr">
        <is>
          <t>885378.TI</t>
        </is>
      </c>
      <c r="B261" s="8">
        <f>[1]!thsiFinD("THS_GPJC_STOCK",$A261)</f>
        <v/>
      </c>
      <c r="C261" s="9">
        <f>[1]!thsiFinD("ths_int_chg_ratio_index",$A261,C$1,C$2)/100</f>
        <v/>
      </c>
      <c r="D261" s="9">
        <f>[1]!thsiFinD("ths_int_chg_ratio_index",$A261,D$1,D$2)/100</f>
        <v/>
      </c>
      <c r="E261" s="9">
        <f>[1]!thsiFinD("ths_int_chg_ratio_index",$A261,E$1,E$2)/100</f>
        <v/>
      </c>
      <c r="F261" s="10">
        <f>D261-(E261-D261)/3</f>
        <v/>
      </c>
      <c r="G261" s="7" t="inlineStr">
        <is>
          <t>产业链</t>
        </is>
      </c>
      <c r="H261" s="7">
        <f>IFERROR(VLOOKUP($I261,'分类规则'!$A$30:$C$200,2,0),"")</f>
        <v/>
      </c>
      <c r="I261" s="7" t="inlineStr">
        <is>
          <t>AIoT/物联网</t>
        </is>
      </c>
      <c r="J261" s="7">
        <f>IFERROR(VLOOKUP($I261,'分类规则'!$A$30:$C$200,3,0),"")</f>
        <v/>
      </c>
      <c r="K261" s="8" t="n"/>
      <c r="L261" s="7" t="n"/>
      <c r="M261" s="7" t="n"/>
      <c r="N261" s="8" t="n"/>
      <c r="O261" s="7" t="n"/>
      <c r="P261" s="7" t="n"/>
      <c r="Q261" s="8" t="n"/>
      <c r="R261" s="7" t="n"/>
      <c r="S261" s="7" t="n"/>
      <c r="T261" s="8" t="n"/>
      <c r="U261" s="7" t="n"/>
      <c r="V261" s="7" t="n"/>
      <c r="W261" s="8" t="n"/>
      <c r="X261" s="7" t="n"/>
      <c r="Y261" s="7" t="n"/>
    </row>
    <row r="262">
      <c r="A262" s="7" t="inlineStr">
        <is>
          <t>885578.TI</t>
        </is>
      </c>
      <c r="B262" s="8">
        <f>[1]!thsiFinD("THS_GPJC_STOCK",$A262)</f>
        <v/>
      </c>
      <c r="C262" s="9">
        <f>[1]!thsiFinD("ths_int_chg_ratio_index",$A262,C$1,C$2)/100</f>
        <v/>
      </c>
      <c r="D262" s="9">
        <f>[1]!thsiFinD("ths_int_chg_ratio_index",$A262,D$1,D$2)/100</f>
        <v/>
      </c>
      <c r="E262" s="9">
        <f>[1]!thsiFinD("ths_int_chg_ratio_index",$A262,E$1,E$2)/100</f>
        <v/>
      </c>
      <c r="F262" s="10">
        <f>D262-(E262-D262)/3</f>
        <v/>
      </c>
      <c r="G262" s="7" t="inlineStr">
        <is>
          <t>产业链</t>
        </is>
      </c>
      <c r="H262" s="7">
        <f>IFERROR(VLOOKUP($I262,'分类规则'!$A$30:$C$200,2,0),"")</f>
        <v/>
      </c>
      <c r="I262" s="7" t="inlineStr">
        <is>
          <t>医疗器械</t>
        </is>
      </c>
      <c r="J262" s="7">
        <f>IFERROR(VLOOKUP($I262,'分类规则'!$A$30:$C$200,3,0),"")</f>
        <v/>
      </c>
      <c r="K262" s="8" t="inlineStr">
        <is>
          <t>华工科技</t>
        </is>
      </c>
      <c r="L262" s="7" t="inlineStr">
        <is>
          <t>000988.SZ</t>
        </is>
      </c>
      <c r="M262" s="20" t="n">
        <v>1784.4</v>
      </c>
      <c r="N262" s="8" t="inlineStr">
        <is>
          <t>温氏股份</t>
        </is>
      </c>
      <c r="O262" s="7" t="inlineStr">
        <is>
          <t>300498.SZ</t>
        </is>
      </c>
      <c r="P262" s="20" t="n">
        <v>735.1</v>
      </c>
      <c r="Q262" s="8" t="inlineStr">
        <is>
          <t>茂莱光学</t>
        </is>
      </c>
      <c r="R262" s="7" t="inlineStr">
        <is>
          <t>688502.SH</t>
        </is>
      </c>
      <c r="S262" s="20" t="n">
        <v>274.6</v>
      </c>
      <c r="T262" s="8" t="inlineStr">
        <is>
          <t>九州通</t>
        </is>
      </c>
      <c r="U262" s="7" t="inlineStr">
        <is>
          <t>600998.SH</t>
        </is>
      </c>
      <c r="V262" s="20" t="n">
        <v>243.6</v>
      </c>
      <c r="W262" s="8" t="inlineStr">
        <is>
          <t>贝达药业</t>
        </is>
      </c>
      <c r="X262" s="7" t="inlineStr">
        <is>
          <t>300558.SZ</t>
        </is>
      </c>
      <c r="Y262" s="20" t="n">
        <v>230.6</v>
      </c>
    </row>
    <row r="263">
      <c r="A263" s="7" t="inlineStr">
        <is>
          <t>885839.TI</t>
        </is>
      </c>
      <c r="B263" s="8">
        <f>[1]!thsiFinD("THS_GPJC_STOCK",$A263)</f>
        <v/>
      </c>
      <c r="C263" s="9">
        <f>[1]!thsiFinD("ths_int_chg_ratio_index",$A263,C$1,C$2)/100</f>
        <v/>
      </c>
      <c r="D263" s="9">
        <f>[1]!thsiFinD("ths_int_chg_ratio_index",$A263,D$1,D$2)/100</f>
        <v/>
      </c>
      <c r="E263" s="9">
        <f>[1]!thsiFinD("ths_int_chg_ratio_index",$A263,E$1,E$2)/100</f>
        <v/>
      </c>
      <c r="F263" s="10">
        <f>D263-(E263-D263)/3</f>
        <v/>
      </c>
      <c r="G263" s="7" t="inlineStr">
        <is>
          <t>产业链</t>
        </is>
      </c>
      <c r="H263" s="7">
        <f>IFERROR(VLOOKUP($I263,'分类规则'!$A$30:$C$200,2,0),"")</f>
        <v/>
      </c>
      <c r="I263" s="7" t="inlineStr">
        <is>
          <t>食品饮料</t>
        </is>
      </c>
      <c r="J263" s="7">
        <f>IFERROR(VLOOKUP($I263,'分类规则'!$A$30:$C$200,3,0),"")</f>
        <v/>
      </c>
      <c r="K263" s="8" t="inlineStr">
        <is>
          <t>双汇发展</t>
        </is>
      </c>
      <c r="L263" s="7" t="inlineStr">
        <is>
          <t>000895.SZ</t>
        </is>
      </c>
      <c r="M263" s="20" t="n">
        <v>789.5</v>
      </c>
      <c r="N263" s="8" t="inlineStr">
        <is>
          <t>安琪酵母</t>
        </is>
      </c>
      <c r="O263" s="7" t="inlineStr">
        <is>
          <t>600298.SH</t>
        </is>
      </c>
      <c r="P263" s="20" t="n">
        <v>287.1</v>
      </c>
      <c r="Q263" s="8" t="inlineStr">
        <is>
          <t>国恩股份</t>
        </is>
      </c>
      <c r="R263" s="7" t="inlineStr">
        <is>
          <t>002768.SZ</t>
        </is>
      </c>
      <c r="S263" s="20" t="n">
        <v>140.9</v>
      </c>
      <c r="T263" s="8" t="inlineStr">
        <is>
          <t>金字火腿</t>
        </is>
      </c>
      <c r="U263" s="7" t="inlineStr">
        <is>
          <t>002515.SZ</t>
        </is>
      </c>
      <c r="V263" s="20" t="n">
        <v>106.1</v>
      </c>
      <c r="W263" s="8" t="inlineStr">
        <is>
          <t>诚志股份</t>
        </is>
      </c>
      <c r="X263" s="7" t="inlineStr">
        <is>
          <t>000990.SZ</t>
        </is>
      </c>
      <c r="Y263" s="20" t="n">
        <v>105.1</v>
      </c>
    </row>
    <row r="264">
      <c r="A264" s="7" t="inlineStr">
        <is>
          <t>885690.TI</t>
        </is>
      </c>
      <c r="B264" s="8">
        <f>[1]!thsiFinD("THS_GPJC_STOCK",$A264)</f>
        <v/>
      </c>
      <c r="C264" s="9">
        <f>[1]!thsiFinD("ths_int_chg_ratio_index",$A264,C$1,C$2)/100</f>
        <v/>
      </c>
      <c r="D264" s="9">
        <f>[1]!thsiFinD("ths_int_chg_ratio_index",$A264,D$1,D$2)/100</f>
        <v/>
      </c>
      <c r="E264" s="9">
        <f>[1]!thsiFinD("ths_int_chg_ratio_index",$A264,E$1,E$2)/100</f>
        <v/>
      </c>
      <c r="F264" s="10">
        <f>D264-(E264-D264)/3</f>
        <v/>
      </c>
      <c r="G264" s="7" t="inlineStr">
        <is>
          <t>主题事件</t>
        </is>
      </c>
      <c r="H264" s="7">
        <f>IFERROR(VLOOKUP($I264,'分类规则'!$A$30:$C$200,2,0),"")</f>
        <v/>
      </c>
      <c r="I264" s="7" t="inlineStr">
        <is>
          <t>政策/要素</t>
        </is>
      </c>
      <c r="J264" s="7">
        <f>IFERROR(VLOOKUP($I264,'分类规则'!$A$30:$C$200,3,0),"")</f>
        <v/>
      </c>
      <c r="K264" s="8" t="n"/>
      <c r="L264" s="7" t="n"/>
      <c r="M264" s="7" t="n"/>
      <c r="N264" s="8" t="n"/>
      <c r="O264" s="7" t="n"/>
      <c r="P264" s="7" t="n"/>
      <c r="Q264" s="8" t="n"/>
      <c r="R264" s="7" t="n"/>
      <c r="S264" s="7" t="n"/>
      <c r="T264" s="8" t="n"/>
      <c r="U264" s="7" t="n"/>
      <c r="V264" s="7" t="n"/>
      <c r="W264" s="8" t="n"/>
      <c r="X264" s="7" t="n"/>
      <c r="Y264" s="7" t="n"/>
    </row>
    <row r="265">
      <c r="A265" s="7" t="inlineStr">
        <is>
          <t>885743.TI</t>
        </is>
      </c>
      <c r="B265" s="8">
        <f>[1]!thsiFinD("THS_GPJC_STOCK",$A265)</f>
        <v/>
      </c>
      <c r="C265" s="9">
        <f>[1]!thsiFinD("ths_int_chg_ratio_index",$A265,C$1,C$2)/100</f>
        <v/>
      </c>
      <c r="D265" s="9">
        <f>[1]!thsiFinD("ths_int_chg_ratio_index",$A265,D$1,D$2)/100</f>
        <v/>
      </c>
      <c r="E265" s="9">
        <f>[1]!thsiFinD("ths_int_chg_ratio_index",$A265,E$1,E$2)/100</f>
        <v/>
      </c>
      <c r="F265" s="10">
        <f>D265-(E265-D265)/3</f>
        <v/>
      </c>
      <c r="G265" s="7" t="inlineStr">
        <is>
          <t>产业链</t>
        </is>
      </c>
      <c r="H265" s="7">
        <f>IFERROR(VLOOKUP($I265,'分类规则'!$A$30:$C$200,2,0),"")</f>
        <v/>
      </c>
      <c r="I265" s="7" t="inlineStr">
        <is>
          <t>航空航天</t>
        </is>
      </c>
      <c r="J265" s="7">
        <f>IFERROR(VLOOKUP($I265,'分类规则'!$A$30:$C$200,3,0),"")</f>
        <v/>
      </c>
      <c r="K265" s="8" t="inlineStr">
        <is>
          <t>中国船舶</t>
        </is>
      </c>
      <c r="L265" s="7" t="inlineStr">
        <is>
          <t>600150.SH</t>
        </is>
      </c>
      <c r="M265" s="20" t="n">
        <v>2719.8</v>
      </c>
      <c r="N265" s="8" t="inlineStr">
        <is>
          <t>中航沈飞</t>
        </is>
      </c>
      <c r="O265" s="7" t="inlineStr">
        <is>
          <t>600760.SH</t>
        </is>
      </c>
      <c r="P265" s="20" t="n">
        <v>1167.8</v>
      </c>
      <c r="Q265" s="8" t="inlineStr">
        <is>
          <t>中国卫星</t>
        </is>
      </c>
      <c r="R265" s="7" t="inlineStr">
        <is>
          <t>600118.SH</t>
        </is>
      </c>
      <c r="S265" s="20" t="n">
        <v>904.8</v>
      </c>
      <c r="T265" s="8" t="inlineStr">
        <is>
          <t>中航光电</t>
        </is>
      </c>
      <c r="U265" s="7" t="inlineStr">
        <is>
          <t>002179.SZ</t>
        </is>
      </c>
      <c r="V265" s="20" t="n">
        <v>855</v>
      </c>
      <c r="W265" s="8" t="inlineStr">
        <is>
          <t>中国动力</t>
        </is>
      </c>
      <c r="X265" s="7" t="inlineStr">
        <is>
          <t>600482.SH</t>
        </is>
      </c>
      <c r="Y265" s="20" t="n">
        <v>751</v>
      </c>
    </row>
    <row r="266">
      <c r="A266" s="7" t="inlineStr">
        <is>
          <t>885402.TI</t>
        </is>
      </c>
      <c r="B266" s="8">
        <f>[1]!thsiFinD("THS_GPJC_STOCK",$A266)</f>
        <v/>
      </c>
      <c r="C266" s="9">
        <f>[1]!thsiFinD("ths_int_chg_ratio_index",$A266,C$1,C$2)/100</f>
        <v/>
      </c>
      <c r="D266" s="9">
        <f>[1]!thsiFinD("ths_int_chg_ratio_index",$A266,D$1,D$2)/100</f>
        <v/>
      </c>
      <c r="E266" s="9">
        <f>[1]!thsiFinD("ths_int_chg_ratio_index",$A266,E$1,E$2)/100</f>
        <v/>
      </c>
      <c r="F266" s="10">
        <f>D266-(E266-D266)/3</f>
        <v/>
      </c>
      <c r="G266" s="7" t="inlineStr">
        <is>
          <t>产业链</t>
        </is>
      </c>
      <c r="H266" s="7">
        <f>IFERROR(VLOOKUP($I266,'分类规则'!$A$30:$C$200,2,0),"")</f>
        <v/>
      </c>
      <c r="I266" s="7" t="inlineStr">
        <is>
          <t>医疗服务</t>
        </is>
      </c>
      <c r="J266" s="7">
        <f>IFERROR(VLOOKUP($I266,'分类规则'!$A$30:$C$200,3,0),"")</f>
        <v/>
      </c>
      <c r="K266" s="8" t="n"/>
      <c r="L266" s="7" t="n"/>
      <c r="M266" s="7" t="n"/>
      <c r="N266" s="8" t="n"/>
      <c r="O266" s="7" t="n"/>
      <c r="P266" s="7" t="n"/>
      <c r="Q266" s="8" t="n"/>
      <c r="R266" s="7" t="n"/>
      <c r="S266" s="7" t="n"/>
      <c r="T266" s="8" t="n"/>
      <c r="U266" s="7" t="n"/>
      <c r="V266" s="7" t="n"/>
      <c r="W266" s="8" t="n"/>
      <c r="X266" s="7" t="n"/>
      <c r="Y266" s="7" t="n"/>
    </row>
    <row r="267">
      <c r="A267" s="7" t="inlineStr">
        <is>
          <t>885692.TI</t>
        </is>
      </c>
      <c r="B267" s="8">
        <f>[1]!thsiFinD("THS_GPJC_STOCK",$A267)</f>
        <v/>
      </c>
      <c r="C267" s="9">
        <f>[1]!thsiFinD("ths_int_chg_ratio_index",$A267,C$1,C$2)/100</f>
        <v/>
      </c>
      <c r="D267" s="9">
        <f>[1]!thsiFinD("ths_int_chg_ratio_index",$A267,D$1,D$2)/100</f>
        <v/>
      </c>
      <c r="E267" s="9">
        <f>[1]!thsiFinD("ths_int_chg_ratio_index",$A267,E$1,E$2)/100</f>
        <v/>
      </c>
      <c r="F267" s="10">
        <f>D267-(E267-D267)/3</f>
        <v/>
      </c>
      <c r="G267" s="7" t="inlineStr">
        <is>
          <t>产业链</t>
        </is>
      </c>
      <c r="H267" s="7">
        <f>IFERROR(VLOOKUP($I267,'分类规则'!$A$30:$C$200,2,0),"")</f>
        <v/>
      </c>
      <c r="I267" s="7" t="inlineStr">
        <is>
          <t>地产链</t>
        </is>
      </c>
      <c r="J267" s="7">
        <f>IFERROR(VLOOKUP($I267,'分类规则'!$A$30:$C$200,3,0),"")</f>
        <v/>
      </c>
      <c r="K267" s="8" t="inlineStr">
        <is>
          <t>中国建筑</t>
        </is>
      </c>
      <c r="L267" s="7" t="inlineStr">
        <is>
          <t>601668.SH</t>
        </is>
      </c>
      <c r="M267" s="20" t="n">
        <v>1904.9</v>
      </c>
      <c r="N267" s="8" t="inlineStr">
        <is>
          <t>东方雨虹</t>
        </is>
      </c>
      <c r="O267" s="7" t="inlineStr">
        <is>
          <t>002271.SZ</t>
        </is>
      </c>
      <c r="P267" s="20" t="n">
        <v>232.2</v>
      </c>
      <c r="Q267" s="8" t="inlineStr">
        <is>
          <t>铁建重工</t>
        </is>
      </c>
      <c r="R267" s="7" t="inlineStr">
        <is>
          <t>688425.SH</t>
        </is>
      </c>
      <c r="S267" s="20" t="n">
        <v>227.2</v>
      </c>
      <c r="T267" s="8" t="inlineStr">
        <is>
          <t>首创环保</t>
        </is>
      </c>
      <c r="U267" s="7" t="inlineStr">
        <is>
          <t>600008.SH</t>
        </is>
      </c>
      <c r="V267" s="20" t="n">
        <v>218.7</v>
      </c>
      <c r="W267" s="8" t="inlineStr">
        <is>
          <t>上海建工</t>
        </is>
      </c>
      <c r="X267" s="7" t="inlineStr">
        <is>
          <t>600170.SH</t>
        </is>
      </c>
      <c r="Y267" s="20" t="n">
        <v>211.5</v>
      </c>
    </row>
    <row r="268">
      <c r="A268" s="7" t="inlineStr">
        <is>
          <t>885795.TI</t>
        </is>
      </c>
      <c r="B268" s="8">
        <f>[1]!thsiFinD("THS_GPJC_STOCK",$A268)</f>
        <v/>
      </c>
      <c r="C268" s="9">
        <f>[1]!thsiFinD("ths_int_chg_ratio_index",$A268,C$1,C$2)/100</f>
        <v/>
      </c>
      <c r="D268" s="9">
        <f>[1]!thsiFinD("ths_int_chg_ratio_index",$A268,D$1,D$2)/100</f>
        <v/>
      </c>
      <c r="E268" s="9">
        <f>[1]!thsiFinD("ths_int_chg_ratio_index",$A268,E$1,E$2)/100</f>
        <v/>
      </c>
      <c r="F268" s="10">
        <f>D268-(E268-D268)/3</f>
        <v/>
      </c>
      <c r="G268" s="7" t="inlineStr">
        <is>
          <t>产业链</t>
        </is>
      </c>
      <c r="H268" s="7">
        <f>IFERROR(VLOOKUP($I268,'分类规则'!$A$30:$C$200,2,0),"")</f>
        <v/>
      </c>
      <c r="I268" s="7" t="inlineStr">
        <is>
          <t>航空航天</t>
        </is>
      </c>
      <c r="J268" s="7">
        <f>IFERROR(VLOOKUP($I268,'分类规则'!$A$30:$C$200,3,0),"")</f>
        <v/>
      </c>
      <c r="K268" s="8" t="inlineStr">
        <is>
          <t>中国船舶</t>
        </is>
      </c>
      <c r="L268" s="7" t="inlineStr">
        <is>
          <t>600150.SH</t>
        </is>
      </c>
      <c r="M268" s="20" t="n">
        <v>2719.8</v>
      </c>
      <c r="N268" s="8" t="inlineStr">
        <is>
          <t>航发动力</t>
        </is>
      </c>
      <c r="O268" s="7" t="inlineStr">
        <is>
          <t>600893.SH</t>
        </is>
      </c>
      <c r="P268" s="20" t="n">
        <v>1039.9</v>
      </c>
      <c r="Q268" s="8" t="inlineStr">
        <is>
          <t>中国卫星</t>
        </is>
      </c>
      <c r="R268" s="7" t="inlineStr">
        <is>
          <t>600118.SH</t>
        </is>
      </c>
      <c r="S268" s="20" t="n">
        <v>904.8</v>
      </c>
      <c r="T268" s="8" t="inlineStr">
        <is>
          <t>中航光电</t>
        </is>
      </c>
      <c r="U268" s="7" t="inlineStr">
        <is>
          <t>002179.SZ</t>
        </is>
      </c>
      <c r="V268" s="20" t="n">
        <v>855</v>
      </c>
      <c r="W268" s="8" t="inlineStr">
        <is>
          <t>中国动力</t>
        </is>
      </c>
      <c r="X268" s="7" t="inlineStr">
        <is>
          <t>600482.SH</t>
        </is>
      </c>
      <c r="Y268" s="20" t="n">
        <v>751</v>
      </c>
    </row>
    <row r="269">
      <c r="A269" s="7" t="inlineStr">
        <is>
          <t>885909.TI</t>
        </is>
      </c>
      <c r="B269" s="8">
        <f>[1]!thsiFinD("THS_GPJC_STOCK",$A269)</f>
        <v/>
      </c>
      <c r="C269" s="9">
        <f>[1]!thsiFinD("ths_int_chg_ratio_index",$A269,C$1,C$2)/100</f>
        <v/>
      </c>
      <c r="D269" s="9">
        <f>[1]!thsiFinD("ths_int_chg_ratio_index",$A269,D$1,D$2)/100</f>
        <v/>
      </c>
      <c r="E269" s="9">
        <f>[1]!thsiFinD("ths_int_chg_ratio_index",$A269,E$1,E$2)/100</f>
        <v/>
      </c>
      <c r="F269" s="10">
        <f>D269-(E269-D269)/3</f>
        <v/>
      </c>
      <c r="G269" s="7" t="inlineStr">
        <is>
          <t>产业链</t>
        </is>
      </c>
      <c r="H269" s="7">
        <f>IFERROR(VLOOKUP($I269,'分类规则'!$A$30:$C$200,2,0),"")</f>
        <v/>
      </c>
      <c r="I269" s="7" t="inlineStr">
        <is>
          <t>创新药</t>
        </is>
      </c>
      <c r="J269" s="7">
        <f>IFERROR(VLOOKUP($I269,'分类规则'!$A$30:$C$200,3,0),"")</f>
        <v/>
      </c>
      <c r="K269" s="8" t="inlineStr">
        <is>
          <t>恒瑞医药</t>
        </is>
      </c>
      <c r="L269" s="7" t="inlineStr">
        <is>
          <t>600276.SH</t>
        </is>
      </c>
      <c r="M269" s="20" t="n">
        <v>3088.7</v>
      </c>
      <c r="N269" s="8" t="inlineStr">
        <is>
          <t>复星医药</t>
        </is>
      </c>
      <c r="O269" s="7" t="inlineStr">
        <is>
          <t>600196.SH</t>
        </is>
      </c>
      <c r="P269" s="20" t="n">
        <v>461.6</v>
      </c>
      <c r="Q269" s="8" t="inlineStr">
        <is>
          <t>长春高新</t>
        </is>
      </c>
      <c r="R269" s="7" t="inlineStr">
        <is>
          <t>000661.SZ</t>
        </is>
      </c>
      <c r="S269" s="20" t="n">
        <v>256.2</v>
      </c>
      <c r="T269" s="8" t="inlineStr">
        <is>
          <t>ST人福</t>
        </is>
      </c>
      <c r="U269" s="7" t="inlineStr">
        <is>
          <t>600079.SH</t>
        </is>
      </c>
      <c r="V269" s="20" t="n">
        <v>253.2</v>
      </c>
      <c r="W269" s="8" t="inlineStr">
        <is>
          <t>物产中大</t>
        </is>
      </c>
      <c r="X269" s="7" t="inlineStr">
        <is>
          <t>600704.SH</t>
        </is>
      </c>
      <c r="Y269" s="20" t="n">
        <v>244.1</v>
      </c>
    </row>
    <row r="270">
      <c r="A270" s="7" t="inlineStr">
        <is>
          <t>885733.TI</t>
        </is>
      </c>
      <c r="B270" s="8">
        <f>[1]!thsiFinD("THS_GPJC_STOCK",$A270)</f>
        <v/>
      </c>
      <c r="C270" s="9">
        <f>[1]!thsiFinD("ths_int_chg_ratio_index",$A270,C$1,C$2)/100</f>
        <v/>
      </c>
      <c r="D270" s="9">
        <f>[1]!thsiFinD("ths_int_chg_ratio_index",$A270,D$1,D$2)/100</f>
        <v/>
      </c>
      <c r="E270" s="9">
        <f>[1]!thsiFinD("ths_int_chg_ratio_index",$A270,E$1,E$2)/100</f>
        <v/>
      </c>
      <c r="F270" s="10">
        <f>D270-(E270-D270)/3</f>
        <v/>
      </c>
      <c r="G270" s="7" t="inlineStr">
        <is>
          <t>产业链</t>
        </is>
      </c>
      <c r="H270" s="7">
        <f>IFERROR(VLOOKUP($I270,'分类规则'!$A$30:$C$200,2,0),"")</f>
        <v/>
      </c>
      <c r="I270" s="7" t="inlineStr">
        <is>
          <t>航运</t>
        </is>
      </c>
      <c r="J270" s="7">
        <f>IFERROR(VLOOKUP($I270,'分类规则'!$A$30:$C$200,3,0),"")</f>
        <v/>
      </c>
      <c r="K270" s="8" t="inlineStr">
        <is>
          <t>中国船舶</t>
        </is>
      </c>
      <c r="L270" s="7" t="inlineStr">
        <is>
          <t>600150.SH</t>
        </is>
      </c>
      <c r="M270" s="20" t="n">
        <v>2719.8</v>
      </c>
      <c r="N270" s="8" t="inlineStr">
        <is>
          <t>中远海控</t>
        </is>
      </c>
      <c r="O270" s="7" t="inlineStr">
        <is>
          <t>601919.SH</t>
        </is>
      </c>
      <c r="P270" s="20" t="n">
        <v>1732.8</v>
      </c>
      <c r="Q270" s="8" t="inlineStr">
        <is>
          <t>招商轮船</t>
        </is>
      </c>
      <c r="R270" s="7" t="inlineStr">
        <is>
          <t>601872.SH</t>
        </is>
      </c>
      <c r="S270" s="20" t="n">
        <v>1384</v>
      </c>
      <c r="T270" s="8" t="inlineStr">
        <is>
          <t>上港集团</t>
        </is>
      </c>
      <c r="U270" s="7" t="inlineStr">
        <is>
          <t>600018.SH</t>
        </is>
      </c>
      <c r="V270" s="20" t="n">
        <v>1136.8</v>
      </c>
      <c r="W270" s="8" t="inlineStr">
        <is>
          <t>中远海能</t>
        </is>
      </c>
      <c r="X270" s="7" t="inlineStr">
        <is>
          <t>600026.SH</t>
        </is>
      </c>
      <c r="Y270" s="20" t="n">
        <v>738.7</v>
      </c>
    </row>
    <row r="271">
      <c r="A271" s="7" t="inlineStr">
        <is>
          <t>885910.TI</t>
        </is>
      </c>
      <c r="B271" s="8">
        <f>[1]!thsiFinD("THS_GPJC_STOCK",$A271)</f>
        <v/>
      </c>
      <c r="C271" s="9">
        <f>[1]!thsiFinD("ths_int_chg_ratio_index",$A271,C$1,C$2)/100</f>
        <v/>
      </c>
      <c r="D271" s="9">
        <f>[1]!thsiFinD("ths_int_chg_ratio_index",$A271,D$1,D$2)/100</f>
        <v/>
      </c>
      <c r="E271" s="9">
        <f>[1]!thsiFinD("ths_int_chg_ratio_index",$A271,E$1,E$2)/100</f>
        <v/>
      </c>
      <c r="F271" s="10">
        <f>D271-(E271-D271)/3</f>
        <v/>
      </c>
      <c r="G271" s="7" t="inlineStr">
        <is>
          <t>产业链</t>
        </is>
      </c>
      <c r="H271" s="7">
        <f>IFERROR(VLOOKUP($I271,'分类规则'!$A$30:$C$200,2,0),"")</f>
        <v/>
      </c>
      <c r="I271" s="7" t="inlineStr">
        <is>
          <t>商贸/服务</t>
        </is>
      </c>
      <c r="J271" s="7">
        <f>IFERROR(VLOOKUP($I271,'分类规则'!$A$30:$C$200,3,0),"")</f>
        <v/>
      </c>
      <c r="K271" s="8" t="inlineStr">
        <is>
          <t>兆驰股份</t>
        </is>
      </c>
      <c r="L271" s="7" t="inlineStr">
        <is>
          <t>002429.SZ</t>
        </is>
      </c>
      <c r="M271" s="20" t="n">
        <v>537.5</v>
      </c>
      <c r="N271" s="8" t="inlineStr">
        <is>
          <t>中恒电气</t>
        </is>
      </c>
      <c r="O271" s="7" t="inlineStr">
        <is>
          <t>002364.SZ</t>
        </is>
      </c>
      <c r="P271" s="20" t="n">
        <v>302.3</v>
      </c>
      <c r="Q271" s="8" t="inlineStr">
        <is>
          <t>易点天下</t>
        </is>
      </c>
      <c r="R271" s="7" t="inlineStr">
        <is>
          <t>301171.SZ</t>
        </is>
      </c>
      <c r="S271" s="20" t="n">
        <v>191.7</v>
      </c>
      <c r="T271" s="8" t="inlineStr">
        <is>
          <t>东航物流</t>
        </is>
      </c>
      <c r="U271" s="7" t="inlineStr">
        <is>
          <t>601156.SH</t>
        </is>
      </c>
      <c r="V271" s="20" t="n">
        <v>156.6</v>
      </c>
      <c r="W271" s="8" t="inlineStr">
        <is>
          <t>每日互动</t>
        </is>
      </c>
      <c r="X271" s="7" t="inlineStr">
        <is>
          <t>300766.SZ</t>
        </is>
      </c>
      <c r="Y271" s="20" t="n">
        <v>86.2</v>
      </c>
    </row>
    <row r="272">
      <c r="A272" s="7" t="inlineStr">
        <is>
          <t>885459.TI</t>
        </is>
      </c>
      <c r="B272" s="8">
        <f>[1]!thsiFinD("THS_GPJC_STOCK",$A272)</f>
        <v/>
      </c>
      <c r="C272" s="9">
        <f>[1]!thsiFinD("ths_int_chg_ratio_index",$A272,C$1,C$2)/100</f>
        <v/>
      </c>
      <c r="D272" s="9">
        <f>[1]!thsiFinD("ths_int_chg_ratio_index",$A272,D$1,D$2)/100</f>
        <v/>
      </c>
      <c r="E272" s="9">
        <f>[1]!thsiFinD("ths_int_chg_ratio_index",$A272,E$1,E$2)/100</f>
        <v/>
      </c>
      <c r="F272" s="10">
        <f>D272-(E272-D272)/3</f>
        <v/>
      </c>
      <c r="G272" s="7" t="inlineStr">
        <is>
          <t>产业链</t>
        </is>
      </c>
      <c r="H272" s="7">
        <f>IFERROR(VLOOKUP($I272,'分类规则'!$A$30:$C$200,2,0),"")</f>
        <v/>
      </c>
      <c r="I272" s="7" t="inlineStr">
        <is>
          <t>信创/国产化</t>
        </is>
      </c>
      <c r="J272" s="7">
        <f>IFERROR(VLOOKUP($I272,'分类规则'!$A$30:$C$200,3,0),"")</f>
        <v/>
      </c>
      <c r="K272" s="8" t="inlineStr">
        <is>
          <t>亨通光电</t>
        </is>
      </c>
      <c r="L272" s="7" t="inlineStr">
        <is>
          <t>600487.SH</t>
        </is>
      </c>
      <c r="M272" s="20" t="n">
        <v>2714.4</v>
      </c>
      <c r="N272" s="8" t="inlineStr">
        <is>
          <t>中兴通讯</t>
        </is>
      </c>
      <c r="O272" s="7" t="inlineStr">
        <is>
          <t>000063.SZ</t>
        </is>
      </c>
      <c r="P272" s="20" t="n">
        <v>1526.1</v>
      </c>
      <c r="Q272" s="8" t="inlineStr">
        <is>
          <t>中科曙光</t>
        </is>
      </c>
      <c r="R272" s="7" t="inlineStr">
        <is>
          <t>603019.SH</t>
        </is>
      </c>
      <c r="S272" s="20" t="n">
        <v>1297.1</v>
      </c>
      <c r="T272" s="8" t="inlineStr">
        <is>
          <t>中控技术</t>
        </is>
      </c>
      <c r="U272" s="7" t="inlineStr">
        <is>
          <t>688777.SH</t>
        </is>
      </c>
      <c r="V272" s="20" t="n">
        <v>980.1</v>
      </c>
      <c r="W272" s="8" t="inlineStr">
        <is>
          <t>烽火通信</t>
        </is>
      </c>
      <c r="X272" s="7" t="inlineStr">
        <is>
          <t>600498.SH</t>
        </is>
      </c>
      <c r="Y272" s="20" t="n">
        <v>957.7</v>
      </c>
    </row>
    <row r="273">
      <c r="A273" s="7" t="inlineStr">
        <is>
          <t>886039.TI</t>
        </is>
      </c>
      <c r="B273" s="8">
        <f>[1]!thsiFinD("THS_GPJC_STOCK",$A273)</f>
        <v/>
      </c>
      <c r="C273" s="9">
        <f>[1]!thsiFinD("ths_int_chg_ratio_index",$A273,C$1,C$2)/100</f>
        <v/>
      </c>
      <c r="D273" s="9">
        <f>[1]!thsiFinD("ths_int_chg_ratio_index",$A273,D$1,D$2)/100</f>
        <v/>
      </c>
      <c r="E273" s="9">
        <f>[1]!thsiFinD("ths_int_chg_ratio_index",$A273,E$1,E$2)/100</f>
        <v/>
      </c>
      <c r="F273" s="10">
        <f>D273-(E273-D273)/3</f>
        <v/>
      </c>
      <c r="G273" s="7" t="inlineStr">
        <is>
          <t>产业链</t>
        </is>
      </c>
      <c r="H273" s="7">
        <f>IFERROR(VLOOKUP($I273,'分类规则'!$A$30:$C$200,2,0),"")</f>
        <v/>
      </c>
      <c r="I273" s="7" t="inlineStr">
        <is>
          <t>信创/国产化</t>
        </is>
      </c>
      <c r="J273" s="7">
        <f>IFERROR(VLOOKUP($I273,'分类规则'!$A$30:$C$200,3,0),"")</f>
        <v/>
      </c>
      <c r="K273" s="8" t="inlineStr">
        <is>
          <t>宝信软件</t>
        </is>
      </c>
      <c r="L273" s="7" t="inlineStr">
        <is>
          <t>600845.SH</t>
        </is>
      </c>
      <c r="M273" s="20" t="n">
        <v>382</v>
      </c>
      <c r="N273" s="8" t="inlineStr">
        <is>
          <t>用友网络</t>
        </is>
      </c>
      <c r="O273" s="7" t="inlineStr">
        <is>
          <t>600588.SH</t>
        </is>
      </c>
      <c r="P273" s="20" t="n">
        <v>334.5</v>
      </c>
      <c r="Q273" s="8" t="inlineStr">
        <is>
          <t>润和软件</t>
        </is>
      </c>
      <c r="R273" s="7" t="inlineStr">
        <is>
          <t>300339.SZ</t>
        </is>
      </c>
      <c r="S273" s="20" t="n">
        <v>312.7</v>
      </c>
      <c r="T273" s="8" t="inlineStr">
        <is>
          <t>软通动力</t>
        </is>
      </c>
      <c r="U273" s="7" t="inlineStr">
        <is>
          <t>301236.SZ</t>
        </is>
      </c>
      <c r="V273" s="20" t="n">
        <v>303</v>
      </c>
      <c r="W273" s="8" t="inlineStr">
        <is>
          <t>精达股份</t>
        </is>
      </c>
      <c r="X273" s="7" t="inlineStr">
        <is>
          <t>600577.SH</t>
        </is>
      </c>
      <c r="Y273" s="20" t="n">
        <v>253</v>
      </c>
    </row>
    <row r="274">
      <c r="A274" s="7" t="inlineStr">
        <is>
          <t>885835.TI</t>
        </is>
      </c>
      <c r="B274" s="8">
        <f>[1]!thsiFinD("THS_GPJC_STOCK",$A274)</f>
        <v/>
      </c>
      <c r="C274" s="9">
        <f>[1]!thsiFinD("ths_int_chg_ratio_index",$A274,C$1,C$2)/100</f>
        <v/>
      </c>
      <c r="D274" s="9">
        <f>[1]!thsiFinD("ths_int_chg_ratio_index",$A274,D$1,D$2)/100</f>
        <v/>
      </c>
      <c r="E274" s="9">
        <f>[1]!thsiFinD("ths_int_chg_ratio_index",$A274,E$1,E$2)/100</f>
        <v/>
      </c>
      <c r="F274" s="10">
        <f>D274-(E274-D274)/3</f>
        <v/>
      </c>
      <c r="G274" s="7" t="inlineStr">
        <is>
          <t>产业链</t>
        </is>
      </c>
      <c r="H274" s="7">
        <f>IFERROR(VLOOKUP($I274,'分类规则'!$A$30:$C$200,2,0),"")</f>
        <v/>
      </c>
      <c r="I274" s="7" t="inlineStr">
        <is>
          <t>金融</t>
        </is>
      </c>
      <c r="J274" s="7">
        <f>IFERROR(VLOOKUP($I274,'分类规则'!$A$30:$C$200,3,0),"")</f>
        <v/>
      </c>
      <c r="K274" s="8" t="n"/>
      <c r="L274" s="7" t="n"/>
      <c r="M274" s="7" t="n"/>
      <c r="N274" s="8" t="n"/>
      <c r="O274" s="7" t="n"/>
      <c r="P274" s="7" t="n"/>
      <c r="Q274" s="8" t="n"/>
      <c r="R274" s="7" t="n"/>
      <c r="S274" s="7" t="n"/>
      <c r="T274" s="8" t="n"/>
      <c r="U274" s="7" t="n"/>
      <c r="V274" s="7" t="n"/>
      <c r="W274" s="8" t="n"/>
      <c r="X274" s="7" t="n"/>
      <c r="Y274" s="7" t="n"/>
    </row>
    <row r="275">
      <c r="A275" s="7" t="inlineStr">
        <is>
          <t>886090.TI</t>
        </is>
      </c>
      <c r="B275" s="8">
        <f>[1]!thsiFinD("THS_GPJC_STOCK",$A275)</f>
        <v/>
      </c>
      <c r="C275" s="9">
        <f>[1]!thsiFinD("ths_int_chg_ratio_index",$A275,C$1,C$2)/100</f>
        <v/>
      </c>
      <c r="D275" s="9">
        <f>[1]!thsiFinD("ths_int_chg_ratio_index",$A275,D$1,D$2)/100</f>
        <v/>
      </c>
      <c r="E275" s="9">
        <f>[1]!thsiFinD("ths_int_chg_ratio_index",$A275,E$1,E$2)/100</f>
        <v/>
      </c>
      <c r="F275" s="10">
        <f>D275-(E275-D275)/3</f>
        <v/>
      </c>
      <c r="G275" s="7" t="inlineStr">
        <is>
          <t>产业链</t>
        </is>
      </c>
      <c r="H275" s="7">
        <f>IFERROR(VLOOKUP($I275,'分类规则'!$A$30:$C$200,2,0),"")</f>
        <v/>
      </c>
      <c r="I275" s="7" t="inlineStr">
        <is>
          <t>AI应用</t>
        </is>
      </c>
      <c r="J275" s="7">
        <f>IFERROR(VLOOKUP($I275,'分类规则'!$A$30:$C$200,3,0),"")</f>
        <v/>
      </c>
      <c r="K275" s="8" t="n"/>
      <c r="L275" s="7" t="n"/>
      <c r="M275" s="7" t="n"/>
      <c r="N275" s="8" t="n"/>
      <c r="O275" s="7" t="n"/>
      <c r="P275" s="7" t="n"/>
      <c r="Q275" s="8" t="n"/>
      <c r="R275" s="7" t="n"/>
      <c r="S275" s="7" t="n"/>
      <c r="T275" s="8" t="n"/>
      <c r="U275" s="7" t="n"/>
      <c r="V275" s="7" t="n"/>
      <c r="W275" s="8" t="n"/>
      <c r="X275" s="7" t="n"/>
      <c r="Y275" s="7" t="n"/>
    </row>
    <row r="276">
      <c r="A276" s="7" t="inlineStr">
        <is>
          <t>886087.TI</t>
        </is>
      </c>
      <c r="B276" s="8">
        <f>[1]!thsiFinD("THS_GPJC_STOCK",$A276)</f>
        <v/>
      </c>
      <c r="C276" s="9">
        <f>[1]!thsiFinD("ths_int_chg_ratio_index",$A276,C$1,C$2)/100</f>
        <v/>
      </c>
      <c r="D276" s="9">
        <f>[1]!thsiFinD("ths_int_chg_ratio_index",$A276,D$1,D$2)/100</f>
        <v/>
      </c>
      <c r="E276" s="9">
        <f>[1]!thsiFinD("ths_int_chg_ratio_index",$A276,E$1,E$2)/100</f>
        <v/>
      </c>
      <c r="F276" s="10">
        <f>D276-(E276-D276)/3</f>
        <v/>
      </c>
      <c r="G276" s="7" t="inlineStr">
        <is>
          <t>产业链</t>
        </is>
      </c>
      <c r="H276" s="7">
        <f>IFERROR(VLOOKUP($I276,'分类规则'!$A$30:$C$200,2,0),"")</f>
        <v/>
      </c>
      <c r="I276" s="7" t="inlineStr">
        <is>
          <t>地产链</t>
        </is>
      </c>
      <c r="J276" s="7">
        <f>IFERROR(VLOOKUP($I276,'分类规则'!$A$30:$C$200,3,0),"")</f>
        <v/>
      </c>
      <c r="K276" s="8" t="n"/>
      <c r="L276" s="7" t="n"/>
      <c r="M276" s="7" t="n"/>
      <c r="N276" s="8" t="n"/>
      <c r="O276" s="7" t="n"/>
      <c r="P276" s="7" t="n"/>
      <c r="Q276" s="8" t="n"/>
      <c r="R276" s="7" t="n"/>
      <c r="S276" s="7" t="n"/>
      <c r="T276" s="8" t="n"/>
      <c r="U276" s="7" t="n"/>
      <c r="V276" s="7" t="n"/>
      <c r="W276" s="8" t="n"/>
      <c r="X276" s="7" t="n"/>
      <c r="Y276" s="7" t="n"/>
    </row>
    <row r="277">
      <c r="A277" s="7" t="inlineStr">
        <is>
          <t>886013.TI</t>
        </is>
      </c>
      <c r="B277" s="8">
        <f>[1]!thsiFinD("THS_GPJC_STOCK",$A277)</f>
        <v/>
      </c>
      <c r="C277" s="9">
        <f>[1]!thsiFinD("ths_int_chg_ratio_index",$A277,C$1,C$2)/100</f>
        <v/>
      </c>
      <c r="D277" s="9">
        <f>[1]!thsiFinD("ths_int_chg_ratio_index",$A277,D$1,D$2)/100</f>
        <v/>
      </c>
      <c r="E277" s="9">
        <f>[1]!thsiFinD("ths_int_chg_ratio_index",$A277,E$1,E$2)/100</f>
        <v/>
      </c>
      <c r="F277" s="10">
        <f>D277-(E277-D277)/3</f>
        <v/>
      </c>
      <c r="G277" s="7" t="inlineStr">
        <is>
          <t>产业链</t>
        </is>
      </c>
      <c r="H277" s="7">
        <f>IFERROR(VLOOKUP($I277,'分类规则'!$A$30:$C$200,2,0),"")</f>
        <v/>
      </c>
      <c r="I277" s="7" t="inlineStr">
        <is>
          <t>信创/国产化</t>
        </is>
      </c>
      <c r="J277" s="7">
        <f>IFERROR(VLOOKUP($I277,'分类规则'!$A$30:$C$200,3,0),"")</f>
        <v/>
      </c>
      <c r="K277" s="8" t="n"/>
      <c r="L277" s="7" t="n"/>
      <c r="M277" s="7" t="n"/>
      <c r="N277" s="8" t="n"/>
      <c r="O277" s="7" t="n"/>
      <c r="P277" s="7" t="n"/>
      <c r="Q277" s="8" t="n"/>
      <c r="R277" s="7" t="n"/>
      <c r="S277" s="7" t="n"/>
      <c r="T277" s="8" t="n"/>
      <c r="U277" s="7" t="n"/>
      <c r="V277" s="7" t="n"/>
      <c r="W277" s="8" t="n"/>
      <c r="X277" s="7" t="n"/>
      <c r="Y277" s="7" t="n"/>
    </row>
    <row r="278">
      <c r="A278" s="7" t="inlineStr">
        <is>
          <t>885699.TI</t>
        </is>
      </c>
      <c r="B278" s="8">
        <f>[1]!thsiFinD("THS_GPJC_STOCK",$A278)</f>
        <v/>
      </c>
      <c r="C278" s="9">
        <f>[1]!thsiFinD("ths_int_chg_ratio_index",$A278,C$1,C$2)/100</f>
        <v/>
      </c>
      <c r="D278" s="9">
        <f>[1]!thsiFinD("ths_int_chg_ratio_index",$A278,D$1,D$2)/100</f>
        <v/>
      </c>
      <c r="E278" s="9">
        <f>[1]!thsiFinD("ths_int_chg_ratio_index",$A278,E$1,E$2)/100</f>
        <v/>
      </c>
      <c r="F278" s="10">
        <f>D278-(E278-D278)/3</f>
        <v/>
      </c>
      <c r="G278" s="7" t="inlineStr">
        <is>
          <t>宽基风格</t>
        </is>
      </c>
      <c r="H278" s="7">
        <f>IFERROR(VLOOKUP($I278,'分类规则'!$A$30:$C$200,2,0),"")</f>
        <v/>
      </c>
      <c r="I278" s="7" t="inlineStr">
        <is>
          <t>风格/事件</t>
        </is>
      </c>
      <c r="J278" s="7">
        <f>IFERROR(VLOOKUP($I278,'分类规则'!$A$30:$C$200,3,0),"")</f>
        <v/>
      </c>
      <c r="K278" s="8" t="inlineStr">
        <is>
          <t>*ST新潮</t>
        </is>
      </c>
      <c r="L278" s="7" t="inlineStr">
        <is>
          <t>600777.SH</t>
        </is>
      </c>
      <c r="M278" s="20" t="n">
        <v>312.6</v>
      </c>
      <c r="N278" s="8" t="inlineStr">
        <is>
          <t>ST臻镭</t>
        </is>
      </c>
      <c r="O278" s="7" t="inlineStr">
        <is>
          <t>688270.SH</t>
        </is>
      </c>
      <c r="P278" s="20" t="n">
        <v>255</v>
      </c>
      <c r="Q278" s="8" t="inlineStr">
        <is>
          <t>ST人福</t>
        </is>
      </c>
      <c r="R278" s="7" t="inlineStr">
        <is>
          <t>600079.SH</t>
        </is>
      </c>
      <c r="S278" s="20" t="n">
        <v>253.2</v>
      </c>
      <c r="T278" s="8" t="inlineStr">
        <is>
          <t>*ST闻泰</t>
        </is>
      </c>
      <c r="U278" s="7" t="inlineStr">
        <is>
          <t>600745.SH</t>
        </is>
      </c>
      <c r="V278" s="20" t="n">
        <v>210.3</v>
      </c>
      <c r="W278" s="8" t="inlineStr">
        <is>
          <t>*ST亚振</t>
        </is>
      </c>
      <c r="X278" s="7" t="inlineStr">
        <is>
          <t>603389.SH</t>
        </is>
      </c>
      <c r="Y278" s="20" t="n">
        <v>161</v>
      </c>
    </row>
    <row r="279">
      <c r="A279" s="7" t="inlineStr">
        <is>
          <t>885900.TI</t>
        </is>
      </c>
      <c r="B279" s="8">
        <f>[1]!thsiFinD("THS_GPJC_STOCK",$A279)</f>
        <v/>
      </c>
      <c r="C279" s="9">
        <f>[1]!thsiFinD("ths_int_chg_ratio_index",$A279,C$1,C$2)/100</f>
        <v/>
      </c>
      <c r="D279" s="9">
        <f>[1]!thsiFinD("ths_int_chg_ratio_index",$A279,D$1,D$2)/100</f>
        <v/>
      </c>
      <c r="E279" s="9">
        <f>[1]!thsiFinD("ths_int_chg_ratio_index",$A279,E$1,E$2)/100</f>
        <v/>
      </c>
      <c r="F279" s="10">
        <f>D279-(E279-D279)/3</f>
        <v/>
      </c>
      <c r="G279" s="7" t="inlineStr">
        <is>
          <t>产业链</t>
        </is>
      </c>
      <c r="H279" s="7">
        <f>IFERROR(VLOOKUP($I279,'分类规则'!$A$30:$C$200,2,0),"")</f>
        <v/>
      </c>
      <c r="I279" s="7" t="inlineStr">
        <is>
          <t>创新药</t>
        </is>
      </c>
      <c r="J279" s="7">
        <f>IFERROR(VLOOKUP($I279,'分类规则'!$A$30:$C$200,3,0),"")</f>
        <v/>
      </c>
      <c r="K279" s="8" t="inlineStr">
        <is>
          <t>安琪酵母</t>
        </is>
      </c>
      <c r="L279" s="7" t="inlineStr">
        <is>
          <t>600298.SH</t>
        </is>
      </c>
      <c r="M279" s="20" t="n">
        <v>287.1</v>
      </c>
      <c r="N279" s="8" t="inlineStr">
        <is>
          <t>众生药业</t>
        </is>
      </c>
      <c r="O279" s="7" t="inlineStr">
        <is>
          <t>002317.SZ</t>
        </is>
      </c>
      <c r="P279" s="20" t="n">
        <v>174.4</v>
      </c>
      <c r="Q279" s="8" t="inlineStr">
        <is>
          <t>华润双鹤</t>
        </is>
      </c>
      <c r="R279" s="7" t="inlineStr">
        <is>
          <t>600062.SH</t>
        </is>
      </c>
      <c r="S279" s="20" t="n">
        <v>170.1</v>
      </c>
      <c r="T279" s="8" t="inlineStr">
        <is>
          <t>国药现代</t>
        </is>
      </c>
      <c r="U279" s="7" t="inlineStr">
        <is>
          <t>600420.SH</t>
        </is>
      </c>
      <c r="V279" s="20" t="n">
        <v>110</v>
      </c>
      <c r="W279" s="8" t="inlineStr">
        <is>
          <t>浙江医药</t>
        </is>
      </c>
      <c r="X279" s="7" t="inlineStr">
        <is>
          <t>600216.SH</t>
        </is>
      </c>
      <c r="Y279" s="20" t="n">
        <v>109.6</v>
      </c>
    </row>
    <row r="280">
      <c r="A280" s="7" t="inlineStr">
        <is>
          <t>885514.TI</t>
        </is>
      </c>
      <c r="B280" s="8">
        <f>[1]!thsiFinD("THS_GPJC_STOCK",$A280)</f>
        <v/>
      </c>
      <c r="C280" s="9">
        <f>[1]!thsiFinD("ths_int_chg_ratio_index",$A280,C$1,C$2)/100</f>
        <v/>
      </c>
      <c r="D280" s="9">
        <f>[1]!thsiFinD("ths_int_chg_ratio_index",$A280,D$1,D$2)/100</f>
        <v/>
      </c>
      <c r="E280" s="9">
        <f>[1]!thsiFinD("ths_int_chg_ratio_index",$A280,E$1,E$2)/100</f>
        <v/>
      </c>
      <c r="F280" s="10">
        <f>D280-(E280-D280)/3</f>
        <v/>
      </c>
      <c r="G280" s="7" t="inlineStr">
        <is>
          <t>主题事件</t>
        </is>
      </c>
      <c r="H280" s="7">
        <f>IFERROR(VLOOKUP($I280,'分类规则'!$A$30:$C$200,2,0),"")</f>
        <v/>
      </c>
      <c r="I280" s="7" t="inlineStr">
        <is>
          <t>区域/改革</t>
        </is>
      </c>
      <c r="J280" s="7">
        <f>IFERROR(VLOOKUP($I280,'分类规则'!$A$30:$C$200,3,0),"")</f>
        <v/>
      </c>
      <c r="K280" s="8" t="n"/>
      <c r="L280" s="7" t="n"/>
      <c r="M280" s="7" t="n"/>
      <c r="N280" s="8" t="n"/>
      <c r="O280" s="7" t="n"/>
      <c r="P280" s="7" t="n"/>
      <c r="Q280" s="8" t="n"/>
      <c r="R280" s="7" t="n"/>
      <c r="S280" s="7" t="n"/>
      <c r="T280" s="8" t="n"/>
      <c r="U280" s="7" t="n"/>
      <c r="V280" s="7" t="n"/>
      <c r="W280" s="8" t="n"/>
      <c r="X280" s="7" t="n"/>
      <c r="Y280" s="7" t="n"/>
    </row>
    <row r="281">
      <c r="A281" s="7" t="inlineStr">
        <is>
          <t>885782.TI</t>
        </is>
      </c>
      <c r="B281" s="8">
        <f>[1]!thsiFinD("THS_GPJC_STOCK",$A281)</f>
        <v/>
      </c>
      <c r="C281" s="9">
        <f>[1]!thsiFinD("ths_int_chg_ratio_index",$A281,C$1,C$2)/100</f>
        <v/>
      </c>
      <c r="D281" s="9">
        <f>[1]!thsiFinD("ths_int_chg_ratio_index",$A281,D$1,D$2)/100</f>
        <v/>
      </c>
      <c r="E281" s="9">
        <f>[1]!thsiFinD("ths_int_chg_ratio_index",$A281,E$1,E$2)/100</f>
        <v/>
      </c>
      <c r="F281" s="10">
        <f>D281-(E281-D281)/3</f>
        <v/>
      </c>
      <c r="G281" s="7" t="inlineStr">
        <is>
          <t>产业链</t>
        </is>
      </c>
      <c r="H281" s="7">
        <f>IFERROR(VLOOKUP($I281,'分类规则'!$A$30:$C$200,2,0),"")</f>
        <v/>
      </c>
      <c r="I281" s="7" t="inlineStr">
        <is>
          <t>地产链</t>
        </is>
      </c>
      <c r="J281" s="7">
        <f>IFERROR(VLOOKUP($I281,'分类规则'!$A$30:$C$200,3,0),"")</f>
        <v/>
      </c>
      <c r="K281" s="8" t="inlineStr">
        <is>
          <t>中国能建</t>
        </is>
      </c>
      <c r="L281" s="7" t="inlineStr">
        <is>
          <t>601868.SH</t>
        </is>
      </c>
      <c r="M281" s="20" t="n">
        <v>895</v>
      </c>
      <c r="N281" s="8" t="inlineStr">
        <is>
          <t>海螺水泥</t>
        </is>
      </c>
      <c r="O281" s="7" t="inlineStr">
        <is>
          <t>600585.SH</t>
        </is>
      </c>
      <c r="P281" s="20" t="n">
        <v>710.3</v>
      </c>
      <c r="Q281" s="8" t="inlineStr">
        <is>
          <t>君正集团</t>
        </is>
      </c>
      <c r="R281" s="7" t="inlineStr">
        <is>
          <t>601216.SH</t>
        </is>
      </c>
      <c r="S281" s="20" t="n">
        <v>419.4</v>
      </c>
      <c r="T281" s="8" t="inlineStr">
        <is>
          <t>天山股份</t>
        </is>
      </c>
      <c r="U281" s="7" t="inlineStr">
        <is>
          <t>000877.SZ</t>
        </is>
      </c>
      <c r="V281" s="20" t="n">
        <v>280.2</v>
      </c>
      <c r="W281" s="8" t="inlineStr">
        <is>
          <t>鄂尔多斯</t>
        </is>
      </c>
      <c r="X281" s="7" t="inlineStr">
        <is>
          <t>600295.SH</t>
        </is>
      </c>
      <c r="Y281" s="20" t="n">
        <v>250.1</v>
      </c>
    </row>
    <row r="282">
      <c r="A282" s="7" t="inlineStr">
        <is>
          <t>886036.TI</t>
        </is>
      </c>
      <c r="B282" s="8">
        <f>[1]!thsiFinD("THS_GPJC_STOCK",$A282)</f>
        <v/>
      </c>
      <c r="C282" s="9">
        <f>[1]!thsiFinD("ths_int_chg_ratio_index",$A282,C$1,C$2)/100</f>
        <v/>
      </c>
      <c r="D282" s="9">
        <f>[1]!thsiFinD("ths_int_chg_ratio_index",$A282,D$1,D$2)/100</f>
        <v/>
      </c>
      <c r="E282" s="9">
        <f>[1]!thsiFinD("ths_int_chg_ratio_index",$A282,E$1,E$2)/100</f>
        <v/>
      </c>
      <c r="F282" s="10">
        <f>D282-(E282-D282)/3</f>
        <v/>
      </c>
      <c r="G282" s="7" t="inlineStr">
        <is>
          <t>产业链</t>
        </is>
      </c>
      <c r="H282" s="7">
        <f>IFERROR(VLOOKUP($I282,'分类规则'!$A$30:$C$200,2,0),"")</f>
        <v/>
      </c>
      <c r="I282" s="7" t="inlineStr">
        <is>
          <t>AIoT/物联网</t>
        </is>
      </c>
      <c r="J282" s="7">
        <f>IFERROR(VLOOKUP($I282,'分类规则'!$A$30:$C$200,3,0),"")</f>
        <v/>
      </c>
      <c r="K282" s="8" t="inlineStr">
        <is>
          <t>大华股份</t>
        </is>
      </c>
      <c r="L282" s="7" t="inlineStr">
        <is>
          <t>002236.SZ</t>
        </is>
      </c>
      <c r="M282" s="20" t="n">
        <v>389</v>
      </c>
      <c r="N282" s="8" t="inlineStr">
        <is>
          <t>中科星图</t>
        </is>
      </c>
      <c r="O282" s="7" t="inlineStr">
        <is>
          <t>688568.SH</t>
        </is>
      </c>
      <c r="P282" s="20" t="n">
        <v>365.7</v>
      </c>
      <c r="Q282" s="8" t="inlineStr">
        <is>
          <t>海格通信</t>
        </is>
      </c>
      <c r="R282" s="7" t="inlineStr">
        <is>
          <t>002465.SZ</t>
        </is>
      </c>
      <c r="S282" s="20" t="n">
        <v>339</v>
      </c>
      <c r="T282" s="8" t="inlineStr">
        <is>
          <t>赛微电子</t>
        </is>
      </c>
      <c r="U282" s="7" t="inlineStr">
        <is>
          <t>300456.SZ</t>
        </is>
      </c>
      <c r="V282" s="20" t="n">
        <v>255.8</v>
      </c>
      <c r="W282" s="8" t="inlineStr">
        <is>
          <t>广电运通</t>
        </is>
      </c>
      <c r="X282" s="7" t="inlineStr">
        <is>
          <t>002152.SZ</t>
        </is>
      </c>
      <c r="Y282" s="20" t="n">
        <v>246.2</v>
      </c>
    </row>
    <row r="283">
      <c r="A283" s="7" t="inlineStr">
        <is>
          <t>885761.TI</t>
        </is>
      </c>
      <c r="B283" s="8">
        <f>[1]!thsiFinD("THS_GPJC_STOCK",$A283)</f>
        <v/>
      </c>
      <c r="C283" s="9">
        <f>[1]!thsiFinD("ths_int_chg_ratio_index",$A283,C$1,C$2)/100</f>
        <v/>
      </c>
      <c r="D283" s="9">
        <f>[1]!thsiFinD("ths_int_chg_ratio_index",$A283,D$1,D$2)/100</f>
        <v/>
      </c>
      <c r="E283" s="9">
        <f>[1]!thsiFinD("ths_int_chg_ratio_index",$A283,E$1,E$2)/100</f>
        <v/>
      </c>
      <c r="F283" s="10">
        <f>D283-(E283-D283)/3</f>
        <v/>
      </c>
      <c r="G283" s="7" t="inlineStr">
        <is>
          <t>产业链</t>
        </is>
      </c>
      <c r="H283" s="7">
        <f>IFERROR(VLOOKUP($I283,'分类规则'!$A$30:$C$200,2,0),"")</f>
        <v/>
      </c>
      <c r="I283" s="7" t="inlineStr">
        <is>
          <t>商贸/服务</t>
        </is>
      </c>
      <c r="J283" s="7">
        <f>IFERROR(VLOOKUP($I283,'分类规则'!$A$30:$C$200,3,0),"")</f>
        <v/>
      </c>
      <c r="K283" s="8" t="n"/>
      <c r="L283" s="7" t="n"/>
      <c r="M283" s="7" t="n"/>
      <c r="N283" s="8" t="n"/>
      <c r="O283" s="7" t="n"/>
      <c r="P283" s="7" t="n"/>
      <c r="Q283" s="8" t="n"/>
      <c r="R283" s="7" t="n"/>
      <c r="S283" s="7" t="n"/>
      <c r="T283" s="8" t="n"/>
      <c r="U283" s="7" t="n"/>
      <c r="V283" s="7" t="n"/>
      <c r="W283" s="8" t="n"/>
      <c r="X283" s="7" t="n"/>
      <c r="Y283" s="7" t="n"/>
    </row>
    <row r="284">
      <c r="A284" s="7" t="inlineStr">
        <is>
          <t>885976.TI</t>
        </is>
      </c>
      <c r="B284" s="8">
        <f>[1]!thsiFinD("THS_GPJC_STOCK",$A284)</f>
        <v/>
      </c>
      <c r="C284" s="9">
        <f>[1]!thsiFinD("ths_int_chg_ratio_index",$A284,C$1,C$2)/100</f>
        <v/>
      </c>
      <c r="D284" s="9">
        <f>[1]!thsiFinD("ths_int_chg_ratio_index",$A284,D$1,D$2)/100</f>
        <v/>
      </c>
      <c r="E284" s="9">
        <f>[1]!thsiFinD("ths_int_chg_ratio_index",$A284,E$1,E$2)/100</f>
        <v/>
      </c>
      <c r="F284" s="10">
        <f>D284-(E284-D284)/3</f>
        <v/>
      </c>
      <c r="G284" s="7" t="inlineStr">
        <is>
          <t>产业链</t>
        </is>
      </c>
      <c r="H284" s="7">
        <f>IFERROR(VLOOKUP($I284,'分类规则'!$A$30:$C$200,2,0),"")</f>
        <v/>
      </c>
      <c r="I284" s="7" t="inlineStr">
        <is>
          <t>AI应用</t>
        </is>
      </c>
      <c r="J284" s="7">
        <f>IFERROR(VLOOKUP($I284,'分类规则'!$A$30:$C$200,3,0),"")</f>
        <v/>
      </c>
      <c r="K284" s="8" t="n"/>
      <c r="L284" s="7" t="n"/>
      <c r="M284" s="7" t="n"/>
      <c r="N284" s="8" t="n"/>
      <c r="O284" s="7" t="n"/>
      <c r="P284" s="7" t="n"/>
      <c r="Q284" s="8" t="n"/>
      <c r="R284" s="7" t="n"/>
      <c r="S284" s="7" t="n"/>
      <c r="T284" s="8" t="n"/>
      <c r="U284" s="7" t="n"/>
      <c r="V284" s="7" t="n"/>
      <c r="W284" s="8" t="n"/>
      <c r="X284" s="7" t="n"/>
      <c r="Y284" s="7" t="n"/>
    </row>
    <row r="285">
      <c r="A285" s="7" t="inlineStr">
        <is>
          <t>885591.TI</t>
        </is>
      </c>
      <c r="B285" s="8">
        <f>[1]!thsiFinD("THS_GPJC_STOCK",$A285)</f>
        <v/>
      </c>
      <c r="C285" s="9">
        <f>[1]!thsiFinD("ths_int_chg_ratio_index",$A285,C$1,C$2)/100</f>
        <v/>
      </c>
      <c r="D285" s="9">
        <f>[1]!thsiFinD("ths_int_chg_ratio_index",$A285,D$1,D$2)/100</f>
        <v/>
      </c>
      <c r="E285" s="9">
        <f>[1]!thsiFinD("ths_int_chg_ratio_index",$A285,E$1,E$2)/100</f>
        <v/>
      </c>
      <c r="F285" s="10">
        <f>D285-(E285-D285)/3</f>
        <v/>
      </c>
      <c r="G285" s="7" t="inlineStr">
        <is>
          <t>主题事件</t>
        </is>
      </c>
      <c r="H285" s="7">
        <f>IFERROR(VLOOKUP($I285,'分类规则'!$A$30:$C$200,2,0),"")</f>
        <v/>
      </c>
      <c r="I285" s="7" t="inlineStr">
        <is>
          <t>区域/改革</t>
        </is>
      </c>
      <c r="J285" s="7">
        <f>IFERROR(VLOOKUP($I285,'分类规则'!$A$30:$C$200,3,0),"")</f>
        <v/>
      </c>
      <c r="K285" s="8" t="inlineStr">
        <is>
          <t>江丰电子</t>
        </is>
      </c>
      <c r="L285" s="7" t="inlineStr">
        <is>
          <t>300666.SZ</t>
        </is>
      </c>
      <c r="M285" s="20" t="n">
        <v>688.1</v>
      </c>
      <c r="N285" s="8" t="inlineStr">
        <is>
          <t>青岛港</t>
        </is>
      </c>
      <c r="O285" s="7" t="inlineStr">
        <is>
          <t>601298.SH</t>
        </is>
      </c>
      <c r="P285" s="20" t="n">
        <v>450.8</v>
      </c>
      <c r="Q285" s="8" t="inlineStr">
        <is>
          <t>辽港股份</t>
        </is>
      </c>
      <c r="R285" s="7" t="inlineStr">
        <is>
          <t>601880.SH</t>
        </is>
      </c>
      <c r="S285" s="20" t="n">
        <v>276.2</v>
      </c>
      <c r="T285" s="8" t="inlineStr">
        <is>
          <t>明泰铝业</t>
        </is>
      </c>
      <c r="U285" s="7" t="inlineStr">
        <is>
          <t>601677.SH</t>
        </is>
      </c>
      <c r="V285" s="20" t="n">
        <v>202.9</v>
      </c>
      <c r="W285" s="8" t="inlineStr">
        <is>
          <t>日照港</t>
        </is>
      </c>
      <c r="X285" s="7" t="inlineStr">
        <is>
          <t>600017.SH</t>
        </is>
      </c>
      <c r="Y285" s="20" t="n">
        <v>80</v>
      </c>
    </row>
    <row r="286">
      <c r="A286" s="7" t="inlineStr">
        <is>
          <t>885663.TI</t>
        </is>
      </c>
      <c r="B286" s="8">
        <f>[1]!thsiFinD("THS_GPJC_STOCK",$A286)</f>
        <v/>
      </c>
      <c r="C286" s="9">
        <f>[1]!thsiFinD("ths_int_chg_ratio_index",$A286,C$1,C$2)/100</f>
        <v/>
      </c>
      <c r="D286" s="9">
        <f>[1]!thsiFinD("ths_int_chg_ratio_index",$A286,D$1,D$2)/100</f>
        <v/>
      </c>
      <c r="E286" s="9">
        <f>[1]!thsiFinD("ths_int_chg_ratio_index",$A286,E$1,E$2)/100</f>
        <v/>
      </c>
      <c r="F286" s="10">
        <f>D286-(E286-D286)/3</f>
        <v/>
      </c>
      <c r="G286" s="7" t="inlineStr">
        <is>
          <t>宽基风格</t>
        </is>
      </c>
      <c r="H286" s="7">
        <f>IFERROR(VLOOKUP($I286,'分类规则'!$A$30:$C$200,2,0),"")</f>
        <v/>
      </c>
      <c r="I286" s="7" t="inlineStr">
        <is>
          <t>宽基/成分股</t>
        </is>
      </c>
      <c r="J286" s="7">
        <f>IFERROR(VLOOKUP($I286,'分类规则'!$A$30:$C$200,3,0),"")</f>
        <v/>
      </c>
      <c r="K286" s="8" t="inlineStr">
        <is>
          <t>农业银行</t>
        </is>
      </c>
      <c r="L286" s="7" t="inlineStr">
        <is>
          <t>601288.SH</t>
        </is>
      </c>
      <c r="M286" s="20" t="n">
        <v>20335.9</v>
      </c>
      <c r="N286" s="8" t="inlineStr">
        <is>
          <t>工商银行</t>
        </is>
      </c>
      <c r="O286" s="7" t="inlineStr">
        <is>
          <t>601398.SH</t>
        </is>
      </c>
      <c r="P286" s="20" t="n">
        <v>19304.2</v>
      </c>
      <c r="Q286" s="8" t="inlineStr">
        <is>
          <t>中国石油</t>
        </is>
      </c>
      <c r="R286" s="7" t="inlineStr">
        <is>
          <t>601857.SH</t>
        </is>
      </c>
      <c r="S286" s="20" t="n">
        <v>15512.1</v>
      </c>
      <c r="T286" s="8" t="inlineStr">
        <is>
          <t>贵州茅台</t>
        </is>
      </c>
      <c r="U286" s="7" t="inlineStr">
        <is>
          <t>600519.SH</t>
        </is>
      </c>
      <c r="V286" s="20" t="n">
        <v>15188.5</v>
      </c>
      <c r="W286" s="8" t="inlineStr">
        <is>
          <t>中国银行</t>
        </is>
      </c>
      <c r="X286" s="7" t="inlineStr">
        <is>
          <t>601988.SH</t>
        </is>
      </c>
      <c r="Y286" s="20" t="n">
        <v>12182.2</v>
      </c>
    </row>
    <row r="287">
      <c r="A287" s="7" t="inlineStr">
        <is>
          <t>886019.TI</t>
        </is>
      </c>
      <c r="B287" s="8">
        <f>[1]!thsiFinD("THS_GPJC_STOCK",$A287)</f>
        <v/>
      </c>
      <c r="C287" s="9">
        <f>[1]!thsiFinD("ths_int_chg_ratio_index",$A287,C$1,C$2)/100</f>
        <v/>
      </c>
      <c r="D287" s="9">
        <f>[1]!thsiFinD("ths_int_chg_ratio_index",$A287,D$1,D$2)/100</f>
        <v/>
      </c>
      <c r="E287" s="9">
        <f>[1]!thsiFinD("ths_int_chg_ratio_index",$A287,E$1,E$2)/100</f>
        <v/>
      </c>
      <c r="F287" s="10">
        <f>D287-(E287-D287)/3</f>
        <v/>
      </c>
      <c r="G287" s="7" t="inlineStr">
        <is>
          <t>产业链</t>
        </is>
      </c>
      <c r="H287" s="7">
        <f>IFERROR(VLOOKUP($I287,'分类规则'!$A$30:$C$200,2,0),"")</f>
        <v/>
      </c>
      <c r="I287" s="7" t="inlineStr">
        <is>
          <t>AI应用</t>
        </is>
      </c>
      <c r="J287" s="7">
        <f>IFERROR(VLOOKUP($I287,'分类规则'!$A$30:$C$200,3,0),"")</f>
        <v/>
      </c>
      <c r="K287" s="8" t="n"/>
      <c r="L287" s="7" t="n"/>
      <c r="M287" s="7" t="n"/>
      <c r="N287" s="8" t="n"/>
      <c r="O287" s="7" t="n"/>
      <c r="P287" s="7" t="n"/>
      <c r="Q287" s="8" t="n"/>
      <c r="R287" s="7" t="n"/>
      <c r="S287" s="7" t="n"/>
      <c r="T287" s="8" t="n"/>
      <c r="U287" s="7" t="n"/>
      <c r="V287" s="7" t="n"/>
      <c r="W287" s="8" t="n"/>
      <c r="X287" s="7" t="n"/>
      <c r="Y287" s="7" t="n"/>
    </row>
    <row r="288">
      <c r="A288" s="7" t="inlineStr">
        <is>
          <t>885977.TI</t>
        </is>
      </c>
      <c r="B288" s="8">
        <f>[1]!thsiFinD("THS_GPJC_STOCK",$A288)</f>
        <v/>
      </c>
      <c r="C288" s="9">
        <f>[1]!thsiFinD("ths_int_chg_ratio_index",$A288,C$1,C$2)/100</f>
        <v/>
      </c>
      <c r="D288" s="9">
        <f>[1]!thsiFinD("ths_int_chg_ratio_index",$A288,D$1,D$2)/100</f>
        <v/>
      </c>
      <c r="E288" s="9">
        <f>[1]!thsiFinD("ths_int_chg_ratio_index",$A288,E$1,E$2)/100</f>
        <v/>
      </c>
      <c r="F288" s="10">
        <f>D288-(E288-D288)/3</f>
        <v/>
      </c>
      <c r="G288" s="7" t="inlineStr">
        <is>
          <t>产业链</t>
        </is>
      </c>
      <c r="H288" s="7">
        <f>IFERROR(VLOOKUP($I288,'分类规则'!$A$30:$C$200,2,0),"")</f>
        <v/>
      </c>
      <c r="I288" s="7" t="inlineStr">
        <is>
          <t>信创/国产化</t>
        </is>
      </c>
      <c r="J288" s="7">
        <f>IFERROR(VLOOKUP($I288,'分类规则'!$A$30:$C$200,3,0),"")</f>
        <v/>
      </c>
      <c r="K288" s="8" t="inlineStr">
        <is>
          <t>中国电信</t>
        </is>
      </c>
      <c r="L288" s="7" t="inlineStr">
        <is>
          <t>601728.SH</t>
        </is>
      </c>
      <c r="M288" s="20" t="n">
        <v>4409.4</v>
      </c>
      <c r="N288" s="8" t="inlineStr">
        <is>
          <t>中国联通</t>
        </is>
      </c>
      <c r="O288" s="7" t="inlineStr">
        <is>
          <t>600050.SH</t>
        </is>
      </c>
      <c r="P288" s="20" t="n">
        <v>1326.4</v>
      </c>
      <c r="Q288" s="8" t="inlineStr">
        <is>
          <t>浪潮信息</t>
        </is>
      </c>
      <c r="R288" s="7" t="inlineStr">
        <is>
          <t>000977.SZ</t>
        </is>
      </c>
      <c r="S288" s="20" t="n">
        <v>963.1</v>
      </c>
      <c r="T288" s="8" t="inlineStr">
        <is>
          <t>烽火通信</t>
        </is>
      </c>
      <c r="U288" s="7" t="inlineStr">
        <is>
          <t>600498.SH</t>
        </is>
      </c>
      <c r="V288" s="20" t="n">
        <v>957.7</v>
      </c>
      <c r="W288" s="8" t="inlineStr">
        <is>
          <t>中国移动</t>
        </is>
      </c>
      <c r="X288" s="7" t="inlineStr">
        <is>
          <t>600941.SH</t>
        </is>
      </c>
      <c r="Y288" s="20" t="n">
        <v>827.4</v>
      </c>
    </row>
    <row r="289">
      <c r="A289" s="7" t="inlineStr">
        <is>
          <t>886077.TI</t>
        </is>
      </c>
      <c r="B289" s="8">
        <f>[1]!thsiFinD("THS_GPJC_STOCK",$A289)</f>
        <v/>
      </c>
      <c r="C289" s="9">
        <f>[1]!thsiFinD("ths_int_chg_ratio_index",$A289,C$1,C$2)/100</f>
        <v/>
      </c>
      <c r="D289" s="9">
        <f>[1]!thsiFinD("ths_int_chg_ratio_index",$A289,D$1,D$2)/100</f>
        <v/>
      </c>
      <c r="E289" s="9">
        <f>[1]!thsiFinD("ths_int_chg_ratio_index",$A289,E$1,E$2)/100</f>
        <v/>
      </c>
      <c r="F289" s="10">
        <f>D289-(E289-D289)/3</f>
        <v/>
      </c>
      <c r="G289" s="7" t="inlineStr">
        <is>
          <t>产业链</t>
        </is>
      </c>
      <c r="H289" s="7">
        <f>IFERROR(VLOOKUP($I289,'分类规则'!$A$30:$C$200,2,0),"")</f>
        <v/>
      </c>
      <c r="I289" s="7" t="inlineStr">
        <is>
          <t>创新药</t>
        </is>
      </c>
      <c r="J289" s="7">
        <f>IFERROR(VLOOKUP($I289,'分类规则'!$A$30:$C$200,3,0),"")</f>
        <v/>
      </c>
      <c r="K289" s="8" t="n"/>
      <c r="L289" s="7" t="n"/>
      <c r="M289" s="7" t="n"/>
      <c r="N289" s="8" t="n"/>
      <c r="O289" s="7" t="n"/>
      <c r="P289" s="7" t="n"/>
      <c r="Q289" s="8" t="n"/>
      <c r="R289" s="7" t="n"/>
      <c r="S289" s="7" t="n"/>
      <c r="T289" s="8" t="n"/>
      <c r="U289" s="7" t="n"/>
      <c r="V289" s="7" t="n"/>
      <c r="W289" s="8" t="n"/>
      <c r="X289" s="7" t="n"/>
      <c r="Y289" s="7" t="n"/>
    </row>
    <row r="290">
      <c r="A290" s="7" t="inlineStr">
        <is>
          <t>885913.TI</t>
        </is>
      </c>
      <c r="B290" s="8">
        <f>[1]!thsiFinD("THS_GPJC_STOCK",$A290)</f>
        <v/>
      </c>
      <c r="C290" s="9">
        <f>[1]!thsiFinD("ths_int_chg_ratio_index",$A290,C$1,C$2)/100</f>
        <v/>
      </c>
      <c r="D290" s="9">
        <f>[1]!thsiFinD("ths_int_chg_ratio_index",$A290,D$1,D$2)/100</f>
        <v/>
      </c>
      <c r="E290" s="9">
        <f>[1]!thsiFinD("ths_int_chg_ratio_index",$A290,E$1,E$2)/100</f>
        <v/>
      </c>
      <c r="F290" s="10">
        <f>D290-(E290-D290)/3</f>
        <v/>
      </c>
      <c r="G290" s="7" t="inlineStr">
        <is>
          <t>产业链</t>
        </is>
      </c>
      <c r="H290" s="7">
        <f>IFERROR(VLOOKUP($I290,'分类规则'!$A$30:$C$200,2,0),"")</f>
        <v/>
      </c>
      <c r="I290" s="7" t="inlineStr">
        <is>
          <t>医疗服务</t>
        </is>
      </c>
      <c r="J290" s="7">
        <f>IFERROR(VLOOKUP($I290,'分类规则'!$A$30:$C$200,3,0),"")</f>
        <v/>
      </c>
      <c r="K290" s="8" t="inlineStr">
        <is>
          <t>云南白药</t>
        </is>
      </c>
      <c r="L290" s="7" t="inlineStr">
        <is>
          <t>000538.SZ</t>
        </is>
      </c>
      <c r="M290" s="20" t="n">
        <v>858.6</v>
      </c>
      <c r="N290" s="8" t="inlineStr">
        <is>
          <t>长光华芯</t>
        </is>
      </c>
      <c r="O290" s="7" t="inlineStr">
        <is>
          <t>688048.SH</t>
        </is>
      </c>
      <c r="P290" s="20" t="n">
        <v>689.4</v>
      </c>
      <c r="Q290" s="8" t="inlineStr">
        <is>
          <t>爱尔眼科</t>
        </is>
      </c>
      <c r="R290" s="7" t="inlineStr">
        <is>
          <t>300015.SZ</t>
        </is>
      </c>
      <c r="S290" s="20" t="n">
        <v>657.9</v>
      </c>
      <c r="T290" s="8" t="inlineStr">
        <is>
          <t>炬光科技</t>
        </is>
      </c>
      <c r="U290" s="7" t="inlineStr">
        <is>
          <t>688167.SH</t>
        </is>
      </c>
      <c r="V290" s="20" t="n">
        <v>511.4</v>
      </c>
      <c r="W290" s="8" t="inlineStr">
        <is>
          <t>华东医药</t>
        </is>
      </c>
      <c r="X290" s="7" t="inlineStr">
        <is>
          <t>000963.SZ</t>
        </is>
      </c>
      <c r="Y290" s="20" t="n">
        <v>496.8</v>
      </c>
    </row>
    <row r="291">
      <c r="A291" s="7" t="inlineStr">
        <is>
          <t>885942.TI</t>
        </is>
      </c>
      <c r="B291" s="8">
        <f>[1]!thsiFinD("THS_GPJC_STOCK",$A291)</f>
        <v/>
      </c>
      <c r="C291" s="9">
        <f>[1]!thsiFinD("ths_int_chg_ratio_index",$A291,C$1,C$2)/100</f>
        <v/>
      </c>
      <c r="D291" s="9">
        <f>[1]!thsiFinD("ths_int_chg_ratio_index",$A291,D$1,D$2)/100</f>
        <v/>
      </c>
      <c r="E291" s="9">
        <f>[1]!thsiFinD("ths_int_chg_ratio_index",$A291,E$1,E$2)/100</f>
        <v/>
      </c>
      <c r="F291" s="10">
        <f>D291-(E291-D291)/3</f>
        <v/>
      </c>
      <c r="G291" s="7" t="inlineStr">
        <is>
          <t>主题事件</t>
        </is>
      </c>
      <c r="H291" s="7">
        <f>IFERROR(VLOOKUP($I291,'分类规则'!$A$30:$C$200,2,0),"")</f>
        <v/>
      </c>
      <c r="I291" s="7" t="inlineStr">
        <is>
          <t>政策/要素</t>
        </is>
      </c>
      <c r="J291" s="7">
        <f>IFERROR(VLOOKUP($I291,'分类规则'!$A$30:$C$200,3,0),"")</f>
        <v/>
      </c>
      <c r="K291" s="8" t="n"/>
      <c r="L291" s="7" t="n"/>
      <c r="M291" s="7" t="n"/>
      <c r="N291" s="8" t="n"/>
      <c r="O291" s="7" t="n"/>
      <c r="P291" s="7" t="n"/>
      <c r="Q291" s="8" t="n"/>
      <c r="R291" s="7" t="n"/>
      <c r="S291" s="7" t="n"/>
      <c r="T291" s="8" t="n"/>
      <c r="U291" s="7" t="n"/>
      <c r="V291" s="7" t="n"/>
      <c r="W291" s="8" t="n"/>
      <c r="X291" s="7" t="n"/>
      <c r="Y291" s="7" t="n"/>
    </row>
    <row r="292">
      <c r="A292" s="7" t="inlineStr">
        <is>
          <t>885587.TI</t>
        </is>
      </c>
      <c r="B292" s="8">
        <f>[1]!thsiFinD("THS_GPJC_STOCK",$A292)</f>
        <v/>
      </c>
      <c r="C292" s="9">
        <f>[1]!thsiFinD("ths_int_chg_ratio_index",$A292,C$1,C$2)/100</f>
        <v/>
      </c>
      <c r="D292" s="9">
        <f>[1]!thsiFinD("ths_int_chg_ratio_index",$A292,D$1,D$2)/100</f>
        <v/>
      </c>
      <c r="E292" s="9">
        <f>[1]!thsiFinD("ths_int_chg_ratio_index",$A292,E$1,E$2)/100</f>
        <v/>
      </c>
      <c r="F292" s="10">
        <f>D292-(E292-D292)/3</f>
        <v/>
      </c>
      <c r="G292" s="7" t="inlineStr">
        <is>
          <t>宽基风格</t>
        </is>
      </c>
      <c r="H292" s="7">
        <f>IFERROR(VLOOKUP($I292,'分类规则'!$A$30:$C$200,2,0),"")</f>
        <v/>
      </c>
      <c r="I292" s="7" t="inlineStr">
        <is>
          <t>风格/事件</t>
        </is>
      </c>
      <c r="J292" s="7">
        <f>IFERROR(VLOOKUP($I292,'分类规则'!$A$30:$C$200,3,0),"")</f>
        <v/>
      </c>
      <c r="K292" s="8" t="n"/>
      <c r="L292" s="7" t="n"/>
      <c r="M292" s="7" t="n"/>
      <c r="N292" s="8" t="n"/>
      <c r="O292" s="7" t="n"/>
      <c r="P292" s="7" t="n"/>
      <c r="Q292" s="8" t="n"/>
      <c r="R292" s="7" t="n"/>
      <c r="S292" s="7" t="n"/>
      <c r="T292" s="8" t="n"/>
      <c r="U292" s="7" t="n"/>
      <c r="V292" s="7" t="n"/>
      <c r="W292" s="8" t="n"/>
      <c r="X292" s="7" t="n"/>
      <c r="Y292" s="7" t="n"/>
    </row>
    <row r="293">
      <c r="A293" s="7" t="inlineStr">
        <is>
          <t>886041.TI</t>
        </is>
      </c>
      <c r="B293" s="8">
        <f>[1]!thsiFinD("THS_GPJC_STOCK",$A293)</f>
        <v/>
      </c>
      <c r="C293" s="9">
        <f>[1]!thsiFinD("ths_int_chg_ratio_index",$A293,C$1,C$2)/100</f>
        <v/>
      </c>
      <c r="D293" s="9">
        <f>[1]!thsiFinD("ths_int_chg_ratio_index",$A293,D$1,D$2)/100</f>
        <v/>
      </c>
      <c r="E293" s="9">
        <f>[1]!thsiFinD("ths_int_chg_ratio_index",$A293,E$1,E$2)/100</f>
        <v/>
      </c>
      <c r="F293" s="10">
        <f>D293-(E293-D293)/3</f>
        <v/>
      </c>
      <c r="G293" s="7" t="inlineStr">
        <is>
          <t>主题事件</t>
        </is>
      </c>
      <c r="H293" s="7">
        <f>IFERROR(VLOOKUP($I293,'分类规则'!$A$30:$C$200,2,0),"")</f>
        <v/>
      </c>
      <c r="I293" s="7" t="inlineStr">
        <is>
          <t>政策/要素</t>
        </is>
      </c>
      <c r="J293" s="7">
        <f>IFERROR(VLOOKUP($I293,'分类规则'!$A$30:$C$200,3,0),"")</f>
        <v/>
      </c>
      <c r="K293" s="8" t="n"/>
      <c r="L293" s="7" t="n"/>
      <c r="M293" s="7" t="n"/>
      <c r="N293" s="8" t="n"/>
      <c r="O293" s="7" t="n"/>
      <c r="P293" s="7" t="n"/>
      <c r="Q293" s="8" t="n"/>
      <c r="R293" s="7" t="n"/>
      <c r="S293" s="7" t="n"/>
      <c r="T293" s="8" t="n"/>
      <c r="U293" s="7" t="n"/>
      <c r="V293" s="7" t="n"/>
      <c r="W293" s="8" t="n"/>
      <c r="X293" s="7" t="n"/>
      <c r="Y293" s="7" t="n"/>
    </row>
    <row r="294">
      <c r="A294" s="7" t="inlineStr">
        <is>
          <t>885570.TI</t>
        </is>
      </c>
      <c r="B294" s="8">
        <f>[1]!thsiFinD("THS_GPJC_STOCK",$A294)</f>
        <v/>
      </c>
      <c r="C294" s="9">
        <f>[1]!thsiFinD("ths_int_chg_ratio_index",$A294,C$1,C$2)/100</f>
        <v/>
      </c>
      <c r="D294" s="9">
        <f>[1]!thsiFinD("ths_int_chg_ratio_index",$A294,D$1,D$2)/100</f>
        <v/>
      </c>
      <c r="E294" s="9">
        <f>[1]!thsiFinD("ths_int_chg_ratio_index",$A294,E$1,E$2)/100</f>
        <v/>
      </c>
      <c r="F294" s="10">
        <f>D294-(E294-D294)/3</f>
        <v/>
      </c>
      <c r="G294" s="7" t="inlineStr">
        <is>
          <t>宽基风格</t>
        </is>
      </c>
      <c r="H294" s="7">
        <f>IFERROR(VLOOKUP($I294,'分类规则'!$A$30:$C$200,2,0),"")</f>
        <v/>
      </c>
      <c r="I294" s="7" t="inlineStr">
        <is>
          <t>金融工具</t>
        </is>
      </c>
      <c r="J294" s="7">
        <f>IFERROR(VLOOKUP($I294,'分类规则'!$A$30:$C$200,3,0),"")</f>
        <v/>
      </c>
      <c r="K294" s="8" t="inlineStr">
        <is>
          <t>中信证券</t>
        </is>
      </c>
      <c r="L294" s="7" t="inlineStr">
        <is>
          <t>600030.SH</t>
        </is>
      </c>
      <c r="M294" s="20" t="n">
        <v>3234.1</v>
      </c>
      <c r="N294" s="8" t="inlineStr">
        <is>
          <t>东方财富</t>
        </is>
      </c>
      <c r="O294" s="7" t="inlineStr">
        <is>
          <t>300059.SZ</t>
        </is>
      </c>
      <c r="P294" s="20" t="n">
        <v>2483.7</v>
      </c>
      <c r="Q294" s="8" t="inlineStr">
        <is>
          <t>国泰海通</t>
        </is>
      </c>
      <c r="R294" s="7" t="inlineStr">
        <is>
          <t>601211.SH</t>
        </is>
      </c>
      <c r="S294" s="20" t="n">
        <v>2332.3</v>
      </c>
      <c r="T294" s="8" t="inlineStr">
        <is>
          <t>华泰证券</t>
        </is>
      </c>
      <c r="U294" s="7" t="inlineStr">
        <is>
          <t>601688.SH</t>
        </is>
      </c>
      <c r="V294" s="20" t="n">
        <v>1428.5</v>
      </c>
      <c r="W294" s="8" t="inlineStr">
        <is>
          <t>广发证券</t>
        </is>
      </c>
      <c r="X294" s="7" t="inlineStr">
        <is>
          <t>000776.SZ</t>
        </is>
      </c>
      <c r="Y294" s="20" t="n">
        <v>1218.6</v>
      </c>
    </row>
    <row r="295">
      <c r="A295" s="7" t="inlineStr">
        <is>
          <t>885965.TI</t>
        </is>
      </c>
      <c r="B295" s="8">
        <f>[1]!thsiFinD("THS_GPJC_STOCK",$A295)</f>
        <v/>
      </c>
      <c r="C295" s="9">
        <f>[1]!thsiFinD("ths_int_chg_ratio_index",$A295,C$1,C$2)/100</f>
        <v/>
      </c>
      <c r="D295" s="9">
        <f>[1]!thsiFinD("ths_int_chg_ratio_index",$A295,D$1,D$2)/100</f>
        <v/>
      </c>
      <c r="E295" s="9">
        <f>[1]!thsiFinD("ths_int_chg_ratio_index",$A295,E$1,E$2)/100</f>
        <v/>
      </c>
      <c r="F295" s="10">
        <f>D295-(E295-D295)/3</f>
        <v/>
      </c>
      <c r="G295" s="7" t="inlineStr">
        <is>
          <t>主题事件</t>
        </is>
      </c>
      <c r="H295" s="7">
        <f>IFERROR(VLOOKUP($I295,'分类规则'!$A$30:$C$200,2,0),"")</f>
        <v/>
      </c>
      <c r="I295" s="7" t="inlineStr">
        <is>
          <t>区域/改革</t>
        </is>
      </c>
      <c r="J295" s="7">
        <f>IFERROR(VLOOKUP($I295,'分类规则'!$A$30:$C$200,3,0),"")</f>
        <v/>
      </c>
      <c r="K295" s="8" t="inlineStr">
        <is>
          <t>杰瑞股份</t>
        </is>
      </c>
      <c r="L295" s="7" t="inlineStr">
        <is>
          <t>002353.SZ</t>
        </is>
      </c>
      <c r="M295" s="20" t="n">
        <v>1134.8</v>
      </c>
      <c r="N295" s="8" t="inlineStr">
        <is>
          <t>包钢股份</t>
        </is>
      </c>
      <c r="O295" s="7" t="inlineStr">
        <is>
          <t>600010.SH</t>
        </is>
      </c>
      <c r="P295" s="20" t="n">
        <v>761</v>
      </c>
      <c r="Q295" s="8" t="inlineStr">
        <is>
          <t>小商品城</t>
        </is>
      </c>
      <c r="R295" s="7" t="inlineStr">
        <is>
          <t>600415.SH</t>
        </is>
      </c>
      <c r="S295" s="20" t="n">
        <v>578</v>
      </c>
      <c r="T295" s="8" t="inlineStr">
        <is>
          <t>青岛港</t>
        </is>
      </c>
      <c r="U295" s="7" t="inlineStr">
        <is>
          <t>601298.SH</t>
        </is>
      </c>
      <c r="V295" s="20" t="n">
        <v>450.8</v>
      </c>
      <c r="W295" s="8" t="inlineStr">
        <is>
          <t>特锐德</t>
        </is>
      </c>
      <c r="X295" s="7" t="inlineStr">
        <is>
          <t>300001.SZ</t>
        </is>
      </c>
      <c r="Y295" s="20" t="n">
        <v>412.9</v>
      </c>
    </row>
    <row r="296">
      <c r="A296" s="7" t="inlineStr">
        <is>
          <t>885615.TI</t>
        </is>
      </c>
      <c r="B296" s="8">
        <f>[1]!thsiFinD("THS_GPJC_STOCK",$A296)</f>
        <v/>
      </c>
      <c r="C296" s="9">
        <f>[1]!thsiFinD("ths_int_chg_ratio_index",$A296,C$1,C$2)/100</f>
        <v/>
      </c>
      <c r="D296" s="9">
        <f>[1]!thsiFinD("ths_int_chg_ratio_index",$A296,D$1,D$2)/100</f>
        <v/>
      </c>
      <c r="E296" s="9">
        <f>[1]!thsiFinD("ths_int_chg_ratio_index",$A296,E$1,E$2)/100</f>
        <v/>
      </c>
      <c r="F296" s="10">
        <f>D296-(E296-D296)/3</f>
        <v/>
      </c>
      <c r="G296" s="7" t="inlineStr">
        <is>
          <t>产业链</t>
        </is>
      </c>
      <c r="H296" s="7">
        <f>IFERROR(VLOOKUP($I296,'分类规则'!$A$30:$C$200,2,0),"")</f>
        <v/>
      </c>
      <c r="I296" s="7" t="inlineStr">
        <is>
          <t>商贸/服务</t>
        </is>
      </c>
      <c r="J296" s="7">
        <f>IFERROR(VLOOKUP($I296,'分类规则'!$A$30:$C$200,3,0),"")</f>
        <v/>
      </c>
      <c r="K296" s="8" t="inlineStr">
        <is>
          <t>上港集团</t>
        </is>
      </c>
      <c r="L296" s="7" t="inlineStr">
        <is>
          <t>600018.SH</t>
        </is>
      </c>
      <c r="M296" s="20" t="n">
        <v>1136.8</v>
      </c>
      <c r="N296" s="8" t="inlineStr">
        <is>
          <t>分众传媒</t>
        </is>
      </c>
      <c r="O296" s="7" t="inlineStr">
        <is>
          <t>002027.SZ</t>
        </is>
      </c>
      <c r="P296" s="20" t="n">
        <v>725</v>
      </c>
      <c r="Q296" s="8" t="inlineStr">
        <is>
          <t>中复神鹰</t>
        </is>
      </c>
      <c r="R296" s="7" t="inlineStr">
        <is>
          <t>688295.SH</t>
        </is>
      </c>
      <c r="S296" s="20" t="n">
        <v>460.4</v>
      </c>
      <c r="T296" s="8" t="inlineStr">
        <is>
          <t>冰轮环境</t>
        </is>
      </c>
      <c r="U296" s="7" t="inlineStr">
        <is>
          <t>000811.SZ</t>
        </is>
      </c>
      <c r="V296" s="20" t="n">
        <v>393</v>
      </c>
      <c r="W296" s="8" t="inlineStr">
        <is>
          <t>华利集团</t>
        </is>
      </c>
      <c r="X296" s="7" t="inlineStr">
        <is>
          <t>300979.SZ</t>
        </is>
      </c>
      <c r="Y296" s="20" t="n">
        <v>364.8</v>
      </c>
    </row>
    <row r="297">
      <c r="A297" s="7" t="inlineStr">
        <is>
          <t>885706.TI</t>
        </is>
      </c>
      <c r="B297" s="8">
        <f>[1]!thsiFinD("THS_GPJC_STOCK",$A297)</f>
        <v/>
      </c>
      <c r="C297" s="9">
        <f>[1]!thsiFinD("ths_int_chg_ratio_index",$A297,C$1,C$2)/100</f>
        <v/>
      </c>
      <c r="D297" s="9">
        <f>[1]!thsiFinD("ths_int_chg_ratio_index",$A297,D$1,D$2)/100</f>
        <v/>
      </c>
      <c r="E297" s="9">
        <f>[1]!thsiFinD("ths_int_chg_ratio_index",$A297,E$1,E$2)/100</f>
        <v/>
      </c>
      <c r="F297" s="10">
        <f>D297-(E297-D297)/3</f>
        <v/>
      </c>
      <c r="G297" s="7" t="inlineStr">
        <is>
          <t>产业链</t>
        </is>
      </c>
      <c r="H297" s="7">
        <f>IFERROR(VLOOKUP($I297,'分类规则'!$A$30:$C$200,2,0),"")</f>
        <v/>
      </c>
      <c r="I297" s="7" t="inlineStr">
        <is>
          <t>工业自动化</t>
        </is>
      </c>
      <c r="J297" s="7">
        <f>IFERROR(VLOOKUP($I297,'分类规则'!$A$30:$C$200,3,0),"")</f>
        <v/>
      </c>
      <c r="K297" s="8" t="n"/>
      <c r="L297" s="7" t="n"/>
      <c r="M297" s="7" t="n"/>
      <c r="N297" s="8" t="n"/>
      <c r="O297" s="7" t="n"/>
      <c r="P297" s="7" t="n"/>
      <c r="Q297" s="8" t="n"/>
      <c r="R297" s="7" t="n"/>
      <c r="S297" s="7" t="n"/>
      <c r="T297" s="8" t="n"/>
      <c r="U297" s="7" t="n"/>
      <c r="V297" s="7" t="n"/>
      <c r="W297" s="8" t="n"/>
      <c r="X297" s="7" t="n"/>
      <c r="Y297" s="7" t="n"/>
    </row>
    <row r="298">
      <c r="A298" s="7" t="inlineStr">
        <is>
          <t>885642.TI</t>
        </is>
      </c>
      <c r="B298" s="8">
        <f>[1]!thsiFinD("THS_GPJC_STOCK",$A298)</f>
        <v/>
      </c>
      <c r="C298" s="9">
        <f>[1]!thsiFinD("ths_int_chg_ratio_index",$A298,C$1,C$2)/100</f>
        <v/>
      </c>
      <c r="D298" s="9">
        <f>[1]!thsiFinD("ths_int_chg_ratio_index",$A298,D$1,D$2)/100</f>
        <v/>
      </c>
      <c r="E298" s="9">
        <f>[1]!thsiFinD("ths_int_chg_ratio_index",$A298,E$1,E$2)/100</f>
        <v/>
      </c>
      <c r="F298" s="10">
        <f>D298-(E298-D298)/3</f>
        <v/>
      </c>
      <c r="G298" s="7" t="inlineStr">
        <is>
          <t>产业链</t>
        </is>
      </c>
      <c r="H298" s="7">
        <f>IFERROR(VLOOKUP($I298,'分类规则'!$A$30:$C$200,2,0),"")</f>
        <v/>
      </c>
      <c r="I298" s="7" t="inlineStr">
        <is>
          <t>商贸/服务</t>
        </is>
      </c>
      <c r="J298" s="7">
        <f>IFERROR(VLOOKUP($I298,'分类规则'!$A$30:$C$200,3,0),"")</f>
        <v/>
      </c>
      <c r="K298" s="8" t="n"/>
      <c r="L298" s="7" t="n"/>
      <c r="M298" s="7" t="n"/>
      <c r="N298" s="8" t="n"/>
      <c r="O298" s="7" t="n"/>
      <c r="P298" s="7" t="n"/>
      <c r="Q298" s="8" t="n"/>
      <c r="R298" s="7" t="n"/>
      <c r="S298" s="7" t="n"/>
      <c r="T298" s="8" t="n"/>
      <c r="U298" s="7" t="n"/>
      <c r="V298" s="7" t="n"/>
      <c r="W298" s="8" t="n"/>
      <c r="X298" s="7" t="n"/>
      <c r="Y298" s="7" t="n"/>
    </row>
    <row r="299">
      <c r="A299" s="7" t="inlineStr">
        <is>
          <t>885623.TI</t>
        </is>
      </c>
      <c r="B299" s="8">
        <f>[1]!thsiFinD("THS_GPJC_STOCK",$A299)</f>
        <v/>
      </c>
      <c r="C299" s="9">
        <f>[1]!thsiFinD("ths_int_chg_ratio_index",$A299,C$1,C$2)/100</f>
        <v/>
      </c>
      <c r="D299" s="9">
        <f>[1]!thsiFinD("ths_int_chg_ratio_index",$A299,D$1,D$2)/100</f>
        <v/>
      </c>
      <c r="E299" s="9">
        <f>[1]!thsiFinD("ths_int_chg_ratio_index",$A299,E$1,E$2)/100</f>
        <v/>
      </c>
      <c r="F299" s="10">
        <f>D299-(E299-D299)/3</f>
        <v/>
      </c>
      <c r="G299" s="7" t="inlineStr">
        <is>
          <t>产业链</t>
        </is>
      </c>
      <c r="H299" s="7">
        <f>IFERROR(VLOOKUP($I299,'分类规则'!$A$30:$C$200,2,0),"")</f>
        <v/>
      </c>
      <c r="I299" s="7" t="inlineStr">
        <is>
          <t>金融</t>
        </is>
      </c>
      <c r="J299" s="7">
        <f>IFERROR(VLOOKUP($I299,'分类规则'!$A$30:$C$200,3,0),"")</f>
        <v/>
      </c>
      <c r="K299" s="8" t="n"/>
      <c r="L299" s="7" t="n"/>
      <c r="M299" s="7" t="n"/>
      <c r="N299" s="8" t="n"/>
      <c r="O299" s="7" t="n"/>
      <c r="P299" s="7" t="n"/>
      <c r="Q299" s="8" t="n"/>
      <c r="R299" s="7" t="n"/>
      <c r="S299" s="7" t="n"/>
      <c r="T299" s="8" t="n"/>
      <c r="U299" s="7" t="n"/>
      <c r="V299" s="7" t="n"/>
      <c r="W299" s="8" t="n"/>
      <c r="X299" s="7" t="n"/>
      <c r="Y299" s="7" t="n"/>
    </row>
    <row r="300">
      <c r="A300" s="7" t="inlineStr">
        <is>
          <t>885480.TI</t>
        </is>
      </c>
      <c r="B300" s="8">
        <f>[1]!thsiFinD("THS_GPJC_STOCK",$A300)</f>
        <v/>
      </c>
      <c r="C300" s="9">
        <f>[1]!thsiFinD("ths_int_chg_ratio_index",$A300,C$1,C$2)/100</f>
        <v/>
      </c>
      <c r="D300" s="9">
        <f>[1]!thsiFinD("ths_int_chg_ratio_index",$A300,D$1,D$2)/100</f>
        <v/>
      </c>
      <c r="E300" s="9">
        <f>[1]!thsiFinD("ths_int_chg_ratio_index",$A300,E$1,E$2)/100</f>
        <v/>
      </c>
      <c r="F300" s="10">
        <f>D300-(E300-D300)/3</f>
        <v/>
      </c>
      <c r="G300" s="7" t="inlineStr">
        <is>
          <t>产业链</t>
        </is>
      </c>
      <c r="H300" s="7">
        <f>IFERROR(VLOOKUP($I300,'分类规则'!$A$30:$C$200,2,0),"")</f>
        <v/>
      </c>
      <c r="I300" s="7" t="inlineStr">
        <is>
          <t>教育服务</t>
        </is>
      </c>
      <c r="J300" s="7">
        <f>IFERROR(VLOOKUP($I300,'分类规则'!$A$30:$C$200,3,0),"")</f>
        <v/>
      </c>
      <c r="K300" s="8" t="inlineStr">
        <is>
          <t>科大讯飞</t>
        </is>
      </c>
      <c r="L300" s="7" t="inlineStr">
        <is>
          <t>002230.SZ</t>
        </is>
      </c>
      <c r="M300" s="20" t="n">
        <v>932.9</v>
      </c>
      <c r="N300" s="8" t="inlineStr">
        <is>
          <t>蓝色光标</t>
        </is>
      </c>
      <c r="O300" s="7" t="inlineStr">
        <is>
          <t>300058.SZ</t>
        </is>
      </c>
      <c r="P300" s="20" t="n">
        <v>530.4</v>
      </c>
      <c r="Q300" s="8" t="inlineStr">
        <is>
          <t>昆仑万维</t>
        </is>
      </c>
      <c r="R300" s="7" t="inlineStr">
        <is>
          <t>300418.SZ</t>
        </is>
      </c>
      <c r="S300" s="20" t="n">
        <v>505.4</v>
      </c>
      <c r="T300" s="8" t="inlineStr">
        <is>
          <t>奥比中光</t>
        </is>
      </c>
      <c r="U300" s="7" t="inlineStr">
        <is>
          <t>688322.SH</t>
        </is>
      </c>
      <c r="V300" s="20" t="n">
        <v>426.2</v>
      </c>
      <c r="W300" s="8" t="inlineStr">
        <is>
          <t>拓维信息</t>
        </is>
      </c>
      <c r="X300" s="7" t="inlineStr">
        <is>
          <t>002261.SZ</t>
        </is>
      </c>
      <c r="Y300" s="20" t="n">
        <v>350</v>
      </c>
    </row>
    <row r="301">
      <c r="A301" s="7" t="inlineStr">
        <is>
          <t>885985.TI</t>
        </is>
      </c>
      <c r="B301" s="8">
        <f>[1]!thsiFinD("THS_GPJC_STOCK",$A301)</f>
        <v/>
      </c>
      <c r="C301" s="9">
        <f>[1]!thsiFinD("ths_int_chg_ratio_index",$A301,C$1,C$2)/100</f>
        <v/>
      </c>
      <c r="D301" s="9">
        <f>[1]!thsiFinD("ths_int_chg_ratio_index",$A301,D$1,D$2)/100</f>
        <v/>
      </c>
      <c r="E301" s="9">
        <f>[1]!thsiFinD("ths_int_chg_ratio_index",$A301,E$1,E$2)/100</f>
        <v/>
      </c>
      <c r="F301" s="10">
        <f>D301-(E301-D301)/3</f>
        <v/>
      </c>
      <c r="G301" s="7" t="inlineStr">
        <is>
          <t>产业链</t>
        </is>
      </c>
      <c r="H301" s="7">
        <f>IFERROR(VLOOKUP($I301,'分类规则'!$A$30:$C$200,2,0),"")</f>
        <v/>
      </c>
      <c r="I301" s="7" t="inlineStr">
        <is>
          <t>医疗服务</t>
        </is>
      </c>
      <c r="J301" s="7">
        <f>IFERROR(VLOOKUP($I301,'分类规则'!$A$30:$C$200,3,0),"")</f>
        <v/>
      </c>
      <c r="K301" s="8" t="n"/>
      <c r="L301" s="7" t="n"/>
      <c r="M301" s="7" t="n"/>
      <c r="N301" s="8" t="n"/>
      <c r="O301" s="7" t="n"/>
      <c r="P301" s="7" t="n"/>
      <c r="Q301" s="8" t="n"/>
      <c r="R301" s="7" t="n"/>
      <c r="S301" s="7" t="n"/>
      <c r="T301" s="8" t="n"/>
      <c r="U301" s="7" t="n"/>
      <c r="V301" s="7" t="n"/>
      <c r="W301" s="8" t="n"/>
      <c r="X301" s="7" t="n"/>
      <c r="Y301" s="7" t="n"/>
    </row>
    <row r="302">
      <c r="A302" s="7" t="inlineStr">
        <is>
          <t>885705.TI</t>
        </is>
      </c>
      <c r="B302" s="8">
        <f>[1]!thsiFinD("THS_GPJC_STOCK",$A302)</f>
        <v/>
      </c>
      <c r="C302" s="9">
        <f>[1]!thsiFinD("ths_int_chg_ratio_index",$A302,C$1,C$2)/100</f>
        <v/>
      </c>
      <c r="D302" s="9">
        <f>[1]!thsiFinD("ths_int_chg_ratio_index",$A302,D$1,D$2)/100</f>
        <v/>
      </c>
      <c r="E302" s="9">
        <f>[1]!thsiFinD("ths_int_chg_ratio_index",$A302,E$1,E$2)/100</f>
        <v/>
      </c>
      <c r="F302" s="10">
        <f>D302-(E302-D302)/3</f>
        <v/>
      </c>
      <c r="G302" s="7" t="inlineStr">
        <is>
          <t>主题事件</t>
        </is>
      </c>
      <c r="H302" s="7">
        <f>IFERROR(VLOOKUP($I302,'分类规则'!$A$30:$C$200,2,0),"")</f>
        <v/>
      </c>
      <c r="I302" s="7" t="inlineStr">
        <is>
          <t>政策/要素</t>
        </is>
      </c>
      <c r="J302" s="7">
        <f>IFERROR(VLOOKUP($I302,'分类规则'!$A$30:$C$200,3,0),"")</f>
        <v/>
      </c>
      <c r="K302" s="8" t="inlineStr">
        <is>
          <t>胜宏科技</t>
        </is>
      </c>
      <c r="L302" s="7" t="inlineStr">
        <is>
          <t>300476.SZ</t>
        </is>
      </c>
      <c r="M302" s="20" t="n">
        <v>3192.6</v>
      </c>
      <c r="N302" s="8" t="inlineStr">
        <is>
          <t>海康威视</t>
        </is>
      </c>
      <c r="O302" s="7" t="inlineStr">
        <is>
          <t>002415.SZ</t>
        </is>
      </c>
      <c r="P302" s="20" t="n">
        <v>2922</v>
      </c>
      <c r="Q302" s="8" t="inlineStr">
        <is>
          <t>华工科技</t>
        </is>
      </c>
      <c r="R302" s="7" t="inlineStr">
        <is>
          <t>000988.SZ</t>
        </is>
      </c>
      <c r="S302" s="20" t="n">
        <v>1784.4</v>
      </c>
      <c r="T302" s="8" t="inlineStr">
        <is>
          <t>中兴通讯</t>
        </is>
      </c>
      <c r="U302" s="7" t="inlineStr">
        <is>
          <t>000063.SZ</t>
        </is>
      </c>
      <c r="V302" s="20" t="n">
        <v>1526.1</v>
      </c>
      <c r="W302" s="8" t="inlineStr">
        <is>
          <t>顺丰控股</t>
        </is>
      </c>
      <c r="X302" s="7" t="inlineStr">
        <is>
          <t>002352.SZ</t>
        </is>
      </c>
      <c r="Y302" s="20" t="n">
        <v>1504.9</v>
      </c>
    </row>
    <row r="303">
      <c r="A303" s="7" t="inlineStr">
        <is>
          <t>885620.TI</t>
        </is>
      </c>
      <c r="B303" s="8">
        <f>[1]!thsiFinD("THS_GPJC_STOCK",$A303)</f>
        <v/>
      </c>
      <c r="C303" s="9">
        <f>[1]!thsiFinD("ths_int_chg_ratio_index",$A303,C$1,C$2)/100</f>
        <v/>
      </c>
      <c r="D303" s="9">
        <f>[1]!thsiFinD("ths_int_chg_ratio_index",$A303,D$1,D$2)/100</f>
        <v/>
      </c>
      <c r="E303" s="9">
        <f>[1]!thsiFinD("ths_int_chg_ratio_index",$A303,E$1,E$2)/100</f>
        <v/>
      </c>
      <c r="F303" s="10">
        <f>D303-(E303-D303)/3</f>
        <v/>
      </c>
      <c r="G303" s="7" t="inlineStr">
        <is>
          <t>产业链</t>
        </is>
      </c>
      <c r="H303" s="7">
        <f>IFERROR(VLOOKUP($I303,'分类规则'!$A$30:$C$200,2,0),"")</f>
        <v/>
      </c>
      <c r="I303" s="7" t="inlineStr">
        <is>
          <t>金融</t>
        </is>
      </c>
      <c r="J303" s="7">
        <f>IFERROR(VLOOKUP($I303,'分类规则'!$A$30:$C$200,3,0),"")</f>
        <v/>
      </c>
      <c r="K303" s="8" t="n"/>
      <c r="L303" s="7" t="n"/>
      <c r="M303" s="7" t="n"/>
      <c r="N303" s="8" t="n"/>
      <c r="O303" s="7" t="n"/>
      <c r="P303" s="7" t="n"/>
      <c r="Q303" s="8" t="n"/>
      <c r="R303" s="7" t="n"/>
      <c r="S303" s="7" t="n"/>
      <c r="T303" s="8" t="n"/>
      <c r="U303" s="7" t="n"/>
      <c r="V303" s="7" t="n"/>
      <c r="W303" s="8" t="n"/>
      <c r="X303" s="7" t="n"/>
      <c r="Y303" s="7" t="n"/>
    </row>
    <row r="304">
      <c r="A304" s="7" t="inlineStr">
        <is>
          <t>886074.TI</t>
        </is>
      </c>
      <c r="B304" s="8">
        <f>[1]!thsiFinD("THS_GPJC_STOCK",$A304)</f>
        <v/>
      </c>
      <c r="C304" s="9">
        <f>[1]!thsiFinD("ths_int_chg_ratio_index",$A304,C$1,C$2)/100</f>
        <v/>
      </c>
      <c r="D304" s="9">
        <f>[1]!thsiFinD("ths_int_chg_ratio_index",$A304,D$1,D$2)/100</f>
        <v/>
      </c>
      <c r="E304" s="9">
        <f>[1]!thsiFinD("ths_int_chg_ratio_index",$A304,E$1,E$2)/100</f>
        <v/>
      </c>
      <c r="F304" s="10">
        <f>D304-(E304-D304)/3</f>
        <v/>
      </c>
      <c r="G304" s="7" t="inlineStr">
        <is>
          <t>产业链</t>
        </is>
      </c>
      <c r="H304" s="7">
        <f>IFERROR(VLOOKUP($I304,'分类规则'!$A$30:$C$200,2,0),"")</f>
        <v/>
      </c>
      <c r="I304" s="7" t="inlineStr">
        <is>
          <t>AI应用</t>
        </is>
      </c>
      <c r="J304" s="7">
        <f>IFERROR(VLOOKUP($I304,'分类规则'!$A$30:$C$200,3,0),"")</f>
        <v/>
      </c>
      <c r="K304" s="8" t="n"/>
      <c r="L304" s="7" t="n"/>
      <c r="M304" s="7" t="n"/>
      <c r="N304" s="8" t="n"/>
      <c r="O304" s="7" t="n"/>
      <c r="P304" s="7" t="n"/>
      <c r="Q304" s="8" t="n"/>
      <c r="R304" s="7" t="n"/>
      <c r="S304" s="7" t="n"/>
      <c r="T304" s="8" t="n"/>
      <c r="U304" s="7" t="n"/>
      <c r="V304" s="7" t="n"/>
      <c r="W304" s="8" t="n"/>
      <c r="X304" s="7" t="n"/>
      <c r="Y304" s="7" t="n"/>
    </row>
    <row r="305">
      <c r="A305" s="7" t="inlineStr">
        <is>
          <t>885540.TI</t>
        </is>
      </c>
      <c r="B305" s="8">
        <f>[1]!thsiFinD("THS_GPJC_STOCK",$A305)</f>
        <v/>
      </c>
      <c r="C305" s="9">
        <f>[1]!thsiFinD("ths_int_chg_ratio_index",$A305,C$1,C$2)/100</f>
        <v/>
      </c>
      <c r="D305" s="9">
        <f>[1]!thsiFinD("ths_int_chg_ratio_index",$A305,D$1,D$2)/100</f>
        <v/>
      </c>
      <c r="E305" s="9">
        <f>[1]!thsiFinD("ths_int_chg_ratio_index",$A305,E$1,E$2)/100</f>
        <v/>
      </c>
      <c r="F305" s="10">
        <f>D305-(E305-D305)/3</f>
        <v/>
      </c>
      <c r="G305" s="7" t="inlineStr">
        <is>
          <t>主题事件</t>
        </is>
      </c>
      <c r="H305" s="7">
        <f>IFERROR(VLOOKUP($I305,'分类规则'!$A$30:$C$200,2,0),"")</f>
        <v/>
      </c>
      <c r="I305" s="7" t="inlineStr">
        <is>
          <t>政策/要素</t>
        </is>
      </c>
      <c r="J305" s="7">
        <f>IFERROR(VLOOKUP($I305,'分类规则'!$A$30:$C$200,3,0),"")</f>
        <v/>
      </c>
      <c r="K305" s="8" t="inlineStr">
        <is>
          <t>伊利股份</t>
        </is>
      </c>
      <c r="L305" s="7" t="inlineStr">
        <is>
          <t>600887.SH</t>
        </is>
      </c>
      <c r="M305" s="20" t="n">
        <v>1526.9</v>
      </c>
      <c r="N305" s="8" t="inlineStr">
        <is>
          <t>卫星化学</t>
        </is>
      </c>
      <c r="O305" s="7" t="inlineStr">
        <is>
          <t>002648.SZ</t>
        </is>
      </c>
      <c r="P305" s="20" t="n">
        <v>728.8</v>
      </c>
      <c r="Q305" s="8" t="inlineStr">
        <is>
          <t>华利集团</t>
        </is>
      </c>
      <c r="R305" s="7" t="inlineStr">
        <is>
          <t>300979.SZ</t>
        </is>
      </c>
      <c r="S305" s="20" t="n">
        <v>364.8</v>
      </c>
      <c r="T305" s="8" t="inlineStr">
        <is>
          <t>拓维信息</t>
        </is>
      </c>
      <c r="U305" s="7" t="inlineStr">
        <is>
          <t>002261.SZ</t>
        </is>
      </c>
      <c r="V305" s="20" t="n">
        <v>350</v>
      </c>
      <c r="W305" s="8" t="inlineStr">
        <is>
          <t>雅戈尔</t>
        </is>
      </c>
      <c r="X305" s="7" t="inlineStr">
        <is>
          <t>600177.SH</t>
        </is>
      </c>
      <c r="Y305" s="20" t="n">
        <v>331</v>
      </c>
    </row>
    <row r="306">
      <c r="A306" s="7" t="inlineStr">
        <is>
          <t>885950.TI</t>
        </is>
      </c>
      <c r="B306" s="8">
        <f>[1]!thsiFinD("THS_GPJC_STOCK",$A306)</f>
        <v/>
      </c>
      <c r="C306" s="9">
        <f>[1]!thsiFinD("ths_int_chg_ratio_index",$A306,C$1,C$2)/100</f>
        <v/>
      </c>
      <c r="D306" s="9">
        <f>[1]!thsiFinD("ths_int_chg_ratio_index",$A306,D$1,D$2)/100</f>
        <v/>
      </c>
      <c r="E306" s="9">
        <f>[1]!thsiFinD("ths_int_chg_ratio_index",$A306,E$1,E$2)/100</f>
        <v/>
      </c>
      <c r="F306" s="10">
        <f>D306-(E306-D306)/3</f>
        <v/>
      </c>
      <c r="G306" s="7" t="inlineStr">
        <is>
          <t>产业链</t>
        </is>
      </c>
      <c r="H306" s="7">
        <f>IFERROR(VLOOKUP($I306,'分类规则'!$A$30:$C$200,2,0),"")</f>
        <v/>
      </c>
      <c r="I306" s="7" t="inlineStr">
        <is>
          <t>AI应用</t>
        </is>
      </c>
      <c r="J306" s="7">
        <f>IFERROR(VLOOKUP($I306,'分类规则'!$A$30:$C$200,3,0),"")</f>
        <v/>
      </c>
      <c r="K306" s="8" t="inlineStr">
        <is>
          <t>科大讯飞</t>
        </is>
      </c>
      <c r="L306" s="7" t="inlineStr">
        <is>
          <t>002230.SZ</t>
        </is>
      </c>
      <c r="M306" s="20" t="n">
        <v>932.9</v>
      </c>
      <c r="N306" s="8" t="inlineStr">
        <is>
          <t>世纪华通</t>
        </is>
      </c>
      <c r="O306" s="7" t="inlineStr">
        <is>
          <t>002602.SZ</t>
        </is>
      </c>
      <c r="P306" s="20" t="n">
        <v>879.5</v>
      </c>
      <c r="Q306" s="8" t="inlineStr">
        <is>
          <t>中国移动</t>
        </is>
      </c>
      <c r="R306" s="7" t="inlineStr">
        <is>
          <t>600941.SH</t>
        </is>
      </c>
      <c r="S306" s="20" t="n">
        <v>827.4</v>
      </c>
      <c r="T306" s="8" t="inlineStr">
        <is>
          <t>爱尔眼科</t>
        </is>
      </c>
      <c r="U306" s="7" t="inlineStr">
        <is>
          <t>300015.SZ</t>
        </is>
      </c>
      <c r="V306" s="20" t="n">
        <v>657.9</v>
      </c>
      <c r="W306" s="8" t="inlineStr">
        <is>
          <t>三六零</t>
        </is>
      </c>
      <c r="X306" s="7" t="inlineStr">
        <is>
          <t>601360.SH</t>
        </is>
      </c>
      <c r="Y306" s="20" t="n">
        <v>655.9</v>
      </c>
    </row>
    <row r="307">
      <c r="A307" s="7" t="inlineStr">
        <is>
          <t>885861.TI</t>
        </is>
      </c>
      <c r="B307" s="8">
        <f>[1]!thsiFinD("THS_GPJC_STOCK",$A307)</f>
        <v/>
      </c>
      <c r="C307" s="9">
        <f>[1]!thsiFinD("ths_int_chg_ratio_index",$A307,C$1,C$2)/100</f>
        <v/>
      </c>
      <c r="D307" s="9">
        <f>[1]!thsiFinD("ths_int_chg_ratio_index",$A307,D$1,D$2)/100</f>
        <v/>
      </c>
      <c r="E307" s="9">
        <f>[1]!thsiFinD("ths_int_chg_ratio_index",$A307,E$1,E$2)/100</f>
        <v/>
      </c>
      <c r="F307" s="10">
        <f>D307-(E307-D307)/3</f>
        <v/>
      </c>
      <c r="G307" s="7" t="inlineStr">
        <is>
          <t>产业链</t>
        </is>
      </c>
      <c r="H307" s="7">
        <f>IFERROR(VLOOKUP($I307,'分类规则'!$A$30:$C$200,2,0),"")</f>
        <v/>
      </c>
      <c r="I307" s="7" t="inlineStr">
        <is>
          <t>半导体</t>
        </is>
      </c>
      <c r="J307" s="7">
        <f>IFERROR(VLOOKUP($I307,'分类规则'!$A$30:$C$200,3,0),"")</f>
        <v/>
      </c>
      <c r="K307" s="8" t="inlineStr">
        <is>
          <t>紫光国微</t>
        </is>
      </c>
      <c r="L307" s="7" t="inlineStr">
        <is>
          <t>002049.SZ</t>
        </is>
      </c>
      <c r="M307" s="20" t="n">
        <v>682.9</v>
      </c>
      <c r="N307" s="8" t="inlineStr">
        <is>
          <t>合力泰</t>
        </is>
      </c>
      <c r="O307" s="7" t="inlineStr">
        <is>
          <t>002217.SZ</t>
        </is>
      </c>
      <c r="P307" s="20" t="n">
        <v>184.2</v>
      </c>
      <c r="Q307" s="8" t="inlineStr">
        <is>
          <t>力源信息</t>
        </is>
      </c>
      <c r="R307" s="7" t="inlineStr">
        <is>
          <t>300184.SZ</t>
        </is>
      </c>
      <c r="S307" s="20" t="n">
        <v>180.7</v>
      </c>
      <c r="T307" s="8" t="inlineStr">
        <is>
          <t>新大陆</t>
        </is>
      </c>
      <c r="U307" s="7" t="inlineStr">
        <is>
          <t>000997.SZ</t>
        </is>
      </c>
      <c r="V307" s="20" t="n">
        <v>178.8</v>
      </c>
      <c r="W307" s="8" t="inlineStr">
        <is>
          <t>智微智能</t>
        </is>
      </c>
      <c r="X307" s="7" t="inlineStr">
        <is>
          <t>001339.SZ</t>
        </is>
      </c>
      <c r="Y307" s="20" t="n">
        <v>158.1</v>
      </c>
    </row>
    <row r="308">
      <c r="A308" s="7" t="inlineStr">
        <is>
          <t>885502.TI</t>
        </is>
      </c>
      <c r="B308" s="8">
        <f>[1]!thsiFinD("THS_GPJC_STOCK",$A308)</f>
        <v/>
      </c>
      <c r="C308" s="9">
        <f>[1]!thsiFinD("ths_int_chg_ratio_index",$A308,C$1,C$2)/100</f>
        <v/>
      </c>
      <c r="D308" s="9">
        <f>[1]!thsiFinD("ths_int_chg_ratio_index",$A308,D$1,D$2)/100</f>
        <v/>
      </c>
      <c r="E308" s="9">
        <f>[1]!thsiFinD("ths_int_chg_ratio_index",$A308,E$1,E$2)/100</f>
        <v/>
      </c>
      <c r="F308" s="10">
        <f>D308-(E308-D308)/3</f>
        <v/>
      </c>
      <c r="G308" s="7" t="inlineStr">
        <is>
          <t>产业链</t>
        </is>
      </c>
      <c r="H308" s="7">
        <f>IFERROR(VLOOKUP($I308,'分类规则'!$A$30:$C$200,2,0),"")</f>
        <v/>
      </c>
      <c r="I308" s="7" t="inlineStr">
        <is>
          <t>环保</t>
        </is>
      </c>
      <c r="J308" s="7">
        <f>IFERROR(VLOOKUP($I308,'分类规则'!$A$30:$C$200,3,0),"")</f>
        <v/>
      </c>
      <c r="K308" s="8" t="n"/>
      <c r="L308" s="7" t="n"/>
      <c r="M308" s="7" t="n"/>
      <c r="N308" s="8" t="n"/>
      <c r="O308" s="7" t="n"/>
      <c r="P308" s="7" t="n"/>
      <c r="Q308" s="8" t="n"/>
      <c r="R308" s="7" t="n"/>
      <c r="S308" s="7" t="n"/>
      <c r="T308" s="8" t="n"/>
      <c r="U308" s="7" t="n"/>
      <c r="V308" s="7" t="n"/>
      <c r="W308" s="8" t="n"/>
      <c r="X308" s="7" t="n"/>
      <c r="Y308" s="7" t="n"/>
    </row>
    <row r="309">
      <c r="A309" s="7" t="inlineStr">
        <is>
          <t>885750.TI</t>
        </is>
      </c>
      <c r="B309" s="8">
        <f>[1]!thsiFinD("THS_GPJC_STOCK",$A309)</f>
        <v/>
      </c>
      <c r="C309" s="9">
        <f>[1]!thsiFinD("ths_int_chg_ratio_index",$A309,C$1,C$2)/100</f>
        <v/>
      </c>
      <c r="D309" s="9">
        <f>[1]!thsiFinD("ths_int_chg_ratio_index",$A309,D$1,D$2)/100</f>
        <v/>
      </c>
      <c r="E309" s="9">
        <f>[1]!thsiFinD("ths_int_chg_ratio_index",$A309,E$1,E$2)/100</f>
        <v/>
      </c>
      <c r="F309" s="10">
        <f>D309-(E309-D309)/3</f>
        <v/>
      </c>
      <c r="G309" s="7" t="inlineStr">
        <is>
          <t>主题事件</t>
        </is>
      </c>
      <c r="H309" s="7">
        <f>IFERROR(VLOOKUP($I309,'分类规则'!$A$30:$C$200,2,0),"")</f>
        <v/>
      </c>
      <c r="I309" s="7" t="inlineStr">
        <is>
          <t>政策/要素</t>
        </is>
      </c>
      <c r="J309" s="7">
        <f>IFERROR(VLOOKUP($I309,'分类规则'!$A$30:$C$200,3,0),"")</f>
        <v/>
      </c>
      <c r="K309" s="8" t="n"/>
      <c r="L309" s="7" t="n"/>
      <c r="M309" s="7" t="n"/>
      <c r="N309" s="8" t="n"/>
      <c r="O309" s="7" t="n"/>
      <c r="P309" s="7" t="n"/>
      <c r="Q309" s="8" t="n"/>
      <c r="R309" s="7" t="n"/>
      <c r="S309" s="7" t="n"/>
      <c r="T309" s="8" t="n"/>
      <c r="U309" s="7" t="n"/>
      <c r="V309" s="7" t="n"/>
      <c r="W309" s="8" t="n"/>
      <c r="X309" s="7" t="n"/>
      <c r="Y309" s="7" t="n"/>
    </row>
    <row r="310">
      <c r="A310" s="7" t="inlineStr">
        <is>
          <t>885603.TI</t>
        </is>
      </c>
      <c r="B310" s="8">
        <f>[1]!thsiFinD("THS_GPJC_STOCK",$A310)</f>
        <v/>
      </c>
      <c r="C310" s="9">
        <f>[1]!thsiFinD("ths_int_chg_ratio_index",$A310,C$1,C$2)/100</f>
        <v/>
      </c>
      <c r="D310" s="9">
        <f>[1]!thsiFinD("ths_int_chg_ratio_index",$A310,D$1,D$2)/100</f>
        <v/>
      </c>
      <c r="E310" s="9">
        <f>[1]!thsiFinD("ths_int_chg_ratio_index",$A310,E$1,E$2)/100</f>
        <v/>
      </c>
      <c r="F310" s="10">
        <f>D310-(E310-D310)/3</f>
        <v/>
      </c>
      <c r="G310" s="7" t="inlineStr">
        <is>
          <t>产业链</t>
        </is>
      </c>
      <c r="H310" s="7">
        <f>IFERROR(VLOOKUP($I310,'分类规则'!$A$30:$C$200,2,0),"")</f>
        <v/>
      </c>
      <c r="I310" s="7" t="inlineStr">
        <is>
          <t>传媒/游戏</t>
        </is>
      </c>
      <c r="J310" s="7">
        <f>IFERROR(VLOOKUP($I310,'分类规则'!$A$30:$C$200,3,0),"")</f>
        <v/>
      </c>
      <c r="K310" s="8" t="inlineStr">
        <is>
          <t>协创数据</t>
        </is>
      </c>
      <c r="L310" s="7" t="inlineStr">
        <is>
          <t>300857.SZ</t>
        </is>
      </c>
      <c r="M310" s="20" t="n">
        <v>1352.3</v>
      </c>
      <c r="N310" s="8" t="inlineStr">
        <is>
          <t>世纪华通</t>
        </is>
      </c>
      <c r="O310" s="7" t="inlineStr">
        <is>
          <t>002602.SZ</t>
        </is>
      </c>
      <c r="P310" s="20" t="n">
        <v>879.5</v>
      </c>
      <c r="Q310" s="8" t="inlineStr">
        <is>
          <t>三六零</t>
        </is>
      </c>
      <c r="R310" s="7" t="inlineStr">
        <is>
          <t>601360.SH</t>
        </is>
      </c>
      <c r="S310" s="20" t="n">
        <v>655.9</v>
      </c>
      <c r="T310" s="8" t="inlineStr">
        <is>
          <t>方正科技</t>
        </is>
      </c>
      <c r="U310" s="7" t="inlineStr">
        <is>
          <t>600601.SH</t>
        </is>
      </c>
      <c r="V310" s="20" t="n">
        <v>600.5</v>
      </c>
      <c r="W310" s="8" t="inlineStr">
        <is>
          <t>昆仑万维</t>
        </is>
      </c>
      <c r="X310" s="7" t="inlineStr">
        <is>
          <t>300418.SZ</t>
        </is>
      </c>
      <c r="Y310" s="20" t="n">
        <v>505.4</v>
      </c>
    </row>
    <row r="311">
      <c r="A311" s="7" t="inlineStr">
        <is>
          <t>885418.TI</t>
        </is>
      </c>
      <c r="B311" s="8">
        <f>[1]!thsiFinD("THS_GPJC_STOCK",$A311)</f>
        <v/>
      </c>
      <c r="C311" s="9">
        <f>[1]!thsiFinD("ths_int_chg_ratio_index",$A311,C$1,C$2)/100</f>
        <v/>
      </c>
      <c r="D311" s="9">
        <f>[1]!thsiFinD("ths_int_chg_ratio_index",$A311,D$1,D$2)/100</f>
        <v/>
      </c>
      <c r="E311" s="9">
        <f>[1]!thsiFinD("ths_int_chg_ratio_index",$A311,E$1,E$2)/100</f>
        <v/>
      </c>
      <c r="F311" s="10">
        <f>D311-(E311-D311)/3</f>
        <v/>
      </c>
      <c r="G311" s="7" t="inlineStr">
        <is>
          <t>产业链</t>
        </is>
      </c>
      <c r="H311" s="7">
        <f>IFERROR(VLOOKUP($I311,'分类规则'!$A$30:$C$200,2,0),"")</f>
        <v/>
      </c>
      <c r="I311" s="7" t="inlineStr">
        <is>
          <t>传媒/游戏</t>
        </is>
      </c>
      <c r="J311" s="7">
        <f>IFERROR(VLOOKUP($I311,'分类规则'!$A$30:$C$200,3,0),"")</f>
        <v/>
      </c>
      <c r="K311" s="8" t="inlineStr">
        <is>
          <t>分众传媒</t>
        </is>
      </c>
      <c r="L311" s="7" t="inlineStr">
        <is>
          <t>002027.SZ</t>
        </is>
      </c>
      <c r="M311" s="20" t="n">
        <v>725</v>
      </c>
      <c r="N311" s="8" t="inlineStr">
        <is>
          <t>三六零</t>
        </is>
      </c>
      <c r="O311" s="7" t="inlineStr">
        <is>
          <t>601360.SH</t>
        </is>
      </c>
      <c r="P311" s="20" t="n">
        <v>655.9</v>
      </c>
      <c r="Q311" s="8" t="inlineStr">
        <is>
          <t>蓝色光标</t>
        </is>
      </c>
      <c r="R311" s="7" t="inlineStr">
        <is>
          <t>300058.SZ</t>
        </is>
      </c>
      <c r="S311" s="20" t="n">
        <v>530.4</v>
      </c>
      <c r="T311" s="8" t="inlineStr">
        <is>
          <t>光线传媒</t>
        </is>
      </c>
      <c r="U311" s="7" t="inlineStr">
        <is>
          <t>300251.SZ</t>
        </is>
      </c>
      <c r="V311" s="20" t="n">
        <v>314.2</v>
      </c>
      <c r="W311" s="8" t="inlineStr">
        <is>
          <t>利欧股份</t>
        </is>
      </c>
      <c r="X311" s="7" t="inlineStr">
        <is>
          <t>002131.SZ</t>
        </is>
      </c>
      <c r="Y311" s="20" t="n">
        <v>312.1</v>
      </c>
    </row>
    <row r="312">
      <c r="A312" s="7" t="inlineStr">
        <is>
          <t>885780.TI</t>
        </is>
      </c>
      <c r="B312" s="8">
        <f>[1]!thsiFinD("THS_GPJC_STOCK",$A312)</f>
        <v/>
      </c>
      <c r="C312" s="9">
        <f>[1]!thsiFinD("ths_int_chg_ratio_index",$A312,C$1,C$2)/100</f>
        <v/>
      </c>
      <c r="D312" s="9">
        <f>[1]!thsiFinD("ths_int_chg_ratio_index",$A312,D$1,D$2)/100</f>
        <v/>
      </c>
      <c r="E312" s="9">
        <f>[1]!thsiFinD("ths_int_chg_ratio_index",$A312,E$1,E$2)/100</f>
        <v/>
      </c>
      <c r="F312" s="10">
        <f>D312-(E312-D312)/3</f>
        <v/>
      </c>
      <c r="G312" s="7" t="inlineStr">
        <is>
          <t>产业链</t>
        </is>
      </c>
      <c r="H312" s="7">
        <f>IFERROR(VLOOKUP($I312,'分类规则'!$A$30:$C$200,2,0),"")</f>
        <v/>
      </c>
      <c r="I312" s="7" t="inlineStr">
        <is>
          <t>食品饮料</t>
        </is>
      </c>
      <c r="J312" s="7">
        <f>IFERROR(VLOOKUP($I312,'分类规则'!$A$30:$C$200,3,0),"")</f>
        <v/>
      </c>
      <c r="K312" s="8" t="inlineStr">
        <is>
          <t>泸州老窖</t>
        </is>
      </c>
      <c r="L312" s="7" t="inlineStr">
        <is>
          <t>000568.SZ</t>
        </is>
      </c>
      <c r="M312" s="20" t="n">
        <v>1190.5</v>
      </c>
      <c r="N312" s="8" t="inlineStr">
        <is>
          <t>青岛啤酒</t>
        </is>
      </c>
      <c r="O312" s="7" t="inlineStr">
        <is>
          <t>600600.SH</t>
        </is>
      </c>
      <c r="P312" s="20" t="n">
        <v>382.2</v>
      </c>
      <c r="Q312" s="8" t="inlineStr">
        <is>
          <t>燕京啤酒</t>
        </is>
      </c>
      <c r="R312" s="7" t="inlineStr">
        <is>
          <t>000729.SZ</t>
        </is>
      </c>
      <c r="S312" s="20" t="n">
        <v>257.2</v>
      </c>
      <c r="T312" s="8" t="inlineStr">
        <is>
          <t>重庆啤酒</t>
        </is>
      </c>
      <c r="U312" s="7" t="inlineStr">
        <is>
          <t>600132.SH</t>
        </is>
      </c>
      <c r="V312" s="20" t="n">
        <v>214.5</v>
      </c>
      <c r="W312" s="8" t="inlineStr">
        <is>
          <t>珠江啤酒</t>
        </is>
      </c>
      <c r="X312" s="7" t="inlineStr">
        <is>
          <t>002461.SZ</t>
        </is>
      </c>
      <c r="Y312" s="20" t="n">
        <v>182.6</v>
      </c>
    </row>
    <row r="313">
      <c r="A313" s="7" t="inlineStr">
        <is>
          <t>885586.TI</t>
        </is>
      </c>
      <c r="B313" s="8">
        <f>[1]!thsiFinD("THS_GPJC_STOCK",$A313)</f>
        <v/>
      </c>
      <c r="C313" s="9">
        <f>[1]!thsiFinD("ths_int_chg_ratio_index",$A313,C$1,C$2)/100</f>
        <v/>
      </c>
      <c r="D313" s="9">
        <f>[1]!thsiFinD("ths_int_chg_ratio_index",$A313,D$1,D$2)/100</f>
        <v/>
      </c>
      <c r="E313" s="9">
        <f>[1]!thsiFinD("ths_int_chg_ratio_index",$A313,E$1,E$2)/100</f>
        <v/>
      </c>
      <c r="F313" s="10">
        <f>D313-(E313-D313)/3</f>
        <v/>
      </c>
      <c r="G313" s="7" t="inlineStr">
        <is>
          <t>产业链</t>
        </is>
      </c>
      <c r="H313" s="7">
        <f>IFERROR(VLOOKUP($I313,'分类规则'!$A$30:$C$200,2,0),"")</f>
        <v/>
      </c>
      <c r="I313" s="7" t="inlineStr">
        <is>
          <t>教育服务</t>
        </is>
      </c>
      <c r="J313" s="7">
        <f>IFERROR(VLOOKUP($I313,'分类规则'!$A$30:$C$200,3,0),"")</f>
        <v/>
      </c>
      <c r="K313" s="8" t="inlineStr">
        <is>
          <t>蓝色光标</t>
        </is>
      </c>
      <c r="L313" s="7" t="inlineStr">
        <is>
          <t>300058.SZ</t>
        </is>
      </c>
      <c r="M313" s="20" t="n">
        <v>530.4</v>
      </c>
      <c r="N313" s="8" t="inlineStr">
        <is>
          <t>大中矿业</t>
        </is>
      </c>
      <c r="O313" s="7" t="inlineStr">
        <is>
          <t>001203.SZ</t>
        </is>
      </c>
      <c r="P313" s="20" t="n">
        <v>423.9</v>
      </c>
      <c r="Q313" s="8" t="inlineStr">
        <is>
          <t>宏景科技</t>
        </is>
      </c>
      <c r="R313" s="7" t="inlineStr">
        <is>
          <t>301396.SZ</t>
        </is>
      </c>
      <c r="S313" s="20" t="n">
        <v>315.5</v>
      </c>
      <c r="T313" s="8" t="inlineStr">
        <is>
          <t>软通动力</t>
        </is>
      </c>
      <c r="U313" s="7" t="inlineStr">
        <is>
          <t>301236.SZ</t>
        </is>
      </c>
      <c r="V313" s="20" t="n">
        <v>303</v>
      </c>
      <c r="W313" s="8" t="inlineStr">
        <is>
          <t>机器人</t>
        </is>
      </c>
      <c r="X313" s="7" t="inlineStr">
        <is>
          <t>300024.SZ</t>
        </is>
      </c>
      <c r="Y313" s="20" t="n">
        <v>279.4</v>
      </c>
    </row>
    <row r="314">
      <c r="A314" s="7" t="inlineStr">
        <is>
          <t>885428.TI</t>
        </is>
      </c>
      <c r="B314" s="8">
        <f>[1]!thsiFinD("THS_GPJC_STOCK",$A314)</f>
        <v/>
      </c>
      <c r="C314" s="9">
        <f>[1]!thsiFinD("ths_int_chg_ratio_index",$A314,C$1,C$2)/100</f>
        <v/>
      </c>
      <c r="D314" s="9">
        <f>[1]!thsiFinD("ths_int_chg_ratio_index",$A314,D$1,D$2)/100</f>
        <v/>
      </c>
      <c r="E314" s="9">
        <f>[1]!thsiFinD("ths_int_chg_ratio_index",$A314,E$1,E$2)/100</f>
        <v/>
      </c>
      <c r="F314" s="10">
        <f>D314-(E314-D314)/3</f>
        <v/>
      </c>
      <c r="G314" s="7" t="inlineStr">
        <is>
          <t>产业链</t>
        </is>
      </c>
      <c r="H314" s="7">
        <f>IFERROR(VLOOKUP($I314,'分类规则'!$A$30:$C$200,2,0),"")</f>
        <v/>
      </c>
      <c r="I314" s="7" t="inlineStr">
        <is>
          <t>钢铁/电极材料</t>
        </is>
      </c>
      <c r="J314" s="7">
        <f>IFERROR(VLOOKUP($I314,'分类规则'!$A$30:$C$200,3,0),"")</f>
        <v/>
      </c>
      <c r="K314" s="8" t="inlineStr">
        <is>
          <t>宝钢股份</t>
        </is>
      </c>
      <c r="L314" s="7" t="inlineStr">
        <is>
          <t>600019.SH</t>
        </is>
      </c>
      <c r="M314" s="20" t="n">
        <v>1216.3</v>
      </c>
      <c r="N314" s="8" t="inlineStr">
        <is>
          <t>包钢股份</t>
        </is>
      </c>
      <c r="O314" s="7" t="inlineStr">
        <is>
          <t>600010.SH</t>
        </is>
      </c>
      <c r="P314" s="20" t="n">
        <v>761</v>
      </c>
      <c r="Q314" s="8" t="inlineStr">
        <is>
          <t>中信特钢</t>
        </is>
      </c>
      <c r="R314" s="7" t="inlineStr">
        <is>
          <t>000708.SZ</t>
        </is>
      </c>
      <c r="S314" s="20" t="n">
        <v>682.9</v>
      </c>
      <c r="T314" s="8" t="inlineStr">
        <is>
          <t>南钢股份</t>
        </is>
      </c>
      <c r="U314" s="7" t="inlineStr">
        <is>
          <t>600282.SH</t>
        </is>
      </c>
      <c r="V314" s="20" t="n">
        <v>289.8</v>
      </c>
      <c r="W314" s="8" t="inlineStr">
        <is>
          <t>华菱钢铁</t>
        </is>
      </c>
      <c r="X314" s="7" t="inlineStr">
        <is>
          <t>000932.SZ</t>
        </is>
      </c>
      <c r="Y314" s="20" t="n">
        <v>249.4</v>
      </c>
    </row>
    <row r="315">
      <c r="A315" s="7" t="inlineStr">
        <is>
          <t>885980.TI</t>
        </is>
      </c>
      <c r="B315" s="8">
        <f>[1]!thsiFinD("THS_GPJC_STOCK",$A315)</f>
        <v/>
      </c>
      <c r="C315" s="9">
        <f>[1]!thsiFinD("ths_int_chg_ratio_index",$A315,C$1,C$2)/100</f>
        <v/>
      </c>
      <c r="D315" s="9">
        <f>[1]!thsiFinD("ths_int_chg_ratio_index",$A315,D$1,D$2)/100</f>
        <v/>
      </c>
      <c r="E315" s="9">
        <f>[1]!thsiFinD("ths_int_chg_ratio_index",$A315,E$1,E$2)/100</f>
        <v/>
      </c>
      <c r="F315" s="10">
        <f>D315-(E315-D315)/3</f>
        <v/>
      </c>
      <c r="G315" s="7" t="inlineStr">
        <is>
          <t>产业链</t>
        </is>
      </c>
      <c r="H315" s="7">
        <f>IFERROR(VLOOKUP($I315,'分类规则'!$A$30:$C$200,2,0),"")</f>
        <v/>
      </c>
      <c r="I315" s="7" t="inlineStr">
        <is>
          <t>信创/国产化</t>
        </is>
      </c>
      <c r="J315" s="7">
        <f>IFERROR(VLOOKUP($I315,'分类规则'!$A$30:$C$200,3,0),"")</f>
        <v/>
      </c>
      <c r="K315" s="8" t="inlineStr">
        <is>
          <t>江波龙</t>
        </is>
      </c>
      <c r="L315" s="7" t="inlineStr">
        <is>
          <t>301308.SZ</t>
        </is>
      </c>
      <c r="M315" s="20" t="n">
        <v>1628.5</v>
      </c>
      <c r="N315" s="8" t="inlineStr">
        <is>
          <t>中控技术</t>
        </is>
      </c>
      <c r="O315" s="7" t="inlineStr">
        <is>
          <t>688777.SH</t>
        </is>
      </c>
      <c r="P315" s="20" t="n">
        <v>980.1</v>
      </c>
      <c r="Q315" s="8" t="inlineStr">
        <is>
          <t>烽火通信</t>
        </is>
      </c>
      <c r="R315" s="7" t="inlineStr">
        <is>
          <t>600498.SH</t>
        </is>
      </c>
      <c r="S315" s="20" t="n">
        <v>957.7</v>
      </c>
      <c r="T315" s="8" t="inlineStr">
        <is>
          <t>中国长城</t>
        </is>
      </c>
      <c r="U315" s="7" t="inlineStr">
        <is>
          <t>000066.SZ</t>
        </is>
      </c>
      <c r="V315" s="20" t="n">
        <v>575.4</v>
      </c>
      <c r="W315" s="8" t="inlineStr">
        <is>
          <t>恒生电子</t>
        </is>
      </c>
      <c r="X315" s="7" t="inlineStr">
        <is>
          <t>600570.SH</t>
        </is>
      </c>
      <c r="Y315" s="20" t="n">
        <v>421.3</v>
      </c>
    </row>
    <row r="316">
      <c r="A316" s="7" t="inlineStr">
        <is>
          <t>886031.TI</t>
        </is>
      </c>
      <c r="B316" s="8">
        <f>[1]!thsiFinD("THS_GPJC_STOCK",$A316)</f>
        <v/>
      </c>
      <c r="C316" s="9">
        <f>[1]!thsiFinD("ths_int_chg_ratio_index",$A316,C$1,C$2)/100</f>
        <v/>
      </c>
      <c r="D316" s="9">
        <f>[1]!thsiFinD("ths_int_chg_ratio_index",$A316,D$1,D$2)/100</f>
        <v/>
      </c>
      <c r="E316" s="9">
        <f>[1]!thsiFinD("ths_int_chg_ratio_index",$A316,E$1,E$2)/100</f>
        <v/>
      </c>
      <c r="F316" s="10">
        <f>D316-(E316-D316)/3</f>
        <v/>
      </c>
      <c r="G316" s="7" t="inlineStr">
        <is>
          <t>产业链</t>
        </is>
      </c>
      <c r="H316" s="7">
        <f>IFERROR(VLOOKUP($I316,'分类规则'!$A$30:$C$200,2,0),"")</f>
        <v/>
      </c>
      <c r="I316" s="7" t="inlineStr">
        <is>
          <t>AI应用</t>
        </is>
      </c>
      <c r="J316" s="7">
        <f>IFERROR(VLOOKUP($I316,'分类规则'!$A$30:$C$200,3,0),"")</f>
        <v/>
      </c>
      <c r="K316" s="8" t="n"/>
      <c r="L316" s="7" t="n"/>
      <c r="M316" s="7" t="n"/>
      <c r="N316" s="8" t="n"/>
      <c r="O316" s="7" t="n"/>
      <c r="P316" s="7" t="n"/>
      <c r="Q316" s="8" t="n"/>
      <c r="R316" s="7" t="n"/>
      <c r="S316" s="7" t="n"/>
      <c r="T316" s="8" t="n"/>
      <c r="U316" s="7" t="n"/>
      <c r="V316" s="7" t="n"/>
      <c r="W316" s="8" t="n"/>
      <c r="X316" s="7" t="n"/>
      <c r="Y316" s="7" t="n"/>
    </row>
    <row r="317">
      <c r="A317" s="7" t="inlineStr">
        <is>
          <t>885952.TI</t>
        </is>
      </c>
      <c r="B317" s="8">
        <f>[1]!thsiFinD("THS_GPJC_STOCK",$A317)</f>
        <v/>
      </c>
      <c r="C317" s="9">
        <f>[1]!thsiFinD("ths_int_chg_ratio_index",$A317,C$1,C$2)/100</f>
        <v/>
      </c>
      <c r="D317" s="9">
        <f>[1]!thsiFinD("ths_int_chg_ratio_index",$A317,D$1,D$2)/100</f>
        <v/>
      </c>
      <c r="E317" s="9">
        <f>[1]!thsiFinD("ths_int_chg_ratio_index",$A317,E$1,E$2)/100</f>
        <v/>
      </c>
      <c r="F317" s="10">
        <f>D317-(E317-D317)/3</f>
        <v/>
      </c>
      <c r="G317" s="7" t="inlineStr">
        <is>
          <t>产业链</t>
        </is>
      </c>
      <c r="H317" s="7">
        <f>IFERROR(VLOOKUP($I317,'分类规则'!$A$30:$C$200,2,0),"")</f>
        <v/>
      </c>
      <c r="I317" s="7" t="inlineStr">
        <is>
          <t>中药/原料</t>
        </is>
      </c>
      <c r="J317" s="7">
        <f>IFERROR(VLOOKUP($I317,'分类规则'!$A$30:$C$200,3,0),"")</f>
        <v/>
      </c>
      <c r="K317" s="8" t="inlineStr">
        <is>
          <t>科伦药业</t>
        </is>
      </c>
      <c r="L317" s="7" t="inlineStr">
        <is>
          <t>002422.SZ</t>
        </is>
      </c>
      <c r="M317" s="20" t="n">
        <v>466.5</v>
      </c>
      <c r="N317" s="8" t="inlineStr">
        <is>
          <t>万泰生物</t>
        </is>
      </c>
      <c r="O317" s="7" t="inlineStr">
        <is>
          <t>603392.SH</t>
        </is>
      </c>
      <c r="P317" s="20" t="n">
        <v>360.9</v>
      </c>
      <c r="Q317" s="8" t="inlineStr">
        <is>
          <t>济川药业</t>
        </is>
      </c>
      <c r="R317" s="7" t="inlineStr">
        <is>
          <t>600566.SH</t>
        </is>
      </c>
      <c r="S317" s="20" t="n">
        <v>238</v>
      </c>
      <c r="T317" s="8" t="inlineStr">
        <is>
          <t>鱼跃医疗</t>
        </is>
      </c>
      <c r="U317" s="7" t="inlineStr">
        <is>
          <t>002223.SZ</t>
        </is>
      </c>
      <c r="V317" s="20" t="n">
        <v>232.9</v>
      </c>
      <c r="W317" s="8" t="inlineStr">
        <is>
          <t>以岭药业</t>
        </is>
      </c>
      <c r="X317" s="7" t="inlineStr">
        <is>
          <t>002603.SZ</t>
        </is>
      </c>
      <c r="Y317" s="20" t="n">
        <v>206.8</v>
      </c>
    </row>
    <row r="318">
      <c r="A318" s="7" t="inlineStr">
        <is>
          <t>886076.TI</t>
        </is>
      </c>
      <c r="B318" s="8">
        <f>[1]!thsiFinD("THS_GPJC_STOCK",$A318)</f>
        <v/>
      </c>
      <c r="C318" s="9">
        <f>[1]!thsiFinD("ths_int_chg_ratio_index",$A318,C$1,C$2)/100</f>
        <v/>
      </c>
      <c r="D318" s="9">
        <f>[1]!thsiFinD("ths_int_chg_ratio_index",$A318,D$1,D$2)/100</f>
        <v/>
      </c>
      <c r="E318" s="9">
        <f>[1]!thsiFinD("ths_int_chg_ratio_index",$A318,E$1,E$2)/100</f>
        <v/>
      </c>
      <c r="F318" s="10">
        <f>D318-(E318-D318)/3</f>
        <v/>
      </c>
      <c r="G318" s="7" t="inlineStr">
        <is>
          <t>产业链</t>
        </is>
      </c>
      <c r="H318" s="7">
        <f>IFERROR(VLOOKUP($I318,'分类规则'!$A$30:$C$200,2,0),"")</f>
        <v/>
      </c>
      <c r="I318" s="7" t="inlineStr">
        <is>
          <t>航空航天</t>
        </is>
      </c>
      <c r="J318" s="7">
        <f>IFERROR(VLOOKUP($I318,'分类规则'!$A$30:$C$200,3,0),"")</f>
        <v/>
      </c>
      <c r="K318" s="8" t="inlineStr">
        <is>
          <t>航天电子</t>
        </is>
      </c>
      <c r="L318" s="7" t="inlineStr">
        <is>
          <t>600879.SH</t>
        </is>
      </c>
      <c r="M318" s="20" t="n">
        <v>681.6</v>
      </c>
      <c r="N318" s="8" t="inlineStr">
        <is>
          <t>国博电子</t>
        </is>
      </c>
      <c r="O318" s="7" t="inlineStr">
        <is>
          <t>688375.SH</t>
        </is>
      </c>
      <c r="P318" s="20" t="n">
        <v>607.5</v>
      </c>
      <c r="Q318" s="8" t="inlineStr">
        <is>
          <t>中航机载</t>
        </is>
      </c>
      <c r="R318" s="7" t="inlineStr">
        <is>
          <t>600372.SH</t>
        </is>
      </c>
      <c r="S318" s="20" t="n">
        <v>531.3</v>
      </c>
      <c r="T318" s="8" t="inlineStr">
        <is>
          <t>海格通信</t>
        </is>
      </c>
      <c r="U318" s="7" t="inlineStr">
        <is>
          <t>002465.SZ</t>
        </is>
      </c>
      <c r="V318" s="20" t="n">
        <v>339</v>
      </c>
      <c r="W318" s="8" t="inlineStr">
        <is>
          <t>航天发展</t>
        </is>
      </c>
      <c r="X318" s="7" t="inlineStr">
        <is>
          <t>000547.SZ</t>
        </is>
      </c>
      <c r="Y318" s="20" t="n">
        <v>313.4</v>
      </c>
    </row>
    <row r="319">
      <c r="A319" s="7" t="inlineStr">
        <is>
          <t>886051.TI</t>
        </is>
      </c>
      <c r="B319" s="8">
        <f>[1]!thsiFinD("THS_GPJC_STOCK",$A319)</f>
        <v/>
      </c>
      <c r="C319" s="9">
        <f>[1]!thsiFinD("ths_int_chg_ratio_index",$A319,C$1,C$2)/100</f>
        <v/>
      </c>
      <c r="D319" s="9">
        <f>[1]!thsiFinD("ths_int_chg_ratio_index",$A319,D$1,D$2)/100</f>
        <v/>
      </c>
      <c r="E319" s="9">
        <f>[1]!thsiFinD("ths_int_chg_ratio_index",$A319,E$1,E$2)/100</f>
        <v/>
      </c>
      <c r="F319" s="10">
        <f>D319-(E319-D319)/3</f>
        <v/>
      </c>
      <c r="G319" s="7" t="inlineStr">
        <is>
          <t>产业链</t>
        </is>
      </c>
      <c r="H319" s="7">
        <f>IFERROR(VLOOKUP($I319,'分类规则'!$A$30:$C$200,2,0),"")</f>
        <v/>
      </c>
      <c r="I319" s="7" t="inlineStr">
        <is>
          <t>创新药</t>
        </is>
      </c>
      <c r="J319" s="7">
        <f>IFERROR(VLOOKUP($I319,'分类规则'!$A$30:$C$200,3,0),"")</f>
        <v/>
      </c>
      <c r="K319" s="8" t="n"/>
      <c r="L319" s="7" t="n"/>
      <c r="M319" s="7" t="n"/>
      <c r="N319" s="8" t="n"/>
      <c r="O319" s="7" t="n"/>
      <c r="P319" s="7" t="n"/>
      <c r="Q319" s="8" t="n"/>
      <c r="R319" s="7" t="n"/>
      <c r="S319" s="7" t="n"/>
      <c r="T319" s="8" t="n"/>
      <c r="U319" s="7" t="n"/>
      <c r="V319" s="7" t="n"/>
      <c r="W319" s="8" t="n"/>
      <c r="X319" s="7" t="n"/>
      <c r="Y319" s="7" t="n"/>
    </row>
    <row r="320">
      <c r="A320" s="7" t="inlineStr">
        <is>
          <t>885923.TI</t>
        </is>
      </c>
      <c r="B320" s="8">
        <f>[1]!thsiFinD("THS_GPJC_STOCK",$A320)</f>
        <v/>
      </c>
      <c r="C320" s="9">
        <f>[1]!thsiFinD("ths_int_chg_ratio_index",$A320,C$1,C$2)/100</f>
        <v/>
      </c>
      <c r="D320" s="9">
        <f>[1]!thsiFinD("ths_int_chg_ratio_index",$A320,D$1,D$2)/100</f>
        <v/>
      </c>
      <c r="E320" s="9">
        <f>[1]!thsiFinD("ths_int_chg_ratio_index",$A320,E$1,E$2)/100</f>
        <v/>
      </c>
      <c r="F320" s="10">
        <f>D320-(E320-D320)/3</f>
        <v/>
      </c>
      <c r="G320" s="7" t="inlineStr">
        <is>
          <t>产业链</t>
        </is>
      </c>
      <c r="H320" s="7">
        <f>IFERROR(VLOOKUP($I320,'分类规则'!$A$30:$C$200,2,0),"")</f>
        <v/>
      </c>
      <c r="I320" s="7" t="inlineStr">
        <is>
          <t>信创/国产化</t>
        </is>
      </c>
      <c r="J320" s="7">
        <f>IFERROR(VLOOKUP($I320,'分类规则'!$A$30:$C$200,3,0),"")</f>
        <v/>
      </c>
      <c r="K320" s="8" t="n"/>
      <c r="L320" s="7" t="n"/>
      <c r="M320" s="7" t="n"/>
      <c r="N320" s="8" t="n"/>
      <c r="O320" s="7" t="n"/>
      <c r="P320" s="7" t="n"/>
      <c r="Q320" s="8" t="n"/>
      <c r="R320" s="7" t="n"/>
      <c r="S320" s="7" t="n"/>
      <c r="T320" s="8" t="n"/>
      <c r="U320" s="7" t="n"/>
      <c r="V320" s="7" t="n"/>
      <c r="W320" s="8" t="n"/>
      <c r="X320" s="7" t="n"/>
      <c r="Y320" s="7" t="n"/>
    </row>
    <row r="321">
      <c r="A321" s="7" t="inlineStr">
        <is>
          <t>885879.TI</t>
        </is>
      </c>
      <c r="B321" s="8">
        <f>[1]!thsiFinD("THS_GPJC_STOCK",$A321)</f>
        <v/>
      </c>
      <c r="C321" s="9">
        <f>[1]!thsiFinD("ths_int_chg_ratio_index",$A321,C$1,C$2)/100</f>
        <v/>
      </c>
      <c r="D321" s="9">
        <f>[1]!thsiFinD("ths_int_chg_ratio_index",$A321,D$1,D$2)/100</f>
        <v/>
      </c>
      <c r="E321" s="9">
        <f>[1]!thsiFinD("ths_int_chg_ratio_index",$A321,E$1,E$2)/100</f>
        <v/>
      </c>
      <c r="F321" s="10">
        <f>D321-(E321-D321)/3</f>
        <v/>
      </c>
      <c r="G321" s="7" t="inlineStr">
        <is>
          <t>产业链</t>
        </is>
      </c>
      <c r="H321" s="7">
        <f>IFERROR(VLOOKUP($I321,'分类规则'!$A$30:$C$200,2,0),"")</f>
        <v/>
      </c>
      <c r="I321" s="7" t="inlineStr">
        <is>
          <t>中药/原料</t>
        </is>
      </c>
      <c r="J321" s="7">
        <f>IFERROR(VLOOKUP($I321,'分类规则'!$A$30:$C$200,3,0),"")</f>
        <v/>
      </c>
      <c r="K321" s="8" t="inlineStr">
        <is>
          <t>科伦药业</t>
        </is>
      </c>
      <c r="L321" s="7" t="inlineStr">
        <is>
          <t>002422.SZ</t>
        </is>
      </c>
      <c r="M321" s="20" t="n">
        <v>466.5</v>
      </c>
      <c r="N321" s="8" t="inlineStr">
        <is>
          <t>复星医药</t>
        </is>
      </c>
      <c r="O321" s="7" t="inlineStr">
        <is>
          <t>600196.SH</t>
        </is>
      </c>
      <c r="P321" s="20" t="n">
        <v>461.6</v>
      </c>
      <c r="Q321" s="8" t="inlineStr">
        <is>
          <t>华润三九</t>
        </is>
      </c>
      <c r="R321" s="7" t="inlineStr">
        <is>
          <t>000999.SZ</t>
        </is>
      </c>
      <c r="S321" s="20" t="n">
        <v>390.4</v>
      </c>
      <c r="T321" s="8" t="inlineStr">
        <is>
          <t>万泰生物</t>
        </is>
      </c>
      <c r="U321" s="7" t="inlineStr">
        <is>
          <t>603392.SH</t>
        </is>
      </c>
      <c r="V321" s="20" t="n">
        <v>360.9</v>
      </c>
      <c r="W321" s="8" t="inlineStr">
        <is>
          <t>九安医疗</t>
        </is>
      </c>
      <c r="X321" s="7" t="inlineStr">
        <is>
          <t>002432.SZ</t>
        </is>
      </c>
      <c r="Y321" s="20" t="n">
        <v>342</v>
      </c>
    </row>
    <row r="322">
      <c r="A322" s="7" t="inlineStr">
        <is>
          <t>886068.TI</t>
        </is>
      </c>
      <c r="B322" s="8">
        <f>[1]!thsiFinD("THS_GPJC_STOCK",$A322)</f>
        <v/>
      </c>
      <c r="C322" s="9">
        <f>[1]!thsiFinD("ths_int_chg_ratio_index",$A322,C$1,C$2)/100</f>
        <v/>
      </c>
      <c r="D322" s="9">
        <f>[1]!thsiFinD("ths_int_chg_ratio_index",$A322,D$1,D$2)/100</f>
        <v/>
      </c>
      <c r="E322" s="9">
        <f>[1]!thsiFinD("ths_int_chg_ratio_index",$A322,E$1,E$2)/100</f>
        <v/>
      </c>
      <c r="F322" s="10">
        <f>D322-(E322-D322)/3</f>
        <v/>
      </c>
      <c r="G322" s="7" t="inlineStr">
        <is>
          <t>产业链</t>
        </is>
      </c>
      <c r="H322" s="7">
        <f>IFERROR(VLOOKUP($I322,'分类规则'!$A$30:$C$200,2,0),"")</f>
        <v/>
      </c>
      <c r="I322" s="7" t="inlineStr">
        <is>
          <t>AI应用</t>
        </is>
      </c>
      <c r="J322" s="7">
        <f>IFERROR(VLOOKUP($I322,'分类规则'!$A$30:$C$200,3,0),"")</f>
        <v/>
      </c>
      <c r="K322" s="8" t="n"/>
      <c r="L322" s="7" t="n"/>
      <c r="M322" s="7" t="n"/>
      <c r="N322" s="8" t="n"/>
      <c r="O322" s="7" t="n"/>
      <c r="P322" s="7" t="n"/>
      <c r="Q322" s="8" t="n"/>
      <c r="R322" s="7" t="n"/>
      <c r="S322" s="7" t="n"/>
      <c r="T322" s="8" t="n"/>
      <c r="U322" s="7" t="n"/>
      <c r="V322" s="7" t="n"/>
      <c r="W322" s="8" t="n"/>
      <c r="X322" s="7" t="n"/>
      <c r="Y322" s="7" t="n"/>
    </row>
    <row r="323">
      <c r="A323" s="7" t="inlineStr">
        <is>
          <t>885757.TI</t>
        </is>
      </c>
      <c r="B323" s="8">
        <f>[1]!thsiFinD("THS_GPJC_STOCK",$A323)</f>
        <v/>
      </c>
      <c r="C323" s="9">
        <f>[1]!thsiFinD("ths_int_chg_ratio_index",$A323,C$1,C$2)/100</f>
        <v/>
      </c>
      <c r="D323" s="9">
        <f>[1]!thsiFinD("ths_int_chg_ratio_index",$A323,D$1,D$2)/100</f>
        <v/>
      </c>
      <c r="E323" s="9">
        <f>[1]!thsiFinD("ths_int_chg_ratio_index",$A323,E$1,E$2)/100</f>
        <v/>
      </c>
      <c r="F323" s="10">
        <f>D323-(E323-D323)/3</f>
        <v/>
      </c>
      <c r="G323" s="7" t="inlineStr">
        <is>
          <t>产业链</t>
        </is>
      </c>
      <c r="H323" s="7">
        <f>IFERROR(VLOOKUP($I323,'分类规则'!$A$30:$C$200,2,0),"")</f>
        <v/>
      </c>
      <c r="I323" s="7" t="inlineStr">
        <is>
          <t>区块链/Web3</t>
        </is>
      </c>
      <c r="J323" s="7">
        <f>IFERROR(VLOOKUP($I323,'分类规则'!$A$30:$C$200,3,0),"")</f>
        <v/>
      </c>
      <c r="K323" s="8" t="n"/>
      <c r="L323" s="7" t="n"/>
      <c r="M323" s="7" t="n"/>
      <c r="N323" s="8" t="n"/>
      <c r="O323" s="7" t="n"/>
      <c r="P323" s="7" t="n"/>
      <c r="Q323" s="8" t="n"/>
      <c r="R323" s="7" t="n"/>
      <c r="S323" s="7" t="n"/>
      <c r="T323" s="8" t="n"/>
      <c r="U323" s="7" t="n"/>
      <c r="V323" s="7" t="n"/>
      <c r="W323" s="8" t="n"/>
      <c r="X323" s="7" t="n"/>
      <c r="Y323" s="7" t="n"/>
    </row>
    <row r="324">
      <c r="A324" s="7" t="inlineStr">
        <is>
          <t>885772.TI</t>
        </is>
      </c>
      <c r="B324" s="8">
        <f>[1]!thsiFinD("THS_GPJC_STOCK",$A324)</f>
        <v/>
      </c>
      <c r="C324" s="9">
        <f>[1]!thsiFinD("ths_int_chg_ratio_index",$A324,C$1,C$2)/100</f>
        <v/>
      </c>
      <c r="D324" s="9">
        <f>[1]!thsiFinD("ths_int_chg_ratio_index",$A324,D$1,D$2)/100</f>
        <v/>
      </c>
      <c r="E324" s="9">
        <f>[1]!thsiFinD("ths_int_chg_ratio_index",$A324,E$1,E$2)/100</f>
        <v/>
      </c>
      <c r="F324" s="10">
        <f>D324-(E324-D324)/3</f>
        <v/>
      </c>
      <c r="G324" s="7" t="inlineStr">
        <is>
          <t>产业链</t>
        </is>
      </c>
      <c r="H324" s="7">
        <f>IFERROR(VLOOKUP($I324,'分类规则'!$A$30:$C$200,2,0),"")</f>
        <v/>
      </c>
      <c r="I324" s="7" t="inlineStr">
        <is>
          <t>AI应用</t>
        </is>
      </c>
      <c r="J324" s="7">
        <f>IFERROR(VLOOKUP($I324,'分类规则'!$A$30:$C$200,3,0),"")</f>
        <v/>
      </c>
      <c r="K324" s="8" t="n"/>
      <c r="L324" s="7" t="n"/>
      <c r="M324" s="7" t="n"/>
      <c r="N324" s="8" t="n"/>
      <c r="O324" s="7" t="n"/>
      <c r="P324" s="7" t="n"/>
      <c r="Q324" s="8" t="n"/>
      <c r="R324" s="7" t="n"/>
      <c r="S324" s="7" t="n"/>
      <c r="T324" s="8" t="n"/>
      <c r="U324" s="7" t="n"/>
      <c r="V324" s="7" t="n"/>
      <c r="W324" s="8" t="n"/>
      <c r="X324" s="7" t="n"/>
      <c r="Y324" s="7" t="n"/>
    </row>
    <row r="325">
      <c r="A325" s="7" t="inlineStr">
        <is>
          <t>885974.TI</t>
        </is>
      </c>
      <c r="B325" s="8">
        <f>[1]!thsiFinD("THS_GPJC_STOCK",$A325)</f>
        <v/>
      </c>
      <c r="C325" s="9">
        <f>[1]!thsiFinD("ths_int_chg_ratio_index",$A325,C$1,C$2)/100</f>
        <v/>
      </c>
      <c r="D325" s="9">
        <f>[1]!thsiFinD("ths_int_chg_ratio_index",$A325,D$1,D$2)/100</f>
        <v/>
      </c>
      <c r="E325" s="9">
        <f>[1]!thsiFinD("ths_int_chg_ratio_index",$A325,E$1,E$2)/100</f>
        <v/>
      </c>
      <c r="F325" s="10">
        <f>D325-(E325-D325)/3</f>
        <v/>
      </c>
      <c r="G325" s="7" t="inlineStr">
        <is>
          <t>产业链</t>
        </is>
      </c>
      <c r="H325" s="7">
        <f>IFERROR(VLOOKUP($I325,'分类规则'!$A$30:$C$200,2,0),"")</f>
        <v/>
      </c>
      <c r="I325" s="7" t="inlineStr">
        <is>
          <t>汽车</t>
        </is>
      </c>
      <c r="J325" s="7">
        <f>IFERROR(VLOOKUP($I325,'分类规则'!$A$30:$C$200,3,0),"")</f>
        <v/>
      </c>
      <c r="K325" s="8" t="inlineStr">
        <is>
          <t>亿纬锂能</t>
        </is>
      </c>
      <c r="L325" s="7" t="inlineStr">
        <is>
          <t>300014.SZ</t>
        </is>
      </c>
      <c r="M325" s="20" t="n">
        <v>1408.2</v>
      </c>
      <c r="N325" s="8" t="inlineStr">
        <is>
          <t>长城汽车</t>
        </is>
      </c>
      <c r="O325" s="7" t="inlineStr">
        <is>
          <t>601633.SH</t>
        </is>
      </c>
      <c r="P325" s="20" t="n">
        <v>1097.9</v>
      </c>
      <c r="Q325" s="8" t="inlineStr">
        <is>
          <t>国轩高科</t>
        </is>
      </c>
      <c r="R325" s="7" t="inlineStr">
        <is>
          <t>002074.SZ</t>
        </is>
      </c>
      <c r="S325" s="20" t="n">
        <v>515.8</v>
      </c>
      <c r="T325" s="8" t="inlineStr">
        <is>
          <t>千里科技</t>
        </is>
      </c>
      <c r="U325" s="7" t="inlineStr">
        <is>
          <t>601777.SH</t>
        </is>
      </c>
      <c r="V325" s="20" t="n">
        <v>420.5</v>
      </c>
      <c r="W325" s="8" t="inlineStr">
        <is>
          <t>广汽集团</t>
        </is>
      </c>
      <c r="X325" s="7" t="inlineStr">
        <is>
          <t>601238.SH</t>
        </is>
      </c>
      <c r="Y325" s="20" t="n">
        <v>408.3</v>
      </c>
    </row>
    <row r="326">
      <c r="A326" s="7" t="inlineStr">
        <is>
          <t>886023.TI</t>
        </is>
      </c>
      <c r="B326" s="8">
        <f>[1]!thsiFinD("THS_GPJC_STOCK",$A326)</f>
        <v/>
      </c>
      <c r="C326" s="9">
        <f>[1]!thsiFinD("ths_int_chg_ratio_index",$A326,C$1,C$2)/100</f>
        <v/>
      </c>
      <c r="D326" s="9">
        <f>[1]!thsiFinD("ths_int_chg_ratio_index",$A326,D$1,D$2)/100</f>
        <v/>
      </c>
      <c r="E326" s="9">
        <f>[1]!thsiFinD("ths_int_chg_ratio_index",$A326,E$1,E$2)/100</f>
        <v/>
      </c>
      <c r="F326" s="10">
        <f>D326-(E326-D326)/3</f>
        <v/>
      </c>
      <c r="G326" s="7" t="inlineStr">
        <is>
          <t>主题事件</t>
        </is>
      </c>
      <c r="H326" s="7">
        <f>IFERROR(VLOOKUP($I326,'分类规则'!$A$30:$C$200,2,0),"")</f>
        <v/>
      </c>
      <c r="I326" s="7" t="inlineStr">
        <is>
          <t>政策/要素</t>
        </is>
      </c>
      <c r="J326" s="7">
        <f>IFERROR(VLOOKUP($I326,'分类规则'!$A$30:$C$200,3,0),"")</f>
        <v/>
      </c>
      <c r="K326" s="8" t="inlineStr">
        <is>
          <t>深桑达A</t>
        </is>
      </c>
      <c r="L326" s="7" t="inlineStr">
        <is>
          <t>000032.SZ</t>
        </is>
      </c>
      <c r="M326" s="20" t="n">
        <v>279.9</v>
      </c>
      <c r="N326" s="8" t="inlineStr">
        <is>
          <t>衢州发展</t>
        </is>
      </c>
      <c r="O326" s="7" t="inlineStr">
        <is>
          <t>600208.SH</t>
        </is>
      </c>
      <c r="P326" s="20" t="n">
        <v>263.7</v>
      </c>
      <c r="Q326" s="8" t="inlineStr">
        <is>
          <t>广电运通</t>
        </is>
      </c>
      <c r="R326" s="7" t="inlineStr">
        <is>
          <t>002152.SZ</t>
        </is>
      </c>
      <c r="S326" s="20" t="n">
        <v>246.2</v>
      </c>
      <c r="T326" s="8" t="inlineStr">
        <is>
          <t>常山北明</t>
        </is>
      </c>
      <c r="U326" s="7" t="inlineStr">
        <is>
          <t>000158.SZ</t>
        </is>
      </c>
      <c r="V326" s="20" t="n">
        <v>231</v>
      </c>
      <c r="W326" s="8" t="inlineStr">
        <is>
          <t>人民网</t>
        </is>
      </c>
      <c r="X326" s="7" t="inlineStr">
        <is>
          <t>603000.SH</t>
        </is>
      </c>
      <c r="Y326" s="20" t="n">
        <v>178</v>
      </c>
    </row>
    <row r="327">
      <c r="A327" s="7" t="inlineStr">
        <is>
          <t>885968.TI</t>
        </is>
      </c>
      <c r="B327" s="8">
        <f>[1]!thsiFinD("THS_GPJC_STOCK",$A327)</f>
        <v/>
      </c>
      <c r="C327" s="9">
        <f>[1]!thsiFinD("ths_int_chg_ratio_index",$A327,C$1,C$2)/100</f>
        <v/>
      </c>
      <c r="D327" s="9">
        <f>[1]!thsiFinD("ths_int_chg_ratio_index",$A327,D$1,D$2)/100</f>
        <v/>
      </c>
      <c r="E327" s="9">
        <f>[1]!thsiFinD("ths_int_chg_ratio_index",$A327,E$1,E$2)/100</f>
        <v/>
      </c>
      <c r="F327" s="10">
        <f>D327-(E327-D327)/3</f>
        <v/>
      </c>
      <c r="G327" s="7" t="inlineStr">
        <is>
          <t>产业链</t>
        </is>
      </c>
      <c r="H327" s="7">
        <f>IFERROR(VLOOKUP($I327,'分类规则'!$A$30:$C$200,2,0),"")</f>
        <v/>
      </c>
      <c r="I327" s="7" t="inlineStr">
        <is>
          <t>医疗服务</t>
        </is>
      </c>
      <c r="J327" s="7">
        <f>IFERROR(VLOOKUP($I327,'分类规则'!$A$30:$C$200,3,0),"")</f>
        <v/>
      </c>
      <c r="K327" s="8" t="inlineStr">
        <is>
          <t>拓维信息</t>
        </is>
      </c>
      <c r="L327" s="7" t="inlineStr">
        <is>
          <t>002261.SZ</t>
        </is>
      </c>
      <c r="M327" s="20" t="n">
        <v>350</v>
      </c>
      <c r="N327" s="8" t="inlineStr">
        <is>
          <t>*ST金科</t>
        </is>
      </c>
      <c r="O327" s="7" t="inlineStr">
        <is>
          <t>000656.SZ</t>
        </is>
      </c>
      <c r="P327" s="20" t="n">
        <v>101.6</v>
      </c>
      <c r="Q327" s="8" t="inlineStr">
        <is>
          <t>孚日股份</t>
        </is>
      </c>
      <c r="R327" s="7" t="inlineStr">
        <is>
          <t>002083.SZ</t>
        </is>
      </c>
      <c r="S327" s="20" t="n">
        <v>100.2</v>
      </c>
      <c r="T327" s="8" t="inlineStr">
        <is>
          <t>长江传媒</t>
        </is>
      </c>
      <c r="U327" s="7" t="inlineStr">
        <is>
          <t>600757.SH</t>
        </is>
      </c>
      <c r="V327" s="20" t="n">
        <v>92.59999999999999</v>
      </c>
      <c r="W327" s="8" t="inlineStr">
        <is>
          <t>中原传媒</t>
        </is>
      </c>
      <c r="X327" s="7" t="inlineStr">
        <is>
          <t>000719.SZ</t>
        </is>
      </c>
      <c r="Y327" s="20" t="n">
        <v>79.7</v>
      </c>
    </row>
    <row r="328">
      <c r="A328" s="7" t="inlineStr">
        <is>
          <t>885769.TI</t>
        </is>
      </c>
      <c r="B328" s="8">
        <f>[1]!thsiFinD("THS_GPJC_STOCK",$A328)</f>
        <v/>
      </c>
      <c r="C328" s="9">
        <f>[1]!thsiFinD("ths_int_chg_ratio_index",$A328,C$1,C$2)/100</f>
        <v/>
      </c>
      <c r="D328" s="9">
        <f>[1]!thsiFinD("ths_int_chg_ratio_index",$A328,D$1,D$2)/100</f>
        <v/>
      </c>
      <c r="E328" s="9">
        <f>[1]!thsiFinD("ths_int_chg_ratio_index",$A328,E$1,E$2)/100</f>
        <v/>
      </c>
      <c r="F328" s="10">
        <f>D328-(E328-D328)/3</f>
        <v/>
      </c>
      <c r="G328" s="7" t="inlineStr">
        <is>
          <t>产业链</t>
        </is>
      </c>
      <c r="H328" s="7">
        <f>IFERROR(VLOOKUP($I328,'分类规则'!$A$30:$C$200,2,0),"")</f>
        <v/>
      </c>
      <c r="I328" s="7" t="inlineStr">
        <is>
          <t>创新药</t>
        </is>
      </c>
      <c r="J328" s="7">
        <f>IFERROR(VLOOKUP($I328,'分类规则'!$A$30:$C$200,3,0),"")</f>
        <v/>
      </c>
      <c r="K328" s="8" t="n"/>
      <c r="L328" s="7" t="n"/>
      <c r="M328" s="7" t="n"/>
      <c r="N328" s="8" t="n"/>
      <c r="O328" s="7" t="n"/>
      <c r="P328" s="7" t="n"/>
      <c r="Q328" s="8" t="n"/>
      <c r="R328" s="7" t="n"/>
      <c r="S328" s="7" t="n"/>
      <c r="T328" s="8" t="n"/>
      <c r="U328" s="7" t="n"/>
      <c r="V328" s="7" t="n"/>
      <c r="W328" s="8" t="n"/>
      <c r="X328" s="7" t="n"/>
      <c r="Y328" s="7" t="n"/>
    </row>
    <row r="329">
      <c r="A329" s="7" t="inlineStr">
        <is>
          <t>886095.TI</t>
        </is>
      </c>
      <c r="B329" s="8">
        <f>[1]!thsiFinD("THS_GPJC_STOCK",$A329)</f>
        <v/>
      </c>
      <c r="C329" s="9">
        <f>[1]!thsiFinD("ths_int_chg_ratio_index",$A329,C$1,C$2)/100</f>
        <v/>
      </c>
      <c r="D329" s="9">
        <f>[1]!thsiFinD("ths_int_chg_ratio_index",$A329,D$1,D$2)/100</f>
        <v/>
      </c>
      <c r="E329" s="9">
        <f>[1]!thsiFinD("ths_int_chg_ratio_index",$A329,E$1,E$2)/100</f>
        <v/>
      </c>
      <c r="F329" s="10">
        <f>D329-(E329-D329)/3</f>
        <v/>
      </c>
      <c r="G329" s="7" t="inlineStr">
        <is>
          <t>产业链</t>
        </is>
      </c>
      <c r="H329" s="7">
        <f>IFERROR(VLOOKUP($I329,'分类规则'!$A$30:$C$200,2,0),"")</f>
        <v/>
      </c>
      <c r="I329" s="7" t="inlineStr">
        <is>
          <t>传媒/游戏</t>
        </is>
      </c>
      <c r="J329" s="7">
        <f>IFERROR(VLOOKUP($I329,'分类规则'!$A$30:$C$200,3,0),"")</f>
        <v/>
      </c>
      <c r="K329" s="8" t="n"/>
      <c r="L329" s="7" t="n"/>
      <c r="M329" s="7" t="n"/>
      <c r="N329" s="8" t="n"/>
      <c r="O329" s="7" t="n"/>
      <c r="P329" s="7" t="n"/>
      <c r="Q329" s="8" t="n"/>
      <c r="R329" s="7" t="n"/>
      <c r="S329" s="7" t="n"/>
      <c r="T329" s="8" t="n"/>
      <c r="U329" s="7" t="n"/>
      <c r="V329" s="7" t="n"/>
      <c r="W329" s="8" t="n"/>
      <c r="X329" s="7" t="n"/>
      <c r="Y329" s="7" t="n"/>
    </row>
    <row r="330">
      <c r="A330" s="7" t="inlineStr">
        <is>
          <t>886016.TI</t>
        </is>
      </c>
      <c r="B330" s="8">
        <f>[1]!thsiFinD("THS_GPJC_STOCK",$A330)</f>
        <v/>
      </c>
      <c r="C330" s="9">
        <f>[1]!thsiFinD("ths_int_chg_ratio_index",$A330,C$1,C$2)/100</f>
        <v/>
      </c>
      <c r="D330" s="9">
        <f>[1]!thsiFinD("ths_int_chg_ratio_index",$A330,D$1,D$2)/100</f>
        <v/>
      </c>
      <c r="E330" s="9">
        <f>[1]!thsiFinD("ths_int_chg_ratio_index",$A330,E$1,E$2)/100</f>
        <v/>
      </c>
      <c r="F330" s="10">
        <f>D330-(E330-D330)/3</f>
        <v/>
      </c>
      <c r="G330" s="7" t="inlineStr">
        <is>
          <t>主题事件</t>
        </is>
      </c>
      <c r="H330" s="7">
        <f>IFERROR(VLOOKUP($I330,'分类规则'!$A$30:$C$200,2,0),"")</f>
        <v/>
      </c>
      <c r="I330" s="7" t="inlineStr">
        <is>
          <t>政策/要素</t>
        </is>
      </c>
      <c r="J330" s="7">
        <f>IFERROR(VLOOKUP($I330,'分类规则'!$A$30:$C$200,3,0),"")</f>
        <v/>
      </c>
      <c r="K330" s="8" t="n"/>
      <c r="L330" s="7" t="n"/>
      <c r="M330" s="7" t="n"/>
      <c r="N330" s="8" t="n"/>
      <c r="O330" s="7" t="n"/>
      <c r="P330" s="7" t="n"/>
      <c r="Q330" s="8" t="n"/>
      <c r="R330" s="7" t="n"/>
      <c r="S330" s="7" t="n"/>
      <c r="T330" s="8" t="n"/>
      <c r="U330" s="7" t="n"/>
      <c r="V330" s="7" t="n"/>
      <c r="W330" s="8" t="n"/>
      <c r="X330" s="7" t="n"/>
      <c r="Y330" s="7" t="n"/>
    </row>
    <row r="331">
      <c r="A331" s="7" t="inlineStr">
        <is>
          <t>885876.TI</t>
        </is>
      </c>
      <c r="B331" s="8">
        <f>[1]!thsiFinD("THS_GPJC_STOCK",$A331)</f>
        <v/>
      </c>
      <c r="C331" s="9">
        <f>[1]!thsiFinD("ths_int_chg_ratio_index",$A331,C$1,C$2)/100</f>
        <v/>
      </c>
      <c r="D331" s="9">
        <f>[1]!thsiFinD("ths_int_chg_ratio_index",$A331,D$1,D$2)/100</f>
        <v/>
      </c>
      <c r="E331" s="9">
        <f>[1]!thsiFinD("ths_int_chg_ratio_index",$A331,E$1,E$2)/100</f>
        <v/>
      </c>
      <c r="F331" s="10">
        <f>D331-(E331-D331)/3</f>
        <v/>
      </c>
      <c r="G331" s="7" t="inlineStr">
        <is>
          <t>产业链</t>
        </is>
      </c>
      <c r="H331" s="7">
        <f>IFERROR(VLOOKUP($I331,'分类规则'!$A$30:$C$200,2,0),"")</f>
        <v/>
      </c>
      <c r="I331" s="7" t="inlineStr">
        <is>
          <t>传媒/游戏</t>
        </is>
      </c>
      <c r="J331" s="7">
        <f>IFERROR(VLOOKUP($I331,'分类规则'!$A$30:$C$200,3,0),"")</f>
        <v/>
      </c>
      <c r="K331" s="8" t="n"/>
      <c r="L331" s="7" t="n"/>
      <c r="M331" s="7" t="n"/>
      <c r="N331" s="8" t="n"/>
      <c r="O331" s="7" t="n"/>
      <c r="P331" s="7" t="n"/>
      <c r="Q331" s="8" t="n"/>
      <c r="R331" s="7" t="n"/>
      <c r="S331" s="7" t="n"/>
      <c r="T331" s="8" t="n"/>
      <c r="U331" s="7" t="n"/>
      <c r="V331" s="7" t="n"/>
      <c r="W331" s="8" t="n"/>
      <c r="X331" s="7" t="n"/>
      <c r="Y331" s="7" t="n"/>
    </row>
    <row r="332">
      <c r="A332" s="7" t="inlineStr">
        <is>
          <t>885818.TI</t>
        </is>
      </c>
      <c r="B332" s="8">
        <f>[1]!thsiFinD("THS_GPJC_STOCK",$A332)</f>
        <v/>
      </c>
      <c r="C332" s="9">
        <f>[1]!thsiFinD("ths_int_chg_ratio_index",$A332,C$1,C$2)/100</f>
        <v/>
      </c>
      <c r="D332" s="9">
        <f>[1]!thsiFinD("ths_int_chg_ratio_index",$A332,D$1,D$2)/100</f>
        <v/>
      </c>
      <c r="E332" s="9">
        <f>[1]!thsiFinD("ths_int_chg_ratio_index",$A332,E$1,E$2)/100</f>
        <v/>
      </c>
      <c r="F332" s="10">
        <f>D332-(E332-D332)/3</f>
        <v/>
      </c>
      <c r="G332" s="7" t="inlineStr">
        <is>
          <t>产业链</t>
        </is>
      </c>
      <c r="H332" s="7">
        <f>IFERROR(VLOOKUP($I332,'分类规则'!$A$30:$C$200,2,0),"")</f>
        <v/>
      </c>
      <c r="I332" s="7" t="inlineStr">
        <is>
          <t>中药/原料</t>
        </is>
      </c>
      <c r="J332" s="7">
        <f>IFERROR(VLOOKUP($I332,'分类规则'!$A$30:$C$200,3,0),"")</f>
        <v/>
      </c>
      <c r="K332" s="8" t="inlineStr">
        <is>
          <t>云南白药</t>
        </is>
      </c>
      <c r="L332" s="7" t="inlineStr">
        <is>
          <t>000538.SZ</t>
        </is>
      </c>
      <c r="M332" s="20" t="n">
        <v>858.6</v>
      </c>
      <c r="N332" s="8" t="inlineStr">
        <is>
          <t>通化金马</t>
        </is>
      </c>
      <c r="O332" s="7" t="inlineStr">
        <is>
          <t>000766.SZ</t>
        </is>
      </c>
      <c r="P332" s="20" t="n">
        <v>235.8</v>
      </c>
      <c r="Q332" s="8" t="inlineStr">
        <is>
          <t>天士力</t>
        </is>
      </c>
      <c r="R332" s="7" t="inlineStr">
        <is>
          <t>600535.SH</t>
        </is>
      </c>
      <c r="S332" s="20" t="n">
        <v>210.5</v>
      </c>
      <c r="T332" s="8" t="inlineStr">
        <is>
          <t>蓝晓科技</t>
        </is>
      </c>
      <c r="U332" s="7" t="inlineStr">
        <is>
          <t>300487.SZ</t>
        </is>
      </c>
      <c r="V332" s="20" t="n">
        <v>171.1</v>
      </c>
      <c r="W332" s="8" t="inlineStr">
        <is>
          <t>翰宇药业</t>
        </is>
      </c>
      <c r="X332" s="7" t="inlineStr">
        <is>
          <t>300199.SZ</t>
        </is>
      </c>
      <c r="Y332" s="20" t="n">
        <v>163.9</v>
      </c>
    </row>
    <row r="333">
      <c r="A333" s="7" t="inlineStr">
        <is>
          <t>885838.TI</t>
        </is>
      </c>
      <c r="B333" s="8">
        <f>[1]!thsiFinD("THS_GPJC_STOCK",$A333)</f>
        <v/>
      </c>
      <c r="C333" s="9">
        <f>[1]!thsiFinD("ths_int_chg_ratio_index",$A333,C$1,C$2)/100</f>
        <v/>
      </c>
      <c r="D333" s="9">
        <f>[1]!thsiFinD("ths_int_chg_ratio_index",$A333,D$1,D$2)/100</f>
        <v/>
      </c>
      <c r="E333" s="9">
        <f>[1]!thsiFinD("ths_int_chg_ratio_index",$A333,E$1,E$2)/100</f>
        <v/>
      </c>
      <c r="F333" s="10">
        <f>D333-(E333-D333)/3</f>
        <v/>
      </c>
      <c r="G333" s="7" t="inlineStr">
        <is>
          <t>产业链</t>
        </is>
      </c>
      <c r="H333" s="7">
        <f>IFERROR(VLOOKUP($I333,'分类规则'!$A$30:$C$200,2,0),"")</f>
        <v/>
      </c>
      <c r="I333" s="7" t="inlineStr">
        <is>
          <t>医疗服务</t>
        </is>
      </c>
      <c r="J333" s="7">
        <f>IFERROR(VLOOKUP($I333,'分类规则'!$A$30:$C$200,3,0),"")</f>
        <v/>
      </c>
      <c r="K333" s="8" t="inlineStr">
        <is>
          <t>恒瑞医药</t>
        </is>
      </c>
      <c r="L333" s="7" t="inlineStr">
        <is>
          <t>600276.SH</t>
        </is>
      </c>
      <c r="M333" s="20" t="n">
        <v>3088.7</v>
      </c>
      <c r="N333" s="8" t="inlineStr">
        <is>
          <t>科大讯飞</t>
        </is>
      </c>
      <c r="O333" s="7" t="inlineStr">
        <is>
          <t>002230.SZ</t>
        </is>
      </c>
      <c r="P333" s="20" t="n">
        <v>932.9</v>
      </c>
      <c r="Q333" s="8" t="inlineStr">
        <is>
          <t>爱尔眼科</t>
        </is>
      </c>
      <c r="R333" s="7" t="inlineStr">
        <is>
          <t>300015.SZ</t>
        </is>
      </c>
      <c r="S333" s="20" t="n">
        <v>657.9</v>
      </c>
      <c r="T333" s="8" t="inlineStr">
        <is>
          <t>甘李药业</t>
        </is>
      </c>
      <c r="U333" s="7" t="inlineStr">
        <is>
          <t>603087.SH</t>
        </is>
      </c>
      <c r="V333" s="20" t="n">
        <v>318.2</v>
      </c>
      <c r="W333" s="8" t="inlineStr">
        <is>
          <t>茂莱光学</t>
        </is>
      </c>
      <c r="X333" s="7" t="inlineStr">
        <is>
          <t>688502.SH</t>
        </is>
      </c>
      <c r="Y333" s="20" t="n">
        <v>274.6</v>
      </c>
    </row>
    <row r="334">
      <c r="A334" s="7" t="inlineStr">
        <is>
          <t>885497.TI</t>
        </is>
      </c>
      <c r="B334" s="8">
        <f>[1]!thsiFinD("THS_GPJC_STOCK",$A334)</f>
        <v/>
      </c>
      <c r="C334" s="9">
        <f>[1]!thsiFinD("ths_int_chg_ratio_index",$A334,C$1,C$2)/100</f>
        <v/>
      </c>
      <c r="D334" s="9">
        <f>[1]!thsiFinD("ths_int_chg_ratio_index",$A334,D$1,D$2)/100</f>
        <v/>
      </c>
      <c r="E334" s="9">
        <f>[1]!thsiFinD("ths_int_chg_ratio_index",$A334,E$1,E$2)/100</f>
        <v/>
      </c>
      <c r="F334" s="10">
        <f>D334-(E334-D334)/3</f>
        <v/>
      </c>
      <c r="G334" s="7" t="inlineStr">
        <is>
          <t>产业链</t>
        </is>
      </c>
      <c r="H334" s="7">
        <f>IFERROR(VLOOKUP($I334,'分类规则'!$A$30:$C$200,2,0),"")</f>
        <v/>
      </c>
      <c r="I334" s="7" t="inlineStr">
        <is>
          <t>商贸/服务</t>
        </is>
      </c>
      <c r="J334" s="7">
        <f>IFERROR(VLOOKUP($I334,'分类规则'!$A$30:$C$200,3,0),"")</f>
        <v/>
      </c>
      <c r="K334" s="8" t="n"/>
      <c r="L334" s="7" t="n"/>
      <c r="M334" s="7" t="n"/>
      <c r="N334" s="8" t="n"/>
      <c r="O334" s="7" t="n"/>
      <c r="P334" s="7" t="n"/>
      <c r="Q334" s="8" t="n"/>
      <c r="R334" s="7" t="n"/>
      <c r="S334" s="7" t="n"/>
      <c r="T334" s="8" t="n"/>
      <c r="U334" s="7" t="n"/>
      <c r="V334" s="7" t="n"/>
      <c r="W334" s="8" t="n"/>
      <c r="X334" s="7" t="n"/>
      <c r="Y334" s="7" t="n"/>
    </row>
    <row r="335">
      <c r="A335" s="7" t="inlineStr">
        <is>
          <t>885661.TI</t>
        </is>
      </c>
      <c r="B335" s="8">
        <f>[1]!thsiFinD("THS_GPJC_STOCK",$A335)</f>
        <v/>
      </c>
      <c r="C335" s="9">
        <f>[1]!thsiFinD("ths_int_chg_ratio_index",$A335,C$1,C$2)/100</f>
        <v/>
      </c>
      <c r="D335" s="9">
        <f>[1]!thsiFinD("ths_int_chg_ratio_index",$A335,D$1,D$2)/100</f>
        <v/>
      </c>
      <c r="E335" s="9">
        <f>[1]!thsiFinD("ths_int_chg_ratio_index",$A335,E$1,E$2)/100</f>
        <v/>
      </c>
      <c r="F335" s="10">
        <f>D335-(E335-D335)/3</f>
        <v/>
      </c>
      <c r="G335" s="7" t="inlineStr">
        <is>
          <t>产业链</t>
        </is>
      </c>
      <c r="H335" s="7">
        <f>IFERROR(VLOOKUP($I335,'分类规则'!$A$30:$C$200,2,0),"")</f>
        <v/>
      </c>
      <c r="I335" s="7" t="inlineStr">
        <is>
          <t>医疗服务</t>
        </is>
      </c>
      <c r="J335" s="7">
        <f>IFERROR(VLOOKUP($I335,'分类规则'!$A$30:$C$200,3,0),"")</f>
        <v/>
      </c>
      <c r="K335" s="8" t="inlineStr">
        <is>
          <t>恒瑞医药</t>
        </is>
      </c>
      <c r="L335" s="7" t="inlineStr">
        <is>
          <t>600276.SH</t>
        </is>
      </c>
      <c r="M335" s="20" t="n">
        <v>3088.7</v>
      </c>
      <c r="N335" s="8" t="inlineStr">
        <is>
          <t>云南白药</t>
        </is>
      </c>
      <c r="O335" s="7" t="inlineStr">
        <is>
          <t>000538.SZ</t>
        </is>
      </c>
      <c r="P335" s="20" t="n">
        <v>858.6</v>
      </c>
      <c r="Q335" s="8" t="inlineStr">
        <is>
          <t>华东医药</t>
        </is>
      </c>
      <c r="R335" s="7" t="inlineStr">
        <is>
          <t>000963.SZ</t>
        </is>
      </c>
      <c r="S335" s="20" t="n">
        <v>496.8</v>
      </c>
      <c r="T335" s="8" t="inlineStr">
        <is>
          <t>科伦药业</t>
        </is>
      </c>
      <c r="U335" s="7" t="inlineStr">
        <is>
          <t>002422.SZ</t>
        </is>
      </c>
      <c r="V335" s="20" t="n">
        <v>466.5</v>
      </c>
      <c r="W335" s="8" t="inlineStr">
        <is>
          <t>上海医药</t>
        </is>
      </c>
      <c r="X335" s="7" t="inlineStr">
        <is>
          <t>601607.SH</t>
        </is>
      </c>
      <c r="Y335" s="20" t="n">
        <v>443.8</v>
      </c>
    </row>
    <row r="336">
      <c r="A336" s="7" t="inlineStr">
        <is>
          <t>885505.TI</t>
        </is>
      </c>
      <c r="B336" s="8">
        <f>[1]!thsiFinD("THS_GPJC_STOCK",$A336)</f>
        <v/>
      </c>
      <c r="C336" s="9">
        <f>[1]!thsiFinD("ths_int_chg_ratio_index",$A336,C$1,C$2)/100</f>
        <v/>
      </c>
      <c r="D336" s="9">
        <f>[1]!thsiFinD("ths_int_chg_ratio_index",$A336,D$1,D$2)/100</f>
        <v/>
      </c>
      <c r="E336" s="9">
        <f>[1]!thsiFinD("ths_int_chg_ratio_index",$A336,E$1,E$2)/100</f>
        <v/>
      </c>
      <c r="F336" s="10">
        <f>D336-(E336-D336)/3</f>
        <v/>
      </c>
      <c r="G336" s="7" t="inlineStr">
        <is>
          <t>产业链</t>
        </is>
      </c>
      <c r="H336" s="7">
        <f>IFERROR(VLOOKUP($I336,'分类规则'!$A$30:$C$200,2,0),"")</f>
        <v/>
      </c>
      <c r="I336" s="7" t="inlineStr">
        <is>
          <t>农业(种植)</t>
        </is>
      </c>
      <c r="J336" s="7">
        <f>IFERROR(VLOOKUP($I336,'分类规则'!$A$30:$C$200,3,0),"")</f>
        <v/>
      </c>
      <c r="K336" s="8" t="inlineStr">
        <is>
          <t>伊利股份</t>
        </is>
      </c>
      <c r="L336" s="7" t="inlineStr">
        <is>
          <t>600887.SH</t>
        </is>
      </c>
      <c r="M336" s="20" t="n">
        <v>1526.9</v>
      </c>
      <c r="N336" s="8" t="inlineStr">
        <is>
          <t>海大集团</t>
        </is>
      </c>
      <c r="O336" s="7" t="inlineStr">
        <is>
          <t>002311.SZ</t>
        </is>
      </c>
      <c r="P336" s="20" t="n">
        <v>677.4</v>
      </c>
      <c r="Q336" s="8" t="inlineStr">
        <is>
          <t>北大荒</t>
        </is>
      </c>
      <c r="R336" s="7" t="inlineStr">
        <is>
          <t>600598.SH</t>
        </is>
      </c>
      <c r="S336" s="20" t="n">
        <v>245</v>
      </c>
      <c r="T336" s="8" t="inlineStr">
        <is>
          <t>鲁西化工</t>
        </is>
      </c>
      <c r="U336" s="7" t="inlineStr">
        <is>
          <t>000830.SZ</t>
        </is>
      </c>
      <c r="V336" s="20" t="n">
        <v>239.7</v>
      </c>
      <c r="W336" s="8" t="inlineStr">
        <is>
          <t>新洋丰</t>
        </is>
      </c>
      <c r="X336" s="7" t="inlineStr">
        <is>
          <t>000902.SZ</t>
        </is>
      </c>
      <c r="Y336" s="20" t="n">
        <v>138.8</v>
      </c>
    </row>
    <row r="337">
      <c r="A337" s="7" t="inlineStr">
        <is>
          <t>885522.TI</t>
        </is>
      </c>
      <c r="B337" s="8">
        <f>[1]!thsiFinD("THS_GPJC_STOCK",$A337)</f>
        <v/>
      </c>
      <c r="C337" s="9">
        <f>[1]!thsiFinD("ths_int_chg_ratio_index",$A337,C$1,C$2)/100</f>
        <v/>
      </c>
      <c r="D337" s="9">
        <f>[1]!thsiFinD("ths_int_chg_ratio_index",$A337,D$1,D$2)/100</f>
        <v/>
      </c>
      <c r="E337" s="9">
        <f>[1]!thsiFinD("ths_int_chg_ratio_index",$A337,E$1,E$2)/100</f>
        <v/>
      </c>
      <c r="F337" s="10">
        <f>D337-(E337-D337)/3</f>
        <v/>
      </c>
      <c r="G337" s="7" t="inlineStr">
        <is>
          <t>主题事件</t>
        </is>
      </c>
      <c r="H337" s="7">
        <f>IFERROR(VLOOKUP($I337,'分类规则'!$A$30:$C$200,2,0),"")</f>
        <v/>
      </c>
      <c r="I337" s="7" t="inlineStr">
        <is>
          <t>政策/要素</t>
        </is>
      </c>
      <c r="J337" s="7">
        <f>IFERROR(VLOOKUP($I337,'分类规则'!$A$30:$C$200,3,0),"")</f>
        <v/>
      </c>
      <c r="K337" s="8" t="inlineStr">
        <is>
          <t>海康威视</t>
        </is>
      </c>
      <c r="L337" s="7" t="inlineStr">
        <is>
          <t>002415.SZ</t>
        </is>
      </c>
      <c r="M337" s="20" t="n">
        <v>2922</v>
      </c>
      <c r="N337" s="8" t="inlineStr">
        <is>
          <t>爱尔眼科</t>
        </is>
      </c>
      <c r="O337" s="7" t="inlineStr">
        <is>
          <t>300015.SZ</t>
        </is>
      </c>
      <c r="P337" s="20" t="n">
        <v>657.9</v>
      </c>
      <c r="Q337" s="8" t="inlineStr">
        <is>
          <t>招商蛇口</t>
        </is>
      </c>
      <c r="R337" s="7" t="inlineStr">
        <is>
          <t>001979.SZ</t>
        </is>
      </c>
      <c r="S337" s="20" t="n">
        <v>610</v>
      </c>
      <c r="T337" s="8" t="inlineStr">
        <is>
          <t>大华股份</t>
        </is>
      </c>
      <c r="U337" s="7" t="inlineStr">
        <is>
          <t>002236.SZ</t>
        </is>
      </c>
      <c r="V337" s="20" t="n">
        <v>389</v>
      </c>
      <c r="W337" s="8" t="inlineStr">
        <is>
          <t>九安医疗</t>
        </is>
      </c>
      <c r="X337" s="7" t="inlineStr">
        <is>
          <t>002432.SZ</t>
        </is>
      </c>
      <c r="Y337" s="20" t="n">
        <v>342</v>
      </c>
    </row>
    <row r="338">
      <c r="A338" s="7" t="inlineStr">
        <is>
          <t>886017.TI</t>
        </is>
      </c>
      <c r="B338" s="8">
        <f>[1]!thsiFinD("THS_GPJC_STOCK",$A338)</f>
        <v/>
      </c>
      <c r="C338" s="9">
        <f>[1]!thsiFinD("ths_int_chg_ratio_index",$A338,C$1,C$2)/100</f>
        <v/>
      </c>
      <c r="D338" s="9">
        <f>[1]!thsiFinD("ths_int_chg_ratio_index",$A338,D$1,D$2)/100</f>
        <v/>
      </c>
      <c r="E338" s="9">
        <f>[1]!thsiFinD("ths_int_chg_ratio_index",$A338,E$1,E$2)/100</f>
        <v/>
      </c>
      <c r="F338" s="10">
        <f>D338-(E338-D338)/3</f>
        <v/>
      </c>
      <c r="G338" s="7" t="inlineStr">
        <is>
          <t>产业链</t>
        </is>
      </c>
      <c r="H338" s="7">
        <f>IFERROR(VLOOKUP($I338,'分类规则'!$A$30:$C$200,2,0),"")</f>
        <v/>
      </c>
      <c r="I338" s="7" t="inlineStr">
        <is>
          <t>区块链/Web3</t>
        </is>
      </c>
      <c r="J338" s="7">
        <f>IFERROR(VLOOKUP($I338,'分类规则'!$A$30:$C$200,3,0),"")</f>
        <v/>
      </c>
      <c r="K338" s="8" t="inlineStr">
        <is>
          <t>中科曙光</t>
        </is>
      </c>
      <c r="L338" s="7" t="inlineStr">
        <is>
          <t>603019.SH</t>
        </is>
      </c>
      <c r="M338" s="20" t="n">
        <v>1297.1</v>
      </c>
      <c r="N338" s="8" t="inlineStr">
        <is>
          <t>蓝色光标</t>
        </is>
      </c>
      <c r="O338" s="7" t="inlineStr">
        <is>
          <t>300058.SZ</t>
        </is>
      </c>
      <c r="P338" s="20" t="n">
        <v>530.4</v>
      </c>
      <c r="Q338" s="8" t="inlineStr">
        <is>
          <t>昆仑万维</t>
        </is>
      </c>
      <c r="R338" s="7" t="inlineStr">
        <is>
          <t>300418.SZ</t>
        </is>
      </c>
      <c r="S338" s="20" t="n">
        <v>505.4</v>
      </c>
      <c r="T338" s="8" t="inlineStr">
        <is>
          <t>凌云光</t>
        </is>
      </c>
      <c r="U338" s="7" t="inlineStr">
        <is>
          <t>688400.SH</t>
        </is>
      </c>
      <c r="V338" s="20" t="n">
        <v>318.5</v>
      </c>
      <c r="W338" s="8" t="inlineStr">
        <is>
          <t>衢州发展</t>
        </is>
      </c>
      <c r="X338" s="7" t="inlineStr">
        <is>
          <t>600208.SH</t>
        </is>
      </c>
      <c r="Y338" s="20" t="n">
        <v>263.7</v>
      </c>
    </row>
    <row r="339">
      <c r="A339" s="7" t="inlineStr">
        <is>
          <t>885812.TI</t>
        </is>
      </c>
      <c r="B339" s="8">
        <f>[1]!thsiFinD("THS_GPJC_STOCK",$A339)</f>
        <v/>
      </c>
      <c r="C339" s="9">
        <f>[1]!thsiFinD("ths_int_chg_ratio_index",$A339,C$1,C$2)/100</f>
        <v/>
      </c>
      <c r="D339" s="9">
        <f>[1]!thsiFinD("ths_int_chg_ratio_index",$A339,D$1,D$2)/100</f>
        <v/>
      </c>
      <c r="E339" s="9">
        <f>[1]!thsiFinD("ths_int_chg_ratio_index",$A339,E$1,E$2)/100</f>
        <v/>
      </c>
      <c r="F339" s="10">
        <f>D339-(E339-D339)/3</f>
        <v/>
      </c>
      <c r="G339" s="7" t="inlineStr">
        <is>
          <t>产业链</t>
        </is>
      </c>
      <c r="H339" s="7">
        <f>IFERROR(VLOOKUP($I339,'分类规则'!$A$30:$C$200,2,0),"")</f>
        <v/>
      </c>
      <c r="I339" s="7" t="inlineStr">
        <is>
          <t>农业(种植)</t>
        </is>
      </c>
      <c r="J339" s="7">
        <f>IFERROR(VLOOKUP($I339,'分类规则'!$A$30:$C$200,3,0),"")</f>
        <v/>
      </c>
      <c r="K339" s="8" t="n"/>
      <c r="L339" s="7" t="n"/>
      <c r="M339" s="7" t="n"/>
      <c r="N339" s="8" t="n"/>
      <c r="O339" s="7" t="n"/>
      <c r="P339" s="7" t="n"/>
      <c r="Q339" s="8" t="n"/>
      <c r="R339" s="7" t="n"/>
      <c r="S339" s="7" t="n"/>
      <c r="T339" s="8" t="n"/>
      <c r="U339" s="7" t="n"/>
      <c r="V339" s="7" t="n"/>
      <c r="W339" s="8" t="n"/>
      <c r="X339" s="7" t="n"/>
      <c r="Y339" s="7" t="n"/>
    </row>
    <row r="340">
      <c r="A340" s="7" t="inlineStr">
        <is>
          <t>885749.TI</t>
        </is>
      </c>
      <c r="B340" s="8">
        <f>[1]!thsiFinD("THS_GPJC_STOCK",$A340)</f>
        <v/>
      </c>
      <c r="C340" s="9">
        <f>[1]!thsiFinD("ths_int_chg_ratio_index",$A340,C$1,C$2)/100</f>
        <v/>
      </c>
      <c r="D340" s="9">
        <f>[1]!thsiFinD("ths_int_chg_ratio_index",$A340,D$1,D$2)/100</f>
        <v/>
      </c>
      <c r="E340" s="9">
        <f>[1]!thsiFinD("ths_int_chg_ratio_index",$A340,E$1,E$2)/100</f>
        <v/>
      </c>
      <c r="F340" s="10">
        <f>D340-(E340-D340)/3</f>
        <v/>
      </c>
      <c r="G340" s="7" t="inlineStr">
        <is>
          <t>公司链</t>
        </is>
      </c>
      <c r="H340" s="7">
        <f>IFERROR(VLOOKUP($I340,'分类规则'!$A$30:$C$200,2,0),"")</f>
        <v/>
      </c>
      <c r="I340" s="7" t="inlineStr">
        <is>
          <t>金融科技</t>
        </is>
      </c>
      <c r="J340" s="7">
        <f>IFERROR(VLOOKUP($I340,'分类规则'!$A$30:$C$200,3,0),"")</f>
        <v/>
      </c>
      <c r="K340" s="8" t="inlineStr">
        <is>
          <t>蓝思科技</t>
        </is>
      </c>
      <c r="L340" s="7" t="inlineStr">
        <is>
          <t>300433.SZ</t>
        </is>
      </c>
      <c r="M340" s="20" t="n">
        <v>2771.6</v>
      </c>
      <c r="N340" s="8" t="inlineStr">
        <is>
          <t>中国人保</t>
        </is>
      </c>
      <c r="O340" s="7" t="inlineStr">
        <is>
          <t>601319.SH</t>
        </is>
      </c>
      <c r="P340" s="20" t="n">
        <v>2360.6</v>
      </c>
      <c r="Q340" s="8" t="inlineStr">
        <is>
          <t>中国太保</t>
        </is>
      </c>
      <c r="R340" s="7" t="inlineStr">
        <is>
          <t>601601.SH</t>
        </is>
      </c>
      <c r="S340" s="20" t="n">
        <v>2052.1</v>
      </c>
      <c r="T340" s="8" t="inlineStr">
        <is>
          <t>新华保险</t>
        </is>
      </c>
      <c r="U340" s="7" t="inlineStr">
        <is>
          <t>601336.SH</t>
        </is>
      </c>
      <c r="V340" s="20" t="n">
        <v>1200.2</v>
      </c>
      <c r="W340" s="8" t="inlineStr">
        <is>
          <t>锐捷网络</t>
        </is>
      </c>
      <c r="X340" s="7" t="inlineStr">
        <is>
          <t>301165.SZ</t>
        </is>
      </c>
      <c r="Y340" s="20" t="n">
        <v>755</v>
      </c>
    </row>
    <row r="341">
      <c r="A341" s="7" t="inlineStr">
        <is>
          <t>886015.TI</t>
        </is>
      </c>
      <c r="B341" s="8">
        <f>[1]!thsiFinD("THS_GPJC_STOCK",$A341)</f>
        <v/>
      </c>
      <c r="C341" s="9">
        <f>[1]!thsiFinD("ths_int_chg_ratio_index",$A341,C$1,C$2)/100</f>
        <v/>
      </c>
      <c r="D341" s="9">
        <f>[1]!thsiFinD("ths_int_chg_ratio_index",$A341,D$1,D$2)/100</f>
        <v/>
      </c>
      <c r="E341" s="9">
        <f>[1]!thsiFinD("ths_int_chg_ratio_index",$A341,E$1,E$2)/100</f>
        <v/>
      </c>
      <c r="F341" s="10">
        <f>D341-(E341-D341)/3</f>
        <v/>
      </c>
      <c r="G341" s="7" t="inlineStr">
        <is>
          <t>产业链</t>
        </is>
      </c>
      <c r="H341" s="7">
        <f>IFERROR(VLOOKUP($I341,'分类规则'!$A$30:$C$200,2,0),"")</f>
        <v/>
      </c>
      <c r="I341" s="7" t="inlineStr">
        <is>
          <t>创新药</t>
        </is>
      </c>
      <c r="J341" s="7">
        <f>IFERROR(VLOOKUP($I341,'分类规则'!$A$30:$C$200,3,0),"")</f>
        <v/>
      </c>
      <c r="K341" s="8" t="n"/>
      <c r="L341" s="7" t="n"/>
      <c r="M341" s="7" t="n"/>
      <c r="N341" s="8" t="n"/>
      <c r="O341" s="7" t="n"/>
      <c r="P341" s="7" t="n"/>
      <c r="Q341" s="8" t="n"/>
      <c r="R341" s="7" t="n"/>
      <c r="S341" s="7" t="n"/>
      <c r="T341" s="8" t="n"/>
      <c r="U341" s="7" t="n"/>
      <c r="V341" s="7" t="n"/>
      <c r="W341" s="8" t="n"/>
      <c r="X341" s="7" t="n"/>
      <c r="Y341" s="7" t="n"/>
    </row>
    <row r="342">
      <c r="A342" s="7" t="inlineStr">
        <is>
          <t>885856.TI</t>
        </is>
      </c>
      <c r="B342" s="8">
        <f>[1]!thsiFinD("THS_GPJC_STOCK",$A342)</f>
        <v/>
      </c>
      <c r="C342" s="9">
        <f>[1]!thsiFinD("ths_int_chg_ratio_index",$A342,C$1,C$2)/100</f>
        <v/>
      </c>
      <c r="D342" s="9">
        <f>[1]!thsiFinD("ths_int_chg_ratio_index",$A342,D$1,D$2)/100</f>
        <v/>
      </c>
      <c r="E342" s="9">
        <f>[1]!thsiFinD("ths_int_chg_ratio_index",$A342,E$1,E$2)/100</f>
        <v/>
      </c>
      <c r="F342" s="10">
        <f>D342-(E342-D342)/3</f>
        <v/>
      </c>
      <c r="G342" s="7" t="inlineStr">
        <is>
          <t>产业链</t>
        </is>
      </c>
      <c r="H342" s="7">
        <f>IFERROR(VLOOKUP($I342,'分类规则'!$A$30:$C$200,2,0),"")</f>
        <v/>
      </c>
      <c r="I342" s="7" t="inlineStr">
        <is>
          <t>创新药</t>
        </is>
      </c>
      <c r="J342" s="7">
        <f>IFERROR(VLOOKUP($I342,'分类规则'!$A$30:$C$200,3,0),"")</f>
        <v/>
      </c>
      <c r="K342" s="8" t="inlineStr">
        <is>
          <t>恒瑞医药</t>
        </is>
      </c>
      <c r="L342" s="7" t="inlineStr">
        <is>
          <t>600276.SH</t>
        </is>
      </c>
      <c r="M342" s="20" t="n">
        <v>3088.7</v>
      </c>
      <c r="N342" s="8" t="inlineStr">
        <is>
          <t>科伦药业</t>
        </is>
      </c>
      <c r="O342" s="7" t="inlineStr">
        <is>
          <t>002422.SZ</t>
        </is>
      </c>
      <c r="P342" s="20" t="n">
        <v>466.5</v>
      </c>
      <c r="Q342" s="8" t="inlineStr">
        <is>
          <t>复星医药</t>
        </is>
      </c>
      <c r="R342" s="7" t="inlineStr">
        <is>
          <t>600196.SH</t>
        </is>
      </c>
      <c r="S342" s="20" t="n">
        <v>461.6</v>
      </c>
      <c r="T342" s="8" t="inlineStr">
        <is>
          <t>上海医药</t>
        </is>
      </c>
      <c r="U342" s="7" t="inlineStr">
        <is>
          <t>601607.SH</t>
        </is>
      </c>
      <c r="V342" s="20" t="n">
        <v>443.8</v>
      </c>
      <c r="W342" s="8" t="inlineStr">
        <is>
          <t>信立泰</t>
        </is>
      </c>
      <c r="X342" s="7" t="inlineStr">
        <is>
          <t>002294.SZ</t>
        </is>
      </c>
      <c r="Y342" s="20" t="n">
        <v>338.6</v>
      </c>
    </row>
    <row r="343">
      <c r="A343" s="7" t="inlineStr">
        <is>
          <t>885825.TI</t>
        </is>
      </c>
      <c r="B343" s="8">
        <f>[1]!thsiFinD("THS_GPJC_STOCK",$A343)</f>
        <v/>
      </c>
      <c r="C343" s="9">
        <f>[1]!thsiFinD("ths_int_chg_ratio_index",$A343,C$1,C$2)/100</f>
        <v/>
      </c>
      <c r="D343" s="9">
        <f>[1]!thsiFinD("ths_int_chg_ratio_index",$A343,D$1,D$2)/100</f>
        <v/>
      </c>
      <c r="E343" s="9">
        <f>[1]!thsiFinD("ths_int_chg_ratio_index",$A343,E$1,E$2)/100</f>
        <v/>
      </c>
      <c r="F343" s="10">
        <f>D343-(E343-D343)/3</f>
        <v/>
      </c>
      <c r="G343" s="7" t="inlineStr">
        <is>
          <t>产业链</t>
        </is>
      </c>
      <c r="H343" s="7">
        <f>IFERROR(VLOOKUP($I343,'分类规则'!$A$30:$C$200,2,0),"")</f>
        <v/>
      </c>
      <c r="I343" s="7" t="inlineStr">
        <is>
          <t>商贸/服务</t>
        </is>
      </c>
      <c r="J343" s="7">
        <f>IFERROR(VLOOKUP($I343,'分类规则'!$A$30:$C$200,3,0),"")</f>
        <v/>
      </c>
      <c r="K343" s="8" t="inlineStr">
        <is>
          <t>冰轮环境</t>
        </is>
      </c>
      <c r="L343" s="7" t="inlineStr">
        <is>
          <t>000811.SZ</t>
        </is>
      </c>
      <c r="M343" s="20" t="n">
        <v>393</v>
      </c>
      <c r="N343" s="8" t="inlineStr">
        <is>
          <t>雅戈尔</t>
        </is>
      </c>
      <c r="O343" s="7" t="inlineStr">
        <is>
          <t>600177.SH</t>
        </is>
      </c>
      <c r="P343" s="20" t="n">
        <v>331</v>
      </c>
      <c r="Q343" s="8" t="inlineStr">
        <is>
          <t>万科A</t>
        </is>
      </c>
      <c r="R343" s="7" t="inlineStr">
        <is>
          <t>000002.SZ</t>
        </is>
      </c>
      <c r="S343" s="20" t="n">
        <v>297.3</v>
      </c>
      <c r="T343" s="8" t="inlineStr">
        <is>
          <t>东方雨虹</t>
        </is>
      </c>
      <c r="U343" s="7" t="inlineStr">
        <is>
          <t>002271.SZ</t>
        </is>
      </c>
      <c r="V343" s="20" t="n">
        <v>232.2</v>
      </c>
      <c r="W343" s="8" t="inlineStr">
        <is>
          <t>豫园股份</t>
        </is>
      </c>
      <c r="X343" s="7" t="inlineStr">
        <is>
          <t>600655.SH</t>
        </is>
      </c>
      <c r="Y343" s="20" t="n">
        <v>171.9</v>
      </c>
    </row>
    <row r="344">
      <c r="A344" s="7" t="inlineStr">
        <is>
          <t>885956.TI</t>
        </is>
      </c>
      <c r="B344" s="8">
        <f>[1]!thsiFinD("THS_GPJC_STOCK",$A344)</f>
        <v/>
      </c>
      <c r="C344" s="9">
        <f>[1]!thsiFinD("ths_int_chg_ratio_index",$A344,C$1,C$2)/100</f>
        <v/>
      </c>
      <c r="D344" s="9">
        <f>[1]!thsiFinD("ths_int_chg_ratio_index",$A344,D$1,D$2)/100</f>
        <v/>
      </c>
      <c r="E344" s="9">
        <f>[1]!thsiFinD("ths_int_chg_ratio_index",$A344,E$1,E$2)/100</f>
        <v/>
      </c>
      <c r="F344" s="10">
        <f>D344-(E344-D344)/3</f>
        <v/>
      </c>
      <c r="G344" s="7" t="inlineStr">
        <is>
          <t>产业链</t>
        </is>
      </c>
      <c r="H344" s="7">
        <f>IFERROR(VLOOKUP($I344,'分类规则'!$A$30:$C$200,2,0),"")</f>
        <v/>
      </c>
      <c r="I344" s="7" t="inlineStr">
        <is>
          <t>AIoT/物联网</t>
        </is>
      </c>
      <c r="J344" s="7">
        <f>IFERROR(VLOOKUP($I344,'分类规则'!$A$30:$C$200,3,0),"")</f>
        <v/>
      </c>
      <c r="K344" s="8" t="inlineStr">
        <is>
          <t>中国电信</t>
        </is>
      </c>
      <c r="L344" s="7" t="inlineStr">
        <is>
          <t>601728.SH</t>
        </is>
      </c>
      <c r="M344" s="20" t="n">
        <v>4409.4</v>
      </c>
      <c r="N344" s="8" t="inlineStr">
        <is>
          <t>海康威视</t>
        </is>
      </c>
      <c r="O344" s="7" t="inlineStr">
        <is>
          <t>002415.SZ</t>
        </is>
      </c>
      <c r="P344" s="20" t="n">
        <v>2922</v>
      </c>
      <c r="Q344" s="8" t="inlineStr">
        <is>
          <t>烽火通信</t>
        </is>
      </c>
      <c r="R344" s="7" t="inlineStr">
        <is>
          <t>600498.SH</t>
        </is>
      </c>
      <c r="S344" s="20" t="n">
        <v>957.7</v>
      </c>
      <c r="T344" s="8" t="inlineStr">
        <is>
          <t>科大讯飞</t>
        </is>
      </c>
      <c r="U344" s="7" t="inlineStr">
        <is>
          <t>002230.SZ</t>
        </is>
      </c>
      <c r="V344" s="20" t="n">
        <v>932.9</v>
      </c>
      <c r="W344" s="8" t="inlineStr">
        <is>
          <t>紫光股份</t>
        </is>
      </c>
      <c r="X344" s="7" t="inlineStr">
        <is>
          <t>000938.SZ</t>
        </is>
      </c>
      <c r="Y344" s="20" t="n">
        <v>785.1</v>
      </c>
    </row>
    <row r="345">
      <c r="A345" s="7" t="inlineStr">
        <is>
          <t>885737.TI</t>
        </is>
      </c>
      <c r="B345" s="8">
        <f>[1]!thsiFinD("THS_GPJC_STOCK",$A345)</f>
        <v/>
      </c>
      <c r="C345" s="9">
        <f>[1]!thsiFinD("ths_int_chg_ratio_index",$A345,C$1,C$2)/100</f>
        <v/>
      </c>
      <c r="D345" s="9">
        <f>[1]!thsiFinD("ths_int_chg_ratio_index",$A345,D$1,D$2)/100</f>
        <v/>
      </c>
      <c r="E345" s="9">
        <f>[1]!thsiFinD("ths_int_chg_ratio_index",$A345,E$1,E$2)/100</f>
        <v/>
      </c>
      <c r="F345" s="10">
        <f>D345-(E345-D345)/3</f>
        <v/>
      </c>
      <c r="G345" s="7" t="inlineStr">
        <is>
          <t>产业链</t>
        </is>
      </c>
      <c r="H345" s="7">
        <f>IFERROR(VLOOKUP($I345,'分类规则'!$A$30:$C$200,2,0),"")</f>
        <v/>
      </c>
      <c r="I345" s="7" t="inlineStr">
        <is>
          <t>传媒/游戏</t>
        </is>
      </c>
      <c r="J345" s="7">
        <f>IFERROR(VLOOKUP($I345,'分类规则'!$A$30:$C$200,3,0),"")</f>
        <v/>
      </c>
      <c r="K345" s="8" t="inlineStr">
        <is>
          <t>世纪华通</t>
        </is>
      </c>
      <c r="L345" s="7" t="inlineStr">
        <is>
          <t>002602.SZ</t>
        </is>
      </c>
      <c r="M345" s="20" t="n">
        <v>879.5</v>
      </c>
      <c r="N345" s="8" t="inlineStr">
        <is>
          <t>巨人网络</t>
        </is>
      </c>
      <c r="O345" s="7" t="inlineStr">
        <is>
          <t>002558.SZ</t>
        </is>
      </c>
      <c r="P345" s="20" t="n">
        <v>454.2</v>
      </c>
      <c r="Q345" s="8" t="inlineStr">
        <is>
          <t>东方明珠</t>
        </is>
      </c>
      <c r="R345" s="7" t="inlineStr">
        <is>
          <t>600637.SH</t>
        </is>
      </c>
      <c r="S345" s="20" t="n">
        <v>298.5</v>
      </c>
      <c r="T345" s="8" t="inlineStr">
        <is>
          <t>三七互娱</t>
        </is>
      </c>
      <c r="U345" s="7" t="inlineStr">
        <is>
          <t>002555.SZ</t>
        </is>
      </c>
      <c r="V345" s="20" t="n">
        <v>277.3</v>
      </c>
      <c r="W345" s="8" t="inlineStr">
        <is>
          <t>恺英网络</t>
        </is>
      </c>
      <c r="X345" s="7" t="inlineStr">
        <is>
          <t>002517.SZ</t>
        </is>
      </c>
      <c r="Y345" s="20" t="n">
        <v>273.9</v>
      </c>
    </row>
    <row r="346">
      <c r="A346" s="7" t="inlineStr">
        <is>
          <t>885791.TI</t>
        </is>
      </c>
      <c r="B346" s="8">
        <f>[1]!thsiFinD("THS_GPJC_STOCK",$A346)</f>
        <v/>
      </c>
      <c r="C346" s="9">
        <f>[1]!thsiFinD("ths_int_chg_ratio_index",$A346,C$1,C$2)/100</f>
        <v/>
      </c>
      <c r="D346" s="9">
        <f>[1]!thsiFinD("ths_int_chg_ratio_index",$A346,D$1,D$2)/100</f>
        <v/>
      </c>
      <c r="E346" s="9">
        <f>[1]!thsiFinD("ths_int_chg_ratio_index",$A346,E$1,E$2)/100</f>
        <v/>
      </c>
      <c r="F346" s="10">
        <f>D346-(E346-D346)/3</f>
        <v/>
      </c>
      <c r="G346" s="7" t="inlineStr">
        <is>
          <t>主题事件</t>
        </is>
      </c>
      <c r="H346" s="7">
        <f>IFERROR(VLOOKUP($I346,'分类规则'!$A$30:$C$200,2,0),"")</f>
        <v/>
      </c>
      <c r="I346" s="7" t="inlineStr">
        <is>
          <t>政策/要素</t>
        </is>
      </c>
      <c r="J346" s="7">
        <f>IFERROR(VLOOKUP($I346,'分类规则'!$A$30:$C$200,3,0),"")</f>
        <v/>
      </c>
      <c r="K346" s="8" t="inlineStr">
        <is>
          <t>衢州发展</t>
        </is>
      </c>
      <c r="L346" s="7" t="inlineStr">
        <is>
          <t>600208.SH</t>
        </is>
      </c>
      <c r="M346" s="20" t="n">
        <v>263.7</v>
      </c>
      <c r="N346" s="8" t="inlineStr">
        <is>
          <t>人民网</t>
        </is>
      </c>
      <c r="O346" s="7" t="inlineStr">
        <is>
          <t>603000.SH</t>
        </is>
      </c>
      <c r="P346" s="20" t="n">
        <v>178</v>
      </c>
      <c r="Q346" s="8" t="inlineStr">
        <is>
          <t>中文在线</t>
        </is>
      </c>
      <c r="R346" s="7" t="inlineStr">
        <is>
          <t>300364.SZ</t>
        </is>
      </c>
      <c r="S346" s="20" t="n">
        <v>165.5</v>
      </c>
      <c r="T346" s="8" t="inlineStr">
        <is>
          <t>中国科传</t>
        </is>
      </c>
      <c r="U346" s="7" t="inlineStr">
        <is>
          <t>601858.SH</t>
        </is>
      </c>
      <c r="V346" s="20" t="n">
        <v>161.2</v>
      </c>
      <c r="W346" s="8" t="inlineStr">
        <is>
          <t>视觉中国</t>
        </is>
      </c>
      <c r="X346" s="7" t="inlineStr">
        <is>
          <t>000681.SZ</t>
        </is>
      </c>
      <c r="Y346" s="20" t="n">
        <v>146.7</v>
      </c>
    </row>
    <row r="347">
      <c r="A347" s="7" t="inlineStr">
        <is>
          <t>885814.TI</t>
        </is>
      </c>
      <c r="B347" s="8">
        <f>[1]!thsiFinD("THS_GPJC_STOCK",$A347)</f>
        <v/>
      </c>
      <c r="C347" s="9">
        <f>[1]!thsiFinD("ths_int_chg_ratio_index",$A347,C$1,C$2)/100</f>
        <v/>
      </c>
      <c r="D347" s="9">
        <f>[1]!thsiFinD("ths_int_chg_ratio_index",$A347,D$1,D$2)/100</f>
        <v/>
      </c>
      <c r="E347" s="9">
        <f>[1]!thsiFinD("ths_int_chg_ratio_index",$A347,E$1,E$2)/100</f>
        <v/>
      </c>
      <c r="F347" s="10">
        <f>D347-(E347-D347)/3</f>
        <v/>
      </c>
      <c r="G347" s="7" t="inlineStr">
        <is>
          <t>产业链</t>
        </is>
      </c>
      <c r="H347" s="7">
        <f>IFERROR(VLOOKUP($I347,'分类规则'!$A$30:$C$200,2,0),"")</f>
        <v/>
      </c>
      <c r="I347" s="7" t="inlineStr">
        <is>
          <t>金融</t>
        </is>
      </c>
      <c r="J347" s="7">
        <f>IFERROR(VLOOKUP($I347,'分类规则'!$A$30:$C$200,3,0),"")</f>
        <v/>
      </c>
      <c r="K347" s="8" t="inlineStr">
        <is>
          <t>浦发银行</t>
        </is>
      </c>
      <c r="L347" s="7" t="inlineStr">
        <is>
          <t>600000.SH</t>
        </is>
      </c>
      <c r="M347" s="20" t="n">
        <v>3027.5</v>
      </c>
      <c r="N347" s="8" t="inlineStr">
        <is>
          <t>中油资本</t>
        </is>
      </c>
      <c r="O347" s="7" t="inlineStr">
        <is>
          <t>000617.SZ</t>
        </is>
      </c>
      <c r="P347" s="20" t="n">
        <v>906.4</v>
      </c>
      <c r="Q347" s="8" t="inlineStr">
        <is>
          <t>国投资本</t>
        </is>
      </c>
      <c r="R347" s="7" t="inlineStr">
        <is>
          <t>600061.SH</t>
        </is>
      </c>
      <c r="S347" s="20" t="n">
        <v>406.7</v>
      </c>
      <c r="T347" s="8" t="inlineStr">
        <is>
          <t>江苏国信</t>
        </is>
      </c>
      <c r="U347" s="7" t="inlineStr">
        <is>
          <t>002608.SZ</t>
        </is>
      </c>
      <c r="V347" s="20" t="n">
        <v>315.5</v>
      </c>
      <c r="W347" s="8" t="inlineStr">
        <is>
          <t>电投产融</t>
        </is>
      </c>
      <c r="X347" s="7" t="inlineStr">
        <is>
          <t>000958.SZ</t>
        </is>
      </c>
      <c r="Y347" s="20" t="n">
        <v>313.3</v>
      </c>
    </row>
    <row r="348">
      <c r="A348" s="7" t="inlineStr">
        <is>
          <t>885842.TI</t>
        </is>
      </c>
      <c r="B348" s="8">
        <f>[1]!thsiFinD("THS_GPJC_STOCK",$A348)</f>
        <v/>
      </c>
      <c r="C348" s="9">
        <f>[1]!thsiFinD("ths_int_chg_ratio_index",$A348,C$1,C$2)/100</f>
        <v/>
      </c>
      <c r="D348" s="9">
        <f>[1]!thsiFinD("ths_int_chg_ratio_index",$A348,D$1,D$2)/100</f>
        <v/>
      </c>
      <c r="E348" s="9">
        <f>[1]!thsiFinD("ths_int_chg_ratio_index",$A348,E$1,E$2)/100</f>
        <v/>
      </c>
      <c r="F348" s="10">
        <f>D348-(E348-D348)/3</f>
        <v/>
      </c>
      <c r="G348" s="7" t="inlineStr">
        <is>
          <t>主题事件</t>
        </is>
      </c>
      <c r="H348" s="7">
        <f>IFERROR(VLOOKUP($I348,'分类规则'!$A$30:$C$200,2,0),"")</f>
        <v/>
      </c>
      <c r="I348" s="7" t="inlineStr">
        <is>
          <t>政策/要素</t>
        </is>
      </c>
      <c r="J348" s="7">
        <f>IFERROR(VLOOKUP($I348,'分类规则'!$A$30:$C$200,3,0),"")</f>
        <v/>
      </c>
      <c r="K348" s="8" t="n"/>
      <c r="L348" s="7" t="n"/>
      <c r="M348" s="7" t="n"/>
      <c r="N348" s="8" t="n"/>
      <c r="O348" s="7" t="n"/>
      <c r="P348" s="7" t="n"/>
      <c r="Q348" s="8" t="n"/>
      <c r="R348" s="7" t="n"/>
      <c r="S348" s="7" t="n"/>
      <c r="T348" s="8" t="n"/>
      <c r="U348" s="7" t="n"/>
      <c r="V348" s="7" t="n"/>
      <c r="W348" s="8" t="n"/>
      <c r="X348" s="7" t="n"/>
      <c r="Y348" s="7" t="n"/>
    </row>
    <row r="349">
      <c r="A349" s="7" t="inlineStr">
        <is>
          <t>885490.TI</t>
        </is>
      </c>
      <c r="B349" s="8">
        <f>[1]!thsiFinD("THS_GPJC_STOCK",$A349)</f>
        <v/>
      </c>
      <c r="C349" s="9">
        <f>[1]!thsiFinD("ths_int_chg_ratio_index",$A349,C$1,C$2)/100</f>
        <v/>
      </c>
      <c r="D349" s="9">
        <f>[1]!thsiFinD("ths_int_chg_ratio_index",$A349,D$1,D$2)/100</f>
        <v/>
      </c>
      <c r="E349" s="9">
        <f>[1]!thsiFinD("ths_int_chg_ratio_index",$A349,E$1,E$2)/100</f>
        <v/>
      </c>
      <c r="F349" s="10">
        <f>D349-(E349-D349)/3</f>
        <v/>
      </c>
      <c r="G349" s="7" t="inlineStr">
        <is>
          <t>产业链</t>
        </is>
      </c>
      <c r="H349" s="7">
        <f>IFERROR(VLOOKUP($I349,'分类规则'!$A$30:$C$200,2,0),"")</f>
        <v/>
      </c>
      <c r="I349" s="7" t="inlineStr">
        <is>
          <t>医疗服务</t>
        </is>
      </c>
      <c r="J349" s="7">
        <f>IFERROR(VLOOKUP($I349,'分类规则'!$A$30:$C$200,3,0),"")</f>
        <v/>
      </c>
      <c r="K349" s="8" t="inlineStr">
        <is>
          <t>京东方A</t>
        </is>
      </c>
      <c r="L349" s="7" t="inlineStr">
        <is>
          <t>000725.SZ</t>
        </is>
      </c>
      <c r="M349" s="20" t="n">
        <v>2316.5</v>
      </c>
      <c r="N349" s="8" t="inlineStr">
        <is>
          <t>爱尔眼科</t>
        </is>
      </c>
      <c r="O349" s="7" t="inlineStr">
        <is>
          <t>300015.SZ</t>
        </is>
      </c>
      <c r="P349" s="20" t="n">
        <v>657.9</v>
      </c>
      <c r="Q349" s="8" t="inlineStr">
        <is>
          <t>复星医药</t>
        </is>
      </c>
      <c r="R349" s="7" t="inlineStr">
        <is>
          <t>600196.SH</t>
        </is>
      </c>
      <c r="S349" s="20" t="n">
        <v>461.6</v>
      </c>
      <c r="T349" s="8" t="inlineStr">
        <is>
          <t>ST人福</t>
        </is>
      </c>
      <c r="U349" s="7" t="inlineStr">
        <is>
          <t>600079.SH</t>
        </is>
      </c>
      <c r="V349" s="20" t="n">
        <v>253.2</v>
      </c>
      <c r="W349" s="8" t="inlineStr">
        <is>
          <t>通化金马</t>
        </is>
      </c>
      <c r="X349" s="7" t="inlineStr">
        <is>
          <t>000766.SZ</t>
        </is>
      </c>
      <c r="Y349" s="20" t="n">
        <v>235.8</v>
      </c>
    </row>
    <row r="350">
      <c r="A350" s="7" t="inlineStr">
        <is>
          <t>885988.TI</t>
        </is>
      </c>
      <c r="B350" s="8">
        <f>[1]!thsiFinD("THS_GPJC_STOCK",$A350)</f>
        <v/>
      </c>
      <c r="C350" s="9">
        <f>[1]!thsiFinD("ths_int_chg_ratio_index",$A350,C$1,C$2)/100</f>
        <v/>
      </c>
      <c r="D350" s="9">
        <f>[1]!thsiFinD("ths_int_chg_ratio_index",$A350,D$1,D$2)/100</f>
        <v/>
      </c>
      <c r="E350" s="9">
        <f>[1]!thsiFinD("ths_int_chg_ratio_index",$A350,E$1,E$2)/100</f>
        <v/>
      </c>
      <c r="F350" s="10">
        <f>D350-(E350-D350)/3</f>
        <v/>
      </c>
      <c r="G350" s="7" t="inlineStr">
        <is>
          <t>主题事件</t>
        </is>
      </c>
      <c r="H350" s="7">
        <f>IFERROR(VLOOKUP($I350,'分类规则'!$A$30:$C$200,2,0),"")</f>
        <v/>
      </c>
      <c r="I350" s="7" t="inlineStr">
        <is>
          <t>政策/要素</t>
        </is>
      </c>
      <c r="J350" s="7">
        <f>IFERROR(VLOOKUP($I350,'分类规则'!$A$30:$C$200,3,0),"")</f>
        <v/>
      </c>
      <c r="K350" s="8" t="n"/>
      <c r="L350" s="7" t="n"/>
      <c r="M350" s="7" t="n"/>
      <c r="N350" s="8" t="n"/>
      <c r="O350" s="7" t="n"/>
      <c r="P350" s="7" t="n"/>
      <c r="Q350" s="8" t="n"/>
      <c r="R350" s="7" t="n"/>
      <c r="S350" s="7" t="n"/>
      <c r="T350" s="8" t="n"/>
      <c r="U350" s="7" t="n"/>
      <c r="V350" s="7" t="n"/>
      <c r="W350" s="8" t="n"/>
      <c r="X350" s="7" t="n"/>
      <c r="Y350" s="7" t="n"/>
    </row>
    <row r="351">
      <c r="A351" s="7" t="inlineStr">
        <is>
          <t>885844.TI</t>
        </is>
      </c>
      <c r="B351" s="8">
        <f>[1]!thsiFinD("THS_GPJC_STOCK",$A351)</f>
        <v/>
      </c>
      <c r="C351" s="9">
        <f>[1]!thsiFinD("ths_int_chg_ratio_index",$A351,C$1,C$2)/100</f>
        <v/>
      </c>
      <c r="D351" s="9">
        <f>[1]!thsiFinD("ths_int_chg_ratio_index",$A351,D$1,D$2)/100</f>
        <v/>
      </c>
      <c r="E351" s="9">
        <f>[1]!thsiFinD("ths_int_chg_ratio_index",$A351,E$1,E$2)/100</f>
        <v/>
      </c>
      <c r="F351" s="10">
        <f>D351-(E351-D351)/3</f>
        <v/>
      </c>
      <c r="G351" s="7" t="inlineStr">
        <is>
          <t>产业链</t>
        </is>
      </c>
      <c r="H351" s="7">
        <f>IFERROR(VLOOKUP($I351,'分类规则'!$A$30:$C$200,2,0),"")</f>
        <v/>
      </c>
      <c r="I351" s="7" t="inlineStr">
        <is>
          <t>信创/国产化</t>
        </is>
      </c>
      <c r="J351" s="7">
        <f>IFERROR(VLOOKUP($I351,'分类规则'!$A$30:$C$200,3,0),"")</f>
        <v/>
      </c>
      <c r="K351" s="8" t="inlineStr">
        <is>
          <t>寒武纪</t>
        </is>
      </c>
      <c r="L351" s="7" t="inlineStr">
        <is>
          <t>688256.SH</t>
        </is>
      </c>
      <c r="M351" s="20" t="n">
        <v>9471.299999999999</v>
      </c>
      <c r="N351" s="8" t="inlineStr">
        <is>
          <t>中兴通讯</t>
        </is>
      </c>
      <c r="O351" s="7" t="inlineStr">
        <is>
          <t>000063.SZ</t>
        </is>
      </c>
      <c r="P351" s="20" t="n">
        <v>1526.1</v>
      </c>
      <c r="Q351" s="8" t="inlineStr">
        <is>
          <t>中科曙光</t>
        </is>
      </c>
      <c r="R351" s="7" t="inlineStr">
        <is>
          <t>603019.SH</t>
        </is>
      </c>
      <c r="S351" s="20" t="n">
        <v>1297.1</v>
      </c>
      <c r="T351" s="8" t="inlineStr">
        <is>
          <t>中控技术</t>
        </is>
      </c>
      <c r="U351" s="7" t="inlineStr">
        <is>
          <t>688777.SH</t>
        </is>
      </c>
      <c r="V351" s="20" t="n">
        <v>980.1</v>
      </c>
      <c r="W351" s="8" t="inlineStr">
        <is>
          <t>浪潮信息</t>
        </is>
      </c>
      <c r="X351" s="7" t="inlineStr">
        <is>
          <t>000977.SZ</t>
        </is>
      </c>
      <c r="Y351" s="20" t="n">
        <v>963.1</v>
      </c>
    </row>
    <row r="352">
      <c r="A352" s="7" t="inlineStr">
        <is>
          <t>885915.TI</t>
        </is>
      </c>
      <c r="B352" s="8">
        <f>[1]!thsiFinD("THS_GPJC_STOCK",$A352)</f>
        <v/>
      </c>
      <c r="C352" s="9">
        <f>[1]!thsiFinD("ths_int_chg_ratio_index",$A352,C$1,C$2)/100</f>
        <v/>
      </c>
      <c r="D352" s="9">
        <f>[1]!thsiFinD("ths_int_chg_ratio_index",$A352,D$1,D$2)/100</f>
        <v/>
      </c>
      <c r="E352" s="9">
        <f>[1]!thsiFinD("ths_int_chg_ratio_index",$A352,E$1,E$2)/100</f>
        <v/>
      </c>
      <c r="F352" s="10">
        <f>D352-(E352-D352)/3</f>
        <v/>
      </c>
      <c r="G352" s="7" t="inlineStr">
        <is>
          <t>产业链</t>
        </is>
      </c>
      <c r="H352" s="7">
        <f>IFERROR(VLOOKUP($I352,'分类规则'!$A$30:$C$200,2,0),"")</f>
        <v/>
      </c>
      <c r="I352" s="7" t="inlineStr">
        <is>
          <t>地产链</t>
        </is>
      </c>
      <c r="J352" s="7">
        <f>IFERROR(VLOOKUP($I352,'分类规则'!$A$30:$C$200,3,0),"")</f>
        <v/>
      </c>
      <c r="K352" s="8" t="n"/>
      <c r="L352" s="7" t="n"/>
      <c r="M352" s="7" t="n"/>
      <c r="N352" s="8" t="n"/>
      <c r="O352" s="7" t="n"/>
      <c r="P352" s="7" t="n"/>
      <c r="Q352" s="8" t="n"/>
      <c r="R352" s="7" t="n"/>
      <c r="S352" s="7" t="n"/>
      <c r="T352" s="8" t="n"/>
      <c r="U352" s="7" t="n"/>
      <c r="V352" s="7" t="n"/>
      <c r="W352" s="8" t="n"/>
      <c r="X352" s="7" t="n"/>
      <c r="Y352" s="7" t="n"/>
    </row>
    <row r="353">
      <c r="A353" s="7" t="inlineStr">
        <is>
          <t>886012.TI</t>
        </is>
      </c>
      <c r="B353" s="8">
        <f>[1]!thsiFinD("THS_GPJC_STOCK",$A353)</f>
        <v/>
      </c>
      <c r="C353" s="9">
        <f>[1]!thsiFinD("ths_int_chg_ratio_index",$A353,C$1,C$2)/100</f>
        <v/>
      </c>
      <c r="D353" s="9">
        <f>[1]!thsiFinD("ths_int_chg_ratio_index",$A353,D$1,D$2)/100</f>
        <v/>
      </c>
      <c r="E353" s="9">
        <f>[1]!thsiFinD("ths_int_chg_ratio_index",$A353,E$1,E$2)/100</f>
        <v/>
      </c>
      <c r="F353" s="10">
        <f>D353-(E353-D353)/3</f>
        <v/>
      </c>
      <c r="G353" s="7" t="inlineStr">
        <is>
          <t>产业链</t>
        </is>
      </c>
      <c r="H353" s="7">
        <f>IFERROR(VLOOKUP($I353,'分类规则'!$A$30:$C$200,2,0),"")</f>
        <v/>
      </c>
      <c r="I353" s="7" t="inlineStr">
        <is>
          <t>商贸/服务</t>
        </is>
      </c>
      <c r="J353" s="7">
        <f>IFERROR(VLOOKUP($I353,'分类规则'!$A$30:$C$200,3,0),"")</f>
        <v/>
      </c>
      <c r="K353" s="8" t="n"/>
      <c r="L353" s="7" t="n"/>
      <c r="M353" s="7" t="n"/>
      <c r="N353" s="8" t="n"/>
      <c r="O353" s="7" t="n"/>
      <c r="P353" s="7" t="n"/>
      <c r="Q353" s="8" t="n"/>
      <c r="R353" s="7" t="n"/>
      <c r="S353" s="7" t="n"/>
      <c r="T353" s="8" t="n"/>
      <c r="U353" s="7" t="n"/>
      <c r="V353" s="7" t="n"/>
      <c r="W353" s="8" t="n"/>
      <c r="X353" s="7" t="n"/>
      <c r="Y353" s="7" t="n"/>
    </row>
    <row r="354">
      <c r="A354" s="7" t="inlineStr">
        <is>
          <t>885508.TI</t>
        </is>
      </c>
      <c r="B354" s="8">
        <f>[1]!thsiFinD("THS_GPJC_STOCK",$A354)</f>
        <v/>
      </c>
      <c r="C354" s="9">
        <f>[1]!thsiFinD("ths_int_chg_ratio_index",$A354,C$1,C$2)/100</f>
        <v/>
      </c>
      <c r="D354" s="9">
        <f>[1]!thsiFinD("ths_int_chg_ratio_index",$A354,D$1,D$2)/100</f>
        <v/>
      </c>
      <c r="E354" s="9">
        <f>[1]!thsiFinD("ths_int_chg_ratio_index",$A354,E$1,E$2)/100</f>
        <v/>
      </c>
      <c r="F354" s="10">
        <f>D354-(E354-D354)/3</f>
        <v/>
      </c>
      <c r="G354" s="7" t="inlineStr">
        <is>
          <t>产业链</t>
        </is>
      </c>
      <c r="H354" s="7">
        <f>IFERROR(VLOOKUP($I354,'分类规则'!$A$30:$C$200,2,0),"")</f>
        <v/>
      </c>
      <c r="I354" s="7" t="inlineStr">
        <is>
          <t>农业(养殖)</t>
        </is>
      </c>
      <c r="J354" s="7">
        <f>IFERROR(VLOOKUP($I354,'分类规则'!$A$30:$C$200,3,0),"")</f>
        <v/>
      </c>
      <c r="K354" s="8" t="inlineStr">
        <is>
          <t>温氏股份</t>
        </is>
      </c>
      <c r="L354" s="7" t="inlineStr">
        <is>
          <t>300498.SZ</t>
        </is>
      </c>
      <c r="M354" s="20" t="n">
        <v>735.1</v>
      </c>
      <c r="N354" s="8" t="inlineStr">
        <is>
          <t>华润三九</t>
        </is>
      </c>
      <c r="O354" s="7" t="inlineStr">
        <is>
          <t>000999.SZ</t>
        </is>
      </c>
      <c r="P354" s="20" t="n">
        <v>390.4</v>
      </c>
      <c r="Q354" s="8" t="inlineStr">
        <is>
          <t>以岭药业</t>
        </is>
      </c>
      <c r="R354" s="7" t="inlineStr">
        <is>
          <t>002603.SZ</t>
        </is>
      </c>
      <c r="S354" s="20" t="n">
        <v>206.8</v>
      </c>
      <c r="T354" s="8" t="inlineStr">
        <is>
          <t>华兰生物</t>
        </is>
      </c>
      <c r="U354" s="7" t="inlineStr">
        <is>
          <t>002007.SZ</t>
        </is>
      </c>
      <c r="V354" s="20" t="n">
        <v>202</v>
      </c>
      <c r="W354" s="8" t="inlineStr">
        <is>
          <t>众生药业</t>
        </is>
      </c>
      <c r="X354" s="7" t="inlineStr">
        <is>
          <t>002317.SZ</t>
        </is>
      </c>
      <c r="Y354" s="20" t="n">
        <v>174.4</v>
      </c>
    </row>
    <row r="355">
      <c r="A355" s="7" t="inlineStr">
        <is>
          <t>885740.TI</t>
        </is>
      </c>
      <c r="B355" s="8">
        <f>[1]!thsiFinD("THS_GPJC_STOCK",$A355)</f>
        <v/>
      </c>
      <c r="C355" s="9">
        <f>[1]!thsiFinD("ths_int_chg_ratio_index",$A355,C$1,C$2)/100</f>
        <v/>
      </c>
      <c r="D355" s="9">
        <f>[1]!thsiFinD("ths_int_chg_ratio_index",$A355,D$1,D$2)/100</f>
        <v/>
      </c>
      <c r="E355" s="9">
        <f>[1]!thsiFinD("ths_int_chg_ratio_index",$A355,E$1,E$2)/100</f>
        <v/>
      </c>
      <c r="F355" s="10">
        <f>D355-(E355-D355)/3</f>
        <v/>
      </c>
      <c r="G355" s="7" t="inlineStr">
        <is>
          <t>主题事件</t>
        </is>
      </c>
      <c r="H355" s="7">
        <f>IFERROR(VLOOKUP($I355,'分类规则'!$A$30:$C$200,2,0),"")</f>
        <v/>
      </c>
      <c r="I355" s="7" t="inlineStr">
        <is>
          <t>化债</t>
        </is>
      </c>
      <c r="J355" s="7">
        <f>IFERROR(VLOOKUP($I355,'分类规则'!$A$30:$C$200,3,0),"")</f>
        <v/>
      </c>
      <c r="K355" s="8" t="inlineStr">
        <is>
          <t>上海电气</t>
        </is>
      </c>
      <c r="L355" s="7" t="inlineStr">
        <is>
          <t>601727.SH</t>
        </is>
      </c>
      <c r="M355" s="20" t="n">
        <v>922.2</v>
      </c>
      <c r="N355" s="8" t="inlineStr">
        <is>
          <t>东兴证券</t>
        </is>
      </c>
      <c r="O355" s="7" t="inlineStr">
        <is>
          <t>601198.SH</t>
        </is>
      </c>
      <c r="P355" s="20" t="n">
        <v>413.8</v>
      </c>
      <c r="Q355" s="8" t="inlineStr">
        <is>
          <t>越秀资本</t>
        </is>
      </c>
      <c r="R355" s="7" t="inlineStr">
        <is>
          <t>000987.SZ</t>
        </is>
      </c>
      <c r="S355" s="20" t="n">
        <v>375</v>
      </c>
      <c r="T355" s="8" t="inlineStr">
        <is>
          <t>物产中大</t>
        </is>
      </c>
      <c r="U355" s="7" t="inlineStr">
        <is>
          <t>600704.SH</t>
        </is>
      </c>
      <c r="V355" s="20" t="n">
        <v>244.1</v>
      </c>
      <c r="W355" s="8" t="inlineStr">
        <is>
          <t>陕国投A</t>
        </is>
      </c>
      <c r="X355" s="7" t="inlineStr">
        <is>
          <t>000563.SZ</t>
        </is>
      </c>
      <c r="Y355" s="20" t="n">
        <v>146.3</v>
      </c>
    </row>
    <row r="356">
      <c r="A356" s="7" t="inlineStr">
        <is>
          <t>885758.TI</t>
        </is>
      </c>
      <c r="B356" s="8">
        <f>[1]!thsiFinD("THS_GPJC_STOCK",$A356)</f>
        <v/>
      </c>
      <c r="C356" s="9">
        <f>[1]!thsiFinD("ths_int_chg_ratio_index",$A356,C$1,C$2)/100</f>
        <v/>
      </c>
      <c r="D356" s="9">
        <f>[1]!thsiFinD("ths_int_chg_ratio_index",$A356,D$1,D$2)/100</f>
        <v/>
      </c>
      <c r="E356" s="9">
        <f>[1]!thsiFinD("ths_int_chg_ratio_index",$A356,E$1,E$2)/100</f>
        <v/>
      </c>
      <c r="F356" s="10">
        <f>D356-(E356-D356)/3</f>
        <v/>
      </c>
      <c r="G356" s="7" t="inlineStr">
        <is>
          <t>产业链</t>
        </is>
      </c>
      <c r="H356" s="7">
        <f>IFERROR(VLOOKUP($I356,'分类规则'!$A$30:$C$200,2,0),"")</f>
        <v/>
      </c>
      <c r="I356" s="7" t="inlineStr">
        <is>
          <t>地产链</t>
        </is>
      </c>
      <c r="J356" s="7">
        <f>IFERROR(VLOOKUP($I356,'分类规则'!$A$30:$C$200,3,0),"")</f>
        <v/>
      </c>
      <c r="K356" s="8" t="inlineStr">
        <is>
          <t>招商蛇口</t>
        </is>
      </c>
      <c r="L356" s="7" t="inlineStr">
        <is>
          <t>001979.SZ</t>
        </is>
      </c>
      <c r="M356" s="20" t="n">
        <v>610</v>
      </c>
      <c r="N356" s="8" t="inlineStr">
        <is>
          <t>保利发展</t>
        </is>
      </c>
      <c r="O356" s="7" t="inlineStr">
        <is>
          <t>600048.SH</t>
        </is>
      </c>
      <c r="P356" s="20" t="n">
        <v>588.9</v>
      </c>
      <c r="Q356" s="8" t="inlineStr">
        <is>
          <t>张江高科</t>
        </is>
      </c>
      <c r="R356" s="7" t="inlineStr">
        <is>
          <t>600895.SH</t>
        </is>
      </c>
      <c r="S356" s="20" t="n">
        <v>509.4</v>
      </c>
      <c r="T356" s="8" t="inlineStr">
        <is>
          <t>万科A</t>
        </is>
      </c>
      <c r="U356" s="7" t="inlineStr">
        <is>
          <t>000002.SZ</t>
        </is>
      </c>
      <c r="V356" s="20" t="n">
        <v>297.3</v>
      </c>
      <c r="W356" s="8" t="inlineStr">
        <is>
          <t>滨江集团</t>
        </is>
      </c>
      <c r="X356" s="7" t="inlineStr">
        <is>
          <t>002244.SZ</t>
        </is>
      </c>
      <c r="Y356" s="20" t="n">
        <v>230.8</v>
      </c>
    </row>
    <row r="357">
      <c r="A357" s="7" t="inlineStr">
        <is>
          <t>885493.TI</t>
        </is>
      </c>
      <c r="B357" s="8">
        <f>[1]!thsiFinD("THS_GPJC_STOCK",$A357)</f>
        <v/>
      </c>
      <c r="C357" s="9">
        <f>[1]!thsiFinD("ths_int_chg_ratio_index",$A357,C$1,C$2)/100</f>
        <v/>
      </c>
      <c r="D357" s="9">
        <f>[1]!thsiFinD("ths_int_chg_ratio_index",$A357,D$1,D$2)/100</f>
        <v/>
      </c>
      <c r="E357" s="9">
        <f>[1]!thsiFinD("ths_int_chg_ratio_index",$A357,E$1,E$2)/100</f>
        <v/>
      </c>
      <c r="F357" s="10">
        <f>D357-(E357-D357)/3</f>
        <v/>
      </c>
      <c r="G357" s="7" t="inlineStr">
        <is>
          <t>主题事件</t>
        </is>
      </c>
      <c r="H357" s="7">
        <f>IFERROR(VLOOKUP($I357,'分类规则'!$A$30:$C$200,2,0),"")</f>
        <v/>
      </c>
      <c r="I357" s="7" t="inlineStr">
        <is>
          <t>区域/改革</t>
        </is>
      </c>
      <c r="J357" s="7">
        <f>IFERROR(VLOOKUP($I357,'分类规则'!$A$30:$C$200,3,0),"")</f>
        <v/>
      </c>
      <c r="K357" s="8" t="inlineStr">
        <is>
          <t>上汽集团</t>
        </is>
      </c>
      <c r="L357" s="7" t="inlineStr">
        <is>
          <t>600104.SH</t>
        </is>
      </c>
      <c r="M357" s="20" t="n">
        <v>1202.4</v>
      </c>
      <c r="N357" s="8" t="inlineStr">
        <is>
          <t>上港集团</t>
        </is>
      </c>
      <c r="O357" s="7" t="inlineStr">
        <is>
          <t>600018.SH</t>
        </is>
      </c>
      <c r="P357" s="20" t="n">
        <v>1136.8</v>
      </c>
      <c r="Q357" s="8" t="inlineStr">
        <is>
          <t>华虹宏力</t>
        </is>
      </c>
      <c r="R357" s="7" t="inlineStr">
        <is>
          <t>688347.SH</t>
        </is>
      </c>
      <c r="S357" s="20" t="n">
        <v>1132.8</v>
      </c>
      <c r="T357" s="8" t="inlineStr">
        <is>
          <t>上海电气</t>
        </is>
      </c>
      <c r="U357" s="7" t="inlineStr">
        <is>
          <t>601727.SH</t>
        </is>
      </c>
      <c r="V357" s="20" t="n">
        <v>922.2</v>
      </c>
      <c r="W357" s="8" t="inlineStr">
        <is>
          <t>华域汽车</t>
        </is>
      </c>
      <c r="X357" s="7" t="inlineStr">
        <is>
          <t>600741.SH</t>
        </is>
      </c>
      <c r="Y357" s="20" t="n">
        <v>512.9</v>
      </c>
    </row>
    <row r="358">
      <c r="A358" s="7" t="inlineStr">
        <is>
          <t>885994.TI</t>
        </is>
      </c>
      <c r="B358" s="8">
        <f>[1]!thsiFinD("THS_GPJC_STOCK",$A358)</f>
        <v/>
      </c>
      <c r="C358" s="9">
        <f>[1]!thsiFinD("ths_int_chg_ratio_index",$A358,C$1,C$2)/100</f>
        <v/>
      </c>
      <c r="D358" s="9">
        <f>[1]!thsiFinD("ths_int_chg_ratio_index",$A358,D$1,D$2)/100</f>
        <v/>
      </c>
      <c r="E358" s="9">
        <f>[1]!thsiFinD("ths_int_chg_ratio_index",$A358,E$1,E$2)/100</f>
        <v/>
      </c>
      <c r="F358" s="10">
        <f>D358-(E358-D358)/3</f>
        <v/>
      </c>
      <c r="G358" s="7" t="inlineStr">
        <is>
          <t>产业链</t>
        </is>
      </c>
      <c r="H358" s="7">
        <f>IFERROR(VLOOKUP($I358,'分类规则'!$A$30:$C$200,2,0),"")</f>
        <v/>
      </c>
      <c r="I358" s="7" t="inlineStr">
        <is>
          <t>中药/原料</t>
        </is>
      </c>
      <c r="J358" s="7">
        <f>IFERROR(VLOOKUP($I358,'分类规则'!$A$30:$C$200,3,0),"")</f>
        <v/>
      </c>
      <c r="K358" s="8" t="inlineStr">
        <is>
          <t>复星医药</t>
        </is>
      </c>
      <c r="L358" s="7" t="inlineStr">
        <is>
          <t>600196.SH</t>
        </is>
      </c>
      <c r="M358" s="20" t="n">
        <v>461.6</v>
      </c>
      <c r="N358" s="8" t="inlineStr">
        <is>
          <t>万泰生物</t>
        </is>
      </c>
      <c r="O358" s="7" t="inlineStr">
        <is>
          <t>603392.SH</t>
        </is>
      </c>
      <c r="P358" s="20" t="n">
        <v>360.9</v>
      </c>
      <c r="Q358" s="8" t="inlineStr">
        <is>
          <t>新产业</t>
        </is>
      </c>
      <c r="R358" s="7" t="inlineStr">
        <is>
          <t>300832.SZ</t>
        </is>
      </c>
      <c r="S358" s="20" t="n">
        <v>286.9</v>
      </c>
      <c r="T358" s="8" t="inlineStr">
        <is>
          <t>君实生物</t>
        </is>
      </c>
      <c r="U358" s="7" t="inlineStr">
        <is>
          <t>688180.SH</t>
        </is>
      </c>
      <c r="V358" s="20" t="n">
        <v>230.6</v>
      </c>
      <c r="W358" s="8" t="inlineStr">
        <is>
          <t>华测检测</t>
        </is>
      </c>
      <c r="X358" s="7" t="inlineStr">
        <is>
          <t>300012.SZ</t>
        </is>
      </c>
      <c r="Y358" s="20" t="n">
        <v>205.8</v>
      </c>
    </row>
    <row r="359">
      <c r="A359" s="7" t="inlineStr">
        <is>
          <t>886094.TI</t>
        </is>
      </c>
      <c r="B359" s="8">
        <f>[1]!thsiFinD("THS_GPJC_STOCK",$A359)</f>
        <v/>
      </c>
      <c r="C359" s="9">
        <f>[1]!thsiFinD("ths_int_chg_ratio_index",$A359,C$1,C$2)/100</f>
        <v/>
      </c>
      <c r="D359" s="9">
        <f>[1]!thsiFinD("ths_int_chg_ratio_index",$A359,D$1,D$2)/100</f>
        <v/>
      </c>
      <c r="E359" s="9">
        <f>[1]!thsiFinD("ths_int_chg_ratio_index",$A359,E$1,E$2)/100</f>
        <v/>
      </c>
      <c r="F359" s="10">
        <f>D359-(E359-D359)/3</f>
        <v/>
      </c>
      <c r="G359" s="7" t="inlineStr">
        <is>
          <t>产业链</t>
        </is>
      </c>
      <c r="H359" s="7">
        <f>IFERROR(VLOOKUP($I359,'分类规则'!$A$30:$C$200,2,0),"")</f>
        <v/>
      </c>
      <c r="I359" s="7" t="inlineStr">
        <is>
          <t>信创/国产化</t>
        </is>
      </c>
      <c r="J359" s="7">
        <f>IFERROR(VLOOKUP($I359,'分类规则'!$A$30:$C$200,3,0),"")</f>
        <v/>
      </c>
      <c r="K359" s="8" t="inlineStr">
        <is>
          <t>拓维信息</t>
        </is>
      </c>
      <c r="L359" s="7" t="inlineStr">
        <is>
          <t>002261.SZ</t>
        </is>
      </c>
      <c r="M359" s="20" t="n">
        <v>350</v>
      </c>
      <c r="N359" s="8" t="inlineStr">
        <is>
          <t>软通动力</t>
        </is>
      </c>
      <c r="O359" s="7" t="inlineStr">
        <is>
          <t>301236.SZ</t>
        </is>
      </c>
      <c r="P359" s="20" t="n">
        <v>303</v>
      </c>
      <c r="Q359" s="8" t="inlineStr">
        <is>
          <t>常山北明</t>
        </is>
      </c>
      <c r="R359" s="7" t="inlineStr">
        <is>
          <t>000158.SZ</t>
        </is>
      </c>
      <c r="S359" s="20" t="n">
        <v>231</v>
      </c>
      <c r="T359" s="8" t="inlineStr">
        <is>
          <t>易点天下</t>
        </is>
      </c>
      <c r="U359" s="7" t="inlineStr">
        <is>
          <t>301171.SZ</t>
        </is>
      </c>
      <c r="V359" s="20" t="n">
        <v>191.7</v>
      </c>
      <c r="W359" s="8" t="inlineStr">
        <is>
          <t>拓尔思</t>
        </is>
      </c>
      <c r="X359" s="7" t="inlineStr">
        <is>
          <t>300229.SZ</t>
        </is>
      </c>
      <c r="Y359" s="20" t="n">
        <v>136.5</v>
      </c>
    </row>
    <row r="360">
      <c r="A360" s="7" t="inlineStr">
        <is>
          <t>885457.TI</t>
        </is>
      </c>
      <c r="B360" s="8">
        <f>[1]!thsiFinD("THS_GPJC_STOCK",$A360)</f>
        <v/>
      </c>
      <c r="C360" s="9">
        <f>[1]!thsiFinD("ths_int_chg_ratio_index",$A360,C$1,C$2)/100</f>
        <v/>
      </c>
      <c r="D360" s="9">
        <f>[1]!thsiFinD("ths_int_chg_ratio_index",$A360,D$1,D$2)/100</f>
        <v/>
      </c>
      <c r="E360" s="9">
        <f>[1]!thsiFinD("ths_int_chg_ratio_index",$A360,E$1,E$2)/100</f>
        <v/>
      </c>
      <c r="F360" s="10">
        <f>D360-(E360-D360)/3</f>
        <v/>
      </c>
      <c r="G360" s="7" t="inlineStr">
        <is>
          <t>产业链</t>
        </is>
      </c>
      <c r="H360" s="7">
        <f>IFERROR(VLOOKUP($I360,'分类规则'!$A$30:$C$200,2,0),"")</f>
        <v/>
      </c>
      <c r="I360" s="7" t="inlineStr">
        <is>
          <t>传媒/游戏</t>
        </is>
      </c>
      <c r="J360" s="7">
        <f>IFERROR(VLOOKUP($I360,'分类规则'!$A$30:$C$200,3,0),"")</f>
        <v/>
      </c>
      <c r="K360" s="8" t="inlineStr">
        <is>
          <t>世纪华通</t>
        </is>
      </c>
      <c r="L360" s="7" t="inlineStr">
        <is>
          <t>002602.SZ</t>
        </is>
      </c>
      <c r="M360" s="20" t="n">
        <v>879.5</v>
      </c>
      <c r="N360" s="8" t="inlineStr">
        <is>
          <t>昆仑万维</t>
        </is>
      </c>
      <c r="O360" s="7" t="inlineStr">
        <is>
          <t>300418.SZ</t>
        </is>
      </c>
      <c r="P360" s="20" t="n">
        <v>505.4</v>
      </c>
      <c r="Q360" s="8" t="inlineStr">
        <is>
          <t>巨人网络</t>
        </is>
      </c>
      <c r="R360" s="7" t="inlineStr">
        <is>
          <t>002558.SZ</t>
        </is>
      </c>
      <c r="S360" s="20" t="n">
        <v>454.2</v>
      </c>
      <c r="T360" s="8" t="inlineStr">
        <is>
          <t>拓维信息</t>
        </is>
      </c>
      <c r="U360" s="7" t="inlineStr">
        <is>
          <t>002261.SZ</t>
        </is>
      </c>
      <c r="V360" s="20" t="n">
        <v>350</v>
      </c>
      <c r="W360" s="8" t="inlineStr">
        <is>
          <t>三七互娱</t>
        </is>
      </c>
      <c r="X360" s="7" t="inlineStr">
        <is>
          <t>002555.SZ</t>
        </is>
      </c>
      <c r="Y360" s="20" t="n">
        <v>277.3</v>
      </c>
    </row>
    <row r="361">
      <c r="A361" s="7" t="inlineStr">
        <is>
          <t>885982.TI</t>
        </is>
      </c>
      <c r="B361" s="8">
        <f>[1]!thsiFinD("THS_GPJC_STOCK",$A361)</f>
        <v/>
      </c>
      <c r="C361" s="9">
        <f>[1]!thsiFinD("ths_int_chg_ratio_index",$A361,C$1,C$2)/100</f>
        <v/>
      </c>
      <c r="D361" s="9">
        <f>[1]!thsiFinD("ths_int_chg_ratio_index",$A361,D$1,D$2)/100</f>
        <v/>
      </c>
      <c r="E361" s="9">
        <f>[1]!thsiFinD("ths_int_chg_ratio_index",$A361,E$1,E$2)/100</f>
        <v/>
      </c>
      <c r="F361" s="10">
        <f>D361-(E361-D361)/3</f>
        <v/>
      </c>
      <c r="G361" s="7" t="inlineStr">
        <is>
          <t>产业链</t>
        </is>
      </c>
      <c r="H361" s="7">
        <f>IFERROR(VLOOKUP($I361,'分类规则'!$A$30:$C$200,2,0),"")</f>
        <v/>
      </c>
      <c r="I361" s="7" t="inlineStr">
        <is>
          <t>信创/国产化</t>
        </is>
      </c>
      <c r="J361" s="7">
        <f>IFERROR(VLOOKUP($I361,'分类规则'!$A$30:$C$200,3,0),"")</f>
        <v/>
      </c>
      <c r="K361" s="8" t="inlineStr">
        <is>
          <t>拓维信息</t>
        </is>
      </c>
      <c r="L361" s="7" t="inlineStr">
        <is>
          <t>002261.SZ</t>
        </is>
      </c>
      <c r="M361" s="20" t="n">
        <v>350</v>
      </c>
      <c r="N361" s="8" t="inlineStr">
        <is>
          <t>航天发展</t>
        </is>
      </c>
      <c r="O361" s="7" t="inlineStr">
        <is>
          <t>000547.SZ</t>
        </is>
      </c>
      <c r="P361" s="20" t="n">
        <v>313.4</v>
      </c>
      <c r="Q361" s="8" t="inlineStr">
        <is>
          <t>四川长虹</t>
        </is>
      </c>
      <c r="R361" s="7" t="inlineStr">
        <is>
          <t>600839.SH</t>
        </is>
      </c>
      <c r="S361" s="20" t="n">
        <v>312.9</v>
      </c>
      <c r="T361" s="8" t="inlineStr">
        <is>
          <t>润和软件</t>
        </is>
      </c>
      <c r="U361" s="7" t="inlineStr">
        <is>
          <t>300339.SZ</t>
        </is>
      </c>
      <c r="V361" s="20" t="n">
        <v>312.7</v>
      </c>
      <c r="W361" s="8" t="inlineStr">
        <is>
          <t>软通动力</t>
        </is>
      </c>
      <c r="X361" s="7" t="inlineStr">
        <is>
          <t>301236.SZ</t>
        </is>
      </c>
      <c r="Y361" s="20" t="n">
        <v>303</v>
      </c>
    </row>
    <row r="362">
      <c r="A362" s="7" t="inlineStr">
        <is>
          <t>885981.TI</t>
        </is>
      </c>
      <c r="B362" s="8">
        <f>[1]!thsiFinD("THS_GPJC_STOCK",$A362)</f>
        <v/>
      </c>
      <c r="C362" s="9">
        <f>[1]!thsiFinD("ths_int_chg_ratio_index",$A362,C$1,C$2)/100</f>
        <v/>
      </c>
      <c r="D362" s="9">
        <f>[1]!thsiFinD("ths_int_chg_ratio_index",$A362,D$1,D$2)/100</f>
        <v/>
      </c>
      <c r="E362" s="9">
        <f>[1]!thsiFinD("ths_int_chg_ratio_index",$A362,E$1,E$2)/100</f>
        <v/>
      </c>
      <c r="F362" s="10">
        <f>D362-(E362-D362)/3</f>
        <v/>
      </c>
      <c r="G362" s="7" t="inlineStr">
        <is>
          <t>产业链</t>
        </is>
      </c>
      <c r="H362" s="7">
        <f>IFERROR(VLOOKUP($I362,'分类规则'!$A$30:$C$200,2,0),"")</f>
        <v/>
      </c>
      <c r="I362" s="7" t="inlineStr">
        <is>
          <t>医疗服务</t>
        </is>
      </c>
      <c r="J362" s="7">
        <f>IFERROR(VLOOKUP($I362,'分类规则'!$A$30:$C$200,3,0),"")</f>
        <v/>
      </c>
      <c r="K362" s="8" t="n"/>
      <c r="L362" s="7" t="n"/>
      <c r="M362" s="7" t="n"/>
      <c r="N362" s="8" t="n"/>
      <c r="O362" s="7" t="n"/>
      <c r="P362" s="7" t="n"/>
      <c r="Q362" s="8" t="n"/>
      <c r="R362" s="7" t="n"/>
      <c r="S362" s="7" t="n"/>
      <c r="T362" s="8" t="n"/>
      <c r="U362" s="7" t="n"/>
      <c r="V362" s="7" t="n"/>
      <c r="W362" s="8" t="n"/>
      <c r="X362" s="7" t="n"/>
      <c r="Y362" s="7" t="n"/>
    </row>
    <row r="363">
      <c r="A363" s="7" t="inlineStr">
        <is>
          <t>885439.TI</t>
        </is>
      </c>
      <c r="B363" s="8">
        <f>[1]!thsiFinD("THS_GPJC_STOCK",$A363)</f>
        <v/>
      </c>
      <c r="C363" s="9">
        <f>[1]!thsiFinD("ths_int_chg_ratio_index",$A363,C$1,C$2)/100</f>
        <v/>
      </c>
      <c r="D363" s="9">
        <f>[1]!thsiFinD("ths_int_chg_ratio_index",$A363,D$1,D$2)/100</f>
        <v/>
      </c>
      <c r="E363" s="9">
        <f>[1]!thsiFinD("ths_int_chg_ratio_index",$A363,E$1,E$2)/100</f>
        <v/>
      </c>
      <c r="F363" s="10">
        <f>D363-(E363-D363)/3</f>
        <v/>
      </c>
      <c r="G363" s="7" t="inlineStr">
        <is>
          <t>产业链</t>
        </is>
      </c>
      <c r="H363" s="7">
        <f>IFERROR(VLOOKUP($I363,'分类规则'!$A$30:$C$200,2,0),"")</f>
        <v/>
      </c>
      <c r="I363" s="7" t="inlineStr">
        <is>
          <t>农业(种植)</t>
        </is>
      </c>
      <c r="J363" s="7">
        <f>IFERROR(VLOOKUP($I363,'分类规则'!$A$30:$C$200,3,0),"")</f>
        <v/>
      </c>
      <c r="K363" s="8" t="inlineStr">
        <is>
          <t>万辰集团</t>
        </is>
      </c>
      <c r="L363" s="7" t="inlineStr">
        <is>
          <t>300972.SZ</t>
        </is>
      </c>
      <c r="M363" s="20" t="n">
        <v>317.4</v>
      </c>
      <c r="N363" s="8" t="inlineStr">
        <is>
          <t>海南机场</t>
        </is>
      </c>
      <c r="O363" s="7" t="inlineStr">
        <is>
          <t>600515.SH</t>
        </is>
      </c>
      <c r="P363" s="20" t="n">
        <v>261.5</v>
      </c>
      <c r="Q363" s="8" t="inlineStr">
        <is>
          <t>北大荒</t>
        </is>
      </c>
      <c r="R363" s="7" t="inlineStr">
        <is>
          <t>600598.SH</t>
        </is>
      </c>
      <c r="S363" s="20" t="n">
        <v>245</v>
      </c>
      <c r="T363" s="8" t="inlineStr">
        <is>
          <t>正邦科技</t>
        </is>
      </c>
      <c r="U363" s="7" t="inlineStr">
        <is>
          <t>002157.SZ</t>
        </is>
      </c>
      <c r="V363" s="20" t="n">
        <v>225.8</v>
      </c>
      <c r="W363" s="8" t="inlineStr">
        <is>
          <t>中国宝安</t>
        </is>
      </c>
      <c r="X363" s="7" t="inlineStr">
        <is>
          <t>000009.SZ</t>
        </is>
      </c>
      <c r="Y363" s="20" t="n">
        <v>176.2</v>
      </c>
    </row>
    <row r="364">
      <c r="A364" s="7" t="inlineStr">
        <is>
          <t>885525.TI</t>
        </is>
      </c>
      <c r="B364" s="8">
        <f>[1]!thsiFinD("THS_GPJC_STOCK",$A364)</f>
        <v/>
      </c>
      <c r="C364" s="9">
        <f>[1]!thsiFinD("ths_int_chg_ratio_index",$A364,C$1,C$2)/100</f>
        <v/>
      </c>
      <c r="D364" s="9">
        <f>[1]!thsiFinD("ths_int_chg_ratio_index",$A364,D$1,D$2)/100</f>
        <v/>
      </c>
      <c r="E364" s="9">
        <f>[1]!thsiFinD("ths_int_chg_ratio_index",$A364,E$1,E$2)/100</f>
        <v/>
      </c>
      <c r="F364" s="10">
        <f>D364-(E364-D364)/3</f>
        <v/>
      </c>
      <c r="G364" s="7" t="inlineStr">
        <is>
          <t>产业链</t>
        </is>
      </c>
      <c r="H364" s="7">
        <f>IFERROR(VLOOKUP($I364,'分类规则'!$A$30:$C$200,2,0),"")</f>
        <v/>
      </c>
      <c r="I364" s="7" t="inlineStr">
        <is>
          <t>食品饮料</t>
        </is>
      </c>
      <c r="J364" s="7">
        <f>IFERROR(VLOOKUP($I364,'分类规则'!$A$30:$C$200,3,0),"")</f>
        <v/>
      </c>
      <c r="K364" s="8" t="n"/>
      <c r="L364" s="7" t="n"/>
      <c r="M364" s="7" t="n"/>
      <c r="N364" s="8" t="n"/>
      <c r="O364" s="7" t="n"/>
      <c r="P364" s="7" t="n"/>
      <c r="Q364" s="8" t="n"/>
      <c r="R364" s="7" t="n"/>
      <c r="S364" s="7" t="n"/>
      <c r="T364" s="8" t="n"/>
      <c r="U364" s="7" t="n"/>
      <c r="V364" s="7" t="n"/>
      <c r="W364" s="8" t="n"/>
      <c r="X364" s="7" t="n"/>
      <c r="Y364" s="7" t="n"/>
    </row>
    <row r="365">
      <c r="A365" s="7" t="inlineStr">
        <is>
          <t>886081.TI</t>
        </is>
      </c>
      <c r="B365" s="8">
        <f>[1]!thsiFinD("THS_GPJC_STOCK",$A365)</f>
        <v/>
      </c>
      <c r="C365" s="9">
        <f>[1]!thsiFinD("ths_int_chg_ratio_index",$A365,C$1,C$2)/100</f>
        <v/>
      </c>
      <c r="D365" s="9">
        <f>[1]!thsiFinD("ths_int_chg_ratio_index",$A365,D$1,D$2)/100</f>
        <v/>
      </c>
      <c r="E365" s="9">
        <f>[1]!thsiFinD("ths_int_chg_ratio_index",$A365,E$1,E$2)/100</f>
        <v/>
      </c>
      <c r="F365" s="10">
        <f>D365-(E365-D365)/3</f>
        <v/>
      </c>
      <c r="G365" s="7" t="inlineStr">
        <is>
          <t>产业链</t>
        </is>
      </c>
      <c r="H365" s="7">
        <f>IFERROR(VLOOKUP($I365,'分类规则'!$A$30:$C$200,2,0),"")</f>
        <v/>
      </c>
      <c r="I365" s="7" t="inlineStr">
        <is>
          <t>化工</t>
        </is>
      </c>
      <c r="J365" s="7">
        <f>IFERROR(VLOOKUP($I365,'分类规则'!$A$30:$C$200,3,0),"")</f>
        <v/>
      </c>
      <c r="K365" s="8" t="inlineStr">
        <is>
          <t>新和成</t>
        </is>
      </c>
      <c r="L365" s="7" t="inlineStr">
        <is>
          <t>002001.SZ</t>
        </is>
      </c>
      <c r="M365" s="20" t="n">
        <v>850.3</v>
      </c>
      <c r="N365" s="8" t="inlineStr">
        <is>
          <t>石药创新</t>
        </is>
      </c>
      <c r="O365" s="7" t="inlineStr">
        <is>
          <t>300765.SZ</t>
        </is>
      </c>
      <c r="P365" s="20" t="n">
        <v>336.4</v>
      </c>
      <c r="Q365" s="8" t="inlineStr">
        <is>
          <t>安琪酵母</t>
        </is>
      </c>
      <c r="R365" s="7" t="inlineStr">
        <is>
          <t>600298.SH</t>
        </is>
      </c>
      <c r="S365" s="20" t="n">
        <v>287.1</v>
      </c>
      <c r="T365" s="8" t="inlineStr">
        <is>
          <t>振华股份</t>
        </is>
      </c>
      <c r="U365" s="7" t="inlineStr">
        <is>
          <t>603067.SH</t>
        </is>
      </c>
      <c r="V365" s="20" t="n">
        <v>272.7</v>
      </c>
      <c r="W365" s="8" t="inlineStr">
        <is>
          <t>安迪苏</t>
        </is>
      </c>
      <c r="X365" s="7" t="inlineStr">
        <is>
          <t>600299.SH</t>
        </is>
      </c>
      <c r="Y365" s="20" t="n">
        <v>256.9</v>
      </c>
    </row>
    <row r="366">
      <c r="A366" s="7" t="inlineStr">
        <is>
          <t>885456.TI</t>
        </is>
      </c>
      <c r="B366" s="8">
        <f>[1]!thsiFinD("THS_GPJC_STOCK",$A366)</f>
        <v/>
      </c>
      <c r="C366" s="9">
        <f>[1]!thsiFinD("ths_int_chg_ratio_index",$A366,C$1,C$2)/100</f>
        <v/>
      </c>
      <c r="D366" s="9">
        <f>[1]!thsiFinD("ths_int_chg_ratio_index",$A366,D$1,D$2)/100</f>
        <v/>
      </c>
      <c r="E366" s="9">
        <f>[1]!thsiFinD("ths_int_chg_ratio_index",$A366,E$1,E$2)/100</f>
        <v/>
      </c>
      <c r="F366" s="10">
        <f>D366-(E366-D366)/3</f>
        <v/>
      </c>
      <c r="G366" s="7" t="inlineStr">
        <is>
          <t>产业链</t>
        </is>
      </c>
      <c r="H366" s="7">
        <f>IFERROR(VLOOKUP($I366,'分类规则'!$A$30:$C$200,2,0),"")</f>
        <v/>
      </c>
      <c r="I366" s="7" t="inlineStr">
        <is>
          <t>金融</t>
        </is>
      </c>
      <c r="J366" s="7">
        <f>IFERROR(VLOOKUP($I366,'分类规则'!$A$30:$C$200,3,0),"")</f>
        <v/>
      </c>
      <c r="K366" s="8" t="inlineStr">
        <is>
          <t>东方财富</t>
        </is>
      </c>
      <c r="L366" s="7" t="inlineStr">
        <is>
          <t>300059.SZ</t>
        </is>
      </c>
      <c r="M366" s="20" t="n">
        <v>2483.7</v>
      </c>
      <c r="N366" s="8" t="inlineStr">
        <is>
          <t>华泰证券</t>
        </is>
      </c>
      <c r="O366" s="7" t="inlineStr">
        <is>
          <t>601688.SH</t>
        </is>
      </c>
      <c r="P366" s="20" t="n">
        <v>1428.5</v>
      </c>
      <c r="Q366" s="8" t="inlineStr">
        <is>
          <t>同花顺</t>
        </is>
      </c>
      <c r="R366" s="7" t="inlineStr">
        <is>
          <t>300033.SZ</t>
        </is>
      </c>
      <c r="S366" s="20" t="n">
        <v>941.2</v>
      </c>
      <c r="T366" s="8" t="inlineStr">
        <is>
          <t>卫星化学</t>
        </is>
      </c>
      <c r="U366" s="7" t="inlineStr">
        <is>
          <t>002648.SZ</t>
        </is>
      </c>
      <c r="V366" s="20" t="n">
        <v>728.8</v>
      </c>
      <c r="W366" s="8" t="inlineStr">
        <is>
          <t>东方证券</t>
        </is>
      </c>
      <c r="X366" s="7" t="inlineStr">
        <is>
          <t>600958.SH</t>
        </is>
      </c>
      <c r="Y366" s="20" t="n">
        <v>687.9</v>
      </c>
    </row>
    <row r="367">
      <c r="A367" s="7" t="inlineStr">
        <is>
          <t>885989.TI</t>
        </is>
      </c>
      <c r="B367" s="8">
        <f>[1]!thsiFinD("THS_GPJC_STOCK",$A367)</f>
        <v/>
      </c>
      <c r="C367" s="9">
        <f>[1]!thsiFinD("ths_int_chg_ratio_index",$A367,C$1,C$2)/100</f>
        <v/>
      </c>
      <c r="D367" s="9">
        <f>[1]!thsiFinD("ths_int_chg_ratio_index",$A367,D$1,D$2)/100</f>
        <v/>
      </c>
      <c r="E367" s="9">
        <f>[1]!thsiFinD("ths_int_chg_ratio_index",$A367,E$1,E$2)/100</f>
        <v/>
      </c>
      <c r="F367" s="10">
        <f>D367-(E367-D367)/3</f>
        <v/>
      </c>
      <c r="G367" s="7" t="inlineStr">
        <is>
          <t>产业链</t>
        </is>
      </c>
      <c r="H367" s="7">
        <f>IFERROR(VLOOKUP($I367,'分类规则'!$A$30:$C$200,2,0),"")</f>
        <v/>
      </c>
      <c r="I367" s="7" t="inlineStr">
        <is>
          <t>中药/原料</t>
        </is>
      </c>
      <c r="J367" s="7">
        <f>IFERROR(VLOOKUP($I367,'分类规则'!$A$30:$C$200,3,0),"")</f>
        <v/>
      </c>
      <c r="K367" s="8" t="n"/>
      <c r="L367" s="7" t="n"/>
      <c r="M367" s="7" t="n"/>
      <c r="N367" s="8" t="n"/>
      <c r="O367" s="7" t="n"/>
      <c r="P367" s="7" t="n"/>
      <c r="Q367" s="8" t="n"/>
      <c r="R367" s="7" t="n"/>
      <c r="S367" s="7" t="n"/>
      <c r="T367" s="8" t="n"/>
      <c r="U367" s="7" t="n"/>
      <c r="V367" s="7" t="n"/>
      <c r="W367" s="8" t="n"/>
      <c r="X367" s="7" t="n"/>
      <c r="Y367" s="7" t="n"/>
    </row>
    <row r="368">
      <c r="A368" s="7" t="inlineStr">
        <is>
          <t>886108.TI</t>
        </is>
      </c>
      <c r="B368" s="8">
        <f>[1]!thsiFinD("THS_GPJC_STOCK",$A368)</f>
        <v/>
      </c>
      <c r="C368" s="9">
        <f>[1]!thsiFinD("ths_int_chg_ratio_index",$A368,C$1,C$2)/100</f>
        <v/>
      </c>
      <c r="D368" s="9">
        <f>[1]!thsiFinD("ths_int_chg_ratio_index",$A368,D$1,D$2)/100</f>
        <v/>
      </c>
      <c r="E368" s="9">
        <f>[1]!thsiFinD("ths_int_chg_ratio_index",$A368,E$1,E$2)/100</f>
        <v/>
      </c>
      <c r="F368" s="10">
        <f>D368-(E368-D368)/3</f>
        <v/>
      </c>
      <c r="G368" s="7" t="inlineStr">
        <is>
          <t>产业链</t>
        </is>
      </c>
      <c r="H368" s="7">
        <f>IFERROR(VLOOKUP($I368,'分类规则'!$A$30:$C$200,2,0),"")</f>
        <v/>
      </c>
      <c r="I368" s="7" t="inlineStr">
        <is>
          <t>AI应用</t>
        </is>
      </c>
      <c r="J368" s="7">
        <f>IFERROR(VLOOKUP($I368,'分类规则'!$A$30:$C$200,3,0),"")</f>
        <v/>
      </c>
      <c r="K368" s="8" t="inlineStr">
        <is>
          <t>工业富联</t>
        </is>
      </c>
      <c r="L368" s="7" t="inlineStr">
        <is>
          <t>601138.SH</t>
        </is>
      </c>
      <c r="M368" s="20" t="n">
        <v>15494.3</v>
      </c>
      <c r="N368" s="8" t="inlineStr">
        <is>
          <t>寒武纪</t>
        </is>
      </c>
      <c r="O368" s="7" t="inlineStr">
        <is>
          <t>688256.SH</t>
        </is>
      </c>
      <c r="P368" s="20" t="n">
        <v>9471.299999999999</v>
      </c>
      <c r="Q368" s="8" t="inlineStr">
        <is>
          <t>海光信息</t>
        </is>
      </c>
      <c r="R368" s="7" t="inlineStr">
        <is>
          <t>688041.SH</t>
        </is>
      </c>
      <c r="S368" s="20" t="n">
        <v>7623.8</v>
      </c>
      <c r="T368" s="8" t="inlineStr">
        <is>
          <t>澜起科技</t>
        </is>
      </c>
      <c r="U368" s="7" t="inlineStr">
        <is>
          <t>688008.SH</t>
        </is>
      </c>
      <c r="V368" s="20" t="n">
        <v>3094.2</v>
      </c>
      <c r="W368" s="8" t="inlineStr">
        <is>
          <t>海康威视</t>
        </is>
      </c>
      <c r="X368" s="7" t="inlineStr">
        <is>
          <t>002415.SZ</t>
        </is>
      </c>
      <c r="Y368" s="20" t="n">
        <v>2922</v>
      </c>
    </row>
    <row r="369">
      <c r="A369" s="7" t="inlineStr">
        <is>
          <t>885808.TI</t>
        </is>
      </c>
      <c r="B369" s="8">
        <f>[1]!thsiFinD("THS_GPJC_STOCK",$A369)</f>
        <v/>
      </c>
      <c r="C369" s="9">
        <f>[1]!thsiFinD("ths_int_chg_ratio_index",$A369,C$1,C$2)/100</f>
        <v/>
      </c>
      <c r="D369" s="9">
        <f>[1]!thsiFinD("ths_int_chg_ratio_index",$A369,D$1,D$2)/100</f>
        <v/>
      </c>
      <c r="E369" s="9">
        <f>[1]!thsiFinD("ths_int_chg_ratio_index",$A369,E$1,E$2)/100</f>
        <v/>
      </c>
      <c r="F369" s="10">
        <f>D369-(E369-D369)/3</f>
        <v/>
      </c>
      <c r="G369" s="7" t="inlineStr">
        <is>
          <t>产业链</t>
        </is>
      </c>
      <c r="H369" s="7">
        <f>IFERROR(VLOOKUP($I369,'分类规则'!$A$30:$C$200,2,0),"")</f>
        <v/>
      </c>
      <c r="I369" s="7" t="inlineStr">
        <is>
          <t>农业(养殖)</t>
        </is>
      </c>
      <c r="J369" s="7">
        <f>IFERROR(VLOOKUP($I369,'分类规则'!$A$30:$C$200,3,0),"")</f>
        <v/>
      </c>
      <c r="K369" s="8" t="n"/>
      <c r="L369" s="7" t="n"/>
      <c r="M369" s="7" t="n"/>
      <c r="N369" s="8" t="n"/>
      <c r="O369" s="7" t="n"/>
      <c r="P369" s="7" t="n"/>
      <c r="Q369" s="8" t="n"/>
      <c r="R369" s="7" t="n"/>
      <c r="S369" s="7" t="n"/>
      <c r="T369" s="8" t="n"/>
      <c r="U369" s="7" t="n"/>
      <c r="V369" s="7" t="n"/>
      <c r="W369" s="8" t="n"/>
      <c r="X369" s="7" t="n"/>
      <c r="Y369" s="7" t="n"/>
    </row>
    <row r="370">
      <c r="A370" s="7" t="inlineStr">
        <is>
          <t>885747.TI</t>
        </is>
      </c>
      <c r="B370" s="8">
        <f>[1]!thsiFinD("THS_GPJC_STOCK",$A370)</f>
        <v/>
      </c>
      <c r="C370" s="9">
        <f>[1]!thsiFinD("ths_int_chg_ratio_index",$A370,C$1,C$2)/100</f>
        <v/>
      </c>
      <c r="D370" s="9">
        <f>[1]!thsiFinD("ths_int_chg_ratio_index",$A370,D$1,D$2)/100</f>
        <v/>
      </c>
      <c r="E370" s="9">
        <f>[1]!thsiFinD("ths_int_chg_ratio_index",$A370,E$1,E$2)/100</f>
        <v/>
      </c>
      <c r="F370" s="10">
        <f>D370-(E370-D370)/3</f>
        <v/>
      </c>
      <c r="G370" s="7" t="inlineStr">
        <is>
          <t>产业链</t>
        </is>
      </c>
      <c r="H370" s="7">
        <f>IFERROR(VLOOKUP($I370,'分类规则'!$A$30:$C$200,2,0),"")</f>
        <v/>
      </c>
      <c r="I370" s="7" t="inlineStr">
        <is>
          <t>商贸/服务</t>
        </is>
      </c>
      <c r="J370" s="7">
        <f>IFERROR(VLOOKUP($I370,'分类规则'!$A$30:$C$200,3,0),"")</f>
        <v/>
      </c>
      <c r="K370" s="8" t="n"/>
      <c r="L370" s="7" t="n"/>
      <c r="M370" s="7" t="n"/>
      <c r="N370" s="8" t="n"/>
      <c r="O370" s="7" t="n"/>
      <c r="P370" s="7" t="n"/>
      <c r="Q370" s="8" t="n"/>
      <c r="R370" s="7" t="n"/>
      <c r="S370" s="7" t="n"/>
      <c r="T370" s="8" t="n"/>
      <c r="U370" s="7" t="n"/>
      <c r="V370" s="7" t="n"/>
      <c r="W370" s="8" t="n"/>
      <c r="X370" s="7" t="n"/>
      <c r="Y370" s="7" t="n"/>
    </row>
    <row r="371">
      <c r="A371" s="7" t="inlineStr">
        <is>
          <t>885933.TI</t>
        </is>
      </c>
      <c r="B371" s="8">
        <f>[1]!thsiFinD("THS_GPJC_STOCK",$A371)</f>
        <v/>
      </c>
      <c r="C371" s="9">
        <f>[1]!thsiFinD("ths_int_chg_ratio_index",$A371,C$1,C$2)/100</f>
        <v/>
      </c>
      <c r="D371" s="9">
        <f>[1]!thsiFinD("ths_int_chg_ratio_index",$A371,D$1,D$2)/100</f>
        <v/>
      </c>
      <c r="E371" s="9">
        <f>[1]!thsiFinD("ths_int_chg_ratio_index",$A371,E$1,E$2)/100</f>
        <v/>
      </c>
      <c r="F371" s="10">
        <f>D371-(E371-D371)/3</f>
        <v/>
      </c>
      <c r="G371" s="7" t="inlineStr">
        <is>
          <t>产业链</t>
        </is>
      </c>
      <c r="H371" s="7">
        <f>IFERROR(VLOOKUP($I371,'分类规则'!$A$30:$C$200,2,0),"")</f>
        <v/>
      </c>
      <c r="I371" s="7" t="inlineStr">
        <is>
          <t>传媒/游戏</t>
        </is>
      </c>
      <c r="J371" s="7">
        <f>IFERROR(VLOOKUP($I371,'分类规则'!$A$30:$C$200,3,0),"")</f>
        <v/>
      </c>
      <c r="K371" s="8" t="inlineStr">
        <is>
          <t>世纪华通</t>
        </is>
      </c>
      <c r="L371" s="7" t="inlineStr">
        <is>
          <t>002602.SZ</t>
        </is>
      </c>
      <c r="M371" s="20" t="n">
        <v>879.5</v>
      </c>
      <c r="N371" s="8" t="inlineStr">
        <is>
          <t>蓝色光标</t>
        </is>
      </c>
      <c r="O371" s="7" t="inlineStr">
        <is>
          <t>300058.SZ</t>
        </is>
      </c>
      <c r="P371" s="20" t="n">
        <v>530.4</v>
      </c>
      <c r="Q371" s="8" t="inlineStr">
        <is>
          <t>四川长虹</t>
        </is>
      </c>
      <c r="R371" s="7" t="inlineStr">
        <is>
          <t>600839.SH</t>
        </is>
      </c>
      <c r="S371" s="20" t="n">
        <v>312.9</v>
      </c>
      <c r="T371" s="8" t="inlineStr">
        <is>
          <t>三七互娱</t>
        </is>
      </c>
      <c r="U371" s="7" t="inlineStr">
        <is>
          <t>002555.SZ</t>
        </is>
      </c>
      <c r="V371" s="20" t="n">
        <v>277.3</v>
      </c>
      <c r="W371" s="8" t="inlineStr">
        <is>
          <t>恺英网络</t>
        </is>
      </c>
      <c r="X371" s="7" t="inlineStr">
        <is>
          <t>002517.SZ</t>
        </is>
      </c>
      <c r="Y371" s="20" t="n">
        <v>273.9</v>
      </c>
    </row>
    <row r="372">
      <c r="A372" s="7" t="inlineStr">
        <is>
          <t>885846.TI</t>
        </is>
      </c>
      <c r="B372" s="8">
        <f>[1]!thsiFinD("THS_GPJC_STOCK",$A372)</f>
        <v/>
      </c>
      <c r="C372" s="9">
        <f>[1]!thsiFinD("ths_int_chg_ratio_index",$A372,C$1,C$2)/100</f>
        <v/>
      </c>
      <c r="D372" s="9">
        <f>[1]!thsiFinD("ths_int_chg_ratio_index",$A372,D$1,D$2)/100</f>
        <v/>
      </c>
      <c r="E372" s="9">
        <f>[1]!thsiFinD("ths_int_chg_ratio_index",$A372,E$1,E$2)/100</f>
        <v/>
      </c>
      <c r="F372" s="10">
        <f>D372-(E372-D372)/3</f>
        <v/>
      </c>
      <c r="G372" s="7" t="inlineStr">
        <is>
          <t>产业链</t>
        </is>
      </c>
      <c r="H372" s="7">
        <f>IFERROR(VLOOKUP($I372,'分类规则'!$A$30:$C$200,2,0),"")</f>
        <v/>
      </c>
      <c r="I372" s="7" t="inlineStr">
        <is>
          <t>农业(养殖)</t>
        </is>
      </c>
      <c r="J372" s="7">
        <f>IFERROR(VLOOKUP($I372,'分类规则'!$A$30:$C$200,3,0),"")</f>
        <v/>
      </c>
      <c r="K372" s="8" t="n"/>
      <c r="L372" s="7" t="n"/>
      <c r="M372" s="7" t="n"/>
      <c r="N372" s="8" t="n"/>
      <c r="O372" s="7" t="n"/>
      <c r="P372" s="7" t="n"/>
      <c r="Q372" s="8" t="n"/>
      <c r="R372" s="7" t="n"/>
      <c r="S372" s="7" t="n"/>
      <c r="T372" s="8" t="n"/>
      <c r="U372" s="7" t="n"/>
      <c r="V372" s="7" t="n"/>
      <c r="W372" s="8" t="n"/>
      <c r="X372" s="7" t="n"/>
      <c r="Y372" s="7" t="n"/>
    </row>
    <row r="373">
      <c r="A373" s="7" t="inlineStr">
        <is>
          <t>885955.TI</t>
        </is>
      </c>
      <c r="B373" s="8">
        <f>[1]!thsiFinD("THS_GPJC_STOCK",$A373)</f>
        <v/>
      </c>
      <c r="C373" s="9">
        <f>[1]!thsiFinD("ths_int_chg_ratio_index",$A373,C$1,C$2)/100</f>
        <v/>
      </c>
      <c r="D373" s="9">
        <f>[1]!thsiFinD("ths_int_chg_ratio_index",$A373,D$1,D$2)/100</f>
        <v/>
      </c>
      <c r="E373" s="9">
        <f>[1]!thsiFinD("ths_int_chg_ratio_index",$A373,E$1,E$2)/100</f>
        <v/>
      </c>
      <c r="F373" s="10">
        <f>D373-(E373-D373)/3</f>
        <v/>
      </c>
      <c r="G373" s="7" t="inlineStr">
        <is>
          <t>产业链</t>
        </is>
      </c>
      <c r="H373" s="7">
        <f>IFERROR(VLOOKUP($I373,'分类规则'!$A$30:$C$200,2,0),"")</f>
        <v/>
      </c>
      <c r="I373" s="7" t="inlineStr">
        <is>
          <t>创新药</t>
        </is>
      </c>
      <c r="J373" s="7">
        <f>IFERROR(VLOOKUP($I373,'分类规则'!$A$30:$C$200,3,0),"")</f>
        <v/>
      </c>
      <c r="K373" s="8" t="n"/>
      <c r="L373" s="7" t="n"/>
      <c r="M373" s="7" t="n"/>
      <c r="N373" s="8" t="n"/>
      <c r="O373" s="7" t="n"/>
      <c r="P373" s="7" t="n"/>
      <c r="Q373" s="8" t="n"/>
      <c r="R373" s="7" t="n"/>
      <c r="S373" s="7" t="n"/>
      <c r="T373" s="8" t="n"/>
      <c r="U373" s="7" t="n"/>
      <c r="V373" s="7" t="n"/>
      <c r="W373" s="8" t="n"/>
      <c r="X373" s="7" t="n"/>
      <c r="Y373" s="7" t="n"/>
    </row>
    <row r="374">
      <c r="A374" s="7" t="inlineStr">
        <is>
          <t>885767.TI</t>
        </is>
      </c>
      <c r="B374" s="8">
        <f>[1]!thsiFinD("THS_GPJC_STOCK",$A374)</f>
        <v/>
      </c>
      <c r="C374" s="9">
        <f>[1]!thsiFinD("ths_int_chg_ratio_index",$A374,C$1,C$2)/100</f>
        <v/>
      </c>
      <c r="D374" s="9">
        <f>[1]!thsiFinD("ths_int_chg_ratio_index",$A374,D$1,D$2)/100</f>
        <v/>
      </c>
      <c r="E374" s="9">
        <f>[1]!thsiFinD("ths_int_chg_ratio_index",$A374,E$1,E$2)/100</f>
        <v/>
      </c>
      <c r="F374" s="10">
        <f>D374-(E374-D374)/3</f>
        <v/>
      </c>
      <c r="G374" s="7" t="inlineStr">
        <is>
          <t>产业链</t>
        </is>
      </c>
      <c r="H374" s="7">
        <f>IFERROR(VLOOKUP($I374,'分类规则'!$A$30:$C$200,2,0),"")</f>
        <v/>
      </c>
      <c r="I374" s="7" t="inlineStr">
        <is>
          <t>金融</t>
        </is>
      </c>
      <c r="J374" s="7">
        <f>IFERROR(VLOOKUP($I374,'分类规则'!$A$30:$C$200,3,0),"")</f>
        <v/>
      </c>
      <c r="K374" s="8" t="n"/>
      <c r="L374" s="7" t="n"/>
      <c r="M374" s="7" t="n"/>
      <c r="N374" s="8" t="n"/>
      <c r="O374" s="7" t="n"/>
      <c r="P374" s="7" t="n"/>
      <c r="Q374" s="8" t="n"/>
      <c r="R374" s="7" t="n"/>
      <c r="S374" s="7" t="n"/>
      <c r="T374" s="8" t="n"/>
      <c r="U374" s="7" t="n"/>
      <c r="V374" s="7" t="n"/>
      <c r="W374" s="8" t="n"/>
      <c r="X374" s="7" t="n"/>
      <c r="Y374" s="7" t="n"/>
    </row>
    <row r="375">
      <c r="A375" s="7" t="inlineStr">
        <is>
          <t>886018.TI</t>
        </is>
      </c>
      <c r="B375" s="8">
        <f>[1]!thsiFinD("THS_GPJC_STOCK",$A375)</f>
        <v/>
      </c>
      <c r="C375" s="9">
        <f>[1]!thsiFinD("ths_int_chg_ratio_index",$A375,C$1,C$2)/100</f>
        <v/>
      </c>
      <c r="D375" s="9">
        <f>[1]!thsiFinD("ths_int_chg_ratio_index",$A375,D$1,D$2)/100</f>
        <v/>
      </c>
      <c r="E375" s="9">
        <f>[1]!thsiFinD("ths_int_chg_ratio_index",$A375,E$1,E$2)/100</f>
        <v/>
      </c>
      <c r="F375" s="10">
        <f>D375-(E375-D375)/3</f>
        <v/>
      </c>
      <c r="G375" s="7" t="inlineStr">
        <is>
          <t>产业链</t>
        </is>
      </c>
      <c r="H375" s="7">
        <f>IFERROR(VLOOKUP($I375,'分类规则'!$A$30:$C$200,2,0),"")</f>
        <v/>
      </c>
      <c r="I375" s="7" t="inlineStr">
        <is>
          <t>医疗器械</t>
        </is>
      </c>
      <c r="J375" s="7">
        <f>IFERROR(VLOOKUP($I375,'分类规则'!$A$30:$C$200,3,0),"")</f>
        <v/>
      </c>
      <c r="K375" s="8" t="inlineStr">
        <is>
          <t>杭氧股份</t>
        </is>
      </c>
      <c r="L375" s="7" t="inlineStr">
        <is>
          <t>002430.SZ</t>
        </is>
      </c>
      <c r="M375" s="20" t="n">
        <v>254.3</v>
      </c>
      <c r="N375" s="8" t="inlineStr">
        <is>
          <t>铁建重工</t>
        </is>
      </c>
      <c r="O375" s="7" t="inlineStr">
        <is>
          <t>688425.SH</t>
        </is>
      </c>
      <c r="P375" s="20" t="n">
        <v>227.2</v>
      </c>
      <c r="Q375" s="8" t="inlineStr">
        <is>
          <t>三星电气</t>
        </is>
      </c>
      <c r="R375" s="7" t="inlineStr">
        <is>
          <t>601567.SH</t>
        </is>
      </c>
      <c r="S375" s="20" t="n">
        <v>211.5</v>
      </c>
      <c r="T375" s="8" t="inlineStr">
        <is>
          <t>国际医学</t>
        </is>
      </c>
      <c r="U375" s="7" t="inlineStr">
        <is>
          <t>000516.SZ</t>
        </is>
      </c>
      <c r="V375" s="20" t="n">
        <v>91.90000000000001</v>
      </c>
      <c r="W375" s="8" t="inlineStr">
        <is>
          <t>创新医疗</t>
        </is>
      </c>
      <c r="X375" s="7" t="inlineStr">
        <is>
          <t>002173.SZ</t>
        </is>
      </c>
      <c r="Y375" s="20" t="n">
        <v>72</v>
      </c>
    </row>
    <row r="376">
      <c r="A376" s="7" t="inlineStr">
        <is>
          <t>885333.TI</t>
        </is>
      </c>
      <c r="B376" s="8">
        <f>[1]!thsiFinD("THS_GPJC_STOCK",$A376)</f>
        <v/>
      </c>
      <c r="C376" s="9">
        <f>[1]!thsiFinD("ths_int_chg_ratio_index",$A376,C$1,C$2)/100</f>
        <v/>
      </c>
      <c r="D376" s="9">
        <f>[1]!thsiFinD("ths_int_chg_ratio_index",$A376,D$1,D$2)/100</f>
        <v/>
      </c>
      <c r="E376" s="9">
        <f>[1]!thsiFinD("ths_int_chg_ratio_index",$A376,E$1,E$2)/100</f>
        <v/>
      </c>
      <c r="F376" s="10">
        <f>D376-(E376-D376)/3</f>
        <v/>
      </c>
      <c r="G376" s="7" t="inlineStr">
        <is>
          <t>产业链</t>
        </is>
      </c>
      <c r="H376" s="7">
        <f>IFERROR(VLOOKUP($I376,'分类规则'!$A$30:$C$200,2,0),"")</f>
        <v/>
      </c>
      <c r="I376" s="7" t="inlineStr">
        <is>
          <t>金融科技</t>
        </is>
      </c>
      <c r="J376" s="7">
        <f>IFERROR(VLOOKUP($I376,'分类规则'!$A$30:$C$200,3,0),"")</f>
        <v/>
      </c>
      <c r="K376" s="8" t="inlineStr">
        <is>
          <t>中国联通</t>
        </is>
      </c>
      <c r="L376" s="7" t="inlineStr">
        <is>
          <t>600050.SH</t>
        </is>
      </c>
      <c r="M376" s="20" t="n">
        <v>1326.4</v>
      </c>
      <c r="N376" s="8" t="inlineStr">
        <is>
          <t>中国移动</t>
        </is>
      </c>
      <c r="O376" s="7" t="inlineStr">
        <is>
          <t>600941.SH</t>
        </is>
      </c>
      <c r="P376" s="20" t="n">
        <v>827.4</v>
      </c>
      <c r="Q376" s="8" t="inlineStr">
        <is>
          <t>紫光国微</t>
        </is>
      </c>
      <c r="R376" s="7" t="inlineStr">
        <is>
          <t>002049.SZ</t>
        </is>
      </c>
      <c r="S376" s="20" t="n">
        <v>682.9</v>
      </c>
      <c r="T376" s="8" t="inlineStr">
        <is>
          <t>小商品城</t>
        </is>
      </c>
      <c r="U376" s="7" t="inlineStr">
        <is>
          <t>600415.SH</t>
        </is>
      </c>
      <c r="V376" s="20" t="n">
        <v>578</v>
      </c>
      <c r="W376" s="8" t="inlineStr">
        <is>
          <t>顺络电子</t>
        </is>
      </c>
      <c r="X376" s="7" t="inlineStr">
        <is>
          <t>002138.SZ</t>
        </is>
      </c>
      <c r="Y376" s="20" t="n">
        <v>538.3</v>
      </c>
    </row>
    <row r="377">
      <c r="A377" s="7" t="inlineStr">
        <is>
          <t>885877.TI</t>
        </is>
      </c>
      <c r="B377" s="8">
        <f>[1]!thsiFinD("THS_GPJC_STOCK",$A377)</f>
        <v/>
      </c>
      <c r="C377" s="9">
        <f>[1]!thsiFinD("ths_int_chg_ratio_index",$A377,C$1,C$2)/100</f>
        <v/>
      </c>
      <c r="D377" s="9">
        <f>[1]!thsiFinD("ths_int_chg_ratio_index",$A377,D$1,D$2)/100</f>
        <v/>
      </c>
      <c r="E377" s="9">
        <f>[1]!thsiFinD("ths_int_chg_ratio_index",$A377,E$1,E$2)/100</f>
        <v/>
      </c>
      <c r="F377" s="10">
        <f>D377-(E377-D377)/3</f>
        <v/>
      </c>
      <c r="G377" s="7" t="inlineStr">
        <is>
          <t>产业链</t>
        </is>
      </c>
      <c r="H377" s="7">
        <f>IFERROR(VLOOKUP($I377,'分类规则'!$A$30:$C$200,2,0),"")</f>
        <v/>
      </c>
      <c r="I377" s="7" t="inlineStr">
        <is>
          <t>农业(种植)</t>
        </is>
      </c>
      <c r="J377" s="7">
        <f>IFERROR(VLOOKUP($I377,'分类规则'!$A$30:$C$200,3,0),"")</f>
        <v/>
      </c>
      <c r="K377" s="8" t="inlineStr">
        <is>
          <t>新安股份</t>
        </is>
      </c>
      <c r="L377" s="7" t="inlineStr">
        <is>
          <t>600596.SH</t>
        </is>
      </c>
      <c r="M377" s="20" t="n">
        <v>207.6</v>
      </c>
      <c r="N377" s="8" t="inlineStr">
        <is>
          <t>隆平高科</t>
        </is>
      </c>
      <c r="O377" s="7" t="inlineStr">
        <is>
          <t>000998.SZ</t>
        </is>
      </c>
      <c r="P377" s="20" t="n">
        <v>105.4</v>
      </c>
      <c r="Q377" s="8" t="inlineStr">
        <is>
          <t>大北农</t>
        </is>
      </c>
      <c r="R377" s="7" t="inlineStr">
        <is>
          <t>002385.SZ</t>
        </is>
      </c>
      <c r="S377" s="20" t="n">
        <v>100.1</v>
      </c>
      <c r="T377" s="8" t="inlineStr">
        <is>
          <t>芭田股份</t>
        </is>
      </c>
      <c r="U377" s="7" t="inlineStr">
        <is>
          <t>002170.SZ</t>
        </is>
      </c>
      <c r="V377" s="20" t="n">
        <v>85.2</v>
      </c>
      <c r="W377" s="8" t="inlineStr">
        <is>
          <t>华邦健康</t>
        </is>
      </c>
      <c r="X377" s="7" t="inlineStr">
        <is>
          <t>002004.SZ</t>
        </is>
      </c>
      <c r="Y377" s="20" t="n">
        <v>77.59999999999999</v>
      </c>
    </row>
    <row r="378">
      <c r="A378" s="7" t="inlineStr">
        <is>
          <t>886080.TI</t>
        </is>
      </c>
      <c r="B378" s="8">
        <f>[1]!thsiFinD("THS_GPJC_STOCK",$A378)</f>
        <v/>
      </c>
      <c r="C378" s="9">
        <f>[1]!thsiFinD("ths_int_chg_ratio_index",$A378,C$1,C$2)/100</f>
        <v/>
      </c>
      <c r="D378" s="9">
        <f>[1]!thsiFinD("ths_int_chg_ratio_index",$A378,D$1,D$2)/100</f>
        <v/>
      </c>
      <c r="E378" s="9">
        <f>[1]!thsiFinD("ths_int_chg_ratio_index",$A378,E$1,E$2)/100</f>
        <v/>
      </c>
      <c r="F378" s="10">
        <f>D378-(E378-D378)/3</f>
        <v/>
      </c>
      <c r="G378" s="7" t="inlineStr">
        <is>
          <t>产业链</t>
        </is>
      </c>
      <c r="H378" s="7">
        <f>IFERROR(VLOOKUP($I378,'分类规则'!$A$30:$C$200,2,0),"")</f>
        <v/>
      </c>
      <c r="I378" s="7" t="inlineStr">
        <is>
          <t>金融科技</t>
        </is>
      </c>
      <c r="J378" s="7">
        <f>IFERROR(VLOOKUP($I378,'分类规则'!$A$30:$C$200,3,0),"")</f>
        <v/>
      </c>
      <c r="K378" s="8" t="inlineStr">
        <is>
          <t>用友网络</t>
        </is>
      </c>
      <c r="L378" s="7" t="inlineStr">
        <is>
          <t>600588.SH</t>
        </is>
      </c>
      <c r="M378" s="20" t="n">
        <v>334.5</v>
      </c>
      <c r="N378" s="8" t="inlineStr">
        <is>
          <t>宏景科技</t>
        </is>
      </c>
      <c r="O378" s="7" t="inlineStr">
        <is>
          <t>301396.SZ</t>
        </is>
      </c>
      <c r="P378" s="20" t="n">
        <v>315.5</v>
      </c>
      <c r="Q378" s="8" t="inlineStr">
        <is>
          <t>四川长虹</t>
        </is>
      </c>
      <c r="R378" s="7" t="inlineStr">
        <is>
          <t>600839.SH</t>
        </is>
      </c>
      <c r="S378" s="20" t="n">
        <v>312.9</v>
      </c>
      <c r="T378" s="8" t="inlineStr">
        <is>
          <t>润和软件</t>
        </is>
      </c>
      <c r="U378" s="7" t="inlineStr">
        <is>
          <t>300339.SZ</t>
        </is>
      </c>
      <c r="V378" s="20" t="n">
        <v>312.7</v>
      </c>
      <c r="W378" s="8" t="inlineStr">
        <is>
          <t>软通动力</t>
        </is>
      </c>
      <c r="X378" s="7" t="inlineStr">
        <is>
          <t>301236.SZ</t>
        </is>
      </c>
      <c r="Y378" s="20" t="n">
        <v>303</v>
      </c>
    </row>
    <row r="379">
      <c r="A379" s="7" t="inlineStr">
        <is>
          <t>885947.TI</t>
        </is>
      </c>
      <c r="B379" s="8">
        <f>[1]!thsiFinD("THS_GPJC_STOCK",$A379)</f>
        <v/>
      </c>
      <c r="C379" s="9">
        <f>[1]!thsiFinD("ths_int_chg_ratio_index",$A379,C$1,C$2)/100</f>
        <v/>
      </c>
      <c r="D379" s="9">
        <f>[1]!thsiFinD("ths_int_chg_ratio_index",$A379,D$1,D$2)/100</f>
        <v/>
      </c>
      <c r="E379" s="9">
        <f>[1]!thsiFinD("ths_int_chg_ratio_index",$A379,E$1,E$2)/100</f>
        <v/>
      </c>
      <c r="F379" s="10">
        <f>D379-(E379-D379)/3</f>
        <v/>
      </c>
      <c r="G379" s="7" t="inlineStr">
        <is>
          <t>产业链</t>
        </is>
      </c>
      <c r="H379" s="7">
        <f>IFERROR(VLOOKUP($I379,'分类规则'!$A$30:$C$200,2,0),"")</f>
        <v/>
      </c>
      <c r="I379" s="7" t="inlineStr">
        <is>
          <t>医疗服务</t>
        </is>
      </c>
      <c r="J379" s="7">
        <f>IFERROR(VLOOKUP($I379,'分类规则'!$A$30:$C$200,3,0),"")</f>
        <v/>
      </c>
      <c r="K379" s="8" t="n"/>
      <c r="L379" s="7" t="n"/>
      <c r="M379" s="7" t="n"/>
      <c r="N379" s="8" t="n"/>
      <c r="O379" s="7" t="n"/>
      <c r="P379" s="7" t="n"/>
      <c r="Q379" s="8" t="n"/>
      <c r="R379" s="7" t="n"/>
      <c r="S379" s="7" t="n"/>
      <c r="T379" s="8" t="n"/>
      <c r="U379" s="7" t="n"/>
      <c r="V379" s="7" t="n"/>
      <c r="W379" s="8" t="n"/>
      <c r="X379" s="7" t="n"/>
      <c r="Y379" s="7" t="n"/>
    </row>
    <row r="380">
      <c r="A380" s="7" t="inlineStr">
        <is>
          <t>885951.TI</t>
        </is>
      </c>
      <c r="B380" s="8">
        <f>[1]!thsiFinD("THS_GPJC_STOCK",$A380)</f>
        <v/>
      </c>
      <c r="C380" s="9">
        <f>[1]!thsiFinD("ths_int_chg_ratio_index",$A380,C$1,C$2)/100</f>
        <v/>
      </c>
      <c r="D380" s="9">
        <f>[1]!thsiFinD("ths_int_chg_ratio_index",$A380,D$1,D$2)/100</f>
        <v/>
      </c>
      <c r="E380" s="9">
        <f>[1]!thsiFinD("ths_int_chg_ratio_index",$A380,E$1,E$2)/100</f>
        <v/>
      </c>
      <c r="F380" s="10">
        <f>D380-(E380-D380)/3</f>
        <v/>
      </c>
      <c r="G380" s="7" t="inlineStr">
        <is>
          <t>产业链</t>
        </is>
      </c>
      <c r="H380" s="7">
        <f>IFERROR(VLOOKUP($I380,'分类规则'!$A$30:$C$200,2,0),"")</f>
        <v/>
      </c>
      <c r="I380" s="7" t="inlineStr">
        <is>
          <t>食品饮料</t>
        </is>
      </c>
      <c r="J380" s="7">
        <f>IFERROR(VLOOKUP($I380,'分类规则'!$A$30:$C$200,3,0),"")</f>
        <v/>
      </c>
      <c r="K380" s="8" t="inlineStr">
        <is>
          <t>格力电器</t>
        </is>
      </c>
      <c r="L380" s="7" t="inlineStr">
        <is>
          <t>000651.SZ</t>
        </is>
      </c>
      <c r="M380" s="20" t="n">
        <v>2027.7</v>
      </c>
      <c r="N380" s="8" t="inlineStr">
        <is>
          <t>双汇发展</t>
        </is>
      </c>
      <c r="O380" s="7" t="inlineStr">
        <is>
          <t>000895.SZ</t>
        </is>
      </c>
      <c r="P380" s="20" t="n">
        <v>789.5</v>
      </c>
      <c r="Q380" s="8" t="inlineStr">
        <is>
          <t>温氏股份</t>
        </is>
      </c>
      <c r="R380" s="7" t="inlineStr">
        <is>
          <t>300498.SZ</t>
        </is>
      </c>
      <c r="S380" s="20" t="n">
        <v>735.1</v>
      </c>
      <c r="T380" s="8" t="inlineStr">
        <is>
          <t>通威股份</t>
        </is>
      </c>
      <c r="U380" s="7" t="inlineStr">
        <is>
          <t>600438.SH</t>
        </is>
      </c>
      <c r="V380" s="20" t="n">
        <v>578.5</v>
      </c>
      <c r="W380" s="8" t="inlineStr">
        <is>
          <t>东阿阿胶</t>
        </is>
      </c>
      <c r="X380" s="7" t="inlineStr">
        <is>
          <t>000423.SZ</t>
        </is>
      </c>
      <c r="Y380" s="20" t="n">
        <v>293.7</v>
      </c>
    </row>
    <row r="381">
      <c r="A381" s="7" t="inlineStr">
        <is>
          <t>885995.TI</t>
        </is>
      </c>
      <c r="B381" s="8">
        <f>[1]!thsiFinD("THS_GPJC_STOCK",$A381)</f>
        <v/>
      </c>
      <c r="C381" s="9">
        <f>[1]!thsiFinD("ths_int_chg_ratio_index",$A381,C$1,C$2)/100</f>
        <v/>
      </c>
      <c r="D381" s="9">
        <f>[1]!thsiFinD("ths_int_chg_ratio_index",$A381,D$1,D$2)/100</f>
        <v/>
      </c>
      <c r="E381" s="9">
        <f>[1]!thsiFinD("ths_int_chg_ratio_index",$A381,E$1,E$2)/100</f>
        <v/>
      </c>
      <c r="F381" s="10">
        <f>D381-(E381-D381)/3</f>
        <v/>
      </c>
      <c r="G381" s="7" t="inlineStr">
        <is>
          <t>产业链</t>
        </is>
      </c>
      <c r="H381" s="7">
        <f>IFERROR(VLOOKUP($I381,'分类规则'!$A$30:$C$200,2,0),"")</f>
        <v/>
      </c>
      <c r="I381" s="7" t="inlineStr">
        <is>
          <t>农业(种植)</t>
        </is>
      </c>
      <c r="J381" s="7">
        <f>IFERROR(VLOOKUP($I381,'分类规则'!$A$30:$C$200,3,0),"")</f>
        <v/>
      </c>
      <c r="K381" s="8" t="n"/>
      <c r="L381" s="7" t="n"/>
      <c r="M381" s="7" t="n"/>
      <c r="N381" s="8" t="n"/>
      <c r="O381" s="7" t="n"/>
      <c r="P381" s="7" t="n"/>
      <c r="Q381" s="8" t="n"/>
      <c r="R381" s="7" t="n"/>
      <c r="S381" s="7" t="n"/>
      <c r="T381" s="8" t="n"/>
      <c r="U381" s="7" t="n"/>
      <c r="V381" s="7" t="n"/>
      <c r="W381" s="8" t="n"/>
      <c r="X381" s="7" t="n"/>
      <c r="Y381" s="7" t="n"/>
    </row>
    <row r="382">
      <c r="A382" s="7" t="inlineStr">
        <is>
          <t>885462.TI</t>
        </is>
      </c>
      <c r="B382" s="8">
        <f>[1]!thsiFinD("THS_GPJC_STOCK",$A382)</f>
        <v/>
      </c>
      <c r="C382" s="9">
        <f>[1]!thsiFinD("ths_int_chg_ratio_index",$A382,C$1,C$2)/100</f>
        <v/>
      </c>
      <c r="D382" s="9">
        <f>[1]!thsiFinD("ths_int_chg_ratio_index",$A382,D$1,D$2)/100</f>
        <v/>
      </c>
      <c r="E382" s="9">
        <f>[1]!thsiFinD("ths_int_chg_ratio_index",$A382,E$1,E$2)/100</f>
        <v/>
      </c>
      <c r="F382" s="10">
        <f>D382-(E382-D382)/3</f>
        <v/>
      </c>
      <c r="G382" s="7" t="inlineStr">
        <is>
          <t>产业链</t>
        </is>
      </c>
      <c r="H382" s="7">
        <f>IFERROR(VLOOKUP($I382,'分类规则'!$A$30:$C$200,2,0),"")</f>
        <v/>
      </c>
      <c r="I382" s="7" t="inlineStr">
        <is>
          <t>食品饮料</t>
        </is>
      </c>
      <c r="J382" s="7">
        <f>IFERROR(VLOOKUP($I382,'分类规则'!$A$30:$C$200,3,0),"")</f>
        <v/>
      </c>
      <c r="K382" s="8" t="n"/>
      <c r="L382" s="7" t="n"/>
      <c r="M382" s="7" t="n"/>
      <c r="N382" s="8" t="n"/>
      <c r="O382" s="7" t="n"/>
      <c r="P382" s="7" t="n"/>
      <c r="Q382" s="8" t="n"/>
      <c r="R382" s="7" t="n"/>
      <c r="S382" s="7" t="n"/>
      <c r="T382" s="8" t="n"/>
      <c r="U382" s="7" t="n"/>
      <c r="V382" s="7" t="n"/>
      <c r="W382" s="8" t="n"/>
      <c r="X382" s="7" t="n"/>
      <c r="Y382" s="7" t="n"/>
    </row>
    <row r="383">
      <c r="A383" s="7" t="inlineStr">
        <is>
          <t>885845.TI</t>
        </is>
      </c>
      <c r="B383" s="8">
        <f>[1]!thsiFinD("THS_GPJC_STOCK",$A383)</f>
        <v/>
      </c>
      <c r="C383" s="9">
        <f>[1]!thsiFinD("ths_int_chg_ratio_index",$A383,C$1,C$2)/100</f>
        <v/>
      </c>
      <c r="D383" s="9">
        <f>[1]!thsiFinD("ths_int_chg_ratio_index",$A383,D$1,D$2)/100</f>
        <v/>
      </c>
      <c r="E383" s="9">
        <f>[1]!thsiFinD("ths_int_chg_ratio_index",$A383,E$1,E$2)/100</f>
        <v/>
      </c>
      <c r="F383" s="10">
        <f>D383-(E383-D383)/3</f>
        <v/>
      </c>
      <c r="G383" s="7" t="inlineStr">
        <is>
          <t>产业链</t>
        </is>
      </c>
      <c r="H383" s="7">
        <f>IFERROR(VLOOKUP($I383,'分类规则'!$A$30:$C$200,2,0),"")</f>
        <v/>
      </c>
      <c r="I383" s="7" t="inlineStr">
        <is>
          <t>医疗器械</t>
        </is>
      </c>
      <c r="J383" s="7">
        <f>IFERROR(VLOOKUP($I383,'分类规则'!$A$30:$C$200,3,0),"")</f>
        <v/>
      </c>
      <c r="K383" s="8" t="n"/>
      <c r="L383" s="7" t="n"/>
      <c r="M383" s="7" t="n"/>
      <c r="N383" s="8" t="n"/>
      <c r="O383" s="7" t="n"/>
      <c r="P383" s="7" t="n"/>
      <c r="Q383" s="8" t="n"/>
      <c r="R383" s="7" t="n"/>
      <c r="S383" s="7" t="n"/>
      <c r="T383" s="8" t="n"/>
      <c r="U383" s="7" t="n"/>
      <c r="V383" s="7" t="n"/>
      <c r="W383" s="8" t="n"/>
      <c r="X383" s="7" t="n"/>
      <c r="Y383" s="7" t="n"/>
    </row>
    <row r="384">
      <c r="A384" s="7" t="inlineStr">
        <is>
          <t>885629.TI</t>
        </is>
      </c>
      <c r="B384" s="8">
        <f>[1]!thsiFinD("THS_GPJC_STOCK",$A384)</f>
        <v/>
      </c>
      <c r="C384" s="9">
        <f>[1]!thsiFinD("ths_int_chg_ratio_index",$A384,C$1,C$2)/100</f>
        <v/>
      </c>
      <c r="D384" s="9">
        <f>[1]!thsiFinD("ths_int_chg_ratio_index",$A384,D$1,D$2)/100</f>
        <v/>
      </c>
      <c r="E384" s="9">
        <f>[1]!thsiFinD("ths_int_chg_ratio_index",$A384,E$1,E$2)/100</f>
        <v/>
      </c>
      <c r="F384" s="10">
        <f>D384-(E384-D384)/3</f>
        <v/>
      </c>
      <c r="G384" s="7" t="inlineStr">
        <is>
          <t>产业链</t>
        </is>
      </c>
      <c r="H384" s="7">
        <f>IFERROR(VLOOKUP($I384,'分类规则'!$A$30:$C$200,2,0),"")</f>
        <v/>
      </c>
      <c r="I384" s="7" t="inlineStr">
        <is>
          <t>商贸/服务</t>
        </is>
      </c>
      <c r="J384" s="7">
        <f>IFERROR(VLOOKUP($I384,'分类规则'!$A$30:$C$200,3,0),"")</f>
        <v/>
      </c>
      <c r="K384" s="8" t="n"/>
      <c r="L384" s="7" t="n"/>
      <c r="M384" s="7" t="n"/>
      <c r="N384" s="8" t="n"/>
      <c r="O384" s="7" t="n"/>
      <c r="P384" s="7" t="n"/>
      <c r="Q384" s="8" t="n"/>
      <c r="R384" s="7" t="n"/>
      <c r="S384" s="7" t="n"/>
      <c r="T384" s="8" t="n"/>
      <c r="U384" s="7" t="n"/>
      <c r="V384" s="7" t="n"/>
      <c r="W384" s="8" t="n"/>
      <c r="X384" s="7" t="n"/>
      <c r="Y384" s="7" t="n"/>
    </row>
    <row r="385">
      <c r="A385" s="7" t="inlineStr">
        <is>
          <t>885966.TI</t>
        </is>
      </c>
      <c r="B385" s="8">
        <f>[1]!thsiFinD("THS_GPJC_STOCK",$A385)</f>
        <v/>
      </c>
      <c r="C385" s="9">
        <f>[1]!thsiFinD("ths_int_chg_ratio_index",$A385,C$1,C$2)/100</f>
        <v/>
      </c>
      <c r="D385" s="9">
        <f>[1]!thsiFinD("ths_int_chg_ratio_index",$A385,D$1,D$2)/100</f>
        <v/>
      </c>
      <c r="E385" s="9">
        <f>[1]!thsiFinD("ths_int_chg_ratio_index",$A385,E$1,E$2)/100</f>
        <v/>
      </c>
      <c r="F385" s="10">
        <f>D385-(E385-D385)/3</f>
        <v/>
      </c>
      <c r="G385" s="7" t="inlineStr">
        <is>
          <t>产业链</t>
        </is>
      </c>
      <c r="H385" s="7">
        <f>IFERROR(VLOOKUP($I385,'分类规则'!$A$30:$C$200,2,0),"")</f>
        <v/>
      </c>
      <c r="I385" s="7" t="inlineStr">
        <is>
          <t>金融科技</t>
        </is>
      </c>
      <c r="J385" s="7">
        <f>IFERROR(VLOOKUP($I385,'分类规则'!$A$30:$C$200,3,0),"")</f>
        <v/>
      </c>
      <c r="K385" s="8" t="n"/>
      <c r="L385" s="7" t="n"/>
      <c r="M385" s="7" t="n"/>
      <c r="N385" s="8" t="n"/>
      <c r="O385" s="7" t="n"/>
      <c r="P385" s="7" t="n"/>
      <c r="Q385" s="8" t="n"/>
      <c r="R385" s="7" t="n"/>
      <c r="S385" s="7" t="n"/>
      <c r="T385" s="8" t="n"/>
      <c r="U385" s="7" t="n"/>
      <c r="V385" s="7" t="n"/>
      <c r="W385" s="8" t="n"/>
      <c r="X385" s="7" t="n"/>
      <c r="Y385" s="7" t="n"/>
    </row>
    <row r="386">
      <c r="A386" s="7" t="inlineStr">
        <is>
          <t>885810.TI</t>
        </is>
      </c>
      <c r="B386" s="8">
        <f>[1]!thsiFinD("THS_GPJC_STOCK",$A386)</f>
        <v/>
      </c>
      <c r="C386" s="9">
        <f>[1]!thsiFinD("ths_int_chg_ratio_index",$A386,C$1,C$2)/100</f>
        <v/>
      </c>
      <c r="D386" s="9">
        <f>[1]!thsiFinD("ths_int_chg_ratio_index",$A386,D$1,D$2)/100</f>
        <v/>
      </c>
      <c r="E386" s="9">
        <f>[1]!thsiFinD("ths_int_chg_ratio_index",$A386,E$1,E$2)/100</f>
        <v/>
      </c>
      <c r="F386" s="10">
        <f>D386-(E386-D386)/3</f>
        <v/>
      </c>
      <c r="G386" s="7" t="inlineStr">
        <is>
          <t>产业链</t>
        </is>
      </c>
      <c r="H386" s="7">
        <f>IFERROR(VLOOKUP($I386,'分类规则'!$A$30:$C$200,2,0),"")</f>
        <v/>
      </c>
      <c r="I386" s="7" t="inlineStr">
        <is>
          <t>农业(种植)</t>
        </is>
      </c>
      <c r="J386" s="7">
        <f>IFERROR(VLOOKUP($I386,'分类规则'!$A$30:$C$200,3,0),"")</f>
        <v/>
      </c>
      <c r="K386" s="8" t="n"/>
      <c r="L386" s="7" t="n"/>
      <c r="M386" s="7" t="n"/>
      <c r="N386" s="8" t="n"/>
      <c r="O386" s="7" t="n"/>
      <c r="P386" s="7" t="n"/>
      <c r="Q386" s="8" t="n"/>
      <c r="R386" s="7" t="n"/>
      <c r="S386" s="7" t="n"/>
      <c r="T386" s="8" t="n"/>
      <c r="U386" s="7" t="n"/>
      <c r="V386" s="7" t="n"/>
      <c r="W386" s="8" t="n"/>
      <c r="X386" s="7" t="n"/>
      <c r="Y386" s="7" t="n"/>
    </row>
    <row r="387">
      <c r="A387" s="7" t="inlineStr">
        <is>
          <t>885894.TI</t>
        </is>
      </c>
      <c r="B387" s="8">
        <f>[1]!thsiFinD("THS_GPJC_STOCK",$A387)</f>
        <v/>
      </c>
      <c r="C387" s="9">
        <f>[1]!thsiFinD("ths_int_chg_ratio_index",$A387,C$1,C$2)/100</f>
        <v/>
      </c>
      <c r="D387" s="9">
        <f>[1]!thsiFinD("ths_int_chg_ratio_index",$A387,D$1,D$2)/100</f>
        <v/>
      </c>
      <c r="E387" s="9">
        <f>[1]!thsiFinD("ths_int_chg_ratio_index",$A387,E$1,E$2)/100</f>
        <v/>
      </c>
      <c r="F387" s="10">
        <f>D387-(E387-D387)/3</f>
        <v/>
      </c>
      <c r="G387" s="7" t="inlineStr">
        <is>
          <t>主题事件</t>
        </is>
      </c>
      <c r="H387" s="7">
        <f>IFERROR(VLOOKUP($I387,'分类规则'!$A$30:$C$200,2,0),"")</f>
        <v/>
      </c>
      <c r="I387" s="7" t="inlineStr">
        <is>
          <t>区域/改革</t>
        </is>
      </c>
      <c r="J387" s="7">
        <f>IFERROR(VLOOKUP($I387,'分类规则'!$A$30:$C$200,3,0),"")</f>
        <v/>
      </c>
      <c r="K387" s="8" t="inlineStr">
        <is>
          <t>中钨高新</t>
        </is>
      </c>
      <c r="L387" s="7" t="inlineStr">
        <is>
          <t>000657.SZ</t>
        </is>
      </c>
      <c r="M387" s="20" t="n">
        <v>1430.8</v>
      </c>
      <c r="N387" s="8" t="inlineStr">
        <is>
          <t>海航控股</t>
        </is>
      </c>
      <c r="O387" s="7" t="inlineStr">
        <is>
          <t>600221.SH</t>
        </is>
      </c>
      <c r="P387" s="20" t="n">
        <v>621.3</v>
      </c>
      <c r="Q387" s="8" t="inlineStr">
        <is>
          <t>金盘科技</t>
        </is>
      </c>
      <c r="R387" s="7" t="inlineStr">
        <is>
          <t>688676.SH</t>
        </is>
      </c>
      <c r="S387" s="20" t="n">
        <v>425.3</v>
      </c>
      <c r="T387" s="8" t="inlineStr">
        <is>
          <t>中稀有色</t>
        </is>
      </c>
      <c r="U387" s="7" t="inlineStr">
        <is>
          <t>600259.SH</t>
        </is>
      </c>
      <c r="V387" s="20" t="n">
        <v>391.2</v>
      </c>
      <c r="W387" s="8" t="inlineStr">
        <is>
          <t>海南机场</t>
        </is>
      </c>
      <c r="X387" s="7" t="inlineStr">
        <is>
          <t>600515.SH</t>
        </is>
      </c>
      <c r="Y387" s="20" t="n">
        <v>261.5</v>
      </c>
    </row>
    <row r="388">
      <c r="A388" s="7" t="inlineStr">
        <is>
          <t>885764.TI</t>
        </is>
      </c>
      <c r="B388" s="8">
        <f>[1]!thsiFinD("THS_GPJC_STOCK",$A388)</f>
        <v/>
      </c>
      <c r="C388" s="9">
        <f>[1]!thsiFinD("ths_int_chg_ratio_index",$A388,C$1,C$2)/100</f>
        <v/>
      </c>
      <c r="D388" s="9">
        <f>[1]!thsiFinD("ths_int_chg_ratio_index",$A388,D$1,D$2)/100</f>
        <v/>
      </c>
      <c r="E388" s="9">
        <f>[1]!thsiFinD("ths_int_chg_ratio_index",$A388,E$1,E$2)/100</f>
        <v/>
      </c>
      <c r="F388" s="10">
        <f>D388-(E388-D388)/3</f>
        <v/>
      </c>
      <c r="G388" s="7" t="inlineStr">
        <is>
          <t>主题事件</t>
        </is>
      </c>
      <c r="H388" s="7">
        <f>IFERROR(VLOOKUP($I388,'分类规则'!$A$30:$C$200,2,0),"")</f>
        <v/>
      </c>
      <c r="I388" s="7" t="inlineStr">
        <is>
          <t>区域/改革</t>
        </is>
      </c>
      <c r="J388" s="7">
        <f>IFERROR(VLOOKUP($I388,'分类规则'!$A$30:$C$200,3,0),"")</f>
        <v/>
      </c>
      <c r="K388" s="8" t="n"/>
      <c r="L388" s="7" t="n"/>
      <c r="M388" s="7" t="n"/>
      <c r="N388" s="8" t="n"/>
      <c r="O388" s="7" t="n"/>
      <c r="P388" s="7" t="n"/>
      <c r="Q388" s="8" t="n"/>
      <c r="R388" s="7" t="n"/>
      <c r="S388" s="7" t="n"/>
      <c r="T388" s="8" t="n"/>
      <c r="U388" s="7" t="n"/>
      <c r="V388" s="7" t="n"/>
      <c r="W388" s="8" t="n"/>
      <c r="X388" s="7" t="n"/>
      <c r="Y388" s="7" t="n"/>
    </row>
    <row r="389">
      <c r="A389" s="7" t="inlineStr">
        <is>
          <t>885811.TI</t>
        </is>
      </c>
      <c r="B389" s="8">
        <f>[1]!thsiFinD("THS_GPJC_STOCK",$A389)</f>
        <v/>
      </c>
      <c r="C389" s="9">
        <f>[1]!thsiFinD("ths_int_chg_ratio_index",$A389,C$1,C$2)/100</f>
        <v/>
      </c>
      <c r="D389" s="9">
        <f>[1]!thsiFinD("ths_int_chg_ratio_index",$A389,D$1,D$2)/100</f>
        <v/>
      </c>
      <c r="E389" s="9">
        <f>[1]!thsiFinD("ths_int_chg_ratio_index",$A389,E$1,E$2)/100</f>
        <v/>
      </c>
      <c r="F389" s="10">
        <f>D389-(E389-D389)/3</f>
        <v/>
      </c>
      <c r="G389" s="7" t="inlineStr">
        <is>
          <t>产业链</t>
        </is>
      </c>
      <c r="H389" s="7">
        <f>IFERROR(VLOOKUP($I389,'分类规则'!$A$30:$C$200,2,0),"")</f>
        <v/>
      </c>
      <c r="I389" s="7" t="inlineStr">
        <is>
          <t>农业(种植)</t>
        </is>
      </c>
      <c r="J389" s="7">
        <f>IFERROR(VLOOKUP($I389,'分类规则'!$A$30:$C$200,3,0),"")</f>
        <v/>
      </c>
      <c r="K389" s="8" t="n"/>
      <c r="L389" s="7" t="n"/>
      <c r="M389" s="7" t="n"/>
      <c r="N389" s="8" t="n"/>
      <c r="O389" s="7" t="n"/>
      <c r="P389" s="7" t="n"/>
      <c r="Q389" s="8" t="n"/>
      <c r="R389" s="7" t="n"/>
      <c r="S389" s="7" t="n"/>
      <c r="T389" s="8" t="n"/>
      <c r="U389" s="7" t="n"/>
      <c r="V389" s="7" t="n"/>
      <c r="W389" s="8" t="n"/>
      <c r="X389" s="7" t="n"/>
      <c r="Y389" s="7" t="n"/>
    </row>
    <row r="390">
      <c r="A390" s="7" t="inlineStr">
        <is>
          <t>885573.TI</t>
        </is>
      </c>
      <c r="B390" s="8">
        <f>[1]!thsiFinD("THS_GPJC_STOCK",$A390)</f>
        <v/>
      </c>
      <c r="C390" s="9">
        <f>[1]!thsiFinD("ths_int_chg_ratio_index",$A390,C$1,C$2)/100</f>
        <v/>
      </c>
      <c r="D390" s="9">
        <f>[1]!thsiFinD("ths_int_chg_ratio_index",$A390,D$1,D$2)/100</f>
        <v/>
      </c>
      <c r="E390" s="9">
        <f>[1]!thsiFinD("ths_int_chg_ratio_index",$A390,E$1,E$2)/100</f>
        <v/>
      </c>
      <c r="F390" s="10">
        <f>D390-(E390-D390)/3</f>
        <v/>
      </c>
      <c r="G390" s="7" t="inlineStr">
        <is>
          <t>产业链</t>
        </is>
      </c>
      <c r="H390" s="7">
        <f>IFERROR(VLOOKUP($I390,'分类规则'!$A$30:$C$200,2,0),"")</f>
        <v/>
      </c>
      <c r="I390" s="7" t="inlineStr">
        <is>
          <t>农业(养殖)</t>
        </is>
      </c>
      <c r="J390" s="7">
        <f>IFERROR(VLOOKUP($I390,'分类规则'!$A$30:$C$200,3,0),"")</f>
        <v/>
      </c>
      <c r="K390" s="8" t="inlineStr">
        <is>
          <t>牧原股份</t>
        </is>
      </c>
      <c r="L390" s="7" t="inlineStr">
        <is>
          <t>002714.SZ</t>
        </is>
      </c>
      <c r="M390" s="20" t="n">
        <v>1278</v>
      </c>
      <c r="N390" s="8" t="inlineStr">
        <is>
          <t>双汇发展</t>
        </is>
      </c>
      <c r="O390" s="7" t="inlineStr">
        <is>
          <t>000895.SZ</t>
        </is>
      </c>
      <c r="P390" s="20" t="n">
        <v>789.5</v>
      </c>
      <c r="Q390" s="8" t="inlineStr">
        <is>
          <t>温氏股份</t>
        </is>
      </c>
      <c r="R390" s="7" t="inlineStr">
        <is>
          <t>300498.SZ</t>
        </is>
      </c>
      <c r="S390" s="20" t="n">
        <v>735.1</v>
      </c>
      <c r="T390" s="8" t="inlineStr">
        <is>
          <t>海大集团</t>
        </is>
      </c>
      <c r="U390" s="7" t="inlineStr">
        <is>
          <t>002311.SZ</t>
        </is>
      </c>
      <c r="V390" s="20" t="n">
        <v>677.4</v>
      </c>
      <c r="W390" s="8" t="inlineStr">
        <is>
          <t>新希望</t>
        </is>
      </c>
      <c r="X390" s="7" t="inlineStr">
        <is>
          <t>000876.SZ</t>
        </is>
      </c>
      <c r="Y390" s="20" t="n">
        <v>279</v>
      </c>
    </row>
    <row r="391">
      <c r="A391" s="7" t="inlineStr">
        <is>
          <t>885866.TI</t>
        </is>
      </c>
      <c r="B391" s="8">
        <f>[1]!thsiFinD("THS_GPJC_STOCK",$A391)</f>
        <v/>
      </c>
      <c r="C391" s="9">
        <f>[1]!thsiFinD("ths_int_chg_ratio_index",$A391,C$1,C$2)/100</f>
        <v/>
      </c>
      <c r="D391" s="9">
        <f>[1]!thsiFinD("ths_int_chg_ratio_index",$A391,D$1,D$2)/100</f>
        <v/>
      </c>
      <c r="E391" s="9">
        <f>[1]!thsiFinD("ths_int_chg_ratio_index",$A391,E$1,E$2)/100</f>
        <v/>
      </c>
      <c r="F391" s="10">
        <f>D391-(E391-D391)/3</f>
        <v/>
      </c>
      <c r="G391" s="7" t="inlineStr">
        <is>
          <t>产业链</t>
        </is>
      </c>
      <c r="H391" s="7">
        <f>IFERROR(VLOOKUP($I391,'分类规则'!$A$30:$C$200,2,0),"")</f>
        <v/>
      </c>
      <c r="I391" s="7" t="inlineStr">
        <is>
          <t>金融科技</t>
        </is>
      </c>
      <c r="J391" s="7">
        <f>IFERROR(VLOOKUP($I391,'分类规则'!$A$30:$C$200,3,0),"")</f>
        <v/>
      </c>
      <c r="K391" s="8" t="inlineStr">
        <is>
          <t>芯原股份</t>
        </is>
      </c>
      <c r="L391" s="7" t="inlineStr">
        <is>
          <t>688521.SH</t>
        </is>
      </c>
      <c r="M391" s="20" t="n">
        <v>1441</v>
      </c>
      <c r="N391" s="8" t="inlineStr">
        <is>
          <t>中油资本</t>
        </is>
      </c>
      <c r="O391" s="7" t="inlineStr">
        <is>
          <t>000617.SZ</t>
        </is>
      </c>
      <c r="P391" s="20" t="n">
        <v>906.4</v>
      </c>
      <c r="Q391" s="8" t="inlineStr">
        <is>
          <t>紫光国微</t>
        </is>
      </c>
      <c r="R391" s="7" t="inlineStr">
        <is>
          <t>002049.SZ</t>
        </is>
      </c>
      <c r="S391" s="20" t="n">
        <v>682.9</v>
      </c>
      <c r="T391" s="8" t="inlineStr">
        <is>
          <t>小商品城</t>
        </is>
      </c>
      <c r="U391" s="7" t="inlineStr">
        <is>
          <t>600415.SH</t>
        </is>
      </c>
      <c r="V391" s="20" t="n">
        <v>578</v>
      </c>
      <c r="W391" s="8" t="inlineStr">
        <is>
          <t>恒生电子</t>
        </is>
      </c>
      <c r="X391" s="7" t="inlineStr">
        <is>
          <t>600570.SH</t>
        </is>
      </c>
      <c r="Y391" s="20" t="n">
        <v>421.3</v>
      </c>
    </row>
    <row r="392">
      <c r="A392" s="7" t="inlineStr">
        <is>
          <t>885753.TI</t>
        </is>
      </c>
      <c r="B392" s="8">
        <f>[1]!thsiFinD("THS_GPJC_STOCK",$A392)</f>
        <v/>
      </c>
      <c r="C392" s="9">
        <f>[1]!thsiFinD("ths_int_chg_ratio_index",$A392,C$1,C$2)/100</f>
        <v/>
      </c>
      <c r="D392" s="9">
        <f>[1]!thsiFinD("ths_int_chg_ratio_index",$A392,D$1,D$2)/100</f>
        <v/>
      </c>
      <c r="E392" s="9">
        <f>[1]!thsiFinD("ths_int_chg_ratio_index",$A392,E$1,E$2)/100</f>
        <v/>
      </c>
      <c r="F392" s="10">
        <f>D392-(E392-D392)/3</f>
        <v/>
      </c>
      <c r="G392" s="7" t="inlineStr">
        <is>
          <t>产业链</t>
        </is>
      </c>
      <c r="H392" s="7">
        <f>IFERROR(VLOOKUP($I392,'分类规则'!$A$30:$C$200,2,0),"")</f>
        <v/>
      </c>
      <c r="I392" s="7" t="inlineStr">
        <is>
          <t>汽车</t>
        </is>
      </c>
      <c r="J392" s="7">
        <f>IFERROR(VLOOKUP($I392,'分类规则'!$A$30:$C$200,3,0),"")</f>
        <v/>
      </c>
      <c r="K392" s="8" t="inlineStr">
        <is>
          <t>上汽集团</t>
        </is>
      </c>
      <c r="L392" s="7" t="inlineStr">
        <is>
          <t>600104.SH</t>
        </is>
      </c>
      <c r="M392" s="20" t="n">
        <v>1202.4</v>
      </c>
      <c r="N392" s="8" t="inlineStr">
        <is>
          <t>长安汽车</t>
        </is>
      </c>
      <c r="O392" s="7" t="inlineStr">
        <is>
          <t>000625.SZ</t>
        </is>
      </c>
      <c r="P392" s="20" t="n">
        <v>615.9</v>
      </c>
      <c r="Q392" s="8" t="inlineStr">
        <is>
          <t>广汽集团</t>
        </is>
      </c>
      <c r="R392" s="7" t="inlineStr">
        <is>
          <t>601238.SH</t>
        </is>
      </c>
      <c r="S392" s="20" t="n">
        <v>408.3</v>
      </c>
      <c r="T392" s="8" t="inlineStr">
        <is>
          <t>大华股份</t>
        </is>
      </c>
      <c r="U392" s="7" t="inlineStr">
        <is>
          <t>002236.SZ</t>
        </is>
      </c>
      <c r="V392" s="20" t="n">
        <v>389</v>
      </c>
      <c r="W392" s="8" t="inlineStr">
        <is>
          <t>北汽蓝谷</t>
        </is>
      </c>
      <c r="X392" s="7" t="inlineStr">
        <is>
          <t>600733.SH</t>
        </is>
      </c>
      <c r="Y392" s="20" t="n">
        <v>316.7</v>
      </c>
    </row>
    <row r="393">
      <c r="A393" s="7" t="inlineStr">
        <is>
          <t>885975.TI</t>
        </is>
      </c>
      <c r="B393" s="8">
        <f>[1]!thsiFinD("THS_GPJC_STOCK",$A393)</f>
        <v/>
      </c>
      <c r="C393" s="9">
        <f>[1]!thsiFinD("ths_int_chg_ratio_index",$A393,C$1,C$2)/100</f>
        <v/>
      </c>
      <c r="D393" s="9">
        <f>[1]!thsiFinD("ths_int_chg_ratio_index",$A393,D$1,D$2)/100</f>
        <v/>
      </c>
      <c r="E393" s="9">
        <f>[1]!thsiFinD("ths_int_chg_ratio_index",$A393,E$1,E$2)/100</f>
        <v/>
      </c>
      <c r="F393" s="10">
        <f>D393-(E393-D393)/3</f>
        <v/>
      </c>
      <c r="G393" s="7" t="inlineStr">
        <is>
          <t>主题事件</t>
        </is>
      </c>
      <c r="H393" s="7">
        <f>IFERROR(VLOOKUP($I393,'分类规则'!$A$30:$C$200,2,0),"")</f>
        <v/>
      </c>
      <c r="I393" s="7" t="inlineStr">
        <is>
          <t>政策/要素</t>
        </is>
      </c>
      <c r="J393" s="7">
        <f>IFERROR(VLOOKUP($I393,'分类规则'!$A$30:$C$200,3,0),"")</f>
        <v/>
      </c>
      <c r="K393" s="8" t="inlineStr">
        <is>
          <t>中国软件</t>
        </is>
      </c>
      <c r="L393" s="7" t="inlineStr">
        <is>
          <t>600536.SH</t>
        </is>
      </c>
      <c r="M393" s="20" t="n">
        <v>245.3</v>
      </c>
      <c r="N393" s="8" t="inlineStr">
        <is>
          <t>新大陆</t>
        </is>
      </c>
      <c r="O393" s="7" t="inlineStr">
        <is>
          <t>000997.SZ</t>
        </is>
      </c>
      <c r="P393" s="20" t="n">
        <v>178.8</v>
      </c>
      <c r="Q393" s="8" t="inlineStr">
        <is>
          <t>东方国信</t>
        </is>
      </c>
      <c r="R393" s="7" t="inlineStr">
        <is>
          <t>300166.SZ</t>
        </is>
      </c>
      <c r="S393" s="20" t="n">
        <v>169.4</v>
      </c>
      <c r="T393" s="8" t="inlineStr">
        <is>
          <t>拓尔思</t>
        </is>
      </c>
      <c r="U393" s="7" t="inlineStr">
        <is>
          <t>300229.SZ</t>
        </is>
      </c>
      <c r="V393" s="20" t="n">
        <v>136.5</v>
      </c>
      <c r="W393" s="8" t="inlineStr">
        <is>
          <t>国芯科技</t>
        </is>
      </c>
      <c r="X393" s="7" t="inlineStr">
        <is>
          <t>688262.SH</t>
        </is>
      </c>
      <c r="Y393" s="20" t="n">
        <v>133.2</v>
      </c>
    </row>
    <row r="394">
      <c r="A394" s="7" t="inlineStr">
        <is>
          <t>885768.TI</t>
        </is>
      </c>
      <c r="B394" s="8">
        <f>[1]!thsiFinD("THS_GPJC_STOCK",$A394)</f>
        <v/>
      </c>
      <c r="C394" s="9">
        <f>[1]!thsiFinD("ths_int_chg_ratio_index",$A394,C$1,C$2)/100</f>
        <v/>
      </c>
      <c r="D394" s="9">
        <f>[1]!thsiFinD("ths_int_chg_ratio_index",$A394,D$1,D$2)/100</f>
        <v/>
      </c>
      <c r="E394" s="9">
        <f>[1]!thsiFinD("ths_int_chg_ratio_index",$A394,E$1,E$2)/100</f>
        <v/>
      </c>
      <c r="F394" s="10">
        <f>D394-(E394-D394)/3</f>
        <v/>
      </c>
      <c r="G394" s="7" t="inlineStr">
        <is>
          <t>产业链</t>
        </is>
      </c>
      <c r="H394" s="7">
        <f>IFERROR(VLOOKUP($I394,'分类规则'!$A$30:$C$200,2,0),"")</f>
        <v/>
      </c>
      <c r="I394" s="7" t="inlineStr">
        <is>
          <t>商贸/服务</t>
        </is>
      </c>
      <c r="J394" s="7">
        <f>IFERROR(VLOOKUP($I394,'分类规则'!$A$30:$C$200,3,0),"")</f>
        <v/>
      </c>
      <c r="K394" s="8" t="inlineStr">
        <is>
          <t>供销大集</t>
        </is>
      </c>
      <c r="L394" s="7" t="inlineStr">
        <is>
          <t>000564.SZ</t>
        </is>
      </c>
      <c r="M394" s="20" t="n">
        <v>220.4</v>
      </c>
      <c r="N394" s="8" t="inlineStr">
        <is>
          <t>移远通信</t>
        </is>
      </c>
      <c r="O394" s="7" t="inlineStr">
        <is>
          <t>603236.SH</t>
        </is>
      </c>
      <c r="P394" s="20" t="n">
        <v>193.5</v>
      </c>
      <c r="Q394" s="8" t="inlineStr">
        <is>
          <t>云从科技</t>
        </is>
      </c>
      <c r="R394" s="7" t="inlineStr">
        <is>
          <t>688327.SH</t>
        </is>
      </c>
      <c r="S394" s="20" t="n">
        <v>119.1</v>
      </c>
      <c r="T394" s="8" t="inlineStr">
        <is>
          <t>ST易购</t>
        </is>
      </c>
      <c r="U394" s="7" t="inlineStr">
        <is>
          <t>002024.SZ</t>
        </is>
      </c>
      <c r="V394" s="20" t="n">
        <v>112</v>
      </c>
      <c r="W394" s="8" t="inlineStr">
        <is>
          <t>天奇股份</t>
        </is>
      </c>
      <c r="X394" s="7" t="inlineStr">
        <is>
          <t>002009.SZ</t>
        </is>
      </c>
      <c r="Y394" s="20" t="n">
        <v>73.59999999999999</v>
      </c>
    </row>
    <row r="395">
      <c r="A395" s="7" t="inlineStr">
        <is>
          <t>885898.TI</t>
        </is>
      </c>
      <c r="B395" s="8">
        <f>[1]!thsiFinD("THS_GPJC_STOCK",$A395)</f>
        <v/>
      </c>
      <c r="C395" s="9">
        <f>[1]!thsiFinD("ths_int_chg_ratio_index",$A395,C$1,C$2)/100</f>
        <v/>
      </c>
      <c r="D395" s="9">
        <f>[1]!thsiFinD("ths_int_chg_ratio_index",$A395,D$1,D$2)/100</f>
        <v/>
      </c>
      <c r="E395" s="9">
        <f>[1]!thsiFinD("ths_int_chg_ratio_index",$A395,E$1,E$2)/100</f>
        <v/>
      </c>
      <c r="F395" s="10">
        <f>D395-(E395-D395)/3</f>
        <v/>
      </c>
      <c r="G395" s="7" t="inlineStr">
        <is>
          <t>产业链</t>
        </is>
      </c>
      <c r="H395" s="7">
        <f>IFERROR(VLOOKUP($I395,'分类规则'!$A$30:$C$200,2,0),"")</f>
        <v/>
      </c>
      <c r="I395" s="7" t="inlineStr">
        <is>
          <t>商贸/服务</t>
        </is>
      </c>
      <c r="J395" s="7">
        <f>IFERROR(VLOOKUP($I395,'分类规则'!$A$30:$C$200,3,0),"")</f>
        <v/>
      </c>
      <c r="K395" s="8" t="inlineStr">
        <is>
          <t>上港集团</t>
        </is>
      </c>
      <c r="L395" s="7" t="inlineStr">
        <is>
          <t>600018.SH</t>
        </is>
      </c>
      <c r="M395" s="20" t="n">
        <v>1136.8</v>
      </c>
      <c r="N395" s="8" t="inlineStr">
        <is>
          <t>中国中免</t>
        </is>
      </c>
      <c r="O395" s="7" t="inlineStr">
        <is>
          <t>601888.SH</t>
        </is>
      </c>
      <c r="P395" s="20" t="n">
        <v>1080.3</v>
      </c>
      <c r="Q395" s="8" t="inlineStr">
        <is>
          <t>招商蛇口</t>
        </is>
      </c>
      <c r="R395" s="7" t="inlineStr">
        <is>
          <t>001979.SZ</t>
        </is>
      </c>
      <c r="S395" s="20" t="n">
        <v>610</v>
      </c>
      <c r="T395" s="8" t="inlineStr">
        <is>
          <t>上海机场</t>
        </is>
      </c>
      <c r="U395" s="7" t="inlineStr">
        <is>
          <t>600009.SH</t>
        </is>
      </c>
      <c r="V395" s="20" t="n">
        <v>473.9</v>
      </c>
      <c r="W395" s="8" t="inlineStr">
        <is>
          <t>春秋航空</t>
        </is>
      </c>
      <c r="X395" s="7" t="inlineStr">
        <is>
          <t>601021.SH</t>
        </is>
      </c>
      <c r="Y395" s="20" t="n">
        <v>447.7</v>
      </c>
    </row>
    <row r="396">
      <c r="A396" s="7" t="inlineStr">
        <is>
          <t>886101.TI</t>
        </is>
      </c>
      <c r="B396" s="8">
        <f>[1]!thsiFinD("THS_GPJC_STOCK",$A396)</f>
        <v/>
      </c>
      <c r="C396" s="9">
        <f>[1]!thsiFinD("ths_int_chg_ratio_index",$A396,C$1,C$2)/100</f>
        <v/>
      </c>
      <c r="D396" s="9">
        <f>[1]!thsiFinD("ths_int_chg_ratio_index",$A396,D$1,D$2)/100</f>
        <v/>
      </c>
      <c r="E396" s="9">
        <f>[1]!thsiFinD("ths_int_chg_ratio_index",$A396,E$1,E$2)/100</f>
        <v/>
      </c>
      <c r="F396" s="10">
        <f>D396-(E396-D396)/3</f>
        <v/>
      </c>
      <c r="G396" s="7" t="inlineStr">
        <is>
          <t>主题事件</t>
        </is>
      </c>
      <c r="H396" s="7">
        <f>IFERROR(VLOOKUP($I396,'分类规则'!$A$30:$C$200,2,0),"")</f>
        <v/>
      </c>
      <c r="I396" s="7" t="inlineStr">
        <is>
          <t>区域/改革</t>
        </is>
      </c>
      <c r="J396" s="7">
        <f>IFERROR(VLOOKUP($I396,'分类规则'!$A$30:$C$200,3,0),"")</f>
        <v/>
      </c>
      <c r="K396" s="8" t="n"/>
      <c r="L396" s="7" t="n"/>
      <c r="M396" s="7" t="n"/>
      <c r="N396" s="8" t="n"/>
      <c r="O396" s="7" t="n"/>
      <c r="P396" s="7" t="n"/>
      <c r="Q396" s="8" t="n"/>
      <c r="R396" s="7" t="n"/>
      <c r="S396" s="7" t="n"/>
      <c r="T396" s="8" t="n"/>
      <c r="U396" s="7" t="n"/>
      <c r="V396" s="7" t="n"/>
      <c r="W396" s="8" t="n"/>
      <c r="X396" s="7" t="n"/>
      <c r="Y396" s="7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</cols>
  <sheetData>
    <row r="1">
      <c r="A1" s="11" t="inlineStr">
        <is>
          <t>概念指数热点监控 — 分类与计算规则</t>
        </is>
      </c>
    </row>
    <row r="2">
      <c r="A2" s="12" t="inlineStr"/>
    </row>
    <row r="3">
      <c r="A3" s="13" t="inlineStr">
        <is>
          <t>一、口径目标：跟踪市场资金短期追捧的热点，识别哪个细分方向(二级赛道)最热。</t>
        </is>
      </c>
    </row>
    <row r="4">
      <c r="A4" s="12" t="inlineStr"/>
    </row>
    <row r="5">
      <c r="A5" s="13" t="inlineStr">
        <is>
          <t>二、加速度 = 近一周 − (近一月 − 近一周) ÷ 3   【F列】</t>
        </is>
      </c>
    </row>
    <row r="6">
      <c r="A6" s="12" t="inlineStr">
        <is>
          <t xml:space="preserve">   含义：本周涨幅 减去 前三周的平均周涨幅。&gt;0=本周比过去三周更猛(在加速/发动)，&lt;0=在退潮。</t>
        </is>
      </c>
    </row>
    <row r="7">
      <c r="A7" s="12" t="inlineStr">
        <is>
          <t xml:space="preserve">   目的：YTD是"今年赢家"，本指标抓"现在刚发动"的方向，更贴近短期资金。</t>
        </is>
      </c>
    </row>
    <row r="8">
      <c r="A8" s="12" t="inlineStr"/>
    </row>
    <row r="9">
      <c r="A9" s="13" t="inlineStr">
        <is>
          <t>三、概念类型【G列，决定是否计入产业热度】</t>
        </is>
      </c>
    </row>
    <row r="10">
      <c r="A10" s="12" t="inlineStr">
        <is>
          <t xml:space="preserve">   产业链 = 真实产业细分方向(计入热度)；公司链 = 单龙头供应链篮子(计入)；</t>
        </is>
      </c>
    </row>
    <row r="11">
      <c r="A11" s="12" t="inlineStr">
        <is>
          <t xml:space="preserve">   主题事件 = 区域/政策/事件/业绩(不计)；宽基风格 = 指数/风格/资金面(不计)。</t>
        </is>
      </c>
    </row>
    <row r="12">
      <c r="A12" s="12" t="inlineStr">
        <is>
          <t xml:space="preserve">   统计"哪个方向最热"时只用 产业链+公司链，剔除 主题事件/宽基风格(否则污染排序)。</t>
        </is>
      </c>
    </row>
    <row r="13">
      <c r="A13" s="12" t="inlineStr"/>
    </row>
    <row r="14">
      <c r="A14" s="13" t="inlineStr">
        <is>
          <t>四、一级 / 二级【H/I列】：二级为细分赛道(硬编码)，一级由二级自动带出(VLOOKUP本表)。</t>
        </is>
      </c>
    </row>
    <row r="15">
      <c r="A15" s="12" t="inlineStr">
        <is>
          <t xml:space="preserve">   二级由概念名称语义判定(复用已确认分类+名称规则)，是排序"最热方向"的主键。</t>
        </is>
      </c>
    </row>
    <row r="16">
      <c r="A16" s="12" t="inlineStr"/>
    </row>
    <row r="17">
      <c r="A17" s="13" t="inlineStr">
        <is>
          <t>五、产业链位置【J列，由二级VLOOKUP本表自动带出】</t>
        </is>
      </c>
    </row>
    <row r="18">
      <c r="A18" s="12" t="inlineStr">
        <is>
          <t xml:space="preserve">   上游 = 资源/原材料/专用材料(化工、有色、材料、煤炭、油气、农业养殖种植…)。</t>
        </is>
      </c>
    </row>
    <row r="19">
      <c r="A19" s="12" t="inlineStr">
        <is>
          <t xml:space="preserve">   中游 = 制造/组件/中间品(半导体[含设备制造]、光模块、PCB、电池、光伏、整机零部件、创新药…)。</t>
        </is>
      </c>
    </row>
    <row r="20">
      <c r="A20" s="12" t="inlineStr">
        <is>
          <t xml:space="preserve">   下游 = 应用/终端/品牌/服务/运营(AI应用、软件、家电、食品、医疗服务、电力运营、航运…)。</t>
        </is>
      </c>
    </row>
    <row r="21">
      <c r="A21" s="12" t="inlineStr">
        <is>
          <t xml:space="preserve">   注：半导体设备/制造按"中游"(上游仅指原材料)；金融/地产/主题/宽基 不适用(—)。</t>
        </is>
      </c>
    </row>
    <row r="22">
      <c r="A22" s="12" t="inlineStr"/>
    </row>
    <row r="23">
      <c r="A23" s="13" t="inlineStr">
        <is>
          <t>六、热度口径：按二级 group-by，用 近一周 排序(见"二级赛道热度"sheet)。建议看中位数更稳健；</t>
        </is>
      </c>
    </row>
    <row r="24">
      <c r="A24" s="12" t="inlineStr">
        <is>
          <t xml:space="preserve">   本模板自动汇总用均值(便于公式刷新)，可手动用 MEDIAN(IF()) 数组公式替换。同一龙头横跨多概念会放大热度，留意。</t>
        </is>
      </c>
    </row>
    <row r="25">
      <c r="A25" s="12" t="inlineStr"/>
    </row>
    <row r="26">
      <c r="A26" s="13" t="inlineStr">
        <is>
          <t>下表为 二级→一级→产业链位置 主表，H/J列VLOOKUP引用此处(第30行起，请勿插改行)：</t>
        </is>
      </c>
    </row>
    <row r="29">
      <c r="A29" s="6" t="inlineStr">
        <is>
          <t>二级</t>
        </is>
      </c>
      <c r="B29" s="6" t="inlineStr">
        <is>
          <t>一级</t>
        </is>
      </c>
      <c r="C29" s="6" t="inlineStr">
        <is>
          <t>产业链位置</t>
        </is>
      </c>
    </row>
    <row r="30">
      <c r="A30" s="7" t="inlineStr">
        <is>
          <t>AIoT/物联网</t>
        </is>
      </c>
      <c r="B30" s="7" t="inlineStr">
        <is>
          <t>科技·TMT</t>
        </is>
      </c>
      <c r="C30" s="14" t="inlineStr">
        <is>
          <t>中游</t>
        </is>
      </c>
    </row>
    <row r="31">
      <c r="A31" s="7" t="inlineStr">
        <is>
          <t>AI应用</t>
        </is>
      </c>
      <c r="B31" s="7" t="inlineStr">
        <is>
          <t>科技·TMT</t>
        </is>
      </c>
      <c r="C31" s="15" t="inlineStr">
        <is>
          <t>下游</t>
        </is>
      </c>
    </row>
    <row r="32">
      <c r="A32" s="7" t="inlineStr">
        <is>
          <t>PCB/覆铜板</t>
        </is>
      </c>
      <c r="B32" s="7" t="inlineStr">
        <is>
          <t>科技·TMT</t>
        </is>
      </c>
      <c r="C32" s="14" t="inlineStr">
        <is>
          <t>中游</t>
        </is>
      </c>
    </row>
    <row r="33">
      <c r="A33" s="7" t="inlineStr">
        <is>
          <t>传媒/游戏</t>
        </is>
      </c>
      <c r="B33" s="7" t="inlineStr">
        <is>
          <t>科技·TMT</t>
        </is>
      </c>
      <c r="C33" s="15" t="inlineStr">
        <is>
          <t>下游</t>
        </is>
      </c>
    </row>
    <row r="34">
      <c r="A34" s="7" t="inlineStr">
        <is>
          <t>传媒互联网</t>
        </is>
      </c>
      <c r="B34" s="7" t="inlineStr">
        <is>
          <t>科技·TMT</t>
        </is>
      </c>
      <c r="C34" s="15" t="inlineStr">
        <is>
          <t>下游</t>
        </is>
      </c>
    </row>
    <row r="35">
      <c r="A35" s="7" t="inlineStr">
        <is>
          <t>信创/国产化</t>
        </is>
      </c>
      <c r="B35" s="7" t="inlineStr">
        <is>
          <t>科技·TMT</t>
        </is>
      </c>
      <c r="C35" s="15" t="inlineStr">
        <is>
          <t>下游</t>
        </is>
      </c>
    </row>
    <row r="36">
      <c r="A36" s="7" t="inlineStr">
        <is>
          <t>光通信/算力硬件</t>
        </is>
      </c>
      <c r="B36" s="7" t="inlineStr">
        <is>
          <t>科技·TMT</t>
        </is>
      </c>
      <c r="C36" s="14" t="inlineStr">
        <is>
          <t>中游</t>
        </is>
      </c>
    </row>
    <row r="37">
      <c r="A37" s="7" t="inlineStr">
        <is>
          <t>区块链/Web3</t>
        </is>
      </c>
      <c r="B37" s="7" t="inlineStr">
        <is>
          <t>科技·TMT</t>
        </is>
      </c>
      <c r="C37" s="15" t="inlineStr">
        <is>
          <t>下游</t>
        </is>
      </c>
    </row>
    <row r="38">
      <c r="A38" s="7" t="inlineStr">
        <is>
          <t>半导体</t>
        </is>
      </c>
      <c r="B38" s="7" t="inlineStr">
        <is>
          <t>科技·TMT</t>
        </is>
      </c>
      <c r="C38" s="14" t="inlineStr">
        <is>
          <t>中游</t>
        </is>
      </c>
    </row>
    <row r="39">
      <c r="A39" s="7" t="inlineStr">
        <is>
          <t>消费电子</t>
        </is>
      </c>
      <c r="B39" s="7" t="inlineStr">
        <is>
          <t>科技·TMT</t>
        </is>
      </c>
      <c r="C39" s="14" t="inlineStr">
        <is>
          <t>中游</t>
        </is>
      </c>
    </row>
    <row r="40">
      <c r="A40" s="7" t="inlineStr">
        <is>
          <t>综合</t>
        </is>
      </c>
      <c r="B40" s="7" t="inlineStr">
        <is>
          <t>科技·TMT</t>
        </is>
      </c>
      <c r="C40" s="14" t="inlineStr">
        <is>
          <t>中游</t>
        </is>
      </c>
    </row>
    <row r="41">
      <c r="A41" s="7" t="inlineStr">
        <is>
          <t>通信</t>
        </is>
      </c>
      <c r="B41" s="7" t="inlineStr">
        <is>
          <t>科技·TMT</t>
        </is>
      </c>
      <c r="C41" s="14" t="inlineStr">
        <is>
          <t>中游</t>
        </is>
      </c>
    </row>
    <row r="42">
      <c r="A42" s="7" t="inlineStr">
        <is>
          <t>面板显示</t>
        </is>
      </c>
      <c r="B42" s="7" t="inlineStr">
        <is>
          <t>科技·TMT</t>
        </is>
      </c>
      <c r="C42" s="14" t="inlineStr">
        <is>
          <t>中游</t>
        </is>
      </c>
    </row>
    <row r="43">
      <c r="A43" s="7" t="inlineStr">
        <is>
          <t>储能/电池</t>
        </is>
      </c>
      <c r="B43" s="7" t="inlineStr">
        <is>
          <t>高端制造</t>
        </is>
      </c>
      <c r="C43" s="14" t="inlineStr">
        <is>
          <t>中游</t>
        </is>
      </c>
    </row>
    <row r="44">
      <c r="A44" s="7" t="inlineStr">
        <is>
          <t>光伏</t>
        </is>
      </c>
      <c r="B44" s="7" t="inlineStr">
        <is>
          <t>高端制造</t>
        </is>
      </c>
      <c r="C44" s="14" t="inlineStr">
        <is>
          <t>中游</t>
        </is>
      </c>
    </row>
    <row r="45">
      <c r="A45" s="7" t="inlineStr">
        <is>
          <t>工业自动化</t>
        </is>
      </c>
      <c r="B45" s="7" t="inlineStr">
        <is>
          <t>高端制造</t>
        </is>
      </c>
      <c r="C45" s="14" t="inlineStr">
        <is>
          <t>中游</t>
        </is>
      </c>
    </row>
    <row r="46">
      <c r="A46" s="7" t="inlineStr">
        <is>
          <t>智慧城市</t>
        </is>
      </c>
      <c r="B46" s="7" t="inlineStr">
        <is>
          <t>高端制造</t>
        </is>
      </c>
      <c r="C46" s="14" t="inlineStr">
        <is>
          <t>中游</t>
        </is>
      </c>
    </row>
    <row r="47">
      <c r="A47" s="7" t="inlineStr">
        <is>
          <t>机器人</t>
        </is>
      </c>
      <c r="B47" s="7" t="inlineStr">
        <is>
          <t>高端制造</t>
        </is>
      </c>
      <c r="C47" s="14" t="inlineStr">
        <is>
          <t>中游</t>
        </is>
      </c>
    </row>
    <row r="48">
      <c r="A48" s="7" t="inlineStr">
        <is>
          <t>汽车</t>
        </is>
      </c>
      <c r="B48" s="7" t="inlineStr">
        <is>
          <t>高端制造</t>
        </is>
      </c>
      <c r="C48" s="14" t="inlineStr">
        <is>
          <t>中游</t>
        </is>
      </c>
    </row>
    <row r="49">
      <c r="A49" s="7" t="inlineStr">
        <is>
          <t>电力设备</t>
        </is>
      </c>
      <c r="B49" s="7" t="inlineStr">
        <is>
          <t>高端制造</t>
        </is>
      </c>
      <c r="C49" s="14" t="inlineStr">
        <is>
          <t>中游</t>
        </is>
      </c>
    </row>
    <row r="50">
      <c r="A50" s="7" t="inlineStr">
        <is>
          <t>综合装备</t>
        </is>
      </c>
      <c r="B50" s="7" t="inlineStr">
        <is>
          <t>高端制造</t>
        </is>
      </c>
      <c r="C50" s="14" t="inlineStr">
        <is>
          <t>中游</t>
        </is>
      </c>
    </row>
    <row r="51">
      <c r="A51" s="7" t="inlineStr">
        <is>
          <t>航空航天</t>
        </is>
      </c>
      <c r="B51" s="7" t="inlineStr">
        <is>
          <t>高端制造</t>
        </is>
      </c>
      <c r="C51" s="14" t="inlineStr">
        <is>
          <t>中游</t>
        </is>
      </c>
    </row>
    <row r="52">
      <c r="A52" s="7" t="inlineStr">
        <is>
          <t>船舶</t>
        </is>
      </c>
      <c r="B52" s="7" t="inlineStr">
        <is>
          <t>高端制造</t>
        </is>
      </c>
      <c r="C52" s="14" t="inlineStr">
        <is>
          <t>中游</t>
        </is>
      </c>
    </row>
    <row r="53">
      <c r="A53" s="7" t="inlineStr">
        <is>
          <t>轨道交通</t>
        </is>
      </c>
      <c r="B53" s="7" t="inlineStr">
        <is>
          <t>高端制造</t>
        </is>
      </c>
      <c r="C53" s="14" t="inlineStr">
        <is>
          <t>中游</t>
        </is>
      </c>
    </row>
    <row r="54">
      <c r="A54" s="7" t="inlineStr">
        <is>
          <t>化工</t>
        </is>
      </c>
      <c r="B54" s="7" t="inlineStr">
        <is>
          <t>资源·材料</t>
        </is>
      </c>
      <c r="C54" s="16" t="inlineStr">
        <is>
          <t>上游</t>
        </is>
      </c>
    </row>
    <row r="55">
      <c r="A55" s="7" t="inlineStr">
        <is>
          <t>新材料</t>
        </is>
      </c>
      <c r="B55" s="7" t="inlineStr">
        <is>
          <t>资源·材料</t>
        </is>
      </c>
      <c r="C55" s="16" t="inlineStr">
        <is>
          <t>上游</t>
        </is>
      </c>
    </row>
    <row r="56">
      <c r="A56" s="7" t="inlineStr">
        <is>
          <t>有色金属</t>
        </is>
      </c>
      <c r="B56" s="7" t="inlineStr">
        <is>
          <t>资源·材料</t>
        </is>
      </c>
      <c r="C56" s="16" t="inlineStr">
        <is>
          <t>上游</t>
        </is>
      </c>
    </row>
    <row r="57">
      <c r="A57" s="7" t="inlineStr">
        <is>
          <t>电子材料</t>
        </is>
      </c>
      <c r="B57" s="7" t="inlineStr">
        <is>
          <t>资源·材料</t>
        </is>
      </c>
      <c r="C57" s="16" t="inlineStr">
        <is>
          <t>上游</t>
        </is>
      </c>
    </row>
    <row r="58">
      <c r="A58" s="7" t="inlineStr">
        <is>
          <t>贵金属</t>
        </is>
      </c>
      <c r="B58" s="7" t="inlineStr">
        <is>
          <t>资源·材料</t>
        </is>
      </c>
      <c r="C58" s="16" t="inlineStr">
        <is>
          <t>上游</t>
        </is>
      </c>
    </row>
    <row r="59">
      <c r="A59" s="7" t="inlineStr">
        <is>
          <t>资源回收</t>
        </is>
      </c>
      <c r="B59" s="7" t="inlineStr">
        <is>
          <t>资源·材料</t>
        </is>
      </c>
      <c r="C59" s="16" t="inlineStr">
        <is>
          <t>上游</t>
        </is>
      </c>
    </row>
    <row r="60">
      <c r="A60" s="7" t="inlineStr">
        <is>
          <t>超硬材料</t>
        </is>
      </c>
      <c r="B60" s="7" t="inlineStr">
        <is>
          <t>资源·材料</t>
        </is>
      </c>
      <c r="C60" s="16" t="inlineStr">
        <is>
          <t>上游</t>
        </is>
      </c>
    </row>
    <row r="61">
      <c r="A61" s="7" t="inlineStr">
        <is>
          <t>钢铁/电极材料</t>
        </is>
      </c>
      <c r="B61" s="7" t="inlineStr">
        <is>
          <t>资源·材料</t>
        </is>
      </c>
      <c r="C61" s="16" t="inlineStr">
        <is>
          <t>上游</t>
        </is>
      </c>
    </row>
    <row r="62">
      <c r="A62" s="7" t="inlineStr">
        <is>
          <t>新能源发电</t>
        </is>
      </c>
      <c r="B62" s="7" t="inlineStr">
        <is>
          <t>能源·电力·公用</t>
        </is>
      </c>
      <c r="C62" s="15" t="inlineStr">
        <is>
          <t>下游</t>
        </is>
      </c>
    </row>
    <row r="63">
      <c r="A63" s="7" t="inlineStr">
        <is>
          <t>核电</t>
        </is>
      </c>
      <c r="B63" s="7" t="inlineStr">
        <is>
          <t>能源·电力·公用</t>
        </is>
      </c>
      <c r="C63" s="16" t="inlineStr">
        <is>
          <t>上游</t>
        </is>
      </c>
    </row>
    <row r="64">
      <c r="A64" s="7" t="inlineStr">
        <is>
          <t>氢能</t>
        </is>
      </c>
      <c r="B64" s="7" t="inlineStr">
        <is>
          <t>能源·电力·公用</t>
        </is>
      </c>
      <c r="C64" s="14" t="inlineStr">
        <is>
          <t>中游</t>
        </is>
      </c>
    </row>
    <row r="65">
      <c r="A65" s="7" t="inlineStr">
        <is>
          <t>油气</t>
        </is>
      </c>
      <c r="B65" s="7" t="inlineStr">
        <is>
          <t>能源·电力·公用</t>
        </is>
      </c>
      <c r="C65" s="16" t="inlineStr">
        <is>
          <t>上游</t>
        </is>
      </c>
    </row>
    <row r="66">
      <c r="A66" s="7" t="inlineStr">
        <is>
          <t>火电</t>
        </is>
      </c>
      <c r="B66" s="7" t="inlineStr">
        <is>
          <t>能源·电力·公用</t>
        </is>
      </c>
      <c r="C66" s="16" t="inlineStr">
        <is>
          <t>上游</t>
        </is>
      </c>
    </row>
    <row r="67">
      <c r="A67" s="7" t="inlineStr">
        <is>
          <t>煤炭</t>
        </is>
      </c>
      <c r="B67" s="7" t="inlineStr">
        <is>
          <t>能源·电力·公用</t>
        </is>
      </c>
      <c r="C67" s="16" t="inlineStr">
        <is>
          <t>上游</t>
        </is>
      </c>
    </row>
    <row r="68">
      <c r="A68" s="7" t="inlineStr">
        <is>
          <t>环保</t>
        </is>
      </c>
      <c r="B68" s="7" t="inlineStr">
        <is>
          <t>能源·电力·公用</t>
        </is>
      </c>
      <c r="C68" s="15" t="inlineStr">
        <is>
          <t>下游</t>
        </is>
      </c>
    </row>
    <row r="69">
      <c r="A69" s="7" t="inlineStr">
        <is>
          <t>电力运营/储能</t>
        </is>
      </c>
      <c r="B69" s="7" t="inlineStr">
        <is>
          <t>能源·电力·公用</t>
        </is>
      </c>
      <c r="C69" s="15" t="inlineStr">
        <is>
          <t>下游</t>
        </is>
      </c>
    </row>
    <row r="70">
      <c r="A70" s="7" t="inlineStr">
        <is>
          <t>农业(养殖)</t>
        </is>
      </c>
      <c r="B70" s="7" t="inlineStr">
        <is>
          <t>消费</t>
        </is>
      </c>
      <c r="C70" s="16" t="inlineStr">
        <is>
          <t>上游</t>
        </is>
      </c>
    </row>
    <row r="71">
      <c r="A71" s="7" t="inlineStr">
        <is>
          <t>农业(种植)</t>
        </is>
      </c>
      <c r="B71" s="7" t="inlineStr">
        <is>
          <t>消费</t>
        </is>
      </c>
      <c r="C71" s="16" t="inlineStr">
        <is>
          <t>上游</t>
        </is>
      </c>
    </row>
    <row r="72">
      <c r="A72" s="7" t="inlineStr">
        <is>
          <t>商贸/服务</t>
        </is>
      </c>
      <c r="B72" s="7" t="inlineStr">
        <is>
          <t>消费</t>
        </is>
      </c>
      <c r="C72" s="15" t="inlineStr">
        <is>
          <t>下游</t>
        </is>
      </c>
    </row>
    <row r="73">
      <c r="A73" s="7" t="inlineStr">
        <is>
          <t>家电</t>
        </is>
      </c>
      <c r="B73" s="7" t="inlineStr">
        <is>
          <t>消费</t>
        </is>
      </c>
      <c r="C73" s="15" t="inlineStr">
        <is>
          <t>下游</t>
        </is>
      </c>
    </row>
    <row r="74">
      <c r="A74" s="7" t="inlineStr">
        <is>
          <t>家电·环保</t>
        </is>
      </c>
      <c r="B74" s="7" t="inlineStr">
        <is>
          <t>消费</t>
        </is>
      </c>
      <c r="C74" s="15" t="inlineStr">
        <is>
          <t>下游</t>
        </is>
      </c>
    </row>
    <row r="75">
      <c r="A75" s="7" t="inlineStr">
        <is>
          <t>教育服务</t>
        </is>
      </c>
      <c r="B75" s="7" t="inlineStr">
        <is>
          <t>消费</t>
        </is>
      </c>
      <c r="C75" s="15" t="inlineStr">
        <is>
          <t>下游</t>
        </is>
      </c>
    </row>
    <row r="76">
      <c r="A76" s="7" t="inlineStr">
        <is>
          <t>烟草</t>
        </is>
      </c>
      <c r="B76" s="7" t="inlineStr">
        <is>
          <t>消费</t>
        </is>
      </c>
      <c r="C76" s="15" t="inlineStr">
        <is>
          <t>下游</t>
        </is>
      </c>
    </row>
    <row r="77">
      <c r="A77" s="7" t="inlineStr">
        <is>
          <t>食品饮料</t>
        </is>
      </c>
      <c r="B77" s="7" t="inlineStr">
        <is>
          <t>消费</t>
        </is>
      </c>
      <c r="C77" s="15" t="inlineStr">
        <is>
          <t>下游</t>
        </is>
      </c>
    </row>
    <row r="78">
      <c r="A78" s="7" t="inlineStr">
        <is>
          <t>CXO</t>
        </is>
      </c>
      <c r="B78" s="7" t="inlineStr">
        <is>
          <t>医药</t>
        </is>
      </c>
      <c r="C78" s="14" t="inlineStr">
        <is>
          <t>中游</t>
        </is>
      </c>
    </row>
    <row r="79">
      <c r="A79" s="7" t="inlineStr">
        <is>
          <t>中药/原料</t>
        </is>
      </c>
      <c r="B79" s="7" t="inlineStr">
        <is>
          <t>医药</t>
        </is>
      </c>
      <c r="C79" s="14" t="inlineStr">
        <is>
          <t>中游</t>
        </is>
      </c>
    </row>
    <row r="80">
      <c r="A80" s="7" t="inlineStr">
        <is>
          <t>创新药</t>
        </is>
      </c>
      <c r="B80" s="7" t="inlineStr">
        <is>
          <t>医药</t>
        </is>
      </c>
      <c r="C80" s="14" t="inlineStr">
        <is>
          <t>中游</t>
        </is>
      </c>
    </row>
    <row r="81">
      <c r="A81" s="7" t="inlineStr">
        <is>
          <t>医疗器械</t>
        </is>
      </c>
      <c r="B81" s="7" t="inlineStr">
        <is>
          <t>医药</t>
        </is>
      </c>
      <c r="C81" s="14" t="inlineStr">
        <is>
          <t>中游</t>
        </is>
      </c>
    </row>
    <row r="82">
      <c r="A82" s="7" t="inlineStr">
        <is>
          <t>医疗服务</t>
        </is>
      </c>
      <c r="B82" s="7" t="inlineStr">
        <is>
          <t>医药</t>
        </is>
      </c>
      <c r="C82" s="15" t="inlineStr">
        <is>
          <t>下游</t>
        </is>
      </c>
    </row>
    <row r="83">
      <c r="A83" s="7" t="inlineStr">
        <is>
          <t>航运</t>
        </is>
      </c>
      <c r="B83" s="7" t="inlineStr">
        <is>
          <t>交通运输</t>
        </is>
      </c>
      <c r="C83" s="15" t="inlineStr">
        <is>
          <t>下游</t>
        </is>
      </c>
    </row>
    <row r="84">
      <c r="A84" s="7" t="inlineStr">
        <is>
          <t>地产链</t>
        </is>
      </c>
      <c r="B84" s="7" t="inlineStr">
        <is>
          <t>金融地产</t>
        </is>
      </c>
      <c r="C84" s="17" t="inlineStr">
        <is>
          <t>—</t>
        </is>
      </c>
    </row>
    <row r="85">
      <c r="A85" s="7" t="inlineStr">
        <is>
          <t>金融</t>
        </is>
      </c>
      <c r="B85" s="7" t="inlineStr">
        <is>
          <t>金融地产</t>
        </is>
      </c>
      <c r="C85" s="17" t="inlineStr">
        <is>
          <t>—</t>
        </is>
      </c>
    </row>
    <row r="86">
      <c r="A86" s="7" t="inlineStr">
        <is>
          <t>金融科技</t>
        </is>
      </c>
      <c r="B86" s="7" t="inlineStr">
        <is>
          <t>金融地产</t>
        </is>
      </c>
      <c r="C86" s="17" t="inlineStr">
        <is>
          <t>—</t>
        </is>
      </c>
    </row>
    <row r="87">
      <c r="A87" s="7" t="inlineStr">
        <is>
          <t>上证180</t>
        </is>
      </c>
      <c r="B87" s="7" t="inlineStr">
        <is>
          <t>宽基指数</t>
        </is>
      </c>
      <c r="C87" s="17" t="inlineStr">
        <is>
          <t>—</t>
        </is>
      </c>
    </row>
    <row r="88">
      <c r="A88" s="7" t="inlineStr">
        <is>
          <t>上证380</t>
        </is>
      </c>
      <c r="B88" s="7" t="inlineStr">
        <is>
          <t>宽基指数</t>
        </is>
      </c>
      <c r="C88" s="17" t="inlineStr">
        <is>
          <t>—</t>
        </is>
      </c>
    </row>
    <row r="89">
      <c r="A89" s="7" t="inlineStr">
        <is>
          <t>专精特新</t>
        </is>
      </c>
      <c r="B89" s="7" t="inlineStr">
        <is>
          <t>市场风格</t>
        </is>
      </c>
      <c r="C89" s="17" t="inlineStr">
        <is>
          <t>—</t>
        </is>
      </c>
    </row>
    <row r="90">
      <c r="A90" s="7" t="inlineStr">
        <is>
          <t>两岸</t>
        </is>
      </c>
      <c r="B90" s="7" t="inlineStr">
        <is>
          <t>区域主题</t>
        </is>
      </c>
      <c r="C90" s="17" t="inlineStr">
        <is>
          <t>—</t>
        </is>
      </c>
    </row>
    <row r="91">
      <c r="A91" s="7" t="inlineStr">
        <is>
          <t>两融</t>
        </is>
      </c>
      <c r="B91" s="7" t="inlineStr">
        <is>
          <t>资金/两融</t>
        </is>
      </c>
      <c r="C91" s="17" t="inlineStr">
        <is>
          <t>—</t>
        </is>
      </c>
    </row>
    <row r="92">
      <c r="A92" s="7" t="inlineStr">
        <is>
          <t>中证500</t>
        </is>
      </c>
      <c r="B92" s="7" t="inlineStr">
        <is>
          <t>宽基指数</t>
        </is>
      </c>
      <c r="C92" s="17" t="inlineStr">
        <is>
          <t>—</t>
        </is>
      </c>
    </row>
    <row r="93">
      <c r="A93" s="7" t="inlineStr">
        <is>
          <t>主题指数</t>
        </is>
      </c>
      <c r="B93" s="7" t="inlineStr">
        <is>
          <t>工具指数</t>
        </is>
      </c>
      <c r="C93" s="17" t="inlineStr">
        <is>
          <t>—</t>
        </is>
      </c>
    </row>
    <row r="94">
      <c r="A94" s="7" t="inlineStr">
        <is>
          <t>化债</t>
        </is>
      </c>
      <c r="B94" s="7" t="inlineStr">
        <is>
          <t>政策主题</t>
        </is>
      </c>
      <c r="C94" s="17" t="inlineStr">
        <is>
          <t>—</t>
        </is>
      </c>
    </row>
    <row r="95">
      <c r="A95" s="7" t="inlineStr">
        <is>
          <t>区域/改革</t>
        </is>
      </c>
      <c r="B95" s="7" t="inlineStr">
        <is>
          <t>区域主题</t>
        </is>
      </c>
      <c r="C95" s="17" t="inlineStr">
        <is>
          <t>—</t>
        </is>
      </c>
    </row>
    <row r="96">
      <c r="A96" s="7" t="inlineStr">
        <is>
          <t>地缘</t>
        </is>
      </c>
      <c r="B96" s="7" t="inlineStr">
        <is>
          <t>宏观主题</t>
        </is>
      </c>
      <c r="C96" s="17" t="inlineStr">
        <is>
          <t>—</t>
        </is>
      </c>
    </row>
    <row r="97">
      <c r="A97" s="7" t="inlineStr">
        <is>
          <t>大湾区</t>
        </is>
      </c>
      <c r="B97" s="7" t="inlineStr">
        <is>
          <t>区域主题</t>
        </is>
      </c>
      <c r="C97" s="17" t="inlineStr">
        <is>
          <t>—</t>
        </is>
      </c>
    </row>
    <row r="98">
      <c r="A98" s="7" t="inlineStr">
        <is>
          <t>宽基/成分股</t>
        </is>
      </c>
      <c r="B98" s="7" t="inlineStr">
        <is>
          <t>宽基指数</t>
        </is>
      </c>
      <c r="C98" s="17" t="inlineStr">
        <is>
          <t>—</t>
        </is>
      </c>
    </row>
    <row r="99">
      <c r="A99" s="7" t="inlineStr">
        <is>
          <t>并购重组</t>
        </is>
      </c>
      <c r="B99" s="7" t="inlineStr">
        <is>
          <t>事件驱动</t>
        </is>
      </c>
      <c r="C99" s="17" t="inlineStr">
        <is>
          <t>—</t>
        </is>
      </c>
    </row>
    <row r="100">
      <c r="A100" s="7" t="inlineStr">
        <is>
          <t>摘帽</t>
        </is>
      </c>
      <c r="B100" s="7" t="inlineStr">
        <is>
          <t>事件驱动</t>
        </is>
      </c>
      <c r="C100" s="17" t="inlineStr">
        <is>
          <t>—</t>
        </is>
      </c>
    </row>
    <row r="101">
      <c r="A101" s="7" t="inlineStr">
        <is>
          <t>政策/要素</t>
        </is>
      </c>
      <c r="B101" s="7" t="inlineStr">
        <is>
          <t>政策主题</t>
        </is>
      </c>
      <c r="C101" s="17" t="inlineStr">
        <is>
          <t>—</t>
        </is>
      </c>
    </row>
    <row r="102">
      <c r="A102" s="7" t="inlineStr">
        <is>
          <t>新型工业化</t>
        </is>
      </c>
      <c r="B102" s="7" t="inlineStr">
        <is>
          <t>政策主题</t>
        </is>
      </c>
      <c r="C102" s="17" t="inlineStr">
        <is>
          <t>—</t>
        </is>
      </c>
    </row>
    <row r="103">
      <c r="A103" s="7" t="inlineStr">
        <is>
          <t>次新股</t>
        </is>
      </c>
      <c r="B103" s="7" t="inlineStr">
        <is>
          <t>市场风格</t>
        </is>
      </c>
      <c r="C103" s="17" t="inlineStr">
        <is>
          <t>—</t>
        </is>
      </c>
    </row>
    <row r="104">
      <c r="A104" s="7" t="inlineStr">
        <is>
          <t>汇率</t>
        </is>
      </c>
      <c r="B104" s="7" t="inlineStr">
        <is>
          <t>宏观主题</t>
        </is>
      </c>
      <c r="C104" s="17" t="inlineStr">
        <is>
          <t>—</t>
        </is>
      </c>
    </row>
    <row r="105">
      <c r="A105" s="7" t="inlineStr">
        <is>
          <t>沪深300</t>
        </is>
      </c>
      <c r="B105" s="7" t="inlineStr">
        <is>
          <t>宽基指数</t>
        </is>
      </c>
      <c r="C105" s="17" t="inlineStr">
        <is>
          <t>—</t>
        </is>
      </c>
    </row>
    <row r="106">
      <c r="A106" s="7" t="inlineStr">
        <is>
          <t>沪股通</t>
        </is>
      </c>
      <c r="B106" s="7" t="inlineStr">
        <is>
          <t>资金/北向</t>
        </is>
      </c>
      <c r="C106" s="17" t="inlineStr">
        <is>
          <t>—</t>
        </is>
      </c>
    </row>
    <row r="107">
      <c r="A107" s="7" t="inlineStr">
        <is>
          <t>深股通</t>
        </is>
      </c>
      <c r="B107" s="7" t="inlineStr">
        <is>
          <t>资金/北向</t>
        </is>
      </c>
      <c r="C107" s="17" t="inlineStr">
        <is>
          <t>—</t>
        </is>
      </c>
    </row>
    <row r="108">
      <c r="A108" s="7" t="inlineStr">
        <is>
          <t>碳中和</t>
        </is>
      </c>
      <c r="B108" s="7" t="inlineStr">
        <is>
          <t>政策主题</t>
        </is>
      </c>
      <c r="C108" s="17" t="inlineStr">
        <is>
          <t>—</t>
        </is>
      </c>
    </row>
    <row r="109">
      <c r="A109" s="7" t="inlineStr">
        <is>
          <t>碳交易</t>
        </is>
      </c>
      <c r="B109" s="7" t="inlineStr">
        <is>
          <t>政策主题</t>
        </is>
      </c>
      <c r="C109" s="17" t="inlineStr">
        <is>
          <t>—</t>
        </is>
      </c>
    </row>
    <row r="110">
      <c r="A110" s="7" t="inlineStr">
        <is>
          <t>红利</t>
        </is>
      </c>
      <c r="B110" s="7" t="inlineStr">
        <is>
          <t>市场风格</t>
        </is>
      </c>
      <c r="C110" s="17" t="inlineStr">
        <is>
          <t>—</t>
        </is>
      </c>
    </row>
    <row r="111">
      <c r="A111" s="7" t="inlineStr">
        <is>
          <t>赛马</t>
        </is>
      </c>
      <c r="B111" s="7" t="inlineStr">
        <is>
          <t>题材</t>
        </is>
      </c>
      <c r="C111" s="17" t="inlineStr">
        <is>
          <t>—</t>
        </is>
      </c>
    </row>
    <row r="112">
      <c r="A112" s="7" t="inlineStr">
        <is>
          <t>金融工具</t>
        </is>
      </c>
      <c r="B112" s="7" t="inlineStr">
        <is>
          <t>资金/题材</t>
        </is>
      </c>
      <c r="C112" s="17" t="inlineStr">
        <is>
          <t>—</t>
        </is>
      </c>
    </row>
    <row r="113">
      <c r="A113" s="7" t="inlineStr">
        <is>
          <t>长三角</t>
        </is>
      </c>
      <c r="B113" s="7" t="inlineStr">
        <is>
          <t>区域主题</t>
        </is>
      </c>
      <c r="C113" s="17" t="inlineStr">
        <is>
          <t>—</t>
        </is>
      </c>
    </row>
    <row r="114">
      <c r="A114" s="7" t="inlineStr">
        <is>
          <t>预增</t>
        </is>
      </c>
      <c r="B114" s="7" t="inlineStr">
        <is>
          <t>业绩驱动</t>
        </is>
      </c>
      <c r="C114" s="17" t="inlineStr">
        <is>
          <t>—</t>
        </is>
      </c>
    </row>
    <row r="115">
      <c r="A115" s="7" t="inlineStr">
        <is>
          <t>风格/事件</t>
        </is>
      </c>
      <c r="B115" s="7" t="inlineStr">
        <is>
          <t>市场风格</t>
        </is>
      </c>
      <c r="C115" s="1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6" t="inlineStr">
        <is>
          <t>二级赛道</t>
        </is>
      </c>
      <c r="B1" s="6" t="inlineStr">
        <is>
          <t>一级</t>
        </is>
      </c>
      <c r="C1" s="6" t="inlineStr">
        <is>
          <t>概念数</t>
        </is>
      </c>
      <c r="D1" s="6" t="inlineStr">
        <is>
          <t>周涨幅均值</t>
        </is>
      </c>
      <c r="E1" s="6" t="inlineStr">
        <is>
          <t>月涨幅均值</t>
        </is>
      </c>
      <c r="F1" s="6" t="inlineStr">
        <is>
          <t>加速度均值</t>
        </is>
      </c>
      <c r="G1" s="6" t="inlineStr">
        <is>
          <t>周内最强</t>
        </is>
      </c>
    </row>
    <row r="2">
      <c r="A2" s="8" t="inlineStr">
        <is>
          <t>AIoT/物联网</t>
        </is>
      </c>
      <c r="B2" s="8" t="inlineStr">
        <is>
          <t>科技·TMT</t>
        </is>
      </c>
      <c r="C2" s="7">
        <f>COUNTIF('概念指数热点监控'!$I$4:$I$396,$A2)</f>
        <v/>
      </c>
      <c r="D2" s="10">
        <f>IFERROR(AVERAGEIF('概念指数热点监控'!$I$4:$I$396,$A2,'概念指数热点监控'!$D$4:$D$396),"")</f>
        <v/>
      </c>
      <c r="E2" s="10">
        <f>IFERROR(AVERAGEIF('概念指数热点监控'!$I$4:$I$396,$A2,'概念指数热点监控'!$E$4:$E$396),"")</f>
        <v/>
      </c>
      <c r="F2" s="10">
        <f>IFERROR(AVERAGEIF('概念指数热点监控'!$I$4:$I$396,$A2,'概念指数热点监控'!$F$4:$F$396),"")</f>
        <v/>
      </c>
      <c r="G2" s="10">
        <f>IFERROR(MAXIFS('概念指数热点监控'!$D$4:$D$396,'概念指数热点监控'!$I$4:$I$396,$A2),"")</f>
        <v/>
      </c>
    </row>
    <row r="3">
      <c r="A3" s="8" t="inlineStr">
        <is>
          <t>AI应用</t>
        </is>
      </c>
      <c r="B3" s="8" t="inlineStr">
        <is>
          <t>科技·TMT</t>
        </is>
      </c>
      <c r="C3" s="7">
        <f>COUNTIF('概念指数热点监控'!$I$4:$I$396,$A3)</f>
        <v/>
      </c>
      <c r="D3" s="10">
        <f>IFERROR(AVERAGEIF('概念指数热点监控'!$I$4:$I$396,$A3,'概念指数热点监控'!$D$4:$D$396),"")</f>
        <v/>
      </c>
      <c r="E3" s="10">
        <f>IFERROR(AVERAGEIF('概念指数热点监控'!$I$4:$I$396,$A3,'概念指数热点监控'!$E$4:$E$396),"")</f>
        <v/>
      </c>
      <c r="F3" s="10">
        <f>IFERROR(AVERAGEIF('概念指数热点监控'!$I$4:$I$396,$A3,'概念指数热点监控'!$F$4:$F$396),"")</f>
        <v/>
      </c>
      <c r="G3" s="10">
        <f>IFERROR(MAXIFS('概念指数热点监控'!$D$4:$D$396,'概念指数热点监控'!$I$4:$I$396,$A3),"")</f>
        <v/>
      </c>
    </row>
    <row r="4">
      <c r="A4" s="8" t="inlineStr">
        <is>
          <t>PCB/覆铜板</t>
        </is>
      </c>
      <c r="B4" s="8" t="inlineStr">
        <is>
          <t>科技·TMT</t>
        </is>
      </c>
      <c r="C4" s="7">
        <f>COUNTIF('概念指数热点监控'!$I$4:$I$396,$A4)</f>
        <v/>
      </c>
      <c r="D4" s="10">
        <f>IFERROR(AVERAGEIF('概念指数热点监控'!$I$4:$I$396,$A4,'概念指数热点监控'!$D$4:$D$396),"")</f>
        <v/>
      </c>
      <c r="E4" s="10">
        <f>IFERROR(AVERAGEIF('概念指数热点监控'!$I$4:$I$396,$A4,'概念指数热点监控'!$E$4:$E$396),"")</f>
        <v/>
      </c>
      <c r="F4" s="10">
        <f>IFERROR(AVERAGEIF('概念指数热点监控'!$I$4:$I$396,$A4,'概念指数热点监控'!$F$4:$F$396),"")</f>
        <v/>
      </c>
      <c r="G4" s="10">
        <f>IFERROR(MAXIFS('概念指数热点监控'!$D$4:$D$396,'概念指数热点监控'!$I$4:$I$396,$A4),"")</f>
        <v/>
      </c>
    </row>
    <row r="5">
      <c r="A5" s="8" t="inlineStr">
        <is>
          <t>传媒/游戏</t>
        </is>
      </c>
      <c r="B5" s="8" t="inlineStr">
        <is>
          <t>科技·TMT</t>
        </is>
      </c>
      <c r="C5" s="7">
        <f>COUNTIF('概念指数热点监控'!$I$4:$I$396,$A5)</f>
        <v/>
      </c>
      <c r="D5" s="10">
        <f>IFERROR(AVERAGEIF('概念指数热点监控'!$I$4:$I$396,$A5,'概念指数热点监控'!$D$4:$D$396),"")</f>
        <v/>
      </c>
      <c r="E5" s="10">
        <f>IFERROR(AVERAGEIF('概念指数热点监控'!$I$4:$I$396,$A5,'概念指数热点监控'!$E$4:$E$396),"")</f>
        <v/>
      </c>
      <c r="F5" s="10">
        <f>IFERROR(AVERAGEIF('概念指数热点监控'!$I$4:$I$396,$A5,'概念指数热点监控'!$F$4:$F$396),"")</f>
        <v/>
      </c>
      <c r="G5" s="10">
        <f>IFERROR(MAXIFS('概念指数热点监控'!$D$4:$D$396,'概念指数热点监控'!$I$4:$I$396,$A5),"")</f>
        <v/>
      </c>
    </row>
    <row r="6">
      <c r="A6" s="8" t="inlineStr">
        <is>
          <t>传媒互联网</t>
        </is>
      </c>
      <c r="B6" s="8" t="inlineStr">
        <is>
          <t>科技·TMT</t>
        </is>
      </c>
      <c r="C6" s="7">
        <f>COUNTIF('概念指数热点监控'!$I$4:$I$396,$A6)</f>
        <v/>
      </c>
      <c r="D6" s="10">
        <f>IFERROR(AVERAGEIF('概念指数热点监控'!$I$4:$I$396,$A6,'概念指数热点监控'!$D$4:$D$396),"")</f>
        <v/>
      </c>
      <c r="E6" s="10">
        <f>IFERROR(AVERAGEIF('概念指数热点监控'!$I$4:$I$396,$A6,'概念指数热点监控'!$E$4:$E$396),"")</f>
        <v/>
      </c>
      <c r="F6" s="10">
        <f>IFERROR(AVERAGEIF('概念指数热点监控'!$I$4:$I$396,$A6,'概念指数热点监控'!$F$4:$F$396),"")</f>
        <v/>
      </c>
      <c r="G6" s="10">
        <f>IFERROR(MAXIFS('概念指数热点监控'!$D$4:$D$396,'概念指数热点监控'!$I$4:$I$396,$A6),"")</f>
        <v/>
      </c>
    </row>
    <row r="7">
      <c r="A7" s="8" t="inlineStr">
        <is>
          <t>信创/国产化</t>
        </is>
      </c>
      <c r="B7" s="8" t="inlineStr">
        <is>
          <t>科技·TMT</t>
        </is>
      </c>
      <c r="C7" s="7">
        <f>COUNTIF('概念指数热点监控'!$I$4:$I$396,$A7)</f>
        <v/>
      </c>
      <c r="D7" s="10">
        <f>IFERROR(AVERAGEIF('概念指数热点监控'!$I$4:$I$396,$A7,'概念指数热点监控'!$D$4:$D$396),"")</f>
        <v/>
      </c>
      <c r="E7" s="10">
        <f>IFERROR(AVERAGEIF('概念指数热点监控'!$I$4:$I$396,$A7,'概念指数热点监控'!$E$4:$E$396),"")</f>
        <v/>
      </c>
      <c r="F7" s="10">
        <f>IFERROR(AVERAGEIF('概念指数热点监控'!$I$4:$I$396,$A7,'概念指数热点监控'!$F$4:$F$396),"")</f>
        <v/>
      </c>
      <c r="G7" s="10">
        <f>IFERROR(MAXIFS('概念指数热点监控'!$D$4:$D$396,'概念指数热点监控'!$I$4:$I$396,$A7),"")</f>
        <v/>
      </c>
    </row>
    <row r="8">
      <c r="A8" s="8" t="inlineStr">
        <is>
          <t>光通信/算力硬件</t>
        </is>
      </c>
      <c r="B8" s="8" t="inlineStr">
        <is>
          <t>科技·TMT</t>
        </is>
      </c>
      <c r="C8" s="7">
        <f>COUNTIF('概念指数热点监控'!$I$4:$I$396,$A8)</f>
        <v/>
      </c>
      <c r="D8" s="10">
        <f>IFERROR(AVERAGEIF('概念指数热点监控'!$I$4:$I$396,$A8,'概念指数热点监控'!$D$4:$D$396),"")</f>
        <v/>
      </c>
      <c r="E8" s="10">
        <f>IFERROR(AVERAGEIF('概念指数热点监控'!$I$4:$I$396,$A8,'概念指数热点监控'!$E$4:$E$396),"")</f>
        <v/>
      </c>
      <c r="F8" s="10">
        <f>IFERROR(AVERAGEIF('概念指数热点监控'!$I$4:$I$396,$A8,'概念指数热点监控'!$F$4:$F$396),"")</f>
        <v/>
      </c>
      <c r="G8" s="10">
        <f>IFERROR(MAXIFS('概念指数热点监控'!$D$4:$D$396,'概念指数热点监控'!$I$4:$I$396,$A8),"")</f>
        <v/>
      </c>
    </row>
    <row r="9">
      <c r="A9" s="8" t="inlineStr">
        <is>
          <t>区块链/Web3</t>
        </is>
      </c>
      <c r="B9" s="8" t="inlineStr">
        <is>
          <t>科技·TMT</t>
        </is>
      </c>
      <c r="C9" s="7">
        <f>COUNTIF('概念指数热点监控'!$I$4:$I$396,$A9)</f>
        <v/>
      </c>
      <c r="D9" s="10">
        <f>IFERROR(AVERAGEIF('概念指数热点监控'!$I$4:$I$396,$A9,'概念指数热点监控'!$D$4:$D$396),"")</f>
        <v/>
      </c>
      <c r="E9" s="10">
        <f>IFERROR(AVERAGEIF('概念指数热点监控'!$I$4:$I$396,$A9,'概念指数热点监控'!$E$4:$E$396),"")</f>
        <v/>
      </c>
      <c r="F9" s="10">
        <f>IFERROR(AVERAGEIF('概念指数热点监控'!$I$4:$I$396,$A9,'概念指数热点监控'!$F$4:$F$396),"")</f>
        <v/>
      </c>
      <c r="G9" s="10">
        <f>IFERROR(MAXIFS('概念指数热点监控'!$D$4:$D$396,'概念指数热点监控'!$I$4:$I$396,$A9),"")</f>
        <v/>
      </c>
    </row>
    <row r="10">
      <c r="A10" s="8" t="inlineStr">
        <is>
          <t>半导体</t>
        </is>
      </c>
      <c r="B10" s="8" t="inlineStr">
        <is>
          <t>科技·TMT</t>
        </is>
      </c>
      <c r="C10" s="7">
        <f>COUNTIF('概念指数热点监控'!$I$4:$I$396,$A10)</f>
        <v/>
      </c>
      <c r="D10" s="10">
        <f>IFERROR(AVERAGEIF('概念指数热点监控'!$I$4:$I$396,$A10,'概念指数热点监控'!$D$4:$D$396),"")</f>
        <v/>
      </c>
      <c r="E10" s="10">
        <f>IFERROR(AVERAGEIF('概念指数热点监控'!$I$4:$I$396,$A10,'概念指数热点监控'!$E$4:$E$396),"")</f>
        <v/>
      </c>
      <c r="F10" s="10">
        <f>IFERROR(AVERAGEIF('概念指数热点监控'!$I$4:$I$396,$A10,'概念指数热点监控'!$F$4:$F$396),"")</f>
        <v/>
      </c>
      <c r="G10" s="10">
        <f>IFERROR(MAXIFS('概念指数热点监控'!$D$4:$D$396,'概念指数热点监控'!$I$4:$I$396,$A10),"")</f>
        <v/>
      </c>
    </row>
    <row r="11">
      <c r="A11" s="8" t="inlineStr">
        <is>
          <t>消费电子</t>
        </is>
      </c>
      <c r="B11" s="8" t="inlineStr">
        <is>
          <t>科技·TMT</t>
        </is>
      </c>
      <c r="C11" s="7">
        <f>COUNTIF('概念指数热点监控'!$I$4:$I$396,$A11)</f>
        <v/>
      </c>
      <c r="D11" s="10">
        <f>IFERROR(AVERAGEIF('概念指数热点监控'!$I$4:$I$396,$A11,'概念指数热点监控'!$D$4:$D$396),"")</f>
        <v/>
      </c>
      <c r="E11" s="10">
        <f>IFERROR(AVERAGEIF('概念指数热点监控'!$I$4:$I$396,$A11,'概念指数热点监控'!$E$4:$E$396),"")</f>
        <v/>
      </c>
      <c r="F11" s="10">
        <f>IFERROR(AVERAGEIF('概念指数热点监控'!$I$4:$I$396,$A11,'概念指数热点监控'!$F$4:$F$396),"")</f>
        <v/>
      </c>
      <c r="G11" s="10">
        <f>IFERROR(MAXIFS('概念指数热点监控'!$D$4:$D$396,'概念指数热点监控'!$I$4:$I$396,$A11),"")</f>
        <v/>
      </c>
    </row>
    <row r="12">
      <c r="A12" s="8" t="inlineStr">
        <is>
          <t>综合</t>
        </is>
      </c>
      <c r="B12" s="8" t="inlineStr">
        <is>
          <t>科技·TMT</t>
        </is>
      </c>
      <c r="C12" s="7">
        <f>COUNTIF('概念指数热点监控'!$I$4:$I$396,$A12)</f>
        <v/>
      </c>
      <c r="D12" s="10">
        <f>IFERROR(AVERAGEIF('概念指数热点监控'!$I$4:$I$396,$A12,'概念指数热点监控'!$D$4:$D$396),"")</f>
        <v/>
      </c>
      <c r="E12" s="10">
        <f>IFERROR(AVERAGEIF('概念指数热点监控'!$I$4:$I$396,$A12,'概念指数热点监控'!$E$4:$E$396),"")</f>
        <v/>
      </c>
      <c r="F12" s="10">
        <f>IFERROR(AVERAGEIF('概念指数热点监控'!$I$4:$I$396,$A12,'概念指数热点监控'!$F$4:$F$396),"")</f>
        <v/>
      </c>
      <c r="G12" s="10">
        <f>IFERROR(MAXIFS('概念指数热点监控'!$D$4:$D$396,'概念指数热点监控'!$I$4:$I$396,$A12),"")</f>
        <v/>
      </c>
    </row>
    <row r="13">
      <c r="A13" s="8" t="inlineStr">
        <is>
          <t>通信</t>
        </is>
      </c>
      <c r="B13" s="8" t="inlineStr">
        <is>
          <t>科技·TMT</t>
        </is>
      </c>
      <c r="C13" s="7">
        <f>COUNTIF('概念指数热点监控'!$I$4:$I$396,$A13)</f>
        <v/>
      </c>
      <c r="D13" s="10">
        <f>IFERROR(AVERAGEIF('概念指数热点监控'!$I$4:$I$396,$A13,'概念指数热点监控'!$D$4:$D$396),"")</f>
        <v/>
      </c>
      <c r="E13" s="10">
        <f>IFERROR(AVERAGEIF('概念指数热点监控'!$I$4:$I$396,$A13,'概念指数热点监控'!$E$4:$E$396),"")</f>
        <v/>
      </c>
      <c r="F13" s="10">
        <f>IFERROR(AVERAGEIF('概念指数热点监控'!$I$4:$I$396,$A13,'概念指数热点监控'!$F$4:$F$396),"")</f>
        <v/>
      </c>
      <c r="G13" s="10">
        <f>IFERROR(MAXIFS('概念指数热点监控'!$D$4:$D$396,'概念指数热点监控'!$I$4:$I$396,$A13),"")</f>
        <v/>
      </c>
    </row>
    <row r="14">
      <c r="A14" s="8" t="inlineStr">
        <is>
          <t>面板显示</t>
        </is>
      </c>
      <c r="B14" s="8" t="inlineStr">
        <is>
          <t>科技·TMT</t>
        </is>
      </c>
      <c r="C14" s="7">
        <f>COUNTIF('概念指数热点监控'!$I$4:$I$396,$A14)</f>
        <v/>
      </c>
      <c r="D14" s="10">
        <f>IFERROR(AVERAGEIF('概念指数热点监控'!$I$4:$I$396,$A14,'概念指数热点监控'!$D$4:$D$396),"")</f>
        <v/>
      </c>
      <c r="E14" s="10">
        <f>IFERROR(AVERAGEIF('概念指数热点监控'!$I$4:$I$396,$A14,'概念指数热点监控'!$E$4:$E$396),"")</f>
        <v/>
      </c>
      <c r="F14" s="10">
        <f>IFERROR(AVERAGEIF('概念指数热点监控'!$I$4:$I$396,$A14,'概念指数热点监控'!$F$4:$F$396),"")</f>
        <v/>
      </c>
      <c r="G14" s="10">
        <f>IFERROR(MAXIFS('概念指数热点监控'!$D$4:$D$396,'概念指数热点监控'!$I$4:$I$396,$A14),"")</f>
        <v/>
      </c>
    </row>
    <row r="15">
      <c r="A15" s="8" t="inlineStr">
        <is>
          <t>储能/电池</t>
        </is>
      </c>
      <c r="B15" s="8" t="inlineStr">
        <is>
          <t>高端制造</t>
        </is>
      </c>
      <c r="C15" s="7">
        <f>COUNTIF('概念指数热点监控'!$I$4:$I$396,$A15)</f>
        <v/>
      </c>
      <c r="D15" s="10">
        <f>IFERROR(AVERAGEIF('概念指数热点监控'!$I$4:$I$396,$A15,'概念指数热点监控'!$D$4:$D$396),"")</f>
        <v/>
      </c>
      <c r="E15" s="10">
        <f>IFERROR(AVERAGEIF('概念指数热点监控'!$I$4:$I$396,$A15,'概念指数热点监控'!$E$4:$E$396),"")</f>
        <v/>
      </c>
      <c r="F15" s="10">
        <f>IFERROR(AVERAGEIF('概念指数热点监控'!$I$4:$I$396,$A15,'概念指数热点监控'!$F$4:$F$396),"")</f>
        <v/>
      </c>
      <c r="G15" s="10">
        <f>IFERROR(MAXIFS('概念指数热点监控'!$D$4:$D$396,'概念指数热点监控'!$I$4:$I$396,$A15),"")</f>
        <v/>
      </c>
    </row>
    <row r="16">
      <c r="A16" s="8" t="inlineStr">
        <is>
          <t>光伏</t>
        </is>
      </c>
      <c r="B16" s="8" t="inlineStr">
        <is>
          <t>高端制造</t>
        </is>
      </c>
      <c r="C16" s="7">
        <f>COUNTIF('概念指数热点监控'!$I$4:$I$396,$A16)</f>
        <v/>
      </c>
      <c r="D16" s="10">
        <f>IFERROR(AVERAGEIF('概念指数热点监控'!$I$4:$I$396,$A16,'概念指数热点监控'!$D$4:$D$396),"")</f>
        <v/>
      </c>
      <c r="E16" s="10">
        <f>IFERROR(AVERAGEIF('概念指数热点监控'!$I$4:$I$396,$A16,'概念指数热点监控'!$E$4:$E$396),"")</f>
        <v/>
      </c>
      <c r="F16" s="10">
        <f>IFERROR(AVERAGEIF('概念指数热点监控'!$I$4:$I$396,$A16,'概念指数热点监控'!$F$4:$F$396),"")</f>
        <v/>
      </c>
      <c r="G16" s="10">
        <f>IFERROR(MAXIFS('概念指数热点监控'!$D$4:$D$396,'概念指数热点监控'!$I$4:$I$396,$A16),"")</f>
        <v/>
      </c>
    </row>
    <row r="17">
      <c r="A17" s="8" t="inlineStr">
        <is>
          <t>工业自动化</t>
        </is>
      </c>
      <c r="B17" s="8" t="inlineStr">
        <is>
          <t>高端制造</t>
        </is>
      </c>
      <c r="C17" s="7">
        <f>COUNTIF('概念指数热点监控'!$I$4:$I$396,$A17)</f>
        <v/>
      </c>
      <c r="D17" s="10">
        <f>IFERROR(AVERAGEIF('概念指数热点监控'!$I$4:$I$396,$A17,'概念指数热点监控'!$D$4:$D$396),"")</f>
        <v/>
      </c>
      <c r="E17" s="10">
        <f>IFERROR(AVERAGEIF('概念指数热点监控'!$I$4:$I$396,$A17,'概念指数热点监控'!$E$4:$E$396),"")</f>
        <v/>
      </c>
      <c r="F17" s="10">
        <f>IFERROR(AVERAGEIF('概念指数热点监控'!$I$4:$I$396,$A17,'概念指数热点监控'!$F$4:$F$396),"")</f>
        <v/>
      </c>
      <c r="G17" s="10">
        <f>IFERROR(MAXIFS('概念指数热点监控'!$D$4:$D$396,'概念指数热点监控'!$I$4:$I$396,$A17),"")</f>
        <v/>
      </c>
    </row>
    <row r="18">
      <c r="A18" s="8" t="inlineStr">
        <is>
          <t>智慧城市</t>
        </is>
      </c>
      <c r="B18" s="8" t="inlineStr">
        <is>
          <t>高端制造</t>
        </is>
      </c>
      <c r="C18" s="7">
        <f>COUNTIF('概念指数热点监控'!$I$4:$I$396,$A18)</f>
        <v/>
      </c>
      <c r="D18" s="10">
        <f>IFERROR(AVERAGEIF('概念指数热点监控'!$I$4:$I$396,$A18,'概念指数热点监控'!$D$4:$D$396),"")</f>
        <v/>
      </c>
      <c r="E18" s="10">
        <f>IFERROR(AVERAGEIF('概念指数热点监控'!$I$4:$I$396,$A18,'概念指数热点监控'!$E$4:$E$396),"")</f>
        <v/>
      </c>
      <c r="F18" s="10">
        <f>IFERROR(AVERAGEIF('概念指数热点监控'!$I$4:$I$396,$A18,'概念指数热点监控'!$F$4:$F$396),"")</f>
        <v/>
      </c>
      <c r="G18" s="10">
        <f>IFERROR(MAXIFS('概念指数热点监控'!$D$4:$D$396,'概念指数热点监控'!$I$4:$I$396,$A18),"")</f>
        <v/>
      </c>
    </row>
    <row r="19">
      <c r="A19" s="8" t="inlineStr">
        <is>
          <t>机器人</t>
        </is>
      </c>
      <c r="B19" s="8" t="inlineStr">
        <is>
          <t>高端制造</t>
        </is>
      </c>
      <c r="C19" s="7">
        <f>COUNTIF('概念指数热点监控'!$I$4:$I$396,$A19)</f>
        <v/>
      </c>
      <c r="D19" s="10">
        <f>IFERROR(AVERAGEIF('概念指数热点监控'!$I$4:$I$396,$A19,'概念指数热点监控'!$D$4:$D$396),"")</f>
        <v/>
      </c>
      <c r="E19" s="10">
        <f>IFERROR(AVERAGEIF('概念指数热点监控'!$I$4:$I$396,$A19,'概念指数热点监控'!$E$4:$E$396),"")</f>
        <v/>
      </c>
      <c r="F19" s="10">
        <f>IFERROR(AVERAGEIF('概念指数热点监控'!$I$4:$I$396,$A19,'概念指数热点监控'!$F$4:$F$396),"")</f>
        <v/>
      </c>
      <c r="G19" s="10">
        <f>IFERROR(MAXIFS('概念指数热点监控'!$D$4:$D$396,'概念指数热点监控'!$I$4:$I$396,$A19),"")</f>
        <v/>
      </c>
    </row>
    <row r="20">
      <c r="A20" s="8" t="inlineStr">
        <is>
          <t>汽车</t>
        </is>
      </c>
      <c r="B20" s="8" t="inlineStr">
        <is>
          <t>高端制造</t>
        </is>
      </c>
      <c r="C20" s="7">
        <f>COUNTIF('概念指数热点监控'!$I$4:$I$396,$A20)</f>
        <v/>
      </c>
      <c r="D20" s="10">
        <f>IFERROR(AVERAGEIF('概念指数热点监控'!$I$4:$I$396,$A20,'概念指数热点监控'!$D$4:$D$396),"")</f>
        <v/>
      </c>
      <c r="E20" s="10">
        <f>IFERROR(AVERAGEIF('概念指数热点监控'!$I$4:$I$396,$A20,'概念指数热点监控'!$E$4:$E$396),"")</f>
        <v/>
      </c>
      <c r="F20" s="10">
        <f>IFERROR(AVERAGEIF('概念指数热点监控'!$I$4:$I$396,$A20,'概念指数热点监控'!$F$4:$F$396),"")</f>
        <v/>
      </c>
      <c r="G20" s="10">
        <f>IFERROR(MAXIFS('概念指数热点监控'!$D$4:$D$396,'概念指数热点监控'!$I$4:$I$396,$A20),"")</f>
        <v/>
      </c>
    </row>
    <row r="21">
      <c r="A21" s="8" t="inlineStr">
        <is>
          <t>电力设备</t>
        </is>
      </c>
      <c r="B21" s="8" t="inlineStr">
        <is>
          <t>高端制造</t>
        </is>
      </c>
      <c r="C21" s="7">
        <f>COUNTIF('概念指数热点监控'!$I$4:$I$396,$A21)</f>
        <v/>
      </c>
      <c r="D21" s="10">
        <f>IFERROR(AVERAGEIF('概念指数热点监控'!$I$4:$I$396,$A21,'概念指数热点监控'!$D$4:$D$396),"")</f>
        <v/>
      </c>
      <c r="E21" s="10">
        <f>IFERROR(AVERAGEIF('概念指数热点监控'!$I$4:$I$396,$A21,'概念指数热点监控'!$E$4:$E$396),"")</f>
        <v/>
      </c>
      <c r="F21" s="10">
        <f>IFERROR(AVERAGEIF('概念指数热点监控'!$I$4:$I$396,$A21,'概念指数热点监控'!$F$4:$F$396),"")</f>
        <v/>
      </c>
      <c r="G21" s="10">
        <f>IFERROR(MAXIFS('概念指数热点监控'!$D$4:$D$396,'概念指数热点监控'!$I$4:$I$396,$A21),"")</f>
        <v/>
      </c>
    </row>
    <row r="22">
      <c r="A22" s="8" t="inlineStr">
        <is>
          <t>综合装备</t>
        </is>
      </c>
      <c r="B22" s="8" t="inlineStr">
        <is>
          <t>高端制造</t>
        </is>
      </c>
      <c r="C22" s="7">
        <f>COUNTIF('概念指数热点监控'!$I$4:$I$396,$A22)</f>
        <v/>
      </c>
      <c r="D22" s="10">
        <f>IFERROR(AVERAGEIF('概念指数热点监控'!$I$4:$I$396,$A22,'概念指数热点监控'!$D$4:$D$396),"")</f>
        <v/>
      </c>
      <c r="E22" s="10">
        <f>IFERROR(AVERAGEIF('概念指数热点监控'!$I$4:$I$396,$A22,'概念指数热点监控'!$E$4:$E$396),"")</f>
        <v/>
      </c>
      <c r="F22" s="10">
        <f>IFERROR(AVERAGEIF('概念指数热点监控'!$I$4:$I$396,$A22,'概念指数热点监控'!$F$4:$F$396),"")</f>
        <v/>
      </c>
      <c r="G22" s="10">
        <f>IFERROR(MAXIFS('概念指数热点监控'!$D$4:$D$396,'概念指数热点监控'!$I$4:$I$396,$A22),"")</f>
        <v/>
      </c>
    </row>
    <row r="23">
      <c r="A23" s="8" t="inlineStr">
        <is>
          <t>航空航天</t>
        </is>
      </c>
      <c r="B23" s="8" t="inlineStr">
        <is>
          <t>高端制造</t>
        </is>
      </c>
      <c r="C23" s="7">
        <f>COUNTIF('概念指数热点监控'!$I$4:$I$396,$A23)</f>
        <v/>
      </c>
      <c r="D23" s="10">
        <f>IFERROR(AVERAGEIF('概念指数热点监控'!$I$4:$I$396,$A23,'概念指数热点监控'!$D$4:$D$396),"")</f>
        <v/>
      </c>
      <c r="E23" s="10">
        <f>IFERROR(AVERAGEIF('概念指数热点监控'!$I$4:$I$396,$A23,'概念指数热点监控'!$E$4:$E$396),"")</f>
        <v/>
      </c>
      <c r="F23" s="10">
        <f>IFERROR(AVERAGEIF('概念指数热点监控'!$I$4:$I$396,$A23,'概念指数热点监控'!$F$4:$F$396),"")</f>
        <v/>
      </c>
      <c r="G23" s="10">
        <f>IFERROR(MAXIFS('概念指数热点监控'!$D$4:$D$396,'概念指数热点监控'!$I$4:$I$396,$A23),"")</f>
        <v/>
      </c>
    </row>
    <row r="24">
      <c r="A24" s="8" t="inlineStr">
        <is>
          <t>船舶</t>
        </is>
      </c>
      <c r="B24" s="8" t="inlineStr">
        <is>
          <t>高端制造</t>
        </is>
      </c>
      <c r="C24" s="7">
        <f>COUNTIF('概念指数热点监控'!$I$4:$I$396,$A24)</f>
        <v/>
      </c>
      <c r="D24" s="10">
        <f>IFERROR(AVERAGEIF('概念指数热点监控'!$I$4:$I$396,$A24,'概念指数热点监控'!$D$4:$D$396),"")</f>
        <v/>
      </c>
      <c r="E24" s="10">
        <f>IFERROR(AVERAGEIF('概念指数热点监控'!$I$4:$I$396,$A24,'概念指数热点监控'!$E$4:$E$396),"")</f>
        <v/>
      </c>
      <c r="F24" s="10">
        <f>IFERROR(AVERAGEIF('概念指数热点监控'!$I$4:$I$396,$A24,'概念指数热点监控'!$F$4:$F$396),"")</f>
        <v/>
      </c>
      <c r="G24" s="10">
        <f>IFERROR(MAXIFS('概念指数热点监控'!$D$4:$D$396,'概念指数热点监控'!$I$4:$I$396,$A24),"")</f>
        <v/>
      </c>
    </row>
    <row r="25">
      <c r="A25" s="8" t="inlineStr">
        <is>
          <t>轨道交通</t>
        </is>
      </c>
      <c r="B25" s="8" t="inlineStr">
        <is>
          <t>高端制造</t>
        </is>
      </c>
      <c r="C25" s="7">
        <f>COUNTIF('概念指数热点监控'!$I$4:$I$396,$A25)</f>
        <v/>
      </c>
      <c r="D25" s="10">
        <f>IFERROR(AVERAGEIF('概念指数热点监控'!$I$4:$I$396,$A25,'概念指数热点监控'!$D$4:$D$396),"")</f>
        <v/>
      </c>
      <c r="E25" s="10">
        <f>IFERROR(AVERAGEIF('概念指数热点监控'!$I$4:$I$396,$A25,'概念指数热点监控'!$E$4:$E$396),"")</f>
        <v/>
      </c>
      <c r="F25" s="10">
        <f>IFERROR(AVERAGEIF('概念指数热点监控'!$I$4:$I$396,$A25,'概念指数热点监控'!$F$4:$F$396),"")</f>
        <v/>
      </c>
      <c r="G25" s="10">
        <f>IFERROR(MAXIFS('概念指数热点监控'!$D$4:$D$396,'概念指数热点监控'!$I$4:$I$396,$A25),"")</f>
        <v/>
      </c>
    </row>
    <row r="26">
      <c r="A26" s="8" t="inlineStr">
        <is>
          <t>化工</t>
        </is>
      </c>
      <c r="B26" s="8" t="inlineStr">
        <is>
          <t>资源·材料</t>
        </is>
      </c>
      <c r="C26" s="7">
        <f>COUNTIF('概念指数热点监控'!$I$4:$I$396,$A26)</f>
        <v/>
      </c>
      <c r="D26" s="10">
        <f>IFERROR(AVERAGEIF('概念指数热点监控'!$I$4:$I$396,$A26,'概念指数热点监控'!$D$4:$D$396),"")</f>
        <v/>
      </c>
      <c r="E26" s="10">
        <f>IFERROR(AVERAGEIF('概念指数热点监控'!$I$4:$I$396,$A26,'概念指数热点监控'!$E$4:$E$396),"")</f>
        <v/>
      </c>
      <c r="F26" s="10">
        <f>IFERROR(AVERAGEIF('概念指数热点监控'!$I$4:$I$396,$A26,'概念指数热点监控'!$F$4:$F$396),"")</f>
        <v/>
      </c>
      <c r="G26" s="10">
        <f>IFERROR(MAXIFS('概念指数热点监控'!$D$4:$D$396,'概念指数热点监控'!$I$4:$I$396,$A26),"")</f>
        <v/>
      </c>
    </row>
    <row r="27">
      <c r="A27" s="8" t="inlineStr">
        <is>
          <t>新材料</t>
        </is>
      </c>
      <c r="B27" s="8" t="inlineStr">
        <is>
          <t>资源·材料</t>
        </is>
      </c>
      <c r="C27" s="7">
        <f>COUNTIF('概念指数热点监控'!$I$4:$I$396,$A27)</f>
        <v/>
      </c>
      <c r="D27" s="10">
        <f>IFERROR(AVERAGEIF('概念指数热点监控'!$I$4:$I$396,$A27,'概念指数热点监控'!$D$4:$D$396),"")</f>
        <v/>
      </c>
      <c r="E27" s="10">
        <f>IFERROR(AVERAGEIF('概念指数热点监控'!$I$4:$I$396,$A27,'概念指数热点监控'!$E$4:$E$396),"")</f>
        <v/>
      </c>
      <c r="F27" s="10">
        <f>IFERROR(AVERAGEIF('概念指数热点监控'!$I$4:$I$396,$A27,'概念指数热点监控'!$F$4:$F$396),"")</f>
        <v/>
      </c>
      <c r="G27" s="10">
        <f>IFERROR(MAXIFS('概念指数热点监控'!$D$4:$D$396,'概念指数热点监控'!$I$4:$I$396,$A27),"")</f>
        <v/>
      </c>
    </row>
    <row r="28">
      <c r="A28" s="8" t="inlineStr">
        <is>
          <t>有色金属</t>
        </is>
      </c>
      <c r="B28" s="8" t="inlineStr">
        <is>
          <t>资源·材料</t>
        </is>
      </c>
      <c r="C28" s="7">
        <f>COUNTIF('概念指数热点监控'!$I$4:$I$396,$A28)</f>
        <v/>
      </c>
      <c r="D28" s="10">
        <f>IFERROR(AVERAGEIF('概念指数热点监控'!$I$4:$I$396,$A28,'概念指数热点监控'!$D$4:$D$396),"")</f>
        <v/>
      </c>
      <c r="E28" s="10">
        <f>IFERROR(AVERAGEIF('概念指数热点监控'!$I$4:$I$396,$A28,'概念指数热点监控'!$E$4:$E$396),"")</f>
        <v/>
      </c>
      <c r="F28" s="10">
        <f>IFERROR(AVERAGEIF('概念指数热点监控'!$I$4:$I$396,$A28,'概念指数热点监控'!$F$4:$F$396),"")</f>
        <v/>
      </c>
      <c r="G28" s="10">
        <f>IFERROR(MAXIFS('概念指数热点监控'!$D$4:$D$396,'概念指数热点监控'!$I$4:$I$396,$A28),"")</f>
        <v/>
      </c>
    </row>
    <row r="29">
      <c r="A29" s="8" t="inlineStr">
        <is>
          <t>电子材料</t>
        </is>
      </c>
      <c r="B29" s="8" t="inlineStr">
        <is>
          <t>资源·材料</t>
        </is>
      </c>
      <c r="C29" s="7">
        <f>COUNTIF('概念指数热点监控'!$I$4:$I$396,$A29)</f>
        <v/>
      </c>
      <c r="D29" s="10">
        <f>IFERROR(AVERAGEIF('概念指数热点监控'!$I$4:$I$396,$A29,'概念指数热点监控'!$D$4:$D$396),"")</f>
        <v/>
      </c>
      <c r="E29" s="10">
        <f>IFERROR(AVERAGEIF('概念指数热点监控'!$I$4:$I$396,$A29,'概念指数热点监控'!$E$4:$E$396),"")</f>
        <v/>
      </c>
      <c r="F29" s="10">
        <f>IFERROR(AVERAGEIF('概念指数热点监控'!$I$4:$I$396,$A29,'概念指数热点监控'!$F$4:$F$396),"")</f>
        <v/>
      </c>
      <c r="G29" s="10">
        <f>IFERROR(MAXIFS('概念指数热点监控'!$D$4:$D$396,'概念指数热点监控'!$I$4:$I$396,$A29),"")</f>
        <v/>
      </c>
    </row>
    <row r="30">
      <c r="A30" s="8" t="inlineStr">
        <is>
          <t>贵金属</t>
        </is>
      </c>
      <c r="B30" s="8" t="inlineStr">
        <is>
          <t>资源·材料</t>
        </is>
      </c>
      <c r="C30" s="7">
        <f>COUNTIF('概念指数热点监控'!$I$4:$I$396,$A30)</f>
        <v/>
      </c>
      <c r="D30" s="10">
        <f>IFERROR(AVERAGEIF('概念指数热点监控'!$I$4:$I$396,$A30,'概念指数热点监控'!$D$4:$D$396),"")</f>
        <v/>
      </c>
      <c r="E30" s="10">
        <f>IFERROR(AVERAGEIF('概念指数热点监控'!$I$4:$I$396,$A30,'概念指数热点监控'!$E$4:$E$396),"")</f>
        <v/>
      </c>
      <c r="F30" s="10">
        <f>IFERROR(AVERAGEIF('概念指数热点监控'!$I$4:$I$396,$A30,'概念指数热点监控'!$F$4:$F$396),"")</f>
        <v/>
      </c>
      <c r="G30" s="10">
        <f>IFERROR(MAXIFS('概念指数热点监控'!$D$4:$D$396,'概念指数热点监控'!$I$4:$I$396,$A30),"")</f>
        <v/>
      </c>
    </row>
    <row r="31">
      <c r="A31" s="8" t="inlineStr">
        <is>
          <t>资源回收</t>
        </is>
      </c>
      <c r="B31" s="8" t="inlineStr">
        <is>
          <t>资源·材料</t>
        </is>
      </c>
      <c r="C31" s="7">
        <f>COUNTIF('概念指数热点监控'!$I$4:$I$396,$A31)</f>
        <v/>
      </c>
      <c r="D31" s="10">
        <f>IFERROR(AVERAGEIF('概念指数热点监控'!$I$4:$I$396,$A31,'概念指数热点监控'!$D$4:$D$396),"")</f>
        <v/>
      </c>
      <c r="E31" s="10">
        <f>IFERROR(AVERAGEIF('概念指数热点监控'!$I$4:$I$396,$A31,'概念指数热点监控'!$E$4:$E$396),"")</f>
        <v/>
      </c>
      <c r="F31" s="10">
        <f>IFERROR(AVERAGEIF('概念指数热点监控'!$I$4:$I$396,$A31,'概念指数热点监控'!$F$4:$F$396),"")</f>
        <v/>
      </c>
      <c r="G31" s="10">
        <f>IFERROR(MAXIFS('概念指数热点监控'!$D$4:$D$396,'概念指数热点监控'!$I$4:$I$396,$A31),"")</f>
        <v/>
      </c>
    </row>
    <row r="32">
      <c r="A32" s="8" t="inlineStr">
        <is>
          <t>超硬材料</t>
        </is>
      </c>
      <c r="B32" s="8" t="inlineStr">
        <is>
          <t>资源·材料</t>
        </is>
      </c>
      <c r="C32" s="7">
        <f>COUNTIF('概念指数热点监控'!$I$4:$I$396,$A32)</f>
        <v/>
      </c>
      <c r="D32" s="10">
        <f>IFERROR(AVERAGEIF('概念指数热点监控'!$I$4:$I$396,$A32,'概念指数热点监控'!$D$4:$D$396),"")</f>
        <v/>
      </c>
      <c r="E32" s="10">
        <f>IFERROR(AVERAGEIF('概念指数热点监控'!$I$4:$I$396,$A32,'概念指数热点监控'!$E$4:$E$396),"")</f>
        <v/>
      </c>
      <c r="F32" s="10">
        <f>IFERROR(AVERAGEIF('概念指数热点监控'!$I$4:$I$396,$A32,'概念指数热点监控'!$F$4:$F$396),"")</f>
        <v/>
      </c>
      <c r="G32" s="10">
        <f>IFERROR(MAXIFS('概念指数热点监控'!$D$4:$D$396,'概念指数热点监控'!$I$4:$I$396,$A32),"")</f>
        <v/>
      </c>
    </row>
    <row r="33">
      <c r="A33" s="8" t="inlineStr">
        <is>
          <t>钢铁/电极材料</t>
        </is>
      </c>
      <c r="B33" s="8" t="inlineStr">
        <is>
          <t>资源·材料</t>
        </is>
      </c>
      <c r="C33" s="7">
        <f>COUNTIF('概念指数热点监控'!$I$4:$I$396,$A33)</f>
        <v/>
      </c>
      <c r="D33" s="10">
        <f>IFERROR(AVERAGEIF('概念指数热点监控'!$I$4:$I$396,$A33,'概念指数热点监控'!$D$4:$D$396),"")</f>
        <v/>
      </c>
      <c r="E33" s="10">
        <f>IFERROR(AVERAGEIF('概念指数热点监控'!$I$4:$I$396,$A33,'概念指数热点监控'!$E$4:$E$396),"")</f>
        <v/>
      </c>
      <c r="F33" s="10">
        <f>IFERROR(AVERAGEIF('概念指数热点监控'!$I$4:$I$396,$A33,'概念指数热点监控'!$F$4:$F$396),"")</f>
        <v/>
      </c>
      <c r="G33" s="10">
        <f>IFERROR(MAXIFS('概念指数热点监控'!$D$4:$D$396,'概念指数热点监控'!$I$4:$I$396,$A33),"")</f>
        <v/>
      </c>
    </row>
    <row r="34">
      <c r="A34" s="8" t="inlineStr">
        <is>
          <t>新能源发电</t>
        </is>
      </c>
      <c r="B34" s="8" t="inlineStr">
        <is>
          <t>能源·电力·公用</t>
        </is>
      </c>
      <c r="C34" s="7">
        <f>COUNTIF('概念指数热点监控'!$I$4:$I$396,$A34)</f>
        <v/>
      </c>
      <c r="D34" s="10">
        <f>IFERROR(AVERAGEIF('概念指数热点监控'!$I$4:$I$396,$A34,'概念指数热点监控'!$D$4:$D$396),"")</f>
        <v/>
      </c>
      <c r="E34" s="10">
        <f>IFERROR(AVERAGEIF('概念指数热点监控'!$I$4:$I$396,$A34,'概念指数热点监控'!$E$4:$E$396),"")</f>
        <v/>
      </c>
      <c r="F34" s="10">
        <f>IFERROR(AVERAGEIF('概念指数热点监控'!$I$4:$I$396,$A34,'概念指数热点监控'!$F$4:$F$396),"")</f>
        <v/>
      </c>
      <c r="G34" s="10">
        <f>IFERROR(MAXIFS('概念指数热点监控'!$D$4:$D$396,'概念指数热点监控'!$I$4:$I$396,$A34),"")</f>
        <v/>
      </c>
    </row>
    <row r="35">
      <c r="A35" s="8" t="inlineStr">
        <is>
          <t>核电</t>
        </is>
      </c>
      <c r="B35" s="8" t="inlineStr">
        <is>
          <t>能源·电力·公用</t>
        </is>
      </c>
      <c r="C35" s="7">
        <f>COUNTIF('概念指数热点监控'!$I$4:$I$396,$A35)</f>
        <v/>
      </c>
      <c r="D35" s="10">
        <f>IFERROR(AVERAGEIF('概念指数热点监控'!$I$4:$I$396,$A35,'概念指数热点监控'!$D$4:$D$396),"")</f>
        <v/>
      </c>
      <c r="E35" s="10">
        <f>IFERROR(AVERAGEIF('概念指数热点监控'!$I$4:$I$396,$A35,'概念指数热点监控'!$E$4:$E$396),"")</f>
        <v/>
      </c>
      <c r="F35" s="10">
        <f>IFERROR(AVERAGEIF('概念指数热点监控'!$I$4:$I$396,$A35,'概念指数热点监控'!$F$4:$F$396),"")</f>
        <v/>
      </c>
      <c r="G35" s="10">
        <f>IFERROR(MAXIFS('概念指数热点监控'!$D$4:$D$396,'概念指数热点监控'!$I$4:$I$396,$A35),"")</f>
        <v/>
      </c>
    </row>
    <row r="36">
      <c r="A36" s="8" t="inlineStr">
        <is>
          <t>氢能</t>
        </is>
      </c>
      <c r="B36" s="8" t="inlineStr">
        <is>
          <t>能源·电力·公用</t>
        </is>
      </c>
      <c r="C36" s="7">
        <f>COUNTIF('概念指数热点监控'!$I$4:$I$396,$A36)</f>
        <v/>
      </c>
      <c r="D36" s="10">
        <f>IFERROR(AVERAGEIF('概念指数热点监控'!$I$4:$I$396,$A36,'概念指数热点监控'!$D$4:$D$396),"")</f>
        <v/>
      </c>
      <c r="E36" s="10">
        <f>IFERROR(AVERAGEIF('概念指数热点监控'!$I$4:$I$396,$A36,'概念指数热点监控'!$E$4:$E$396),"")</f>
        <v/>
      </c>
      <c r="F36" s="10">
        <f>IFERROR(AVERAGEIF('概念指数热点监控'!$I$4:$I$396,$A36,'概念指数热点监控'!$F$4:$F$396),"")</f>
        <v/>
      </c>
      <c r="G36" s="10">
        <f>IFERROR(MAXIFS('概念指数热点监控'!$D$4:$D$396,'概念指数热点监控'!$I$4:$I$396,$A36),"")</f>
        <v/>
      </c>
    </row>
    <row r="37">
      <c r="A37" s="8" t="inlineStr">
        <is>
          <t>油气</t>
        </is>
      </c>
      <c r="B37" s="8" t="inlineStr">
        <is>
          <t>能源·电力·公用</t>
        </is>
      </c>
      <c r="C37" s="7">
        <f>COUNTIF('概念指数热点监控'!$I$4:$I$396,$A37)</f>
        <v/>
      </c>
      <c r="D37" s="10">
        <f>IFERROR(AVERAGEIF('概念指数热点监控'!$I$4:$I$396,$A37,'概念指数热点监控'!$D$4:$D$396),"")</f>
        <v/>
      </c>
      <c r="E37" s="10">
        <f>IFERROR(AVERAGEIF('概念指数热点监控'!$I$4:$I$396,$A37,'概念指数热点监控'!$E$4:$E$396),"")</f>
        <v/>
      </c>
      <c r="F37" s="10">
        <f>IFERROR(AVERAGEIF('概念指数热点监控'!$I$4:$I$396,$A37,'概念指数热点监控'!$F$4:$F$396),"")</f>
        <v/>
      </c>
      <c r="G37" s="10">
        <f>IFERROR(MAXIFS('概念指数热点监控'!$D$4:$D$396,'概念指数热点监控'!$I$4:$I$396,$A37),"")</f>
        <v/>
      </c>
    </row>
    <row r="38">
      <c r="A38" s="8" t="inlineStr">
        <is>
          <t>火电</t>
        </is>
      </c>
      <c r="B38" s="8" t="inlineStr">
        <is>
          <t>能源·电力·公用</t>
        </is>
      </c>
      <c r="C38" s="7">
        <f>COUNTIF('概念指数热点监控'!$I$4:$I$396,$A38)</f>
        <v/>
      </c>
      <c r="D38" s="10">
        <f>IFERROR(AVERAGEIF('概念指数热点监控'!$I$4:$I$396,$A38,'概念指数热点监控'!$D$4:$D$396),"")</f>
        <v/>
      </c>
      <c r="E38" s="10">
        <f>IFERROR(AVERAGEIF('概念指数热点监控'!$I$4:$I$396,$A38,'概念指数热点监控'!$E$4:$E$396),"")</f>
        <v/>
      </c>
      <c r="F38" s="10">
        <f>IFERROR(AVERAGEIF('概念指数热点监控'!$I$4:$I$396,$A38,'概念指数热点监控'!$F$4:$F$396),"")</f>
        <v/>
      </c>
      <c r="G38" s="10">
        <f>IFERROR(MAXIFS('概念指数热点监控'!$D$4:$D$396,'概念指数热点监控'!$I$4:$I$396,$A38),"")</f>
        <v/>
      </c>
    </row>
    <row r="39">
      <c r="A39" s="8" t="inlineStr">
        <is>
          <t>煤炭</t>
        </is>
      </c>
      <c r="B39" s="8" t="inlineStr">
        <is>
          <t>能源·电力·公用</t>
        </is>
      </c>
      <c r="C39" s="7">
        <f>COUNTIF('概念指数热点监控'!$I$4:$I$396,$A39)</f>
        <v/>
      </c>
      <c r="D39" s="10">
        <f>IFERROR(AVERAGEIF('概念指数热点监控'!$I$4:$I$396,$A39,'概念指数热点监控'!$D$4:$D$396),"")</f>
        <v/>
      </c>
      <c r="E39" s="10">
        <f>IFERROR(AVERAGEIF('概念指数热点监控'!$I$4:$I$396,$A39,'概念指数热点监控'!$E$4:$E$396),"")</f>
        <v/>
      </c>
      <c r="F39" s="10">
        <f>IFERROR(AVERAGEIF('概念指数热点监控'!$I$4:$I$396,$A39,'概念指数热点监控'!$F$4:$F$396),"")</f>
        <v/>
      </c>
      <c r="G39" s="10">
        <f>IFERROR(MAXIFS('概念指数热点监控'!$D$4:$D$396,'概念指数热点监控'!$I$4:$I$396,$A39),"")</f>
        <v/>
      </c>
    </row>
    <row r="40">
      <c r="A40" s="8" t="inlineStr">
        <is>
          <t>环保</t>
        </is>
      </c>
      <c r="B40" s="8" t="inlineStr">
        <is>
          <t>能源·电力·公用</t>
        </is>
      </c>
      <c r="C40" s="7">
        <f>COUNTIF('概念指数热点监控'!$I$4:$I$396,$A40)</f>
        <v/>
      </c>
      <c r="D40" s="10">
        <f>IFERROR(AVERAGEIF('概念指数热点监控'!$I$4:$I$396,$A40,'概念指数热点监控'!$D$4:$D$396),"")</f>
        <v/>
      </c>
      <c r="E40" s="10">
        <f>IFERROR(AVERAGEIF('概念指数热点监控'!$I$4:$I$396,$A40,'概念指数热点监控'!$E$4:$E$396),"")</f>
        <v/>
      </c>
      <c r="F40" s="10">
        <f>IFERROR(AVERAGEIF('概念指数热点监控'!$I$4:$I$396,$A40,'概念指数热点监控'!$F$4:$F$396),"")</f>
        <v/>
      </c>
      <c r="G40" s="10">
        <f>IFERROR(MAXIFS('概念指数热点监控'!$D$4:$D$396,'概念指数热点监控'!$I$4:$I$396,$A40),"")</f>
        <v/>
      </c>
    </row>
    <row r="41">
      <c r="A41" s="8" t="inlineStr">
        <is>
          <t>电力运营/储能</t>
        </is>
      </c>
      <c r="B41" s="8" t="inlineStr">
        <is>
          <t>能源·电力·公用</t>
        </is>
      </c>
      <c r="C41" s="7">
        <f>COUNTIF('概念指数热点监控'!$I$4:$I$396,$A41)</f>
        <v/>
      </c>
      <c r="D41" s="10">
        <f>IFERROR(AVERAGEIF('概念指数热点监控'!$I$4:$I$396,$A41,'概念指数热点监控'!$D$4:$D$396),"")</f>
        <v/>
      </c>
      <c r="E41" s="10">
        <f>IFERROR(AVERAGEIF('概念指数热点监控'!$I$4:$I$396,$A41,'概念指数热点监控'!$E$4:$E$396),"")</f>
        <v/>
      </c>
      <c r="F41" s="10">
        <f>IFERROR(AVERAGEIF('概念指数热点监控'!$I$4:$I$396,$A41,'概念指数热点监控'!$F$4:$F$396),"")</f>
        <v/>
      </c>
      <c r="G41" s="10">
        <f>IFERROR(MAXIFS('概念指数热点监控'!$D$4:$D$396,'概念指数热点监控'!$I$4:$I$396,$A41),"")</f>
        <v/>
      </c>
    </row>
    <row r="42">
      <c r="A42" s="8" t="inlineStr">
        <is>
          <t>农业(养殖)</t>
        </is>
      </c>
      <c r="B42" s="8" t="inlineStr">
        <is>
          <t>消费</t>
        </is>
      </c>
      <c r="C42" s="7">
        <f>COUNTIF('概念指数热点监控'!$I$4:$I$396,$A42)</f>
        <v/>
      </c>
      <c r="D42" s="10">
        <f>IFERROR(AVERAGEIF('概念指数热点监控'!$I$4:$I$396,$A42,'概念指数热点监控'!$D$4:$D$396),"")</f>
        <v/>
      </c>
      <c r="E42" s="10">
        <f>IFERROR(AVERAGEIF('概念指数热点监控'!$I$4:$I$396,$A42,'概念指数热点监控'!$E$4:$E$396),"")</f>
        <v/>
      </c>
      <c r="F42" s="10">
        <f>IFERROR(AVERAGEIF('概念指数热点监控'!$I$4:$I$396,$A42,'概念指数热点监控'!$F$4:$F$396),"")</f>
        <v/>
      </c>
      <c r="G42" s="10">
        <f>IFERROR(MAXIFS('概念指数热点监控'!$D$4:$D$396,'概念指数热点监控'!$I$4:$I$396,$A42),"")</f>
        <v/>
      </c>
    </row>
    <row r="43">
      <c r="A43" s="8" t="inlineStr">
        <is>
          <t>农业(种植)</t>
        </is>
      </c>
      <c r="B43" s="8" t="inlineStr">
        <is>
          <t>消费</t>
        </is>
      </c>
      <c r="C43" s="7">
        <f>COUNTIF('概念指数热点监控'!$I$4:$I$396,$A43)</f>
        <v/>
      </c>
      <c r="D43" s="10">
        <f>IFERROR(AVERAGEIF('概念指数热点监控'!$I$4:$I$396,$A43,'概念指数热点监控'!$D$4:$D$396),"")</f>
        <v/>
      </c>
      <c r="E43" s="10">
        <f>IFERROR(AVERAGEIF('概念指数热点监控'!$I$4:$I$396,$A43,'概念指数热点监控'!$E$4:$E$396),"")</f>
        <v/>
      </c>
      <c r="F43" s="10">
        <f>IFERROR(AVERAGEIF('概念指数热点监控'!$I$4:$I$396,$A43,'概念指数热点监控'!$F$4:$F$396),"")</f>
        <v/>
      </c>
      <c r="G43" s="10">
        <f>IFERROR(MAXIFS('概念指数热点监控'!$D$4:$D$396,'概念指数热点监控'!$I$4:$I$396,$A43),"")</f>
        <v/>
      </c>
    </row>
    <row r="44">
      <c r="A44" s="8" t="inlineStr">
        <is>
          <t>商贸/服务</t>
        </is>
      </c>
      <c r="B44" s="8" t="inlineStr">
        <is>
          <t>消费</t>
        </is>
      </c>
      <c r="C44" s="7">
        <f>COUNTIF('概念指数热点监控'!$I$4:$I$396,$A44)</f>
        <v/>
      </c>
      <c r="D44" s="10">
        <f>IFERROR(AVERAGEIF('概念指数热点监控'!$I$4:$I$396,$A44,'概念指数热点监控'!$D$4:$D$396),"")</f>
        <v/>
      </c>
      <c r="E44" s="10">
        <f>IFERROR(AVERAGEIF('概念指数热点监控'!$I$4:$I$396,$A44,'概念指数热点监控'!$E$4:$E$396),"")</f>
        <v/>
      </c>
      <c r="F44" s="10">
        <f>IFERROR(AVERAGEIF('概念指数热点监控'!$I$4:$I$396,$A44,'概念指数热点监控'!$F$4:$F$396),"")</f>
        <v/>
      </c>
      <c r="G44" s="10">
        <f>IFERROR(MAXIFS('概念指数热点监控'!$D$4:$D$396,'概念指数热点监控'!$I$4:$I$396,$A44),"")</f>
        <v/>
      </c>
    </row>
    <row r="45">
      <c r="A45" s="8" t="inlineStr">
        <is>
          <t>家电</t>
        </is>
      </c>
      <c r="B45" s="8" t="inlineStr">
        <is>
          <t>消费</t>
        </is>
      </c>
      <c r="C45" s="7">
        <f>COUNTIF('概念指数热点监控'!$I$4:$I$396,$A45)</f>
        <v/>
      </c>
      <c r="D45" s="10">
        <f>IFERROR(AVERAGEIF('概念指数热点监控'!$I$4:$I$396,$A45,'概念指数热点监控'!$D$4:$D$396),"")</f>
        <v/>
      </c>
      <c r="E45" s="10">
        <f>IFERROR(AVERAGEIF('概念指数热点监控'!$I$4:$I$396,$A45,'概念指数热点监控'!$E$4:$E$396),"")</f>
        <v/>
      </c>
      <c r="F45" s="10">
        <f>IFERROR(AVERAGEIF('概念指数热点监控'!$I$4:$I$396,$A45,'概念指数热点监控'!$F$4:$F$396),"")</f>
        <v/>
      </c>
      <c r="G45" s="10">
        <f>IFERROR(MAXIFS('概念指数热点监控'!$D$4:$D$396,'概念指数热点监控'!$I$4:$I$396,$A45),"")</f>
        <v/>
      </c>
    </row>
    <row r="46">
      <c r="A46" s="8" t="inlineStr">
        <is>
          <t>家电·环保</t>
        </is>
      </c>
      <c r="B46" s="8" t="inlineStr">
        <is>
          <t>消费</t>
        </is>
      </c>
      <c r="C46" s="7">
        <f>COUNTIF('概念指数热点监控'!$I$4:$I$396,$A46)</f>
        <v/>
      </c>
      <c r="D46" s="10">
        <f>IFERROR(AVERAGEIF('概念指数热点监控'!$I$4:$I$396,$A46,'概念指数热点监控'!$D$4:$D$396),"")</f>
        <v/>
      </c>
      <c r="E46" s="10">
        <f>IFERROR(AVERAGEIF('概念指数热点监控'!$I$4:$I$396,$A46,'概念指数热点监控'!$E$4:$E$396),"")</f>
        <v/>
      </c>
      <c r="F46" s="10">
        <f>IFERROR(AVERAGEIF('概念指数热点监控'!$I$4:$I$396,$A46,'概念指数热点监控'!$F$4:$F$396),"")</f>
        <v/>
      </c>
      <c r="G46" s="10">
        <f>IFERROR(MAXIFS('概念指数热点监控'!$D$4:$D$396,'概念指数热点监控'!$I$4:$I$396,$A46),"")</f>
        <v/>
      </c>
    </row>
    <row r="47">
      <c r="A47" s="8" t="inlineStr">
        <is>
          <t>教育服务</t>
        </is>
      </c>
      <c r="B47" s="8" t="inlineStr">
        <is>
          <t>消费</t>
        </is>
      </c>
      <c r="C47" s="7">
        <f>COUNTIF('概念指数热点监控'!$I$4:$I$396,$A47)</f>
        <v/>
      </c>
      <c r="D47" s="10">
        <f>IFERROR(AVERAGEIF('概念指数热点监控'!$I$4:$I$396,$A47,'概念指数热点监控'!$D$4:$D$396),"")</f>
        <v/>
      </c>
      <c r="E47" s="10">
        <f>IFERROR(AVERAGEIF('概念指数热点监控'!$I$4:$I$396,$A47,'概念指数热点监控'!$E$4:$E$396),"")</f>
        <v/>
      </c>
      <c r="F47" s="10">
        <f>IFERROR(AVERAGEIF('概念指数热点监控'!$I$4:$I$396,$A47,'概念指数热点监控'!$F$4:$F$396),"")</f>
        <v/>
      </c>
      <c r="G47" s="10">
        <f>IFERROR(MAXIFS('概念指数热点监控'!$D$4:$D$396,'概念指数热点监控'!$I$4:$I$396,$A47),"")</f>
        <v/>
      </c>
    </row>
    <row r="48">
      <c r="A48" s="8" t="inlineStr">
        <is>
          <t>烟草</t>
        </is>
      </c>
      <c r="B48" s="8" t="inlineStr">
        <is>
          <t>消费</t>
        </is>
      </c>
      <c r="C48" s="7">
        <f>COUNTIF('概念指数热点监控'!$I$4:$I$396,$A48)</f>
        <v/>
      </c>
      <c r="D48" s="10">
        <f>IFERROR(AVERAGEIF('概念指数热点监控'!$I$4:$I$396,$A48,'概念指数热点监控'!$D$4:$D$396),"")</f>
        <v/>
      </c>
      <c r="E48" s="10">
        <f>IFERROR(AVERAGEIF('概念指数热点监控'!$I$4:$I$396,$A48,'概念指数热点监控'!$E$4:$E$396),"")</f>
        <v/>
      </c>
      <c r="F48" s="10">
        <f>IFERROR(AVERAGEIF('概念指数热点监控'!$I$4:$I$396,$A48,'概念指数热点监控'!$F$4:$F$396),"")</f>
        <v/>
      </c>
      <c r="G48" s="10">
        <f>IFERROR(MAXIFS('概念指数热点监控'!$D$4:$D$396,'概念指数热点监控'!$I$4:$I$396,$A48),"")</f>
        <v/>
      </c>
    </row>
    <row r="49">
      <c r="A49" s="8" t="inlineStr">
        <is>
          <t>食品饮料</t>
        </is>
      </c>
      <c r="B49" s="8" t="inlineStr">
        <is>
          <t>消费</t>
        </is>
      </c>
      <c r="C49" s="7">
        <f>COUNTIF('概念指数热点监控'!$I$4:$I$396,$A49)</f>
        <v/>
      </c>
      <c r="D49" s="10">
        <f>IFERROR(AVERAGEIF('概念指数热点监控'!$I$4:$I$396,$A49,'概念指数热点监控'!$D$4:$D$396),"")</f>
        <v/>
      </c>
      <c r="E49" s="10">
        <f>IFERROR(AVERAGEIF('概念指数热点监控'!$I$4:$I$396,$A49,'概念指数热点监控'!$E$4:$E$396),"")</f>
        <v/>
      </c>
      <c r="F49" s="10">
        <f>IFERROR(AVERAGEIF('概念指数热点监控'!$I$4:$I$396,$A49,'概念指数热点监控'!$F$4:$F$396),"")</f>
        <v/>
      </c>
      <c r="G49" s="10">
        <f>IFERROR(MAXIFS('概念指数热点监控'!$D$4:$D$396,'概念指数热点监控'!$I$4:$I$396,$A49),"")</f>
        <v/>
      </c>
    </row>
    <row r="50">
      <c r="A50" s="8" t="inlineStr">
        <is>
          <t>CXO</t>
        </is>
      </c>
      <c r="B50" s="8" t="inlineStr">
        <is>
          <t>医药</t>
        </is>
      </c>
      <c r="C50" s="7">
        <f>COUNTIF('概念指数热点监控'!$I$4:$I$396,$A50)</f>
        <v/>
      </c>
      <c r="D50" s="10">
        <f>IFERROR(AVERAGEIF('概念指数热点监控'!$I$4:$I$396,$A50,'概念指数热点监控'!$D$4:$D$396),"")</f>
        <v/>
      </c>
      <c r="E50" s="10">
        <f>IFERROR(AVERAGEIF('概念指数热点监控'!$I$4:$I$396,$A50,'概念指数热点监控'!$E$4:$E$396),"")</f>
        <v/>
      </c>
      <c r="F50" s="10">
        <f>IFERROR(AVERAGEIF('概念指数热点监控'!$I$4:$I$396,$A50,'概念指数热点监控'!$F$4:$F$396),"")</f>
        <v/>
      </c>
      <c r="G50" s="10">
        <f>IFERROR(MAXIFS('概念指数热点监控'!$D$4:$D$396,'概念指数热点监控'!$I$4:$I$396,$A50),"")</f>
        <v/>
      </c>
    </row>
    <row r="51">
      <c r="A51" s="8" t="inlineStr">
        <is>
          <t>中药/原料</t>
        </is>
      </c>
      <c r="B51" s="8" t="inlineStr">
        <is>
          <t>医药</t>
        </is>
      </c>
      <c r="C51" s="7">
        <f>COUNTIF('概念指数热点监控'!$I$4:$I$396,$A51)</f>
        <v/>
      </c>
      <c r="D51" s="10">
        <f>IFERROR(AVERAGEIF('概念指数热点监控'!$I$4:$I$396,$A51,'概念指数热点监控'!$D$4:$D$396),"")</f>
        <v/>
      </c>
      <c r="E51" s="10">
        <f>IFERROR(AVERAGEIF('概念指数热点监控'!$I$4:$I$396,$A51,'概念指数热点监控'!$E$4:$E$396),"")</f>
        <v/>
      </c>
      <c r="F51" s="10">
        <f>IFERROR(AVERAGEIF('概念指数热点监控'!$I$4:$I$396,$A51,'概念指数热点监控'!$F$4:$F$396),"")</f>
        <v/>
      </c>
      <c r="G51" s="10">
        <f>IFERROR(MAXIFS('概念指数热点监控'!$D$4:$D$396,'概念指数热点监控'!$I$4:$I$396,$A51),"")</f>
        <v/>
      </c>
    </row>
    <row r="52">
      <c r="A52" s="8" t="inlineStr">
        <is>
          <t>创新药</t>
        </is>
      </c>
      <c r="B52" s="8" t="inlineStr">
        <is>
          <t>医药</t>
        </is>
      </c>
      <c r="C52" s="7">
        <f>COUNTIF('概念指数热点监控'!$I$4:$I$396,$A52)</f>
        <v/>
      </c>
      <c r="D52" s="10">
        <f>IFERROR(AVERAGEIF('概念指数热点监控'!$I$4:$I$396,$A52,'概念指数热点监控'!$D$4:$D$396),"")</f>
        <v/>
      </c>
      <c r="E52" s="10">
        <f>IFERROR(AVERAGEIF('概念指数热点监控'!$I$4:$I$396,$A52,'概念指数热点监控'!$E$4:$E$396),"")</f>
        <v/>
      </c>
      <c r="F52" s="10">
        <f>IFERROR(AVERAGEIF('概念指数热点监控'!$I$4:$I$396,$A52,'概念指数热点监控'!$F$4:$F$396),"")</f>
        <v/>
      </c>
      <c r="G52" s="10">
        <f>IFERROR(MAXIFS('概念指数热点监控'!$D$4:$D$396,'概念指数热点监控'!$I$4:$I$396,$A52),"")</f>
        <v/>
      </c>
    </row>
    <row r="53">
      <c r="A53" s="8" t="inlineStr">
        <is>
          <t>医疗器械</t>
        </is>
      </c>
      <c r="B53" s="8" t="inlineStr">
        <is>
          <t>医药</t>
        </is>
      </c>
      <c r="C53" s="7">
        <f>COUNTIF('概念指数热点监控'!$I$4:$I$396,$A53)</f>
        <v/>
      </c>
      <c r="D53" s="10">
        <f>IFERROR(AVERAGEIF('概念指数热点监控'!$I$4:$I$396,$A53,'概念指数热点监控'!$D$4:$D$396),"")</f>
        <v/>
      </c>
      <c r="E53" s="10">
        <f>IFERROR(AVERAGEIF('概念指数热点监控'!$I$4:$I$396,$A53,'概念指数热点监控'!$E$4:$E$396),"")</f>
        <v/>
      </c>
      <c r="F53" s="10">
        <f>IFERROR(AVERAGEIF('概念指数热点监控'!$I$4:$I$396,$A53,'概念指数热点监控'!$F$4:$F$396),"")</f>
        <v/>
      </c>
      <c r="G53" s="10">
        <f>IFERROR(MAXIFS('概念指数热点监控'!$D$4:$D$396,'概念指数热点监控'!$I$4:$I$396,$A53),"")</f>
        <v/>
      </c>
    </row>
    <row r="54">
      <c r="A54" s="8" t="inlineStr">
        <is>
          <t>医疗服务</t>
        </is>
      </c>
      <c r="B54" s="8" t="inlineStr">
        <is>
          <t>医药</t>
        </is>
      </c>
      <c r="C54" s="7">
        <f>COUNTIF('概念指数热点监控'!$I$4:$I$396,$A54)</f>
        <v/>
      </c>
      <c r="D54" s="10">
        <f>IFERROR(AVERAGEIF('概念指数热点监控'!$I$4:$I$396,$A54,'概念指数热点监控'!$D$4:$D$396),"")</f>
        <v/>
      </c>
      <c r="E54" s="10">
        <f>IFERROR(AVERAGEIF('概念指数热点监控'!$I$4:$I$396,$A54,'概念指数热点监控'!$E$4:$E$396),"")</f>
        <v/>
      </c>
      <c r="F54" s="10">
        <f>IFERROR(AVERAGEIF('概念指数热点监控'!$I$4:$I$396,$A54,'概念指数热点监控'!$F$4:$F$396),"")</f>
        <v/>
      </c>
      <c r="G54" s="10">
        <f>IFERROR(MAXIFS('概念指数热点监控'!$D$4:$D$396,'概念指数热点监控'!$I$4:$I$396,$A54),"")</f>
        <v/>
      </c>
    </row>
    <row r="55">
      <c r="A55" s="8" t="inlineStr">
        <is>
          <t>航运</t>
        </is>
      </c>
      <c r="B55" s="8" t="inlineStr">
        <is>
          <t>交通运输</t>
        </is>
      </c>
      <c r="C55" s="7">
        <f>COUNTIF('概念指数热点监控'!$I$4:$I$396,$A55)</f>
        <v/>
      </c>
      <c r="D55" s="10">
        <f>IFERROR(AVERAGEIF('概念指数热点监控'!$I$4:$I$396,$A55,'概念指数热点监控'!$D$4:$D$396),"")</f>
        <v/>
      </c>
      <c r="E55" s="10">
        <f>IFERROR(AVERAGEIF('概念指数热点监控'!$I$4:$I$396,$A55,'概念指数热点监控'!$E$4:$E$396),"")</f>
        <v/>
      </c>
      <c r="F55" s="10">
        <f>IFERROR(AVERAGEIF('概念指数热点监控'!$I$4:$I$396,$A55,'概念指数热点监控'!$F$4:$F$396),"")</f>
        <v/>
      </c>
      <c r="G55" s="10">
        <f>IFERROR(MAXIFS('概念指数热点监控'!$D$4:$D$396,'概念指数热点监控'!$I$4:$I$396,$A55),"")</f>
        <v/>
      </c>
    </row>
    <row r="57">
      <c r="A57" s="18" t="inlineStr">
        <is>
          <t>提示：刷新iFinD后，选中表格按"周涨幅均值"降序排序，即得本周最热细分方向。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2026-06-18T14:38:13Z</dcterms:created>
  <dcterms:modified xmlns:dcterms="http://purl.org/dc/terms/" xmlns:xsi="http://www.w3.org/2001/XMLSchema-instance" xsi:type="dcterms:W3CDTF">2026-06-22T05:25:58Z</dcterms:modified>
  <cp:lastModifiedBy>白昕</cp:lastModifiedBy>
</cp:coreProperties>
</file>