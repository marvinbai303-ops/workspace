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0" yWindow="0" windowWidth="0" windowHeight="15320"/>
  </bookViews>
  <sheets>
    <sheet name="中信三级行业指数热度" sheetId="1" r:id="rId1"/>
    <sheet name="热点热力图" sheetId="2" r:id="rId2"/>
    <sheet name="动量加速度计算逻辑" sheetId="3" r:id="rId3"/>
  </sheets>
  <externalReferences>
    <externalReference r:id="rId4"/>
  </externalReferences>
  <definedNames>
    <definedName name="_xlnm._FilterDatabase" localSheetId="0" hidden="1">中信三级行业指数热度!$A$1:$AB$262</definedName>
  </definedNames>
  <calcPr calcId="152511"/>
</workbook>
</file>

<file path=xl/calcChain.xml><?xml version="1.0" encoding="utf-8"?>
<calcChain xmlns="http://schemas.openxmlformats.org/spreadsheetml/2006/main">
  <c r="AE1" i="1" l="1"/>
  <c r="AE5" i="1" s="1"/>
  <c r="B17" i="3"/>
  <c r="AE2" i="1" l="1"/>
  <c r="AE4" i="1"/>
  <c r="AE3" i="1"/>
  <c r="D207" i="1"/>
  <c r="D94" i="1"/>
  <c r="D229" i="1"/>
  <c r="D32" i="1"/>
  <c r="D177" i="1"/>
  <c r="D170" i="1"/>
  <c r="D196" i="1"/>
  <c r="D164" i="1"/>
  <c r="D5" i="1"/>
  <c r="D16" i="1"/>
  <c r="D110" i="1"/>
  <c r="D51" i="1"/>
  <c r="D194" i="1"/>
  <c r="D150" i="1"/>
  <c r="D131" i="1"/>
  <c r="D149" i="1"/>
  <c r="D126" i="1"/>
  <c r="D93" i="1"/>
  <c r="D49" i="1"/>
  <c r="D120" i="1"/>
  <c r="D122" i="1"/>
  <c r="D258" i="1"/>
  <c r="D45" i="1"/>
  <c r="D172" i="1"/>
  <c r="D109" i="1"/>
  <c r="D58" i="1"/>
  <c r="D173" i="1"/>
  <c r="D98" i="1"/>
  <c r="D209" i="1"/>
  <c r="D199" i="1"/>
  <c r="D166" i="1"/>
  <c r="D169" i="1"/>
  <c r="F95" i="1"/>
  <c r="F65" i="1"/>
  <c r="F184" i="1"/>
  <c r="F171" i="1"/>
  <c r="F6" i="1"/>
  <c r="F94" i="1"/>
  <c r="F260" i="1"/>
  <c r="F164" i="1"/>
  <c r="F221" i="1"/>
  <c r="F112" i="1"/>
  <c r="F170" i="1"/>
  <c r="F37" i="1"/>
  <c r="F124" i="1"/>
  <c r="F127" i="1"/>
  <c r="F48" i="1"/>
  <c r="F201" i="1"/>
  <c r="F91" i="1"/>
  <c r="F248" i="1"/>
  <c r="F62" i="1"/>
  <c r="F78" i="1"/>
  <c r="F137" i="1"/>
  <c r="F159" i="1"/>
  <c r="F179" i="1"/>
  <c r="F69" i="1"/>
  <c r="F204" i="1"/>
  <c r="F257" i="1"/>
  <c r="F118" i="1"/>
  <c r="F100" i="1"/>
  <c r="F114" i="1"/>
  <c r="F47" i="1"/>
  <c r="F249" i="1"/>
  <c r="F34" i="1"/>
  <c r="F116" i="1"/>
  <c r="E108" i="1"/>
  <c r="E9" i="1"/>
  <c r="E230" i="1"/>
  <c r="E125" i="1"/>
  <c r="E130" i="1"/>
  <c r="E244" i="1"/>
  <c r="E229" i="1"/>
  <c r="E189" i="1"/>
  <c r="E81" i="1"/>
  <c r="E70" i="1"/>
  <c r="E124" i="1"/>
  <c r="E3" i="1"/>
  <c r="E21" i="1"/>
  <c r="E48" i="1"/>
  <c r="E247" i="1"/>
  <c r="E38" i="1"/>
  <c r="E59" i="1"/>
  <c r="E251" i="1"/>
  <c r="E178" i="1"/>
  <c r="E93" i="1"/>
  <c r="E133" i="1"/>
  <c r="E131" i="1"/>
  <c r="E100" i="1"/>
  <c r="E184" i="1"/>
  <c r="E238" i="1"/>
  <c r="E54" i="1"/>
  <c r="E187" i="1"/>
  <c r="D152" i="1"/>
  <c r="F148" i="1"/>
  <c r="F135" i="1"/>
  <c r="F51" i="1"/>
  <c r="F27" i="1"/>
  <c r="F146" i="1"/>
  <c r="F105" i="1"/>
  <c r="E260" i="1"/>
  <c r="E169" i="1"/>
  <c r="E46" i="1"/>
  <c r="E68" i="1"/>
  <c r="E146" i="1"/>
  <c r="E176" i="1"/>
  <c r="D233" i="1"/>
  <c r="F73" i="1"/>
  <c r="F76" i="1"/>
  <c r="F21" i="1"/>
  <c r="F97" i="1"/>
  <c r="D171" i="1"/>
  <c r="D197" i="1"/>
  <c r="D8" i="1"/>
  <c r="D241" i="1"/>
  <c r="D81" i="1"/>
  <c r="D185" i="1"/>
  <c r="D148" i="1"/>
  <c r="D219" i="1"/>
  <c r="D68" i="1"/>
  <c r="D99" i="1"/>
  <c r="D82" i="1"/>
  <c r="D142" i="1"/>
  <c r="D232" i="1"/>
  <c r="D203" i="1"/>
  <c r="D103" i="1"/>
  <c r="D4" i="1"/>
  <c r="D40" i="1"/>
  <c r="D238" i="1"/>
  <c r="D242" i="1"/>
  <c r="D96" i="1"/>
  <c r="D52" i="1"/>
  <c r="D191" i="1"/>
  <c r="D257" i="1"/>
  <c r="D182" i="1"/>
  <c r="D168" i="1"/>
  <c r="D237" i="1"/>
  <c r="D134" i="1"/>
  <c r="D17" i="1"/>
  <c r="D102" i="1"/>
  <c r="D225" i="1"/>
  <c r="D86" i="1"/>
  <c r="D259" i="1"/>
  <c r="F119" i="1"/>
  <c r="F136" i="1"/>
  <c r="F253" i="1"/>
  <c r="F60" i="1"/>
  <c r="F10" i="1"/>
  <c r="F13" i="1"/>
  <c r="F120" i="1"/>
  <c r="F193" i="1"/>
  <c r="F80" i="1"/>
  <c r="F167" i="1"/>
  <c r="F185" i="1"/>
  <c r="F240" i="1"/>
  <c r="F122" i="1"/>
  <c r="F74" i="1"/>
  <c r="F46" i="1"/>
  <c r="F111" i="1"/>
  <c r="F243" i="1"/>
  <c r="F166" i="1"/>
  <c r="F4" i="1"/>
  <c r="F39" i="1"/>
  <c r="F89" i="1"/>
  <c r="F163" i="1"/>
  <c r="F52" i="1"/>
  <c r="F33" i="1"/>
  <c r="F235" i="1"/>
  <c r="F152" i="1"/>
  <c r="F154" i="1"/>
  <c r="F202" i="1"/>
  <c r="F233" i="1"/>
  <c r="F155" i="1"/>
  <c r="F187" i="1"/>
  <c r="F220" i="1"/>
  <c r="F206" i="1"/>
  <c r="E234" i="1"/>
  <c r="E207" i="1"/>
  <c r="E196" i="1"/>
  <c r="E31" i="1"/>
  <c r="E42" i="1"/>
  <c r="E121" i="1"/>
  <c r="E8" i="1"/>
  <c r="E223" i="1"/>
  <c r="E37" i="1"/>
  <c r="E240" i="1"/>
  <c r="E122" i="1"/>
  <c r="E43" i="1"/>
  <c r="E39" i="1"/>
  <c r="E228" i="1"/>
  <c r="E205" i="1"/>
  <c r="E83" i="1"/>
  <c r="E158" i="1"/>
  <c r="E137" i="1"/>
  <c r="E55" i="1"/>
  <c r="E202" i="1"/>
  <c r="E175" i="1"/>
  <c r="D67" i="1"/>
  <c r="F117" i="1"/>
  <c r="F197" i="1"/>
  <c r="F14" i="1"/>
  <c r="F5" i="1"/>
  <c r="F41" i="1"/>
  <c r="F106" i="1"/>
  <c r="E164" i="1"/>
  <c r="E163" i="1"/>
  <c r="E91" i="1"/>
  <c r="E73" i="1"/>
  <c r="E218" i="1"/>
  <c r="E220" i="1"/>
  <c r="D187" i="1"/>
  <c r="F227" i="1"/>
  <c r="F261" i="1"/>
  <c r="F157" i="1"/>
  <c r="F181" i="1"/>
  <c r="D253" i="1"/>
  <c r="D11" i="1"/>
  <c r="D80" i="1"/>
  <c r="D262" i="1"/>
  <c r="D37" i="1"/>
  <c r="D135" i="1"/>
  <c r="D92" i="1"/>
  <c r="D221" i="1"/>
  <c r="D3" i="1"/>
  <c r="D29" i="1"/>
  <c r="D256" i="1"/>
  <c r="D213" i="1"/>
  <c r="D115" i="1"/>
  <c r="D61" i="1"/>
  <c r="D14" i="1"/>
  <c r="D251" i="1"/>
  <c r="D55" i="1"/>
  <c r="D73" i="1"/>
  <c r="D6" i="1"/>
  <c r="D121" i="1"/>
  <c r="D2" i="1"/>
  <c r="D118" i="1"/>
  <c r="D190" i="1"/>
  <c r="D50" i="1"/>
  <c r="D184" i="1"/>
  <c r="D128" i="1"/>
  <c r="D223" i="1"/>
  <c r="F49" i="1"/>
  <c r="F56" i="1"/>
  <c r="F16" i="1"/>
  <c r="F255" i="1"/>
  <c r="F180" i="1"/>
  <c r="E171" i="1"/>
  <c r="E74" i="1"/>
  <c r="E72" i="1"/>
  <c r="E180" i="1"/>
  <c r="D176" i="1"/>
  <c r="F96" i="1"/>
  <c r="F7" i="1"/>
  <c r="F75" i="1"/>
  <c r="D35" i="1"/>
  <c r="D60" i="1"/>
  <c r="D260" i="1"/>
  <c r="D56" i="1"/>
  <c r="D112" i="1"/>
  <c r="D101" i="1"/>
  <c r="D217" i="1"/>
  <c r="D31" i="1"/>
  <c r="D63" i="1"/>
  <c r="D7" i="1"/>
  <c r="D78" i="1"/>
  <c r="D252" i="1"/>
  <c r="D161" i="1"/>
  <c r="D88" i="1"/>
  <c r="D195" i="1"/>
  <c r="D215" i="1"/>
  <c r="D137" i="1"/>
  <c r="D87" i="1"/>
  <c r="D30" i="1"/>
  <c r="D36" i="1"/>
  <c r="D140" i="1"/>
  <c r="D95" i="1"/>
  <c r="D234" i="1"/>
  <c r="D41" i="1"/>
  <c r="D154" i="1"/>
  <c r="D202" i="1"/>
  <c r="D114" i="1"/>
  <c r="D47" i="1"/>
  <c r="D249" i="1"/>
  <c r="D34" i="1"/>
  <c r="D175" i="1"/>
  <c r="D159" i="1"/>
  <c r="D179" i="1"/>
  <c r="F238" i="1"/>
  <c r="F186" i="1"/>
  <c r="F245" i="1"/>
  <c r="F174" i="1"/>
  <c r="F36" i="1"/>
  <c r="F79" i="1"/>
  <c r="F231" i="1"/>
  <c r="F219" i="1"/>
  <c r="F84" i="1"/>
  <c r="F77" i="1"/>
  <c r="F217" i="1"/>
  <c r="F215" i="1"/>
  <c r="F129" i="1"/>
  <c r="F29" i="1"/>
  <c r="F142" i="1"/>
  <c r="F232" i="1"/>
  <c r="F203" i="1"/>
  <c r="F85" i="1"/>
  <c r="F68" i="1"/>
  <c r="F110" i="1"/>
  <c r="F143" i="1"/>
  <c r="F70" i="1"/>
  <c r="F55" i="1"/>
  <c r="F87" i="1"/>
  <c r="F103" i="1"/>
  <c r="F54" i="1"/>
  <c r="F23" i="1"/>
  <c r="F147" i="1"/>
  <c r="F138" i="1"/>
  <c r="F156" i="1"/>
  <c r="F141" i="1"/>
  <c r="F24" i="1"/>
  <c r="F224" i="1"/>
  <c r="E253" i="1"/>
  <c r="E60" i="1"/>
  <c r="E10" i="1"/>
  <c r="E13" i="1"/>
  <c r="E120" i="1"/>
  <c r="E193" i="1"/>
  <c r="E80" i="1"/>
  <c r="E167" i="1"/>
  <c r="E65" i="1"/>
  <c r="E215" i="1"/>
  <c r="E185" i="1"/>
  <c r="E12" i="1"/>
  <c r="E27" i="1"/>
  <c r="E250" i="1"/>
  <c r="E111" i="1"/>
  <c r="E243" i="1"/>
  <c r="E259" i="1"/>
  <c r="E255" i="1"/>
  <c r="E90" i="1"/>
  <c r="E127" i="1"/>
  <c r="E30" i="1"/>
  <c r="E66" i="1"/>
  <c r="E104" i="1"/>
  <c r="E246" i="1"/>
  <c r="E116" i="1"/>
  <c r="E23" i="1"/>
  <c r="E147" i="1"/>
  <c r="E138" i="1"/>
  <c r="E156" i="1"/>
  <c r="E141" i="1"/>
  <c r="E106" i="1"/>
  <c r="E28" i="1"/>
  <c r="D174" i="1"/>
  <c r="D231" i="1"/>
  <c r="D84" i="1"/>
  <c r="D167" i="1"/>
  <c r="D210" i="1"/>
  <c r="D261" i="1"/>
  <c r="D79" i="1"/>
  <c r="D240" i="1"/>
  <c r="D127" i="1"/>
  <c r="D21" i="1"/>
  <c r="D48" i="1"/>
  <c r="D247" i="1"/>
  <c r="D38" i="1"/>
  <c r="D59" i="1"/>
  <c r="D113" i="1"/>
  <c r="D89" i="1"/>
  <c r="D235" i="1"/>
  <c r="D153" i="1"/>
  <c r="D125" i="1"/>
  <c r="D200" i="1"/>
  <c r="D65" i="1"/>
  <c r="D66" i="1"/>
  <c r="D54" i="1"/>
  <c r="D64" i="1"/>
  <c r="D163" i="1"/>
  <c r="D206" i="1"/>
  <c r="F35" i="1"/>
  <c r="F162" i="1"/>
  <c r="F213" i="1"/>
  <c r="D245" i="1"/>
  <c r="D165" i="1"/>
  <c r="D230" i="1"/>
  <c r="D244" i="1"/>
  <c r="D162" i="1"/>
  <c r="D71" i="1"/>
  <c r="D72" i="1"/>
  <c r="D69" i="1"/>
  <c r="D130" i="1"/>
  <c r="D33" i="1"/>
  <c r="D43" i="1"/>
  <c r="D39" i="1"/>
  <c r="D228" i="1"/>
  <c r="D205" i="1"/>
  <c r="D83" i="1"/>
  <c r="D158" i="1"/>
  <c r="D188" i="1"/>
  <c r="D255" i="1"/>
  <c r="D85" i="1"/>
  <c r="D151" i="1"/>
  <c r="D13" i="1"/>
  <c r="D236" i="1"/>
  <c r="D136" i="1"/>
  <c r="D104" i="1"/>
  <c r="D218" i="1"/>
  <c r="D23" i="1"/>
  <c r="D147" i="1"/>
  <c r="D180" i="1"/>
  <c r="D19" i="1"/>
  <c r="D144" i="1"/>
  <c r="D106" i="1"/>
  <c r="D28" i="1"/>
  <c r="D198" i="1"/>
  <c r="D105" i="1"/>
  <c r="F30" i="1"/>
  <c r="F191" i="1"/>
  <c r="F165" i="1"/>
  <c r="F242" i="1"/>
  <c r="F92" i="1"/>
  <c r="F11" i="1"/>
  <c r="F123" i="1"/>
  <c r="F200" i="1"/>
  <c r="F22" i="1"/>
  <c r="F72" i="1"/>
  <c r="F28" i="1"/>
  <c r="F188" i="1"/>
  <c r="F2" i="1"/>
  <c r="F226" i="1"/>
  <c r="F161" i="1"/>
  <c r="F88" i="1"/>
  <c r="F195" i="1"/>
  <c r="F262" i="1"/>
  <c r="F43" i="1"/>
  <c r="F228" i="1"/>
  <c r="F126" i="1"/>
  <c r="F169" i="1"/>
  <c r="F66" i="1"/>
  <c r="F104" i="1"/>
  <c r="F246" i="1"/>
  <c r="F216" i="1"/>
  <c r="F132" i="1"/>
  <c r="F192" i="1"/>
  <c r="F173" i="1"/>
  <c r="F98" i="1"/>
  <c r="F209" i="1"/>
  <c r="F225" i="1"/>
  <c r="E117" i="1"/>
  <c r="E245" i="1"/>
  <c r="E174" i="1"/>
  <c r="E36" i="1"/>
  <c r="E79" i="1"/>
  <c r="E231" i="1"/>
  <c r="E219" i="1"/>
  <c r="E84" i="1"/>
  <c r="E77" i="1"/>
  <c r="E262" i="1"/>
  <c r="E188" i="1"/>
  <c r="E179" i="1"/>
  <c r="E99" i="1"/>
  <c r="E82" i="1"/>
  <c r="E142" i="1"/>
  <c r="E232" i="1"/>
  <c r="E203" i="1"/>
  <c r="E62" i="1"/>
  <c r="E97" i="1"/>
  <c r="E170" i="1"/>
  <c r="E85" i="1"/>
  <c r="E114" i="1"/>
  <c r="E101" i="1"/>
  <c r="E211" i="1"/>
  <c r="E45" i="1"/>
  <c r="E224" i="1"/>
  <c r="E132" i="1"/>
  <c r="E192" i="1"/>
  <c r="E173" i="1"/>
  <c r="E98" i="1"/>
  <c r="E209" i="1"/>
  <c r="E107" i="1"/>
  <c r="E44" i="1"/>
  <c r="E105" i="1"/>
  <c r="E166" i="1"/>
  <c r="E41" i="1"/>
  <c r="E249" i="1"/>
  <c r="E186" i="1"/>
  <c r="E154" i="1"/>
  <c r="E160" i="1"/>
  <c r="D208" i="1"/>
  <c r="F93" i="1"/>
  <c r="F212" i="1"/>
  <c r="F175" i="1"/>
  <c r="F128" i="1"/>
  <c r="F131" i="1"/>
  <c r="F19" i="1"/>
  <c r="E6" i="1"/>
  <c r="E112" i="1"/>
  <c r="E226" i="1"/>
  <c r="E89" i="1"/>
  <c r="E241" i="1"/>
  <c r="E144" i="1"/>
  <c r="D155" i="1"/>
  <c r="F239" i="1"/>
  <c r="F149" i="1"/>
  <c r="F256" i="1"/>
  <c r="F241" i="1"/>
  <c r="D183" i="1"/>
  <c r="D10" i="1"/>
  <c r="D193" i="1"/>
  <c r="D22" i="1"/>
  <c r="D77" i="1"/>
  <c r="D90" i="1"/>
  <c r="D204" i="1"/>
  <c r="D212" i="1"/>
  <c r="D62" i="1"/>
  <c r="D74" i="1"/>
  <c r="D226" i="1"/>
  <c r="D46" i="1"/>
  <c r="D201" i="1"/>
  <c r="D91" i="1"/>
  <c r="D248" i="1"/>
  <c r="D222" i="1"/>
  <c r="D143" i="1"/>
  <c r="D157" i="1"/>
  <c r="D181" i="1"/>
  <c r="D239" i="1"/>
  <c r="D18" i="1"/>
  <c r="D117" i="1"/>
  <c r="D246" i="1"/>
  <c r="D116" i="1"/>
  <c r="D75" i="1"/>
  <c r="D214" i="1"/>
  <c r="D138" i="1"/>
  <c r="D156" i="1"/>
  <c r="D141" i="1"/>
  <c r="D24" i="1"/>
  <c r="D145" i="1"/>
  <c r="D70" i="1"/>
  <c r="D224" i="1"/>
  <c r="F153" i="1"/>
  <c r="F108" i="1"/>
  <c r="F9" i="1"/>
  <c r="F230" i="1"/>
  <c r="F125" i="1"/>
  <c r="F130" i="1"/>
  <c r="F244" i="1"/>
  <c r="F229" i="1"/>
  <c r="F189" i="1"/>
  <c r="F90" i="1"/>
  <c r="F177" i="1"/>
  <c r="F236" i="1"/>
  <c r="F254" i="1"/>
  <c r="F82" i="1"/>
  <c r="F247" i="1"/>
  <c r="F38" i="1"/>
  <c r="F59" i="1"/>
  <c r="F44" i="1"/>
  <c r="F12" i="1"/>
  <c r="F250" i="1"/>
  <c r="F40" i="1"/>
  <c r="F259" i="1"/>
  <c r="F32" i="1"/>
  <c r="F222" i="1"/>
  <c r="F57" i="1"/>
  <c r="F172" i="1"/>
  <c r="F109" i="1"/>
  <c r="F237" i="1"/>
  <c r="F134" i="1"/>
  <c r="F17" i="1"/>
  <c r="F102" i="1"/>
  <c r="F199" i="1"/>
  <c r="E258" i="1"/>
  <c r="E35" i="1"/>
  <c r="E227" i="1"/>
  <c r="E20" i="1"/>
  <c r="E239" i="1"/>
  <c r="E96" i="1"/>
  <c r="E76" i="1"/>
  <c r="E162" i="1"/>
  <c r="E25" i="1"/>
  <c r="E217" i="1"/>
  <c r="E236" i="1"/>
  <c r="E149" i="1"/>
  <c r="E29" i="1"/>
  <c r="E256" i="1"/>
  <c r="E213" i="1"/>
  <c r="E115" i="1"/>
  <c r="E61" i="1"/>
  <c r="E5" i="1"/>
  <c r="E126" i="1"/>
  <c r="E63" i="1"/>
  <c r="E157" i="1"/>
  <c r="E198" i="1"/>
  <c r="E69" i="1"/>
  <c r="E204" i="1"/>
  <c r="E257" i="1"/>
  <c r="E172" i="1"/>
  <c r="E109" i="1"/>
  <c r="E58" i="1"/>
  <c r="E134" i="1"/>
  <c r="E17" i="1"/>
  <c r="E199" i="1"/>
  <c r="E118" i="1"/>
  <c r="E47" i="1"/>
  <c r="E128" i="1"/>
  <c r="E87" i="1"/>
  <c r="E233" i="1"/>
  <c r="E34" i="1"/>
  <c r="D100" i="1"/>
  <c r="F140" i="1"/>
  <c r="F194" i="1"/>
  <c r="F133" i="1"/>
  <c r="F64" i="1"/>
  <c r="E159" i="1"/>
  <c r="E221" i="1"/>
  <c r="E201" i="1"/>
  <c r="E181" i="1"/>
  <c r="E19" i="1"/>
  <c r="D220" i="1"/>
  <c r="F258" i="1"/>
  <c r="F25" i="1"/>
  <c r="F115" i="1"/>
  <c r="F151" i="1"/>
  <c r="D9" i="1"/>
  <c r="D20" i="1"/>
  <c r="D76" i="1"/>
  <c r="D189" i="1"/>
  <c r="D25" i="1"/>
  <c r="D15" i="1"/>
  <c r="D227" i="1"/>
  <c r="D123" i="1"/>
  <c r="D254" i="1"/>
  <c r="D12" i="1"/>
  <c r="D27" i="1"/>
  <c r="D250" i="1"/>
  <c r="D111" i="1"/>
  <c r="D243" i="1"/>
  <c r="D133" i="1"/>
  <c r="D129" i="1"/>
  <c r="D97" i="1"/>
  <c r="D119" i="1"/>
  <c r="D211" i="1"/>
  <c r="D42" i="1"/>
  <c r="D124" i="1"/>
  <c r="D186" i="1"/>
  <c r="D57" i="1"/>
  <c r="D216" i="1"/>
  <c r="D132" i="1"/>
  <c r="D192" i="1"/>
  <c r="D53" i="1"/>
  <c r="D139" i="1"/>
  <c r="D26" i="1"/>
  <c r="D107" i="1"/>
  <c r="D44" i="1"/>
  <c r="D178" i="1"/>
  <c r="D160" i="1"/>
  <c r="F176" i="1"/>
  <c r="F234" i="1"/>
  <c r="F207" i="1"/>
  <c r="F196" i="1"/>
  <c r="F31" i="1"/>
  <c r="F42" i="1"/>
  <c r="F121" i="1"/>
  <c r="F8" i="1"/>
  <c r="F86" i="1"/>
  <c r="F15" i="1"/>
  <c r="F81" i="1"/>
  <c r="F18" i="1"/>
  <c r="F3" i="1"/>
  <c r="F252" i="1"/>
  <c r="F205" i="1"/>
  <c r="F83" i="1"/>
  <c r="F158" i="1"/>
  <c r="F63" i="1"/>
  <c r="F99" i="1"/>
  <c r="F251" i="1"/>
  <c r="F145" i="1"/>
  <c r="F223" i="1"/>
  <c r="F101" i="1"/>
  <c r="F211" i="1"/>
  <c r="F45" i="1"/>
  <c r="F182" i="1"/>
  <c r="F168" i="1"/>
  <c r="F208" i="1"/>
  <c r="F67" i="1"/>
  <c r="F190" i="1"/>
  <c r="F50" i="1"/>
  <c r="F58" i="1"/>
  <c r="E191" i="1"/>
  <c r="E165" i="1"/>
  <c r="E242" i="1"/>
  <c r="E92" i="1"/>
  <c r="E11" i="1"/>
  <c r="E123" i="1"/>
  <c r="E200" i="1"/>
  <c r="E22" i="1"/>
  <c r="E177" i="1"/>
  <c r="E261" i="1"/>
  <c r="E18" i="1"/>
  <c r="E4" i="1"/>
  <c r="E78" i="1"/>
  <c r="E252" i="1"/>
  <c r="E161" i="1"/>
  <c r="E88" i="1"/>
  <c r="E195" i="1"/>
  <c r="E7" i="1"/>
  <c r="E40" i="1"/>
  <c r="E129" i="1"/>
  <c r="E119" i="1"/>
  <c r="E52" i="1"/>
  <c r="E33" i="1"/>
  <c r="E235" i="1"/>
  <c r="E152" i="1"/>
  <c r="E182" i="1"/>
  <c r="E168" i="1"/>
  <c r="E237" i="1"/>
  <c r="E67" i="1"/>
  <c r="E190" i="1"/>
  <c r="E102" i="1"/>
  <c r="E225" i="1"/>
  <c r="E86" i="1"/>
  <c r="E2" i="1"/>
  <c r="E210" i="1"/>
  <c r="E208" i="1"/>
  <c r="E50" i="1"/>
  <c r="E254" i="1"/>
  <c r="E103" i="1"/>
  <c r="E155" i="1"/>
  <c r="D108" i="1"/>
  <c r="F183" i="1"/>
  <c r="F71" i="1"/>
  <c r="F150" i="1"/>
  <c r="F198" i="1"/>
  <c r="F210" i="1"/>
  <c r="F144" i="1"/>
  <c r="E94" i="1"/>
  <c r="E14" i="1"/>
  <c r="E248" i="1"/>
  <c r="E151" i="1"/>
  <c r="E64" i="1"/>
  <c r="D146" i="1"/>
  <c r="F20" i="1"/>
  <c r="F113" i="1"/>
  <c r="F61" i="1"/>
  <c r="F178" i="1"/>
  <c r="F218" i="1"/>
  <c r="E49" i="1"/>
  <c r="E113" i="1"/>
  <c r="E143" i="1"/>
  <c r="E75" i="1"/>
  <c r="E140" i="1"/>
  <c r="E26" i="1"/>
  <c r="E150" i="1"/>
  <c r="E216" i="1"/>
  <c r="F214" i="1"/>
  <c r="E148" i="1"/>
  <c r="E135" i="1"/>
  <c r="E15" i="1"/>
  <c r="E214" i="1"/>
  <c r="E51" i="1"/>
  <c r="E194" i="1"/>
  <c r="E145" i="1"/>
  <c r="F53" i="1"/>
  <c r="E197" i="1"/>
  <c r="E16" i="1"/>
  <c r="E95" i="1"/>
  <c r="E53" i="1"/>
  <c r="E32" i="1"/>
  <c r="E222" i="1"/>
  <c r="E57" i="1"/>
  <c r="E206" i="1"/>
  <c r="F139" i="1"/>
  <c r="E212" i="1"/>
  <c r="E110" i="1"/>
  <c r="E153" i="1"/>
  <c r="E139" i="1"/>
  <c r="F26" i="1"/>
  <c r="E24" i="1"/>
  <c r="E136" i="1"/>
  <c r="E71" i="1"/>
  <c r="F107" i="1"/>
  <c r="E56" i="1"/>
  <c r="E183" i="1"/>
  <c r="F160" i="1"/>
  <c r="C21" i="2" l="1"/>
  <c r="S21" i="2"/>
  <c r="G183" i="1"/>
  <c r="G56" i="1"/>
  <c r="AA8" i="2"/>
  <c r="K8" i="2"/>
  <c r="J7" i="2"/>
  <c r="G71" i="1"/>
  <c r="Z7" i="2"/>
  <c r="G136" i="1"/>
  <c r="AB3" i="2"/>
  <c r="L3" i="2"/>
  <c r="G24" i="1"/>
  <c r="E21" i="2"/>
  <c r="U21" i="2"/>
  <c r="G139" i="1"/>
  <c r="I4" i="2"/>
  <c r="Y4" i="2"/>
  <c r="Y16" i="2"/>
  <c r="G153" i="1"/>
  <c r="I16" i="2"/>
  <c r="G110" i="1"/>
  <c r="Z13" i="2"/>
  <c r="J13" i="2"/>
  <c r="Z3" i="2"/>
  <c r="G212" i="1"/>
  <c r="J3" i="2"/>
  <c r="G206" i="1"/>
  <c r="AG206" i="2" s="1"/>
  <c r="I11" i="2"/>
  <c r="Y11" i="2"/>
  <c r="G57" i="1"/>
  <c r="AD9" i="2"/>
  <c r="N9" i="2"/>
  <c r="G222" i="1"/>
  <c r="AG222" i="2" s="1"/>
  <c r="AD14" i="2"/>
  <c r="N14" i="2"/>
  <c r="G32" i="1"/>
  <c r="V5" i="2"/>
  <c r="F5" i="2"/>
  <c r="G53" i="1"/>
  <c r="AB6" i="2"/>
  <c r="L6" i="2"/>
  <c r="C16" i="2"/>
  <c r="G95" i="1"/>
  <c r="S16" i="2"/>
  <c r="G16" i="1"/>
  <c r="AD7" i="2"/>
  <c r="N7" i="2"/>
  <c r="T17" i="2"/>
  <c r="G197" i="1"/>
  <c r="D17" i="2"/>
  <c r="G145" i="1"/>
  <c r="W10" i="2"/>
  <c r="G10" i="2"/>
  <c r="G194" i="1"/>
  <c r="AG194" i="2" s="1"/>
  <c r="M13" i="2"/>
  <c r="AC13" i="2"/>
  <c r="G51" i="1"/>
  <c r="AG51" i="2" s="1"/>
  <c r="J4" i="2"/>
  <c r="Z4" i="2"/>
  <c r="G214" i="1"/>
  <c r="K20" i="2"/>
  <c r="AA20" i="2"/>
  <c r="D11" i="2"/>
  <c r="G15" i="1"/>
  <c r="AG15" i="2" s="1"/>
  <c r="T11" i="2"/>
  <c r="U17" i="2"/>
  <c r="G135" i="1"/>
  <c r="E17" i="2"/>
  <c r="K15" i="2"/>
  <c r="AA15" i="2"/>
  <c r="G148" i="1"/>
  <c r="G216" i="1"/>
  <c r="AE20" i="2"/>
  <c r="O20" i="2"/>
  <c r="G150" i="1"/>
  <c r="B9" i="2"/>
  <c r="R9" i="2"/>
  <c r="G26" i="1"/>
  <c r="I18" i="2"/>
  <c r="Y18" i="2"/>
  <c r="AD8" i="2"/>
  <c r="G140" i="1"/>
  <c r="N8" i="2"/>
  <c r="G75" i="1"/>
  <c r="AG75" i="2" s="1"/>
  <c r="V3" i="2"/>
  <c r="F3" i="2"/>
  <c r="G143" i="1"/>
  <c r="AG143" i="2" s="1"/>
  <c r="B17" i="2"/>
  <c r="R17" i="2"/>
  <c r="F13" i="2"/>
  <c r="V13" i="2"/>
  <c r="G113" i="1"/>
  <c r="H5" i="2"/>
  <c r="X5" i="2"/>
  <c r="G49" i="1"/>
  <c r="G64" i="1"/>
  <c r="AG64" i="2" s="1"/>
  <c r="K13" i="2"/>
  <c r="AA13" i="2"/>
  <c r="G151" i="1"/>
  <c r="AG151" i="2" s="1"/>
  <c r="K4" i="2"/>
  <c r="AA4" i="2"/>
  <c r="G248" i="1"/>
  <c r="AG248" i="2" s="1"/>
  <c r="Z21" i="2"/>
  <c r="J21" i="2"/>
  <c r="G14" i="1"/>
  <c r="I13" i="2"/>
  <c r="Y13" i="2"/>
  <c r="T5" i="2"/>
  <c r="D5" i="2"/>
  <c r="G94" i="1"/>
  <c r="U12" i="2"/>
  <c r="G155" i="1"/>
  <c r="E12" i="2"/>
  <c r="Z5" i="2"/>
  <c r="J5" i="2"/>
  <c r="G103" i="1"/>
  <c r="X19" i="2"/>
  <c r="H19" i="2"/>
  <c r="G254" i="1"/>
  <c r="G50" i="1"/>
  <c r="Z14" i="2"/>
  <c r="J14" i="2"/>
  <c r="H15" i="2"/>
  <c r="G208" i="1"/>
  <c r="AG208" i="2" s="1"/>
  <c r="X15" i="2"/>
  <c r="U6" i="2"/>
  <c r="G210" i="1"/>
  <c r="AG210" i="2" s="1"/>
  <c r="E6" i="2"/>
  <c r="S4" i="2"/>
  <c r="G2" i="1"/>
  <c r="C4" i="2"/>
  <c r="G86" i="1"/>
  <c r="U10" i="2"/>
  <c r="E10" i="2"/>
  <c r="G225" i="1"/>
  <c r="S11" i="2"/>
  <c r="C11" i="2"/>
  <c r="G102" i="1"/>
  <c r="L19" i="2"/>
  <c r="AB19" i="2"/>
  <c r="G190" i="1"/>
  <c r="AG190" i="2" s="1"/>
  <c r="L12" i="2"/>
  <c r="AB12" i="2"/>
  <c r="G67" i="1"/>
  <c r="H8" i="2"/>
  <c r="X8" i="2"/>
  <c r="G237" i="1"/>
  <c r="AB10" i="2"/>
  <c r="L10" i="2"/>
  <c r="V19" i="2"/>
  <c r="F19" i="2"/>
  <c r="G168" i="1"/>
  <c r="AG168" i="2" s="1"/>
  <c r="G182" i="1"/>
  <c r="V8" i="2"/>
  <c r="F8" i="2"/>
  <c r="G152" i="1"/>
  <c r="G6" i="2"/>
  <c r="W6" i="2"/>
  <c r="G20" i="2"/>
  <c r="G235" i="1"/>
  <c r="AG235" i="2" s="1"/>
  <c r="W20" i="2"/>
  <c r="G33" i="1"/>
  <c r="AG33" i="2" s="1"/>
  <c r="AE14" i="2"/>
  <c r="O14" i="2"/>
  <c r="G52" i="1"/>
  <c r="AD4" i="2"/>
  <c r="N4" i="2"/>
  <c r="G119" i="1"/>
  <c r="AG119" i="2" s="1"/>
  <c r="T4" i="2"/>
  <c r="D4" i="2"/>
  <c r="G129" i="1"/>
  <c r="AA11" i="2"/>
  <c r="K11" i="2"/>
  <c r="G40" i="1"/>
  <c r="R6" i="2"/>
  <c r="B6" i="2"/>
  <c r="G7" i="1"/>
  <c r="AG7" i="2" s="1"/>
  <c r="O10" i="2"/>
  <c r="AE10" i="2"/>
  <c r="AC14" i="2"/>
  <c r="G195" i="1"/>
  <c r="AG195" i="2" s="1"/>
  <c r="M14" i="2"/>
  <c r="K7" i="2"/>
  <c r="G88" i="1"/>
  <c r="AA7" i="2"/>
  <c r="G161" i="1"/>
  <c r="AG161" i="2" s="1"/>
  <c r="O16" i="2"/>
  <c r="AE16" i="2"/>
  <c r="G252" i="1"/>
  <c r="L11" i="2"/>
  <c r="AB11" i="2"/>
  <c r="U14" i="2"/>
  <c r="G78" i="1"/>
  <c r="E14" i="2"/>
  <c r="L7" i="2"/>
  <c r="AB7" i="2"/>
  <c r="G4" i="1"/>
  <c r="AG4" i="2" s="1"/>
  <c r="G18" i="1"/>
  <c r="AG18" i="2" s="1"/>
  <c r="AE3" i="2"/>
  <c r="O3" i="2"/>
  <c r="G261" i="1"/>
  <c r="C20" i="2"/>
  <c r="S20" i="2"/>
  <c r="H18" i="2"/>
  <c r="G177" i="1"/>
  <c r="X18" i="2"/>
  <c r="G22" i="1"/>
  <c r="AG155" i="2" s="1"/>
  <c r="E3" i="2"/>
  <c r="U3" i="2"/>
  <c r="V11" i="2"/>
  <c r="F11" i="2"/>
  <c r="G200" i="1"/>
  <c r="AG200" i="2" s="1"/>
  <c r="G123" i="1"/>
  <c r="T8" i="2"/>
  <c r="D8" i="2"/>
  <c r="G3" i="2"/>
  <c r="W3" i="2"/>
  <c r="G11" i="1"/>
  <c r="D19" i="2"/>
  <c r="G92" i="1"/>
  <c r="AG92" i="2" s="1"/>
  <c r="T19" i="2"/>
  <c r="U19" i="2"/>
  <c r="E19" i="2"/>
  <c r="G242" i="1"/>
  <c r="V9" i="2"/>
  <c r="F9" i="2"/>
  <c r="G165" i="1"/>
  <c r="C19" i="2"/>
  <c r="S19" i="2"/>
  <c r="G191" i="1"/>
  <c r="G19" i="1"/>
  <c r="U9" i="2"/>
  <c r="E9" i="2"/>
  <c r="G181" i="1"/>
  <c r="AG181" i="2" s="1"/>
  <c r="F6" i="2"/>
  <c r="V6" i="2"/>
  <c r="F20" i="2"/>
  <c r="G201" i="1"/>
  <c r="AG201" i="2" s="1"/>
  <c r="V20" i="2"/>
  <c r="G221" i="1"/>
  <c r="X20" i="2"/>
  <c r="H20" i="2"/>
  <c r="J17" i="2"/>
  <c r="Z17" i="2"/>
  <c r="G159" i="1"/>
  <c r="AG159" i="2" s="1"/>
  <c r="G34" i="1"/>
  <c r="S9" i="2"/>
  <c r="C9" i="2"/>
  <c r="G233" i="1"/>
  <c r="AG233" i="2" s="1"/>
  <c r="O12" i="2"/>
  <c r="AE12" i="2"/>
  <c r="T10" i="2"/>
  <c r="G87" i="1"/>
  <c r="D10" i="2"/>
  <c r="G128" i="1"/>
  <c r="U11" i="2"/>
  <c r="E11" i="2"/>
  <c r="G47" i="1"/>
  <c r="S7" i="2"/>
  <c r="C7" i="2"/>
  <c r="AD11" i="2"/>
  <c r="N11" i="2"/>
  <c r="G118" i="1"/>
  <c r="AB17" i="2"/>
  <c r="G199" i="1"/>
  <c r="L17" i="2"/>
  <c r="R3" i="2"/>
  <c r="G17" i="1"/>
  <c r="B3" i="2"/>
  <c r="K17" i="2"/>
  <c r="G134" i="1"/>
  <c r="AA17" i="2"/>
  <c r="G58" i="1"/>
  <c r="W21" i="2"/>
  <c r="G21" i="2"/>
  <c r="O18" i="2"/>
  <c r="G109" i="1"/>
  <c r="AE18" i="2"/>
  <c r="R10" i="2"/>
  <c r="G172" i="1"/>
  <c r="B10" i="2"/>
  <c r="C14" i="2"/>
  <c r="S14" i="2"/>
  <c r="G257" i="1"/>
  <c r="O19" i="2"/>
  <c r="G204" i="1"/>
  <c r="AG204" i="2" s="1"/>
  <c r="AE19" i="2"/>
  <c r="H9" i="2"/>
  <c r="G69" i="1"/>
  <c r="X9" i="2"/>
  <c r="S12" i="2"/>
  <c r="G198" i="1"/>
  <c r="C12" i="2"/>
  <c r="W4" i="2"/>
  <c r="G4" i="2"/>
  <c r="G157" i="1"/>
  <c r="G63" i="1"/>
  <c r="Y10" i="2"/>
  <c r="I10" i="2"/>
  <c r="N12" i="2"/>
  <c r="AD12" i="2"/>
  <c r="G126" i="1"/>
  <c r="F7" i="2"/>
  <c r="G5" i="1"/>
  <c r="V7" i="2"/>
  <c r="G61" i="1"/>
  <c r="AC9" i="2"/>
  <c r="M9" i="2"/>
  <c r="G115" i="1"/>
  <c r="F15" i="2"/>
  <c r="V15" i="2"/>
  <c r="D14" i="2"/>
  <c r="T14" i="2"/>
  <c r="G213" i="1"/>
  <c r="H13" i="2"/>
  <c r="X13" i="2"/>
  <c r="G256" i="1"/>
  <c r="G29" i="1"/>
  <c r="T13" i="2"/>
  <c r="D13" i="2"/>
  <c r="M19" i="2"/>
  <c r="G149" i="1"/>
  <c r="AG149" i="2" s="1"/>
  <c r="AC19" i="2"/>
  <c r="AD19" i="2"/>
  <c r="N19" i="2"/>
  <c r="G236" i="1"/>
  <c r="N17" i="2"/>
  <c r="G217" i="1"/>
  <c r="AD17" i="2"/>
  <c r="J8" i="2"/>
  <c r="G25" i="1"/>
  <c r="Z8" i="2"/>
  <c r="Y3" i="2"/>
  <c r="G162" i="1"/>
  <c r="I3" i="2"/>
  <c r="J19" i="2"/>
  <c r="G76" i="1"/>
  <c r="Z19" i="2"/>
  <c r="I12" i="2"/>
  <c r="G96" i="1"/>
  <c r="AG76" i="2" s="1"/>
  <c r="Y12" i="2"/>
  <c r="D18" i="2"/>
  <c r="G239" i="1"/>
  <c r="AG239" i="2" s="1"/>
  <c r="T18" i="2"/>
  <c r="AC6" i="2"/>
  <c r="M6" i="2"/>
  <c r="G20" i="1"/>
  <c r="AD18" i="2"/>
  <c r="N18" i="2"/>
  <c r="G227" i="1"/>
  <c r="I7" i="2"/>
  <c r="Y7" i="2"/>
  <c r="G35" i="1"/>
  <c r="AG35" i="2" s="1"/>
  <c r="C17" i="2"/>
  <c r="S17" i="2"/>
  <c r="G258" i="1"/>
  <c r="AC5" i="2"/>
  <c r="G144" i="1"/>
  <c r="M5" i="2"/>
  <c r="D15" i="2"/>
  <c r="T15" i="2"/>
  <c r="G241" i="1"/>
  <c r="AG241" i="2" s="1"/>
  <c r="G89" i="1"/>
  <c r="V14" i="2"/>
  <c r="F14" i="2"/>
  <c r="I21" i="2"/>
  <c r="G226" i="1"/>
  <c r="Y21" i="2"/>
  <c r="G112" i="1"/>
  <c r="W17" i="2"/>
  <c r="G17" i="2"/>
  <c r="B7" i="2"/>
  <c r="G6" i="1"/>
  <c r="R7" i="2"/>
  <c r="G160" i="1"/>
  <c r="R18" i="2"/>
  <c r="B18" i="2"/>
  <c r="AB18" i="2"/>
  <c r="G154" i="1"/>
  <c r="L18" i="2"/>
  <c r="G186" i="1"/>
  <c r="AG186" i="2" s="1"/>
  <c r="J12" i="2"/>
  <c r="Z12" i="2"/>
  <c r="G249" i="1"/>
  <c r="H16" i="2"/>
  <c r="X16" i="2"/>
  <c r="F18" i="2"/>
  <c r="V18" i="2"/>
  <c r="G41" i="1"/>
  <c r="G166" i="1"/>
  <c r="O9" i="2"/>
  <c r="AE9" i="2"/>
  <c r="G105" i="1"/>
  <c r="E16" i="2"/>
  <c r="U16" i="2"/>
  <c r="O15" i="2"/>
  <c r="AE15" i="2"/>
  <c r="G44" i="1"/>
  <c r="V4" i="2"/>
  <c r="F4" i="2"/>
  <c r="G107" i="1"/>
  <c r="K14" i="2"/>
  <c r="AA14" i="2"/>
  <c r="G209" i="1"/>
  <c r="AG209" i="2" s="1"/>
  <c r="B21" i="2"/>
  <c r="G98" i="1"/>
  <c r="R21" i="2"/>
  <c r="C6" i="2"/>
  <c r="S6" i="2"/>
  <c r="G173" i="1"/>
  <c r="E13" i="2"/>
  <c r="U13" i="2"/>
  <c r="G192" i="1"/>
  <c r="F16" i="2"/>
  <c r="V16" i="2"/>
  <c r="G132" i="1"/>
  <c r="J18" i="2"/>
  <c r="Z18" i="2"/>
  <c r="G224" i="1"/>
  <c r="AG224" i="2" s="1"/>
  <c r="K10" i="2"/>
  <c r="G45" i="1"/>
  <c r="AA10" i="2"/>
  <c r="Y15" i="2"/>
  <c r="I15" i="2"/>
  <c r="G211" i="1"/>
  <c r="AG211" i="2" s="1"/>
  <c r="I9" i="2"/>
  <c r="Y9" i="2"/>
  <c r="G101" i="1"/>
  <c r="G114" i="1"/>
  <c r="E20" i="2"/>
  <c r="U20" i="2"/>
  <c r="O13" i="2"/>
  <c r="AE13" i="2"/>
  <c r="G85" i="1"/>
  <c r="AG101" i="2" s="1"/>
  <c r="D20" i="2"/>
  <c r="T20" i="2"/>
  <c r="G170" i="1"/>
  <c r="AG170" i="2" s="1"/>
  <c r="AD13" i="2"/>
  <c r="N13" i="2"/>
  <c r="G97" i="1"/>
  <c r="D7" i="2"/>
  <c r="G62" i="1"/>
  <c r="T7" i="2"/>
  <c r="D12" i="2"/>
  <c r="T12" i="2"/>
  <c r="G203" i="1"/>
  <c r="AG203" i="2" s="1"/>
  <c r="X17" i="2"/>
  <c r="H17" i="2"/>
  <c r="G232" i="1"/>
  <c r="U8" i="2"/>
  <c r="E8" i="2"/>
  <c r="G142" i="1"/>
  <c r="AG67" i="2" s="1"/>
  <c r="G9" i="2"/>
  <c r="W9" i="2"/>
  <c r="G82" i="1"/>
  <c r="S8" i="2"/>
  <c r="C8" i="2"/>
  <c r="G99" i="1"/>
  <c r="O4" i="2"/>
  <c r="G179" i="1"/>
  <c r="AG179" i="2" s="1"/>
  <c r="AE4" i="2"/>
  <c r="M17" i="2"/>
  <c r="AC17" i="2"/>
  <c r="G188" i="1"/>
  <c r="AG188" i="2" s="1"/>
  <c r="K19" i="2"/>
  <c r="AA19" i="2"/>
  <c r="G262" i="1"/>
  <c r="K6" i="2"/>
  <c r="AA6" i="2"/>
  <c r="G77" i="1"/>
  <c r="B11" i="2"/>
  <c r="R11" i="2"/>
  <c r="G84" i="1"/>
  <c r="Y17" i="2"/>
  <c r="G219" i="1"/>
  <c r="I17" i="2"/>
  <c r="AC4" i="2"/>
  <c r="M4" i="2"/>
  <c r="G231" i="1"/>
  <c r="AG231" i="2" s="1"/>
  <c r="AA5" i="2"/>
  <c r="G79" i="1"/>
  <c r="AG58" i="2" s="1"/>
  <c r="K5" i="2"/>
  <c r="F17" i="2"/>
  <c r="G36" i="1"/>
  <c r="V17" i="2"/>
  <c r="D16" i="2"/>
  <c r="G174" i="1"/>
  <c r="T16" i="2"/>
  <c r="M7" i="2"/>
  <c r="AC7" i="2"/>
  <c r="G245" i="1"/>
  <c r="AG245" i="2" s="1"/>
  <c r="R20" i="2"/>
  <c r="G117" i="1"/>
  <c r="AG117" i="2" s="1"/>
  <c r="B20" i="2"/>
  <c r="G28" i="1"/>
  <c r="AG216" i="2" s="1"/>
  <c r="J9" i="2"/>
  <c r="Z9" i="2"/>
  <c r="S13" i="2"/>
  <c r="C13" i="2"/>
  <c r="G106" i="1"/>
  <c r="G141" i="1"/>
  <c r="AG141" i="2" s="1"/>
  <c r="G11" i="2"/>
  <c r="W11" i="2"/>
  <c r="X12" i="2"/>
  <c r="H12" i="2"/>
  <c r="G156" i="1"/>
  <c r="G138" i="1"/>
  <c r="N20" i="2"/>
  <c r="AD20" i="2"/>
  <c r="V10" i="2"/>
  <c r="F10" i="2"/>
  <c r="G147" i="1"/>
  <c r="H7" i="2"/>
  <c r="G23" i="1"/>
  <c r="AG23" i="2" s="1"/>
  <c r="X7" i="2"/>
  <c r="Z10" i="2"/>
  <c r="J10" i="2"/>
  <c r="G116" i="1"/>
  <c r="R5" i="2"/>
  <c r="G246" i="1"/>
  <c r="B5" i="2"/>
  <c r="M10" i="2"/>
  <c r="AC10" i="2"/>
  <c r="G104" i="1"/>
  <c r="O7" i="2"/>
  <c r="AE7" i="2"/>
  <c r="G66" i="1"/>
  <c r="AC16" i="2"/>
  <c r="G30" i="1"/>
  <c r="M16" i="2"/>
  <c r="L20" i="2"/>
  <c r="G127" i="1"/>
  <c r="AG127" i="2" s="1"/>
  <c r="AB20" i="2"/>
  <c r="G90" i="1"/>
  <c r="AG105" i="2" s="1"/>
  <c r="E4" i="2"/>
  <c r="U4" i="2"/>
  <c r="J15" i="2"/>
  <c r="G255" i="1"/>
  <c r="AG255" i="2" s="1"/>
  <c r="Z15" i="2"/>
  <c r="V21" i="2"/>
  <c r="F21" i="2"/>
  <c r="G259" i="1"/>
  <c r="G243" i="1"/>
  <c r="J20" i="2"/>
  <c r="Z20" i="2"/>
  <c r="N15" i="2"/>
  <c r="AD15" i="2"/>
  <c r="G111" i="1"/>
  <c r="T21" i="2"/>
  <c r="D21" i="2"/>
  <c r="G250" i="1"/>
  <c r="Y5" i="2"/>
  <c r="I5" i="2"/>
  <c r="G27" i="1"/>
  <c r="G12" i="1"/>
  <c r="E5" i="2"/>
  <c r="U5" i="2"/>
  <c r="G185" i="1"/>
  <c r="N10" i="2"/>
  <c r="AD10" i="2"/>
  <c r="J11" i="2"/>
  <c r="Z11" i="2"/>
  <c r="G215" i="1"/>
  <c r="AG215" i="2" s="1"/>
  <c r="L14" i="2"/>
  <c r="AB14" i="2"/>
  <c r="G65" i="1"/>
  <c r="W14" i="2"/>
  <c r="G14" i="2"/>
  <c r="G167" i="1"/>
  <c r="E7" i="2"/>
  <c r="G80" i="1"/>
  <c r="AG80" i="2" s="1"/>
  <c r="U7" i="2"/>
  <c r="Z16" i="2"/>
  <c r="G193" i="1"/>
  <c r="J16" i="2"/>
  <c r="R15" i="2"/>
  <c r="B15" i="2"/>
  <c r="G120" i="1"/>
  <c r="R19" i="2"/>
  <c r="G13" i="1"/>
  <c r="B19" i="2"/>
  <c r="G10" i="1"/>
  <c r="H3" i="2"/>
  <c r="X3" i="2"/>
  <c r="G60" i="1"/>
  <c r="L8" i="2"/>
  <c r="AB8" i="2"/>
  <c r="AC8" i="2"/>
  <c r="G253" i="1"/>
  <c r="AG253" i="2" s="1"/>
  <c r="M8" i="2"/>
  <c r="G180" i="1"/>
  <c r="AG180" i="2" s="1"/>
  <c r="G15" i="2"/>
  <c r="W15" i="2"/>
  <c r="B14" i="2"/>
  <c r="R14" i="2"/>
  <c r="G72" i="1"/>
  <c r="G74" i="1"/>
  <c r="W7" i="2"/>
  <c r="G7" i="2"/>
  <c r="W18" i="2"/>
  <c r="G18" i="2"/>
  <c r="G171" i="1"/>
  <c r="K18" i="2"/>
  <c r="AA18" i="2"/>
  <c r="G220" i="1"/>
  <c r="R12" i="2"/>
  <c r="G218" i="1"/>
  <c r="B12" i="2"/>
  <c r="G73" i="1"/>
  <c r="AG73" i="2" s="1"/>
  <c r="E18" i="2"/>
  <c r="U18" i="2"/>
  <c r="G91" i="1"/>
  <c r="T6" i="2"/>
  <c r="D6" i="2"/>
  <c r="C18" i="2"/>
  <c r="S18" i="2"/>
  <c r="G163" i="1"/>
  <c r="G164" i="1"/>
  <c r="AG164" i="2" s="1"/>
  <c r="L15" i="2"/>
  <c r="AB15" i="2"/>
  <c r="K16" i="2"/>
  <c r="AA16" i="2"/>
  <c r="G175" i="1"/>
  <c r="AC11" i="2"/>
  <c r="G202" i="1"/>
  <c r="M11" i="2"/>
  <c r="AC15" i="2"/>
  <c r="G55" i="1"/>
  <c r="M15" i="2"/>
  <c r="D9" i="2"/>
  <c r="T9" i="2"/>
  <c r="G137" i="1"/>
  <c r="S10" i="2"/>
  <c r="G158" i="1"/>
  <c r="C10" i="2"/>
  <c r="AE17" i="2"/>
  <c r="O17" i="2"/>
  <c r="G83" i="1"/>
  <c r="O8" i="2"/>
  <c r="AE8" i="2"/>
  <c r="G205" i="1"/>
  <c r="AG205" i="2" s="1"/>
  <c r="M18" i="2"/>
  <c r="AC18" i="2"/>
  <c r="G228" i="1"/>
  <c r="S15" i="2"/>
  <c r="G39" i="1"/>
  <c r="C15" i="2"/>
  <c r="G8" i="2"/>
  <c r="W8" i="2"/>
  <c r="G43" i="1"/>
  <c r="AG43" i="2" s="1"/>
  <c r="AD3" i="2"/>
  <c r="G122" i="1"/>
  <c r="N3" i="2"/>
  <c r="O5" i="2"/>
  <c r="AE5" i="2"/>
  <c r="G240" i="1"/>
  <c r="L9" i="2"/>
  <c r="G37" i="1"/>
  <c r="AB9" i="2"/>
  <c r="G13" i="2"/>
  <c r="W13" i="2"/>
  <c r="G223" i="1"/>
  <c r="G8" i="1"/>
  <c r="AG107" i="2" s="1"/>
  <c r="S3" i="2"/>
  <c r="C3" i="2"/>
  <c r="B4" i="2"/>
  <c r="R4" i="2"/>
  <c r="G121" i="1"/>
  <c r="G42" i="1"/>
  <c r="AA3" i="2"/>
  <c r="K3" i="2"/>
  <c r="W5" i="2"/>
  <c r="G5" i="2"/>
  <c r="G31" i="1"/>
  <c r="AG50" i="2" s="1"/>
  <c r="L5" i="2"/>
  <c r="AB5" i="2"/>
  <c r="G196" i="1"/>
  <c r="AE11" i="2"/>
  <c r="O11" i="2"/>
  <c r="G207" i="1"/>
  <c r="AG207" i="2" s="1"/>
  <c r="G19" i="2"/>
  <c r="W19" i="2"/>
  <c r="G234" i="1"/>
  <c r="G176" i="1"/>
  <c r="AG176" i="2" s="1"/>
  <c r="T3" i="2"/>
  <c r="D3" i="2"/>
  <c r="C5" i="2"/>
  <c r="S5" i="2"/>
  <c r="G146" i="1"/>
  <c r="G68" i="1"/>
  <c r="M12" i="2"/>
  <c r="AC12" i="2"/>
  <c r="G46" i="1"/>
  <c r="N6" i="2"/>
  <c r="AD6" i="2"/>
  <c r="G169" i="1"/>
  <c r="AG169" i="2" s="1"/>
  <c r="E15" i="2"/>
  <c r="U15" i="2"/>
  <c r="G260" i="1"/>
  <c r="Y20" i="2"/>
  <c r="I20" i="2"/>
  <c r="L16" i="2"/>
  <c r="AB16" i="2"/>
  <c r="G187" i="1"/>
  <c r="G54" i="1"/>
  <c r="K12" i="2"/>
  <c r="AA12" i="2"/>
  <c r="AB13" i="2"/>
  <c r="L13" i="2"/>
  <c r="G238" i="1"/>
  <c r="R8" i="2"/>
  <c r="B8" i="2"/>
  <c r="G184" i="1"/>
  <c r="G16" i="2"/>
  <c r="G100" i="1"/>
  <c r="W16" i="2"/>
  <c r="K9" i="2"/>
  <c r="AA9" i="2"/>
  <c r="G131" i="1"/>
  <c r="I14" i="2"/>
  <c r="Y14" i="2"/>
  <c r="G133" i="1"/>
  <c r="G93" i="1"/>
  <c r="H14" i="2"/>
  <c r="X14" i="2"/>
  <c r="G12" i="2"/>
  <c r="W12" i="2"/>
  <c r="G178" i="1"/>
  <c r="AG178" i="2" s="1"/>
  <c r="H11" i="2"/>
  <c r="X11" i="2"/>
  <c r="G251" i="1"/>
  <c r="N5" i="2"/>
  <c r="AD5" i="2"/>
  <c r="G59" i="1"/>
  <c r="G38" i="1"/>
  <c r="B13" i="2"/>
  <c r="R13" i="2"/>
  <c r="G247" i="1"/>
  <c r="AG247" i="2" s="1"/>
  <c r="X21" i="2"/>
  <c r="H21" i="2"/>
  <c r="AE6" i="2"/>
  <c r="G48" i="1"/>
  <c r="AG57" i="2" s="1"/>
  <c r="O6" i="2"/>
  <c r="I6" i="2"/>
  <c r="G21" i="1"/>
  <c r="Y6" i="2"/>
  <c r="AB4" i="2"/>
  <c r="L4" i="2"/>
  <c r="G3" i="1"/>
  <c r="G124" i="1"/>
  <c r="AG124" i="2" s="1"/>
  <c r="I8" i="2"/>
  <c r="Y8" i="2"/>
  <c r="AD16" i="2"/>
  <c r="G70" i="1"/>
  <c r="AG214" i="2" s="1"/>
  <c r="N16" i="2"/>
  <c r="H10" i="2"/>
  <c r="X10" i="2"/>
  <c r="G81" i="1"/>
  <c r="J6" i="2"/>
  <c r="Z6" i="2"/>
  <c r="G189" i="1"/>
  <c r="AG189" i="2" s="1"/>
  <c r="Y19" i="2"/>
  <c r="G229" i="1"/>
  <c r="I19" i="2"/>
  <c r="AC3" i="2"/>
  <c r="G244" i="1"/>
  <c r="AG244" i="2" s="1"/>
  <c r="M3" i="2"/>
  <c r="B16" i="2"/>
  <c r="R16" i="2"/>
  <c r="G130" i="1"/>
  <c r="AG130" i="2" s="1"/>
  <c r="F12" i="2"/>
  <c r="G125" i="1"/>
  <c r="V12" i="2"/>
  <c r="G230" i="1"/>
  <c r="M20" i="2"/>
  <c r="AC20" i="2"/>
  <c r="H4" i="2"/>
  <c r="G9" i="1"/>
  <c r="X4" i="2"/>
  <c r="X6" i="2"/>
  <c r="H6" i="2"/>
  <c r="G108" i="1"/>
  <c r="AG2" i="2" l="1"/>
  <c r="AG41" i="2"/>
  <c r="AG166" i="2"/>
  <c r="AG254" i="2"/>
  <c r="AG66" i="2"/>
  <c r="AG160" i="2"/>
  <c r="AG19" i="2"/>
  <c r="AG249" i="2"/>
  <c r="AG218" i="2"/>
  <c r="AG63" i="2"/>
  <c r="AG250" i="2"/>
  <c r="AG103" i="2"/>
  <c r="AG243" i="2"/>
  <c r="AG26" i="2"/>
  <c r="AG174" i="2"/>
  <c r="AG45" i="2"/>
  <c r="AG226" i="2"/>
  <c r="AG24" i="2"/>
  <c r="AG49" i="2"/>
  <c r="AG40" i="2"/>
  <c r="AG148" i="2"/>
  <c r="AG184" i="2"/>
  <c r="AG118" i="2"/>
  <c r="AG71" i="2"/>
  <c r="AG133" i="2"/>
  <c r="AG238" i="2"/>
  <c r="AG246" i="2"/>
  <c r="AG223" i="2"/>
  <c r="AG38" i="2"/>
  <c r="AG10" i="2"/>
  <c r="AG86" i="2"/>
  <c r="AG193" i="2"/>
  <c r="AG96" i="2"/>
  <c r="AG65" i="2"/>
  <c r="AG129" i="2"/>
  <c r="AG185" i="2"/>
  <c r="AG237" i="2"/>
  <c r="AG259" i="2"/>
  <c r="AG126" i="2"/>
  <c r="AG77" i="2"/>
  <c r="AG220" i="2"/>
  <c r="AG28" i="2"/>
  <c r="AG227" i="2"/>
  <c r="AG147" i="2"/>
  <c r="AG162" i="2"/>
  <c r="AG132" i="2"/>
  <c r="AG236" i="2"/>
  <c r="AG146" i="2"/>
  <c r="AG136" i="2"/>
  <c r="AG191" i="2"/>
  <c r="AG154" i="2"/>
  <c r="AG52" i="2"/>
  <c r="AG94" i="2"/>
  <c r="AG16" i="2"/>
  <c r="AG9" i="2"/>
  <c r="AG32" i="2"/>
  <c r="AG230" i="2"/>
  <c r="AG150" i="2"/>
  <c r="AG81" i="2"/>
  <c r="AG21" i="2"/>
  <c r="AG61" i="2"/>
  <c r="AG46" i="2"/>
  <c r="AG34" i="2"/>
  <c r="AG196" i="2"/>
  <c r="AG29" i="2"/>
  <c r="AG74" i="2"/>
  <c r="AG36" i="2"/>
  <c r="AG6" i="2"/>
  <c r="AG53" i="2"/>
  <c r="AG256" i="2"/>
  <c r="AG85" i="2"/>
  <c r="AG78" i="2"/>
  <c r="AG123" i="2"/>
  <c r="AG142" i="2"/>
  <c r="AG177" i="2"/>
  <c r="AG55" i="2"/>
  <c r="AG252" i="2"/>
  <c r="AG48" i="2"/>
  <c r="AG125" i="2"/>
  <c r="AG82" i="2"/>
  <c r="AG121" i="2"/>
  <c r="AG156" i="2"/>
  <c r="AG122" i="2"/>
  <c r="AG59" i="2"/>
  <c r="AG228" i="2"/>
  <c r="AG93" i="2"/>
  <c r="AG91" i="2"/>
  <c r="AG54" i="2"/>
  <c r="AG13" i="2"/>
  <c r="AG79" i="2"/>
  <c r="AG111" i="2"/>
  <c r="AG187" i="2"/>
  <c r="AG225" i="2"/>
  <c r="AG106" i="2"/>
  <c r="AG42" i="2"/>
  <c r="AG175" i="2"/>
  <c r="AG128" i="2"/>
  <c r="AG258" i="2"/>
  <c r="AG116" i="2"/>
  <c r="AG113" i="2"/>
  <c r="AG173" i="2"/>
  <c r="AG144" i="2"/>
  <c r="AG108" i="2"/>
  <c r="AG99" i="2"/>
  <c r="AG229" i="2"/>
  <c r="AG98" i="2"/>
  <c r="AG251" i="2"/>
  <c r="AG68" i="2"/>
  <c r="AG260" i="2"/>
  <c r="AG152" i="2"/>
  <c r="AG234" i="2"/>
  <c r="AG31" i="2"/>
  <c r="AG12" i="2"/>
  <c r="AG90" i="2"/>
  <c r="AG219" i="2"/>
  <c r="AG3" i="2"/>
  <c r="AG262" i="2"/>
  <c r="AG114" i="2"/>
  <c r="AG89" i="2"/>
  <c r="AG44" i="2"/>
  <c r="AG134" i="2"/>
  <c r="AG25" i="2"/>
  <c r="AG14" i="2"/>
  <c r="AG165" i="2"/>
  <c r="AG137" i="2"/>
  <c r="AG135" i="2"/>
  <c r="AG131" i="2"/>
  <c r="AG158" i="2"/>
  <c r="AG37" i="2"/>
  <c r="AG20" i="2"/>
  <c r="AG171" i="2"/>
  <c r="AG70" i="2"/>
  <c r="AG120" i="2"/>
  <c r="AG47" i="2"/>
  <c r="AG27" i="2"/>
  <c r="AG69" i="2"/>
  <c r="AG213" i="2"/>
  <c r="AG62" i="2"/>
  <c r="AG11" i="2"/>
  <c r="AG88" i="2"/>
  <c r="AG140" i="2"/>
  <c r="AG8" i="2"/>
  <c r="AG183" i="2"/>
  <c r="AG198" i="2"/>
  <c r="AG163" i="2"/>
  <c r="AG22" i="2"/>
  <c r="AG60" i="2"/>
  <c r="AG110" i="2"/>
  <c r="AG167" i="2"/>
  <c r="AG139" i="2"/>
  <c r="AG84" i="2"/>
  <c r="AG83" i="2"/>
  <c r="AG232" i="2"/>
  <c r="AG102" i="2"/>
  <c r="AG112" i="2"/>
  <c r="AG153" i="2"/>
  <c r="AG261" i="2"/>
  <c r="AG39" i="2"/>
  <c r="AG199" i="2"/>
  <c r="AG182" i="2"/>
  <c r="AG100" i="2"/>
  <c r="AG56" i="2"/>
  <c r="AG197" i="2"/>
  <c r="AG72" i="2"/>
  <c r="AG212" i="2"/>
  <c r="AG104" i="2"/>
  <c r="AG95" i="2"/>
  <c r="AG240" i="2"/>
  <c r="AG138" i="2"/>
  <c r="AG97" i="2"/>
  <c r="AG145" i="2"/>
  <c r="AG217" i="2"/>
  <c r="AG17" i="2"/>
  <c r="AG5" i="2"/>
  <c r="AG109" i="2"/>
  <c r="AG157" i="2"/>
  <c r="AG192" i="2"/>
  <c r="AG172" i="2"/>
  <c r="AG115" i="2"/>
  <c r="AG221" i="2"/>
  <c r="AG30" i="2"/>
  <c r="AG242" i="2"/>
  <c r="AG87" i="2"/>
  <c r="AG202" i="2"/>
  <c r="AG257" i="2"/>
  <c r="C28" i="2" l="1"/>
  <c r="G39" i="2"/>
  <c r="E29" i="2"/>
  <c r="G36" i="2"/>
  <c r="E30" i="2"/>
  <c r="D30" i="2"/>
  <c r="F28" i="2"/>
  <c r="F37" i="2"/>
  <c r="D38" i="2"/>
  <c r="E40" i="2"/>
  <c r="F40" i="2"/>
  <c r="F44" i="2"/>
  <c r="F41" i="2"/>
  <c r="D42" i="2"/>
  <c r="D44" i="2"/>
  <c r="C37" i="2"/>
  <c r="E39" i="2"/>
  <c r="C31" i="2"/>
  <c r="F30" i="2"/>
  <c r="G32" i="2"/>
  <c r="D37" i="2"/>
  <c r="G46" i="2"/>
  <c r="E47" i="2"/>
  <c r="G38" i="2"/>
  <c r="G31" i="2"/>
  <c r="C36" i="2"/>
  <c r="C34" i="2"/>
  <c r="G35" i="2"/>
  <c r="D28" i="2"/>
  <c r="E34" i="2"/>
  <c r="E28" i="2"/>
  <c r="G47" i="2"/>
  <c r="F31" i="2"/>
  <c r="G41" i="2"/>
  <c r="F46" i="2"/>
  <c r="E45" i="2"/>
  <c r="E42" i="2"/>
  <c r="G29" i="2"/>
  <c r="C45" i="2"/>
  <c r="F47" i="2"/>
  <c r="F32" i="2"/>
  <c r="G33" i="2"/>
  <c r="F34" i="2"/>
  <c r="C42" i="2"/>
  <c r="F39" i="2"/>
  <c r="E33" i="2"/>
  <c r="E36" i="2"/>
  <c r="F38" i="2"/>
  <c r="D31" i="2"/>
  <c r="D45" i="2"/>
  <c r="E38" i="2"/>
  <c r="C30" i="2"/>
  <c r="G42" i="2"/>
  <c r="C43" i="2"/>
  <c r="D40" i="2"/>
  <c r="F42" i="2"/>
  <c r="D33" i="2"/>
  <c r="C40" i="2"/>
  <c r="E44" i="2"/>
  <c r="C32" i="2"/>
  <c r="D36" i="2"/>
  <c r="C33" i="2"/>
  <c r="E32" i="2"/>
  <c r="C47" i="2"/>
  <c r="D41" i="2"/>
  <c r="D47" i="2"/>
  <c r="F45" i="2"/>
  <c r="D29" i="2"/>
  <c r="G40" i="2"/>
  <c r="G44" i="2"/>
  <c r="C39" i="2"/>
  <c r="D35" i="2"/>
  <c r="F36" i="2"/>
  <c r="D39" i="2"/>
  <c r="G37" i="2"/>
  <c r="F29" i="2"/>
  <c r="G43" i="2"/>
  <c r="E31" i="2"/>
  <c r="D43" i="2"/>
  <c r="E46" i="2"/>
  <c r="C38" i="2"/>
  <c r="F43" i="2"/>
  <c r="D32" i="2"/>
  <c r="D34" i="2"/>
  <c r="C29" i="2"/>
  <c r="F35" i="2"/>
  <c r="C35" i="2"/>
  <c r="E35" i="2"/>
  <c r="E41" i="2"/>
  <c r="C41" i="2"/>
  <c r="E43" i="2"/>
  <c r="G30" i="2"/>
  <c r="G45" i="2"/>
  <c r="F33" i="2"/>
  <c r="C44" i="2"/>
  <c r="C46" i="2"/>
  <c r="E37" i="2"/>
  <c r="D46" i="2"/>
  <c r="G28" i="2"/>
  <c r="G34" i="2"/>
</calcChain>
</file>

<file path=xl/sharedStrings.xml><?xml version="1.0" encoding="utf-8"?>
<sst xmlns="http://schemas.openxmlformats.org/spreadsheetml/2006/main" count="3076" uniqueCount="3074">
  <si>
    <t>指数代码</t>
  </si>
  <si>
    <t>指数名称</t>
  </si>
  <si>
    <t>指数成分股数</t>
  </si>
  <si>
    <t>YTD涨幅(%)</t>
  </si>
  <si>
    <t>近一周涨跌幅(%)</t>
  </si>
  <si>
    <t>近一月涨跌幅(%)</t>
  </si>
  <si>
    <t>动量加速度</t>
  </si>
  <si>
    <t>CR5合计权重(%)</t>
  </si>
  <si>
    <t>CR1代码</t>
  </si>
  <si>
    <t>CR1名称</t>
  </si>
  <si>
    <t>CR1自由流通市值(亿)</t>
  </si>
  <si>
    <t>CR1权重(%)</t>
  </si>
  <si>
    <t>CR2代码</t>
  </si>
  <si>
    <t>CR2名称</t>
  </si>
  <si>
    <t>CR2自由流通市值(亿)</t>
  </si>
  <si>
    <t>CR2权重(%)</t>
  </si>
  <si>
    <t>CR3代码</t>
  </si>
  <si>
    <t>CR3名称</t>
  </si>
  <si>
    <t>CR3自由流通市值(亿)</t>
  </si>
  <si>
    <t>CR3权重(%)</t>
  </si>
  <si>
    <t>CR4代码</t>
  </si>
  <si>
    <t>CR4名称</t>
  </si>
  <si>
    <t>CR4自由流通市值(亿)</t>
  </si>
  <si>
    <t>CR4权重(%)</t>
  </si>
  <si>
    <t>CR5代码</t>
  </si>
  <si>
    <t>CR5名称</t>
  </si>
  <si>
    <t>CR5自由流通市值(亿)</t>
  </si>
  <si>
    <t>CR5权重(%)</t>
  </si>
  <si>
    <t>基准日:今天</t>
  </si>
  <si>
    <t>CI005381.CI</t>
  </si>
  <si>
    <t>线缆指数</t>
  </si>
  <si>
    <t>600487.SH</t>
  </si>
  <si>
    <t>亨通光电</t>
  </si>
  <si>
    <t>600522.SH</t>
  </si>
  <si>
    <t>中天科技</t>
  </si>
  <si>
    <t>600105.SH</t>
  </si>
  <si>
    <t>永鼎股份</t>
  </si>
  <si>
    <t>601869.SH</t>
  </si>
  <si>
    <t>长飞光纤</t>
  </si>
  <si>
    <t>688313.SH</t>
  </si>
  <si>
    <t>仕佳光子</t>
  </si>
  <si>
    <t>前一交易日T0(工作日近似)</t>
  </si>
  <si>
    <t>CI005543.CI</t>
  </si>
  <si>
    <t>被动元件指数</t>
  </si>
  <si>
    <t>300408.SZ</t>
  </si>
  <si>
    <t>三环集团</t>
  </si>
  <si>
    <t>000636.SZ</t>
  </si>
  <si>
    <t>风华高科</t>
  </si>
  <si>
    <t>002484.SZ</t>
  </si>
  <si>
    <t>江海股份</t>
  </si>
  <si>
    <t>002138.SZ</t>
  </si>
  <si>
    <t>顺络电子</t>
  </si>
  <si>
    <t>600563.SH</t>
  </si>
  <si>
    <t>法拉电子</t>
  </si>
  <si>
    <t>一周前(T0前5交易日)</t>
  </si>
  <si>
    <t>CI005441.CI</t>
  </si>
  <si>
    <t>玻璃纤维指数</t>
  </si>
  <si>
    <t>600176.SH</t>
  </si>
  <si>
    <t>中国巨石</t>
  </si>
  <si>
    <t>002080.SZ</t>
  </si>
  <si>
    <t>中材科技</t>
  </si>
  <si>
    <t>300196.SZ</t>
  </si>
  <si>
    <t>长海股份</t>
  </si>
  <si>
    <t>002201.SZ</t>
  </si>
  <si>
    <t>九鼎新材</t>
  </si>
  <si>
    <t>605006.SH</t>
  </si>
  <si>
    <t>山东玻纤</t>
  </si>
  <si>
    <t>一月前(T0前20交易日)</t>
  </si>
  <si>
    <t>CI005469.CI</t>
  </si>
  <si>
    <t>激光加工设备指数</t>
  </si>
  <si>
    <t>002008.SZ</t>
  </si>
  <si>
    <t>大族激光</t>
  </si>
  <si>
    <t>688025.SH</t>
  </si>
  <si>
    <t>杰普特</t>
  </si>
  <si>
    <t>300776.SZ</t>
  </si>
  <si>
    <t>帝尔激光</t>
  </si>
  <si>
    <t>300747.SZ</t>
  </si>
  <si>
    <t>锐科激光</t>
  </si>
  <si>
    <t>301021.SZ</t>
  </si>
  <si>
    <t>英诺激光</t>
  </si>
  <si>
    <t>年初基准(上年末交易日)</t>
  </si>
  <si>
    <t>CI005401.CI</t>
  </si>
  <si>
    <t>钨指数</t>
  </si>
  <si>
    <t>000657.SZ</t>
  </si>
  <si>
    <t>中钨高新</t>
  </si>
  <si>
    <t>600549.SH</t>
  </si>
  <si>
    <t>厦门钨业</t>
  </si>
  <si>
    <t>002378.SZ</t>
  </si>
  <si>
    <t>章源钨业</t>
  </si>
  <si>
    <t>002842.SZ</t>
  </si>
  <si>
    <t>翔鹭钨业</t>
  </si>
  <si>
    <t>CI005460.CI</t>
  </si>
  <si>
    <t>3C设备指数</t>
  </si>
  <si>
    <t>300567.SZ</t>
  </si>
  <si>
    <t>精测电子</t>
  </si>
  <si>
    <t>688559.SH</t>
  </si>
  <si>
    <t>海目星</t>
  </si>
  <si>
    <t>301128.SZ</t>
  </si>
  <si>
    <t>强瑞技术</t>
  </si>
  <si>
    <t>688378.SH</t>
  </si>
  <si>
    <t>奥来德</t>
  </si>
  <si>
    <t>301338.SZ</t>
  </si>
  <si>
    <t>凯格精机</t>
  </si>
  <si>
    <t>CI005555.CI</t>
  </si>
  <si>
    <t>网络接配及塔设指数</t>
  </si>
  <si>
    <t>300308.SZ</t>
  </si>
  <si>
    <t>中际旭创</t>
  </si>
  <si>
    <t>300502.SZ</t>
  </si>
  <si>
    <t>新易盛</t>
  </si>
  <si>
    <t>300394.SZ</t>
  </si>
  <si>
    <t>天孚通信</t>
  </si>
  <si>
    <t>000988.SZ</t>
  </si>
  <si>
    <t>华工科技</t>
  </si>
  <si>
    <t>002281.SZ</t>
  </si>
  <si>
    <t>光迅科技</t>
  </si>
  <si>
    <t>CI005540.CI</t>
  </si>
  <si>
    <t>半导体材料指数</t>
  </si>
  <si>
    <t>300666.SZ</t>
  </si>
  <si>
    <t>江丰电子</t>
  </si>
  <si>
    <t>688126.SH</t>
  </si>
  <si>
    <t>沪硅产业</t>
  </si>
  <si>
    <t>688146.SH</t>
  </si>
  <si>
    <t>中船特气</t>
  </si>
  <si>
    <t>002409.SZ</t>
  </si>
  <si>
    <t>雅克科技</t>
  </si>
  <si>
    <t>300346.SZ</t>
  </si>
  <si>
    <t>南大光电</t>
  </si>
  <si>
    <t>CI005542.CI</t>
  </si>
  <si>
    <t>PCB指数</t>
  </si>
  <si>
    <t>600183.SH</t>
  </si>
  <si>
    <t>生益科技</t>
  </si>
  <si>
    <t>300476.SZ</t>
  </si>
  <si>
    <t>胜宏科技</t>
  </si>
  <si>
    <t>002463.SZ</t>
  </si>
  <si>
    <t>沪电股份</t>
  </si>
  <si>
    <t>002916.SZ</t>
  </si>
  <si>
    <t>深南电路</t>
  </si>
  <si>
    <t>002436.SZ</t>
  </si>
  <si>
    <t>兴森科技</t>
  </si>
  <si>
    <t>CI005541.CI</t>
  </si>
  <si>
    <t>半导体设备指数</t>
  </si>
  <si>
    <t>002371.SZ</t>
  </si>
  <si>
    <t>北方华创</t>
  </si>
  <si>
    <t>688012.SH</t>
  </si>
  <si>
    <t>中微公司</t>
  </si>
  <si>
    <t>688072.SH</t>
  </si>
  <si>
    <t>拓荆科技</t>
  </si>
  <si>
    <t>300604.SZ</t>
  </si>
  <si>
    <t>长川科技</t>
  </si>
  <si>
    <t>688120.SH</t>
  </si>
  <si>
    <t>华海清科</t>
  </si>
  <si>
    <t>CI005425.CI</t>
  </si>
  <si>
    <t>电子化学品指数</t>
  </si>
  <si>
    <t>300285.SZ</t>
  </si>
  <si>
    <t>国瓷材料</t>
  </si>
  <si>
    <t>300054.SZ</t>
  </si>
  <si>
    <t>鼎龙股份</t>
  </si>
  <si>
    <t>688019.SH</t>
  </si>
  <si>
    <t>安集科技</t>
  </si>
  <si>
    <t>300236.SZ</t>
  </si>
  <si>
    <t>上海新阳</t>
  </si>
  <si>
    <t>300398.SZ</t>
  </si>
  <si>
    <t>飞凯材料</t>
  </si>
  <si>
    <t>CI005414.CI</t>
  </si>
  <si>
    <t>碳纤维指数</t>
  </si>
  <si>
    <t>688598.SH</t>
  </si>
  <si>
    <t>金博股份</t>
  </si>
  <si>
    <t>688295.SH</t>
  </si>
  <si>
    <t>中复神鹰</t>
  </si>
  <si>
    <t>CI005417.CI</t>
  </si>
  <si>
    <t>无机盐指数</t>
  </si>
  <si>
    <t>603067.SH</t>
  </si>
  <si>
    <t>振华股份</t>
  </si>
  <si>
    <t>603663.SH</t>
  </si>
  <si>
    <t>三祥新材</t>
  </si>
  <si>
    <t>600367.SH</t>
  </si>
  <si>
    <t>红星发展</t>
  </si>
  <si>
    <t>600714.SH</t>
  </si>
  <si>
    <t>金瑞矿业</t>
  </si>
  <si>
    <t>603299.SH</t>
  </si>
  <si>
    <t>苏盐井神</t>
  </si>
  <si>
    <t>CI005428.CI</t>
  </si>
  <si>
    <t>膜材料指数</t>
  </si>
  <si>
    <t>601208.SH</t>
  </si>
  <si>
    <t>东材科技</t>
  </si>
  <si>
    <t>002585.SZ</t>
  </si>
  <si>
    <t>双星新材</t>
  </si>
  <si>
    <t>000859.SZ</t>
  </si>
  <si>
    <t>国风新材</t>
  </si>
  <si>
    <t>002263.SZ</t>
  </si>
  <si>
    <t>大东南</t>
  </si>
  <si>
    <t>000920.SZ</t>
  </si>
  <si>
    <t>沃顿科技</t>
  </si>
  <si>
    <t>CI005547.CI</t>
  </si>
  <si>
    <t>显示零组指数</t>
  </si>
  <si>
    <t>603629.SH</t>
  </si>
  <si>
    <t>利通电子</t>
  </si>
  <si>
    <t>603773.SH</t>
  </si>
  <si>
    <t>沃格光电</t>
  </si>
  <si>
    <t>300088.SZ</t>
  </si>
  <si>
    <t>长信科技</t>
  </si>
  <si>
    <t>688127.SH</t>
  </si>
  <si>
    <t>蓝特光学</t>
  </si>
  <si>
    <t>688150.SH</t>
  </si>
  <si>
    <t>莱特光电</t>
  </si>
  <si>
    <t>CI005538.CI</t>
  </si>
  <si>
    <t>集成电路指数</t>
  </si>
  <si>
    <t>688256.SH</t>
  </si>
  <si>
    <t>寒武纪</t>
  </si>
  <si>
    <t>603986.SH</t>
  </si>
  <si>
    <t>兆易创新</t>
  </si>
  <si>
    <t>688008.SH</t>
  </si>
  <si>
    <t>澜起科技</t>
  </si>
  <si>
    <t>688041.SH</t>
  </si>
  <si>
    <t>海光信息</t>
  </si>
  <si>
    <t>688981.SH</t>
  </si>
  <si>
    <t>中芯国际</t>
  </si>
  <si>
    <t>CI005550.CI</t>
  </si>
  <si>
    <t>其他电子零组件Ⅲ指数</t>
  </si>
  <si>
    <t>300475.SZ</t>
  </si>
  <si>
    <t>香农芯创</t>
  </si>
  <si>
    <t>301511.SZ</t>
  </si>
  <si>
    <t>德福科技</t>
  </si>
  <si>
    <t>301217.SZ</t>
  </si>
  <si>
    <t>铜冠铜箔</t>
  </si>
  <si>
    <t>688167.SH</t>
  </si>
  <si>
    <t>炬光科技</t>
  </si>
  <si>
    <t>003031.SZ</t>
  </si>
  <si>
    <t>中瓷电子</t>
  </si>
  <si>
    <t>CI005457.CI</t>
  </si>
  <si>
    <t>油气装备指数</t>
  </si>
  <si>
    <t>002353.SZ</t>
  </si>
  <si>
    <t>杰瑞股份</t>
  </si>
  <si>
    <t>300164.SZ</t>
  </si>
  <si>
    <t>通源石油</t>
  </si>
  <si>
    <t>300228.SZ</t>
  </si>
  <si>
    <t>富瑞特装</t>
  </si>
  <si>
    <t>300084.SZ</t>
  </si>
  <si>
    <t>海默科技</t>
  </si>
  <si>
    <t>688377.SH</t>
  </si>
  <si>
    <t>迪威尔</t>
  </si>
  <si>
    <t>CI005403.CI</t>
  </si>
  <si>
    <t>其他稀有金属指数</t>
  </si>
  <si>
    <t>002428.SZ</t>
  </si>
  <si>
    <t>云南锗业</t>
  </si>
  <si>
    <t>601958.SH</t>
  </si>
  <si>
    <t>金钼股份</t>
  </si>
  <si>
    <t>000962.SZ</t>
  </si>
  <si>
    <t>东方钽业</t>
  </si>
  <si>
    <t>002716.SZ</t>
  </si>
  <si>
    <t>湖南白银</t>
  </si>
  <si>
    <t>002149.SZ</t>
  </si>
  <si>
    <t>西部材料</t>
  </si>
  <si>
    <t>CI005539.CI</t>
  </si>
  <si>
    <t>分立器件指数</t>
  </si>
  <si>
    <t>600460.SH</t>
  </si>
  <si>
    <t>士兰微</t>
  </si>
  <si>
    <t>688172.SH</t>
  </si>
  <si>
    <t>燕东微</t>
  </si>
  <si>
    <t>300373.SZ</t>
  </si>
  <si>
    <t>扬杰科技</t>
  </si>
  <si>
    <t>605111.SH</t>
  </si>
  <si>
    <t>新洁能</t>
  </si>
  <si>
    <t>300623.SZ</t>
  </si>
  <si>
    <t>捷捷微电</t>
  </si>
  <si>
    <t>CI005548.CI</t>
  </si>
  <si>
    <t>消费电子组件指数</t>
  </si>
  <si>
    <t>002384.SZ</t>
  </si>
  <si>
    <t>东山精密</t>
  </si>
  <si>
    <t>002475.SZ</t>
  </si>
  <si>
    <t>立讯精密</t>
  </si>
  <si>
    <t>300857.SZ</t>
  </si>
  <si>
    <t>协创数据</t>
  </si>
  <si>
    <t>300433.SZ</t>
  </si>
  <si>
    <t>蓝思科技</t>
  </si>
  <si>
    <t>002938.SZ</t>
  </si>
  <si>
    <t>鹏鼎控股</t>
  </si>
  <si>
    <t>CI005292.CI</t>
  </si>
  <si>
    <t>卡车指数</t>
  </si>
  <si>
    <t>000338.SZ</t>
  </si>
  <si>
    <t>潍柴动力</t>
  </si>
  <si>
    <t>600166.SH</t>
  </si>
  <si>
    <t>福田汽车</t>
  </si>
  <si>
    <t>000951.SZ</t>
  </si>
  <si>
    <t>中国重汽</t>
  </si>
  <si>
    <t>000800.SZ</t>
  </si>
  <si>
    <t>一汽解放</t>
  </si>
  <si>
    <t>301039.SZ</t>
  </si>
  <si>
    <t>中集车辆</t>
  </si>
  <si>
    <t>CI005294.CI</t>
  </si>
  <si>
    <t>专用汽车指数</t>
  </si>
  <si>
    <t>601965.SH</t>
  </si>
  <si>
    <t>中国汽研</t>
  </si>
  <si>
    <t>603611.SH</t>
  </si>
  <si>
    <t>诺力股份</t>
  </si>
  <si>
    <t>CI005471.CI</t>
  </si>
  <si>
    <t>仪器仪表Ⅲ指数</t>
  </si>
  <si>
    <t>688808.SH</t>
  </si>
  <si>
    <t>联讯仪器</t>
  </si>
  <si>
    <t>688627.SH</t>
  </si>
  <si>
    <t>精智达</t>
  </si>
  <si>
    <t>300012.SZ</t>
  </si>
  <si>
    <t>华测检测</t>
  </si>
  <si>
    <t>688531.SH</t>
  </si>
  <si>
    <t>日联科技</t>
  </si>
  <si>
    <t>301013.SZ</t>
  </si>
  <si>
    <t>利和兴</t>
  </si>
  <si>
    <t>CI005393.CI</t>
  </si>
  <si>
    <t>体育及户外品牌指数</t>
  </si>
  <si>
    <t>300005.SZ</t>
  </si>
  <si>
    <t>探路者</t>
  </si>
  <si>
    <t>002832.SZ</t>
  </si>
  <si>
    <t>比音勒芬</t>
  </si>
  <si>
    <t>002780.SZ</t>
  </si>
  <si>
    <t>三夫户外</t>
  </si>
  <si>
    <t>603908.SH</t>
  </si>
  <si>
    <t>牧高笛</t>
  </si>
  <si>
    <t>CI005423.CI</t>
  </si>
  <si>
    <t>其他化学制品Ⅲ指数</t>
  </si>
  <si>
    <t>603256.SH</t>
  </si>
  <si>
    <t>宏和科技</t>
  </si>
  <si>
    <t>688548.SH</t>
  </si>
  <si>
    <t>广钢气体</t>
  </si>
  <si>
    <t>688503.SH</t>
  </si>
  <si>
    <t>聚和材料</t>
  </si>
  <si>
    <t>002326.SZ</t>
  </si>
  <si>
    <t>永太科技</t>
  </si>
  <si>
    <t>688065.SH</t>
  </si>
  <si>
    <t>凯赛生物</t>
  </si>
  <si>
    <t>CI005459.CI</t>
  </si>
  <si>
    <t>光伏设备指数</t>
  </si>
  <si>
    <t>300316.SZ</t>
  </si>
  <si>
    <t>晶盛机电</t>
  </si>
  <si>
    <t>300751.SZ</t>
  </si>
  <si>
    <t>迈为股份</t>
  </si>
  <si>
    <t>300724.SZ</t>
  </si>
  <si>
    <t>捷佳伟创</t>
  </si>
  <si>
    <t>688726.SH</t>
  </si>
  <si>
    <t>拉普拉斯</t>
  </si>
  <si>
    <t>688516.SH</t>
  </si>
  <si>
    <t>奥特维</t>
  </si>
  <si>
    <t>CI005397.CI</t>
  </si>
  <si>
    <t>工程服务指数</t>
  </si>
  <si>
    <t>600378.SH</t>
  </si>
  <si>
    <t>昊华科技</t>
  </si>
  <si>
    <t>600583.SH</t>
  </si>
  <si>
    <t>海油工程</t>
  </si>
  <si>
    <t>600968.SH</t>
  </si>
  <si>
    <t>海油发展</t>
  </si>
  <si>
    <t>600339.SH</t>
  </si>
  <si>
    <t>中油工程</t>
  </si>
  <si>
    <t>603727.SH</t>
  </si>
  <si>
    <t>博迈科</t>
  </si>
  <si>
    <t>CI005455.CI</t>
  </si>
  <si>
    <t>纺织服装机械指数</t>
  </si>
  <si>
    <t>600545.SH</t>
  </si>
  <si>
    <t>卓郎智能</t>
  </si>
  <si>
    <t>603337.SH</t>
  </si>
  <si>
    <t>杰克科技</t>
  </si>
  <si>
    <t>003036.SZ</t>
  </si>
  <si>
    <t>泰坦股份</t>
  </si>
  <si>
    <t>300307.SZ</t>
  </si>
  <si>
    <t>慈星股份</t>
  </si>
  <si>
    <t>600843.SH</t>
  </si>
  <si>
    <t>上工申贝</t>
  </si>
  <si>
    <t>CI005546.CI</t>
  </si>
  <si>
    <t>面板指数</t>
  </si>
  <si>
    <t>000725.SZ</t>
  </si>
  <si>
    <t>京东方A</t>
  </si>
  <si>
    <t>000100.SZ</t>
  </si>
  <si>
    <t>TCL科技</t>
  </si>
  <si>
    <t>600707.SH</t>
  </si>
  <si>
    <t>彩虹股份</t>
  </si>
  <si>
    <t>000050.SZ</t>
  </si>
  <si>
    <t>深天马A</t>
  </si>
  <si>
    <t>688538.SH</t>
  </si>
  <si>
    <t>和辉光电</t>
  </si>
  <si>
    <t>CI005399.CI</t>
  </si>
  <si>
    <t>稀土及磁性材料指数</t>
  </si>
  <si>
    <t>600111.SH</t>
  </si>
  <si>
    <t>北方稀土</t>
  </si>
  <si>
    <t>600392.SH</t>
  </si>
  <si>
    <t>盛和资源</t>
  </si>
  <si>
    <t>000831.SZ</t>
  </si>
  <si>
    <t>中国稀土</t>
  </si>
  <si>
    <t>600330.SH</t>
  </si>
  <si>
    <t>天通股份</t>
  </si>
  <si>
    <t>600259.SH</t>
  </si>
  <si>
    <t>中稀有色</t>
  </si>
  <si>
    <t>CI005442.CI</t>
  </si>
  <si>
    <t>其他专用材料指数</t>
  </si>
  <si>
    <t>300179.SZ</t>
  </si>
  <si>
    <t>四方达</t>
  </si>
  <si>
    <t>002392.SZ</t>
  </si>
  <si>
    <t>北京利尔</t>
  </si>
  <si>
    <t>002225.SZ</t>
  </si>
  <si>
    <t>濮耐股份</t>
  </si>
  <si>
    <t>300234.SZ</t>
  </si>
  <si>
    <t>开尔新材</t>
  </si>
  <si>
    <t>002066.SZ</t>
  </si>
  <si>
    <t>瑞泰科技</t>
  </si>
  <si>
    <t>CI005427.CI</t>
  </si>
  <si>
    <t>合成树脂指数</t>
  </si>
  <si>
    <t>600989.SH</t>
  </si>
  <si>
    <t>宝丰能源</t>
  </si>
  <si>
    <t>605589.SH</t>
  </si>
  <si>
    <t>圣泉集团</t>
  </si>
  <si>
    <t>300487.SZ</t>
  </si>
  <si>
    <t>蓝晓科技</t>
  </si>
  <si>
    <t>688585.SH</t>
  </si>
  <si>
    <t>上纬新材</t>
  </si>
  <si>
    <t>002361.SZ</t>
  </si>
  <si>
    <t>神剑股份</t>
  </si>
  <si>
    <t>CI005465.CI</t>
  </si>
  <si>
    <t>其他通用机械指数</t>
  </si>
  <si>
    <t>688017.SH</t>
  </si>
  <si>
    <t>绿的谐波</t>
  </si>
  <si>
    <t>688308.SH</t>
  </si>
  <si>
    <t>欧科亿</t>
  </si>
  <si>
    <t>688333.SH</t>
  </si>
  <si>
    <t>铂力特</t>
  </si>
  <si>
    <t>002444.SZ</t>
  </si>
  <si>
    <t>巨星科技</t>
  </si>
  <si>
    <t>001696.SZ</t>
  </si>
  <si>
    <t>宗申动力</t>
  </si>
  <si>
    <t>CI005422.CI</t>
  </si>
  <si>
    <t>橡胶助剂指数</t>
  </si>
  <si>
    <t>603650.SH</t>
  </si>
  <si>
    <t>彤程新材</t>
  </si>
  <si>
    <t>002068.SZ</t>
  </si>
  <si>
    <t>黑猫股份</t>
  </si>
  <si>
    <t>300121.SZ</t>
  </si>
  <si>
    <t>阳谷华泰</t>
  </si>
  <si>
    <t>002442.SZ</t>
  </si>
  <si>
    <t>龙星科技</t>
  </si>
  <si>
    <t>002753.SZ</t>
  </si>
  <si>
    <t>永东股份</t>
  </si>
  <si>
    <t>CI005418.CI</t>
  </si>
  <si>
    <t>其他化学原料指数</t>
  </si>
  <si>
    <t>002648.SZ</t>
  </si>
  <si>
    <t>卫星化学</t>
  </si>
  <si>
    <t>688300.SH</t>
  </si>
  <si>
    <t>联瑞新材</t>
  </si>
  <si>
    <t>002430.SZ</t>
  </si>
  <si>
    <t>杭氧股份</t>
  </si>
  <si>
    <t>003022.SZ</t>
  </si>
  <si>
    <t>联泓新科</t>
  </si>
  <si>
    <t>002549.SZ</t>
  </si>
  <si>
    <t>凯美特气</t>
  </si>
  <si>
    <t>CI005480.CI</t>
  </si>
  <si>
    <t>燃料电池指数</t>
  </si>
  <si>
    <t>000811.SZ</t>
  </si>
  <si>
    <t>冰轮环境</t>
  </si>
  <si>
    <t>000969.SZ</t>
  </si>
  <si>
    <t>安泰科技</t>
  </si>
  <si>
    <t>002639.SZ</t>
  </si>
  <si>
    <t>雪人集团</t>
  </si>
  <si>
    <t>600273.SH</t>
  </si>
  <si>
    <t>嘉化能源</t>
  </si>
  <si>
    <t>688339.SH</t>
  </si>
  <si>
    <t>亿华通</t>
  </si>
  <si>
    <t>CI005429.CI</t>
  </si>
  <si>
    <t>其他塑料制品指数</t>
  </si>
  <si>
    <t>603002.SH</t>
  </si>
  <si>
    <t>宏昌电子</t>
  </si>
  <si>
    <t>301216.SZ</t>
  </si>
  <si>
    <t>万凯新材</t>
  </si>
  <si>
    <t>300180.SZ</t>
  </si>
  <si>
    <t>华峰超纤</t>
  </si>
  <si>
    <t>300920.SZ</t>
  </si>
  <si>
    <t>润阳科技</t>
  </si>
  <si>
    <t>300230.SZ</t>
  </si>
  <si>
    <t>永利股份</t>
  </si>
  <si>
    <t>CI005556.CI</t>
  </si>
  <si>
    <t>系统设备指数</t>
  </si>
  <si>
    <t>000063.SZ</t>
  </si>
  <si>
    <t>中兴通讯</t>
  </si>
  <si>
    <t>600498.SH</t>
  </si>
  <si>
    <t>烽火通信</t>
  </si>
  <si>
    <t>688387.SH</t>
  </si>
  <si>
    <t>信科移动</t>
  </si>
  <si>
    <t>688205.SH</t>
  </si>
  <si>
    <t>德科立</t>
  </si>
  <si>
    <t>002396.SZ</t>
  </si>
  <si>
    <t>星网锐捷</t>
  </si>
  <si>
    <t>CI005205.CI</t>
  </si>
  <si>
    <t>油品销售及仓储指数</t>
  </si>
  <si>
    <t>001331.SZ</t>
  </si>
  <si>
    <t>胜通能源</t>
  </si>
  <si>
    <t>603223.SH</t>
  </si>
  <si>
    <t>恒通股份</t>
  </si>
  <si>
    <t>603318.SH</t>
  </si>
  <si>
    <t>水发燃气</t>
  </si>
  <si>
    <t>603353.SH</t>
  </si>
  <si>
    <t>和顺石油</t>
  </si>
  <si>
    <t>000554.SZ</t>
  </si>
  <si>
    <t>泰山石油</t>
  </si>
  <si>
    <t>CI005560.CI</t>
  </si>
  <si>
    <t>通用计算机设备指数</t>
  </si>
  <si>
    <t>601138.SH</t>
  </si>
  <si>
    <t>工业富联</t>
  </si>
  <si>
    <t>301308.SZ</t>
  </si>
  <si>
    <t>江波龙</t>
  </si>
  <si>
    <t>603019.SH</t>
  </si>
  <si>
    <t>中科曙光</t>
  </si>
  <si>
    <t>000977.SZ</t>
  </si>
  <si>
    <t>浪潮信息</t>
  </si>
  <si>
    <t>000938.SZ</t>
  </si>
  <si>
    <t>紫光股份</t>
  </si>
  <si>
    <t>CI005554.CI</t>
  </si>
  <si>
    <t>通信终端及配件指数</t>
  </si>
  <si>
    <t>603083.SH</t>
  </si>
  <si>
    <t>剑桥科技</t>
  </si>
  <si>
    <t>688027.SH</t>
  </si>
  <si>
    <t>国盾量子</t>
  </si>
  <si>
    <t>300628.SZ</t>
  </si>
  <si>
    <t>亿联网络</t>
  </si>
  <si>
    <t>603236.SH</t>
  </si>
  <si>
    <t>移远通信</t>
  </si>
  <si>
    <t>300638.SZ</t>
  </si>
  <si>
    <t>广和通</t>
  </si>
  <si>
    <t>CI005227.CI</t>
  </si>
  <si>
    <t>供热或其他指数</t>
  </si>
  <si>
    <t>600226.SH</t>
  </si>
  <si>
    <t>亨通股份</t>
  </si>
  <si>
    <t>002479.SZ</t>
  </si>
  <si>
    <t>富春环保</t>
  </si>
  <si>
    <t>001376.SZ</t>
  </si>
  <si>
    <t>百通能源</t>
  </si>
  <si>
    <t>600719.SH</t>
  </si>
  <si>
    <t>大连热电</t>
  </si>
  <si>
    <t>001210.SZ</t>
  </si>
  <si>
    <t>金房能源</t>
  </si>
  <si>
    <t>CI005462.CI</t>
  </si>
  <si>
    <t>机床设备指数</t>
  </si>
  <si>
    <t>300083.SZ</t>
  </si>
  <si>
    <t>创世纪</t>
  </si>
  <si>
    <t>688059.SH</t>
  </si>
  <si>
    <t>华锐精密</t>
  </si>
  <si>
    <t>002943.SZ</t>
  </si>
  <si>
    <t>宇晶股份</t>
  </si>
  <si>
    <t>000410.SZ</t>
  </si>
  <si>
    <t>沈阳机床</t>
  </si>
  <si>
    <t>000837.SZ</t>
  </si>
  <si>
    <t>秦川机床</t>
  </si>
  <si>
    <t>CI005215.CI</t>
  </si>
  <si>
    <t>铅锌指数</t>
  </si>
  <si>
    <t>000426.SZ</t>
  </si>
  <si>
    <t>兴业银锡</t>
  </si>
  <si>
    <t>600497.SH</t>
  </si>
  <si>
    <t>驰宏锌锗</t>
  </si>
  <si>
    <t>000060.SZ</t>
  </si>
  <si>
    <t>中金岭南</t>
  </si>
  <si>
    <t>601020.SH</t>
  </si>
  <si>
    <t>华钰矿业</t>
  </si>
  <si>
    <t>600961.SH</t>
  </si>
  <si>
    <t>株冶集团</t>
  </si>
  <si>
    <t>CI005565.CI</t>
  </si>
  <si>
    <t>云基础设施服务指数</t>
  </si>
  <si>
    <t>300442.SZ</t>
  </si>
  <si>
    <t>润泽科技</t>
  </si>
  <si>
    <t>300017.SZ</t>
  </si>
  <si>
    <t>网宿科技</t>
  </si>
  <si>
    <t>300454.SZ</t>
  </si>
  <si>
    <t>深信服</t>
  </si>
  <si>
    <t>300383.SZ</t>
  </si>
  <si>
    <t>光环新网</t>
  </si>
  <si>
    <t>300738.SZ</t>
  </si>
  <si>
    <t>奥飞数据</t>
  </si>
  <si>
    <t>CI005474.CI</t>
  </si>
  <si>
    <t>电力电子及自动化指数</t>
  </si>
  <si>
    <t>002851.SZ</t>
  </si>
  <si>
    <t>麦格米特</t>
  </si>
  <si>
    <t>603063.SH</t>
  </si>
  <si>
    <t>禾望电气</t>
  </si>
  <si>
    <t>002364.SZ</t>
  </si>
  <si>
    <t>中恒电气</t>
  </si>
  <si>
    <t>688187.SH</t>
  </si>
  <si>
    <t>时代电气</t>
  </si>
  <si>
    <t>000682.SZ</t>
  </si>
  <si>
    <t>东方电子</t>
  </si>
  <si>
    <t>CI005456.CI</t>
  </si>
  <si>
    <t>其他专用机械指数</t>
  </si>
  <si>
    <t>688257.SH</t>
  </si>
  <si>
    <t>新锐股份</t>
  </si>
  <si>
    <t>002595.SZ</t>
  </si>
  <si>
    <t>豪迈科技</t>
  </si>
  <si>
    <t>301018.SZ</t>
  </si>
  <si>
    <t>申菱环境</t>
  </si>
  <si>
    <t>002975.SZ</t>
  </si>
  <si>
    <t>博杰股份</t>
  </si>
  <si>
    <t>002645.SZ</t>
  </si>
  <si>
    <t>华宏科技</t>
  </si>
  <si>
    <t>CI005490.CI</t>
  </si>
  <si>
    <t>电商及服务Ⅲ指数</t>
  </si>
  <si>
    <t>300209.SZ</t>
  </si>
  <si>
    <t>行云科技</t>
  </si>
  <si>
    <t>002803.SZ</t>
  </si>
  <si>
    <t>吉宏股份</t>
  </si>
  <si>
    <t>002640.SZ</t>
  </si>
  <si>
    <t>跨境通</t>
  </si>
  <si>
    <t>002127.SZ</t>
  </si>
  <si>
    <t>南极电商</t>
  </si>
  <si>
    <t>003010.SZ</t>
  </si>
  <si>
    <t>若羽臣</t>
  </si>
  <si>
    <t>CI005472.CI</t>
  </si>
  <si>
    <t>输变电设备指数</t>
  </si>
  <si>
    <t>002028.SZ</t>
  </si>
  <si>
    <t>思源电气</t>
  </si>
  <si>
    <t>600089.SH</t>
  </si>
  <si>
    <t>特变电工</t>
  </si>
  <si>
    <t>600869.SH</t>
  </si>
  <si>
    <t>远东股份</t>
  </si>
  <si>
    <t>601179.SH</t>
  </si>
  <si>
    <t>中国西电</t>
  </si>
  <si>
    <t>600577.SH</t>
  </si>
  <si>
    <t>精达股份</t>
  </si>
  <si>
    <t>CI005420.CI</t>
  </si>
  <si>
    <t>锂电化学品指数</t>
  </si>
  <si>
    <t>002709.SZ</t>
  </si>
  <si>
    <t>天赐材料</t>
  </si>
  <si>
    <t>300390.SZ</t>
  </si>
  <si>
    <t>天华新能</t>
  </si>
  <si>
    <t>301358.SZ</t>
  </si>
  <si>
    <t>湖南裕能</t>
  </si>
  <si>
    <t>300037.SZ</t>
  </si>
  <si>
    <t>新宙邦</t>
  </si>
  <si>
    <t>002812.SZ</t>
  </si>
  <si>
    <t>恩捷股份</t>
  </si>
  <si>
    <t>CI005220.CI</t>
  </si>
  <si>
    <t>火电指数</t>
  </si>
  <si>
    <t>600795.SH</t>
  </si>
  <si>
    <t>国电电力</t>
  </si>
  <si>
    <t>600011.SH</t>
  </si>
  <si>
    <t>华能国际</t>
  </si>
  <si>
    <t>601991.SH</t>
  </si>
  <si>
    <t>大唐发电</t>
  </si>
  <si>
    <t>600023.SH</t>
  </si>
  <si>
    <t>浙能电力</t>
  </si>
  <si>
    <t>600021.SH</t>
  </si>
  <si>
    <t>上海电力</t>
  </si>
  <si>
    <t>CI005255.CI</t>
  </si>
  <si>
    <t>印染化学品指数</t>
  </si>
  <si>
    <t>600352.SH</t>
  </si>
  <si>
    <t>浙江龙盛</t>
  </si>
  <si>
    <t>002440.SZ</t>
  </si>
  <si>
    <t>闰土股份</t>
  </si>
  <si>
    <t>300905.SZ</t>
  </si>
  <si>
    <t>宝丽迪</t>
  </si>
  <si>
    <t>300067.SZ</t>
  </si>
  <si>
    <t>安诺其</t>
  </si>
  <si>
    <t>300522.SZ</t>
  </si>
  <si>
    <t>世名科技</t>
  </si>
  <si>
    <t>CI005248.CI</t>
  </si>
  <si>
    <t>有机硅指数</t>
  </si>
  <si>
    <t>603260.SH</t>
  </si>
  <si>
    <t>合盛硅业</t>
  </si>
  <si>
    <t>300821.SZ</t>
  </si>
  <si>
    <t>东岳硅材</t>
  </si>
  <si>
    <t>300041.SZ</t>
  </si>
  <si>
    <t>回天新材</t>
  </si>
  <si>
    <t>300019.SZ</t>
  </si>
  <si>
    <t>硅宝科技</t>
  </si>
  <si>
    <t>603155.SH</t>
  </si>
  <si>
    <t>新亚强</t>
  </si>
  <si>
    <t>CI005544.CI</t>
  </si>
  <si>
    <t>安防指数</t>
  </si>
  <si>
    <t>002415.SZ</t>
  </si>
  <si>
    <t>海康威视</t>
  </si>
  <si>
    <t>002236.SZ</t>
  </si>
  <si>
    <t>大华股份</t>
  </si>
  <si>
    <t>301042.SZ</t>
  </si>
  <si>
    <t>安联锐视</t>
  </si>
  <si>
    <t>688619.SH</t>
  </si>
  <si>
    <t>罗普特</t>
  </si>
  <si>
    <t>002528.SZ</t>
  </si>
  <si>
    <t>*ST英飞</t>
  </si>
  <si>
    <t>CI005545.CI</t>
  </si>
  <si>
    <t>LED指数</t>
  </si>
  <si>
    <t>600703.SH</t>
  </si>
  <si>
    <t>三安光电</t>
  </si>
  <si>
    <t>300303.SZ</t>
  </si>
  <si>
    <t>聚飞光电</t>
  </si>
  <si>
    <t>002654.SZ</t>
  </si>
  <si>
    <t>万润科技</t>
  </si>
  <si>
    <t>300102.SZ</t>
  </si>
  <si>
    <t>乾照光电</t>
  </si>
  <si>
    <t>300219.SZ</t>
  </si>
  <si>
    <t>鸿利智汇</t>
  </si>
  <si>
    <t>CI005509.CI</t>
  </si>
  <si>
    <t>儿童品牌指数</t>
  </si>
  <si>
    <t>002875.SZ</t>
  </si>
  <si>
    <t>安奈儿</t>
  </si>
  <si>
    <t>603557.SH</t>
  </si>
  <si>
    <t>*ST起步</t>
  </si>
  <si>
    <t>002762.SZ</t>
  </si>
  <si>
    <t>金发拉比</t>
  </si>
  <si>
    <t>301276.SZ</t>
  </si>
  <si>
    <t>嘉曼服饰</t>
  </si>
  <si>
    <t>CI005208.CI</t>
  </si>
  <si>
    <t>动力煤指数</t>
  </si>
  <si>
    <t>601088.SH</t>
  </si>
  <si>
    <t>中国神华</t>
  </si>
  <si>
    <t>601225.SH</t>
  </si>
  <si>
    <t>陕西煤业</t>
  </si>
  <si>
    <t>600188.SH</t>
  </si>
  <si>
    <t>兖矿能源</t>
  </si>
  <si>
    <t>601898.SH</t>
  </si>
  <si>
    <t>中煤能源</t>
  </si>
  <si>
    <t>601001.SH</t>
  </si>
  <si>
    <t>晋控煤业</t>
  </si>
  <si>
    <t>CI005247.CI</t>
  </si>
  <si>
    <t>氟化工指数</t>
  </si>
  <si>
    <t>600160.SH</t>
  </si>
  <si>
    <t>巨化股份</t>
  </si>
  <si>
    <t>002407.SZ</t>
  </si>
  <si>
    <t>多氟多</t>
  </si>
  <si>
    <t>603379.SH</t>
  </si>
  <si>
    <t>三美股份</t>
  </si>
  <si>
    <t>605020.SH</t>
  </si>
  <si>
    <t>永和股份</t>
  </si>
  <si>
    <t>603505.SH</t>
  </si>
  <si>
    <t>金石资源</t>
  </si>
  <si>
    <t>CI005549.CI</t>
  </si>
  <si>
    <t>消费电子设备指数</t>
  </si>
  <si>
    <t>603296.SH</t>
  </si>
  <si>
    <t>华勤技术</t>
  </si>
  <si>
    <t>688036.SH</t>
  </si>
  <si>
    <t>传音控股</t>
  </si>
  <si>
    <t>688775.SH</t>
  </si>
  <si>
    <t>影石创新</t>
  </si>
  <si>
    <t>301606.SZ</t>
  </si>
  <si>
    <t>绿联科技</t>
  </si>
  <si>
    <t>688383.SH</t>
  </si>
  <si>
    <t>新益昌</t>
  </si>
  <si>
    <t>CI005357.CI</t>
  </si>
  <si>
    <t>航运指数</t>
  </si>
  <si>
    <t>601919.SH</t>
  </si>
  <si>
    <t>中远海控</t>
  </si>
  <si>
    <t>601872.SH</t>
  </si>
  <si>
    <t>招商轮船</t>
  </si>
  <si>
    <t>600026.SH</t>
  </si>
  <si>
    <t>中远海能</t>
  </si>
  <si>
    <t>601975.SH</t>
  </si>
  <si>
    <t>招商南油</t>
  </si>
  <si>
    <t>600428.SH</t>
  </si>
  <si>
    <t>中远海特</t>
  </si>
  <si>
    <t>CI005210.CI</t>
  </si>
  <si>
    <t>炼焦煤指数</t>
  </si>
  <si>
    <t>600157.SH</t>
  </si>
  <si>
    <t>永泰能源</t>
  </si>
  <si>
    <t>601699.SH</t>
  </si>
  <si>
    <t>潞安环能</t>
  </si>
  <si>
    <t>600985.SH</t>
  </si>
  <si>
    <t>淮北矿业</t>
  </si>
  <si>
    <t>000983.SZ</t>
  </si>
  <si>
    <t>山西焦煤</t>
  </si>
  <si>
    <t>601666.SH</t>
  </si>
  <si>
    <t>平煤股份</t>
  </si>
  <si>
    <t>CI005482.CI</t>
  </si>
  <si>
    <t>电池综合服务指数</t>
  </si>
  <si>
    <t>002340.SZ</t>
  </si>
  <si>
    <t>格林美</t>
  </si>
  <si>
    <t>300693.SZ</t>
  </si>
  <si>
    <t>盛弘股份</t>
  </si>
  <si>
    <t>300491.SZ</t>
  </si>
  <si>
    <t>通合科技</t>
  </si>
  <si>
    <t>300510.SZ</t>
  </si>
  <si>
    <t>金冠股份</t>
  </si>
  <si>
    <t>300713.SZ</t>
  </si>
  <si>
    <t>英可瑞</t>
  </si>
  <si>
    <t>CI005436.CI</t>
  </si>
  <si>
    <t>建筑装修Ⅲ指数</t>
  </si>
  <si>
    <t>002081.SZ</t>
  </si>
  <si>
    <t>金螳螂</t>
  </si>
  <si>
    <t>002047.SZ</t>
  </si>
  <si>
    <t>宝鹰股份</t>
  </si>
  <si>
    <t>600234.SH</t>
  </si>
  <si>
    <t>科新发展</t>
  </si>
  <si>
    <t>300668.SZ</t>
  </si>
  <si>
    <t>杰恩股份</t>
  </si>
  <si>
    <t>002989.SZ</t>
  </si>
  <si>
    <t>中天精装</t>
  </si>
  <si>
    <t>CI005478.CI</t>
  </si>
  <si>
    <t>综合能源设备指数</t>
  </si>
  <si>
    <t>601727.SH</t>
  </si>
  <si>
    <t>上海电气</t>
  </si>
  <si>
    <t>600875.SH</t>
  </si>
  <si>
    <t>东方电气</t>
  </si>
  <si>
    <t>600482.SH</t>
  </si>
  <si>
    <t>中国动力</t>
  </si>
  <si>
    <t>002266.SZ</t>
  </si>
  <si>
    <t>浙富控股</t>
  </si>
  <si>
    <t>002534.SZ</t>
  </si>
  <si>
    <t>西子洁能</t>
  </si>
  <si>
    <t>CI005466.CI</t>
  </si>
  <si>
    <t>工业机器人及工控系统指数</t>
  </si>
  <si>
    <t>300024.SZ</t>
  </si>
  <si>
    <t>机器人</t>
  </si>
  <si>
    <t>002747.SZ</t>
  </si>
  <si>
    <t>埃斯顿</t>
  </si>
  <si>
    <t>300607.SZ</t>
  </si>
  <si>
    <t>拓斯达</t>
  </si>
  <si>
    <t>688090.SH</t>
  </si>
  <si>
    <t>瑞松科技</t>
  </si>
  <si>
    <t>301510.SZ</t>
  </si>
  <si>
    <t>固高科技</t>
  </si>
  <si>
    <t>CI005431.CI</t>
  </si>
  <si>
    <t>橡胶制品指数</t>
  </si>
  <si>
    <t>600500.SH</t>
  </si>
  <si>
    <t>中化国际</t>
  </si>
  <si>
    <t>300731.SZ</t>
  </si>
  <si>
    <t>科创新源</t>
  </si>
  <si>
    <t>002984.SZ</t>
  </si>
  <si>
    <t>森麒麟</t>
  </si>
  <si>
    <t>600458.SH</t>
  </si>
  <si>
    <t>时代新材</t>
  </si>
  <si>
    <t>300547.SZ</t>
  </si>
  <si>
    <t>川环科技</t>
  </si>
  <si>
    <t>CI005280.CI</t>
  </si>
  <si>
    <t>金属制品Ⅲ指数</t>
  </si>
  <si>
    <t>002850.SZ</t>
  </si>
  <si>
    <t>科达利</t>
  </si>
  <si>
    <t>600114.SH</t>
  </si>
  <si>
    <t>东睦股份</t>
  </si>
  <si>
    <t>300953.SZ</t>
  </si>
  <si>
    <t>震裕科技</t>
  </si>
  <si>
    <t>603626.SH</t>
  </si>
  <si>
    <t>科森科技</t>
  </si>
  <si>
    <t>600361.SH</t>
  </si>
  <si>
    <t>创新新材</t>
  </si>
  <si>
    <t>CI005446.CI</t>
  </si>
  <si>
    <t>其他包装指数</t>
  </si>
  <si>
    <t>600210.SH</t>
  </si>
  <si>
    <t>紫江企业</t>
  </si>
  <si>
    <t>300057.SZ</t>
  </si>
  <si>
    <t>万顺新材</t>
  </si>
  <si>
    <t>003018.SZ</t>
  </si>
  <si>
    <t>金富科技</t>
  </si>
  <si>
    <t>002735.SZ</t>
  </si>
  <si>
    <t>王子新材</t>
  </si>
  <si>
    <t>000659.SZ</t>
  </si>
  <si>
    <t>珠海中富</t>
  </si>
  <si>
    <t>CI005277.CI</t>
  </si>
  <si>
    <t>船舶制造指数</t>
  </si>
  <si>
    <t>600150.SH</t>
  </si>
  <si>
    <t>中国船舶</t>
  </si>
  <si>
    <t>603268.SH</t>
  </si>
  <si>
    <t>松发股份</t>
  </si>
  <si>
    <t>300008.SZ</t>
  </si>
  <si>
    <t>天海防务</t>
  </si>
  <si>
    <t>600072.SH</t>
  </si>
  <si>
    <t>中船科技</t>
  </si>
  <si>
    <t>601890.SH</t>
  </si>
  <si>
    <t>亚星锚链</t>
  </si>
  <si>
    <t>CI005508.CI</t>
  </si>
  <si>
    <t>大众成人品牌服饰指数</t>
  </si>
  <si>
    <t>600177.SH</t>
  </si>
  <si>
    <t>雅戈尔</t>
  </si>
  <si>
    <t>600398.SH</t>
  </si>
  <si>
    <t>海澜之家</t>
  </si>
  <si>
    <t>603608.SH</t>
  </si>
  <si>
    <t>天创时尚</t>
  </si>
  <si>
    <t>002563.SZ</t>
  </si>
  <si>
    <t>森马服饰</t>
  </si>
  <si>
    <t>603196.SH</t>
  </si>
  <si>
    <t>璞源材料</t>
  </si>
  <si>
    <t>CI005398.CI</t>
  </si>
  <si>
    <t>无烟煤指数</t>
  </si>
  <si>
    <t>600348.SH</t>
  </si>
  <si>
    <t>华阳股份</t>
  </si>
  <si>
    <t>601101.SH</t>
  </si>
  <si>
    <t>昊华能源</t>
  </si>
  <si>
    <t>600123.SH</t>
  </si>
  <si>
    <t>兰花科创</t>
  </si>
  <si>
    <t>CI005404.CI</t>
  </si>
  <si>
    <t>其他发电指数</t>
  </si>
  <si>
    <t>600905.SH</t>
  </si>
  <si>
    <t>三峡能源</t>
  </si>
  <si>
    <t>600930.SH</t>
  </si>
  <si>
    <t>华电新能</t>
  </si>
  <si>
    <t>002015.SZ</t>
  </si>
  <si>
    <t>协鑫能科</t>
  </si>
  <si>
    <t>000155.SZ</t>
  </si>
  <si>
    <t>川能动力</t>
  </si>
  <si>
    <t>601778.SH</t>
  </si>
  <si>
    <t>晶科科技</t>
  </si>
  <si>
    <t>CI005479.CI</t>
  </si>
  <si>
    <t>锂电池指数</t>
  </si>
  <si>
    <t>300750.SZ</t>
  </si>
  <si>
    <t>宁德时代</t>
  </si>
  <si>
    <t>300014.SZ</t>
  </si>
  <si>
    <t>亿纬锂能</t>
  </si>
  <si>
    <t>002074.SZ</t>
  </si>
  <si>
    <t>国轩高科</t>
  </si>
  <si>
    <t>002245.SZ</t>
  </si>
  <si>
    <t>蔚蓝锂芯</t>
  </si>
  <si>
    <t>300438.SZ</t>
  </si>
  <si>
    <t>鹏辉能源</t>
  </si>
  <si>
    <t>CI005439.CI</t>
  </si>
  <si>
    <t>其他结构材料指数</t>
  </si>
  <si>
    <t>300986.SZ</t>
  </si>
  <si>
    <t>志特新材</t>
  </si>
  <si>
    <t>002457.SZ</t>
  </si>
  <si>
    <t>青龙管业</t>
  </si>
  <si>
    <t>603616.SH</t>
  </si>
  <si>
    <t>韩建河山</t>
  </si>
  <si>
    <t>002205.SZ</t>
  </si>
  <si>
    <t>国统股份</t>
  </si>
  <si>
    <t>002671.SZ</t>
  </si>
  <si>
    <t>龙泉股份</t>
  </si>
  <si>
    <t>CI005400.CI</t>
  </si>
  <si>
    <t>镍钴锡锑指数</t>
  </si>
  <si>
    <t>603799.SH</t>
  </si>
  <si>
    <t>华友钴业</t>
  </si>
  <si>
    <t>000960.SZ</t>
  </si>
  <si>
    <t>锡业股份</t>
  </si>
  <si>
    <t>605376.SH</t>
  </si>
  <si>
    <t>博迁新材</t>
  </si>
  <si>
    <t>600711.SH</t>
  </si>
  <si>
    <t>盛屯矿业</t>
  </si>
  <si>
    <t>600301.SH</t>
  </si>
  <si>
    <t>华锡有色</t>
  </si>
  <si>
    <t>CI005309.CI</t>
  </si>
  <si>
    <t>照明电工指数</t>
  </si>
  <si>
    <t>603195.SH</t>
  </si>
  <si>
    <t>公牛集团</t>
  </si>
  <si>
    <t>300632.SZ</t>
  </si>
  <si>
    <t>光莆股份</t>
  </si>
  <si>
    <t>600651.SH</t>
  </si>
  <si>
    <t>飞乐音响</t>
  </si>
  <si>
    <t>603685.SH</t>
  </si>
  <si>
    <t>晨丰科技</t>
  </si>
  <si>
    <t>603303.SH</t>
  </si>
  <si>
    <t>得邦照明</t>
  </si>
  <si>
    <t>CI005464.CI</t>
  </si>
  <si>
    <t>基础件指数</t>
  </si>
  <si>
    <t>601100.SH</t>
  </si>
  <si>
    <t>恒立液压</t>
  </si>
  <si>
    <t>603308.SH</t>
  </si>
  <si>
    <t>应流股份</t>
  </si>
  <si>
    <t>002472.SZ</t>
  </si>
  <si>
    <t>双环传动</t>
  </si>
  <si>
    <t>603699.SH</t>
  </si>
  <si>
    <t>纽威股份</t>
  </si>
  <si>
    <t>002046.SZ</t>
  </si>
  <si>
    <t>国机精工</t>
  </si>
  <si>
    <t>CI005402.CI</t>
  </si>
  <si>
    <t>锂指数</t>
  </si>
  <si>
    <t>002460.SZ</t>
  </si>
  <si>
    <t>赣锋锂业</t>
  </si>
  <si>
    <t>002466.SZ</t>
  </si>
  <si>
    <t>天齐锂业</t>
  </si>
  <si>
    <t>002240.SZ</t>
  </si>
  <si>
    <t>盛新锂能</t>
  </si>
  <si>
    <t>002756.SZ</t>
  </si>
  <si>
    <t>永兴材料</t>
  </si>
  <si>
    <t>002192.SZ</t>
  </si>
  <si>
    <t>融捷股份</t>
  </si>
  <si>
    <t>CI005416.CI</t>
  </si>
  <si>
    <t>氯碱指数</t>
  </si>
  <si>
    <t>601216.SH</t>
  </si>
  <si>
    <t>君正集团</t>
  </si>
  <si>
    <t>000510.SZ</t>
  </si>
  <si>
    <t>新金路</t>
  </si>
  <si>
    <t>600063.SH</t>
  </si>
  <si>
    <t>皖维高新</t>
  </si>
  <si>
    <t>601678.SH</t>
  </si>
  <si>
    <t>滨化股份</t>
  </si>
  <si>
    <t>002545.SZ</t>
  </si>
  <si>
    <t>东方铁塔</t>
  </si>
  <si>
    <t>CI005435.CI</t>
  </si>
  <si>
    <t>专业工程及其他指数</t>
  </si>
  <si>
    <t>601117.SH</t>
  </si>
  <si>
    <t>中国化学</t>
  </si>
  <si>
    <t>603929.SH</t>
  </si>
  <si>
    <t>亚翔集成</t>
  </si>
  <si>
    <t>605289.SH</t>
  </si>
  <si>
    <t>罗曼股份</t>
  </si>
  <si>
    <t>600970.SH</t>
  </si>
  <si>
    <t>中材国际</t>
  </si>
  <si>
    <t>000065.SZ</t>
  </si>
  <si>
    <t>北方国际</t>
  </si>
  <si>
    <t>CI005396.CI</t>
  </si>
  <si>
    <t>油田服务指数</t>
  </si>
  <si>
    <t>603619.SH</t>
  </si>
  <si>
    <t>中曼石油</t>
  </si>
  <si>
    <t>600871.SH</t>
  </si>
  <si>
    <t>石化油服</t>
  </si>
  <si>
    <t>601808.SH</t>
  </si>
  <si>
    <t>中海油服</t>
  </si>
  <si>
    <t>002828.SZ</t>
  </si>
  <si>
    <t>贝肯能源</t>
  </si>
  <si>
    <t>002207.SZ</t>
  </si>
  <si>
    <t>*ST准油</t>
  </si>
  <si>
    <t>CI005426.CI</t>
  </si>
  <si>
    <t>改性塑料指数</t>
  </si>
  <si>
    <t>600143.SH</t>
  </si>
  <si>
    <t>金发科技</t>
  </si>
  <si>
    <t>002768.SZ</t>
  </si>
  <si>
    <t>国恩股份</t>
  </si>
  <si>
    <t>300221.SZ</t>
  </si>
  <si>
    <t>银禧科技</t>
  </si>
  <si>
    <t>002324.SZ</t>
  </si>
  <si>
    <t>普利特</t>
  </si>
  <si>
    <t>300586.SZ</t>
  </si>
  <si>
    <t>美联新材</t>
  </si>
  <si>
    <t>CI005421.CI</t>
  </si>
  <si>
    <t>涂料油墨颜料指数</t>
  </si>
  <si>
    <t>603737.SH</t>
  </si>
  <si>
    <t>三棵树</t>
  </si>
  <si>
    <t>603823.SH</t>
  </si>
  <si>
    <t>百合花</t>
  </si>
  <si>
    <t>603826.SH</t>
  </si>
  <si>
    <t>坤彩科技</t>
  </si>
  <si>
    <t>603110.SH</t>
  </si>
  <si>
    <t>东方材料</t>
  </si>
  <si>
    <t>300225.SZ</t>
  </si>
  <si>
    <t>金力泰</t>
  </si>
  <si>
    <t>CI005473.CI</t>
  </si>
  <si>
    <t>配电设备指数</t>
  </si>
  <si>
    <t>601877.SH</t>
  </si>
  <si>
    <t>正泰电器</t>
  </si>
  <si>
    <t>601567.SH</t>
  </si>
  <si>
    <t>三星电气</t>
  </si>
  <si>
    <t>002706.SZ</t>
  </si>
  <si>
    <t>良信股份</t>
  </si>
  <si>
    <t>300827.SZ</t>
  </si>
  <si>
    <t>上能电气</t>
  </si>
  <si>
    <t>603045.SH</t>
  </si>
  <si>
    <t>福达合金</t>
  </si>
  <si>
    <t>CI005330.CI</t>
  </si>
  <si>
    <t>调味品指数</t>
  </si>
  <si>
    <t>603288.SH</t>
  </si>
  <si>
    <t>海天味业</t>
  </si>
  <si>
    <t>600186.SH</t>
  </si>
  <si>
    <t>莲花控股</t>
  </si>
  <si>
    <t>600872.SH</t>
  </si>
  <si>
    <t>中炬高新</t>
  </si>
  <si>
    <t>002507.SZ</t>
  </si>
  <si>
    <t>涪陵榨菜</t>
  </si>
  <si>
    <t>603317.SH</t>
  </si>
  <si>
    <t>天味食品</t>
  </si>
  <si>
    <t>CI005573.CI</t>
  </si>
  <si>
    <t>互联网广告营销指数</t>
  </si>
  <si>
    <t>300058.SZ</t>
  </si>
  <si>
    <t>蓝色光标</t>
  </si>
  <si>
    <t>002131.SZ</t>
  </si>
  <si>
    <t>利欧股份</t>
  </si>
  <si>
    <t>301171.SZ</t>
  </si>
  <si>
    <t>易点天下</t>
  </si>
  <si>
    <t>002354.SZ</t>
  </si>
  <si>
    <t>天娱数科</t>
  </si>
  <si>
    <t>600986.SH</t>
  </si>
  <si>
    <t>浙文互联</t>
  </si>
  <si>
    <t>CI005557.CI</t>
  </si>
  <si>
    <t>增值服务Ⅲ指数</t>
  </si>
  <si>
    <t>000839.SZ</t>
  </si>
  <si>
    <t>国安股份</t>
  </si>
  <si>
    <t>300292.SZ</t>
  </si>
  <si>
    <t>吴通控股</t>
  </si>
  <si>
    <t>002467.SZ</t>
  </si>
  <si>
    <t>二六三</t>
  </si>
  <si>
    <t>300959.SZ</t>
  </si>
  <si>
    <t>线上线下</t>
  </si>
  <si>
    <t>002123.SZ</t>
  </si>
  <si>
    <t>梦网科技</t>
  </si>
  <si>
    <t>CI005344.CI</t>
  </si>
  <si>
    <t>城商行指数</t>
  </si>
  <si>
    <t>601169.SH</t>
  </si>
  <si>
    <t>北京银行</t>
  </si>
  <si>
    <t>600000.SH</t>
  </si>
  <si>
    <t>浦发银行</t>
  </si>
  <si>
    <t>601009.SH</t>
  </si>
  <si>
    <t>南京银行</t>
  </si>
  <si>
    <t>601229.SH</t>
  </si>
  <si>
    <t>上海银行</t>
  </si>
  <si>
    <t>002142.SZ</t>
  </si>
  <si>
    <t>宁波银行</t>
  </si>
  <si>
    <t>CI005406.CI</t>
  </si>
  <si>
    <t>环保及水务指数</t>
  </si>
  <si>
    <t>603588.SH</t>
  </si>
  <si>
    <t>高能环境</t>
  </si>
  <si>
    <t>600388.SH</t>
  </si>
  <si>
    <t>龙净环保</t>
  </si>
  <si>
    <t>600323.SH</t>
  </si>
  <si>
    <t>瀚蓝环境</t>
  </si>
  <si>
    <t>600008.SH</t>
  </si>
  <si>
    <t>首创环保</t>
  </si>
  <si>
    <t>603568.SH</t>
  </si>
  <si>
    <t>伟明环保</t>
  </si>
  <si>
    <t>CI005409.CI</t>
  </si>
  <si>
    <t>钢铁耗材指数</t>
  </si>
  <si>
    <t>000629.SZ</t>
  </si>
  <si>
    <t>钒钛股份</t>
  </si>
  <si>
    <t>688119.SH</t>
  </si>
  <si>
    <t>中钢洛耐</t>
  </si>
  <si>
    <t>300930.SZ</t>
  </si>
  <si>
    <t>屹通新材</t>
  </si>
  <si>
    <t>CI005477.CI</t>
  </si>
  <si>
    <t>储能指数</t>
  </si>
  <si>
    <t>300001.SZ</t>
  </si>
  <si>
    <t>特锐德</t>
  </si>
  <si>
    <t>688063.SH</t>
  </si>
  <si>
    <t>派能科技</t>
  </si>
  <si>
    <t>688717.SH</t>
  </si>
  <si>
    <t>艾罗能源</t>
  </si>
  <si>
    <t>300068.SZ</t>
  </si>
  <si>
    <t>ST南都</t>
  </si>
  <si>
    <t>301327.SZ</t>
  </si>
  <si>
    <t>华宝新能</t>
  </si>
  <si>
    <t>CI005221.CI</t>
  </si>
  <si>
    <t>水电指数</t>
  </si>
  <si>
    <t>600900.SH</t>
  </si>
  <si>
    <t>长江电力</t>
  </si>
  <si>
    <t>600674.SH</t>
  </si>
  <si>
    <t>川投能源</t>
  </si>
  <si>
    <t>600025.SH</t>
  </si>
  <si>
    <t>华能水电</t>
  </si>
  <si>
    <t>600236.SH</t>
  </si>
  <si>
    <t>桂冠电力</t>
  </si>
  <si>
    <t>000601.SZ</t>
  </si>
  <si>
    <t>韶能股份</t>
  </si>
  <si>
    <t>CI005405.CI</t>
  </si>
  <si>
    <t>电网指数</t>
  </si>
  <si>
    <t>600995.SH</t>
  </si>
  <si>
    <t>南网储能</t>
  </si>
  <si>
    <t>600452.SH</t>
  </si>
  <si>
    <t>涪陵电力</t>
  </si>
  <si>
    <t>600116.SH</t>
  </si>
  <si>
    <t>三峡水利</t>
  </si>
  <si>
    <t>600979.SH</t>
  </si>
  <si>
    <t>广安爱众</t>
  </si>
  <si>
    <t>600101.SH</t>
  </si>
  <si>
    <t>明星电力</t>
  </si>
  <si>
    <t>CI005444.CI</t>
  </si>
  <si>
    <t>纸包装指数</t>
  </si>
  <si>
    <t>002831.SZ</t>
  </si>
  <si>
    <t>裕同科技</t>
  </si>
  <si>
    <t>002565.SZ</t>
  </si>
  <si>
    <t>顺灏股份</t>
  </si>
  <si>
    <t>603687.SH</t>
  </si>
  <si>
    <t>大胜达</t>
  </si>
  <si>
    <t>002191.SZ</t>
  </si>
  <si>
    <t>劲嘉股份</t>
  </si>
  <si>
    <t>601515.SH</t>
  </si>
  <si>
    <t>衢州东峰</t>
  </si>
  <si>
    <t>CI005448.CI</t>
  </si>
  <si>
    <t>其他家居指数</t>
  </si>
  <si>
    <t>603226.SH</t>
  </si>
  <si>
    <t>菲林格尔</t>
  </si>
  <si>
    <t>603992.SH</t>
  </si>
  <si>
    <t>松霖科技</t>
  </si>
  <si>
    <t>002631.SZ</t>
  </si>
  <si>
    <t>德尔未来</t>
  </si>
  <si>
    <t>301588.SZ</t>
  </si>
  <si>
    <t>美新科技</t>
  </si>
  <si>
    <t>002489.SZ</t>
  </si>
  <si>
    <t>浙江永强</t>
  </si>
  <si>
    <t>CI005502.CI</t>
  </si>
  <si>
    <t>服务综合指数</t>
  </si>
  <si>
    <t>300688.SZ</t>
  </si>
  <si>
    <t>创业黑马</t>
  </si>
  <si>
    <t>603377.SH</t>
  </si>
  <si>
    <t>ST东时</t>
  </si>
  <si>
    <t>603373.SH</t>
  </si>
  <si>
    <t>安邦护卫</t>
  </si>
  <si>
    <t>300795.SZ</t>
  </si>
  <si>
    <t>米奥会展</t>
  </si>
  <si>
    <t>CI005234.CI</t>
  </si>
  <si>
    <t>钾肥指数</t>
  </si>
  <si>
    <t>000792.SZ</t>
  </si>
  <si>
    <t>盐湖股份</t>
  </si>
  <si>
    <t>000408.SZ</t>
  </si>
  <si>
    <t>藏格矿业</t>
  </si>
  <si>
    <t>000893.SZ</t>
  </si>
  <si>
    <t>亚钾国际</t>
  </si>
  <si>
    <t>CI005316.CI</t>
  </si>
  <si>
    <t>化学原料药指数</t>
  </si>
  <si>
    <t>688131.SH</t>
  </si>
  <si>
    <t>皓元医药</t>
  </si>
  <si>
    <t>000739.SZ</t>
  </si>
  <si>
    <t>普洛药业</t>
  </si>
  <si>
    <t>300436.SZ</t>
  </si>
  <si>
    <t>广生堂</t>
  </si>
  <si>
    <t>301201.SZ</t>
  </si>
  <si>
    <t>诚达药业</t>
  </si>
  <si>
    <t>300381.SZ</t>
  </si>
  <si>
    <t>溢多利</t>
  </si>
  <si>
    <t>CI005412.CI</t>
  </si>
  <si>
    <t>磷肥及磷化工指数</t>
  </si>
  <si>
    <t>600096.SH</t>
  </si>
  <si>
    <t>云天化</t>
  </si>
  <si>
    <t>600141.SH</t>
  </si>
  <si>
    <t>兴发集团</t>
  </si>
  <si>
    <t>600331.SH</t>
  </si>
  <si>
    <t>宏达股份</t>
  </si>
  <si>
    <t>002895.SZ</t>
  </si>
  <si>
    <t>川恒股份</t>
  </si>
  <si>
    <t>002312.SZ</t>
  </si>
  <si>
    <t>川发龙蟒</t>
  </si>
  <si>
    <t>CI005468.CI</t>
  </si>
  <si>
    <t>塑料加工机械指数</t>
  </si>
  <si>
    <t>300415.SZ</t>
  </si>
  <si>
    <t>伊之密</t>
  </si>
  <si>
    <t>688419.SH</t>
  </si>
  <si>
    <t>耐科装备</t>
  </si>
  <si>
    <t>300281.SZ</t>
  </si>
  <si>
    <t>金明精机</t>
  </si>
  <si>
    <t>600579.SH</t>
  </si>
  <si>
    <t>中化装备</t>
  </si>
  <si>
    <t>603289.SH</t>
  </si>
  <si>
    <t>泰瑞机器</t>
  </si>
  <si>
    <t>CI005214.CI</t>
  </si>
  <si>
    <t>铜指数</t>
  </si>
  <si>
    <t>000630.SZ</t>
  </si>
  <si>
    <t>铜陵有色</t>
  </si>
  <si>
    <t>601168.SH</t>
  </si>
  <si>
    <t>西部矿业</t>
  </si>
  <si>
    <t>600362.SH</t>
  </si>
  <si>
    <t>江西铜业</t>
  </si>
  <si>
    <t>002203.SZ</t>
  </si>
  <si>
    <t>海亮股份</t>
  </si>
  <si>
    <t>603979.SH</t>
  </si>
  <si>
    <t>金诚信</t>
  </si>
  <si>
    <t>CI005440.CI</t>
  </si>
  <si>
    <t>其他装饰材料指数</t>
  </si>
  <si>
    <t>002271.SZ</t>
  </si>
  <si>
    <t>东方雨虹</t>
  </si>
  <si>
    <t>000786.SZ</t>
  </si>
  <si>
    <t>北新建材</t>
  </si>
  <si>
    <t>002785.SZ</t>
  </si>
  <si>
    <t>万里石</t>
  </si>
  <si>
    <t>001212.SZ</t>
  </si>
  <si>
    <t>中旗新材</t>
  </si>
  <si>
    <t>605318.SH</t>
  </si>
  <si>
    <t>法狮龙</t>
  </si>
  <si>
    <t>CI005475.CI</t>
  </si>
  <si>
    <t>电机指数</t>
  </si>
  <si>
    <t>603728.SH</t>
  </si>
  <si>
    <t>鸣志电器</t>
  </si>
  <si>
    <t>000922.SZ</t>
  </si>
  <si>
    <t>佳电股份</t>
  </si>
  <si>
    <t>300660.SZ</t>
  </si>
  <si>
    <t>江苏雷利</t>
  </si>
  <si>
    <t>002892.SZ</t>
  </si>
  <si>
    <t>科力尔</t>
  </si>
  <si>
    <t>603988.SH</t>
  </si>
  <si>
    <t>中电电机</t>
  </si>
  <si>
    <t>CI005206.CI</t>
  </si>
  <si>
    <t>其他石化指数</t>
  </si>
  <si>
    <t>601233.SH</t>
  </si>
  <si>
    <t>桐昆股份</t>
  </si>
  <si>
    <t>002408.SZ</t>
  </si>
  <si>
    <t>齐翔腾达</t>
  </si>
  <si>
    <t>002221.SZ</t>
  </si>
  <si>
    <t>东华能源</t>
  </si>
  <si>
    <t>000819.SZ</t>
  </si>
  <si>
    <t>岳阳兴长</t>
  </si>
  <si>
    <t>002986.SZ</t>
  </si>
  <si>
    <t>宇新股份</t>
  </si>
  <si>
    <t>CI005323.CI</t>
  </si>
  <si>
    <t>医疗服务指数</t>
  </si>
  <si>
    <t>603259.SH</t>
  </si>
  <si>
    <t>药明康德</t>
  </si>
  <si>
    <t>300015.SZ</t>
  </si>
  <si>
    <t>爱尔眼科</t>
  </si>
  <si>
    <t>300759.SZ</t>
  </si>
  <si>
    <t>康龙化成</t>
  </si>
  <si>
    <t>002821.SZ</t>
  </si>
  <si>
    <t>凯莱英</t>
  </si>
  <si>
    <t>300347.SZ</t>
  </si>
  <si>
    <t>泰格医药</t>
  </si>
  <si>
    <t>CI005201.CI</t>
  </si>
  <si>
    <t>石油开采Ⅲ指数</t>
  </si>
  <si>
    <t>601857.SH</t>
  </si>
  <si>
    <t>中国石油</t>
  </si>
  <si>
    <t>600938.SH</t>
  </si>
  <si>
    <t>中国海油</t>
  </si>
  <si>
    <t>600256.SH</t>
  </si>
  <si>
    <t>广汇能源</t>
  </si>
  <si>
    <t>600777.SH</t>
  </si>
  <si>
    <t>新潮能源</t>
  </si>
  <si>
    <t>600759.SH</t>
  </si>
  <si>
    <t>ST洲际</t>
  </si>
  <si>
    <t>CI005413.CI</t>
  </si>
  <si>
    <t>粘胶指数</t>
  </si>
  <si>
    <t>000420.SZ</t>
  </si>
  <si>
    <t>吉林化纤</t>
  </si>
  <si>
    <t>000949.SZ</t>
  </si>
  <si>
    <t>新乡化纤</t>
  </si>
  <si>
    <t>600889.SH</t>
  </si>
  <si>
    <t>*ST京化</t>
  </si>
  <si>
    <t>000677.SZ</t>
  </si>
  <si>
    <t>ST海龙</t>
  </si>
  <si>
    <t>CI005350.CI</t>
  </si>
  <si>
    <t>非住宅物业开发和运营指数</t>
  </si>
  <si>
    <t>000062.SZ</t>
  </si>
  <si>
    <t>深圳华强</t>
  </si>
  <si>
    <t>600848.SH</t>
  </si>
  <si>
    <t>上海临港</t>
  </si>
  <si>
    <t>000069.SZ</t>
  </si>
  <si>
    <t>华侨城A</t>
  </si>
  <si>
    <t>000608.SZ</t>
  </si>
  <si>
    <t>阳光股份</t>
  </si>
  <si>
    <t>000402.SZ</t>
  </si>
  <si>
    <t>金融街</t>
  </si>
  <si>
    <t>CI005553.CI</t>
  </si>
  <si>
    <t>其他通信设备指数</t>
  </si>
  <si>
    <t>300353.SZ</t>
  </si>
  <si>
    <t>东土科技</t>
  </si>
  <si>
    <t>600345.SH</t>
  </si>
  <si>
    <t>长江通信</t>
  </si>
  <si>
    <t>600776.SH</t>
  </si>
  <si>
    <t>东方通信</t>
  </si>
  <si>
    <t>688418.SH</t>
  </si>
  <si>
    <t>震有科技</t>
  </si>
  <si>
    <t>300213.SZ</t>
  </si>
  <si>
    <t>佳讯飞鸿</t>
  </si>
  <si>
    <t>CI005516.CI</t>
  </si>
  <si>
    <t>速冻食品指数</t>
  </si>
  <si>
    <t>603345.SH</t>
  </si>
  <si>
    <t>安井食品</t>
  </si>
  <si>
    <t>002216.SZ</t>
  </si>
  <si>
    <t>三全食品</t>
  </si>
  <si>
    <t>605338.SH</t>
  </si>
  <si>
    <t>巴比食品</t>
  </si>
  <si>
    <t>002702.SZ</t>
  </si>
  <si>
    <t>海欣食品</t>
  </si>
  <si>
    <t>000529.SZ</t>
  </si>
  <si>
    <t>广弘控股</t>
  </si>
  <si>
    <t>CI005230.CI</t>
  </si>
  <si>
    <t>特钢指数</t>
  </si>
  <si>
    <t>002318.SZ</t>
  </si>
  <si>
    <t>久立特材</t>
  </si>
  <si>
    <t>000708.SZ</t>
  </si>
  <si>
    <t>中信特钢</t>
  </si>
  <si>
    <t>600399.SH</t>
  </si>
  <si>
    <t>抚顺特钢</t>
  </si>
  <si>
    <t>002075.SZ</t>
  </si>
  <si>
    <t>沙钢股份</t>
  </si>
  <si>
    <t>600507.SH</t>
  </si>
  <si>
    <t>方大特钢</t>
  </si>
  <si>
    <t>CI005242.CI</t>
  </si>
  <si>
    <t>绵纶指数</t>
  </si>
  <si>
    <t>000782.SZ</t>
  </si>
  <si>
    <t>恒申新材</t>
  </si>
  <si>
    <t>600810.SH</t>
  </si>
  <si>
    <t>神马股份</t>
  </si>
  <si>
    <t>605166.SH</t>
  </si>
  <si>
    <t>聚合顺</t>
  </si>
  <si>
    <t>603382.SH</t>
  </si>
  <si>
    <t>海阳科技</t>
  </si>
  <si>
    <t>CI005517.CI</t>
  </si>
  <si>
    <t>种植指数</t>
  </si>
  <si>
    <t>300972.SZ</t>
  </si>
  <si>
    <t>万辰集团</t>
  </si>
  <si>
    <t>600598.SH</t>
  </si>
  <si>
    <t>北大荒</t>
  </si>
  <si>
    <t>601118.SH</t>
  </si>
  <si>
    <t>海南橡胶</t>
  </si>
  <si>
    <t>600108.SH</t>
  </si>
  <si>
    <t>亚盛集团</t>
  </si>
  <si>
    <t>601952.SH</t>
  </si>
  <si>
    <t>苏垦农发</t>
  </si>
  <si>
    <t>CI005358.CI</t>
  </si>
  <si>
    <t>港口指数</t>
  </si>
  <si>
    <t>600018.SH</t>
  </si>
  <si>
    <t>上港集团</t>
  </si>
  <si>
    <t>000582.SZ</t>
  </si>
  <si>
    <t>北部湾港</t>
  </si>
  <si>
    <t>601000.SH</t>
  </si>
  <si>
    <t>唐山港</t>
  </si>
  <si>
    <t>601018.SH</t>
  </si>
  <si>
    <t>宁波港</t>
  </si>
  <si>
    <t>601880.SH</t>
  </si>
  <si>
    <t>辽港股份</t>
  </si>
  <si>
    <t>CI005394.CI</t>
  </si>
  <si>
    <t>家纺指数</t>
  </si>
  <si>
    <t>002293.SZ</t>
  </si>
  <si>
    <t>罗莱生活</t>
  </si>
  <si>
    <t>002327.SZ</t>
  </si>
  <si>
    <t>富安娜</t>
  </si>
  <si>
    <t>002397.SZ</t>
  </si>
  <si>
    <t>梦洁股份</t>
  </si>
  <si>
    <t>603365.SH</t>
  </si>
  <si>
    <t>水星家纺</t>
  </si>
  <si>
    <t>002763.SZ</t>
  </si>
  <si>
    <t>汇洁股份</t>
  </si>
  <si>
    <t>CI005353.CI</t>
  </si>
  <si>
    <t>公路指数</t>
  </si>
  <si>
    <t>001965.SZ</t>
  </si>
  <si>
    <t>招商公路</t>
  </si>
  <si>
    <t>000429.SZ</t>
  </si>
  <si>
    <t>粤高速A</t>
  </si>
  <si>
    <t>600350.SH</t>
  </si>
  <si>
    <t>山东高速</t>
  </si>
  <si>
    <t>600377.SH</t>
  </si>
  <si>
    <t>宁沪高速</t>
  </si>
  <si>
    <t>600269.SH</t>
  </si>
  <si>
    <t>赣粤高速</t>
  </si>
  <si>
    <t>CI005290.CI</t>
  </si>
  <si>
    <t>其他军工Ⅲ指数</t>
  </si>
  <si>
    <t>300395.SZ</t>
  </si>
  <si>
    <t>菲利华</t>
  </si>
  <si>
    <t>002625.SZ</t>
  </si>
  <si>
    <t>光启技术</t>
  </si>
  <si>
    <t>600760.SH</t>
  </si>
  <si>
    <t>中航沈飞</t>
  </si>
  <si>
    <t>688122.SH</t>
  </si>
  <si>
    <t>西部超导</t>
  </si>
  <si>
    <t>002465.SZ</t>
  </si>
  <si>
    <t>海格通信</t>
  </si>
  <si>
    <t>CI005434.CI</t>
  </si>
  <si>
    <t>园林工程指数</t>
  </si>
  <si>
    <t>002310.SZ</t>
  </si>
  <si>
    <t>东方新能</t>
  </si>
  <si>
    <t>603778.SH</t>
  </si>
  <si>
    <t>国晟科技</t>
  </si>
  <si>
    <t>300197.SZ</t>
  </si>
  <si>
    <t>节能铁汉</t>
  </si>
  <si>
    <t>603007.SH</t>
  </si>
  <si>
    <t>顺景科技</t>
  </si>
  <si>
    <t>300355.SZ</t>
  </si>
  <si>
    <t>蒙草生态</t>
  </si>
  <si>
    <t>CI005306.CI</t>
  </si>
  <si>
    <t>白色家电Ⅲ指数</t>
  </si>
  <si>
    <t>000333.SZ</t>
  </si>
  <si>
    <t>美的集团</t>
  </si>
  <si>
    <t>000651.SZ</t>
  </si>
  <si>
    <t>格力电器</t>
  </si>
  <si>
    <t>600690.SH</t>
  </si>
  <si>
    <t>海尔智家</t>
  </si>
  <si>
    <t>000921.SZ</t>
  </si>
  <si>
    <t>海信家电</t>
  </si>
  <si>
    <t>002668.SZ</t>
  </si>
  <si>
    <t>TCL智家</t>
  </si>
  <si>
    <t>CI005213.CI</t>
  </si>
  <si>
    <t>黄金指数</t>
  </si>
  <si>
    <t>601899.SH</t>
  </si>
  <si>
    <t>紫金矿业</t>
  </si>
  <si>
    <t>600489.SH</t>
  </si>
  <si>
    <t>中金黄金</t>
  </si>
  <si>
    <t>600547.SH</t>
  </si>
  <si>
    <t>山东黄金</t>
  </si>
  <si>
    <t>600988.SH</t>
  </si>
  <si>
    <t>赤峰黄金</t>
  </si>
  <si>
    <t>000975.SZ</t>
  </si>
  <si>
    <t>山金国际</t>
  </si>
  <si>
    <t>CI005568.CI</t>
  </si>
  <si>
    <t>咨询实施及其他服务指数</t>
  </si>
  <si>
    <t>301236.SZ</t>
  </si>
  <si>
    <t>软通动力</t>
  </si>
  <si>
    <t>600410.SH</t>
  </si>
  <si>
    <t>华胜天成</t>
  </si>
  <si>
    <t>000034.SZ</t>
  </si>
  <si>
    <t>神州数码</t>
  </si>
  <si>
    <t>688343.SH</t>
  </si>
  <si>
    <t>云天励飞</t>
  </si>
  <si>
    <t>300170.SZ</t>
  </si>
  <si>
    <t>汉得信息</t>
  </si>
  <si>
    <t>CI005524.CI</t>
  </si>
  <si>
    <t>农商行指数</t>
  </si>
  <si>
    <t>601825.SH</t>
  </si>
  <si>
    <t>沪农商行</t>
  </si>
  <si>
    <t>601077.SH</t>
  </si>
  <si>
    <t>渝农商行</t>
  </si>
  <si>
    <t>601128.SH</t>
  </si>
  <si>
    <t>常熟银行</t>
  </si>
  <si>
    <t>002958.SZ</t>
  </si>
  <si>
    <t>青农商行</t>
  </si>
  <si>
    <t>002807.SZ</t>
  </si>
  <si>
    <t>江阴银行</t>
  </si>
  <si>
    <t>CI005481.CI</t>
  </si>
  <si>
    <t>车用电机电控指数</t>
  </si>
  <si>
    <t>600580.SH</t>
  </si>
  <si>
    <t>卧龙电驱</t>
  </si>
  <si>
    <t>002176.SZ</t>
  </si>
  <si>
    <t>江特电机</t>
  </si>
  <si>
    <t>002249.SZ</t>
  </si>
  <si>
    <t>大洋电机</t>
  </si>
  <si>
    <t>002196.SZ</t>
  </si>
  <si>
    <t>方正电机</t>
  </si>
  <si>
    <t>300626.SZ</t>
  </si>
  <si>
    <t>华瑞股份</t>
  </si>
  <si>
    <t>CI005571.CI</t>
  </si>
  <si>
    <t>产业互联网综合服务指数</t>
  </si>
  <si>
    <t>002195.SZ</t>
  </si>
  <si>
    <t>岩山科技</t>
  </si>
  <si>
    <t>601360.SH</t>
  </si>
  <si>
    <t>三六零</t>
  </si>
  <si>
    <t>CI005388.CI</t>
  </si>
  <si>
    <t>印染指数</t>
  </si>
  <si>
    <t>600987.SH</t>
  </si>
  <si>
    <t>航民股份</t>
  </si>
  <si>
    <t>605055.SH</t>
  </si>
  <si>
    <t>迎丰股份</t>
  </si>
  <si>
    <t>605189.SH</t>
  </si>
  <si>
    <t>富春染织</t>
  </si>
  <si>
    <t>600448.SH</t>
  </si>
  <si>
    <t>华纺股份</t>
  </si>
  <si>
    <t>002144.SZ</t>
  </si>
  <si>
    <t>宏达高科</t>
  </si>
  <si>
    <t>CI005461.CI</t>
  </si>
  <si>
    <t>锂电设备指数</t>
  </si>
  <si>
    <t>300450.SZ</t>
  </si>
  <si>
    <t>先导智能</t>
  </si>
  <si>
    <t>300457.SZ</t>
  </si>
  <si>
    <t>赢合科技</t>
  </si>
  <si>
    <t>300619.SZ</t>
  </si>
  <si>
    <t>金银河</t>
  </si>
  <si>
    <t>300648.SZ</t>
  </si>
  <si>
    <t>星云股份</t>
  </si>
  <si>
    <t>688499.SH</t>
  </si>
  <si>
    <t>利元亨</t>
  </si>
  <si>
    <t>CI005307.CI</t>
  </si>
  <si>
    <t>黑色家电Ⅲ指数</t>
  </si>
  <si>
    <t>600839.SH</t>
  </si>
  <si>
    <t>四川长虹</t>
  </si>
  <si>
    <t>002429.SZ</t>
  </si>
  <si>
    <t>兆驰股份</t>
  </si>
  <si>
    <t>600060.SH</t>
  </si>
  <si>
    <t>海信视像</t>
  </si>
  <si>
    <t>000801.SZ</t>
  </si>
  <si>
    <t>四川九洲</t>
  </si>
  <si>
    <t>688696.SH</t>
  </si>
  <si>
    <t>极米科技</t>
  </si>
  <si>
    <t>CI005513.CI</t>
  </si>
  <si>
    <t>肉制品指数</t>
  </si>
  <si>
    <t>000895.SZ</t>
  </si>
  <si>
    <t>双汇发展</t>
  </si>
  <si>
    <t>002515.SZ</t>
  </si>
  <si>
    <t>金字火腿</t>
  </si>
  <si>
    <t>600073.SH</t>
  </si>
  <si>
    <t>光明肉业</t>
  </si>
  <si>
    <t>002330.SZ</t>
  </si>
  <si>
    <t>得利斯</t>
  </si>
  <si>
    <t>301116.SZ</t>
  </si>
  <si>
    <t>益客食品</t>
  </si>
  <si>
    <t>CI005284.CI</t>
  </si>
  <si>
    <t>风电指数</t>
  </si>
  <si>
    <t>301526.SZ</t>
  </si>
  <si>
    <t>国际复材</t>
  </si>
  <si>
    <t>300748.SZ</t>
  </si>
  <si>
    <t>金力永磁</t>
  </si>
  <si>
    <t>600416.SH</t>
  </si>
  <si>
    <t>湘电股份</t>
  </si>
  <si>
    <t>300185.SZ</t>
  </si>
  <si>
    <t>通裕重工</t>
  </si>
  <si>
    <t>002531.SZ</t>
  </si>
  <si>
    <t>天顺风能</t>
  </si>
  <si>
    <t>CI005449.CI</t>
  </si>
  <si>
    <t>文娱轻工Ⅲ指数</t>
  </si>
  <si>
    <t>002348.SZ</t>
  </si>
  <si>
    <t>高乐股份</t>
  </si>
  <si>
    <t>603899.SH</t>
  </si>
  <si>
    <t>晨光股份</t>
  </si>
  <si>
    <t>002605.SZ</t>
  </si>
  <si>
    <t>姚记科技</t>
  </si>
  <si>
    <t>002301.SZ</t>
  </si>
  <si>
    <t>齐心集团</t>
  </si>
  <si>
    <t>002575.SZ</t>
  </si>
  <si>
    <t>群兴玩具</t>
  </si>
  <si>
    <t>CI005438.CI</t>
  </si>
  <si>
    <t>玻璃指数</t>
  </si>
  <si>
    <t>601636.SH</t>
  </si>
  <si>
    <t>旗滨集团</t>
  </si>
  <si>
    <t>000012.SZ</t>
  </si>
  <si>
    <t>南玻A</t>
  </si>
  <si>
    <t>002163.SZ</t>
  </si>
  <si>
    <t>海南发展</t>
  </si>
  <si>
    <t>300093.SZ</t>
  </si>
  <si>
    <t>金刚光伏</t>
  </si>
  <si>
    <t>600586.SH</t>
  </si>
  <si>
    <t>金晶科技</t>
  </si>
  <si>
    <t>CI005452.CI</t>
  </si>
  <si>
    <t>电梯指数</t>
  </si>
  <si>
    <t>600835.SH</t>
  </si>
  <si>
    <t>上海机电</t>
  </si>
  <si>
    <t>300669.SZ</t>
  </si>
  <si>
    <t>沪宁股份</t>
  </si>
  <si>
    <t>600894.SH</t>
  </si>
  <si>
    <t>广日股份</t>
  </si>
  <si>
    <t>002367.SZ</t>
  </si>
  <si>
    <t>康力电梯</t>
  </si>
  <si>
    <t>300931.SZ</t>
  </si>
  <si>
    <t>通用电梯</t>
  </si>
  <si>
    <t>CI005503.CI</t>
  </si>
  <si>
    <t>小家电Ⅲ指数</t>
  </si>
  <si>
    <t>002005.SZ</t>
  </si>
  <si>
    <t>ST德豪</t>
  </si>
  <si>
    <t>002705.SZ</t>
  </si>
  <si>
    <t>新宝股份</t>
  </si>
  <si>
    <t>300247.SZ</t>
  </si>
  <si>
    <t>融捷健康</t>
  </si>
  <si>
    <t>605555.SH</t>
  </si>
  <si>
    <t>德昌股份</t>
  </si>
  <si>
    <t>603579.SH</t>
  </si>
  <si>
    <t>荣泰健康</t>
  </si>
  <si>
    <t>CI005342.CI</t>
  </si>
  <si>
    <t>国有大型银行Ⅲ指数</t>
  </si>
  <si>
    <t>601398.SH</t>
  </si>
  <si>
    <t>工商银行</t>
  </si>
  <si>
    <t>601288.SH</t>
  </si>
  <si>
    <t>农业银行</t>
  </si>
  <si>
    <t>601328.SH</t>
  </si>
  <si>
    <t>交通银行</t>
  </si>
  <si>
    <t>601988.SH</t>
  </si>
  <si>
    <t>中国银行</t>
  </si>
  <si>
    <t>601939.SH</t>
  </si>
  <si>
    <t>建设银行</t>
  </si>
  <si>
    <t>CI005276.CI</t>
  </si>
  <si>
    <t>铁路交通设备指数</t>
  </si>
  <si>
    <t>601766.SH</t>
  </si>
  <si>
    <t>中国中车</t>
  </si>
  <si>
    <t>688009.SH</t>
  </si>
  <si>
    <t>中国通号</t>
  </si>
  <si>
    <t>000927.SZ</t>
  </si>
  <si>
    <t>中国铁物</t>
  </si>
  <si>
    <t>600528.SH</t>
  </si>
  <si>
    <t>中铁工业</t>
  </si>
  <si>
    <t>688485.SH</t>
  </si>
  <si>
    <t>九州一轨</t>
  </si>
  <si>
    <t>CI005528.CI</t>
  </si>
  <si>
    <t>物业经纪服务指数</t>
  </si>
  <si>
    <t>000560.SZ</t>
  </si>
  <si>
    <t>我爱我家</t>
  </si>
  <si>
    <t>002285.SZ</t>
  </si>
  <si>
    <t>世联行</t>
  </si>
  <si>
    <t>002377.SZ</t>
  </si>
  <si>
    <t>国创高新</t>
  </si>
  <si>
    <t>CI005322.CI</t>
  </si>
  <si>
    <t>医疗器械指数</t>
  </si>
  <si>
    <t>300760.SZ</t>
  </si>
  <si>
    <t>迈瑞医疗</t>
  </si>
  <si>
    <t>688271.SH</t>
  </si>
  <si>
    <t>联影医疗</t>
  </si>
  <si>
    <t>002432.SZ</t>
  </si>
  <si>
    <t>九安医疗</t>
  </si>
  <si>
    <t>688301.SH</t>
  </si>
  <si>
    <t>奕瑞科技</t>
  </si>
  <si>
    <t>300677.SZ</t>
  </si>
  <si>
    <t>英科医疗</t>
  </si>
  <si>
    <t>CI005250.CI</t>
  </si>
  <si>
    <t>聚氨酯指数</t>
  </si>
  <si>
    <t>600309.SH</t>
  </si>
  <si>
    <t>万华化学</t>
  </si>
  <si>
    <t>600230.SH</t>
  </si>
  <si>
    <t>沧州大化</t>
  </si>
  <si>
    <t>300200.SZ</t>
  </si>
  <si>
    <t>高盟新材</t>
  </si>
  <si>
    <t>300321.SZ</t>
  </si>
  <si>
    <t>同大股份</t>
  </si>
  <si>
    <t>300848.SZ</t>
  </si>
  <si>
    <t>美瑞新材</t>
  </si>
  <si>
    <t>CI005226.CI</t>
  </si>
  <si>
    <t>燃气指数</t>
  </si>
  <si>
    <t>600803.SH</t>
  </si>
  <si>
    <t>新奥股份</t>
  </si>
  <si>
    <t>605090.SH</t>
  </si>
  <si>
    <t>九丰能源</t>
  </si>
  <si>
    <t>600635.SH</t>
  </si>
  <si>
    <t>大众公用</t>
  </si>
  <si>
    <t>000593.SZ</t>
  </si>
  <si>
    <t>德龙汇能</t>
  </si>
  <si>
    <t>601139.SH</t>
  </si>
  <si>
    <t>深圳燃气</t>
  </si>
  <si>
    <t>CI005354.CI</t>
  </si>
  <si>
    <t>铁路指数</t>
  </si>
  <si>
    <t>601816.SH</t>
  </si>
  <si>
    <t>京沪高铁</t>
  </si>
  <si>
    <t>601006.SH</t>
  </si>
  <si>
    <t>大秦铁路</t>
  </si>
  <si>
    <t>601333.SH</t>
  </si>
  <si>
    <t>广深铁路</t>
  </si>
  <si>
    <t>600125.SH</t>
  </si>
  <si>
    <t>铁龙物流</t>
  </si>
  <si>
    <t>CI005451.CI</t>
  </si>
  <si>
    <t>叉车指数</t>
  </si>
  <si>
    <t>603298.SH</t>
  </si>
  <si>
    <t>杭叉集团</t>
  </si>
  <si>
    <t>600761.SH</t>
  </si>
  <si>
    <t>安徽合力</t>
  </si>
  <si>
    <t>603194.SH</t>
  </si>
  <si>
    <t>中力股份</t>
  </si>
  <si>
    <t>301279.SZ</t>
  </si>
  <si>
    <t>金道科技</t>
  </si>
  <si>
    <t>CI005349.CI</t>
  </si>
  <si>
    <t>住宅物业开发指数</t>
  </si>
  <si>
    <t>600048.SH</t>
  </si>
  <si>
    <t>保利发展</t>
  </si>
  <si>
    <t>600246.SH</t>
  </si>
  <si>
    <t>万通发展</t>
  </si>
  <si>
    <t>600641.SH</t>
  </si>
  <si>
    <t>先导基电</t>
  </si>
  <si>
    <t>000002.SZ</t>
  </si>
  <si>
    <t>万科A</t>
  </si>
  <si>
    <t>600208.SH</t>
  </si>
  <si>
    <t>衢州发展</t>
  </si>
  <si>
    <t>CI005432.CI</t>
  </si>
  <si>
    <t>房建建设指数</t>
  </si>
  <si>
    <t>601668.SH</t>
  </si>
  <si>
    <t>中国建筑</t>
  </si>
  <si>
    <t>600170.SH</t>
  </si>
  <si>
    <t>上海建工</t>
  </si>
  <si>
    <t>000628.SZ</t>
  </si>
  <si>
    <t>高新发展</t>
  </si>
  <si>
    <t>601789.SH</t>
  </si>
  <si>
    <t>宁波建工</t>
  </si>
  <si>
    <t>600491.SH</t>
  </si>
  <si>
    <t>ST龙元</t>
  </si>
  <si>
    <t>CI005218.CI</t>
  </si>
  <si>
    <t>铝指数</t>
  </si>
  <si>
    <t>601600.SH</t>
  </si>
  <si>
    <t>中国铝业</t>
  </si>
  <si>
    <t>000807.SZ</t>
  </si>
  <si>
    <t>云铝股份</t>
  </si>
  <si>
    <t>000933.SZ</t>
  </si>
  <si>
    <t>神火股份</t>
  </si>
  <si>
    <t>002532.SZ</t>
  </si>
  <si>
    <t>天山铝业</t>
  </si>
  <si>
    <t>600219.SH</t>
  </si>
  <si>
    <t>南山铝业</t>
  </si>
  <si>
    <t>CI005237.CI</t>
  </si>
  <si>
    <t>农药指数</t>
  </si>
  <si>
    <t>600596.SH</t>
  </si>
  <si>
    <t>新安股份</t>
  </si>
  <si>
    <t>600486.SH</t>
  </si>
  <si>
    <t>扬农化工</t>
  </si>
  <si>
    <t>002250.SZ</t>
  </si>
  <si>
    <t>联化科技</t>
  </si>
  <si>
    <t>600389.SH</t>
  </si>
  <si>
    <t>江山股份</t>
  </si>
  <si>
    <t>002734.SZ</t>
  </si>
  <si>
    <t>利民股份</t>
  </si>
  <si>
    <t>CI005411.CI</t>
  </si>
  <si>
    <t>复合肥指数</t>
  </si>
  <si>
    <t>002539.SZ</t>
  </si>
  <si>
    <t>云图控股</t>
  </si>
  <si>
    <t>002170.SZ</t>
  </si>
  <si>
    <t>芭田股份</t>
  </si>
  <si>
    <t>000902.SZ</t>
  </si>
  <si>
    <t>新洋丰</t>
  </si>
  <si>
    <t>002470.SZ</t>
  </si>
  <si>
    <t>金正大</t>
  </si>
  <si>
    <t>002588.SZ</t>
  </si>
  <si>
    <t>史丹利</t>
  </si>
  <si>
    <t>CI005558.CI</t>
  </si>
  <si>
    <t>网络覆盖优化与运维指数</t>
  </si>
  <si>
    <t>300560.SZ</t>
  </si>
  <si>
    <t>中富通</t>
  </si>
  <si>
    <t>300050.SZ</t>
  </si>
  <si>
    <t>世纪鼎利</t>
  </si>
  <si>
    <t>300310.SZ</t>
  </si>
  <si>
    <t>宜通世纪</t>
  </si>
  <si>
    <t>300025.SZ</t>
  </si>
  <si>
    <t>华星创业</t>
  </si>
  <si>
    <t>603206.SH</t>
  </si>
  <si>
    <t>嘉环科技</t>
  </si>
  <si>
    <t>CI005504.CI</t>
  </si>
  <si>
    <t>其他家电指数</t>
  </si>
  <si>
    <t>002050.SZ</t>
  </si>
  <si>
    <t>三花智控</t>
  </si>
  <si>
    <t>002032.SZ</t>
  </si>
  <si>
    <t>苏泊尔</t>
  </si>
  <si>
    <t>603355.SH</t>
  </si>
  <si>
    <t>莱克电气</t>
  </si>
  <si>
    <t>002959.SZ</t>
  </si>
  <si>
    <t>小熊电器</t>
  </si>
  <si>
    <t>600336.SH</t>
  </si>
  <si>
    <t>澳柯玛</t>
  </si>
  <si>
    <t>CI005295.CI</t>
  </si>
  <si>
    <t>汽车零部件Ⅲ指数</t>
  </si>
  <si>
    <t>002920.SZ</t>
  </si>
  <si>
    <t>德赛西威</t>
  </si>
  <si>
    <t>603179.SH</t>
  </si>
  <si>
    <t>新泉股份</t>
  </si>
  <si>
    <t>000981.SZ</t>
  </si>
  <si>
    <t>山子高科</t>
  </si>
  <si>
    <t>301550.SZ</t>
  </si>
  <si>
    <t>斯菱智驱</t>
  </si>
  <si>
    <t>603119.SH</t>
  </si>
  <si>
    <t>浙江荣泰</t>
  </si>
  <si>
    <t>CI005551.CI</t>
  </si>
  <si>
    <t>电信运营Ⅲ指数</t>
  </si>
  <si>
    <t>600050.SH</t>
  </si>
  <si>
    <t>中国联通</t>
  </si>
  <si>
    <t>600941.SH</t>
  </si>
  <si>
    <t>中国移动</t>
  </si>
  <si>
    <t>601728.SH</t>
  </si>
  <si>
    <t>中国电信</t>
  </si>
  <si>
    <t>CI005231.CI</t>
  </si>
  <si>
    <t>铁矿石指数</t>
  </si>
  <si>
    <t>001203.SZ</t>
  </si>
  <si>
    <t>大中矿业</t>
  </si>
  <si>
    <t>601061.SH</t>
  </si>
  <si>
    <t>中信金属</t>
  </si>
  <si>
    <t>000923.SZ</t>
  </si>
  <si>
    <t>河钢资源</t>
  </si>
  <si>
    <t>601969.SH</t>
  </si>
  <si>
    <t>海南矿业</t>
  </si>
  <si>
    <t>601121.SH</t>
  </si>
  <si>
    <t>宝地矿业</t>
  </si>
  <si>
    <t>CI005578.CI</t>
  </si>
  <si>
    <t>其他文化娱乐指数</t>
  </si>
  <si>
    <t>603533.SH</t>
  </si>
  <si>
    <t>掌阅科技</t>
  </si>
  <si>
    <t>600158.SH</t>
  </si>
  <si>
    <t>中体产业</t>
  </si>
  <si>
    <t>603466.SH</t>
  </si>
  <si>
    <t>风语筑</t>
  </si>
  <si>
    <t>600136.SH</t>
  </si>
  <si>
    <t>ST明诚</t>
  </si>
  <si>
    <t>300860.SZ</t>
  </si>
  <si>
    <t>锋尚文化</t>
  </si>
  <si>
    <t>CI005369.CI</t>
  </si>
  <si>
    <t>出版指数</t>
  </si>
  <si>
    <t>601098.SH</t>
  </si>
  <si>
    <t>中南传媒</t>
  </si>
  <si>
    <t>000793.SZ</t>
  </si>
  <si>
    <t>*ST华闻</t>
  </si>
  <si>
    <t>601928.SH</t>
  </si>
  <si>
    <t>凤凰传媒</t>
  </si>
  <si>
    <t>600373.SH</t>
  </si>
  <si>
    <t>中文传媒</t>
  </si>
  <si>
    <t>002181.SZ</t>
  </si>
  <si>
    <t>粤传媒</t>
  </si>
  <si>
    <t>CI005328.CI</t>
  </si>
  <si>
    <t>非乳饮料指数</t>
  </si>
  <si>
    <t>605499.SH</t>
  </si>
  <si>
    <t>东鹏饮料</t>
  </si>
  <si>
    <t>603156.SH</t>
  </si>
  <si>
    <t>养元饮品</t>
  </si>
  <si>
    <t>000848.SZ</t>
  </si>
  <si>
    <t>承德露露</t>
  </si>
  <si>
    <t>605198.SH</t>
  </si>
  <si>
    <t>安德利</t>
  </si>
  <si>
    <t>600300.SH</t>
  </si>
  <si>
    <t>维维股份</t>
  </si>
  <si>
    <t>CI005286.CI</t>
  </si>
  <si>
    <t>太阳能指数</t>
  </si>
  <si>
    <t>300274.SZ</t>
  </si>
  <si>
    <t>阳光电源</t>
  </si>
  <si>
    <t>601012.SH</t>
  </si>
  <si>
    <t>隆基绿能</t>
  </si>
  <si>
    <t>600438.SH</t>
  </si>
  <si>
    <t>通威股份</t>
  </si>
  <si>
    <t>002129.SZ</t>
  </si>
  <si>
    <t>TCL中环</t>
  </si>
  <si>
    <t>603806.SH</t>
  </si>
  <si>
    <t>福斯特</t>
  </si>
  <si>
    <t>CI005564.CI</t>
  </si>
  <si>
    <t>新兴计算机软件指数</t>
  </si>
  <si>
    <t>002230.SZ</t>
  </si>
  <si>
    <t>科大讯飞</t>
  </si>
  <si>
    <t>688031.SH</t>
  </si>
  <si>
    <t>星环科技</t>
  </si>
  <si>
    <t>688088.SH</t>
  </si>
  <si>
    <t>虹软科技</t>
  </si>
  <si>
    <t>688787.SH</t>
  </si>
  <si>
    <t>海天瑞声</t>
  </si>
  <si>
    <t>688207.SH</t>
  </si>
  <si>
    <t>格灵深瞳</t>
  </si>
  <si>
    <t>CI005325.CI</t>
  </si>
  <si>
    <t>啤酒指数</t>
  </si>
  <si>
    <t>000729.SZ</t>
  </si>
  <si>
    <t>燕京啤酒</t>
  </si>
  <si>
    <t>600132.SH</t>
  </si>
  <si>
    <t>重庆啤酒</t>
  </si>
  <si>
    <t>002461.SZ</t>
  </si>
  <si>
    <t>珠江啤酒</t>
  </si>
  <si>
    <t>000752.SZ</t>
  </si>
  <si>
    <t>*ST西发</t>
  </si>
  <si>
    <t>000929.SZ</t>
  </si>
  <si>
    <t>兰州黄河</t>
  </si>
  <si>
    <t>CI005507.CI</t>
  </si>
  <si>
    <t>中高端成人品牌服饰指数</t>
  </si>
  <si>
    <t>002154.SZ</t>
  </si>
  <si>
    <t>报喜鸟</t>
  </si>
  <si>
    <t>002029.SZ</t>
  </si>
  <si>
    <t>七匹狼</t>
  </si>
  <si>
    <t>300840.SZ</t>
  </si>
  <si>
    <t>酷特智能</t>
  </si>
  <si>
    <t>002612.SZ</t>
  </si>
  <si>
    <t>朗姿股份</t>
  </si>
  <si>
    <t>603518.SH</t>
  </si>
  <si>
    <t>锦泓集团</t>
  </si>
  <si>
    <t>CI005470.CI</t>
  </si>
  <si>
    <t>其他运输设备指数</t>
  </si>
  <si>
    <t>000039.SZ</t>
  </si>
  <si>
    <t>中集集团</t>
  </si>
  <si>
    <t>002023.SZ</t>
  </si>
  <si>
    <t>海特高新</t>
  </si>
  <si>
    <t>002480.SZ</t>
  </si>
  <si>
    <t>新筑股份</t>
  </si>
  <si>
    <t>301559.SZ</t>
  </si>
  <si>
    <t>中集环科</t>
  </si>
  <si>
    <t>002105.SZ</t>
  </si>
  <si>
    <t>信隆健康</t>
  </si>
  <si>
    <t>CI005343.CI</t>
  </si>
  <si>
    <t>全国性股份制银行Ⅲ指数</t>
  </si>
  <si>
    <t>600036.SH</t>
  </si>
  <si>
    <t>招商银行</t>
  </si>
  <si>
    <t>601166.SH</t>
  </si>
  <si>
    <t>兴业银行</t>
  </si>
  <si>
    <t>600016.SH</t>
  </si>
  <si>
    <t>民生银行</t>
  </si>
  <si>
    <t>000001.SZ</t>
  </si>
  <si>
    <t>平安银行</t>
  </si>
  <si>
    <t>601998.SH</t>
  </si>
  <si>
    <t>中信银行</t>
  </si>
  <si>
    <t>CI005387.CI</t>
  </si>
  <si>
    <t>非棉纺织品指数</t>
  </si>
  <si>
    <t>603889.SH</t>
  </si>
  <si>
    <t>新澳股份</t>
  </si>
  <si>
    <t>600527.SH</t>
  </si>
  <si>
    <t>江南高纤</t>
  </si>
  <si>
    <t>601599.SH</t>
  </si>
  <si>
    <t>浙文影业</t>
  </si>
  <si>
    <t>600156.SH</t>
  </si>
  <si>
    <t>华升股份</t>
  </si>
  <si>
    <t>603055.SH</t>
  </si>
  <si>
    <t>台华新材</t>
  </si>
  <si>
    <t>CI005415.CI</t>
  </si>
  <si>
    <t>纯碱指数</t>
  </si>
  <si>
    <t>000683.SZ</t>
  </si>
  <si>
    <t>博源化工</t>
  </si>
  <si>
    <t>603077.SH</t>
  </si>
  <si>
    <t>和邦生物</t>
  </si>
  <si>
    <t>600328.SH</t>
  </si>
  <si>
    <t>中盐化工</t>
  </si>
  <si>
    <t>601065.SH</t>
  </si>
  <si>
    <t>江盐集团</t>
  </si>
  <si>
    <t>000822.SZ</t>
  </si>
  <si>
    <t>山东海化</t>
  </si>
  <si>
    <t>CI005536.CI</t>
  </si>
  <si>
    <t>物流综合指数</t>
  </si>
  <si>
    <t>600153.SH</t>
  </si>
  <si>
    <t>建发股份</t>
  </si>
  <si>
    <t>601156.SH</t>
  </si>
  <si>
    <t>东航物流</t>
  </si>
  <si>
    <t>600179.SH</t>
  </si>
  <si>
    <t>安通控股</t>
  </si>
  <si>
    <t>002183.SZ</t>
  </si>
  <si>
    <t>怡亚通</t>
  </si>
  <si>
    <t>603565.SH</t>
  </si>
  <si>
    <t>中谷物流</t>
  </si>
  <si>
    <t>CI005537.CI</t>
  </si>
  <si>
    <t>快递指数</t>
  </si>
  <si>
    <t>002352.SZ</t>
  </si>
  <si>
    <t>顺丰控股</t>
  </si>
  <si>
    <t>600233.SH</t>
  </si>
  <si>
    <t>圆通速递</t>
  </si>
  <si>
    <t>002120.SZ</t>
  </si>
  <si>
    <t>韵达股份</t>
  </si>
  <si>
    <t>002468.SZ</t>
  </si>
  <si>
    <t>申通快递</t>
  </si>
  <si>
    <t>CI005525.CI</t>
  </si>
  <si>
    <t>其他非银金融指数</t>
  </si>
  <si>
    <t>000617.SZ</t>
  </si>
  <si>
    <t>中油资本</t>
  </si>
  <si>
    <t>000987.SZ</t>
  </si>
  <si>
    <t>越秀资本</t>
  </si>
  <si>
    <t>002647.SZ</t>
  </si>
  <si>
    <t>仁东控股</t>
  </si>
  <si>
    <t>603093.SH</t>
  </si>
  <si>
    <t>南华期货</t>
  </si>
  <si>
    <t>002961.SZ</t>
  </si>
  <si>
    <t>瑞达期货</t>
  </si>
  <si>
    <t>CI005347.CI</t>
  </si>
  <si>
    <t>信托指数</t>
  </si>
  <si>
    <t>600816.SH</t>
  </si>
  <si>
    <t>建元信托</t>
  </si>
  <si>
    <t>000563.SZ</t>
  </si>
  <si>
    <t>陕国投A</t>
  </si>
  <si>
    <t>CI005485.CI</t>
  </si>
  <si>
    <t>贸易Ⅲ指数</t>
  </si>
  <si>
    <t>600704.SH</t>
  </si>
  <si>
    <t>物产中大</t>
  </si>
  <si>
    <t>600755.SH</t>
  </si>
  <si>
    <t>厦门国贸</t>
  </si>
  <si>
    <t>002091.SZ</t>
  </si>
  <si>
    <t>江苏国泰</t>
  </si>
  <si>
    <t>600710.SH</t>
  </si>
  <si>
    <t>苏美达</t>
  </si>
  <si>
    <t>000151.SZ</t>
  </si>
  <si>
    <t>中成股份</t>
  </si>
  <si>
    <t>CI005497.CI</t>
  </si>
  <si>
    <t>K12培训指数</t>
  </si>
  <si>
    <t>300192.SZ</t>
  </si>
  <si>
    <t>科德教育</t>
  </si>
  <si>
    <t>002638.SZ</t>
  </si>
  <si>
    <t>勤上股份</t>
  </si>
  <si>
    <t>000526.SZ</t>
  </si>
  <si>
    <t>学大教育</t>
  </si>
  <si>
    <t>600661.SH</t>
  </si>
  <si>
    <t>昂立教育</t>
  </si>
  <si>
    <t>CI005445.CI</t>
  </si>
  <si>
    <t>金属包装指数</t>
  </si>
  <si>
    <t>002969.SZ</t>
  </si>
  <si>
    <t>嘉美包装</t>
  </si>
  <si>
    <t>002701.SZ</t>
  </si>
  <si>
    <t>奥瑞金</t>
  </si>
  <si>
    <t>601968.SH</t>
  </si>
  <si>
    <t>宝钢包装</t>
  </si>
  <si>
    <t>002846.SZ</t>
  </si>
  <si>
    <t>英联股份</t>
  </si>
  <si>
    <t>002752.SZ</t>
  </si>
  <si>
    <t>昇兴股份</t>
  </si>
  <si>
    <t>CI005287.CI</t>
  </si>
  <si>
    <t>航空军工指数</t>
  </si>
  <si>
    <t>002179.SZ</t>
  </si>
  <si>
    <t>中航光电</t>
  </si>
  <si>
    <t>600765.SH</t>
  </si>
  <si>
    <t>中航重机</t>
  </si>
  <si>
    <t>688297.SH</t>
  </si>
  <si>
    <t>中无人机</t>
  </si>
  <si>
    <t>600316.SH</t>
  </si>
  <si>
    <t>洪都航空</t>
  </si>
  <si>
    <t>600038.SH</t>
  </si>
  <si>
    <t>中直股份</t>
  </si>
  <si>
    <t>CI005563.CI</t>
  </si>
  <si>
    <t>行业应用软件指数</t>
  </si>
  <si>
    <t>600570.SH</t>
  </si>
  <si>
    <t>恒生电子</t>
  </si>
  <si>
    <t>002261.SZ</t>
  </si>
  <si>
    <t>拓维信息</t>
  </si>
  <si>
    <t>301269.SZ</t>
  </si>
  <si>
    <t>华大九天</t>
  </si>
  <si>
    <t>002065.SZ</t>
  </si>
  <si>
    <t>东华软件</t>
  </si>
  <si>
    <t>600536.SH</t>
  </si>
  <si>
    <t>中国软件</t>
  </si>
  <si>
    <t>CI005559.CI</t>
  </si>
  <si>
    <t>网络规划设计和工程施工指数</t>
  </si>
  <si>
    <t>002929.SZ</t>
  </si>
  <si>
    <t>润建股份</t>
  </si>
  <si>
    <t>002544.SZ</t>
  </si>
  <si>
    <t>普天科技</t>
  </si>
  <si>
    <t>603220.SH</t>
  </si>
  <si>
    <t>中贝通信</t>
  </si>
  <si>
    <t>603322.SH</t>
  </si>
  <si>
    <t>超讯科技</t>
  </si>
  <si>
    <t>002093.SZ</t>
  </si>
  <si>
    <t>国脉科技</t>
  </si>
  <si>
    <t>CI005424.CI</t>
  </si>
  <si>
    <t>食品及饲料添加剂指数</t>
  </si>
  <si>
    <t>600873.SH</t>
  </si>
  <si>
    <t>梅花生物</t>
  </si>
  <si>
    <t>002597.SZ</t>
  </si>
  <si>
    <t>金禾实业</t>
  </si>
  <si>
    <t>600866.SH</t>
  </si>
  <si>
    <t>星湖科技</t>
  </si>
  <si>
    <t>600929.SH</t>
  </si>
  <si>
    <t>雪天盐业</t>
  </si>
  <si>
    <t>002053.SZ</t>
  </si>
  <si>
    <t>云南能投</t>
  </si>
  <si>
    <t>CI005345.CI</t>
  </si>
  <si>
    <t>证券Ⅲ指数</t>
  </si>
  <si>
    <t>300059.SZ</t>
  </si>
  <si>
    <t>东方财富</t>
  </si>
  <si>
    <t>600030.SH</t>
  </si>
  <si>
    <t>中信证券</t>
  </si>
  <si>
    <t>601211.SH</t>
  </si>
  <si>
    <t>国泰海通</t>
  </si>
  <si>
    <t>601688.SH</t>
  </si>
  <si>
    <t>华泰证券</t>
  </si>
  <si>
    <t>000776.SZ</t>
  </si>
  <si>
    <t>广发证券</t>
  </si>
  <si>
    <t>CI005463.CI</t>
  </si>
  <si>
    <t>起重运输设备指数</t>
  </si>
  <si>
    <t>600320.SH</t>
  </si>
  <si>
    <t>振华重工</t>
  </si>
  <si>
    <t>600169.SH</t>
  </si>
  <si>
    <t>ST太重</t>
  </si>
  <si>
    <t>002483.SZ</t>
  </si>
  <si>
    <t>润邦股份</t>
  </si>
  <si>
    <t>002523.SZ</t>
  </si>
  <si>
    <t>天桥起重</t>
  </si>
  <si>
    <t>603966.SH</t>
  </si>
  <si>
    <t>法兰泰克</t>
  </si>
  <si>
    <t>CI005562.CI</t>
  </si>
  <si>
    <t>基础软件及管理办公软件指数</t>
  </si>
  <si>
    <t>688692.SH</t>
  </si>
  <si>
    <t>达梦数据</t>
  </si>
  <si>
    <t>688258.SH</t>
  </si>
  <si>
    <t>卓易信息</t>
  </si>
  <si>
    <t>300378.SZ</t>
  </si>
  <si>
    <t>鼎捷数智</t>
  </si>
  <si>
    <t>300624.SZ</t>
  </si>
  <si>
    <t>万兴科技</t>
  </si>
  <si>
    <t>603039.SH</t>
  </si>
  <si>
    <t>泛微网络</t>
  </si>
  <si>
    <t>CI005317.CI</t>
  </si>
  <si>
    <t>化学制剂指数</t>
  </si>
  <si>
    <t>600276.SH</t>
  </si>
  <si>
    <t>恒瑞医药</t>
  </si>
  <si>
    <t>002422.SZ</t>
  </si>
  <si>
    <t>科伦药业</t>
  </si>
  <si>
    <t>688578.SH</t>
  </si>
  <si>
    <t>艾力斯</t>
  </si>
  <si>
    <t>600079.SH</t>
  </si>
  <si>
    <t>ST人福</t>
  </si>
  <si>
    <t>688266.SH</t>
  </si>
  <si>
    <t>泽璟制药</t>
  </si>
  <si>
    <t>CI005419.CI</t>
  </si>
  <si>
    <t>钛白粉指数</t>
  </si>
  <si>
    <t>002601.SZ</t>
  </si>
  <si>
    <t>龙佰集团</t>
  </si>
  <si>
    <t>002145.SZ</t>
  </si>
  <si>
    <t>钛能化学</t>
  </si>
  <si>
    <t>600727.SH</t>
  </si>
  <si>
    <t>鲁北化工</t>
  </si>
  <si>
    <t>000545.SZ</t>
  </si>
  <si>
    <t>金浦钛业</t>
  </si>
  <si>
    <t>002136.SZ</t>
  </si>
  <si>
    <t>安纳达</t>
  </si>
  <si>
    <t>CI005433.CI</t>
  </si>
  <si>
    <t>基建建设指数</t>
  </si>
  <si>
    <t>601390.SH</t>
  </si>
  <si>
    <t>中国中铁</t>
  </si>
  <si>
    <t>601669.SH</t>
  </si>
  <si>
    <t>中国电建</t>
  </si>
  <si>
    <t>601868.SH</t>
  </si>
  <si>
    <t>中国能建</t>
  </si>
  <si>
    <t>601186.SH</t>
  </si>
  <si>
    <t>中国铁建</t>
  </si>
  <si>
    <t>600039.SH</t>
  </si>
  <si>
    <t>四川路桥</t>
  </si>
  <si>
    <t>CI005331.CI</t>
  </si>
  <si>
    <t>乳制品指数</t>
  </si>
  <si>
    <t>600887.SH</t>
  </si>
  <si>
    <t>伊利股份</t>
  </si>
  <si>
    <t>600882.SH</t>
  </si>
  <si>
    <t>妙可蓝多</t>
  </si>
  <si>
    <t>002570.SZ</t>
  </si>
  <si>
    <t>贝因美</t>
  </si>
  <si>
    <t>600597.SH</t>
  </si>
  <si>
    <t>光明乳业</t>
  </si>
  <si>
    <t>002946.SZ</t>
  </si>
  <si>
    <t>新乳业</t>
  </si>
  <si>
    <t>CI005511.CI</t>
  </si>
  <si>
    <t>其他时尚品指数</t>
  </si>
  <si>
    <t>300591.SZ</t>
  </si>
  <si>
    <t>万里马</t>
  </si>
  <si>
    <t>300901.SZ</t>
  </si>
  <si>
    <t>中胤时尚</t>
  </si>
  <si>
    <t>300577.SZ</t>
  </si>
  <si>
    <t>开润股份</t>
  </si>
  <si>
    <t>600439.SH</t>
  </si>
  <si>
    <t>瑞贝卡</t>
  </si>
  <si>
    <t>600137.SH</t>
  </si>
  <si>
    <t>浪莎股份</t>
  </si>
  <si>
    <t>CI005319.CI</t>
  </si>
  <si>
    <t>中成药指数</t>
  </si>
  <si>
    <t>000538.SZ</t>
  </si>
  <si>
    <t>云南白药</t>
  </si>
  <si>
    <t>600436.SH</t>
  </si>
  <si>
    <t>片仔癀</t>
  </si>
  <si>
    <t>000766.SZ</t>
  </si>
  <si>
    <t>通化金马</t>
  </si>
  <si>
    <t>600085.SH</t>
  </si>
  <si>
    <t>同仁堂</t>
  </si>
  <si>
    <t>000999.SZ</t>
  </si>
  <si>
    <t>华润三九</t>
  </si>
  <si>
    <t>CI005263.CI</t>
  </si>
  <si>
    <t>造纸Ⅲ指数</t>
  </si>
  <si>
    <t>002078.SZ</t>
  </si>
  <si>
    <t>太阳纸业</t>
  </si>
  <si>
    <t>000815.SZ</t>
  </si>
  <si>
    <t>美利云</t>
  </si>
  <si>
    <t>600567.SH</t>
  </si>
  <si>
    <t>山鹰国际</t>
  </si>
  <si>
    <t>600103.SH</t>
  </si>
  <si>
    <t>青山纸业</t>
  </si>
  <si>
    <t>002067.SZ</t>
  </si>
  <si>
    <t>景兴纸业</t>
  </si>
  <si>
    <t>CI005572.CI</t>
  </si>
  <si>
    <t>广播电视指数</t>
  </si>
  <si>
    <t>600637.SH</t>
  </si>
  <si>
    <t>东方明珠</t>
  </si>
  <si>
    <t>600959.SH</t>
  </si>
  <si>
    <t>江苏有线</t>
  </si>
  <si>
    <t>000810.SZ</t>
  </si>
  <si>
    <t>创维数字</t>
  </si>
  <si>
    <t>600037.SH</t>
  </si>
  <si>
    <t>歌华有线</t>
  </si>
  <si>
    <t>600996.SH</t>
  </si>
  <si>
    <t>贵广网络</t>
  </si>
  <si>
    <t>CI005579.CI</t>
  </si>
  <si>
    <t>信息搜索与聚合指数</t>
  </si>
  <si>
    <t>000681.SZ</t>
  </si>
  <si>
    <t>视觉中国</t>
  </si>
  <si>
    <t>603000.SH</t>
  </si>
  <si>
    <t>人民网</t>
  </si>
  <si>
    <t>002315.SZ</t>
  </si>
  <si>
    <t>焦点科技</t>
  </si>
  <si>
    <t>603888.SH</t>
  </si>
  <si>
    <t>新华网</t>
  </si>
  <si>
    <t>002095.SZ</t>
  </si>
  <si>
    <t>生意宝</t>
  </si>
  <si>
    <t>CI005386.CI</t>
  </si>
  <si>
    <t>棉纺制品指数</t>
  </si>
  <si>
    <t>002083.SZ</t>
  </si>
  <si>
    <t>孚日股份</t>
  </si>
  <si>
    <t>300888.SZ</t>
  </si>
  <si>
    <t>稳健医疗</t>
  </si>
  <si>
    <t>002042.SZ</t>
  </si>
  <si>
    <t>华孚时尚</t>
  </si>
  <si>
    <t>601339.SH</t>
  </si>
  <si>
    <t>百隆东方</t>
  </si>
  <si>
    <t>000726.SZ</t>
  </si>
  <si>
    <t>鲁泰A</t>
  </si>
  <si>
    <t>CI005288.CI</t>
  </si>
  <si>
    <t>航天军工指数</t>
  </si>
  <si>
    <t>600879.SH</t>
  </si>
  <si>
    <t>航天电子</t>
  </si>
  <si>
    <t>600118.SH</t>
  </si>
  <si>
    <t>中国卫星</t>
  </si>
  <si>
    <t>601698.SH</t>
  </si>
  <si>
    <t>中国卫通</t>
  </si>
  <si>
    <t>000547.SZ</t>
  </si>
  <si>
    <t>航天发展</t>
  </si>
  <si>
    <t>300474.SZ</t>
  </si>
  <si>
    <t>景嘉微</t>
  </si>
  <si>
    <t>CI005437.CI</t>
  </si>
  <si>
    <t>建筑设计及服务Ⅲ指数</t>
  </si>
  <si>
    <t>600629.SH</t>
  </si>
  <si>
    <t>华建集团</t>
  </si>
  <si>
    <t>603018.SH</t>
  </si>
  <si>
    <t>华设集团</t>
  </si>
  <si>
    <t>603458.SH</t>
  </si>
  <si>
    <t>勘设股份</t>
  </si>
  <si>
    <t>300284.SZ</t>
  </si>
  <si>
    <t>苏交科</t>
  </si>
  <si>
    <t>301115.SZ</t>
  </si>
  <si>
    <t>联检科技</t>
  </si>
  <si>
    <t>CI005498.CI</t>
  </si>
  <si>
    <t>高等及职业教育指数</t>
  </si>
  <si>
    <t>002607.SZ</t>
  </si>
  <si>
    <t>中公教育</t>
  </si>
  <si>
    <t>600730.SH</t>
  </si>
  <si>
    <t>*ST高科</t>
  </si>
  <si>
    <t>605098.SH</t>
  </si>
  <si>
    <t>行动教育</t>
  </si>
  <si>
    <t>300338.SZ</t>
  </si>
  <si>
    <t>*ST开元</t>
  </si>
  <si>
    <t>CI005410.CI</t>
  </si>
  <si>
    <t>氮肥指数</t>
  </si>
  <si>
    <t>600426.SH</t>
  </si>
  <si>
    <t>华鲁恒升</t>
  </si>
  <si>
    <t>000422.SZ</t>
  </si>
  <si>
    <t>湖北宜化</t>
  </si>
  <si>
    <t>600691.SH</t>
  </si>
  <si>
    <t>潞化科技</t>
  </si>
  <si>
    <t>600227.SH</t>
  </si>
  <si>
    <t>赤天化</t>
  </si>
  <si>
    <t>000731.SZ</t>
  </si>
  <si>
    <t>四川美丰</t>
  </si>
  <si>
    <t>CI005450.CI</t>
  </si>
  <si>
    <t>其他轻工Ⅲ指数</t>
  </si>
  <si>
    <t>000833.SZ</t>
  </si>
  <si>
    <t>粤桂股份</t>
  </si>
  <si>
    <t>301193.SZ</t>
  </si>
  <si>
    <t>家联科技</t>
  </si>
  <si>
    <t>301101.SZ</t>
  </si>
  <si>
    <t>明月镜片</t>
  </si>
  <si>
    <t>002899.SZ</t>
  </si>
  <si>
    <t>英派斯</t>
  </si>
  <si>
    <t>002571.SZ</t>
  </si>
  <si>
    <t>德力股份</t>
  </si>
  <si>
    <t>CI005252.CI</t>
  </si>
  <si>
    <t>日用化学品指数</t>
  </si>
  <si>
    <t>603605.SH</t>
  </si>
  <si>
    <t>珀莱雅</t>
  </si>
  <si>
    <t>300957.SZ</t>
  </si>
  <si>
    <t>贝泰妮</t>
  </si>
  <si>
    <t>600315.SH</t>
  </si>
  <si>
    <t>上海家化</t>
  </si>
  <si>
    <t>300740.SZ</t>
  </si>
  <si>
    <t>水羊股份</t>
  </si>
  <si>
    <t>002637.SZ</t>
  </si>
  <si>
    <t>赞宇科技</t>
  </si>
  <si>
    <t>CI005487.CI</t>
  </si>
  <si>
    <t>珠宝首饰及钟表指数</t>
  </si>
  <si>
    <t>600655.SH</t>
  </si>
  <si>
    <t>豫园股份</t>
  </si>
  <si>
    <t>600916.SH</t>
  </si>
  <si>
    <t>中国黄金</t>
  </si>
  <si>
    <t>002345.SZ</t>
  </si>
  <si>
    <t>潮宏基</t>
  </si>
  <si>
    <t>002867.SZ</t>
  </si>
  <si>
    <t>周大生</t>
  </si>
  <si>
    <t>000026.SZ</t>
  </si>
  <si>
    <t>飞亚达</t>
  </si>
  <si>
    <t>CI005267.CI</t>
  </si>
  <si>
    <t>工程机械Ⅲ指数</t>
  </si>
  <si>
    <t>600031.SH</t>
  </si>
  <si>
    <t>三一重工</t>
  </si>
  <si>
    <t>000425.SZ</t>
  </si>
  <si>
    <t>徐工机械</t>
  </si>
  <si>
    <t>000157.SZ</t>
  </si>
  <si>
    <t>中联重科</t>
  </si>
  <si>
    <t>300201.SZ</t>
  </si>
  <si>
    <t>海伦哲</t>
  </si>
  <si>
    <t>000528.SZ</t>
  </si>
  <si>
    <t>柳工</t>
  </si>
  <si>
    <t>CI005407.CI</t>
  </si>
  <si>
    <t>长材指数</t>
  </si>
  <si>
    <t>000778.SZ</t>
  </si>
  <si>
    <t>新兴铸管</t>
  </si>
  <si>
    <t>601686.SH</t>
  </si>
  <si>
    <t>友发集团</t>
  </si>
  <si>
    <t>600307.SH</t>
  </si>
  <si>
    <t>酒钢宏兴</t>
  </si>
  <si>
    <t>603969.SH</t>
  </si>
  <si>
    <t>银龙股份</t>
  </si>
  <si>
    <t>002110.SZ</t>
  </si>
  <si>
    <t>三钢闽光</t>
  </si>
  <si>
    <t>CI005454.CI</t>
  </si>
  <si>
    <t>矿山冶金机械指数</t>
  </si>
  <si>
    <t>601717.SH</t>
  </si>
  <si>
    <t>中创智领</t>
  </si>
  <si>
    <t>601106.SH</t>
  </si>
  <si>
    <t>中国一重</t>
  </si>
  <si>
    <t>601608.SH</t>
  </si>
  <si>
    <t>中信重工</t>
  </si>
  <si>
    <t>600582.SH</t>
  </si>
  <si>
    <t>天地科技</t>
  </si>
  <si>
    <t>603698.SH</t>
  </si>
  <si>
    <t>航天工程</t>
  </si>
  <si>
    <t>CI005337.CI</t>
  </si>
  <si>
    <t>动物疫苗及兽药指数</t>
  </si>
  <si>
    <t>600201.SH</t>
  </si>
  <si>
    <t>生物股份</t>
  </si>
  <si>
    <t>300119.SZ</t>
  </si>
  <si>
    <t>瑞普生物</t>
  </si>
  <si>
    <t>600195.SH</t>
  </si>
  <si>
    <t>中牧股份</t>
  </si>
  <si>
    <t>300871.SZ</t>
  </si>
  <si>
    <t>回盛生物</t>
  </si>
  <si>
    <t>603566.SH</t>
  </si>
  <si>
    <t>普莱柯</t>
  </si>
  <si>
    <t>CI005259.CI</t>
  </si>
  <si>
    <t>水泥指数</t>
  </si>
  <si>
    <t>600585.SH</t>
  </si>
  <si>
    <t>海螺水泥</t>
  </si>
  <si>
    <t>600801.SH</t>
  </si>
  <si>
    <t>华新建材</t>
  </si>
  <si>
    <t>000672.SZ</t>
  </si>
  <si>
    <t>上峰材料</t>
  </si>
  <si>
    <t>000877.SZ</t>
  </si>
  <si>
    <t>天山股份</t>
  </si>
  <si>
    <t>002233.SZ</t>
  </si>
  <si>
    <t>塔牌集团</t>
  </si>
  <si>
    <t>CI005261.CI</t>
  </si>
  <si>
    <t>陶瓷指数</t>
  </si>
  <si>
    <t>002798.SZ</t>
  </si>
  <si>
    <t>帝欧水华</t>
  </si>
  <si>
    <t>003012.SZ</t>
  </si>
  <si>
    <t>东鹏控股</t>
  </si>
  <si>
    <t>001386.SZ</t>
  </si>
  <si>
    <t>马可波罗</t>
  </si>
  <si>
    <t>002162.SZ</t>
  </si>
  <si>
    <t>悦心健康</t>
  </si>
  <si>
    <t>002918.SZ</t>
  </si>
  <si>
    <t>蒙娜丽莎</t>
  </si>
  <si>
    <t>CI005297.CI</t>
  </si>
  <si>
    <t>摩托车及其他Ⅲ指数</t>
  </si>
  <si>
    <t>603129.SH</t>
  </si>
  <si>
    <t>春风动力</t>
  </si>
  <si>
    <t>601777.SH</t>
  </si>
  <si>
    <t>千里科技</t>
  </si>
  <si>
    <t>603766.SH</t>
  </si>
  <si>
    <t>隆鑫通用</t>
  </si>
  <si>
    <t>301345.SZ</t>
  </si>
  <si>
    <t>涛涛车业</t>
  </si>
  <si>
    <t>301322.SZ</t>
  </si>
  <si>
    <t>绿通科技</t>
  </si>
  <si>
    <t>CI005522.CI</t>
  </si>
  <si>
    <t>农产品加工Ⅲ指数</t>
  </si>
  <si>
    <t>300999.SZ</t>
  </si>
  <si>
    <t>金龙鱼</t>
  </si>
  <si>
    <t>600737.SH</t>
  </si>
  <si>
    <t>中粮糖业</t>
  </si>
  <si>
    <t>000061.SZ</t>
  </si>
  <si>
    <t>农产品</t>
  </si>
  <si>
    <t>600251.SH</t>
  </si>
  <si>
    <t>冠农股份</t>
  </si>
  <si>
    <t>000930.SZ</t>
  </si>
  <si>
    <t>中粮科技</t>
  </si>
  <si>
    <t>CI005486.CI</t>
  </si>
  <si>
    <t>家电3C指数</t>
  </si>
  <si>
    <t>002416.SZ</t>
  </si>
  <si>
    <t>爱施德</t>
  </si>
  <si>
    <t>000829.SZ</t>
  </si>
  <si>
    <t>天音控股</t>
  </si>
  <si>
    <t>CI005229.CI</t>
  </si>
  <si>
    <t>板材指数</t>
  </si>
  <si>
    <t>600010.SH</t>
  </si>
  <si>
    <t>包钢股份</t>
  </si>
  <si>
    <t>600019.SH</t>
  </si>
  <si>
    <t>宝钢股份</t>
  </si>
  <si>
    <t>600282.SH</t>
  </si>
  <si>
    <t>南钢股份</t>
  </si>
  <si>
    <t>600126.SH</t>
  </si>
  <si>
    <t>杭钢股份</t>
  </si>
  <si>
    <t>000825.SZ</t>
  </si>
  <si>
    <t>太钢不锈</t>
  </si>
  <si>
    <t>CI005321.CI</t>
  </si>
  <si>
    <t>医药流通指数</t>
  </si>
  <si>
    <t>601607.SH</t>
  </si>
  <si>
    <t>上海医药</t>
  </si>
  <si>
    <t>600998.SH</t>
  </si>
  <si>
    <t>九州通</t>
  </si>
  <si>
    <t>600511.SH</t>
  </si>
  <si>
    <t>国药股份</t>
  </si>
  <si>
    <t>600056.SH</t>
  </si>
  <si>
    <t>中国医药</t>
  </si>
  <si>
    <t>603368.SH</t>
  </si>
  <si>
    <t>柳药集团</t>
  </si>
  <si>
    <t>CI005289.CI</t>
  </si>
  <si>
    <t>兵器兵装Ⅲ指数</t>
  </si>
  <si>
    <t>000519.SZ</t>
  </si>
  <si>
    <t>中兵红箭</t>
  </si>
  <si>
    <t>600435.SH</t>
  </si>
  <si>
    <t>北方导航</t>
  </si>
  <si>
    <t>600967.SH</t>
  </si>
  <si>
    <t>内蒙一机</t>
  </si>
  <si>
    <t>601606.SH</t>
  </si>
  <si>
    <t>长城军工</t>
  </si>
  <si>
    <t>301571.SZ</t>
  </si>
  <si>
    <t>国科天成</t>
  </si>
  <si>
    <t>CI005506.CI</t>
  </si>
  <si>
    <t>其他纺织指数</t>
  </si>
  <si>
    <t>002003.SZ</t>
  </si>
  <si>
    <t>伟星股份</t>
  </si>
  <si>
    <t>300979.SZ</t>
  </si>
  <si>
    <t>华利集团</t>
  </si>
  <si>
    <t>300819.SZ</t>
  </si>
  <si>
    <t>聚杰微纤</t>
  </si>
  <si>
    <t>601718.SH</t>
  </si>
  <si>
    <t>ST际华</t>
  </si>
  <si>
    <t>300918.SZ</t>
  </si>
  <si>
    <t>南山智尚</t>
  </si>
  <si>
    <t>CI005293.CI</t>
  </si>
  <si>
    <t>客车指数</t>
  </si>
  <si>
    <t>600066.SH</t>
  </si>
  <si>
    <t>宇通客车</t>
  </si>
  <si>
    <t>600686.SH</t>
  </si>
  <si>
    <t>金龙汽车</t>
  </si>
  <si>
    <t>000957.SZ</t>
  </si>
  <si>
    <t>中通客车</t>
  </si>
  <si>
    <t>600609.SH</t>
  </si>
  <si>
    <t>金杯汽车</t>
  </si>
  <si>
    <t>000868.SZ</t>
  </si>
  <si>
    <t>安凯客车</t>
  </si>
  <si>
    <t>CI005561.CI</t>
  </si>
  <si>
    <t>专用计算机设备指数</t>
  </si>
  <si>
    <t>603516.SH</t>
  </si>
  <si>
    <t>淳中科技</t>
  </si>
  <si>
    <t>688018.SH</t>
  </si>
  <si>
    <t>乐鑫科技</t>
  </si>
  <si>
    <t>688188.SH</t>
  </si>
  <si>
    <t>柏楚电子</t>
  </si>
  <si>
    <t>301275.SZ</t>
  </si>
  <si>
    <t>汉朔科技</t>
  </si>
  <si>
    <t>000997.SZ</t>
  </si>
  <si>
    <t>新大陆</t>
  </si>
  <si>
    <t>CI005302.CI</t>
  </si>
  <si>
    <t>景区指数</t>
  </si>
  <si>
    <t>300144.SZ</t>
  </si>
  <si>
    <t>宋城演艺</t>
  </si>
  <si>
    <t>600138.SH</t>
  </si>
  <si>
    <t>中青旅</t>
  </si>
  <si>
    <t>603099.SH</t>
  </si>
  <si>
    <t>长白山</t>
  </si>
  <si>
    <t>000888.SZ</t>
  </si>
  <si>
    <t>峨眉山A</t>
  </si>
  <si>
    <t>300859.SZ</t>
  </si>
  <si>
    <t>西域旅游</t>
  </si>
  <si>
    <t>CI005324.CI</t>
  </si>
  <si>
    <t>白酒指数</t>
  </si>
  <si>
    <t>600519.SH</t>
  </si>
  <si>
    <t>贵州茅台</t>
  </si>
  <si>
    <t>000858.SZ</t>
  </si>
  <si>
    <t>五粮液</t>
  </si>
  <si>
    <t>000568.SZ</t>
  </si>
  <si>
    <t>泸州老窖</t>
  </si>
  <si>
    <t>600809.SH</t>
  </si>
  <si>
    <t>山西汾酒</t>
  </si>
  <si>
    <t>002304.SZ</t>
  </si>
  <si>
    <t>洋河股份</t>
  </si>
  <si>
    <t>CI005515.CI</t>
  </si>
  <si>
    <t>休闲食品指数</t>
  </si>
  <si>
    <t>002557.SZ</t>
  </si>
  <si>
    <t>洽洽食品</t>
  </si>
  <si>
    <t>002847.SZ</t>
  </si>
  <si>
    <t>盐津铺子</t>
  </si>
  <si>
    <t>300783.SZ</t>
  </si>
  <si>
    <t>三只松鼠</t>
  </si>
  <si>
    <t>603517.SH</t>
  </si>
  <si>
    <t>ST绝味</t>
  </si>
  <si>
    <t>002956.SZ</t>
  </si>
  <si>
    <t>西麦食品</t>
  </si>
  <si>
    <t>CI005296.CI</t>
  </si>
  <si>
    <t>汽车销售及服务Ⅲ指数</t>
  </si>
  <si>
    <t>600335.SH</t>
  </si>
  <si>
    <t>国机汽车</t>
  </si>
  <si>
    <t>600653.SH</t>
  </si>
  <si>
    <t>申华控股</t>
  </si>
  <si>
    <t>301215.SZ</t>
  </si>
  <si>
    <t>中汽股份</t>
  </si>
  <si>
    <t>000757.SZ</t>
  </si>
  <si>
    <t>浩物股份</t>
  </si>
  <si>
    <t>605151.SH</t>
  </si>
  <si>
    <t>西上海</t>
  </si>
  <si>
    <t>CI005351.CI</t>
  </si>
  <si>
    <t>园区综合开发指数</t>
  </si>
  <si>
    <t>600895.SH</t>
  </si>
  <si>
    <t>张江高科</t>
  </si>
  <si>
    <t>001979.SZ</t>
  </si>
  <si>
    <t>招商蛇口</t>
  </si>
  <si>
    <t>600663.SH</t>
  </si>
  <si>
    <t>陆家嘴</t>
  </si>
  <si>
    <t>600736.SH</t>
  </si>
  <si>
    <t>苏州高新</t>
  </si>
  <si>
    <t>600648.SH</t>
  </si>
  <si>
    <t>外高桥</t>
  </si>
  <si>
    <t>CI005408.CI</t>
  </si>
  <si>
    <t>贸易流通指数</t>
  </si>
  <si>
    <t>600058.SH</t>
  </si>
  <si>
    <t>五矿发展</t>
  </si>
  <si>
    <t>000906.SZ</t>
  </si>
  <si>
    <t>浙商中拓</t>
  </si>
  <si>
    <t>605050.SH</t>
  </si>
  <si>
    <t>福然德</t>
  </si>
  <si>
    <t>CI005512.CI</t>
  </si>
  <si>
    <t>其他酒指数</t>
  </si>
  <si>
    <t>002568.SZ</t>
  </si>
  <si>
    <t>百润股份</t>
  </si>
  <si>
    <t>600059.SH</t>
  </si>
  <si>
    <t>古越龙山</t>
  </si>
  <si>
    <t>601579.SH</t>
  </si>
  <si>
    <t>会稽山</t>
  </si>
  <si>
    <t>600084.SH</t>
  </si>
  <si>
    <t>*ST尼雅</t>
  </si>
  <si>
    <t>000869.SZ</t>
  </si>
  <si>
    <t>张裕A</t>
  </si>
  <si>
    <t>CI005202.CI</t>
  </si>
  <si>
    <t>炼油指数</t>
  </si>
  <si>
    <t>600028.SH</t>
  </si>
  <si>
    <t>中国石化</t>
  </si>
  <si>
    <t>600688.SH</t>
  </si>
  <si>
    <t>上海石化</t>
  </si>
  <si>
    <t>000059.SZ</t>
  </si>
  <si>
    <t>华锦股份</t>
  </si>
  <si>
    <t>000698.SZ</t>
  </si>
  <si>
    <t>ST沈化</t>
  </si>
  <si>
    <t>000637.SZ</t>
  </si>
  <si>
    <t>茂化实华</t>
  </si>
  <si>
    <t>CI005211.CI</t>
  </si>
  <si>
    <t>焦炭指数</t>
  </si>
  <si>
    <t>000723.SZ</t>
  </si>
  <si>
    <t>美锦能源</t>
  </si>
  <si>
    <t>600740.SH</t>
  </si>
  <si>
    <t>山西焦化</t>
  </si>
  <si>
    <t>601011.SH</t>
  </si>
  <si>
    <t>宝泰隆</t>
  </si>
  <si>
    <t>600725.SH</t>
  </si>
  <si>
    <t>云维股份</t>
  </si>
  <si>
    <t>601015.SH</t>
  </si>
  <si>
    <t>陕西黑猫</t>
  </si>
  <si>
    <t>CI005374.CI</t>
  </si>
  <si>
    <t>综合Ⅲ指数</t>
  </si>
  <si>
    <t>600770.SH</t>
  </si>
  <si>
    <t>综艺股份</t>
  </si>
  <si>
    <t>600382.SH</t>
  </si>
  <si>
    <t>广东明珠</t>
  </si>
  <si>
    <t>600784.SH</t>
  </si>
  <si>
    <t>鲁银投资</t>
  </si>
  <si>
    <t>600538.SH</t>
  </si>
  <si>
    <t>国发股份</t>
  </si>
  <si>
    <t>600626.SH</t>
  </si>
  <si>
    <t>申达股份</t>
  </si>
  <si>
    <t>CI005443.CI</t>
  </si>
  <si>
    <t>印刷指数</t>
  </si>
  <si>
    <t>002229.SZ</t>
  </si>
  <si>
    <t>鸿博股份</t>
  </si>
  <si>
    <t>002117.SZ</t>
  </si>
  <si>
    <t>东港股份</t>
  </si>
  <si>
    <t>001279.SZ</t>
  </si>
  <si>
    <t>强邦新材</t>
  </si>
  <si>
    <t>CI005514.CI</t>
  </si>
  <si>
    <t>其他食品指数</t>
  </si>
  <si>
    <t>600298.SH</t>
  </si>
  <si>
    <t>安琪酵母</t>
  </si>
  <si>
    <t>300146.SZ</t>
  </si>
  <si>
    <t>汤臣倍健</t>
  </si>
  <si>
    <t>002626.SZ</t>
  </si>
  <si>
    <t>金达威</t>
  </si>
  <si>
    <t>002481.SZ</t>
  </si>
  <si>
    <t>双塔食品</t>
  </si>
  <si>
    <t>300858.SZ</t>
  </si>
  <si>
    <t>科拓生物</t>
  </si>
  <si>
    <t>CI005447.CI</t>
  </si>
  <si>
    <t>家具指数</t>
  </si>
  <si>
    <t>603816.SH</t>
  </si>
  <si>
    <t>顾家家居</t>
  </si>
  <si>
    <t>603389.SH</t>
  </si>
  <si>
    <t>*ST亚振</t>
  </si>
  <si>
    <t>603833.SH</t>
  </si>
  <si>
    <t>欧派家居</t>
  </si>
  <si>
    <t>002572.SZ</t>
  </si>
  <si>
    <t>索菲亚</t>
  </si>
  <si>
    <t>603610.SH</t>
  </si>
  <si>
    <t>麒盛科技</t>
  </si>
  <si>
    <t>CI005484.CI</t>
  </si>
  <si>
    <t>综合业态指数</t>
  </si>
  <si>
    <t>000417.SZ</t>
  </si>
  <si>
    <t>合百集团</t>
  </si>
  <si>
    <t>600729.SH</t>
  </si>
  <si>
    <t>重百集团</t>
  </si>
  <si>
    <t>600694.SH</t>
  </si>
  <si>
    <t>大商股份</t>
  </si>
  <si>
    <t>002419.SZ</t>
  </si>
  <si>
    <t>天虹股份</t>
  </si>
  <si>
    <t>601010.SH</t>
  </si>
  <si>
    <t>ST文峰</t>
  </si>
  <si>
    <t>CI005575.CI</t>
  </si>
  <si>
    <t>影视指数</t>
  </si>
  <si>
    <t>300251.SZ</t>
  </si>
  <si>
    <t>光线传媒</t>
  </si>
  <si>
    <t>300182.SZ</t>
  </si>
  <si>
    <t>捷成股份</t>
  </si>
  <si>
    <t>002739.SZ</t>
  </si>
  <si>
    <t>儒意电影</t>
  </si>
  <si>
    <t>300133.SZ</t>
  </si>
  <si>
    <t>华策影视</t>
  </si>
  <si>
    <t>600977.SH</t>
  </si>
  <si>
    <t>中国电影</t>
  </si>
  <si>
    <t>CI005340.CI</t>
  </si>
  <si>
    <t>水产养殖指数</t>
  </si>
  <si>
    <t>300094.SZ</t>
  </si>
  <si>
    <t>国联水产</t>
  </si>
  <si>
    <t>600467.SH</t>
  </si>
  <si>
    <t>好当家</t>
  </si>
  <si>
    <t>002069.SZ</t>
  </si>
  <si>
    <t>獐子岛</t>
  </si>
  <si>
    <t>CI005505.CI</t>
  </si>
  <si>
    <t>厨房电器Ⅲ指数</t>
  </si>
  <si>
    <t>002508.SZ</t>
  </si>
  <si>
    <t>老板电器</t>
  </si>
  <si>
    <t>002035.SZ</t>
  </si>
  <si>
    <t>华帝股份</t>
  </si>
  <si>
    <t>603366.SH</t>
  </si>
  <si>
    <t>日出东方</t>
  </si>
  <si>
    <t>300911.SZ</t>
  </si>
  <si>
    <t>亿田智能</t>
  </si>
  <si>
    <t>300894.SZ</t>
  </si>
  <si>
    <t>火星人</t>
  </si>
  <si>
    <t>CI005304.CI</t>
  </si>
  <si>
    <t>酒店指数</t>
  </si>
  <si>
    <t>600754.SH</t>
  </si>
  <si>
    <t>锦江酒店</t>
  </si>
  <si>
    <t>600258.SH</t>
  </si>
  <si>
    <t>首旅酒店</t>
  </si>
  <si>
    <t>000428.SZ</t>
  </si>
  <si>
    <t>华天酒店</t>
  </si>
  <si>
    <t>601007.SH</t>
  </si>
  <si>
    <t>金陵饭店</t>
  </si>
  <si>
    <t>301073.SZ</t>
  </si>
  <si>
    <t>君亭酒店</t>
  </si>
  <si>
    <t>CI005238.CI</t>
  </si>
  <si>
    <t>涤纶指数</t>
  </si>
  <si>
    <t>002206.SZ</t>
  </si>
  <si>
    <t>海利得</t>
  </si>
  <si>
    <t>000936.SZ</t>
  </si>
  <si>
    <t>华西股份</t>
  </si>
  <si>
    <t>002427.SZ</t>
  </si>
  <si>
    <t>尤夫股份</t>
  </si>
  <si>
    <t>600370.SH</t>
  </si>
  <si>
    <t>*ST三房</t>
  </si>
  <si>
    <t>301057.SZ</t>
  </si>
  <si>
    <t>汇隆新材</t>
  </si>
  <si>
    <t>CI005501.CI</t>
  </si>
  <si>
    <t>人力资源服务指数</t>
  </si>
  <si>
    <t>600861.SH</t>
  </si>
  <si>
    <t>北京人力</t>
  </si>
  <si>
    <t>600662.SH</t>
  </si>
  <si>
    <t>外服控股</t>
  </si>
  <si>
    <t>300662.SZ</t>
  </si>
  <si>
    <t>科锐国际</t>
  </si>
  <si>
    <t>CI005320.CI</t>
  </si>
  <si>
    <t>生物医药Ⅲ指数</t>
  </si>
  <si>
    <t>688235.SH</t>
  </si>
  <si>
    <t>百济神州</t>
  </si>
  <si>
    <t>002252.SZ</t>
  </si>
  <si>
    <t>上海莱士</t>
  </si>
  <si>
    <t>688506.SH</t>
  </si>
  <si>
    <t>百利天恒</t>
  </si>
  <si>
    <t>603087.SH</t>
  </si>
  <si>
    <t>甘李药业</t>
  </si>
  <si>
    <t>300142.SZ</t>
  </si>
  <si>
    <t>沃森生物</t>
  </si>
  <si>
    <t>CI005531.CI</t>
  </si>
  <si>
    <t>多领域控股Ⅲ指数</t>
  </si>
  <si>
    <t>600120.SH</t>
  </si>
  <si>
    <t>浙江东方</t>
  </si>
  <si>
    <t>002423.SZ</t>
  </si>
  <si>
    <t>中粮资本</t>
  </si>
  <si>
    <t>600643.SH</t>
  </si>
  <si>
    <t>爱建集团</t>
  </si>
  <si>
    <t>000567.SZ</t>
  </si>
  <si>
    <t>海德股份</t>
  </si>
  <si>
    <t>600830.SH</t>
  </si>
  <si>
    <t>香溢融通</t>
  </si>
  <si>
    <t>CI005518.CI</t>
  </si>
  <si>
    <t>饲料加工指数</t>
  </si>
  <si>
    <t>002311.SZ</t>
  </si>
  <si>
    <t>海大集团</t>
  </si>
  <si>
    <t>002385.SZ</t>
  </si>
  <si>
    <t>大北农</t>
  </si>
  <si>
    <t>000048.SZ</t>
  </si>
  <si>
    <t>京基智农</t>
  </si>
  <si>
    <t>603668.SH</t>
  </si>
  <si>
    <t>天马科技</t>
  </si>
  <si>
    <t>603609.SH</t>
  </si>
  <si>
    <t>禾丰股份</t>
  </si>
  <si>
    <t>CI005533.CI</t>
  </si>
  <si>
    <t>数字金融服务指数</t>
  </si>
  <si>
    <t>300773.SZ</t>
  </si>
  <si>
    <t>拉卡拉</t>
  </si>
  <si>
    <t>603123.SH</t>
  </si>
  <si>
    <t>翠微股份</t>
  </si>
  <si>
    <t>CI005529.CI</t>
  </si>
  <si>
    <t>物业管理服务指数</t>
  </si>
  <si>
    <t>001914.SZ</t>
  </si>
  <si>
    <t>招商积余</t>
  </si>
  <si>
    <t>300917.SZ</t>
  </si>
  <si>
    <t>特发服务</t>
  </si>
  <si>
    <t>600684.SH</t>
  </si>
  <si>
    <t>珠江股份</t>
  </si>
  <si>
    <t>002188.SZ</t>
  </si>
  <si>
    <t>中天服务</t>
  </si>
  <si>
    <t>002968.SZ</t>
  </si>
  <si>
    <t>新大正</t>
  </si>
  <si>
    <t>CI005355.CI</t>
  </si>
  <si>
    <t>公交指数</t>
  </si>
  <si>
    <t>600611.SH</t>
  </si>
  <si>
    <t>大众交通</t>
  </si>
  <si>
    <t>002357.SZ</t>
  </si>
  <si>
    <t>富临运业</t>
  </si>
  <si>
    <t>603069.SH</t>
  </si>
  <si>
    <t>海汽集团</t>
  </si>
  <si>
    <t>600650.SH</t>
  </si>
  <si>
    <t>锦江在线</t>
  </si>
  <si>
    <t>600834.SH</t>
  </si>
  <si>
    <t>申通地铁</t>
  </si>
  <si>
    <t>CI005476.CI</t>
  </si>
  <si>
    <t>核电指数</t>
  </si>
  <si>
    <t>601985.SH</t>
  </si>
  <si>
    <t>中国核电</t>
  </si>
  <si>
    <t>003816.SZ</t>
  </si>
  <si>
    <t>中国广核</t>
  </si>
  <si>
    <t>CI005430.CI</t>
  </si>
  <si>
    <t>轮胎指数</t>
  </si>
  <si>
    <t>601058.SH</t>
  </si>
  <si>
    <t>赛轮轮胎</t>
  </si>
  <si>
    <t>601966.SH</t>
  </si>
  <si>
    <t>玲珑轮胎</t>
  </si>
  <si>
    <t>000589.SZ</t>
  </si>
  <si>
    <t>贵州轮胎</t>
  </si>
  <si>
    <t>601500.SH</t>
  </si>
  <si>
    <t>通用股份</t>
  </si>
  <si>
    <t>601163.SH</t>
  </si>
  <si>
    <t>三角轮胎</t>
  </si>
  <si>
    <t>CI005333.CI</t>
  </si>
  <si>
    <t>种业指数</t>
  </si>
  <si>
    <t>000998.SZ</t>
  </si>
  <si>
    <t>隆平高科</t>
  </si>
  <si>
    <t>300189.SZ</t>
  </si>
  <si>
    <t>神农种业</t>
  </si>
  <si>
    <t>300087.SZ</t>
  </si>
  <si>
    <t>荃银高科</t>
  </si>
  <si>
    <t>002041.SZ</t>
  </si>
  <si>
    <t>登海种业</t>
  </si>
  <si>
    <t>000713.SZ</t>
  </si>
  <si>
    <t>国投丰乐</t>
  </si>
  <si>
    <t>CI005577.CI</t>
  </si>
  <si>
    <t>游戏指数</t>
  </si>
  <si>
    <t>002602.SZ</t>
  </si>
  <si>
    <t>世纪华通</t>
  </si>
  <si>
    <t>002558.SZ</t>
  </si>
  <si>
    <t>巨人网络</t>
  </si>
  <si>
    <t>002517.SZ</t>
  </si>
  <si>
    <t>恺英网络</t>
  </si>
  <si>
    <t>002555.SZ</t>
  </si>
  <si>
    <t>三七互娱</t>
  </si>
  <si>
    <t>002624.SZ</t>
  </si>
  <si>
    <t>完美世界</t>
  </si>
  <si>
    <t>CI005253.CI</t>
  </si>
  <si>
    <t>民爆用品指数</t>
  </si>
  <si>
    <t>002683.SZ</t>
  </si>
  <si>
    <t>广东宏大</t>
  </si>
  <si>
    <t>002226.SZ</t>
  </si>
  <si>
    <t>江南化工</t>
  </si>
  <si>
    <t>603977.SH</t>
  </si>
  <si>
    <t>国泰集团</t>
  </si>
  <si>
    <t>002096.SZ</t>
  </si>
  <si>
    <t>易普力</t>
  </si>
  <si>
    <t>603227.SH</t>
  </si>
  <si>
    <t>雪峰科技</t>
  </si>
  <si>
    <t>CI005318.CI</t>
  </si>
  <si>
    <t>中药饮片指数</t>
  </si>
  <si>
    <t>600518.SH</t>
  </si>
  <si>
    <t>康美药业</t>
  </si>
  <si>
    <t>603896.SH</t>
  </si>
  <si>
    <t>寿仙谷</t>
  </si>
  <si>
    <t>002907.SZ</t>
  </si>
  <si>
    <t>华森制药</t>
  </si>
  <si>
    <t>002873.SZ</t>
  </si>
  <si>
    <t>新天药业</t>
  </si>
  <si>
    <t>CI005489.CI</t>
  </si>
  <si>
    <t>其他连锁指数</t>
  </si>
  <si>
    <t>301078.SZ</t>
  </si>
  <si>
    <t>孩子王</t>
  </si>
  <si>
    <t>300755.SZ</t>
  </si>
  <si>
    <t>华致酒行</t>
  </si>
  <si>
    <t>603214.SH</t>
  </si>
  <si>
    <t>爱婴室</t>
  </si>
  <si>
    <t>CI005346.CI</t>
  </si>
  <si>
    <t>保险Ⅲ指数</t>
  </si>
  <si>
    <t>601318.SH</t>
  </si>
  <si>
    <t>中国平安</t>
  </si>
  <si>
    <t>601601.SH</t>
  </si>
  <si>
    <t>中国太保</t>
  </si>
  <si>
    <t>601628.SH</t>
  </si>
  <si>
    <t>中国人寿</t>
  </si>
  <si>
    <t>601336.SH</t>
  </si>
  <si>
    <t>新华保险</t>
  </si>
  <si>
    <t>601319.SH</t>
  </si>
  <si>
    <t>中国人保</t>
  </si>
  <si>
    <t>CI005519.CI</t>
  </si>
  <si>
    <t>畜牧养殖指数</t>
  </si>
  <si>
    <t>002714.SZ</t>
  </si>
  <si>
    <t>牧原股份</t>
  </si>
  <si>
    <t>000876.SZ</t>
  </si>
  <si>
    <t>新希望</t>
  </si>
  <si>
    <t>002299.SZ</t>
  </si>
  <si>
    <t>圣农发展</t>
  </si>
  <si>
    <t>300498.SZ</t>
  </si>
  <si>
    <t>温氏股份</t>
  </si>
  <si>
    <t>300761.SZ</t>
  </si>
  <si>
    <t>立华股份</t>
  </si>
  <si>
    <t>CI005291.CI</t>
  </si>
  <si>
    <t>乘用车Ⅲ指数</t>
  </si>
  <si>
    <t>002594.SZ</t>
  </si>
  <si>
    <t>比亚迪</t>
  </si>
  <si>
    <t>601127.SH</t>
  </si>
  <si>
    <t>赛力斯</t>
  </si>
  <si>
    <t>601633.SH</t>
  </si>
  <si>
    <t>长城汽车</t>
  </si>
  <si>
    <t>600104.SH</t>
  </si>
  <si>
    <t>上汽集团</t>
  </si>
  <si>
    <t>000625.SZ</t>
  </si>
  <si>
    <t>长安汽车</t>
  </si>
  <si>
    <t>CI005305.CI</t>
  </si>
  <si>
    <t>餐饮指数</t>
  </si>
  <si>
    <t>000721.SZ</t>
  </si>
  <si>
    <t>西安饮食</t>
  </si>
  <si>
    <t>002186.SZ</t>
  </si>
  <si>
    <t>全聚德</t>
  </si>
  <si>
    <t>002306.SZ</t>
  </si>
  <si>
    <t>ST云网</t>
  </si>
  <si>
    <t>605108.SH</t>
  </si>
  <si>
    <t>同庆楼</t>
  </si>
  <si>
    <t>CI005576.CI</t>
  </si>
  <si>
    <t>动漫指数</t>
  </si>
  <si>
    <t>002292.SZ</t>
  </si>
  <si>
    <t>奥飞娱乐</t>
  </si>
  <si>
    <t>CI005299.CI</t>
  </si>
  <si>
    <t>超市及便利店指数</t>
  </si>
  <si>
    <t>601933.SH</t>
  </si>
  <si>
    <t>永辉超市</t>
  </si>
  <si>
    <t>002251.SZ</t>
  </si>
  <si>
    <t>步步高</t>
  </si>
  <si>
    <t>600827.SH</t>
  </si>
  <si>
    <t>百联股份</t>
  </si>
  <si>
    <t>002697.SZ</t>
  </si>
  <si>
    <t>红旗连锁</t>
  </si>
  <si>
    <t>000759.SZ</t>
  </si>
  <si>
    <t>中百集团</t>
  </si>
  <si>
    <t>CI005494.CI</t>
  </si>
  <si>
    <t>休闲综合指数</t>
  </si>
  <si>
    <t>002627.SZ</t>
  </si>
  <si>
    <t>三峡旅游</t>
  </si>
  <si>
    <t>600358.SH</t>
  </si>
  <si>
    <t>国旅联合</t>
  </si>
  <si>
    <t>002059.SZ</t>
  </si>
  <si>
    <t>云南旅游</t>
  </si>
  <si>
    <t>000610.SZ</t>
  </si>
  <si>
    <t>*ST西旅</t>
  </si>
  <si>
    <t>CI005574.CI</t>
  </si>
  <si>
    <t>其他广告营销指数</t>
  </si>
  <si>
    <t>002027.SZ</t>
  </si>
  <si>
    <t>分众传媒</t>
  </si>
  <si>
    <t>000917.SZ</t>
  </si>
  <si>
    <t>电广传媒</t>
  </si>
  <si>
    <t>300061.SZ</t>
  </si>
  <si>
    <t>旗天科技</t>
  </si>
  <si>
    <t>600228.SH</t>
  </si>
  <si>
    <t>返利科技</t>
  </si>
  <si>
    <t>600826.SH</t>
  </si>
  <si>
    <t>兰生股份</t>
  </si>
  <si>
    <t>CI005567.CI</t>
  </si>
  <si>
    <t>云软件服务指数</t>
  </si>
  <si>
    <t>688111.SH</t>
  </si>
  <si>
    <t>金山办公</t>
  </si>
  <si>
    <t>600588.SH</t>
  </si>
  <si>
    <t>用友网络</t>
  </si>
  <si>
    <t>002410.SZ</t>
  </si>
  <si>
    <t>广联达</t>
  </si>
  <si>
    <t>002153.SZ</t>
  </si>
  <si>
    <t>石基信息</t>
  </si>
  <si>
    <t>CI005359.CI</t>
  </si>
  <si>
    <t>航空指数</t>
  </si>
  <si>
    <t>600221.SH</t>
  </si>
  <si>
    <t>海航控股</t>
  </si>
  <si>
    <t>600115.SH</t>
  </si>
  <si>
    <t>中国东航</t>
  </si>
  <si>
    <t>601111.SH</t>
  </si>
  <si>
    <t>中国国航</t>
  </si>
  <si>
    <t>600029.SH</t>
  </si>
  <si>
    <t>南方航空</t>
  </si>
  <si>
    <t>601021.SH</t>
  </si>
  <si>
    <t>春秋航空</t>
  </si>
  <si>
    <t>CI005581.CI</t>
  </si>
  <si>
    <t>互联网影视音频指数</t>
  </si>
  <si>
    <t>300413.SZ</t>
  </si>
  <si>
    <t>芒果超媒</t>
  </si>
  <si>
    <t>300770.SZ</t>
  </si>
  <si>
    <t>新媒股份</t>
  </si>
  <si>
    <t>600640.SH</t>
  </si>
  <si>
    <t>国脉文化</t>
  </si>
  <si>
    <t>CI005491.CI</t>
  </si>
  <si>
    <t>专业市场经营Ⅲ指数</t>
  </si>
  <si>
    <t>600415.SH</t>
  </si>
  <si>
    <t>小商品城</t>
  </si>
  <si>
    <t>600113.SH</t>
  </si>
  <si>
    <t>浙江东日</t>
  </si>
  <si>
    <t>000785.SZ</t>
  </si>
  <si>
    <t>居然智家</t>
  </si>
  <si>
    <t>601828.SH</t>
  </si>
  <si>
    <t>美凯龙</t>
  </si>
  <si>
    <t>600790.SH</t>
  </si>
  <si>
    <t>轻纺城</t>
  </si>
  <si>
    <t>CI005483.CI</t>
  </si>
  <si>
    <t>百货指数</t>
  </si>
  <si>
    <t>000564.SZ</t>
  </si>
  <si>
    <t>供销大集</t>
  </si>
  <si>
    <t>600859.SH</t>
  </si>
  <si>
    <t>王府井</t>
  </si>
  <si>
    <t>002277.SZ</t>
  </si>
  <si>
    <t>友阿股份</t>
  </si>
  <si>
    <t>600693.SH</t>
  </si>
  <si>
    <t>东百集团</t>
  </si>
  <si>
    <t>000501.SZ</t>
  </si>
  <si>
    <t>武商集团</t>
  </si>
  <si>
    <t>CI005360.CI</t>
  </si>
  <si>
    <t>机场指数</t>
  </si>
  <si>
    <t>600009.SH</t>
  </si>
  <si>
    <t>上海机场</t>
  </si>
  <si>
    <t>600515.SH</t>
  </si>
  <si>
    <t>海南机场</t>
  </si>
  <si>
    <t>600004.SH</t>
  </si>
  <si>
    <t>白云机场</t>
  </si>
  <si>
    <t>000089.SZ</t>
  </si>
  <si>
    <t>深圳机场</t>
  </si>
  <si>
    <t>600897.SH</t>
  </si>
  <si>
    <t>厦门空港</t>
  </si>
  <si>
    <t>CI005467.CI</t>
  </si>
  <si>
    <t>服务机器人指数</t>
  </si>
  <si>
    <t>688169.SH</t>
  </si>
  <si>
    <t>石头科技</t>
  </si>
  <si>
    <t>603486.SH</t>
  </si>
  <si>
    <t>科沃斯</t>
  </si>
  <si>
    <t>CI005499.CI</t>
  </si>
  <si>
    <t>教育信息化及在线教育指数</t>
  </si>
  <si>
    <t>300010.SZ</t>
  </si>
  <si>
    <t>ST豆神</t>
  </si>
  <si>
    <t>300359.SZ</t>
  </si>
  <si>
    <t>全通教育</t>
  </si>
  <si>
    <t>003032.SZ</t>
  </si>
  <si>
    <t>传智教育</t>
  </si>
  <si>
    <t>600636.SH</t>
  </si>
  <si>
    <t>退市国化</t>
  </si>
  <si>
    <t>CI005492.CI</t>
  </si>
  <si>
    <t>旅游服务指数</t>
  </si>
  <si>
    <t>000796.SZ</t>
  </si>
  <si>
    <t>凯撒旅业</t>
  </si>
  <si>
    <t>002707.SZ</t>
  </si>
  <si>
    <t>众信旅游</t>
  </si>
  <si>
    <t>000524.SZ</t>
  </si>
  <si>
    <t>岭南控股</t>
  </si>
  <si>
    <t>CI005523.CI</t>
  </si>
  <si>
    <t>宠物食品指数</t>
  </si>
  <si>
    <t>301498.SZ</t>
  </si>
  <si>
    <t>乖宝宠物</t>
  </si>
  <si>
    <t>002891.SZ</t>
  </si>
  <si>
    <t>中宠股份</t>
  </si>
  <si>
    <t>300673.SZ</t>
  </si>
  <si>
    <t>佩蒂股份</t>
  </si>
  <si>
    <t>CI005520.CI</t>
  </si>
  <si>
    <t>林木及加工指数</t>
  </si>
  <si>
    <t>000592.SZ</t>
  </si>
  <si>
    <t>平潭发展</t>
  </si>
  <si>
    <t>600265.SH</t>
  </si>
  <si>
    <t>*ST景谷</t>
  </si>
  <si>
    <t>002200.SZ</t>
  </si>
  <si>
    <t>交投生态</t>
  </si>
  <si>
    <t>002679.SZ</t>
  </si>
  <si>
    <t>福建金森</t>
  </si>
  <si>
    <t>中信三级行业指数 · 短期热点热力图</t>
  </si>
  <si>
    <t>瓦片按【指数自由流通市值】从大到小、从左上到右下排列(市值大→越靠前越显眼)；颜色按【近一周涨跌幅】红涨绿跌、幅度越大越深。数据随上一页(中信三级行业指数热度)iFinD公式自动刷新。</t>
  </si>
  <si>
    <t>图例(近一周涨跌幅):</t>
  </si>
  <si>
    <t>≤-7%</t>
  </si>
  <si>
    <t>-7~-3%</t>
  </si>
  <si>
    <t>-3~-1%</t>
  </si>
  <si>
    <t>-1~1%</t>
  </si>
  <si>
    <t>1~3%</t>
  </si>
  <si>
    <t>3~7%</t>
  </si>
  <si>
    <t>≥7%</t>
  </si>
  <si>
    <t>短期热点 TOP20（按动量加速度自动排名，随刷新更新）</t>
  </si>
  <si>
    <t>排名</t>
  </si>
  <si>
    <t>近一周(%)</t>
  </si>
  <si>
    <t>近一月(%)</t>
  </si>
  <si>
    <t>YTD(%)</t>
  </si>
  <si>
    <t>短期动量加速度 · 计算逻辑说明</t>
  </si>
  <si>
    <t>目的：在 261 个中信三级行业指数中，刻画“短期资金正在加速追捧”的热点。核心思想——不只看“涨没涨”，更看“近期涨速是否比中期更快”（动量的二阶变化 / 加速度）。</t>
  </si>
  <si>
    <t>一、数据口径</t>
  </si>
  <si>
    <t>• 数据源：同花顺 iFinD Excel 插件函数，全部为活公式，打开并登录 iFinD 后自动刷新。</t>
  </si>
  <si>
    <t>• 价格：指数收盘价 ths_close_price_index（指数无复权问题）。</t>
  </si>
  <si>
    <t>• 基准日：一律截止【前一交易日 T-1】，由原生Excel WORKDAY/TODAY 推算(工作日近似)，跨周末/节假日自动顺延。</t>
  </si>
  <si>
    <t>• 三个回看锚点：T0=前一交易日(≈WORKDAY(今天,-1))、T0-5(近一周)、T0-20(近一月)、上年末(YTD基准)。锚点用原生Excel WORKDAY算,不依赖插件,见‘热度’页右侧 AD:AE。</t>
  </si>
  <si>
    <t>二、三个区间涨跌幅（D/E/F列）</t>
  </si>
  <si>
    <t>用两个交易日的收盘价相除得到区间涨跌幅（避免依赖各版本不一的“区间涨跌幅”字段，自证正确、跨版本通用）：</t>
  </si>
  <si>
    <t>近一周涨跌幅% = (收盘价[T-1] / 收盘价[T-5] - 1) × 100</t>
  </si>
  <si>
    <t>近一月涨跌幅% = (收盘价[T-1] / 收盘价[T-20] - 1) × 100</t>
  </si>
  <si>
    <t>YTD涨幅%     = (收盘价[T-1] / 收盘价[上年末] - 1) × 100</t>
  </si>
  <si>
    <t>对应 iFinD 公式（E列示例，A列为指数代码，$AE$2/$AE$3 为日期锚点）：</t>
  </si>
  <si>
    <t>三、动量加速度（G列）—— 本表核心</t>
  </si>
  <si>
    <t>定义为“近一周日均涨速”减“近一月日均涨速”，即短期相对中期的提速：</t>
  </si>
  <si>
    <t>动量加速度 = 近一周涨幅/5  −  近一月涨幅/20    （单位：% / 交易日）</t>
  </si>
  <si>
    <t>对应公式： =E2/5 - F2/20</t>
  </si>
  <si>
    <t>解读：</t>
  </si>
  <si>
    <t>• 加速度 &gt; 0：近一周的涨速高于近一月平均，动量在【加速】——典型的资金短期追捧、趋势刚启动或正在强化。</t>
  </si>
  <si>
    <t>• 加速度 &lt; 0：近一周涨速低于近一月平均，动量在【减速】——可能见顶钝化或退潮。</t>
  </si>
  <si>
    <t>• 越大越靠前：把 261 个指数按 G 列降序，最靠前的就是“短期加速最猛”的热点（见‘热点热力图’页 TOP20 自动榜单）。</t>
  </si>
  <si>
    <t>为什么用‘速度差’而不是直接看涨幅：同样近一周涨10%，若近一月才涨12%（早已在涨）说明动量在衰减；若近一月仅涨3%说明本周突然提速、资金新进场——加速度能区分这两种，单看涨幅不能。</t>
  </si>
  <si>
    <t>四、为什么是‘简单二阶导’而非回归斜率</t>
  </si>
  <si>
    <t>主流金工（如趋势强度 TS=β×R²、动量改善 momentum acceleration）常用对 log 价格做时序 OLS 回归取斜率、再差分得加速度。本表按需求用“速度差”这一最简形式近似二阶导：</t>
  </si>
  <si>
    <t>• 一阶（速度/动量）：区间涨幅本身 ≈ 一阶导；</t>
  </si>
  <si>
    <t>• 二阶（加速度）：短窗速度 − 长窗速度 = G列，刻画动量的变化方向。</t>
  </si>
  <si>
    <t>优点：透明、可复核、无需历史序列回归，一格 iFinD 公式即可。</t>
  </si>
  <si>
    <t>五、热力图(第2页)说明</t>
  </si>
  <si>
    <t>• 瓦片排列：按【指数自由流通市值】从大到小、左上→右下，市值越大越靠前越显眼（市值估算 = CR1~CR5自由流通市值之和 ÷ CR5合计权重）。</t>
  </si>
  <si>
    <t>• 瓦片颜色：按【近一周涨跌幅】红涨绿跌，幅度越大颜色越深（条件格式分档，图例见该页）。</t>
  </si>
  <si>
    <t>• 即“市值大 或 近一周涨幅大”的行业指数瓦片越醒目；全部随‘热度’页 iFinD 公式自动刷新。</t>
  </si>
  <si>
    <t>六、使用与局限</t>
  </si>
  <si>
    <t>• 刷新：打开文件→登录 iFinD 插件→全部重算(Ctrl+Alt+F9)；日期随当日自动取 T-1。</t>
  </si>
  <si>
    <t>• 窗口：5/20 个交易日为默认，可在 AD:AE 锚点的 offset 参数调整(如改 -10/-60)。</t>
  </si>
  <si>
    <t>• 局限：纯价格动量，短窗(≤5日)易受单日异动放大；建议结合成交额放大、拥挤度(超额换手z分)、资金净流入做共振过滤，避免‘无量上涨/小盘异动’误判为热点。</t>
  </si>
  <si>
    <t>• 若 iFinD 账号有单次取数上限：D/E/F 每格各调用 2 次 thsiFinD（约 1500 次/全表），可改为先用辅助列取 T-1/T-5/T-20/年初收盘各一次再做四则运算以减少调用。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</si>
</sst>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"/>
    <numFmt numFmtId="177" formatCode="0.0"/>
    <numFmt numFmtId="178" formatCode="yyyy\-mm\-dd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rgb="FFFFFFFF"/>
      <name val="宋体"/>
      <charset val="134"/>
    </font>
    <font>
      <b/>
      <sz val="9"/>
      <color rgb="FF666666"/>
      <name val="宋体"/>
      <charset val="134"/>
    </font>
    <font>
      <b/>
      <sz val="15"/>
      <color rgb="FF222222"/>
      <name val="宋体"/>
      <charset val="134"/>
    </font>
    <font>
      <sz val="9"/>
      <color rgb="FF666666"/>
      <name val="宋体"/>
      <charset val="134"/>
    </font>
    <font>
      <sz val="8"/>
      <name val="宋体"/>
      <charset val="134"/>
    </font>
    <font>
      <b/>
      <sz val="9"/>
      <name val="宋体"/>
      <charset val="134"/>
    </font>
    <font>
      <sz val="8"/>
      <color rgb="FFFFFFFF"/>
      <name val="宋体"/>
      <charset val="134"/>
    </font>
    <font>
      <sz val="8"/>
      <color rgb="FF000000"/>
      <name val="宋体"/>
      <charset val="134"/>
    </font>
    <font>
      <b/>
      <sz val="12"/>
      <color rgb="FF222222"/>
      <name val="宋体"/>
      <charset val="134"/>
    </font>
    <font>
      <b/>
      <sz val="15"/>
      <color rgb="FF305496"/>
      <name val="宋体"/>
      <charset val="134"/>
    </font>
    <font>
      <b/>
      <sz val="10"/>
      <color rgb="FF333333"/>
      <name val="宋体"/>
      <charset val="134"/>
    </font>
    <font>
      <b/>
      <sz val="13"/>
      <color rgb="FF305496"/>
      <name val="宋体"/>
      <charset val="134"/>
    </font>
    <font>
      <sz val="10"/>
      <color rgb="FF333333"/>
      <name val="宋体"/>
      <charset val="134"/>
    </font>
    <font>
      <sz val="10"/>
      <color rgb="FF0B5394"/>
      <name val="Consolas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305496"/>
      </patternFill>
    </fill>
    <fill>
      <patternFill patternType="solid">
        <fgColor rgb="FF1B5E20"/>
      </patternFill>
    </fill>
    <fill>
      <patternFill patternType="solid">
        <fgColor rgb="FF388E3C"/>
      </patternFill>
    </fill>
    <fill>
      <patternFill patternType="solid">
        <fgColor rgb="FFA5D6A7"/>
      </patternFill>
    </fill>
    <fill>
      <patternFill patternType="solid">
        <fgColor rgb="FFF5F5F5"/>
      </patternFill>
    </fill>
    <fill>
      <patternFill patternType="solid">
        <fgColor rgb="FFFFCDD2"/>
      </patternFill>
    </fill>
    <fill>
      <patternFill patternType="solid">
        <fgColor rgb="FFEF5350"/>
      </patternFill>
    </fill>
    <fill>
      <patternFill patternType="solid">
        <fgColor rgb="FFB71C1C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4" fillId="0" borderId="0" xfId="0" applyFont="1"/>
    <xf numFmtId="2" fontId="0" fillId="0" borderId="0" xfId="0" applyNumberFormat="1"/>
    <xf numFmtId="176" fontId="0" fillId="0" borderId="0" xfId="0" applyNumberFormat="1"/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177" fontId="0" fillId="0" borderId="0" xfId="0" applyNumberFormat="1"/>
    <xf numFmtId="0" fontId="8" fillId="0" borderId="0" xfId="0" applyFont="1"/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11" fillId="0" borderId="0" xfId="0" applyFont="1"/>
    <xf numFmtId="0" fontId="3" fillId="8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top" wrapText="1"/>
    </xf>
    <xf numFmtId="0" fontId="14" fillId="0" borderId="0" xfId="0" applyFont="1"/>
    <xf numFmtId="0" fontId="15" fillId="0" borderId="0" xfId="0" applyFont="1" applyAlignment="1">
      <alignment vertical="top" wrapText="1"/>
    </xf>
    <xf numFmtId="0" fontId="16" fillId="16" borderId="0" xfId="0" applyFont="1" applyFill="1" applyAlignment="1">
      <alignment vertical="top" wrapText="1"/>
    </xf>
    <xf numFmtId="178" fontId="0" fillId="0" borderId="0" xfId="0" applyNumberFormat="1"/>
    <xf numFmtId="0" fontId="6" fillId="0" borderId="0" xfId="0" applyFont="1" applyAlignment="1">
      <alignment wrapText="1"/>
    </xf>
    <xf numFmtId="0" fontId="0" fillId="0" borderId="0" xfId="0"/>
  </cellXfs>
  <cellStyles count="1">
    <cellStyle name="常规" xfId="0" builtinId="0"/>
  </cellStyles>
  <dxfs count="7">
    <dxf>
      <font>
        <sz val="8"/>
        <color rgb="FFFFFFFF"/>
      </font>
      <fill>
        <patternFill patternType="solid">
          <fgColor rgb="FFB71C1C"/>
        </patternFill>
      </fill>
    </dxf>
    <dxf>
      <font>
        <sz val="8"/>
        <color rgb="FFFFFFFF"/>
      </font>
      <fill>
        <patternFill patternType="solid">
          <fgColor rgb="FFEF5350"/>
        </patternFill>
      </fill>
    </dxf>
    <dxf>
      <font>
        <sz val="8"/>
        <color rgb="FF000000"/>
      </font>
      <fill>
        <patternFill patternType="solid">
          <fgColor rgb="FFFFCDD2"/>
        </patternFill>
      </fill>
    </dxf>
    <dxf>
      <font>
        <sz val="8"/>
        <color rgb="FF000000"/>
      </font>
      <fill>
        <patternFill patternType="solid">
          <fgColor rgb="FFF5F5F5"/>
        </patternFill>
      </fill>
    </dxf>
    <dxf>
      <font>
        <sz val="8"/>
        <color rgb="FF000000"/>
      </font>
      <fill>
        <patternFill patternType="solid">
          <fgColor rgb="FFA5D6A7"/>
        </patternFill>
      </fill>
    </dxf>
    <dxf>
      <font>
        <sz val="8"/>
        <color rgb="FFFFFFFF"/>
      </font>
      <fill>
        <patternFill patternType="solid">
          <fgColor rgb="FF388E3C"/>
        </patternFill>
      </fill>
    </dxf>
    <dxf>
      <font>
        <sz val="8"/>
        <color rgb="FFFFFFFF"/>
      </font>
      <fill>
        <patternFill patternType="solid">
          <fgColor rgb="FF1B5E2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2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F9" sqref="F9"/>
    </sheetView>
  </sheetViews>
  <sheetFormatPr defaultColWidth="8.7265625" defaultRowHeight="16.5" x14ac:dyDescent="0.45"/>
  <cols>
    <col min="1" max="1" width="13" style="1" customWidth="1"/>
    <col min="2" max="2" width="22" style="1" customWidth="1"/>
    <col min="3" max="3" width="14.08984375" style="1" customWidth="1"/>
    <col min="4" max="7" width="14" customWidth="1"/>
    <col min="8" max="8" width="15" style="1" customWidth="1"/>
    <col min="9" max="9" width="11" style="1" customWidth="1"/>
    <col min="10" max="10" width="14" style="1" customWidth="1"/>
    <col min="11" max="11" width="17" style="1" customWidth="1"/>
    <col min="12" max="13" width="11" style="1" customWidth="1"/>
    <col min="14" max="14" width="14" style="1" customWidth="1"/>
    <col min="15" max="15" width="17" style="1" customWidth="1"/>
    <col min="16" max="17" width="11" style="1" customWidth="1"/>
    <col min="18" max="18" width="14" style="1" customWidth="1"/>
    <col min="19" max="19" width="17" style="1" customWidth="1"/>
    <col min="20" max="21" width="11" style="1" customWidth="1"/>
    <col min="22" max="22" width="14" style="1" customWidth="1"/>
    <col min="23" max="23" width="17" style="1" customWidth="1"/>
    <col min="24" max="25" width="11" style="1" customWidth="1"/>
    <col min="26" max="26" width="14" style="1" customWidth="1"/>
    <col min="27" max="27" width="17" style="1" customWidth="1"/>
    <col min="28" max="28" width="11" style="1" customWidth="1"/>
    <col min="29" max="29" width="8.7265625" style="1" customWidth="1"/>
    <col min="30" max="30" width="22" customWidth="1"/>
    <col min="31" max="31" width="14" customWidth="1"/>
    <col min="32" max="16384" width="8.7265625" style="1"/>
  </cols>
  <sheetData>
    <row r="1" spans="1:31" ht="28" x14ac:dyDescent="0.45">
      <c r="A1" s="2" t="s">
        <v>0</v>
      </c>
      <c r="B1" s="2" t="s">
        <v>1</v>
      </c>
      <c r="C1" s="2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D1" s="9" t="s">
        <v>28</v>
      </c>
      <c r="AE1" s="30">
        <f ca="1">TODAY()</f>
        <v>46199</v>
      </c>
    </row>
    <row r="2" spans="1:31" x14ac:dyDescent="0.45">
      <c r="A2" s="1" t="s">
        <v>139</v>
      </c>
      <c r="B2" s="1" t="s">
        <v>140</v>
      </c>
      <c r="C2" s="1">
        <v>29</v>
      </c>
      <c r="D2" s="10">
        <f ca="1">IFERROR(([1]!thsiFinD("ths_close_price_index",$A2,$AE$2,"","")/[1]!thsiFinD("ths_close_price_index",$A2,$AE$5,"","")-1)*100,"")</f>
        <v>118.03562607108464</v>
      </c>
      <c r="E2" s="10">
        <f ca="1">IFERROR(([1]!thsiFinD("ths_close_price_index",$A2,$AE$2,"","")/[1]!thsiFinD("ths_close_price_index",$A2,$AE$3,"","")-1)*100,"")</f>
        <v>12.773946083526821</v>
      </c>
      <c r="F2" s="10">
        <f ca="1">IFERROR(([1]!thsiFinD("ths_close_price_index",$A2,$AE$2,"","")/[1]!thsiFinD("ths_close_price_index",$A2,$AE$4,"","")-1)*100,"")</f>
        <v>30.866908613560472</v>
      </c>
      <c r="G2" s="11">
        <f t="shared" ref="G2:G65" ca="1" si="0">IFERROR(E2/5-F2/20,"")</f>
        <v>1.0114437860273406</v>
      </c>
      <c r="H2" s="1">
        <v>71.44</v>
      </c>
      <c r="I2" s="1" t="s">
        <v>141</v>
      </c>
      <c r="J2" s="1" t="s">
        <v>142</v>
      </c>
      <c r="K2" s="1">
        <v>3209.1729999999998</v>
      </c>
      <c r="L2" s="1">
        <v>24.23</v>
      </c>
      <c r="M2" s="1" t="s">
        <v>143</v>
      </c>
      <c r="N2" s="1" t="s">
        <v>144</v>
      </c>
      <c r="O2" s="1">
        <v>2697.3146999999999</v>
      </c>
      <c r="P2" s="1">
        <v>20.37</v>
      </c>
      <c r="Q2" s="1" t="s">
        <v>145</v>
      </c>
      <c r="R2" s="1" t="s">
        <v>146</v>
      </c>
      <c r="S2" s="1">
        <v>1518.2949000000001</v>
      </c>
      <c r="T2" s="1">
        <v>11.47</v>
      </c>
      <c r="U2" s="1" t="s">
        <v>147</v>
      </c>
      <c r="V2" s="1" t="s">
        <v>148</v>
      </c>
      <c r="W2" s="1">
        <v>1199.3993</v>
      </c>
      <c r="X2" s="1">
        <v>9.06</v>
      </c>
      <c r="Y2" s="1" t="s">
        <v>149</v>
      </c>
      <c r="Z2" s="1" t="s">
        <v>150</v>
      </c>
      <c r="AA2" s="1">
        <v>835.7473</v>
      </c>
      <c r="AB2" s="1">
        <v>6.31</v>
      </c>
      <c r="AD2" s="9" t="s">
        <v>41</v>
      </c>
      <c r="AE2" t="str">
        <f ca="1">TEXT(WORKDAY($AE$1,-1),"yyyy-mm-dd")</f>
        <v>2026-06-25</v>
      </c>
    </row>
    <row r="3" spans="1:31" x14ac:dyDescent="0.45">
      <c r="A3" s="1" t="s">
        <v>253</v>
      </c>
      <c r="B3" s="1" t="s">
        <v>254</v>
      </c>
      <c r="C3" s="1">
        <v>16</v>
      </c>
      <c r="D3" s="10">
        <f ca="1">IFERROR(([1]!thsiFinD("ths_close_price_index",$A3,$AE$2,"","")/[1]!thsiFinD("ths_close_price_index",$A3,$AE$5,"","")-1)*100,"")</f>
        <v>63.771828475046696</v>
      </c>
      <c r="E3" s="10">
        <f ca="1">IFERROR(([1]!thsiFinD("ths_close_price_index",$A3,$AE$2,"","")/[1]!thsiFinD("ths_close_price_index",$A3,$AE$3,"","")-1)*100,"")</f>
        <v>10.726999675720105</v>
      </c>
      <c r="F3" s="10">
        <f ca="1">IFERROR(([1]!thsiFinD("ths_close_price_index",$A3,$AE$2,"","")/[1]!thsiFinD("ths_close_price_index",$A3,$AE$4,"","")-1)*100,"")</f>
        <v>14.042782449083834</v>
      </c>
      <c r="G3" s="11">
        <f t="shared" ca="1" si="0"/>
        <v>1.4432608126898294</v>
      </c>
      <c r="H3" s="1">
        <v>67.2</v>
      </c>
      <c r="I3" s="1" t="s">
        <v>255</v>
      </c>
      <c r="J3" s="1" t="s">
        <v>256</v>
      </c>
      <c r="K3" s="1">
        <v>493.45609999999999</v>
      </c>
      <c r="L3" s="1">
        <v>20.190000000000001</v>
      </c>
      <c r="M3" s="1" t="s">
        <v>257</v>
      </c>
      <c r="N3" s="1" t="s">
        <v>258</v>
      </c>
      <c r="O3" s="1">
        <v>371.78559999999999</v>
      </c>
      <c r="P3" s="1">
        <v>15.21</v>
      </c>
      <c r="Q3" s="1" t="s">
        <v>259</v>
      </c>
      <c r="R3" s="1" t="s">
        <v>260</v>
      </c>
      <c r="S3" s="1">
        <v>356.7835</v>
      </c>
      <c r="T3" s="1">
        <v>14.6</v>
      </c>
      <c r="U3" s="1" t="s">
        <v>261</v>
      </c>
      <c r="V3" s="1" t="s">
        <v>262</v>
      </c>
      <c r="W3" s="1">
        <v>236.6472</v>
      </c>
      <c r="X3" s="1">
        <v>9.68</v>
      </c>
      <c r="Y3" s="1" t="s">
        <v>263</v>
      </c>
      <c r="Z3" s="1" t="s">
        <v>264</v>
      </c>
      <c r="AA3" s="1">
        <v>183.78809999999999</v>
      </c>
      <c r="AB3" s="1">
        <v>7.52</v>
      </c>
      <c r="AD3" s="9" t="s">
        <v>54</v>
      </c>
      <c r="AE3" t="str">
        <f ca="1">TEXT(WORKDAY($AE$1,-6),"yyyy-mm-dd")</f>
        <v>2026-06-18</v>
      </c>
    </row>
    <row r="4" spans="1:31" x14ac:dyDescent="0.45">
      <c r="A4" s="1" t="s">
        <v>163</v>
      </c>
      <c r="B4" s="1" t="s">
        <v>164</v>
      </c>
      <c r="C4" s="1">
        <v>2</v>
      </c>
      <c r="D4" s="10">
        <f ca="1">IFERROR(([1]!thsiFinD("ths_close_price_index",$A4,$AE$2,"","")/[1]!thsiFinD("ths_close_price_index",$A4,$AE$5,"","")-1)*100,"")</f>
        <v>76.226539940842812</v>
      </c>
      <c r="E4" s="10">
        <f ca="1">IFERROR(([1]!thsiFinD("ths_close_price_index",$A4,$AE$2,"","")/[1]!thsiFinD("ths_close_price_index",$A4,$AE$3,"","")-1)*100,"")</f>
        <v>-0.93914612065028047</v>
      </c>
      <c r="F4" s="10">
        <f ca="1">IFERROR(([1]!thsiFinD("ths_close_price_index",$A4,$AE$2,"","")/[1]!thsiFinD("ths_close_price_index",$A4,$AE$4,"","")-1)*100,"")</f>
        <v>30.992530587414556</v>
      </c>
      <c r="G4" s="11">
        <f t="shared" ca="1" si="0"/>
        <v>-1.737455753500784</v>
      </c>
      <c r="H4" s="1">
        <v>100</v>
      </c>
      <c r="I4" s="1" t="s">
        <v>165</v>
      </c>
      <c r="J4" s="1" t="s">
        <v>166</v>
      </c>
      <c r="K4" s="1">
        <v>111.1097</v>
      </c>
      <c r="L4" s="1">
        <v>56.73</v>
      </c>
      <c r="M4" s="1" t="s">
        <v>167</v>
      </c>
      <c r="N4" s="1" t="s">
        <v>168</v>
      </c>
      <c r="O4" s="1">
        <v>84.733199999999997</v>
      </c>
      <c r="P4" s="1">
        <v>43.27</v>
      </c>
      <c r="AD4" s="9" t="s">
        <v>67</v>
      </c>
      <c r="AE4" t="str">
        <f ca="1">TEXT(WORKDAY($AE$1,-21),"yyyy-mm-dd")</f>
        <v>2026-05-28</v>
      </c>
    </row>
    <row r="5" spans="1:31" x14ac:dyDescent="0.45">
      <c r="A5" s="1" t="s">
        <v>205</v>
      </c>
      <c r="B5" s="1" t="s">
        <v>206</v>
      </c>
      <c r="C5" s="1">
        <v>110</v>
      </c>
      <c r="D5" s="10">
        <f ca="1">IFERROR(([1]!thsiFinD("ths_close_price_index",$A5,$AE$2,"","")/[1]!thsiFinD("ths_close_price_index",$A5,$AE$5,"","")-1)*100,"")</f>
        <v>84.306330884507872</v>
      </c>
      <c r="E5" s="10">
        <f ca="1">IFERROR(([1]!thsiFinD("ths_close_price_index",$A5,$AE$2,"","")/[1]!thsiFinD("ths_close_price_index",$A5,$AE$3,"","")-1)*100,"")</f>
        <v>10.902559496400798</v>
      </c>
      <c r="F5" s="10">
        <f ca="1">IFERROR(([1]!thsiFinD("ths_close_price_index",$A5,$AE$2,"","")/[1]!thsiFinD("ths_close_price_index",$A5,$AE$4,"","")-1)*100,"")</f>
        <v>17.487046438032692</v>
      </c>
      <c r="G5" s="11">
        <f t="shared" ca="1" si="0"/>
        <v>1.3061595773785251</v>
      </c>
      <c r="H5" s="1">
        <v>49.59</v>
      </c>
      <c r="I5" s="1" t="s">
        <v>207</v>
      </c>
      <c r="J5" s="1" t="s">
        <v>208</v>
      </c>
      <c r="K5" s="1">
        <v>4468.3271000000004</v>
      </c>
      <c r="L5" s="1">
        <v>12.66</v>
      </c>
      <c r="M5" s="1" t="s">
        <v>209</v>
      </c>
      <c r="N5" s="1" t="s">
        <v>210</v>
      </c>
      <c r="O5" s="1">
        <v>4272.3406000000004</v>
      </c>
      <c r="P5" s="1">
        <v>12.11</v>
      </c>
      <c r="Q5" s="1" t="s">
        <v>211</v>
      </c>
      <c r="R5" s="1" t="s">
        <v>212</v>
      </c>
      <c r="S5" s="1">
        <v>3012.5987</v>
      </c>
      <c r="T5" s="1">
        <v>8.5399999999999991</v>
      </c>
      <c r="U5" s="1" t="s">
        <v>213</v>
      </c>
      <c r="V5" s="1" t="s">
        <v>214</v>
      </c>
      <c r="W5" s="1">
        <v>2939.7339000000002</v>
      </c>
      <c r="X5" s="1">
        <v>8.33</v>
      </c>
      <c r="Y5" s="1" t="s">
        <v>215</v>
      </c>
      <c r="Z5" s="1" t="s">
        <v>216</v>
      </c>
      <c r="AA5" s="1">
        <v>2805.6527999999998</v>
      </c>
      <c r="AB5" s="1">
        <v>7.95</v>
      </c>
      <c r="AD5" s="9" t="s">
        <v>80</v>
      </c>
      <c r="AE5" t="str">
        <f ca="1">TEXT(WORKDAY(DATE(YEAR($AE$1),1,1),-1),"yyyy-mm-dd")</f>
        <v>2025-12-31</v>
      </c>
    </row>
    <row r="6" spans="1:31" x14ac:dyDescent="0.45">
      <c r="A6" s="1" t="s">
        <v>425</v>
      </c>
      <c r="B6" s="1" t="s">
        <v>426</v>
      </c>
      <c r="C6" s="1">
        <v>5</v>
      </c>
      <c r="D6" s="10">
        <f ca="1">IFERROR(([1]!thsiFinD("ths_close_price_index",$A6,$AE$2,"","")/[1]!thsiFinD("ths_close_price_index",$A6,$AE$5,"","")-1)*100,"")</f>
        <v>47.346121718805719</v>
      </c>
      <c r="E6" s="10">
        <f ca="1">IFERROR(([1]!thsiFinD("ths_close_price_index",$A6,$AE$2,"","")/[1]!thsiFinD("ths_close_price_index",$A6,$AE$3,"","")-1)*100,"")</f>
        <v>16.971810380286946</v>
      </c>
      <c r="F6" s="10">
        <f ca="1">IFERROR(([1]!thsiFinD("ths_close_price_index",$A6,$AE$2,"","")/[1]!thsiFinD("ths_close_price_index",$A6,$AE$4,"","")-1)*100,"")</f>
        <v>27.839875851342487</v>
      </c>
      <c r="G6" s="11">
        <f t="shared" ca="1" si="0"/>
        <v>2.0023682834902647</v>
      </c>
      <c r="H6" s="1">
        <v>100</v>
      </c>
      <c r="I6" s="1" t="s">
        <v>427</v>
      </c>
      <c r="J6" s="1" t="s">
        <v>428</v>
      </c>
      <c r="K6" s="1">
        <v>165.22540000000001</v>
      </c>
      <c r="L6" s="1">
        <v>57.1</v>
      </c>
      <c r="M6" s="1" t="s">
        <v>429</v>
      </c>
      <c r="N6" s="1" t="s">
        <v>430</v>
      </c>
      <c r="O6" s="1">
        <v>53.535800000000002</v>
      </c>
      <c r="P6" s="1">
        <v>18.5</v>
      </c>
      <c r="Q6" s="1" t="s">
        <v>431</v>
      </c>
      <c r="R6" s="1" t="s">
        <v>432</v>
      </c>
      <c r="S6" s="1">
        <v>37.2273</v>
      </c>
      <c r="T6" s="1">
        <v>12.87</v>
      </c>
      <c r="U6" s="1" t="s">
        <v>433</v>
      </c>
      <c r="V6" s="1" t="s">
        <v>434</v>
      </c>
      <c r="W6" s="1">
        <v>21.005600000000001</v>
      </c>
      <c r="X6" s="1">
        <v>7.26</v>
      </c>
      <c r="Y6" s="1" t="s">
        <v>435</v>
      </c>
      <c r="Z6" s="1" t="s">
        <v>436</v>
      </c>
      <c r="AA6" s="1">
        <v>12.3687</v>
      </c>
      <c r="AB6" s="1">
        <v>4.2699999999999996</v>
      </c>
    </row>
    <row r="7" spans="1:31" x14ac:dyDescent="0.45">
      <c r="A7" s="1" t="s">
        <v>277</v>
      </c>
      <c r="B7" s="1" t="s">
        <v>278</v>
      </c>
      <c r="C7" s="1">
        <v>8</v>
      </c>
      <c r="D7" s="10">
        <f ca="1">IFERROR(([1]!thsiFinD("ths_close_price_index",$A7,$AE$2,"","")/[1]!thsiFinD("ths_close_price_index",$A7,$AE$5,"","")-1)*100,"")</f>
        <v>39.333336286620145</v>
      </c>
      <c r="E7" s="10">
        <f ca="1">IFERROR(([1]!thsiFinD("ths_close_price_index",$A7,$AE$2,"","")/[1]!thsiFinD("ths_close_price_index",$A7,$AE$3,"","")-1)*100,"")</f>
        <v>-4.0003811844349428</v>
      </c>
      <c r="F7" s="10">
        <f ca="1">IFERROR(([1]!thsiFinD("ths_close_price_index",$A7,$AE$2,"","")/[1]!thsiFinD("ths_close_price_index",$A7,$AE$4,"","")-1)*100,"")</f>
        <v>-14.814469103813167</v>
      </c>
      <c r="G7" s="11">
        <f t="shared" ca="1" si="0"/>
        <v>-5.9352781696330292E-2</v>
      </c>
      <c r="H7" s="1">
        <v>93.99</v>
      </c>
      <c r="I7" s="1" t="s">
        <v>279</v>
      </c>
      <c r="J7" s="1" t="s">
        <v>280</v>
      </c>
      <c r="K7" s="1">
        <v>1525.8844999999999</v>
      </c>
      <c r="L7" s="1">
        <v>75.12</v>
      </c>
      <c r="M7" s="1" t="s">
        <v>281</v>
      </c>
      <c r="N7" s="1" t="s">
        <v>282</v>
      </c>
      <c r="O7" s="1">
        <v>140.38120000000001</v>
      </c>
      <c r="P7" s="1">
        <v>6.91</v>
      </c>
      <c r="Q7" s="1" t="s">
        <v>283</v>
      </c>
      <c r="R7" s="1" t="s">
        <v>284</v>
      </c>
      <c r="S7" s="1">
        <v>124.83969999999999</v>
      </c>
      <c r="T7" s="1">
        <v>6.15</v>
      </c>
      <c r="U7" s="1" t="s">
        <v>285</v>
      </c>
      <c r="V7" s="1" t="s">
        <v>286</v>
      </c>
      <c r="W7" s="1">
        <v>66.047300000000007</v>
      </c>
      <c r="X7" s="1">
        <v>3.25</v>
      </c>
      <c r="Y7" s="1" t="s">
        <v>287</v>
      </c>
      <c r="Z7" s="1" t="s">
        <v>288</v>
      </c>
      <c r="AA7" s="1">
        <v>52.054499999999997</v>
      </c>
      <c r="AB7" s="1">
        <v>2.56</v>
      </c>
    </row>
    <row r="8" spans="1:31" x14ac:dyDescent="0.45">
      <c r="A8" s="1" t="s">
        <v>1261</v>
      </c>
      <c r="B8" s="1" t="s">
        <v>1262</v>
      </c>
      <c r="C8" s="1">
        <v>47</v>
      </c>
      <c r="D8" s="10">
        <f ca="1">IFERROR(([1]!thsiFinD("ths_close_price_index",$A8,$AE$2,"","")/[1]!thsiFinD("ths_close_price_index",$A8,$AE$5,"","")-1)*100,"")</f>
        <v>4.0206398825403111</v>
      </c>
      <c r="E8" s="10">
        <f ca="1">IFERROR(([1]!thsiFinD("ths_close_price_index",$A8,$AE$2,"","")/[1]!thsiFinD("ths_close_price_index",$A8,$AE$3,"","")-1)*100,"")</f>
        <v>8.0227066951536372</v>
      </c>
      <c r="F8" s="10">
        <f ca="1">IFERROR(([1]!thsiFinD("ths_close_price_index",$A8,$AE$2,"","")/[1]!thsiFinD("ths_close_price_index",$A8,$AE$4,"","")-1)*100,"")</f>
        <v>5.0132767416420032</v>
      </c>
      <c r="G8" s="11">
        <f t="shared" ca="1" si="0"/>
        <v>1.3538775019486273</v>
      </c>
      <c r="H8" s="1">
        <v>67.5</v>
      </c>
      <c r="I8" s="1" t="s">
        <v>1263</v>
      </c>
      <c r="J8" s="1" t="s">
        <v>1264</v>
      </c>
      <c r="K8" s="1">
        <v>2293.7091999999998</v>
      </c>
      <c r="L8" s="1">
        <v>45.98</v>
      </c>
      <c r="M8" s="1" t="s">
        <v>1265</v>
      </c>
      <c r="N8" s="1" t="s">
        <v>1266</v>
      </c>
      <c r="O8" s="1">
        <v>363.22550000000001</v>
      </c>
      <c r="P8" s="1">
        <v>7.28</v>
      </c>
      <c r="Q8" s="1" t="s">
        <v>1267</v>
      </c>
      <c r="R8" s="1" t="s">
        <v>1268</v>
      </c>
      <c r="S8" s="1">
        <v>254.69710000000001</v>
      </c>
      <c r="T8" s="1">
        <v>5.1100000000000003</v>
      </c>
      <c r="U8" s="1" t="s">
        <v>1269</v>
      </c>
      <c r="V8" s="1" t="s">
        <v>1270</v>
      </c>
      <c r="W8" s="1">
        <v>245.5889</v>
      </c>
      <c r="X8" s="1">
        <v>4.92</v>
      </c>
      <c r="Y8" s="1" t="s">
        <v>1271</v>
      </c>
      <c r="Z8" s="1" t="s">
        <v>1272</v>
      </c>
      <c r="AA8" s="1">
        <v>209.9511</v>
      </c>
      <c r="AB8" s="1">
        <v>4.21</v>
      </c>
    </row>
    <row r="9" spans="1:31" x14ac:dyDescent="0.45">
      <c r="A9" s="1" t="s">
        <v>193</v>
      </c>
      <c r="B9" s="1" t="s">
        <v>194</v>
      </c>
      <c r="C9" s="1">
        <v>28</v>
      </c>
      <c r="D9" s="10">
        <f ca="1">IFERROR(([1]!thsiFinD("ths_close_price_index",$A9,$AE$2,"","")/[1]!thsiFinD("ths_close_price_index",$A9,$AE$5,"","")-1)*100,"")</f>
        <v>78.945038797056412</v>
      </c>
      <c r="E9" s="10">
        <f ca="1">IFERROR(([1]!thsiFinD("ths_close_price_index",$A9,$AE$2,"","")/[1]!thsiFinD("ths_close_price_index",$A9,$AE$3,"","")-1)*100,"")</f>
        <v>4.5272634954407032</v>
      </c>
      <c r="F9" s="10">
        <f ca="1">IFERROR(([1]!thsiFinD("ths_close_price_index",$A9,$AE$2,"","")/[1]!thsiFinD("ths_close_price_index",$A9,$AE$4,"","")-1)*100,"")</f>
        <v>8.1582127647950031</v>
      </c>
      <c r="G9" s="11">
        <f t="shared" ca="1" si="0"/>
        <v>0.49754206084839048</v>
      </c>
      <c r="H9" s="1">
        <v>58.15</v>
      </c>
      <c r="I9" s="1" t="s">
        <v>195</v>
      </c>
      <c r="J9" s="1" t="s">
        <v>196</v>
      </c>
      <c r="K9" s="1">
        <v>274.09559999999999</v>
      </c>
      <c r="L9" s="1">
        <v>15.21</v>
      </c>
      <c r="M9" s="1" t="s">
        <v>197</v>
      </c>
      <c r="N9" s="1" t="s">
        <v>198</v>
      </c>
      <c r="O9" s="1">
        <v>259.30090000000001</v>
      </c>
      <c r="P9" s="1">
        <v>14.39</v>
      </c>
      <c r="Q9" s="1" t="s">
        <v>199</v>
      </c>
      <c r="R9" s="1" t="s">
        <v>200</v>
      </c>
      <c r="S9" s="1">
        <v>230.0351</v>
      </c>
      <c r="T9" s="1">
        <v>12.77</v>
      </c>
      <c r="U9" s="1" t="s">
        <v>201</v>
      </c>
      <c r="V9" s="1" t="s">
        <v>202</v>
      </c>
      <c r="W9" s="1">
        <v>175.69059999999999</v>
      </c>
      <c r="X9" s="1">
        <v>9.75</v>
      </c>
      <c r="Y9" s="1" t="s">
        <v>203</v>
      </c>
      <c r="Z9" s="1" t="s">
        <v>204</v>
      </c>
      <c r="AA9" s="1">
        <v>108.57040000000001</v>
      </c>
      <c r="AB9" s="1">
        <v>6.03</v>
      </c>
    </row>
    <row r="10" spans="1:31" x14ac:dyDescent="0.45">
      <c r="A10" s="1" t="s">
        <v>449</v>
      </c>
      <c r="B10" s="1" t="s">
        <v>450</v>
      </c>
      <c r="C10" s="1">
        <v>9</v>
      </c>
      <c r="D10" s="10">
        <f ca="1">IFERROR(([1]!thsiFinD("ths_close_price_index",$A10,$AE$2,"","")/[1]!thsiFinD("ths_close_price_index",$A10,$AE$5,"","")-1)*100,"")</f>
        <v>37.507649674133802</v>
      </c>
      <c r="E10" s="10">
        <f ca="1">IFERROR(([1]!thsiFinD("ths_close_price_index",$A10,$AE$2,"","")/[1]!thsiFinD("ths_close_price_index",$A10,$AE$3,"","")-1)*100,"")</f>
        <v>10.996869605728543</v>
      </c>
      <c r="F10" s="10">
        <f ca="1">IFERROR(([1]!thsiFinD("ths_close_price_index",$A10,$AE$2,"","")/[1]!thsiFinD("ths_close_price_index",$A10,$AE$4,"","")-1)*100,"")</f>
        <v>13.220679365545163</v>
      </c>
      <c r="G10" s="11">
        <f t="shared" ca="1" si="0"/>
        <v>1.5383399528684505</v>
      </c>
      <c r="H10" s="1">
        <v>100</v>
      </c>
      <c r="I10" s="1" t="s">
        <v>451</v>
      </c>
      <c r="J10" s="1" t="s">
        <v>452</v>
      </c>
      <c r="K10" s="1">
        <v>273.76420000000002</v>
      </c>
      <c r="L10" s="1">
        <v>43.69</v>
      </c>
      <c r="M10" s="1" t="s">
        <v>453</v>
      </c>
      <c r="N10" s="1" t="s">
        <v>454</v>
      </c>
      <c r="O10" s="1">
        <v>178.92660000000001</v>
      </c>
      <c r="P10" s="1">
        <v>28.55</v>
      </c>
      <c r="Q10" s="1" t="s">
        <v>455</v>
      </c>
      <c r="R10" s="1" t="s">
        <v>456</v>
      </c>
      <c r="S10" s="1">
        <v>88.1494</v>
      </c>
      <c r="T10" s="1">
        <v>14.07</v>
      </c>
      <c r="U10" s="1" t="s">
        <v>457</v>
      </c>
      <c r="V10" s="1" t="s">
        <v>458</v>
      </c>
      <c r="W10" s="1">
        <v>53.3992</v>
      </c>
      <c r="X10" s="1">
        <v>8.52</v>
      </c>
      <c r="Y10" s="1" t="s">
        <v>459</v>
      </c>
      <c r="Z10" s="1" t="s">
        <v>460</v>
      </c>
      <c r="AA10" s="1">
        <v>32.410299999999999</v>
      </c>
      <c r="AB10" s="1">
        <v>5.17</v>
      </c>
    </row>
    <row r="11" spans="1:31" x14ac:dyDescent="0.45">
      <c r="A11" s="1" t="s">
        <v>735</v>
      </c>
      <c r="B11" s="1" t="s">
        <v>736</v>
      </c>
      <c r="C11" s="1">
        <v>17</v>
      </c>
      <c r="D11" s="10">
        <f ca="1">IFERROR(([1]!thsiFinD("ths_close_price_index",$A11,$AE$2,"","")/[1]!thsiFinD("ths_close_price_index",$A11,$AE$5,"","")-1)*100,"")</f>
        <v>20.034214122160311</v>
      </c>
      <c r="E11" s="10">
        <f ca="1">IFERROR(([1]!thsiFinD("ths_close_price_index",$A11,$AE$2,"","")/[1]!thsiFinD("ths_close_price_index",$A11,$AE$3,"","")-1)*100,"")</f>
        <v>6.9384061413963138</v>
      </c>
      <c r="F11" s="10">
        <f ca="1">IFERROR(([1]!thsiFinD("ths_close_price_index",$A11,$AE$2,"","")/[1]!thsiFinD("ths_close_price_index",$A11,$AE$4,"","")-1)*100,"")</f>
        <v>5.3765929833758719</v>
      </c>
      <c r="G11" s="11">
        <f t="shared" ca="1" si="0"/>
        <v>1.1188515791104692</v>
      </c>
      <c r="H11" s="1">
        <v>82.06</v>
      </c>
      <c r="I11" s="1" t="s">
        <v>737</v>
      </c>
      <c r="J11" s="1" t="s">
        <v>738</v>
      </c>
      <c r="K11" s="1">
        <v>724.78909999999996</v>
      </c>
      <c r="L11" s="1">
        <v>33.24</v>
      </c>
      <c r="M11" s="1" t="s">
        <v>739</v>
      </c>
      <c r="N11" s="1" t="s">
        <v>740</v>
      </c>
      <c r="O11" s="1">
        <v>494.21929999999998</v>
      </c>
      <c r="P11" s="1">
        <v>22.67</v>
      </c>
      <c r="Q11" s="1" t="s">
        <v>741</v>
      </c>
      <c r="R11" s="1" t="s">
        <v>742</v>
      </c>
      <c r="S11" s="1">
        <v>329.41910000000001</v>
      </c>
      <c r="T11" s="1">
        <v>15.11</v>
      </c>
      <c r="U11" s="1" t="s">
        <v>743</v>
      </c>
      <c r="V11" s="1" t="s">
        <v>744</v>
      </c>
      <c r="W11" s="1">
        <v>147.75890000000001</v>
      </c>
      <c r="X11" s="1">
        <v>6.78</v>
      </c>
      <c r="Y11" s="1" t="s">
        <v>745</v>
      </c>
      <c r="Z11" s="1" t="s">
        <v>746</v>
      </c>
      <c r="AA11" s="1">
        <v>92.825800000000001</v>
      </c>
      <c r="AB11" s="1">
        <v>4.26</v>
      </c>
    </row>
    <row r="12" spans="1:31" x14ac:dyDescent="0.45">
      <c r="A12" s="1" t="s">
        <v>365</v>
      </c>
      <c r="B12" s="1" t="s">
        <v>366</v>
      </c>
      <c r="C12" s="1">
        <v>12</v>
      </c>
      <c r="D12" s="10">
        <f ca="1">IFERROR(([1]!thsiFinD("ths_close_price_index",$A12,$AE$2,"","")/[1]!thsiFinD("ths_close_price_index",$A12,$AE$5,"","")-1)*100,"")</f>
        <v>50.277386506674993</v>
      </c>
      <c r="E12" s="10">
        <f ca="1">IFERROR(([1]!thsiFinD("ths_close_price_index",$A12,$AE$2,"","")/[1]!thsiFinD("ths_close_price_index",$A12,$AE$3,"","")-1)*100,"")</f>
        <v>11.871478250120425</v>
      </c>
      <c r="F12" s="10">
        <f ca="1">IFERROR(([1]!thsiFinD("ths_close_price_index",$A12,$AE$2,"","")/[1]!thsiFinD("ths_close_price_index",$A12,$AE$4,"","")-1)*100,"")</f>
        <v>25.642215433338379</v>
      </c>
      <c r="G12" s="11">
        <f t="shared" ca="1" si="0"/>
        <v>1.0921848783571664</v>
      </c>
      <c r="H12" s="1">
        <v>95.92</v>
      </c>
      <c r="I12" s="1" t="s">
        <v>367</v>
      </c>
      <c r="J12" s="1" t="s">
        <v>368</v>
      </c>
      <c r="K12" s="1">
        <v>2150.3834999999999</v>
      </c>
      <c r="L12" s="1">
        <v>59.43</v>
      </c>
      <c r="M12" s="1" t="s">
        <v>369</v>
      </c>
      <c r="N12" s="1" t="s">
        <v>370</v>
      </c>
      <c r="O12" s="1">
        <v>925.15560000000005</v>
      </c>
      <c r="P12" s="1">
        <v>25.57</v>
      </c>
      <c r="Q12" s="1" t="s">
        <v>371</v>
      </c>
      <c r="R12" s="1" t="s">
        <v>372</v>
      </c>
      <c r="S12" s="1">
        <v>164.15559999999999</v>
      </c>
      <c r="T12" s="1">
        <v>4.54</v>
      </c>
      <c r="U12" s="1" t="s">
        <v>373</v>
      </c>
      <c r="V12" s="1" t="s">
        <v>374</v>
      </c>
      <c r="W12" s="1">
        <v>126.8056</v>
      </c>
      <c r="X12" s="1">
        <v>3.5</v>
      </c>
      <c r="Y12" s="1" t="s">
        <v>375</v>
      </c>
      <c r="Z12" s="1" t="s">
        <v>376</v>
      </c>
      <c r="AA12" s="1">
        <v>104.1695</v>
      </c>
      <c r="AB12" s="1">
        <v>2.88</v>
      </c>
    </row>
    <row r="13" spans="1:31" x14ac:dyDescent="0.45">
      <c r="A13" s="1" t="s">
        <v>641</v>
      </c>
      <c r="B13" s="1" t="s">
        <v>642</v>
      </c>
      <c r="C13" s="1">
        <v>14</v>
      </c>
      <c r="D13" s="10">
        <f ca="1">IFERROR(([1]!thsiFinD("ths_close_price_index",$A13,$AE$2,"","")/[1]!thsiFinD("ths_close_price_index",$A13,$AE$5,"","")-1)*100,"")</f>
        <v>25.606663584526721</v>
      </c>
      <c r="E13" s="10">
        <f ca="1">IFERROR(([1]!thsiFinD("ths_close_price_index",$A13,$AE$2,"","")/[1]!thsiFinD("ths_close_price_index",$A13,$AE$3,"","")-1)*100,"")</f>
        <v>9.5575775267515937</v>
      </c>
      <c r="F13" s="10">
        <f ca="1">IFERROR(([1]!thsiFinD("ths_close_price_index",$A13,$AE$2,"","")/[1]!thsiFinD("ths_close_price_index",$A13,$AE$4,"","")-1)*100,"")</f>
        <v>9.3877472480765611</v>
      </c>
      <c r="G13" s="11">
        <f t="shared" ca="1" si="0"/>
        <v>1.4421281429464907</v>
      </c>
      <c r="H13" s="1">
        <v>75.260000000000005</v>
      </c>
      <c r="I13" s="1" t="s">
        <v>643</v>
      </c>
      <c r="J13" s="1" t="s">
        <v>644</v>
      </c>
      <c r="K13" s="1">
        <v>294.01620000000003</v>
      </c>
      <c r="L13" s="1">
        <v>44.85</v>
      </c>
      <c r="M13" s="1" t="s">
        <v>645</v>
      </c>
      <c r="N13" s="1" t="s">
        <v>646</v>
      </c>
      <c r="O13" s="1">
        <v>69.407899999999998</v>
      </c>
      <c r="P13" s="1">
        <v>10.59</v>
      </c>
      <c r="Q13" s="1" t="s">
        <v>647</v>
      </c>
      <c r="R13" s="1" t="s">
        <v>648</v>
      </c>
      <c r="S13" s="1">
        <v>50.468400000000003</v>
      </c>
      <c r="T13" s="1">
        <v>7.7</v>
      </c>
      <c r="U13" s="1" t="s">
        <v>649</v>
      </c>
      <c r="V13" s="1" t="s">
        <v>650</v>
      </c>
      <c r="W13" s="1">
        <v>42.664499999999997</v>
      </c>
      <c r="X13" s="1">
        <v>6.51</v>
      </c>
      <c r="Y13" s="1" t="s">
        <v>651</v>
      </c>
      <c r="Z13" s="1" t="s">
        <v>652</v>
      </c>
      <c r="AA13" s="1">
        <v>36.781700000000001</v>
      </c>
      <c r="AB13" s="1">
        <v>5.61</v>
      </c>
    </row>
    <row r="14" spans="1:31" x14ac:dyDescent="0.45">
      <c r="A14" s="1" t="s">
        <v>1177</v>
      </c>
      <c r="B14" s="1" t="s">
        <v>1178</v>
      </c>
      <c r="C14" s="1">
        <v>59</v>
      </c>
      <c r="D14" s="10">
        <f ca="1">IFERROR(([1]!thsiFinD("ths_close_price_index",$A14,$AE$2,"","")/[1]!thsiFinD("ths_close_price_index",$A14,$AE$5,"","")-1)*100,"")</f>
        <v>2.0109929168450558</v>
      </c>
      <c r="E14" s="10">
        <f ca="1">IFERROR(([1]!thsiFinD("ths_close_price_index",$A14,$AE$2,"","")/[1]!thsiFinD("ths_close_price_index",$A14,$AE$3,"","")-1)*100,"")</f>
        <v>4.6023343105175973</v>
      </c>
      <c r="F14" s="10">
        <f ca="1">IFERROR(([1]!thsiFinD("ths_close_price_index",$A14,$AE$2,"","")/[1]!thsiFinD("ths_close_price_index",$A14,$AE$4,"","")-1)*100,"")</f>
        <v>0.34022749144348996</v>
      </c>
      <c r="G14" s="11">
        <f t="shared" ca="1" si="0"/>
        <v>0.90345548753134497</v>
      </c>
      <c r="H14" s="1">
        <v>92.03</v>
      </c>
      <c r="I14" s="1" t="s">
        <v>1179</v>
      </c>
      <c r="J14" s="1" t="s">
        <v>1180</v>
      </c>
      <c r="K14" s="1">
        <v>123.93</v>
      </c>
      <c r="L14" s="1">
        <v>32.89</v>
      </c>
      <c r="M14" s="1" t="s">
        <v>1181</v>
      </c>
      <c r="N14" s="1" t="s">
        <v>1182</v>
      </c>
      <c r="O14" s="1">
        <v>89.028800000000004</v>
      </c>
      <c r="P14" s="1">
        <v>23.63</v>
      </c>
      <c r="Q14" s="1" t="s">
        <v>1183</v>
      </c>
      <c r="R14" s="1" t="s">
        <v>1184</v>
      </c>
      <c r="S14" s="1">
        <v>82.626999999999995</v>
      </c>
      <c r="T14" s="1">
        <v>21.93</v>
      </c>
      <c r="U14" s="1" t="s">
        <v>1185</v>
      </c>
      <c r="V14" s="1" t="s">
        <v>1186</v>
      </c>
      <c r="W14" s="1">
        <v>31.1282</v>
      </c>
      <c r="X14" s="1">
        <v>8.26</v>
      </c>
      <c r="Y14" s="1" t="s">
        <v>1187</v>
      </c>
      <c r="Z14" s="1" t="s">
        <v>1188</v>
      </c>
      <c r="AA14" s="1">
        <v>20.058900000000001</v>
      </c>
      <c r="AB14" s="1">
        <v>5.32</v>
      </c>
    </row>
    <row r="15" spans="1:31" x14ac:dyDescent="0.45">
      <c r="A15" s="1" t="s">
        <v>1331</v>
      </c>
      <c r="B15" s="1" t="s">
        <v>1332</v>
      </c>
      <c r="C15" s="1">
        <v>14</v>
      </c>
      <c r="D15" s="10">
        <f ca="1">IFERROR(([1]!thsiFinD("ths_close_price_index",$A15,$AE$2,"","")/[1]!thsiFinD("ths_close_price_index",$A15,$AE$5,"","")-1)*100,"")</f>
        <v>-6.1889528421324114</v>
      </c>
      <c r="E15" s="10">
        <f ca="1">IFERROR(([1]!thsiFinD("ths_close_price_index",$A15,$AE$2,"","")/[1]!thsiFinD("ths_close_price_index",$A15,$AE$3,"","")-1)*100,"")</f>
        <v>-1.8536245949340002</v>
      </c>
      <c r="F15" s="10">
        <f ca="1">IFERROR(([1]!thsiFinD("ths_close_price_index",$A15,$AE$2,"","")/[1]!thsiFinD("ths_close_price_index",$A15,$AE$4,"","")-1)*100,"")</f>
        <v>-3.2375157458827575</v>
      </c>
      <c r="G15" s="11">
        <f t="shared" ca="1" si="0"/>
        <v>-0.20884913169266217</v>
      </c>
      <c r="H15" s="1">
        <v>71.760000000000005</v>
      </c>
      <c r="I15" s="1" t="s">
        <v>1333</v>
      </c>
      <c r="J15" s="1" t="s">
        <v>1334</v>
      </c>
      <c r="K15" s="1">
        <v>146.483</v>
      </c>
      <c r="L15" s="1">
        <v>24.1</v>
      </c>
      <c r="M15" s="1" t="s">
        <v>1335</v>
      </c>
      <c r="N15" s="1" t="s">
        <v>1336</v>
      </c>
      <c r="O15" s="1">
        <v>111.3349</v>
      </c>
      <c r="P15" s="1">
        <v>18.32</v>
      </c>
      <c r="Q15" s="1" t="s">
        <v>1337</v>
      </c>
      <c r="R15" s="1" t="s">
        <v>1338</v>
      </c>
      <c r="S15" s="1">
        <v>61.503399999999999</v>
      </c>
      <c r="T15" s="1">
        <v>10.119999999999999</v>
      </c>
      <c r="U15" s="1" t="s">
        <v>1339</v>
      </c>
      <c r="V15" s="1" t="s">
        <v>1340</v>
      </c>
      <c r="W15" s="1">
        <v>59.901899999999998</v>
      </c>
      <c r="X15" s="1">
        <v>9.86</v>
      </c>
      <c r="Y15" s="1" t="s">
        <v>1341</v>
      </c>
      <c r="Z15" s="1" t="s">
        <v>1342</v>
      </c>
      <c r="AA15" s="1">
        <v>56.889099999999999</v>
      </c>
      <c r="AB15" s="1">
        <v>9.36</v>
      </c>
    </row>
    <row r="16" spans="1:31" x14ac:dyDescent="0.45">
      <c r="A16" s="1" t="s">
        <v>389</v>
      </c>
      <c r="B16" s="1" t="s">
        <v>390</v>
      </c>
      <c r="C16" s="1">
        <v>13</v>
      </c>
      <c r="D16" s="10">
        <f ca="1">IFERROR(([1]!thsiFinD("ths_close_price_index",$A16,$AE$2,"","")/[1]!thsiFinD("ths_close_price_index",$A16,$AE$5,"","")-1)*100,"")</f>
        <v>41.763779240130795</v>
      </c>
      <c r="E16" s="10">
        <f ca="1">IFERROR(([1]!thsiFinD("ths_close_price_index",$A16,$AE$2,"","")/[1]!thsiFinD("ths_close_price_index",$A16,$AE$3,"","")-1)*100,"")</f>
        <v>6.7269617574265306</v>
      </c>
      <c r="F16" s="10">
        <f ca="1">IFERROR(([1]!thsiFinD("ths_close_price_index",$A16,$AE$2,"","")/[1]!thsiFinD("ths_close_price_index",$A16,$AE$4,"","")-1)*100,"")</f>
        <v>10.414379544915398</v>
      </c>
      <c r="G16" s="11">
        <f t="shared" ca="1" si="0"/>
        <v>0.82467337423953624</v>
      </c>
      <c r="H16" s="1">
        <v>69.09</v>
      </c>
      <c r="I16" s="1" t="s">
        <v>391</v>
      </c>
      <c r="J16" s="1" t="s">
        <v>392</v>
      </c>
      <c r="K16" s="1">
        <v>173.6464</v>
      </c>
      <c r="L16" s="1">
        <v>34.869999999999997</v>
      </c>
      <c r="M16" s="1" t="s">
        <v>393</v>
      </c>
      <c r="N16" s="1" t="s">
        <v>394</v>
      </c>
      <c r="O16" s="1">
        <v>72.588200000000001</v>
      </c>
      <c r="P16" s="1">
        <v>14.58</v>
      </c>
      <c r="Q16" s="1" t="s">
        <v>395</v>
      </c>
      <c r="R16" s="1" t="s">
        <v>396</v>
      </c>
      <c r="S16" s="1">
        <v>36.232399999999998</v>
      </c>
      <c r="T16" s="1">
        <v>7.28</v>
      </c>
      <c r="U16" s="1" t="s">
        <v>397</v>
      </c>
      <c r="V16" s="1" t="s">
        <v>398</v>
      </c>
      <c r="W16" s="1">
        <v>31.795999999999999</v>
      </c>
      <c r="X16" s="1">
        <v>6.38</v>
      </c>
      <c r="Y16" s="1" t="s">
        <v>399</v>
      </c>
      <c r="Z16" s="1" t="s">
        <v>400</v>
      </c>
      <c r="AA16" s="1">
        <v>29.804200000000002</v>
      </c>
      <c r="AB16" s="1">
        <v>5.98</v>
      </c>
    </row>
    <row r="17" spans="1:28" x14ac:dyDescent="0.45">
      <c r="A17" s="1" t="s">
        <v>2201</v>
      </c>
      <c r="B17" s="1" t="s">
        <v>2202</v>
      </c>
      <c r="C17" s="1">
        <v>9</v>
      </c>
      <c r="D17" s="10">
        <f ca="1">IFERROR(([1]!thsiFinD("ths_close_price_index",$A17,$AE$2,"","")/[1]!thsiFinD("ths_close_price_index",$A17,$AE$5,"","")-1)*100,"")</f>
        <v>-13.107594939790824</v>
      </c>
      <c r="E17" s="10">
        <f ca="1">IFERROR(([1]!thsiFinD("ths_close_price_index",$A17,$AE$2,"","")/[1]!thsiFinD("ths_close_price_index",$A17,$AE$3,"","")-1)*100,"")</f>
        <v>2.2547549010261347</v>
      </c>
      <c r="F17" s="10">
        <f ca="1">IFERROR(([1]!thsiFinD("ths_close_price_index",$A17,$AE$2,"","")/[1]!thsiFinD("ths_close_price_index",$A17,$AE$4,"","")-1)*100,"")</f>
        <v>-2.2380650558933568</v>
      </c>
      <c r="G17" s="11">
        <f t="shared" ca="1" si="0"/>
        <v>0.56285423299989479</v>
      </c>
      <c r="H17" s="1">
        <v>78.13</v>
      </c>
      <c r="I17" s="1" t="s">
        <v>2203</v>
      </c>
      <c r="J17" s="1" t="s">
        <v>2204</v>
      </c>
      <c r="K17" s="1">
        <v>64.506</v>
      </c>
      <c r="L17" s="1">
        <v>24.46</v>
      </c>
      <c r="M17" s="1" t="s">
        <v>2205</v>
      </c>
      <c r="N17" s="1" t="s">
        <v>2206</v>
      </c>
      <c r="O17" s="1">
        <v>47.673200000000001</v>
      </c>
      <c r="P17" s="1">
        <v>18.079999999999998</v>
      </c>
      <c r="Q17" s="1" t="s">
        <v>2207</v>
      </c>
      <c r="R17" s="1" t="s">
        <v>2208</v>
      </c>
      <c r="S17" s="1">
        <v>42.118499999999997</v>
      </c>
      <c r="T17" s="1">
        <v>15.97</v>
      </c>
      <c r="U17" s="1" t="s">
        <v>2209</v>
      </c>
      <c r="V17" s="1" t="s">
        <v>2210</v>
      </c>
      <c r="W17" s="1">
        <v>25.9815</v>
      </c>
      <c r="X17" s="1">
        <v>9.85</v>
      </c>
      <c r="Y17" s="1" t="s">
        <v>2211</v>
      </c>
      <c r="Z17" s="1" t="s">
        <v>2212</v>
      </c>
      <c r="AA17" s="1">
        <v>25.771599999999999</v>
      </c>
      <c r="AB17" s="1">
        <v>9.77</v>
      </c>
    </row>
    <row r="18" spans="1:28" x14ac:dyDescent="0.45">
      <c r="A18" s="1" t="s">
        <v>1643</v>
      </c>
      <c r="B18" s="1" t="s">
        <v>1644</v>
      </c>
      <c r="C18" s="1">
        <v>8</v>
      </c>
      <c r="D18" s="10">
        <f ca="1">IFERROR(([1]!thsiFinD("ths_close_price_index",$A18,$AE$2,"","")/[1]!thsiFinD("ths_close_price_index",$A18,$AE$5,"","")-1)*100,"")</f>
        <v>-2.869626713313489</v>
      </c>
      <c r="E18" s="10">
        <f ca="1">IFERROR(([1]!thsiFinD("ths_close_price_index",$A18,$AE$2,"","")/[1]!thsiFinD("ths_close_price_index",$A18,$AE$3,"","")-1)*100,"")</f>
        <v>6.3281788490610058</v>
      </c>
      <c r="F18" s="10">
        <f ca="1">IFERROR(([1]!thsiFinD("ths_close_price_index",$A18,$AE$2,"","")/[1]!thsiFinD("ths_close_price_index",$A18,$AE$4,"","")-1)*100,"")</f>
        <v>-0.26822225978924141</v>
      </c>
      <c r="G18" s="11">
        <f t="shared" ca="1" si="0"/>
        <v>1.2790468828016632</v>
      </c>
      <c r="H18" s="1">
        <v>97.64</v>
      </c>
      <c r="I18" s="1" t="s">
        <v>1645</v>
      </c>
      <c r="J18" s="1" t="s">
        <v>1646</v>
      </c>
      <c r="K18" s="1">
        <v>1352.6456000000001</v>
      </c>
      <c r="L18" s="1">
        <v>90.44</v>
      </c>
      <c r="M18" s="1" t="s">
        <v>1647</v>
      </c>
      <c r="N18" s="1" t="s">
        <v>1648</v>
      </c>
      <c r="O18" s="1">
        <v>34.485100000000003</v>
      </c>
      <c r="P18" s="1">
        <v>2.31</v>
      </c>
      <c r="Q18" s="1" t="s">
        <v>1649</v>
      </c>
      <c r="R18" s="1" t="s">
        <v>1650</v>
      </c>
      <c r="S18" s="1">
        <v>29.382300000000001</v>
      </c>
      <c r="T18" s="1">
        <v>1.96</v>
      </c>
      <c r="U18" s="1" t="s">
        <v>1651</v>
      </c>
      <c r="V18" s="1" t="s">
        <v>1652</v>
      </c>
      <c r="W18" s="1">
        <v>22.998699999999999</v>
      </c>
      <c r="X18" s="1">
        <v>1.54</v>
      </c>
      <c r="Y18" s="1" t="s">
        <v>1653</v>
      </c>
      <c r="Z18" s="1" t="s">
        <v>1654</v>
      </c>
      <c r="AA18" s="1">
        <v>20.752700000000001</v>
      </c>
      <c r="AB18" s="1">
        <v>1.39</v>
      </c>
    </row>
    <row r="19" spans="1:28" x14ac:dyDescent="0.45">
      <c r="A19" s="1" t="s">
        <v>2105</v>
      </c>
      <c r="B19" s="1" t="s">
        <v>2106</v>
      </c>
      <c r="C19" s="1">
        <v>6</v>
      </c>
      <c r="D19" s="10">
        <f ca="1">IFERROR(([1]!thsiFinD("ths_close_price_index",$A19,$AE$2,"","")/[1]!thsiFinD("ths_close_price_index",$A19,$AE$5,"","")-1)*100,"")</f>
        <v>-6.0961378172560305</v>
      </c>
      <c r="E19" s="10">
        <f ca="1">IFERROR(([1]!thsiFinD("ths_close_price_index",$A19,$AE$2,"","")/[1]!thsiFinD("ths_close_price_index",$A19,$AE$3,"","")-1)*100,"")</f>
        <v>9.5045086987806791</v>
      </c>
      <c r="F19" s="10">
        <f ca="1">IFERROR(([1]!thsiFinD("ths_close_price_index",$A19,$AE$2,"","")/[1]!thsiFinD("ths_close_price_index",$A19,$AE$4,"","")-1)*100,"")</f>
        <v>12.813783886125796</v>
      </c>
      <c r="G19" s="11">
        <f t="shared" ca="1" si="0"/>
        <v>1.2602125454498461</v>
      </c>
      <c r="H19" s="1">
        <v>96.83</v>
      </c>
      <c r="I19" s="1" t="s">
        <v>2107</v>
      </c>
      <c r="J19" s="1" t="s">
        <v>2108</v>
      </c>
      <c r="K19" s="1">
        <v>255.53460000000001</v>
      </c>
      <c r="L19" s="1">
        <v>56.18</v>
      </c>
      <c r="M19" s="1" t="s">
        <v>2109</v>
      </c>
      <c r="N19" s="1" t="s">
        <v>2110</v>
      </c>
      <c r="O19" s="1">
        <v>113.8801</v>
      </c>
      <c r="P19" s="1">
        <v>25.04</v>
      </c>
      <c r="Q19" s="1" t="s">
        <v>2111</v>
      </c>
      <c r="R19" s="1" t="s">
        <v>2112</v>
      </c>
      <c r="S19" s="1">
        <v>27.5991</v>
      </c>
      <c r="T19" s="1">
        <v>6.07</v>
      </c>
      <c r="U19" s="1" t="s">
        <v>2113</v>
      </c>
      <c r="V19" s="1" t="s">
        <v>2114</v>
      </c>
      <c r="W19" s="1">
        <v>22.2621</v>
      </c>
      <c r="X19" s="1">
        <v>4.8899999999999997</v>
      </c>
      <c r="Y19" s="1" t="s">
        <v>2115</v>
      </c>
      <c r="Z19" s="1" t="s">
        <v>2116</v>
      </c>
      <c r="AA19" s="1">
        <v>21.157900000000001</v>
      </c>
      <c r="AB19" s="1">
        <v>4.6500000000000004</v>
      </c>
    </row>
    <row r="20" spans="1:28" x14ac:dyDescent="0.45">
      <c r="A20" s="1" t="s">
        <v>521</v>
      </c>
      <c r="B20" s="1" t="s">
        <v>522</v>
      </c>
      <c r="C20" s="1">
        <v>15</v>
      </c>
      <c r="D20" s="10">
        <f ca="1">IFERROR(([1]!thsiFinD("ths_close_price_index",$A20,$AE$2,"","")/[1]!thsiFinD("ths_close_price_index",$A20,$AE$5,"","")-1)*100,"")</f>
        <v>26.799538221086049</v>
      </c>
      <c r="E20" s="10">
        <f ca="1">IFERROR(([1]!thsiFinD("ths_close_price_index",$A20,$AE$2,"","")/[1]!thsiFinD("ths_close_price_index",$A20,$AE$3,"","")-1)*100,"")</f>
        <v>4.7657774167856104</v>
      </c>
      <c r="F20" s="10">
        <f ca="1">IFERROR(([1]!thsiFinD("ths_close_price_index",$A20,$AE$2,"","")/[1]!thsiFinD("ths_close_price_index",$A20,$AE$4,"","")-1)*100,"")</f>
        <v>9.8864149435465833</v>
      </c>
      <c r="G20" s="11">
        <f t="shared" ca="1" si="0"/>
        <v>0.45883473617979292</v>
      </c>
      <c r="H20" s="1">
        <v>68.56</v>
      </c>
      <c r="I20" s="1" t="s">
        <v>523</v>
      </c>
      <c r="J20" s="1" t="s">
        <v>524</v>
      </c>
      <c r="K20" s="1">
        <v>194.28809999999999</v>
      </c>
      <c r="L20" s="1">
        <v>45.41</v>
      </c>
      <c r="M20" s="1" t="s">
        <v>525</v>
      </c>
      <c r="N20" s="1" t="s">
        <v>526</v>
      </c>
      <c r="O20" s="1">
        <v>26.004300000000001</v>
      </c>
      <c r="P20" s="1">
        <v>6.08</v>
      </c>
      <c r="Q20" s="1" t="s">
        <v>527</v>
      </c>
      <c r="R20" s="1" t="s">
        <v>528</v>
      </c>
      <c r="S20" s="1">
        <v>25.042899999999999</v>
      </c>
      <c r="T20" s="1">
        <v>5.85</v>
      </c>
      <c r="U20" s="1" t="s">
        <v>529</v>
      </c>
      <c r="V20" s="1" t="s">
        <v>530</v>
      </c>
      <c r="W20" s="1">
        <v>24.404800000000002</v>
      </c>
      <c r="X20" s="1">
        <v>5.7</v>
      </c>
      <c r="Y20" s="1" t="s">
        <v>531</v>
      </c>
      <c r="Z20" s="1" t="s">
        <v>532</v>
      </c>
      <c r="AA20" s="1">
        <v>23.608799999999999</v>
      </c>
      <c r="AB20" s="1">
        <v>5.52</v>
      </c>
    </row>
    <row r="21" spans="1:28" x14ac:dyDescent="0.45">
      <c r="A21" s="1" t="s">
        <v>485</v>
      </c>
      <c r="B21" s="1" t="s">
        <v>486</v>
      </c>
      <c r="C21" s="1">
        <v>8</v>
      </c>
      <c r="D21" s="10">
        <f ca="1">IFERROR(([1]!thsiFinD("ths_close_price_index",$A21,$AE$2,"","")/[1]!thsiFinD("ths_close_price_index",$A21,$AE$5,"","")-1)*100,"")</f>
        <v>22.325001713366156</v>
      </c>
      <c r="E21" s="10">
        <f ca="1">IFERROR(([1]!thsiFinD("ths_close_price_index",$A21,$AE$2,"","")/[1]!thsiFinD("ths_close_price_index",$A21,$AE$3,"","")-1)*100,"")</f>
        <v>-0.58729820752686512</v>
      </c>
      <c r="F21" s="10">
        <f ca="1">IFERROR(([1]!thsiFinD("ths_close_price_index",$A21,$AE$2,"","")/[1]!thsiFinD("ths_close_price_index",$A21,$AE$4,"","")-1)*100,"")</f>
        <v>-6.7710735445980159</v>
      </c>
      <c r="G21" s="11">
        <f t="shared" ca="1" si="0"/>
        <v>0.22109403572452779</v>
      </c>
      <c r="H21" s="1">
        <v>75.239999999999995</v>
      </c>
      <c r="I21" s="1" t="s">
        <v>487</v>
      </c>
      <c r="J21" s="1" t="s">
        <v>488</v>
      </c>
      <c r="K21" s="1">
        <v>71.273600000000002</v>
      </c>
      <c r="L21" s="1">
        <v>29.91</v>
      </c>
      <c r="M21" s="1" t="s">
        <v>489</v>
      </c>
      <c r="N21" s="1" t="s">
        <v>490</v>
      </c>
      <c r="O21" s="1">
        <v>31.5686</v>
      </c>
      <c r="P21" s="1">
        <v>13.25</v>
      </c>
      <c r="Q21" s="1" t="s">
        <v>491</v>
      </c>
      <c r="R21" s="1" t="s">
        <v>492</v>
      </c>
      <c r="S21" s="1">
        <v>27.913799999999998</v>
      </c>
      <c r="T21" s="1">
        <v>11.71</v>
      </c>
      <c r="U21" s="1" t="s">
        <v>493</v>
      </c>
      <c r="V21" s="1" t="s">
        <v>494</v>
      </c>
      <c r="W21" s="1">
        <v>26.410299999999999</v>
      </c>
      <c r="X21" s="1">
        <v>11.08</v>
      </c>
      <c r="Y21" s="1" t="s">
        <v>495</v>
      </c>
      <c r="Z21" s="1" t="s">
        <v>496</v>
      </c>
      <c r="AA21" s="1">
        <v>22.133199999999999</v>
      </c>
      <c r="AB21" s="1">
        <v>9.2899999999999991</v>
      </c>
    </row>
    <row r="22" spans="1:28" x14ac:dyDescent="0.45">
      <c r="A22" s="1" t="s">
        <v>1815</v>
      </c>
      <c r="B22" s="1" t="s">
        <v>1816</v>
      </c>
      <c r="C22" s="1">
        <v>31</v>
      </c>
      <c r="D22" s="10">
        <f ca="1">IFERROR(([1]!thsiFinD("ths_close_price_index",$A22,$AE$2,"","")/[1]!thsiFinD("ths_close_price_index",$A22,$AE$5,"","")-1)*100,"")</f>
        <v>-9.7150557397807091</v>
      </c>
      <c r="E22" s="10">
        <f ca="1">IFERROR(([1]!thsiFinD("ths_close_price_index",$A22,$AE$2,"","")/[1]!thsiFinD("ths_close_price_index",$A22,$AE$3,"","")-1)*100,"")</f>
        <v>1.1078919485321803</v>
      </c>
      <c r="F22" s="10">
        <f ca="1">IFERROR(([1]!thsiFinD("ths_close_price_index",$A22,$AE$2,"","")/[1]!thsiFinD("ths_close_price_index",$A22,$AE$4,"","")-1)*100,"")</f>
        <v>-4.8393365390090644</v>
      </c>
      <c r="G22" s="11">
        <f t="shared" ca="1" si="0"/>
        <v>0.4635452166568893</v>
      </c>
      <c r="H22" s="1">
        <v>36.479999999999997</v>
      </c>
      <c r="I22" s="1" t="s">
        <v>1817</v>
      </c>
      <c r="J22" s="1" t="s">
        <v>1818</v>
      </c>
      <c r="K22" s="1">
        <v>64.553100000000001</v>
      </c>
      <c r="L22" s="1">
        <v>8.6</v>
      </c>
      <c r="M22" s="1" t="s">
        <v>1819</v>
      </c>
      <c r="N22" s="1" t="s">
        <v>1820</v>
      </c>
      <c r="O22" s="1">
        <v>63.954900000000002</v>
      </c>
      <c r="P22" s="1">
        <v>8.52</v>
      </c>
      <c r="Q22" s="1" t="s">
        <v>1821</v>
      </c>
      <c r="R22" s="1" t="s">
        <v>1822</v>
      </c>
      <c r="S22" s="1">
        <v>62.636800000000001</v>
      </c>
      <c r="T22" s="1">
        <v>8.34</v>
      </c>
      <c r="U22" s="1" t="s">
        <v>1823</v>
      </c>
      <c r="V22" s="1" t="s">
        <v>1824</v>
      </c>
      <c r="W22" s="1">
        <v>42.4925</v>
      </c>
      <c r="X22" s="1">
        <v>5.66</v>
      </c>
      <c r="Y22" s="1" t="s">
        <v>1825</v>
      </c>
      <c r="Z22" s="1" t="s">
        <v>1826</v>
      </c>
      <c r="AA22" s="1">
        <v>40.261800000000001</v>
      </c>
      <c r="AB22" s="1">
        <v>5.36</v>
      </c>
    </row>
    <row r="23" spans="1:28" x14ac:dyDescent="0.45">
      <c r="A23" s="1" t="s">
        <v>2693</v>
      </c>
      <c r="B23" s="1" t="s">
        <v>2694</v>
      </c>
      <c r="C23" s="1">
        <v>84</v>
      </c>
      <c r="D23" s="10">
        <f ca="1">IFERROR(([1]!thsiFinD("ths_close_price_index",$A23,$AE$2,"","")/[1]!thsiFinD("ths_close_price_index",$A23,$AE$5,"","")-1)*100,"")</f>
        <v>-21.025632070604573</v>
      </c>
      <c r="E23" s="10">
        <f ca="1">IFERROR(([1]!thsiFinD("ths_close_price_index",$A23,$AE$2,"","")/[1]!thsiFinD("ths_close_price_index",$A23,$AE$3,"","")-1)*100,"")</f>
        <v>1.6050566947975797</v>
      </c>
      <c r="F23" s="10">
        <f ca="1">IFERROR(([1]!thsiFinD("ths_close_price_index",$A23,$AE$2,"","")/[1]!thsiFinD("ths_close_price_index",$A23,$AE$4,"","")-1)*100,"")</f>
        <v>-7.1241690359215015</v>
      </c>
      <c r="G23" s="11">
        <f t="shared" ca="1" si="0"/>
        <v>0.67721979075559102</v>
      </c>
      <c r="H23" s="1">
        <v>25.36</v>
      </c>
      <c r="I23" s="1" t="s">
        <v>2695</v>
      </c>
      <c r="J23" s="1" t="s">
        <v>2696</v>
      </c>
      <c r="K23" s="1">
        <v>263.23489999999998</v>
      </c>
      <c r="L23" s="1">
        <v>6.25</v>
      </c>
      <c r="M23" s="1" t="s">
        <v>2697</v>
      </c>
      <c r="N23" s="1" t="s">
        <v>2698</v>
      </c>
      <c r="O23" s="1">
        <v>210.8348</v>
      </c>
      <c r="P23" s="1">
        <v>5.01</v>
      </c>
      <c r="Q23" s="1" t="s">
        <v>2699</v>
      </c>
      <c r="R23" s="1" t="s">
        <v>2700</v>
      </c>
      <c r="S23" s="1">
        <v>203.3973</v>
      </c>
      <c r="T23" s="1">
        <v>4.83</v>
      </c>
      <c r="U23" s="1" t="s">
        <v>2701</v>
      </c>
      <c r="V23" s="1" t="s">
        <v>2702</v>
      </c>
      <c r="W23" s="1">
        <v>197.11619999999999</v>
      </c>
      <c r="X23" s="1">
        <v>4.68</v>
      </c>
      <c r="Y23" s="1" t="s">
        <v>2703</v>
      </c>
      <c r="Z23" s="1" t="s">
        <v>2704</v>
      </c>
      <c r="AA23" s="1">
        <v>193.1902</v>
      </c>
      <c r="AB23" s="1">
        <v>4.59</v>
      </c>
    </row>
    <row r="24" spans="1:28" x14ac:dyDescent="0.45">
      <c r="A24" s="1" t="s">
        <v>2729</v>
      </c>
      <c r="B24" s="1" t="s">
        <v>2730</v>
      </c>
      <c r="C24" s="1">
        <v>2</v>
      </c>
      <c r="D24" s="10">
        <f ca="1">IFERROR(([1]!thsiFinD("ths_close_price_index",$A24,$AE$2,"","")/[1]!thsiFinD("ths_close_price_index",$A24,$AE$5,"","")-1)*100,"")</f>
        <v>-25.834412058909461</v>
      </c>
      <c r="E24" s="10">
        <f ca="1">IFERROR(([1]!thsiFinD("ths_close_price_index",$A24,$AE$2,"","")/[1]!thsiFinD("ths_close_price_index",$A24,$AE$3,"","")-1)*100,"")</f>
        <v>-3.4811007033495489</v>
      </c>
      <c r="F24" s="10">
        <f ca="1">IFERROR(([1]!thsiFinD("ths_close_price_index",$A24,$AE$2,"","")/[1]!thsiFinD("ths_close_price_index",$A24,$AE$4,"","")-1)*100,"")</f>
        <v>-9.4524060422039433</v>
      </c>
      <c r="G24" s="11">
        <f t="shared" ca="1" si="0"/>
        <v>-0.2235998385597126</v>
      </c>
      <c r="H24" s="1">
        <v>100</v>
      </c>
      <c r="I24" s="1" t="s">
        <v>2731</v>
      </c>
      <c r="J24" s="1" t="s">
        <v>2732</v>
      </c>
      <c r="K24" s="1">
        <v>134.17529999999999</v>
      </c>
      <c r="L24" s="1">
        <v>81.66</v>
      </c>
      <c r="M24" s="1" t="s">
        <v>2733</v>
      </c>
      <c r="N24" s="1" t="s">
        <v>2734</v>
      </c>
      <c r="O24" s="1">
        <v>30.14</v>
      </c>
      <c r="P24" s="1">
        <v>18.34</v>
      </c>
    </row>
    <row r="25" spans="1:28" x14ac:dyDescent="0.45">
      <c r="A25" s="1" t="s">
        <v>1575</v>
      </c>
      <c r="B25" s="1" t="s">
        <v>1576</v>
      </c>
      <c r="C25" s="1">
        <v>12</v>
      </c>
      <c r="D25" s="10">
        <f ca="1">IFERROR(([1]!thsiFinD("ths_close_price_index",$A25,$AE$2,"","")/[1]!thsiFinD("ths_close_price_index",$A25,$AE$5,"","")-1)*100,"")</f>
        <v>-10.656910393034247</v>
      </c>
      <c r="E25" s="10">
        <f ca="1">IFERROR(([1]!thsiFinD("ths_close_price_index",$A25,$AE$2,"","")/[1]!thsiFinD("ths_close_price_index",$A25,$AE$3,"","")-1)*100,"")</f>
        <v>-3.0996064420018898</v>
      </c>
      <c r="F25" s="10">
        <f ca="1">IFERROR(([1]!thsiFinD("ths_close_price_index",$A25,$AE$2,"","")/[1]!thsiFinD("ths_close_price_index",$A25,$AE$4,"","")-1)*100,"")</f>
        <v>-6.1801029166307693</v>
      </c>
      <c r="G25" s="11">
        <f t="shared" ca="1" si="0"/>
        <v>-0.31091614256883948</v>
      </c>
      <c r="H25" s="1">
        <v>64.650000000000006</v>
      </c>
      <c r="I25" s="1" t="s">
        <v>1577</v>
      </c>
      <c r="J25" s="1" t="s">
        <v>1578</v>
      </c>
      <c r="K25" s="1">
        <v>70.845699999999994</v>
      </c>
      <c r="L25" s="1">
        <v>25.14</v>
      </c>
      <c r="M25" s="1" t="s">
        <v>1579</v>
      </c>
      <c r="N25" s="1" t="s">
        <v>1580</v>
      </c>
      <c r="O25" s="1">
        <v>33.262999999999998</v>
      </c>
      <c r="P25" s="1">
        <v>11.81</v>
      </c>
      <c r="Q25" s="1" t="s">
        <v>1581</v>
      </c>
      <c r="R25" s="1" t="s">
        <v>1582</v>
      </c>
      <c r="S25" s="1">
        <v>30.2195</v>
      </c>
      <c r="T25" s="1">
        <v>10.73</v>
      </c>
      <c r="U25" s="1" t="s">
        <v>1583</v>
      </c>
      <c r="V25" s="1" t="s">
        <v>1584</v>
      </c>
      <c r="W25" s="1">
        <v>25.038499999999999</v>
      </c>
      <c r="X25" s="1">
        <v>8.89</v>
      </c>
      <c r="Y25" s="1" t="s">
        <v>1585</v>
      </c>
      <c r="Z25" s="1" t="s">
        <v>1586</v>
      </c>
      <c r="AA25" s="1">
        <v>22.7622</v>
      </c>
      <c r="AB25" s="1">
        <v>8.08</v>
      </c>
    </row>
    <row r="26" spans="1:28" x14ac:dyDescent="0.45">
      <c r="A26" s="1" t="s">
        <v>2747</v>
      </c>
      <c r="B26" s="1" t="s">
        <v>2748</v>
      </c>
      <c r="C26" s="1">
        <v>6</v>
      </c>
      <c r="D26" s="10">
        <f ca="1">IFERROR(([1]!thsiFinD("ths_close_price_index",$A26,$AE$2,"","")/[1]!thsiFinD("ths_close_price_index",$A26,$AE$5,"","")-1)*100,"")</f>
        <v>-28.600450549739509</v>
      </c>
      <c r="E26" s="10">
        <f ca="1">IFERROR(([1]!thsiFinD("ths_close_price_index",$A26,$AE$2,"","")/[1]!thsiFinD("ths_close_price_index",$A26,$AE$3,"","")-1)*100,"")</f>
        <v>-5.9225529922806714</v>
      </c>
      <c r="F26" s="10">
        <f ca="1">IFERROR(([1]!thsiFinD("ths_close_price_index",$A26,$AE$2,"","")/[1]!thsiFinD("ths_close_price_index",$A26,$AE$4,"","")-1)*100,"")</f>
        <v>-16.696198980230758</v>
      </c>
      <c r="G26" s="11">
        <f t="shared" ca="1" si="0"/>
        <v>-0.34970064944459645</v>
      </c>
      <c r="H26" s="1">
        <v>92.67</v>
      </c>
      <c r="I26" s="1" t="s">
        <v>2749</v>
      </c>
      <c r="J26" s="1" t="s">
        <v>2750</v>
      </c>
      <c r="K26" s="1">
        <v>46.5486</v>
      </c>
      <c r="L26" s="1">
        <v>36.71</v>
      </c>
      <c r="M26" s="1" t="s">
        <v>2751</v>
      </c>
      <c r="N26" s="1" t="s">
        <v>2752</v>
      </c>
      <c r="O26" s="1">
        <v>21.622900000000001</v>
      </c>
      <c r="P26" s="1">
        <v>17.05</v>
      </c>
      <c r="Q26" s="1" t="s">
        <v>2753</v>
      </c>
      <c r="R26" s="1" t="s">
        <v>2754</v>
      </c>
      <c r="S26" s="1">
        <v>18.003</v>
      </c>
      <c r="T26" s="1">
        <v>14.2</v>
      </c>
      <c r="U26" s="1" t="s">
        <v>2755</v>
      </c>
      <c r="V26" s="1" t="s">
        <v>2756</v>
      </c>
      <c r="W26" s="1">
        <v>17.537400000000002</v>
      </c>
      <c r="X26" s="1">
        <v>13.83</v>
      </c>
      <c r="Y26" s="1" t="s">
        <v>2757</v>
      </c>
      <c r="Z26" s="1" t="s">
        <v>2758</v>
      </c>
      <c r="AA26" s="1">
        <v>13.791399999999999</v>
      </c>
      <c r="AB26" s="1">
        <v>10.88</v>
      </c>
    </row>
    <row r="27" spans="1:28" x14ac:dyDescent="0.45">
      <c r="A27" s="1" t="s">
        <v>557</v>
      </c>
      <c r="B27" s="1" t="s">
        <v>558</v>
      </c>
      <c r="C27" s="1">
        <v>13</v>
      </c>
      <c r="D27" s="10">
        <f ca="1">IFERROR(([1]!thsiFinD("ths_close_price_index",$A27,$AE$2,"","")/[1]!thsiFinD("ths_close_price_index",$A27,$AE$5,"","")-1)*100,"")</f>
        <v>15.027811725460749</v>
      </c>
      <c r="E27" s="10">
        <f ca="1">IFERROR(([1]!thsiFinD("ths_close_price_index",$A27,$AE$2,"","")/[1]!thsiFinD("ths_close_price_index",$A27,$AE$3,"","")-1)*100,"")</f>
        <v>-3.239642669583509</v>
      </c>
      <c r="F27" s="10">
        <f ca="1">IFERROR(([1]!thsiFinD("ths_close_price_index",$A27,$AE$2,"","")/[1]!thsiFinD("ths_close_price_index",$A27,$AE$4,"","")-1)*100,"")</f>
        <v>-9.243193814997186</v>
      </c>
      <c r="G27" s="11">
        <f t="shared" ca="1" si="0"/>
        <v>-0.1857688431668425</v>
      </c>
      <c r="H27" s="1">
        <v>68.14</v>
      </c>
      <c r="I27" s="1" t="s">
        <v>559</v>
      </c>
      <c r="J27" s="1" t="s">
        <v>560</v>
      </c>
      <c r="K27" s="1">
        <v>577.33280000000002</v>
      </c>
      <c r="L27" s="1">
        <v>26.4</v>
      </c>
      <c r="M27" s="1" t="s">
        <v>561</v>
      </c>
      <c r="N27" s="1" t="s">
        <v>562</v>
      </c>
      <c r="O27" s="1">
        <v>321.20890000000003</v>
      </c>
      <c r="P27" s="1">
        <v>14.69</v>
      </c>
      <c r="Q27" s="1" t="s">
        <v>563</v>
      </c>
      <c r="R27" s="1" t="s">
        <v>564</v>
      </c>
      <c r="S27" s="1">
        <v>245.76910000000001</v>
      </c>
      <c r="T27" s="1">
        <v>11.24</v>
      </c>
      <c r="U27" s="1" t="s">
        <v>565</v>
      </c>
      <c r="V27" s="1" t="s">
        <v>566</v>
      </c>
      <c r="W27" s="1">
        <v>188.86930000000001</v>
      </c>
      <c r="X27" s="1">
        <v>8.64</v>
      </c>
      <c r="Y27" s="1" t="s">
        <v>567</v>
      </c>
      <c r="Z27" s="1" t="s">
        <v>568</v>
      </c>
      <c r="AA27" s="1">
        <v>156.8503</v>
      </c>
      <c r="AB27" s="1">
        <v>7.17</v>
      </c>
    </row>
    <row r="28" spans="1:28" x14ac:dyDescent="0.45">
      <c r="A28" s="1" t="s">
        <v>2529</v>
      </c>
      <c r="B28" s="1" t="s">
        <v>2530</v>
      </c>
      <c r="C28" s="1">
        <v>4</v>
      </c>
      <c r="D28" s="10">
        <f ca="1">IFERROR(([1]!thsiFinD("ths_close_price_index",$A28,$AE$2,"","")/[1]!thsiFinD("ths_close_price_index",$A28,$AE$5,"","")-1)*100,"")</f>
        <v>-15.250728717983975</v>
      </c>
      <c r="E28" s="10">
        <f ca="1">IFERROR(([1]!thsiFinD("ths_close_price_index",$A28,$AE$2,"","")/[1]!thsiFinD("ths_close_price_index",$A28,$AE$3,"","")-1)*100,"")</f>
        <v>5.742269511116338</v>
      </c>
      <c r="F28" s="10">
        <f ca="1">IFERROR(([1]!thsiFinD("ths_close_price_index",$A28,$AE$2,"","")/[1]!thsiFinD("ths_close_price_index",$A28,$AE$4,"","")-1)*100,"")</f>
        <v>-5.0957807121132959</v>
      </c>
      <c r="G28" s="11">
        <f t="shared" ca="1" si="0"/>
        <v>1.4032429378289324</v>
      </c>
      <c r="H28" s="1">
        <v>100</v>
      </c>
      <c r="I28" s="1" t="s">
        <v>2531</v>
      </c>
      <c r="J28" s="1" t="s">
        <v>2532</v>
      </c>
      <c r="K28" s="1">
        <v>45.387700000000002</v>
      </c>
      <c r="L28" s="1">
        <v>54.09</v>
      </c>
      <c r="M28" s="1" t="s">
        <v>2533</v>
      </c>
      <c r="N28" s="1" t="s">
        <v>2534</v>
      </c>
      <c r="O28" s="1">
        <v>20.4316</v>
      </c>
      <c r="P28" s="1">
        <v>24.35</v>
      </c>
      <c r="Q28" s="1" t="s">
        <v>2535</v>
      </c>
      <c r="R28" s="1" t="s">
        <v>2536</v>
      </c>
      <c r="S28" s="1">
        <v>18.0928</v>
      </c>
      <c r="T28" s="1">
        <v>21.56</v>
      </c>
    </row>
    <row r="29" spans="1:28" x14ac:dyDescent="0.45">
      <c r="A29" s="1" t="s">
        <v>437</v>
      </c>
      <c r="B29" s="1" t="s">
        <v>438</v>
      </c>
      <c r="C29" s="1">
        <v>23</v>
      </c>
      <c r="D29" s="10">
        <f ca="1">IFERROR(([1]!thsiFinD("ths_close_price_index",$A29,$AE$2,"","")/[1]!thsiFinD("ths_close_price_index",$A29,$AE$5,"","")-1)*100,"")</f>
        <v>34.578953325582077</v>
      </c>
      <c r="E29" s="10">
        <f ca="1">IFERROR(([1]!thsiFinD("ths_close_price_index",$A29,$AE$2,"","")/[1]!thsiFinD("ths_close_price_index",$A29,$AE$3,"","")-1)*100,"")</f>
        <v>6.9635279687723317</v>
      </c>
      <c r="F29" s="10">
        <f ca="1">IFERROR(([1]!thsiFinD("ths_close_price_index",$A29,$AE$2,"","")/[1]!thsiFinD("ths_close_price_index",$A29,$AE$4,"","")-1)*100,"")</f>
        <v>12.697609301502922</v>
      </c>
      <c r="G29" s="11">
        <f t="shared" ca="1" si="0"/>
        <v>0.75782512867932028</v>
      </c>
      <c r="H29" s="1">
        <v>75.44</v>
      </c>
      <c r="I29" s="1" t="s">
        <v>439</v>
      </c>
      <c r="J29" s="1" t="s">
        <v>440</v>
      </c>
      <c r="K29" s="1">
        <v>382.00209999999998</v>
      </c>
      <c r="L29" s="1">
        <v>31.54</v>
      </c>
      <c r="M29" s="1" t="s">
        <v>441</v>
      </c>
      <c r="N29" s="1" t="s">
        <v>442</v>
      </c>
      <c r="O29" s="1">
        <v>257.37459999999999</v>
      </c>
      <c r="P29" s="1">
        <v>21.25</v>
      </c>
      <c r="Q29" s="1" t="s">
        <v>443</v>
      </c>
      <c r="R29" s="1" t="s">
        <v>444</v>
      </c>
      <c r="S29" s="1">
        <v>108.9079</v>
      </c>
      <c r="T29" s="1">
        <v>8.99</v>
      </c>
      <c r="U29" s="1" t="s">
        <v>445</v>
      </c>
      <c r="V29" s="1" t="s">
        <v>446</v>
      </c>
      <c r="W29" s="1">
        <v>99.185900000000004</v>
      </c>
      <c r="X29" s="1">
        <v>8.19</v>
      </c>
      <c r="Y29" s="1" t="s">
        <v>447</v>
      </c>
      <c r="Z29" s="1" t="s">
        <v>448</v>
      </c>
      <c r="AA29" s="1">
        <v>66.299300000000002</v>
      </c>
      <c r="AB29" s="1">
        <v>5.47</v>
      </c>
    </row>
    <row r="30" spans="1:28" x14ac:dyDescent="0.45">
      <c r="A30" s="1" t="s">
        <v>1747</v>
      </c>
      <c r="B30" s="1" t="s">
        <v>1748</v>
      </c>
      <c r="C30" s="1">
        <v>6</v>
      </c>
      <c r="D30" s="10">
        <f ca="1">IFERROR(([1]!thsiFinD("ths_close_price_index",$A30,$AE$2,"","")/[1]!thsiFinD("ths_close_price_index",$A30,$AE$5,"","")-1)*100,"")</f>
        <v>-12.4900106908038</v>
      </c>
      <c r="E30" s="10">
        <f ca="1">IFERROR(([1]!thsiFinD("ths_close_price_index",$A30,$AE$2,"","")/[1]!thsiFinD("ths_close_price_index",$A30,$AE$3,"","")-1)*100,"")</f>
        <v>-2.8461825174952438</v>
      </c>
      <c r="F30" s="10">
        <f ca="1">IFERROR(([1]!thsiFinD("ths_close_price_index",$A30,$AE$2,"","")/[1]!thsiFinD("ths_close_price_index",$A30,$AE$4,"","")-1)*100,"")</f>
        <v>-11.05661853522899</v>
      </c>
      <c r="G30" s="11">
        <f t="shared" ca="1" si="0"/>
        <v>-1.6405576737599237E-2</v>
      </c>
      <c r="H30" s="1">
        <v>97.39</v>
      </c>
      <c r="I30" s="1" t="s">
        <v>1749</v>
      </c>
      <c r="J30" s="1" t="s">
        <v>1750</v>
      </c>
      <c r="K30" s="1">
        <v>30.651599999999998</v>
      </c>
      <c r="L30" s="1">
        <v>23.51</v>
      </c>
      <c r="M30" s="1" t="s">
        <v>1751</v>
      </c>
      <c r="N30" s="1" t="s">
        <v>1752</v>
      </c>
      <c r="O30" s="1">
        <v>29.5291</v>
      </c>
      <c r="P30" s="1">
        <v>22.65</v>
      </c>
      <c r="Q30" s="1" t="s">
        <v>1753</v>
      </c>
      <c r="R30" s="1" t="s">
        <v>1754</v>
      </c>
      <c r="S30" s="1">
        <v>29.4694</v>
      </c>
      <c r="T30" s="1">
        <v>22.6</v>
      </c>
      <c r="U30" s="1" t="s">
        <v>1755</v>
      </c>
      <c r="V30" s="1" t="s">
        <v>1756</v>
      </c>
      <c r="W30" s="1">
        <v>19.560700000000001</v>
      </c>
      <c r="X30" s="1">
        <v>15</v>
      </c>
      <c r="Y30" s="1" t="s">
        <v>1757</v>
      </c>
      <c r="Z30" s="1" t="s">
        <v>1758</v>
      </c>
      <c r="AA30" s="1">
        <v>17.7729</v>
      </c>
      <c r="AB30" s="1">
        <v>13.63</v>
      </c>
    </row>
    <row r="31" spans="1:28" x14ac:dyDescent="0.45">
      <c r="A31" s="1" t="s">
        <v>593</v>
      </c>
      <c r="B31" s="1" t="s">
        <v>594</v>
      </c>
      <c r="C31" s="1">
        <v>17</v>
      </c>
      <c r="D31" s="10">
        <f ca="1">IFERROR(([1]!thsiFinD("ths_close_price_index",$A31,$AE$2,"","")/[1]!thsiFinD("ths_close_price_index",$A31,$AE$5,"","")-1)*100,"")</f>
        <v>18.084722769814611</v>
      </c>
      <c r="E31" s="10">
        <f ca="1">IFERROR(([1]!thsiFinD("ths_close_price_index",$A31,$AE$2,"","")/[1]!thsiFinD("ths_close_price_index",$A31,$AE$3,"","")-1)*100,"")</f>
        <v>4.7806029909347458E-2</v>
      </c>
      <c r="F31" s="10">
        <f ca="1">IFERROR(([1]!thsiFinD("ths_close_price_index",$A31,$AE$2,"","")/[1]!thsiFinD("ths_close_price_index",$A31,$AE$4,"","")-1)*100,"")</f>
        <v>-4.3333033422331413</v>
      </c>
      <c r="G31" s="11">
        <f t="shared" ca="1" si="0"/>
        <v>0.22622637309352656</v>
      </c>
      <c r="H31" s="1">
        <v>80.760000000000005</v>
      </c>
      <c r="I31" s="1" t="s">
        <v>595</v>
      </c>
      <c r="J31" s="1" t="s">
        <v>596</v>
      </c>
      <c r="K31" s="1">
        <v>212.5412</v>
      </c>
      <c r="L31" s="1">
        <v>41.94</v>
      </c>
      <c r="M31" s="1" t="s">
        <v>597</v>
      </c>
      <c r="N31" s="1" t="s">
        <v>598</v>
      </c>
      <c r="O31" s="1">
        <v>62.306100000000001</v>
      </c>
      <c r="P31" s="1">
        <v>12.29</v>
      </c>
      <c r="Q31" s="1" t="s">
        <v>599</v>
      </c>
      <c r="R31" s="1" t="s">
        <v>600</v>
      </c>
      <c r="S31" s="1">
        <v>47.57</v>
      </c>
      <c r="T31" s="1">
        <v>9.39</v>
      </c>
      <c r="U31" s="1" t="s">
        <v>601</v>
      </c>
      <c r="V31" s="1" t="s">
        <v>602</v>
      </c>
      <c r="W31" s="1">
        <v>46.0242</v>
      </c>
      <c r="X31" s="1">
        <v>9.08</v>
      </c>
      <c r="Y31" s="1" t="s">
        <v>603</v>
      </c>
      <c r="Z31" s="1" t="s">
        <v>604</v>
      </c>
      <c r="AA31" s="1">
        <v>40.8279</v>
      </c>
      <c r="AB31" s="1">
        <v>8.06</v>
      </c>
    </row>
    <row r="32" spans="1:28" x14ac:dyDescent="0.45">
      <c r="A32" s="1" t="s">
        <v>2021</v>
      </c>
      <c r="B32" s="1" t="s">
        <v>2022</v>
      </c>
      <c r="C32" s="1">
        <v>184</v>
      </c>
      <c r="D32" s="10">
        <f ca="1">IFERROR(([1]!thsiFinD("ths_close_price_index",$A32,$AE$2,"","")/[1]!thsiFinD("ths_close_price_index",$A32,$AE$5,"","")-1)*100,"")</f>
        <v>-13.927759208907265</v>
      </c>
      <c r="E32" s="10">
        <f ca="1">IFERROR(([1]!thsiFinD("ths_close_price_index",$A32,$AE$2,"","")/[1]!thsiFinD("ths_close_price_index",$A32,$AE$3,"","")-1)*100,"")</f>
        <v>-1.6087977899759021</v>
      </c>
      <c r="F32" s="10">
        <f ca="1">IFERROR(([1]!thsiFinD("ths_close_price_index",$A32,$AE$2,"","")/[1]!thsiFinD("ths_close_price_index",$A32,$AE$4,"","")-1)*100,"")</f>
        <v>-5.9870736492324887</v>
      </c>
      <c r="G32" s="11">
        <f t="shared" ca="1" si="0"/>
        <v>-2.2405875533555997E-2</v>
      </c>
      <c r="H32" s="1">
        <v>46.01</v>
      </c>
      <c r="I32" s="1" t="s">
        <v>2023</v>
      </c>
      <c r="J32" s="1" t="s">
        <v>2024</v>
      </c>
      <c r="K32" s="1">
        <v>333.72879999999998</v>
      </c>
      <c r="L32" s="1">
        <v>12.71</v>
      </c>
      <c r="M32" s="1" t="s">
        <v>2025</v>
      </c>
      <c r="N32" s="1" t="s">
        <v>2026</v>
      </c>
      <c r="O32" s="1">
        <v>310.48480000000001</v>
      </c>
      <c r="P32" s="1">
        <v>11.82</v>
      </c>
      <c r="Q32" s="1" t="s">
        <v>2027</v>
      </c>
      <c r="R32" s="1" t="s">
        <v>2028</v>
      </c>
      <c r="S32" s="1">
        <v>239.32929999999999</v>
      </c>
      <c r="T32" s="1">
        <v>9.11</v>
      </c>
      <c r="U32" s="1" t="s">
        <v>2029</v>
      </c>
      <c r="V32" s="1" t="s">
        <v>2030</v>
      </c>
      <c r="W32" s="1">
        <v>162.97130000000001</v>
      </c>
      <c r="X32" s="1">
        <v>6.21</v>
      </c>
      <c r="Y32" s="1" t="s">
        <v>2031</v>
      </c>
      <c r="Z32" s="1" t="s">
        <v>2032</v>
      </c>
      <c r="AA32" s="1">
        <v>161.87809999999999</v>
      </c>
      <c r="AB32" s="1">
        <v>6.16</v>
      </c>
    </row>
    <row r="33" spans="1:28" x14ac:dyDescent="0.45">
      <c r="A33" s="1" t="s">
        <v>2093</v>
      </c>
      <c r="B33" s="1" t="s">
        <v>2094</v>
      </c>
      <c r="C33" s="1">
        <v>74</v>
      </c>
      <c r="D33" s="10">
        <f ca="1">IFERROR(([1]!thsiFinD("ths_close_price_index",$A33,$AE$2,"","")/[1]!thsiFinD("ths_close_price_index",$A33,$AE$5,"","")-1)*100,"")</f>
        <v>-11.420163868309318</v>
      </c>
      <c r="E33" s="10">
        <f ca="1">IFERROR(([1]!thsiFinD("ths_close_price_index",$A33,$AE$2,"","")/[1]!thsiFinD("ths_close_price_index",$A33,$AE$3,"","")-1)*100,"")</f>
        <v>3.2798065659863207</v>
      </c>
      <c r="F33" s="10">
        <f ca="1">IFERROR(([1]!thsiFinD("ths_close_price_index",$A33,$AE$2,"","")/[1]!thsiFinD("ths_close_price_index",$A33,$AE$4,"","")-1)*100,"")</f>
        <v>3.7137417693888786E-2</v>
      </c>
      <c r="G33" s="11">
        <f t="shared" ca="1" si="0"/>
        <v>0.6541044423125697</v>
      </c>
      <c r="H33" s="1">
        <v>73.510000000000005</v>
      </c>
      <c r="I33" s="1" t="s">
        <v>2095</v>
      </c>
      <c r="J33" s="1" t="s">
        <v>2096</v>
      </c>
      <c r="K33" s="1">
        <v>1919.1493</v>
      </c>
      <c r="L33" s="1">
        <v>49.55</v>
      </c>
      <c r="M33" s="1" t="s">
        <v>2097</v>
      </c>
      <c r="N33" s="1" t="s">
        <v>2098</v>
      </c>
      <c r="O33" s="1">
        <v>406.82960000000003</v>
      </c>
      <c r="P33" s="1">
        <v>10.5</v>
      </c>
      <c r="Q33" s="1" t="s">
        <v>2099</v>
      </c>
      <c r="R33" s="1" t="s">
        <v>2100</v>
      </c>
      <c r="S33" s="1">
        <v>192.18260000000001</v>
      </c>
      <c r="T33" s="1">
        <v>4.96</v>
      </c>
      <c r="U33" s="1" t="s">
        <v>2101</v>
      </c>
      <c r="V33" s="1" t="s">
        <v>2102</v>
      </c>
      <c r="W33" s="1">
        <v>174.0025</v>
      </c>
      <c r="X33" s="1">
        <v>4.49</v>
      </c>
      <c r="Y33" s="1" t="s">
        <v>2103</v>
      </c>
      <c r="Z33" s="1" t="s">
        <v>2104</v>
      </c>
      <c r="AA33" s="1">
        <v>155.36240000000001</v>
      </c>
      <c r="AB33" s="1">
        <v>4.01</v>
      </c>
    </row>
    <row r="34" spans="1:28" x14ac:dyDescent="0.45">
      <c r="A34" s="1" t="s">
        <v>2445</v>
      </c>
      <c r="B34" s="1" t="s">
        <v>2446</v>
      </c>
      <c r="C34" s="1">
        <v>6</v>
      </c>
      <c r="D34" s="10">
        <f ca="1">IFERROR(([1]!thsiFinD("ths_close_price_index",$A34,$AE$2,"","")/[1]!thsiFinD("ths_close_price_index",$A34,$AE$5,"","")-1)*100,"")</f>
        <v>-18.110339906858165</v>
      </c>
      <c r="E34" s="10">
        <f ca="1">IFERROR(([1]!thsiFinD("ths_close_price_index",$A34,$AE$2,"","")/[1]!thsiFinD("ths_close_price_index",$A34,$AE$3,"","")-1)*100,"")</f>
        <v>0.34433545659575682</v>
      </c>
      <c r="F34" s="10">
        <f ca="1">IFERROR(([1]!thsiFinD("ths_close_price_index",$A34,$AE$2,"","")/[1]!thsiFinD("ths_close_price_index",$A34,$AE$4,"","")-1)*100,"")</f>
        <v>-15.846113846569555</v>
      </c>
      <c r="G34" s="11">
        <f t="shared" ca="1" si="0"/>
        <v>0.86117278364762906</v>
      </c>
      <c r="H34" s="1">
        <v>96.98</v>
      </c>
      <c r="I34" s="1" t="s">
        <v>2447</v>
      </c>
      <c r="J34" s="1" t="s">
        <v>2448</v>
      </c>
      <c r="K34" s="1">
        <v>354.19940000000003</v>
      </c>
      <c r="L34" s="1">
        <v>69.900000000000006</v>
      </c>
      <c r="M34" s="1" t="s">
        <v>2449</v>
      </c>
      <c r="N34" s="1" t="s">
        <v>2450</v>
      </c>
      <c r="O34" s="1">
        <v>49.562199999999997</v>
      </c>
      <c r="P34" s="1">
        <v>9.7799999999999994</v>
      </c>
      <c r="Q34" s="1" t="s">
        <v>2451</v>
      </c>
      <c r="R34" s="1" t="s">
        <v>2452</v>
      </c>
      <c r="S34" s="1">
        <v>39.499600000000001</v>
      </c>
      <c r="T34" s="1">
        <v>7.8</v>
      </c>
      <c r="U34" s="1" t="s">
        <v>2453</v>
      </c>
      <c r="V34" s="1" t="s">
        <v>2454</v>
      </c>
      <c r="W34" s="1">
        <v>30.646599999999999</v>
      </c>
      <c r="X34" s="1">
        <v>6.05</v>
      </c>
      <c r="Y34" s="1" t="s">
        <v>2455</v>
      </c>
      <c r="Z34" s="1" t="s">
        <v>2456</v>
      </c>
      <c r="AA34" s="1">
        <v>17.473600000000001</v>
      </c>
      <c r="AB34" s="1">
        <v>3.45</v>
      </c>
    </row>
    <row r="35" spans="1:28" x14ac:dyDescent="0.45">
      <c r="A35" s="1" t="s">
        <v>151</v>
      </c>
      <c r="B35" s="1" t="s">
        <v>152</v>
      </c>
      <c r="C35" s="1">
        <v>24</v>
      </c>
      <c r="D35" s="10">
        <f ca="1">IFERROR(([1]!thsiFinD("ths_close_price_index",$A35,$AE$2,"","")/[1]!thsiFinD("ths_close_price_index",$A35,$AE$5,"","")-1)*100,"")</f>
        <v>99.003529779038743</v>
      </c>
      <c r="E35" s="10">
        <f ca="1">IFERROR(([1]!thsiFinD("ths_close_price_index",$A35,$AE$2,"","")/[1]!thsiFinD("ths_close_price_index",$A35,$AE$3,"","")-1)*100,"")</f>
        <v>6.1844262851974419</v>
      </c>
      <c r="F35" s="10">
        <f ca="1">IFERROR(([1]!thsiFinD("ths_close_price_index",$A35,$AE$2,"","")/[1]!thsiFinD("ths_close_price_index",$A35,$AE$4,"","")-1)*100,"")</f>
        <v>29.830647041325008</v>
      </c>
      <c r="G35" s="11">
        <f t="shared" ca="1" si="0"/>
        <v>-0.25464709502676208</v>
      </c>
      <c r="H35" s="1">
        <v>61.38</v>
      </c>
      <c r="I35" s="1" t="s">
        <v>153</v>
      </c>
      <c r="J35" s="1" t="s">
        <v>154</v>
      </c>
      <c r="K35" s="1">
        <v>806.45180000000005</v>
      </c>
      <c r="L35" s="1">
        <v>21.74</v>
      </c>
      <c r="M35" s="1" t="s">
        <v>155</v>
      </c>
      <c r="N35" s="1" t="s">
        <v>156</v>
      </c>
      <c r="O35" s="1">
        <v>615.68809999999996</v>
      </c>
      <c r="P35" s="1">
        <v>16.600000000000001</v>
      </c>
      <c r="Q35" s="1" t="s">
        <v>157</v>
      </c>
      <c r="R35" s="1" t="s">
        <v>158</v>
      </c>
      <c r="S35" s="1">
        <v>412.0659</v>
      </c>
      <c r="T35" s="1">
        <v>11.11</v>
      </c>
      <c r="U35" s="1" t="s">
        <v>159</v>
      </c>
      <c r="V35" s="1" t="s">
        <v>160</v>
      </c>
      <c r="W35" s="1">
        <v>227.57149999999999</v>
      </c>
      <c r="X35" s="1">
        <v>6.14</v>
      </c>
      <c r="Y35" s="1" t="s">
        <v>161</v>
      </c>
      <c r="Z35" s="1" t="s">
        <v>162</v>
      </c>
      <c r="AA35" s="1">
        <v>214.65710000000001</v>
      </c>
      <c r="AB35" s="1">
        <v>5.79</v>
      </c>
    </row>
    <row r="36" spans="1:28" x14ac:dyDescent="0.45">
      <c r="A36" s="1" t="s">
        <v>497</v>
      </c>
      <c r="B36" s="1" t="s">
        <v>498</v>
      </c>
      <c r="C36" s="1">
        <v>24</v>
      </c>
      <c r="D36" s="10">
        <f ca="1">IFERROR(([1]!thsiFinD("ths_close_price_index",$A36,$AE$2,"","")/[1]!thsiFinD("ths_close_price_index",$A36,$AE$5,"","")-1)*100,"")</f>
        <v>27.965479343402034</v>
      </c>
      <c r="E36" s="10">
        <f ca="1">IFERROR(([1]!thsiFinD("ths_close_price_index",$A36,$AE$2,"","")/[1]!thsiFinD("ths_close_price_index",$A36,$AE$3,"","")-1)*100,"")</f>
        <v>5.0357420841134592</v>
      </c>
      <c r="F36" s="10">
        <f ca="1">IFERROR(([1]!thsiFinD("ths_close_price_index",$A36,$AE$2,"","")/[1]!thsiFinD("ths_close_price_index",$A36,$AE$4,"","")-1)*100,"")</f>
        <v>6.0053756685084281</v>
      </c>
      <c r="G36" s="11">
        <f t="shared" ca="1" si="0"/>
        <v>0.70687963339727045</v>
      </c>
      <c r="H36" s="1">
        <v>78.8</v>
      </c>
      <c r="I36" s="1" t="s">
        <v>499</v>
      </c>
      <c r="J36" s="1" t="s">
        <v>500</v>
      </c>
      <c r="K36" s="1">
        <v>2537.4976000000001</v>
      </c>
      <c r="L36" s="1">
        <v>31.99</v>
      </c>
      <c r="M36" s="1" t="s">
        <v>501</v>
      </c>
      <c r="N36" s="1" t="s">
        <v>502</v>
      </c>
      <c r="O36" s="1">
        <v>1396.4275</v>
      </c>
      <c r="P36" s="1">
        <v>17.600000000000001</v>
      </c>
      <c r="Q36" s="1" t="s">
        <v>503</v>
      </c>
      <c r="R36" s="1" t="s">
        <v>504</v>
      </c>
      <c r="S36" s="1">
        <v>1087.7655</v>
      </c>
      <c r="T36" s="1">
        <v>13.71</v>
      </c>
      <c r="U36" s="1" t="s">
        <v>505</v>
      </c>
      <c r="V36" s="1" t="s">
        <v>506</v>
      </c>
      <c r="W36" s="1">
        <v>654.97529999999995</v>
      </c>
      <c r="X36" s="1">
        <v>8.26</v>
      </c>
      <c r="Y36" s="1" t="s">
        <v>507</v>
      </c>
      <c r="Z36" s="1" t="s">
        <v>508</v>
      </c>
      <c r="AA36" s="1">
        <v>574.31140000000005</v>
      </c>
      <c r="AB36" s="1">
        <v>7.24</v>
      </c>
    </row>
    <row r="37" spans="1:28" x14ac:dyDescent="0.45">
      <c r="A37" s="1" t="s">
        <v>1851</v>
      </c>
      <c r="B37" s="1" t="s">
        <v>1852</v>
      </c>
      <c r="C37" s="1">
        <v>6</v>
      </c>
      <c r="D37" s="10">
        <f ca="1">IFERROR(([1]!thsiFinD("ths_close_price_index",$A37,$AE$2,"","")/[1]!thsiFinD("ths_close_price_index",$A37,$AE$5,"","")-1)*100,"")</f>
        <v>-14.685397249074249</v>
      </c>
      <c r="E37" s="10">
        <f ca="1">IFERROR(([1]!thsiFinD("ths_close_price_index",$A37,$AE$2,"","")/[1]!thsiFinD("ths_close_price_index",$A37,$AE$3,"","")-1)*100,"")</f>
        <v>-4.311538091569334</v>
      </c>
      <c r="F37" s="10">
        <f ca="1">IFERROR(([1]!thsiFinD("ths_close_price_index",$A37,$AE$2,"","")/[1]!thsiFinD("ths_close_price_index",$A37,$AE$4,"","")-1)*100,"")</f>
        <v>-12.55490352276497</v>
      </c>
      <c r="G37" s="11">
        <f t="shared" ca="1" si="0"/>
        <v>-0.23456244217561828</v>
      </c>
      <c r="H37" s="1">
        <v>97.47</v>
      </c>
      <c r="I37" s="1" t="s">
        <v>1853</v>
      </c>
      <c r="J37" s="1" t="s">
        <v>1854</v>
      </c>
      <c r="K37" s="1">
        <v>819.73379999999997</v>
      </c>
      <c r="L37" s="1">
        <v>71.650000000000006</v>
      </c>
      <c r="M37" s="1" t="s">
        <v>1855</v>
      </c>
      <c r="N37" s="1" t="s">
        <v>1856</v>
      </c>
      <c r="O37" s="1">
        <v>100.26130000000001</v>
      </c>
      <c r="P37" s="1">
        <v>8.76</v>
      </c>
      <c r="Q37" s="1" t="s">
        <v>1857</v>
      </c>
      <c r="R37" s="1" t="s">
        <v>1858</v>
      </c>
      <c r="S37" s="1">
        <v>89.937600000000003</v>
      </c>
      <c r="T37" s="1">
        <v>7.86</v>
      </c>
      <c r="U37" s="1" t="s">
        <v>1859</v>
      </c>
      <c r="V37" s="1" t="s">
        <v>1860</v>
      </c>
      <c r="W37" s="1">
        <v>64.179500000000004</v>
      </c>
      <c r="X37" s="1">
        <v>5.61</v>
      </c>
      <c r="Y37" s="1" t="s">
        <v>1861</v>
      </c>
      <c r="Z37" s="1" t="s">
        <v>1862</v>
      </c>
      <c r="AA37" s="1">
        <v>41.093699999999998</v>
      </c>
      <c r="AB37" s="1">
        <v>3.59</v>
      </c>
    </row>
    <row r="38" spans="1:28" x14ac:dyDescent="0.45">
      <c r="A38" s="1" t="s">
        <v>1055</v>
      </c>
      <c r="B38" s="1" t="s">
        <v>1056</v>
      </c>
      <c r="C38" s="1">
        <v>13</v>
      </c>
      <c r="D38" s="10">
        <f ca="1">IFERROR(([1]!thsiFinD("ths_close_price_index",$A38,$AE$2,"","")/[1]!thsiFinD("ths_close_price_index",$A38,$AE$5,"","")-1)*100,"")</f>
        <v>-2.6534483023971212</v>
      </c>
      <c r="E38" s="10">
        <f ca="1">IFERROR(([1]!thsiFinD("ths_close_price_index",$A38,$AE$2,"","")/[1]!thsiFinD("ths_close_price_index",$A38,$AE$3,"","")-1)*100,"")</f>
        <v>-4.4966796231088129</v>
      </c>
      <c r="F38" s="10">
        <f ca="1">IFERROR(([1]!thsiFinD("ths_close_price_index",$A38,$AE$2,"","")/[1]!thsiFinD("ths_close_price_index",$A38,$AE$4,"","")-1)*100,"")</f>
        <v>-10.765721841426846</v>
      </c>
      <c r="G38" s="11">
        <f t="shared" ca="1" si="0"/>
        <v>-0.36104983255042034</v>
      </c>
      <c r="H38" s="1">
        <v>58.43</v>
      </c>
      <c r="I38" s="1" t="s">
        <v>1057</v>
      </c>
      <c r="J38" s="1" t="s">
        <v>1058</v>
      </c>
      <c r="K38" s="1">
        <v>73.2453</v>
      </c>
      <c r="L38" s="1">
        <v>13.5</v>
      </c>
      <c r="M38" s="1" t="s">
        <v>1059</v>
      </c>
      <c r="N38" s="1" t="s">
        <v>1060</v>
      </c>
      <c r="O38" s="1">
        <v>67.403599999999997</v>
      </c>
      <c r="P38" s="1">
        <v>12.42</v>
      </c>
      <c r="Q38" s="1" t="s">
        <v>1061</v>
      </c>
      <c r="R38" s="1" t="s">
        <v>1062</v>
      </c>
      <c r="S38" s="1">
        <v>63.013399999999997</v>
      </c>
      <c r="T38" s="1">
        <v>11.61</v>
      </c>
      <c r="U38" s="1" t="s">
        <v>1063</v>
      </c>
      <c r="V38" s="1" t="s">
        <v>1064</v>
      </c>
      <c r="W38" s="1">
        <v>59.293700000000001</v>
      </c>
      <c r="X38" s="1">
        <v>10.93</v>
      </c>
      <c r="Y38" s="1" t="s">
        <v>1065</v>
      </c>
      <c r="Z38" s="1" t="s">
        <v>1066</v>
      </c>
      <c r="AA38" s="1">
        <v>54.063600000000001</v>
      </c>
      <c r="AB38" s="1">
        <v>9.9700000000000006</v>
      </c>
    </row>
    <row r="39" spans="1:28" x14ac:dyDescent="0.45">
      <c r="A39" s="1" t="s">
        <v>509</v>
      </c>
      <c r="B39" s="1" t="s">
        <v>510</v>
      </c>
      <c r="C39" s="1">
        <v>30</v>
      </c>
      <c r="D39" s="10">
        <f ca="1">IFERROR(([1]!thsiFinD("ths_close_price_index",$A39,$AE$2,"","")/[1]!thsiFinD("ths_close_price_index",$A39,$AE$5,"","")-1)*100,"")</f>
        <v>26.898450566729526</v>
      </c>
      <c r="E39" s="10">
        <f ca="1">IFERROR(([1]!thsiFinD("ths_close_price_index",$A39,$AE$2,"","")/[1]!thsiFinD("ths_close_price_index",$A39,$AE$3,"","")-1)*100,"")</f>
        <v>4.2681038822520723</v>
      </c>
      <c r="F39" s="10">
        <f ca="1">IFERROR(([1]!thsiFinD("ths_close_price_index",$A39,$AE$2,"","")/[1]!thsiFinD("ths_close_price_index",$A39,$AE$4,"","")-1)*100,"")</f>
        <v>1.456132694123391</v>
      </c>
      <c r="G39" s="11">
        <f t="shared" ca="1" si="0"/>
        <v>0.78081414174424491</v>
      </c>
      <c r="H39" s="1">
        <v>78.38</v>
      </c>
      <c r="I39" s="1" t="s">
        <v>511</v>
      </c>
      <c r="J39" s="1" t="s">
        <v>512</v>
      </c>
      <c r="K39" s="1">
        <v>564.32330000000002</v>
      </c>
      <c r="L39" s="1">
        <v>34.78</v>
      </c>
      <c r="M39" s="1" t="s">
        <v>513</v>
      </c>
      <c r="N39" s="1" t="s">
        <v>514</v>
      </c>
      <c r="O39" s="1">
        <v>317.36450000000002</v>
      </c>
      <c r="P39" s="1">
        <v>19.559999999999999</v>
      </c>
      <c r="Q39" s="1" t="s">
        <v>515</v>
      </c>
      <c r="R39" s="1" t="s">
        <v>516</v>
      </c>
      <c r="S39" s="1">
        <v>154.12450000000001</v>
      </c>
      <c r="T39" s="1">
        <v>9.5</v>
      </c>
      <c r="U39" s="1" t="s">
        <v>517</v>
      </c>
      <c r="V39" s="1" t="s">
        <v>518</v>
      </c>
      <c r="W39" s="1">
        <v>142.81200000000001</v>
      </c>
      <c r="X39" s="1">
        <v>8.8000000000000007</v>
      </c>
      <c r="Y39" s="1" t="s">
        <v>519</v>
      </c>
      <c r="Z39" s="1" t="s">
        <v>520</v>
      </c>
      <c r="AA39" s="1">
        <v>93.118300000000005</v>
      </c>
      <c r="AB39" s="1">
        <v>5.74</v>
      </c>
    </row>
    <row r="40" spans="1:28" x14ac:dyDescent="0.45">
      <c r="A40" s="1" t="s">
        <v>1803</v>
      </c>
      <c r="B40" s="1" t="s">
        <v>1804</v>
      </c>
      <c r="C40" s="1">
        <v>7</v>
      </c>
      <c r="D40" s="10">
        <f ca="1">IFERROR(([1]!thsiFinD("ths_close_price_index",$A40,$AE$2,"","")/[1]!thsiFinD("ths_close_price_index",$A40,$AE$5,"","")-1)*100,"")</f>
        <v>-12.631676281409998</v>
      </c>
      <c r="E40" s="10">
        <f ca="1">IFERROR(([1]!thsiFinD("ths_close_price_index",$A40,$AE$2,"","")/[1]!thsiFinD("ths_close_price_index",$A40,$AE$3,"","")-1)*100,"")</f>
        <v>-2.3298732970249758</v>
      </c>
      <c r="F40" s="10">
        <f ca="1">IFERROR(([1]!thsiFinD("ths_close_price_index",$A40,$AE$2,"","")/[1]!thsiFinD("ths_close_price_index",$A40,$AE$4,"","")-1)*100,"")</f>
        <v>-20.148270095201127</v>
      </c>
      <c r="G40" s="11">
        <f t="shared" ca="1" si="0"/>
        <v>0.54143884535506115</v>
      </c>
      <c r="H40" s="1">
        <v>86.6</v>
      </c>
      <c r="I40" s="1" t="s">
        <v>1805</v>
      </c>
      <c r="J40" s="1" t="s">
        <v>1806</v>
      </c>
      <c r="K40" s="1">
        <v>58.375700000000002</v>
      </c>
      <c r="L40" s="1">
        <v>27.88</v>
      </c>
      <c r="M40" s="1" t="s">
        <v>1807</v>
      </c>
      <c r="N40" s="1" t="s">
        <v>1808</v>
      </c>
      <c r="O40" s="1">
        <v>52.068100000000001</v>
      </c>
      <c r="P40" s="1">
        <v>24.87</v>
      </c>
      <c r="Q40" s="1" t="s">
        <v>1809</v>
      </c>
      <c r="R40" s="1" t="s">
        <v>1810</v>
      </c>
      <c r="S40" s="1">
        <v>35.728299999999997</v>
      </c>
      <c r="T40" s="1">
        <v>17.059999999999999</v>
      </c>
      <c r="U40" s="1" t="s">
        <v>1811</v>
      </c>
      <c r="V40" s="1" t="s">
        <v>1812</v>
      </c>
      <c r="W40" s="1">
        <v>17.8507</v>
      </c>
      <c r="X40" s="1">
        <v>8.5299999999999994</v>
      </c>
      <c r="Y40" s="1" t="s">
        <v>1813</v>
      </c>
      <c r="Z40" s="1" t="s">
        <v>1814</v>
      </c>
      <c r="AA40" s="1">
        <v>17.287199999999999</v>
      </c>
      <c r="AB40" s="1">
        <v>8.26</v>
      </c>
    </row>
    <row r="41" spans="1:28" x14ac:dyDescent="0.45">
      <c r="A41" s="1" t="s">
        <v>2717</v>
      </c>
      <c r="B41" s="1" t="s">
        <v>2718</v>
      </c>
      <c r="C41" s="1">
        <v>13</v>
      </c>
      <c r="D41" s="10">
        <f ca="1">IFERROR(([1]!thsiFinD("ths_close_price_index",$A41,$AE$2,"","")/[1]!thsiFinD("ths_close_price_index",$A41,$AE$5,"","")-1)*100,"")</f>
        <v>-21.40493783954307</v>
      </c>
      <c r="E41" s="10">
        <f ca="1">IFERROR(([1]!thsiFinD("ths_close_price_index",$A41,$AE$2,"","")/[1]!thsiFinD("ths_close_price_index",$A41,$AE$3,"","")-1)*100,"")</f>
        <v>2.1297963975481116</v>
      </c>
      <c r="F41" s="10">
        <f ca="1">IFERROR(([1]!thsiFinD("ths_close_price_index",$A41,$AE$2,"","")/[1]!thsiFinD("ths_close_price_index",$A41,$AE$4,"","")-1)*100,"")</f>
        <v>-5.0223637698572077</v>
      </c>
      <c r="G41" s="11">
        <f t="shared" ca="1" si="0"/>
        <v>0.6770774680024827</v>
      </c>
      <c r="H41" s="1">
        <v>82.52</v>
      </c>
      <c r="I41" s="1" t="s">
        <v>2719</v>
      </c>
      <c r="J41" s="1" t="s">
        <v>2720</v>
      </c>
      <c r="K41" s="1">
        <v>305.82279999999997</v>
      </c>
      <c r="L41" s="1">
        <v>48.42</v>
      </c>
      <c r="M41" s="1" t="s">
        <v>2721</v>
      </c>
      <c r="N41" s="1" t="s">
        <v>2722</v>
      </c>
      <c r="O41" s="1">
        <v>92.748599999999996</v>
      </c>
      <c r="P41" s="1">
        <v>14.68</v>
      </c>
      <c r="Q41" s="1" t="s">
        <v>2723</v>
      </c>
      <c r="R41" s="1" t="s">
        <v>2724</v>
      </c>
      <c r="S41" s="1">
        <v>55.637300000000003</v>
      </c>
      <c r="T41" s="1">
        <v>8.81</v>
      </c>
      <c r="U41" s="1" t="s">
        <v>2725</v>
      </c>
      <c r="V41" s="1" t="s">
        <v>2726</v>
      </c>
      <c r="W41" s="1">
        <v>42.272599999999997</v>
      </c>
      <c r="X41" s="1">
        <v>6.69</v>
      </c>
      <c r="Y41" s="1" t="s">
        <v>2727</v>
      </c>
      <c r="Z41" s="1" t="s">
        <v>2728</v>
      </c>
      <c r="AA41" s="1">
        <v>24.741499999999998</v>
      </c>
      <c r="AB41" s="1">
        <v>3.92</v>
      </c>
    </row>
    <row r="42" spans="1:28" x14ac:dyDescent="0.45">
      <c r="A42" s="1" t="s">
        <v>783</v>
      </c>
      <c r="B42" s="1" t="s">
        <v>784</v>
      </c>
      <c r="C42" s="1">
        <v>16</v>
      </c>
      <c r="D42" s="10">
        <f ca="1">IFERROR(([1]!thsiFinD("ths_close_price_index",$A42,$AE$2,"","")/[1]!thsiFinD("ths_close_price_index",$A42,$AE$5,"","")-1)*100,"")</f>
        <v>8.3189901640752915</v>
      </c>
      <c r="E42" s="10">
        <f ca="1">IFERROR(([1]!thsiFinD("ths_close_price_index",$A42,$AE$2,"","")/[1]!thsiFinD("ths_close_price_index",$A42,$AE$3,"","")-1)*100,"")</f>
        <v>-3.241367843057219</v>
      </c>
      <c r="F42" s="10">
        <f ca="1">IFERROR(([1]!thsiFinD("ths_close_price_index",$A42,$AE$2,"","")/[1]!thsiFinD("ths_close_price_index",$A42,$AE$4,"","")-1)*100,"")</f>
        <v>-13.82241790302724</v>
      </c>
      <c r="G42" s="11">
        <f t="shared" ca="1" si="0"/>
        <v>4.2847326539918185E-2</v>
      </c>
      <c r="H42" s="1">
        <v>80.930000000000007</v>
      </c>
      <c r="I42" s="1" t="s">
        <v>785</v>
      </c>
      <c r="J42" s="1" t="s">
        <v>786</v>
      </c>
      <c r="K42" s="1">
        <v>462.41120000000001</v>
      </c>
      <c r="L42" s="1">
        <v>25.74</v>
      </c>
      <c r="M42" s="1" t="s">
        <v>787</v>
      </c>
      <c r="N42" s="1" t="s">
        <v>788</v>
      </c>
      <c r="O42" s="1">
        <v>420.6979</v>
      </c>
      <c r="P42" s="1">
        <v>23.41</v>
      </c>
      <c r="Q42" s="1" t="s">
        <v>789</v>
      </c>
      <c r="R42" s="1" t="s">
        <v>790</v>
      </c>
      <c r="S42" s="1">
        <v>369.4092</v>
      </c>
      <c r="T42" s="1">
        <v>20.56</v>
      </c>
      <c r="U42" s="1" t="s">
        <v>791</v>
      </c>
      <c r="V42" s="1" t="s">
        <v>792</v>
      </c>
      <c r="W42" s="1">
        <v>142.3381</v>
      </c>
      <c r="X42" s="1">
        <v>7.92</v>
      </c>
      <c r="Y42" s="1" t="s">
        <v>793</v>
      </c>
      <c r="Z42" s="1" t="s">
        <v>794</v>
      </c>
      <c r="AA42" s="1">
        <v>59.341000000000001</v>
      </c>
      <c r="AB42" s="1">
        <v>3.3</v>
      </c>
    </row>
    <row r="43" spans="1:28" x14ac:dyDescent="0.45">
      <c r="A43" s="1" t="s">
        <v>317</v>
      </c>
      <c r="B43" s="1" t="s">
        <v>318</v>
      </c>
      <c r="C43" s="1">
        <v>90</v>
      </c>
      <c r="D43" s="10">
        <f ca="1">IFERROR(([1]!thsiFinD("ths_close_price_index",$A43,$AE$2,"","")/[1]!thsiFinD("ths_close_price_index",$A43,$AE$5,"","")-1)*100,"")</f>
        <v>46.755135115592175</v>
      </c>
      <c r="E43" s="10">
        <f ca="1">IFERROR(([1]!thsiFinD("ths_close_price_index",$A43,$AE$2,"","")/[1]!thsiFinD("ths_close_price_index",$A43,$AE$3,"","")-1)*100,"")</f>
        <v>4.6832542262721821</v>
      </c>
      <c r="F43" s="10">
        <f ca="1">IFERROR(([1]!thsiFinD("ths_close_price_index",$A43,$AE$2,"","")/[1]!thsiFinD("ths_close_price_index",$A43,$AE$4,"","")-1)*100,"")</f>
        <v>10.753759912997918</v>
      </c>
      <c r="G43" s="11">
        <f t="shared" ca="1" si="0"/>
        <v>0.39896284960454054</v>
      </c>
      <c r="H43" s="1">
        <v>33.9</v>
      </c>
      <c r="I43" s="1" t="s">
        <v>319</v>
      </c>
      <c r="J43" s="1" t="s">
        <v>320</v>
      </c>
      <c r="K43" s="1">
        <v>370.05599999999998</v>
      </c>
      <c r="L43" s="1">
        <v>10.94</v>
      </c>
      <c r="M43" s="1" t="s">
        <v>321</v>
      </c>
      <c r="N43" s="1" t="s">
        <v>322</v>
      </c>
      <c r="O43" s="1">
        <v>265.286</v>
      </c>
      <c r="P43" s="1">
        <v>7.84</v>
      </c>
      <c r="Q43" s="1" t="s">
        <v>323</v>
      </c>
      <c r="R43" s="1" t="s">
        <v>324</v>
      </c>
      <c r="S43" s="1">
        <v>192.5607</v>
      </c>
      <c r="T43" s="1">
        <v>5.69</v>
      </c>
      <c r="U43" s="1" t="s">
        <v>325</v>
      </c>
      <c r="V43" s="1" t="s">
        <v>326</v>
      </c>
      <c r="W43" s="1">
        <v>161.0454</v>
      </c>
      <c r="X43" s="1">
        <v>4.76</v>
      </c>
      <c r="Y43" s="1" t="s">
        <v>327</v>
      </c>
      <c r="Z43" s="1" t="s">
        <v>328</v>
      </c>
      <c r="AA43" s="1">
        <v>157.90700000000001</v>
      </c>
      <c r="AB43" s="1">
        <v>4.67</v>
      </c>
    </row>
    <row r="44" spans="1:28" x14ac:dyDescent="0.45">
      <c r="A44" s="1" t="s">
        <v>2705</v>
      </c>
      <c r="B44" s="1" t="s">
        <v>2706</v>
      </c>
      <c r="C44" s="1">
        <v>7</v>
      </c>
      <c r="D44" s="10">
        <f ca="1">IFERROR(([1]!thsiFinD("ths_close_price_index",$A44,$AE$2,"","")/[1]!thsiFinD("ths_close_price_index",$A44,$AE$5,"","")-1)*100,"")</f>
        <v>-22.572372498854008</v>
      </c>
      <c r="E44" s="10">
        <f ca="1">IFERROR(([1]!thsiFinD("ths_close_price_index",$A44,$AE$2,"","")/[1]!thsiFinD("ths_close_price_index",$A44,$AE$3,"","")-1)*100,"")</f>
        <v>0.13312360716715155</v>
      </c>
      <c r="F44" s="10">
        <f ca="1">IFERROR(([1]!thsiFinD("ths_close_price_index",$A44,$AE$2,"","")/[1]!thsiFinD("ths_close_price_index",$A44,$AE$4,"","")-1)*100,"")</f>
        <v>-5.1010469507073992</v>
      </c>
      <c r="G44" s="11">
        <f t="shared" ca="1" si="0"/>
        <v>0.28167706896880029</v>
      </c>
      <c r="H44" s="1">
        <v>86.08</v>
      </c>
      <c r="I44" s="1" t="s">
        <v>2707</v>
      </c>
      <c r="J44" s="1" t="s">
        <v>2708</v>
      </c>
      <c r="K44" s="1">
        <v>79.955799999999996</v>
      </c>
      <c r="L44" s="1">
        <v>27.84</v>
      </c>
      <c r="M44" s="1" t="s">
        <v>2709</v>
      </c>
      <c r="N44" s="1" t="s">
        <v>2710</v>
      </c>
      <c r="O44" s="1">
        <v>79.238699999999994</v>
      </c>
      <c r="P44" s="1">
        <v>27.59</v>
      </c>
      <c r="Q44" s="1" t="s">
        <v>2711</v>
      </c>
      <c r="R44" s="1" t="s">
        <v>2712</v>
      </c>
      <c r="S44" s="1">
        <v>32.749699999999997</v>
      </c>
      <c r="T44" s="1">
        <v>11.4</v>
      </c>
      <c r="U44" s="1" t="s">
        <v>2713</v>
      </c>
      <c r="V44" s="1" t="s">
        <v>2714</v>
      </c>
      <c r="W44" s="1">
        <v>28.815200000000001</v>
      </c>
      <c r="X44" s="1">
        <v>10.029999999999999</v>
      </c>
      <c r="Y44" s="1" t="s">
        <v>2715</v>
      </c>
      <c r="Z44" s="1" t="s">
        <v>2716</v>
      </c>
      <c r="AA44" s="1">
        <v>26.4925</v>
      </c>
      <c r="AB44" s="1">
        <v>9.2200000000000006</v>
      </c>
    </row>
    <row r="45" spans="1:28" x14ac:dyDescent="0.45">
      <c r="A45" s="1" t="s">
        <v>2457</v>
      </c>
      <c r="B45" s="1" t="s">
        <v>2458</v>
      </c>
      <c r="C45" s="1">
        <v>57</v>
      </c>
      <c r="D45" s="10">
        <f ca="1">IFERROR(([1]!thsiFinD("ths_close_price_index",$A45,$AE$2,"","")/[1]!thsiFinD("ths_close_price_index",$A45,$AE$5,"","")-1)*100,"")</f>
        <v>-21.999647132763766</v>
      </c>
      <c r="E45" s="10">
        <f ca="1">IFERROR(([1]!thsiFinD("ths_close_price_index",$A45,$AE$2,"","")/[1]!thsiFinD("ths_close_price_index",$A45,$AE$3,"","")-1)*100,"")</f>
        <v>-3.8965396373913941</v>
      </c>
      <c r="F45" s="10">
        <f ca="1">IFERROR(([1]!thsiFinD("ths_close_price_index",$A45,$AE$2,"","")/[1]!thsiFinD("ths_close_price_index",$A45,$AE$4,"","")-1)*100,"")</f>
        <v>-9.4671637056485061</v>
      </c>
      <c r="G45" s="11">
        <f t="shared" ca="1" si="0"/>
        <v>-0.30594974219585352</v>
      </c>
      <c r="H45" s="1">
        <v>31.35</v>
      </c>
      <c r="I45" s="1" t="s">
        <v>2459</v>
      </c>
      <c r="J45" s="1" t="s">
        <v>2460</v>
      </c>
      <c r="K45" s="1">
        <v>198.61920000000001</v>
      </c>
      <c r="L45" s="1">
        <v>7.7</v>
      </c>
      <c r="M45" s="1" t="s">
        <v>2461</v>
      </c>
      <c r="N45" s="1" t="s">
        <v>2462</v>
      </c>
      <c r="O45" s="1">
        <v>183.05170000000001</v>
      </c>
      <c r="P45" s="1">
        <v>7.1</v>
      </c>
      <c r="Q45" s="1" t="s">
        <v>2463</v>
      </c>
      <c r="R45" s="1" t="s">
        <v>2464</v>
      </c>
      <c r="S45" s="1">
        <v>158.90960000000001</v>
      </c>
      <c r="T45" s="1">
        <v>6.16</v>
      </c>
      <c r="U45" s="1" t="s">
        <v>2465</v>
      </c>
      <c r="V45" s="1" t="s">
        <v>2466</v>
      </c>
      <c r="W45" s="1">
        <v>137.8236</v>
      </c>
      <c r="X45" s="1">
        <v>5.34</v>
      </c>
      <c r="Y45" s="1" t="s">
        <v>2467</v>
      </c>
      <c r="Z45" s="1" t="s">
        <v>2468</v>
      </c>
      <c r="AA45" s="1">
        <v>130.35130000000001</v>
      </c>
      <c r="AB45" s="1">
        <v>5.05</v>
      </c>
    </row>
    <row r="46" spans="1:28" x14ac:dyDescent="0.45">
      <c r="A46" s="1" t="s">
        <v>723</v>
      </c>
      <c r="B46" s="1" t="s">
        <v>724</v>
      </c>
      <c r="C46" s="1">
        <v>8</v>
      </c>
      <c r="D46" s="10">
        <f ca="1">IFERROR(([1]!thsiFinD("ths_close_price_index",$A46,$AE$2,"","")/[1]!thsiFinD("ths_close_price_index",$A46,$AE$5,"","")-1)*100,"")</f>
        <v>10.196687787774184</v>
      </c>
      <c r="E46" s="10">
        <f ca="1">IFERROR(([1]!thsiFinD("ths_close_price_index",$A46,$AE$2,"","")/[1]!thsiFinD("ths_close_price_index",$A46,$AE$3,"","")-1)*100,"")</f>
        <v>-1.8528562628007395</v>
      </c>
      <c r="F46" s="10">
        <f ca="1">IFERROR(([1]!thsiFinD("ths_close_price_index",$A46,$AE$2,"","")/[1]!thsiFinD("ths_close_price_index",$A46,$AE$4,"","")-1)*100,"")</f>
        <v>-1.7467653586917598</v>
      </c>
      <c r="G46" s="11">
        <f t="shared" ca="1" si="0"/>
        <v>-0.2832329846255599</v>
      </c>
      <c r="H46" s="1">
        <v>88.76</v>
      </c>
      <c r="I46" s="1" t="s">
        <v>725</v>
      </c>
      <c r="J46" s="1" t="s">
        <v>726</v>
      </c>
      <c r="K46" s="1">
        <v>410.74349999999998</v>
      </c>
      <c r="L46" s="1">
        <v>34.53</v>
      </c>
      <c r="M46" s="1" t="s">
        <v>727</v>
      </c>
      <c r="N46" s="1" t="s">
        <v>728</v>
      </c>
      <c r="O46" s="1">
        <v>307.83769999999998</v>
      </c>
      <c r="P46" s="1">
        <v>25.88</v>
      </c>
      <c r="Q46" s="1" t="s">
        <v>729</v>
      </c>
      <c r="R46" s="1" t="s">
        <v>730</v>
      </c>
      <c r="S46" s="1">
        <v>209.4546</v>
      </c>
      <c r="T46" s="1">
        <v>17.61</v>
      </c>
      <c r="U46" s="1" t="s">
        <v>731</v>
      </c>
      <c r="V46" s="1" t="s">
        <v>732</v>
      </c>
      <c r="W46" s="1">
        <v>66.711500000000001</v>
      </c>
      <c r="X46" s="1">
        <v>5.61</v>
      </c>
      <c r="Y46" s="1" t="s">
        <v>733</v>
      </c>
      <c r="Z46" s="1" t="s">
        <v>734</v>
      </c>
      <c r="AA46" s="1">
        <v>61.029800000000002</v>
      </c>
      <c r="AB46" s="1">
        <v>5.13</v>
      </c>
    </row>
    <row r="47" spans="1:28" x14ac:dyDescent="0.45">
      <c r="A47" s="1" t="s">
        <v>2057</v>
      </c>
      <c r="B47" s="1" t="s">
        <v>2058</v>
      </c>
      <c r="C47" s="1">
        <v>53</v>
      </c>
      <c r="D47" s="10">
        <f ca="1">IFERROR(([1]!thsiFinD("ths_close_price_index",$A47,$AE$2,"","")/[1]!thsiFinD("ths_close_price_index",$A47,$AE$5,"","")-1)*100,"")</f>
        <v>-4.9994750833474821</v>
      </c>
      <c r="E47" s="10">
        <f ca="1">IFERROR(([1]!thsiFinD("ths_close_price_index",$A47,$AE$2,"","")/[1]!thsiFinD("ths_close_price_index",$A47,$AE$3,"","")-1)*100,"")</f>
        <v>9.4874126453676979</v>
      </c>
      <c r="F47" s="10">
        <f ca="1">IFERROR(([1]!thsiFinD("ths_close_price_index",$A47,$AE$2,"","")/[1]!thsiFinD("ths_close_price_index",$A47,$AE$4,"","")-1)*100,"")</f>
        <v>12.574280920033543</v>
      </c>
      <c r="G47" s="11">
        <f t="shared" ca="1" si="0"/>
        <v>1.2687684830718624</v>
      </c>
      <c r="H47" s="1">
        <v>52.94</v>
      </c>
      <c r="I47" s="1" t="s">
        <v>2059</v>
      </c>
      <c r="J47" s="1" t="s">
        <v>2060</v>
      </c>
      <c r="K47" s="1">
        <v>2606.1262000000002</v>
      </c>
      <c r="L47" s="1">
        <v>15.55</v>
      </c>
      <c r="M47" s="1" t="s">
        <v>2061</v>
      </c>
      <c r="N47" s="1" t="s">
        <v>2062</v>
      </c>
      <c r="O47" s="1">
        <v>2570.1376</v>
      </c>
      <c r="P47" s="1">
        <v>15.34</v>
      </c>
      <c r="Q47" s="1" t="s">
        <v>2063</v>
      </c>
      <c r="R47" s="1" t="s">
        <v>2064</v>
      </c>
      <c r="S47" s="1">
        <v>1941.9068</v>
      </c>
      <c r="T47" s="1">
        <v>11.59</v>
      </c>
      <c r="U47" s="1" t="s">
        <v>2065</v>
      </c>
      <c r="V47" s="1" t="s">
        <v>2066</v>
      </c>
      <c r="W47" s="1">
        <v>1091.3409999999999</v>
      </c>
      <c r="X47" s="1">
        <v>6.51</v>
      </c>
      <c r="Y47" s="1" t="s">
        <v>2067</v>
      </c>
      <c r="Z47" s="1" t="s">
        <v>2068</v>
      </c>
      <c r="AA47" s="1">
        <v>662.69749999999999</v>
      </c>
      <c r="AB47" s="1">
        <v>3.95</v>
      </c>
    </row>
    <row r="48" spans="1:28" x14ac:dyDescent="0.45">
      <c r="A48" s="1" t="s">
        <v>677</v>
      </c>
      <c r="B48" s="1" t="s">
        <v>678</v>
      </c>
      <c r="C48" s="1">
        <v>26</v>
      </c>
      <c r="D48" s="10">
        <f ca="1">IFERROR(([1]!thsiFinD("ths_close_price_index",$A48,$AE$2,"","")/[1]!thsiFinD("ths_close_price_index",$A48,$AE$5,"","")-1)*100,"")</f>
        <v>19.702331293920338</v>
      </c>
      <c r="E48" s="10">
        <f ca="1">IFERROR(([1]!thsiFinD("ths_close_price_index",$A48,$AE$2,"","")/[1]!thsiFinD("ths_close_price_index",$A48,$AE$3,"","")-1)*100,"")</f>
        <v>5.5178131004501862</v>
      </c>
      <c r="F48" s="10">
        <f ca="1">IFERROR(([1]!thsiFinD("ths_close_price_index",$A48,$AE$2,"","")/[1]!thsiFinD("ths_close_price_index",$A48,$AE$4,"","")-1)*100,"")</f>
        <v>5.6637976758717068</v>
      </c>
      <c r="G48" s="11">
        <f t="shared" ca="1" si="0"/>
        <v>0.82037273629645191</v>
      </c>
      <c r="H48" s="1">
        <v>81.7</v>
      </c>
      <c r="I48" s="1" t="s">
        <v>679</v>
      </c>
      <c r="J48" s="1" t="s">
        <v>680</v>
      </c>
      <c r="K48" s="1">
        <v>654.64620000000002</v>
      </c>
      <c r="L48" s="1">
        <v>56.05</v>
      </c>
      <c r="M48" s="1" t="s">
        <v>681</v>
      </c>
      <c r="N48" s="1" t="s">
        <v>682</v>
      </c>
      <c r="O48" s="1">
        <v>111.7501</v>
      </c>
      <c r="P48" s="1">
        <v>9.57</v>
      </c>
      <c r="Q48" s="1" t="s">
        <v>683</v>
      </c>
      <c r="R48" s="1" t="s">
        <v>684</v>
      </c>
      <c r="S48" s="1">
        <v>91.407899999999998</v>
      </c>
      <c r="T48" s="1">
        <v>7.83</v>
      </c>
      <c r="U48" s="1" t="s">
        <v>685</v>
      </c>
      <c r="V48" s="1" t="s">
        <v>686</v>
      </c>
      <c r="W48" s="1">
        <v>54.2</v>
      </c>
      <c r="X48" s="1">
        <v>4.6399999999999997</v>
      </c>
      <c r="Y48" s="1" t="s">
        <v>687</v>
      </c>
      <c r="Z48" s="1" t="s">
        <v>688</v>
      </c>
      <c r="AA48" s="1">
        <v>42.124400000000001</v>
      </c>
      <c r="AB48" s="1">
        <v>3.61</v>
      </c>
    </row>
    <row r="49" spans="1:28" x14ac:dyDescent="0.45">
      <c r="A49" s="1" t="s">
        <v>289</v>
      </c>
      <c r="B49" s="1" t="s">
        <v>290</v>
      </c>
      <c r="C49" s="1">
        <v>3</v>
      </c>
      <c r="D49" s="10">
        <f ca="1">IFERROR(([1]!thsiFinD("ths_close_price_index",$A49,$AE$2,"","")/[1]!thsiFinD("ths_close_price_index",$A49,$AE$5,"","")-1)*100,"")</f>
        <v>39.921972809444469</v>
      </c>
      <c r="E49" s="10">
        <f ca="1">IFERROR(([1]!thsiFinD("ths_close_price_index",$A49,$AE$2,"","")/[1]!thsiFinD("ths_close_price_index",$A49,$AE$3,"","")-1)*100,"")</f>
        <v>-3.0042639885931366</v>
      </c>
      <c r="F49" s="10">
        <f ca="1">IFERROR(([1]!thsiFinD("ths_close_price_index",$A49,$AE$2,"","")/[1]!thsiFinD("ths_close_price_index",$A49,$AE$4,"","")-1)*100,"")</f>
        <v>-12.418249496029897</v>
      </c>
      <c r="G49" s="11">
        <f t="shared" ca="1" si="0"/>
        <v>2.00596770828676E-2</v>
      </c>
      <c r="H49" s="1">
        <v>100</v>
      </c>
      <c r="I49" s="1" t="s">
        <v>291</v>
      </c>
      <c r="J49" s="1" t="s">
        <v>292</v>
      </c>
      <c r="K49" s="1">
        <v>46.621899999999997</v>
      </c>
      <c r="L49" s="1">
        <v>61.68</v>
      </c>
      <c r="M49" s="1" t="s">
        <v>293</v>
      </c>
      <c r="N49" s="1" t="s">
        <v>294</v>
      </c>
      <c r="O49" s="1">
        <v>28.9697</v>
      </c>
      <c r="P49" s="1">
        <v>38.32</v>
      </c>
    </row>
    <row r="50" spans="1:28" x14ac:dyDescent="0.45">
      <c r="A50" s="1" t="s">
        <v>2367</v>
      </c>
      <c r="B50" s="1" t="s">
        <v>2368</v>
      </c>
      <c r="C50" s="1">
        <v>13</v>
      </c>
      <c r="D50" s="10">
        <f ca="1">IFERROR(([1]!thsiFinD("ths_close_price_index",$A50,$AE$2,"","")/[1]!thsiFinD("ths_close_price_index",$A50,$AE$5,"","")-1)*100,"")</f>
        <v>-15.701844643101225</v>
      </c>
      <c r="E50" s="10">
        <f ca="1">IFERROR(([1]!thsiFinD("ths_close_price_index",$A50,$AE$2,"","")/[1]!thsiFinD("ths_close_price_index",$A50,$AE$3,"","")-1)*100,"")</f>
        <v>1.4120548768061791</v>
      </c>
      <c r="F50" s="10">
        <f ca="1">IFERROR(([1]!thsiFinD("ths_close_price_index",$A50,$AE$2,"","")/[1]!thsiFinD("ths_close_price_index",$A50,$AE$4,"","")-1)*100,"")</f>
        <v>-7.421956695457288</v>
      </c>
      <c r="G50" s="11">
        <f t="shared" ca="1" si="0"/>
        <v>0.65350881013410023</v>
      </c>
      <c r="H50" s="1">
        <v>79.22</v>
      </c>
      <c r="I50" s="1" t="s">
        <v>2369</v>
      </c>
      <c r="J50" s="1" t="s">
        <v>2370</v>
      </c>
      <c r="K50" s="1">
        <v>214.04419999999999</v>
      </c>
      <c r="L50" s="1">
        <v>26.61</v>
      </c>
      <c r="M50" s="1" t="s">
        <v>2371</v>
      </c>
      <c r="N50" s="1" t="s">
        <v>2372</v>
      </c>
      <c r="O50" s="1">
        <v>171.18100000000001</v>
      </c>
      <c r="P50" s="1">
        <v>21.28</v>
      </c>
      <c r="Q50" s="1" t="s">
        <v>2373</v>
      </c>
      <c r="R50" s="1" t="s">
        <v>2374</v>
      </c>
      <c r="S50" s="1">
        <v>139.92599999999999</v>
      </c>
      <c r="T50" s="1">
        <v>17.399999999999999</v>
      </c>
      <c r="U50" s="1" t="s">
        <v>2375</v>
      </c>
      <c r="V50" s="1" t="s">
        <v>2376</v>
      </c>
      <c r="W50" s="1">
        <v>62.264899999999997</v>
      </c>
      <c r="X50" s="1">
        <v>7.74</v>
      </c>
      <c r="Y50" s="1" t="s">
        <v>2377</v>
      </c>
      <c r="Z50" s="1" t="s">
        <v>2378</v>
      </c>
      <c r="AA50" s="1">
        <v>49.762900000000002</v>
      </c>
      <c r="AB50" s="1">
        <v>6.19</v>
      </c>
    </row>
    <row r="51" spans="1:28" x14ac:dyDescent="0.45">
      <c r="A51" s="1" t="s">
        <v>771</v>
      </c>
      <c r="B51" s="1" t="s">
        <v>772</v>
      </c>
      <c r="C51" s="1">
        <v>27</v>
      </c>
      <c r="D51" s="10">
        <f ca="1">IFERROR(([1]!thsiFinD("ths_close_price_index",$A51,$AE$2,"","")/[1]!thsiFinD("ths_close_price_index",$A51,$AE$5,"","")-1)*100,"")</f>
        <v>12.722415686339538</v>
      </c>
      <c r="E51" s="10">
        <f ca="1">IFERROR(([1]!thsiFinD("ths_close_price_index",$A51,$AE$2,"","")/[1]!thsiFinD("ths_close_price_index",$A51,$AE$3,"","")-1)*100,"")</f>
        <v>0.6244885423252855</v>
      </c>
      <c r="F51" s="10">
        <f ca="1">IFERROR(([1]!thsiFinD("ths_close_price_index",$A51,$AE$2,"","")/[1]!thsiFinD("ths_close_price_index",$A51,$AE$4,"","")-1)*100,"")</f>
        <v>-5.2452475223457977</v>
      </c>
      <c r="G51" s="11">
        <f t="shared" ca="1" si="0"/>
        <v>0.38716008458234696</v>
      </c>
      <c r="H51" s="1">
        <v>44.89</v>
      </c>
      <c r="I51" s="1" t="s">
        <v>773</v>
      </c>
      <c r="J51" s="1" t="s">
        <v>774</v>
      </c>
      <c r="K51" s="1">
        <v>63.156799999999997</v>
      </c>
      <c r="L51" s="1">
        <v>12.47</v>
      </c>
      <c r="M51" s="1" t="s">
        <v>775</v>
      </c>
      <c r="N51" s="1" t="s">
        <v>776</v>
      </c>
      <c r="O51" s="1">
        <v>44.802599999999998</v>
      </c>
      <c r="P51" s="1">
        <v>8.84</v>
      </c>
      <c r="Q51" s="1" t="s">
        <v>777</v>
      </c>
      <c r="R51" s="1" t="s">
        <v>778</v>
      </c>
      <c r="S51" s="1">
        <v>42.1723</v>
      </c>
      <c r="T51" s="1">
        <v>8.33</v>
      </c>
      <c r="U51" s="1" t="s">
        <v>779</v>
      </c>
      <c r="V51" s="1" t="s">
        <v>780</v>
      </c>
      <c r="W51" s="1">
        <v>39.372199999999999</v>
      </c>
      <c r="X51" s="1">
        <v>7.77</v>
      </c>
      <c r="Y51" s="1" t="s">
        <v>781</v>
      </c>
      <c r="Z51" s="1" t="s">
        <v>782</v>
      </c>
      <c r="AA51" s="1">
        <v>37.908000000000001</v>
      </c>
      <c r="AB51" s="1">
        <v>7.48</v>
      </c>
    </row>
    <row r="52" spans="1:28" x14ac:dyDescent="0.45">
      <c r="A52" s="1" t="s">
        <v>1911</v>
      </c>
      <c r="B52" s="1" t="s">
        <v>1912</v>
      </c>
      <c r="C52" s="1">
        <v>13</v>
      </c>
      <c r="D52" s="10">
        <f ca="1">IFERROR(([1]!thsiFinD("ths_close_price_index",$A52,$AE$2,"","")/[1]!thsiFinD("ths_close_price_index",$A52,$AE$5,"","")-1)*100,"")</f>
        <v>-13.404022367878454</v>
      </c>
      <c r="E52" s="10">
        <f ca="1">IFERROR(([1]!thsiFinD("ths_close_price_index",$A52,$AE$2,"","")/[1]!thsiFinD("ths_close_price_index",$A52,$AE$3,"","")-1)*100,"")</f>
        <v>-2.3782432939427944</v>
      </c>
      <c r="F52" s="10">
        <f ca="1">IFERROR(([1]!thsiFinD("ths_close_price_index",$A52,$AE$2,"","")/[1]!thsiFinD("ths_close_price_index",$A52,$AE$4,"","")-1)*100,"")</f>
        <v>-10.676649037038466</v>
      </c>
      <c r="G52" s="11">
        <f t="shared" ca="1" si="0"/>
        <v>5.8183793063364408E-2</v>
      </c>
      <c r="H52" s="1">
        <v>51.24</v>
      </c>
      <c r="I52" s="1" t="s">
        <v>1913</v>
      </c>
      <c r="J52" s="1" t="s">
        <v>1914</v>
      </c>
      <c r="K52" s="1">
        <v>29.497800000000002</v>
      </c>
      <c r="L52" s="1">
        <v>11.82</v>
      </c>
      <c r="M52" s="1" t="s">
        <v>1915</v>
      </c>
      <c r="N52" s="1" t="s">
        <v>1916</v>
      </c>
      <c r="O52" s="1">
        <v>28.292899999999999</v>
      </c>
      <c r="P52" s="1">
        <v>11.33</v>
      </c>
      <c r="Q52" s="1" t="s">
        <v>1917</v>
      </c>
      <c r="R52" s="1" t="s">
        <v>1918</v>
      </c>
      <c r="S52" s="1">
        <v>27.049600000000002</v>
      </c>
      <c r="T52" s="1">
        <v>10.84</v>
      </c>
      <c r="U52" s="1" t="s">
        <v>1919</v>
      </c>
      <c r="V52" s="1" t="s">
        <v>1920</v>
      </c>
      <c r="W52" s="1">
        <v>21.6966</v>
      </c>
      <c r="X52" s="1">
        <v>8.69</v>
      </c>
      <c r="Y52" s="1" t="s">
        <v>1921</v>
      </c>
      <c r="Z52" s="1" t="s">
        <v>1922</v>
      </c>
      <c r="AA52" s="1">
        <v>21.359100000000002</v>
      </c>
      <c r="AB52" s="1">
        <v>8.56</v>
      </c>
    </row>
    <row r="53" spans="1:28" x14ac:dyDescent="0.45">
      <c r="A53" s="1" t="s">
        <v>1969</v>
      </c>
      <c r="B53" s="1" t="s">
        <v>1970</v>
      </c>
      <c r="C53" s="1">
        <v>2</v>
      </c>
      <c r="D53" s="10">
        <f ca="1">IFERROR(([1]!thsiFinD("ths_close_price_index",$A53,$AE$2,"","")/[1]!thsiFinD("ths_close_price_index",$A53,$AE$5,"","")-1)*100,"")</f>
        <v>-10.818778342804558</v>
      </c>
      <c r="E53" s="10">
        <f ca="1">IFERROR(([1]!thsiFinD("ths_close_price_index",$A53,$AE$2,"","")/[1]!thsiFinD("ths_close_price_index",$A53,$AE$3,"","")-1)*100,"")</f>
        <v>1.0053474487430991</v>
      </c>
      <c r="F53" s="10">
        <f ca="1">IFERROR(([1]!thsiFinD("ths_close_price_index",$A53,$AE$2,"","")/[1]!thsiFinD("ths_close_price_index",$A53,$AE$4,"","")-1)*100,"")</f>
        <v>-8.9376049283536592</v>
      </c>
      <c r="G53" s="11">
        <f t="shared" ca="1" si="0"/>
        <v>0.6479497361663028</v>
      </c>
      <c r="H53" s="1">
        <v>100</v>
      </c>
      <c r="I53" s="1" t="s">
        <v>1971</v>
      </c>
      <c r="J53" s="1" t="s">
        <v>1972</v>
      </c>
      <c r="K53" s="1">
        <v>92.471299999999999</v>
      </c>
      <c r="L53" s="1">
        <v>51.89</v>
      </c>
      <c r="M53" s="1" t="s">
        <v>1973</v>
      </c>
      <c r="N53" s="1" t="s">
        <v>1974</v>
      </c>
      <c r="O53" s="1">
        <v>85.721599999999995</v>
      </c>
      <c r="P53" s="1">
        <v>48.11</v>
      </c>
    </row>
    <row r="54" spans="1:28" x14ac:dyDescent="0.45">
      <c r="A54" s="1" t="s">
        <v>2813</v>
      </c>
      <c r="B54" s="1" t="s">
        <v>2814</v>
      </c>
      <c r="C54" s="1">
        <v>4</v>
      </c>
      <c r="D54" s="10">
        <f ca="1">IFERROR(([1]!thsiFinD("ths_close_price_index",$A54,$AE$2,"","")/[1]!thsiFinD("ths_close_price_index",$A54,$AE$5,"","")-1)*100,"")</f>
        <v>-31.724171710094538</v>
      </c>
      <c r="E54" s="10">
        <f ca="1">IFERROR(([1]!thsiFinD("ths_close_price_index",$A54,$AE$2,"","")/[1]!thsiFinD("ths_close_price_index",$A54,$AE$3,"","")-1)*100,"")</f>
        <v>-8.8269992917816573</v>
      </c>
      <c r="F54" s="10">
        <f ca="1">IFERROR(([1]!thsiFinD("ths_close_price_index",$A54,$AE$2,"","")/[1]!thsiFinD("ths_close_price_index",$A54,$AE$4,"","")-1)*100,"")</f>
        <v>-14.464307281189093</v>
      </c>
      <c r="G54" s="11">
        <f t="shared" ca="1" si="0"/>
        <v>-1.042184494296877</v>
      </c>
      <c r="H54" s="1">
        <v>100</v>
      </c>
      <c r="I54" s="1" t="s">
        <v>2815</v>
      </c>
      <c r="J54" s="1" t="s">
        <v>2816</v>
      </c>
      <c r="K54" s="1">
        <v>139.22470000000001</v>
      </c>
      <c r="L54" s="1">
        <v>75.31</v>
      </c>
      <c r="M54" s="1" t="s">
        <v>2817</v>
      </c>
      <c r="N54" s="1" t="s">
        <v>2818</v>
      </c>
      <c r="O54" s="1">
        <v>16.192399999999999</v>
      </c>
      <c r="P54" s="1">
        <v>8.76</v>
      </c>
      <c r="Q54" s="1" t="s">
        <v>2819</v>
      </c>
      <c r="R54" s="1" t="s">
        <v>2820</v>
      </c>
      <c r="S54" s="1">
        <v>16.126100000000001</v>
      </c>
      <c r="T54" s="1">
        <v>8.7200000000000006</v>
      </c>
      <c r="U54" s="1" t="s">
        <v>2821</v>
      </c>
      <c r="V54" s="1" t="s">
        <v>2822</v>
      </c>
      <c r="W54" s="1">
        <v>13.323600000000001</v>
      </c>
      <c r="X54" s="1">
        <v>7.21</v>
      </c>
    </row>
    <row r="55" spans="1:28" x14ac:dyDescent="0.45">
      <c r="A55" s="1" t="s">
        <v>1957</v>
      </c>
      <c r="B55" s="1" t="s">
        <v>1958</v>
      </c>
      <c r="C55" s="1">
        <v>7</v>
      </c>
      <c r="D55" s="10">
        <f ca="1">IFERROR(([1]!thsiFinD("ths_close_price_index",$A55,$AE$2,"","")/[1]!thsiFinD("ths_close_price_index",$A55,$AE$5,"","")-1)*100,"")</f>
        <v>-9.513441603295858</v>
      </c>
      <c r="E55" s="10">
        <f ca="1">IFERROR(([1]!thsiFinD("ths_close_price_index",$A55,$AE$2,"","")/[1]!thsiFinD("ths_close_price_index",$A55,$AE$3,"","")-1)*100,"")</f>
        <v>2.4142642741753706</v>
      </c>
      <c r="F55" s="10">
        <f ca="1">IFERROR(([1]!thsiFinD("ths_close_price_index",$A55,$AE$2,"","")/[1]!thsiFinD("ths_close_price_index",$A55,$AE$4,"","")-1)*100,"")</f>
        <v>-4.4574904144974559</v>
      </c>
      <c r="G55" s="11">
        <f t="shared" ca="1" si="0"/>
        <v>0.70572737555994691</v>
      </c>
      <c r="H55" s="1">
        <v>90.44</v>
      </c>
      <c r="I55" s="1" t="s">
        <v>1959</v>
      </c>
      <c r="J55" s="1" t="s">
        <v>1960</v>
      </c>
      <c r="K55" s="1">
        <v>218.15360000000001</v>
      </c>
      <c r="L55" s="1">
        <v>40.82</v>
      </c>
      <c r="M55" s="1" t="s">
        <v>1961</v>
      </c>
      <c r="N55" s="1" t="s">
        <v>1962</v>
      </c>
      <c r="O55" s="1">
        <v>109.0819</v>
      </c>
      <c r="P55" s="1">
        <v>20.41</v>
      </c>
      <c r="Q55" s="1" t="s">
        <v>1963</v>
      </c>
      <c r="R55" s="1" t="s">
        <v>1964</v>
      </c>
      <c r="S55" s="1">
        <v>94.707700000000003</v>
      </c>
      <c r="T55" s="1">
        <v>17.72</v>
      </c>
      <c r="U55" s="1" t="s">
        <v>1965</v>
      </c>
      <c r="V55" s="1" t="s">
        <v>1966</v>
      </c>
      <c r="W55" s="1">
        <v>30.733699999999999</v>
      </c>
      <c r="X55" s="1">
        <v>5.75</v>
      </c>
      <c r="Y55" s="1" t="s">
        <v>1967</v>
      </c>
      <c r="Z55" s="1" t="s">
        <v>1968</v>
      </c>
      <c r="AA55" s="1">
        <v>30.653199999999998</v>
      </c>
      <c r="AB55" s="1">
        <v>5.74</v>
      </c>
    </row>
    <row r="56" spans="1:28" x14ac:dyDescent="0.45">
      <c r="A56" s="1" t="s">
        <v>1539</v>
      </c>
      <c r="B56" s="1" t="s">
        <v>1540</v>
      </c>
      <c r="C56" s="1">
        <v>20</v>
      </c>
      <c r="D56" s="10">
        <f ca="1">IFERROR(([1]!thsiFinD("ths_close_price_index",$A56,$AE$2,"","")/[1]!thsiFinD("ths_close_price_index",$A56,$AE$5,"","")-1)*100,"")</f>
        <v>-10.983597088925567</v>
      </c>
      <c r="E56" s="10">
        <f ca="1">IFERROR(([1]!thsiFinD("ths_close_price_index",$A56,$AE$2,"","")/[1]!thsiFinD("ths_close_price_index",$A56,$AE$3,"","")-1)*100,"")</f>
        <v>-3.9423179874677916</v>
      </c>
      <c r="F56" s="10">
        <f ca="1">IFERROR(([1]!thsiFinD("ths_close_price_index",$A56,$AE$2,"","")/[1]!thsiFinD("ths_close_price_index",$A56,$AE$4,"","")-1)*100,"")</f>
        <v>-18.765396392688526</v>
      </c>
      <c r="G56" s="11">
        <f t="shared" ca="1" si="0"/>
        <v>0.14980622214086803</v>
      </c>
      <c r="H56" s="1">
        <v>89.48</v>
      </c>
      <c r="I56" s="1" t="s">
        <v>1541</v>
      </c>
      <c r="J56" s="1" t="s">
        <v>1542</v>
      </c>
      <c r="K56" s="1">
        <v>584.22749999999996</v>
      </c>
      <c r="L56" s="1">
        <v>48.02</v>
      </c>
      <c r="M56" s="1" t="s">
        <v>1543</v>
      </c>
      <c r="N56" s="1" t="s">
        <v>1544</v>
      </c>
      <c r="O56" s="1">
        <v>225.32390000000001</v>
      </c>
      <c r="P56" s="1">
        <v>18.52</v>
      </c>
      <c r="Q56" s="1" t="s">
        <v>1545</v>
      </c>
      <c r="R56" s="1" t="s">
        <v>1546</v>
      </c>
      <c r="S56" s="1">
        <v>102.352</v>
      </c>
      <c r="T56" s="1">
        <v>8.41</v>
      </c>
      <c r="U56" s="1" t="s">
        <v>1547</v>
      </c>
      <c r="V56" s="1" t="s">
        <v>1548</v>
      </c>
      <c r="W56" s="1">
        <v>95.767200000000003</v>
      </c>
      <c r="X56" s="1">
        <v>7.87</v>
      </c>
      <c r="Y56" s="1" t="s">
        <v>1549</v>
      </c>
      <c r="Z56" s="1" t="s">
        <v>1550</v>
      </c>
      <c r="AA56" s="1">
        <v>81.034099999999995</v>
      </c>
      <c r="AB56" s="1">
        <v>6.66</v>
      </c>
    </row>
    <row r="57" spans="1:28" x14ac:dyDescent="0.45">
      <c r="A57" s="1" t="s">
        <v>2355</v>
      </c>
      <c r="B57" s="1" t="s">
        <v>2356</v>
      </c>
      <c r="C57" s="1">
        <v>6</v>
      </c>
      <c r="D57" s="10">
        <f ca="1">IFERROR(([1]!thsiFinD("ths_close_price_index",$A57,$AE$2,"","")/[1]!thsiFinD("ths_close_price_index",$A57,$AE$5,"","")-1)*100,"")</f>
        <v>-21.870020602395034</v>
      </c>
      <c r="E57" s="10">
        <f ca="1">IFERROR(([1]!thsiFinD("ths_close_price_index",$A57,$AE$2,"","")/[1]!thsiFinD("ths_close_price_index",$A57,$AE$3,"","")-1)*100,"")</f>
        <v>-6.0706540434689256</v>
      </c>
      <c r="F57" s="10">
        <f ca="1">IFERROR(([1]!thsiFinD("ths_close_price_index",$A57,$AE$2,"","")/[1]!thsiFinD("ths_close_price_index",$A57,$AE$4,"","")-1)*100,"")</f>
        <v>-14.574925244698978</v>
      </c>
      <c r="G57" s="11">
        <f t="shared" ca="1" si="0"/>
        <v>-0.48538454645883633</v>
      </c>
      <c r="H57" s="1">
        <v>89.45</v>
      </c>
      <c r="I57" s="1" t="s">
        <v>2357</v>
      </c>
      <c r="J57" s="1" t="s">
        <v>2358</v>
      </c>
      <c r="K57" s="1">
        <v>22.7822</v>
      </c>
      <c r="L57" s="1">
        <v>21.93</v>
      </c>
      <c r="M57" s="1" t="s">
        <v>2359</v>
      </c>
      <c r="N57" s="1" t="s">
        <v>2360</v>
      </c>
      <c r="O57" s="1">
        <v>22.077000000000002</v>
      </c>
      <c r="P57" s="1">
        <v>21.25</v>
      </c>
      <c r="Q57" s="1" t="s">
        <v>2361</v>
      </c>
      <c r="R57" s="1" t="s">
        <v>2362</v>
      </c>
      <c r="S57" s="1">
        <v>16.808900000000001</v>
      </c>
      <c r="T57" s="1">
        <v>16.18</v>
      </c>
      <c r="U57" s="1" t="s">
        <v>2363</v>
      </c>
      <c r="V57" s="1" t="s">
        <v>2364</v>
      </c>
      <c r="W57" s="1">
        <v>15.6624</v>
      </c>
      <c r="X57" s="1">
        <v>15.07</v>
      </c>
      <c r="Y57" s="1" t="s">
        <v>2365</v>
      </c>
      <c r="Z57" s="1" t="s">
        <v>2366</v>
      </c>
      <c r="AA57" s="1">
        <v>15.6043</v>
      </c>
      <c r="AB57" s="1">
        <v>15.02</v>
      </c>
    </row>
    <row r="58" spans="1:28" x14ac:dyDescent="0.45">
      <c r="A58" s="1" t="s">
        <v>2915</v>
      </c>
      <c r="B58" s="1" t="s">
        <v>2916</v>
      </c>
      <c r="C58" s="1">
        <v>4</v>
      </c>
      <c r="D58" s="10">
        <f ca="1">IFERROR(([1]!thsiFinD("ths_close_price_index",$A58,$AE$2,"","")/[1]!thsiFinD("ths_close_price_index",$A58,$AE$5,"","")-1)*100,"")</f>
        <v>-30.784644518064663</v>
      </c>
      <c r="E58" s="10">
        <f ca="1">IFERROR(([1]!thsiFinD("ths_close_price_index",$A58,$AE$2,"","")/[1]!thsiFinD("ths_close_price_index",$A58,$AE$3,"","")-1)*100,"")</f>
        <v>-3.2543880617207366</v>
      </c>
      <c r="F58" s="10">
        <f ca="1">IFERROR(([1]!thsiFinD("ths_close_price_index",$A58,$AE$2,"","")/[1]!thsiFinD("ths_close_price_index",$A58,$AE$4,"","")-1)*100,"")</f>
        <v>-10.945201406258198</v>
      </c>
      <c r="G58" s="11">
        <f t="shared" ca="1" si="0"/>
        <v>-0.10361754203123741</v>
      </c>
      <c r="H58" s="1">
        <v>100</v>
      </c>
      <c r="I58" s="1" t="s">
        <v>2917</v>
      </c>
      <c r="J58" s="1" t="s">
        <v>2918</v>
      </c>
      <c r="K58" s="1">
        <v>450.13</v>
      </c>
      <c r="L58" s="1">
        <v>55.87</v>
      </c>
      <c r="M58" s="1" t="s">
        <v>2919</v>
      </c>
      <c r="N58" s="1" t="s">
        <v>2920</v>
      </c>
      <c r="O58" s="1">
        <v>178.56890000000001</v>
      </c>
      <c r="P58" s="1">
        <v>22.16</v>
      </c>
      <c r="Q58" s="1" t="s">
        <v>2921</v>
      </c>
      <c r="R58" s="1" t="s">
        <v>2922</v>
      </c>
      <c r="S58" s="1">
        <v>116.7282</v>
      </c>
      <c r="T58" s="1">
        <v>14.49</v>
      </c>
      <c r="U58" s="1" t="s">
        <v>2923</v>
      </c>
      <c r="V58" s="1" t="s">
        <v>2924</v>
      </c>
      <c r="W58" s="1">
        <v>60.273699999999998</v>
      </c>
      <c r="X58" s="1">
        <v>7.48</v>
      </c>
    </row>
    <row r="59" spans="1:28" x14ac:dyDescent="0.45">
      <c r="A59" s="1" t="s">
        <v>1677</v>
      </c>
      <c r="B59" s="1" t="s">
        <v>1678</v>
      </c>
      <c r="C59" s="1">
        <v>4</v>
      </c>
      <c r="D59" s="10">
        <f ca="1">IFERROR(([1]!thsiFinD("ths_close_price_index",$A59,$AE$2,"","")/[1]!thsiFinD("ths_close_price_index",$A59,$AE$5,"","")-1)*100,"")</f>
        <v>-13.568777545760591</v>
      </c>
      <c r="E59" s="10">
        <f ca="1">IFERROR(([1]!thsiFinD("ths_close_price_index",$A59,$AE$2,"","")/[1]!thsiFinD("ths_close_price_index",$A59,$AE$3,"","")-1)*100,"")</f>
        <v>-4.9300911826892113</v>
      </c>
      <c r="F59" s="10">
        <f ca="1">IFERROR(([1]!thsiFinD("ths_close_price_index",$A59,$AE$2,"","")/[1]!thsiFinD("ths_close_price_index",$A59,$AE$4,"","")-1)*100,"")</f>
        <v>-4.820132718939707</v>
      </c>
      <c r="G59" s="11">
        <f t="shared" ca="1" si="0"/>
        <v>-0.74501160059085692</v>
      </c>
      <c r="H59" s="1">
        <v>100</v>
      </c>
      <c r="I59" s="1" t="s">
        <v>1679</v>
      </c>
      <c r="J59" s="1" t="s">
        <v>1680</v>
      </c>
      <c r="K59" s="1">
        <v>130.62200000000001</v>
      </c>
      <c r="L59" s="1">
        <v>43.07</v>
      </c>
      <c r="M59" s="1" t="s">
        <v>1681</v>
      </c>
      <c r="N59" s="1" t="s">
        <v>1682</v>
      </c>
      <c r="O59" s="1">
        <v>102.64239999999999</v>
      </c>
      <c r="P59" s="1">
        <v>33.840000000000003</v>
      </c>
      <c r="Q59" s="1" t="s">
        <v>1683</v>
      </c>
      <c r="R59" s="1" t="s">
        <v>1684</v>
      </c>
      <c r="S59" s="1">
        <v>59.1021</v>
      </c>
      <c r="T59" s="1">
        <v>19.489999999999998</v>
      </c>
      <c r="U59" s="1" t="s">
        <v>1685</v>
      </c>
      <c r="V59" s="1" t="s">
        <v>1686</v>
      </c>
      <c r="W59" s="1">
        <v>10.907</v>
      </c>
      <c r="X59" s="1">
        <v>3.6</v>
      </c>
    </row>
    <row r="60" spans="1:28" x14ac:dyDescent="0.45">
      <c r="A60" s="1" t="s">
        <v>265</v>
      </c>
      <c r="B60" s="1" t="s">
        <v>266</v>
      </c>
      <c r="C60" s="1">
        <v>91</v>
      </c>
      <c r="D60" s="10">
        <f ca="1">IFERROR(([1]!thsiFinD("ths_close_price_index",$A60,$AE$2,"","")/[1]!thsiFinD("ths_close_price_index",$A60,$AE$5,"","")-1)*100,"")</f>
        <v>48.694095084554775</v>
      </c>
      <c r="E60" s="10">
        <f ca="1">IFERROR(([1]!thsiFinD("ths_close_price_index",$A60,$AE$2,"","")/[1]!thsiFinD("ths_close_price_index",$A60,$AE$3,"","")-1)*100,"")</f>
        <v>2.1752303271315387</v>
      </c>
      <c r="F60" s="10">
        <f ca="1">IFERROR(([1]!thsiFinD("ths_close_price_index",$A60,$AE$2,"","")/[1]!thsiFinD("ths_close_price_index",$A60,$AE$4,"","")-1)*100,"")</f>
        <v>7.1069762151662497</v>
      </c>
      <c r="G60" s="11">
        <f t="shared" ca="1" si="0"/>
        <v>7.9697254667995265E-2</v>
      </c>
      <c r="H60" s="1">
        <v>60.15</v>
      </c>
      <c r="I60" s="1" t="s">
        <v>267</v>
      </c>
      <c r="J60" s="1" t="s">
        <v>268</v>
      </c>
      <c r="K60" s="1">
        <v>3304.4222</v>
      </c>
      <c r="L60" s="1">
        <v>21.57</v>
      </c>
      <c r="M60" s="1" t="s">
        <v>269</v>
      </c>
      <c r="N60" s="1" t="s">
        <v>270</v>
      </c>
      <c r="O60" s="1">
        <v>3103.8119000000002</v>
      </c>
      <c r="P60" s="1">
        <v>20.260000000000002</v>
      </c>
      <c r="Q60" s="1" t="s">
        <v>271</v>
      </c>
      <c r="R60" s="1" t="s">
        <v>272</v>
      </c>
      <c r="S60" s="1">
        <v>1021.0415</v>
      </c>
      <c r="T60" s="1">
        <v>6.67</v>
      </c>
      <c r="U60" s="1" t="s">
        <v>273</v>
      </c>
      <c r="V60" s="1" t="s">
        <v>274</v>
      </c>
      <c r="W60" s="1">
        <v>1012.201</v>
      </c>
      <c r="X60" s="1">
        <v>6.61</v>
      </c>
      <c r="Y60" s="1" t="s">
        <v>275</v>
      </c>
      <c r="Z60" s="1" t="s">
        <v>276</v>
      </c>
      <c r="AA60" s="1">
        <v>771.42520000000002</v>
      </c>
      <c r="AB60" s="1">
        <v>5.04</v>
      </c>
    </row>
    <row r="61" spans="1:28" x14ac:dyDescent="0.45">
      <c r="A61" s="1" t="s">
        <v>1491</v>
      </c>
      <c r="B61" s="1" t="s">
        <v>1492</v>
      </c>
      <c r="C61" s="1">
        <v>5</v>
      </c>
      <c r="D61" s="10">
        <f ca="1">IFERROR(([1]!thsiFinD("ths_close_price_index",$A61,$AE$2,"","")/[1]!thsiFinD("ths_close_price_index",$A61,$AE$5,"","")-1)*100,"")</f>
        <v>-9.129513055725635</v>
      </c>
      <c r="E61" s="10">
        <f ca="1">IFERROR(([1]!thsiFinD("ths_close_price_index",$A61,$AE$2,"","")/[1]!thsiFinD("ths_close_price_index",$A61,$AE$3,"","")-1)*100,"")</f>
        <v>-2.2880361607223398</v>
      </c>
      <c r="F61" s="10">
        <f ca="1">IFERROR(([1]!thsiFinD("ths_close_price_index",$A61,$AE$2,"","")/[1]!thsiFinD("ths_close_price_index",$A61,$AE$4,"","")-1)*100,"")</f>
        <v>-13.077637691413102</v>
      </c>
      <c r="G61" s="11">
        <f t="shared" ca="1" si="0"/>
        <v>0.19627465242618714</v>
      </c>
      <c r="H61" s="1">
        <v>100</v>
      </c>
      <c r="I61" s="1" t="s">
        <v>1493</v>
      </c>
      <c r="J61" s="1" t="s">
        <v>1494</v>
      </c>
      <c r="K61" s="1">
        <v>30.282</v>
      </c>
      <c r="L61" s="1">
        <v>35.049999999999997</v>
      </c>
      <c r="M61" s="1" t="s">
        <v>1495</v>
      </c>
      <c r="N61" s="1" t="s">
        <v>1496</v>
      </c>
      <c r="O61" s="1">
        <v>14.2936</v>
      </c>
      <c r="P61" s="1">
        <v>16.54</v>
      </c>
      <c r="Q61" s="1" t="s">
        <v>1497</v>
      </c>
      <c r="R61" s="1" t="s">
        <v>1498</v>
      </c>
      <c r="S61" s="1">
        <v>14.196199999999999</v>
      </c>
      <c r="T61" s="1">
        <v>16.43</v>
      </c>
      <c r="U61" s="1" t="s">
        <v>1499</v>
      </c>
      <c r="V61" s="1" t="s">
        <v>1500</v>
      </c>
      <c r="W61" s="1">
        <v>13.99</v>
      </c>
      <c r="X61" s="1">
        <v>16.190000000000001</v>
      </c>
      <c r="Y61" s="1" t="s">
        <v>1501</v>
      </c>
      <c r="Z61" s="1" t="s">
        <v>1502</v>
      </c>
      <c r="AA61" s="1">
        <v>13.6408</v>
      </c>
      <c r="AB61" s="1">
        <v>15.79</v>
      </c>
    </row>
    <row r="62" spans="1:28" x14ac:dyDescent="0.45">
      <c r="A62" s="1" t="s">
        <v>115</v>
      </c>
      <c r="B62" s="1" t="s">
        <v>116</v>
      </c>
      <c r="C62" s="1">
        <v>22</v>
      </c>
      <c r="D62" s="10">
        <f ca="1">IFERROR(([1]!thsiFinD("ths_close_price_index",$A62,$AE$2,"","")/[1]!thsiFinD("ths_close_price_index",$A62,$AE$5,"","")-1)*100,"")</f>
        <v>132.0925797688532</v>
      </c>
      <c r="E62" s="10">
        <f ca="1">IFERROR(([1]!thsiFinD("ths_close_price_index",$A62,$AE$2,"","")/[1]!thsiFinD("ths_close_price_index",$A62,$AE$3,"","")-1)*100,"")</f>
        <v>10.235065114490016</v>
      </c>
      <c r="F62" s="10">
        <f ca="1">IFERROR(([1]!thsiFinD("ths_close_price_index",$A62,$AE$2,"","")/[1]!thsiFinD("ths_close_price_index",$A62,$AE$4,"","")-1)*100,"")</f>
        <v>36.674854885562034</v>
      </c>
      <c r="G62" s="11">
        <f t="shared" ca="1" si="0"/>
        <v>0.21327027861990144</v>
      </c>
      <c r="H62" s="1">
        <v>54.76</v>
      </c>
      <c r="I62" s="1" t="s">
        <v>117</v>
      </c>
      <c r="J62" s="1" t="s">
        <v>118</v>
      </c>
      <c r="K62" s="1">
        <v>638.87890000000004</v>
      </c>
      <c r="L62" s="1">
        <v>13.21</v>
      </c>
      <c r="M62" s="1" t="s">
        <v>119</v>
      </c>
      <c r="N62" s="1" t="s">
        <v>120</v>
      </c>
      <c r="O62" s="1">
        <v>600.28520000000003</v>
      </c>
      <c r="P62" s="1">
        <v>12.41</v>
      </c>
      <c r="Q62" s="1" t="s">
        <v>121</v>
      </c>
      <c r="R62" s="1" t="s">
        <v>122</v>
      </c>
      <c r="S62" s="1">
        <v>565.37180000000001</v>
      </c>
      <c r="T62" s="1">
        <v>11.69</v>
      </c>
      <c r="U62" s="1" t="s">
        <v>123</v>
      </c>
      <c r="V62" s="1" t="s">
        <v>124</v>
      </c>
      <c r="W62" s="1">
        <v>439.46870000000001</v>
      </c>
      <c r="X62" s="1">
        <v>9.09</v>
      </c>
      <c r="Y62" s="1" t="s">
        <v>125</v>
      </c>
      <c r="Z62" s="1" t="s">
        <v>126</v>
      </c>
      <c r="AA62" s="1">
        <v>404.2595</v>
      </c>
      <c r="AB62" s="1">
        <v>8.36</v>
      </c>
    </row>
    <row r="63" spans="1:28" x14ac:dyDescent="0.45">
      <c r="A63" s="1" t="s">
        <v>68</v>
      </c>
      <c r="B63" s="1" t="s">
        <v>69</v>
      </c>
      <c r="C63" s="1">
        <v>10</v>
      </c>
      <c r="D63" s="10">
        <f ca="1">IFERROR(([1]!thsiFinD("ths_close_price_index",$A63,$AE$2,"","")/[1]!thsiFinD("ths_close_price_index",$A63,$AE$5,"","")-1)*100,"")</f>
        <v>198.24216045287503</v>
      </c>
      <c r="E63" s="10">
        <f ca="1">IFERROR(([1]!thsiFinD("ths_close_price_index",$A63,$AE$2,"","")/[1]!thsiFinD("ths_close_price_index",$A63,$AE$3,"","")-1)*100,"")</f>
        <v>10.215832644014622</v>
      </c>
      <c r="F63" s="10">
        <f ca="1">IFERROR(([1]!thsiFinD("ths_close_price_index",$A63,$AE$2,"","")/[1]!thsiFinD("ths_close_price_index",$A63,$AE$4,"","")-1)*100,"")</f>
        <v>14.020730234930113</v>
      </c>
      <c r="G63" s="11">
        <f t="shared" ca="1" si="0"/>
        <v>1.3421300170564188</v>
      </c>
      <c r="H63" s="1">
        <v>89.2</v>
      </c>
      <c r="I63" s="1" t="s">
        <v>70</v>
      </c>
      <c r="J63" s="1" t="s">
        <v>71</v>
      </c>
      <c r="K63" s="1">
        <v>1030.1521</v>
      </c>
      <c r="L63" s="1">
        <v>49.72</v>
      </c>
      <c r="M63" s="1" t="s">
        <v>72</v>
      </c>
      <c r="N63" s="1" t="s">
        <v>73</v>
      </c>
      <c r="O63" s="1">
        <v>273.46499999999997</v>
      </c>
      <c r="P63" s="1">
        <v>13.2</v>
      </c>
      <c r="Q63" s="1" t="s">
        <v>74</v>
      </c>
      <c r="R63" s="1" t="s">
        <v>75</v>
      </c>
      <c r="S63" s="1">
        <v>253.0384</v>
      </c>
      <c r="T63" s="1">
        <v>12.21</v>
      </c>
      <c r="U63" s="1" t="s">
        <v>76</v>
      </c>
      <c r="V63" s="1" t="s">
        <v>77</v>
      </c>
      <c r="W63" s="1">
        <v>171.5275</v>
      </c>
      <c r="X63" s="1">
        <v>8.2799999999999994</v>
      </c>
      <c r="Y63" s="1" t="s">
        <v>78</v>
      </c>
      <c r="Z63" s="1" t="s">
        <v>79</v>
      </c>
      <c r="AA63" s="1">
        <v>119.8984</v>
      </c>
      <c r="AB63" s="1">
        <v>5.79</v>
      </c>
    </row>
    <row r="64" spans="1:28" x14ac:dyDescent="0.45">
      <c r="A64" s="1" t="s">
        <v>2593</v>
      </c>
      <c r="B64" s="1" t="s">
        <v>2594</v>
      </c>
      <c r="C64" s="1">
        <v>13</v>
      </c>
      <c r="D64" s="10">
        <f ca="1">IFERROR(([1]!thsiFinD("ths_close_price_index",$A64,$AE$2,"","")/[1]!thsiFinD("ths_close_price_index",$A64,$AE$5,"","")-1)*100,"")</f>
        <v>-20.313556499630401</v>
      </c>
      <c r="E64" s="10">
        <f ca="1">IFERROR(([1]!thsiFinD("ths_close_price_index",$A64,$AE$2,"","")/[1]!thsiFinD("ths_close_price_index",$A64,$AE$3,"","")-1)*100,"")</f>
        <v>1.0843792244250583</v>
      </c>
      <c r="F64" s="10">
        <f ca="1">IFERROR(([1]!thsiFinD("ths_close_price_index",$A64,$AE$2,"","")/[1]!thsiFinD("ths_close_price_index",$A64,$AE$4,"","")-1)*100,"")</f>
        <v>-2.8042912134315756</v>
      </c>
      <c r="G64" s="11">
        <f t="shared" ca="1" si="0"/>
        <v>0.35709040555659044</v>
      </c>
      <c r="H64" s="1">
        <v>75.62</v>
      </c>
      <c r="I64" s="1" t="s">
        <v>2595</v>
      </c>
      <c r="J64" s="1" t="s">
        <v>2596</v>
      </c>
      <c r="K64" s="1">
        <v>187.88740000000001</v>
      </c>
      <c r="L64" s="1">
        <v>37.700000000000003</v>
      </c>
      <c r="M64" s="1" t="s">
        <v>2597</v>
      </c>
      <c r="N64" s="1" t="s">
        <v>2598</v>
      </c>
      <c r="O64" s="1">
        <v>96.943700000000007</v>
      </c>
      <c r="P64" s="1">
        <v>19.45</v>
      </c>
      <c r="Q64" s="1" t="s">
        <v>2599</v>
      </c>
      <c r="R64" s="1" t="s">
        <v>2600</v>
      </c>
      <c r="S64" s="1">
        <v>40.274099999999997</v>
      </c>
      <c r="T64" s="1">
        <v>8.08</v>
      </c>
      <c r="U64" s="1" t="s">
        <v>2601</v>
      </c>
      <c r="V64" s="1" t="s">
        <v>2602</v>
      </c>
      <c r="W64" s="1">
        <v>26.777000000000001</v>
      </c>
      <c r="X64" s="1">
        <v>5.37</v>
      </c>
      <c r="Y64" s="1" t="s">
        <v>2603</v>
      </c>
      <c r="Z64" s="1" t="s">
        <v>2604</v>
      </c>
      <c r="AA64" s="1">
        <v>25.005299999999998</v>
      </c>
      <c r="AB64" s="1">
        <v>5.0199999999999996</v>
      </c>
    </row>
    <row r="65" spans="1:28" x14ac:dyDescent="0.45">
      <c r="A65" s="1" t="s">
        <v>1135</v>
      </c>
      <c r="B65" s="1" t="s">
        <v>1136</v>
      </c>
      <c r="C65" s="1">
        <v>22</v>
      </c>
      <c r="D65" s="10">
        <f ca="1">IFERROR(([1]!thsiFinD("ths_close_price_index",$A65,$AE$2,"","")/[1]!thsiFinD("ths_close_price_index",$A65,$AE$5,"","")-1)*100,"")</f>
        <v>-0.37324883114300267</v>
      </c>
      <c r="E65" s="10">
        <f ca="1">IFERROR(([1]!thsiFinD("ths_close_price_index",$A65,$AE$2,"","")/[1]!thsiFinD("ths_close_price_index",$A65,$AE$3,"","")-1)*100,"")</f>
        <v>-8.581308302650914E-2</v>
      </c>
      <c r="F65" s="10">
        <f ca="1">IFERROR(([1]!thsiFinD("ths_close_price_index",$A65,$AE$2,"","")/[1]!thsiFinD("ths_close_price_index",$A65,$AE$4,"","")-1)*100,"")</f>
        <v>-0.10793798442613189</v>
      </c>
      <c r="G65" s="11">
        <f t="shared" ca="1" si="0"/>
        <v>-1.1765717383995233E-2</v>
      </c>
      <c r="H65" s="1">
        <v>60.26</v>
      </c>
      <c r="I65" s="1" t="s">
        <v>1137</v>
      </c>
      <c r="J65" s="1" t="s">
        <v>1138</v>
      </c>
      <c r="K65" s="1">
        <v>167.1</v>
      </c>
      <c r="L65" s="1">
        <v>24.93</v>
      </c>
      <c r="M65" s="1" t="s">
        <v>1139</v>
      </c>
      <c r="N65" s="1" t="s">
        <v>1140</v>
      </c>
      <c r="O65" s="1">
        <v>102.1006</v>
      </c>
      <c r="P65" s="1">
        <v>15.23</v>
      </c>
      <c r="Q65" s="1" t="s">
        <v>1141</v>
      </c>
      <c r="R65" s="1" t="s">
        <v>1142</v>
      </c>
      <c r="S65" s="1">
        <v>54.354399999999998</v>
      </c>
      <c r="T65" s="1">
        <v>8.11</v>
      </c>
      <c r="U65" s="1" t="s">
        <v>1143</v>
      </c>
      <c r="V65" s="1" t="s">
        <v>1144</v>
      </c>
      <c r="W65" s="1">
        <v>45.313800000000001</v>
      </c>
      <c r="X65" s="1">
        <v>6.76</v>
      </c>
      <c r="Y65" s="1" t="s">
        <v>1145</v>
      </c>
      <c r="Z65" s="1" t="s">
        <v>1146</v>
      </c>
      <c r="AA65" s="1">
        <v>35.051000000000002</v>
      </c>
      <c r="AB65" s="1">
        <v>5.23</v>
      </c>
    </row>
    <row r="66" spans="1:28" x14ac:dyDescent="0.45">
      <c r="A66" s="1" t="s">
        <v>1997</v>
      </c>
      <c r="B66" s="1" t="s">
        <v>1998</v>
      </c>
      <c r="C66" s="1">
        <v>5</v>
      </c>
      <c r="D66" s="10">
        <f ca="1">IFERROR(([1]!thsiFinD("ths_close_price_index",$A66,$AE$2,"","")/[1]!thsiFinD("ths_close_price_index",$A66,$AE$5,"","")-1)*100,"")</f>
        <v>-16.29850891994661</v>
      </c>
      <c r="E66" s="10">
        <f ca="1">IFERROR(([1]!thsiFinD("ths_close_price_index",$A66,$AE$2,"","")/[1]!thsiFinD("ths_close_price_index",$A66,$AE$3,"","")-1)*100,"")</f>
        <v>-4.7827773009581183</v>
      </c>
      <c r="F66" s="10">
        <f ca="1">IFERROR(([1]!thsiFinD("ths_close_price_index",$A66,$AE$2,"","")/[1]!thsiFinD("ths_close_price_index",$A66,$AE$4,"","")-1)*100,"")</f>
        <v>-16.753057153646356</v>
      </c>
      <c r="G66" s="11">
        <f t="shared" ref="G66:G129" ca="1" si="1">IFERROR(E66/5-F66/20,"")</f>
        <v>-0.11890260250930584</v>
      </c>
      <c r="H66" s="1">
        <v>100.01</v>
      </c>
      <c r="I66" s="1" t="s">
        <v>1999</v>
      </c>
      <c r="J66" s="1" t="s">
        <v>2000</v>
      </c>
      <c r="K66" s="1">
        <v>90.638400000000004</v>
      </c>
      <c r="L66" s="1">
        <v>38.6</v>
      </c>
      <c r="M66" s="1" t="s">
        <v>2001</v>
      </c>
      <c r="N66" s="1" t="s">
        <v>2002</v>
      </c>
      <c r="O66" s="1">
        <v>76.129000000000005</v>
      </c>
      <c r="P66" s="1">
        <v>32.42</v>
      </c>
      <c r="Q66" s="1" t="s">
        <v>2003</v>
      </c>
      <c r="R66" s="1" t="s">
        <v>2004</v>
      </c>
      <c r="S66" s="1">
        <v>24.787099999999999</v>
      </c>
      <c r="T66" s="1">
        <v>10.55</v>
      </c>
      <c r="U66" s="1" t="s">
        <v>2005</v>
      </c>
      <c r="V66" s="1" t="s">
        <v>2006</v>
      </c>
      <c r="W66" s="1">
        <v>21.734500000000001</v>
      </c>
      <c r="X66" s="1">
        <v>9.26</v>
      </c>
      <c r="Y66" s="1" t="s">
        <v>2007</v>
      </c>
      <c r="Z66" s="1" t="s">
        <v>2008</v>
      </c>
      <c r="AA66" s="1">
        <v>21.549099999999999</v>
      </c>
      <c r="AB66" s="1">
        <v>9.18</v>
      </c>
    </row>
    <row r="67" spans="1:28" x14ac:dyDescent="0.45">
      <c r="A67" s="1" t="s">
        <v>2033</v>
      </c>
      <c r="B67" s="1" t="s">
        <v>2034</v>
      </c>
      <c r="C67" s="1">
        <v>8</v>
      </c>
      <c r="D67" s="10">
        <f ca="1">IFERROR(([1]!thsiFinD("ths_close_price_index",$A67,$AE$2,"","")/[1]!thsiFinD("ths_close_price_index",$A67,$AE$5,"","")-1)*100,"")</f>
        <v>-15.213269732261402</v>
      </c>
      <c r="E67" s="10">
        <f ca="1">IFERROR(([1]!thsiFinD("ths_close_price_index",$A67,$AE$2,"","")/[1]!thsiFinD("ths_close_price_index",$A67,$AE$3,"","")-1)*100,"")</f>
        <v>-2.96391225925422</v>
      </c>
      <c r="F67" s="10">
        <f ca="1">IFERROR(([1]!thsiFinD("ths_close_price_index",$A67,$AE$2,"","")/[1]!thsiFinD("ths_close_price_index",$A67,$AE$4,"","")-1)*100,"")</f>
        <v>-13.237973247731883</v>
      </c>
      <c r="G67" s="11">
        <f t="shared" ca="1" si="1"/>
        <v>6.9116210535750122E-2</v>
      </c>
      <c r="H67" s="1">
        <v>84.54</v>
      </c>
      <c r="I67" s="1" t="s">
        <v>2035</v>
      </c>
      <c r="J67" s="1" t="s">
        <v>2036</v>
      </c>
      <c r="K67" s="1">
        <v>104.0253</v>
      </c>
      <c r="L67" s="1">
        <v>25.76</v>
      </c>
      <c r="M67" s="1" t="s">
        <v>2037</v>
      </c>
      <c r="N67" s="1" t="s">
        <v>2038</v>
      </c>
      <c r="O67" s="1">
        <v>84.567999999999998</v>
      </c>
      <c r="P67" s="1">
        <v>20.94</v>
      </c>
      <c r="Q67" s="1" t="s">
        <v>2039</v>
      </c>
      <c r="R67" s="1" t="s">
        <v>2040</v>
      </c>
      <c r="S67" s="1">
        <v>80.088399999999993</v>
      </c>
      <c r="T67" s="1">
        <v>19.829999999999998</v>
      </c>
      <c r="U67" s="1" t="s">
        <v>2041</v>
      </c>
      <c r="V67" s="1" t="s">
        <v>2042</v>
      </c>
      <c r="W67" s="1">
        <v>39.287599999999998</v>
      </c>
      <c r="X67" s="1">
        <v>9.73</v>
      </c>
      <c r="Y67" s="1" t="s">
        <v>2043</v>
      </c>
      <c r="Z67" s="1" t="s">
        <v>2044</v>
      </c>
      <c r="AA67" s="1">
        <v>33.453200000000002</v>
      </c>
      <c r="AB67" s="1">
        <v>8.2799999999999994</v>
      </c>
    </row>
    <row r="68" spans="1:28" x14ac:dyDescent="0.45">
      <c r="A68" s="1" t="s">
        <v>229</v>
      </c>
      <c r="B68" s="1" t="s">
        <v>230</v>
      </c>
      <c r="C68" s="1">
        <v>13</v>
      </c>
      <c r="D68" s="10">
        <f ca="1">IFERROR(([1]!thsiFinD("ths_close_price_index",$A68,$AE$2,"","")/[1]!thsiFinD("ths_close_price_index",$A68,$AE$5,"","")-1)*100,"")</f>
        <v>61.047145797935713</v>
      </c>
      <c r="E68" s="10">
        <f ca="1">IFERROR(([1]!thsiFinD("ths_close_price_index",$A68,$AE$2,"","")/[1]!thsiFinD("ths_close_price_index",$A68,$AE$3,"","")-1)*100,"")</f>
        <v>-1.8947477749863717</v>
      </c>
      <c r="F68" s="10">
        <f ca="1">IFERROR(([1]!thsiFinD("ths_close_price_index",$A68,$AE$2,"","")/[1]!thsiFinD("ths_close_price_index",$A68,$AE$4,"","")-1)*100,"")</f>
        <v>3.1869601166675032</v>
      </c>
      <c r="G68" s="11">
        <f t="shared" ca="1" si="1"/>
        <v>-0.5382975608306495</v>
      </c>
      <c r="H68" s="1">
        <v>87.51</v>
      </c>
      <c r="I68" s="1" t="s">
        <v>231</v>
      </c>
      <c r="J68" s="1" t="s">
        <v>232</v>
      </c>
      <c r="K68" s="1">
        <v>997.69090000000006</v>
      </c>
      <c r="L68" s="1">
        <v>75.23</v>
      </c>
      <c r="M68" s="1" t="s">
        <v>233</v>
      </c>
      <c r="N68" s="1" t="s">
        <v>234</v>
      </c>
      <c r="O68" s="1">
        <v>47.185600000000001</v>
      </c>
      <c r="P68" s="1">
        <v>3.56</v>
      </c>
      <c r="Q68" s="1" t="s">
        <v>235</v>
      </c>
      <c r="R68" s="1" t="s">
        <v>236</v>
      </c>
      <c r="S68" s="1">
        <v>42.012900000000002</v>
      </c>
      <c r="T68" s="1">
        <v>3.17</v>
      </c>
      <c r="U68" s="1" t="s">
        <v>237</v>
      </c>
      <c r="V68" s="1" t="s">
        <v>238</v>
      </c>
      <c r="W68" s="1">
        <v>37.379600000000003</v>
      </c>
      <c r="X68" s="1">
        <v>2.82</v>
      </c>
      <c r="Y68" s="1" t="s">
        <v>239</v>
      </c>
      <c r="Z68" s="1" t="s">
        <v>240</v>
      </c>
      <c r="AA68" s="1">
        <v>36.241900000000001</v>
      </c>
      <c r="AB68" s="1">
        <v>2.73</v>
      </c>
    </row>
    <row r="69" spans="1:28" x14ac:dyDescent="0.45">
      <c r="A69" s="1" t="s">
        <v>2069</v>
      </c>
      <c r="B69" s="1" t="s">
        <v>2070</v>
      </c>
      <c r="C69" s="1">
        <v>7</v>
      </c>
      <c r="D69" s="10">
        <f ca="1">IFERROR(([1]!thsiFinD("ths_close_price_index",$A69,$AE$2,"","")/[1]!thsiFinD("ths_close_price_index",$A69,$AE$5,"","")-1)*100,"")</f>
        <v>-19.270592776454208</v>
      </c>
      <c r="E69" s="10">
        <f ca="1">IFERROR(([1]!thsiFinD("ths_close_price_index",$A69,$AE$2,"","")/[1]!thsiFinD("ths_close_price_index",$A69,$AE$3,"","")-1)*100,"")</f>
        <v>-6.8028733637499066</v>
      </c>
      <c r="F69" s="10">
        <f ca="1">IFERROR(([1]!thsiFinD("ths_close_price_index",$A69,$AE$2,"","")/[1]!thsiFinD("ths_close_price_index",$A69,$AE$4,"","")-1)*100,"")</f>
        <v>-14.187835701432272</v>
      </c>
      <c r="G69" s="11">
        <f t="shared" ca="1" si="1"/>
        <v>-0.65118288767836763</v>
      </c>
      <c r="H69" s="1">
        <v>88.56</v>
      </c>
      <c r="I69" s="1" t="s">
        <v>2071</v>
      </c>
      <c r="J69" s="1" t="s">
        <v>2072</v>
      </c>
      <c r="K69" s="1">
        <v>80.614800000000002</v>
      </c>
      <c r="L69" s="1">
        <v>34.54</v>
      </c>
      <c r="M69" s="1" t="s">
        <v>2073</v>
      </c>
      <c r="N69" s="1" t="s">
        <v>2074</v>
      </c>
      <c r="O69" s="1">
        <v>33.0182</v>
      </c>
      <c r="P69" s="1">
        <v>14.15</v>
      </c>
      <c r="Q69" s="1" t="s">
        <v>2075</v>
      </c>
      <c r="R69" s="1" t="s">
        <v>2076</v>
      </c>
      <c r="S69" s="1">
        <v>31.189</v>
      </c>
      <c r="T69" s="1">
        <v>13.36</v>
      </c>
      <c r="U69" s="1" t="s">
        <v>2077</v>
      </c>
      <c r="V69" s="1" t="s">
        <v>2078</v>
      </c>
      <c r="W69" s="1">
        <v>31.0867</v>
      </c>
      <c r="X69" s="1">
        <v>13.32</v>
      </c>
      <c r="Y69" s="1" t="s">
        <v>2079</v>
      </c>
      <c r="Z69" s="1" t="s">
        <v>2080</v>
      </c>
      <c r="AA69" s="1">
        <v>30.778400000000001</v>
      </c>
      <c r="AB69" s="1">
        <v>13.19</v>
      </c>
    </row>
    <row r="70" spans="1:28" x14ac:dyDescent="0.45">
      <c r="A70" s="1" t="s">
        <v>2505</v>
      </c>
      <c r="B70" s="1" t="s">
        <v>2506</v>
      </c>
      <c r="C70" s="1">
        <v>5</v>
      </c>
      <c r="D70" s="10">
        <f ca="1">IFERROR(([1]!thsiFinD("ths_close_price_index",$A70,$AE$2,"","")/[1]!thsiFinD("ths_close_price_index",$A70,$AE$5,"","")-1)*100,"")</f>
        <v>-20.923227551774083</v>
      </c>
      <c r="E70" s="10">
        <f ca="1">IFERROR(([1]!thsiFinD("ths_close_price_index",$A70,$AE$2,"","")/[1]!thsiFinD("ths_close_price_index",$A70,$AE$3,"","")-1)*100,"")</f>
        <v>-2.3057968925582428</v>
      </c>
      <c r="F70" s="10">
        <f ca="1">IFERROR(([1]!thsiFinD("ths_close_price_index",$A70,$AE$2,"","")/[1]!thsiFinD("ths_close_price_index",$A70,$AE$4,"","")-1)*100,"")</f>
        <v>-11.072734261171146</v>
      </c>
      <c r="G70" s="11">
        <f t="shared" ca="1" si="1"/>
        <v>9.2477334546908763E-2</v>
      </c>
      <c r="H70" s="1">
        <v>100</v>
      </c>
      <c r="I70" s="1" t="s">
        <v>2507</v>
      </c>
      <c r="J70" s="1" t="s">
        <v>2508</v>
      </c>
      <c r="K70" s="1">
        <v>23.8202</v>
      </c>
      <c r="L70" s="1">
        <v>25.81</v>
      </c>
      <c r="M70" s="1" t="s">
        <v>2509</v>
      </c>
      <c r="N70" s="1" t="s">
        <v>2510</v>
      </c>
      <c r="O70" s="1">
        <v>22.458600000000001</v>
      </c>
      <c r="P70" s="1">
        <v>24.34</v>
      </c>
      <c r="Q70" s="1" t="s">
        <v>2511</v>
      </c>
      <c r="R70" s="1" t="s">
        <v>2512</v>
      </c>
      <c r="S70" s="1">
        <v>20.282599999999999</v>
      </c>
      <c r="T70" s="1">
        <v>21.98</v>
      </c>
      <c r="U70" s="1" t="s">
        <v>2513</v>
      </c>
      <c r="V70" s="1" t="s">
        <v>2514</v>
      </c>
      <c r="W70" s="1">
        <v>17.366399999999999</v>
      </c>
      <c r="X70" s="1">
        <v>18.82</v>
      </c>
      <c r="Y70" s="1" t="s">
        <v>2515</v>
      </c>
      <c r="Z70" s="1" t="s">
        <v>2516</v>
      </c>
      <c r="AA70" s="1">
        <v>8.3491</v>
      </c>
      <c r="AB70" s="1">
        <v>9.0500000000000007</v>
      </c>
    </row>
    <row r="71" spans="1:28" x14ac:dyDescent="0.45">
      <c r="A71" s="1" t="s">
        <v>1389</v>
      </c>
      <c r="B71" s="1" t="s">
        <v>1390</v>
      </c>
      <c r="C71" s="1">
        <v>19</v>
      </c>
      <c r="D71" s="10">
        <f ca="1">IFERROR(([1]!thsiFinD("ths_close_price_index",$A71,$AE$2,"","")/[1]!thsiFinD("ths_close_price_index",$A71,$AE$5,"","")-1)*100,"")</f>
        <v>-6.1525550067186963</v>
      </c>
      <c r="E71" s="10">
        <f ca="1">IFERROR(([1]!thsiFinD("ths_close_price_index",$A71,$AE$2,"","")/[1]!thsiFinD("ths_close_price_index",$A71,$AE$3,"","")-1)*100,"")</f>
        <v>-1.004419888116137</v>
      </c>
      <c r="F71" s="10">
        <f ca="1">IFERROR(([1]!thsiFinD("ths_close_price_index",$A71,$AE$2,"","")/[1]!thsiFinD("ths_close_price_index",$A71,$AE$4,"","")-1)*100,"")</f>
        <v>-5.1727321544210003</v>
      </c>
      <c r="G71" s="11">
        <f t="shared" ca="1" si="1"/>
        <v>5.775263009782261E-2</v>
      </c>
      <c r="H71" s="1">
        <v>52.46</v>
      </c>
      <c r="I71" s="1" t="s">
        <v>1391</v>
      </c>
      <c r="J71" s="1" t="s">
        <v>1392</v>
      </c>
      <c r="K71" s="1">
        <v>180.8845</v>
      </c>
      <c r="L71" s="1">
        <v>22.63</v>
      </c>
      <c r="M71" s="1" t="s">
        <v>1393</v>
      </c>
      <c r="N71" s="1" t="s">
        <v>1394</v>
      </c>
      <c r="O71" s="1">
        <v>68.154300000000006</v>
      </c>
      <c r="P71" s="1">
        <v>8.5299999999999994</v>
      </c>
      <c r="Q71" s="1" t="s">
        <v>1395</v>
      </c>
      <c r="R71" s="1" t="s">
        <v>1396</v>
      </c>
      <c r="S71" s="1">
        <v>64.380600000000001</v>
      </c>
      <c r="T71" s="1">
        <v>8.0500000000000007</v>
      </c>
      <c r="U71" s="1" t="s">
        <v>1397</v>
      </c>
      <c r="V71" s="1" t="s">
        <v>1398</v>
      </c>
      <c r="W71" s="1">
        <v>56.072800000000001</v>
      </c>
      <c r="X71" s="1">
        <v>7.02</v>
      </c>
      <c r="Y71" s="1" t="s">
        <v>1399</v>
      </c>
      <c r="Z71" s="1" t="s">
        <v>1400</v>
      </c>
      <c r="AA71" s="1">
        <v>49.7607</v>
      </c>
      <c r="AB71" s="1">
        <v>6.23</v>
      </c>
    </row>
    <row r="72" spans="1:28" x14ac:dyDescent="0.45">
      <c r="A72" s="1" t="s">
        <v>1147</v>
      </c>
      <c r="B72" s="1" t="s">
        <v>1148</v>
      </c>
      <c r="C72" s="1">
        <v>30</v>
      </c>
      <c r="D72" s="10">
        <f ca="1">IFERROR(([1]!thsiFinD("ths_close_price_index",$A72,$AE$2,"","")/[1]!thsiFinD("ths_close_price_index",$A72,$AE$5,"","")-1)*100,"")</f>
        <v>-3.3275678333358871</v>
      </c>
      <c r="E72" s="10">
        <f ca="1">IFERROR(([1]!thsiFinD("ths_close_price_index",$A72,$AE$2,"","")/[1]!thsiFinD("ths_close_price_index",$A72,$AE$3,"","")-1)*100,"")</f>
        <v>-2.5007458189760357</v>
      </c>
      <c r="F72" s="10">
        <f ca="1">IFERROR(([1]!thsiFinD("ths_close_price_index",$A72,$AE$2,"","")/[1]!thsiFinD("ths_close_price_index",$A72,$AE$4,"","")-1)*100,"")</f>
        <v>-5.425398114492797</v>
      </c>
      <c r="G72" s="11">
        <f t="shared" ca="1" si="1"/>
        <v>-0.2288792580705673</v>
      </c>
      <c r="H72" s="1">
        <v>42.32</v>
      </c>
      <c r="I72" s="1" t="s">
        <v>1149</v>
      </c>
      <c r="J72" s="1" t="s">
        <v>1150</v>
      </c>
      <c r="K72" s="1">
        <v>106.84310000000001</v>
      </c>
      <c r="L72" s="1">
        <v>19.03</v>
      </c>
      <c r="M72" s="1" t="s">
        <v>1151</v>
      </c>
      <c r="N72" s="1" t="s">
        <v>1152</v>
      </c>
      <c r="O72" s="1">
        <v>40.006399999999999</v>
      </c>
      <c r="P72" s="1">
        <v>7.13</v>
      </c>
      <c r="Q72" s="1" t="s">
        <v>1153</v>
      </c>
      <c r="R72" s="1" t="s">
        <v>1154</v>
      </c>
      <c r="S72" s="1">
        <v>30.648499999999999</v>
      </c>
      <c r="T72" s="1">
        <v>5.46</v>
      </c>
      <c r="U72" s="1" t="s">
        <v>1155</v>
      </c>
      <c r="V72" s="1" t="s">
        <v>1156</v>
      </c>
      <c r="W72" s="1">
        <v>30.275300000000001</v>
      </c>
      <c r="X72" s="1">
        <v>5.39</v>
      </c>
      <c r="Y72" s="1" t="s">
        <v>1157</v>
      </c>
      <c r="Z72" s="1" t="s">
        <v>1158</v>
      </c>
      <c r="AA72" s="1">
        <v>29.834099999999999</v>
      </c>
      <c r="AB72" s="1">
        <v>5.31</v>
      </c>
    </row>
    <row r="73" spans="1:28" x14ac:dyDescent="0.45">
      <c r="A73" s="1" t="s">
        <v>1655</v>
      </c>
      <c r="B73" s="1" t="s">
        <v>1656</v>
      </c>
      <c r="C73" s="1">
        <v>28</v>
      </c>
      <c r="D73" s="10">
        <f ca="1">IFERROR(([1]!thsiFinD("ths_close_price_index",$A73,$AE$2,"","")/[1]!thsiFinD("ths_close_price_index",$A73,$AE$5,"","")-1)*100,"")</f>
        <v>-12.348499204257269</v>
      </c>
      <c r="E73" s="10">
        <f ca="1">IFERROR(([1]!thsiFinD("ths_close_price_index",$A73,$AE$2,"","")/[1]!thsiFinD("ths_close_price_index",$A73,$AE$3,"","")-1)*100,"")</f>
        <v>-4.0426161909264513</v>
      </c>
      <c r="F73" s="10">
        <f ca="1">IFERROR(([1]!thsiFinD("ths_close_price_index",$A73,$AE$2,"","")/[1]!thsiFinD("ths_close_price_index",$A73,$AE$4,"","")-1)*100,"")</f>
        <v>-11.995484058623685</v>
      </c>
      <c r="G73" s="11">
        <f t="shared" ca="1" si="1"/>
        <v>-0.20874903525410604</v>
      </c>
      <c r="H73" s="1">
        <v>54.07</v>
      </c>
      <c r="I73" s="1" t="s">
        <v>1657</v>
      </c>
      <c r="J73" s="1" t="s">
        <v>1658</v>
      </c>
      <c r="K73" s="1">
        <v>136.4</v>
      </c>
      <c r="L73" s="1">
        <v>16.22</v>
      </c>
      <c r="M73" s="1" t="s">
        <v>1659</v>
      </c>
      <c r="N73" s="1" t="s">
        <v>1660</v>
      </c>
      <c r="O73" s="1">
        <v>135.4862</v>
      </c>
      <c r="P73" s="1">
        <v>16.11</v>
      </c>
      <c r="Q73" s="1" t="s">
        <v>1661</v>
      </c>
      <c r="R73" s="1" t="s">
        <v>1662</v>
      </c>
      <c r="S73" s="1">
        <v>80.880499999999998</v>
      </c>
      <c r="T73" s="1">
        <v>9.6199999999999992</v>
      </c>
      <c r="U73" s="1" t="s">
        <v>1663</v>
      </c>
      <c r="V73" s="1" t="s">
        <v>1664</v>
      </c>
      <c r="W73" s="1">
        <v>60.49</v>
      </c>
      <c r="X73" s="1">
        <v>7.19</v>
      </c>
      <c r="Y73" s="1" t="s">
        <v>1665</v>
      </c>
      <c r="Z73" s="1" t="s">
        <v>1666</v>
      </c>
      <c r="AA73" s="1">
        <v>41.504899999999999</v>
      </c>
      <c r="AB73" s="1">
        <v>4.93</v>
      </c>
    </row>
    <row r="74" spans="1:28" x14ac:dyDescent="0.45">
      <c r="A74" s="1" t="s">
        <v>341</v>
      </c>
      <c r="B74" s="1" t="s">
        <v>342</v>
      </c>
      <c r="C74" s="1">
        <v>6</v>
      </c>
      <c r="D74" s="10">
        <f ca="1">IFERROR(([1]!thsiFinD("ths_close_price_index",$A74,$AE$2,"","")/[1]!thsiFinD("ths_close_price_index",$A74,$AE$5,"","")-1)*100,"")</f>
        <v>38.27947140622048</v>
      </c>
      <c r="E74" s="10">
        <f ca="1">IFERROR(([1]!thsiFinD("ths_close_price_index",$A74,$AE$2,"","")/[1]!thsiFinD("ths_close_price_index",$A74,$AE$3,"","")-1)*100,"")</f>
        <v>1.7380062837390575</v>
      </c>
      <c r="F74" s="10">
        <f ca="1">IFERROR(([1]!thsiFinD("ths_close_price_index",$A74,$AE$2,"","")/[1]!thsiFinD("ths_close_price_index",$A74,$AE$4,"","")-1)*100,"")</f>
        <v>24.843846098453469</v>
      </c>
      <c r="G74" s="11">
        <f t="shared" ca="1" si="1"/>
        <v>-0.89459104817486201</v>
      </c>
      <c r="H74" s="1">
        <v>96.86</v>
      </c>
      <c r="I74" s="1" t="s">
        <v>343</v>
      </c>
      <c r="J74" s="1" t="s">
        <v>344</v>
      </c>
      <c r="K74" s="1">
        <v>335.88679999999999</v>
      </c>
      <c r="L74" s="1">
        <v>54.76</v>
      </c>
      <c r="M74" s="1" t="s">
        <v>345</v>
      </c>
      <c r="N74" s="1" t="s">
        <v>346</v>
      </c>
      <c r="O74" s="1">
        <v>107.696</v>
      </c>
      <c r="P74" s="1">
        <v>17.559999999999999</v>
      </c>
      <c r="Q74" s="1" t="s">
        <v>347</v>
      </c>
      <c r="R74" s="1" t="s">
        <v>348</v>
      </c>
      <c r="S74" s="1">
        <v>71.433499999999995</v>
      </c>
      <c r="T74" s="1">
        <v>11.65</v>
      </c>
      <c r="U74" s="1" t="s">
        <v>349</v>
      </c>
      <c r="V74" s="1" t="s">
        <v>350</v>
      </c>
      <c r="W74" s="1">
        <v>52.774099999999997</v>
      </c>
      <c r="X74" s="1">
        <v>8.6</v>
      </c>
      <c r="Y74" s="1" t="s">
        <v>351</v>
      </c>
      <c r="Z74" s="1" t="s">
        <v>352</v>
      </c>
      <c r="AA74" s="1">
        <v>26.2897</v>
      </c>
      <c r="AB74" s="1">
        <v>4.29</v>
      </c>
    </row>
    <row r="75" spans="1:28" x14ac:dyDescent="0.45">
      <c r="A75" s="1" t="s">
        <v>2789</v>
      </c>
      <c r="B75" s="1" t="s">
        <v>2790</v>
      </c>
      <c r="C75" s="1">
        <v>23</v>
      </c>
      <c r="D75" s="10">
        <f ca="1">IFERROR(([1]!thsiFinD("ths_close_price_index",$A75,$AE$2,"","")/[1]!thsiFinD("ths_close_price_index",$A75,$AE$5,"","")-1)*100,"")</f>
        <v>-20.726340987714387</v>
      </c>
      <c r="E75" s="10">
        <f ca="1">IFERROR(([1]!thsiFinD("ths_close_price_index",$A75,$AE$2,"","")/[1]!thsiFinD("ths_close_price_index",$A75,$AE$3,"","")-1)*100,"")</f>
        <v>5.4308485700890641</v>
      </c>
      <c r="F75" s="10">
        <f ca="1">IFERROR(([1]!thsiFinD("ths_close_price_index",$A75,$AE$2,"","")/[1]!thsiFinD("ths_close_price_index",$A75,$AE$4,"","")-1)*100,"")</f>
        <v>-3.8390224495921887</v>
      </c>
      <c r="G75" s="11">
        <f t="shared" ca="1" si="1"/>
        <v>1.2781208364974224</v>
      </c>
      <c r="H75" s="1">
        <v>60.46</v>
      </c>
      <c r="I75" s="1" t="s">
        <v>2791</v>
      </c>
      <c r="J75" s="1" t="s">
        <v>2792</v>
      </c>
      <c r="K75" s="1">
        <v>745.5625</v>
      </c>
      <c r="L75" s="1">
        <v>26.31</v>
      </c>
      <c r="M75" s="1" t="s">
        <v>2793</v>
      </c>
      <c r="N75" s="1" t="s">
        <v>2794</v>
      </c>
      <c r="O75" s="1">
        <v>293.63729999999998</v>
      </c>
      <c r="P75" s="1">
        <v>10.36</v>
      </c>
      <c r="Q75" s="1" t="s">
        <v>2795</v>
      </c>
      <c r="R75" s="1" t="s">
        <v>2796</v>
      </c>
      <c r="S75" s="1">
        <v>257.08120000000002</v>
      </c>
      <c r="T75" s="1">
        <v>9.07</v>
      </c>
      <c r="U75" s="1" t="s">
        <v>2797</v>
      </c>
      <c r="V75" s="1" t="s">
        <v>2798</v>
      </c>
      <c r="W75" s="1">
        <v>254.64189999999999</v>
      </c>
      <c r="X75" s="1">
        <v>8.99</v>
      </c>
      <c r="Y75" s="1" t="s">
        <v>2799</v>
      </c>
      <c r="Z75" s="1" t="s">
        <v>2800</v>
      </c>
      <c r="AA75" s="1">
        <v>162.3442</v>
      </c>
      <c r="AB75" s="1">
        <v>5.73</v>
      </c>
    </row>
    <row r="76" spans="1:28" x14ac:dyDescent="0.45">
      <c r="A76" s="1" t="s">
        <v>1091</v>
      </c>
      <c r="B76" s="1" t="s">
        <v>1092</v>
      </c>
      <c r="C76" s="1">
        <v>4</v>
      </c>
      <c r="D76" s="10">
        <f ca="1">IFERROR(([1]!thsiFinD("ths_close_price_index",$A76,$AE$2,"","")/[1]!thsiFinD("ths_close_price_index",$A76,$AE$5,"","")-1)*100,"")</f>
        <v>7.9103392333549793</v>
      </c>
      <c r="E76" s="10">
        <f ca="1">IFERROR(([1]!thsiFinD("ths_close_price_index",$A76,$AE$2,"","")/[1]!thsiFinD("ths_close_price_index",$A76,$AE$3,"","")-1)*100,"")</f>
        <v>6.4347355951750673</v>
      </c>
      <c r="F76" s="10">
        <f ca="1">IFERROR(([1]!thsiFinD("ths_close_price_index",$A76,$AE$2,"","")/[1]!thsiFinD("ths_close_price_index",$A76,$AE$4,"","")-1)*100,"")</f>
        <v>6.7624818048400037</v>
      </c>
      <c r="G76" s="11">
        <f t="shared" ca="1" si="1"/>
        <v>0.94882302879301328</v>
      </c>
      <c r="H76" s="1">
        <v>100</v>
      </c>
      <c r="I76" s="1" t="s">
        <v>1093</v>
      </c>
      <c r="J76" s="1" t="s">
        <v>1094</v>
      </c>
      <c r="K76" s="1">
        <v>143.708</v>
      </c>
      <c r="L76" s="1">
        <v>77.33</v>
      </c>
      <c r="M76" s="1" t="s">
        <v>1095</v>
      </c>
      <c r="N76" s="1" t="s">
        <v>1096</v>
      </c>
      <c r="O76" s="1">
        <v>31.214700000000001</v>
      </c>
      <c r="P76" s="1">
        <v>16.8</v>
      </c>
      <c r="Q76" s="1" t="s">
        <v>1097</v>
      </c>
      <c r="R76" s="1" t="s">
        <v>1098</v>
      </c>
      <c r="S76" s="1">
        <v>10.912100000000001</v>
      </c>
      <c r="T76" s="1">
        <v>5.87</v>
      </c>
    </row>
    <row r="77" spans="1:28" x14ac:dyDescent="0.45">
      <c r="A77" s="1" t="s">
        <v>1485</v>
      </c>
      <c r="B77" s="1" t="s">
        <v>1486</v>
      </c>
      <c r="C77" s="1">
        <v>2</v>
      </c>
      <c r="D77" s="10">
        <f ca="1">IFERROR(([1]!thsiFinD("ths_close_price_index",$A77,$AE$2,"","")/[1]!thsiFinD("ths_close_price_index",$A77,$AE$5,"","")-1)*100,"")</f>
        <v>-10.423608356456615</v>
      </c>
      <c r="E77" s="10">
        <f ca="1">IFERROR(([1]!thsiFinD("ths_close_price_index",$A77,$AE$2,"","")/[1]!thsiFinD("ths_close_price_index",$A77,$AE$3,"","")-1)*100,"")</f>
        <v>-3.6863551513169002</v>
      </c>
      <c r="F77" s="10">
        <f ca="1">IFERROR(([1]!thsiFinD("ths_close_price_index",$A77,$AE$2,"","")/[1]!thsiFinD("ths_close_price_index",$A77,$AE$4,"","")-1)*100,"")</f>
        <v>-11.913334284089739</v>
      </c>
      <c r="G77" s="11">
        <f t="shared" ca="1" si="1"/>
        <v>-0.14160431605889312</v>
      </c>
      <c r="H77" s="1">
        <v>100</v>
      </c>
      <c r="I77" s="1" t="s">
        <v>1487</v>
      </c>
      <c r="J77" s="1" t="s">
        <v>1488</v>
      </c>
      <c r="K77" s="1">
        <v>363.44510000000002</v>
      </c>
      <c r="L77" s="1">
        <v>56.83</v>
      </c>
      <c r="M77" s="1" t="s">
        <v>1489</v>
      </c>
      <c r="N77" s="1" t="s">
        <v>1490</v>
      </c>
      <c r="O77" s="1">
        <v>276.05079999999998</v>
      </c>
      <c r="P77" s="1">
        <v>43.17</v>
      </c>
    </row>
    <row r="78" spans="1:28" x14ac:dyDescent="0.45">
      <c r="A78" s="1" t="s">
        <v>461</v>
      </c>
      <c r="B78" s="1" t="s">
        <v>462</v>
      </c>
      <c r="C78" s="1">
        <v>22</v>
      </c>
      <c r="D78" s="10">
        <f ca="1">IFERROR(([1]!thsiFinD("ths_close_price_index",$A78,$AE$2,"","")/[1]!thsiFinD("ths_close_price_index",$A78,$AE$5,"","")-1)*100,"")</f>
        <v>21.293126020098075</v>
      </c>
      <c r="E78" s="10">
        <f ca="1">IFERROR(([1]!thsiFinD("ths_close_price_index",$A78,$AE$2,"","")/[1]!thsiFinD("ths_close_price_index",$A78,$AE$3,"","")-1)*100,"")</f>
        <v>-1.8715973775345951</v>
      </c>
      <c r="F78" s="10">
        <f ca="1">IFERROR(([1]!thsiFinD("ths_close_price_index",$A78,$AE$2,"","")/[1]!thsiFinD("ths_close_price_index",$A78,$AE$4,"","")-1)*100,"")</f>
        <v>1.3564770285868333</v>
      </c>
      <c r="G78" s="11">
        <f t="shared" ca="1" si="1"/>
        <v>-0.44214332693626068</v>
      </c>
      <c r="H78" s="1">
        <v>69.209999999999994</v>
      </c>
      <c r="I78" s="1" t="s">
        <v>463</v>
      </c>
      <c r="J78" s="1" t="s">
        <v>464</v>
      </c>
      <c r="K78" s="1">
        <v>137.90889999999999</v>
      </c>
      <c r="L78" s="1">
        <v>28.47</v>
      </c>
      <c r="M78" s="1" t="s">
        <v>465</v>
      </c>
      <c r="N78" s="1" t="s">
        <v>466</v>
      </c>
      <c r="O78" s="1">
        <v>85.861599999999996</v>
      </c>
      <c r="P78" s="1">
        <v>17.73</v>
      </c>
      <c r="Q78" s="1" t="s">
        <v>467</v>
      </c>
      <c r="R78" s="1" t="s">
        <v>468</v>
      </c>
      <c r="S78" s="1">
        <v>56.142000000000003</v>
      </c>
      <c r="T78" s="1">
        <v>11.59</v>
      </c>
      <c r="U78" s="1" t="s">
        <v>469</v>
      </c>
      <c r="V78" s="1" t="s">
        <v>470</v>
      </c>
      <c r="W78" s="1">
        <v>30.389600000000002</v>
      </c>
      <c r="X78" s="1">
        <v>6.27</v>
      </c>
      <c r="Y78" s="1" t="s">
        <v>471</v>
      </c>
      <c r="Z78" s="1" t="s">
        <v>472</v>
      </c>
      <c r="AA78" s="1">
        <v>24.962599999999998</v>
      </c>
      <c r="AB78" s="1">
        <v>5.15</v>
      </c>
    </row>
    <row r="79" spans="1:28" x14ac:dyDescent="0.45">
      <c r="A79" s="1" t="s">
        <v>689</v>
      </c>
      <c r="B79" s="1" t="s">
        <v>690</v>
      </c>
      <c r="C79" s="1">
        <v>4</v>
      </c>
      <c r="D79" s="10">
        <f ca="1">IFERROR(([1]!thsiFinD("ths_close_price_index",$A79,$AE$2,"","")/[1]!thsiFinD("ths_close_price_index",$A79,$AE$5,"","")-1)*100,"")</f>
        <v>10.305337689307681</v>
      </c>
      <c r="E79" s="10">
        <f ca="1">IFERROR(([1]!thsiFinD("ths_close_price_index",$A79,$AE$2,"","")/[1]!thsiFinD("ths_close_price_index",$A79,$AE$3,"","")-1)*100,"")</f>
        <v>-2.71352726486912</v>
      </c>
      <c r="F79" s="10">
        <f ca="1">IFERROR(([1]!thsiFinD("ths_close_price_index",$A79,$AE$2,"","")/[1]!thsiFinD("ths_close_price_index",$A79,$AE$4,"","")-1)*100,"")</f>
        <v>-15.82487715187696</v>
      </c>
      <c r="G79" s="11">
        <f t="shared" ca="1" si="1"/>
        <v>0.24853840462002397</v>
      </c>
      <c r="H79" s="1">
        <v>100.01</v>
      </c>
      <c r="I79" s="1" t="s">
        <v>691</v>
      </c>
      <c r="J79" s="1" t="s">
        <v>692</v>
      </c>
      <c r="K79" s="1">
        <v>22.281300000000002</v>
      </c>
      <c r="L79" s="1">
        <v>33.869999999999997</v>
      </c>
      <c r="M79" s="1" t="s">
        <v>693</v>
      </c>
      <c r="N79" s="1" t="s">
        <v>694</v>
      </c>
      <c r="O79" s="1">
        <v>19.202400000000001</v>
      </c>
      <c r="P79" s="1">
        <v>29.19</v>
      </c>
      <c r="Q79" s="1" t="s">
        <v>695</v>
      </c>
      <c r="R79" s="1" t="s">
        <v>696</v>
      </c>
      <c r="S79" s="1">
        <v>13.8462</v>
      </c>
      <c r="T79" s="1">
        <v>21.05</v>
      </c>
      <c r="U79" s="1" t="s">
        <v>697</v>
      </c>
      <c r="V79" s="1" t="s">
        <v>698</v>
      </c>
      <c r="W79" s="1">
        <v>10.4626</v>
      </c>
      <c r="X79" s="1">
        <v>15.9</v>
      </c>
    </row>
    <row r="80" spans="1:28" x14ac:dyDescent="0.45">
      <c r="A80" s="1" t="s">
        <v>1449</v>
      </c>
      <c r="B80" s="1" t="s">
        <v>1450</v>
      </c>
      <c r="C80" s="1">
        <v>21</v>
      </c>
      <c r="D80" s="10">
        <f ca="1">IFERROR(([1]!thsiFinD("ths_close_price_index",$A80,$AE$2,"","")/[1]!thsiFinD("ths_close_price_index",$A80,$AE$5,"","")-1)*100,"")</f>
        <v>-8.9780908208798245</v>
      </c>
      <c r="E80" s="10">
        <f ca="1">IFERROR(([1]!thsiFinD("ths_close_price_index",$A80,$AE$2,"","")/[1]!thsiFinD("ths_close_price_index",$A80,$AE$3,"","")-1)*100,"")</f>
        <v>-2.9533877904683647</v>
      </c>
      <c r="F80" s="10">
        <f ca="1">IFERROR(([1]!thsiFinD("ths_close_price_index",$A80,$AE$2,"","")/[1]!thsiFinD("ths_close_price_index",$A80,$AE$4,"","")-1)*100,"")</f>
        <v>-5.1535682732894887</v>
      </c>
      <c r="G80" s="11">
        <f t="shared" ca="1" si="1"/>
        <v>-0.33299914442919853</v>
      </c>
      <c r="H80" s="1">
        <v>60.13</v>
      </c>
      <c r="I80" s="1" t="s">
        <v>1451</v>
      </c>
      <c r="J80" s="1" t="s">
        <v>1452</v>
      </c>
      <c r="K80" s="1">
        <v>251.19929999999999</v>
      </c>
      <c r="L80" s="1">
        <v>14.39</v>
      </c>
      <c r="M80" s="1" t="s">
        <v>1453</v>
      </c>
      <c r="N80" s="1" t="s">
        <v>1454</v>
      </c>
      <c r="O80" s="1">
        <v>211.62350000000001</v>
      </c>
      <c r="P80" s="1">
        <v>12.12</v>
      </c>
      <c r="Q80" s="1" t="s">
        <v>1455</v>
      </c>
      <c r="R80" s="1" t="s">
        <v>1456</v>
      </c>
      <c r="S80" s="1">
        <v>208.76060000000001</v>
      </c>
      <c r="T80" s="1">
        <v>11.96</v>
      </c>
      <c r="U80" s="1" t="s">
        <v>1457</v>
      </c>
      <c r="V80" s="1" t="s">
        <v>1458</v>
      </c>
      <c r="W80" s="1">
        <v>198.63480000000001</v>
      </c>
      <c r="X80" s="1">
        <v>11.38</v>
      </c>
      <c r="Y80" s="1" t="s">
        <v>1459</v>
      </c>
      <c r="Z80" s="1" t="s">
        <v>1460</v>
      </c>
      <c r="AA80" s="1">
        <v>179.43029999999999</v>
      </c>
      <c r="AB80" s="1">
        <v>10.28</v>
      </c>
    </row>
    <row r="81" spans="1:28" x14ac:dyDescent="0.45">
      <c r="A81" s="1" t="s">
        <v>1759</v>
      </c>
      <c r="B81" s="1" t="s">
        <v>1760</v>
      </c>
      <c r="C81" s="1">
        <v>17</v>
      </c>
      <c r="D81" s="10">
        <f ca="1">IFERROR(([1]!thsiFinD("ths_close_price_index",$A81,$AE$2,"","")/[1]!thsiFinD("ths_close_price_index",$A81,$AE$5,"","")-1)*100,"")</f>
        <v>-13.482063524905019</v>
      </c>
      <c r="E81" s="10">
        <f ca="1">IFERROR(([1]!thsiFinD("ths_close_price_index",$A81,$AE$2,"","")/[1]!thsiFinD("ths_close_price_index",$A81,$AE$3,"","")-1)*100,"")</f>
        <v>-3.9366797760593153</v>
      </c>
      <c r="F81" s="10">
        <f ca="1">IFERROR(([1]!thsiFinD("ths_close_price_index",$A81,$AE$2,"","")/[1]!thsiFinD("ths_close_price_index",$A81,$AE$4,"","")-1)*100,"")</f>
        <v>-11.41813301881932</v>
      </c>
      <c r="G81" s="11">
        <f t="shared" ca="1" si="1"/>
        <v>-0.21642930427089702</v>
      </c>
      <c r="H81" s="1">
        <v>98.65</v>
      </c>
      <c r="I81" s="1" t="s">
        <v>1761</v>
      </c>
      <c r="J81" s="1" t="s">
        <v>1762</v>
      </c>
      <c r="K81" s="1">
        <v>936.86490000000003</v>
      </c>
      <c r="L81" s="1">
        <v>65.23</v>
      </c>
      <c r="M81" s="1" t="s">
        <v>1763</v>
      </c>
      <c r="N81" s="1" t="s">
        <v>1764</v>
      </c>
      <c r="O81" s="1">
        <v>250</v>
      </c>
      <c r="P81" s="1">
        <v>17.41</v>
      </c>
      <c r="Q81" s="1" t="s">
        <v>1765</v>
      </c>
      <c r="R81" s="1" t="s">
        <v>1766</v>
      </c>
      <c r="S81" s="1">
        <v>100</v>
      </c>
      <c r="T81" s="1">
        <v>6.96</v>
      </c>
      <c r="U81" s="1" t="s">
        <v>1767</v>
      </c>
      <c r="V81" s="1" t="s">
        <v>1768</v>
      </c>
      <c r="W81" s="1">
        <v>80</v>
      </c>
      <c r="X81" s="1">
        <v>5.57</v>
      </c>
      <c r="Y81" s="1" t="s">
        <v>1769</v>
      </c>
      <c r="Z81" s="1" t="s">
        <v>1770</v>
      </c>
      <c r="AA81" s="1">
        <v>50</v>
      </c>
      <c r="AB81" s="1">
        <v>3.48</v>
      </c>
    </row>
    <row r="82" spans="1:28" x14ac:dyDescent="0.45">
      <c r="A82" s="1" t="s">
        <v>605</v>
      </c>
      <c r="B82" s="1" t="s">
        <v>606</v>
      </c>
      <c r="C82" s="1">
        <v>75</v>
      </c>
      <c r="D82" s="10">
        <f ca="1">IFERROR(([1]!thsiFinD("ths_close_price_index",$A82,$AE$2,"","")/[1]!thsiFinD("ths_close_price_index",$A82,$AE$5,"","")-1)*100,"")</f>
        <v>16.169910816447274</v>
      </c>
      <c r="E82" s="10">
        <f ca="1">IFERROR(([1]!thsiFinD("ths_close_price_index",$A82,$AE$2,"","")/[1]!thsiFinD("ths_close_price_index",$A82,$AE$3,"","")-1)*100,"")</f>
        <v>-1.0471865637643019</v>
      </c>
      <c r="F82" s="10">
        <f ca="1">IFERROR(([1]!thsiFinD("ths_close_price_index",$A82,$AE$2,"","")/[1]!thsiFinD("ths_close_price_index",$A82,$AE$4,"","")-1)*100,"")</f>
        <v>-9.5400149827226883</v>
      </c>
      <c r="G82" s="11">
        <f t="shared" ca="1" si="1"/>
        <v>0.26756343638327407</v>
      </c>
      <c r="H82" s="1">
        <v>72.59</v>
      </c>
      <c r="I82" s="1" t="s">
        <v>607</v>
      </c>
      <c r="J82" s="1" t="s">
        <v>608</v>
      </c>
      <c r="K82" s="1">
        <v>1114.0975000000001</v>
      </c>
      <c r="L82" s="1">
        <v>25.05</v>
      </c>
      <c r="M82" s="1" t="s">
        <v>609</v>
      </c>
      <c r="N82" s="1" t="s">
        <v>610</v>
      </c>
      <c r="O82" s="1">
        <v>1038.6378999999999</v>
      </c>
      <c r="P82" s="1">
        <v>23.35</v>
      </c>
      <c r="Q82" s="1" t="s">
        <v>611</v>
      </c>
      <c r="R82" s="1" t="s">
        <v>612</v>
      </c>
      <c r="S82" s="1">
        <v>441.04759999999999</v>
      </c>
      <c r="T82" s="1">
        <v>9.91</v>
      </c>
      <c r="U82" s="1" t="s">
        <v>613</v>
      </c>
      <c r="V82" s="1" t="s">
        <v>614</v>
      </c>
      <c r="W82" s="1">
        <v>414.20389999999998</v>
      </c>
      <c r="X82" s="1">
        <v>9.31</v>
      </c>
      <c r="Y82" s="1" t="s">
        <v>615</v>
      </c>
      <c r="Z82" s="1" t="s">
        <v>616</v>
      </c>
      <c r="AA82" s="1">
        <v>221.16210000000001</v>
      </c>
      <c r="AB82" s="1">
        <v>4.97</v>
      </c>
    </row>
    <row r="83" spans="1:28" x14ac:dyDescent="0.45">
      <c r="A83" s="1" t="s">
        <v>1079</v>
      </c>
      <c r="B83" s="1" t="s">
        <v>1080</v>
      </c>
      <c r="C83" s="1">
        <v>111</v>
      </c>
      <c r="D83" s="10">
        <f ca="1">IFERROR(([1]!thsiFinD("ths_close_price_index",$A83,$AE$2,"","")/[1]!thsiFinD("ths_close_price_index",$A83,$AE$5,"","")-1)*100,"")</f>
        <v>0.84728380690566318</v>
      </c>
      <c r="E83" s="10">
        <f ca="1">IFERROR(([1]!thsiFinD("ths_close_price_index",$A83,$AE$2,"","")/[1]!thsiFinD("ths_close_price_index",$A83,$AE$3,"","")-1)*100,"")</f>
        <v>-0.97761710723499595</v>
      </c>
      <c r="F83" s="10">
        <f ca="1">IFERROR(([1]!thsiFinD("ths_close_price_index",$A83,$AE$2,"","")/[1]!thsiFinD("ths_close_price_index",$A83,$AE$4,"","")-1)*100,"")</f>
        <v>-5.7606930165227777</v>
      </c>
      <c r="G83" s="11">
        <f t="shared" ca="1" si="1"/>
        <v>9.2511229379139692E-2</v>
      </c>
      <c r="H83" s="1">
        <v>27.27</v>
      </c>
      <c r="I83" s="1" t="s">
        <v>1081</v>
      </c>
      <c r="J83" s="1" t="s">
        <v>1082</v>
      </c>
      <c r="K83" s="1">
        <v>228.6788</v>
      </c>
      <c r="L83" s="1">
        <v>8.77</v>
      </c>
      <c r="M83" s="1" t="s">
        <v>1083</v>
      </c>
      <c r="N83" s="1" t="s">
        <v>1084</v>
      </c>
      <c r="O83" s="1">
        <v>136.5163</v>
      </c>
      <c r="P83" s="1">
        <v>5.24</v>
      </c>
      <c r="Q83" s="1" t="s">
        <v>1085</v>
      </c>
      <c r="R83" s="1" t="s">
        <v>1086</v>
      </c>
      <c r="S83" s="1">
        <v>123.8712</v>
      </c>
      <c r="T83" s="1">
        <v>4.75</v>
      </c>
      <c r="U83" s="1" t="s">
        <v>1087</v>
      </c>
      <c r="V83" s="1" t="s">
        <v>1088</v>
      </c>
      <c r="W83" s="1">
        <v>116.5184</v>
      </c>
      <c r="X83" s="1">
        <v>4.47</v>
      </c>
      <c r="Y83" s="1" t="s">
        <v>1089</v>
      </c>
      <c r="Z83" s="1" t="s">
        <v>1090</v>
      </c>
      <c r="AA83" s="1">
        <v>105.3536</v>
      </c>
      <c r="AB83" s="1">
        <v>4.04</v>
      </c>
    </row>
    <row r="84" spans="1:28" x14ac:dyDescent="0.45">
      <c r="A84" s="1" t="s">
        <v>1631</v>
      </c>
      <c r="B84" s="1" t="s">
        <v>1632</v>
      </c>
      <c r="C84" s="1">
        <v>115</v>
      </c>
      <c r="D84" s="10">
        <f ca="1">IFERROR(([1]!thsiFinD("ths_close_price_index",$A84,$AE$2,"","")/[1]!thsiFinD("ths_close_price_index",$A84,$AE$5,"","")-1)*100,"")</f>
        <v>-9.8614139485545991</v>
      </c>
      <c r="E84" s="10">
        <f ca="1">IFERROR(([1]!thsiFinD("ths_close_price_index",$A84,$AE$2,"","")/[1]!thsiFinD("ths_close_price_index",$A84,$AE$3,"","")-1)*100,"")</f>
        <v>-1.575135789672133</v>
      </c>
      <c r="F84" s="10">
        <f ca="1">IFERROR(([1]!thsiFinD("ths_close_price_index",$A84,$AE$2,"","")/[1]!thsiFinD("ths_close_price_index",$A84,$AE$4,"","")-1)*100,"")</f>
        <v>-8.0269835111222534</v>
      </c>
      <c r="G84" s="11">
        <f t="shared" ca="1" si="1"/>
        <v>8.6322017621686065E-2</v>
      </c>
      <c r="H84" s="1">
        <v>42.54</v>
      </c>
      <c r="I84" s="1" t="s">
        <v>1633</v>
      </c>
      <c r="J84" s="1" t="s">
        <v>1634</v>
      </c>
      <c r="K84" s="1">
        <v>831.76660000000004</v>
      </c>
      <c r="L84" s="1">
        <v>18.02</v>
      </c>
      <c r="M84" s="1" t="s">
        <v>1635</v>
      </c>
      <c r="N84" s="1" t="s">
        <v>1636</v>
      </c>
      <c r="O84" s="1">
        <v>480.77719999999999</v>
      </c>
      <c r="P84" s="1">
        <v>10.41</v>
      </c>
      <c r="Q84" s="1" t="s">
        <v>1637</v>
      </c>
      <c r="R84" s="1" t="s">
        <v>1638</v>
      </c>
      <c r="S84" s="1">
        <v>254.15280000000001</v>
      </c>
      <c r="T84" s="1">
        <v>5.5</v>
      </c>
      <c r="U84" s="1" t="s">
        <v>1639</v>
      </c>
      <c r="V84" s="1" t="s">
        <v>1640</v>
      </c>
      <c r="W84" s="1">
        <v>239.14709999999999</v>
      </c>
      <c r="X84" s="1">
        <v>5.18</v>
      </c>
      <c r="Y84" s="1" t="s">
        <v>1641</v>
      </c>
      <c r="Z84" s="1" t="s">
        <v>1642</v>
      </c>
      <c r="AA84" s="1">
        <v>158.38659999999999</v>
      </c>
      <c r="AB84" s="1">
        <v>3.43</v>
      </c>
    </row>
    <row r="85" spans="1:28" x14ac:dyDescent="0.45">
      <c r="A85" s="1" t="s">
        <v>1189</v>
      </c>
      <c r="B85" s="1" t="s">
        <v>1190</v>
      </c>
      <c r="C85" s="1">
        <v>9</v>
      </c>
      <c r="D85" s="10">
        <f ca="1">IFERROR(([1]!thsiFinD("ths_close_price_index",$A85,$AE$2,"","")/[1]!thsiFinD("ths_close_price_index",$A85,$AE$5,"","")-1)*100,"")</f>
        <v>9.9029400988457574</v>
      </c>
      <c r="E85" s="10">
        <f ca="1">IFERROR(([1]!thsiFinD("ths_close_price_index",$A85,$AE$2,"","")/[1]!thsiFinD("ths_close_price_index",$A85,$AE$3,"","")-1)*100,"")</f>
        <v>13.043544863142987</v>
      </c>
      <c r="F85" s="10">
        <f ca="1">IFERROR(([1]!thsiFinD("ths_close_price_index",$A85,$AE$2,"","")/[1]!thsiFinD("ths_close_price_index",$A85,$AE$4,"","")-1)*100,"")</f>
        <v>11.124112428282618</v>
      </c>
      <c r="G85" s="11">
        <f t="shared" ca="1" si="1"/>
        <v>2.0525033512144661</v>
      </c>
      <c r="H85" s="1">
        <v>89.62</v>
      </c>
      <c r="I85" s="1" t="s">
        <v>1191</v>
      </c>
      <c r="J85" s="1" t="s">
        <v>1192</v>
      </c>
      <c r="K85" s="1">
        <v>365.55149999999998</v>
      </c>
      <c r="L85" s="1">
        <v>29.88</v>
      </c>
      <c r="M85" s="1" t="s">
        <v>1193</v>
      </c>
      <c r="N85" s="1" t="s">
        <v>1194</v>
      </c>
      <c r="O85" s="1">
        <v>336.74169999999998</v>
      </c>
      <c r="P85" s="1">
        <v>27.52</v>
      </c>
      <c r="Q85" s="1" t="s">
        <v>1195</v>
      </c>
      <c r="R85" s="1" t="s">
        <v>1196</v>
      </c>
      <c r="S85" s="1">
        <v>195.3365</v>
      </c>
      <c r="T85" s="1">
        <v>15.96</v>
      </c>
      <c r="U85" s="1" t="s">
        <v>1197</v>
      </c>
      <c r="V85" s="1" t="s">
        <v>1198</v>
      </c>
      <c r="W85" s="1">
        <v>100.9817</v>
      </c>
      <c r="X85" s="1">
        <v>8.25</v>
      </c>
      <c r="Y85" s="1" t="s">
        <v>1199</v>
      </c>
      <c r="Z85" s="1" t="s">
        <v>1200</v>
      </c>
      <c r="AA85" s="1">
        <v>98.012600000000006</v>
      </c>
      <c r="AB85" s="1">
        <v>8.01</v>
      </c>
    </row>
    <row r="86" spans="1:28" x14ac:dyDescent="0.45">
      <c r="A86" s="1" t="s">
        <v>2877</v>
      </c>
      <c r="B86" s="1" t="s">
        <v>2878</v>
      </c>
      <c r="C86" s="1">
        <v>1</v>
      </c>
      <c r="D86" s="10">
        <f ca="1">IFERROR(([1]!thsiFinD("ths_close_price_index",$A86,$AE$2,"","")/[1]!thsiFinD("ths_close_price_index",$A86,$AE$5,"","")-1)*100,"")</f>
        <v>-27.570724715434146</v>
      </c>
      <c r="E86" s="10">
        <f ca="1">IFERROR(([1]!thsiFinD("ths_close_price_index",$A86,$AE$2,"","")/[1]!thsiFinD("ths_close_price_index",$A86,$AE$3,"","")-1)*100,"")</f>
        <v>-1.5361117196017071</v>
      </c>
      <c r="F86" s="10">
        <f ca="1">IFERROR(([1]!thsiFinD("ths_close_price_index",$A86,$AE$2,"","")/[1]!thsiFinD("ths_close_price_index",$A86,$AE$4,"","")-1)*100,"")</f>
        <v>-14.760818428363864</v>
      </c>
      <c r="G86" s="11">
        <f t="shared" ca="1" si="1"/>
        <v>0.4308185774978518</v>
      </c>
      <c r="H86" s="1">
        <v>100</v>
      </c>
      <c r="I86" s="1" t="s">
        <v>2879</v>
      </c>
      <c r="J86" s="1" t="s">
        <v>2880</v>
      </c>
      <c r="K86" s="1">
        <v>56.336199999999998</v>
      </c>
      <c r="L86" s="1">
        <v>100</v>
      </c>
    </row>
    <row r="87" spans="1:28" x14ac:dyDescent="0.45">
      <c r="A87" s="1" t="s">
        <v>2141</v>
      </c>
      <c r="B87" s="1" t="s">
        <v>2142</v>
      </c>
      <c r="C87" s="1">
        <v>6</v>
      </c>
      <c r="D87" s="10">
        <f ca="1">IFERROR(([1]!thsiFinD("ths_close_price_index",$A87,$AE$2,"","")/[1]!thsiFinD("ths_close_price_index",$A87,$AE$5,"","")-1)*100,"")</f>
        <v>-19.407417988139763</v>
      </c>
      <c r="E87" s="10">
        <f ca="1">IFERROR(([1]!thsiFinD("ths_close_price_index",$A87,$AE$2,"","")/[1]!thsiFinD("ths_close_price_index",$A87,$AE$3,"","")-1)*100,"")</f>
        <v>-5.7997538365030294</v>
      </c>
      <c r="F87" s="10">
        <f ca="1">IFERROR(([1]!thsiFinD("ths_close_price_index",$A87,$AE$2,"","")/[1]!thsiFinD("ths_close_price_index",$A87,$AE$4,"","")-1)*100,"")</f>
        <v>-14.127823229481773</v>
      </c>
      <c r="G87" s="11">
        <f t="shared" ca="1" si="1"/>
        <v>-0.45355960582651733</v>
      </c>
      <c r="H87" s="1">
        <v>99.99</v>
      </c>
      <c r="I87" s="1" t="s">
        <v>2143</v>
      </c>
      <c r="J87" s="1" t="s">
        <v>2144</v>
      </c>
      <c r="K87" s="1">
        <v>23.095500000000001</v>
      </c>
      <c r="L87" s="1">
        <v>28.24</v>
      </c>
      <c r="M87" s="1" t="s">
        <v>2145</v>
      </c>
      <c r="N87" s="1" t="s">
        <v>2146</v>
      </c>
      <c r="O87" s="1">
        <v>17.5136</v>
      </c>
      <c r="P87" s="1">
        <v>21.42</v>
      </c>
      <c r="Q87" s="1" t="s">
        <v>2147</v>
      </c>
      <c r="R87" s="1" t="s">
        <v>2148</v>
      </c>
      <c r="S87" s="1">
        <v>17.289000000000001</v>
      </c>
      <c r="T87" s="1">
        <v>21.14</v>
      </c>
      <c r="U87" s="1" t="s">
        <v>2149</v>
      </c>
      <c r="V87" s="1" t="s">
        <v>2150</v>
      </c>
      <c r="W87" s="1">
        <v>16.209700000000002</v>
      </c>
      <c r="X87" s="1">
        <v>19.82</v>
      </c>
      <c r="Y87" s="1" t="s">
        <v>2151</v>
      </c>
      <c r="Z87" s="1" t="s">
        <v>2152</v>
      </c>
      <c r="AA87" s="1">
        <v>7.6620999999999997</v>
      </c>
      <c r="AB87" s="1">
        <v>9.3699999999999992</v>
      </c>
    </row>
    <row r="88" spans="1:28" x14ac:dyDescent="0.45">
      <c r="A88" s="1" t="s">
        <v>1031</v>
      </c>
      <c r="B88" s="1" t="s">
        <v>1032</v>
      </c>
      <c r="C88" s="1">
        <v>13</v>
      </c>
      <c r="D88" s="10">
        <f ca="1">IFERROR(([1]!thsiFinD("ths_close_price_index",$A88,$AE$2,"","")/[1]!thsiFinD("ths_close_price_index",$A88,$AE$5,"","")-1)*100,"")</f>
        <v>4.9744719263950188</v>
      </c>
      <c r="E88" s="10">
        <f ca="1">IFERROR(([1]!thsiFinD("ths_close_price_index",$A88,$AE$2,"","")/[1]!thsiFinD("ths_close_price_index",$A88,$AE$3,"","")-1)*100,"")</f>
        <v>2.6233097050118781</v>
      </c>
      <c r="F88" s="10">
        <f ca="1">IFERROR(([1]!thsiFinD("ths_close_price_index",$A88,$AE$2,"","")/[1]!thsiFinD("ths_close_price_index",$A88,$AE$4,"","")-1)*100,"")</f>
        <v>2.0443193417406302</v>
      </c>
      <c r="G88" s="11">
        <f t="shared" ca="1" si="1"/>
        <v>0.42244597391534411</v>
      </c>
      <c r="H88" s="1">
        <v>82.32</v>
      </c>
      <c r="I88" s="1" t="s">
        <v>1033</v>
      </c>
      <c r="J88" s="1" t="s">
        <v>1034</v>
      </c>
      <c r="K88" s="1">
        <v>471.41950000000003</v>
      </c>
      <c r="L88" s="1">
        <v>42.28</v>
      </c>
      <c r="M88" s="1" t="s">
        <v>1035</v>
      </c>
      <c r="N88" s="1" t="s">
        <v>1036</v>
      </c>
      <c r="O88" s="1">
        <v>210.19829999999999</v>
      </c>
      <c r="P88" s="1">
        <v>18.850000000000001</v>
      </c>
      <c r="Q88" s="1" t="s">
        <v>1037</v>
      </c>
      <c r="R88" s="1" t="s">
        <v>1038</v>
      </c>
      <c r="S88" s="1">
        <v>102.2055</v>
      </c>
      <c r="T88" s="1">
        <v>9.17</v>
      </c>
      <c r="U88" s="1" t="s">
        <v>1039</v>
      </c>
      <c r="V88" s="1" t="s">
        <v>1040</v>
      </c>
      <c r="W88" s="1">
        <v>84.465400000000002</v>
      </c>
      <c r="X88" s="1">
        <v>7.58</v>
      </c>
      <c r="Y88" s="1" t="s">
        <v>1041</v>
      </c>
      <c r="Z88" s="1" t="s">
        <v>1042</v>
      </c>
      <c r="AA88" s="1">
        <v>49.502699999999997</v>
      </c>
      <c r="AB88" s="1">
        <v>4.4400000000000004</v>
      </c>
    </row>
    <row r="89" spans="1:28" x14ac:dyDescent="0.45">
      <c r="A89" s="1" t="s">
        <v>1343</v>
      </c>
      <c r="B89" s="1" t="s">
        <v>1344</v>
      </c>
      <c r="C89" s="1">
        <v>4</v>
      </c>
      <c r="D89" s="10">
        <f ca="1">IFERROR(([1]!thsiFinD("ths_close_price_index",$A89,$AE$2,"","")/[1]!thsiFinD("ths_close_price_index",$A89,$AE$5,"","")-1)*100,"")</f>
        <v>-2.7145933924192622</v>
      </c>
      <c r="E89" s="10">
        <f ca="1">IFERROR(([1]!thsiFinD("ths_close_price_index",$A89,$AE$2,"","")/[1]!thsiFinD("ths_close_price_index",$A89,$AE$3,"","")-1)*100,"")</f>
        <v>1.8055388959057783</v>
      </c>
      <c r="F89" s="10">
        <f ca="1">IFERROR(([1]!thsiFinD("ths_close_price_index",$A89,$AE$2,"","")/[1]!thsiFinD("ths_close_price_index",$A89,$AE$4,"","")-1)*100,"")</f>
        <v>0.52102574580710215</v>
      </c>
      <c r="G89" s="11">
        <f t="shared" ca="1" si="1"/>
        <v>0.33505649189080056</v>
      </c>
      <c r="H89" s="1">
        <v>100</v>
      </c>
      <c r="I89" s="1" t="s">
        <v>1345</v>
      </c>
      <c r="J89" s="1" t="s">
        <v>1346</v>
      </c>
      <c r="K89" s="1">
        <v>35.958799999999997</v>
      </c>
      <c r="L89" s="1">
        <v>34.53</v>
      </c>
      <c r="M89" s="1" t="s">
        <v>1347</v>
      </c>
      <c r="N89" s="1" t="s">
        <v>1348</v>
      </c>
      <c r="O89" s="1">
        <v>30.7547</v>
      </c>
      <c r="P89" s="1">
        <v>29.53</v>
      </c>
      <c r="Q89" s="1" t="s">
        <v>1349</v>
      </c>
      <c r="R89" s="1" t="s">
        <v>1350</v>
      </c>
      <c r="S89" s="1">
        <v>22.393899999999999</v>
      </c>
      <c r="T89" s="1">
        <v>21.5</v>
      </c>
      <c r="U89" s="1" t="s">
        <v>1351</v>
      </c>
      <c r="V89" s="1" t="s">
        <v>1352</v>
      </c>
      <c r="W89" s="1">
        <v>15.0396</v>
      </c>
      <c r="X89" s="1">
        <v>14.44</v>
      </c>
    </row>
    <row r="90" spans="1:28" x14ac:dyDescent="0.45">
      <c r="A90" s="1" t="s">
        <v>1237</v>
      </c>
      <c r="B90" s="1" t="s">
        <v>1238</v>
      </c>
      <c r="C90" s="1">
        <v>14</v>
      </c>
      <c r="D90" s="10">
        <f ca="1">IFERROR(([1]!thsiFinD("ths_close_price_index",$A90,$AE$2,"","")/[1]!thsiFinD("ths_close_price_index",$A90,$AE$5,"","")-1)*100,"")</f>
        <v>-8.0418695021839071</v>
      </c>
      <c r="E90" s="10">
        <f ca="1">IFERROR(([1]!thsiFinD("ths_close_price_index",$A90,$AE$2,"","")/[1]!thsiFinD("ths_close_price_index",$A90,$AE$3,"","")-1)*100,"")</f>
        <v>-4.8138015203082141</v>
      </c>
      <c r="F90" s="10">
        <f ca="1">IFERROR(([1]!thsiFinD("ths_close_price_index",$A90,$AE$2,"","")/[1]!thsiFinD("ths_close_price_index",$A90,$AE$4,"","")-1)*100,"")</f>
        <v>-13.360915348399793</v>
      </c>
      <c r="G90" s="11">
        <f t="shared" ca="1" si="1"/>
        <v>-0.29471453664165315</v>
      </c>
      <c r="H90" s="1">
        <v>75.010000000000005</v>
      </c>
      <c r="I90" s="1" t="s">
        <v>1239</v>
      </c>
      <c r="J90" s="1" t="s">
        <v>1240</v>
      </c>
      <c r="K90" s="1">
        <v>107.7214</v>
      </c>
      <c r="L90" s="1">
        <v>27.03</v>
      </c>
      <c r="M90" s="1" t="s">
        <v>1241</v>
      </c>
      <c r="N90" s="1" t="s">
        <v>1242</v>
      </c>
      <c r="O90" s="1">
        <v>65.745400000000004</v>
      </c>
      <c r="P90" s="1">
        <v>16.489999999999998</v>
      </c>
      <c r="Q90" s="1" t="s">
        <v>1243</v>
      </c>
      <c r="R90" s="1" t="s">
        <v>1244</v>
      </c>
      <c r="S90" s="1">
        <v>61.925899999999999</v>
      </c>
      <c r="T90" s="1">
        <v>15.54</v>
      </c>
      <c r="U90" s="1" t="s">
        <v>1245</v>
      </c>
      <c r="V90" s="1" t="s">
        <v>1246</v>
      </c>
      <c r="W90" s="1">
        <v>42.226599999999998</v>
      </c>
      <c r="X90" s="1">
        <v>10.59</v>
      </c>
      <c r="Y90" s="1" t="s">
        <v>1247</v>
      </c>
      <c r="Z90" s="1" t="s">
        <v>1248</v>
      </c>
      <c r="AA90" s="1">
        <v>21.3827</v>
      </c>
      <c r="AB90" s="1">
        <v>5.36</v>
      </c>
    </row>
    <row r="91" spans="1:28" x14ac:dyDescent="0.45">
      <c r="A91" s="1" t="s">
        <v>1099</v>
      </c>
      <c r="B91" s="1" t="s">
        <v>1100</v>
      </c>
      <c r="C91" s="1">
        <v>12</v>
      </c>
      <c r="D91" s="10">
        <f ca="1">IFERROR(([1]!thsiFinD("ths_close_price_index",$A91,$AE$2,"","")/[1]!thsiFinD("ths_close_price_index",$A91,$AE$5,"","")-1)*100,"")</f>
        <v>1.2360781549254796</v>
      </c>
      <c r="E91" s="10">
        <f ca="1">IFERROR(([1]!thsiFinD("ths_close_price_index",$A91,$AE$2,"","")/[1]!thsiFinD("ths_close_price_index",$A91,$AE$3,"","")-1)*100,"")</f>
        <v>0.10720697299055892</v>
      </c>
      <c r="F91" s="10">
        <f ca="1">IFERROR(([1]!thsiFinD("ths_close_price_index",$A91,$AE$2,"","")/[1]!thsiFinD("ths_close_price_index",$A91,$AE$4,"","")-1)*100,"")</f>
        <v>-9.4414738989695106</v>
      </c>
      <c r="G91" s="11">
        <f t="shared" ca="1" si="1"/>
        <v>0.49351508954658729</v>
      </c>
      <c r="H91" s="1">
        <v>100.01</v>
      </c>
      <c r="I91" s="1" t="s">
        <v>1101</v>
      </c>
      <c r="J91" s="1" t="s">
        <v>1102</v>
      </c>
      <c r="K91" s="1">
        <v>278.58819999999997</v>
      </c>
      <c r="L91" s="1">
        <v>52.45</v>
      </c>
      <c r="M91" s="1" t="s">
        <v>1103</v>
      </c>
      <c r="N91" s="1" t="s">
        <v>1104</v>
      </c>
      <c r="O91" s="1">
        <v>102.6818</v>
      </c>
      <c r="P91" s="1">
        <v>19.329999999999998</v>
      </c>
      <c r="Q91" s="1" t="s">
        <v>1105</v>
      </c>
      <c r="R91" s="1" t="s">
        <v>1106</v>
      </c>
      <c r="S91" s="1">
        <v>90.985600000000005</v>
      </c>
      <c r="T91" s="1">
        <v>17.13</v>
      </c>
      <c r="U91" s="1" t="s">
        <v>1107</v>
      </c>
      <c r="V91" s="1" t="s">
        <v>1108</v>
      </c>
      <c r="W91" s="1">
        <v>33.299999999999997</v>
      </c>
      <c r="X91" s="1">
        <v>6.27</v>
      </c>
      <c r="Y91" s="1" t="s">
        <v>1109</v>
      </c>
      <c r="Z91" s="1" t="s">
        <v>1110</v>
      </c>
      <c r="AA91" s="1">
        <v>25.640499999999999</v>
      </c>
      <c r="AB91" s="1">
        <v>4.83</v>
      </c>
    </row>
    <row r="92" spans="1:28" x14ac:dyDescent="0.45">
      <c r="A92" s="1" t="s">
        <v>545</v>
      </c>
      <c r="B92" s="1" t="s">
        <v>546</v>
      </c>
      <c r="C92" s="1">
        <v>13</v>
      </c>
      <c r="D92" s="10">
        <f ca="1">IFERROR(([1]!thsiFinD("ths_close_price_index",$A92,$AE$2,"","")/[1]!thsiFinD("ths_close_price_index",$A92,$AE$5,"","")-1)*100,"")</f>
        <v>20.939078570790738</v>
      </c>
      <c r="E92" s="10">
        <f ca="1">IFERROR(([1]!thsiFinD("ths_close_price_index",$A92,$AE$2,"","")/[1]!thsiFinD("ths_close_price_index",$A92,$AE$3,"","")-1)*100,"")</f>
        <v>1.6329874405801137</v>
      </c>
      <c r="F92" s="10">
        <f ca="1">IFERROR(([1]!thsiFinD("ths_close_price_index",$A92,$AE$2,"","")/[1]!thsiFinD("ths_close_price_index",$A92,$AE$4,"","")-1)*100,"")</f>
        <v>0.42751189985461568</v>
      </c>
      <c r="G92" s="11">
        <f t="shared" ca="1" si="1"/>
        <v>0.30522189312329195</v>
      </c>
      <c r="H92" s="1">
        <v>66.349999999999994</v>
      </c>
      <c r="I92" s="1" t="s">
        <v>547</v>
      </c>
      <c r="J92" s="1" t="s">
        <v>548</v>
      </c>
      <c r="K92" s="1">
        <v>554.81399999999996</v>
      </c>
      <c r="L92" s="1">
        <v>24.52</v>
      </c>
      <c r="M92" s="1" t="s">
        <v>549</v>
      </c>
      <c r="N92" s="1" t="s">
        <v>550</v>
      </c>
      <c r="O92" s="1">
        <v>338.87670000000003</v>
      </c>
      <c r="P92" s="1">
        <v>14.98</v>
      </c>
      <c r="Q92" s="1" t="s">
        <v>551</v>
      </c>
      <c r="R92" s="1" t="s">
        <v>552</v>
      </c>
      <c r="S92" s="1">
        <v>273.64350000000002</v>
      </c>
      <c r="T92" s="1">
        <v>12.09</v>
      </c>
      <c r="U92" s="1" t="s">
        <v>553</v>
      </c>
      <c r="V92" s="1" t="s">
        <v>554</v>
      </c>
      <c r="W92" s="1">
        <v>167.35380000000001</v>
      </c>
      <c r="X92" s="1">
        <v>7.4</v>
      </c>
      <c r="Y92" s="1" t="s">
        <v>555</v>
      </c>
      <c r="Z92" s="1" t="s">
        <v>556</v>
      </c>
      <c r="AA92" s="1">
        <v>166.49109999999999</v>
      </c>
      <c r="AB92" s="1">
        <v>7.36</v>
      </c>
    </row>
    <row r="93" spans="1:28" x14ac:dyDescent="0.45">
      <c r="A93" s="1" t="s">
        <v>1473</v>
      </c>
      <c r="B93" s="1" t="s">
        <v>1474</v>
      </c>
      <c r="C93" s="1">
        <v>15</v>
      </c>
      <c r="D93" s="10">
        <f ca="1">IFERROR(([1]!thsiFinD("ths_close_price_index",$A93,$AE$2,"","")/[1]!thsiFinD("ths_close_price_index",$A93,$AE$5,"","")-1)*100,"")</f>
        <v>-11.411403295022982</v>
      </c>
      <c r="E93" s="10">
        <f ca="1">IFERROR(([1]!thsiFinD("ths_close_price_index",$A93,$AE$2,"","")/[1]!thsiFinD("ths_close_price_index",$A93,$AE$3,"","")-1)*100,"")</f>
        <v>-4.9640395140699738</v>
      </c>
      <c r="F93" s="10">
        <f ca="1">IFERROR(([1]!thsiFinD("ths_close_price_index",$A93,$AE$2,"","")/[1]!thsiFinD("ths_close_price_index",$A93,$AE$4,"","")-1)*100,"")</f>
        <v>-13.198301455942573</v>
      </c>
      <c r="G93" s="11">
        <f t="shared" ca="1" si="1"/>
        <v>-0.33289283001686609</v>
      </c>
      <c r="H93" s="1">
        <v>100</v>
      </c>
      <c r="I93" s="1" t="s">
        <v>1475</v>
      </c>
      <c r="J93" s="1" t="s">
        <v>1476</v>
      </c>
      <c r="K93" s="1">
        <v>340.78640000000001</v>
      </c>
      <c r="L93" s="1">
        <v>46.69</v>
      </c>
      <c r="M93" s="1" t="s">
        <v>1477</v>
      </c>
      <c r="N93" s="1" t="s">
        <v>1478</v>
      </c>
      <c r="O93" s="1">
        <v>159.36619999999999</v>
      </c>
      <c r="P93" s="1">
        <v>21.83</v>
      </c>
      <c r="Q93" s="1" t="s">
        <v>1479</v>
      </c>
      <c r="R93" s="1" t="s">
        <v>1480</v>
      </c>
      <c r="S93" s="1">
        <v>131.26859999999999</v>
      </c>
      <c r="T93" s="1">
        <v>17.98</v>
      </c>
      <c r="U93" s="1" t="s">
        <v>1481</v>
      </c>
      <c r="V93" s="1" t="s">
        <v>1482</v>
      </c>
      <c r="W93" s="1">
        <v>54.322400000000002</v>
      </c>
      <c r="X93" s="1">
        <v>7.44</v>
      </c>
      <c r="Y93" s="1" t="s">
        <v>1483</v>
      </c>
      <c r="Z93" s="1" t="s">
        <v>1484</v>
      </c>
      <c r="AA93" s="1">
        <v>44.207799999999999</v>
      </c>
      <c r="AB93" s="1">
        <v>6.06</v>
      </c>
    </row>
    <row r="94" spans="1:28" x14ac:dyDescent="0.45">
      <c r="A94" s="1" t="s">
        <v>617</v>
      </c>
      <c r="B94" s="1" t="s">
        <v>618</v>
      </c>
      <c r="C94" s="1">
        <v>30</v>
      </c>
      <c r="D94" s="10">
        <f ca="1">IFERROR(([1]!thsiFinD("ths_close_price_index",$A94,$AE$2,"","")/[1]!thsiFinD("ths_close_price_index",$A94,$AE$5,"","")-1)*100,"")</f>
        <v>18.978370569532753</v>
      </c>
      <c r="E94" s="10">
        <f ca="1">IFERROR(([1]!thsiFinD("ths_close_price_index",$A94,$AE$2,"","")/[1]!thsiFinD("ths_close_price_index",$A94,$AE$3,"","")-1)*100,"")</f>
        <v>1.7882458851567362</v>
      </c>
      <c r="F94" s="10">
        <f ca="1">IFERROR(([1]!thsiFinD("ths_close_price_index",$A94,$AE$2,"","")/[1]!thsiFinD("ths_close_price_index",$A94,$AE$4,"","")-1)*100,"")</f>
        <v>0.31704006901540627</v>
      </c>
      <c r="G94" s="11">
        <f t="shared" ca="1" si="1"/>
        <v>0.34179717358057693</v>
      </c>
      <c r="H94" s="1">
        <v>59.18</v>
      </c>
      <c r="I94" s="1" t="s">
        <v>619</v>
      </c>
      <c r="J94" s="1" t="s">
        <v>620</v>
      </c>
      <c r="K94" s="1">
        <v>746.16520000000003</v>
      </c>
      <c r="L94" s="1">
        <v>17.78</v>
      </c>
      <c r="M94" s="1" t="s">
        <v>621</v>
      </c>
      <c r="N94" s="1" t="s">
        <v>622</v>
      </c>
      <c r="O94" s="1">
        <v>471.63600000000002</v>
      </c>
      <c r="P94" s="1">
        <v>11.24</v>
      </c>
      <c r="Q94" s="1" t="s">
        <v>623</v>
      </c>
      <c r="R94" s="1" t="s">
        <v>624</v>
      </c>
      <c r="S94" s="1">
        <v>437.38010000000003</v>
      </c>
      <c r="T94" s="1">
        <v>10.42</v>
      </c>
      <c r="U94" s="1" t="s">
        <v>625</v>
      </c>
      <c r="V94" s="1" t="s">
        <v>626</v>
      </c>
      <c r="W94" s="1">
        <v>421.4966</v>
      </c>
      <c r="X94" s="1">
        <v>10.039999999999999</v>
      </c>
      <c r="Y94" s="1" t="s">
        <v>627</v>
      </c>
      <c r="Z94" s="1" t="s">
        <v>628</v>
      </c>
      <c r="AA94" s="1">
        <v>406.9923</v>
      </c>
      <c r="AB94" s="1">
        <v>9.6999999999999993</v>
      </c>
    </row>
    <row r="95" spans="1:28" x14ac:dyDescent="0.45">
      <c r="A95" s="1" t="s">
        <v>55</v>
      </c>
      <c r="B95" s="1" t="s">
        <v>56</v>
      </c>
      <c r="C95" s="1">
        <v>6</v>
      </c>
      <c r="D95" s="10">
        <f ca="1">IFERROR(([1]!thsiFinD("ths_close_price_index",$A95,$AE$2,"","")/[1]!thsiFinD("ths_close_price_index",$A95,$AE$5,"","")-1)*100,"")</f>
        <v>266.17090830491566</v>
      </c>
      <c r="E95" s="10">
        <f ca="1">IFERROR(([1]!thsiFinD("ths_close_price_index",$A95,$AE$2,"","")/[1]!thsiFinD("ths_close_price_index",$A95,$AE$3,"","")-1)*100,"")</f>
        <v>23.19845414655348</v>
      </c>
      <c r="F95" s="10">
        <f ca="1">IFERROR(([1]!thsiFinD("ths_close_price_index",$A95,$AE$2,"","")/[1]!thsiFinD("ths_close_price_index",$A95,$AE$4,"","")-1)*100,"")</f>
        <v>52.748443672459835</v>
      </c>
      <c r="G95" s="11">
        <f t="shared" ca="1" si="1"/>
        <v>2.0022686456877046</v>
      </c>
      <c r="H95" s="1">
        <v>100</v>
      </c>
      <c r="I95" s="1" t="s">
        <v>57</v>
      </c>
      <c r="J95" s="1" t="s">
        <v>58</v>
      </c>
      <c r="K95" s="1">
        <v>1218.3988999999999</v>
      </c>
      <c r="L95" s="1">
        <v>62.72</v>
      </c>
      <c r="M95" s="1" t="s">
        <v>59</v>
      </c>
      <c r="N95" s="1" t="s">
        <v>60</v>
      </c>
      <c r="O95" s="1">
        <v>562.62429999999995</v>
      </c>
      <c r="P95" s="1">
        <v>28.96</v>
      </c>
      <c r="Q95" s="1" t="s">
        <v>61</v>
      </c>
      <c r="R95" s="1" t="s">
        <v>62</v>
      </c>
      <c r="S95" s="1">
        <v>63.838099999999997</v>
      </c>
      <c r="T95" s="1">
        <v>3.29</v>
      </c>
      <c r="U95" s="1" t="s">
        <v>63</v>
      </c>
      <c r="V95" s="1" t="s">
        <v>64</v>
      </c>
      <c r="W95" s="1">
        <v>52.3386</v>
      </c>
      <c r="X95" s="1">
        <v>2.69</v>
      </c>
      <c r="Y95" s="1" t="s">
        <v>65</v>
      </c>
      <c r="Z95" s="1" t="s">
        <v>66</v>
      </c>
      <c r="AA95" s="1">
        <v>45.5259</v>
      </c>
      <c r="AB95" s="1">
        <v>2.34</v>
      </c>
    </row>
    <row r="96" spans="1:28" x14ac:dyDescent="0.45">
      <c r="A96" s="1" t="s">
        <v>899</v>
      </c>
      <c r="B96" s="1" t="s">
        <v>900</v>
      </c>
      <c r="C96" s="1">
        <v>8</v>
      </c>
      <c r="D96" s="10">
        <f ca="1">IFERROR(([1]!thsiFinD("ths_close_price_index",$A96,$AE$2,"","")/[1]!thsiFinD("ths_close_price_index",$A96,$AE$5,"","")-1)*100,"")</f>
        <v>4.774776780802803</v>
      </c>
      <c r="E96" s="10">
        <f ca="1">IFERROR(([1]!thsiFinD("ths_close_price_index",$A96,$AE$2,"","")/[1]!thsiFinD("ths_close_price_index",$A96,$AE$3,"","")-1)*100,"")</f>
        <v>-3.3104680270745757</v>
      </c>
      <c r="F96" s="10">
        <f ca="1">IFERROR(([1]!thsiFinD("ths_close_price_index",$A96,$AE$2,"","")/[1]!thsiFinD("ths_close_price_index",$A96,$AE$4,"","")-1)*100,"")</f>
        <v>-5.3885863522649462</v>
      </c>
      <c r="G96" s="11">
        <f t="shared" ca="1" si="1"/>
        <v>-0.39266428780166784</v>
      </c>
      <c r="H96" s="1">
        <v>81.099999999999994</v>
      </c>
      <c r="I96" s="1" t="s">
        <v>901</v>
      </c>
      <c r="J96" s="1" t="s">
        <v>902</v>
      </c>
      <c r="K96" s="1">
        <v>45.320599999999999</v>
      </c>
      <c r="L96" s="1">
        <v>30.3</v>
      </c>
      <c r="M96" s="1" t="s">
        <v>903</v>
      </c>
      <c r="N96" s="1" t="s">
        <v>904</v>
      </c>
      <c r="O96" s="1">
        <v>32.558700000000002</v>
      </c>
      <c r="P96" s="1">
        <v>21.77</v>
      </c>
      <c r="Q96" s="1" t="s">
        <v>905</v>
      </c>
      <c r="R96" s="1" t="s">
        <v>906</v>
      </c>
      <c r="S96" s="1">
        <v>16.1235</v>
      </c>
      <c r="T96" s="1">
        <v>10.78</v>
      </c>
      <c r="U96" s="1" t="s">
        <v>907</v>
      </c>
      <c r="V96" s="1" t="s">
        <v>908</v>
      </c>
      <c r="W96" s="1">
        <v>14.4361</v>
      </c>
      <c r="X96" s="1">
        <v>9.65</v>
      </c>
      <c r="Y96" s="1" t="s">
        <v>909</v>
      </c>
      <c r="Z96" s="1" t="s">
        <v>910</v>
      </c>
      <c r="AA96" s="1">
        <v>12.857900000000001</v>
      </c>
      <c r="AB96" s="1">
        <v>8.6</v>
      </c>
    </row>
    <row r="97" spans="1:28" x14ac:dyDescent="0.45">
      <c r="A97" s="1" t="s">
        <v>1623</v>
      </c>
      <c r="B97" s="1" t="s">
        <v>1624</v>
      </c>
      <c r="C97" s="1">
        <v>4</v>
      </c>
      <c r="D97" s="10">
        <f ca="1">IFERROR(([1]!thsiFinD("ths_close_price_index",$A97,$AE$2,"","")/[1]!thsiFinD("ths_close_price_index",$A97,$AE$5,"","")-1)*100,"")</f>
        <v>-12.013243073700586</v>
      </c>
      <c r="E97" s="10">
        <f ca="1">IFERROR(([1]!thsiFinD("ths_close_price_index",$A97,$AE$2,"","")/[1]!thsiFinD("ths_close_price_index",$A97,$AE$3,"","")-1)*100,"")</f>
        <v>-4.1411661048288417</v>
      </c>
      <c r="F97" s="10">
        <f ca="1">IFERROR(([1]!thsiFinD("ths_close_price_index",$A97,$AE$2,"","")/[1]!thsiFinD("ths_close_price_index",$A97,$AE$4,"","")-1)*100,"")</f>
        <v>-14.920293969388288</v>
      </c>
      <c r="G97" s="11">
        <f t="shared" ca="1" si="1"/>
        <v>-8.2218522496353974E-2</v>
      </c>
      <c r="H97" s="1">
        <v>100</v>
      </c>
      <c r="I97" s="1" t="s">
        <v>1625</v>
      </c>
      <c r="J97" s="1" t="s">
        <v>1626</v>
      </c>
      <c r="K97" s="1">
        <v>42.402999999999999</v>
      </c>
      <c r="L97" s="1">
        <v>50.26</v>
      </c>
      <c r="M97" s="1" t="s">
        <v>1627</v>
      </c>
      <c r="N97" s="1" t="s">
        <v>1628</v>
      </c>
      <c r="O97" s="1">
        <v>23.162299999999998</v>
      </c>
      <c r="P97" s="1">
        <v>27.46</v>
      </c>
      <c r="Q97" s="1" t="s">
        <v>1629</v>
      </c>
      <c r="R97" s="1" t="s">
        <v>1630</v>
      </c>
      <c r="S97" s="1">
        <v>18.7958</v>
      </c>
      <c r="T97" s="1">
        <v>22.28</v>
      </c>
    </row>
    <row r="98" spans="1:28" x14ac:dyDescent="0.45">
      <c r="A98" s="1" t="s">
        <v>2177</v>
      </c>
      <c r="B98" s="1" t="s">
        <v>2178</v>
      </c>
      <c r="C98" s="1">
        <v>12</v>
      </c>
      <c r="D98" s="10">
        <f ca="1">IFERROR(([1]!thsiFinD("ths_close_price_index",$A98,$AE$2,"","")/[1]!thsiFinD("ths_close_price_index",$A98,$AE$5,"","")-1)*100,"")</f>
        <v>-17.820202823977194</v>
      </c>
      <c r="E98" s="10">
        <f ca="1">IFERROR(([1]!thsiFinD("ths_close_price_index",$A98,$AE$2,"","")/[1]!thsiFinD("ths_close_price_index",$A98,$AE$3,"","")-1)*100,"")</f>
        <v>-3.4538983811091883</v>
      </c>
      <c r="F98" s="10">
        <f ca="1">IFERROR(([1]!thsiFinD("ths_close_price_index",$A98,$AE$2,"","")/[1]!thsiFinD("ths_close_price_index",$A98,$AE$4,"","")-1)*100,"")</f>
        <v>-14.699385298536939</v>
      </c>
      <c r="G98" s="11">
        <f t="shared" ca="1" si="1"/>
        <v>4.418958870500922E-2</v>
      </c>
      <c r="H98" s="1">
        <v>61.68</v>
      </c>
      <c r="I98" s="1" t="s">
        <v>2179</v>
      </c>
      <c r="J98" s="1" t="s">
        <v>2180</v>
      </c>
      <c r="K98" s="1">
        <v>158.06049999999999</v>
      </c>
      <c r="L98" s="1">
        <v>23.63</v>
      </c>
      <c r="M98" s="1" t="s">
        <v>2181</v>
      </c>
      <c r="N98" s="1" t="s">
        <v>2182</v>
      </c>
      <c r="O98" s="1">
        <v>73.564599999999999</v>
      </c>
      <c r="P98" s="1">
        <v>11</v>
      </c>
      <c r="Q98" s="1" t="s">
        <v>2183</v>
      </c>
      <c r="R98" s="1" t="s">
        <v>2184</v>
      </c>
      <c r="S98" s="1">
        <v>65.541300000000007</v>
      </c>
      <c r="T98" s="1">
        <v>9.8000000000000007</v>
      </c>
      <c r="U98" s="1" t="s">
        <v>2185</v>
      </c>
      <c r="V98" s="1" t="s">
        <v>2186</v>
      </c>
      <c r="W98" s="1">
        <v>57.898299999999999</v>
      </c>
      <c r="X98" s="1">
        <v>8.65</v>
      </c>
      <c r="Y98" s="1" t="s">
        <v>2187</v>
      </c>
      <c r="Z98" s="1" t="s">
        <v>2188</v>
      </c>
      <c r="AA98" s="1">
        <v>57.527000000000001</v>
      </c>
      <c r="AB98" s="1">
        <v>8.6</v>
      </c>
    </row>
    <row r="99" spans="1:28" x14ac:dyDescent="0.45">
      <c r="A99" s="1" t="s">
        <v>413</v>
      </c>
      <c r="B99" s="1" t="s">
        <v>414</v>
      </c>
      <c r="C99" s="1">
        <v>48</v>
      </c>
      <c r="D99" s="10">
        <f ca="1">IFERROR(([1]!thsiFinD("ths_close_price_index",$A99,$AE$2,"","")/[1]!thsiFinD("ths_close_price_index",$A99,$AE$5,"","")-1)*100,"")</f>
        <v>23.82334575299485</v>
      </c>
      <c r="E99" s="10">
        <f ca="1">IFERROR(([1]!thsiFinD("ths_close_price_index",$A99,$AE$2,"","")/[1]!thsiFinD("ths_close_price_index",$A99,$AE$3,"","")-1)*100,"")</f>
        <v>-2.2804069648783565</v>
      </c>
      <c r="F99" s="10">
        <f ca="1">IFERROR(([1]!thsiFinD("ths_close_price_index",$A99,$AE$2,"","")/[1]!thsiFinD("ths_close_price_index",$A99,$AE$4,"","")-1)*100,"")</f>
        <v>6.6702820759506398</v>
      </c>
      <c r="G99" s="11">
        <f t="shared" ca="1" si="1"/>
        <v>-0.78959549677320329</v>
      </c>
      <c r="H99" s="1">
        <v>63.76</v>
      </c>
      <c r="I99" s="1" t="s">
        <v>415</v>
      </c>
      <c r="J99" s="1" t="s">
        <v>416</v>
      </c>
      <c r="K99" s="1">
        <v>471.62119999999999</v>
      </c>
      <c r="L99" s="1">
        <v>23.43</v>
      </c>
      <c r="M99" s="1" t="s">
        <v>417</v>
      </c>
      <c r="N99" s="1" t="s">
        <v>418</v>
      </c>
      <c r="O99" s="1">
        <v>241.4085</v>
      </c>
      <c r="P99" s="1">
        <v>11.99</v>
      </c>
      <c r="Q99" s="1" t="s">
        <v>419</v>
      </c>
      <c r="R99" s="1" t="s">
        <v>420</v>
      </c>
      <c r="S99" s="1">
        <v>206.35820000000001</v>
      </c>
      <c r="T99" s="1">
        <v>10.25</v>
      </c>
      <c r="U99" s="1" t="s">
        <v>421</v>
      </c>
      <c r="V99" s="1" t="s">
        <v>422</v>
      </c>
      <c r="W99" s="1">
        <v>196.63579999999999</v>
      </c>
      <c r="X99" s="1">
        <v>9.77</v>
      </c>
      <c r="Y99" s="1" t="s">
        <v>423</v>
      </c>
      <c r="Z99" s="1" t="s">
        <v>424</v>
      </c>
      <c r="AA99" s="1">
        <v>167.58439999999999</v>
      </c>
      <c r="AB99" s="1">
        <v>8.32</v>
      </c>
    </row>
    <row r="100" spans="1:28" x14ac:dyDescent="0.45">
      <c r="A100" s="1" t="s">
        <v>2409</v>
      </c>
      <c r="B100" s="1" t="s">
        <v>2410</v>
      </c>
      <c r="C100" s="1">
        <v>31</v>
      </c>
      <c r="D100" s="10">
        <f ca="1">IFERROR(([1]!thsiFinD("ths_close_price_index",$A100,$AE$2,"","")/[1]!thsiFinD("ths_close_price_index",$A100,$AE$5,"","")-1)*100,"")</f>
        <v>-19.530796113336002</v>
      </c>
      <c r="E100" s="10">
        <f ca="1">IFERROR(([1]!thsiFinD("ths_close_price_index",$A100,$AE$2,"","")/[1]!thsiFinD("ths_close_price_index",$A100,$AE$3,"","")-1)*100,"")</f>
        <v>-2.1185568565039836</v>
      </c>
      <c r="F100" s="10">
        <f ca="1">IFERROR(([1]!thsiFinD("ths_close_price_index",$A100,$AE$2,"","")/[1]!thsiFinD("ths_close_price_index",$A100,$AE$4,"","")-1)*100,"")</f>
        <v>-4.9167815657265574</v>
      </c>
      <c r="G100" s="11">
        <f t="shared" ca="1" si="1"/>
        <v>-0.17787229301446886</v>
      </c>
      <c r="H100" s="1">
        <v>57.13</v>
      </c>
      <c r="I100" s="1" t="s">
        <v>2411</v>
      </c>
      <c r="J100" s="1" t="s">
        <v>2412</v>
      </c>
      <c r="K100" s="1">
        <v>159.24299999999999</v>
      </c>
      <c r="L100" s="1">
        <v>19.399999999999999</v>
      </c>
      <c r="M100" s="1" t="s">
        <v>2413</v>
      </c>
      <c r="N100" s="1" t="s">
        <v>2414</v>
      </c>
      <c r="O100" s="1">
        <v>107.12139999999999</v>
      </c>
      <c r="P100" s="1">
        <v>13.05</v>
      </c>
      <c r="Q100" s="1" t="s">
        <v>2415</v>
      </c>
      <c r="R100" s="1" t="s">
        <v>2416</v>
      </c>
      <c r="S100" s="1">
        <v>92.590199999999996</v>
      </c>
      <c r="T100" s="1">
        <v>11.28</v>
      </c>
      <c r="U100" s="1" t="s">
        <v>2417</v>
      </c>
      <c r="V100" s="1" t="s">
        <v>2418</v>
      </c>
      <c r="W100" s="1">
        <v>63.999699999999997</v>
      </c>
      <c r="X100" s="1">
        <v>7.8</v>
      </c>
      <c r="Y100" s="1" t="s">
        <v>2419</v>
      </c>
      <c r="Z100" s="1" t="s">
        <v>2420</v>
      </c>
      <c r="AA100" s="1">
        <v>45.966900000000003</v>
      </c>
      <c r="AB100" s="1">
        <v>5.6</v>
      </c>
    </row>
    <row r="101" spans="1:28" x14ac:dyDescent="0.45">
      <c r="A101" s="1" t="s">
        <v>2045</v>
      </c>
      <c r="B101" s="1" t="s">
        <v>2046</v>
      </c>
      <c r="C101" s="1">
        <v>19</v>
      </c>
      <c r="D101" s="10">
        <f ca="1">IFERROR(([1]!thsiFinD("ths_close_price_index",$A101,$AE$2,"","")/[1]!thsiFinD("ths_close_price_index",$A101,$AE$5,"","")-1)*100,"")</f>
        <v>-16.609274621765969</v>
      </c>
      <c r="E101" s="10">
        <f ca="1">IFERROR(([1]!thsiFinD("ths_close_price_index",$A101,$AE$2,"","")/[1]!thsiFinD("ths_close_price_index",$A101,$AE$3,"","")-1)*100,"")</f>
        <v>-4.5537994177127894</v>
      </c>
      <c r="F101" s="10">
        <f ca="1">IFERROR(([1]!thsiFinD("ths_close_price_index",$A101,$AE$2,"","")/[1]!thsiFinD("ths_close_price_index",$A101,$AE$4,"","")-1)*100,"")</f>
        <v>-13.635577946721767</v>
      </c>
      <c r="G101" s="11">
        <f t="shared" ca="1" si="1"/>
        <v>-0.22898098620646956</v>
      </c>
      <c r="H101" s="1">
        <v>89.42</v>
      </c>
      <c r="I101" s="1" t="s">
        <v>2047</v>
      </c>
      <c r="J101" s="1" t="s">
        <v>2048</v>
      </c>
      <c r="K101" s="1">
        <v>151.2577</v>
      </c>
      <c r="L101" s="1">
        <v>42.67</v>
      </c>
      <c r="M101" s="1" t="s">
        <v>2049</v>
      </c>
      <c r="N101" s="1" t="s">
        <v>2050</v>
      </c>
      <c r="O101" s="1">
        <v>67.392099999999999</v>
      </c>
      <c r="P101" s="1">
        <v>19.010000000000002</v>
      </c>
      <c r="Q101" s="1" t="s">
        <v>2051</v>
      </c>
      <c r="R101" s="1" t="s">
        <v>2052</v>
      </c>
      <c r="S101" s="1">
        <v>44.215499999999999</v>
      </c>
      <c r="T101" s="1">
        <v>12.47</v>
      </c>
      <c r="U101" s="1" t="s">
        <v>2053</v>
      </c>
      <c r="V101" s="1" t="s">
        <v>2054</v>
      </c>
      <c r="W101" s="1">
        <v>30.275300000000001</v>
      </c>
      <c r="X101" s="1">
        <v>8.5399999999999991</v>
      </c>
      <c r="Y101" s="1" t="s">
        <v>2055</v>
      </c>
      <c r="Z101" s="1" t="s">
        <v>2056</v>
      </c>
      <c r="AA101" s="1">
        <v>23.840199999999999</v>
      </c>
      <c r="AB101" s="1">
        <v>6.73</v>
      </c>
    </row>
    <row r="102" spans="1:28" x14ac:dyDescent="0.45">
      <c r="A102" s="1" t="s">
        <v>2259</v>
      </c>
      <c r="B102" s="1" t="s">
        <v>2260</v>
      </c>
      <c r="C102" s="1">
        <v>19</v>
      </c>
      <c r="D102" s="10">
        <f ca="1">IFERROR(([1]!thsiFinD("ths_close_price_index",$A102,$AE$2,"","")/[1]!thsiFinD("ths_close_price_index",$A102,$AE$5,"","")-1)*100,"")</f>
        <v>-14.909737219529863</v>
      </c>
      <c r="E102" s="10">
        <f ca="1">IFERROR(([1]!thsiFinD("ths_close_price_index",$A102,$AE$2,"","")/[1]!thsiFinD("ths_close_price_index",$A102,$AE$3,"","")-1)*100,"")</f>
        <v>0.96269826797077407</v>
      </c>
      <c r="F102" s="10">
        <f ca="1">IFERROR(([1]!thsiFinD("ths_close_price_index",$A102,$AE$2,"","")/[1]!thsiFinD("ths_close_price_index",$A102,$AE$4,"","")-1)*100,"")</f>
        <v>-9.0279324875554678</v>
      </c>
      <c r="G102" s="11">
        <f t="shared" ca="1" si="1"/>
        <v>0.64393627797192821</v>
      </c>
      <c r="H102" s="1">
        <v>50.42</v>
      </c>
      <c r="I102" s="1" t="s">
        <v>2261</v>
      </c>
      <c r="J102" s="1" t="s">
        <v>2262</v>
      </c>
      <c r="K102" s="1">
        <v>89.463999999999999</v>
      </c>
      <c r="L102" s="1">
        <v>24.87</v>
      </c>
      <c r="M102" s="1" t="s">
        <v>2263</v>
      </c>
      <c r="N102" s="1" t="s">
        <v>2264</v>
      </c>
      <c r="O102" s="1">
        <v>24.138100000000001</v>
      </c>
      <c r="P102" s="1">
        <v>6.71</v>
      </c>
      <c r="Q102" s="1" t="s">
        <v>2265</v>
      </c>
      <c r="R102" s="1" t="s">
        <v>2266</v>
      </c>
      <c r="S102" s="1">
        <v>23.1371</v>
      </c>
      <c r="T102" s="1">
        <v>6.43</v>
      </c>
      <c r="U102" s="1" t="s">
        <v>2267</v>
      </c>
      <c r="V102" s="1" t="s">
        <v>2268</v>
      </c>
      <c r="W102" s="1">
        <v>23.042300000000001</v>
      </c>
      <c r="X102" s="1">
        <v>6.41</v>
      </c>
      <c r="Y102" s="1" t="s">
        <v>2269</v>
      </c>
      <c r="Z102" s="1" t="s">
        <v>2270</v>
      </c>
      <c r="AA102" s="1">
        <v>21.576899999999998</v>
      </c>
      <c r="AB102" s="1">
        <v>6</v>
      </c>
    </row>
    <row r="103" spans="1:28" x14ac:dyDescent="0.45">
      <c r="A103" s="1" t="s">
        <v>2735</v>
      </c>
      <c r="B103" s="1" t="s">
        <v>2736</v>
      </c>
      <c r="C103" s="1">
        <v>6</v>
      </c>
      <c r="D103" s="10">
        <f ca="1">IFERROR(([1]!thsiFinD("ths_close_price_index",$A103,$AE$2,"","")/[1]!thsiFinD("ths_close_price_index",$A103,$AE$5,"","")-1)*100,"")</f>
        <v>-26.408797457442223</v>
      </c>
      <c r="E103" s="10">
        <f ca="1">IFERROR(([1]!thsiFinD("ths_close_price_index",$A103,$AE$2,"","")/[1]!thsiFinD("ths_close_price_index",$A103,$AE$3,"","")-1)*100,"")</f>
        <v>-3.6555789035037645</v>
      </c>
      <c r="F103" s="10">
        <f ca="1">IFERROR(([1]!thsiFinD("ths_close_price_index",$A103,$AE$2,"","")/[1]!thsiFinD("ths_close_price_index",$A103,$AE$4,"","")-1)*100,"")</f>
        <v>-14.727033198338724</v>
      </c>
      <c r="G103" s="11">
        <f t="shared" ca="1" si="1"/>
        <v>5.2358792161832923E-3</v>
      </c>
      <c r="H103" s="1">
        <v>92.62</v>
      </c>
      <c r="I103" s="1" t="s">
        <v>2737</v>
      </c>
      <c r="J103" s="1" t="s">
        <v>2738</v>
      </c>
      <c r="K103" s="1">
        <v>34.4681</v>
      </c>
      <c r="L103" s="1">
        <v>34.340000000000003</v>
      </c>
      <c r="M103" s="1" t="s">
        <v>2739</v>
      </c>
      <c r="N103" s="1" t="s">
        <v>2740</v>
      </c>
      <c r="O103" s="1">
        <v>19.6586</v>
      </c>
      <c r="P103" s="1">
        <v>19.59</v>
      </c>
      <c r="Q103" s="1" t="s">
        <v>2741</v>
      </c>
      <c r="R103" s="1" t="s">
        <v>2742</v>
      </c>
      <c r="S103" s="1">
        <v>18.758800000000001</v>
      </c>
      <c r="T103" s="1">
        <v>18.690000000000001</v>
      </c>
      <c r="U103" s="1" t="s">
        <v>2743</v>
      </c>
      <c r="V103" s="1" t="s">
        <v>2744</v>
      </c>
      <c r="W103" s="1">
        <v>10.499000000000001</v>
      </c>
      <c r="X103" s="1">
        <v>10.46</v>
      </c>
      <c r="Y103" s="1" t="s">
        <v>2745</v>
      </c>
      <c r="Z103" s="1" t="s">
        <v>2746</v>
      </c>
      <c r="AA103" s="1">
        <v>9.5756999999999994</v>
      </c>
      <c r="AB103" s="1">
        <v>9.5399999999999991</v>
      </c>
    </row>
    <row r="104" spans="1:28" x14ac:dyDescent="0.45">
      <c r="A104" s="1" t="s">
        <v>2189</v>
      </c>
      <c r="B104" s="1" t="s">
        <v>2190</v>
      </c>
      <c r="C104" s="1">
        <v>6</v>
      </c>
      <c r="D104" s="10">
        <f ca="1">IFERROR(([1]!thsiFinD("ths_close_price_index",$A104,$AE$2,"","")/[1]!thsiFinD("ths_close_price_index",$A104,$AE$5,"","")-1)*100,"")</f>
        <v>-18.238815221797132</v>
      </c>
      <c r="E104" s="10">
        <f ca="1">IFERROR(([1]!thsiFinD("ths_close_price_index",$A104,$AE$2,"","")/[1]!thsiFinD("ths_close_price_index",$A104,$AE$3,"","")-1)*100,"")</f>
        <v>-3.8904647020250316</v>
      </c>
      <c r="F104" s="10">
        <f ca="1">IFERROR(([1]!thsiFinD("ths_close_price_index",$A104,$AE$2,"","")/[1]!thsiFinD("ths_close_price_index",$A104,$AE$4,"","")-1)*100,"")</f>
        <v>-4.828106292262035</v>
      </c>
      <c r="G104" s="11">
        <f t="shared" ca="1" si="1"/>
        <v>-0.53668762579190454</v>
      </c>
      <c r="H104" s="1">
        <v>95.28</v>
      </c>
      <c r="I104" s="1" t="s">
        <v>2191</v>
      </c>
      <c r="J104" s="1" t="s">
        <v>2192</v>
      </c>
      <c r="K104" s="1">
        <v>116.7963</v>
      </c>
      <c r="L104" s="1">
        <v>34.86</v>
      </c>
      <c r="M104" s="1" t="s">
        <v>2193</v>
      </c>
      <c r="N104" s="1" t="s">
        <v>2194</v>
      </c>
      <c r="O104" s="1">
        <v>78.261499999999998</v>
      </c>
      <c r="P104" s="1">
        <v>23.36</v>
      </c>
      <c r="Q104" s="1" t="s">
        <v>2195</v>
      </c>
      <c r="R104" s="1" t="s">
        <v>2196</v>
      </c>
      <c r="S104" s="1">
        <v>54.504899999999999</v>
      </c>
      <c r="T104" s="1">
        <v>16.27</v>
      </c>
      <c r="U104" s="1" t="s">
        <v>2197</v>
      </c>
      <c r="V104" s="1" t="s">
        <v>2198</v>
      </c>
      <c r="W104" s="1">
        <v>49.3857</v>
      </c>
      <c r="X104" s="1">
        <v>14.74</v>
      </c>
      <c r="Y104" s="1" t="s">
        <v>2199</v>
      </c>
      <c r="Z104" s="1" t="s">
        <v>2200</v>
      </c>
      <c r="AA104" s="1">
        <v>20.273</v>
      </c>
      <c r="AB104" s="1">
        <v>6.05</v>
      </c>
    </row>
    <row r="105" spans="1:28" x14ac:dyDescent="0.45">
      <c r="A105" s="1" t="s">
        <v>2981</v>
      </c>
      <c r="B105" s="1" t="s">
        <v>2982</v>
      </c>
      <c r="C105" s="1">
        <v>3</v>
      </c>
      <c r="D105" s="10">
        <f ca="1">IFERROR(([1]!thsiFinD("ths_close_price_index",$A105,$AE$2,"","")/[1]!thsiFinD("ths_close_price_index",$A105,$AE$5,"","")-1)*100,"")</f>
        <v>-34.599901219660026</v>
      </c>
      <c r="E105" s="10">
        <f ca="1">IFERROR(([1]!thsiFinD("ths_close_price_index",$A105,$AE$2,"","")/[1]!thsiFinD("ths_close_price_index",$A105,$AE$3,"","")-1)*100,"")</f>
        <v>-2.0360907897205016</v>
      </c>
      <c r="F105" s="10">
        <f ca="1">IFERROR(([1]!thsiFinD("ths_close_price_index",$A105,$AE$2,"","")/[1]!thsiFinD("ths_close_price_index",$A105,$AE$4,"","")-1)*100,"")</f>
        <v>-15.063736932869809</v>
      </c>
      <c r="G105" s="11">
        <f t="shared" ca="1" si="1"/>
        <v>0.34596868869939013</v>
      </c>
      <c r="H105" s="1">
        <v>100</v>
      </c>
      <c r="I105" s="1" t="s">
        <v>2983</v>
      </c>
      <c r="J105" s="1" t="s">
        <v>2984</v>
      </c>
      <c r="K105" s="1">
        <v>201.7491</v>
      </c>
      <c r="L105" s="1">
        <v>66.55</v>
      </c>
      <c r="M105" s="1" t="s">
        <v>2985</v>
      </c>
      <c r="N105" s="1" t="s">
        <v>2986</v>
      </c>
      <c r="O105" s="1">
        <v>101.3939</v>
      </c>
      <c r="P105" s="1">
        <v>33.450000000000003</v>
      </c>
    </row>
    <row r="106" spans="1:28" x14ac:dyDescent="0.45">
      <c r="A106" s="1" t="s">
        <v>2629</v>
      </c>
      <c r="B106" s="1" t="s">
        <v>2630</v>
      </c>
      <c r="C106" s="1">
        <v>18</v>
      </c>
      <c r="D106" s="10">
        <f ca="1">IFERROR(([1]!thsiFinD("ths_close_price_index",$A106,$AE$2,"","")/[1]!thsiFinD("ths_close_price_index",$A106,$AE$5,"","")-1)*100,"")</f>
        <v>-23.193222610477971</v>
      </c>
      <c r="E106" s="10">
        <f ca="1">IFERROR(([1]!thsiFinD("ths_close_price_index",$A106,$AE$2,"","")/[1]!thsiFinD("ths_close_price_index",$A106,$AE$3,"","")-1)*100,"")</f>
        <v>-1.8508264068132663</v>
      </c>
      <c r="F106" s="10">
        <f ca="1">IFERROR(([1]!thsiFinD("ths_close_price_index",$A106,$AE$2,"","")/[1]!thsiFinD("ths_close_price_index",$A106,$AE$4,"","")-1)*100,"")</f>
        <v>-13.96883628874911</v>
      </c>
      <c r="G106" s="11">
        <f t="shared" ca="1" si="1"/>
        <v>0.3282765330748022</v>
      </c>
      <c r="H106" s="1">
        <v>63.67</v>
      </c>
      <c r="I106" s="1" t="s">
        <v>2631</v>
      </c>
      <c r="J106" s="1" t="s">
        <v>2632</v>
      </c>
      <c r="K106" s="1">
        <v>154.35669999999999</v>
      </c>
      <c r="L106" s="1">
        <v>16.940000000000001</v>
      </c>
      <c r="M106" s="1" t="s">
        <v>2633</v>
      </c>
      <c r="N106" s="1" t="s">
        <v>2634</v>
      </c>
      <c r="O106" s="1">
        <v>121.4992</v>
      </c>
      <c r="P106" s="1">
        <v>13.33</v>
      </c>
      <c r="Q106" s="1" t="s">
        <v>2635</v>
      </c>
      <c r="R106" s="1" t="s">
        <v>2636</v>
      </c>
      <c r="S106" s="1">
        <v>119.3167</v>
      </c>
      <c r="T106" s="1">
        <v>13.09</v>
      </c>
      <c r="U106" s="1" t="s">
        <v>2637</v>
      </c>
      <c r="V106" s="1" t="s">
        <v>2638</v>
      </c>
      <c r="W106" s="1">
        <v>98.419600000000003</v>
      </c>
      <c r="X106" s="1">
        <v>10.8</v>
      </c>
      <c r="Y106" s="1" t="s">
        <v>2639</v>
      </c>
      <c r="Z106" s="1" t="s">
        <v>2640</v>
      </c>
      <c r="AA106" s="1">
        <v>86.644900000000007</v>
      </c>
      <c r="AB106" s="1">
        <v>9.51</v>
      </c>
    </row>
    <row r="107" spans="1:28" x14ac:dyDescent="0.45">
      <c r="A107" s="1" t="s">
        <v>2801</v>
      </c>
      <c r="B107" s="1" t="s">
        <v>2802</v>
      </c>
      <c r="C107" s="1">
        <v>11</v>
      </c>
      <c r="D107" s="10">
        <f ca="1">IFERROR(([1]!thsiFinD("ths_close_price_index",$A107,$AE$2,"","")/[1]!thsiFinD("ths_close_price_index",$A107,$AE$5,"","")-1)*100,"")</f>
        <v>-29.030430526283201</v>
      </c>
      <c r="E107" s="10">
        <f ca="1">IFERROR(([1]!thsiFinD("ths_close_price_index",$A107,$AE$2,"","")/[1]!thsiFinD("ths_close_price_index",$A107,$AE$3,"","")-1)*100,"")</f>
        <v>-5.4890528139062145</v>
      </c>
      <c r="F107" s="10">
        <f ca="1">IFERROR(([1]!thsiFinD("ths_close_price_index",$A107,$AE$2,"","")/[1]!thsiFinD("ths_close_price_index",$A107,$AE$4,"","")-1)*100,"")</f>
        <v>-15.262581600828762</v>
      </c>
      <c r="G107" s="11">
        <f t="shared" ca="1" si="1"/>
        <v>-0.3346814827398048</v>
      </c>
      <c r="H107" s="1">
        <v>71.61</v>
      </c>
      <c r="I107" s="1" t="s">
        <v>2803</v>
      </c>
      <c r="J107" s="1" t="s">
        <v>2804</v>
      </c>
      <c r="K107" s="1">
        <v>130.8595</v>
      </c>
      <c r="L107" s="1">
        <v>28.2</v>
      </c>
      <c r="M107" s="1" t="s">
        <v>2805</v>
      </c>
      <c r="N107" s="1" t="s">
        <v>2806</v>
      </c>
      <c r="O107" s="1">
        <v>66.384100000000004</v>
      </c>
      <c r="P107" s="1">
        <v>14.31</v>
      </c>
      <c r="Q107" s="1" t="s">
        <v>2807</v>
      </c>
      <c r="R107" s="1" t="s">
        <v>2808</v>
      </c>
      <c r="S107" s="1">
        <v>47.080300000000001</v>
      </c>
      <c r="T107" s="1">
        <v>10.15</v>
      </c>
      <c r="U107" s="1" t="s">
        <v>2809</v>
      </c>
      <c r="V107" s="1" t="s">
        <v>2810</v>
      </c>
      <c r="W107" s="1">
        <v>44.844900000000003</v>
      </c>
      <c r="X107" s="1">
        <v>9.66</v>
      </c>
      <c r="Y107" s="1" t="s">
        <v>2811</v>
      </c>
      <c r="Z107" s="1" t="s">
        <v>2812</v>
      </c>
      <c r="AA107" s="1">
        <v>43.112200000000001</v>
      </c>
      <c r="AB107" s="1">
        <v>9.2899999999999991</v>
      </c>
    </row>
    <row r="108" spans="1:28" x14ac:dyDescent="0.45">
      <c r="A108" s="1" t="s">
        <v>1687</v>
      </c>
      <c r="B108" s="1" t="s">
        <v>1688</v>
      </c>
      <c r="C108" s="1">
        <v>68</v>
      </c>
      <c r="D108" s="10">
        <f ca="1">IFERROR(([1]!thsiFinD("ths_close_price_index",$A108,$AE$2,"","")/[1]!thsiFinD("ths_close_price_index",$A108,$AE$5,"","")-1)*100,"")</f>
        <v>-11.544514511111792</v>
      </c>
      <c r="E108" s="10">
        <f ca="1">IFERROR(([1]!thsiFinD("ths_close_price_index",$A108,$AE$2,"","")/[1]!thsiFinD("ths_close_price_index",$A108,$AE$3,"","")-1)*100,"")</f>
        <v>-2.5388852282679508</v>
      </c>
      <c r="F108" s="10">
        <f ca="1">IFERROR(([1]!thsiFinD("ths_close_price_index",$A108,$AE$2,"","")/[1]!thsiFinD("ths_close_price_index",$A108,$AE$4,"","")-1)*100,"")</f>
        <v>-7.9913025038217178</v>
      </c>
      <c r="G108" s="11">
        <f t="shared" ca="1" si="1"/>
        <v>-0.10821192046250427</v>
      </c>
      <c r="H108" s="1">
        <v>41.3</v>
      </c>
      <c r="I108" s="1" t="s">
        <v>1689</v>
      </c>
      <c r="J108" s="1" t="s">
        <v>1690</v>
      </c>
      <c r="K108" s="1">
        <v>354.77499999999998</v>
      </c>
      <c r="L108" s="1">
        <v>12.23</v>
      </c>
      <c r="M108" s="1" t="s">
        <v>1691</v>
      </c>
      <c r="N108" s="1" t="s">
        <v>1692</v>
      </c>
      <c r="O108" s="1">
        <v>271.22519999999997</v>
      </c>
      <c r="P108" s="1">
        <v>9.35</v>
      </c>
      <c r="Q108" s="1" t="s">
        <v>1693</v>
      </c>
      <c r="R108" s="1" t="s">
        <v>1694</v>
      </c>
      <c r="S108" s="1">
        <v>253.78460000000001</v>
      </c>
      <c r="T108" s="1">
        <v>8.75</v>
      </c>
      <c r="U108" s="1" t="s">
        <v>1695</v>
      </c>
      <c r="V108" s="1" t="s">
        <v>1696</v>
      </c>
      <c r="W108" s="1">
        <v>201.34530000000001</v>
      </c>
      <c r="X108" s="1">
        <v>6.94</v>
      </c>
      <c r="Y108" s="1" t="s">
        <v>1697</v>
      </c>
      <c r="Z108" s="1" t="s">
        <v>1698</v>
      </c>
      <c r="AA108" s="1">
        <v>116.81659999999999</v>
      </c>
      <c r="AB108" s="1">
        <v>4.03</v>
      </c>
    </row>
    <row r="109" spans="1:28" x14ac:dyDescent="0.45">
      <c r="A109" s="1" t="s">
        <v>2225</v>
      </c>
      <c r="B109" s="1" t="s">
        <v>2226</v>
      </c>
      <c r="C109" s="1">
        <v>33</v>
      </c>
      <c r="D109" s="10">
        <f ca="1">IFERROR(([1]!thsiFinD("ths_close_price_index",$A109,$AE$2,"","")/[1]!thsiFinD("ths_close_price_index",$A109,$AE$5,"","")-1)*100,"")</f>
        <v>-17.716391772357831</v>
      </c>
      <c r="E109" s="10">
        <f ca="1">IFERROR(([1]!thsiFinD("ths_close_price_index",$A109,$AE$2,"","")/[1]!thsiFinD("ths_close_price_index",$A109,$AE$3,"","")-1)*100,"")</f>
        <v>-3.0802052098264254</v>
      </c>
      <c r="F109" s="10">
        <f ca="1">IFERROR(([1]!thsiFinD("ths_close_price_index",$A109,$AE$2,"","")/[1]!thsiFinD("ths_close_price_index",$A109,$AE$4,"","")-1)*100,"")</f>
        <v>-9.6743498931807341</v>
      </c>
      <c r="G109" s="11">
        <f t="shared" ca="1" si="1"/>
        <v>-0.1323235473062484</v>
      </c>
      <c r="H109" s="1">
        <v>36.270000000000003</v>
      </c>
      <c r="I109" s="1" t="s">
        <v>2227</v>
      </c>
      <c r="J109" s="1" t="s">
        <v>2228</v>
      </c>
      <c r="K109" s="1">
        <v>77.005700000000004</v>
      </c>
      <c r="L109" s="1">
        <v>11.87</v>
      </c>
      <c r="M109" s="1" t="s">
        <v>2229</v>
      </c>
      <c r="N109" s="1" t="s">
        <v>2230</v>
      </c>
      <c r="O109" s="1">
        <v>44.856999999999999</v>
      </c>
      <c r="P109" s="1">
        <v>6.91</v>
      </c>
      <c r="Q109" s="1" t="s">
        <v>2231</v>
      </c>
      <c r="R109" s="1" t="s">
        <v>2232</v>
      </c>
      <c r="S109" s="1">
        <v>40.354900000000001</v>
      </c>
      <c r="T109" s="1">
        <v>6.22</v>
      </c>
      <c r="U109" s="1" t="s">
        <v>2233</v>
      </c>
      <c r="V109" s="1" t="s">
        <v>2234</v>
      </c>
      <c r="W109" s="1">
        <v>39.358899999999998</v>
      </c>
      <c r="X109" s="1">
        <v>6.07</v>
      </c>
      <c r="Y109" s="1" t="s">
        <v>2235</v>
      </c>
      <c r="Z109" s="1" t="s">
        <v>2236</v>
      </c>
      <c r="AA109" s="1">
        <v>33.745800000000003</v>
      </c>
      <c r="AB109" s="1">
        <v>5.2</v>
      </c>
    </row>
    <row r="110" spans="1:28" x14ac:dyDescent="0.45">
      <c r="A110" s="1" t="s">
        <v>581</v>
      </c>
      <c r="B110" s="1" t="s">
        <v>582</v>
      </c>
      <c r="C110" s="1">
        <v>217</v>
      </c>
      <c r="D110" s="10">
        <f ca="1">IFERROR(([1]!thsiFinD("ths_close_price_index",$A110,$AE$2,"","")/[1]!thsiFinD("ths_close_price_index",$A110,$AE$5,"","")-1)*100,"")</f>
        <v>18.49559038061459</v>
      </c>
      <c r="E110" s="10">
        <f ca="1">IFERROR(([1]!thsiFinD("ths_close_price_index",$A110,$AE$2,"","")/[1]!thsiFinD("ths_close_price_index",$A110,$AE$3,"","")-1)*100,"")</f>
        <v>-3.2904719566007046E-2</v>
      </c>
      <c r="F110" s="10">
        <f ca="1">IFERROR(([1]!thsiFinD("ths_close_price_index",$A110,$AE$2,"","")/[1]!thsiFinD("ths_close_price_index",$A110,$AE$4,"","")-1)*100,"")</f>
        <v>3.8089791240267568</v>
      </c>
      <c r="G110" s="11">
        <f t="shared" ca="1" si="1"/>
        <v>-0.19702990011453925</v>
      </c>
      <c r="H110" s="1">
        <v>31.3</v>
      </c>
      <c r="I110" s="1" t="s">
        <v>583</v>
      </c>
      <c r="J110" s="1" t="s">
        <v>584</v>
      </c>
      <c r="K110" s="1">
        <v>292.072</v>
      </c>
      <c r="L110" s="1">
        <v>8.5399999999999991</v>
      </c>
      <c r="M110" s="1" t="s">
        <v>585</v>
      </c>
      <c r="N110" s="1" t="s">
        <v>586</v>
      </c>
      <c r="O110" s="1">
        <v>282.2022</v>
      </c>
      <c r="P110" s="1">
        <v>8.26</v>
      </c>
      <c r="Q110" s="1" t="s">
        <v>587</v>
      </c>
      <c r="R110" s="1" t="s">
        <v>588</v>
      </c>
      <c r="S110" s="1">
        <v>185.91419999999999</v>
      </c>
      <c r="T110" s="1">
        <v>5.44</v>
      </c>
      <c r="U110" s="1" t="s">
        <v>589</v>
      </c>
      <c r="V110" s="1" t="s">
        <v>590</v>
      </c>
      <c r="W110" s="1">
        <v>164.30690000000001</v>
      </c>
      <c r="X110" s="1">
        <v>4.8099999999999996</v>
      </c>
      <c r="Y110" s="1" t="s">
        <v>591</v>
      </c>
      <c r="Z110" s="1" t="s">
        <v>592</v>
      </c>
      <c r="AA110" s="1">
        <v>145.23339999999999</v>
      </c>
      <c r="AB110" s="1">
        <v>4.25</v>
      </c>
    </row>
    <row r="111" spans="1:28" x14ac:dyDescent="0.45">
      <c r="A111" s="1" t="s">
        <v>935</v>
      </c>
      <c r="B111" s="1" t="s">
        <v>936</v>
      </c>
      <c r="C111" s="1">
        <v>56</v>
      </c>
      <c r="D111" s="10">
        <f ca="1">IFERROR(([1]!thsiFinD("ths_close_price_index",$A111,$AE$2,"","")/[1]!thsiFinD("ths_close_price_index",$A111,$AE$5,"","")-1)*100,"")</f>
        <v>2.6601743231715602</v>
      </c>
      <c r="E111" s="10">
        <f ca="1">IFERROR(([1]!thsiFinD("ths_close_price_index",$A111,$AE$2,"","")/[1]!thsiFinD("ths_close_price_index",$A111,$AE$3,"","")-1)*100,"")</f>
        <v>-4.5566997077920117</v>
      </c>
      <c r="F111" s="10">
        <f ca="1">IFERROR(([1]!thsiFinD("ths_close_price_index",$A111,$AE$2,"","")/[1]!thsiFinD("ths_close_price_index",$A111,$AE$4,"","")-1)*100,"")</f>
        <v>-4.9291404407706292</v>
      </c>
      <c r="G111" s="11">
        <f t="shared" ca="1" si="1"/>
        <v>-0.66488291951987089</v>
      </c>
      <c r="H111" s="1">
        <v>47.66</v>
      </c>
      <c r="I111" s="1" t="s">
        <v>937</v>
      </c>
      <c r="J111" s="1" t="s">
        <v>938</v>
      </c>
      <c r="K111" s="1">
        <v>550.29949999999997</v>
      </c>
      <c r="L111" s="1">
        <v>17.37</v>
      </c>
      <c r="M111" s="1" t="s">
        <v>939</v>
      </c>
      <c r="N111" s="1" t="s">
        <v>940</v>
      </c>
      <c r="O111" s="1">
        <v>306.93200000000002</v>
      </c>
      <c r="P111" s="1">
        <v>9.69</v>
      </c>
      <c r="Q111" s="1" t="s">
        <v>941</v>
      </c>
      <c r="R111" s="1" t="s">
        <v>942</v>
      </c>
      <c r="S111" s="1">
        <v>269.56799999999998</v>
      </c>
      <c r="T111" s="1">
        <v>8.51</v>
      </c>
      <c r="U111" s="1" t="s">
        <v>943</v>
      </c>
      <c r="V111" s="1" t="s">
        <v>944</v>
      </c>
      <c r="W111" s="1">
        <v>199.17750000000001</v>
      </c>
      <c r="X111" s="1">
        <v>6.29</v>
      </c>
      <c r="Y111" s="1" t="s">
        <v>945</v>
      </c>
      <c r="Z111" s="1" t="s">
        <v>946</v>
      </c>
      <c r="AA111" s="1">
        <v>183.79339999999999</v>
      </c>
      <c r="AB111" s="1">
        <v>5.8</v>
      </c>
    </row>
    <row r="112" spans="1:28" x14ac:dyDescent="0.45">
      <c r="A112" s="1" t="s">
        <v>1201</v>
      </c>
      <c r="B112" s="1" t="s">
        <v>1202</v>
      </c>
      <c r="C112" s="1">
        <v>5</v>
      </c>
      <c r="D112" s="10">
        <f ca="1">IFERROR(([1]!thsiFinD("ths_close_price_index",$A112,$AE$2,"","")/[1]!thsiFinD("ths_close_price_index",$A112,$AE$5,"","")-1)*100,"")</f>
        <v>-6.8807742671985199</v>
      </c>
      <c r="E112" s="10">
        <f ca="1">IFERROR(([1]!thsiFinD("ths_close_price_index",$A112,$AE$2,"","")/[1]!thsiFinD("ths_close_price_index",$A112,$AE$3,"","")-1)*100,"")</f>
        <v>-4.0763877507858037</v>
      </c>
      <c r="F112" s="10">
        <f ca="1">IFERROR(([1]!thsiFinD("ths_close_price_index",$A112,$AE$2,"","")/[1]!thsiFinD("ths_close_price_index",$A112,$AE$4,"","")-1)*100,"")</f>
        <v>-4.8134532422370651</v>
      </c>
      <c r="G112" s="11">
        <f t="shared" ca="1" si="1"/>
        <v>-0.57460488804530752</v>
      </c>
      <c r="H112" s="1">
        <v>100</v>
      </c>
      <c r="I112" s="1" t="s">
        <v>1203</v>
      </c>
      <c r="J112" s="1" t="s">
        <v>1204</v>
      </c>
      <c r="K112" s="1">
        <v>61.936599999999999</v>
      </c>
      <c r="L112" s="1">
        <v>46.88</v>
      </c>
      <c r="M112" s="1" t="s">
        <v>1205</v>
      </c>
      <c r="N112" s="1" t="s">
        <v>1206</v>
      </c>
      <c r="O112" s="1">
        <v>32.941800000000001</v>
      </c>
      <c r="P112" s="1">
        <v>24.93</v>
      </c>
      <c r="Q112" s="1" t="s">
        <v>1207</v>
      </c>
      <c r="R112" s="1" t="s">
        <v>1208</v>
      </c>
      <c r="S112" s="1">
        <v>14.331300000000001</v>
      </c>
      <c r="T112" s="1">
        <v>10.85</v>
      </c>
      <c r="U112" s="1" t="s">
        <v>1209</v>
      </c>
      <c r="V112" s="1" t="s">
        <v>1210</v>
      </c>
      <c r="W112" s="1">
        <v>13.4932</v>
      </c>
      <c r="X112" s="1">
        <v>10.210000000000001</v>
      </c>
      <c r="Y112" s="1" t="s">
        <v>1211</v>
      </c>
      <c r="Z112" s="1" t="s">
        <v>1212</v>
      </c>
      <c r="AA112" s="1">
        <v>9.4248999999999992</v>
      </c>
      <c r="AB112" s="1">
        <v>7.13</v>
      </c>
    </row>
    <row r="113" spans="1:28" x14ac:dyDescent="0.45">
      <c r="A113" s="1" t="s">
        <v>1365</v>
      </c>
      <c r="B113" s="1" t="s">
        <v>1366</v>
      </c>
      <c r="C113" s="1">
        <v>18</v>
      </c>
      <c r="D113" s="10">
        <f ca="1">IFERROR(([1]!thsiFinD("ths_close_price_index",$A113,$AE$2,"","")/[1]!thsiFinD("ths_close_price_index",$A113,$AE$5,"","")-1)*100,"")</f>
        <v>-6.6536576175818656</v>
      </c>
      <c r="E113" s="10">
        <f ca="1">IFERROR(([1]!thsiFinD("ths_close_price_index",$A113,$AE$2,"","")/[1]!thsiFinD("ths_close_price_index",$A113,$AE$3,"","")-1)*100,"")</f>
        <v>-2.0921770272096296</v>
      </c>
      <c r="F113" s="10">
        <f ca="1">IFERROR(([1]!thsiFinD("ths_close_price_index",$A113,$AE$2,"","")/[1]!thsiFinD("ths_close_price_index",$A113,$AE$4,"","")-1)*100,"")</f>
        <v>-7.8173255263794044</v>
      </c>
      <c r="G113" s="11">
        <f t="shared" ca="1" si="1"/>
        <v>-2.7569129122955727E-2</v>
      </c>
      <c r="H113" s="1">
        <v>54.28</v>
      </c>
      <c r="I113" s="1" t="s">
        <v>1367</v>
      </c>
      <c r="J113" s="1" t="s">
        <v>1368</v>
      </c>
      <c r="K113" s="1">
        <v>138.23419999999999</v>
      </c>
      <c r="L113" s="1">
        <v>13.84</v>
      </c>
      <c r="M113" s="1" t="s">
        <v>1369</v>
      </c>
      <c r="N113" s="1" t="s">
        <v>1370</v>
      </c>
      <c r="O113" s="1">
        <v>108.5913</v>
      </c>
      <c r="P113" s="1">
        <v>10.87</v>
      </c>
      <c r="Q113" s="1" t="s">
        <v>1371</v>
      </c>
      <c r="R113" s="1" t="s">
        <v>1372</v>
      </c>
      <c r="S113" s="1">
        <v>104.485</v>
      </c>
      <c r="T113" s="1">
        <v>10.46</v>
      </c>
      <c r="U113" s="1" t="s">
        <v>1373</v>
      </c>
      <c r="V113" s="1" t="s">
        <v>1374</v>
      </c>
      <c r="W113" s="1">
        <v>100.6322</v>
      </c>
      <c r="X113" s="1">
        <v>10.08</v>
      </c>
      <c r="Y113" s="1" t="s">
        <v>1375</v>
      </c>
      <c r="Z113" s="1" t="s">
        <v>1376</v>
      </c>
      <c r="AA113" s="1">
        <v>90.148099999999999</v>
      </c>
      <c r="AB113" s="1">
        <v>9.0299999999999994</v>
      </c>
    </row>
    <row r="114" spans="1:28" x14ac:dyDescent="0.45">
      <c r="A114" s="1" t="s">
        <v>1875</v>
      </c>
      <c r="B114" s="1" t="s">
        <v>1876</v>
      </c>
      <c r="C114" s="1">
        <v>14</v>
      </c>
      <c r="D114" s="10">
        <f ca="1">IFERROR(([1]!thsiFinD("ths_close_price_index",$A114,$AE$2,"","")/[1]!thsiFinD("ths_close_price_index",$A114,$AE$5,"","")-1)*100,"")</f>
        <v>-15.963393692555549</v>
      </c>
      <c r="E114" s="10">
        <f ca="1">IFERROR(([1]!thsiFinD("ths_close_price_index",$A114,$AE$2,"","")/[1]!thsiFinD("ths_close_price_index",$A114,$AE$3,"","")-1)*100,"")</f>
        <v>-5.5389856899155205</v>
      </c>
      <c r="F114" s="10">
        <f ca="1">IFERROR(([1]!thsiFinD("ths_close_price_index",$A114,$AE$2,"","")/[1]!thsiFinD("ths_close_price_index",$A114,$AE$4,"","")-1)*100,"")</f>
        <v>-10.705087427704695</v>
      </c>
      <c r="G114" s="11">
        <f t="shared" ca="1" si="1"/>
        <v>-0.5725427665978694</v>
      </c>
      <c r="H114" s="1">
        <v>56.28</v>
      </c>
      <c r="I114" s="1" t="s">
        <v>1877</v>
      </c>
      <c r="J114" s="1" t="s">
        <v>1878</v>
      </c>
      <c r="K114" s="1">
        <v>34.737200000000001</v>
      </c>
      <c r="L114" s="1">
        <v>13.89</v>
      </c>
      <c r="M114" s="1" t="s">
        <v>1879</v>
      </c>
      <c r="N114" s="1" t="s">
        <v>1880</v>
      </c>
      <c r="O114" s="1">
        <v>32.982199999999999</v>
      </c>
      <c r="P114" s="1">
        <v>13.19</v>
      </c>
      <c r="Q114" s="1" t="s">
        <v>1881</v>
      </c>
      <c r="R114" s="1" t="s">
        <v>1882</v>
      </c>
      <c r="S114" s="1">
        <v>32.115200000000002</v>
      </c>
      <c r="T114" s="1">
        <v>12.84</v>
      </c>
      <c r="U114" s="1" t="s">
        <v>1883</v>
      </c>
      <c r="V114" s="1" t="s">
        <v>1884</v>
      </c>
      <c r="W114" s="1">
        <v>23.078199999999999</v>
      </c>
      <c r="X114" s="1">
        <v>9.23</v>
      </c>
      <c r="Y114" s="1" t="s">
        <v>1885</v>
      </c>
      <c r="Z114" s="1" t="s">
        <v>1886</v>
      </c>
      <c r="AA114" s="1">
        <v>17.829899999999999</v>
      </c>
      <c r="AB114" s="1">
        <v>7.13</v>
      </c>
    </row>
    <row r="115" spans="1:28" x14ac:dyDescent="0.45">
      <c r="A115" s="1" t="s">
        <v>1007</v>
      </c>
      <c r="B115" s="1" t="s">
        <v>1008</v>
      </c>
      <c r="C115" s="1">
        <v>23</v>
      </c>
      <c r="D115" s="10">
        <f ca="1">IFERROR(([1]!thsiFinD("ths_close_price_index",$A115,$AE$2,"","")/[1]!thsiFinD("ths_close_price_index",$A115,$AE$5,"","")-1)*100,"")</f>
        <v>4.3894878999461096</v>
      </c>
      <c r="E115" s="10">
        <f ca="1">IFERROR(([1]!thsiFinD("ths_close_price_index",$A115,$AE$2,"","")/[1]!thsiFinD("ths_close_price_index",$A115,$AE$3,"","")-1)*100,"")</f>
        <v>-0.80681618891580431</v>
      </c>
      <c r="F115" s="10">
        <f ca="1">IFERROR(([1]!thsiFinD("ths_close_price_index",$A115,$AE$2,"","")/[1]!thsiFinD("ths_close_price_index",$A115,$AE$4,"","")-1)*100,"")</f>
        <v>-2.6284841596128095</v>
      </c>
      <c r="G115" s="11">
        <f t="shared" ca="1" si="1"/>
        <v>-2.9939029802520389E-2</v>
      </c>
      <c r="H115" s="1">
        <v>50.02</v>
      </c>
      <c r="I115" s="1" t="s">
        <v>1009</v>
      </c>
      <c r="J115" s="1" t="s">
        <v>1010</v>
      </c>
      <c r="K115" s="1">
        <v>76.951599999999999</v>
      </c>
      <c r="L115" s="1">
        <v>13.82</v>
      </c>
      <c r="M115" s="1" t="s">
        <v>1011</v>
      </c>
      <c r="N115" s="1" t="s">
        <v>1012</v>
      </c>
      <c r="O115" s="1">
        <v>68.055899999999994</v>
      </c>
      <c r="P115" s="1">
        <v>12.22</v>
      </c>
      <c r="Q115" s="1" t="s">
        <v>1013</v>
      </c>
      <c r="R115" s="1" t="s">
        <v>1014</v>
      </c>
      <c r="S115" s="1">
        <v>59.461799999999997</v>
      </c>
      <c r="T115" s="1">
        <v>10.68</v>
      </c>
      <c r="U115" s="1" t="s">
        <v>1015</v>
      </c>
      <c r="V115" s="1" t="s">
        <v>1016</v>
      </c>
      <c r="W115" s="1">
        <v>40.713099999999997</v>
      </c>
      <c r="X115" s="1">
        <v>7.31</v>
      </c>
      <c r="Y115" s="1" t="s">
        <v>1017</v>
      </c>
      <c r="Z115" s="1" t="s">
        <v>1018</v>
      </c>
      <c r="AA115" s="1">
        <v>33.340499999999999</v>
      </c>
      <c r="AB115" s="1">
        <v>5.99</v>
      </c>
    </row>
    <row r="116" spans="1:28" x14ac:dyDescent="0.45">
      <c r="A116" s="1" t="s">
        <v>2937</v>
      </c>
      <c r="B116" s="1" t="s">
        <v>2938</v>
      </c>
      <c r="C116" s="1">
        <v>3</v>
      </c>
      <c r="D116" s="10">
        <f ca="1">IFERROR(([1]!thsiFinD("ths_close_price_index",$A116,$AE$2,"","")/[1]!thsiFinD("ths_close_price_index",$A116,$AE$5,"","")-1)*100,"")</f>
        <v>-32.180504175099642</v>
      </c>
      <c r="E116" s="10">
        <f ca="1">IFERROR(([1]!thsiFinD("ths_close_price_index",$A116,$AE$2,"","")/[1]!thsiFinD("ths_close_price_index",$A116,$AE$3,"","")-1)*100,"")</f>
        <v>-3.9141197086323132</v>
      </c>
      <c r="F116" s="10">
        <f ca="1">IFERROR(([1]!thsiFinD("ths_close_price_index",$A116,$AE$2,"","")/[1]!thsiFinD("ths_close_price_index",$A116,$AE$4,"","")-1)*100,"")</f>
        <v>-11.913793720481959</v>
      </c>
      <c r="G116" s="11">
        <f t="shared" ca="1" si="1"/>
        <v>-0.18713425570236475</v>
      </c>
      <c r="H116" s="1">
        <v>100</v>
      </c>
      <c r="I116" s="1" t="s">
        <v>2939</v>
      </c>
      <c r="J116" s="1" t="s">
        <v>2940</v>
      </c>
      <c r="K116" s="1">
        <v>94.081100000000006</v>
      </c>
      <c r="L116" s="1">
        <v>57.76</v>
      </c>
      <c r="M116" s="1" t="s">
        <v>2941</v>
      </c>
      <c r="N116" s="1" t="s">
        <v>2942</v>
      </c>
      <c r="O116" s="1">
        <v>42.604999999999997</v>
      </c>
      <c r="P116" s="1">
        <v>26.16</v>
      </c>
      <c r="Q116" s="1" t="s">
        <v>2943</v>
      </c>
      <c r="R116" s="1" t="s">
        <v>2944</v>
      </c>
      <c r="S116" s="1">
        <v>26.1905</v>
      </c>
      <c r="T116" s="1">
        <v>16.079999999999998</v>
      </c>
    </row>
    <row r="117" spans="1:28" x14ac:dyDescent="0.45">
      <c r="A117" s="1" t="s">
        <v>1319</v>
      </c>
      <c r="B117" s="1" t="s">
        <v>1320</v>
      </c>
      <c r="C117" s="1">
        <v>7</v>
      </c>
      <c r="D117" s="10">
        <f ca="1">IFERROR(([1]!thsiFinD("ths_close_price_index",$A117,$AE$2,"","")/[1]!thsiFinD("ths_close_price_index",$A117,$AE$5,"","")-1)*100,"")</f>
        <v>-4.4704171793653273</v>
      </c>
      <c r="E117" s="10">
        <f ca="1">IFERROR(([1]!thsiFinD("ths_close_price_index",$A117,$AE$2,"","")/[1]!thsiFinD("ths_close_price_index",$A117,$AE$3,"","")-1)*100,"")</f>
        <v>-0.24885510597035809</v>
      </c>
      <c r="F117" s="10">
        <f ca="1">IFERROR(([1]!thsiFinD("ths_close_price_index",$A117,$AE$2,"","")/[1]!thsiFinD("ths_close_price_index",$A117,$AE$4,"","")-1)*100,"")</f>
        <v>-12.044166248105926</v>
      </c>
      <c r="G117" s="11">
        <f t="shared" ca="1" si="1"/>
        <v>0.55243729121122465</v>
      </c>
      <c r="H117" s="1">
        <v>94.01</v>
      </c>
      <c r="I117" s="1" t="s">
        <v>1321</v>
      </c>
      <c r="J117" s="1" t="s">
        <v>1322</v>
      </c>
      <c r="K117" s="1">
        <v>188.07689999999999</v>
      </c>
      <c r="L117" s="1">
        <v>65.31</v>
      </c>
      <c r="M117" s="1" t="s">
        <v>1323</v>
      </c>
      <c r="N117" s="1" t="s">
        <v>1324</v>
      </c>
      <c r="O117" s="1">
        <v>35.953000000000003</v>
      </c>
      <c r="P117" s="1">
        <v>12.48</v>
      </c>
      <c r="Q117" s="1" t="s">
        <v>1325</v>
      </c>
      <c r="R117" s="1" t="s">
        <v>1326</v>
      </c>
      <c r="S117" s="1">
        <v>18.508700000000001</v>
      </c>
      <c r="T117" s="1">
        <v>6.43</v>
      </c>
      <c r="U117" s="1" t="s">
        <v>1327</v>
      </c>
      <c r="V117" s="1" t="s">
        <v>1328</v>
      </c>
      <c r="W117" s="1">
        <v>16.642700000000001</v>
      </c>
      <c r="X117" s="1">
        <v>5.78</v>
      </c>
      <c r="Y117" s="1" t="s">
        <v>1329</v>
      </c>
      <c r="Z117" s="1" t="s">
        <v>1330</v>
      </c>
      <c r="AA117" s="1">
        <v>11.5396</v>
      </c>
      <c r="AB117" s="1">
        <v>4.01</v>
      </c>
    </row>
    <row r="118" spans="1:28" x14ac:dyDescent="0.45">
      <c r="A118" s="1" t="s">
        <v>2433</v>
      </c>
      <c r="B118" s="1" t="s">
        <v>2434</v>
      </c>
      <c r="C118" s="1">
        <v>21</v>
      </c>
      <c r="D118" s="10">
        <f ca="1">IFERROR(([1]!thsiFinD("ths_close_price_index",$A118,$AE$2,"","")/[1]!thsiFinD("ths_close_price_index",$A118,$AE$5,"","")-1)*100,"")</f>
        <v>-18.096171441780584</v>
      </c>
      <c r="E118" s="10">
        <f ca="1">IFERROR(([1]!thsiFinD("ths_close_price_index",$A118,$AE$2,"","")/[1]!thsiFinD("ths_close_price_index",$A118,$AE$3,"","")-1)*100,"")</f>
        <v>4.7723482519423932E-2</v>
      </c>
      <c r="F118" s="10">
        <f ca="1">IFERROR(([1]!thsiFinD("ths_close_price_index",$A118,$AE$2,"","")/[1]!thsiFinD("ths_close_price_index",$A118,$AE$4,"","")-1)*100,"")</f>
        <v>-4.8372038684722725</v>
      </c>
      <c r="G118" s="11">
        <f t="shared" ca="1" si="1"/>
        <v>0.25140488992749843</v>
      </c>
      <c r="H118" s="1">
        <v>48.96</v>
      </c>
      <c r="I118" s="1" t="s">
        <v>2435</v>
      </c>
      <c r="J118" s="1" t="s">
        <v>2436</v>
      </c>
      <c r="K118" s="1">
        <v>60.215600000000002</v>
      </c>
      <c r="L118" s="1">
        <v>13.28</v>
      </c>
      <c r="M118" s="1" t="s">
        <v>2437</v>
      </c>
      <c r="N118" s="1" t="s">
        <v>2438</v>
      </c>
      <c r="O118" s="1">
        <v>56.535499999999999</v>
      </c>
      <c r="P118" s="1">
        <v>12.47</v>
      </c>
      <c r="Q118" s="1" t="s">
        <v>2439</v>
      </c>
      <c r="R118" s="1" t="s">
        <v>2440</v>
      </c>
      <c r="S118" s="1">
        <v>38.632100000000001</v>
      </c>
      <c r="T118" s="1">
        <v>8.52</v>
      </c>
      <c r="U118" s="1" t="s">
        <v>2441</v>
      </c>
      <c r="V118" s="1" t="s">
        <v>2442</v>
      </c>
      <c r="W118" s="1">
        <v>35.115699999999997</v>
      </c>
      <c r="X118" s="1">
        <v>7.74</v>
      </c>
      <c r="Y118" s="1" t="s">
        <v>2443</v>
      </c>
      <c r="Z118" s="1" t="s">
        <v>2444</v>
      </c>
      <c r="AA118" s="1">
        <v>31.497199999999999</v>
      </c>
      <c r="AB118" s="1">
        <v>6.95</v>
      </c>
    </row>
    <row r="119" spans="1:28" x14ac:dyDescent="0.45">
      <c r="A119" s="1" t="s">
        <v>1377</v>
      </c>
      <c r="B119" s="1" t="s">
        <v>1378</v>
      </c>
      <c r="C119" s="1">
        <v>7</v>
      </c>
      <c r="D119" s="10">
        <f ca="1">IFERROR(([1]!thsiFinD("ths_close_price_index",$A119,$AE$2,"","")/[1]!thsiFinD("ths_close_price_index",$A119,$AE$5,"","")-1)*100,"")</f>
        <v>-7.5972569660137657</v>
      </c>
      <c r="E119" s="10">
        <f ca="1">IFERROR(([1]!thsiFinD("ths_close_price_index",$A119,$AE$2,"","")/[1]!thsiFinD("ths_close_price_index",$A119,$AE$3,"","")-1)*100,"")</f>
        <v>-2.7194188903446159</v>
      </c>
      <c r="F119" s="10">
        <f ca="1">IFERROR(([1]!thsiFinD("ths_close_price_index",$A119,$AE$2,"","")/[1]!thsiFinD("ths_close_price_index",$A119,$AE$4,"","")-1)*100,"")</f>
        <v>-6.4433314916179096</v>
      </c>
      <c r="G119" s="11">
        <f t="shared" ca="1" si="1"/>
        <v>-0.2217172034880277</v>
      </c>
      <c r="H119" s="1">
        <v>94.44</v>
      </c>
      <c r="I119" s="1" t="s">
        <v>1379</v>
      </c>
      <c r="J119" s="1" t="s">
        <v>1380</v>
      </c>
      <c r="K119" s="1">
        <v>42.690399999999997</v>
      </c>
      <c r="L119" s="1">
        <v>36.32</v>
      </c>
      <c r="M119" s="1" t="s">
        <v>1381</v>
      </c>
      <c r="N119" s="1" t="s">
        <v>1382</v>
      </c>
      <c r="O119" s="1">
        <v>23.688500000000001</v>
      </c>
      <c r="P119" s="1">
        <v>20.149999999999999</v>
      </c>
      <c r="Q119" s="1" t="s">
        <v>1383</v>
      </c>
      <c r="R119" s="1" t="s">
        <v>1384</v>
      </c>
      <c r="S119" s="1">
        <v>19.383199999999999</v>
      </c>
      <c r="T119" s="1">
        <v>16.489999999999998</v>
      </c>
      <c r="U119" s="1" t="s">
        <v>1385</v>
      </c>
      <c r="V119" s="1" t="s">
        <v>1386</v>
      </c>
      <c r="W119" s="1">
        <v>13.224500000000001</v>
      </c>
      <c r="X119" s="1">
        <v>11.25</v>
      </c>
      <c r="Y119" s="1" t="s">
        <v>1387</v>
      </c>
      <c r="Z119" s="1" t="s">
        <v>1388</v>
      </c>
      <c r="AA119" s="1">
        <v>12.0266</v>
      </c>
      <c r="AB119" s="1">
        <v>10.23</v>
      </c>
    </row>
    <row r="120" spans="1:28" x14ac:dyDescent="0.45">
      <c r="A120" s="1" t="s">
        <v>831</v>
      </c>
      <c r="B120" s="1" t="s">
        <v>832</v>
      </c>
      <c r="C120" s="1">
        <v>19</v>
      </c>
      <c r="D120" s="10">
        <f ca="1">IFERROR(([1]!thsiFinD("ths_close_price_index",$A120,$AE$2,"","")/[1]!thsiFinD("ths_close_price_index",$A120,$AE$5,"","")-1)*100,"")</f>
        <v>10.255583618353015</v>
      </c>
      <c r="E120" s="10">
        <f ca="1">IFERROR(([1]!thsiFinD("ths_close_price_index",$A120,$AE$2,"","")/[1]!thsiFinD("ths_close_price_index",$A120,$AE$3,"","")-1)*100,"")</f>
        <v>0.48185541448053648</v>
      </c>
      <c r="F120" s="10">
        <f ca="1">IFERROR(([1]!thsiFinD("ths_close_price_index",$A120,$AE$2,"","")/[1]!thsiFinD("ths_close_price_index",$A120,$AE$4,"","")-1)*100,"")</f>
        <v>-3.1996142839756159</v>
      </c>
      <c r="G120" s="11">
        <f t="shared" ca="1" si="1"/>
        <v>0.25635179709488809</v>
      </c>
      <c r="H120" s="1">
        <v>86.9</v>
      </c>
      <c r="I120" s="1" t="s">
        <v>833</v>
      </c>
      <c r="J120" s="1" t="s">
        <v>834</v>
      </c>
      <c r="K120" s="1">
        <v>73.0274</v>
      </c>
      <c r="L120" s="1">
        <v>22.53</v>
      </c>
      <c r="M120" s="1" t="s">
        <v>835</v>
      </c>
      <c r="N120" s="1" t="s">
        <v>836</v>
      </c>
      <c r="O120" s="1">
        <v>69.627399999999994</v>
      </c>
      <c r="P120" s="1">
        <v>21.48</v>
      </c>
      <c r="Q120" s="1" t="s">
        <v>837</v>
      </c>
      <c r="R120" s="1" t="s">
        <v>838</v>
      </c>
      <c r="S120" s="1">
        <v>50.9651</v>
      </c>
      <c r="T120" s="1">
        <v>15.72</v>
      </c>
      <c r="U120" s="1" t="s">
        <v>839</v>
      </c>
      <c r="V120" s="1" t="s">
        <v>840</v>
      </c>
      <c r="W120" s="1">
        <v>50.895000000000003</v>
      </c>
      <c r="X120" s="1">
        <v>15.7</v>
      </c>
      <c r="Y120" s="1" t="s">
        <v>841</v>
      </c>
      <c r="Z120" s="1" t="s">
        <v>842</v>
      </c>
      <c r="AA120" s="1">
        <v>37.1723</v>
      </c>
      <c r="AB120" s="1">
        <v>11.47</v>
      </c>
    </row>
    <row r="121" spans="1:28" x14ac:dyDescent="0.45">
      <c r="A121" s="1" t="s">
        <v>971</v>
      </c>
      <c r="B121" s="1" t="s">
        <v>972</v>
      </c>
      <c r="C121" s="1">
        <v>39</v>
      </c>
      <c r="D121" s="10">
        <f ca="1">IFERROR(([1]!thsiFinD("ths_close_price_index",$A121,$AE$2,"","")/[1]!thsiFinD("ths_close_price_index",$A121,$AE$5,"","")-1)*100,"")</f>
        <v>5.5111324022123043</v>
      </c>
      <c r="E121" s="10">
        <f ca="1">IFERROR(([1]!thsiFinD("ths_close_price_index",$A121,$AE$2,"","")/[1]!thsiFinD("ths_close_price_index",$A121,$AE$3,"","")-1)*100,"")</f>
        <v>-0.42343966899787144</v>
      </c>
      <c r="F121" s="10">
        <f ca="1">IFERROR(([1]!thsiFinD("ths_close_price_index",$A121,$AE$2,"","")/[1]!thsiFinD("ths_close_price_index",$A121,$AE$4,"","")-1)*100,"")</f>
        <v>-2.4806518517701437</v>
      </c>
      <c r="G121" s="11">
        <f t="shared" ca="1" si="1"/>
        <v>3.9344658788932896E-2</v>
      </c>
      <c r="H121" s="1">
        <v>58.17</v>
      </c>
      <c r="I121" s="1" t="s">
        <v>973</v>
      </c>
      <c r="J121" s="1" t="s">
        <v>974</v>
      </c>
      <c r="K121" s="1">
        <v>289.95330000000001</v>
      </c>
      <c r="L121" s="1">
        <v>23.09</v>
      </c>
      <c r="M121" s="1" t="s">
        <v>975</v>
      </c>
      <c r="N121" s="1" t="s">
        <v>976</v>
      </c>
      <c r="O121" s="1">
        <v>181.49529999999999</v>
      </c>
      <c r="P121" s="1">
        <v>14.45</v>
      </c>
      <c r="Q121" s="1" t="s">
        <v>977</v>
      </c>
      <c r="R121" s="1" t="s">
        <v>978</v>
      </c>
      <c r="S121" s="1">
        <v>107.8404</v>
      </c>
      <c r="T121" s="1">
        <v>8.59</v>
      </c>
      <c r="U121" s="1" t="s">
        <v>979</v>
      </c>
      <c r="V121" s="1" t="s">
        <v>980</v>
      </c>
      <c r="W121" s="1">
        <v>87.538300000000007</v>
      </c>
      <c r="X121" s="1">
        <v>6.97</v>
      </c>
      <c r="Y121" s="1" t="s">
        <v>981</v>
      </c>
      <c r="Z121" s="1" t="s">
        <v>982</v>
      </c>
      <c r="AA121" s="1">
        <v>63.704799999999999</v>
      </c>
      <c r="AB121" s="1">
        <v>5.07</v>
      </c>
    </row>
    <row r="122" spans="1:28" x14ac:dyDescent="0.45">
      <c r="A122" s="1" t="s">
        <v>1827</v>
      </c>
      <c r="B122" s="1" t="s">
        <v>1828</v>
      </c>
      <c r="C122" s="1">
        <v>7</v>
      </c>
      <c r="D122" s="10">
        <f ca="1">IFERROR(([1]!thsiFinD("ths_close_price_index",$A122,$AE$2,"","")/[1]!thsiFinD("ths_close_price_index",$A122,$AE$5,"","")-1)*100,"")</f>
        <v>-14.379431377662421</v>
      </c>
      <c r="E122" s="10">
        <f ca="1">IFERROR(([1]!thsiFinD("ths_close_price_index",$A122,$AE$2,"","")/[1]!thsiFinD("ths_close_price_index",$A122,$AE$3,"","")-1)*100,"")</f>
        <v>-4.0586634008036864</v>
      </c>
      <c r="F122" s="10">
        <f ca="1">IFERROR(([1]!thsiFinD("ths_close_price_index",$A122,$AE$2,"","")/[1]!thsiFinD("ths_close_price_index",$A122,$AE$4,"","")-1)*100,"")</f>
        <v>-7.8288300857016662</v>
      </c>
      <c r="G122" s="11">
        <f t="shared" ca="1" si="1"/>
        <v>-0.42029117587565401</v>
      </c>
      <c r="H122" s="1">
        <v>94.38</v>
      </c>
      <c r="I122" s="1" t="s">
        <v>1829</v>
      </c>
      <c r="J122" s="1" t="s">
        <v>1830</v>
      </c>
      <c r="K122" s="1">
        <v>315.62400000000002</v>
      </c>
      <c r="L122" s="1">
        <v>44.86</v>
      </c>
      <c r="M122" s="1" t="s">
        <v>1831</v>
      </c>
      <c r="N122" s="1" t="s">
        <v>1832</v>
      </c>
      <c r="O122" s="1">
        <v>236.34440000000001</v>
      </c>
      <c r="P122" s="1">
        <v>33.6</v>
      </c>
      <c r="Q122" s="1" t="s">
        <v>1833</v>
      </c>
      <c r="R122" s="1" t="s">
        <v>1834</v>
      </c>
      <c r="S122" s="1">
        <v>43.518799999999999</v>
      </c>
      <c r="T122" s="1">
        <v>6.19</v>
      </c>
      <c r="U122" s="1" t="s">
        <v>1835</v>
      </c>
      <c r="V122" s="1" t="s">
        <v>1836</v>
      </c>
      <c r="W122" s="1">
        <v>35.018599999999999</v>
      </c>
      <c r="X122" s="1">
        <v>4.9800000000000004</v>
      </c>
      <c r="Y122" s="1" t="s">
        <v>1837</v>
      </c>
      <c r="Z122" s="1" t="s">
        <v>1838</v>
      </c>
      <c r="AA122" s="1">
        <v>33.404699999999998</v>
      </c>
      <c r="AB122" s="1">
        <v>4.75</v>
      </c>
    </row>
    <row r="123" spans="1:28" x14ac:dyDescent="0.45">
      <c r="A123" s="1" t="s">
        <v>923</v>
      </c>
      <c r="B123" s="1" t="s">
        <v>924</v>
      </c>
      <c r="C123" s="1">
        <v>16</v>
      </c>
      <c r="D123" s="10">
        <f ca="1">IFERROR(([1]!thsiFinD("ths_close_price_index",$A123,$AE$2,"","")/[1]!thsiFinD("ths_close_price_index",$A123,$AE$5,"","")-1)*100,"")</f>
        <v>5.0336478149192398</v>
      </c>
      <c r="E123" s="10">
        <f ca="1">IFERROR(([1]!thsiFinD("ths_close_price_index",$A123,$AE$2,"","")/[1]!thsiFinD("ths_close_price_index",$A123,$AE$3,"","")-1)*100,"")</f>
        <v>-2.4003137480277159</v>
      </c>
      <c r="F123" s="10">
        <f ca="1">IFERROR(([1]!thsiFinD("ths_close_price_index",$A123,$AE$2,"","")/[1]!thsiFinD("ths_close_price_index",$A123,$AE$4,"","")-1)*100,"")</f>
        <v>-5.7440140764407177</v>
      </c>
      <c r="G123" s="11">
        <f t="shared" ca="1" si="1"/>
        <v>-0.1928620457835073</v>
      </c>
      <c r="H123" s="1">
        <v>58.24</v>
      </c>
      <c r="I123" s="1" t="s">
        <v>925</v>
      </c>
      <c r="J123" s="1" t="s">
        <v>926</v>
      </c>
      <c r="K123" s="1">
        <v>119.947</v>
      </c>
      <c r="L123" s="1">
        <v>22.1</v>
      </c>
      <c r="M123" s="1" t="s">
        <v>927</v>
      </c>
      <c r="N123" s="1" t="s">
        <v>928</v>
      </c>
      <c r="O123" s="1">
        <v>68.719800000000006</v>
      </c>
      <c r="P123" s="1">
        <v>12.66</v>
      </c>
      <c r="Q123" s="1" t="s">
        <v>929</v>
      </c>
      <c r="R123" s="1" t="s">
        <v>930</v>
      </c>
      <c r="S123" s="1">
        <v>51.351900000000001</v>
      </c>
      <c r="T123" s="1">
        <v>9.4600000000000009</v>
      </c>
      <c r="U123" s="1" t="s">
        <v>931</v>
      </c>
      <c r="V123" s="1" t="s">
        <v>932</v>
      </c>
      <c r="W123" s="1">
        <v>41.517600000000002</v>
      </c>
      <c r="X123" s="1">
        <v>7.65</v>
      </c>
      <c r="Y123" s="1" t="s">
        <v>933</v>
      </c>
      <c r="Z123" s="1" t="s">
        <v>934</v>
      </c>
      <c r="AA123" s="1">
        <v>34.584200000000003</v>
      </c>
      <c r="AB123" s="1">
        <v>6.37</v>
      </c>
    </row>
    <row r="124" spans="1:28" x14ac:dyDescent="0.45">
      <c r="A124" s="1" t="s">
        <v>1735</v>
      </c>
      <c r="B124" s="1" t="s">
        <v>1736</v>
      </c>
      <c r="C124" s="1">
        <v>10</v>
      </c>
      <c r="D124" s="10">
        <f ca="1">IFERROR(([1]!thsiFinD("ths_close_price_index",$A124,$AE$2,"","")/[1]!thsiFinD("ths_close_price_index",$A124,$AE$5,"","")-1)*100,"")</f>
        <v>-7.5545133933815674</v>
      </c>
      <c r="E124" s="10">
        <f ca="1">IFERROR(([1]!thsiFinD("ths_close_price_index",$A124,$AE$2,"","")/[1]!thsiFinD("ths_close_price_index",$A124,$AE$3,"","")-1)*100,"")</f>
        <v>2.5221255804061871</v>
      </c>
      <c r="F124" s="10">
        <f ca="1">IFERROR(([1]!thsiFinD("ths_close_price_index",$A124,$AE$2,"","")/[1]!thsiFinD("ths_close_price_index",$A124,$AE$4,"","")-1)*100,"")</f>
        <v>-5.5790163793693619</v>
      </c>
      <c r="G124" s="11">
        <f t="shared" ca="1" si="1"/>
        <v>0.78337593504970549</v>
      </c>
      <c r="H124" s="1">
        <v>78.209999999999994</v>
      </c>
      <c r="I124" s="1" t="s">
        <v>1737</v>
      </c>
      <c r="J124" s="1" t="s">
        <v>1738</v>
      </c>
      <c r="K124" s="1">
        <v>99.049499999999995</v>
      </c>
      <c r="L124" s="1">
        <v>22.09</v>
      </c>
      <c r="M124" s="1" t="s">
        <v>1739</v>
      </c>
      <c r="N124" s="1" t="s">
        <v>1740</v>
      </c>
      <c r="O124" s="1">
        <v>83.014700000000005</v>
      </c>
      <c r="P124" s="1">
        <v>18.510000000000002</v>
      </c>
      <c r="Q124" s="1" t="s">
        <v>1741</v>
      </c>
      <c r="R124" s="1" t="s">
        <v>1742</v>
      </c>
      <c r="S124" s="1">
        <v>70.699200000000005</v>
      </c>
      <c r="T124" s="1">
        <v>15.77</v>
      </c>
      <c r="U124" s="1" t="s">
        <v>1743</v>
      </c>
      <c r="V124" s="1" t="s">
        <v>1744</v>
      </c>
      <c r="W124" s="1">
        <v>49.979199999999999</v>
      </c>
      <c r="X124" s="1">
        <v>11.15</v>
      </c>
      <c r="Y124" s="1" t="s">
        <v>1745</v>
      </c>
      <c r="Z124" s="1" t="s">
        <v>1746</v>
      </c>
      <c r="AA124" s="1">
        <v>47.934600000000003</v>
      </c>
      <c r="AB124" s="1">
        <v>10.69</v>
      </c>
    </row>
    <row r="125" spans="1:28" x14ac:dyDescent="0.45">
      <c r="A125" s="1" t="s">
        <v>569</v>
      </c>
      <c r="B125" s="1" t="s">
        <v>570</v>
      </c>
      <c r="C125" s="1">
        <v>59</v>
      </c>
      <c r="D125" s="10">
        <f ca="1">IFERROR(([1]!thsiFinD("ths_close_price_index",$A125,$AE$2,"","")/[1]!thsiFinD("ths_close_price_index",$A125,$AE$5,"","")-1)*100,"")</f>
        <v>14.742707519905341</v>
      </c>
      <c r="E125" s="10">
        <f ca="1">IFERROR(([1]!thsiFinD("ths_close_price_index",$A125,$AE$2,"","")/[1]!thsiFinD("ths_close_price_index",$A125,$AE$3,"","")-1)*100,"")</f>
        <v>-3.2124473700144152</v>
      </c>
      <c r="F125" s="10">
        <f ca="1">IFERROR(([1]!thsiFinD("ths_close_price_index",$A125,$AE$2,"","")/[1]!thsiFinD("ths_close_price_index",$A125,$AE$4,"","")-1)*100,"")</f>
        <v>-7.1883994343369899</v>
      </c>
      <c r="G125" s="11">
        <f t="shared" ca="1" si="1"/>
        <v>-0.28306950228603356</v>
      </c>
      <c r="H125" s="1">
        <v>63.27</v>
      </c>
      <c r="I125" s="1" t="s">
        <v>571</v>
      </c>
      <c r="J125" s="1" t="s">
        <v>572</v>
      </c>
      <c r="K125" s="1">
        <v>750.70640000000003</v>
      </c>
      <c r="L125" s="1">
        <v>33.659999999999997</v>
      </c>
      <c r="M125" s="1" t="s">
        <v>573</v>
      </c>
      <c r="N125" s="1" t="s">
        <v>574</v>
      </c>
      <c r="O125" s="1">
        <v>191.18709999999999</v>
      </c>
      <c r="P125" s="1">
        <v>8.57</v>
      </c>
      <c r="Q125" s="1" t="s">
        <v>575</v>
      </c>
      <c r="R125" s="1" t="s">
        <v>576</v>
      </c>
      <c r="S125" s="1">
        <v>175.44329999999999</v>
      </c>
      <c r="T125" s="1">
        <v>7.87</v>
      </c>
      <c r="U125" s="1" t="s">
        <v>577</v>
      </c>
      <c r="V125" s="1" t="s">
        <v>578</v>
      </c>
      <c r="W125" s="1">
        <v>156.3048</v>
      </c>
      <c r="X125" s="1">
        <v>7.01</v>
      </c>
      <c r="Y125" s="1" t="s">
        <v>579</v>
      </c>
      <c r="Z125" s="1" t="s">
        <v>580</v>
      </c>
      <c r="AA125" s="1">
        <v>137.3717</v>
      </c>
      <c r="AB125" s="1">
        <v>6.16</v>
      </c>
    </row>
    <row r="126" spans="1:28" x14ac:dyDescent="0.45">
      <c r="A126" s="1" t="s">
        <v>1711</v>
      </c>
      <c r="B126" s="1" t="s">
        <v>1712</v>
      </c>
      <c r="C126" s="1">
        <v>32</v>
      </c>
      <c r="D126" s="10">
        <f ca="1">IFERROR(([1]!thsiFinD("ths_close_price_index",$A126,$AE$2,"","")/[1]!thsiFinD("ths_close_price_index",$A126,$AE$5,"","")-1)*100,"")</f>
        <v>-11.655369925333369</v>
      </c>
      <c r="E126" s="10">
        <f ca="1">IFERROR(([1]!thsiFinD("ths_close_price_index",$A126,$AE$2,"","")/[1]!thsiFinD("ths_close_price_index",$A126,$AE$3,"","")-1)*100,"")</f>
        <v>-2.4044908826235778</v>
      </c>
      <c r="F126" s="10">
        <f ca="1">IFERROR(([1]!thsiFinD("ths_close_price_index",$A126,$AE$2,"","")/[1]!thsiFinD("ths_close_price_index",$A126,$AE$4,"","")-1)*100,"")</f>
        <v>-14.864709036320944</v>
      </c>
      <c r="G126" s="11">
        <f t="shared" ca="1" si="1"/>
        <v>0.26233727529133166</v>
      </c>
      <c r="H126" s="1">
        <v>61.22</v>
      </c>
      <c r="I126" s="1" t="s">
        <v>1713</v>
      </c>
      <c r="J126" s="1" t="s">
        <v>1714</v>
      </c>
      <c r="K126" s="1">
        <v>763.72149999999999</v>
      </c>
      <c r="L126" s="1">
        <v>20.04</v>
      </c>
      <c r="M126" s="1" t="s">
        <v>1715</v>
      </c>
      <c r="N126" s="1" t="s">
        <v>1716</v>
      </c>
      <c r="O126" s="1">
        <v>521.83040000000005</v>
      </c>
      <c r="P126" s="1">
        <v>13.69</v>
      </c>
      <c r="Q126" s="1" t="s">
        <v>1717</v>
      </c>
      <c r="R126" s="1" t="s">
        <v>1718</v>
      </c>
      <c r="S126" s="1">
        <v>379.69170000000003</v>
      </c>
      <c r="T126" s="1">
        <v>9.9600000000000009</v>
      </c>
      <c r="U126" s="1" t="s">
        <v>1719</v>
      </c>
      <c r="V126" s="1" t="s">
        <v>1720</v>
      </c>
      <c r="W126" s="1">
        <v>378.12880000000001</v>
      </c>
      <c r="X126" s="1">
        <v>9.92</v>
      </c>
      <c r="Y126" s="1" t="s">
        <v>1721</v>
      </c>
      <c r="Z126" s="1" t="s">
        <v>1722</v>
      </c>
      <c r="AA126" s="1">
        <v>290.0204</v>
      </c>
      <c r="AB126" s="1">
        <v>7.61</v>
      </c>
    </row>
    <row r="127" spans="1:28" x14ac:dyDescent="0.45">
      <c r="A127" s="1" t="s">
        <v>295</v>
      </c>
      <c r="B127" s="1" t="s">
        <v>296</v>
      </c>
      <c r="C127" s="1">
        <v>68</v>
      </c>
      <c r="D127" s="10">
        <f ca="1">IFERROR(([1]!thsiFinD("ths_close_price_index",$A127,$AE$2,"","")/[1]!thsiFinD("ths_close_price_index",$A127,$AE$5,"","")-1)*100,"")</f>
        <v>45.267516945949524</v>
      </c>
      <c r="E127" s="10">
        <f ca="1">IFERROR(([1]!thsiFinD("ths_close_price_index",$A127,$AE$2,"","")/[1]!thsiFinD("ths_close_price_index",$A127,$AE$3,"","")-1)*100,"")</f>
        <v>2.5717674013219005</v>
      </c>
      <c r="F127" s="10">
        <f ca="1">IFERROR(([1]!thsiFinD("ths_close_price_index",$A127,$AE$2,"","")/[1]!thsiFinD("ths_close_price_index",$A127,$AE$4,"","")-1)*100,"")</f>
        <v>13.231067069029013</v>
      </c>
      <c r="G127" s="11">
        <f t="shared" ca="1" si="1"/>
        <v>-0.14719987318707051</v>
      </c>
      <c r="H127" s="1">
        <v>88.2</v>
      </c>
      <c r="I127" s="1" t="s">
        <v>297</v>
      </c>
      <c r="J127" s="1" t="s">
        <v>298</v>
      </c>
      <c r="K127" s="1">
        <v>479.31619999999998</v>
      </c>
      <c r="L127" s="1">
        <v>30.34</v>
      </c>
      <c r="M127" s="1" t="s">
        <v>299</v>
      </c>
      <c r="N127" s="1" t="s">
        <v>300</v>
      </c>
      <c r="O127" s="1">
        <v>410.3143</v>
      </c>
      <c r="P127" s="1">
        <v>25.97</v>
      </c>
      <c r="Q127" s="1" t="s">
        <v>301</v>
      </c>
      <c r="R127" s="1" t="s">
        <v>302</v>
      </c>
      <c r="S127" s="1">
        <v>199.7876</v>
      </c>
      <c r="T127" s="1">
        <v>12.65</v>
      </c>
      <c r="U127" s="1" t="s">
        <v>303</v>
      </c>
      <c r="V127" s="1" t="s">
        <v>304</v>
      </c>
      <c r="W127" s="1">
        <v>187.2937</v>
      </c>
      <c r="X127" s="1">
        <v>11.85</v>
      </c>
      <c r="Y127" s="1" t="s">
        <v>305</v>
      </c>
      <c r="Z127" s="1" t="s">
        <v>306</v>
      </c>
      <c r="AA127" s="1">
        <v>116.7139</v>
      </c>
      <c r="AB127" s="1">
        <v>7.39</v>
      </c>
    </row>
    <row r="128" spans="1:28" x14ac:dyDescent="0.45">
      <c r="A128" s="1" t="s">
        <v>2987</v>
      </c>
      <c r="B128" s="1" t="s">
        <v>2988</v>
      </c>
      <c r="C128" s="1">
        <v>7</v>
      </c>
      <c r="D128" s="10">
        <f ca="1">IFERROR(([1]!thsiFinD("ths_close_price_index",$A128,$AE$2,"","")/[1]!thsiFinD("ths_close_price_index",$A128,$AE$5,"","")-1)*100,"")</f>
        <v>-38.353077053214257</v>
      </c>
      <c r="E128" s="10">
        <f ca="1">IFERROR(([1]!thsiFinD("ths_close_price_index",$A128,$AE$2,"","")/[1]!thsiFinD("ths_close_price_index",$A128,$AE$3,"","")-1)*100,"")</f>
        <v>-6.6274644413062855</v>
      </c>
      <c r="F128" s="10">
        <f ca="1">IFERROR(([1]!thsiFinD("ths_close_price_index",$A128,$AE$2,"","")/[1]!thsiFinD("ths_close_price_index",$A128,$AE$4,"","")-1)*100,"")</f>
        <v>-17.155078925869383</v>
      </c>
      <c r="G128" s="11">
        <f t="shared" ca="1" si="1"/>
        <v>-0.46773894196778798</v>
      </c>
      <c r="H128" s="1">
        <v>100</v>
      </c>
      <c r="I128" s="1" t="s">
        <v>2989</v>
      </c>
      <c r="J128" s="1" t="s">
        <v>2990</v>
      </c>
      <c r="K128" s="1">
        <v>39.478499999999997</v>
      </c>
      <c r="L128" s="1">
        <v>56.06</v>
      </c>
      <c r="M128" s="1" t="s">
        <v>2991</v>
      </c>
      <c r="N128" s="1" t="s">
        <v>2992</v>
      </c>
      <c r="O128" s="1">
        <v>15.105</v>
      </c>
      <c r="P128" s="1">
        <v>21.45</v>
      </c>
      <c r="Q128" s="1" t="s">
        <v>2993</v>
      </c>
      <c r="R128" s="1" t="s">
        <v>2994</v>
      </c>
      <c r="S128" s="1">
        <v>11.8012</v>
      </c>
      <c r="T128" s="1">
        <v>16.760000000000002</v>
      </c>
      <c r="U128" s="1" t="s">
        <v>2995</v>
      </c>
      <c r="V128" s="1" t="s">
        <v>2996</v>
      </c>
      <c r="W128" s="1">
        <v>4.0354999999999999</v>
      </c>
      <c r="X128" s="1">
        <v>5.73</v>
      </c>
    </row>
    <row r="129" spans="1:28" x14ac:dyDescent="0.45">
      <c r="A129" s="1" t="s">
        <v>29</v>
      </c>
      <c r="B129" s="1" t="s">
        <v>30</v>
      </c>
      <c r="C129" s="1">
        <v>12</v>
      </c>
      <c r="D129" s="10">
        <f ca="1">IFERROR(([1]!thsiFinD("ths_close_price_index",$A129,$AE$2,"","")/[1]!thsiFinD("ths_close_price_index",$A129,$AE$5,"","")-1)*100,"")</f>
        <v>251.4444909166028</v>
      </c>
      <c r="E129" s="10">
        <f ca="1">IFERROR(([1]!thsiFinD("ths_close_price_index",$A129,$AE$2,"","")/[1]!thsiFinD("ths_close_price_index",$A129,$AE$3,"","")-1)*100,"")</f>
        <v>15.676660654318674</v>
      </c>
      <c r="F129" s="10">
        <f ca="1">IFERROR(([1]!thsiFinD("ths_close_price_index",$A129,$AE$2,"","")/[1]!thsiFinD("ths_close_price_index",$A129,$AE$4,"","")-1)*100,"")</f>
        <v>57.546307693976637</v>
      </c>
      <c r="G129" s="11">
        <f t="shared" ca="1" si="1"/>
        <v>0.25801674616490322</v>
      </c>
      <c r="H129" s="1">
        <v>89.69</v>
      </c>
      <c r="I129" s="1" t="s">
        <v>31</v>
      </c>
      <c r="J129" s="1" t="s">
        <v>32</v>
      </c>
      <c r="K129" s="1">
        <v>2109.6284000000001</v>
      </c>
      <c r="L129" s="1">
        <v>34.54</v>
      </c>
      <c r="M129" s="1" t="s">
        <v>33</v>
      </c>
      <c r="N129" s="1" t="s">
        <v>34</v>
      </c>
      <c r="O129" s="1">
        <v>1573.5354</v>
      </c>
      <c r="P129" s="1">
        <v>25.77</v>
      </c>
      <c r="Q129" s="1" t="s">
        <v>35</v>
      </c>
      <c r="R129" s="1" t="s">
        <v>36</v>
      </c>
      <c r="S129" s="1">
        <v>708.62990000000002</v>
      </c>
      <c r="T129" s="1">
        <v>11.6</v>
      </c>
      <c r="U129" s="1" t="s">
        <v>37</v>
      </c>
      <c r="V129" s="1" t="s">
        <v>38</v>
      </c>
      <c r="W129" s="1">
        <v>558.51329999999996</v>
      </c>
      <c r="X129" s="1">
        <v>9.15</v>
      </c>
      <c r="Y129" s="1" t="s">
        <v>39</v>
      </c>
      <c r="Z129" s="1" t="s">
        <v>40</v>
      </c>
      <c r="AA129" s="1">
        <v>527.23260000000005</v>
      </c>
      <c r="AB129" s="1">
        <v>8.6300000000000008</v>
      </c>
    </row>
    <row r="130" spans="1:28" x14ac:dyDescent="0.45">
      <c r="A130" s="1" t="s">
        <v>759</v>
      </c>
      <c r="B130" s="1" t="s">
        <v>760</v>
      </c>
      <c r="C130" s="1">
        <v>7</v>
      </c>
      <c r="D130" s="10">
        <f ca="1">IFERROR(([1]!thsiFinD("ths_close_price_index",$A130,$AE$2,"","")/[1]!thsiFinD("ths_close_price_index",$A130,$AE$5,"","")-1)*100,"")</f>
        <v>8.6778466839432902</v>
      </c>
      <c r="E130" s="10">
        <f ca="1">IFERROR(([1]!thsiFinD("ths_close_price_index",$A130,$AE$2,"","")/[1]!thsiFinD("ths_close_price_index",$A130,$AE$3,"","")-1)*100,"")</f>
        <v>-3.0787083206612609</v>
      </c>
      <c r="F130" s="10">
        <f ca="1">IFERROR(([1]!thsiFinD("ths_close_price_index",$A130,$AE$2,"","")/[1]!thsiFinD("ths_close_price_index",$A130,$AE$4,"","")-1)*100,"")</f>
        <v>-7.6079678295051911</v>
      </c>
      <c r="G130" s="11">
        <f t="shared" ref="G130:G193" ca="1" si="2">IFERROR(E130/5-F130/20,"")</f>
        <v>-0.23534327265699262</v>
      </c>
      <c r="H130" s="1">
        <v>98.6</v>
      </c>
      <c r="I130" s="1" t="s">
        <v>761</v>
      </c>
      <c r="J130" s="1" t="s">
        <v>762</v>
      </c>
      <c r="K130" s="1">
        <v>365.87959999999998</v>
      </c>
      <c r="L130" s="1">
        <v>62.93</v>
      </c>
      <c r="M130" s="1" t="s">
        <v>763</v>
      </c>
      <c r="N130" s="1" t="s">
        <v>764</v>
      </c>
      <c r="O130" s="1">
        <v>125.3493</v>
      </c>
      <c r="P130" s="1">
        <v>21.56</v>
      </c>
      <c r="Q130" s="1" t="s">
        <v>765</v>
      </c>
      <c r="R130" s="1" t="s">
        <v>766</v>
      </c>
      <c r="S130" s="1">
        <v>52.2759</v>
      </c>
      <c r="T130" s="1">
        <v>8.99</v>
      </c>
      <c r="U130" s="1" t="s">
        <v>767</v>
      </c>
      <c r="V130" s="1" t="s">
        <v>768</v>
      </c>
      <c r="W130" s="1">
        <v>20.452400000000001</v>
      </c>
      <c r="X130" s="1">
        <v>3.52</v>
      </c>
      <c r="Y130" s="1" t="s">
        <v>769</v>
      </c>
      <c r="Z130" s="1" t="s">
        <v>770</v>
      </c>
      <c r="AA130" s="1">
        <v>9.3263999999999996</v>
      </c>
      <c r="AB130" s="1">
        <v>1.6</v>
      </c>
    </row>
    <row r="131" spans="1:28" x14ac:dyDescent="0.45">
      <c r="A131" s="1" t="s">
        <v>2117</v>
      </c>
      <c r="B131" s="1" t="s">
        <v>2118</v>
      </c>
      <c r="C131" s="1">
        <v>27</v>
      </c>
      <c r="D131" s="10">
        <f ca="1">IFERROR(([1]!thsiFinD("ths_close_price_index",$A131,$AE$2,"","")/[1]!thsiFinD("ths_close_price_index",$A131,$AE$5,"","")-1)*100,"")</f>
        <v>-17.069498900111046</v>
      </c>
      <c r="E131" s="10">
        <f ca="1">IFERROR(([1]!thsiFinD("ths_close_price_index",$A131,$AE$2,"","")/[1]!thsiFinD("ths_close_price_index",$A131,$AE$3,"","")-1)*100,"")</f>
        <v>-3.2051889714206694</v>
      </c>
      <c r="F131" s="10">
        <f ca="1">IFERROR(([1]!thsiFinD("ths_close_price_index",$A131,$AE$2,"","")/[1]!thsiFinD("ths_close_price_index",$A131,$AE$4,"","")-1)*100,"")</f>
        <v>-7.6903230183481996</v>
      </c>
      <c r="G131" s="11">
        <f t="shared" ca="1" si="2"/>
        <v>-0.25652164336672389</v>
      </c>
      <c r="H131" s="1">
        <v>68.61</v>
      </c>
      <c r="I131" s="1" t="s">
        <v>2119</v>
      </c>
      <c r="J131" s="1" t="s">
        <v>2120</v>
      </c>
      <c r="K131" s="1">
        <v>412.23149999999998</v>
      </c>
      <c r="L131" s="1">
        <v>16.59</v>
      </c>
      <c r="M131" s="1" t="s">
        <v>2121</v>
      </c>
      <c r="N131" s="1" t="s">
        <v>2122</v>
      </c>
      <c r="O131" s="1">
        <v>409.24200000000002</v>
      </c>
      <c r="P131" s="1">
        <v>16.47</v>
      </c>
      <c r="Q131" s="1" t="s">
        <v>2123</v>
      </c>
      <c r="R131" s="1" t="s">
        <v>2124</v>
      </c>
      <c r="S131" s="1">
        <v>393.73410000000001</v>
      </c>
      <c r="T131" s="1">
        <v>15.84</v>
      </c>
      <c r="U131" s="1" t="s">
        <v>2125</v>
      </c>
      <c r="V131" s="1" t="s">
        <v>2126</v>
      </c>
      <c r="W131" s="1">
        <v>289.18470000000002</v>
      </c>
      <c r="X131" s="1">
        <v>11.64</v>
      </c>
      <c r="Y131" s="1" t="s">
        <v>2127</v>
      </c>
      <c r="Z131" s="1" t="s">
        <v>2128</v>
      </c>
      <c r="AA131" s="1">
        <v>200.60509999999999</v>
      </c>
      <c r="AB131" s="1">
        <v>8.07</v>
      </c>
    </row>
    <row r="132" spans="1:28" x14ac:dyDescent="0.45">
      <c r="A132" s="1" t="s">
        <v>2867</v>
      </c>
      <c r="B132" s="1" t="s">
        <v>2868</v>
      </c>
      <c r="C132" s="1">
        <v>4</v>
      </c>
      <c r="D132" s="10">
        <f ca="1">IFERROR(([1]!thsiFinD("ths_close_price_index",$A132,$AE$2,"","")/[1]!thsiFinD("ths_close_price_index",$A132,$AE$5,"","")-1)*100,"")</f>
        <v>-28.551252282198025</v>
      </c>
      <c r="E132" s="10">
        <f ca="1">IFERROR(([1]!thsiFinD("ths_close_price_index",$A132,$AE$2,"","")/[1]!thsiFinD("ths_close_price_index",$A132,$AE$3,"","")-1)*100,"")</f>
        <v>-2.9720067771834224</v>
      </c>
      <c r="F132" s="10">
        <f ca="1">IFERROR(([1]!thsiFinD("ths_close_price_index",$A132,$AE$2,"","")/[1]!thsiFinD("ths_close_price_index",$A132,$AE$4,"","")-1)*100,"")</f>
        <v>-9.9645240165997411</v>
      </c>
      <c r="G132" s="11">
        <f t="shared" ca="1" si="2"/>
        <v>-9.6175154606697455E-2</v>
      </c>
      <c r="H132" s="1">
        <v>99.99</v>
      </c>
      <c r="I132" s="1" t="s">
        <v>2869</v>
      </c>
      <c r="J132" s="1" t="s">
        <v>2870</v>
      </c>
      <c r="K132" s="1">
        <v>19.275700000000001</v>
      </c>
      <c r="L132" s="1">
        <v>33.42</v>
      </c>
      <c r="M132" s="1" t="s">
        <v>2871</v>
      </c>
      <c r="N132" s="1" t="s">
        <v>2872</v>
      </c>
      <c r="O132" s="1">
        <v>15.128500000000001</v>
      </c>
      <c r="P132" s="1">
        <v>26.23</v>
      </c>
      <c r="Q132" s="1" t="s">
        <v>2873</v>
      </c>
      <c r="R132" s="1" t="s">
        <v>2874</v>
      </c>
      <c r="S132" s="1">
        <v>13.3682</v>
      </c>
      <c r="T132" s="1">
        <v>23.18</v>
      </c>
      <c r="U132" s="1" t="s">
        <v>2875</v>
      </c>
      <c r="V132" s="1" t="s">
        <v>2876</v>
      </c>
      <c r="W132" s="1">
        <v>9.8965999999999994</v>
      </c>
      <c r="X132" s="1">
        <v>17.16</v>
      </c>
    </row>
    <row r="133" spans="1:28" x14ac:dyDescent="0.45">
      <c r="A133" s="1" t="s">
        <v>1935</v>
      </c>
      <c r="B133" s="1" t="s">
        <v>1936</v>
      </c>
      <c r="C133" s="1">
        <v>38</v>
      </c>
      <c r="D133" s="10">
        <f ca="1">IFERROR(([1]!thsiFinD("ths_close_price_index",$A133,$AE$2,"","")/[1]!thsiFinD("ths_close_price_index",$A133,$AE$5,"","")-1)*100,"")</f>
        <v>-12.802224448425326</v>
      </c>
      <c r="E133" s="10">
        <f ca="1">IFERROR(([1]!thsiFinD("ths_close_price_index",$A133,$AE$2,"","")/[1]!thsiFinD("ths_close_price_index",$A133,$AE$3,"","")-1)*100,"")</f>
        <v>-1.6053780177560206</v>
      </c>
      <c r="F133" s="10">
        <f ca="1">IFERROR(([1]!thsiFinD("ths_close_price_index",$A133,$AE$2,"","")/[1]!thsiFinD("ths_close_price_index",$A133,$AE$4,"","")-1)*100,"")</f>
        <v>-6.4750003965678316</v>
      </c>
      <c r="G133" s="11">
        <f t="shared" ca="1" si="2"/>
        <v>2.6744162771874525E-3</v>
      </c>
      <c r="H133" s="1">
        <v>43.05</v>
      </c>
      <c r="I133" s="1" t="s">
        <v>1937</v>
      </c>
      <c r="J133" s="1" t="s">
        <v>1938</v>
      </c>
      <c r="K133" s="1">
        <v>140.55369999999999</v>
      </c>
      <c r="L133" s="1">
        <v>11.18</v>
      </c>
      <c r="M133" s="1" t="s">
        <v>1939</v>
      </c>
      <c r="N133" s="1" t="s">
        <v>1940</v>
      </c>
      <c r="O133" s="1">
        <v>112.84099999999999</v>
      </c>
      <c r="P133" s="1">
        <v>8.98</v>
      </c>
      <c r="Q133" s="1" t="s">
        <v>1941</v>
      </c>
      <c r="R133" s="1" t="s">
        <v>1942</v>
      </c>
      <c r="S133" s="1">
        <v>101.8798</v>
      </c>
      <c r="T133" s="1">
        <v>8.11</v>
      </c>
      <c r="U133" s="1" t="s">
        <v>1943</v>
      </c>
      <c r="V133" s="1" t="s">
        <v>1944</v>
      </c>
      <c r="W133" s="1">
        <v>96.305000000000007</v>
      </c>
      <c r="X133" s="1">
        <v>7.66</v>
      </c>
      <c r="Y133" s="1" t="s">
        <v>1945</v>
      </c>
      <c r="Z133" s="1" t="s">
        <v>1946</v>
      </c>
      <c r="AA133" s="1">
        <v>89.501000000000005</v>
      </c>
      <c r="AB133" s="1">
        <v>7.12</v>
      </c>
    </row>
    <row r="134" spans="1:28" x14ac:dyDescent="0.45">
      <c r="A134" s="1" t="s">
        <v>2009</v>
      </c>
      <c r="B134" s="1" t="s">
        <v>2010</v>
      </c>
      <c r="C134" s="1">
        <v>32</v>
      </c>
      <c r="D134" s="10">
        <f ca="1">IFERROR(([1]!thsiFinD("ths_close_price_index",$A134,$AE$2,"","")/[1]!thsiFinD("ths_close_price_index",$A134,$AE$5,"","")-1)*100,"")</f>
        <v>-15.251296668365455</v>
      </c>
      <c r="E134" s="10">
        <f ca="1">IFERROR(([1]!thsiFinD("ths_close_price_index",$A134,$AE$2,"","")/[1]!thsiFinD("ths_close_price_index",$A134,$AE$3,"","")-1)*100,"")</f>
        <v>-3.4467939103714484</v>
      </c>
      <c r="F134" s="10">
        <f ca="1">IFERROR(([1]!thsiFinD("ths_close_price_index",$A134,$AE$2,"","")/[1]!thsiFinD("ths_close_price_index",$A134,$AE$4,"","")-1)*100,"")</f>
        <v>-9.1536114078620283</v>
      </c>
      <c r="G134" s="11">
        <f t="shared" ca="1" si="2"/>
        <v>-0.2316782116811883</v>
      </c>
      <c r="H134" s="1">
        <v>82.41</v>
      </c>
      <c r="I134" s="1" t="s">
        <v>2011</v>
      </c>
      <c r="J134" s="1" t="s">
        <v>2012</v>
      </c>
      <c r="K134" s="1">
        <v>474.80239999999998</v>
      </c>
      <c r="L134" s="1">
        <v>41.2</v>
      </c>
      <c r="M134" s="1" t="s">
        <v>2013</v>
      </c>
      <c r="N134" s="1" t="s">
        <v>2014</v>
      </c>
      <c r="O134" s="1">
        <v>142.26310000000001</v>
      </c>
      <c r="P134" s="1">
        <v>12.34</v>
      </c>
      <c r="Q134" s="1" t="s">
        <v>2015</v>
      </c>
      <c r="R134" s="1" t="s">
        <v>2016</v>
      </c>
      <c r="S134" s="1">
        <v>129.38380000000001</v>
      </c>
      <c r="T134" s="1">
        <v>11.23</v>
      </c>
      <c r="U134" s="1" t="s">
        <v>2017</v>
      </c>
      <c r="V134" s="1" t="s">
        <v>2018</v>
      </c>
      <c r="W134" s="1">
        <v>104.179</v>
      </c>
      <c r="X134" s="1">
        <v>9.0399999999999991</v>
      </c>
      <c r="Y134" s="1" t="s">
        <v>2019</v>
      </c>
      <c r="Z134" s="1" t="s">
        <v>2020</v>
      </c>
      <c r="AA134" s="1">
        <v>99.094800000000006</v>
      </c>
      <c r="AB134" s="1">
        <v>8.6</v>
      </c>
    </row>
    <row r="135" spans="1:28" x14ac:dyDescent="0.45">
      <c r="A135" s="1" t="s">
        <v>1611</v>
      </c>
      <c r="B135" s="1" t="s">
        <v>1612</v>
      </c>
      <c r="C135" s="1">
        <v>30</v>
      </c>
      <c r="D135" s="10">
        <f ca="1">IFERROR(([1]!thsiFinD("ths_close_price_index",$A135,$AE$2,"","")/[1]!thsiFinD("ths_close_price_index",$A135,$AE$5,"","")-1)*100,"")</f>
        <v>-11.049563532685625</v>
      </c>
      <c r="E135" s="10">
        <f ca="1">IFERROR(([1]!thsiFinD("ths_close_price_index",$A135,$AE$2,"","")/[1]!thsiFinD("ths_close_price_index",$A135,$AE$3,"","")-1)*100,"")</f>
        <v>-3.1370845700006811</v>
      </c>
      <c r="F135" s="10">
        <f ca="1">IFERROR(([1]!thsiFinD("ths_close_price_index",$A135,$AE$2,"","")/[1]!thsiFinD("ths_close_price_index",$A135,$AE$4,"","")-1)*100,"")</f>
        <v>-5.2056552604199169</v>
      </c>
      <c r="G135" s="11">
        <f t="shared" ca="1" si="2"/>
        <v>-0.36713415097914037</v>
      </c>
      <c r="H135" s="1">
        <v>61.73</v>
      </c>
      <c r="I135" s="1" t="s">
        <v>1613</v>
      </c>
      <c r="J135" s="1" t="s">
        <v>1614</v>
      </c>
      <c r="K135" s="1">
        <v>552.27049999999997</v>
      </c>
      <c r="L135" s="1">
        <v>39.74</v>
      </c>
      <c r="M135" s="1" t="s">
        <v>1615</v>
      </c>
      <c r="N135" s="1" t="s">
        <v>1616</v>
      </c>
      <c r="O135" s="1">
        <v>101.34350000000001</v>
      </c>
      <c r="P135" s="1">
        <v>7.29</v>
      </c>
      <c r="Q135" s="1" t="s">
        <v>1617</v>
      </c>
      <c r="R135" s="1" t="s">
        <v>1618</v>
      </c>
      <c r="S135" s="1">
        <v>72.061199999999999</v>
      </c>
      <c r="T135" s="1">
        <v>5.19</v>
      </c>
      <c r="U135" s="1" t="s">
        <v>1619</v>
      </c>
      <c r="V135" s="1" t="s">
        <v>1620</v>
      </c>
      <c r="W135" s="1">
        <v>67.9071</v>
      </c>
      <c r="X135" s="1">
        <v>4.8899999999999997</v>
      </c>
      <c r="Y135" s="1" t="s">
        <v>1621</v>
      </c>
      <c r="Z135" s="1" t="s">
        <v>1622</v>
      </c>
      <c r="AA135" s="1">
        <v>64.145399999999995</v>
      </c>
      <c r="AB135" s="1">
        <v>4.62</v>
      </c>
    </row>
    <row r="136" spans="1:28" x14ac:dyDescent="0.45">
      <c r="A136" s="1" t="s">
        <v>1225</v>
      </c>
      <c r="B136" s="1" t="s">
        <v>1226</v>
      </c>
      <c r="C136" s="1">
        <v>22</v>
      </c>
      <c r="D136" s="10">
        <f ca="1">IFERROR(([1]!thsiFinD("ths_close_price_index",$A136,$AE$2,"","")/[1]!thsiFinD("ths_close_price_index",$A136,$AE$5,"","")-1)*100,"")</f>
        <v>-4.7372777780250619</v>
      </c>
      <c r="E136" s="10">
        <f ca="1">IFERROR(([1]!thsiFinD("ths_close_price_index",$A136,$AE$2,"","")/[1]!thsiFinD("ths_close_price_index",$A136,$AE$3,"","")-1)*100,"")</f>
        <v>-1.8132383505924499</v>
      </c>
      <c r="F136" s="10">
        <f ca="1">IFERROR(([1]!thsiFinD("ths_close_price_index",$A136,$AE$2,"","")/[1]!thsiFinD("ths_close_price_index",$A136,$AE$4,"","")-1)*100,"")</f>
        <v>-6.7412636974717106</v>
      </c>
      <c r="G136" s="11">
        <f t="shared" ca="1" si="2"/>
        <v>-2.558448524490442E-2</v>
      </c>
      <c r="H136" s="1">
        <v>60.79</v>
      </c>
      <c r="I136" s="1" t="s">
        <v>1227</v>
      </c>
      <c r="J136" s="1" t="s">
        <v>1228</v>
      </c>
      <c r="K136" s="1">
        <v>224.9091</v>
      </c>
      <c r="L136" s="1">
        <v>23.25</v>
      </c>
      <c r="M136" s="1" t="s">
        <v>1229</v>
      </c>
      <c r="N136" s="1" t="s">
        <v>1230</v>
      </c>
      <c r="O136" s="1">
        <v>182.91980000000001</v>
      </c>
      <c r="P136" s="1">
        <v>18.91</v>
      </c>
      <c r="Q136" s="1" t="s">
        <v>1231</v>
      </c>
      <c r="R136" s="1" t="s">
        <v>1232</v>
      </c>
      <c r="S136" s="1">
        <v>65.927999999999997</v>
      </c>
      <c r="T136" s="1">
        <v>6.82</v>
      </c>
      <c r="U136" s="1" t="s">
        <v>1233</v>
      </c>
      <c r="V136" s="1" t="s">
        <v>1234</v>
      </c>
      <c r="W136" s="1">
        <v>58.773600000000002</v>
      </c>
      <c r="X136" s="1">
        <v>6.08</v>
      </c>
      <c r="Y136" s="1" t="s">
        <v>1235</v>
      </c>
      <c r="Z136" s="1" t="s">
        <v>1236</v>
      </c>
      <c r="AA136" s="1">
        <v>55.389200000000002</v>
      </c>
      <c r="AB136" s="1">
        <v>5.73</v>
      </c>
    </row>
    <row r="137" spans="1:28" x14ac:dyDescent="0.45">
      <c r="A137" s="1" t="s">
        <v>1249</v>
      </c>
      <c r="B137" s="1" t="s">
        <v>1250</v>
      </c>
      <c r="C137" s="1">
        <v>18</v>
      </c>
      <c r="D137" s="10">
        <f ca="1">IFERROR(([1]!thsiFinD("ths_close_price_index",$A137,$AE$2,"","")/[1]!thsiFinD("ths_close_price_index",$A137,$AE$5,"","")-1)*100,"")</f>
        <v>3.7845098006719979</v>
      </c>
      <c r="E137" s="10">
        <f ca="1">IFERROR(([1]!thsiFinD("ths_close_price_index",$A137,$AE$2,"","")/[1]!thsiFinD("ths_close_price_index",$A137,$AE$3,"","")-1)*100,"")</f>
        <v>7.7417234064911078</v>
      </c>
      <c r="F137" s="10">
        <f ca="1">IFERROR(([1]!thsiFinD("ths_close_price_index",$A137,$AE$2,"","")/[1]!thsiFinD("ths_close_price_index",$A137,$AE$4,"","")-1)*100,"")</f>
        <v>6.8469841648188812</v>
      </c>
      <c r="G137" s="11">
        <f t="shared" ca="1" si="2"/>
        <v>1.2059954730572775</v>
      </c>
      <c r="H137" s="1">
        <v>81.08</v>
      </c>
      <c r="I137" s="1" t="s">
        <v>1251</v>
      </c>
      <c r="J137" s="1" t="s">
        <v>1252</v>
      </c>
      <c r="K137" s="1">
        <v>324.41180000000003</v>
      </c>
      <c r="L137" s="1">
        <v>52.13</v>
      </c>
      <c r="M137" s="1" t="s">
        <v>1253</v>
      </c>
      <c r="N137" s="1" t="s">
        <v>1254</v>
      </c>
      <c r="O137" s="1">
        <v>64.187100000000001</v>
      </c>
      <c r="P137" s="1">
        <v>10.31</v>
      </c>
      <c r="Q137" s="1" t="s">
        <v>1255</v>
      </c>
      <c r="R137" s="1" t="s">
        <v>1256</v>
      </c>
      <c r="S137" s="1">
        <v>53.36</v>
      </c>
      <c r="T137" s="1">
        <v>8.57</v>
      </c>
      <c r="U137" s="1" t="s">
        <v>1257</v>
      </c>
      <c r="V137" s="1" t="s">
        <v>1258</v>
      </c>
      <c r="W137" s="1">
        <v>31.737200000000001</v>
      </c>
      <c r="X137" s="1">
        <v>5.0999999999999996</v>
      </c>
      <c r="Y137" s="1" t="s">
        <v>1259</v>
      </c>
      <c r="Z137" s="1" t="s">
        <v>1260</v>
      </c>
      <c r="AA137" s="1">
        <v>30.953199999999999</v>
      </c>
      <c r="AB137" s="1">
        <v>4.97</v>
      </c>
    </row>
    <row r="138" spans="1:28" x14ac:dyDescent="0.45">
      <c r="A138" s="1" t="s">
        <v>1947</v>
      </c>
      <c r="B138" s="1" t="s">
        <v>1948</v>
      </c>
      <c r="C138" s="1">
        <v>4</v>
      </c>
      <c r="D138" s="10">
        <f ca="1">IFERROR(([1]!thsiFinD("ths_close_price_index",$A138,$AE$2,"","")/[1]!thsiFinD("ths_close_price_index",$A138,$AE$5,"","")-1)*100,"")</f>
        <v>-11.908865891355392</v>
      </c>
      <c r="E138" s="10">
        <f ca="1">IFERROR(([1]!thsiFinD("ths_close_price_index",$A138,$AE$2,"","")/[1]!thsiFinD("ths_close_price_index",$A138,$AE$3,"","")-1)*100,"")</f>
        <v>-0.51159502099368259</v>
      </c>
      <c r="F138" s="10">
        <f ca="1">IFERROR(([1]!thsiFinD("ths_close_price_index",$A138,$AE$2,"","")/[1]!thsiFinD("ths_close_price_index",$A138,$AE$4,"","")-1)*100,"")</f>
        <v>-11.691657338430028</v>
      </c>
      <c r="G138" s="11">
        <f t="shared" ca="1" si="2"/>
        <v>0.48226386272276489</v>
      </c>
      <c r="H138" s="1">
        <v>100</v>
      </c>
      <c r="I138" s="1" t="s">
        <v>1949</v>
      </c>
      <c r="J138" s="1" t="s">
        <v>1950</v>
      </c>
      <c r="K138" s="1">
        <v>735.35810000000004</v>
      </c>
      <c r="L138" s="1">
        <v>63.71</v>
      </c>
      <c r="M138" s="1" t="s">
        <v>1951</v>
      </c>
      <c r="N138" s="1" t="s">
        <v>1952</v>
      </c>
      <c r="O138" s="1">
        <v>264.16849999999999</v>
      </c>
      <c r="P138" s="1">
        <v>22.89</v>
      </c>
      <c r="Q138" s="1" t="s">
        <v>1953</v>
      </c>
      <c r="R138" s="1" t="s">
        <v>1954</v>
      </c>
      <c r="S138" s="1">
        <v>77.855099999999993</v>
      </c>
      <c r="T138" s="1">
        <v>6.74</v>
      </c>
      <c r="U138" s="1" t="s">
        <v>1955</v>
      </c>
      <c r="V138" s="1" t="s">
        <v>1956</v>
      </c>
      <c r="W138" s="1">
        <v>76.931700000000006</v>
      </c>
      <c r="X138" s="1">
        <v>6.66</v>
      </c>
    </row>
    <row r="139" spans="1:28" x14ac:dyDescent="0.45">
      <c r="A139" s="1" t="s">
        <v>2153</v>
      </c>
      <c r="B139" s="1" t="s">
        <v>2154</v>
      </c>
      <c r="C139" s="1">
        <v>64</v>
      </c>
      <c r="D139" s="10">
        <f ca="1">IFERROR(([1]!thsiFinD("ths_close_price_index",$A139,$AE$2,"","")/[1]!thsiFinD("ths_close_price_index",$A139,$AE$5,"","")-1)*100,"")</f>
        <v>-15.993165654668351</v>
      </c>
      <c r="E139" s="10">
        <f ca="1">IFERROR(([1]!thsiFinD("ths_close_price_index",$A139,$AE$2,"","")/[1]!thsiFinD("ths_close_price_index",$A139,$AE$3,"","")-1)*100,"")</f>
        <v>-1.5624419959125002</v>
      </c>
      <c r="F139" s="10">
        <f ca="1">IFERROR(([1]!thsiFinD("ths_close_price_index",$A139,$AE$2,"","")/[1]!thsiFinD("ths_close_price_index",$A139,$AE$4,"","")-1)*100,"")</f>
        <v>-5.1516290647164675</v>
      </c>
      <c r="G139" s="11">
        <f t="shared" ca="1" si="2"/>
        <v>-5.4906945946676666E-2</v>
      </c>
      <c r="H139" s="1">
        <v>65.33</v>
      </c>
      <c r="I139" s="1" t="s">
        <v>2155</v>
      </c>
      <c r="J139" s="1" t="s">
        <v>2156</v>
      </c>
      <c r="K139" s="1">
        <v>350.56689999999998</v>
      </c>
      <c r="L139" s="1">
        <v>19.63</v>
      </c>
      <c r="M139" s="1" t="s">
        <v>2157</v>
      </c>
      <c r="N139" s="1" t="s">
        <v>2158</v>
      </c>
      <c r="O139" s="1">
        <v>334.4391</v>
      </c>
      <c r="P139" s="1">
        <v>18.72</v>
      </c>
      <c r="Q139" s="1" t="s">
        <v>2159</v>
      </c>
      <c r="R139" s="1" t="s">
        <v>2160</v>
      </c>
      <c r="S139" s="1">
        <v>184.92259999999999</v>
      </c>
      <c r="T139" s="1">
        <v>10.35</v>
      </c>
      <c r="U139" s="1" t="s">
        <v>2161</v>
      </c>
      <c r="V139" s="1" t="s">
        <v>2162</v>
      </c>
      <c r="W139" s="1">
        <v>153.58410000000001</v>
      </c>
      <c r="X139" s="1">
        <v>8.6</v>
      </c>
      <c r="Y139" s="1" t="s">
        <v>2163</v>
      </c>
      <c r="Z139" s="1" t="s">
        <v>2164</v>
      </c>
      <c r="AA139" s="1">
        <v>143.4796</v>
      </c>
      <c r="AB139" s="1">
        <v>8.0299999999999994</v>
      </c>
    </row>
    <row r="140" spans="1:28" x14ac:dyDescent="0.45">
      <c r="A140" s="1" t="s">
        <v>1043</v>
      </c>
      <c r="B140" s="1" t="s">
        <v>1044</v>
      </c>
      <c r="C140" s="1">
        <v>21</v>
      </c>
      <c r="D140" s="10">
        <f ca="1">IFERROR(([1]!thsiFinD("ths_close_price_index",$A140,$AE$2,"","")/[1]!thsiFinD("ths_close_price_index",$A140,$AE$5,"","")-1)*100,"")</f>
        <v>-4.0028633089760461</v>
      </c>
      <c r="E140" s="10">
        <f ca="1">IFERROR(([1]!thsiFinD("ths_close_price_index",$A140,$AE$2,"","")/[1]!thsiFinD("ths_close_price_index",$A140,$AE$3,"","")-1)*100,"")</f>
        <v>-6.0497266597967609</v>
      </c>
      <c r="F140" s="10">
        <f ca="1">IFERROR(([1]!thsiFinD("ths_close_price_index",$A140,$AE$2,"","")/[1]!thsiFinD("ths_close_price_index",$A140,$AE$4,"","")-1)*100,"")</f>
        <v>-12.529100291139784</v>
      </c>
      <c r="G140" s="11">
        <f t="shared" ca="1" si="2"/>
        <v>-0.58349031740236312</v>
      </c>
      <c r="H140" s="1">
        <v>65.2</v>
      </c>
      <c r="I140" s="1" t="s">
        <v>1045</v>
      </c>
      <c r="J140" s="1" t="s">
        <v>1046</v>
      </c>
      <c r="K140" s="1">
        <v>557.1644</v>
      </c>
      <c r="L140" s="1">
        <v>28.62</v>
      </c>
      <c r="M140" s="1" t="s">
        <v>1047</v>
      </c>
      <c r="N140" s="1" t="s">
        <v>1048</v>
      </c>
      <c r="O140" s="1">
        <v>299.08080000000001</v>
      </c>
      <c r="P140" s="1">
        <v>15.36</v>
      </c>
      <c r="Q140" s="1" t="s">
        <v>1049</v>
      </c>
      <c r="R140" s="1" t="s">
        <v>1050</v>
      </c>
      <c r="S140" s="1">
        <v>169.97800000000001</v>
      </c>
      <c r="T140" s="1">
        <v>8.73</v>
      </c>
      <c r="U140" s="1" t="s">
        <v>1051</v>
      </c>
      <c r="V140" s="1" t="s">
        <v>1052</v>
      </c>
      <c r="W140" s="1">
        <v>138.184</v>
      </c>
      <c r="X140" s="1">
        <v>7.1</v>
      </c>
      <c r="Y140" s="1" t="s">
        <v>1053</v>
      </c>
      <c r="Z140" s="1" t="s">
        <v>1054</v>
      </c>
      <c r="AA140" s="1">
        <v>104.9127</v>
      </c>
      <c r="AB140" s="1">
        <v>5.39</v>
      </c>
    </row>
    <row r="141" spans="1:28" x14ac:dyDescent="0.45">
      <c r="A141" s="1" t="s">
        <v>2649</v>
      </c>
      <c r="B141" s="1" t="s">
        <v>2650</v>
      </c>
      <c r="C141" s="1">
        <v>8</v>
      </c>
      <c r="D141" s="10">
        <f ca="1">IFERROR(([1]!thsiFinD("ths_close_price_index",$A141,$AE$2,"","")/[1]!thsiFinD("ths_close_price_index",$A141,$AE$5,"","")-1)*100,"")</f>
        <v>-23.707779785834436</v>
      </c>
      <c r="E141" s="10">
        <f ca="1">IFERROR(([1]!thsiFinD("ths_close_price_index",$A141,$AE$2,"","")/[1]!thsiFinD("ths_close_price_index",$A141,$AE$3,"","")-1)*100,"")</f>
        <v>-2.3229648492350985</v>
      </c>
      <c r="F141" s="10">
        <f ca="1">IFERROR(([1]!thsiFinD("ths_close_price_index",$A141,$AE$2,"","")/[1]!thsiFinD("ths_close_price_index",$A141,$AE$4,"","")-1)*100,"")</f>
        <v>-9.0589998806656524</v>
      </c>
      <c r="G141" s="11">
        <f t="shared" ca="1" si="2"/>
        <v>-1.1642975813737078E-2</v>
      </c>
      <c r="H141" s="1">
        <v>80.11</v>
      </c>
      <c r="I141" s="1" t="s">
        <v>2651</v>
      </c>
      <c r="J141" s="1" t="s">
        <v>2652</v>
      </c>
      <c r="K141" s="1">
        <v>68.512799999999999</v>
      </c>
      <c r="L141" s="1">
        <v>34.659999999999997</v>
      </c>
      <c r="M141" s="1" t="s">
        <v>2653</v>
      </c>
      <c r="N141" s="1" t="s">
        <v>2654</v>
      </c>
      <c r="O141" s="1">
        <v>29.899699999999999</v>
      </c>
      <c r="P141" s="1">
        <v>15.13</v>
      </c>
      <c r="Q141" s="1" t="s">
        <v>2655</v>
      </c>
      <c r="R141" s="1" t="s">
        <v>2656</v>
      </c>
      <c r="S141" s="1">
        <v>21.395099999999999</v>
      </c>
      <c r="T141" s="1">
        <v>10.82</v>
      </c>
      <c r="U141" s="1" t="s">
        <v>2657</v>
      </c>
      <c r="V141" s="1" t="s">
        <v>2658</v>
      </c>
      <c r="W141" s="1">
        <v>19.787800000000001</v>
      </c>
      <c r="X141" s="1">
        <v>10.01</v>
      </c>
      <c r="Y141" s="1" t="s">
        <v>2659</v>
      </c>
      <c r="Z141" s="1" t="s">
        <v>2660</v>
      </c>
      <c r="AA141" s="1">
        <v>18.765499999999999</v>
      </c>
      <c r="AB141" s="1">
        <v>9.49</v>
      </c>
    </row>
    <row r="142" spans="1:28" x14ac:dyDescent="0.45">
      <c r="A142" s="1" t="s">
        <v>795</v>
      </c>
      <c r="B142" s="1" t="s">
        <v>796</v>
      </c>
      <c r="C142" s="1">
        <v>26</v>
      </c>
      <c r="D142" s="10">
        <f ca="1">IFERROR(([1]!thsiFinD("ths_close_price_index",$A142,$AE$2,"","")/[1]!thsiFinD("ths_close_price_index",$A142,$AE$5,"","")-1)*100,"")</f>
        <v>5.9874900664750541</v>
      </c>
      <c r="E142" s="10">
        <f ca="1">IFERROR(([1]!thsiFinD("ths_close_price_index",$A142,$AE$2,"","")/[1]!thsiFinD("ths_close_price_index",$A142,$AE$3,"","")-1)*100,"")</f>
        <v>-4.2265309025462443</v>
      </c>
      <c r="F142" s="10">
        <f ca="1">IFERROR(([1]!thsiFinD("ths_close_price_index",$A142,$AE$2,"","")/[1]!thsiFinD("ths_close_price_index",$A142,$AE$4,"","")-1)*100,"")</f>
        <v>2.9965674841214263</v>
      </c>
      <c r="G142" s="11">
        <f t="shared" ca="1" si="2"/>
        <v>-0.9951345547153202</v>
      </c>
      <c r="H142" s="1">
        <v>44.34</v>
      </c>
      <c r="I142" s="1" t="s">
        <v>797</v>
      </c>
      <c r="J142" s="1" t="s">
        <v>798</v>
      </c>
      <c r="K142" s="1">
        <v>201.04650000000001</v>
      </c>
      <c r="L142" s="1">
        <v>12.66</v>
      </c>
      <c r="M142" s="1" t="s">
        <v>799</v>
      </c>
      <c r="N142" s="1" t="s">
        <v>800</v>
      </c>
      <c r="O142" s="1">
        <v>185.3913</v>
      </c>
      <c r="P142" s="1">
        <v>11.67</v>
      </c>
      <c r="Q142" s="1" t="s">
        <v>801</v>
      </c>
      <c r="R142" s="1" t="s">
        <v>802</v>
      </c>
      <c r="S142" s="1">
        <v>116.58920000000001</v>
      </c>
      <c r="T142" s="1">
        <v>7.34</v>
      </c>
      <c r="U142" s="1" t="s">
        <v>803</v>
      </c>
      <c r="V142" s="1" t="s">
        <v>804</v>
      </c>
      <c r="W142" s="1">
        <v>107.327</v>
      </c>
      <c r="X142" s="1">
        <v>6.76</v>
      </c>
      <c r="Y142" s="1" t="s">
        <v>805</v>
      </c>
      <c r="Z142" s="1" t="s">
        <v>806</v>
      </c>
      <c r="AA142" s="1">
        <v>93.881299999999996</v>
      </c>
      <c r="AB142" s="1">
        <v>5.91</v>
      </c>
    </row>
    <row r="143" spans="1:28" x14ac:dyDescent="0.45">
      <c r="A143" s="1" t="s">
        <v>1527</v>
      </c>
      <c r="B143" s="1" t="s">
        <v>1528</v>
      </c>
      <c r="C143" s="1">
        <v>7</v>
      </c>
      <c r="D143" s="10">
        <f ca="1">IFERROR(([1]!thsiFinD("ths_close_price_index",$A143,$AE$2,"","")/[1]!thsiFinD("ths_close_price_index",$A143,$AE$5,"","")-1)*100,"")</f>
        <v>-3.5916788522365573</v>
      </c>
      <c r="E143" s="10">
        <f ca="1">IFERROR(([1]!thsiFinD("ths_close_price_index",$A143,$AE$2,"","")/[1]!thsiFinD("ths_close_price_index",$A143,$AE$3,"","")-1)*100,"")</f>
        <v>3.936836508938435</v>
      </c>
      <c r="F143" s="10">
        <f ca="1">IFERROR(([1]!thsiFinD("ths_close_price_index",$A143,$AE$2,"","")/[1]!thsiFinD("ths_close_price_index",$A143,$AE$4,"","")-1)*100,"")</f>
        <v>5.3646911667708963</v>
      </c>
      <c r="G143" s="11">
        <f t="shared" ca="1" si="2"/>
        <v>0.51913274344914218</v>
      </c>
      <c r="H143" s="1">
        <v>95.07</v>
      </c>
      <c r="I143" s="1" t="s">
        <v>1529</v>
      </c>
      <c r="J143" s="1" t="s">
        <v>1530</v>
      </c>
      <c r="K143" s="1">
        <v>234.88239999999999</v>
      </c>
      <c r="L143" s="1">
        <v>57.4</v>
      </c>
      <c r="M143" s="1" t="s">
        <v>1531</v>
      </c>
      <c r="N143" s="1" t="s">
        <v>1532</v>
      </c>
      <c r="O143" s="1">
        <v>100.4242</v>
      </c>
      <c r="P143" s="1">
        <v>24.54</v>
      </c>
      <c r="Q143" s="1" t="s">
        <v>1533</v>
      </c>
      <c r="R143" s="1" t="s">
        <v>1534</v>
      </c>
      <c r="S143" s="1">
        <v>29.138000000000002</v>
      </c>
      <c r="T143" s="1">
        <v>7.12</v>
      </c>
      <c r="U143" s="1" t="s">
        <v>1535</v>
      </c>
      <c r="V143" s="1" t="s">
        <v>1536</v>
      </c>
      <c r="W143" s="1">
        <v>13.9068</v>
      </c>
      <c r="X143" s="1">
        <v>3.4</v>
      </c>
      <c r="Y143" s="1" t="s">
        <v>1537</v>
      </c>
      <c r="Z143" s="1" t="s">
        <v>1538</v>
      </c>
      <c r="AA143" s="1">
        <v>10.6945</v>
      </c>
      <c r="AB143" s="1">
        <v>2.61</v>
      </c>
    </row>
    <row r="144" spans="1:28" x14ac:dyDescent="0.45">
      <c r="A144" s="1" t="s">
        <v>2573</v>
      </c>
      <c r="B144" s="1" t="s">
        <v>2574</v>
      </c>
      <c r="C144" s="1">
        <v>22</v>
      </c>
      <c r="D144" s="10">
        <f ca="1">IFERROR(([1]!thsiFinD("ths_close_price_index",$A144,$AE$2,"","")/[1]!thsiFinD("ths_close_price_index",$A144,$AE$5,"","")-1)*100,"")</f>
        <v>-23.17966248072144</v>
      </c>
      <c r="E144" s="10">
        <f ca="1">IFERROR(([1]!thsiFinD("ths_close_price_index",$A144,$AE$2,"","")/[1]!thsiFinD("ths_close_price_index",$A144,$AE$3,"","")-1)*100,"")</f>
        <v>-3.1086602652108719</v>
      </c>
      <c r="F144" s="10">
        <f ca="1">IFERROR(([1]!thsiFinD("ths_close_price_index",$A144,$AE$2,"","")/[1]!thsiFinD("ths_close_price_index",$A144,$AE$4,"","")-1)*100,"")</f>
        <v>-7.06721873898627</v>
      </c>
      <c r="G144" s="11">
        <f t="shared" ca="1" si="2"/>
        <v>-0.26837111609286091</v>
      </c>
      <c r="H144" s="1">
        <v>77.14</v>
      </c>
      <c r="I144" s="1" t="s">
        <v>2575</v>
      </c>
      <c r="J144" s="1" t="s">
        <v>2576</v>
      </c>
      <c r="K144" s="1">
        <v>42.594999999999999</v>
      </c>
      <c r="L144" s="1">
        <v>20.25</v>
      </c>
      <c r="M144" s="1" t="s">
        <v>2577</v>
      </c>
      <c r="N144" s="1" t="s">
        <v>2578</v>
      </c>
      <c r="O144" s="1">
        <v>36.942500000000003</v>
      </c>
      <c r="P144" s="1">
        <v>17.559999999999999</v>
      </c>
      <c r="Q144" s="1" t="s">
        <v>2579</v>
      </c>
      <c r="R144" s="1" t="s">
        <v>2580</v>
      </c>
      <c r="S144" s="1">
        <v>31.936299999999999</v>
      </c>
      <c r="T144" s="1">
        <v>15.18</v>
      </c>
      <c r="U144" s="1" t="s">
        <v>2581</v>
      </c>
      <c r="V144" s="1" t="s">
        <v>2582</v>
      </c>
      <c r="W144" s="1">
        <v>30.125800000000002</v>
      </c>
      <c r="X144" s="1">
        <v>14.32</v>
      </c>
      <c r="Y144" s="1" t="s">
        <v>2583</v>
      </c>
      <c r="Z144" s="1" t="s">
        <v>2584</v>
      </c>
      <c r="AA144" s="1">
        <v>20.678699999999999</v>
      </c>
      <c r="AB144" s="1">
        <v>9.83</v>
      </c>
    </row>
    <row r="145" spans="1:28" x14ac:dyDescent="0.45">
      <c r="A145" s="1" t="s">
        <v>2605</v>
      </c>
      <c r="B145" s="1" t="s">
        <v>2606</v>
      </c>
      <c r="C145" s="1">
        <v>25</v>
      </c>
      <c r="D145" s="10">
        <f ca="1">IFERROR(([1]!thsiFinD("ths_close_price_index",$A145,$AE$2,"","")/[1]!thsiFinD("ths_close_price_index",$A145,$AE$5,"","")-1)*100,"")</f>
        <v>-23.455293468496908</v>
      </c>
      <c r="E145" s="10">
        <f ca="1">IFERROR(([1]!thsiFinD("ths_close_price_index",$A145,$AE$2,"","")/[1]!thsiFinD("ths_close_price_index",$A145,$AE$3,"","")-1)*100,"")</f>
        <v>-2.6004324697600389</v>
      </c>
      <c r="F145" s="10">
        <f ca="1">IFERROR(([1]!thsiFinD("ths_close_price_index",$A145,$AE$2,"","")/[1]!thsiFinD("ths_close_price_index",$A145,$AE$4,"","")-1)*100,"")</f>
        <v>-11.049303071566674</v>
      </c>
      <c r="G145" s="11">
        <f t="shared" ca="1" si="2"/>
        <v>3.2378659626325912E-2</v>
      </c>
      <c r="H145" s="1">
        <v>48.4</v>
      </c>
      <c r="I145" s="1" t="s">
        <v>2607</v>
      </c>
      <c r="J145" s="1" t="s">
        <v>2608</v>
      </c>
      <c r="K145" s="1">
        <v>107.33329999999999</v>
      </c>
      <c r="L145" s="1">
        <v>17.96</v>
      </c>
      <c r="M145" s="1" t="s">
        <v>2609</v>
      </c>
      <c r="N145" s="1" t="s">
        <v>2610</v>
      </c>
      <c r="O145" s="1">
        <v>63.417200000000001</v>
      </c>
      <c r="P145" s="1">
        <v>10.61</v>
      </c>
      <c r="Q145" s="1" t="s">
        <v>2611</v>
      </c>
      <c r="R145" s="1" t="s">
        <v>2612</v>
      </c>
      <c r="S145" s="1">
        <v>52.9953</v>
      </c>
      <c r="T145" s="1">
        <v>8.8699999999999992</v>
      </c>
      <c r="U145" s="1" t="s">
        <v>2613</v>
      </c>
      <c r="V145" s="1" t="s">
        <v>2614</v>
      </c>
      <c r="W145" s="1">
        <v>36.096499999999999</v>
      </c>
      <c r="X145" s="1">
        <v>6.04</v>
      </c>
      <c r="Y145" s="1" t="s">
        <v>2615</v>
      </c>
      <c r="Z145" s="1" t="s">
        <v>2616</v>
      </c>
      <c r="AA145" s="1">
        <v>29.373999999999999</v>
      </c>
      <c r="AB145" s="1">
        <v>4.92</v>
      </c>
    </row>
    <row r="146" spans="1:28" x14ac:dyDescent="0.45">
      <c r="A146" s="1" t="s">
        <v>2617</v>
      </c>
      <c r="B146" s="1" t="s">
        <v>2618</v>
      </c>
      <c r="C146" s="1">
        <v>9</v>
      </c>
      <c r="D146" s="10">
        <f ca="1">IFERROR(([1]!thsiFinD("ths_close_price_index",$A146,$AE$2,"","")/[1]!thsiFinD("ths_close_price_index",$A146,$AE$5,"","")-1)*100,"")</f>
        <v>-23.968144276547122</v>
      </c>
      <c r="E146" s="10">
        <f ca="1">IFERROR(([1]!thsiFinD("ths_close_price_index",$A146,$AE$2,"","")/[1]!thsiFinD("ths_close_price_index",$A146,$AE$3,"","")-1)*100,"")</f>
        <v>-3.0313632618798048</v>
      </c>
      <c r="F146" s="10">
        <f ca="1">IFERROR(([1]!thsiFinD("ths_close_price_index",$A146,$AE$2,"","")/[1]!thsiFinD("ths_close_price_index",$A146,$AE$4,"","")-1)*100,"")</f>
        <v>-6.4746046615943076</v>
      </c>
      <c r="G146" s="11">
        <f t="shared" ca="1" si="2"/>
        <v>-0.28254241929624557</v>
      </c>
      <c r="H146" s="1">
        <v>72.459999999999994</v>
      </c>
      <c r="I146" s="1" t="s">
        <v>2619</v>
      </c>
      <c r="J146" s="1" t="s">
        <v>2620</v>
      </c>
      <c r="K146" s="1">
        <v>37.356099999999998</v>
      </c>
      <c r="L146" s="1">
        <v>17.670000000000002</v>
      </c>
      <c r="M146" s="1" t="s">
        <v>2621</v>
      </c>
      <c r="N146" s="1" t="s">
        <v>2622</v>
      </c>
      <c r="O146" s="1">
        <v>35.5505</v>
      </c>
      <c r="P146" s="1">
        <v>16.82</v>
      </c>
      <c r="Q146" s="1" t="s">
        <v>2623</v>
      </c>
      <c r="R146" s="1" t="s">
        <v>2624</v>
      </c>
      <c r="S146" s="1">
        <v>32.473799999999997</v>
      </c>
      <c r="T146" s="1">
        <v>15.36</v>
      </c>
      <c r="U146" s="1" t="s">
        <v>2625</v>
      </c>
      <c r="V146" s="1" t="s">
        <v>2626</v>
      </c>
      <c r="W146" s="1">
        <v>27.5884</v>
      </c>
      <c r="X146" s="1">
        <v>13.05</v>
      </c>
      <c r="Y146" s="1" t="s">
        <v>2627</v>
      </c>
      <c r="Z146" s="1" t="s">
        <v>2628</v>
      </c>
      <c r="AA146" s="1">
        <v>20.2072</v>
      </c>
      <c r="AB146" s="1">
        <v>9.56</v>
      </c>
    </row>
    <row r="147" spans="1:28" x14ac:dyDescent="0.45">
      <c r="A147" s="1" t="s">
        <v>2673</v>
      </c>
      <c r="B147" s="1" t="s">
        <v>2674</v>
      </c>
      <c r="C147" s="1">
        <v>9</v>
      </c>
      <c r="D147" s="10">
        <f ca="1">IFERROR(([1]!thsiFinD("ths_close_price_index",$A147,$AE$2,"","")/[1]!thsiFinD("ths_close_price_index",$A147,$AE$5,"","")-1)*100,"")</f>
        <v>-23.661109354585619</v>
      </c>
      <c r="E147" s="10">
        <f ca="1">IFERROR(([1]!thsiFinD("ths_close_price_index",$A147,$AE$2,"","")/[1]!thsiFinD("ths_close_price_index",$A147,$AE$3,"","")-1)*100,"")</f>
        <v>-2.049215610350974</v>
      </c>
      <c r="F147" s="10">
        <f ca="1">IFERROR(([1]!thsiFinD("ths_close_price_index",$A147,$AE$2,"","")/[1]!thsiFinD("ths_close_price_index",$A147,$AE$4,"","")-1)*100,"")</f>
        <v>-8.220372432830592</v>
      </c>
      <c r="G147" s="11">
        <f t="shared" ca="1" si="2"/>
        <v>1.1754995713347816E-3</v>
      </c>
      <c r="H147" s="1">
        <v>74.97</v>
      </c>
      <c r="I147" s="1" t="s">
        <v>2675</v>
      </c>
      <c r="J147" s="1" t="s">
        <v>2676</v>
      </c>
      <c r="K147" s="1">
        <v>42.393500000000003</v>
      </c>
      <c r="L147" s="1">
        <v>26.11</v>
      </c>
      <c r="M147" s="1" t="s">
        <v>2677</v>
      </c>
      <c r="N147" s="1" t="s">
        <v>2678</v>
      </c>
      <c r="O147" s="1">
        <v>31.755500000000001</v>
      </c>
      <c r="P147" s="1">
        <v>19.559999999999999</v>
      </c>
      <c r="Q147" s="1" t="s">
        <v>2679</v>
      </c>
      <c r="R147" s="1" t="s">
        <v>2680</v>
      </c>
      <c r="S147" s="1">
        <v>19.9024</v>
      </c>
      <c r="T147" s="1">
        <v>12.26</v>
      </c>
      <c r="U147" s="1" t="s">
        <v>2681</v>
      </c>
      <c r="V147" s="1" t="s">
        <v>2682</v>
      </c>
      <c r="W147" s="1">
        <v>13.853999999999999</v>
      </c>
      <c r="X147" s="1">
        <v>8.5299999999999994</v>
      </c>
      <c r="Y147" s="1" t="s">
        <v>2683</v>
      </c>
      <c r="Z147" s="1" t="s">
        <v>2684</v>
      </c>
      <c r="AA147" s="1">
        <v>13.818300000000001</v>
      </c>
      <c r="AB147" s="1">
        <v>8.51</v>
      </c>
    </row>
    <row r="148" spans="1:28" x14ac:dyDescent="0.45">
      <c r="A148" s="1" t="s">
        <v>473</v>
      </c>
      <c r="B148" s="1" t="s">
        <v>474</v>
      </c>
      <c r="C148" s="1">
        <v>9</v>
      </c>
      <c r="D148" s="10">
        <f ca="1">IFERROR(([1]!thsiFinD("ths_close_price_index",$A148,$AE$2,"","")/[1]!thsiFinD("ths_close_price_index",$A148,$AE$5,"","")-1)*100,"")</f>
        <v>25.703417559455378</v>
      </c>
      <c r="E148" s="10">
        <f ca="1">IFERROR(([1]!thsiFinD("ths_close_price_index",$A148,$AE$2,"","")/[1]!thsiFinD("ths_close_price_index",$A148,$AE$3,"","")-1)*100,"")</f>
        <v>1.9445068903940488</v>
      </c>
      <c r="F148" s="10">
        <f ca="1">IFERROR(([1]!thsiFinD("ths_close_price_index",$A148,$AE$2,"","")/[1]!thsiFinD("ths_close_price_index",$A148,$AE$4,"","")-1)*100,"")</f>
        <v>8.4694478101937865</v>
      </c>
      <c r="G148" s="11">
        <f t="shared" ca="1" si="2"/>
        <v>-3.4571012430879566E-2</v>
      </c>
      <c r="H148" s="1">
        <v>91.87</v>
      </c>
      <c r="I148" s="1" t="s">
        <v>475</v>
      </c>
      <c r="J148" s="1" t="s">
        <v>476</v>
      </c>
      <c r="K148" s="1">
        <v>1209.9809</v>
      </c>
      <c r="L148" s="1">
        <v>43.15</v>
      </c>
      <c r="M148" s="1" t="s">
        <v>477</v>
      </c>
      <c r="N148" s="1" t="s">
        <v>478</v>
      </c>
      <c r="O148" s="1">
        <v>641.92359999999996</v>
      </c>
      <c r="P148" s="1">
        <v>22.89</v>
      </c>
      <c r="Q148" s="1" t="s">
        <v>479</v>
      </c>
      <c r="R148" s="1" t="s">
        <v>480</v>
      </c>
      <c r="S148" s="1">
        <v>353.39350000000002</v>
      </c>
      <c r="T148" s="1">
        <v>12.6</v>
      </c>
      <c r="U148" s="1" t="s">
        <v>481</v>
      </c>
      <c r="V148" s="1" t="s">
        <v>482</v>
      </c>
      <c r="W148" s="1">
        <v>259.65280000000001</v>
      </c>
      <c r="X148" s="1">
        <v>9.26</v>
      </c>
      <c r="Y148" s="1" t="s">
        <v>483</v>
      </c>
      <c r="Z148" s="1" t="s">
        <v>484</v>
      </c>
      <c r="AA148" s="1">
        <v>111.41079999999999</v>
      </c>
      <c r="AB148" s="1">
        <v>3.97</v>
      </c>
    </row>
    <row r="149" spans="1:28" x14ac:dyDescent="0.45">
      <c r="A149" s="1" t="s">
        <v>91</v>
      </c>
      <c r="B149" s="1" t="s">
        <v>92</v>
      </c>
      <c r="C149" s="1">
        <v>7</v>
      </c>
      <c r="D149" s="10">
        <f ca="1">IFERROR(([1]!thsiFinD("ths_close_price_index",$A149,$AE$2,"","")/[1]!thsiFinD("ths_close_price_index",$A149,$AE$5,"","")-1)*100,"")</f>
        <v>137.01876675300406</v>
      </c>
      <c r="E149" s="10">
        <f ca="1">IFERROR(([1]!thsiFinD("ths_close_price_index",$A149,$AE$2,"","")/[1]!thsiFinD("ths_close_price_index",$A149,$AE$3,"","")-1)*100,"")</f>
        <v>8.1546193802921394</v>
      </c>
      <c r="F149" s="10">
        <f ca="1">IFERROR(([1]!thsiFinD("ths_close_price_index",$A149,$AE$2,"","")/[1]!thsiFinD("ths_close_price_index",$A149,$AE$4,"","")-1)*100,"")</f>
        <v>22.28532423731928</v>
      </c>
      <c r="G149" s="11">
        <f t="shared" ca="1" si="2"/>
        <v>0.51665766419246384</v>
      </c>
      <c r="H149" s="1">
        <v>91.95</v>
      </c>
      <c r="I149" s="1" t="s">
        <v>93</v>
      </c>
      <c r="J149" s="1" t="s">
        <v>94</v>
      </c>
      <c r="K149" s="1">
        <v>424.61340000000001</v>
      </c>
      <c r="L149" s="1">
        <v>44.43</v>
      </c>
      <c r="M149" s="1" t="s">
        <v>95</v>
      </c>
      <c r="N149" s="1" t="s">
        <v>96</v>
      </c>
      <c r="O149" s="1">
        <v>141.73750000000001</v>
      </c>
      <c r="P149" s="1">
        <v>14.83</v>
      </c>
      <c r="Q149" s="1" t="s">
        <v>97</v>
      </c>
      <c r="R149" s="1" t="s">
        <v>98</v>
      </c>
      <c r="S149" s="1">
        <v>128.0478</v>
      </c>
      <c r="T149" s="1">
        <v>13.4</v>
      </c>
      <c r="U149" s="1" t="s">
        <v>99</v>
      </c>
      <c r="V149" s="1" t="s">
        <v>100</v>
      </c>
      <c r="W149" s="1">
        <v>100.2312</v>
      </c>
      <c r="X149" s="1">
        <v>10.49</v>
      </c>
      <c r="Y149" s="1" t="s">
        <v>101</v>
      </c>
      <c r="Z149" s="1" t="s">
        <v>102</v>
      </c>
      <c r="AA149" s="1">
        <v>84.069100000000006</v>
      </c>
      <c r="AB149" s="1">
        <v>8.8000000000000007</v>
      </c>
    </row>
    <row r="150" spans="1:28" x14ac:dyDescent="0.45">
      <c r="A150" s="1" t="s">
        <v>1307</v>
      </c>
      <c r="B150" s="1" t="s">
        <v>1308</v>
      </c>
      <c r="C150" s="1">
        <v>18</v>
      </c>
      <c r="D150" s="10">
        <f ca="1">IFERROR(([1]!thsiFinD("ths_close_price_index",$A150,$AE$2,"","")/[1]!thsiFinD("ths_close_price_index",$A150,$AE$5,"","")-1)*100,"")</f>
        <v>-5.9198385016635662</v>
      </c>
      <c r="E150" s="10">
        <f ca="1">IFERROR(([1]!thsiFinD("ths_close_price_index",$A150,$AE$2,"","")/[1]!thsiFinD("ths_close_price_index",$A150,$AE$3,"","")-1)*100,"")</f>
        <v>-1.9073684659276169</v>
      </c>
      <c r="F150" s="10">
        <f ca="1">IFERROR(([1]!thsiFinD("ths_close_price_index",$A150,$AE$2,"","")/[1]!thsiFinD("ths_close_price_index",$A150,$AE$4,"","")-1)*100,"")</f>
        <v>-5.5335898244156407</v>
      </c>
      <c r="G150" s="11">
        <f t="shared" ca="1" si="2"/>
        <v>-0.10479420196474132</v>
      </c>
      <c r="H150" s="1">
        <v>85.55</v>
      </c>
      <c r="I150" s="1" t="s">
        <v>1309</v>
      </c>
      <c r="J150" s="1" t="s">
        <v>1310</v>
      </c>
      <c r="K150" s="1">
        <v>115.1277</v>
      </c>
      <c r="L150" s="1">
        <v>26.35</v>
      </c>
      <c r="M150" s="1" t="s">
        <v>1311</v>
      </c>
      <c r="N150" s="1" t="s">
        <v>1312</v>
      </c>
      <c r="O150" s="1">
        <v>96.542299999999997</v>
      </c>
      <c r="P150" s="1">
        <v>22.1</v>
      </c>
      <c r="Q150" s="1" t="s">
        <v>1313</v>
      </c>
      <c r="R150" s="1" t="s">
        <v>1314</v>
      </c>
      <c r="S150" s="1">
        <v>64.184100000000001</v>
      </c>
      <c r="T150" s="1">
        <v>14.69</v>
      </c>
      <c r="U150" s="1" t="s">
        <v>1315</v>
      </c>
      <c r="V150" s="1" t="s">
        <v>1316</v>
      </c>
      <c r="W150" s="1">
        <v>61.640099999999997</v>
      </c>
      <c r="X150" s="1">
        <v>14.11</v>
      </c>
      <c r="Y150" s="1" t="s">
        <v>1317</v>
      </c>
      <c r="Z150" s="1" t="s">
        <v>1318</v>
      </c>
      <c r="AA150" s="1">
        <v>36.256</v>
      </c>
      <c r="AB150" s="1">
        <v>8.3000000000000007</v>
      </c>
    </row>
    <row r="151" spans="1:28" x14ac:dyDescent="0.45">
      <c r="A151" s="1" t="s">
        <v>1975</v>
      </c>
      <c r="B151" s="1" t="s">
        <v>1976</v>
      </c>
      <c r="C151" s="1">
        <v>17</v>
      </c>
      <c r="D151" s="10">
        <f ca="1">IFERROR(([1]!thsiFinD("ths_close_price_index",$A151,$AE$2,"","")/[1]!thsiFinD("ths_close_price_index",$A151,$AE$5,"","")-1)*100,"")</f>
        <v>-13.708239002826616</v>
      </c>
      <c r="E151" s="10">
        <f ca="1">IFERROR(([1]!thsiFinD("ths_close_price_index",$A151,$AE$2,"","")/[1]!thsiFinD("ths_close_price_index",$A151,$AE$3,"","")-1)*100,"")</f>
        <v>-2.2082611641572103</v>
      </c>
      <c r="F151" s="10">
        <f ca="1">IFERROR(([1]!thsiFinD("ths_close_price_index",$A151,$AE$2,"","")/[1]!thsiFinD("ths_close_price_index",$A151,$AE$4,"","")-1)*100,"")</f>
        <v>-6.5800407540626775</v>
      </c>
      <c r="G151" s="11">
        <f t="shared" ca="1" si="2"/>
        <v>-0.11265019512830821</v>
      </c>
      <c r="H151" s="1">
        <v>78.62</v>
      </c>
      <c r="I151" s="1" t="s">
        <v>1977</v>
      </c>
      <c r="J151" s="1" t="s">
        <v>1978</v>
      </c>
      <c r="K151" s="1">
        <v>142.89320000000001</v>
      </c>
      <c r="L151" s="1">
        <v>31.12</v>
      </c>
      <c r="M151" s="1" t="s">
        <v>1979</v>
      </c>
      <c r="N151" s="1" t="s">
        <v>1980</v>
      </c>
      <c r="O151" s="1">
        <v>73.269000000000005</v>
      </c>
      <c r="P151" s="1">
        <v>15.96</v>
      </c>
      <c r="Q151" s="1" t="s">
        <v>1981</v>
      </c>
      <c r="R151" s="1" t="s">
        <v>1982</v>
      </c>
      <c r="S151" s="1">
        <v>66.117800000000003</v>
      </c>
      <c r="T151" s="1">
        <v>14.4</v>
      </c>
      <c r="U151" s="1" t="s">
        <v>1983</v>
      </c>
      <c r="V151" s="1" t="s">
        <v>1984</v>
      </c>
      <c r="W151" s="1">
        <v>52.766300000000001</v>
      </c>
      <c r="X151" s="1">
        <v>11.49</v>
      </c>
      <c r="Y151" s="1" t="s">
        <v>1985</v>
      </c>
      <c r="Z151" s="1" t="s">
        <v>1986</v>
      </c>
      <c r="AA151" s="1">
        <v>25.958600000000001</v>
      </c>
      <c r="AB151" s="1">
        <v>5.65</v>
      </c>
    </row>
    <row r="152" spans="1:28" x14ac:dyDescent="0.45">
      <c r="A152" s="1" t="s">
        <v>2641</v>
      </c>
      <c r="B152" s="1" t="s">
        <v>2642</v>
      </c>
      <c r="C152" s="1">
        <v>4</v>
      </c>
      <c r="D152" s="10">
        <f ca="1">IFERROR(([1]!thsiFinD("ths_close_price_index",$A152,$AE$2,"","")/[1]!thsiFinD("ths_close_price_index",$A152,$AE$5,"","")-1)*100,"")</f>
        <v>-24.833479421272276</v>
      </c>
      <c r="E152" s="10">
        <f ca="1">IFERROR(([1]!thsiFinD("ths_close_price_index",$A152,$AE$2,"","")/[1]!thsiFinD("ths_close_price_index",$A152,$AE$3,"","")-1)*100,"")</f>
        <v>-3.9225579615865369</v>
      </c>
      <c r="F152" s="10">
        <f ca="1">IFERROR(([1]!thsiFinD("ths_close_price_index",$A152,$AE$2,"","")/[1]!thsiFinD("ths_close_price_index",$A152,$AE$4,"","")-1)*100,"")</f>
        <v>-12.91059430656637</v>
      </c>
      <c r="G152" s="11">
        <f t="shared" ca="1" si="2"/>
        <v>-0.13898187698898889</v>
      </c>
      <c r="H152" s="1">
        <v>100</v>
      </c>
      <c r="I152" s="1" t="s">
        <v>2643</v>
      </c>
      <c r="J152" s="1" t="s">
        <v>2644</v>
      </c>
      <c r="K152" s="1">
        <v>22.629100000000001</v>
      </c>
      <c r="L152" s="1">
        <v>40.01</v>
      </c>
      <c r="M152" s="1" t="s">
        <v>2645</v>
      </c>
      <c r="N152" s="1" t="s">
        <v>2646</v>
      </c>
      <c r="O152" s="1">
        <v>19.618200000000002</v>
      </c>
      <c r="P152" s="1">
        <v>34.68</v>
      </c>
      <c r="Q152" s="1" t="s">
        <v>2647</v>
      </c>
      <c r="R152" s="1" t="s">
        <v>2648</v>
      </c>
      <c r="S152" s="1">
        <v>14.3139</v>
      </c>
      <c r="T152" s="1">
        <v>25.31</v>
      </c>
    </row>
    <row r="153" spans="1:28" x14ac:dyDescent="0.45">
      <c r="A153" s="1" t="s">
        <v>1839</v>
      </c>
      <c r="B153" s="1" t="s">
        <v>1840</v>
      </c>
      <c r="C153" s="1">
        <v>37</v>
      </c>
      <c r="D153" s="10">
        <f ca="1">IFERROR(([1]!thsiFinD("ths_close_price_index",$A153,$AE$2,"","")/[1]!thsiFinD("ths_close_price_index",$A153,$AE$5,"","")-1)*100,"")</f>
        <v>-11.563636722956083</v>
      </c>
      <c r="E153" s="10">
        <f ca="1">IFERROR(([1]!thsiFinD("ths_close_price_index",$A153,$AE$2,"","")/[1]!thsiFinD("ths_close_price_index",$A153,$AE$3,"","")-1)*100,"")</f>
        <v>-0.90229482858080745</v>
      </c>
      <c r="F153" s="10">
        <f ca="1">IFERROR(([1]!thsiFinD("ths_close_price_index",$A153,$AE$2,"","")/[1]!thsiFinD("ths_close_price_index",$A153,$AE$4,"","")-1)*100,"")</f>
        <v>-15.794040790359364</v>
      </c>
      <c r="G153" s="11">
        <f t="shared" ca="1" si="2"/>
        <v>0.60924307380180676</v>
      </c>
      <c r="H153" s="1">
        <v>79.98</v>
      </c>
      <c r="I153" s="1" t="s">
        <v>1841</v>
      </c>
      <c r="J153" s="1" t="s">
        <v>1842</v>
      </c>
      <c r="K153" s="1">
        <v>2336.9474</v>
      </c>
      <c r="L153" s="1">
        <v>47.73</v>
      </c>
      <c r="M153" s="1" t="s">
        <v>1843</v>
      </c>
      <c r="N153" s="1" t="s">
        <v>1844</v>
      </c>
      <c r="O153" s="1">
        <v>789.84789999999998</v>
      </c>
      <c r="P153" s="1">
        <v>16.13</v>
      </c>
      <c r="Q153" s="1" t="s">
        <v>1845</v>
      </c>
      <c r="R153" s="1" t="s">
        <v>1846</v>
      </c>
      <c r="S153" s="1">
        <v>320.5093</v>
      </c>
      <c r="T153" s="1">
        <v>6.55</v>
      </c>
      <c r="U153" s="1" t="s">
        <v>1847</v>
      </c>
      <c r="V153" s="1" t="s">
        <v>1848</v>
      </c>
      <c r="W153" s="1">
        <v>294.65519999999998</v>
      </c>
      <c r="X153" s="1">
        <v>6.02</v>
      </c>
      <c r="Y153" s="1" t="s">
        <v>1849</v>
      </c>
      <c r="Z153" s="1" t="s">
        <v>1850</v>
      </c>
      <c r="AA153" s="1">
        <v>173.79750000000001</v>
      </c>
      <c r="AB153" s="1">
        <v>3.55</v>
      </c>
    </row>
    <row r="154" spans="1:28" x14ac:dyDescent="0.45">
      <c r="A154" s="1" t="s">
        <v>2517</v>
      </c>
      <c r="B154" s="1" t="s">
        <v>2518</v>
      </c>
      <c r="C154" s="1">
        <v>14</v>
      </c>
      <c r="D154" s="10">
        <f ca="1">IFERROR(([1]!thsiFinD("ths_close_price_index",$A154,$AE$2,"","")/[1]!thsiFinD("ths_close_price_index",$A154,$AE$5,"","")-1)*100,"")</f>
        <v>-22.524850809589491</v>
      </c>
      <c r="E154" s="10">
        <f ca="1">IFERROR(([1]!thsiFinD("ths_close_price_index",$A154,$AE$2,"","")/[1]!thsiFinD("ths_close_price_index",$A154,$AE$3,"","")-1)*100,"")</f>
        <v>-4.095025252946261</v>
      </c>
      <c r="F154" s="10">
        <f ca="1">IFERROR(([1]!thsiFinD("ths_close_price_index",$A154,$AE$2,"","")/[1]!thsiFinD("ths_close_price_index",$A154,$AE$4,"","")-1)*100,"")</f>
        <v>-14.566496133462936</v>
      </c>
      <c r="G154" s="11">
        <f t="shared" ca="1" si="2"/>
        <v>-9.0680243916105407E-2</v>
      </c>
      <c r="H154" s="1">
        <v>76.42</v>
      </c>
      <c r="I154" s="1" t="s">
        <v>2519</v>
      </c>
      <c r="J154" s="1" t="s">
        <v>2520</v>
      </c>
      <c r="K154" s="1">
        <v>249.19880000000001</v>
      </c>
      <c r="L154" s="1">
        <v>30.63</v>
      </c>
      <c r="M154" s="1" t="s">
        <v>2521</v>
      </c>
      <c r="N154" s="1" t="s">
        <v>2522</v>
      </c>
      <c r="O154" s="1">
        <v>236.46600000000001</v>
      </c>
      <c r="P154" s="1">
        <v>29.06</v>
      </c>
      <c r="Q154" s="1" t="s">
        <v>2523</v>
      </c>
      <c r="R154" s="1" t="s">
        <v>2524</v>
      </c>
      <c r="S154" s="1">
        <v>53.304699999999997</v>
      </c>
      <c r="T154" s="1">
        <v>6.55</v>
      </c>
      <c r="U154" s="1" t="s">
        <v>2525</v>
      </c>
      <c r="V154" s="1" t="s">
        <v>2526</v>
      </c>
      <c r="W154" s="1">
        <v>48.144100000000002</v>
      </c>
      <c r="X154" s="1">
        <v>5.92</v>
      </c>
      <c r="Y154" s="1" t="s">
        <v>2527</v>
      </c>
      <c r="Z154" s="1" t="s">
        <v>2528</v>
      </c>
      <c r="AA154" s="1">
        <v>34.686100000000003</v>
      </c>
      <c r="AB154" s="1">
        <v>4.26</v>
      </c>
    </row>
    <row r="155" spans="1:28" x14ac:dyDescent="0.45">
      <c r="A155" s="1" t="s">
        <v>2081</v>
      </c>
      <c r="B155" s="1" t="s">
        <v>2082</v>
      </c>
      <c r="C155" s="1">
        <v>18</v>
      </c>
      <c r="D155" s="10">
        <f ca="1">IFERROR(([1]!thsiFinD("ths_close_price_index",$A155,$AE$2,"","")/[1]!thsiFinD("ths_close_price_index",$A155,$AE$5,"","")-1)*100,"")</f>
        <v>-19.832754345517991</v>
      </c>
      <c r="E155" s="10">
        <f ca="1">IFERROR(([1]!thsiFinD("ths_close_price_index",$A155,$AE$2,"","")/[1]!thsiFinD("ths_close_price_index",$A155,$AE$3,"","")-1)*100,"")</f>
        <v>-7.2124035272406744</v>
      </c>
      <c r="F155" s="10">
        <f ca="1">IFERROR(([1]!thsiFinD("ths_close_price_index",$A155,$AE$2,"","")/[1]!thsiFinD("ths_close_price_index",$A155,$AE$4,"","")-1)*100,"")</f>
        <v>-10.855097410364534</v>
      </c>
      <c r="G155" s="11">
        <f t="shared" ca="1" si="2"/>
        <v>-0.8997258349299081</v>
      </c>
      <c r="H155" s="1">
        <v>63.34</v>
      </c>
      <c r="I155" s="1" t="s">
        <v>2083</v>
      </c>
      <c r="J155" s="1" t="s">
        <v>2084</v>
      </c>
      <c r="K155" s="1">
        <v>141.453</v>
      </c>
      <c r="L155" s="1">
        <v>19.53</v>
      </c>
      <c r="M155" s="1" t="s">
        <v>2085</v>
      </c>
      <c r="N155" s="1" t="s">
        <v>2086</v>
      </c>
      <c r="O155" s="1">
        <v>98.105000000000004</v>
      </c>
      <c r="P155" s="1">
        <v>13.54</v>
      </c>
      <c r="Q155" s="1" t="s">
        <v>2087</v>
      </c>
      <c r="R155" s="1" t="s">
        <v>2088</v>
      </c>
      <c r="S155" s="1">
        <v>83.837100000000007</v>
      </c>
      <c r="T155" s="1">
        <v>11.57</v>
      </c>
      <c r="U155" s="1" t="s">
        <v>2089</v>
      </c>
      <c r="V155" s="1" t="s">
        <v>2090</v>
      </c>
      <c r="W155" s="1">
        <v>79.792599999999993</v>
      </c>
      <c r="X155" s="1">
        <v>11.02</v>
      </c>
      <c r="Y155" s="1" t="s">
        <v>2091</v>
      </c>
      <c r="Z155" s="1" t="s">
        <v>2092</v>
      </c>
      <c r="AA155" s="1">
        <v>55.645000000000003</v>
      </c>
      <c r="AB155" s="1">
        <v>7.68</v>
      </c>
    </row>
    <row r="156" spans="1:28" x14ac:dyDescent="0.45">
      <c r="A156" s="1" t="s">
        <v>2129</v>
      </c>
      <c r="B156" s="1" t="s">
        <v>2130</v>
      </c>
      <c r="C156" s="1">
        <v>16</v>
      </c>
      <c r="D156" s="10">
        <f ca="1">IFERROR(([1]!thsiFinD("ths_close_price_index",$A156,$AE$2,"","")/[1]!thsiFinD("ths_close_price_index",$A156,$AE$5,"","")-1)*100,"")</f>
        <v>-14.038825429735313</v>
      </c>
      <c r="E156" s="10">
        <f ca="1">IFERROR(([1]!thsiFinD("ths_close_price_index",$A156,$AE$2,"","")/[1]!thsiFinD("ths_close_price_index",$A156,$AE$3,"","")-1)*100,"")</f>
        <v>0.37709552531677293</v>
      </c>
      <c r="F156" s="10">
        <f ca="1">IFERROR(([1]!thsiFinD("ths_close_price_index",$A156,$AE$2,"","")/[1]!thsiFinD("ths_close_price_index",$A156,$AE$4,"","")-1)*100,"")</f>
        <v>-4.1372738509514173</v>
      </c>
      <c r="G156" s="11">
        <f t="shared" ca="1" si="2"/>
        <v>0.28228279761092545</v>
      </c>
      <c r="H156" s="1">
        <v>92.27</v>
      </c>
      <c r="I156" s="1" t="s">
        <v>2131</v>
      </c>
      <c r="J156" s="1" t="s">
        <v>2132</v>
      </c>
      <c r="K156" s="1">
        <v>1417.5535</v>
      </c>
      <c r="L156" s="1">
        <v>82.91</v>
      </c>
      <c r="M156" s="1" t="s">
        <v>2133</v>
      </c>
      <c r="N156" s="1" t="s">
        <v>2134</v>
      </c>
      <c r="O156" s="1">
        <v>44.2029</v>
      </c>
      <c r="P156" s="1">
        <v>2.59</v>
      </c>
      <c r="Q156" s="1" t="s">
        <v>2135</v>
      </c>
      <c r="R156" s="1" t="s">
        <v>2136</v>
      </c>
      <c r="S156" s="1">
        <v>43.578800000000001</v>
      </c>
      <c r="T156" s="1">
        <v>2.5499999999999998</v>
      </c>
      <c r="U156" s="1" t="s">
        <v>2137</v>
      </c>
      <c r="V156" s="1" t="s">
        <v>2138</v>
      </c>
      <c r="W156" s="1">
        <v>42.974800000000002</v>
      </c>
      <c r="X156" s="1">
        <v>2.5099999999999998</v>
      </c>
      <c r="Y156" s="1" t="s">
        <v>2139</v>
      </c>
      <c r="Z156" s="1" t="s">
        <v>2140</v>
      </c>
      <c r="AA156" s="1">
        <v>29.168800000000001</v>
      </c>
      <c r="AB156" s="1">
        <v>1.71</v>
      </c>
    </row>
    <row r="157" spans="1:28" x14ac:dyDescent="0.45">
      <c r="A157" s="1" t="s">
        <v>1285</v>
      </c>
      <c r="B157" s="1" t="s">
        <v>1286</v>
      </c>
      <c r="C157" s="1">
        <v>5</v>
      </c>
      <c r="D157" s="10">
        <f ca="1">IFERROR(([1]!thsiFinD("ths_close_price_index",$A157,$AE$2,"","")/[1]!thsiFinD("ths_close_price_index",$A157,$AE$5,"","")-1)*100,"")</f>
        <v>-0.57131144938777911</v>
      </c>
      <c r="E157" s="10">
        <f ca="1">IFERROR(([1]!thsiFinD("ths_close_price_index",$A157,$AE$2,"","")/[1]!thsiFinD("ths_close_price_index",$A157,$AE$3,"","")-1)*100,"")</f>
        <v>3.3241071140466261</v>
      </c>
      <c r="F157" s="10">
        <f ca="1">IFERROR(([1]!thsiFinD("ths_close_price_index",$A157,$AE$2,"","")/[1]!thsiFinD("ths_close_price_index",$A157,$AE$4,"","")-1)*100,"")</f>
        <v>-3.8895970151799242</v>
      </c>
      <c r="G157" s="11">
        <f t="shared" ca="1" si="2"/>
        <v>0.85930127356832142</v>
      </c>
      <c r="H157" s="1">
        <v>100.01</v>
      </c>
      <c r="I157" s="1" t="s">
        <v>1287</v>
      </c>
      <c r="J157" s="1" t="s">
        <v>1288</v>
      </c>
      <c r="K157" s="1">
        <v>84.988299999999995</v>
      </c>
      <c r="L157" s="1">
        <v>43.23</v>
      </c>
      <c r="M157" s="1" t="s">
        <v>1289</v>
      </c>
      <c r="N157" s="1" t="s">
        <v>1290</v>
      </c>
      <c r="O157" s="1">
        <v>67.767399999999995</v>
      </c>
      <c r="P157" s="1">
        <v>34.47</v>
      </c>
      <c r="Q157" s="1" t="s">
        <v>1291</v>
      </c>
      <c r="R157" s="1" t="s">
        <v>1292</v>
      </c>
      <c r="S157" s="1">
        <v>32.839100000000002</v>
      </c>
      <c r="T157" s="1">
        <v>16.7</v>
      </c>
      <c r="U157" s="1" t="s">
        <v>1293</v>
      </c>
      <c r="V157" s="1" t="s">
        <v>1294</v>
      </c>
      <c r="W157" s="1">
        <v>11.022</v>
      </c>
      <c r="X157" s="1">
        <v>5.61</v>
      </c>
    </row>
    <row r="158" spans="1:28" x14ac:dyDescent="0.45">
      <c r="A158" s="1" t="s">
        <v>1771</v>
      </c>
      <c r="B158" s="1" t="s">
        <v>1772</v>
      </c>
      <c r="C158" s="1">
        <v>197</v>
      </c>
      <c r="D158" s="10">
        <f ca="1">IFERROR(([1]!thsiFinD("ths_close_price_index",$A158,$AE$2,"","")/[1]!thsiFinD("ths_close_price_index",$A158,$AE$5,"","")-1)*100,"")</f>
        <v>-14.827550380746036</v>
      </c>
      <c r="E158" s="10">
        <f ca="1">IFERROR(([1]!thsiFinD("ths_close_price_index",$A158,$AE$2,"","")/[1]!thsiFinD("ths_close_price_index",$A158,$AE$3,"","")-1)*100,"")</f>
        <v>-5.3093390153590718</v>
      </c>
      <c r="F158" s="10">
        <f ca="1">IFERROR(([1]!thsiFinD("ths_close_price_index",$A158,$AE$2,"","")/[1]!thsiFinD("ths_close_price_index",$A158,$AE$4,"","")-1)*100,"")</f>
        <v>-10.538396150960082</v>
      </c>
      <c r="G158" s="11">
        <f t="shared" ca="1" si="2"/>
        <v>-0.53494799552381012</v>
      </c>
      <c r="H158" s="1">
        <v>25.44</v>
      </c>
      <c r="I158" s="1" t="s">
        <v>1773</v>
      </c>
      <c r="J158" s="1" t="s">
        <v>1774</v>
      </c>
      <c r="K158" s="1">
        <v>282.66120000000001</v>
      </c>
      <c r="L158" s="1">
        <v>6.51</v>
      </c>
      <c r="M158" s="1" t="s">
        <v>1775</v>
      </c>
      <c r="N158" s="1" t="s">
        <v>1776</v>
      </c>
      <c r="O158" s="1">
        <v>226.57429999999999</v>
      </c>
      <c r="P158" s="1">
        <v>5.22</v>
      </c>
      <c r="Q158" s="1" t="s">
        <v>1777</v>
      </c>
      <c r="R158" s="1" t="s">
        <v>1778</v>
      </c>
      <c r="S158" s="1">
        <v>210.11</v>
      </c>
      <c r="T158" s="1">
        <v>4.84</v>
      </c>
      <c r="U158" s="1" t="s">
        <v>1779</v>
      </c>
      <c r="V158" s="1" t="s">
        <v>1780</v>
      </c>
      <c r="W158" s="1">
        <v>198.3938</v>
      </c>
      <c r="X158" s="1">
        <v>4.57</v>
      </c>
      <c r="Y158" s="1" t="s">
        <v>1781</v>
      </c>
      <c r="Z158" s="1" t="s">
        <v>1782</v>
      </c>
      <c r="AA158" s="1">
        <v>186.61359999999999</v>
      </c>
      <c r="AB158" s="1">
        <v>4.3</v>
      </c>
    </row>
    <row r="159" spans="1:28" x14ac:dyDescent="0.45">
      <c r="A159" s="1" t="s">
        <v>2213</v>
      </c>
      <c r="B159" s="1" t="s">
        <v>2214</v>
      </c>
      <c r="C159" s="1">
        <v>17</v>
      </c>
      <c r="D159" s="10">
        <f ca="1">IFERROR(([1]!thsiFinD("ths_close_price_index",$A159,$AE$2,"","")/[1]!thsiFinD("ths_close_price_index",$A159,$AE$5,"","")-1)*100,"")</f>
        <v>-18.275898372002686</v>
      </c>
      <c r="E159" s="10">
        <f ca="1">IFERROR(([1]!thsiFinD("ths_close_price_index",$A159,$AE$2,"","")/[1]!thsiFinD("ths_close_price_index",$A159,$AE$3,"","")-1)*100,"")</f>
        <v>-3.7732549600425491</v>
      </c>
      <c r="F159" s="10">
        <f ca="1">IFERROR(([1]!thsiFinD("ths_close_price_index",$A159,$AE$2,"","")/[1]!thsiFinD("ths_close_price_index",$A159,$AE$4,"","")-1)*100,"")</f>
        <v>-8.2374774611083996</v>
      </c>
      <c r="G159" s="11">
        <f t="shared" ca="1" si="2"/>
        <v>-0.34277711895308982</v>
      </c>
      <c r="H159" s="1">
        <v>70.72</v>
      </c>
      <c r="I159" s="1" t="s">
        <v>2215</v>
      </c>
      <c r="J159" s="1" t="s">
        <v>2216</v>
      </c>
      <c r="K159" s="1">
        <v>495.70940000000002</v>
      </c>
      <c r="L159" s="1">
        <v>20.8</v>
      </c>
      <c r="M159" s="1" t="s">
        <v>2217</v>
      </c>
      <c r="N159" s="1" t="s">
        <v>2218</v>
      </c>
      <c r="O159" s="1">
        <v>435.05259999999998</v>
      </c>
      <c r="P159" s="1">
        <v>18.260000000000002</v>
      </c>
      <c r="Q159" s="1" t="s">
        <v>2219</v>
      </c>
      <c r="R159" s="1" t="s">
        <v>2220</v>
      </c>
      <c r="S159" s="1">
        <v>302.59899999999999</v>
      </c>
      <c r="T159" s="1">
        <v>12.7</v>
      </c>
      <c r="U159" s="1" t="s">
        <v>2221</v>
      </c>
      <c r="V159" s="1" t="s">
        <v>2222</v>
      </c>
      <c r="W159" s="1">
        <v>248.67259999999999</v>
      </c>
      <c r="X159" s="1">
        <v>10.44</v>
      </c>
      <c r="Y159" s="1" t="s">
        <v>2223</v>
      </c>
      <c r="Z159" s="1" t="s">
        <v>2224</v>
      </c>
      <c r="AA159" s="1">
        <v>203.0787</v>
      </c>
      <c r="AB159" s="1">
        <v>8.52</v>
      </c>
    </row>
    <row r="160" spans="1:28" x14ac:dyDescent="0.45">
      <c r="A160" s="1" t="s">
        <v>3013</v>
      </c>
      <c r="B160" s="1" t="s">
        <v>3014</v>
      </c>
      <c r="C160" s="1">
        <v>4</v>
      </c>
      <c r="D160" s="10">
        <f ca="1">IFERROR(([1]!thsiFinD("ths_close_price_index",$A160,$AE$2,"","")/[1]!thsiFinD("ths_close_price_index",$A160,$AE$5,"","")-1)*100,"")</f>
        <v>-51.189678428678619</v>
      </c>
      <c r="E160" s="10">
        <f ca="1">IFERROR(([1]!thsiFinD("ths_close_price_index",$A160,$AE$2,"","")/[1]!thsiFinD("ths_close_price_index",$A160,$AE$3,"","")-1)*100,"")</f>
        <v>-5.9133491363699715</v>
      </c>
      <c r="F160" s="10">
        <f ca="1">IFERROR(([1]!thsiFinD("ths_close_price_index",$A160,$AE$2,"","")/[1]!thsiFinD("ths_close_price_index",$A160,$AE$4,"","")-1)*100,"")</f>
        <v>-21.226209856806921</v>
      </c>
      <c r="G160" s="11">
        <f t="shared" ca="1" si="2"/>
        <v>-0.12135933443364832</v>
      </c>
      <c r="H160" s="1">
        <v>100</v>
      </c>
      <c r="I160" s="1" t="s">
        <v>3015</v>
      </c>
      <c r="J160" s="1" t="s">
        <v>3016</v>
      </c>
      <c r="K160" s="1">
        <v>115.79900000000001</v>
      </c>
      <c r="L160" s="1">
        <v>81.13</v>
      </c>
      <c r="M160" s="1" t="s">
        <v>3017</v>
      </c>
      <c r="N160" s="1" t="s">
        <v>3018</v>
      </c>
      <c r="O160" s="1">
        <v>10.2394</v>
      </c>
      <c r="P160" s="1">
        <v>7.17</v>
      </c>
      <c r="Q160" s="1" t="s">
        <v>3019</v>
      </c>
      <c r="R160" s="1" t="s">
        <v>3020</v>
      </c>
      <c r="S160" s="1">
        <v>9.4885000000000002</v>
      </c>
      <c r="T160" s="1">
        <v>6.65</v>
      </c>
      <c r="U160" s="1" t="s">
        <v>3021</v>
      </c>
      <c r="V160" s="1" t="s">
        <v>3022</v>
      </c>
      <c r="W160" s="1">
        <v>7.2027999999999999</v>
      </c>
      <c r="X160" s="1">
        <v>5.05</v>
      </c>
    </row>
    <row r="161" spans="1:28" x14ac:dyDescent="0.45">
      <c r="A161" s="1" t="s">
        <v>843</v>
      </c>
      <c r="B161" s="1" t="s">
        <v>844</v>
      </c>
      <c r="C161" s="1">
        <v>7</v>
      </c>
      <c r="D161" s="10">
        <f ca="1">IFERROR(([1]!thsiFinD("ths_close_price_index",$A161,$AE$2,"","")/[1]!thsiFinD("ths_close_price_index",$A161,$AE$5,"","")-1)*100,"")</f>
        <v>6.2088783670110503</v>
      </c>
      <c r="E161" s="10">
        <f ca="1">IFERROR(([1]!thsiFinD("ths_close_price_index",$A161,$AE$2,"","")/[1]!thsiFinD("ths_close_price_index",$A161,$AE$3,"","")-1)*100,"")</f>
        <v>-2.5982194078458365</v>
      </c>
      <c r="F161" s="10">
        <f ca="1">IFERROR(([1]!thsiFinD("ths_close_price_index",$A161,$AE$2,"","")/[1]!thsiFinD("ths_close_price_index",$A161,$AE$4,"","")-1)*100,"")</f>
        <v>-6.8163498291518358</v>
      </c>
      <c r="G161" s="11">
        <f t="shared" ca="1" si="2"/>
        <v>-0.17882639011157553</v>
      </c>
      <c r="H161" s="1">
        <v>97.83</v>
      </c>
      <c r="I161" s="1" t="s">
        <v>845</v>
      </c>
      <c r="J161" s="1" t="s">
        <v>846</v>
      </c>
      <c r="K161" s="1">
        <v>1424.7257999999999</v>
      </c>
      <c r="L161" s="1">
        <v>71.959999999999994</v>
      </c>
      <c r="M161" s="1" t="s">
        <v>847</v>
      </c>
      <c r="N161" s="1" t="s">
        <v>848</v>
      </c>
      <c r="O161" s="1">
        <v>287.52510000000001</v>
      </c>
      <c r="P161" s="1">
        <v>14.52</v>
      </c>
      <c r="Q161" s="1" t="s">
        <v>849</v>
      </c>
      <c r="R161" s="1" t="s">
        <v>850</v>
      </c>
      <c r="S161" s="1">
        <v>96.612099999999998</v>
      </c>
      <c r="T161" s="1">
        <v>4.88</v>
      </c>
      <c r="U161" s="1" t="s">
        <v>851</v>
      </c>
      <c r="V161" s="1" t="s">
        <v>852</v>
      </c>
      <c r="W161" s="1">
        <v>73.42</v>
      </c>
      <c r="X161" s="1">
        <v>3.71</v>
      </c>
      <c r="Y161" s="1" t="s">
        <v>853</v>
      </c>
      <c r="Z161" s="1" t="s">
        <v>854</v>
      </c>
      <c r="AA161" s="1">
        <v>54.656399999999998</v>
      </c>
      <c r="AB161" s="1">
        <v>2.76</v>
      </c>
    </row>
    <row r="162" spans="1:28" x14ac:dyDescent="0.45">
      <c r="A162" s="1" t="s">
        <v>1723</v>
      </c>
      <c r="B162" s="1" t="s">
        <v>1724</v>
      </c>
      <c r="C162" s="1">
        <v>32</v>
      </c>
      <c r="D162" s="10">
        <f ca="1">IFERROR(([1]!thsiFinD("ths_close_price_index",$A162,$AE$2,"","")/[1]!thsiFinD("ths_close_price_index",$A162,$AE$5,"","")-1)*100,"")</f>
        <v>-10.913065413860078</v>
      </c>
      <c r="E162" s="10">
        <f ca="1">IFERROR(([1]!thsiFinD("ths_close_price_index",$A162,$AE$2,"","")/[1]!thsiFinD("ths_close_price_index",$A162,$AE$3,"","")-1)*100,"")</f>
        <v>-1.268934514599207</v>
      </c>
      <c r="F162" s="10">
        <f ca="1">IFERROR(([1]!thsiFinD("ths_close_price_index",$A162,$AE$2,"","")/[1]!thsiFinD("ths_close_price_index",$A162,$AE$4,"","")-1)*100,"")</f>
        <v>-4.3570875665290165</v>
      </c>
      <c r="G162" s="11">
        <f t="shared" ca="1" si="2"/>
        <v>-3.593252459339058E-2</v>
      </c>
      <c r="H162" s="1">
        <v>48.06</v>
      </c>
      <c r="I162" s="1" t="s">
        <v>1725</v>
      </c>
      <c r="J162" s="1" t="s">
        <v>1726</v>
      </c>
      <c r="K162" s="1">
        <v>156.0942</v>
      </c>
      <c r="L162" s="1">
        <v>14.35</v>
      </c>
      <c r="M162" s="1" t="s">
        <v>1727</v>
      </c>
      <c r="N162" s="1" t="s">
        <v>1728</v>
      </c>
      <c r="O162" s="1">
        <v>134.23490000000001</v>
      </c>
      <c r="P162" s="1">
        <v>12.34</v>
      </c>
      <c r="Q162" s="1" t="s">
        <v>1729</v>
      </c>
      <c r="R162" s="1" t="s">
        <v>1730</v>
      </c>
      <c r="S162" s="1">
        <v>95.103300000000004</v>
      </c>
      <c r="T162" s="1">
        <v>8.74</v>
      </c>
      <c r="U162" s="1" t="s">
        <v>1731</v>
      </c>
      <c r="V162" s="1" t="s">
        <v>1732</v>
      </c>
      <c r="W162" s="1">
        <v>69.138300000000001</v>
      </c>
      <c r="X162" s="1">
        <v>6.36</v>
      </c>
      <c r="Y162" s="1" t="s">
        <v>1733</v>
      </c>
      <c r="Z162" s="1" t="s">
        <v>1734</v>
      </c>
      <c r="AA162" s="1">
        <v>68.248800000000003</v>
      </c>
      <c r="AB162" s="1">
        <v>6.27</v>
      </c>
    </row>
    <row r="163" spans="1:28" x14ac:dyDescent="0.45">
      <c r="A163" s="1" t="s">
        <v>2319</v>
      </c>
      <c r="B163" s="1" t="s">
        <v>2320</v>
      </c>
      <c r="C163" s="1">
        <v>21</v>
      </c>
      <c r="D163" s="10">
        <f ca="1">IFERROR(([1]!thsiFinD("ths_close_price_index",$A163,$AE$2,"","")/[1]!thsiFinD("ths_close_price_index",$A163,$AE$5,"","")-1)*100,"")</f>
        <v>-20.140278705348958</v>
      </c>
      <c r="E163" s="10">
        <f ca="1">IFERROR(([1]!thsiFinD("ths_close_price_index",$A163,$AE$2,"","")/[1]!thsiFinD("ths_close_price_index",$A163,$AE$3,"","")-1)*100,"")</f>
        <v>-4.5767157747965808</v>
      </c>
      <c r="F163" s="10">
        <f ca="1">IFERROR(([1]!thsiFinD("ths_close_price_index",$A163,$AE$2,"","")/[1]!thsiFinD("ths_close_price_index",$A163,$AE$4,"","")-1)*100,"")</f>
        <v>-13.108763890463425</v>
      </c>
      <c r="G163" s="11">
        <f t="shared" ca="1" si="2"/>
        <v>-0.25990496043614486</v>
      </c>
      <c r="H163" s="1">
        <v>63</v>
      </c>
      <c r="I163" s="1" t="s">
        <v>2321</v>
      </c>
      <c r="J163" s="1" t="s">
        <v>2322</v>
      </c>
      <c r="K163" s="1">
        <v>154.7021</v>
      </c>
      <c r="L163" s="1">
        <v>19.95</v>
      </c>
      <c r="M163" s="1" t="s">
        <v>2323</v>
      </c>
      <c r="N163" s="1" t="s">
        <v>2324</v>
      </c>
      <c r="O163" s="1">
        <v>96.853899999999996</v>
      </c>
      <c r="P163" s="1">
        <v>12.49</v>
      </c>
      <c r="Q163" s="1" t="s">
        <v>2325</v>
      </c>
      <c r="R163" s="1" t="s">
        <v>2326</v>
      </c>
      <c r="S163" s="1">
        <v>84.172300000000007</v>
      </c>
      <c r="T163" s="1">
        <v>10.86</v>
      </c>
      <c r="U163" s="1" t="s">
        <v>2327</v>
      </c>
      <c r="V163" s="1" t="s">
        <v>2328</v>
      </c>
      <c r="W163" s="1">
        <v>78.254900000000006</v>
      </c>
      <c r="X163" s="1">
        <v>10.09</v>
      </c>
      <c r="Y163" s="1" t="s">
        <v>2329</v>
      </c>
      <c r="Z163" s="1" t="s">
        <v>2330</v>
      </c>
      <c r="AA163" s="1">
        <v>74.519099999999995</v>
      </c>
      <c r="AB163" s="1">
        <v>9.61</v>
      </c>
    </row>
    <row r="164" spans="1:28" x14ac:dyDescent="0.45">
      <c r="A164" s="1" t="s">
        <v>995</v>
      </c>
      <c r="B164" s="1" t="s">
        <v>996</v>
      </c>
      <c r="C164" s="1">
        <v>14</v>
      </c>
      <c r="D164" s="10">
        <f ca="1">IFERROR(([1]!thsiFinD("ths_close_price_index",$A164,$AE$2,"","")/[1]!thsiFinD("ths_close_price_index",$A164,$AE$5,"","")-1)*100,"")</f>
        <v>1.1747394266712785</v>
      </c>
      <c r="E164" s="10">
        <f ca="1">IFERROR(([1]!thsiFinD("ths_close_price_index",$A164,$AE$2,"","")/[1]!thsiFinD("ths_close_price_index",$A164,$AE$3,"","")-1)*100,"")</f>
        <v>-3.9264121754400638</v>
      </c>
      <c r="F164" s="10">
        <f ca="1">IFERROR(([1]!thsiFinD("ths_close_price_index",$A164,$AE$2,"","")/[1]!thsiFinD("ths_close_price_index",$A164,$AE$4,"","")-1)*100,"")</f>
        <v>-1.3246406613934947</v>
      </c>
      <c r="G164" s="11">
        <f t="shared" ca="1" si="2"/>
        <v>-0.71905040201833803</v>
      </c>
      <c r="H164" s="1">
        <v>70.7</v>
      </c>
      <c r="I164" s="1" t="s">
        <v>997</v>
      </c>
      <c r="J164" s="1" t="s">
        <v>998</v>
      </c>
      <c r="K164" s="1">
        <v>340.2226</v>
      </c>
      <c r="L164" s="1">
        <v>35.83</v>
      </c>
      <c r="M164" s="1" t="s">
        <v>999</v>
      </c>
      <c r="N164" s="1" t="s">
        <v>1000</v>
      </c>
      <c r="O164" s="1">
        <v>91.077799999999996</v>
      </c>
      <c r="P164" s="1">
        <v>9.59</v>
      </c>
      <c r="Q164" s="1" t="s">
        <v>1001</v>
      </c>
      <c r="R164" s="1" t="s">
        <v>1002</v>
      </c>
      <c r="S164" s="1">
        <v>80.552300000000002</v>
      </c>
      <c r="T164" s="1">
        <v>8.48</v>
      </c>
      <c r="U164" s="1" t="s">
        <v>1003</v>
      </c>
      <c r="V164" s="1" t="s">
        <v>1004</v>
      </c>
      <c r="W164" s="1">
        <v>80.419700000000006</v>
      </c>
      <c r="X164" s="1">
        <v>8.4700000000000006</v>
      </c>
      <c r="Y164" s="1" t="s">
        <v>1005</v>
      </c>
      <c r="Z164" s="1" t="s">
        <v>1006</v>
      </c>
      <c r="AA164" s="1">
        <v>79.090599999999995</v>
      </c>
      <c r="AB164" s="1">
        <v>8.33</v>
      </c>
    </row>
    <row r="165" spans="1:28" x14ac:dyDescent="0.45">
      <c r="A165" s="1" t="s">
        <v>169</v>
      </c>
      <c r="B165" s="1" t="s">
        <v>170</v>
      </c>
      <c r="C165" s="1">
        <v>8</v>
      </c>
      <c r="D165" s="10">
        <f ca="1">IFERROR(([1]!thsiFinD("ths_close_price_index",$A165,$AE$2,"","")/[1]!thsiFinD("ths_close_price_index",$A165,$AE$5,"","")-1)*100,"")</f>
        <v>93.167446232885823</v>
      </c>
      <c r="E165" s="10">
        <f ca="1">IFERROR(([1]!thsiFinD("ths_close_price_index",$A165,$AE$2,"","")/[1]!thsiFinD("ths_close_price_index",$A165,$AE$3,"","")-1)*100,"")</f>
        <v>9.4669789145543692</v>
      </c>
      <c r="F165" s="10">
        <f ca="1">IFERROR(([1]!thsiFinD("ths_close_price_index",$A165,$AE$2,"","")/[1]!thsiFinD("ths_close_price_index",$A165,$AE$4,"","")-1)*100,"")</f>
        <v>27.574006861632228</v>
      </c>
      <c r="G165" s="11">
        <f t="shared" ca="1" si="2"/>
        <v>0.51469543982926247</v>
      </c>
      <c r="H165" s="1">
        <v>97.5</v>
      </c>
      <c r="I165" s="1" t="s">
        <v>171</v>
      </c>
      <c r="J165" s="1" t="s">
        <v>172</v>
      </c>
      <c r="K165" s="1">
        <v>194.81200000000001</v>
      </c>
      <c r="L165" s="1">
        <v>32.799999999999997</v>
      </c>
      <c r="M165" s="1" t="s">
        <v>173</v>
      </c>
      <c r="N165" s="1" t="s">
        <v>174</v>
      </c>
      <c r="O165" s="1">
        <v>174.55430000000001</v>
      </c>
      <c r="P165" s="1">
        <v>29.39</v>
      </c>
      <c r="Q165" s="1" t="s">
        <v>175</v>
      </c>
      <c r="R165" s="1" t="s">
        <v>176</v>
      </c>
      <c r="S165" s="1">
        <v>134.9588</v>
      </c>
      <c r="T165" s="1">
        <v>22.72</v>
      </c>
      <c r="U165" s="1" t="s">
        <v>177</v>
      </c>
      <c r="V165" s="1" t="s">
        <v>178</v>
      </c>
      <c r="W165" s="1">
        <v>47.111800000000002</v>
      </c>
      <c r="X165" s="1">
        <v>7.93</v>
      </c>
      <c r="Y165" s="1" t="s">
        <v>179</v>
      </c>
      <c r="Z165" s="1" t="s">
        <v>180</v>
      </c>
      <c r="AA165" s="1">
        <v>27.6876</v>
      </c>
      <c r="AB165" s="1">
        <v>4.66</v>
      </c>
    </row>
    <row r="166" spans="1:28" x14ac:dyDescent="0.45">
      <c r="A166" s="1" t="s">
        <v>2777</v>
      </c>
      <c r="B166" s="1" t="s">
        <v>2778</v>
      </c>
      <c r="C166" s="1">
        <v>7</v>
      </c>
      <c r="D166" s="10">
        <f ca="1">IFERROR(([1]!thsiFinD("ths_close_price_index",$A166,$AE$2,"","")/[1]!thsiFinD("ths_close_price_index",$A166,$AE$5,"","")-1)*100,"")</f>
        <v>-28.39224769618529</v>
      </c>
      <c r="E166" s="10">
        <f ca="1">IFERROR(([1]!thsiFinD("ths_close_price_index",$A166,$AE$2,"","")/[1]!thsiFinD("ths_close_price_index",$A166,$AE$3,"","")-1)*100,"")</f>
        <v>-5.1153833319688697</v>
      </c>
      <c r="F166" s="10">
        <f ca="1">IFERROR(([1]!thsiFinD("ths_close_price_index",$A166,$AE$2,"","")/[1]!thsiFinD("ths_close_price_index",$A166,$AE$4,"","")-1)*100,"")</f>
        <v>-10.311225581825578</v>
      </c>
      <c r="G166" s="11">
        <f t="shared" ca="1" si="2"/>
        <v>-0.50751538730249512</v>
      </c>
      <c r="H166" s="1">
        <v>88.17</v>
      </c>
      <c r="I166" s="1" t="s">
        <v>2779</v>
      </c>
      <c r="J166" s="1" t="s">
        <v>2780</v>
      </c>
      <c r="K166" s="1">
        <v>85.3446</v>
      </c>
      <c r="L166" s="1">
        <v>34.99</v>
      </c>
      <c r="M166" s="1" t="s">
        <v>2781</v>
      </c>
      <c r="N166" s="1" t="s">
        <v>2782</v>
      </c>
      <c r="O166" s="1">
        <v>40.335999999999999</v>
      </c>
      <c r="P166" s="1">
        <v>16.54</v>
      </c>
      <c r="Q166" s="1" t="s">
        <v>2783</v>
      </c>
      <c r="R166" s="1" t="s">
        <v>2784</v>
      </c>
      <c r="S166" s="1">
        <v>35.208599999999997</v>
      </c>
      <c r="T166" s="1">
        <v>14.44</v>
      </c>
      <c r="U166" s="1" t="s">
        <v>2785</v>
      </c>
      <c r="V166" s="1" t="s">
        <v>2786</v>
      </c>
      <c r="W166" s="1">
        <v>29.8142</v>
      </c>
      <c r="X166" s="1">
        <v>12.22</v>
      </c>
      <c r="Y166" s="1" t="s">
        <v>2787</v>
      </c>
      <c r="Z166" s="1" t="s">
        <v>2788</v>
      </c>
      <c r="AA166" s="1">
        <v>24.330400000000001</v>
      </c>
      <c r="AB166" s="1">
        <v>9.98</v>
      </c>
    </row>
    <row r="167" spans="1:28" x14ac:dyDescent="0.45">
      <c r="A167" s="1" t="s">
        <v>1295</v>
      </c>
      <c r="B167" s="1" t="s">
        <v>1296</v>
      </c>
      <c r="C167" s="1">
        <v>15</v>
      </c>
      <c r="D167" s="10">
        <f ca="1">IFERROR(([1]!thsiFinD("ths_close_price_index",$A167,$AE$2,"","")/[1]!thsiFinD("ths_close_price_index",$A167,$AE$5,"","")-1)*100,"")</f>
        <v>-5.2484199137948107</v>
      </c>
      <c r="E167" s="10">
        <f ca="1">IFERROR(([1]!thsiFinD("ths_close_price_index",$A167,$AE$2,"","")/[1]!thsiFinD("ths_close_price_index",$A167,$AE$3,"","")-1)*100,"")</f>
        <v>-1.5240745868049466</v>
      </c>
      <c r="F167" s="10">
        <f ca="1">IFERROR(([1]!thsiFinD("ths_close_price_index",$A167,$AE$2,"","")/[1]!thsiFinD("ths_close_price_index",$A167,$AE$4,"","")-1)*100,"")</f>
        <v>-1.4149501277241239</v>
      </c>
      <c r="G167" s="11">
        <f t="shared" ca="1" si="2"/>
        <v>-0.23406741097478312</v>
      </c>
      <c r="H167" s="1">
        <v>62.17</v>
      </c>
      <c r="I167" s="1" t="s">
        <v>1297</v>
      </c>
      <c r="J167" s="1" t="s">
        <v>1298</v>
      </c>
      <c r="K167" s="1">
        <v>115.3434</v>
      </c>
      <c r="L167" s="1">
        <v>19.829999999999998</v>
      </c>
      <c r="M167" s="1" t="s">
        <v>1299</v>
      </c>
      <c r="N167" s="1" t="s">
        <v>1300</v>
      </c>
      <c r="O167" s="1">
        <v>71.266199999999998</v>
      </c>
      <c r="P167" s="1">
        <v>12.25</v>
      </c>
      <c r="Q167" s="1" t="s">
        <v>1301</v>
      </c>
      <c r="R167" s="1" t="s">
        <v>1302</v>
      </c>
      <c r="S167" s="1">
        <v>70.696299999999994</v>
      </c>
      <c r="T167" s="1">
        <v>12.16</v>
      </c>
      <c r="U167" s="1" t="s">
        <v>1303</v>
      </c>
      <c r="V167" s="1" t="s">
        <v>1304</v>
      </c>
      <c r="W167" s="1">
        <v>52.657499999999999</v>
      </c>
      <c r="X167" s="1">
        <v>9.0500000000000007</v>
      </c>
      <c r="Y167" s="1" t="s">
        <v>1305</v>
      </c>
      <c r="Z167" s="1" t="s">
        <v>1306</v>
      </c>
      <c r="AA167" s="1">
        <v>51.665300000000002</v>
      </c>
      <c r="AB167" s="1">
        <v>8.8800000000000008</v>
      </c>
    </row>
    <row r="168" spans="1:28" x14ac:dyDescent="0.45">
      <c r="A168" s="1" t="s">
        <v>2307</v>
      </c>
      <c r="B168" s="1" t="s">
        <v>2308</v>
      </c>
      <c r="C168" s="1">
        <v>8</v>
      </c>
      <c r="D168" s="10">
        <f ca="1">IFERROR(([1]!thsiFinD("ths_close_price_index",$A168,$AE$2,"","")/[1]!thsiFinD("ths_close_price_index",$A168,$AE$5,"","")-1)*100,"")</f>
        <v>-19.257564675184547</v>
      </c>
      <c r="E168" s="10">
        <f ca="1">IFERROR(([1]!thsiFinD("ths_close_price_index",$A168,$AE$2,"","")/[1]!thsiFinD("ths_close_price_index",$A168,$AE$3,"","")-1)*100,"")</f>
        <v>-3.6369307401583617</v>
      </c>
      <c r="F168" s="10">
        <f ca="1">IFERROR(([1]!thsiFinD("ths_close_price_index",$A168,$AE$2,"","")/[1]!thsiFinD("ths_close_price_index",$A168,$AE$4,"","")-1)*100,"")</f>
        <v>-8.7731736113650918</v>
      </c>
      <c r="G168" s="11">
        <f t="shared" ca="1" si="2"/>
        <v>-0.28872746746341776</v>
      </c>
      <c r="H168" s="1">
        <v>81.81</v>
      </c>
      <c r="I168" s="1" t="s">
        <v>2309</v>
      </c>
      <c r="J168" s="1" t="s">
        <v>2310</v>
      </c>
      <c r="K168" s="1">
        <v>96.243300000000005</v>
      </c>
      <c r="L168" s="1">
        <v>32.130000000000003</v>
      </c>
      <c r="M168" s="1" t="s">
        <v>2311</v>
      </c>
      <c r="N168" s="1" t="s">
        <v>2312</v>
      </c>
      <c r="O168" s="1">
        <v>40.704500000000003</v>
      </c>
      <c r="P168" s="1">
        <v>13.59</v>
      </c>
      <c r="Q168" s="1" t="s">
        <v>2313</v>
      </c>
      <c r="R168" s="1" t="s">
        <v>2314</v>
      </c>
      <c r="S168" s="1">
        <v>39.486800000000002</v>
      </c>
      <c r="T168" s="1">
        <v>13.18</v>
      </c>
      <c r="U168" s="1" t="s">
        <v>2315</v>
      </c>
      <c r="V168" s="1" t="s">
        <v>2316</v>
      </c>
      <c r="W168" s="1">
        <v>37.272599999999997</v>
      </c>
      <c r="X168" s="1">
        <v>12.44</v>
      </c>
      <c r="Y168" s="1" t="s">
        <v>2317</v>
      </c>
      <c r="Z168" s="1" t="s">
        <v>2318</v>
      </c>
      <c r="AA168" s="1">
        <v>31.351099999999999</v>
      </c>
      <c r="AB168" s="1">
        <v>10.47</v>
      </c>
    </row>
    <row r="169" spans="1:28" x14ac:dyDescent="0.45">
      <c r="A169" s="1" t="s">
        <v>2685</v>
      </c>
      <c r="B169" s="1" t="s">
        <v>2686</v>
      </c>
      <c r="C169" s="1">
        <v>3</v>
      </c>
      <c r="D169" s="10">
        <f ca="1">IFERROR(([1]!thsiFinD("ths_close_price_index",$A169,$AE$2,"","")/[1]!thsiFinD("ths_close_price_index",$A169,$AE$5,"","")-1)*100,"")</f>
        <v>-24.918230012925246</v>
      </c>
      <c r="E169" s="10">
        <f ca="1">IFERROR(([1]!thsiFinD("ths_close_price_index",$A169,$AE$2,"","")/[1]!thsiFinD("ths_close_price_index",$A169,$AE$3,"","")-1)*100,"")</f>
        <v>-3.4183567564212591</v>
      </c>
      <c r="F169" s="10">
        <f ca="1">IFERROR(([1]!thsiFinD("ths_close_price_index",$A169,$AE$2,"","")/[1]!thsiFinD("ths_close_price_index",$A169,$AE$4,"","")-1)*100,"")</f>
        <v>-9.1259612308106757</v>
      </c>
      <c r="G169" s="11">
        <f t="shared" ca="1" si="2"/>
        <v>-0.22737328974371807</v>
      </c>
      <c r="H169" s="1">
        <v>100</v>
      </c>
      <c r="I169" s="1" t="s">
        <v>2687</v>
      </c>
      <c r="J169" s="1" t="s">
        <v>2688</v>
      </c>
      <c r="K169" s="1">
        <v>33.0139</v>
      </c>
      <c r="L169" s="1">
        <v>38.54</v>
      </c>
      <c r="M169" s="1" t="s">
        <v>2689</v>
      </c>
      <c r="N169" s="1" t="s">
        <v>2690</v>
      </c>
      <c r="O169" s="1">
        <v>26.840699999999998</v>
      </c>
      <c r="P169" s="1">
        <v>31.33</v>
      </c>
      <c r="Q169" s="1" t="s">
        <v>2691</v>
      </c>
      <c r="R169" s="1" t="s">
        <v>2692</v>
      </c>
      <c r="S169" s="1">
        <v>25.813800000000001</v>
      </c>
      <c r="T169" s="1">
        <v>30.13</v>
      </c>
    </row>
    <row r="170" spans="1:28" x14ac:dyDescent="0.45">
      <c r="A170" s="1" t="s">
        <v>1425</v>
      </c>
      <c r="B170" s="1" t="s">
        <v>1426</v>
      </c>
      <c r="C170" s="1">
        <v>10</v>
      </c>
      <c r="D170" s="10">
        <f ca="1">IFERROR(([1]!thsiFinD("ths_close_price_index",$A170,$AE$2,"","")/[1]!thsiFinD("ths_close_price_index",$A170,$AE$5,"","")-1)*100,"")</f>
        <v>-6.1935968227785914</v>
      </c>
      <c r="E170" s="10">
        <f ca="1">IFERROR(([1]!thsiFinD("ths_close_price_index",$A170,$AE$2,"","")/[1]!thsiFinD("ths_close_price_index",$A170,$AE$3,"","")-1)*100,"")</f>
        <v>-0.64144772604164402</v>
      </c>
      <c r="F170" s="10">
        <f ca="1">IFERROR(([1]!thsiFinD("ths_close_price_index",$A170,$AE$2,"","")/[1]!thsiFinD("ths_close_price_index",$A170,$AE$4,"","")-1)*100,"")</f>
        <v>-2.3961117073406979</v>
      </c>
      <c r="G170" s="11">
        <f t="shared" ca="1" si="2"/>
        <v>-8.4839598412939088E-3</v>
      </c>
      <c r="H170" s="1">
        <v>98.86</v>
      </c>
      <c r="I170" s="1" t="s">
        <v>1427</v>
      </c>
      <c r="J170" s="1" t="s">
        <v>1428</v>
      </c>
      <c r="K170" s="1">
        <v>3673.7311</v>
      </c>
      <c r="L170" s="1">
        <v>56.51</v>
      </c>
      <c r="M170" s="1" t="s">
        <v>1429</v>
      </c>
      <c r="N170" s="1" t="s">
        <v>1430</v>
      </c>
      <c r="O170" s="1">
        <v>1869.8675000000001</v>
      </c>
      <c r="P170" s="1">
        <v>28.76</v>
      </c>
      <c r="Q170" s="1" t="s">
        <v>1431</v>
      </c>
      <c r="R170" s="1" t="s">
        <v>1432</v>
      </c>
      <c r="S170" s="1">
        <v>722.41470000000004</v>
      </c>
      <c r="T170" s="1">
        <v>11.11</v>
      </c>
      <c r="U170" s="1" t="s">
        <v>1433</v>
      </c>
      <c r="V170" s="1" t="s">
        <v>1434</v>
      </c>
      <c r="W170" s="1">
        <v>107.96980000000001</v>
      </c>
      <c r="X170" s="1">
        <v>1.66</v>
      </c>
      <c r="Y170" s="1" t="s">
        <v>1435</v>
      </c>
      <c r="Z170" s="1" t="s">
        <v>1436</v>
      </c>
      <c r="AA170" s="1">
        <v>53.190600000000003</v>
      </c>
      <c r="AB170" s="1">
        <v>0.82</v>
      </c>
    </row>
    <row r="171" spans="1:28" x14ac:dyDescent="0.45">
      <c r="A171" s="1" t="s">
        <v>241</v>
      </c>
      <c r="B171" s="1" t="s">
        <v>242</v>
      </c>
      <c r="C171" s="1">
        <v>15</v>
      </c>
      <c r="D171" s="10">
        <f ca="1">IFERROR(([1]!thsiFinD("ths_close_price_index",$A171,$AE$2,"","")/[1]!thsiFinD("ths_close_price_index",$A171,$AE$5,"","")-1)*100,"")</f>
        <v>63.130382005504714</v>
      </c>
      <c r="E171" s="10">
        <f ca="1">IFERROR(([1]!thsiFinD("ths_close_price_index",$A171,$AE$2,"","")/[1]!thsiFinD("ths_close_price_index",$A171,$AE$3,"","")-1)*100,"")</f>
        <v>9.3400709016908223</v>
      </c>
      <c r="F171" s="10">
        <f ca="1">IFERROR(([1]!thsiFinD("ths_close_price_index",$A171,$AE$2,"","")/[1]!thsiFinD("ths_close_price_index",$A171,$AE$4,"","")-1)*100,"")</f>
        <v>11.478196983830458</v>
      </c>
      <c r="G171" s="11">
        <f t="shared" ca="1" si="2"/>
        <v>1.2941043311466416</v>
      </c>
      <c r="H171" s="1">
        <v>62.93</v>
      </c>
      <c r="I171" s="1" t="s">
        <v>243</v>
      </c>
      <c r="J171" s="1" t="s">
        <v>244</v>
      </c>
      <c r="K171" s="1">
        <v>577.12239999999997</v>
      </c>
      <c r="L171" s="1">
        <v>25.38</v>
      </c>
      <c r="M171" s="1" t="s">
        <v>245</v>
      </c>
      <c r="N171" s="1" t="s">
        <v>246</v>
      </c>
      <c r="O171" s="1">
        <v>271.77659999999997</v>
      </c>
      <c r="P171" s="1">
        <v>11.95</v>
      </c>
      <c r="Q171" s="1" t="s">
        <v>247</v>
      </c>
      <c r="R171" s="1" t="s">
        <v>248</v>
      </c>
      <c r="S171" s="1">
        <v>205.71119999999999</v>
      </c>
      <c r="T171" s="1">
        <v>9.0500000000000007</v>
      </c>
      <c r="U171" s="1" t="s">
        <v>249</v>
      </c>
      <c r="V171" s="1" t="s">
        <v>250</v>
      </c>
      <c r="W171" s="1">
        <v>193.08699999999999</v>
      </c>
      <c r="X171" s="1">
        <v>8.49</v>
      </c>
      <c r="Y171" s="1" t="s">
        <v>251</v>
      </c>
      <c r="Z171" s="1" t="s">
        <v>252</v>
      </c>
      <c r="AA171" s="1">
        <v>183.30600000000001</v>
      </c>
      <c r="AB171" s="1">
        <v>8.06</v>
      </c>
    </row>
    <row r="172" spans="1:28" x14ac:dyDescent="0.45">
      <c r="A172" s="1" t="s">
        <v>2247</v>
      </c>
      <c r="B172" s="1" t="s">
        <v>2248</v>
      </c>
      <c r="C172" s="1">
        <v>11</v>
      </c>
      <c r="D172" s="10">
        <f ca="1">IFERROR(([1]!thsiFinD("ths_close_price_index",$A172,$AE$2,"","")/[1]!thsiFinD("ths_close_price_index",$A172,$AE$5,"","")-1)*100,"")</f>
        <v>-14.981353834321553</v>
      </c>
      <c r="E172" s="10">
        <f ca="1">IFERROR(([1]!thsiFinD("ths_close_price_index",$A172,$AE$2,"","")/[1]!thsiFinD("ths_close_price_index",$A172,$AE$3,"","")-1)*100,"")</f>
        <v>0.72417155048254411</v>
      </c>
      <c r="F172" s="10">
        <f ca="1">IFERROR(([1]!thsiFinD("ths_close_price_index",$A172,$AE$2,"","")/[1]!thsiFinD("ths_close_price_index",$A172,$AE$4,"","")-1)*100,"")</f>
        <v>-10.014909207726387</v>
      </c>
      <c r="G172" s="11">
        <f t="shared" ca="1" si="2"/>
        <v>0.64557977048282811</v>
      </c>
      <c r="H172" s="1">
        <v>96.19</v>
      </c>
      <c r="I172" s="1" t="s">
        <v>2249</v>
      </c>
      <c r="J172" s="1" t="s">
        <v>2250</v>
      </c>
      <c r="K172" s="1">
        <v>385.02879999999999</v>
      </c>
      <c r="L172" s="1">
        <v>62.94</v>
      </c>
      <c r="M172" s="1" t="s">
        <v>2251</v>
      </c>
      <c r="N172" s="1" t="s">
        <v>2252</v>
      </c>
      <c r="O172" s="1">
        <v>103.122</v>
      </c>
      <c r="P172" s="1">
        <v>16.86</v>
      </c>
      <c r="Q172" s="1" t="s">
        <v>2253</v>
      </c>
      <c r="R172" s="1" t="s">
        <v>2254</v>
      </c>
      <c r="S172" s="1">
        <v>44.411200000000001</v>
      </c>
      <c r="T172" s="1">
        <v>7.26</v>
      </c>
      <c r="U172" s="1" t="s">
        <v>2255</v>
      </c>
      <c r="V172" s="1" t="s">
        <v>2256</v>
      </c>
      <c r="W172" s="1">
        <v>28.917999999999999</v>
      </c>
      <c r="X172" s="1">
        <v>4.7300000000000004</v>
      </c>
      <c r="Y172" s="1" t="s">
        <v>2257</v>
      </c>
      <c r="Z172" s="1" t="s">
        <v>2258</v>
      </c>
      <c r="AA172" s="1">
        <v>26.89</v>
      </c>
      <c r="AB172" s="1">
        <v>4.4000000000000004</v>
      </c>
    </row>
    <row r="173" spans="1:28" x14ac:dyDescent="0.45">
      <c r="A173" s="1" t="s">
        <v>1987</v>
      </c>
      <c r="B173" s="1" t="s">
        <v>1988</v>
      </c>
      <c r="C173" s="1">
        <v>4</v>
      </c>
      <c r="D173" s="10">
        <f ca="1">IFERROR(([1]!thsiFinD("ths_close_price_index",$A173,$AE$2,"","")/[1]!thsiFinD("ths_close_price_index",$A173,$AE$5,"","")-1)*100,"")</f>
        <v>-14.944502460213748</v>
      </c>
      <c r="E173" s="10">
        <f ca="1">IFERROR(([1]!thsiFinD("ths_close_price_index",$A173,$AE$2,"","")/[1]!thsiFinD("ths_close_price_index",$A173,$AE$3,"","")-1)*100,"")</f>
        <v>-3.2914105708474861</v>
      </c>
      <c r="F173" s="10">
        <f ca="1">IFERROR(([1]!thsiFinD("ths_close_price_index",$A173,$AE$2,"","")/[1]!thsiFinD("ths_close_price_index",$A173,$AE$4,"","")-1)*100,"")</f>
        <v>-12.726931730912694</v>
      </c>
      <c r="G173" s="11">
        <f t="shared" ca="1" si="2"/>
        <v>-2.1935527623862527E-2</v>
      </c>
      <c r="H173" s="1">
        <v>100</v>
      </c>
      <c r="I173" s="1" t="s">
        <v>1989</v>
      </c>
      <c r="J173" s="1" t="s">
        <v>1990</v>
      </c>
      <c r="K173" s="1">
        <v>37.632800000000003</v>
      </c>
      <c r="L173" s="1">
        <v>34.32</v>
      </c>
      <c r="M173" s="1" t="s">
        <v>1991</v>
      </c>
      <c r="N173" s="1" t="s">
        <v>1992</v>
      </c>
      <c r="O173" s="1">
        <v>36.438899999999997</v>
      </c>
      <c r="P173" s="1">
        <v>33.229999999999997</v>
      </c>
      <c r="Q173" s="1" t="s">
        <v>1993</v>
      </c>
      <c r="R173" s="1" t="s">
        <v>1994</v>
      </c>
      <c r="S173" s="1">
        <v>21.586600000000001</v>
      </c>
      <c r="T173" s="1">
        <v>19.68</v>
      </c>
      <c r="U173" s="1" t="s">
        <v>1995</v>
      </c>
      <c r="V173" s="1" t="s">
        <v>1996</v>
      </c>
      <c r="W173" s="1">
        <v>14.0075</v>
      </c>
      <c r="X173" s="1">
        <v>12.77</v>
      </c>
    </row>
    <row r="174" spans="1:28" x14ac:dyDescent="0.45">
      <c r="A174" s="1" t="s">
        <v>307</v>
      </c>
      <c r="B174" s="1" t="s">
        <v>308</v>
      </c>
      <c r="C174" s="1">
        <v>4</v>
      </c>
      <c r="D174" s="10">
        <f ca="1">IFERROR(([1]!thsiFinD("ths_close_price_index",$A174,$AE$2,"","")/[1]!thsiFinD("ths_close_price_index",$A174,$AE$5,"","")-1)*100,"")</f>
        <v>67.5033890113653</v>
      </c>
      <c r="E174" s="10">
        <f ca="1">IFERROR(([1]!thsiFinD("ths_close_price_index",$A174,$AE$2,"","")/[1]!thsiFinD("ths_close_price_index",$A174,$AE$3,"","")-1)*100,"")</f>
        <v>19.238437094521508</v>
      </c>
      <c r="F174" s="10">
        <f ca="1">IFERROR(([1]!thsiFinD("ths_close_price_index",$A174,$AE$2,"","")/[1]!thsiFinD("ths_close_price_index",$A174,$AE$4,"","")-1)*100,"")</f>
        <v>29.453078727304781</v>
      </c>
      <c r="G174" s="11">
        <f t="shared" ca="1" si="2"/>
        <v>2.3750334825390622</v>
      </c>
      <c r="H174" s="1">
        <v>100</v>
      </c>
      <c r="I174" s="1" t="s">
        <v>309</v>
      </c>
      <c r="J174" s="1" t="s">
        <v>310</v>
      </c>
      <c r="K174" s="1">
        <v>126.10209999999999</v>
      </c>
      <c r="L174" s="1">
        <v>58.27</v>
      </c>
      <c r="M174" s="1" t="s">
        <v>311</v>
      </c>
      <c r="N174" s="1" t="s">
        <v>312</v>
      </c>
      <c r="O174" s="1">
        <v>67.809600000000003</v>
      </c>
      <c r="P174" s="1">
        <v>31.34</v>
      </c>
      <c r="Q174" s="1" t="s">
        <v>313</v>
      </c>
      <c r="R174" s="1" t="s">
        <v>314</v>
      </c>
      <c r="S174" s="1">
        <v>15.730399999999999</v>
      </c>
      <c r="T174" s="1">
        <v>7.27</v>
      </c>
      <c r="U174" s="1" t="s">
        <v>315</v>
      </c>
      <c r="V174" s="1" t="s">
        <v>316</v>
      </c>
      <c r="W174" s="1">
        <v>6.7560000000000002</v>
      </c>
      <c r="X174" s="1">
        <v>3.12</v>
      </c>
    </row>
    <row r="175" spans="1:28" x14ac:dyDescent="0.45">
      <c r="A175" s="1" t="s">
        <v>2343</v>
      </c>
      <c r="B175" s="1" t="s">
        <v>2344</v>
      </c>
      <c r="C175" s="1">
        <v>19</v>
      </c>
      <c r="D175" s="10">
        <f ca="1">IFERROR(([1]!thsiFinD("ths_close_price_index",$A175,$AE$2,"","")/[1]!thsiFinD("ths_close_price_index",$A175,$AE$5,"","")-1)*100,"")</f>
        <v>-17.688223704489335</v>
      </c>
      <c r="E175" s="10">
        <f ca="1">IFERROR(([1]!thsiFinD("ths_close_price_index",$A175,$AE$2,"","")/[1]!thsiFinD("ths_close_price_index",$A175,$AE$3,"","")-1)*100,"")</f>
        <v>-1.3169824305572342</v>
      </c>
      <c r="F175" s="10">
        <f ca="1">IFERROR(([1]!thsiFinD("ths_close_price_index",$A175,$AE$2,"","")/[1]!thsiFinD("ths_close_price_index",$A175,$AE$4,"","")-1)*100,"")</f>
        <v>-8.9450342192579626</v>
      </c>
      <c r="G175" s="11">
        <f t="shared" ca="1" si="2"/>
        <v>0.18385522485145128</v>
      </c>
      <c r="H175" s="1">
        <v>73.8</v>
      </c>
      <c r="I175" s="1" t="s">
        <v>2345</v>
      </c>
      <c r="J175" s="1" t="s">
        <v>2346</v>
      </c>
      <c r="K175" s="1">
        <v>360.39920000000001</v>
      </c>
      <c r="L175" s="1">
        <v>41.35</v>
      </c>
      <c r="M175" s="1" t="s">
        <v>2347</v>
      </c>
      <c r="N175" s="1" t="s">
        <v>2348</v>
      </c>
      <c r="O175" s="1">
        <v>101.2749</v>
      </c>
      <c r="P175" s="1">
        <v>11.62</v>
      </c>
      <c r="Q175" s="1" t="s">
        <v>2349</v>
      </c>
      <c r="R175" s="1" t="s">
        <v>2350</v>
      </c>
      <c r="S175" s="1">
        <v>76.287300000000002</v>
      </c>
      <c r="T175" s="1">
        <v>8.75</v>
      </c>
      <c r="U175" s="1" t="s">
        <v>2351</v>
      </c>
      <c r="V175" s="1" t="s">
        <v>2352</v>
      </c>
      <c r="W175" s="1">
        <v>52.840800000000002</v>
      </c>
      <c r="X175" s="1">
        <v>6.06</v>
      </c>
      <c r="Y175" s="1" t="s">
        <v>2353</v>
      </c>
      <c r="Z175" s="1" t="s">
        <v>2354</v>
      </c>
      <c r="AA175" s="1">
        <v>52.455800000000004</v>
      </c>
      <c r="AB175" s="1">
        <v>6.02</v>
      </c>
    </row>
    <row r="176" spans="1:28" x14ac:dyDescent="0.45">
      <c r="A176" s="1" t="s">
        <v>2421</v>
      </c>
      <c r="B176" s="1" t="s">
        <v>2422</v>
      </c>
      <c r="C176" s="1">
        <v>12</v>
      </c>
      <c r="D176" s="10">
        <f ca="1">IFERROR(([1]!thsiFinD("ths_close_price_index",$A176,$AE$2,"","")/[1]!thsiFinD("ths_close_price_index",$A176,$AE$5,"","")-1)*100,"")</f>
        <v>-20.17729753092916</v>
      </c>
      <c r="E176" s="10">
        <f ca="1">IFERROR(([1]!thsiFinD("ths_close_price_index",$A176,$AE$2,"","")/[1]!thsiFinD("ths_close_price_index",$A176,$AE$3,"","")-1)*100,"")</f>
        <v>-2.6072184104132257</v>
      </c>
      <c r="F176" s="10">
        <f ca="1">IFERROR(([1]!thsiFinD("ths_close_price_index",$A176,$AE$2,"","")/[1]!thsiFinD("ths_close_price_index",$A176,$AE$4,"","")-1)*100,"")</f>
        <v>-5.6421192525284214</v>
      </c>
      <c r="G176" s="11">
        <f t="shared" ca="1" si="2"/>
        <v>-0.23933771945622406</v>
      </c>
      <c r="H176" s="1">
        <v>69.63</v>
      </c>
      <c r="I176" s="1" t="s">
        <v>2423</v>
      </c>
      <c r="J176" s="1" t="s">
        <v>2424</v>
      </c>
      <c r="K176" s="1">
        <v>182.40090000000001</v>
      </c>
      <c r="L176" s="1">
        <v>23.2</v>
      </c>
      <c r="M176" s="1" t="s">
        <v>2425</v>
      </c>
      <c r="N176" s="1" t="s">
        <v>2426</v>
      </c>
      <c r="O176" s="1">
        <v>112.23909999999999</v>
      </c>
      <c r="P176" s="1">
        <v>14.28</v>
      </c>
      <c r="Q176" s="1" t="s">
        <v>2427</v>
      </c>
      <c r="R176" s="1" t="s">
        <v>2428</v>
      </c>
      <c r="S176" s="1">
        <v>90.252300000000005</v>
      </c>
      <c r="T176" s="1">
        <v>11.48</v>
      </c>
      <c r="U176" s="1" t="s">
        <v>2429</v>
      </c>
      <c r="V176" s="1" t="s">
        <v>2430</v>
      </c>
      <c r="W176" s="1">
        <v>89.883700000000005</v>
      </c>
      <c r="X176" s="1">
        <v>11.43</v>
      </c>
      <c r="Y176" s="1" t="s">
        <v>2431</v>
      </c>
      <c r="Z176" s="1" t="s">
        <v>2432</v>
      </c>
      <c r="AA176" s="1">
        <v>72.640299999999996</v>
      </c>
      <c r="AB176" s="1">
        <v>9.24</v>
      </c>
    </row>
    <row r="177" spans="1:28" x14ac:dyDescent="0.45">
      <c r="A177" s="1" t="s">
        <v>1667</v>
      </c>
      <c r="B177" s="1" t="s">
        <v>1668</v>
      </c>
      <c r="C177" s="1">
        <v>4</v>
      </c>
      <c r="D177" s="10">
        <f ca="1">IFERROR(([1]!thsiFinD("ths_close_price_index",$A177,$AE$2,"","")/[1]!thsiFinD("ths_close_price_index",$A177,$AE$5,"","")-1)*100,"")</f>
        <v>-10.306517786292602</v>
      </c>
      <c r="E177" s="10">
        <f ca="1">IFERROR(([1]!thsiFinD("ths_close_price_index",$A177,$AE$2,"","")/[1]!thsiFinD("ths_close_price_index",$A177,$AE$3,"","")-1)*100,"")</f>
        <v>-1.6660781651168355</v>
      </c>
      <c r="F177" s="10">
        <f ca="1">IFERROR(([1]!thsiFinD("ths_close_price_index",$A177,$AE$2,"","")/[1]!thsiFinD("ths_close_price_index",$A177,$AE$4,"","")-1)*100,"")</f>
        <v>-7.0756257708812438</v>
      </c>
      <c r="G177" s="11">
        <f t="shared" ca="1" si="2"/>
        <v>2.0565655520695114E-2</v>
      </c>
      <c r="H177" s="1">
        <v>99.99</v>
      </c>
      <c r="I177" s="1" t="s">
        <v>1669</v>
      </c>
      <c r="J177" s="1" t="s">
        <v>1670</v>
      </c>
      <c r="K177" s="1">
        <v>1139.4437</v>
      </c>
      <c r="L177" s="1">
        <v>66.12</v>
      </c>
      <c r="M177" s="1" t="s">
        <v>1671</v>
      </c>
      <c r="N177" s="1" t="s">
        <v>1672</v>
      </c>
      <c r="O177" s="1">
        <v>443.8295</v>
      </c>
      <c r="P177" s="1">
        <v>25.75</v>
      </c>
      <c r="Q177" s="1" t="s">
        <v>1673</v>
      </c>
      <c r="R177" s="1" t="s">
        <v>1674</v>
      </c>
      <c r="S177" s="1">
        <v>90.683599999999998</v>
      </c>
      <c r="T177" s="1">
        <v>5.26</v>
      </c>
      <c r="U177" s="1" t="s">
        <v>1675</v>
      </c>
      <c r="V177" s="1" t="s">
        <v>1676</v>
      </c>
      <c r="W177" s="1">
        <v>49.343800000000002</v>
      </c>
      <c r="X177" s="1">
        <v>2.86</v>
      </c>
    </row>
    <row r="178" spans="1:28" x14ac:dyDescent="0.45">
      <c r="A178" s="1" t="s">
        <v>2585</v>
      </c>
      <c r="B178" s="1" t="s">
        <v>2586</v>
      </c>
      <c r="C178" s="1">
        <v>4</v>
      </c>
      <c r="D178" s="10">
        <f ca="1">IFERROR(([1]!thsiFinD("ths_close_price_index",$A178,$AE$2,"","")/[1]!thsiFinD("ths_close_price_index",$A178,$AE$5,"","")-1)*100,"")</f>
        <v>-28.038899416649365</v>
      </c>
      <c r="E178" s="10">
        <f ca="1">IFERROR(([1]!thsiFinD("ths_close_price_index",$A178,$AE$2,"","")/[1]!thsiFinD("ths_close_price_index",$A178,$AE$3,"","")-1)*100,"")</f>
        <v>-9.0793173791091526</v>
      </c>
      <c r="F178" s="10">
        <f ca="1">IFERROR(([1]!thsiFinD("ths_close_price_index",$A178,$AE$2,"","")/[1]!thsiFinD("ths_close_price_index",$A178,$AE$4,"","")-1)*100,"")</f>
        <v>-17.164530427304559</v>
      </c>
      <c r="G178" s="11">
        <f t="shared" ca="1" si="2"/>
        <v>-0.95763695445660268</v>
      </c>
      <c r="H178" s="1">
        <v>100.01</v>
      </c>
      <c r="I178" s="1" t="s">
        <v>2587</v>
      </c>
      <c r="J178" s="1" t="s">
        <v>2588</v>
      </c>
      <c r="K178" s="1">
        <v>58.587000000000003</v>
      </c>
      <c r="L178" s="1">
        <v>58.38</v>
      </c>
      <c r="M178" s="1" t="s">
        <v>2589</v>
      </c>
      <c r="N178" s="1" t="s">
        <v>2590</v>
      </c>
      <c r="O178" s="1">
        <v>31.389900000000001</v>
      </c>
      <c r="P178" s="1">
        <v>31.28</v>
      </c>
      <c r="Q178" s="1" t="s">
        <v>2591</v>
      </c>
      <c r="R178" s="1" t="s">
        <v>2592</v>
      </c>
      <c r="S178" s="1">
        <v>10.384</v>
      </c>
      <c r="T178" s="1">
        <v>10.35</v>
      </c>
    </row>
    <row r="179" spans="1:28" x14ac:dyDescent="0.45">
      <c r="A179" s="1" t="s">
        <v>2903</v>
      </c>
      <c r="B179" s="1" t="s">
        <v>2904</v>
      </c>
      <c r="C179" s="1">
        <v>15</v>
      </c>
      <c r="D179" s="10">
        <f ca="1">IFERROR(([1]!thsiFinD("ths_close_price_index",$A179,$AE$2,"","")/[1]!thsiFinD("ths_close_price_index",$A179,$AE$5,"","")-1)*100,"")</f>
        <v>-30.827446317237552</v>
      </c>
      <c r="E179" s="10">
        <f ca="1">IFERROR(([1]!thsiFinD("ths_close_price_index",$A179,$AE$2,"","")/[1]!thsiFinD("ths_close_price_index",$A179,$AE$3,"","")-1)*100,"")</f>
        <v>-3.359051318277495</v>
      </c>
      <c r="F179" s="10">
        <f ca="1">IFERROR(([1]!thsiFinD("ths_close_price_index",$A179,$AE$2,"","")/[1]!thsiFinD("ths_close_price_index",$A179,$AE$4,"","")-1)*100,"")</f>
        <v>-11.406966130466445</v>
      </c>
      <c r="G179" s="11">
        <f t="shared" ca="1" si="2"/>
        <v>-0.10146195713217676</v>
      </c>
      <c r="H179" s="1">
        <v>80.38</v>
      </c>
      <c r="I179" s="1" t="s">
        <v>2905</v>
      </c>
      <c r="J179" s="1" t="s">
        <v>2906</v>
      </c>
      <c r="K179" s="1">
        <v>492.50029999999998</v>
      </c>
      <c r="L179" s="1">
        <v>58.6</v>
      </c>
      <c r="M179" s="1" t="s">
        <v>2907</v>
      </c>
      <c r="N179" s="1" t="s">
        <v>2908</v>
      </c>
      <c r="O179" s="1">
        <v>89.543899999999994</v>
      </c>
      <c r="P179" s="1">
        <v>10.65</v>
      </c>
      <c r="Q179" s="1" t="s">
        <v>2909</v>
      </c>
      <c r="R179" s="1" t="s">
        <v>2910</v>
      </c>
      <c r="S179" s="1">
        <v>41.847000000000001</v>
      </c>
      <c r="T179" s="1">
        <v>4.9800000000000004</v>
      </c>
      <c r="U179" s="1" t="s">
        <v>2911</v>
      </c>
      <c r="V179" s="1" t="s">
        <v>2912</v>
      </c>
      <c r="W179" s="1">
        <v>25.988900000000001</v>
      </c>
      <c r="X179" s="1">
        <v>3.09</v>
      </c>
      <c r="Y179" s="1" t="s">
        <v>2913</v>
      </c>
      <c r="Z179" s="1" t="s">
        <v>2914</v>
      </c>
      <c r="AA179" s="1">
        <v>25.6999</v>
      </c>
      <c r="AB179" s="1">
        <v>3.06</v>
      </c>
    </row>
    <row r="180" spans="1:28" x14ac:dyDescent="0.45">
      <c r="A180" s="1" t="s">
        <v>1923</v>
      </c>
      <c r="B180" s="1" t="s">
        <v>1924</v>
      </c>
      <c r="C180" s="1">
        <v>6</v>
      </c>
      <c r="D180" s="10">
        <f ca="1">IFERROR(([1]!thsiFinD("ths_close_price_index",$A180,$AE$2,"","")/[1]!thsiFinD("ths_close_price_index",$A180,$AE$5,"","")-1)*100,"")</f>
        <v>-11.669839680892856</v>
      </c>
      <c r="E180" s="10">
        <f ca="1">IFERROR(([1]!thsiFinD("ths_close_price_index",$A180,$AE$2,"","")/[1]!thsiFinD("ths_close_price_index",$A180,$AE$3,"","")-1)*100,"")</f>
        <v>-0.42091993247707071</v>
      </c>
      <c r="F180" s="10">
        <f ca="1">IFERROR(([1]!thsiFinD("ths_close_price_index",$A180,$AE$2,"","")/[1]!thsiFinD("ths_close_price_index",$A180,$AE$4,"","")-1)*100,"")</f>
        <v>-9.9845419199830037</v>
      </c>
      <c r="G180" s="11">
        <f t="shared" ca="1" si="2"/>
        <v>0.41504310950373602</v>
      </c>
      <c r="H180" s="1">
        <v>95.42</v>
      </c>
      <c r="I180" s="1" t="s">
        <v>1925</v>
      </c>
      <c r="J180" s="1" t="s">
        <v>1926</v>
      </c>
      <c r="K180" s="1">
        <v>164.40989999999999</v>
      </c>
      <c r="L180" s="1">
        <v>37.42</v>
      </c>
      <c r="M180" s="1" t="s">
        <v>1927</v>
      </c>
      <c r="N180" s="1" t="s">
        <v>1928</v>
      </c>
      <c r="O180" s="1">
        <v>148.27330000000001</v>
      </c>
      <c r="P180" s="1">
        <v>33.75</v>
      </c>
      <c r="Q180" s="1" t="s">
        <v>1929</v>
      </c>
      <c r="R180" s="1" t="s">
        <v>1930</v>
      </c>
      <c r="S180" s="1">
        <v>54.323300000000003</v>
      </c>
      <c r="T180" s="1">
        <v>12.36</v>
      </c>
      <c r="U180" s="1" t="s">
        <v>1931</v>
      </c>
      <c r="V180" s="1" t="s">
        <v>1932</v>
      </c>
      <c r="W180" s="1">
        <v>28.678599999999999</v>
      </c>
      <c r="X180" s="1">
        <v>6.53</v>
      </c>
      <c r="Y180" s="1" t="s">
        <v>1933</v>
      </c>
      <c r="Z180" s="1" t="s">
        <v>1934</v>
      </c>
      <c r="AA180" s="1">
        <v>23.551300000000001</v>
      </c>
      <c r="AB180" s="1">
        <v>5.36</v>
      </c>
    </row>
    <row r="181" spans="1:28" x14ac:dyDescent="0.45">
      <c r="A181" s="1" t="s">
        <v>2165</v>
      </c>
      <c r="B181" s="1" t="s">
        <v>2166</v>
      </c>
      <c r="C181" s="1">
        <v>26</v>
      </c>
      <c r="D181" s="10">
        <f ca="1">IFERROR(([1]!thsiFinD("ths_close_price_index",$A181,$AE$2,"","")/[1]!thsiFinD("ths_close_price_index",$A181,$AE$5,"","")-1)*100,"")</f>
        <v>-17.734320312974504</v>
      </c>
      <c r="E181" s="10">
        <f ca="1">IFERROR(([1]!thsiFinD("ths_close_price_index",$A181,$AE$2,"","")/[1]!thsiFinD("ths_close_price_index",$A181,$AE$3,"","")-1)*100,"")</f>
        <v>-3.5052281110104722</v>
      </c>
      <c r="F181" s="10">
        <f ca="1">IFERROR(([1]!thsiFinD("ths_close_price_index",$A181,$AE$2,"","")/[1]!thsiFinD("ths_close_price_index",$A181,$AE$4,"","")-1)*100,"")</f>
        <v>-12.86892717376239</v>
      </c>
      <c r="G181" s="11">
        <f t="shared" ca="1" si="2"/>
        <v>-5.759926351397493E-2</v>
      </c>
      <c r="H181" s="1">
        <v>46.91</v>
      </c>
      <c r="I181" s="1" t="s">
        <v>2167</v>
      </c>
      <c r="J181" s="1" t="s">
        <v>2168</v>
      </c>
      <c r="K181" s="1">
        <v>194.72040000000001</v>
      </c>
      <c r="L181" s="1">
        <v>20.329999999999998</v>
      </c>
      <c r="M181" s="1" t="s">
        <v>2169</v>
      </c>
      <c r="N181" s="1" t="s">
        <v>2170</v>
      </c>
      <c r="O181" s="1">
        <v>82.472200000000001</v>
      </c>
      <c r="P181" s="1">
        <v>8.61</v>
      </c>
      <c r="Q181" s="1" t="s">
        <v>2171</v>
      </c>
      <c r="R181" s="1" t="s">
        <v>2172</v>
      </c>
      <c r="S181" s="1">
        <v>64.232399999999998</v>
      </c>
      <c r="T181" s="1">
        <v>6.71</v>
      </c>
      <c r="U181" s="1" t="s">
        <v>2173</v>
      </c>
      <c r="V181" s="1" t="s">
        <v>2174</v>
      </c>
      <c r="W181" s="1">
        <v>55.246200000000002</v>
      </c>
      <c r="X181" s="1">
        <v>5.77</v>
      </c>
      <c r="Y181" s="1" t="s">
        <v>2175</v>
      </c>
      <c r="Z181" s="1" t="s">
        <v>2176</v>
      </c>
      <c r="AA181" s="1">
        <v>52.627299999999998</v>
      </c>
      <c r="AB181" s="1">
        <v>5.49</v>
      </c>
    </row>
    <row r="182" spans="1:28" x14ac:dyDescent="0.45">
      <c r="A182" s="1" t="s">
        <v>2331</v>
      </c>
      <c r="B182" s="1" t="s">
        <v>2332</v>
      </c>
      <c r="C182" s="1">
        <v>7</v>
      </c>
      <c r="D182" s="10">
        <f ca="1">IFERROR(([1]!thsiFinD("ths_close_price_index",$A182,$AE$2,"","")/[1]!thsiFinD("ths_close_price_index",$A182,$AE$5,"","")-1)*100,"")</f>
        <v>-15.832061983472457</v>
      </c>
      <c r="E182" s="10">
        <f ca="1">IFERROR(([1]!thsiFinD("ths_close_price_index",$A182,$AE$2,"","")/[1]!thsiFinD("ths_close_price_index",$A182,$AE$3,"","")-1)*100,"")</f>
        <v>0.89582654501136894</v>
      </c>
      <c r="F182" s="10">
        <f ca="1">IFERROR(([1]!thsiFinD("ths_close_price_index",$A182,$AE$2,"","")/[1]!thsiFinD("ths_close_price_index",$A182,$AE$4,"","")-1)*100,"")</f>
        <v>-0.7272881606110726</v>
      </c>
      <c r="G182" s="11">
        <f t="shared" ca="1" si="2"/>
        <v>0.21552971703282742</v>
      </c>
      <c r="H182" s="1">
        <v>86.89</v>
      </c>
      <c r="I182" s="1" t="s">
        <v>2333</v>
      </c>
      <c r="J182" s="1" t="s">
        <v>2334</v>
      </c>
      <c r="K182" s="1">
        <v>114.0864</v>
      </c>
      <c r="L182" s="1">
        <v>42.18</v>
      </c>
      <c r="M182" s="1" t="s">
        <v>2335</v>
      </c>
      <c r="N182" s="1" t="s">
        <v>2336</v>
      </c>
      <c r="O182" s="1">
        <v>40.520200000000003</v>
      </c>
      <c r="P182" s="1">
        <v>14.98</v>
      </c>
      <c r="Q182" s="1" t="s">
        <v>2337</v>
      </c>
      <c r="R182" s="1" t="s">
        <v>2338</v>
      </c>
      <c r="S182" s="1">
        <v>31.473299999999998</v>
      </c>
      <c r="T182" s="1">
        <v>11.64</v>
      </c>
      <c r="U182" s="1" t="s">
        <v>2339</v>
      </c>
      <c r="V182" s="1" t="s">
        <v>2340</v>
      </c>
      <c r="W182" s="1">
        <v>24.6965</v>
      </c>
      <c r="X182" s="1">
        <v>9.1300000000000008</v>
      </c>
      <c r="Y182" s="1" t="s">
        <v>2341</v>
      </c>
      <c r="Z182" s="1" t="s">
        <v>2342</v>
      </c>
      <c r="AA182" s="1">
        <v>24.244499999999999</v>
      </c>
      <c r="AB182" s="1">
        <v>8.9600000000000009</v>
      </c>
    </row>
    <row r="183" spans="1:28" x14ac:dyDescent="0.45">
      <c r="A183" s="1" t="s">
        <v>103</v>
      </c>
      <c r="B183" s="1" t="s">
        <v>104</v>
      </c>
      <c r="C183" s="1">
        <v>19</v>
      </c>
      <c r="D183" s="10">
        <f ca="1">IFERROR(([1]!thsiFinD("ths_close_price_index",$A183,$AE$2,"","")/[1]!thsiFinD("ths_close_price_index",$A183,$AE$5,"","")-1)*100,"")</f>
        <v>113.04812475295284</v>
      </c>
      <c r="E183" s="10">
        <f ca="1">IFERROR(([1]!thsiFinD("ths_close_price_index",$A183,$AE$2,"","")/[1]!thsiFinD("ths_close_price_index",$A183,$AE$3,"","")-1)*100,"")</f>
        <v>-0.33990381163858663</v>
      </c>
      <c r="F183" s="10">
        <f ca="1">IFERROR(([1]!thsiFinD("ths_close_price_index",$A183,$AE$2,"","")/[1]!thsiFinD("ths_close_price_index",$A183,$AE$4,"","")-1)*100,"")</f>
        <v>13.353311079703989</v>
      </c>
      <c r="G183" s="11">
        <f t="shared" ca="1" si="2"/>
        <v>-0.73564631631291677</v>
      </c>
      <c r="H183" s="1">
        <v>91.95</v>
      </c>
      <c r="I183" s="1" t="s">
        <v>105</v>
      </c>
      <c r="J183" s="1" t="s">
        <v>106</v>
      </c>
      <c r="K183" s="1">
        <v>11411</v>
      </c>
      <c r="L183" s="1">
        <v>45.4</v>
      </c>
      <c r="M183" s="1" t="s">
        <v>107</v>
      </c>
      <c r="N183" s="1" t="s">
        <v>108</v>
      </c>
      <c r="O183" s="1">
        <v>7004.6458000000002</v>
      </c>
      <c r="P183" s="1">
        <v>27.87</v>
      </c>
      <c r="Q183" s="1" t="s">
        <v>109</v>
      </c>
      <c r="R183" s="1" t="s">
        <v>110</v>
      </c>
      <c r="S183" s="1">
        <v>1968.3027999999999</v>
      </c>
      <c r="T183" s="1">
        <v>7.83</v>
      </c>
      <c r="U183" s="1" t="s">
        <v>111</v>
      </c>
      <c r="V183" s="1" t="s">
        <v>112</v>
      </c>
      <c r="W183" s="1">
        <v>1421.7092</v>
      </c>
      <c r="X183" s="1">
        <v>5.66</v>
      </c>
      <c r="Y183" s="1" t="s">
        <v>113</v>
      </c>
      <c r="Z183" s="1" t="s">
        <v>114</v>
      </c>
      <c r="AA183" s="1">
        <v>1303.2598</v>
      </c>
      <c r="AB183" s="1">
        <v>5.19</v>
      </c>
    </row>
    <row r="184" spans="1:28" x14ac:dyDescent="0.45">
      <c r="A184" s="1" t="s">
        <v>2237</v>
      </c>
      <c r="B184" s="1" t="s">
        <v>2238</v>
      </c>
      <c r="C184" s="1">
        <v>4</v>
      </c>
      <c r="D184" s="10">
        <f ca="1">IFERROR(([1]!thsiFinD("ths_close_price_index",$A184,$AE$2,"","")/[1]!thsiFinD("ths_close_price_index",$A184,$AE$5,"","")-1)*100,"")</f>
        <v>-20.08500419892535</v>
      </c>
      <c r="E184" s="10">
        <f ca="1">IFERROR(([1]!thsiFinD("ths_close_price_index",$A184,$AE$2,"","")/[1]!thsiFinD("ths_close_price_index",$A184,$AE$3,"","")-1)*100,"")</f>
        <v>-5.3761573247224526</v>
      </c>
      <c r="F184" s="10">
        <f ca="1">IFERROR(([1]!thsiFinD("ths_close_price_index",$A184,$AE$2,"","")/[1]!thsiFinD("ths_close_price_index",$A184,$AE$4,"","")-1)*100,"")</f>
        <v>-21.861879754720658</v>
      </c>
      <c r="G184" s="11">
        <f t="shared" ca="1" si="2"/>
        <v>1.7862522791542323E-2</v>
      </c>
      <c r="H184" s="1">
        <v>99.99</v>
      </c>
      <c r="I184" s="1" t="s">
        <v>2239</v>
      </c>
      <c r="J184" s="1" t="s">
        <v>2240</v>
      </c>
      <c r="K184" s="1">
        <v>100.9759</v>
      </c>
      <c r="L184" s="1">
        <v>52.98</v>
      </c>
      <c r="M184" s="1" t="s">
        <v>2241</v>
      </c>
      <c r="N184" s="1" t="s">
        <v>2242</v>
      </c>
      <c r="O184" s="1">
        <v>51.843600000000002</v>
      </c>
      <c r="P184" s="1">
        <v>27.2</v>
      </c>
      <c r="Q184" s="1" t="s">
        <v>2243</v>
      </c>
      <c r="R184" s="1" t="s">
        <v>2244</v>
      </c>
      <c r="S184" s="1">
        <v>26.965900000000001</v>
      </c>
      <c r="T184" s="1">
        <v>14.15</v>
      </c>
      <c r="U184" s="1" t="s">
        <v>2245</v>
      </c>
      <c r="V184" s="1" t="s">
        <v>2246</v>
      </c>
      <c r="W184" s="1">
        <v>10.791</v>
      </c>
      <c r="X184" s="1">
        <v>5.66</v>
      </c>
    </row>
    <row r="185" spans="1:28" x14ac:dyDescent="0.45">
      <c r="A185" s="1" t="s">
        <v>1515</v>
      </c>
      <c r="B185" s="1" t="s">
        <v>1516</v>
      </c>
      <c r="C185" s="1">
        <v>8</v>
      </c>
      <c r="D185" s="10">
        <f ca="1">IFERROR(([1]!thsiFinD("ths_close_price_index",$A185,$AE$2,"","")/[1]!thsiFinD("ths_close_price_index",$A185,$AE$5,"","")-1)*100,"")</f>
        <v>-9.4354548562274871</v>
      </c>
      <c r="E185" s="10">
        <f ca="1">IFERROR(([1]!thsiFinD("ths_close_price_index",$A185,$AE$2,"","")/[1]!thsiFinD("ths_close_price_index",$A185,$AE$3,"","")-1)*100,"")</f>
        <v>-2.4318222155529035</v>
      </c>
      <c r="F185" s="10">
        <f ca="1">IFERROR(([1]!thsiFinD("ths_close_price_index",$A185,$AE$2,"","")/[1]!thsiFinD("ths_close_price_index",$A185,$AE$4,"","")-1)*100,"")</f>
        <v>-9.1833625733792275</v>
      </c>
      <c r="G185" s="11">
        <f t="shared" ca="1" si="2"/>
        <v>-2.7196314441619296E-2</v>
      </c>
      <c r="H185" s="1">
        <v>92.15</v>
      </c>
      <c r="I185" s="1" t="s">
        <v>1517</v>
      </c>
      <c r="J185" s="1" t="s">
        <v>1518</v>
      </c>
      <c r="K185" s="1">
        <v>244.12270000000001</v>
      </c>
      <c r="L185" s="1">
        <v>30.16</v>
      </c>
      <c r="M185" s="1" t="s">
        <v>1519</v>
      </c>
      <c r="N185" s="1" t="s">
        <v>1520</v>
      </c>
      <c r="O185" s="1">
        <v>240.95689999999999</v>
      </c>
      <c r="P185" s="1">
        <v>29.77</v>
      </c>
      <c r="Q185" s="1" t="s">
        <v>1521</v>
      </c>
      <c r="R185" s="1" t="s">
        <v>1522</v>
      </c>
      <c r="S185" s="1">
        <v>165.9838</v>
      </c>
      <c r="T185" s="1">
        <v>20.51</v>
      </c>
      <c r="U185" s="1" t="s">
        <v>1523</v>
      </c>
      <c r="V185" s="1" t="s">
        <v>1524</v>
      </c>
      <c r="W185" s="1">
        <v>58.811</v>
      </c>
      <c r="X185" s="1">
        <v>7.27</v>
      </c>
      <c r="Y185" s="1" t="s">
        <v>1525</v>
      </c>
      <c r="Z185" s="1" t="s">
        <v>1526</v>
      </c>
      <c r="AA185" s="1">
        <v>35.932699999999997</v>
      </c>
      <c r="AB185" s="1">
        <v>4.4400000000000004</v>
      </c>
    </row>
    <row r="186" spans="1:28" x14ac:dyDescent="0.45">
      <c r="A186" s="1" t="s">
        <v>1413</v>
      </c>
      <c r="B186" s="1" t="s">
        <v>1414</v>
      </c>
      <c r="C186" s="1">
        <v>21</v>
      </c>
      <c r="D186" s="10">
        <f ca="1">IFERROR(([1]!thsiFinD("ths_close_price_index",$A186,$AE$2,"","")/[1]!thsiFinD("ths_close_price_index",$A186,$AE$5,"","")-1)*100,"")</f>
        <v>-10.630590126470352</v>
      </c>
      <c r="E186" s="10">
        <f ca="1">IFERROR(([1]!thsiFinD("ths_close_price_index",$A186,$AE$2,"","")/[1]!thsiFinD("ths_close_price_index",$A186,$AE$3,"","")-1)*100,"")</f>
        <v>-5.3413632995880871</v>
      </c>
      <c r="F186" s="10">
        <f ca="1">IFERROR(([1]!thsiFinD("ths_close_price_index",$A186,$AE$2,"","")/[1]!thsiFinD("ths_close_price_index",$A186,$AE$4,"","")-1)*100,"")</f>
        <v>-12.010606656596535</v>
      </c>
      <c r="G186" s="11">
        <f t="shared" ca="1" si="2"/>
        <v>-0.46774232708779062</v>
      </c>
      <c r="H186" s="1">
        <v>54.51</v>
      </c>
      <c r="I186" s="1" t="s">
        <v>1415</v>
      </c>
      <c r="J186" s="1" t="s">
        <v>1416</v>
      </c>
      <c r="K186" s="1">
        <v>70.325100000000006</v>
      </c>
      <c r="L186" s="1">
        <v>14.47</v>
      </c>
      <c r="M186" s="1" t="s">
        <v>1417</v>
      </c>
      <c r="N186" s="1" t="s">
        <v>1418</v>
      </c>
      <c r="O186" s="1">
        <v>67.740899999999996</v>
      </c>
      <c r="P186" s="1">
        <v>13.94</v>
      </c>
      <c r="Q186" s="1" t="s">
        <v>1419</v>
      </c>
      <c r="R186" s="1" t="s">
        <v>1420</v>
      </c>
      <c r="S186" s="1">
        <v>45.125300000000003</v>
      </c>
      <c r="T186" s="1">
        <v>9.2899999999999991</v>
      </c>
      <c r="U186" s="1" t="s">
        <v>1421</v>
      </c>
      <c r="V186" s="1" t="s">
        <v>1422</v>
      </c>
      <c r="W186" s="1">
        <v>42.956499999999998</v>
      </c>
      <c r="X186" s="1">
        <v>8.84</v>
      </c>
      <c r="Y186" s="1" t="s">
        <v>1423</v>
      </c>
      <c r="Z186" s="1" t="s">
        <v>1424</v>
      </c>
      <c r="AA186" s="1">
        <v>38.740099999999998</v>
      </c>
      <c r="AB186" s="1">
        <v>7.97</v>
      </c>
    </row>
    <row r="187" spans="1:28" x14ac:dyDescent="0.45">
      <c r="A187" s="1" t="s">
        <v>2469</v>
      </c>
      <c r="B187" s="1" t="s">
        <v>2470</v>
      </c>
      <c r="C187" s="1">
        <v>17</v>
      </c>
      <c r="D187" s="10">
        <f ca="1">IFERROR(([1]!thsiFinD("ths_close_price_index",$A187,$AE$2,"","")/[1]!thsiFinD("ths_close_price_index",$A187,$AE$5,"","")-1)*100,"")</f>
        <v>-21.500291176791343</v>
      </c>
      <c r="E187" s="10">
        <f ca="1">IFERROR(([1]!thsiFinD("ths_close_price_index",$A187,$AE$2,"","")/[1]!thsiFinD("ths_close_price_index",$A187,$AE$3,"","")-1)*100,"")</f>
        <v>-3.2632248255920149</v>
      </c>
      <c r="F187" s="10">
        <f ca="1">IFERROR(([1]!thsiFinD("ths_close_price_index",$A187,$AE$2,"","")/[1]!thsiFinD("ths_close_price_index",$A187,$AE$4,"","")-1)*100,"")</f>
        <v>-6.7557959331833057</v>
      </c>
      <c r="G187" s="11">
        <f t="shared" ca="1" si="2"/>
        <v>-0.31485516845923767</v>
      </c>
      <c r="H187" s="1">
        <v>49.78</v>
      </c>
      <c r="I187" s="1" t="s">
        <v>2471</v>
      </c>
      <c r="J187" s="1" t="s">
        <v>2472</v>
      </c>
      <c r="K187" s="1">
        <v>94.710700000000003</v>
      </c>
      <c r="L187" s="1">
        <v>20.93</v>
      </c>
      <c r="M187" s="1" t="s">
        <v>2473</v>
      </c>
      <c r="N187" s="1" t="s">
        <v>2474</v>
      </c>
      <c r="O187" s="1">
        <v>39.196599999999997</v>
      </c>
      <c r="P187" s="1">
        <v>8.66</v>
      </c>
      <c r="Q187" s="1" t="s">
        <v>2475</v>
      </c>
      <c r="R187" s="1" t="s">
        <v>2476</v>
      </c>
      <c r="S187" s="1">
        <v>34.944899999999997</v>
      </c>
      <c r="T187" s="1">
        <v>7.72</v>
      </c>
      <c r="U187" s="1" t="s">
        <v>2477</v>
      </c>
      <c r="V187" s="1" t="s">
        <v>2478</v>
      </c>
      <c r="W187" s="1">
        <v>29.917100000000001</v>
      </c>
      <c r="X187" s="1">
        <v>6.61</v>
      </c>
      <c r="Y187" s="1" t="s">
        <v>2479</v>
      </c>
      <c r="Z187" s="1" t="s">
        <v>2480</v>
      </c>
      <c r="AA187" s="1">
        <v>26.502800000000001</v>
      </c>
      <c r="AB187" s="1">
        <v>5.86</v>
      </c>
    </row>
    <row r="188" spans="1:28" x14ac:dyDescent="0.45">
      <c r="A188" s="1" t="s">
        <v>1461</v>
      </c>
      <c r="B188" s="1" t="s">
        <v>1462</v>
      </c>
      <c r="C188" s="1">
        <v>10</v>
      </c>
      <c r="D188" s="10">
        <f ca="1">IFERROR(([1]!thsiFinD("ths_close_price_index",$A188,$AE$2,"","")/[1]!thsiFinD("ths_close_price_index",$A188,$AE$5,"","")-1)*100,"")</f>
        <v>-7.7444605335111438</v>
      </c>
      <c r="E188" s="10">
        <f ca="1">IFERROR(([1]!thsiFinD("ths_close_price_index",$A188,$AE$2,"","")/[1]!thsiFinD("ths_close_price_index",$A188,$AE$3,"","")-1)*100,"")</f>
        <v>-1.450328199115769</v>
      </c>
      <c r="F188" s="10">
        <f ca="1">IFERROR(([1]!thsiFinD("ths_close_price_index",$A188,$AE$2,"","")/[1]!thsiFinD("ths_close_price_index",$A188,$AE$4,"","")-1)*100,"")</f>
        <v>-2.7386123529289597</v>
      </c>
      <c r="G188" s="11">
        <f t="shared" ca="1" si="2"/>
        <v>-0.15313502217670583</v>
      </c>
      <c r="H188" s="1">
        <v>75.53</v>
      </c>
      <c r="I188" s="1" t="s">
        <v>1463</v>
      </c>
      <c r="J188" s="1" t="s">
        <v>1464</v>
      </c>
      <c r="K188" s="1">
        <v>453.10199999999998</v>
      </c>
      <c r="L188" s="1">
        <v>28.61</v>
      </c>
      <c r="M188" s="1" t="s">
        <v>1465</v>
      </c>
      <c r="N188" s="1" t="s">
        <v>1466</v>
      </c>
      <c r="O188" s="1">
        <v>329.2371</v>
      </c>
      <c r="P188" s="1">
        <v>20.79</v>
      </c>
      <c r="Q188" s="1" t="s">
        <v>1467</v>
      </c>
      <c r="R188" s="1" t="s">
        <v>1468</v>
      </c>
      <c r="S188" s="1">
        <v>197.1002</v>
      </c>
      <c r="T188" s="1">
        <v>12.45</v>
      </c>
      <c r="U188" s="1" t="s">
        <v>1469</v>
      </c>
      <c r="V188" s="1" t="s">
        <v>1470</v>
      </c>
      <c r="W188" s="1">
        <v>117.3083</v>
      </c>
      <c r="X188" s="1">
        <v>7.41</v>
      </c>
      <c r="Y188" s="1" t="s">
        <v>1471</v>
      </c>
      <c r="Z188" s="1" t="s">
        <v>1472</v>
      </c>
      <c r="AA188" s="1">
        <v>99.3536</v>
      </c>
      <c r="AB188" s="1">
        <v>6.27</v>
      </c>
    </row>
    <row r="189" spans="1:28" x14ac:dyDescent="0.45">
      <c r="A189" s="1" t="s">
        <v>1887</v>
      </c>
      <c r="B189" s="1" t="s">
        <v>1888</v>
      </c>
      <c r="C189" s="1">
        <v>5</v>
      </c>
      <c r="D189" s="10">
        <f ca="1">IFERROR(([1]!thsiFinD("ths_close_price_index",$A189,$AE$2,"","")/[1]!thsiFinD("ths_close_price_index",$A189,$AE$5,"","")-1)*100,"")</f>
        <v>-11.068151600205223</v>
      </c>
      <c r="E189" s="10">
        <f ca="1">IFERROR(([1]!thsiFinD("ths_close_price_index",$A189,$AE$2,"","")/[1]!thsiFinD("ths_close_price_index",$A189,$AE$3,"","")-1)*100,"")</f>
        <v>0.11428290301445099</v>
      </c>
      <c r="F189" s="10">
        <f ca="1">IFERROR(([1]!thsiFinD("ths_close_price_index",$A189,$AE$2,"","")/[1]!thsiFinD("ths_close_price_index",$A189,$AE$4,"","")-1)*100,"")</f>
        <v>-12.665896044282743</v>
      </c>
      <c r="G189" s="11">
        <f t="shared" ca="1" si="2"/>
        <v>0.65615138281702734</v>
      </c>
      <c r="H189" s="1">
        <v>100.01</v>
      </c>
      <c r="I189" s="1" t="s">
        <v>1889</v>
      </c>
      <c r="J189" s="1" t="s">
        <v>1890</v>
      </c>
      <c r="K189" s="1">
        <v>181.96969999999999</v>
      </c>
      <c r="L189" s="1">
        <v>58.95</v>
      </c>
      <c r="M189" s="1" t="s">
        <v>1891</v>
      </c>
      <c r="N189" s="1" t="s">
        <v>1892</v>
      </c>
      <c r="O189" s="1">
        <v>75.210800000000006</v>
      </c>
      <c r="P189" s="1">
        <v>24.37</v>
      </c>
      <c r="Q189" s="1" t="s">
        <v>1893</v>
      </c>
      <c r="R189" s="1" t="s">
        <v>1894</v>
      </c>
      <c r="S189" s="1">
        <v>29.847999999999999</v>
      </c>
      <c r="T189" s="1">
        <v>9.67</v>
      </c>
      <c r="U189" s="1" t="s">
        <v>1895</v>
      </c>
      <c r="V189" s="1" t="s">
        <v>1896</v>
      </c>
      <c r="W189" s="1">
        <v>11.97</v>
      </c>
      <c r="X189" s="1">
        <v>3.88</v>
      </c>
      <c r="Y189" s="1" t="s">
        <v>1897</v>
      </c>
      <c r="Z189" s="1" t="s">
        <v>1898</v>
      </c>
      <c r="AA189" s="1">
        <v>9.6791</v>
      </c>
      <c r="AB189" s="1">
        <v>3.14</v>
      </c>
    </row>
    <row r="190" spans="1:28" x14ac:dyDescent="0.45">
      <c r="A190" s="1" t="s">
        <v>2283</v>
      </c>
      <c r="B190" s="1" t="s">
        <v>2284</v>
      </c>
      <c r="C190" s="1">
        <v>15</v>
      </c>
      <c r="D190" s="10">
        <f ca="1">IFERROR(([1]!thsiFinD("ths_close_price_index",$A190,$AE$2,"","")/[1]!thsiFinD("ths_close_price_index",$A190,$AE$5,"","")-1)*100,"")</f>
        <v>-18.747978672365463</v>
      </c>
      <c r="E190" s="10">
        <f ca="1">IFERROR(([1]!thsiFinD("ths_close_price_index",$A190,$AE$2,"","")/[1]!thsiFinD("ths_close_price_index",$A190,$AE$3,"","")-1)*100,"")</f>
        <v>-3.5500376930314714</v>
      </c>
      <c r="F190" s="10">
        <f ca="1">IFERROR(([1]!thsiFinD("ths_close_price_index",$A190,$AE$2,"","")/[1]!thsiFinD("ths_close_price_index",$A190,$AE$4,"","")-1)*100,"")</f>
        <v>-7.2909706238864285</v>
      </c>
      <c r="G190" s="11">
        <f t="shared" ca="1" si="2"/>
        <v>-0.34545900741197288</v>
      </c>
      <c r="H190" s="1">
        <v>55.85</v>
      </c>
      <c r="I190" s="1" t="s">
        <v>2285</v>
      </c>
      <c r="J190" s="1" t="s">
        <v>2286</v>
      </c>
      <c r="K190" s="1">
        <v>79.510900000000007</v>
      </c>
      <c r="L190" s="1">
        <v>15.7</v>
      </c>
      <c r="M190" s="1" t="s">
        <v>2287</v>
      </c>
      <c r="N190" s="1" t="s">
        <v>2288</v>
      </c>
      <c r="O190" s="1">
        <v>60.894199999999998</v>
      </c>
      <c r="P190" s="1">
        <v>12.02</v>
      </c>
      <c r="Q190" s="1" t="s">
        <v>2289</v>
      </c>
      <c r="R190" s="1" t="s">
        <v>2290</v>
      </c>
      <c r="S190" s="1">
        <v>52.578699999999998</v>
      </c>
      <c r="T190" s="1">
        <v>10.38</v>
      </c>
      <c r="U190" s="1" t="s">
        <v>2291</v>
      </c>
      <c r="V190" s="1" t="s">
        <v>2292</v>
      </c>
      <c r="W190" s="1">
        <v>45.932200000000002</v>
      </c>
      <c r="X190" s="1">
        <v>9.07</v>
      </c>
      <c r="Y190" s="1" t="s">
        <v>2293</v>
      </c>
      <c r="Z190" s="1" t="s">
        <v>2294</v>
      </c>
      <c r="AA190" s="1">
        <v>43.965299999999999</v>
      </c>
      <c r="AB190" s="1">
        <v>8.68</v>
      </c>
    </row>
    <row r="191" spans="1:28" x14ac:dyDescent="0.45">
      <c r="A191" s="1" t="s">
        <v>1599</v>
      </c>
      <c r="B191" s="1" t="s">
        <v>1600</v>
      </c>
      <c r="C191" s="1">
        <v>6</v>
      </c>
      <c r="D191" s="10">
        <f ca="1">IFERROR(([1]!thsiFinD("ths_close_price_index",$A191,$AE$2,"","")/[1]!thsiFinD("ths_close_price_index",$A191,$AE$5,"","")-1)*100,"")</f>
        <v>-8.6232202089006513</v>
      </c>
      <c r="E191" s="10">
        <f ca="1">IFERROR(([1]!thsiFinD("ths_close_price_index",$A191,$AE$2,"","")/[1]!thsiFinD("ths_close_price_index",$A191,$AE$3,"","")-1)*100,"")</f>
        <v>-0.66821902952175494</v>
      </c>
      <c r="F191" s="10">
        <f ca="1">IFERROR(([1]!thsiFinD("ths_close_price_index",$A191,$AE$2,"","")/[1]!thsiFinD("ths_close_price_index",$A191,$AE$4,"","")-1)*100,"")</f>
        <v>0.57324114974324214</v>
      </c>
      <c r="G191" s="11">
        <f t="shared" ca="1" si="2"/>
        <v>-0.16230586339151309</v>
      </c>
      <c r="H191" s="1">
        <v>93.24</v>
      </c>
      <c r="I191" s="1" t="s">
        <v>1601</v>
      </c>
      <c r="J191" s="1" t="s">
        <v>1602</v>
      </c>
      <c r="K191" s="1">
        <v>2245.8737999999998</v>
      </c>
      <c r="L191" s="1">
        <v>29.91</v>
      </c>
      <c r="M191" s="1" t="s">
        <v>1603</v>
      </c>
      <c r="N191" s="1" t="s">
        <v>1604</v>
      </c>
      <c r="O191" s="1">
        <v>1831.7479000000001</v>
      </c>
      <c r="P191" s="1">
        <v>24.4</v>
      </c>
      <c r="Q191" s="1" t="s">
        <v>1605</v>
      </c>
      <c r="R191" s="1" t="s">
        <v>1606</v>
      </c>
      <c r="S191" s="1">
        <v>1536.5112999999999</v>
      </c>
      <c r="T191" s="1">
        <v>20.47</v>
      </c>
      <c r="U191" s="1" t="s">
        <v>1607</v>
      </c>
      <c r="V191" s="1" t="s">
        <v>1608</v>
      </c>
      <c r="W191" s="1">
        <v>726.01170000000002</v>
      </c>
      <c r="X191" s="1">
        <v>9.67</v>
      </c>
      <c r="Y191" s="1" t="s">
        <v>1609</v>
      </c>
      <c r="Z191" s="1" t="s">
        <v>1610</v>
      </c>
      <c r="AA191" s="1">
        <v>660.05229999999995</v>
      </c>
      <c r="AB191" s="1">
        <v>8.7899999999999991</v>
      </c>
    </row>
    <row r="192" spans="1:28" x14ac:dyDescent="0.45">
      <c r="A192" s="1" t="s">
        <v>2843</v>
      </c>
      <c r="B192" s="1" t="s">
        <v>2844</v>
      </c>
      <c r="C192" s="1">
        <v>26</v>
      </c>
      <c r="D192" s="10">
        <f ca="1">IFERROR(([1]!thsiFinD("ths_close_price_index",$A192,$AE$2,"","")/[1]!thsiFinD("ths_close_price_index",$A192,$AE$5,"","")-1)*100,"")</f>
        <v>-28.551305787362924</v>
      </c>
      <c r="E192" s="10">
        <f ca="1">IFERROR(([1]!thsiFinD("ths_close_price_index",$A192,$AE$2,"","")/[1]!thsiFinD("ths_close_price_index",$A192,$AE$3,"","")-1)*100,"")</f>
        <v>-3.8910514631236071</v>
      </c>
      <c r="F192" s="10">
        <f ca="1">IFERROR(([1]!thsiFinD("ths_close_price_index",$A192,$AE$2,"","")/[1]!thsiFinD("ths_close_price_index",$A192,$AE$4,"","")-1)*100,"")</f>
        <v>-12.647484881540393</v>
      </c>
      <c r="G192" s="11">
        <f t="shared" ca="1" si="2"/>
        <v>-0.14583604854770171</v>
      </c>
      <c r="H192" s="1">
        <v>95.96</v>
      </c>
      <c r="I192" s="1" t="s">
        <v>2845</v>
      </c>
      <c r="J192" s="1" t="s">
        <v>2846</v>
      </c>
      <c r="K192" s="1">
        <v>1200</v>
      </c>
      <c r="L192" s="1">
        <v>65.430000000000007</v>
      </c>
      <c r="M192" s="1" t="s">
        <v>2847</v>
      </c>
      <c r="N192" s="1" t="s">
        <v>2848</v>
      </c>
      <c r="O192" s="1">
        <v>350</v>
      </c>
      <c r="P192" s="1">
        <v>19.079999999999998</v>
      </c>
      <c r="Q192" s="1" t="s">
        <v>2849</v>
      </c>
      <c r="R192" s="1" t="s">
        <v>2850</v>
      </c>
      <c r="S192" s="1">
        <v>90</v>
      </c>
      <c r="T192" s="1">
        <v>4.91</v>
      </c>
      <c r="U192" s="1" t="s">
        <v>2851</v>
      </c>
      <c r="V192" s="1" t="s">
        <v>2852</v>
      </c>
      <c r="W192" s="1">
        <v>80</v>
      </c>
      <c r="X192" s="1">
        <v>4.3600000000000003</v>
      </c>
      <c r="Y192" s="1" t="s">
        <v>2853</v>
      </c>
      <c r="Z192" s="1" t="s">
        <v>2854</v>
      </c>
      <c r="AA192" s="1">
        <v>40</v>
      </c>
      <c r="AB192" s="1">
        <v>2.1800000000000002</v>
      </c>
    </row>
    <row r="193" spans="1:28" x14ac:dyDescent="0.45">
      <c r="A193" s="1" t="s">
        <v>1019</v>
      </c>
      <c r="B193" s="1" t="s">
        <v>1020</v>
      </c>
      <c r="C193" s="1">
        <v>22</v>
      </c>
      <c r="D193" s="10">
        <f ca="1">IFERROR(([1]!thsiFinD("ths_close_price_index",$A193,$AE$2,"","")/[1]!thsiFinD("ths_close_price_index",$A193,$AE$5,"","")-1)*100,"")</f>
        <v>0.51904572208061328</v>
      </c>
      <c r="E193" s="10">
        <f ca="1">IFERROR(([1]!thsiFinD("ths_close_price_index",$A193,$AE$2,"","")/[1]!thsiFinD("ths_close_price_index",$A193,$AE$3,"","")-1)*100,"")</f>
        <v>-4.3823398765368111</v>
      </c>
      <c r="F193" s="10">
        <f ca="1">IFERROR(([1]!thsiFinD("ths_close_price_index",$A193,$AE$2,"","")/[1]!thsiFinD("ths_close_price_index",$A193,$AE$4,"","")-1)*100,"")</f>
        <v>-12.638442393300565</v>
      </c>
      <c r="G193" s="11">
        <f t="shared" ca="1" si="2"/>
        <v>-0.244545855642334</v>
      </c>
      <c r="H193" s="1">
        <v>61.29</v>
      </c>
      <c r="I193" s="1" t="s">
        <v>1021</v>
      </c>
      <c r="J193" s="1" t="s">
        <v>1022</v>
      </c>
      <c r="K193" s="1">
        <v>278.41410000000002</v>
      </c>
      <c r="L193" s="1">
        <v>25.34</v>
      </c>
      <c r="M193" s="1" t="s">
        <v>1023</v>
      </c>
      <c r="N193" s="1" t="s">
        <v>1024</v>
      </c>
      <c r="O193" s="1">
        <v>108.9864</v>
      </c>
      <c r="P193" s="1">
        <v>9.92</v>
      </c>
      <c r="Q193" s="1" t="s">
        <v>1025</v>
      </c>
      <c r="R193" s="1" t="s">
        <v>1026</v>
      </c>
      <c r="S193" s="1">
        <v>104.04089999999999</v>
      </c>
      <c r="T193" s="1">
        <v>9.4700000000000006</v>
      </c>
      <c r="U193" s="1" t="s">
        <v>1027</v>
      </c>
      <c r="V193" s="1" t="s">
        <v>1028</v>
      </c>
      <c r="W193" s="1">
        <v>97.580100000000002</v>
      </c>
      <c r="X193" s="1">
        <v>8.8800000000000008</v>
      </c>
      <c r="Y193" s="1" t="s">
        <v>1029</v>
      </c>
      <c r="Z193" s="1" t="s">
        <v>1030</v>
      </c>
      <c r="AA193" s="1">
        <v>84.403300000000002</v>
      </c>
      <c r="AB193" s="1">
        <v>7.68</v>
      </c>
    </row>
    <row r="194" spans="1:28" x14ac:dyDescent="0.45">
      <c r="A194" s="1" t="s">
        <v>959</v>
      </c>
      <c r="B194" s="1" t="s">
        <v>960</v>
      </c>
      <c r="C194" s="1">
        <v>17</v>
      </c>
      <c r="D194" s="10">
        <f ca="1">IFERROR(([1]!thsiFinD("ths_close_price_index",$A194,$AE$2,"","")/[1]!thsiFinD("ths_close_price_index",$A194,$AE$5,"","")-1)*100,"")</f>
        <v>10.008296148677843</v>
      </c>
      <c r="E194" s="10">
        <f ca="1">IFERROR(([1]!thsiFinD("ths_close_price_index",$A194,$AE$2,"","")/[1]!thsiFinD("ths_close_price_index",$A194,$AE$3,"","")-1)*100,"")</f>
        <v>3.232458694985163</v>
      </c>
      <c r="F194" s="10">
        <f ca="1">IFERROR(([1]!thsiFinD("ths_close_price_index",$A194,$AE$2,"","")/[1]!thsiFinD("ths_close_price_index",$A194,$AE$4,"","")-1)*100,"")</f>
        <v>0.71566694339570969</v>
      </c>
      <c r="G194" s="11">
        <f t="shared" ref="G194:G257" ca="1" si="3">IFERROR(E194/5-F194/20,"")</f>
        <v>0.61070839182724712</v>
      </c>
      <c r="H194" s="1">
        <v>59.15</v>
      </c>
      <c r="I194" s="1" t="s">
        <v>961</v>
      </c>
      <c r="J194" s="1" t="s">
        <v>962</v>
      </c>
      <c r="K194" s="1">
        <v>160.38640000000001</v>
      </c>
      <c r="L194" s="1">
        <v>15.09</v>
      </c>
      <c r="M194" s="1" t="s">
        <v>963</v>
      </c>
      <c r="N194" s="1" t="s">
        <v>964</v>
      </c>
      <c r="O194" s="1">
        <v>132.26920000000001</v>
      </c>
      <c r="P194" s="1">
        <v>12.44</v>
      </c>
      <c r="Q194" s="1" t="s">
        <v>965</v>
      </c>
      <c r="R194" s="1" t="s">
        <v>966</v>
      </c>
      <c r="S194" s="1">
        <v>122.2552</v>
      </c>
      <c r="T194" s="1">
        <v>11.5</v>
      </c>
      <c r="U194" s="1" t="s">
        <v>967</v>
      </c>
      <c r="V194" s="1" t="s">
        <v>968</v>
      </c>
      <c r="W194" s="1">
        <v>115.92959999999999</v>
      </c>
      <c r="X194" s="1">
        <v>10.9</v>
      </c>
      <c r="Y194" s="1" t="s">
        <v>969</v>
      </c>
      <c r="Z194" s="1" t="s">
        <v>970</v>
      </c>
      <c r="AA194" s="1">
        <v>98.037899999999993</v>
      </c>
      <c r="AB194" s="1">
        <v>9.2200000000000006</v>
      </c>
    </row>
    <row r="195" spans="1:28" x14ac:dyDescent="0.45">
      <c r="A195" s="1" t="s">
        <v>1587</v>
      </c>
      <c r="B195" s="1" t="s">
        <v>1588</v>
      </c>
      <c r="C195" s="1">
        <v>21</v>
      </c>
      <c r="D195" s="10">
        <f ca="1">IFERROR(([1]!thsiFinD("ths_close_price_index",$A195,$AE$2,"","")/[1]!thsiFinD("ths_close_price_index",$A195,$AE$5,"","")-1)*100,"")</f>
        <v>-13.738520196143611</v>
      </c>
      <c r="E195" s="10">
        <f ca="1">IFERROR(([1]!thsiFinD("ths_close_price_index",$A195,$AE$2,"","")/[1]!thsiFinD("ths_close_price_index",$A195,$AE$3,"","")-1)*100,"")</f>
        <v>-6.2436943429611258</v>
      </c>
      <c r="F195" s="10">
        <f ca="1">IFERROR(([1]!thsiFinD("ths_close_price_index",$A195,$AE$2,"","")/[1]!thsiFinD("ths_close_price_index",$A195,$AE$4,"","")-1)*100,"")</f>
        <v>-10.1626001232897</v>
      </c>
      <c r="G195" s="11">
        <f t="shared" ca="1" si="3"/>
        <v>-0.74060886242774016</v>
      </c>
      <c r="H195" s="1">
        <v>47.3</v>
      </c>
      <c r="I195" s="1" t="s">
        <v>1589</v>
      </c>
      <c r="J195" s="1" t="s">
        <v>1590</v>
      </c>
      <c r="K195" s="1">
        <v>34.021799999999999</v>
      </c>
      <c r="L195" s="1">
        <v>11.55</v>
      </c>
      <c r="M195" s="1" t="s">
        <v>1591</v>
      </c>
      <c r="N195" s="1" t="s">
        <v>1592</v>
      </c>
      <c r="O195" s="1">
        <v>30.645800000000001</v>
      </c>
      <c r="P195" s="1">
        <v>10.4</v>
      </c>
      <c r="Q195" s="1" t="s">
        <v>1593</v>
      </c>
      <c r="R195" s="1" t="s">
        <v>1594</v>
      </c>
      <c r="S195" s="1">
        <v>27.444299999999998</v>
      </c>
      <c r="T195" s="1">
        <v>9.31</v>
      </c>
      <c r="U195" s="1" t="s">
        <v>1595</v>
      </c>
      <c r="V195" s="1" t="s">
        <v>1596</v>
      </c>
      <c r="W195" s="1">
        <v>24.525700000000001</v>
      </c>
      <c r="X195" s="1">
        <v>8.32</v>
      </c>
      <c r="Y195" s="1" t="s">
        <v>1597</v>
      </c>
      <c r="Z195" s="1" t="s">
        <v>1598</v>
      </c>
      <c r="AA195" s="1">
        <v>22.735399999999998</v>
      </c>
      <c r="AB195" s="1">
        <v>7.72</v>
      </c>
    </row>
    <row r="196" spans="1:28" x14ac:dyDescent="0.45">
      <c r="A196" s="1" t="s">
        <v>401</v>
      </c>
      <c r="B196" s="1" t="s">
        <v>402</v>
      </c>
      <c r="C196" s="1">
        <v>13</v>
      </c>
      <c r="D196" s="10">
        <f ca="1">IFERROR(([1]!thsiFinD("ths_close_price_index",$A196,$AE$2,"","")/[1]!thsiFinD("ths_close_price_index",$A196,$AE$5,"","")-1)*100,"")</f>
        <v>30.04976579675105</v>
      </c>
      <c r="E196" s="10">
        <f ca="1">IFERROR(([1]!thsiFinD("ths_close_price_index",$A196,$AE$2,"","")/[1]!thsiFinD("ths_close_price_index",$A196,$AE$3,"","")-1)*100,"")</f>
        <v>0.20972669392809173</v>
      </c>
      <c r="F196" s="10">
        <f ca="1">IFERROR(([1]!thsiFinD("ths_close_price_index",$A196,$AE$2,"","")/[1]!thsiFinD("ths_close_price_index",$A196,$AE$4,"","")-1)*100,"")</f>
        <v>1.4328823364438081</v>
      </c>
      <c r="G196" s="11">
        <f t="shared" ca="1" si="3"/>
        <v>-2.969877803657206E-2</v>
      </c>
      <c r="H196" s="1">
        <v>91.16</v>
      </c>
      <c r="I196" s="1" t="s">
        <v>403</v>
      </c>
      <c r="J196" s="1" t="s">
        <v>404</v>
      </c>
      <c r="K196" s="1">
        <v>470.7047</v>
      </c>
      <c r="L196" s="1">
        <v>32.97</v>
      </c>
      <c r="M196" s="1" t="s">
        <v>405</v>
      </c>
      <c r="N196" s="1" t="s">
        <v>406</v>
      </c>
      <c r="O196" s="1">
        <v>464.0994</v>
      </c>
      <c r="P196" s="1">
        <v>32.51</v>
      </c>
      <c r="Q196" s="1" t="s">
        <v>407</v>
      </c>
      <c r="R196" s="1" t="s">
        <v>408</v>
      </c>
      <c r="S196" s="1">
        <v>156.01179999999999</v>
      </c>
      <c r="T196" s="1">
        <v>10.93</v>
      </c>
      <c r="U196" s="1" t="s">
        <v>409</v>
      </c>
      <c r="V196" s="1" t="s">
        <v>410</v>
      </c>
      <c r="W196" s="1">
        <v>107.40349999999999</v>
      </c>
      <c r="X196" s="1">
        <v>7.52</v>
      </c>
      <c r="Y196" s="1" t="s">
        <v>411</v>
      </c>
      <c r="Z196" s="1" t="s">
        <v>412</v>
      </c>
      <c r="AA196" s="1">
        <v>103.208</v>
      </c>
      <c r="AB196" s="1">
        <v>7.23</v>
      </c>
    </row>
    <row r="197" spans="1:28" x14ac:dyDescent="0.45">
      <c r="A197" s="1" t="s">
        <v>665</v>
      </c>
      <c r="B197" s="1" t="s">
        <v>666</v>
      </c>
      <c r="C197" s="1">
        <v>18</v>
      </c>
      <c r="D197" s="10">
        <f ca="1">IFERROR(([1]!thsiFinD("ths_close_price_index",$A197,$AE$2,"","")/[1]!thsiFinD("ths_close_price_index",$A197,$AE$5,"","")-1)*100,"")</f>
        <v>15.168459853349713</v>
      </c>
      <c r="E197" s="10">
        <f ca="1">IFERROR(([1]!thsiFinD("ths_close_price_index",$A197,$AE$2,"","")/[1]!thsiFinD("ths_close_price_index",$A197,$AE$3,"","")-1)*100,"")</f>
        <v>1.4525423845957341</v>
      </c>
      <c r="F197" s="10">
        <f ca="1">IFERROR(([1]!thsiFinD("ths_close_price_index",$A197,$AE$2,"","")/[1]!thsiFinD("ths_close_price_index",$A197,$AE$4,"","")-1)*100,"")</f>
        <v>5.2863051581012677</v>
      </c>
      <c r="G197" s="11">
        <f t="shared" ca="1" si="3"/>
        <v>2.6193219014083446E-2</v>
      </c>
      <c r="H197" s="1">
        <v>99.14</v>
      </c>
      <c r="I197" s="1" t="s">
        <v>667</v>
      </c>
      <c r="J197" s="1" t="s">
        <v>668</v>
      </c>
      <c r="K197" s="1">
        <v>1097.0905</v>
      </c>
      <c r="L197" s="1">
        <v>71.650000000000006</v>
      </c>
      <c r="M197" s="1" t="s">
        <v>669</v>
      </c>
      <c r="N197" s="1" t="s">
        <v>670</v>
      </c>
      <c r="O197" s="1">
        <v>347.6508</v>
      </c>
      <c r="P197" s="1">
        <v>22.7</v>
      </c>
      <c r="Q197" s="1" t="s">
        <v>671</v>
      </c>
      <c r="R197" s="1" t="s">
        <v>672</v>
      </c>
      <c r="S197" s="1">
        <v>44.655799999999999</v>
      </c>
      <c r="T197" s="1">
        <v>2.92</v>
      </c>
      <c r="U197" s="1" t="s">
        <v>673</v>
      </c>
      <c r="V197" s="1" t="s">
        <v>674</v>
      </c>
      <c r="W197" s="1">
        <v>15.489599999999999</v>
      </c>
      <c r="X197" s="1">
        <v>1.01</v>
      </c>
      <c r="Y197" s="1" t="s">
        <v>675</v>
      </c>
      <c r="Z197" s="1" t="s">
        <v>676</v>
      </c>
      <c r="AA197" s="1">
        <v>13.2399</v>
      </c>
      <c r="AB197" s="1">
        <v>0.86</v>
      </c>
    </row>
    <row r="198" spans="1:28" x14ac:dyDescent="0.45">
      <c r="A198" s="1" t="s">
        <v>2397</v>
      </c>
      <c r="B198" s="1" t="s">
        <v>2398</v>
      </c>
      <c r="C198" s="1">
        <v>16</v>
      </c>
      <c r="D198" s="10">
        <f ca="1">IFERROR(([1]!thsiFinD("ths_close_price_index",$A198,$AE$2,"","")/[1]!thsiFinD("ths_close_price_index",$A198,$AE$5,"","")-1)*100,"")</f>
        <v>-20.194058042336305</v>
      </c>
      <c r="E198" s="10">
        <f ca="1">IFERROR(([1]!thsiFinD("ths_close_price_index",$A198,$AE$2,"","")/[1]!thsiFinD("ths_close_price_index",$A198,$AE$3,"","")-1)*100,"")</f>
        <v>-3.192089506826401</v>
      </c>
      <c r="F198" s="10">
        <f ca="1">IFERROR(([1]!thsiFinD("ths_close_price_index",$A198,$AE$2,"","")/[1]!thsiFinD("ths_close_price_index",$A198,$AE$4,"","")-1)*100,"")</f>
        <v>-7.20251186300559</v>
      </c>
      <c r="G198" s="11">
        <f t="shared" ca="1" si="3"/>
        <v>-0.27829230821500073</v>
      </c>
      <c r="H198" s="1">
        <v>83.64</v>
      </c>
      <c r="I198" s="1" t="s">
        <v>2399</v>
      </c>
      <c r="J198" s="1" t="s">
        <v>2400</v>
      </c>
      <c r="K198" s="1">
        <v>500.98</v>
      </c>
      <c r="L198" s="1">
        <v>34.64</v>
      </c>
      <c r="M198" s="1" t="s">
        <v>2401</v>
      </c>
      <c r="N198" s="1" t="s">
        <v>2402</v>
      </c>
      <c r="O198" s="1">
        <v>433.65440000000001</v>
      </c>
      <c r="P198" s="1">
        <v>29.98</v>
      </c>
      <c r="Q198" s="1" t="s">
        <v>2403</v>
      </c>
      <c r="R198" s="1" t="s">
        <v>2404</v>
      </c>
      <c r="S198" s="1">
        <v>107.9126</v>
      </c>
      <c r="T198" s="1">
        <v>7.46</v>
      </c>
      <c r="U198" s="1" t="s">
        <v>2405</v>
      </c>
      <c r="V198" s="1" t="s">
        <v>2406</v>
      </c>
      <c r="W198" s="1">
        <v>88.611199999999997</v>
      </c>
      <c r="X198" s="1">
        <v>6.13</v>
      </c>
      <c r="Y198" s="1" t="s">
        <v>2407</v>
      </c>
      <c r="Z198" s="1" t="s">
        <v>2408</v>
      </c>
      <c r="AA198" s="1">
        <v>78.5762</v>
      </c>
      <c r="AB198" s="1">
        <v>5.43</v>
      </c>
    </row>
    <row r="199" spans="1:28" x14ac:dyDescent="0.45">
      <c r="A199" s="1" t="s">
        <v>2893</v>
      </c>
      <c r="B199" s="1" t="s">
        <v>2894</v>
      </c>
      <c r="C199" s="1">
        <v>4</v>
      </c>
      <c r="D199" s="10">
        <f ca="1">IFERROR(([1]!thsiFinD("ths_close_price_index",$A199,$AE$2,"","")/[1]!thsiFinD("ths_close_price_index",$A199,$AE$5,"","")-1)*100,"")</f>
        <v>-30.441460218559811</v>
      </c>
      <c r="E199" s="10">
        <f ca="1">IFERROR(([1]!thsiFinD("ths_close_price_index",$A199,$AE$2,"","")/[1]!thsiFinD("ths_close_price_index",$A199,$AE$3,"","")-1)*100,"")</f>
        <v>-4.2416758314546605</v>
      </c>
      <c r="F199" s="10">
        <f ca="1">IFERROR(([1]!thsiFinD("ths_close_price_index",$A199,$AE$2,"","")/[1]!thsiFinD("ths_close_price_index",$A199,$AE$4,"","")-1)*100,"")</f>
        <v>-12.893692021711011</v>
      </c>
      <c r="G199" s="11">
        <f t="shared" ca="1" si="3"/>
        <v>-0.2036505652053815</v>
      </c>
      <c r="H199" s="1">
        <v>100</v>
      </c>
      <c r="I199" s="1" t="s">
        <v>2895</v>
      </c>
      <c r="J199" s="1" t="s">
        <v>2896</v>
      </c>
      <c r="K199" s="1">
        <v>29.5533</v>
      </c>
      <c r="L199" s="1">
        <v>37.22</v>
      </c>
      <c r="M199" s="1" t="s">
        <v>2897</v>
      </c>
      <c r="N199" s="1" t="s">
        <v>2898</v>
      </c>
      <c r="O199" s="1">
        <v>20.832999999999998</v>
      </c>
      <c r="P199" s="1">
        <v>26.24</v>
      </c>
      <c r="Q199" s="1" t="s">
        <v>2899</v>
      </c>
      <c r="R199" s="1" t="s">
        <v>2900</v>
      </c>
      <c r="S199" s="1">
        <v>18.481200000000001</v>
      </c>
      <c r="T199" s="1">
        <v>23.28</v>
      </c>
      <c r="U199" s="1" t="s">
        <v>2901</v>
      </c>
      <c r="V199" s="1" t="s">
        <v>2902</v>
      </c>
      <c r="W199" s="1">
        <v>10.528600000000001</v>
      </c>
      <c r="X199" s="1">
        <v>13.26</v>
      </c>
    </row>
    <row r="200" spans="1:28" x14ac:dyDescent="0.45">
      <c r="A200" s="1" t="s">
        <v>1111</v>
      </c>
      <c r="B200" s="1" t="s">
        <v>1112</v>
      </c>
      <c r="C200" s="1">
        <v>9</v>
      </c>
      <c r="D200" s="10">
        <f ca="1">IFERROR(([1]!thsiFinD("ths_close_price_index",$A200,$AE$2,"","")/[1]!thsiFinD("ths_close_price_index",$A200,$AE$5,"","")-1)*100,"")</f>
        <v>-1.4856331549711443</v>
      </c>
      <c r="E200" s="10">
        <f ca="1">IFERROR(([1]!thsiFinD("ths_close_price_index",$A200,$AE$2,"","")/[1]!thsiFinD("ths_close_price_index",$A200,$AE$3,"","")-1)*100,"")</f>
        <v>-2.3319551488036994</v>
      </c>
      <c r="F200" s="10">
        <f ca="1">IFERROR(([1]!thsiFinD("ths_close_price_index",$A200,$AE$2,"","")/[1]!thsiFinD("ths_close_price_index",$A200,$AE$4,"","")-1)*100,"")</f>
        <v>-5.6443933949326119</v>
      </c>
      <c r="G200" s="11">
        <f t="shared" ca="1" si="3"/>
        <v>-0.18417136001410928</v>
      </c>
      <c r="H200" s="1">
        <v>97.23</v>
      </c>
      <c r="I200" s="1" t="s">
        <v>1113</v>
      </c>
      <c r="J200" s="1" t="s">
        <v>1114</v>
      </c>
      <c r="K200" s="1">
        <v>3082.4272000000001</v>
      </c>
      <c r="L200" s="1">
        <v>81.55</v>
      </c>
      <c r="M200" s="1" t="s">
        <v>1115</v>
      </c>
      <c r="N200" s="1" t="s">
        <v>1116</v>
      </c>
      <c r="O200" s="1">
        <v>228.35650000000001</v>
      </c>
      <c r="P200" s="1">
        <v>6.04</v>
      </c>
      <c r="Q200" s="1" t="s">
        <v>1117</v>
      </c>
      <c r="R200" s="1" t="s">
        <v>1118</v>
      </c>
      <c r="S200" s="1">
        <v>214.18010000000001</v>
      </c>
      <c r="T200" s="1">
        <v>5.67</v>
      </c>
      <c r="U200" s="1" t="s">
        <v>1119</v>
      </c>
      <c r="V200" s="1" t="s">
        <v>1120</v>
      </c>
      <c r="W200" s="1">
        <v>95.003200000000007</v>
      </c>
      <c r="X200" s="1">
        <v>2.5099999999999998</v>
      </c>
      <c r="Y200" s="1" t="s">
        <v>1121</v>
      </c>
      <c r="Z200" s="1" t="s">
        <v>1122</v>
      </c>
      <c r="AA200" s="1">
        <v>55.085299999999997</v>
      </c>
      <c r="AB200" s="1">
        <v>1.46</v>
      </c>
    </row>
    <row r="201" spans="1:28" x14ac:dyDescent="0.45">
      <c r="A201" s="1" t="s">
        <v>911</v>
      </c>
      <c r="B201" s="1" t="s">
        <v>912</v>
      </c>
      <c r="C201" s="1">
        <v>8</v>
      </c>
      <c r="D201" s="10">
        <f ca="1">IFERROR(([1]!thsiFinD("ths_close_price_index",$A201,$AE$2,"","")/[1]!thsiFinD("ths_close_price_index",$A201,$AE$5,"","")-1)*100,"")</f>
        <v>6.3301739074873353</v>
      </c>
      <c r="E201" s="10">
        <f ca="1">IFERROR(([1]!thsiFinD("ths_close_price_index",$A201,$AE$2,"","")/[1]!thsiFinD("ths_close_price_index",$A201,$AE$3,"","")-1)*100,"")</f>
        <v>-1.6466986989360444</v>
      </c>
      <c r="F201" s="10">
        <f ca="1">IFERROR(([1]!thsiFinD("ths_close_price_index",$A201,$AE$2,"","")/[1]!thsiFinD("ths_close_price_index",$A201,$AE$4,"","")-1)*100,"")</f>
        <v>1.9290156010426163</v>
      </c>
      <c r="G201" s="11">
        <f t="shared" ca="1" si="3"/>
        <v>-0.42579051983933969</v>
      </c>
      <c r="H201" s="1">
        <v>91.01</v>
      </c>
      <c r="I201" s="1" t="s">
        <v>913</v>
      </c>
      <c r="J201" s="1" t="s">
        <v>914</v>
      </c>
      <c r="K201" s="1">
        <v>826.18309999999997</v>
      </c>
      <c r="L201" s="1">
        <v>34.840000000000003</v>
      </c>
      <c r="M201" s="1" t="s">
        <v>915</v>
      </c>
      <c r="N201" s="1" t="s">
        <v>916</v>
      </c>
      <c r="O201" s="1">
        <v>432.48509999999999</v>
      </c>
      <c r="P201" s="1">
        <v>18.239999999999998</v>
      </c>
      <c r="Q201" s="1" t="s">
        <v>917</v>
      </c>
      <c r="R201" s="1" t="s">
        <v>918</v>
      </c>
      <c r="S201" s="1">
        <v>416.25540000000001</v>
      </c>
      <c r="T201" s="1">
        <v>17.55</v>
      </c>
      <c r="U201" s="1" t="s">
        <v>919</v>
      </c>
      <c r="V201" s="1" t="s">
        <v>920</v>
      </c>
      <c r="W201" s="1">
        <v>340.55950000000001</v>
      </c>
      <c r="X201" s="1">
        <v>14.36</v>
      </c>
      <c r="Y201" s="1" t="s">
        <v>921</v>
      </c>
      <c r="Z201" s="1" t="s">
        <v>922</v>
      </c>
      <c r="AA201" s="1">
        <v>142.86259999999999</v>
      </c>
      <c r="AB201" s="1">
        <v>6.02</v>
      </c>
    </row>
    <row r="202" spans="1:28" x14ac:dyDescent="0.45">
      <c r="A202" s="1" t="s">
        <v>2493</v>
      </c>
      <c r="B202" s="1" t="s">
        <v>2494</v>
      </c>
      <c r="C202" s="1">
        <v>26</v>
      </c>
      <c r="D202" s="10">
        <f ca="1">IFERROR(([1]!thsiFinD("ths_close_price_index",$A202,$AE$2,"","")/[1]!thsiFinD("ths_close_price_index",$A202,$AE$5,"","")-1)*100,"")</f>
        <v>-20.275168857340642</v>
      </c>
      <c r="E202" s="10">
        <f ca="1">IFERROR(([1]!thsiFinD("ths_close_price_index",$A202,$AE$2,"","")/[1]!thsiFinD("ths_close_price_index",$A202,$AE$3,"","")-1)*100,"")</f>
        <v>-1.5248490137311554</v>
      </c>
      <c r="F202" s="10">
        <f ca="1">IFERROR(([1]!thsiFinD("ths_close_price_index",$A202,$AE$2,"","")/[1]!thsiFinD("ths_close_price_index",$A202,$AE$4,"","")-1)*100,"")</f>
        <v>-11.499231785334739</v>
      </c>
      <c r="G202" s="11">
        <f t="shared" ca="1" si="3"/>
        <v>0.26999178652050593</v>
      </c>
      <c r="H202" s="1">
        <v>36.380000000000003</v>
      </c>
      <c r="I202" s="1" t="s">
        <v>2495</v>
      </c>
      <c r="J202" s="1" t="s">
        <v>2496</v>
      </c>
      <c r="K202" s="1">
        <v>53.548200000000001</v>
      </c>
      <c r="L202" s="1">
        <v>9.76</v>
      </c>
      <c r="M202" s="1" t="s">
        <v>2497</v>
      </c>
      <c r="N202" s="1" t="s">
        <v>2498</v>
      </c>
      <c r="O202" s="1">
        <v>46.8748</v>
      </c>
      <c r="P202" s="1">
        <v>8.5500000000000007</v>
      </c>
      <c r="Q202" s="1" t="s">
        <v>2499</v>
      </c>
      <c r="R202" s="1" t="s">
        <v>2500</v>
      </c>
      <c r="S202" s="1">
        <v>38.581099999999999</v>
      </c>
      <c r="T202" s="1">
        <v>7.03</v>
      </c>
      <c r="U202" s="1" t="s">
        <v>2501</v>
      </c>
      <c r="V202" s="1" t="s">
        <v>2502</v>
      </c>
      <c r="W202" s="1">
        <v>31.3675</v>
      </c>
      <c r="X202" s="1">
        <v>5.72</v>
      </c>
      <c r="Y202" s="1" t="s">
        <v>2503</v>
      </c>
      <c r="Z202" s="1" t="s">
        <v>2504</v>
      </c>
      <c r="AA202" s="1">
        <v>29.174099999999999</v>
      </c>
      <c r="AB202" s="1">
        <v>5.32</v>
      </c>
    </row>
    <row r="203" spans="1:28" x14ac:dyDescent="0.45">
      <c r="A203" s="1" t="s">
        <v>1401</v>
      </c>
      <c r="B203" s="1" t="s">
        <v>1402</v>
      </c>
      <c r="C203" s="1">
        <v>59</v>
      </c>
      <c r="D203" s="10">
        <f ca="1">IFERROR(([1]!thsiFinD("ths_close_price_index",$A203,$AE$2,"","")/[1]!thsiFinD("ths_close_price_index",$A203,$AE$5,"","")-1)*100,"")</f>
        <v>-8.5090415934813031</v>
      </c>
      <c r="E203" s="10">
        <f ca="1">IFERROR(([1]!thsiFinD("ths_close_price_index",$A203,$AE$2,"","")/[1]!thsiFinD("ths_close_price_index",$A203,$AE$3,"","")-1)*100,"")</f>
        <v>-3.163628092087345</v>
      </c>
      <c r="F203" s="10">
        <f ca="1">IFERROR(([1]!thsiFinD("ths_close_price_index",$A203,$AE$2,"","")/[1]!thsiFinD("ths_close_price_index",$A203,$AE$4,"","")-1)*100,"")</f>
        <v>-7.6076239614606189</v>
      </c>
      <c r="G203" s="11">
        <f t="shared" ca="1" si="3"/>
        <v>-0.25234442034443805</v>
      </c>
      <c r="H203" s="1">
        <v>32.94</v>
      </c>
      <c r="I203" s="1" t="s">
        <v>1403</v>
      </c>
      <c r="J203" s="1" t="s">
        <v>1404</v>
      </c>
      <c r="K203" s="1">
        <v>614.78</v>
      </c>
      <c r="L203" s="1">
        <v>10.07</v>
      </c>
      <c r="M203" s="1" t="s">
        <v>1405</v>
      </c>
      <c r="N203" s="1" t="s">
        <v>1406</v>
      </c>
      <c r="O203" s="1">
        <v>504.25630000000001</v>
      </c>
      <c r="P203" s="1">
        <v>8.26</v>
      </c>
      <c r="Q203" s="1" t="s">
        <v>1407</v>
      </c>
      <c r="R203" s="1" t="s">
        <v>1408</v>
      </c>
      <c r="S203" s="1">
        <v>389.18959999999998</v>
      </c>
      <c r="T203" s="1">
        <v>6.38</v>
      </c>
      <c r="U203" s="1" t="s">
        <v>1409</v>
      </c>
      <c r="V203" s="1" t="s">
        <v>1410</v>
      </c>
      <c r="W203" s="1">
        <v>259.7944</v>
      </c>
      <c r="X203" s="1">
        <v>4.26</v>
      </c>
      <c r="Y203" s="1" t="s">
        <v>1411</v>
      </c>
      <c r="Z203" s="1" t="s">
        <v>1412</v>
      </c>
      <c r="AA203" s="1">
        <v>242.3886</v>
      </c>
      <c r="AB203" s="1">
        <v>3.97</v>
      </c>
    </row>
    <row r="204" spans="1:28" x14ac:dyDescent="0.45">
      <c r="A204" s="1" t="s">
        <v>2481</v>
      </c>
      <c r="B204" s="1" t="s">
        <v>2482</v>
      </c>
      <c r="C204" s="1">
        <v>20</v>
      </c>
      <c r="D204" s="10">
        <f ca="1">IFERROR(([1]!thsiFinD("ths_close_price_index",$A204,$AE$2,"","")/[1]!thsiFinD("ths_close_price_index",$A204,$AE$5,"","")-1)*100,"")</f>
        <v>-19.505043999211004</v>
      </c>
      <c r="E204" s="10">
        <f ca="1">IFERROR(([1]!thsiFinD("ths_close_price_index",$A204,$AE$2,"","")/[1]!thsiFinD("ths_close_price_index",$A204,$AE$3,"","")-1)*100,"")</f>
        <v>-0.66575341730314985</v>
      </c>
      <c r="F204" s="10">
        <f ca="1">IFERROR(([1]!thsiFinD("ths_close_price_index",$A204,$AE$2,"","")/[1]!thsiFinD("ths_close_price_index",$A204,$AE$4,"","")-1)*100,"")</f>
        <v>-6.8181855160685423</v>
      </c>
      <c r="G204" s="11">
        <f t="shared" ca="1" si="3"/>
        <v>0.20775859234279714</v>
      </c>
      <c r="H204" s="1">
        <v>91.12</v>
      </c>
      <c r="I204" s="1" t="s">
        <v>2483</v>
      </c>
      <c r="J204" s="1" t="s">
        <v>2484</v>
      </c>
      <c r="K204" s="1">
        <v>6715.3946999999998</v>
      </c>
      <c r="L204" s="1">
        <v>65.52</v>
      </c>
      <c r="M204" s="1" t="s">
        <v>2485</v>
      </c>
      <c r="N204" s="1" t="s">
        <v>2486</v>
      </c>
      <c r="O204" s="1">
        <v>1334.6202000000001</v>
      </c>
      <c r="P204" s="1">
        <v>13.02</v>
      </c>
      <c r="Q204" s="1" t="s">
        <v>2487</v>
      </c>
      <c r="R204" s="1" t="s">
        <v>2488</v>
      </c>
      <c r="S204" s="1">
        <v>585.56269999999995</v>
      </c>
      <c r="T204" s="1">
        <v>5.71</v>
      </c>
      <c r="U204" s="1" t="s">
        <v>2489</v>
      </c>
      <c r="V204" s="1" t="s">
        <v>2490</v>
      </c>
      <c r="W204" s="1">
        <v>464.3349</v>
      </c>
      <c r="X204" s="1">
        <v>4.53</v>
      </c>
      <c r="Y204" s="1" t="s">
        <v>2491</v>
      </c>
      <c r="Z204" s="1" t="s">
        <v>2492</v>
      </c>
      <c r="AA204" s="1">
        <v>239.60079999999999</v>
      </c>
      <c r="AB204" s="1">
        <v>2.34</v>
      </c>
    </row>
    <row r="205" spans="1:28" x14ac:dyDescent="0.45">
      <c r="A205" s="1" t="s">
        <v>887</v>
      </c>
      <c r="B205" s="1" t="s">
        <v>888</v>
      </c>
      <c r="C205" s="1">
        <v>16</v>
      </c>
      <c r="D205" s="10">
        <f ca="1">IFERROR(([1]!thsiFinD("ths_close_price_index",$A205,$AE$2,"","")/[1]!thsiFinD("ths_close_price_index",$A205,$AE$5,"","")-1)*100,"")</f>
        <v>10.484283457989996</v>
      </c>
      <c r="E205" s="10">
        <f ca="1">IFERROR(([1]!thsiFinD("ths_close_price_index",$A205,$AE$2,"","")/[1]!thsiFinD("ths_close_price_index",$A205,$AE$3,"","")-1)*100,"")</f>
        <v>1.8665406505805837</v>
      </c>
      <c r="F205" s="10">
        <f ca="1">IFERROR(([1]!thsiFinD("ths_close_price_index",$A205,$AE$2,"","")/[1]!thsiFinD("ths_close_price_index",$A205,$AE$4,"","")-1)*100,"")</f>
        <v>-3.100960153823562</v>
      </c>
      <c r="G205" s="11">
        <f t="shared" ca="1" si="3"/>
        <v>0.52835613780729485</v>
      </c>
      <c r="H205" s="1">
        <v>96.41</v>
      </c>
      <c r="I205" s="1" t="s">
        <v>889</v>
      </c>
      <c r="J205" s="1" t="s">
        <v>890</v>
      </c>
      <c r="K205" s="1">
        <v>11521</v>
      </c>
      <c r="L205" s="1">
        <v>82.8</v>
      </c>
      <c r="M205" s="1" t="s">
        <v>891</v>
      </c>
      <c r="N205" s="1" t="s">
        <v>892</v>
      </c>
      <c r="O205" s="1">
        <v>971.06359999999995</v>
      </c>
      <c r="P205" s="1">
        <v>6.98</v>
      </c>
      <c r="Q205" s="1" t="s">
        <v>893</v>
      </c>
      <c r="R205" s="1" t="s">
        <v>894</v>
      </c>
      <c r="S205" s="1">
        <v>322.30970000000002</v>
      </c>
      <c r="T205" s="1">
        <v>2.3199999999999998</v>
      </c>
      <c r="U205" s="1" t="s">
        <v>895</v>
      </c>
      <c r="V205" s="1" t="s">
        <v>896</v>
      </c>
      <c r="W205" s="1">
        <v>307.19189999999998</v>
      </c>
      <c r="X205" s="1">
        <v>2.21</v>
      </c>
      <c r="Y205" s="1" t="s">
        <v>897</v>
      </c>
      <c r="Z205" s="1" t="s">
        <v>898</v>
      </c>
      <c r="AA205" s="1">
        <v>292.59949999999998</v>
      </c>
      <c r="AB205" s="1">
        <v>2.1</v>
      </c>
    </row>
    <row r="206" spans="1:28" x14ac:dyDescent="0.45">
      <c r="A206" s="1" t="s">
        <v>2957</v>
      </c>
      <c r="B206" s="1" t="s">
        <v>2958</v>
      </c>
      <c r="C206" s="1">
        <v>23</v>
      </c>
      <c r="D206" s="10">
        <f ca="1">IFERROR(([1]!thsiFinD("ths_close_price_index",$A206,$AE$2,"","")/[1]!thsiFinD("ths_close_price_index",$A206,$AE$5,"","")-1)*100,"")</f>
        <v>-34.846769383788889</v>
      </c>
      <c r="E206" s="10">
        <f ca="1">IFERROR(([1]!thsiFinD("ths_close_price_index",$A206,$AE$2,"","")/[1]!thsiFinD("ths_close_price_index",$A206,$AE$3,"","")-1)*100,"")</f>
        <v>-3.9966181032215942</v>
      </c>
      <c r="F206" s="10">
        <f ca="1">IFERROR(([1]!thsiFinD("ths_close_price_index",$A206,$AE$2,"","")/[1]!thsiFinD("ths_close_price_index",$A206,$AE$4,"","")-1)*100,"")</f>
        <v>-13.305715336625635</v>
      </c>
      <c r="G206" s="11">
        <f t="shared" ca="1" si="3"/>
        <v>-0.13403785381303712</v>
      </c>
      <c r="H206" s="1">
        <v>57.45</v>
      </c>
      <c r="I206" s="1" t="s">
        <v>2959</v>
      </c>
      <c r="J206" s="1" t="s">
        <v>2960</v>
      </c>
      <c r="K206" s="1">
        <v>146.15520000000001</v>
      </c>
      <c r="L206" s="1">
        <v>24.61</v>
      </c>
      <c r="M206" s="1" t="s">
        <v>2961</v>
      </c>
      <c r="N206" s="1" t="s">
        <v>2962</v>
      </c>
      <c r="O206" s="1">
        <v>74.879900000000006</v>
      </c>
      <c r="P206" s="1">
        <v>12.61</v>
      </c>
      <c r="Q206" s="1" t="s">
        <v>2963</v>
      </c>
      <c r="R206" s="1" t="s">
        <v>2964</v>
      </c>
      <c r="S206" s="1">
        <v>56.863399999999999</v>
      </c>
      <c r="T206" s="1">
        <v>9.57</v>
      </c>
      <c r="U206" s="1" t="s">
        <v>2965</v>
      </c>
      <c r="V206" s="1" t="s">
        <v>2966</v>
      </c>
      <c r="W206" s="1">
        <v>32.9223</v>
      </c>
      <c r="X206" s="1">
        <v>5.54</v>
      </c>
      <c r="Y206" s="1" t="s">
        <v>2967</v>
      </c>
      <c r="Z206" s="1" t="s">
        <v>2968</v>
      </c>
      <c r="AA206" s="1">
        <v>30.432400000000001</v>
      </c>
      <c r="AB206" s="1">
        <v>5.12</v>
      </c>
    </row>
    <row r="207" spans="1:28" x14ac:dyDescent="0.45">
      <c r="A207" s="1" t="s">
        <v>217</v>
      </c>
      <c r="B207" s="1" t="s">
        <v>218</v>
      </c>
      <c r="C207" s="1">
        <v>85</v>
      </c>
      <c r="D207" s="10">
        <f ca="1">IFERROR(([1]!thsiFinD("ths_close_price_index",$A207,$AE$2,"","")/[1]!thsiFinD("ths_close_price_index",$A207,$AE$5,"","")-1)*100,"")</f>
        <v>66.024431961812738</v>
      </c>
      <c r="E207" s="10">
        <f ca="1">IFERROR(([1]!thsiFinD("ths_close_price_index",$A207,$AE$2,"","")/[1]!thsiFinD("ths_close_price_index",$A207,$AE$3,"","")-1)*100,"")</f>
        <v>1.0998687132333984</v>
      </c>
      <c r="F207" s="10">
        <f ca="1">IFERROR(([1]!thsiFinD("ths_close_price_index",$A207,$AE$2,"","")/[1]!thsiFinD("ths_close_price_index",$A207,$AE$4,"","")-1)*100,"")</f>
        <v>15.965772050751493</v>
      </c>
      <c r="G207" s="11">
        <f t="shared" ca="1" si="3"/>
        <v>-0.57831485989089493</v>
      </c>
      <c r="H207" s="1">
        <v>41.56</v>
      </c>
      <c r="I207" s="1" t="s">
        <v>219</v>
      </c>
      <c r="J207" s="1" t="s">
        <v>220</v>
      </c>
      <c r="K207" s="1">
        <v>1090.3851</v>
      </c>
      <c r="L207" s="1">
        <v>15.74</v>
      </c>
      <c r="M207" s="1" t="s">
        <v>221</v>
      </c>
      <c r="N207" s="1" t="s">
        <v>222</v>
      </c>
      <c r="O207" s="1">
        <v>574.47540000000004</v>
      </c>
      <c r="P207" s="1">
        <v>8.2899999999999991</v>
      </c>
      <c r="Q207" s="1" t="s">
        <v>223</v>
      </c>
      <c r="R207" s="1" t="s">
        <v>224</v>
      </c>
      <c r="S207" s="1">
        <v>450.01549999999997</v>
      </c>
      <c r="T207" s="1">
        <v>6.49</v>
      </c>
      <c r="U207" s="1" t="s">
        <v>225</v>
      </c>
      <c r="V207" s="1" t="s">
        <v>226</v>
      </c>
      <c r="W207" s="1">
        <v>421.16469999999998</v>
      </c>
      <c r="X207" s="1">
        <v>6.08</v>
      </c>
      <c r="Y207" s="1" t="s">
        <v>227</v>
      </c>
      <c r="Z207" s="1" t="s">
        <v>228</v>
      </c>
      <c r="AA207" s="1">
        <v>343.74290000000002</v>
      </c>
      <c r="AB207" s="1">
        <v>4.96</v>
      </c>
    </row>
    <row r="208" spans="1:28" x14ac:dyDescent="0.45">
      <c r="A208" s="1" t="s">
        <v>3005</v>
      </c>
      <c r="B208" s="1" t="s">
        <v>3006</v>
      </c>
      <c r="C208" s="1">
        <v>3</v>
      </c>
      <c r="D208" s="10">
        <f ca="1">IFERROR(([1]!thsiFinD("ths_close_price_index",$A208,$AE$2,"","")/[1]!thsiFinD("ths_close_price_index",$A208,$AE$5,"","")-1)*100,"")</f>
        <v>-42.282325291405797</v>
      </c>
      <c r="E208" s="10">
        <f ca="1">IFERROR(([1]!thsiFinD("ths_close_price_index",$A208,$AE$2,"","")/[1]!thsiFinD("ths_close_price_index",$A208,$AE$3,"","")-1)*100,"")</f>
        <v>-3.5365171055327438</v>
      </c>
      <c r="F208" s="10">
        <f ca="1">IFERROR(([1]!thsiFinD("ths_close_price_index",$A208,$AE$2,"","")/[1]!thsiFinD("ths_close_price_index",$A208,$AE$4,"","")-1)*100,"")</f>
        <v>-11.099156563828183</v>
      </c>
      <c r="G208" s="11">
        <f t="shared" ca="1" si="3"/>
        <v>-0.1523455929151396</v>
      </c>
      <c r="H208" s="1">
        <v>100</v>
      </c>
      <c r="I208" s="1" t="s">
        <v>3007</v>
      </c>
      <c r="J208" s="1" t="s">
        <v>3008</v>
      </c>
      <c r="K208" s="1">
        <v>50.588200000000001</v>
      </c>
      <c r="L208" s="1">
        <v>45.25</v>
      </c>
      <c r="M208" s="1" t="s">
        <v>3009</v>
      </c>
      <c r="N208" s="1" t="s">
        <v>3010</v>
      </c>
      <c r="O208" s="1">
        <v>45.910800000000002</v>
      </c>
      <c r="P208" s="1">
        <v>41.07</v>
      </c>
      <c r="Q208" s="1" t="s">
        <v>3011</v>
      </c>
      <c r="R208" s="1" t="s">
        <v>3012</v>
      </c>
      <c r="S208" s="1">
        <v>15.2949</v>
      </c>
      <c r="T208" s="1">
        <v>13.68</v>
      </c>
    </row>
    <row r="209" spans="1:28" x14ac:dyDescent="0.45">
      <c r="A209" s="1" t="s">
        <v>2823</v>
      </c>
      <c r="B209" s="1" t="s">
        <v>2824</v>
      </c>
      <c r="C209" s="1">
        <v>3</v>
      </c>
      <c r="D209" s="10">
        <f ca="1">IFERROR(([1]!thsiFinD("ths_close_price_index",$A209,$AE$2,"","")/[1]!thsiFinD("ths_close_price_index",$A209,$AE$5,"","")-1)*100,"")</f>
        <v>-30.306523971711385</v>
      </c>
      <c r="E209" s="10">
        <f ca="1">IFERROR(([1]!thsiFinD("ths_close_price_index",$A209,$AE$2,"","")/[1]!thsiFinD("ths_close_price_index",$A209,$AE$3,"","")-1)*100,"")</f>
        <v>-6.7355539486212308</v>
      </c>
      <c r="F209" s="10">
        <f ca="1">IFERROR(([1]!thsiFinD("ths_close_price_index",$A209,$AE$2,"","")/[1]!thsiFinD("ths_close_price_index",$A209,$AE$4,"","")-1)*100,"")</f>
        <v>-21.20532142861823</v>
      </c>
      <c r="G209" s="11">
        <f t="shared" ca="1" si="3"/>
        <v>-0.28684471829333469</v>
      </c>
      <c r="H209" s="1">
        <v>100</v>
      </c>
      <c r="I209" s="1" t="s">
        <v>2825</v>
      </c>
      <c r="J209" s="1" t="s">
        <v>2826</v>
      </c>
      <c r="K209" s="1">
        <v>68.801599999999993</v>
      </c>
      <c r="L209" s="1">
        <v>70.010000000000005</v>
      </c>
      <c r="M209" s="1" t="s">
        <v>2827</v>
      </c>
      <c r="N209" s="1" t="s">
        <v>2828</v>
      </c>
      <c r="O209" s="1">
        <v>17.909800000000001</v>
      </c>
      <c r="P209" s="1">
        <v>18.23</v>
      </c>
      <c r="Q209" s="1" t="s">
        <v>2829</v>
      </c>
      <c r="R209" s="1" t="s">
        <v>2830</v>
      </c>
      <c r="S209" s="1">
        <v>11.5562</v>
      </c>
      <c r="T209" s="1">
        <v>11.76</v>
      </c>
    </row>
    <row r="210" spans="1:28" x14ac:dyDescent="0.45">
      <c r="A210" s="1" t="s">
        <v>2661</v>
      </c>
      <c r="B210" s="1" t="s">
        <v>2662</v>
      </c>
      <c r="C210" s="1">
        <v>5</v>
      </c>
      <c r="D210" s="10">
        <f ca="1">IFERROR(([1]!thsiFinD("ths_close_price_index",$A210,$AE$2,"","")/[1]!thsiFinD("ths_close_price_index",$A210,$AE$5,"","")-1)*100,"")</f>
        <v>-25.081077301941313</v>
      </c>
      <c r="E210" s="10">
        <f ca="1">IFERROR(([1]!thsiFinD("ths_close_price_index",$A210,$AE$2,"","")/[1]!thsiFinD("ths_close_price_index",$A210,$AE$3,"","")-1)*100,"")</f>
        <v>-3.9462635038238991</v>
      </c>
      <c r="F210" s="10">
        <f ca="1">IFERROR(([1]!thsiFinD("ths_close_price_index",$A210,$AE$2,"","")/[1]!thsiFinD("ths_close_price_index",$A210,$AE$4,"","")-1)*100,"")</f>
        <v>-8.1099920765910323</v>
      </c>
      <c r="G210" s="11">
        <f t="shared" ca="1" si="3"/>
        <v>-0.38375309693522819</v>
      </c>
      <c r="H210" s="1">
        <v>99.99</v>
      </c>
      <c r="I210" s="1" t="s">
        <v>2663</v>
      </c>
      <c r="J210" s="1" t="s">
        <v>2664</v>
      </c>
      <c r="K210" s="1">
        <v>82.220699999999994</v>
      </c>
      <c r="L210" s="1">
        <v>39.909999999999997</v>
      </c>
      <c r="M210" s="1" t="s">
        <v>2665</v>
      </c>
      <c r="N210" s="1" t="s">
        <v>2666</v>
      </c>
      <c r="O210" s="1">
        <v>73.363200000000006</v>
      </c>
      <c r="P210" s="1">
        <v>35.61</v>
      </c>
      <c r="Q210" s="1" t="s">
        <v>2667</v>
      </c>
      <c r="R210" s="1" t="s">
        <v>2668</v>
      </c>
      <c r="S210" s="1">
        <v>22.291799999999999</v>
      </c>
      <c r="T210" s="1">
        <v>10.82</v>
      </c>
      <c r="U210" s="1" t="s">
        <v>2669</v>
      </c>
      <c r="V210" s="1" t="s">
        <v>2670</v>
      </c>
      <c r="W210" s="1">
        <v>14.167400000000001</v>
      </c>
      <c r="X210" s="1">
        <v>6.88</v>
      </c>
      <c r="Y210" s="1" t="s">
        <v>2671</v>
      </c>
      <c r="Z210" s="1" t="s">
        <v>2672</v>
      </c>
      <c r="AA210" s="1">
        <v>13.9474</v>
      </c>
      <c r="AB210" s="1">
        <v>6.77</v>
      </c>
    </row>
    <row r="211" spans="1:28" x14ac:dyDescent="0.45">
      <c r="A211" s="1" t="s">
        <v>2379</v>
      </c>
      <c r="B211" s="1" t="s">
        <v>2380</v>
      </c>
      <c r="C211" s="1">
        <v>26</v>
      </c>
      <c r="D211" s="10">
        <f ca="1">IFERROR(([1]!thsiFinD("ths_close_price_index",$A211,$AE$2,"","")/[1]!thsiFinD("ths_close_price_index",$A211,$AE$5,"","")-1)*100,"")</f>
        <v>-22.088173235160891</v>
      </c>
      <c r="E211" s="10">
        <f ca="1">IFERROR(([1]!thsiFinD("ths_close_price_index",$A211,$AE$2,"","")/[1]!thsiFinD("ths_close_price_index",$A211,$AE$3,"","")-1)*100,"")</f>
        <v>-6.0062537321935778</v>
      </c>
      <c r="F211" s="10">
        <f ca="1">IFERROR(([1]!thsiFinD("ths_close_price_index",$A211,$AE$2,"","")/[1]!thsiFinD("ths_close_price_index",$A211,$AE$4,"","")-1)*100,"")</f>
        <v>-12.226495325641762</v>
      </c>
      <c r="G211" s="11">
        <f t="shared" ca="1" si="3"/>
        <v>-0.58992598015662756</v>
      </c>
      <c r="H211" s="1">
        <v>53.84</v>
      </c>
      <c r="I211" s="1" t="s">
        <v>2381</v>
      </c>
      <c r="J211" s="1" t="s">
        <v>2382</v>
      </c>
      <c r="K211" s="1">
        <v>133.5455</v>
      </c>
      <c r="L211" s="1">
        <v>17.5</v>
      </c>
      <c r="M211" s="1" t="s">
        <v>2383</v>
      </c>
      <c r="N211" s="1" t="s">
        <v>2384</v>
      </c>
      <c r="O211" s="1">
        <v>126.774</v>
      </c>
      <c r="P211" s="1">
        <v>16.61</v>
      </c>
      <c r="Q211" s="1" t="s">
        <v>2385</v>
      </c>
      <c r="R211" s="1" t="s">
        <v>2386</v>
      </c>
      <c r="S211" s="1">
        <v>71.339299999999994</v>
      </c>
      <c r="T211" s="1">
        <v>9.35</v>
      </c>
      <c r="U211" s="1" t="s">
        <v>2387</v>
      </c>
      <c r="V211" s="1" t="s">
        <v>2388</v>
      </c>
      <c r="W211" s="1">
        <v>40.457599999999999</v>
      </c>
      <c r="X211" s="1">
        <v>5.3</v>
      </c>
      <c r="Y211" s="1" t="s">
        <v>2389</v>
      </c>
      <c r="Z211" s="1" t="s">
        <v>2390</v>
      </c>
      <c r="AA211" s="1">
        <v>38.756599999999999</v>
      </c>
      <c r="AB211" s="1">
        <v>5.08</v>
      </c>
    </row>
    <row r="212" spans="1:28" x14ac:dyDescent="0.45">
      <c r="A212" s="1" t="s">
        <v>855</v>
      </c>
      <c r="B212" s="1" t="s">
        <v>856</v>
      </c>
      <c r="C212" s="1">
        <v>14</v>
      </c>
      <c r="D212" s="10">
        <f ca="1">IFERROR(([1]!thsiFinD("ths_close_price_index",$A212,$AE$2,"","")/[1]!thsiFinD("ths_close_price_index",$A212,$AE$5,"","")-1)*100,"")</f>
        <v>7.7230501741939017</v>
      </c>
      <c r="E212" s="10">
        <f ca="1">IFERROR(([1]!thsiFinD("ths_close_price_index",$A212,$AE$2,"","")/[1]!thsiFinD("ths_close_price_index",$A212,$AE$3,"","")-1)*100,"")</f>
        <v>-1.1407557635644272</v>
      </c>
      <c r="F212" s="10">
        <f ca="1">IFERROR(([1]!thsiFinD("ths_close_price_index",$A212,$AE$2,"","")/[1]!thsiFinD("ths_close_price_index",$A212,$AE$4,"","")-1)*100,"")</f>
        <v>1.8353610069818505</v>
      </c>
      <c r="G212" s="11">
        <f t="shared" ca="1" si="3"/>
        <v>-0.31991920306197796</v>
      </c>
      <c r="H212" s="1">
        <v>74.22</v>
      </c>
      <c r="I212" s="1" t="s">
        <v>857</v>
      </c>
      <c r="J212" s="1" t="s">
        <v>858</v>
      </c>
      <c r="K212" s="1">
        <v>169.71770000000001</v>
      </c>
      <c r="L212" s="1">
        <v>30.5</v>
      </c>
      <c r="M212" s="1" t="s">
        <v>859</v>
      </c>
      <c r="N212" s="1" t="s">
        <v>860</v>
      </c>
      <c r="O212" s="1">
        <v>108.4207</v>
      </c>
      <c r="P212" s="1">
        <v>19.48</v>
      </c>
      <c r="Q212" s="1" t="s">
        <v>861</v>
      </c>
      <c r="R212" s="1" t="s">
        <v>862</v>
      </c>
      <c r="S212" s="1">
        <v>66.431799999999996</v>
      </c>
      <c r="T212" s="1">
        <v>11.94</v>
      </c>
      <c r="U212" s="1" t="s">
        <v>863</v>
      </c>
      <c r="V212" s="1" t="s">
        <v>864</v>
      </c>
      <c r="W212" s="1">
        <v>37.005499999999998</v>
      </c>
      <c r="X212" s="1">
        <v>6.65</v>
      </c>
      <c r="Y212" s="1" t="s">
        <v>865</v>
      </c>
      <c r="Z212" s="1" t="s">
        <v>866</v>
      </c>
      <c r="AA212" s="1">
        <v>31.451599999999999</v>
      </c>
      <c r="AB212" s="1">
        <v>5.65</v>
      </c>
    </row>
    <row r="213" spans="1:28" x14ac:dyDescent="0.45">
      <c r="A213" s="1" t="s">
        <v>819</v>
      </c>
      <c r="B213" s="1" t="s">
        <v>820</v>
      </c>
      <c r="C213" s="1">
        <v>27</v>
      </c>
      <c r="D213" s="10">
        <f ca="1">IFERROR(([1]!thsiFinD("ths_close_price_index",$A213,$AE$2,"","")/[1]!thsiFinD("ths_close_price_index",$A213,$AE$5,"","")-1)*100,"")</f>
        <v>2.6140405415826518</v>
      </c>
      <c r="E213" s="10">
        <f ca="1">IFERROR(([1]!thsiFinD("ths_close_price_index",$A213,$AE$2,"","")/[1]!thsiFinD("ths_close_price_index",$A213,$AE$3,"","")-1)*100,"")</f>
        <v>-6.9945084519594136</v>
      </c>
      <c r="F213" s="10">
        <f ca="1">IFERROR(([1]!thsiFinD("ths_close_price_index",$A213,$AE$2,"","")/[1]!thsiFinD("ths_close_price_index",$A213,$AE$4,"","")-1)*100,"")</f>
        <v>-10.168853020153556</v>
      </c>
      <c r="G213" s="11">
        <f t="shared" ca="1" si="3"/>
        <v>-0.8904590393842049</v>
      </c>
      <c r="H213" s="1">
        <v>70.989999999999995</v>
      </c>
      <c r="I213" s="1" t="s">
        <v>821</v>
      </c>
      <c r="J213" s="1" t="s">
        <v>822</v>
      </c>
      <c r="K213" s="1">
        <v>347.9393</v>
      </c>
      <c r="L213" s="1">
        <v>27.74</v>
      </c>
      <c r="M213" s="1" t="s">
        <v>823</v>
      </c>
      <c r="N213" s="1" t="s">
        <v>824</v>
      </c>
      <c r="O213" s="1">
        <v>199.44589999999999</v>
      </c>
      <c r="P213" s="1">
        <v>15.9</v>
      </c>
      <c r="Q213" s="1" t="s">
        <v>825</v>
      </c>
      <c r="R213" s="1" t="s">
        <v>826</v>
      </c>
      <c r="S213" s="1">
        <v>184.6541</v>
      </c>
      <c r="T213" s="1">
        <v>14.72</v>
      </c>
      <c r="U213" s="1" t="s">
        <v>827</v>
      </c>
      <c r="V213" s="1" t="s">
        <v>828</v>
      </c>
      <c r="W213" s="1">
        <v>81.424700000000001</v>
      </c>
      <c r="X213" s="1">
        <v>6.49</v>
      </c>
      <c r="Y213" s="1" t="s">
        <v>829</v>
      </c>
      <c r="Z213" s="1" t="s">
        <v>830</v>
      </c>
      <c r="AA213" s="1">
        <v>77.071100000000001</v>
      </c>
      <c r="AB213" s="1">
        <v>6.14</v>
      </c>
    </row>
    <row r="214" spans="1:28" x14ac:dyDescent="0.45">
      <c r="A214" s="1" t="s">
        <v>2765</v>
      </c>
      <c r="B214" s="1" t="s">
        <v>2766</v>
      </c>
      <c r="C214" s="1">
        <v>8</v>
      </c>
      <c r="D214" s="10">
        <f ca="1">IFERROR(([1]!thsiFinD("ths_close_price_index",$A214,$AE$2,"","")/[1]!thsiFinD("ths_close_price_index",$A214,$AE$5,"","")-1)*100,"")</f>
        <v>-24.084783728230853</v>
      </c>
      <c r="E214" s="10">
        <f ca="1">IFERROR(([1]!thsiFinD("ths_close_price_index",$A214,$AE$2,"","")/[1]!thsiFinD("ths_close_price_index",$A214,$AE$3,"","")-1)*100,"")</f>
        <v>0.52027398441210071</v>
      </c>
      <c r="F214" s="10">
        <f ca="1">IFERROR(([1]!thsiFinD("ths_close_price_index",$A214,$AE$2,"","")/[1]!thsiFinD("ths_close_price_index",$A214,$AE$4,"","")-1)*100,"")</f>
        <v>-7.1450620649386671</v>
      </c>
      <c r="G214" s="11">
        <f t="shared" ca="1" si="3"/>
        <v>0.46130790012935352</v>
      </c>
      <c r="H214" s="1">
        <v>89.03</v>
      </c>
      <c r="I214" s="1" t="s">
        <v>2767</v>
      </c>
      <c r="J214" s="1" t="s">
        <v>2768</v>
      </c>
      <c r="K214" s="1">
        <v>297.14330000000001</v>
      </c>
      <c r="L214" s="1">
        <v>52.28</v>
      </c>
      <c r="M214" s="1" t="s">
        <v>2769</v>
      </c>
      <c r="N214" s="1" t="s">
        <v>2770</v>
      </c>
      <c r="O214" s="1">
        <v>71.587199999999996</v>
      </c>
      <c r="P214" s="1">
        <v>12.59</v>
      </c>
      <c r="Q214" s="1" t="s">
        <v>2771</v>
      </c>
      <c r="R214" s="1" t="s">
        <v>2772</v>
      </c>
      <c r="S214" s="1">
        <v>51.385800000000003</v>
      </c>
      <c r="T214" s="1">
        <v>9.0399999999999991</v>
      </c>
      <c r="U214" s="1" t="s">
        <v>2773</v>
      </c>
      <c r="V214" s="1" t="s">
        <v>2774</v>
      </c>
      <c r="W214" s="1">
        <v>49.030900000000003</v>
      </c>
      <c r="X214" s="1">
        <v>8.6300000000000008</v>
      </c>
      <c r="Y214" s="1" t="s">
        <v>2775</v>
      </c>
      <c r="Z214" s="1" t="s">
        <v>2776</v>
      </c>
      <c r="AA214" s="1">
        <v>36.863599999999998</v>
      </c>
      <c r="AB214" s="1">
        <v>6.49</v>
      </c>
    </row>
    <row r="215" spans="1:28" x14ac:dyDescent="0.45">
      <c r="A215" s="1" t="s">
        <v>1273</v>
      </c>
      <c r="B215" s="1" t="s">
        <v>1274</v>
      </c>
      <c r="C215" s="1">
        <v>6</v>
      </c>
      <c r="D215" s="10">
        <f ca="1">IFERROR(([1]!thsiFinD("ths_close_price_index",$A215,$AE$2,"","")/[1]!thsiFinD("ths_close_price_index",$A215,$AE$5,"","")-1)*100,"")</f>
        <v>-10.429248075784493</v>
      </c>
      <c r="E215" s="10">
        <f ca="1">IFERROR(([1]!thsiFinD("ths_close_price_index",$A215,$AE$2,"","")/[1]!thsiFinD("ths_close_price_index",$A215,$AE$3,"","")-1)*100,"")</f>
        <v>-6.9647159102691596</v>
      </c>
      <c r="F215" s="10">
        <f ca="1">IFERROR(([1]!thsiFinD("ths_close_price_index",$A215,$AE$2,"","")/[1]!thsiFinD("ths_close_price_index",$A215,$AE$4,"","")-1)*100,"")</f>
        <v>-18.038429713148897</v>
      </c>
      <c r="G215" s="11">
        <f t="shared" ca="1" si="3"/>
        <v>-0.49102169639638693</v>
      </c>
      <c r="H215" s="1">
        <v>98.77</v>
      </c>
      <c r="I215" s="1" t="s">
        <v>1275</v>
      </c>
      <c r="J215" s="1" t="s">
        <v>1276</v>
      </c>
      <c r="K215" s="1">
        <v>1097.5876000000001</v>
      </c>
      <c r="L215" s="1">
        <v>44.85</v>
      </c>
      <c r="M215" s="1" t="s">
        <v>1277</v>
      </c>
      <c r="N215" s="1" t="s">
        <v>1278</v>
      </c>
      <c r="O215" s="1">
        <v>913.14599999999996</v>
      </c>
      <c r="P215" s="1">
        <v>37.31</v>
      </c>
      <c r="Q215" s="1" t="s">
        <v>1279</v>
      </c>
      <c r="R215" s="1" t="s">
        <v>1280</v>
      </c>
      <c r="S215" s="1">
        <v>215.4975</v>
      </c>
      <c r="T215" s="1">
        <v>8.81</v>
      </c>
      <c r="U215" s="1" t="s">
        <v>1281</v>
      </c>
      <c r="V215" s="1" t="s">
        <v>1282</v>
      </c>
      <c r="W215" s="1">
        <v>110.203</v>
      </c>
      <c r="X215" s="1">
        <v>4.5</v>
      </c>
      <c r="Y215" s="1" t="s">
        <v>1283</v>
      </c>
      <c r="Z215" s="1" t="s">
        <v>1284</v>
      </c>
      <c r="AA215" s="1">
        <v>80.704599999999999</v>
      </c>
      <c r="AB215" s="1">
        <v>3.3</v>
      </c>
    </row>
    <row r="216" spans="1:28" x14ac:dyDescent="0.45">
      <c r="A216" s="1" t="s">
        <v>2969</v>
      </c>
      <c r="B216" s="1" t="s">
        <v>2970</v>
      </c>
      <c r="C216" s="1">
        <v>5</v>
      </c>
      <c r="D216" s="10">
        <f ca="1">IFERROR(([1]!thsiFinD("ths_close_price_index",$A216,$AE$2,"","")/[1]!thsiFinD("ths_close_price_index",$A216,$AE$5,"","")-1)*100,"")</f>
        <v>-32.443583894689944</v>
      </c>
      <c r="E216" s="10">
        <f ca="1">IFERROR(([1]!thsiFinD("ths_close_price_index",$A216,$AE$2,"","")/[1]!thsiFinD("ths_close_price_index",$A216,$AE$3,"","")-1)*100,"")</f>
        <v>2.683420979248119E-2</v>
      </c>
      <c r="F216" s="10">
        <f ca="1">IFERROR(([1]!thsiFinD("ths_close_price_index",$A216,$AE$2,"","")/[1]!thsiFinD("ths_close_price_index",$A216,$AE$4,"","")-1)*100,"")</f>
        <v>-7.1108555872602563</v>
      </c>
      <c r="G216" s="11">
        <f t="shared" ca="1" si="3"/>
        <v>0.36090962132150906</v>
      </c>
      <c r="H216" s="1">
        <v>100.01</v>
      </c>
      <c r="I216" s="1" t="s">
        <v>2971</v>
      </c>
      <c r="J216" s="1" t="s">
        <v>2972</v>
      </c>
      <c r="K216" s="1">
        <v>239.79640000000001</v>
      </c>
      <c r="L216" s="1">
        <v>43.32</v>
      </c>
      <c r="M216" s="1" t="s">
        <v>2973</v>
      </c>
      <c r="N216" s="1" t="s">
        <v>2974</v>
      </c>
      <c r="O216" s="1">
        <v>161.423</v>
      </c>
      <c r="P216" s="1">
        <v>29.16</v>
      </c>
      <c r="Q216" s="1" t="s">
        <v>2975</v>
      </c>
      <c r="R216" s="1" t="s">
        <v>2976</v>
      </c>
      <c r="S216" s="1">
        <v>77.492500000000007</v>
      </c>
      <c r="T216" s="1">
        <v>14</v>
      </c>
      <c r="U216" s="1" t="s">
        <v>2977</v>
      </c>
      <c r="V216" s="1" t="s">
        <v>2978</v>
      </c>
      <c r="W216" s="1">
        <v>55.066400000000002</v>
      </c>
      <c r="X216" s="1">
        <v>9.9499999999999993</v>
      </c>
      <c r="Y216" s="1" t="s">
        <v>2979</v>
      </c>
      <c r="Z216" s="1" t="s">
        <v>2980</v>
      </c>
      <c r="AA216" s="1">
        <v>19.814900000000002</v>
      </c>
      <c r="AB216" s="1">
        <v>3.58</v>
      </c>
    </row>
    <row r="217" spans="1:28" x14ac:dyDescent="0.45">
      <c r="A217" s="1" t="s">
        <v>1699</v>
      </c>
      <c r="B217" s="1" t="s">
        <v>1700</v>
      </c>
      <c r="C217" s="1">
        <v>7</v>
      </c>
      <c r="D217" s="10">
        <f ca="1">IFERROR(([1]!thsiFinD("ths_close_price_index",$A217,$AE$2,"","")/[1]!thsiFinD("ths_close_price_index",$A217,$AE$5,"","")-1)*100,"")</f>
        <v>-13.161291096904272</v>
      </c>
      <c r="E217" s="10">
        <f ca="1">IFERROR(([1]!thsiFinD("ths_close_price_index",$A217,$AE$2,"","")/[1]!thsiFinD("ths_close_price_index",$A217,$AE$3,"","")-1)*100,"")</f>
        <v>-4.139451158707141</v>
      </c>
      <c r="F217" s="10">
        <f ca="1">IFERROR(([1]!thsiFinD("ths_close_price_index",$A217,$AE$2,"","")/[1]!thsiFinD("ths_close_price_index",$A217,$AE$4,"","")-1)*100,"")</f>
        <v>-7.9348074488806875</v>
      </c>
      <c r="G217" s="11">
        <f t="shared" ca="1" si="3"/>
        <v>-0.4311498592973938</v>
      </c>
      <c r="H217" s="1">
        <v>98.9</v>
      </c>
      <c r="I217" s="1" t="s">
        <v>1701</v>
      </c>
      <c r="J217" s="1" t="s">
        <v>1702</v>
      </c>
      <c r="K217" s="1">
        <v>812.66480000000001</v>
      </c>
      <c r="L217" s="1">
        <v>75.69</v>
      </c>
      <c r="M217" s="1" t="s">
        <v>1703</v>
      </c>
      <c r="N217" s="1" t="s">
        <v>1704</v>
      </c>
      <c r="O217" s="1">
        <v>116.9965</v>
      </c>
      <c r="P217" s="1">
        <v>10.9</v>
      </c>
      <c r="Q217" s="1" t="s">
        <v>1705</v>
      </c>
      <c r="R217" s="1" t="s">
        <v>1706</v>
      </c>
      <c r="S217" s="1">
        <v>84.476600000000005</v>
      </c>
      <c r="T217" s="1">
        <v>7.87</v>
      </c>
      <c r="U217" s="1" t="s">
        <v>1707</v>
      </c>
      <c r="V217" s="1" t="s">
        <v>1708</v>
      </c>
      <c r="W217" s="1">
        <v>35.686500000000002</v>
      </c>
      <c r="X217" s="1">
        <v>3.32</v>
      </c>
      <c r="Y217" s="1" t="s">
        <v>1709</v>
      </c>
      <c r="Z217" s="1" t="s">
        <v>1710</v>
      </c>
      <c r="AA217" s="1">
        <v>12.0474</v>
      </c>
      <c r="AB217" s="1">
        <v>1.1200000000000001</v>
      </c>
    </row>
    <row r="218" spans="1:28" x14ac:dyDescent="0.45">
      <c r="A218" s="1" t="s">
        <v>2881</v>
      </c>
      <c r="B218" s="1" t="s">
        <v>2882</v>
      </c>
      <c r="C218" s="1">
        <v>8</v>
      </c>
      <c r="D218" s="10">
        <f ca="1">IFERROR(([1]!thsiFinD("ths_close_price_index",$A218,$AE$2,"","")/[1]!thsiFinD("ths_close_price_index",$A218,$AE$5,"","")-1)*100,"")</f>
        <v>-29.194885973928198</v>
      </c>
      <c r="E218" s="10">
        <f ca="1">IFERROR(([1]!thsiFinD("ths_close_price_index",$A218,$AE$2,"","")/[1]!thsiFinD("ths_close_price_index",$A218,$AE$3,"","")-1)*100,"")</f>
        <v>-2.9449684445304269</v>
      </c>
      <c r="F218" s="10">
        <f ca="1">IFERROR(([1]!thsiFinD("ths_close_price_index",$A218,$AE$2,"","")/[1]!thsiFinD("ths_close_price_index",$A218,$AE$4,"","")-1)*100,"")</f>
        <v>-11.847873558791665</v>
      </c>
      <c r="G218" s="11">
        <f t="shared" ca="1" si="3"/>
        <v>3.3999890334979188E-3</v>
      </c>
      <c r="H218" s="1">
        <v>86.2</v>
      </c>
      <c r="I218" s="1" t="s">
        <v>2883</v>
      </c>
      <c r="J218" s="1" t="s">
        <v>2884</v>
      </c>
      <c r="K218" s="1">
        <v>138.66669999999999</v>
      </c>
      <c r="L218" s="1">
        <v>37.450000000000003</v>
      </c>
      <c r="M218" s="1" t="s">
        <v>2885</v>
      </c>
      <c r="N218" s="1" t="s">
        <v>2886</v>
      </c>
      <c r="O218" s="1">
        <v>64.099599999999995</v>
      </c>
      <c r="P218" s="1">
        <v>17.309999999999999</v>
      </c>
      <c r="Q218" s="1" t="s">
        <v>2887</v>
      </c>
      <c r="R218" s="1" t="s">
        <v>2888</v>
      </c>
      <c r="S218" s="1">
        <v>55.762900000000002</v>
      </c>
      <c r="T218" s="1">
        <v>15.06</v>
      </c>
      <c r="U218" s="1" t="s">
        <v>2889</v>
      </c>
      <c r="V218" s="1" t="s">
        <v>2890</v>
      </c>
      <c r="W218" s="1">
        <v>33.353000000000002</v>
      </c>
      <c r="X218" s="1">
        <v>9.01</v>
      </c>
      <c r="Y218" s="1" t="s">
        <v>2891</v>
      </c>
      <c r="Z218" s="1" t="s">
        <v>2892</v>
      </c>
      <c r="AA218" s="1">
        <v>27.299499999999998</v>
      </c>
      <c r="AB218" s="1">
        <v>7.37</v>
      </c>
    </row>
    <row r="219" spans="1:28" x14ac:dyDescent="0.45">
      <c r="A219" s="1" t="s">
        <v>1067</v>
      </c>
      <c r="B219" s="1" t="s">
        <v>1068</v>
      </c>
      <c r="C219" s="1">
        <v>17</v>
      </c>
      <c r="D219" s="10">
        <f ca="1">IFERROR(([1]!thsiFinD("ths_close_price_index",$A219,$AE$2,"","")/[1]!thsiFinD("ths_close_price_index",$A219,$AE$5,"","")-1)*100,"")</f>
        <v>0.44753588505856978</v>
      </c>
      <c r="E219" s="10">
        <f ca="1">IFERROR(([1]!thsiFinD("ths_close_price_index",$A219,$AE$2,"","")/[1]!thsiFinD("ths_close_price_index",$A219,$AE$3,"","")-1)*100,"")</f>
        <v>-1.394454161499814</v>
      </c>
      <c r="F219" s="10">
        <f ca="1">IFERROR(([1]!thsiFinD("ths_close_price_index",$A219,$AE$2,"","")/[1]!thsiFinD("ths_close_price_index",$A219,$AE$4,"","")-1)*100,"")</f>
        <v>-0.79790596626863053</v>
      </c>
      <c r="G219" s="11">
        <f t="shared" ca="1" si="3"/>
        <v>-0.23899553398653128</v>
      </c>
      <c r="H219" s="1">
        <v>84.19</v>
      </c>
      <c r="I219" s="1" t="s">
        <v>1069</v>
      </c>
      <c r="J219" s="1" t="s">
        <v>1070</v>
      </c>
      <c r="K219" s="1">
        <v>1200</v>
      </c>
      <c r="L219" s="1">
        <v>21.14</v>
      </c>
      <c r="M219" s="1" t="s">
        <v>1071</v>
      </c>
      <c r="N219" s="1" t="s">
        <v>1072</v>
      </c>
      <c r="O219" s="1">
        <v>1100</v>
      </c>
      <c r="P219" s="1">
        <v>19.37</v>
      </c>
      <c r="Q219" s="1" t="s">
        <v>1073</v>
      </c>
      <c r="R219" s="1" t="s">
        <v>1074</v>
      </c>
      <c r="S219" s="1">
        <v>900</v>
      </c>
      <c r="T219" s="1">
        <v>15.85</v>
      </c>
      <c r="U219" s="1" t="s">
        <v>1075</v>
      </c>
      <c r="V219" s="1" t="s">
        <v>1076</v>
      </c>
      <c r="W219" s="1">
        <v>800</v>
      </c>
      <c r="X219" s="1">
        <v>14.09</v>
      </c>
      <c r="Y219" s="1" t="s">
        <v>1077</v>
      </c>
      <c r="Z219" s="1" t="s">
        <v>1078</v>
      </c>
      <c r="AA219" s="1">
        <v>780</v>
      </c>
      <c r="AB219" s="1">
        <v>13.74</v>
      </c>
    </row>
    <row r="220" spans="1:28" x14ac:dyDescent="0.45">
      <c r="A220" s="1" t="s">
        <v>2549</v>
      </c>
      <c r="B220" s="1" t="s">
        <v>2550</v>
      </c>
      <c r="C220" s="1">
        <v>5</v>
      </c>
      <c r="D220" s="10">
        <f ca="1">IFERROR(([1]!thsiFinD("ths_close_price_index",$A220,$AE$2,"","")/[1]!thsiFinD("ths_close_price_index",$A220,$AE$5,"","")-1)*100,"")</f>
        <v>-22.742805776566289</v>
      </c>
      <c r="E220" s="10">
        <f ca="1">IFERROR(([1]!thsiFinD("ths_close_price_index",$A220,$AE$2,"","")/[1]!thsiFinD("ths_close_price_index",$A220,$AE$3,"","")-1)*100,"")</f>
        <v>-3.1366921990874652</v>
      </c>
      <c r="F220" s="10">
        <f ca="1">IFERROR(([1]!thsiFinD("ths_close_price_index",$A220,$AE$2,"","")/[1]!thsiFinD("ths_close_price_index",$A220,$AE$4,"","")-1)*100,"")</f>
        <v>-3.1305648584694423</v>
      </c>
      <c r="G220" s="11">
        <f t="shared" ca="1" si="3"/>
        <v>-0.47081019689402093</v>
      </c>
      <c r="H220" s="1">
        <v>99.99</v>
      </c>
      <c r="I220" s="1" t="s">
        <v>2551</v>
      </c>
      <c r="J220" s="1" t="s">
        <v>2552</v>
      </c>
      <c r="K220" s="1">
        <v>665.84339999999997</v>
      </c>
      <c r="L220" s="1">
        <v>85.05</v>
      </c>
      <c r="M220" s="1" t="s">
        <v>2553</v>
      </c>
      <c r="N220" s="1" t="s">
        <v>2554</v>
      </c>
      <c r="O220" s="1">
        <v>57.866399999999999</v>
      </c>
      <c r="P220" s="1">
        <v>7.39</v>
      </c>
      <c r="Q220" s="1" t="s">
        <v>2555</v>
      </c>
      <c r="R220" s="1" t="s">
        <v>2556</v>
      </c>
      <c r="S220" s="1">
        <v>34.815600000000003</v>
      </c>
      <c r="T220" s="1">
        <v>4.45</v>
      </c>
      <c r="U220" s="1" t="s">
        <v>2557</v>
      </c>
      <c r="V220" s="1" t="s">
        <v>2558</v>
      </c>
      <c r="W220" s="1">
        <v>13.404400000000001</v>
      </c>
      <c r="X220" s="1">
        <v>1.71</v>
      </c>
      <c r="Y220" s="1" t="s">
        <v>2559</v>
      </c>
      <c r="Z220" s="1" t="s">
        <v>2560</v>
      </c>
      <c r="AA220" s="1">
        <v>10.912599999999999</v>
      </c>
      <c r="AB220" s="1">
        <v>1.39</v>
      </c>
    </row>
    <row r="221" spans="1:28" x14ac:dyDescent="0.45">
      <c r="A221" s="1" t="s">
        <v>1353</v>
      </c>
      <c r="B221" s="1" t="s">
        <v>1354</v>
      </c>
      <c r="C221" s="1">
        <v>7</v>
      </c>
      <c r="D221" s="10">
        <f ca="1">IFERROR(([1]!thsiFinD("ths_close_price_index",$A221,$AE$2,"","")/[1]!thsiFinD("ths_close_price_index",$A221,$AE$5,"","")-1)*100,"")</f>
        <v>-13.559126148165213</v>
      </c>
      <c r="E221" s="10">
        <f ca="1">IFERROR(([1]!thsiFinD("ths_close_price_index",$A221,$AE$2,"","")/[1]!thsiFinD("ths_close_price_index",$A221,$AE$3,"","")-1)*100,"")</f>
        <v>-9.4758169054125716</v>
      </c>
      <c r="F221" s="10">
        <f ca="1">IFERROR(([1]!thsiFinD("ths_close_price_index",$A221,$AE$2,"","")/[1]!thsiFinD("ths_close_price_index",$A221,$AE$4,"","")-1)*100,"")</f>
        <v>-13.00978994748856</v>
      </c>
      <c r="G221" s="11">
        <f t="shared" ca="1" si="3"/>
        <v>-1.2446738837080864</v>
      </c>
      <c r="H221" s="1">
        <v>92.5</v>
      </c>
      <c r="I221" s="1" t="s">
        <v>1355</v>
      </c>
      <c r="J221" s="1" t="s">
        <v>1356</v>
      </c>
      <c r="K221" s="1">
        <v>156.87049999999999</v>
      </c>
      <c r="L221" s="1">
        <v>34.43</v>
      </c>
      <c r="M221" s="1" t="s">
        <v>1357</v>
      </c>
      <c r="N221" s="1" t="s">
        <v>1358</v>
      </c>
      <c r="O221" s="1">
        <v>88.346100000000007</v>
      </c>
      <c r="P221" s="1">
        <v>19.39</v>
      </c>
      <c r="Q221" s="1" t="s">
        <v>1359</v>
      </c>
      <c r="R221" s="1" t="s">
        <v>1360</v>
      </c>
      <c r="S221" s="1">
        <v>86.573700000000002</v>
      </c>
      <c r="T221" s="1">
        <v>19</v>
      </c>
      <c r="U221" s="1" t="s">
        <v>1361</v>
      </c>
      <c r="V221" s="1" t="s">
        <v>1362</v>
      </c>
      <c r="W221" s="1">
        <v>54.185899999999997</v>
      </c>
      <c r="X221" s="1">
        <v>11.89</v>
      </c>
      <c r="Y221" s="1" t="s">
        <v>1363</v>
      </c>
      <c r="Z221" s="1" t="s">
        <v>1364</v>
      </c>
      <c r="AA221" s="1">
        <v>35.492600000000003</v>
      </c>
      <c r="AB221" s="1">
        <v>7.79</v>
      </c>
    </row>
    <row r="222" spans="1:28" x14ac:dyDescent="0.45">
      <c r="A222" s="1" t="s">
        <v>2295</v>
      </c>
      <c r="B222" s="1" t="s">
        <v>2296</v>
      </c>
      <c r="C222" s="1">
        <v>11</v>
      </c>
      <c r="D222" s="10">
        <f ca="1">IFERROR(([1]!thsiFinD("ths_close_price_index",$A222,$AE$2,"","")/[1]!thsiFinD("ths_close_price_index",$A222,$AE$5,"","")-1)*100,"")</f>
        <v>-20.06708624953766</v>
      </c>
      <c r="E222" s="10">
        <f ca="1">IFERROR(([1]!thsiFinD("ths_close_price_index",$A222,$AE$2,"","")/[1]!thsiFinD("ths_close_price_index",$A222,$AE$3,"","")-1)*100,"")</f>
        <v>-4.8703733671800586</v>
      </c>
      <c r="F222" s="10">
        <f ca="1">IFERROR(([1]!thsiFinD("ths_close_price_index",$A222,$AE$2,"","")/[1]!thsiFinD("ths_close_price_index",$A222,$AE$4,"","")-1)*100,"")</f>
        <v>-5.4561967958656084</v>
      </c>
      <c r="G222" s="11">
        <f t="shared" ca="1" si="3"/>
        <v>-0.70126483364273129</v>
      </c>
      <c r="H222" s="1">
        <v>86.51</v>
      </c>
      <c r="I222" s="1" t="s">
        <v>2297</v>
      </c>
      <c r="J222" s="1" t="s">
        <v>2298</v>
      </c>
      <c r="K222" s="1">
        <v>1090.7991999999999</v>
      </c>
      <c r="L222" s="1">
        <v>37.44</v>
      </c>
      <c r="M222" s="1" t="s">
        <v>2299</v>
      </c>
      <c r="N222" s="1" t="s">
        <v>2300</v>
      </c>
      <c r="O222" s="1">
        <v>755.66980000000001</v>
      </c>
      <c r="P222" s="1">
        <v>25.94</v>
      </c>
      <c r="Q222" s="1" t="s">
        <v>2301</v>
      </c>
      <c r="R222" s="1" t="s">
        <v>2302</v>
      </c>
      <c r="S222" s="1">
        <v>397.14949999999999</v>
      </c>
      <c r="T222" s="1">
        <v>13.63</v>
      </c>
      <c r="U222" s="1" t="s">
        <v>2303</v>
      </c>
      <c r="V222" s="1" t="s">
        <v>2304</v>
      </c>
      <c r="W222" s="1">
        <v>154.3989</v>
      </c>
      <c r="X222" s="1">
        <v>5.3</v>
      </c>
      <c r="Y222" s="1" t="s">
        <v>2305</v>
      </c>
      <c r="Z222" s="1" t="s">
        <v>2306</v>
      </c>
      <c r="AA222" s="1">
        <v>122.3951</v>
      </c>
      <c r="AB222" s="1">
        <v>4.2</v>
      </c>
    </row>
    <row r="223" spans="1:28" x14ac:dyDescent="0.45">
      <c r="A223" s="1" t="s">
        <v>2855</v>
      </c>
      <c r="B223" s="1" t="s">
        <v>2856</v>
      </c>
      <c r="C223" s="1">
        <v>9</v>
      </c>
      <c r="D223" s="10">
        <f ca="1">IFERROR(([1]!thsiFinD("ths_close_price_index",$A223,$AE$2,"","")/[1]!thsiFinD("ths_close_price_index",$A223,$AE$5,"","")-1)*100,"")</f>
        <v>-30.377202042244321</v>
      </c>
      <c r="E223" s="10">
        <f ca="1">IFERROR(([1]!thsiFinD("ths_close_price_index",$A223,$AE$2,"","")/[1]!thsiFinD("ths_close_price_index",$A223,$AE$3,"","")-1)*100,"")</f>
        <v>-6.0856246839678496</v>
      </c>
      <c r="F223" s="10">
        <f ca="1">IFERROR(([1]!thsiFinD("ths_close_price_index",$A223,$AE$2,"","")/[1]!thsiFinD("ths_close_price_index",$A223,$AE$4,"","")-1)*100,"")</f>
        <v>-16.201158738677101</v>
      </c>
      <c r="G223" s="11">
        <f t="shared" ca="1" si="3"/>
        <v>-0.40706699985971484</v>
      </c>
      <c r="H223" s="1">
        <v>96.39</v>
      </c>
      <c r="I223" s="1" t="s">
        <v>2857</v>
      </c>
      <c r="J223" s="1" t="s">
        <v>2858</v>
      </c>
      <c r="K223" s="1">
        <v>2500</v>
      </c>
      <c r="L223" s="1">
        <v>64.599999999999994</v>
      </c>
      <c r="M223" s="1" t="s">
        <v>2859</v>
      </c>
      <c r="N223" s="1" t="s">
        <v>2860</v>
      </c>
      <c r="O223" s="1">
        <v>400</v>
      </c>
      <c r="P223" s="1">
        <v>10.34</v>
      </c>
      <c r="Q223" s="1" t="s">
        <v>2861</v>
      </c>
      <c r="R223" s="1" t="s">
        <v>2862</v>
      </c>
      <c r="S223" s="1">
        <v>300</v>
      </c>
      <c r="T223" s="1">
        <v>7.75</v>
      </c>
      <c r="U223" s="1" t="s">
        <v>2863</v>
      </c>
      <c r="V223" s="1" t="s">
        <v>2864</v>
      </c>
      <c r="W223" s="1">
        <v>280</v>
      </c>
      <c r="X223" s="1">
        <v>7.24</v>
      </c>
      <c r="Y223" s="1" t="s">
        <v>2865</v>
      </c>
      <c r="Z223" s="1" t="s">
        <v>2866</v>
      </c>
      <c r="AA223" s="1">
        <v>250</v>
      </c>
      <c r="AB223" s="1">
        <v>6.46</v>
      </c>
    </row>
    <row r="224" spans="1:28" x14ac:dyDescent="0.45">
      <c r="A224" s="1" t="s">
        <v>2997</v>
      </c>
      <c r="B224" s="1" t="s">
        <v>2998</v>
      </c>
      <c r="C224" s="1">
        <v>3</v>
      </c>
      <c r="D224" s="10">
        <f ca="1">IFERROR(([1]!thsiFinD("ths_close_price_index",$A224,$AE$2,"","")/[1]!thsiFinD("ths_close_price_index",$A224,$AE$5,"","")-1)*100,"")</f>
        <v>-37.177182247816141</v>
      </c>
      <c r="E224" s="10">
        <f ca="1">IFERROR(([1]!thsiFinD("ths_close_price_index",$A224,$AE$2,"","")/[1]!thsiFinD("ths_close_price_index",$A224,$AE$3,"","")-1)*100,"")</f>
        <v>-4.105573232196436</v>
      </c>
      <c r="F224" s="10">
        <f ca="1">IFERROR(([1]!thsiFinD("ths_close_price_index",$A224,$AE$2,"","")/[1]!thsiFinD("ths_close_price_index",$A224,$AE$4,"","")-1)*100,"")</f>
        <v>-12.051075652411713</v>
      </c>
      <c r="G224" s="11">
        <f t="shared" ca="1" si="3"/>
        <v>-0.21856086381870155</v>
      </c>
      <c r="H224" s="1">
        <v>100</v>
      </c>
      <c r="I224" s="1" t="s">
        <v>2999</v>
      </c>
      <c r="J224" s="1" t="s">
        <v>3000</v>
      </c>
      <c r="K224" s="1">
        <v>45.905500000000004</v>
      </c>
      <c r="L224" s="1">
        <v>46.24</v>
      </c>
      <c r="M224" s="1" t="s">
        <v>3001</v>
      </c>
      <c r="N224" s="1" t="s">
        <v>3002</v>
      </c>
      <c r="O224" s="1">
        <v>35.096400000000003</v>
      </c>
      <c r="P224" s="1">
        <v>35.35</v>
      </c>
      <c r="Q224" s="1" t="s">
        <v>3003</v>
      </c>
      <c r="R224" s="1" t="s">
        <v>3004</v>
      </c>
      <c r="S224" s="1">
        <v>18.271799999999999</v>
      </c>
      <c r="T224" s="1">
        <v>18.41</v>
      </c>
    </row>
    <row r="225" spans="1:28" x14ac:dyDescent="0.45">
      <c r="A225" s="1" t="s">
        <v>2925</v>
      </c>
      <c r="B225" s="1" t="s">
        <v>2926</v>
      </c>
      <c r="C225" s="1">
        <v>9</v>
      </c>
      <c r="D225" s="10">
        <f ca="1">IFERROR(([1]!thsiFinD("ths_close_price_index",$A225,$AE$2,"","")/[1]!thsiFinD("ths_close_price_index",$A225,$AE$5,"","")-1)*100,"")</f>
        <v>-26.474714020983992</v>
      </c>
      <c r="E225" s="10">
        <f ca="1">IFERROR(([1]!thsiFinD("ths_close_price_index",$A225,$AE$2,"","")/[1]!thsiFinD("ths_close_price_index",$A225,$AE$3,"","")-1)*100,"")</f>
        <v>3.0282445303461802</v>
      </c>
      <c r="F225" s="10">
        <f ca="1">IFERROR(([1]!thsiFinD("ths_close_price_index",$A225,$AE$2,"","")/[1]!thsiFinD("ths_close_price_index",$A225,$AE$4,"","")-1)*100,"")</f>
        <v>-2.2424115374589992</v>
      </c>
      <c r="G225" s="11">
        <f t="shared" ca="1" si="3"/>
        <v>0.71776948294218601</v>
      </c>
      <c r="H225" s="1">
        <v>80.8</v>
      </c>
      <c r="I225" s="1" t="s">
        <v>2927</v>
      </c>
      <c r="J225" s="1" t="s">
        <v>2928</v>
      </c>
      <c r="K225" s="1">
        <v>312.13929999999999</v>
      </c>
      <c r="L225" s="1">
        <v>20.68</v>
      </c>
      <c r="M225" s="1" t="s">
        <v>2929</v>
      </c>
      <c r="N225" s="1" t="s">
        <v>2930</v>
      </c>
      <c r="O225" s="1">
        <v>261.5018</v>
      </c>
      <c r="P225" s="1">
        <v>17.329999999999998</v>
      </c>
      <c r="Q225" s="1" t="s">
        <v>2931</v>
      </c>
      <c r="R225" s="1" t="s">
        <v>2932</v>
      </c>
      <c r="S225" s="1">
        <v>231.80959999999999</v>
      </c>
      <c r="T225" s="1">
        <v>15.36</v>
      </c>
      <c r="U225" s="1" t="s">
        <v>2933</v>
      </c>
      <c r="V225" s="1" t="s">
        <v>2934</v>
      </c>
      <c r="W225" s="1">
        <v>215.02809999999999</v>
      </c>
      <c r="X225" s="1">
        <v>14.25</v>
      </c>
      <c r="Y225" s="1" t="s">
        <v>2935</v>
      </c>
      <c r="Z225" s="1" t="s">
        <v>2936</v>
      </c>
      <c r="AA225" s="1">
        <v>198.84780000000001</v>
      </c>
      <c r="AB225" s="1">
        <v>13.18</v>
      </c>
    </row>
    <row r="226" spans="1:28" x14ac:dyDescent="0.45">
      <c r="A226" s="1" t="s">
        <v>533</v>
      </c>
      <c r="B226" s="1" t="s">
        <v>534</v>
      </c>
      <c r="C226" s="1">
        <v>23</v>
      </c>
      <c r="D226" s="10">
        <f ca="1">IFERROR(([1]!thsiFinD("ths_close_price_index",$A226,$AE$2,"","")/[1]!thsiFinD("ths_close_price_index",$A226,$AE$5,"","")-1)*100,"")</f>
        <v>17.043602507354439</v>
      </c>
      <c r="E226" s="10">
        <f ca="1">IFERROR(([1]!thsiFinD("ths_close_price_index",$A226,$AE$2,"","")/[1]!thsiFinD("ths_close_price_index",$A226,$AE$3,"","")-1)*100,"")</f>
        <v>-2.9103441277736453</v>
      </c>
      <c r="F226" s="10">
        <f ca="1">IFERROR(([1]!thsiFinD("ths_close_price_index",$A226,$AE$2,"","")/[1]!thsiFinD("ths_close_price_index",$A226,$AE$4,"","")-1)*100,"")</f>
        <v>-1.6879806994881008</v>
      </c>
      <c r="G226" s="11">
        <f t="shared" ca="1" si="3"/>
        <v>-0.49766979058032401</v>
      </c>
      <c r="H226" s="1">
        <v>51.65</v>
      </c>
      <c r="I226" s="1" t="s">
        <v>535</v>
      </c>
      <c r="J226" s="1" t="s">
        <v>536</v>
      </c>
      <c r="K226" s="1">
        <v>158.75290000000001</v>
      </c>
      <c r="L226" s="1">
        <v>16.28</v>
      </c>
      <c r="M226" s="1" t="s">
        <v>537</v>
      </c>
      <c r="N226" s="1" t="s">
        <v>538</v>
      </c>
      <c r="O226" s="1">
        <v>127.0778</v>
      </c>
      <c r="P226" s="1">
        <v>13.03</v>
      </c>
      <c r="Q226" s="1" t="s">
        <v>539</v>
      </c>
      <c r="R226" s="1" t="s">
        <v>540</v>
      </c>
      <c r="S226" s="1">
        <v>79.939800000000005</v>
      </c>
      <c r="T226" s="1">
        <v>8.1999999999999993</v>
      </c>
      <c r="U226" s="1" t="s">
        <v>541</v>
      </c>
      <c r="V226" s="1" t="s">
        <v>542</v>
      </c>
      <c r="W226" s="1">
        <v>73.152199999999993</v>
      </c>
      <c r="X226" s="1">
        <v>7.5</v>
      </c>
      <c r="Y226" s="1" t="s">
        <v>543</v>
      </c>
      <c r="Z226" s="1" t="s">
        <v>544</v>
      </c>
      <c r="AA226" s="1">
        <v>64.721000000000004</v>
      </c>
      <c r="AB226" s="1">
        <v>6.64</v>
      </c>
    </row>
    <row r="227" spans="1:28" x14ac:dyDescent="0.45">
      <c r="A227" s="1" t="s">
        <v>329</v>
      </c>
      <c r="B227" s="1" t="s">
        <v>330</v>
      </c>
      <c r="C227" s="1">
        <v>10</v>
      </c>
      <c r="D227" s="10">
        <f ca="1">IFERROR(([1]!thsiFinD("ths_close_price_index",$A227,$AE$2,"","")/[1]!thsiFinD("ths_close_price_index",$A227,$AE$5,"","")-1)*100,"")</f>
        <v>39.051204343826228</v>
      </c>
      <c r="E227" s="10">
        <f ca="1">IFERROR(([1]!thsiFinD("ths_close_price_index",$A227,$AE$2,"","")/[1]!thsiFinD("ths_close_price_index",$A227,$AE$3,"","")-1)*100,"")</f>
        <v>0.45400683558891597</v>
      </c>
      <c r="F227" s="10">
        <f ca="1">IFERROR(([1]!thsiFinD("ths_close_price_index",$A227,$AE$2,"","")/[1]!thsiFinD("ths_close_price_index",$A227,$AE$4,"","")-1)*100,"")</f>
        <v>-5.9721877603234441</v>
      </c>
      <c r="G227" s="11">
        <f t="shared" ca="1" si="3"/>
        <v>0.3894107551339554</v>
      </c>
      <c r="H227" s="1">
        <v>89.26</v>
      </c>
      <c r="I227" s="1" t="s">
        <v>331</v>
      </c>
      <c r="J227" s="1" t="s">
        <v>332</v>
      </c>
      <c r="K227" s="1">
        <v>338.27769999999998</v>
      </c>
      <c r="L227" s="1">
        <v>27.71</v>
      </c>
      <c r="M227" s="1" t="s">
        <v>333</v>
      </c>
      <c r="N227" s="1" t="s">
        <v>334</v>
      </c>
      <c r="O227" s="1">
        <v>335.58100000000002</v>
      </c>
      <c r="P227" s="1">
        <v>27.48</v>
      </c>
      <c r="Q227" s="1" t="s">
        <v>335</v>
      </c>
      <c r="R227" s="1" t="s">
        <v>336</v>
      </c>
      <c r="S227" s="1">
        <v>188.91810000000001</v>
      </c>
      <c r="T227" s="1">
        <v>15.47</v>
      </c>
      <c r="U227" s="1" t="s">
        <v>337</v>
      </c>
      <c r="V227" s="1" t="s">
        <v>338</v>
      </c>
      <c r="W227" s="1">
        <v>124.7192</v>
      </c>
      <c r="X227" s="1">
        <v>10.210000000000001</v>
      </c>
      <c r="Y227" s="1" t="s">
        <v>339</v>
      </c>
      <c r="Z227" s="1" t="s">
        <v>340</v>
      </c>
      <c r="AA227" s="1">
        <v>102.39830000000001</v>
      </c>
      <c r="AB227" s="1">
        <v>8.39</v>
      </c>
    </row>
    <row r="228" spans="1:28" x14ac:dyDescent="0.45">
      <c r="A228" s="1" t="s">
        <v>699</v>
      </c>
      <c r="B228" s="1" t="s">
        <v>700</v>
      </c>
      <c r="C228" s="1">
        <v>15</v>
      </c>
      <c r="D228" s="10">
        <f ca="1">IFERROR(([1]!thsiFinD("ths_close_price_index",$A228,$AE$2,"","")/[1]!thsiFinD("ths_close_price_index",$A228,$AE$5,"","")-1)*100,"")</f>
        <v>9.0729422727354745</v>
      </c>
      <c r="E228" s="10">
        <f ca="1">IFERROR(([1]!thsiFinD("ths_close_price_index",$A228,$AE$2,"","")/[1]!thsiFinD("ths_close_price_index",$A228,$AE$3,"","")-1)*100,"")</f>
        <v>-3.2567953777302261</v>
      </c>
      <c r="F228" s="10">
        <f ca="1">IFERROR(([1]!thsiFinD("ths_close_price_index",$A228,$AE$2,"","")/[1]!thsiFinD("ths_close_price_index",$A228,$AE$4,"","")-1)*100,"")</f>
        <v>-10.111603584579088</v>
      </c>
      <c r="G228" s="11">
        <f t="shared" ca="1" si="3"/>
        <v>-0.14577889631709084</v>
      </c>
      <c r="H228" s="1">
        <v>89.32</v>
      </c>
      <c r="I228" s="1" t="s">
        <v>701</v>
      </c>
      <c r="J228" s="1" t="s">
        <v>702</v>
      </c>
      <c r="K228" s="1">
        <v>1106.9618</v>
      </c>
      <c r="L228" s="1">
        <v>38.78</v>
      </c>
      <c r="M228" s="1" t="s">
        <v>703</v>
      </c>
      <c r="N228" s="1" t="s">
        <v>704</v>
      </c>
      <c r="O228" s="1">
        <v>784.98620000000005</v>
      </c>
      <c r="P228" s="1">
        <v>27.5</v>
      </c>
      <c r="Q228" s="1" t="s">
        <v>705</v>
      </c>
      <c r="R228" s="1" t="s">
        <v>706</v>
      </c>
      <c r="S228" s="1">
        <v>310.73590000000002</v>
      </c>
      <c r="T228" s="1">
        <v>10.89</v>
      </c>
      <c r="U228" s="1" t="s">
        <v>707</v>
      </c>
      <c r="V228" s="1" t="s">
        <v>708</v>
      </c>
      <c r="W228" s="1">
        <v>210.95849999999999</v>
      </c>
      <c r="X228" s="1">
        <v>7.39</v>
      </c>
      <c r="Y228" s="1" t="s">
        <v>709</v>
      </c>
      <c r="Z228" s="1" t="s">
        <v>710</v>
      </c>
      <c r="AA228" s="1">
        <v>136.00489999999999</v>
      </c>
      <c r="AB228" s="1">
        <v>4.76</v>
      </c>
    </row>
    <row r="229" spans="1:28" x14ac:dyDescent="0.45">
      <c r="A229" s="1" t="s">
        <v>1169</v>
      </c>
      <c r="B229" s="1" t="s">
        <v>1170</v>
      </c>
      <c r="C229" s="1">
        <v>3</v>
      </c>
      <c r="D229" s="10">
        <f ca="1">IFERROR(([1]!thsiFinD("ths_close_price_index",$A229,$AE$2,"","")/[1]!thsiFinD("ths_close_price_index",$A229,$AE$5,"","")-1)*100,"")</f>
        <v>-3.1092748032879092</v>
      </c>
      <c r="E229" s="10">
        <f ca="1">IFERROR(([1]!thsiFinD("ths_close_price_index",$A229,$AE$2,"","")/[1]!thsiFinD("ths_close_price_index",$A229,$AE$3,"","")-1)*100,"")</f>
        <v>-0.90432899046584136</v>
      </c>
      <c r="F229" s="10">
        <f ca="1">IFERROR(([1]!thsiFinD("ths_close_price_index",$A229,$AE$2,"","")/[1]!thsiFinD("ths_close_price_index",$A229,$AE$4,"","")-1)*100,"")</f>
        <v>-5.3082091091562926</v>
      </c>
      <c r="G229" s="11">
        <f t="shared" ca="1" si="3"/>
        <v>8.4544657364646336E-2</v>
      </c>
      <c r="H229" s="1">
        <v>100</v>
      </c>
      <c r="I229" s="1" t="s">
        <v>1171</v>
      </c>
      <c r="J229" s="1" t="s">
        <v>1172</v>
      </c>
      <c r="K229" s="1">
        <v>960.25250000000005</v>
      </c>
      <c r="L229" s="1">
        <v>54.21</v>
      </c>
      <c r="M229" s="1" t="s">
        <v>1173</v>
      </c>
      <c r="N229" s="1" t="s">
        <v>1174</v>
      </c>
      <c r="O229" s="1">
        <v>548.59199999999998</v>
      </c>
      <c r="P229" s="1">
        <v>30.97</v>
      </c>
      <c r="Q229" s="1" t="s">
        <v>1175</v>
      </c>
      <c r="R229" s="1" t="s">
        <v>1176</v>
      </c>
      <c r="S229" s="1">
        <v>262.4828</v>
      </c>
      <c r="T229" s="1">
        <v>14.82</v>
      </c>
    </row>
    <row r="230" spans="1:28" x14ac:dyDescent="0.45">
      <c r="A230" s="1" t="s">
        <v>377</v>
      </c>
      <c r="B230" s="1" t="s">
        <v>378</v>
      </c>
      <c r="C230" s="1">
        <v>17</v>
      </c>
      <c r="D230" s="10">
        <f ca="1">IFERROR(([1]!thsiFinD("ths_close_price_index",$A230,$AE$2,"","")/[1]!thsiFinD("ths_close_price_index",$A230,$AE$5,"","")-1)*100,"")</f>
        <v>31.785393165296448</v>
      </c>
      <c r="E230" s="10">
        <f ca="1">IFERROR(([1]!thsiFinD("ths_close_price_index",$A230,$AE$2,"","")/[1]!thsiFinD("ths_close_price_index",$A230,$AE$3,"","")-1)*100,"")</f>
        <v>-1.6910097262558432</v>
      </c>
      <c r="F230" s="10">
        <f ca="1">IFERROR(([1]!thsiFinD("ths_close_price_index",$A230,$AE$2,"","")/[1]!thsiFinD("ths_close_price_index",$A230,$AE$4,"","")-1)*100,"")</f>
        <v>7.9866659962543274</v>
      </c>
      <c r="G230" s="11">
        <f t="shared" ca="1" si="3"/>
        <v>-0.73753524506388501</v>
      </c>
      <c r="H230" s="1">
        <v>73.56</v>
      </c>
      <c r="I230" s="1" t="s">
        <v>379</v>
      </c>
      <c r="J230" s="1" t="s">
        <v>380</v>
      </c>
      <c r="K230" s="1">
        <v>1213.1041</v>
      </c>
      <c r="L230" s="1">
        <v>33.17</v>
      </c>
      <c r="M230" s="1" t="s">
        <v>381</v>
      </c>
      <c r="N230" s="1" t="s">
        <v>382</v>
      </c>
      <c r="O230" s="1">
        <v>450.44110000000001</v>
      </c>
      <c r="P230" s="1">
        <v>12.32</v>
      </c>
      <c r="Q230" s="1" t="s">
        <v>383</v>
      </c>
      <c r="R230" s="1" t="s">
        <v>384</v>
      </c>
      <c r="S230" s="1">
        <v>435.97120000000001</v>
      </c>
      <c r="T230" s="1">
        <v>11.92</v>
      </c>
      <c r="U230" s="1" t="s">
        <v>385</v>
      </c>
      <c r="V230" s="1" t="s">
        <v>386</v>
      </c>
      <c r="W230" s="1">
        <v>344.72280000000001</v>
      </c>
      <c r="X230" s="1">
        <v>9.43</v>
      </c>
      <c r="Y230" s="1" t="s">
        <v>387</v>
      </c>
      <c r="Z230" s="1" t="s">
        <v>388</v>
      </c>
      <c r="AA230" s="1">
        <v>245.70140000000001</v>
      </c>
      <c r="AB230" s="1">
        <v>6.72</v>
      </c>
    </row>
    <row r="231" spans="1:28" x14ac:dyDescent="0.45">
      <c r="A231" s="1" t="s">
        <v>875</v>
      </c>
      <c r="B231" s="1" t="s">
        <v>876</v>
      </c>
      <c r="C231" s="1">
        <v>22</v>
      </c>
      <c r="D231" s="10">
        <f ca="1">IFERROR(([1]!thsiFinD("ths_close_price_index",$A231,$AE$2,"","")/[1]!thsiFinD("ths_close_price_index",$A231,$AE$5,"","")-1)*100,"")</f>
        <v>3.5928565365228371</v>
      </c>
      <c r="E231" s="10">
        <f ca="1">IFERROR(([1]!thsiFinD("ths_close_price_index",$A231,$AE$2,"","")/[1]!thsiFinD("ths_close_price_index",$A231,$AE$3,"","")-1)*100,"")</f>
        <v>-4.5923336597362923</v>
      </c>
      <c r="F231" s="10">
        <f ca="1">IFERROR(([1]!thsiFinD("ths_close_price_index",$A231,$AE$2,"","")/[1]!thsiFinD("ths_close_price_index",$A231,$AE$4,"","")-1)*100,"")</f>
        <v>-13.696586159973013</v>
      </c>
      <c r="G231" s="11">
        <f t="shared" ca="1" si="3"/>
        <v>-0.23363742394860787</v>
      </c>
      <c r="H231" s="1">
        <v>56.98</v>
      </c>
      <c r="I231" s="1" t="s">
        <v>877</v>
      </c>
      <c r="J231" s="1" t="s">
        <v>878</v>
      </c>
      <c r="K231" s="1">
        <v>532.24570000000006</v>
      </c>
      <c r="L231" s="1">
        <v>26.17</v>
      </c>
      <c r="M231" s="1" t="s">
        <v>879</v>
      </c>
      <c r="N231" s="1" t="s">
        <v>880</v>
      </c>
      <c r="O231" s="1">
        <v>171.8261</v>
      </c>
      <c r="P231" s="1">
        <v>8.4499999999999993</v>
      </c>
      <c r="Q231" s="1" t="s">
        <v>881</v>
      </c>
      <c r="R231" s="1" t="s">
        <v>882</v>
      </c>
      <c r="S231" s="1">
        <v>170.29849999999999</v>
      </c>
      <c r="T231" s="1">
        <v>8.3699999999999992</v>
      </c>
      <c r="U231" s="1" t="s">
        <v>883</v>
      </c>
      <c r="V231" s="1" t="s">
        <v>884</v>
      </c>
      <c r="W231" s="1">
        <v>146.74780000000001</v>
      </c>
      <c r="X231" s="1">
        <v>7.22</v>
      </c>
      <c r="Y231" s="1" t="s">
        <v>885</v>
      </c>
      <c r="Z231" s="1" t="s">
        <v>886</v>
      </c>
      <c r="AA231" s="1">
        <v>137.7396</v>
      </c>
      <c r="AB231" s="1">
        <v>6.77</v>
      </c>
    </row>
    <row r="232" spans="1:28" x14ac:dyDescent="0.45">
      <c r="A232" s="1" t="s">
        <v>983</v>
      </c>
      <c r="B232" s="1" t="s">
        <v>984</v>
      </c>
      <c r="C232" s="1">
        <v>7</v>
      </c>
      <c r="D232" s="10">
        <f ca="1">IFERROR(([1]!thsiFinD("ths_close_price_index",$A232,$AE$2,"","")/[1]!thsiFinD("ths_close_price_index",$A232,$AE$5,"","")-1)*100,"")</f>
        <v>1.5976981688843761</v>
      </c>
      <c r="E232" s="10">
        <f ca="1">IFERROR(([1]!thsiFinD("ths_close_price_index",$A232,$AE$2,"","")/[1]!thsiFinD("ths_close_price_index",$A232,$AE$3,"","")-1)*100,"")</f>
        <v>-3.795560612061033</v>
      </c>
      <c r="F232" s="10">
        <f ca="1">IFERROR(([1]!thsiFinD("ths_close_price_index",$A232,$AE$2,"","")/[1]!thsiFinD("ths_close_price_index",$A232,$AE$4,"","")-1)*100,"")</f>
        <v>-5.388314686262885</v>
      </c>
      <c r="G232" s="11">
        <f t="shared" ca="1" si="3"/>
        <v>-0.48969638809906235</v>
      </c>
      <c r="H232" s="1">
        <v>99.99</v>
      </c>
      <c r="I232" s="1" t="s">
        <v>985</v>
      </c>
      <c r="J232" s="1" t="s">
        <v>986</v>
      </c>
      <c r="K232" s="1">
        <v>82.183499999999995</v>
      </c>
      <c r="L232" s="1">
        <v>32.32</v>
      </c>
      <c r="M232" s="1" t="s">
        <v>987</v>
      </c>
      <c r="N232" s="1" t="s">
        <v>988</v>
      </c>
      <c r="O232" s="1">
        <v>77.290999999999997</v>
      </c>
      <c r="P232" s="1">
        <v>30.39</v>
      </c>
      <c r="Q232" s="1" t="s">
        <v>989</v>
      </c>
      <c r="R232" s="1" t="s">
        <v>990</v>
      </c>
      <c r="S232" s="1">
        <v>65.514799999999994</v>
      </c>
      <c r="T232" s="1">
        <v>25.76</v>
      </c>
      <c r="U232" s="1" t="s">
        <v>991</v>
      </c>
      <c r="V232" s="1" t="s">
        <v>992</v>
      </c>
      <c r="W232" s="1">
        <v>17.296099999999999</v>
      </c>
      <c r="X232" s="1">
        <v>6.8</v>
      </c>
      <c r="Y232" s="1" t="s">
        <v>993</v>
      </c>
      <c r="Z232" s="1" t="s">
        <v>994</v>
      </c>
      <c r="AA232" s="1">
        <v>12.0067</v>
      </c>
      <c r="AB232" s="1">
        <v>4.72</v>
      </c>
    </row>
    <row r="233" spans="1:28" x14ac:dyDescent="0.45">
      <c r="A233" s="1" t="s">
        <v>1899</v>
      </c>
      <c r="B233" s="1" t="s">
        <v>1900</v>
      </c>
      <c r="C233" s="1">
        <v>9</v>
      </c>
      <c r="D233" s="10">
        <f ca="1">IFERROR(([1]!thsiFinD("ths_close_price_index",$A233,$AE$2,"","")/[1]!thsiFinD("ths_close_price_index",$A233,$AE$5,"","")-1)*100,"")</f>
        <v>-13.257193713885918</v>
      </c>
      <c r="E233" s="10">
        <f ca="1">IFERROR(([1]!thsiFinD("ths_close_price_index",$A233,$AE$2,"","")/[1]!thsiFinD("ths_close_price_index",$A233,$AE$3,"","")-1)*100,"")</f>
        <v>-2.2401414961757959</v>
      </c>
      <c r="F233" s="10">
        <f ca="1">IFERROR(([1]!thsiFinD("ths_close_price_index",$A233,$AE$2,"","")/[1]!thsiFinD("ths_close_price_index",$A233,$AE$4,"","")-1)*100,"")</f>
        <v>-2.2127373879386236</v>
      </c>
      <c r="G233" s="11">
        <f t="shared" ca="1" si="3"/>
        <v>-0.33739142983822801</v>
      </c>
      <c r="H233" s="1">
        <v>87.63</v>
      </c>
      <c r="I233" s="1" t="s">
        <v>1901</v>
      </c>
      <c r="J233" s="1" t="s">
        <v>1902</v>
      </c>
      <c r="K233" s="1">
        <v>4411.9632000000001</v>
      </c>
      <c r="L233" s="1">
        <v>39.72</v>
      </c>
      <c r="M233" s="1" t="s">
        <v>1903</v>
      </c>
      <c r="N233" s="1" t="s">
        <v>1904</v>
      </c>
      <c r="O233" s="1">
        <v>2681.6657</v>
      </c>
      <c r="P233" s="1">
        <v>24.15</v>
      </c>
      <c r="Q233" s="1" t="s">
        <v>1905</v>
      </c>
      <c r="R233" s="1" t="s">
        <v>1906</v>
      </c>
      <c r="S233" s="1">
        <v>1173.8195000000001</v>
      </c>
      <c r="T233" s="1">
        <v>10.57</v>
      </c>
      <c r="U233" s="1" t="s">
        <v>1907</v>
      </c>
      <c r="V233" s="1" t="s">
        <v>1908</v>
      </c>
      <c r="W233" s="1">
        <v>916.00220000000002</v>
      </c>
      <c r="X233" s="1">
        <v>8.25</v>
      </c>
      <c r="Y233" s="1" t="s">
        <v>1909</v>
      </c>
      <c r="Z233" s="1" t="s">
        <v>1910</v>
      </c>
      <c r="AA233" s="1">
        <v>548.11620000000005</v>
      </c>
      <c r="AB233" s="1">
        <v>4.9400000000000004</v>
      </c>
    </row>
    <row r="234" spans="1:28" x14ac:dyDescent="0.45">
      <c r="A234" s="1" t="s">
        <v>1783</v>
      </c>
      <c r="B234" s="1" t="s">
        <v>1784</v>
      </c>
      <c r="C234" s="1">
        <v>3</v>
      </c>
      <c r="D234" s="10">
        <f ca="1">IFERROR(([1]!thsiFinD("ths_close_price_index",$A234,$AE$2,"","")/[1]!thsiFinD("ths_close_price_index",$A234,$AE$5,"","")-1)*100,"")</f>
        <v>-14.325163124645602</v>
      </c>
      <c r="E234" s="10">
        <f ca="1">IFERROR(([1]!thsiFinD("ths_close_price_index",$A234,$AE$2,"","")/[1]!thsiFinD("ths_close_price_index",$A234,$AE$3,"","")-1)*100,"")</f>
        <v>-4.6007582008962933</v>
      </c>
      <c r="F234" s="10">
        <f ca="1">IFERROR(([1]!thsiFinD("ths_close_price_index",$A234,$AE$2,"","")/[1]!thsiFinD("ths_close_price_index",$A234,$AE$4,"","")-1)*100,"")</f>
        <v>-7.8357822981034664</v>
      </c>
      <c r="G234" s="11">
        <f t="shared" ca="1" si="3"/>
        <v>-0.52836252527408534</v>
      </c>
      <c r="H234" s="1">
        <v>100</v>
      </c>
      <c r="I234" s="1" t="s">
        <v>1785</v>
      </c>
      <c r="J234" s="1" t="s">
        <v>1786</v>
      </c>
      <c r="K234" s="1">
        <v>846.31759999999997</v>
      </c>
      <c r="L234" s="1">
        <v>34.29</v>
      </c>
      <c r="M234" s="1" t="s">
        <v>1787</v>
      </c>
      <c r="N234" s="1" t="s">
        <v>1788</v>
      </c>
      <c r="O234" s="1">
        <v>829.56</v>
      </c>
      <c r="P234" s="1">
        <v>33.61</v>
      </c>
      <c r="Q234" s="1" t="s">
        <v>1789</v>
      </c>
      <c r="R234" s="1" t="s">
        <v>1790</v>
      </c>
      <c r="S234" s="1">
        <v>792.25419999999997</v>
      </c>
      <c r="T234" s="1">
        <v>32.1</v>
      </c>
    </row>
    <row r="235" spans="1:28" x14ac:dyDescent="0.45">
      <c r="A235" s="1" t="s">
        <v>2561</v>
      </c>
      <c r="B235" s="1" t="s">
        <v>2562</v>
      </c>
      <c r="C235" s="1">
        <v>8</v>
      </c>
      <c r="D235" s="10">
        <f ca="1">IFERROR(([1]!thsiFinD("ths_close_price_index",$A235,$AE$2,"","")/[1]!thsiFinD("ths_close_price_index",$A235,$AE$5,"","")-1)*100,"")</f>
        <v>-22.462192499085109</v>
      </c>
      <c r="E235" s="10">
        <f ca="1">IFERROR(([1]!thsiFinD("ths_close_price_index",$A235,$AE$2,"","")/[1]!thsiFinD("ths_close_price_index",$A235,$AE$3,"","")-1)*100,"")</f>
        <v>-2.7159016910144107</v>
      </c>
      <c r="F235" s="10">
        <f ca="1">IFERROR(([1]!thsiFinD("ths_close_price_index",$A235,$AE$2,"","")/[1]!thsiFinD("ths_close_price_index",$A235,$AE$4,"","")-1)*100,"")</f>
        <v>-14.332260422457798</v>
      </c>
      <c r="G235" s="11">
        <f t="shared" ca="1" si="3"/>
        <v>0.1734326829200078</v>
      </c>
      <c r="H235" s="1">
        <v>80.67</v>
      </c>
      <c r="I235" s="1" t="s">
        <v>2563</v>
      </c>
      <c r="J235" s="1" t="s">
        <v>2564</v>
      </c>
      <c r="K235" s="1">
        <v>101.1589</v>
      </c>
      <c r="L235" s="1">
        <v>35.630000000000003</v>
      </c>
      <c r="M235" s="1" t="s">
        <v>2565</v>
      </c>
      <c r="N235" s="1" t="s">
        <v>2566</v>
      </c>
      <c r="O235" s="1">
        <v>38.715499999999999</v>
      </c>
      <c r="P235" s="1">
        <v>13.64</v>
      </c>
      <c r="Q235" s="1" t="s">
        <v>2567</v>
      </c>
      <c r="R235" s="1" t="s">
        <v>2568</v>
      </c>
      <c r="S235" s="1">
        <v>35.408499999999997</v>
      </c>
      <c r="T235" s="1">
        <v>12.47</v>
      </c>
      <c r="U235" s="1" t="s">
        <v>2569</v>
      </c>
      <c r="V235" s="1" t="s">
        <v>2570</v>
      </c>
      <c r="W235" s="1">
        <v>28.803699999999999</v>
      </c>
      <c r="X235" s="1">
        <v>10.15</v>
      </c>
      <c r="Y235" s="1" t="s">
        <v>2571</v>
      </c>
      <c r="Z235" s="1" t="s">
        <v>2572</v>
      </c>
      <c r="AA235" s="1">
        <v>24.9132</v>
      </c>
      <c r="AB235" s="1">
        <v>8.7799999999999994</v>
      </c>
    </row>
    <row r="236" spans="1:28" x14ac:dyDescent="0.45">
      <c r="A236" s="1" t="s">
        <v>1551</v>
      </c>
      <c r="B236" s="1" t="s">
        <v>1552</v>
      </c>
      <c r="C236" s="1">
        <v>15</v>
      </c>
      <c r="D236" s="10">
        <f ca="1">IFERROR(([1]!thsiFinD("ths_close_price_index",$A236,$AE$2,"","")/[1]!thsiFinD("ths_close_price_index",$A236,$AE$5,"","")-1)*100,"")</f>
        <v>-9.6972242749431832</v>
      </c>
      <c r="E236" s="10">
        <f ca="1">IFERROR(([1]!thsiFinD("ths_close_price_index",$A236,$AE$2,"","")/[1]!thsiFinD("ths_close_price_index",$A236,$AE$3,"","")-1)*100,"")</f>
        <v>-2.5075074420652044</v>
      </c>
      <c r="F236" s="10">
        <f ca="1">IFERROR(([1]!thsiFinD("ths_close_price_index",$A236,$AE$2,"","")/[1]!thsiFinD("ths_close_price_index",$A236,$AE$4,"","")-1)*100,"")</f>
        <v>-13.775207873436168</v>
      </c>
      <c r="G236" s="11">
        <f t="shared" ca="1" si="3"/>
        <v>0.18725890525876754</v>
      </c>
      <c r="H236" s="1">
        <v>67.83</v>
      </c>
      <c r="I236" s="1" t="s">
        <v>1553</v>
      </c>
      <c r="J236" s="1" t="s">
        <v>1554</v>
      </c>
      <c r="K236" s="1">
        <v>79.773300000000006</v>
      </c>
      <c r="L236" s="1">
        <v>21.04</v>
      </c>
      <c r="M236" s="1" t="s">
        <v>1555</v>
      </c>
      <c r="N236" s="1" t="s">
        <v>1556</v>
      </c>
      <c r="O236" s="1">
        <v>69.537999999999997</v>
      </c>
      <c r="P236" s="1">
        <v>18.34</v>
      </c>
      <c r="Q236" s="1" t="s">
        <v>1557</v>
      </c>
      <c r="R236" s="1" t="s">
        <v>1558</v>
      </c>
      <c r="S236" s="1">
        <v>43.154000000000003</v>
      </c>
      <c r="T236" s="1">
        <v>11.38</v>
      </c>
      <c r="U236" s="1" t="s">
        <v>1559</v>
      </c>
      <c r="V236" s="1" t="s">
        <v>1560</v>
      </c>
      <c r="W236" s="1">
        <v>33.199800000000003</v>
      </c>
      <c r="X236" s="1">
        <v>8.76</v>
      </c>
      <c r="Y236" s="1" t="s">
        <v>1561</v>
      </c>
      <c r="Z236" s="1" t="s">
        <v>1562</v>
      </c>
      <c r="AA236" s="1">
        <v>31.497499999999999</v>
      </c>
      <c r="AB236" s="1">
        <v>8.31</v>
      </c>
    </row>
    <row r="237" spans="1:28" x14ac:dyDescent="0.45">
      <c r="A237" s="1" t="s">
        <v>2945</v>
      </c>
      <c r="B237" s="1" t="s">
        <v>2946</v>
      </c>
      <c r="C237" s="1">
        <v>7</v>
      </c>
      <c r="D237" s="10">
        <f ca="1">IFERROR(([1]!thsiFinD("ths_close_price_index",$A237,$AE$2,"","")/[1]!thsiFinD("ths_close_price_index",$A237,$AE$5,"","")-1)*100,"")</f>
        <v>-33.578967550176401</v>
      </c>
      <c r="E237" s="10">
        <f ca="1">IFERROR(([1]!thsiFinD("ths_close_price_index",$A237,$AE$2,"","")/[1]!thsiFinD("ths_close_price_index",$A237,$AE$3,"","")-1)*100,"")</f>
        <v>-4.8107839910820012</v>
      </c>
      <c r="F237" s="10">
        <f ca="1">IFERROR(([1]!thsiFinD("ths_close_price_index",$A237,$AE$2,"","")/[1]!thsiFinD("ths_close_price_index",$A237,$AE$4,"","")-1)*100,"")</f>
        <v>-15.797370346604467</v>
      </c>
      <c r="G237" s="11">
        <f t="shared" ca="1" si="3"/>
        <v>-0.17228828088617687</v>
      </c>
      <c r="H237" s="1">
        <v>91.24</v>
      </c>
      <c r="I237" s="1" t="s">
        <v>2947</v>
      </c>
      <c r="J237" s="1" t="s">
        <v>2948</v>
      </c>
      <c r="K237" s="1">
        <v>254.32220000000001</v>
      </c>
      <c r="L237" s="1">
        <v>56.49</v>
      </c>
      <c r="M237" s="1" t="s">
        <v>2949</v>
      </c>
      <c r="N237" s="1" t="s">
        <v>2950</v>
      </c>
      <c r="O237" s="1">
        <v>50.602800000000002</v>
      </c>
      <c r="P237" s="1">
        <v>11.24</v>
      </c>
      <c r="Q237" s="1" t="s">
        <v>2951</v>
      </c>
      <c r="R237" s="1" t="s">
        <v>2952</v>
      </c>
      <c r="S237" s="1">
        <v>45.450600000000001</v>
      </c>
      <c r="T237" s="1">
        <v>10.1</v>
      </c>
      <c r="U237" s="1" t="s">
        <v>2953</v>
      </c>
      <c r="V237" s="1" t="s">
        <v>2954</v>
      </c>
      <c r="W237" s="1">
        <v>32.781500000000001</v>
      </c>
      <c r="X237" s="1">
        <v>7.28</v>
      </c>
      <c r="Y237" s="1" t="s">
        <v>2955</v>
      </c>
      <c r="Z237" s="1" t="s">
        <v>2956</v>
      </c>
      <c r="AA237" s="1">
        <v>27.598400000000002</v>
      </c>
      <c r="AB237" s="1">
        <v>6.13</v>
      </c>
    </row>
    <row r="238" spans="1:28" x14ac:dyDescent="0.45">
      <c r="A238" s="1" t="s">
        <v>1563</v>
      </c>
      <c r="B238" s="1" t="s">
        <v>1564</v>
      </c>
      <c r="C238" s="1">
        <v>10</v>
      </c>
      <c r="D238" s="10">
        <f ca="1">IFERROR(([1]!thsiFinD("ths_close_price_index",$A238,$AE$2,"","")/[1]!thsiFinD("ths_close_price_index",$A238,$AE$5,"","")-1)*100,"")</f>
        <v>-8.4574062813063122</v>
      </c>
      <c r="E238" s="10">
        <f ca="1">IFERROR(([1]!thsiFinD("ths_close_price_index",$A238,$AE$2,"","")/[1]!thsiFinD("ths_close_price_index",$A238,$AE$3,"","")-1)*100,"")</f>
        <v>-0.74502543168626367</v>
      </c>
      <c r="F238" s="10">
        <f ca="1">IFERROR(([1]!thsiFinD("ths_close_price_index",$A238,$AE$2,"","")/[1]!thsiFinD("ths_close_price_index",$A238,$AE$4,"","")-1)*100,"")</f>
        <v>0.57804961354905871</v>
      </c>
      <c r="G238" s="11">
        <f t="shared" ca="1" si="3"/>
        <v>-0.17790756701470567</v>
      </c>
      <c r="H238" s="1">
        <v>77.069999999999993</v>
      </c>
      <c r="I238" s="1" t="s">
        <v>1565</v>
      </c>
      <c r="J238" s="1" t="s">
        <v>1566</v>
      </c>
      <c r="K238" s="1">
        <v>155.7097</v>
      </c>
      <c r="L238" s="1">
        <v>30.57</v>
      </c>
      <c r="M238" s="1" t="s">
        <v>1567</v>
      </c>
      <c r="N238" s="1" t="s">
        <v>1568</v>
      </c>
      <c r="O238" s="1">
        <v>89.612300000000005</v>
      </c>
      <c r="P238" s="1">
        <v>17.59</v>
      </c>
      <c r="Q238" s="1" t="s">
        <v>1569</v>
      </c>
      <c r="R238" s="1" t="s">
        <v>1570</v>
      </c>
      <c r="S238" s="1">
        <v>52.012</v>
      </c>
      <c r="T238" s="1">
        <v>10.210000000000001</v>
      </c>
      <c r="U238" s="1" t="s">
        <v>1571</v>
      </c>
      <c r="V238" s="1" t="s">
        <v>1572</v>
      </c>
      <c r="W238" s="1">
        <v>51.087000000000003</v>
      </c>
      <c r="X238" s="1">
        <v>10.029999999999999</v>
      </c>
      <c r="Y238" s="1" t="s">
        <v>1573</v>
      </c>
      <c r="Z238" s="1" t="s">
        <v>1574</v>
      </c>
      <c r="AA238" s="1">
        <v>44.146299999999997</v>
      </c>
      <c r="AB238" s="1">
        <v>8.67</v>
      </c>
    </row>
    <row r="239" spans="1:28" x14ac:dyDescent="0.45">
      <c r="A239" s="1" t="s">
        <v>711</v>
      </c>
      <c r="B239" s="1" t="s">
        <v>712</v>
      </c>
      <c r="C239" s="1">
        <v>8</v>
      </c>
      <c r="D239" s="10">
        <f ca="1">IFERROR(([1]!thsiFinD("ths_close_price_index",$A239,$AE$2,"","")/[1]!thsiFinD("ths_close_price_index",$A239,$AE$5,"","")-1)*100,"")</f>
        <v>24.529870968636878</v>
      </c>
      <c r="E239" s="10">
        <f ca="1">IFERROR(([1]!thsiFinD("ths_close_price_index",$A239,$AE$2,"","")/[1]!thsiFinD("ths_close_price_index",$A239,$AE$3,"","")-1)*100,"")</f>
        <v>10.65534709461302</v>
      </c>
      <c r="F239" s="10">
        <f ca="1">IFERROR(([1]!thsiFinD("ths_close_price_index",$A239,$AE$2,"","")/[1]!thsiFinD("ths_close_price_index",$A239,$AE$4,"","")-1)*100,"")</f>
        <v>26.091219379454444</v>
      </c>
      <c r="G239" s="11">
        <f t="shared" ca="1" si="3"/>
        <v>0.82650844994988204</v>
      </c>
      <c r="H239" s="1">
        <v>92.05</v>
      </c>
      <c r="I239" s="1" t="s">
        <v>713</v>
      </c>
      <c r="J239" s="1" t="s">
        <v>714</v>
      </c>
      <c r="K239" s="1">
        <v>608.13509999999997</v>
      </c>
      <c r="L239" s="1">
        <v>39.9</v>
      </c>
      <c r="M239" s="1" t="s">
        <v>715</v>
      </c>
      <c r="N239" s="1" t="s">
        <v>716</v>
      </c>
      <c r="O239" s="1">
        <v>431.42790000000002</v>
      </c>
      <c r="P239" s="1">
        <v>28.31</v>
      </c>
      <c r="Q239" s="1" t="s">
        <v>717</v>
      </c>
      <c r="R239" s="1" t="s">
        <v>718</v>
      </c>
      <c r="S239" s="1">
        <v>173.94059999999999</v>
      </c>
      <c r="T239" s="1">
        <v>11.41</v>
      </c>
      <c r="U239" s="1" t="s">
        <v>719</v>
      </c>
      <c r="V239" s="1" t="s">
        <v>720</v>
      </c>
      <c r="W239" s="1">
        <v>110.6942</v>
      </c>
      <c r="X239" s="1">
        <v>7.26</v>
      </c>
      <c r="Y239" s="1" t="s">
        <v>721</v>
      </c>
      <c r="Z239" s="1" t="s">
        <v>722</v>
      </c>
      <c r="AA239" s="1">
        <v>78.857600000000005</v>
      </c>
      <c r="AB239" s="1">
        <v>5.17</v>
      </c>
    </row>
    <row r="240" spans="1:28" x14ac:dyDescent="0.45">
      <c r="A240" s="1" t="s">
        <v>1123</v>
      </c>
      <c r="B240" s="1" t="s">
        <v>1124</v>
      </c>
      <c r="C240" s="1">
        <v>9</v>
      </c>
      <c r="D240" s="10">
        <f ca="1">IFERROR(([1]!thsiFinD("ths_close_price_index",$A240,$AE$2,"","")/[1]!thsiFinD("ths_close_price_index",$A240,$AE$5,"","")-1)*100,"")</f>
        <v>-6.422985839415329</v>
      </c>
      <c r="E240" s="10">
        <f ca="1">IFERROR(([1]!thsiFinD("ths_close_price_index",$A240,$AE$2,"","")/[1]!thsiFinD("ths_close_price_index",$A240,$AE$3,"","")-1)*100,"")</f>
        <v>-6.4487406953534947</v>
      </c>
      <c r="F240" s="10">
        <f ca="1">IFERROR(([1]!thsiFinD("ths_close_price_index",$A240,$AE$2,"","")/[1]!thsiFinD("ths_close_price_index",$A240,$AE$4,"","")-1)*100,"")</f>
        <v>-22.243049482983501</v>
      </c>
      <c r="G240" s="11">
        <f t="shared" ca="1" si="3"/>
        <v>-0.17759566492152379</v>
      </c>
      <c r="H240" s="1">
        <v>75.099999999999994</v>
      </c>
      <c r="I240" s="1" t="s">
        <v>1125</v>
      </c>
      <c r="J240" s="1" t="s">
        <v>1126</v>
      </c>
      <c r="K240" s="1">
        <v>92.640500000000003</v>
      </c>
      <c r="L240" s="1">
        <v>22.68</v>
      </c>
      <c r="M240" s="1" t="s">
        <v>1127</v>
      </c>
      <c r="N240" s="1" t="s">
        <v>1128</v>
      </c>
      <c r="O240" s="1">
        <v>90.735900000000001</v>
      </c>
      <c r="P240" s="1">
        <v>22.21</v>
      </c>
      <c r="Q240" s="1" t="s">
        <v>1129</v>
      </c>
      <c r="R240" s="1" t="s">
        <v>1130</v>
      </c>
      <c r="S240" s="1">
        <v>53.484499999999997</v>
      </c>
      <c r="T240" s="1">
        <v>13.09</v>
      </c>
      <c r="U240" s="1" t="s">
        <v>1131</v>
      </c>
      <c r="V240" s="1" t="s">
        <v>1132</v>
      </c>
      <c r="W240" s="1">
        <v>36.886600000000001</v>
      </c>
      <c r="X240" s="1">
        <v>9.0299999999999994</v>
      </c>
      <c r="Y240" s="1" t="s">
        <v>1133</v>
      </c>
      <c r="Z240" s="1" t="s">
        <v>1134</v>
      </c>
      <c r="AA240" s="1">
        <v>33.061900000000001</v>
      </c>
      <c r="AB240" s="1">
        <v>8.09</v>
      </c>
    </row>
    <row r="241" spans="1:28" x14ac:dyDescent="0.45">
      <c r="A241" s="1" t="s">
        <v>2831</v>
      </c>
      <c r="B241" s="1" t="s">
        <v>2832</v>
      </c>
      <c r="C241" s="1">
        <v>5</v>
      </c>
      <c r="D241" s="10">
        <f ca="1">IFERROR(([1]!thsiFinD("ths_close_price_index",$A241,$AE$2,"","")/[1]!thsiFinD("ths_close_price_index",$A241,$AE$5,"","")-1)*100,"")</f>
        <v>-24.091387585199186</v>
      </c>
      <c r="E241" s="10">
        <f ca="1">IFERROR(([1]!thsiFinD("ths_close_price_index",$A241,$AE$2,"","")/[1]!thsiFinD("ths_close_price_index",$A241,$AE$3,"","")-1)*100,"")</f>
        <v>1.8232594212138187</v>
      </c>
      <c r="F241" s="10">
        <f ca="1">IFERROR(([1]!thsiFinD("ths_close_price_index",$A241,$AE$2,"","")/[1]!thsiFinD("ths_close_price_index",$A241,$AE$4,"","")-1)*100,"")</f>
        <v>-1.0190681731705453</v>
      </c>
      <c r="G241" s="11">
        <f t="shared" ca="1" si="3"/>
        <v>0.415605292901291</v>
      </c>
      <c r="H241" s="1">
        <v>100.01</v>
      </c>
      <c r="I241" s="1" t="s">
        <v>2833</v>
      </c>
      <c r="J241" s="1" t="s">
        <v>2834</v>
      </c>
      <c r="K241" s="1">
        <v>5040.6804000000002</v>
      </c>
      <c r="L241" s="1">
        <v>68.569999999999993</v>
      </c>
      <c r="M241" s="1" t="s">
        <v>2835</v>
      </c>
      <c r="N241" s="1" t="s">
        <v>2836</v>
      </c>
      <c r="O241" s="1">
        <v>1106.8481999999999</v>
      </c>
      <c r="P241" s="1">
        <v>15.06</v>
      </c>
      <c r="Q241" s="1" t="s">
        <v>2837</v>
      </c>
      <c r="R241" s="1" t="s">
        <v>2838</v>
      </c>
      <c r="S241" s="1">
        <v>546.6</v>
      </c>
      <c r="T241" s="1">
        <v>7.44</v>
      </c>
      <c r="U241" s="1" t="s">
        <v>2839</v>
      </c>
      <c r="V241" s="1" t="s">
        <v>2840</v>
      </c>
      <c r="W241" s="1">
        <v>444.7509</v>
      </c>
      <c r="X241" s="1">
        <v>6.05</v>
      </c>
      <c r="Y241" s="1" t="s">
        <v>2841</v>
      </c>
      <c r="Z241" s="1" t="s">
        <v>2842</v>
      </c>
      <c r="AA241" s="1">
        <v>212.57490000000001</v>
      </c>
      <c r="AB241" s="1">
        <v>2.89</v>
      </c>
    </row>
    <row r="242" spans="1:28" x14ac:dyDescent="0.45">
      <c r="A242" s="1" t="s">
        <v>353</v>
      </c>
      <c r="B242" s="1" t="s">
        <v>354</v>
      </c>
      <c r="C242" s="1">
        <v>8</v>
      </c>
      <c r="D242" s="10">
        <f ca="1">IFERROR(([1]!thsiFinD("ths_close_price_index",$A242,$AE$2,"","")/[1]!thsiFinD("ths_close_price_index",$A242,$AE$5,"","")-1)*100,"")</f>
        <v>26.791769125937748</v>
      </c>
      <c r="E242" s="10">
        <f ca="1">IFERROR(([1]!thsiFinD("ths_close_price_index",$A242,$AE$2,"","")/[1]!thsiFinD("ths_close_price_index",$A242,$AE$3,"","")-1)*100,"")</f>
        <v>-5.8533688245771991</v>
      </c>
      <c r="F242" s="10">
        <f ca="1">IFERROR(([1]!thsiFinD("ths_close_price_index",$A242,$AE$2,"","")/[1]!thsiFinD("ths_close_price_index",$A242,$AE$4,"","")-1)*100,"")</f>
        <v>-2.0652217250109683</v>
      </c>
      <c r="G242" s="11">
        <f t="shared" ca="1" si="3"/>
        <v>-1.0674126786648914</v>
      </c>
      <c r="H242" s="1">
        <v>83.72</v>
      </c>
      <c r="I242" s="1" t="s">
        <v>355</v>
      </c>
      <c r="J242" s="1" t="s">
        <v>356</v>
      </c>
      <c r="K242" s="1">
        <v>70.829300000000003</v>
      </c>
      <c r="L242" s="1">
        <v>21.7</v>
      </c>
      <c r="M242" s="1" t="s">
        <v>357</v>
      </c>
      <c r="N242" s="1" t="s">
        <v>358</v>
      </c>
      <c r="O242" s="1">
        <v>66.477000000000004</v>
      </c>
      <c r="P242" s="1">
        <v>20.37</v>
      </c>
      <c r="Q242" s="1" t="s">
        <v>359</v>
      </c>
      <c r="R242" s="1" t="s">
        <v>360</v>
      </c>
      <c r="S242" s="1">
        <v>65.753200000000007</v>
      </c>
      <c r="T242" s="1">
        <v>20.149999999999999</v>
      </c>
      <c r="U242" s="1" t="s">
        <v>361</v>
      </c>
      <c r="V242" s="1" t="s">
        <v>362</v>
      </c>
      <c r="W242" s="1">
        <v>41.81</v>
      </c>
      <c r="X242" s="1">
        <v>12.81</v>
      </c>
      <c r="Y242" s="1" t="s">
        <v>363</v>
      </c>
      <c r="Z242" s="1" t="s">
        <v>364</v>
      </c>
      <c r="AA242" s="1">
        <v>28.378499999999999</v>
      </c>
      <c r="AB242" s="1">
        <v>8.69</v>
      </c>
    </row>
    <row r="243" spans="1:28" x14ac:dyDescent="0.45">
      <c r="A243" s="1" t="s">
        <v>1213</v>
      </c>
      <c r="B243" s="1" t="s">
        <v>1214</v>
      </c>
      <c r="C243" s="1">
        <v>18</v>
      </c>
      <c r="D243" s="10">
        <f ca="1">IFERROR(([1]!thsiFinD("ths_close_price_index",$A243,$AE$2,"","")/[1]!thsiFinD("ths_close_price_index",$A243,$AE$5,"","")-1)*100,"")</f>
        <v>-14.149066682682786</v>
      </c>
      <c r="E243" s="10">
        <f ca="1">IFERROR(([1]!thsiFinD("ths_close_price_index",$A243,$AE$2,"","")/[1]!thsiFinD("ths_close_price_index",$A243,$AE$3,"","")-1)*100,"")</f>
        <v>-11.541405819362016</v>
      </c>
      <c r="F243" s="10">
        <f ca="1">IFERROR(([1]!thsiFinD("ths_close_price_index",$A243,$AE$2,"","")/[1]!thsiFinD("ths_close_price_index",$A243,$AE$4,"","")-1)*100,"")</f>
        <v>-9.0284524553904681</v>
      </c>
      <c r="G243" s="11">
        <f t="shared" ca="1" si="3"/>
        <v>-1.8568585411028797</v>
      </c>
      <c r="H243" s="1">
        <v>67.5</v>
      </c>
      <c r="I243" s="1" t="s">
        <v>1215</v>
      </c>
      <c r="J243" s="1" t="s">
        <v>1216</v>
      </c>
      <c r="K243" s="1">
        <v>578.67139999999995</v>
      </c>
      <c r="L243" s="1">
        <v>17.63</v>
      </c>
      <c r="M243" s="1" t="s">
        <v>1217</v>
      </c>
      <c r="N243" s="1" t="s">
        <v>1218</v>
      </c>
      <c r="O243" s="1">
        <v>540.74080000000004</v>
      </c>
      <c r="P243" s="1">
        <v>16.48</v>
      </c>
      <c r="Q243" s="1" t="s">
        <v>1219</v>
      </c>
      <c r="R243" s="1" t="s">
        <v>1220</v>
      </c>
      <c r="S243" s="1">
        <v>477.1549</v>
      </c>
      <c r="T243" s="1">
        <v>14.54</v>
      </c>
      <c r="U243" s="1" t="s">
        <v>1221</v>
      </c>
      <c r="V243" s="1" t="s">
        <v>1222</v>
      </c>
      <c r="W243" s="1">
        <v>345.82639999999998</v>
      </c>
      <c r="X243" s="1">
        <v>10.54</v>
      </c>
      <c r="Y243" s="1" t="s">
        <v>1223</v>
      </c>
      <c r="Z243" s="1" t="s">
        <v>1224</v>
      </c>
      <c r="AA243" s="1">
        <v>272.74340000000001</v>
      </c>
      <c r="AB243" s="1">
        <v>8.31</v>
      </c>
    </row>
    <row r="244" spans="1:28" x14ac:dyDescent="0.45">
      <c r="A244" s="1" t="s">
        <v>947</v>
      </c>
      <c r="B244" s="1" t="s">
        <v>948</v>
      </c>
      <c r="C244" s="1">
        <v>7</v>
      </c>
      <c r="D244" s="10">
        <f ca="1">IFERROR(([1]!thsiFinD("ths_close_price_index",$A244,$AE$2,"","")/[1]!thsiFinD("ths_close_price_index",$A244,$AE$5,"","")-1)*100,"")</f>
        <v>7.6112275545616725</v>
      </c>
      <c r="E244" s="10">
        <f ca="1">IFERROR(([1]!thsiFinD("ths_close_price_index",$A244,$AE$2,"","")/[1]!thsiFinD("ths_close_price_index",$A244,$AE$3,"","")-1)*100,"")</f>
        <v>0.41439450609688233</v>
      </c>
      <c r="F244" s="10">
        <f ca="1">IFERROR(([1]!thsiFinD("ths_close_price_index",$A244,$AE$2,"","")/[1]!thsiFinD("ths_close_price_index",$A244,$AE$4,"","")-1)*100,"")</f>
        <v>-3.1792345833954516</v>
      </c>
      <c r="G244" s="11">
        <f t="shared" ca="1" si="3"/>
        <v>0.24184063038914905</v>
      </c>
      <c r="H244" s="1">
        <v>100</v>
      </c>
      <c r="I244" s="1" t="s">
        <v>949</v>
      </c>
      <c r="J244" s="1" t="s">
        <v>950</v>
      </c>
      <c r="K244" s="1">
        <v>767.21979999999996</v>
      </c>
      <c r="L244" s="1">
        <v>36.369999999999997</v>
      </c>
      <c r="M244" s="1" t="s">
        <v>951</v>
      </c>
      <c r="N244" s="1" t="s">
        <v>952</v>
      </c>
      <c r="O244" s="1">
        <v>643.67579999999998</v>
      </c>
      <c r="P244" s="1">
        <v>30.51</v>
      </c>
      <c r="Q244" s="1" t="s">
        <v>953</v>
      </c>
      <c r="R244" s="1" t="s">
        <v>954</v>
      </c>
      <c r="S244" s="1">
        <v>318.10090000000002</v>
      </c>
      <c r="T244" s="1">
        <v>15.08</v>
      </c>
      <c r="U244" s="1" t="s">
        <v>955</v>
      </c>
      <c r="V244" s="1" t="s">
        <v>956</v>
      </c>
      <c r="W244" s="1">
        <v>208.3467</v>
      </c>
      <c r="X244" s="1">
        <v>9.8800000000000008</v>
      </c>
      <c r="Y244" s="1" t="s">
        <v>957</v>
      </c>
      <c r="Z244" s="1" t="s">
        <v>958</v>
      </c>
      <c r="AA244" s="1">
        <v>172.1163</v>
      </c>
      <c r="AB244" s="1">
        <v>8.16</v>
      </c>
    </row>
    <row r="245" spans="1:28" x14ac:dyDescent="0.45">
      <c r="A245" s="1" t="s">
        <v>127</v>
      </c>
      <c r="B245" s="1" t="s">
        <v>128</v>
      </c>
      <c r="C245" s="1">
        <v>39</v>
      </c>
      <c r="D245" s="10">
        <f ca="1">IFERROR(([1]!thsiFinD("ths_close_price_index",$A245,$AE$2,"","")/[1]!thsiFinD("ths_close_price_index",$A245,$AE$5,"","")-1)*100,"")</f>
        <v>96.844839568295839</v>
      </c>
      <c r="E245" s="10">
        <f ca="1">IFERROR(([1]!thsiFinD("ths_close_price_index",$A245,$AE$2,"","")/[1]!thsiFinD("ths_close_price_index",$A245,$AE$3,"","")-1)*100,"")</f>
        <v>0.85090170606112459</v>
      </c>
      <c r="F245" s="10">
        <f ca="1">IFERROR(([1]!thsiFinD("ths_close_price_index",$A245,$AE$2,"","")/[1]!thsiFinD("ths_close_price_index",$A245,$AE$4,"","")-1)*100,"")</f>
        <v>18.90343689304672</v>
      </c>
      <c r="G245" s="11">
        <f t="shared" ca="1" si="3"/>
        <v>-0.77499150344011114</v>
      </c>
      <c r="H245" s="1">
        <v>64.38</v>
      </c>
      <c r="I245" s="1" t="s">
        <v>129</v>
      </c>
      <c r="J245" s="1" t="s">
        <v>130</v>
      </c>
      <c r="K245" s="1">
        <v>2229.5812999999998</v>
      </c>
      <c r="L245" s="1">
        <v>17.53</v>
      </c>
      <c r="M245" s="1" t="s">
        <v>131</v>
      </c>
      <c r="N245" s="1" t="s">
        <v>132</v>
      </c>
      <c r="O245" s="1">
        <v>2188.4747000000002</v>
      </c>
      <c r="P245" s="1">
        <v>17.21</v>
      </c>
      <c r="Q245" s="1" t="s">
        <v>133</v>
      </c>
      <c r="R245" s="1" t="s">
        <v>134</v>
      </c>
      <c r="S245" s="1">
        <v>1909.4257</v>
      </c>
      <c r="T245" s="1">
        <v>15.01</v>
      </c>
      <c r="U245" s="1" t="s">
        <v>135</v>
      </c>
      <c r="V245" s="1" t="s">
        <v>136</v>
      </c>
      <c r="W245" s="1">
        <v>1081.6468</v>
      </c>
      <c r="X245" s="1">
        <v>8.51</v>
      </c>
      <c r="Y245" s="1" t="s">
        <v>137</v>
      </c>
      <c r="Z245" s="1" t="s">
        <v>138</v>
      </c>
      <c r="AA245" s="1">
        <v>777.81479999999999</v>
      </c>
      <c r="AB245" s="1">
        <v>6.12</v>
      </c>
    </row>
    <row r="246" spans="1:28" x14ac:dyDescent="0.45">
      <c r="A246" s="1" t="s">
        <v>2271</v>
      </c>
      <c r="B246" s="1" t="s">
        <v>2272</v>
      </c>
      <c r="C246" s="1">
        <v>16</v>
      </c>
      <c r="D246" s="10">
        <f ca="1">IFERROR(([1]!thsiFinD("ths_close_price_index",$A246,$AE$2,"","")/[1]!thsiFinD("ths_close_price_index",$A246,$AE$5,"","")-1)*100,"")</f>
        <v>-21.890532546346485</v>
      </c>
      <c r="E246" s="10">
        <f ca="1">IFERROR(([1]!thsiFinD("ths_close_price_index",$A246,$AE$2,"","")/[1]!thsiFinD("ths_close_price_index",$A246,$AE$3,"","")-1)*100,"")</f>
        <v>-7.3117273943378631</v>
      </c>
      <c r="F246" s="10">
        <f ca="1">IFERROR(([1]!thsiFinD("ths_close_price_index",$A246,$AE$2,"","")/[1]!thsiFinD("ths_close_price_index",$A246,$AE$4,"","")-1)*100,"")</f>
        <v>-11.599274780744118</v>
      </c>
      <c r="G246" s="11">
        <f t="shared" ca="1" si="3"/>
        <v>-0.88238173983036683</v>
      </c>
      <c r="H246" s="1">
        <v>58</v>
      </c>
      <c r="I246" s="1" t="s">
        <v>2273</v>
      </c>
      <c r="J246" s="1" t="s">
        <v>2274</v>
      </c>
      <c r="K246" s="1">
        <v>120.6653</v>
      </c>
      <c r="L246" s="1">
        <v>21.45</v>
      </c>
      <c r="M246" s="1" t="s">
        <v>2275</v>
      </c>
      <c r="N246" s="1" t="s">
        <v>2276</v>
      </c>
      <c r="O246" s="1">
        <v>70.874700000000004</v>
      </c>
      <c r="P246" s="1">
        <v>12.6</v>
      </c>
      <c r="Q246" s="1" t="s">
        <v>2277</v>
      </c>
      <c r="R246" s="1" t="s">
        <v>2278</v>
      </c>
      <c r="S246" s="1">
        <v>56.104100000000003</v>
      </c>
      <c r="T246" s="1">
        <v>9.9700000000000006</v>
      </c>
      <c r="U246" s="1" t="s">
        <v>2279</v>
      </c>
      <c r="V246" s="1" t="s">
        <v>2280</v>
      </c>
      <c r="W246" s="1">
        <v>47.329799999999999</v>
      </c>
      <c r="X246" s="1">
        <v>8.41</v>
      </c>
      <c r="Y246" s="1" t="s">
        <v>2281</v>
      </c>
      <c r="Z246" s="1" t="s">
        <v>2282</v>
      </c>
      <c r="AA246" s="1">
        <v>31.3461</v>
      </c>
      <c r="AB246" s="1">
        <v>5.57</v>
      </c>
    </row>
    <row r="247" spans="1:28" x14ac:dyDescent="0.45">
      <c r="A247" s="1" t="s">
        <v>867</v>
      </c>
      <c r="B247" s="1" t="s">
        <v>868</v>
      </c>
      <c r="C247" s="1">
        <v>3</v>
      </c>
      <c r="D247" s="10">
        <f ca="1">IFERROR(([1]!thsiFinD("ths_close_price_index",$A247,$AE$2,"","")/[1]!thsiFinD("ths_close_price_index",$A247,$AE$5,"","")-1)*100,"")</f>
        <v>8.0204120610064535</v>
      </c>
      <c r="E247" s="10">
        <f ca="1">IFERROR(([1]!thsiFinD("ths_close_price_index",$A247,$AE$2,"","")/[1]!thsiFinD("ths_close_price_index",$A247,$AE$3,"","")-1)*100,"")</f>
        <v>-0.82069940786865248</v>
      </c>
      <c r="F247" s="10">
        <f ca="1">IFERROR(([1]!thsiFinD("ths_close_price_index",$A247,$AE$2,"","")/[1]!thsiFinD("ths_close_price_index",$A247,$AE$4,"","")-1)*100,"")</f>
        <v>-10.258221115716493</v>
      </c>
      <c r="G247" s="11">
        <f t="shared" ca="1" si="3"/>
        <v>0.34877117421209414</v>
      </c>
      <c r="H247" s="1">
        <v>99.99</v>
      </c>
      <c r="I247" s="1" t="s">
        <v>869</v>
      </c>
      <c r="J247" s="1" t="s">
        <v>870</v>
      </c>
      <c r="K247" s="1">
        <v>134.1344</v>
      </c>
      <c r="L247" s="1">
        <v>55.37</v>
      </c>
      <c r="M247" s="1" t="s">
        <v>871</v>
      </c>
      <c r="N247" s="1" t="s">
        <v>872</v>
      </c>
      <c r="O247" s="1">
        <v>59.020499999999998</v>
      </c>
      <c r="P247" s="1">
        <v>24.36</v>
      </c>
      <c r="Q247" s="1" t="s">
        <v>873</v>
      </c>
      <c r="R247" s="1" t="s">
        <v>874</v>
      </c>
      <c r="S247" s="1">
        <v>49.081499999999998</v>
      </c>
      <c r="T247" s="1">
        <v>20.260000000000002</v>
      </c>
    </row>
    <row r="248" spans="1:28" x14ac:dyDescent="0.45">
      <c r="A248" s="1" t="s">
        <v>1863</v>
      </c>
      <c r="B248" s="1" t="s">
        <v>1864</v>
      </c>
      <c r="C248" s="1">
        <v>7</v>
      </c>
      <c r="D248" s="10">
        <f ca="1">IFERROR(([1]!thsiFinD("ths_close_price_index",$A248,$AE$2,"","")/[1]!thsiFinD("ths_close_price_index",$A248,$AE$5,"","")-1)*100,"")</f>
        <v>-13.517572520927711</v>
      </c>
      <c r="E248" s="10">
        <f ca="1">IFERROR(([1]!thsiFinD("ths_close_price_index",$A248,$AE$2,"","")/[1]!thsiFinD("ths_close_price_index",$A248,$AE$3,"","")-1)*100,"")</f>
        <v>-2.9595862844521759</v>
      </c>
      <c r="F248" s="10">
        <f ca="1">IFERROR(([1]!thsiFinD("ths_close_price_index",$A248,$AE$2,"","")/[1]!thsiFinD("ths_close_price_index",$A248,$AE$4,"","")-1)*100,"")</f>
        <v>-14.29076497931484</v>
      </c>
      <c r="G248" s="11">
        <f t="shared" ca="1" si="3"/>
        <v>0.12262099207530686</v>
      </c>
      <c r="H248" s="1">
        <v>95.4</v>
      </c>
      <c r="I248" s="1" t="s">
        <v>1865</v>
      </c>
      <c r="J248" s="1" t="s">
        <v>1866</v>
      </c>
      <c r="K248" s="1">
        <v>122.27930000000001</v>
      </c>
      <c r="L248" s="1">
        <v>43.28</v>
      </c>
      <c r="M248" s="1" t="s">
        <v>1867</v>
      </c>
      <c r="N248" s="1" t="s">
        <v>1868</v>
      </c>
      <c r="O248" s="1">
        <v>85.604799999999997</v>
      </c>
      <c r="P248" s="1">
        <v>30.3</v>
      </c>
      <c r="Q248" s="1" t="s">
        <v>1869</v>
      </c>
      <c r="R248" s="1" t="s">
        <v>1870</v>
      </c>
      <c r="S248" s="1">
        <v>29.278199999999998</v>
      </c>
      <c r="T248" s="1">
        <v>10.36</v>
      </c>
      <c r="U248" s="1" t="s">
        <v>1871</v>
      </c>
      <c r="V248" s="1" t="s">
        <v>1872</v>
      </c>
      <c r="W248" s="1">
        <v>18.645800000000001</v>
      </c>
      <c r="X248" s="1">
        <v>6.6</v>
      </c>
      <c r="Y248" s="1" t="s">
        <v>1873</v>
      </c>
      <c r="Z248" s="1" t="s">
        <v>1874</v>
      </c>
      <c r="AA248" s="1">
        <v>13.7354</v>
      </c>
      <c r="AB248" s="1">
        <v>4.8600000000000003</v>
      </c>
    </row>
    <row r="249" spans="1:28" x14ac:dyDescent="0.45">
      <c r="A249" s="1" t="s">
        <v>2391</v>
      </c>
      <c r="B249" s="1" t="s">
        <v>2392</v>
      </c>
      <c r="C249" s="1">
        <v>2</v>
      </c>
      <c r="D249" s="10">
        <f ca="1">IFERROR(([1]!thsiFinD("ths_close_price_index",$A249,$AE$2,"","")/[1]!thsiFinD("ths_close_price_index",$A249,$AE$5,"","")-1)*100,"")</f>
        <v>-23.761146866272043</v>
      </c>
      <c r="E249" s="10">
        <f ca="1">IFERROR(([1]!thsiFinD("ths_close_price_index",$A249,$AE$2,"","")/[1]!thsiFinD("ths_close_price_index",$A249,$AE$3,"","")-1)*100,"")</f>
        <v>-7.7515031409093993</v>
      </c>
      <c r="F249" s="10">
        <f ca="1">IFERROR(([1]!thsiFinD("ths_close_price_index",$A249,$AE$2,"","")/[1]!thsiFinD("ths_close_price_index",$A249,$AE$4,"","")-1)*100,"")</f>
        <v>-11.55964914482187</v>
      </c>
      <c r="G249" s="11">
        <f t="shared" ca="1" si="3"/>
        <v>-0.97231817094078632</v>
      </c>
      <c r="H249" s="1">
        <v>100</v>
      </c>
      <c r="I249" s="1" t="s">
        <v>2393</v>
      </c>
      <c r="J249" s="1" t="s">
        <v>2394</v>
      </c>
      <c r="K249" s="1">
        <v>66.657799999999995</v>
      </c>
      <c r="L249" s="1">
        <v>55.24</v>
      </c>
      <c r="M249" s="1" t="s">
        <v>2395</v>
      </c>
      <c r="N249" s="1" t="s">
        <v>2396</v>
      </c>
      <c r="O249" s="1">
        <v>54.017600000000002</v>
      </c>
      <c r="P249" s="1">
        <v>44.76</v>
      </c>
    </row>
    <row r="250" spans="1:28" x14ac:dyDescent="0.45">
      <c r="A250" s="1" t="s">
        <v>747</v>
      </c>
      <c r="B250" s="1" t="s">
        <v>748</v>
      </c>
      <c r="C250" s="1">
        <v>8</v>
      </c>
      <c r="D250" s="10">
        <f ca="1">IFERROR(([1]!thsiFinD("ths_close_price_index",$A250,$AE$2,"","")/[1]!thsiFinD("ths_close_price_index",$A250,$AE$5,"","")-1)*100,"")</f>
        <v>7.7893502614485133</v>
      </c>
      <c r="E250" s="10">
        <f ca="1">IFERROR(([1]!thsiFinD("ths_close_price_index",$A250,$AE$2,"","")/[1]!thsiFinD("ths_close_price_index",$A250,$AE$3,"","")-1)*100,"")</f>
        <v>-3.8884128778268523</v>
      </c>
      <c r="F250" s="10">
        <f ca="1">IFERROR(([1]!thsiFinD("ths_close_price_index",$A250,$AE$2,"","")/[1]!thsiFinD("ths_close_price_index",$A250,$AE$4,"","")-1)*100,"")</f>
        <v>-5.7174411297321708</v>
      </c>
      <c r="G250" s="11">
        <f t="shared" ca="1" si="3"/>
        <v>-0.49181051907876194</v>
      </c>
      <c r="H250" s="1">
        <v>87.89</v>
      </c>
      <c r="I250" s="1" t="s">
        <v>749</v>
      </c>
      <c r="J250" s="1" t="s">
        <v>750</v>
      </c>
      <c r="K250" s="1">
        <v>297.10090000000002</v>
      </c>
      <c r="L250" s="1">
        <v>28.3</v>
      </c>
      <c r="M250" s="1" t="s">
        <v>751</v>
      </c>
      <c r="N250" s="1" t="s">
        <v>752</v>
      </c>
      <c r="O250" s="1">
        <v>191.59450000000001</v>
      </c>
      <c r="P250" s="1">
        <v>18.25</v>
      </c>
      <c r="Q250" s="1" t="s">
        <v>753</v>
      </c>
      <c r="R250" s="1" t="s">
        <v>754</v>
      </c>
      <c r="S250" s="1">
        <v>164.70079999999999</v>
      </c>
      <c r="T250" s="1">
        <v>15.69</v>
      </c>
      <c r="U250" s="1" t="s">
        <v>755</v>
      </c>
      <c r="V250" s="1" t="s">
        <v>756</v>
      </c>
      <c r="W250" s="1">
        <v>159.56290000000001</v>
      </c>
      <c r="X250" s="1">
        <v>15.2</v>
      </c>
      <c r="Y250" s="1" t="s">
        <v>757</v>
      </c>
      <c r="Z250" s="1" t="s">
        <v>758</v>
      </c>
      <c r="AA250" s="1">
        <v>109.6721</v>
      </c>
      <c r="AB250" s="1">
        <v>10.45</v>
      </c>
    </row>
    <row r="251" spans="1:28" x14ac:dyDescent="0.45">
      <c r="A251" s="1" t="s">
        <v>1159</v>
      </c>
      <c r="B251" s="1" t="s">
        <v>1160</v>
      </c>
      <c r="C251" s="1">
        <v>4</v>
      </c>
      <c r="D251" s="10">
        <f ca="1">IFERROR(([1]!thsiFinD("ths_close_price_index",$A251,$AE$2,"","")/[1]!thsiFinD("ths_close_price_index",$A251,$AE$5,"","")-1)*100,"")</f>
        <v>-9.6260536141307025</v>
      </c>
      <c r="E251" s="10">
        <f ca="1">IFERROR(([1]!thsiFinD("ths_close_price_index",$A251,$AE$2,"","")/[1]!thsiFinD("ths_close_price_index",$A251,$AE$3,"","")-1)*100,"")</f>
        <v>-7.9524701865127394</v>
      </c>
      <c r="F251" s="10">
        <f ca="1">IFERROR(([1]!thsiFinD("ths_close_price_index",$A251,$AE$2,"","")/[1]!thsiFinD("ths_close_price_index",$A251,$AE$4,"","")-1)*100,"")</f>
        <v>-3.9669852419506491</v>
      </c>
      <c r="G251" s="11">
        <f t="shared" ca="1" si="3"/>
        <v>-1.3921447752050153</v>
      </c>
      <c r="H251" s="1">
        <v>100.01</v>
      </c>
      <c r="I251" s="1" t="s">
        <v>1161</v>
      </c>
      <c r="J251" s="1" t="s">
        <v>1162</v>
      </c>
      <c r="K251" s="1">
        <v>36.529699999999998</v>
      </c>
      <c r="L251" s="1">
        <v>44.15</v>
      </c>
      <c r="M251" s="1" t="s">
        <v>1163</v>
      </c>
      <c r="N251" s="1" t="s">
        <v>1164</v>
      </c>
      <c r="O251" s="1">
        <v>17.3232</v>
      </c>
      <c r="P251" s="1">
        <v>20.94</v>
      </c>
      <c r="Q251" s="1" t="s">
        <v>1165</v>
      </c>
      <c r="R251" s="1" t="s">
        <v>1166</v>
      </c>
      <c r="S251" s="1">
        <v>16.7362</v>
      </c>
      <c r="T251" s="1">
        <v>20.23</v>
      </c>
      <c r="U251" s="1" t="s">
        <v>1167</v>
      </c>
      <c r="V251" s="1" t="s">
        <v>1168</v>
      </c>
      <c r="W251" s="1">
        <v>12.1572</v>
      </c>
      <c r="X251" s="1">
        <v>14.69</v>
      </c>
    </row>
    <row r="252" spans="1:28" x14ac:dyDescent="0.45">
      <c r="A252" s="1" t="s">
        <v>653</v>
      </c>
      <c r="B252" s="1" t="s">
        <v>654</v>
      </c>
      <c r="C252" s="1">
        <v>8</v>
      </c>
      <c r="D252" s="10">
        <f ca="1">IFERROR(([1]!thsiFinD("ths_close_price_index",$A252,$AE$2,"","")/[1]!thsiFinD("ths_close_price_index",$A252,$AE$5,"","")-1)*100,"")</f>
        <v>13.424421043297308</v>
      </c>
      <c r="E252" s="10">
        <f ca="1">IFERROR(([1]!thsiFinD("ths_close_price_index",$A252,$AE$2,"","")/[1]!thsiFinD("ths_close_price_index",$A252,$AE$3,"","")-1)*100,"")</f>
        <v>-0.64215107898718538</v>
      </c>
      <c r="F252" s="10">
        <f ca="1">IFERROR(([1]!thsiFinD("ths_close_price_index",$A252,$AE$2,"","")/[1]!thsiFinD("ths_close_price_index",$A252,$AE$4,"","")-1)*100,"")</f>
        <v>6.3925181448183599</v>
      </c>
      <c r="G252" s="11">
        <f t="shared" ca="1" si="3"/>
        <v>-0.44805612303835507</v>
      </c>
      <c r="H252" s="1">
        <v>91.44</v>
      </c>
      <c r="I252" s="1" t="s">
        <v>655</v>
      </c>
      <c r="J252" s="1" t="s">
        <v>656</v>
      </c>
      <c r="K252" s="1">
        <v>149.15799999999999</v>
      </c>
      <c r="L252" s="1">
        <v>34.01</v>
      </c>
      <c r="M252" s="1" t="s">
        <v>657</v>
      </c>
      <c r="N252" s="1" t="s">
        <v>658</v>
      </c>
      <c r="O252" s="1">
        <v>119.9477</v>
      </c>
      <c r="P252" s="1">
        <v>27.35</v>
      </c>
      <c r="Q252" s="1" t="s">
        <v>659</v>
      </c>
      <c r="R252" s="1" t="s">
        <v>660</v>
      </c>
      <c r="S252" s="1">
        <v>72.446299999999994</v>
      </c>
      <c r="T252" s="1">
        <v>16.52</v>
      </c>
      <c r="U252" s="1" t="s">
        <v>661</v>
      </c>
      <c r="V252" s="1" t="s">
        <v>662</v>
      </c>
      <c r="W252" s="1">
        <v>40.025799999999997</v>
      </c>
      <c r="X252" s="1">
        <v>9.1300000000000008</v>
      </c>
      <c r="Y252" s="1" t="s">
        <v>663</v>
      </c>
      <c r="Z252" s="1" t="s">
        <v>664</v>
      </c>
      <c r="AA252" s="1">
        <v>19.4345</v>
      </c>
      <c r="AB252" s="1">
        <v>4.43</v>
      </c>
    </row>
    <row r="253" spans="1:28" x14ac:dyDescent="0.45">
      <c r="A253" s="1" t="s">
        <v>81</v>
      </c>
      <c r="B253" s="1" t="s">
        <v>82</v>
      </c>
      <c r="C253" s="1">
        <v>4</v>
      </c>
      <c r="D253" s="10">
        <f ca="1">IFERROR(([1]!thsiFinD("ths_close_price_index",$A253,$AE$2,"","")/[1]!thsiFinD("ths_close_price_index",$A253,$AE$5,"","")-1)*100,"")</f>
        <v>178.58238845289435</v>
      </c>
      <c r="E253" s="10">
        <f ca="1">IFERROR(([1]!thsiFinD("ths_close_price_index",$A253,$AE$2,"","")/[1]!thsiFinD("ths_close_price_index",$A253,$AE$3,"","")-1)*100,"")</f>
        <v>3.9172174591517672</v>
      </c>
      <c r="F253" s="10">
        <f ca="1">IFERROR(([1]!thsiFinD("ths_close_price_index",$A253,$AE$2,"","")/[1]!thsiFinD("ths_close_price_index",$A253,$AE$4,"","")-1)*100,"")</f>
        <v>55.882890768827664</v>
      </c>
      <c r="G253" s="11">
        <f t="shared" ca="1" si="3"/>
        <v>-2.0107010466110298</v>
      </c>
      <c r="H253" s="1">
        <v>99.99</v>
      </c>
      <c r="I253" s="1" t="s">
        <v>83</v>
      </c>
      <c r="J253" s="1" t="s">
        <v>84</v>
      </c>
      <c r="K253" s="1">
        <v>968.78150000000005</v>
      </c>
      <c r="L253" s="1">
        <v>43.73</v>
      </c>
      <c r="M253" s="1" t="s">
        <v>85</v>
      </c>
      <c r="N253" s="1" t="s">
        <v>86</v>
      </c>
      <c r="O253" s="1">
        <v>921.46590000000003</v>
      </c>
      <c r="P253" s="1">
        <v>41.6</v>
      </c>
      <c r="Q253" s="1" t="s">
        <v>87</v>
      </c>
      <c r="R253" s="1" t="s">
        <v>88</v>
      </c>
      <c r="S253" s="1">
        <v>208.04480000000001</v>
      </c>
      <c r="T253" s="1">
        <v>9.39</v>
      </c>
      <c r="U253" s="1" t="s">
        <v>89</v>
      </c>
      <c r="V253" s="1" t="s">
        <v>90</v>
      </c>
      <c r="W253" s="1">
        <v>116.8404</v>
      </c>
      <c r="X253" s="1">
        <v>5.27</v>
      </c>
    </row>
    <row r="254" spans="1:28" x14ac:dyDescent="0.45">
      <c r="A254" s="1" t="s">
        <v>181</v>
      </c>
      <c r="B254" s="1" t="s">
        <v>182</v>
      </c>
      <c r="C254" s="1">
        <v>22</v>
      </c>
      <c r="D254" s="10">
        <f ca="1">IFERROR(([1]!thsiFinD("ths_close_price_index",$A254,$AE$2,"","")/[1]!thsiFinD("ths_close_price_index",$A254,$AE$5,"","")-1)*100,"")</f>
        <v>76.332559923158968</v>
      </c>
      <c r="E254" s="10">
        <f ca="1">IFERROR(([1]!thsiFinD("ths_close_price_index",$A254,$AE$2,"","")/[1]!thsiFinD("ths_close_price_index",$A254,$AE$3,"","")-1)*100,"")</f>
        <v>2.8281898451343324</v>
      </c>
      <c r="F254" s="10">
        <f ca="1">IFERROR(([1]!thsiFinD("ths_close_price_index",$A254,$AE$2,"","")/[1]!thsiFinD("ths_close_price_index",$A254,$AE$4,"","")-1)*100,"")</f>
        <v>22.147878106114959</v>
      </c>
      <c r="G254" s="11">
        <f t="shared" ca="1" si="3"/>
        <v>-0.54175593627888152</v>
      </c>
      <c r="H254" s="1">
        <v>98.75</v>
      </c>
      <c r="I254" s="1" t="s">
        <v>183</v>
      </c>
      <c r="J254" s="1" t="s">
        <v>184</v>
      </c>
      <c r="K254" s="1">
        <v>615.36080000000004</v>
      </c>
      <c r="L254" s="1">
        <v>69.239999999999995</v>
      </c>
      <c r="M254" s="1" t="s">
        <v>185</v>
      </c>
      <c r="N254" s="1" t="s">
        <v>186</v>
      </c>
      <c r="O254" s="1">
        <v>99.318200000000004</v>
      </c>
      <c r="P254" s="1">
        <v>11.18</v>
      </c>
      <c r="Q254" s="1" t="s">
        <v>187</v>
      </c>
      <c r="R254" s="1" t="s">
        <v>188</v>
      </c>
      <c r="S254" s="1">
        <v>71.573899999999995</v>
      </c>
      <c r="T254" s="1">
        <v>8.0500000000000007</v>
      </c>
      <c r="U254" s="1" t="s">
        <v>189</v>
      </c>
      <c r="V254" s="1" t="s">
        <v>190</v>
      </c>
      <c r="W254" s="1">
        <v>60.261299999999999</v>
      </c>
      <c r="X254" s="1">
        <v>6.78</v>
      </c>
      <c r="Y254" s="1" t="s">
        <v>191</v>
      </c>
      <c r="Z254" s="1" t="s">
        <v>192</v>
      </c>
      <c r="AA254" s="1">
        <v>31.140899999999998</v>
      </c>
      <c r="AB254" s="1">
        <v>3.5</v>
      </c>
    </row>
    <row r="255" spans="1:28" x14ac:dyDescent="0.45">
      <c r="A255" s="1" t="s">
        <v>1437</v>
      </c>
      <c r="B255" s="1" t="s">
        <v>1438</v>
      </c>
      <c r="C255" s="1">
        <v>11</v>
      </c>
      <c r="D255" s="10">
        <f ca="1">IFERROR(([1]!thsiFinD("ths_close_price_index",$A255,$AE$2,"","")/[1]!thsiFinD("ths_close_price_index",$A255,$AE$5,"","")-1)*100,"")</f>
        <v>-16.526726281822025</v>
      </c>
      <c r="E255" s="10">
        <f ca="1">IFERROR(([1]!thsiFinD("ths_close_price_index",$A255,$AE$2,"","")/[1]!thsiFinD("ths_close_price_index",$A255,$AE$3,"","")-1)*100,"")</f>
        <v>-11.447702930479696</v>
      </c>
      <c r="F255" s="10">
        <f ca="1">IFERROR(([1]!thsiFinD("ths_close_price_index",$A255,$AE$2,"","")/[1]!thsiFinD("ths_close_price_index",$A255,$AE$4,"","")-1)*100,"")</f>
        <v>-15.308618140918028</v>
      </c>
      <c r="G255" s="11">
        <f t="shared" ca="1" si="3"/>
        <v>-1.5241096790500381</v>
      </c>
      <c r="H255" s="1">
        <v>88.6</v>
      </c>
      <c r="I255" s="1" t="s">
        <v>1439</v>
      </c>
      <c r="J255" s="1" t="s">
        <v>1440</v>
      </c>
      <c r="K255" s="1">
        <v>4419.3630000000003</v>
      </c>
      <c r="L255" s="1">
        <v>62.74</v>
      </c>
      <c r="M255" s="1" t="s">
        <v>1441</v>
      </c>
      <c r="N255" s="1" t="s">
        <v>1442</v>
      </c>
      <c r="O255" s="1">
        <v>584.43539999999996</v>
      </c>
      <c r="P255" s="1">
        <v>8.3000000000000007</v>
      </c>
      <c r="Q255" s="1" t="s">
        <v>1443</v>
      </c>
      <c r="R255" s="1" t="s">
        <v>1444</v>
      </c>
      <c r="S255" s="1">
        <v>445.72160000000002</v>
      </c>
      <c r="T255" s="1">
        <v>6.33</v>
      </c>
      <c r="U255" s="1" t="s">
        <v>1445</v>
      </c>
      <c r="V255" s="1" t="s">
        <v>1446</v>
      </c>
      <c r="W255" s="1">
        <v>442.09530000000001</v>
      </c>
      <c r="X255" s="1">
        <v>6.28</v>
      </c>
      <c r="Y255" s="1" t="s">
        <v>1447</v>
      </c>
      <c r="Z255" s="1" t="s">
        <v>1448</v>
      </c>
      <c r="AA255" s="1">
        <v>348.49610000000001</v>
      </c>
      <c r="AB255" s="1">
        <v>4.95</v>
      </c>
    </row>
    <row r="256" spans="1:28" x14ac:dyDescent="0.45">
      <c r="A256" s="1" t="s">
        <v>629</v>
      </c>
      <c r="B256" s="1" t="s">
        <v>630</v>
      </c>
      <c r="C256" s="1">
        <v>34</v>
      </c>
      <c r="D256" s="10">
        <f ca="1">IFERROR(([1]!thsiFinD("ths_close_price_index",$A256,$AE$2,"","")/[1]!thsiFinD("ths_close_price_index",$A256,$AE$5,"","")-1)*100,"")</f>
        <v>10.755043141653564</v>
      </c>
      <c r="E256" s="10">
        <f ca="1">IFERROR(([1]!thsiFinD("ths_close_price_index",$A256,$AE$2,"","")/[1]!thsiFinD("ths_close_price_index",$A256,$AE$3,"","")-1)*100,"")</f>
        <v>-4.5993775970263773</v>
      </c>
      <c r="F256" s="10">
        <f ca="1">IFERROR(([1]!thsiFinD("ths_close_price_index",$A256,$AE$2,"","")/[1]!thsiFinD("ths_close_price_index",$A256,$AE$4,"","")-1)*100,"")</f>
        <v>-13.850291493159473</v>
      </c>
      <c r="G256" s="11">
        <f t="shared" ca="1" si="3"/>
        <v>-0.22736094474730184</v>
      </c>
      <c r="H256" s="1">
        <v>60.14</v>
      </c>
      <c r="I256" s="1" t="s">
        <v>631</v>
      </c>
      <c r="J256" s="1" t="s">
        <v>632</v>
      </c>
      <c r="K256" s="1">
        <v>370.60539999999997</v>
      </c>
      <c r="L256" s="1">
        <v>15.95</v>
      </c>
      <c r="M256" s="1" t="s">
        <v>633</v>
      </c>
      <c r="N256" s="1" t="s">
        <v>634</v>
      </c>
      <c r="O256" s="1">
        <v>337.82130000000001</v>
      </c>
      <c r="P256" s="1">
        <v>14.54</v>
      </c>
      <c r="Q256" s="1" t="s">
        <v>635</v>
      </c>
      <c r="R256" s="1" t="s">
        <v>636</v>
      </c>
      <c r="S256" s="1">
        <v>281.11009999999999</v>
      </c>
      <c r="T256" s="1">
        <v>12.1</v>
      </c>
      <c r="U256" s="1" t="s">
        <v>637</v>
      </c>
      <c r="V256" s="1" t="s">
        <v>638</v>
      </c>
      <c r="W256" s="1">
        <v>205.66640000000001</v>
      </c>
      <c r="X256" s="1">
        <v>8.85</v>
      </c>
      <c r="Y256" s="1" t="s">
        <v>639</v>
      </c>
      <c r="Z256" s="1" t="s">
        <v>640</v>
      </c>
      <c r="AA256" s="1">
        <v>202.05109999999999</v>
      </c>
      <c r="AB256" s="1">
        <v>8.6999999999999993</v>
      </c>
    </row>
    <row r="257" spans="1:28" x14ac:dyDescent="0.45">
      <c r="A257" s="1" t="s">
        <v>2537</v>
      </c>
      <c r="B257" s="1" t="s">
        <v>2538</v>
      </c>
      <c r="C257" s="1">
        <v>10</v>
      </c>
      <c r="D257" s="10">
        <f ca="1">IFERROR(([1]!thsiFinD("ths_close_price_index",$A257,$AE$2,"","")/[1]!thsiFinD("ths_close_price_index",$A257,$AE$5,"","")-1)*100,"")</f>
        <v>-25.168888701103487</v>
      </c>
      <c r="E257" s="10">
        <f ca="1">IFERROR(([1]!thsiFinD("ths_close_price_index",$A257,$AE$2,"","")/[1]!thsiFinD("ths_close_price_index",$A257,$AE$3,"","")-1)*100,"")</f>
        <v>-6.5213846018557176</v>
      </c>
      <c r="F257" s="10">
        <f ca="1">IFERROR(([1]!thsiFinD("ths_close_price_index",$A257,$AE$2,"","")/[1]!thsiFinD("ths_close_price_index",$A257,$AE$4,"","")-1)*100,"")</f>
        <v>-15.873096382129736</v>
      </c>
      <c r="G257" s="11">
        <f t="shared" ca="1" si="3"/>
        <v>-0.51062210126465668</v>
      </c>
      <c r="H257" s="1">
        <v>73.260000000000005</v>
      </c>
      <c r="I257" s="1" t="s">
        <v>2539</v>
      </c>
      <c r="J257" s="1" t="s">
        <v>2540</v>
      </c>
      <c r="K257" s="1">
        <v>76.965199999999996</v>
      </c>
      <c r="L257" s="1">
        <v>29.78</v>
      </c>
      <c r="M257" s="1" t="s">
        <v>2541</v>
      </c>
      <c r="N257" s="1" t="s">
        <v>2542</v>
      </c>
      <c r="O257" s="1">
        <v>43.3795</v>
      </c>
      <c r="P257" s="1">
        <v>16.78</v>
      </c>
      <c r="Q257" s="1" t="s">
        <v>2543</v>
      </c>
      <c r="R257" s="1" t="s">
        <v>2544</v>
      </c>
      <c r="S257" s="1">
        <v>30.459700000000002</v>
      </c>
      <c r="T257" s="1">
        <v>11.79</v>
      </c>
      <c r="U257" s="1" t="s">
        <v>2545</v>
      </c>
      <c r="V257" s="1" t="s">
        <v>2546</v>
      </c>
      <c r="W257" s="1">
        <v>20.2623</v>
      </c>
      <c r="X257" s="1">
        <v>7.84</v>
      </c>
      <c r="Y257" s="1" t="s">
        <v>2547</v>
      </c>
      <c r="Z257" s="1" t="s">
        <v>2548</v>
      </c>
      <c r="AA257" s="1">
        <v>18.276700000000002</v>
      </c>
      <c r="AB257" s="1">
        <v>7.07</v>
      </c>
    </row>
    <row r="258" spans="1:28" x14ac:dyDescent="0.45">
      <c r="A258" s="1" t="s">
        <v>1503</v>
      </c>
      <c r="B258" s="1" t="s">
        <v>1504</v>
      </c>
      <c r="C258" s="1">
        <v>12</v>
      </c>
      <c r="D258" s="10">
        <f ca="1">IFERROR(([1]!thsiFinD("ths_close_price_index",$A258,$AE$2,"","")/[1]!thsiFinD("ths_close_price_index",$A258,$AE$5,"","")-1)*100,"")</f>
        <v>-13.114015360039078</v>
      </c>
      <c r="E258" s="10">
        <f ca="1">IFERROR(([1]!thsiFinD("ths_close_price_index",$A258,$AE$2,"","")/[1]!thsiFinD("ths_close_price_index",$A258,$AE$3,"","")-1)*100,"")</f>
        <v>-6.4372903464865683</v>
      </c>
      <c r="F258" s="10">
        <f ca="1">IFERROR(([1]!thsiFinD("ths_close_price_index",$A258,$AE$2,"","")/[1]!thsiFinD("ths_close_price_index",$A258,$AE$4,"","")-1)*100,"")</f>
        <v>-16.545379346488755</v>
      </c>
      <c r="G258" s="11">
        <f t="shared" ref="G258:G321" ca="1" si="4">IFERROR(E258/5-F258/20,"")</f>
        <v>-0.46018910197287588</v>
      </c>
      <c r="H258" s="1">
        <v>84.67</v>
      </c>
      <c r="I258" s="1" t="s">
        <v>1505</v>
      </c>
      <c r="J258" s="1" t="s">
        <v>1506</v>
      </c>
      <c r="K258" s="1">
        <v>501.77249999999998</v>
      </c>
      <c r="L258" s="1">
        <v>56.75</v>
      </c>
      <c r="M258" s="1" t="s">
        <v>1507</v>
      </c>
      <c r="N258" s="1" t="s">
        <v>1508</v>
      </c>
      <c r="O258" s="1">
        <v>87.541399999999996</v>
      </c>
      <c r="P258" s="1">
        <v>9.9</v>
      </c>
      <c r="Q258" s="1" t="s">
        <v>1509</v>
      </c>
      <c r="R258" s="1" t="s">
        <v>1510</v>
      </c>
      <c r="S258" s="1">
        <v>54.224299999999999</v>
      </c>
      <c r="T258" s="1">
        <v>6.13</v>
      </c>
      <c r="U258" s="1" t="s">
        <v>1511</v>
      </c>
      <c r="V258" s="1" t="s">
        <v>1512</v>
      </c>
      <c r="W258" s="1">
        <v>53.372199999999999</v>
      </c>
      <c r="X258" s="1">
        <v>6.04</v>
      </c>
      <c r="Y258" s="1" t="s">
        <v>1513</v>
      </c>
      <c r="Z258" s="1" t="s">
        <v>1514</v>
      </c>
      <c r="AA258" s="1">
        <v>51.7014</v>
      </c>
      <c r="AB258" s="1">
        <v>5.85</v>
      </c>
    </row>
    <row r="259" spans="1:28" x14ac:dyDescent="0.45">
      <c r="A259" s="1" t="s">
        <v>2759</v>
      </c>
      <c r="B259" s="1" t="s">
        <v>2760</v>
      </c>
      <c r="C259" s="1">
        <v>2</v>
      </c>
      <c r="D259" s="10">
        <f ca="1">IFERROR(([1]!thsiFinD("ths_close_price_index",$A259,$AE$2,"","")/[1]!thsiFinD("ths_close_price_index",$A259,$AE$5,"","")-1)*100,"")</f>
        <v>-32.434071136817145</v>
      </c>
      <c r="E259" s="10">
        <f ca="1">IFERROR(([1]!thsiFinD("ths_close_price_index",$A259,$AE$2,"","")/[1]!thsiFinD("ths_close_price_index",$A259,$AE$3,"","")-1)*100,"")</f>
        <v>-10.706622825962398</v>
      </c>
      <c r="F259" s="10">
        <f ca="1">IFERROR(([1]!thsiFinD("ths_close_price_index",$A259,$AE$2,"","")/[1]!thsiFinD("ths_close_price_index",$A259,$AE$4,"","")-1)*100,"")</f>
        <v>-12.641306153275366</v>
      </c>
      <c r="G259" s="11">
        <f t="shared" ca="1" si="4"/>
        <v>-1.5092592575287112</v>
      </c>
      <c r="H259" s="1">
        <v>100</v>
      </c>
      <c r="I259" s="1" t="s">
        <v>2761</v>
      </c>
      <c r="J259" s="1" t="s">
        <v>2762</v>
      </c>
      <c r="K259" s="1">
        <v>696.80119999999999</v>
      </c>
      <c r="L259" s="1">
        <v>71.63</v>
      </c>
      <c r="M259" s="1" t="s">
        <v>2763</v>
      </c>
      <c r="N259" s="1" t="s">
        <v>2764</v>
      </c>
      <c r="O259" s="1">
        <v>275.93060000000003</v>
      </c>
      <c r="P259" s="1">
        <v>28.37</v>
      </c>
    </row>
    <row r="260" spans="1:28" x14ac:dyDescent="0.45">
      <c r="A260" s="1" t="s">
        <v>807</v>
      </c>
      <c r="B260" s="1" t="s">
        <v>808</v>
      </c>
      <c r="C260" s="1">
        <v>12</v>
      </c>
      <c r="D260" s="10">
        <f ca="1">IFERROR(([1]!thsiFinD("ths_close_price_index",$A260,$AE$2,"","")/[1]!thsiFinD("ths_close_price_index",$A260,$AE$5,"","")-1)*100,"")</f>
        <v>6.2900124733589635</v>
      </c>
      <c r="E260" s="10">
        <f ca="1">IFERROR(([1]!thsiFinD("ths_close_price_index",$A260,$AE$2,"","")/[1]!thsiFinD("ths_close_price_index",$A260,$AE$3,"","")-1)*100,"")</f>
        <v>-3.7006007253145179</v>
      </c>
      <c r="F260" s="10">
        <f ca="1">IFERROR(([1]!thsiFinD("ths_close_price_index",$A260,$AE$2,"","")/[1]!thsiFinD("ths_close_price_index",$A260,$AE$4,"","")-1)*100,"")</f>
        <v>4.4463054652406298</v>
      </c>
      <c r="G260" s="11">
        <f t="shared" ca="1" si="4"/>
        <v>-0.96243541832493507</v>
      </c>
      <c r="H260" s="1">
        <v>67.95</v>
      </c>
      <c r="I260" s="1" t="s">
        <v>809</v>
      </c>
      <c r="J260" s="1" t="s">
        <v>810</v>
      </c>
      <c r="K260" s="1">
        <v>143.64250000000001</v>
      </c>
      <c r="L260" s="1">
        <v>22.41</v>
      </c>
      <c r="M260" s="1" t="s">
        <v>811</v>
      </c>
      <c r="N260" s="1" t="s">
        <v>812</v>
      </c>
      <c r="O260" s="1">
        <v>82.766400000000004</v>
      </c>
      <c r="P260" s="1">
        <v>12.91</v>
      </c>
      <c r="Q260" s="1" t="s">
        <v>813</v>
      </c>
      <c r="R260" s="1" t="s">
        <v>814</v>
      </c>
      <c r="S260" s="1">
        <v>79.715299999999999</v>
      </c>
      <c r="T260" s="1">
        <v>12.44</v>
      </c>
      <c r="U260" s="1" t="s">
        <v>815</v>
      </c>
      <c r="V260" s="1" t="s">
        <v>816</v>
      </c>
      <c r="W260" s="1">
        <v>76.293099999999995</v>
      </c>
      <c r="X260" s="1">
        <v>11.9</v>
      </c>
      <c r="Y260" s="1" t="s">
        <v>817</v>
      </c>
      <c r="Z260" s="1" t="s">
        <v>818</v>
      </c>
      <c r="AA260" s="1">
        <v>53.139099999999999</v>
      </c>
      <c r="AB260" s="1">
        <v>8.2899999999999991</v>
      </c>
    </row>
    <row r="261" spans="1:28" x14ac:dyDescent="0.45">
      <c r="A261" s="1" t="s">
        <v>1791</v>
      </c>
      <c r="B261" s="1" t="s">
        <v>1792</v>
      </c>
      <c r="C261" s="1">
        <v>7</v>
      </c>
      <c r="D261" s="10">
        <f ca="1">IFERROR(([1]!thsiFinD("ths_close_price_index",$A261,$AE$2,"","")/[1]!thsiFinD("ths_close_price_index",$A261,$AE$5,"","")-1)*100,"")</f>
        <v>-15.462540197463726</v>
      </c>
      <c r="E261" s="10">
        <f ca="1">IFERROR(([1]!thsiFinD("ths_close_price_index",$A261,$AE$2,"","")/[1]!thsiFinD("ths_close_price_index",$A261,$AE$3,"","")-1)*100,"")</f>
        <v>-5.5897634137006218</v>
      </c>
      <c r="F261" s="10">
        <f ca="1">IFERROR(([1]!thsiFinD("ths_close_price_index",$A261,$AE$2,"","")/[1]!thsiFinD("ths_close_price_index",$A261,$AE$4,"","")-1)*100,"")</f>
        <v>-15.703446361674056</v>
      </c>
      <c r="G261" s="11">
        <f t="shared" ca="1" si="4"/>
        <v>-0.33278036465642147</v>
      </c>
      <c r="H261" s="1">
        <v>95.02</v>
      </c>
      <c r="I261" s="1" t="s">
        <v>1793</v>
      </c>
      <c r="J261" s="1" t="s">
        <v>1794</v>
      </c>
      <c r="K261" s="1">
        <v>160.6885</v>
      </c>
      <c r="L261" s="1">
        <v>44.52</v>
      </c>
      <c r="M261" s="1" t="s">
        <v>1795</v>
      </c>
      <c r="N261" s="1" t="s">
        <v>1796</v>
      </c>
      <c r="O261" s="1">
        <v>62.844700000000003</v>
      </c>
      <c r="P261" s="1">
        <v>17.41</v>
      </c>
      <c r="Q261" s="1" t="s">
        <v>1797</v>
      </c>
      <c r="R261" s="1" t="s">
        <v>1798</v>
      </c>
      <c r="S261" s="1">
        <v>55.806199999999997</v>
      </c>
      <c r="T261" s="1">
        <v>15.46</v>
      </c>
      <c r="U261" s="1" t="s">
        <v>1799</v>
      </c>
      <c r="V261" s="1" t="s">
        <v>1800</v>
      </c>
      <c r="W261" s="1">
        <v>40.0289</v>
      </c>
      <c r="X261" s="1">
        <v>11.09</v>
      </c>
      <c r="Y261" s="1" t="s">
        <v>1801</v>
      </c>
      <c r="Z261" s="1" t="s">
        <v>1802</v>
      </c>
      <c r="AA261" s="1">
        <v>23.6066</v>
      </c>
      <c r="AB261" s="1">
        <v>6.54</v>
      </c>
    </row>
    <row r="262" spans="1:28" x14ac:dyDescent="0.45">
      <c r="A262" s="1" t="s">
        <v>42</v>
      </c>
      <c r="B262" s="1" t="s">
        <v>43</v>
      </c>
      <c r="C262" s="1">
        <v>12</v>
      </c>
      <c r="D262" s="10">
        <f ca="1">IFERROR(([1]!thsiFinD("ths_close_price_index",$A262,$AE$2,"","")/[1]!thsiFinD("ths_close_price_index",$A262,$AE$5,"","")-1)*100,"")</f>
        <v>213.75309714381382</v>
      </c>
      <c r="E262" s="10">
        <f ca="1">IFERROR(([1]!thsiFinD("ths_close_price_index",$A262,$AE$2,"","")/[1]!thsiFinD("ths_close_price_index",$A262,$AE$3,"","")-1)*100,"")</f>
        <v>4.0355351703966535</v>
      </c>
      <c r="F262" s="10">
        <f ca="1">IFERROR(([1]!thsiFinD("ths_close_price_index",$A262,$AE$2,"","")/[1]!thsiFinD("ths_close_price_index",$A262,$AE$4,"","")-1)*100,"")</f>
        <v>34.437508183884312</v>
      </c>
      <c r="G262" s="11">
        <f t="shared" ca="1" si="4"/>
        <v>-0.91476837511488496</v>
      </c>
      <c r="H262" s="1">
        <v>89.78</v>
      </c>
      <c r="I262" s="1" t="s">
        <v>44</v>
      </c>
      <c r="J262" s="1" t="s">
        <v>45</v>
      </c>
      <c r="K262" s="1">
        <v>1890.5672</v>
      </c>
      <c r="L262" s="1">
        <v>44.56</v>
      </c>
      <c r="M262" s="1" t="s">
        <v>46</v>
      </c>
      <c r="N262" s="1" t="s">
        <v>47</v>
      </c>
      <c r="O262" s="1">
        <v>645.22969999999998</v>
      </c>
      <c r="P262" s="1">
        <v>15.21</v>
      </c>
      <c r="Q262" s="1" t="s">
        <v>48</v>
      </c>
      <c r="R262" s="1" t="s">
        <v>49</v>
      </c>
      <c r="S262" s="1">
        <v>551.46550000000002</v>
      </c>
      <c r="T262" s="1">
        <v>13</v>
      </c>
      <c r="U262" s="1" t="s">
        <v>50</v>
      </c>
      <c r="V262" s="1" t="s">
        <v>51</v>
      </c>
      <c r="W262" s="1">
        <v>498.15859999999998</v>
      </c>
      <c r="X262" s="1">
        <v>11.74</v>
      </c>
      <c r="Y262" s="1" t="s">
        <v>52</v>
      </c>
      <c r="Z262" s="1" t="s">
        <v>53</v>
      </c>
      <c r="AA262" s="1">
        <v>223.40350000000001</v>
      </c>
      <c r="AB262" s="1">
        <v>5.27</v>
      </c>
    </row>
  </sheetData>
  <autoFilter ref="A1:AB262">
    <sortState ref="A2:AB262">
      <sortCondition descending="1" ref="G1:G262"/>
    </sortState>
  </autoFilter>
  <phoneticPr fontId="17" type="noConversion"/>
  <conditionalFormatting sqref="E2:E262">
    <cfRule type="colorScale" priority="1">
      <colorScale>
        <cfvo type="num" val="-8"/>
        <cfvo type="num" val="0"/>
        <cfvo type="num" val="8"/>
        <color rgb="FF2E7D32"/>
        <color rgb="FFFFFFFF"/>
        <color rgb="FFC62828"/>
      </colorScale>
    </cfRule>
  </conditionalFormatting>
  <conditionalFormatting sqref="G2:G262">
    <cfRule type="colorScale" priority="2">
      <colorScale>
        <cfvo type="percentile" val="5"/>
        <cfvo type="percentile" val="50"/>
        <cfvo type="percentile" val="95"/>
        <color rgb="FF2E7D32"/>
        <color rgb="FFFFFFFF"/>
        <color rgb="FFC62828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262"/>
  <sheetViews>
    <sheetView workbookViewId="0">
      <selection activeCell="G11" sqref="G11"/>
    </sheetView>
  </sheetViews>
  <sheetFormatPr defaultRowHeight="14" x14ac:dyDescent="0.25"/>
  <cols>
    <col min="2" max="2" width="11" customWidth="1"/>
    <col min="3" max="3" width="16" customWidth="1"/>
    <col min="4" max="15" width="11" customWidth="1"/>
    <col min="18" max="31" width="13" hidden="1" customWidth="1"/>
    <col min="33" max="33" width="13" hidden="1" customWidth="1"/>
  </cols>
  <sheetData>
    <row r="1" spans="2:33" ht="18.5" x14ac:dyDescent="0.3">
      <c r="B1" s="12" t="s">
        <v>3023</v>
      </c>
    </row>
    <row r="2" spans="2:33" ht="30" customHeight="1" x14ac:dyDescent="0.25">
      <c r="B2" s="31" t="s">
        <v>3024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AG2">
        <f ca="1">IFERROR(中信三级行业指数热度!G2+ROW()*0.0000000001,-9999)</f>
        <v>1.0114437862273407</v>
      </c>
    </row>
    <row r="3" spans="2:33" ht="34" customHeight="1" x14ac:dyDescent="0.25">
      <c r="B3" s="13" t="str">
        <f ca="1">中信三级行业指数热度!B17&amp;CHAR(10)&amp;TEXT(中信三级行业指数热度!E17,"0.0")&amp;"%"</f>
        <v>棉纺制品指数
2.3%</v>
      </c>
      <c r="C3" s="13" t="str">
        <f ca="1">中信三级行业指数热度!B8&amp;CHAR(10)&amp;TEXT(中信三级行业指数热度!E8,"0.0")&amp;"%"</f>
        <v>医疗服务指数
8.0%</v>
      </c>
      <c r="D3" s="13" t="str">
        <f ca="1">中信三级行业指数热度!B176&amp;CHAR(10)&amp;TEXT(中信三级行业指数热度!E176,"0.0")&amp;"%"</f>
        <v>兵器兵装Ⅲ指数
-2.6%</v>
      </c>
      <c r="E3" s="13" t="str">
        <f ca="1">中信三级行业指数热度!B22&amp;CHAR(10)&amp;TEXT(中信三级行业指数热度!E22,"0.0")&amp;"%"</f>
        <v>出版指数
1.1%</v>
      </c>
      <c r="F3" s="13" t="str">
        <f ca="1">中信三级行业指数热度!B75&amp;CHAR(10)&amp;TEXT(中信三级行业指数热度!E75,"0.0")&amp;"%"</f>
        <v>游戏指数
5.4%</v>
      </c>
      <c r="G3" s="13" t="str">
        <f ca="1">中信三级行业指数热度!B11&amp;CHAR(10)&amp;TEXT(中信三级行业指数热度!E11,"0.0")&amp;"%"</f>
        <v>航运指数
6.9%</v>
      </c>
      <c r="H3" s="13" t="str">
        <f ca="1">中信三级行业指数热度!B10&amp;CHAR(10)&amp;TEXT(中信三级行业指数热度!E10,"0.0")&amp;"%"</f>
        <v>燃料电池指数
11.0%</v>
      </c>
      <c r="I3" s="13" t="str">
        <f ca="1">中信三级行业指数热度!B162&amp;CHAR(10)&amp;TEXT(中信三级行业指数热度!E162,"0.0")&amp;"%"</f>
        <v>农药指数
-1.3%</v>
      </c>
      <c r="J3" s="13" t="str">
        <f ca="1">中信三级行业指数热度!B212&amp;CHAR(10)&amp;TEXT(中信三级行业指数热度!E212,"0.0")&amp;"%"</f>
        <v>大众成人品牌服饰指数
-1.1%</v>
      </c>
      <c r="K3" s="13" t="str">
        <f ca="1">中信三级行业指数热度!B42&amp;CHAR(10)&amp;TEXT(中信三级行业指数热度!E42,"0.0")&amp;"%"</f>
        <v>综合能源设备指数
-3.2%</v>
      </c>
      <c r="L3" s="13" t="str">
        <f ca="1">中信三级行业指数热度!B136&amp;CHAR(10)&amp;TEXT(中信三级行业指数热度!E136,"0.0")&amp;"%"</f>
        <v>其他装饰材料指数
-1.8%</v>
      </c>
      <c r="M3" s="13" t="str">
        <f ca="1">中信三级行业指数热度!B244&amp;CHAR(10)&amp;TEXT(中信三级行业指数热度!E244,"0.0")&amp;"%"</f>
        <v>锂指数
0.4%</v>
      </c>
      <c r="N3" s="13" t="str">
        <f ca="1">中信三级行业指数热度!B122&amp;CHAR(10)&amp;TEXT(中信三级行业指数热度!E122,"0.0")&amp;"%"</f>
        <v>非乳饮料指数
-4.1%</v>
      </c>
      <c r="O3" s="13" t="str">
        <f ca="1">中信三级行业指数热度!B18&amp;CHAR(10)&amp;TEXT(中信三级行业指数热度!E18,"0.0")&amp;"%"</f>
        <v>聚氨酯指数
6.3%</v>
      </c>
      <c r="R3" s="14">
        <f ca="1">中信三级行业指数热度!E17</f>
        <v>2.2547549010261347</v>
      </c>
      <c r="S3" s="14">
        <f ca="1">中信三级行业指数热度!E8</f>
        <v>8.0227066951536372</v>
      </c>
      <c r="T3" s="14">
        <f ca="1">中信三级行业指数热度!E176</f>
        <v>-2.6072184104132257</v>
      </c>
      <c r="U3" s="14">
        <f ca="1">中信三级行业指数热度!E22</f>
        <v>1.1078919485321803</v>
      </c>
      <c r="V3" s="14">
        <f ca="1">中信三级行业指数热度!E75</f>
        <v>5.4308485700890641</v>
      </c>
      <c r="W3" s="14">
        <f ca="1">中信三级行业指数热度!E11</f>
        <v>6.9384061413963138</v>
      </c>
      <c r="X3" s="14">
        <f ca="1">中信三级行业指数热度!E10</f>
        <v>10.996869605728543</v>
      </c>
      <c r="Y3" s="14">
        <f ca="1">中信三级行业指数热度!E162</f>
        <v>-1.268934514599207</v>
      </c>
      <c r="Z3" s="14">
        <f ca="1">中信三级行业指数热度!E212</f>
        <v>-1.1407557635644272</v>
      </c>
      <c r="AA3" s="14">
        <f ca="1">中信三级行业指数热度!E42</f>
        <v>-3.241367843057219</v>
      </c>
      <c r="AB3" s="14">
        <f ca="1">中信三级行业指数热度!E136</f>
        <v>-1.8132383505924499</v>
      </c>
      <c r="AC3" s="14">
        <f ca="1">中信三级行业指数热度!E244</f>
        <v>0.41439450609688233</v>
      </c>
      <c r="AD3" s="14">
        <f ca="1">中信三级行业指数热度!E122</f>
        <v>-4.0586634008036864</v>
      </c>
      <c r="AE3" s="14">
        <f ca="1">中信三级行业指数热度!E18</f>
        <v>6.3281788490610058</v>
      </c>
      <c r="AG3">
        <f ca="1">IFERROR(中信三级行业指数热度!G3+ROW()*0.0000000001,-9999)</f>
        <v>1.4432608129898294</v>
      </c>
    </row>
    <row r="4" spans="2:33" ht="34" customHeight="1" x14ac:dyDescent="0.25">
      <c r="B4" s="13" t="str">
        <f ca="1">中信三级行业指数热度!B121&amp;CHAR(10)&amp;TEXT(中信三级行业指数热度!E121,"0.0")&amp;"%"</f>
        <v>专业工程及其他指数
-0.4%</v>
      </c>
      <c r="C4" s="13" t="str">
        <f ca="1">中信三级行业指数热度!B2&amp;CHAR(10)&amp;TEXT(中信三级行业指数热度!E2,"0.0")&amp;"%"</f>
        <v>半导体设备指数
12.8%</v>
      </c>
      <c r="D4" s="13" t="str">
        <f ca="1">中信三级行业指数热度!B119&amp;CHAR(10)&amp;TEXT(中信三级行业指数热度!E119,"0.0")&amp;"%"</f>
        <v>家纺指数
-2.7%</v>
      </c>
      <c r="E4" s="13" t="str">
        <f ca="1">中信三级行业指数热度!B90&amp;CHAR(10)&amp;TEXT(中信三级行业指数热度!E90,"0.0")&amp;"%"</f>
        <v>电机指数
-4.8%</v>
      </c>
      <c r="F4" s="13" t="str">
        <f ca="1">中信三级行业指数热度!B107&amp;CHAR(10)&amp;TEXT(中信三级行业指数热度!E107,"0.0")&amp;"%"</f>
        <v>民爆用品指数
-5.5%</v>
      </c>
      <c r="G4" s="13" t="str">
        <f ca="1">中信三级行业指数热度!B157&amp;CHAR(10)&amp;TEXT(中信三级行业指数热度!E157,"0.0")&amp;"%"</f>
        <v>粘胶指数
3.3%</v>
      </c>
      <c r="H4" s="13" t="str">
        <f ca="1">中信三级行业指数热度!B9&amp;CHAR(10)&amp;TEXT(中信三级行业指数热度!E9,"0.0")&amp;"%"</f>
        <v>显示零组指数
4.5%</v>
      </c>
      <c r="I4" s="13" t="str">
        <f ca="1">中信三级行业指数热度!B139&amp;CHAR(10)&amp;TEXT(中信三级行业指数热度!E139,"0.0")&amp;"%"</f>
        <v>中成药指数
-1.6%</v>
      </c>
      <c r="J4" s="13" t="str">
        <f ca="1">中信三级行业指数热度!B51&amp;CHAR(10)&amp;TEXT(中信三级行业指数热度!E51,"0.0")&amp;"%"</f>
        <v>建筑装修Ⅲ指数
0.6%</v>
      </c>
      <c r="K4" s="13" t="str">
        <f ca="1">中信三级行业指数热度!B151&amp;CHAR(10)&amp;TEXT(中信三级行业指数热度!E151,"0.0")&amp;"%"</f>
        <v>贸易Ⅲ指数
-2.2%</v>
      </c>
      <c r="L4" s="13" t="str">
        <f ca="1">中信三级行业指数热度!B3&amp;CHAR(10)&amp;TEXT(中信三级行业指数热度!E3,"0.0")&amp;"%"</f>
        <v>分立器件指数
10.7%</v>
      </c>
      <c r="M4" s="13" t="str">
        <f ca="1">中信三级行业指数热度!B231&amp;CHAR(10)&amp;TEXT(中信三级行业指数热度!E231,"0.0")&amp;"%"</f>
        <v>其他发电指数
-4.6%</v>
      </c>
      <c r="N4" s="13" t="str">
        <f ca="1">中信三级行业指数热度!B52&amp;CHAR(10)&amp;TEXT(中信三级行业指数热度!E52,"0.0")&amp;"%"</f>
        <v>非棉纺织品指数
-2.4%</v>
      </c>
      <c r="O4" s="13" t="str">
        <f ca="1">中信三级行业指数热度!B179&amp;CHAR(10)&amp;TEXT(中信三级行业指数热度!E179,"0.0")&amp;"%"</f>
        <v>其他广告营销指数
-3.4%</v>
      </c>
      <c r="R4" s="14">
        <f ca="1">中信三级行业指数热度!E121</f>
        <v>-0.42343966899787144</v>
      </c>
      <c r="S4" s="14">
        <f ca="1">中信三级行业指数热度!E2</f>
        <v>12.773946083526821</v>
      </c>
      <c r="T4" s="14">
        <f ca="1">中信三级行业指数热度!E119</f>
        <v>-2.7194188903446159</v>
      </c>
      <c r="U4" s="14">
        <f ca="1">中信三级行业指数热度!E90</f>
        <v>-4.8138015203082141</v>
      </c>
      <c r="V4" s="14">
        <f ca="1">中信三级行业指数热度!E107</f>
        <v>-5.4890528139062145</v>
      </c>
      <c r="W4" s="14">
        <f ca="1">中信三级行业指数热度!E157</f>
        <v>3.3241071140466261</v>
      </c>
      <c r="X4" s="14">
        <f ca="1">中信三级行业指数热度!E9</f>
        <v>4.5272634954407032</v>
      </c>
      <c r="Y4" s="14">
        <f ca="1">中信三级行业指数热度!E139</f>
        <v>-1.5624419959125002</v>
      </c>
      <c r="Z4" s="14">
        <f ca="1">中信三级行业指数热度!E51</f>
        <v>0.6244885423252855</v>
      </c>
      <c r="AA4" s="14">
        <f ca="1">中信三级行业指数热度!E151</f>
        <v>-2.2082611641572103</v>
      </c>
      <c r="AB4" s="14">
        <f ca="1">中信三级行业指数热度!E3</f>
        <v>10.726999675720105</v>
      </c>
      <c r="AC4" s="14">
        <f ca="1">中信三级行业指数热度!E231</f>
        <v>-4.5923336597362923</v>
      </c>
      <c r="AD4" s="14">
        <f ca="1">中信三级行业指数热度!E52</f>
        <v>-2.3782432939427944</v>
      </c>
      <c r="AE4" s="14">
        <f ca="1">中信三级行业指数热度!E179</f>
        <v>-3.359051318277495</v>
      </c>
      <c r="AG4">
        <f ca="1">IFERROR(中信三级行业指数热度!G4+ROW()*0.0000000001,-9999)</f>
        <v>-1.7374557531007839</v>
      </c>
    </row>
    <row r="5" spans="2:33" ht="34" customHeight="1" x14ac:dyDescent="0.25">
      <c r="B5" s="13" t="str">
        <f ca="1">中信三级行业指数热度!B246&amp;CHAR(10)&amp;TEXT(中信三级行业指数热度!E246,"0.0")&amp;"%"</f>
        <v>日用化学品指数
-7.3%</v>
      </c>
      <c r="C5" s="13" t="str">
        <f ca="1">中信三级行业指数热度!B146&amp;CHAR(10)&amp;TEXT(中信三级行业指数热度!E146,"0.0")&amp;"%"</f>
        <v>综合业态指数
-3.0%</v>
      </c>
      <c r="D5" s="13" t="str">
        <f ca="1">中信三级行业指数热度!B94&amp;CHAR(10)&amp;TEXT(中信三级行业指数热度!E94,"0.0")&amp;"%"</f>
        <v>锂电化学品指数
1.8%</v>
      </c>
      <c r="E5" s="13" t="str">
        <f ca="1">中信三级行业指数热度!B12&amp;CHAR(10)&amp;TEXT(中信三级行业指数热度!E12,"0.0")&amp;"%"</f>
        <v>面板指数
11.9%</v>
      </c>
      <c r="F5" s="13" t="str">
        <f ca="1">中信三级行业指数热度!B32&amp;CHAR(10)&amp;TEXT(中信三级行业指数热度!E32,"0.0")&amp;"%"</f>
        <v>行业应用软件指数
-1.6%</v>
      </c>
      <c r="G5" s="13" t="str">
        <f ca="1">中信三级行业指数热度!B31&amp;CHAR(10)&amp;TEXT(中信三级行业指数热度!E31,"0.0")&amp;"%"</f>
        <v>电商及服务Ⅲ指数
0.0%</v>
      </c>
      <c r="H5" s="13" t="str">
        <f ca="1">中信三级行业指数热度!B49&amp;CHAR(10)&amp;TEXT(中信三级行业指数热度!E49,"0.0")&amp;"%"</f>
        <v>专用汽车指数
-3.0%</v>
      </c>
      <c r="I5" s="13" t="str">
        <f ca="1">中信三级行业指数热度!B27&amp;CHAR(10)&amp;TEXT(中信三级行业指数热度!E27,"0.0")&amp;"%"</f>
        <v>云基础设施服务指数
-3.2%</v>
      </c>
      <c r="J5" s="13" t="str">
        <f ca="1">中信三级行业指数热度!B103&amp;CHAR(10)&amp;TEXT(中信三级行业指数热度!E103,"0.0")&amp;"%"</f>
        <v>物业管理服务指数
-3.7%</v>
      </c>
      <c r="K5" s="13" t="str">
        <f ca="1">中信三级行业指数热度!B79&amp;CHAR(10)&amp;TEXT(中信三级行业指数热度!E79,"0.0")&amp;"%"</f>
        <v>儿童品牌指数
-2.7%</v>
      </c>
      <c r="L5" s="13" t="str">
        <f ca="1">中信三级行业指数热度!B196&amp;CHAR(10)&amp;TEXT(中信三级行业指数热度!E196,"0.0")&amp;"%"</f>
        <v>合成树脂指数
0.2%</v>
      </c>
      <c r="M5" s="13" t="str">
        <f ca="1">中信三级行业指数热度!B144&amp;CHAR(10)&amp;TEXT(中信三级行业指数热度!E144,"0.0")&amp;"%"</f>
        <v>综合Ⅲ指数
-3.1%</v>
      </c>
      <c r="N5" s="13" t="str">
        <f ca="1">中信三级行业指数热度!B59&amp;CHAR(10)&amp;TEXT(中信三级行业指数热度!E59,"0.0")&amp;"%"</f>
        <v>叉车指数
-4.9%</v>
      </c>
      <c r="O5" s="13" t="str">
        <f ca="1">中信三级行业指数热度!B240&amp;CHAR(10)&amp;TEXT(中信三级行业指数热度!E240,"0.0")&amp;"%"</f>
        <v>电网指数
-6.4%</v>
      </c>
      <c r="R5" s="14">
        <f ca="1">中信三级行业指数热度!E246</f>
        <v>-7.3117273943378631</v>
      </c>
      <c r="S5" s="14">
        <f ca="1">中信三级行业指数热度!E146</f>
        <v>-3.0313632618798048</v>
      </c>
      <c r="T5" s="14">
        <f ca="1">中信三级行业指数热度!E94</f>
        <v>1.7882458851567362</v>
      </c>
      <c r="U5" s="14">
        <f ca="1">中信三级行业指数热度!E12</f>
        <v>11.871478250120425</v>
      </c>
      <c r="V5" s="14">
        <f ca="1">中信三级行业指数热度!E32</f>
        <v>-1.6087977899759021</v>
      </c>
      <c r="W5" s="14">
        <f ca="1">中信三级行业指数热度!E31</f>
        <v>4.7806029909347458E-2</v>
      </c>
      <c r="X5" s="14">
        <f ca="1">中信三级行业指数热度!E49</f>
        <v>-3.0042639885931366</v>
      </c>
      <c r="Y5" s="14">
        <f ca="1">中信三级行业指数热度!E27</f>
        <v>-3.239642669583509</v>
      </c>
      <c r="Z5" s="14">
        <f ca="1">中信三级行业指数热度!E103</f>
        <v>-3.6555789035037645</v>
      </c>
      <c r="AA5" s="14">
        <f ca="1">中信三级行业指数热度!E79</f>
        <v>-2.71352726486912</v>
      </c>
      <c r="AB5" s="14">
        <f ca="1">中信三级行业指数热度!E196</f>
        <v>0.20972669392809173</v>
      </c>
      <c r="AC5" s="14">
        <f ca="1">中信三级行业指数热度!E144</f>
        <v>-3.1086602652108719</v>
      </c>
      <c r="AD5" s="14">
        <f ca="1">中信三级行业指数热度!E59</f>
        <v>-4.9300911826892113</v>
      </c>
      <c r="AE5" s="14">
        <f ca="1">中信三级行业指数热度!E240</f>
        <v>-6.4487406953534947</v>
      </c>
      <c r="AG5">
        <f ca="1">IFERROR(中信三级行业指数热度!G5+ROW()*0.0000000001,-9999)</f>
        <v>1.3061595778785251</v>
      </c>
    </row>
    <row r="6" spans="2:33" ht="34" customHeight="1" x14ac:dyDescent="0.25">
      <c r="B6" s="13" t="str">
        <f ca="1">中信三级行业指数热度!B40&amp;CHAR(10)&amp;TEXT(中信三级行业指数热度!E40,"0.0")&amp;"%"</f>
        <v>其他文化娱乐指数
-2.3%</v>
      </c>
      <c r="C6" s="13" t="str">
        <f ca="1">中信三级行业指数热度!B173&amp;CHAR(10)&amp;TEXT(中信三级行业指数热度!E173,"0.0")&amp;"%"</f>
        <v>K12培训指数
-3.3%</v>
      </c>
      <c r="D6" s="13" t="str">
        <f ca="1">中信三级行业指数热度!B91&amp;CHAR(10)&amp;TEXT(中信三级行业指数热度!E91,"0.0")&amp;"%"</f>
        <v>储能指数
0.1%</v>
      </c>
      <c r="E6" s="13" t="str">
        <f ca="1">中信三级行业指数热度!B210&amp;CHAR(10)&amp;TEXT(中信三级行业指数热度!E210,"0.0")&amp;"%"</f>
        <v>酒店指数
-3.9%</v>
      </c>
      <c r="F6" s="13" t="str">
        <f ca="1">中信三级行业指数热度!B181&amp;CHAR(10)&amp;TEXT(中信三级行业指数热度!E181,"0.0")&amp;"%"</f>
        <v>造纸Ⅲ指数
-3.5%</v>
      </c>
      <c r="G6" s="13" t="str">
        <f ca="1">中信三级行业指数热度!B152&amp;CHAR(10)&amp;TEXT(中信三级行业指数热度!E152,"0.0")&amp;"%"</f>
        <v>水产养殖指数
-3.9%</v>
      </c>
      <c r="H6" s="13" t="str">
        <f ca="1">中信三级行业指数热度!B108&amp;CHAR(10)&amp;TEXT(中信三级行业指数热度!E108,"0.0")&amp;"%"</f>
        <v>住宅物业开发指数
-2.5%</v>
      </c>
      <c r="I6" s="13" t="str">
        <f ca="1">中信三级行业指数热度!B21&amp;CHAR(10)&amp;TEXT(中信三级行业指数热度!E21,"0.0")&amp;"%"</f>
        <v>油品销售及仓储指数
-0.6%</v>
      </c>
      <c r="J6" s="13" t="str">
        <f ca="1">中信三级行业指数热度!B189&amp;CHAR(10)&amp;TEXT(中信三级行业指数热度!E189,"0.0")&amp;"%"</f>
        <v>其他运输设备指数
0.1%</v>
      </c>
      <c r="K6" s="13" t="str">
        <f ca="1">中信三级行业指数热度!B77&amp;CHAR(10)&amp;TEXT(中信三级行业指数热度!E77,"0.0")&amp;"%"</f>
        <v>产业互联网综合服务指数
-3.7%</v>
      </c>
      <c r="L6" s="13" t="str">
        <f ca="1">中信三级行业指数热度!B53&amp;CHAR(10)&amp;TEXT(中信三级行业指数热度!E53,"0.0")&amp;"%"</f>
        <v>信托指数
1.0%</v>
      </c>
      <c r="M6" s="13" t="str">
        <f ca="1">中信三级行业指数热度!B20&amp;CHAR(10)&amp;TEXT(中信三级行业指数热度!E20,"0.0")&amp;"%"</f>
        <v>供热或其他指数
4.8%</v>
      </c>
      <c r="N6" s="13" t="str">
        <f ca="1">中信三级行业指数热度!B46&amp;CHAR(10)&amp;TEXT(中信三级行业指数热度!E46,"0.0")&amp;"%"</f>
        <v>消费电子设备指数
-1.9%</v>
      </c>
      <c r="O6" s="13" t="str">
        <f ca="1">中信三级行业指数热度!B48&amp;CHAR(10)&amp;TEXT(中信三级行业指数热度!E48,"0.0")&amp;"%"</f>
        <v>LED指数
5.5%</v>
      </c>
      <c r="R6" s="14">
        <f ca="1">中信三级行业指数热度!E40</f>
        <v>-2.3298732970249758</v>
      </c>
      <c r="S6" s="14">
        <f ca="1">中信三级行业指数热度!E173</f>
        <v>-3.2914105708474861</v>
      </c>
      <c r="T6" s="14">
        <f ca="1">中信三级行业指数热度!E91</f>
        <v>0.10720697299055892</v>
      </c>
      <c r="U6" s="14">
        <f ca="1">中信三级行业指数热度!E210</f>
        <v>-3.9462635038238991</v>
      </c>
      <c r="V6" s="14">
        <f ca="1">中信三级行业指数热度!E181</f>
        <v>-3.5052281110104722</v>
      </c>
      <c r="W6" s="14">
        <f ca="1">中信三级行业指数热度!E152</f>
        <v>-3.9225579615865369</v>
      </c>
      <c r="X6" s="14">
        <f ca="1">中信三级行业指数热度!E108</f>
        <v>-2.5388852282679508</v>
      </c>
      <c r="Y6" s="14">
        <f ca="1">中信三级行业指数热度!E21</f>
        <v>-0.58729820752686512</v>
      </c>
      <c r="Z6" s="14">
        <f ca="1">中信三级行业指数热度!E189</f>
        <v>0.11428290301445099</v>
      </c>
      <c r="AA6" s="14">
        <f ca="1">中信三级行业指数热度!E77</f>
        <v>-3.6863551513169002</v>
      </c>
      <c r="AB6" s="14">
        <f ca="1">中信三级行业指数热度!E53</f>
        <v>1.0053474487430991</v>
      </c>
      <c r="AC6" s="14">
        <f ca="1">中信三级行业指数热度!E20</f>
        <v>4.7657774167856104</v>
      </c>
      <c r="AD6" s="14">
        <f ca="1">中信三级行业指数热度!E46</f>
        <v>-1.8528562628007395</v>
      </c>
      <c r="AE6" s="14">
        <f ca="1">中信三级行业指数热度!E48</f>
        <v>5.5178131004501862</v>
      </c>
      <c r="AG6">
        <f ca="1">IFERROR(中信三级行业指数热度!G6+ROW()*0.0000000001,-9999)</f>
        <v>2.0023682840902648</v>
      </c>
    </row>
    <row r="7" spans="2:33" ht="34" customHeight="1" x14ac:dyDescent="0.25">
      <c r="B7" s="13" t="str">
        <f ca="1">中信三级行业指数热度!B6&amp;CHAR(10)&amp;TEXT(中信三级行业指数热度!E6,"0.0")&amp;"%"</f>
        <v>橡胶助剂指数
17.0%</v>
      </c>
      <c r="C7" s="13" t="str">
        <f ca="1">中信三级行业指数热度!B47&amp;CHAR(10)&amp;TEXT(中信三级行业指数热度!E47,"0.0")&amp;"%"</f>
        <v>证券Ⅲ指数
9.5%</v>
      </c>
      <c r="D7" s="13" t="str">
        <f ca="1">中信三级行业指数热度!B62&amp;CHAR(10)&amp;TEXT(中信三级行业指数热度!E62,"0.0")&amp;"%"</f>
        <v>半导体材料指数
10.2%</v>
      </c>
      <c r="E7" s="13" t="str">
        <f ca="1">中信三级行业指数热度!B80&amp;CHAR(10)&amp;TEXT(中信三级行业指数热度!E80,"0.0")&amp;"%"</f>
        <v>咨询实施及其他服务指数
-3.0%</v>
      </c>
      <c r="F7" s="13" t="str">
        <f ca="1">中信三级行业指数热度!B5&amp;CHAR(10)&amp;TEXT(中信三级行业指数热度!E5,"0.0")&amp;"%"</f>
        <v>集成电路指数
10.9%</v>
      </c>
      <c r="G7" s="13" t="str">
        <f ca="1">中信三级行业指数热度!B74&amp;CHAR(10)&amp;TEXT(中信三级行业指数热度!E74,"0.0")&amp;"%"</f>
        <v>工程服务指数
1.7%</v>
      </c>
      <c r="H7" s="13" t="str">
        <f ca="1">中信三级行业指数热度!B23&amp;CHAR(10)&amp;TEXT(中信三级行业指数热度!E23,"0.0")&amp;"%"</f>
        <v>生物医药Ⅲ指数
1.6%</v>
      </c>
      <c r="I7" s="13" t="str">
        <f ca="1">中信三级行业指数热度!B35&amp;CHAR(10)&amp;TEXT(中信三级行业指数热度!E35,"0.0")&amp;"%"</f>
        <v>电子化学品指数
6.2%</v>
      </c>
      <c r="J7" s="13" t="str">
        <f ca="1">中信三级行业指数热度!B71&amp;CHAR(10)&amp;TEXT(中信三级行业指数热度!E71,"0.0")&amp;"%"</f>
        <v>公路指数
-1.0%</v>
      </c>
      <c r="K7" s="13" t="str">
        <f ca="1">中信三级行业指数热度!B88&amp;CHAR(10)&amp;TEXT(中信三级行业指数热度!E88,"0.0")&amp;"%"</f>
        <v>调味品指数
2.6%</v>
      </c>
      <c r="L7" s="13" t="str">
        <f ca="1">中信三级行业指数热度!B4&amp;CHAR(10)&amp;TEXT(中信三级行业指数热度!E4,"0.0")&amp;"%"</f>
        <v>碳纤维指数
-0.9%</v>
      </c>
      <c r="M7" s="13" t="str">
        <f ca="1">中信三级行业指数热度!B245&amp;CHAR(10)&amp;TEXT(中信三级行业指数热度!E245,"0.0")&amp;"%"</f>
        <v>PCB指数
0.9%</v>
      </c>
      <c r="N7" s="13" t="str">
        <f ca="1">中信三级行业指数热度!B16&amp;CHAR(10)&amp;TEXT(中信三级行业指数热度!E16,"0.0")&amp;"%"</f>
        <v>其他专用材料指数
6.7%</v>
      </c>
      <c r="O7" s="13" t="str">
        <f ca="1">中信三级行业指数热度!B66&amp;CHAR(10)&amp;TEXT(中信三级行业指数热度!E66,"0.0")&amp;"%"</f>
        <v>金属包装指数
-4.8%</v>
      </c>
      <c r="R7" s="14">
        <f ca="1">中信三级行业指数热度!E6</f>
        <v>16.971810380286946</v>
      </c>
      <c r="S7" s="14">
        <f ca="1">中信三级行业指数热度!E47</f>
        <v>9.4874126453676979</v>
      </c>
      <c r="T7" s="14">
        <f ca="1">中信三级行业指数热度!E62</f>
        <v>10.235065114490016</v>
      </c>
      <c r="U7" s="14">
        <f ca="1">中信三级行业指数热度!E80</f>
        <v>-2.9533877904683647</v>
      </c>
      <c r="V7" s="14">
        <f ca="1">中信三级行业指数热度!E5</f>
        <v>10.902559496400798</v>
      </c>
      <c r="W7" s="14">
        <f ca="1">中信三级行业指数热度!E74</f>
        <v>1.7380062837390575</v>
      </c>
      <c r="X7" s="14">
        <f ca="1">中信三级行业指数热度!E23</f>
        <v>1.6050566947975797</v>
      </c>
      <c r="Y7" s="14">
        <f ca="1">中信三级行业指数热度!E35</f>
        <v>6.1844262851974419</v>
      </c>
      <c r="Z7" s="14">
        <f ca="1">中信三级行业指数热度!E71</f>
        <v>-1.004419888116137</v>
      </c>
      <c r="AA7" s="14">
        <f ca="1">中信三级行业指数热度!E88</f>
        <v>2.6233097050118781</v>
      </c>
      <c r="AB7" s="14">
        <f ca="1">中信三级行业指数热度!E4</f>
        <v>-0.93914612065028047</v>
      </c>
      <c r="AC7" s="14">
        <f ca="1">中信三级行业指数热度!E245</f>
        <v>0.85090170606112459</v>
      </c>
      <c r="AD7" s="14">
        <f ca="1">中信三级行业指数热度!E16</f>
        <v>6.7269617574265306</v>
      </c>
      <c r="AE7" s="14">
        <f ca="1">中信三级行业指数热度!E66</f>
        <v>-4.7827773009581183</v>
      </c>
      <c r="AG7">
        <f ca="1">IFERROR(中信三级行业指数热度!G7+ROW()*0.0000000001,-9999)</f>
        <v>-5.935278099633029E-2</v>
      </c>
    </row>
    <row r="8" spans="2:33" ht="34" customHeight="1" x14ac:dyDescent="0.25">
      <c r="B8" s="13" t="str">
        <f ca="1">中信三级行业指数热度!B184&amp;CHAR(10)&amp;TEXT(中信三级行业指数热度!E184,"0.0")&amp;"%"</f>
        <v>高等及职业教育指数
-5.4%</v>
      </c>
      <c r="C8" s="13" t="str">
        <f ca="1">中信三级行业指数热度!B99&amp;CHAR(10)&amp;TEXT(中信三级行业指数热度!E99,"0.0")&amp;"%"</f>
        <v>其他通用机械指数
-2.3%</v>
      </c>
      <c r="D8" s="13" t="str">
        <f ca="1">中信三级行业指数热度!B123&amp;CHAR(10)&amp;TEXT(中信三级行业指数热度!E123,"0.0")&amp;"%"</f>
        <v>照明电工指数
-2.4%</v>
      </c>
      <c r="E8" s="13" t="str">
        <f ca="1">中信三级行业指数热度!B142&amp;CHAR(10)&amp;TEXT(中信三级行业指数热度!E142,"0.0")&amp;"%"</f>
        <v>工业机器人及工控系统指数
-4.2%</v>
      </c>
      <c r="F8" s="13" t="str">
        <f ca="1">中信三级行业指数热度!B182&amp;CHAR(10)&amp;TEXT(中信三级行业指数热度!E182,"0.0")&amp;"%"</f>
        <v>动物疫苗及兽药指数
0.9%</v>
      </c>
      <c r="G8" s="13" t="str">
        <f ca="1">中信三级行业指数热度!B43&amp;CHAR(10)&amp;TEXT(中信三级行业指数热度!E43,"0.0")&amp;"%"</f>
        <v>其他化学制品Ⅲ指数
4.7%</v>
      </c>
      <c r="H8" s="13" t="str">
        <f ca="1">中信三级行业指数热度!B67&amp;CHAR(10)&amp;TEXT(中信三级行业指数热度!E67,"0.0")&amp;"%"</f>
        <v>网络规划设计和工程施工指数
-3.0%</v>
      </c>
      <c r="I8" s="13" t="str">
        <f ca="1">中信三级行业指数热度!B124&amp;CHAR(10)&amp;TEXT(中信三级行业指数热度!E124,"0.0")&amp;"%"</f>
        <v>复合肥指数
2.5%</v>
      </c>
      <c r="J8" s="13" t="str">
        <f ca="1">中信三级行业指数热度!B25&amp;CHAR(10)&amp;TEXT(中信三级行业指数热度!E25,"0.0")&amp;"%"</f>
        <v>电梯指数
-3.1%</v>
      </c>
      <c r="K8" s="13" t="str">
        <f ca="1">中信三级行业指数热度!B56&amp;CHAR(10)&amp;TEXT(中信三级行业指数热度!E56,"0.0")&amp;"%"</f>
        <v>风电指数
-3.9%</v>
      </c>
      <c r="L8" s="13" t="str">
        <f ca="1">中信三级行业指数热度!B60&amp;CHAR(10)&amp;TEXT(中信三级行业指数热度!E60,"0.0")&amp;"%"</f>
        <v>消费电子组件指数
2.2%</v>
      </c>
      <c r="M8" s="13" t="str">
        <f ca="1">中信三级行业指数热度!B253&amp;CHAR(10)&amp;TEXT(中信三级行业指数热度!E253,"0.0")&amp;"%"</f>
        <v>钨指数
3.9%</v>
      </c>
      <c r="N8" s="13" t="str">
        <f ca="1">中信三级行业指数热度!B140&amp;CHAR(10)&amp;TEXT(中信三级行业指数热度!E140,"0.0")&amp;"%"</f>
        <v>互联网广告营销指数
-6.0%</v>
      </c>
      <c r="O8" s="13" t="str">
        <f ca="1">中信三级行业指数热度!B205&amp;CHAR(10)&amp;TEXT(中信三级行业指数热度!E205,"0.0")&amp;"%"</f>
        <v>锂电池指数
1.9%</v>
      </c>
      <c r="R8" s="14">
        <f ca="1">中信三级行业指数热度!E184</f>
        <v>-5.3761573247224526</v>
      </c>
      <c r="S8" s="14">
        <f ca="1">中信三级行业指数热度!E99</f>
        <v>-2.2804069648783565</v>
      </c>
      <c r="T8" s="14">
        <f ca="1">中信三级行业指数热度!E123</f>
        <v>-2.4003137480277159</v>
      </c>
      <c r="U8" s="14">
        <f ca="1">中信三级行业指数热度!E142</f>
        <v>-4.2265309025462443</v>
      </c>
      <c r="V8" s="14">
        <f ca="1">中信三级行业指数热度!E182</f>
        <v>0.89582654501136894</v>
      </c>
      <c r="W8" s="14">
        <f ca="1">中信三级行业指数热度!E43</f>
        <v>4.6832542262721821</v>
      </c>
      <c r="X8" s="14">
        <f ca="1">中信三级行业指数热度!E67</f>
        <v>-2.96391225925422</v>
      </c>
      <c r="Y8" s="14">
        <f ca="1">中信三级行业指数热度!E124</f>
        <v>2.5221255804061871</v>
      </c>
      <c r="Z8" s="14">
        <f ca="1">中信三级行业指数热度!E25</f>
        <v>-3.0996064420018898</v>
      </c>
      <c r="AA8" s="14">
        <f ca="1">中信三级行业指数热度!E56</f>
        <v>-3.9423179874677916</v>
      </c>
      <c r="AB8" s="14">
        <f ca="1">中信三级行业指数热度!E60</f>
        <v>2.1752303271315387</v>
      </c>
      <c r="AC8" s="14">
        <f ca="1">中信三级行业指数热度!E253</f>
        <v>3.9172174591517672</v>
      </c>
      <c r="AD8" s="14">
        <f ca="1">中信三级行业指数热度!E140</f>
        <v>-6.0497266597967609</v>
      </c>
      <c r="AE8" s="14">
        <f ca="1">中信三级行业指数热度!E205</f>
        <v>1.8665406505805837</v>
      </c>
      <c r="AG8">
        <f ca="1">IFERROR(中信三级行业指数热度!G8+ROW()*0.0000000001,-9999)</f>
        <v>1.3538775027486274</v>
      </c>
    </row>
    <row r="9" spans="2:33" ht="34" customHeight="1" x14ac:dyDescent="0.25">
      <c r="B9" s="13" t="str">
        <f ca="1">中信三级行业指数热度!B150&amp;CHAR(10)&amp;TEXT(中信三级行业指数热度!E150,"0.0")&amp;"%"</f>
        <v>其他通信设备指数
-1.9%</v>
      </c>
      <c r="C9" s="13" t="str">
        <f ca="1">中信三级行业指数热度!B34&amp;CHAR(10)&amp;TEXT(中信三级行业指数热度!E34,"0.0")&amp;"%"</f>
        <v>客车指数
0.3%</v>
      </c>
      <c r="D9" s="13" t="str">
        <f ca="1">中信三级行业指数热度!B137&amp;CHAR(10)&amp;TEXT(中信三级行业指数热度!E137,"0.0")&amp;"%"</f>
        <v>其他石化指数
7.7%</v>
      </c>
      <c r="E9" s="13" t="str">
        <f ca="1">中信三级行业指数热度!B19&amp;CHAR(10)&amp;TEXT(中信三级行业指数热度!E19,"0.0")&amp;"%"</f>
        <v>钛白粉指数
9.5%</v>
      </c>
      <c r="F9" s="13" t="str">
        <f ca="1">中信三级行业指数热度!B165&amp;CHAR(10)&amp;TEXT(中信三级行业指数热度!E165,"0.0")&amp;"%"</f>
        <v>无机盐指数
9.5%</v>
      </c>
      <c r="G9" s="13" t="str">
        <f ca="1">中信三级行业指数热度!B82&amp;CHAR(10)&amp;TEXT(中信三级行业指数热度!E82,"0.0")&amp;"%"</f>
        <v>输变电设备指数
-1.0%</v>
      </c>
      <c r="H9" s="13" t="str">
        <f ca="1">中信三级行业指数热度!B69&amp;CHAR(10)&amp;TEXT(中信三级行业指数热度!E69,"0.0")&amp;"%"</f>
        <v>起重运输设备指数
-6.8%</v>
      </c>
      <c r="I9" s="13" t="str">
        <f ca="1">中信三级行业指数热度!B101&amp;CHAR(10)&amp;TEXT(中信三级行业指数热度!E101,"0.0")&amp;"%"</f>
        <v>食品及饲料添加剂指数
-4.6%</v>
      </c>
      <c r="J9" s="13" t="str">
        <f ca="1">中信三级行业指数热度!B28&amp;CHAR(10)&amp;TEXT(中信三级行业指数热度!E28,"0.0")&amp;"%"</f>
        <v>贸易流通指数
5.7%</v>
      </c>
      <c r="K9" s="13" t="str">
        <f ca="1">中信三级行业指数热度!B131&amp;CHAR(10)&amp;TEXT(中信三级行业指数热度!E131,"0.0")&amp;"%"</f>
        <v>基建建设指数
-3.2%</v>
      </c>
      <c r="L9" s="13" t="str">
        <f ca="1">中信三级行业指数热度!B37&amp;CHAR(10)&amp;TEXT(中信三级行业指数热度!E37,"0.0")&amp;"%"</f>
        <v>新兴计算机软件指数
-4.3%</v>
      </c>
      <c r="M9" s="13" t="str">
        <f ca="1">中信三级行业指数热度!B61&amp;CHAR(10)&amp;TEXT(中信三级行业指数热度!E61,"0.0")&amp;"%"</f>
        <v>印染指数
-2.3%</v>
      </c>
      <c r="N9" s="13" t="str">
        <f ca="1">中信三级行业指数热度!B57&amp;CHAR(10)&amp;TEXT(中信三级行业指数热度!E57,"0.0")&amp;"%"</f>
        <v>陶瓷指数
-6.1%</v>
      </c>
      <c r="O9" s="13" t="str">
        <f ca="1">中信三级行业指数热度!B166&amp;CHAR(10)&amp;TEXT(中信三级行业指数热度!E166,"0.0")&amp;"%"</f>
        <v>种业指数
-5.1%</v>
      </c>
      <c r="R9" s="14">
        <f ca="1">中信三级行业指数热度!E150</f>
        <v>-1.9073684659276169</v>
      </c>
      <c r="S9" s="14">
        <f ca="1">中信三级行业指数热度!E34</f>
        <v>0.34433545659575682</v>
      </c>
      <c r="T9" s="14">
        <f ca="1">中信三级行业指数热度!E137</f>
        <v>7.7417234064911078</v>
      </c>
      <c r="U9" s="14">
        <f ca="1">中信三级行业指数热度!E19</f>
        <v>9.5045086987806791</v>
      </c>
      <c r="V9" s="14">
        <f ca="1">中信三级行业指数热度!E165</f>
        <v>9.4669789145543692</v>
      </c>
      <c r="W9" s="14">
        <f ca="1">中信三级行业指数热度!E82</f>
        <v>-1.0471865637643019</v>
      </c>
      <c r="X9" s="14">
        <f ca="1">中信三级行业指数热度!E69</f>
        <v>-6.8028733637499066</v>
      </c>
      <c r="Y9" s="14">
        <f ca="1">中信三级行业指数热度!E101</f>
        <v>-4.5537994177127894</v>
      </c>
      <c r="Z9" s="14">
        <f ca="1">中信三级行业指数热度!E28</f>
        <v>5.742269511116338</v>
      </c>
      <c r="AA9" s="14">
        <f ca="1">中信三级行业指数热度!E131</f>
        <v>-3.2051889714206694</v>
      </c>
      <c r="AB9" s="14">
        <f ca="1">中信三级行业指数热度!E37</f>
        <v>-4.311538091569334</v>
      </c>
      <c r="AC9" s="14">
        <f ca="1">中信三级行业指数热度!E61</f>
        <v>-2.2880361607223398</v>
      </c>
      <c r="AD9" s="14">
        <f ca="1">中信三级行业指数热度!E57</f>
        <v>-6.0706540434689256</v>
      </c>
      <c r="AE9" s="14">
        <f ca="1">中信三级行业指数热度!E166</f>
        <v>-5.1153833319688697</v>
      </c>
      <c r="AG9">
        <f ca="1">IFERROR(中信三级行业指数热度!G9+ROW()*0.0000000001,-9999)</f>
        <v>0.4975420617483905</v>
      </c>
    </row>
    <row r="10" spans="2:33" ht="34" customHeight="1" x14ac:dyDescent="0.25">
      <c r="B10" s="13" t="str">
        <f ca="1">中信三级行业指数热度!B172&amp;CHAR(10)&amp;TEXT(中信三级行业指数热度!E172,"0.0")&amp;"%"</f>
        <v>氮肥指数
0.7%</v>
      </c>
      <c r="C10" s="13" t="str">
        <f ca="1">中信三级行业指数热度!B158&amp;CHAR(10)&amp;TEXT(中信三级行业指数热度!E158,"0.0")&amp;"%"</f>
        <v>汽车零部件Ⅲ指数
-5.3%</v>
      </c>
      <c r="D10" s="13" t="str">
        <f ca="1">中信三级行业指数热度!B87&amp;CHAR(10)&amp;TEXT(中信三级行业指数热度!E87,"0.0")&amp;"%"</f>
        <v>其他时尚品指数
-5.8%</v>
      </c>
      <c r="E10" s="13" t="str">
        <f ca="1">中信三级行业指数热度!B86&amp;CHAR(10)&amp;TEXT(中信三级行业指数热度!E86,"0.0")&amp;"%"</f>
        <v>动漫指数
-1.5%</v>
      </c>
      <c r="F10" s="13" t="str">
        <f ca="1">中信三级行业指数热度!B147&amp;CHAR(10)&amp;TEXT(中信三级行业指数热度!E147,"0.0")&amp;"%"</f>
        <v>涤纶指数
-2.0%</v>
      </c>
      <c r="G10" s="13" t="str">
        <f ca="1">中信三级行业指数热度!B145&amp;CHAR(10)&amp;TEXT(中信三级行业指数热度!E145,"0.0")&amp;"%"</f>
        <v>家具指数
-2.6%</v>
      </c>
      <c r="H10" s="13" t="str">
        <f ca="1">中信三级行业指数热度!B81&amp;CHAR(10)&amp;TEXT(中信三级行业指数热度!E81,"0.0")&amp;"%"</f>
        <v>其他家电指数
-3.9%</v>
      </c>
      <c r="I10" s="13" t="str">
        <f ca="1">中信三级行业指数热度!B63&amp;CHAR(10)&amp;TEXT(中信三级行业指数热度!E63,"0.0")&amp;"%"</f>
        <v>激光加工设备指数
10.2%</v>
      </c>
      <c r="J10" s="13" t="str">
        <f ca="1">中信三级行业指数热度!B116&amp;CHAR(10)&amp;TEXT(中信三级行业指数热度!E116,"0.0")&amp;"%"</f>
        <v>互联网影视音频指数
-3.9%</v>
      </c>
      <c r="K10" s="13" t="str">
        <f ca="1">中信三级行业指数热度!B45&amp;CHAR(10)&amp;TEXT(中信三级行业指数热度!E45,"0.0")&amp;"%"</f>
        <v>专用计算机设备指数
-3.9%</v>
      </c>
      <c r="L10" s="13" t="str">
        <f ca="1">中信三级行业指数热度!B237&amp;CHAR(10)&amp;TEXT(中信三级行业指数热度!E237,"0.0")&amp;"%"</f>
        <v>专业市场经营Ⅲ指数
-4.8%</v>
      </c>
      <c r="M10" s="13" t="str">
        <f ca="1">中信三级行业指数热度!B104&amp;CHAR(10)&amp;TEXT(中信三级行业指数热度!E104,"0.0")&amp;"%"</f>
        <v>信息搜索与聚合指数
-3.9%</v>
      </c>
      <c r="N10" s="13" t="str">
        <f ca="1">中信三级行业指数热度!B185&amp;CHAR(10)&amp;TEXT(中信三级行业指数热度!E185,"0.0")&amp;"%"</f>
        <v>黑色家电Ⅲ指数
-2.4%</v>
      </c>
      <c r="O10" s="13" t="str">
        <f ca="1">中信三级行业指数热度!B7&amp;CHAR(10)&amp;TEXT(中信三级行业指数热度!E7,"0.0")&amp;"%"</f>
        <v>卡车指数
-4.0%</v>
      </c>
      <c r="R10" s="14">
        <f ca="1">中信三级行业指数热度!E172</f>
        <v>0.72417155048254411</v>
      </c>
      <c r="S10" s="14">
        <f ca="1">中信三级行业指数热度!E158</f>
        <v>-5.3093390153590718</v>
      </c>
      <c r="T10" s="14">
        <f ca="1">中信三级行业指数热度!E87</f>
        <v>-5.7997538365030294</v>
      </c>
      <c r="U10" s="14">
        <f ca="1">中信三级行业指数热度!E86</f>
        <v>-1.5361117196017071</v>
      </c>
      <c r="V10" s="14">
        <f ca="1">中信三级行业指数热度!E147</f>
        <v>-2.049215610350974</v>
      </c>
      <c r="W10" s="14">
        <f ca="1">中信三级行业指数热度!E145</f>
        <v>-2.6004324697600389</v>
      </c>
      <c r="X10" s="14">
        <f ca="1">中信三级行业指数热度!E81</f>
        <v>-3.9366797760593153</v>
      </c>
      <c r="Y10" s="14">
        <f ca="1">中信三级行业指数热度!E63</f>
        <v>10.215832644014622</v>
      </c>
      <c r="Z10" s="14">
        <f ca="1">中信三级行业指数热度!E116</f>
        <v>-3.9141197086323132</v>
      </c>
      <c r="AA10" s="14">
        <f ca="1">中信三级行业指数热度!E45</f>
        <v>-3.8965396373913941</v>
      </c>
      <c r="AB10" s="14">
        <f ca="1">中信三级行业指数热度!E237</f>
        <v>-4.8107839910820012</v>
      </c>
      <c r="AC10" s="14">
        <f ca="1">中信三级行业指数热度!E104</f>
        <v>-3.8904647020250316</v>
      </c>
      <c r="AD10" s="14">
        <f ca="1">中信三级行业指数热度!E185</f>
        <v>-2.4318222155529035</v>
      </c>
      <c r="AE10" s="14">
        <f ca="1">中信三级行业指数热度!E7</f>
        <v>-4.0003811844349428</v>
      </c>
      <c r="AG10">
        <f ca="1">IFERROR(中信三级行业指数热度!G10+ROW()*0.0000000001,-9999)</f>
        <v>1.5383399538684506</v>
      </c>
    </row>
    <row r="11" spans="2:33" ht="34" customHeight="1" x14ac:dyDescent="0.25">
      <c r="B11" s="13" t="str">
        <f ca="1">中信三级行业指数热度!B84&amp;CHAR(10)&amp;TEXT(中信三级行业指数热度!E84,"0.0")&amp;"%"</f>
        <v>医疗器械指数
-1.6%</v>
      </c>
      <c r="C11" s="13" t="str">
        <f ca="1">中信三级行业指数热度!B225&amp;CHAR(10)&amp;TEXT(中信三级行业指数热度!E225,"0.0")&amp;"%"</f>
        <v>航空指数
3.0%</v>
      </c>
      <c r="D11" s="13" t="str">
        <f ca="1">中信三级行业指数热度!B15&amp;CHAR(10)&amp;TEXT(中信三级行业指数热度!E15,"0.0")&amp;"%"</f>
        <v>特钢指数
-1.9%</v>
      </c>
      <c r="E11" s="13" t="str">
        <f ca="1">中信三级行业指数热度!B128&amp;CHAR(10)&amp;TEXT(中信三级行业指数热度!E128,"0.0")&amp;"%"</f>
        <v>教育信息化及在线教育指数
-6.6%</v>
      </c>
      <c r="F11" s="13" t="str">
        <f ca="1">中信三级行业指数热度!B200&amp;CHAR(10)&amp;TEXT(中信三级行业指数热度!E200,"0.0")&amp;"%"</f>
        <v>水电指数
-2.3%</v>
      </c>
      <c r="G11" s="13" t="str">
        <f ca="1">中信三级行业指数热度!B141&amp;CHAR(10)&amp;TEXT(中信三级行业指数热度!E141,"0.0")&amp;"%"</f>
        <v>厨房电器Ⅲ指数
-2.3%</v>
      </c>
      <c r="H11" s="13" t="str">
        <f ca="1">中信三级行业指数热度!B251&amp;CHAR(10)&amp;TEXT(中信三级行业指数热度!E251,"0.0")&amp;"%"</f>
        <v>服务综合指数
-8.0%</v>
      </c>
      <c r="I11" s="13" t="str">
        <f ca="1">中信三级行业指数热度!B206&amp;CHAR(10)&amp;TEXT(中信三级行业指数热度!E206,"0.0")&amp;"%"</f>
        <v>百货指数
-4.0%</v>
      </c>
      <c r="J11" s="13" t="str">
        <f ca="1">中信三级行业指数热度!B215&amp;CHAR(10)&amp;TEXT(中信三级行业指数热度!E215,"0.0")&amp;"%"</f>
        <v>石油开采Ⅲ指数
-7.0%</v>
      </c>
      <c r="K11" s="13" t="str">
        <f ca="1">中信三级行业指数热度!B129&amp;CHAR(10)&amp;TEXT(中信三级行业指数热度!E129,"0.0")&amp;"%"</f>
        <v>线缆指数
15.7%</v>
      </c>
      <c r="L11" s="13" t="str">
        <f ca="1">中信三级行业指数热度!B252&amp;CHAR(10)&amp;TEXT(中信三级行业指数热度!E252,"0.0")&amp;"%"</f>
        <v>有机硅指数
-0.6%</v>
      </c>
      <c r="M11" s="13" t="str">
        <f ca="1">中信三级行业指数热度!B202&amp;CHAR(10)&amp;TEXT(中信三级行业指数热度!E202,"0.0")&amp;"%"</f>
        <v>休闲食品指数
-1.5%</v>
      </c>
      <c r="N11" s="13" t="str">
        <f ca="1">中信三级行业指数热度!B118&amp;CHAR(10)&amp;TEXT(中信三级行业指数热度!E118,"0.0")&amp;"%"</f>
        <v>其他纺织指数
0.0%</v>
      </c>
      <c r="O11" s="13" t="str">
        <f ca="1">中信三级行业指数热度!B207&amp;CHAR(10)&amp;TEXT(中信三级行业指数热度!E207,"0.0")&amp;"%"</f>
        <v>其他电子零组件Ⅲ指数
1.1%</v>
      </c>
      <c r="R11" s="14">
        <f ca="1">中信三级行业指数热度!E84</f>
        <v>-1.575135789672133</v>
      </c>
      <c r="S11" s="14">
        <f ca="1">中信三级行业指数热度!E225</f>
        <v>3.0282445303461802</v>
      </c>
      <c r="T11" s="14">
        <f ca="1">中信三级行业指数热度!E15</f>
        <v>-1.8536245949340002</v>
      </c>
      <c r="U11" s="14">
        <f ca="1">中信三级行业指数热度!E128</f>
        <v>-6.6274644413062855</v>
      </c>
      <c r="V11" s="14">
        <f ca="1">中信三级行业指数热度!E200</f>
        <v>-2.3319551488036994</v>
      </c>
      <c r="W11" s="14">
        <f ca="1">中信三级行业指数热度!E141</f>
        <v>-2.3229648492350985</v>
      </c>
      <c r="X11" s="14">
        <f ca="1">中信三级行业指数热度!E251</f>
        <v>-7.9524701865127394</v>
      </c>
      <c r="Y11" s="14">
        <f ca="1">中信三级行业指数热度!E206</f>
        <v>-3.9966181032215942</v>
      </c>
      <c r="Z11" s="14">
        <f ca="1">中信三级行业指数热度!E215</f>
        <v>-6.9647159102691596</v>
      </c>
      <c r="AA11" s="14">
        <f ca="1">中信三级行业指数热度!E129</f>
        <v>15.676660654318674</v>
      </c>
      <c r="AB11" s="14">
        <f ca="1">中信三级行业指数热度!E252</f>
        <v>-0.64215107898718538</v>
      </c>
      <c r="AC11" s="14">
        <f ca="1">中信三级行业指数热度!E202</f>
        <v>-1.5248490137311554</v>
      </c>
      <c r="AD11" s="14">
        <f ca="1">中信三级行业指数热度!E118</f>
        <v>4.7723482519423932E-2</v>
      </c>
      <c r="AE11" s="14">
        <f ca="1">中信三级行业指数热度!E207</f>
        <v>1.0998687132333984</v>
      </c>
      <c r="AG11">
        <f ca="1">IFERROR(中信三级行业指数热度!G11+ROW()*0.0000000001,-9999)</f>
        <v>1.1188515802104693</v>
      </c>
    </row>
    <row r="12" spans="2:33" ht="34" customHeight="1" x14ac:dyDescent="0.25">
      <c r="B12" s="13" t="str">
        <f ca="1">中信三级行业指数热度!B218&amp;CHAR(10)&amp;TEXT(中信三级行业指数热度!E218,"0.0")&amp;"%"</f>
        <v>超市及便利店指数
-2.9%</v>
      </c>
      <c r="C12" s="13" t="str">
        <f ca="1">中信三级行业指数热度!B198&amp;CHAR(10)&amp;TEXT(中信三级行业指数热度!E198,"0.0")&amp;"%"</f>
        <v>板材指数
-3.2%</v>
      </c>
      <c r="D12" s="13" t="str">
        <f ca="1">中信三级行业指数热度!B203&amp;CHAR(10)&amp;TEXT(中信三级行业指数热度!E203,"0.0")&amp;"%"</f>
        <v>其他军工Ⅲ指数
-3.2%</v>
      </c>
      <c r="E12" s="13" t="str">
        <f ca="1">中信三级行业指数热度!B155&amp;CHAR(10)&amp;TEXT(中信三级行业指数热度!E155,"0.0")&amp;"%"</f>
        <v>基础软件及管理办公软件指数
-7.2%</v>
      </c>
      <c r="F12" s="13" t="str">
        <f ca="1">中信三级行业指数热度!B125&amp;CHAR(10)&amp;TEXT(中信三级行业指数热度!E125,"0.0")&amp;"%"</f>
        <v>电力电子及自动化指数
-3.2%</v>
      </c>
      <c r="G12" s="13" t="str">
        <f ca="1">中信三级行业指数热度!B178&amp;CHAR(10)&amp;TEXT(中信三级行业指数热度!E178,"0.0")&amp;"%"</f>
        <v>印刷指数
-9.1%</v>
      </c>
      <c r="H12" s="13" t="str">
        <f ca="1">中信三级行业指数热度!B156&amp;CHAR(10)&amp;TEXT(中信三级行业指数热度!E156,"0.0")&amp;"%"</f>
        <v>乳制品指数
0.4%</v>
      </c>
      <c r="I12" s="13" t="str">
        <f ca="1">中信三级行业指数热度!B96&amp;CHAR(10)&amp;TEXT(中信三级行业指数热度!E96,"0.0")&amp;"%"</f>
        <v>其他结构材料指数
-3.3%</v>
      </c>
      <c r="J12" s="13" t="str">
        <f ca="1">中信三级行业指数热度!B186&amp;CHAR(10)&amp;TEXT(中信三级行业指数热度!E186,"0.0")&amp;"%"</f>
        <v>园林工程指数
-5.3%</v>
      </c>
      <c r="K12" s="13" t="str">
        <f ca="1">中信三级行业指数热度!B54&amp;CHAR(10)&amp;TEXT(中信三级行业指数热度!E54,"0.0")&amp;"%"</f>
        <v>中药饮片指数
-8.8%</v>
      </c>
      <c r="L12" s="13" t="str">
        <f ca="1">中信三级行业指数热度!B190&amp;CHAR(10)&amp;TEXT(中信三级行业指数热度!E190,"0.0")&amp;"%"</f>
        <v>珠宝首饰及钟表指数
-3.6%</v>
      </c>
      <c r="M12" s="13" t="str">
        <f ca="1">中信三级行业指数热度!B68&amp;CHAR(10)&amp;TEXT(中信三级行业指数热度!E68,"0.0")&amp;"%"</f>
        <v>油气装备指数
-1.9%</v>
      </c>
      <c r="N12" s="13" t="str">
        <f ca="1">中信三级行业指数热度!B126&amp;CHAR(10)&amp;TEXT(中信三级行业指数热度!E126,"0.0")&amp;"%"</f>
        <v>铝指数
-2.4%</v>
      </c>
      <c r="O12" s="13" t="str">
        <f ca="1">中信三级行业指数热度!B233&amp;CHAR(10)&amp;TEXT(中信三级行业指数热度!E233,"0.0")&amp;"%"</f>
        <v>全国性股份制银行Ⅲ指数
-2.2%</v>
      </c>
      <c r="R12" s="14">
        <f ca="1">中信三级行业指数热度!E218</f>
        <v>-2.9449684445304269</v>
      </c>
      <c r="S12" s="14">
        <f ca="1">中信三级行业指数热度!E198</f>
        <v>-3.192089506826401</v>
      </c>
      <c r="T12" s="14">
        <f ca="1">中信三级行业指数热度!E203</f>
        <v>-3.163628092087345</v>
      </c>
      <c r="U12" s="14">
        <f ca="1">中信三级行业指数热度!E155</f>
        <v>-7.2124035272406744</v>
      </c>
      <c r="V12" s="14">
        <f ca="1">中信三级行业指数热度!E125</f>
        <v>-3.2124473700144152</v>
      </c>
      <c r="W12" s="14">
        <f ca="1">中信三级行业指数热度!E178</f>
        <v>-9.0793173791091526</v>
      </c>
      <c r="X12" s="14">
        <f ca="1">中信三级行业指数热度!E156</f>
        <v>0.37709552531677293</v>
      </c>
      <c r="Y12" s="14">
        <f ca="1">中信三级行业指数热度!E96</f>
        <v>-3.3104680270745757</v>
      </c>
      <c r="Z12" s="14">
        <f ca="1">中信三级行业指数热度!E186</f>
        <v>-5.3413632995880871</v>
      </c>
      <c r="AA12" s="14">
        <f ca="1">中信三级行业指数热度!E54</f>
        <v>-8.8269992917816573</v>
      </c>
      <c r="AB12" s="14">
        <f ca="1">中信三级行业指数热度!E190</f>
        <v>-3.5500376930314714</v>
      </c>
      <c r="AC12" s="14">
        <f ca="1">中信三级行业指数热度!E68</f>
        <v>-1.8947477749863717</v>
      </c>
      <c r="AD12" s="14">
        <f ca="1">中信三级行业指数热度!E126</f>
        <v>-2.4044908826235778</v>
      </c>
      <c r="AE12" s="14">
        <f ca="1">中信三级行业指数热度!E233</f>
        <v>-2.2401414961757959</v>
      </c>
      <c r="AG12">
        <f ca="1">IFERROR(中信三级行业指数热度!G12+ROW()*0.0000000001,-9999)</f>
        <v>1.0921848795571665</v>
      </c>
    </row>
    <row r="13" spans="2:33" ht="34" customHeight="1" x14ac:dyDescent="0.25">
      <c r="B13" s="13" t="str">
        <f ca="1">中信三级行业指数热度!B38&amp;CHAR(10)&amp;TEXT(中信三级行业指数热度!E38,"0.0")&amp;"%"</f>
        <v>增值服务Ⅲ指数
-4.5%</v>
      </c>
      <c r="C13" s="13" t="str">
        <f ca="1">中信三级行业指数热度!B106&amp;CHAR(10)&amp;TEXT(中信三级行业指数热度!E106,"0.0")&amp;"%"</f>
        <v>影视指数
-1.9%</v>
      </c>
      <c r="D13" s="13" t="str">
        <f ca="1">中信三级行业指数热度!B29&amp;CHAR(10)&amp;TEXT(中信三级行业指数热度!E29,"0.0")&amp;"%"</f>
        <v>其他化学原料指数
7.0%</v>
      </c>
      <c r="E13" s="13" t="str">
        <f ca="1">中信三级行业指数热度!B192&amp;CHAR(10)&amp;TEXT(中信三级行业指数热度!E192,"0.0")&amp;"%"</f>
        <v>畜牧养殖指数
-3.9%</v>
      </c>
      <c r="F13" s="13" t="str">
        <f ca="1">中信三级行业指数热度!B113&amp;CHAR(10)&amp;TEXT(中信三级行业指数热度!E113,"0.0")&amp;"%"</f>
        <v>港口指数
-2.1%</v>
      </c>
      <c r="G13" s="13" t="str">
        <f ca="1">中信三级行业指数热度!B223&amp;CHAR(10)&amp;TEXT(中信三级行业指数热度!E223,"0.0")&amp;"%"</f>
        <v>乘用车Ⅲ指数
-6.1%</v>
      </c>
      <c r="H13" s="13" t="str">
        <f ca="1">中信三级行业指数热度!B256&amp;CHAR(10)&amp;TEXT(中信三级行业指数热度!E256,"0.0")&amp;"%"</f>
        <v>火电指数
-4.6%</v>
      </c>
      <c r="I13" s="13" t="str">
        <f ca="1">中信三级行业指数热度!B14&amp;CHAR(10)&amp;TEXT(中信三级行业指数热度!E14,"0.0")&amp;"%"</f>
        <v>化学原料药指数
4.6%</v>
      </c>
      <c r="J13" s="13" t="str">
        <f ca="1">中信三级行业指数热度!B110&amp;CHAR(10)&amp;TEXT(中信三级行业指数热度!E110,"0.0")&amp;"%"</f>
        <v>其他专用机械指数
0.0%</v>
      </c>
      <c r="K13" s="13" t="str">
        <f ca="1">中信三级行业指数热度!B64&amp;CHAR(10)&amp;TEXT(中信三级行业指数热度!E64,"0.0")&amp;"%"</f>
        <v>其他食品指数
1.1%</v>
      </c>
      <c r="L13" s="13" t="str">
        <f ca="1">中信三级行业指数热度!B238&amp;CHAR(10)&amp;TEXT(中信三级行业指数热度!E238,"0.0")&amp;"%"</f>
        <v>玻璃指数
-0.7%</v>
      </c>
      <c r="M13" s="13" t="str">
        <f ca="1">中信三级行业指数热度!B194&amp;CHAR(10)&amp;TEXT(中信三级行业指数热度!E194,"0.0")&amp;"%"</f>
        <v>氯碱指数
3.2%</v>
      </c>
      <c r="N13" s="13" t="str">
        <f ca="1">中信三级行业指数热度!B97&amp;CHAR(10)&amp;TEXT(中信三级行业指数热度!E97,"0.0")&amp;"%"</f>
        <v>物业经纪服务指数
-4.1%</v>
      </c>
      <c r="O13" s="13" t="str">
        <f ca="1">中信三级行业指数热度!B85&amp;CHAR(10)&amp;TEXT(中信三级行业指数热度!E85,"0.0")&amp;"%"</f>
        <v>磷肥及磷化工指数
13.0%</v>
      </c>
      <c r="R13" s="14">
        <f ca="1">中信三级行业指数热度!E38</f>
        <v>-4.4966796231088129</v>
      </c>
      <c r="S13" s="14">
        <f ca="1">中信三级行业指数热度!E106</f>
        <v>-1.8508264068132663</v>
      </c>
      <c r="T13" s="14">
        <f ca="1">中信三级行业指数热度!E29</f>
        <v>6.9635279687723317</v>
      </c>
      <c r="U13" s="14">
        <f ca="1">中信三级行业指数热度!E192</f>
        <v>-3.8910514631236071</v>
      </c>
      <c r="V13" s="14">
        <f ca="1">中信三级行业指数热度!E113</f>
        <v>-2.0921770272096296</v>
      </c>
      <c r="W13" s="14">
        <f ca="1">中信三级行业指数热度!E223</f>
        <v>-6.0856246839678496</v>
      </c>
      <c r="X13" s="14">
        <f ca="1">中信三级行业指数热度!E256</f>
        <v>-4.5993775970263773</v>
      </c>
      <c r="Y13" s="14">
        <f ca="1">中信三级行业指数热度!E14</f>
        <v>4.6023343105175973</v>
      </c>
      <c r="Z13" s="14">
        <f ca="1">中信三级行业指数热度!E110</f>
        <v>-3.2904719566007046E-2</v>
      </c>
      <c r="AA13" s="14">
        <f ca="1">中信三级行业指数热度!E64</f>
        <v>1.0843792244250583</v>
      </c>
      <c r="AB13" s="14">
        <f ca="1">中信三级行业指数热度!E238</f>
        <v>-0.74502543168626367</v>
      </c>
      <c r="AC13" s="14">
        <f ca="1">中信三级行业指数热度!E194</f>
        <v>3.232458694985163</v>
      </c>
      <c r="AD13" s="14">
        <f ca="1">中信三级行业指数热度!E97</f>
        <v>-4.1411661048288417</v>
      </c>
      <c r="AE13" s="14">
        <f ca="1">中信三级行业指数热度!E85</f>
        <v>13.043544863142987</v>
      </c>
      <c r="AG13">
        <f ca="1">IFERROR(中信三级行业指数热度!G13+ROW()*0.0000000001,-9999)</f>
        <v>1.4421281442464908</v>
      </c>
    </row>
    <row r="14" spans="2:33" ht="34" customHeight="1" x14ac:dyDescent="0.25">
      <c r="B14" s="13" t="str">
        <f ca="1">中信三级行业指数热度!B72&amp;CHAR(10)&amp;TEXT(中信三级行业指数热度!E72,"0.0")&amp;"%"</f>
        <v>其他家居指数
-2.5%</v>
      </c>
      <c r="C14" s="13" t="str">
        <f ca="1">中信三级行业指数热度!B257&amp;CHAR(10)&amp;TEXT(中信三级行业指数热度!E257,"0.0")&amp;"%"</f>
        <v>其他酒指数
-6.5%</v>
      </c>
      <c r="D14" s="13" t="str">
        <f ca="1">中信三级行业指数热度!B213&amp;CHAR(10)&amp;TEXT(中信三级行业指数热度!E213,"0.0")&amp;"%"</f>
        <v>金属制品Ⅲ指数
-7.0%</v>
      </c>
      <c r="E14" s="13" t="str">
        <f ca="1">中信三级行业指数热度!B78&amp;CHAR(10)&amp;TEXT(中信三级行业指数热度!E78,"0.0")&amp;"%"</f>
        <v>其他塑料制品指数
-1.9%</v>
      </c>
      <c r="F14" s="13" t="str">
        <f ca="1">中信三级行业指数热度!B89&amp;CHAR(10)&amp;TEXT(中信三级行业指数热度!E89,"0.0")&amp;"%"</f>
        <v>绵纶指数
1.8%</v>
      </c>
      <c r="G14" s="13" t="str">
        <f ca="1">中信三级行业指数热度!B167&amp;CHAR(10)&amp;TEXT(中信三级行业指数热度!E167,"0.0")&amp;"%"</f>
        <v>非住宅物业开发和运营指数
-1.5%</v>
      </c>
      <c r="H14" s="13" t="str">
        <f ca="1">中信三级行业指数热度!B93&amp;CHAR(10)&amp;TEXT(中信三级行业指数热度!E93,"0.0")&amp;"%"</f>
        <v>车用电机电控指数
-5.0%</v>
      </c>
      <c r="I14" s="13" t="str">
        <f ca="1">中信三级行业指数热度!B133&amp;CHAR(10)&amp;TEXT(中信三级行业指数热度!E133,"0.0")&amp;"%"</f>
        <v>物流综合指数
-1.6%</v>
      </c>
      <c r="J14" s="13" t="str">
        <f ca="1">中信三级行业指数热度!B50&amp;CHAR(10)&amp;TEXT(中信三级行业指数热度!E50,"0.0")&amp;"%"</f>
        <v>摩托车及其他Ⅲ指数
1.4%</v>
      </c>
      <c r="K14" s="13" t="str">
        <f ca="1">中信三级行业指数热度!B209&amp;CHAR(10)&amp;TEXT(中信三级行业指数热度!E209,"0.0")&amp;"%"</f>
        <v>其他连锁指数
-6.7%</v>
      </c>
      <c r="L14" s="13" t="str">
        <f ca="1">中信三级行业指数热度!B65&amp;CHAR(10)&amp;TEXT(中信三级行业指数热度!E65,"0.0")&amp;"%"</f>
        <v>纸包装指数
-0.1%</v>
      </c>
      <c r="M14" s="13" t="str">
        <f ca="1">中信三级行业指数热度!B195&amp;CHAR(10)&amp;TEXT(中信三级行业指数热度!E195,"0.0")&amp;"%"</f>
        <v>小家电Ⅲ指数
-6.2%</v>
      </c>
      <c r="N14" s="13" t="str">
        <f ca="1">中信三级行业指数热度!B222&amp;CHAR(10)&amp;TEXT(中信三级行业指数热度!E222,"0.0")&amp;"%"</f>
        <v>工程机械Ⅲ指数
-4.9%</v>
      </c>
      <c r="O14" s="13" t="str">
        <f ca="1">中信三级行业指数热度!B33&amp;CHAR(10)&amp;TEXT(中信三级行业指数热度!E33,"0.0")&amp;"%"</f>
        <v>化学制剂指数
3.3%</v>
      </c>
      <c r="R14" s="14">
        <f ca="1">中信三级行业指数热度!E72</f>
        <v>-2.5007458189760357</v>
      </c>
      <c r="S14" s="14">
        <f ca="1">中信三级行业指数热度!E257</f>
        <v>-6.5213846018557176</v>
      </c>
      <c r="T14" s="14">
        <f ca="1">中信三级行业指数热度!E213</f>
        <v>-6.9945084519594136</v>
      </c>
      <c r="U14" s="14">
        <f ca="1">中信三级行业指数热度!E78</f>
        <v>-1.8715973775345951</v>
      </c>
      <c r="V14" s="14">
        <f ca="1">中信三级行业指数热度!E89</f>
        <v>1.8055388959057783</v>
      </c>
      <c r="W14" s="14">
        <f ca="1">中信三级行业指数热度!E167</f>
        <v>-1.5240745868049466</v>
      </c>
      <c r="X14" s="14">
        <f ca="1">中信三级行业指数热度!E93</f>
        <v>-4.9640395140699738</v>
      </c>
      <c r="Y14" s="14">
        <f ca="1">中信三级行业指数热度!E133</f>
        <v>-1.6053780177560206</v>
      </c>
      <c r="Z14" s="14">
        <f ca="1">中信三级行业指数热度!E50</f>
        <v>1.4120548768061791</v>
      </c>
      <c r="AA14" s="14">
        <f ca="1">中信三级行业指数热度!E209</f>
        <v>-6.7355539486212308</v>
      </c>
      <c r="AB14" s="14">
        <f ca="1">中信三级行业指数热度!E65</f>
        <v>-8.581308302650914E-2</v>
      </c>
      <c r="AC14" s="14">
        <f ca="1">中信三级行业指数热度!E195</f>
        <v>-6.2436943429611258</v>
      </c>
      <c r="AD14" s="14">
        <f ca="1">中信三级行业指数热度!E222</f>
        <v>-4.8703733671800586</v>
      </c>
      <c r="AE14" s="14">
        <f ca="1">中信三级行业指数热度!E33</f>
        <v>3.2798065659863207</v>
      </c>
      <c r="AG14">
        <f ca="1">IFERROR(中信三级行业指数热度!G14+ROW()*0.0000000001,-9999)</f>
        <v>0.90345548893134497</v>
      </c>
    </row>
    <row r="15" spans="2:33" ht="34" customHeight="1" x14ac:dyDescent="0.25">
      <c r="B15" s="13" t="str">
        <f ca="1">中信三级行业指数热度!B120&amp;CHAR(10)&amp;TEXT(中信三级行业指数热度!E120,"0.0")&amp;"%"</f>
        <v>其他包装指数
0.5%</v>
      </c>
      <c r="C15" s="13" t="str">
        <f ca="1">中信三级行业指数热度!B39&amp;CHAR(10)&amp;TEXT(中信三级行业指数热度!E39,"0.0")&amp;"%"</f>
        <v>通信终端及配件指数
4.3%</v>
      </c>
      <c r="D15" s="13" t="str">
        <f ca="1">中信三级行业指数热度!B241&amp;CHAR(10)&amp;TEXT(中信三级行业指数热度!E241,"0.0")&amp;"%"</f>
        <v>保险Ⅲ指数
1.8%</v>
      </c>
      <c r="E15" s="13" t="str">
        <f ca="1">中信三级行业指数热度!B169&amp;CHAR(10)&amp;TEXT(中信三级行业指数热度!E169,"0.0")&amp;"%"</f>
        <v>人力资源服务指数
-3.4%</v>
      </c>
      <c r="F15" s="13" t="str">
        <f ca="1">中信三级行业指数热度!B115&amp;CHAR(10)&amp;TEXT(中信三级行业指数热度!E115,"0.0")&amp;"%"</f>
        <v>涂料油墨颜料指数
-0.8%</v>
      </c>
      <c r="G15" s="13" t="str">
        <f ca="1">中信三级行业指数热度!B180&amp;CHAR(10)&amp;TEXT(中信三级行业指数热度!E180,"0.0")&amp;"%"</f>
        <v>纯碱指数
-0.4%</v>
      </c>
      <c r="H15" s="13" t="str">
        <f ca="1">中信三级行业指数热度!B208&amp;CHAR(10)&amp;TEXT(中信三级行业指数热度!E208,"0.0")&amp;"%"</f>
        <v>宠物食品指数
-3.5%</v>
      </c>
      <c r="I15" s="13" t="str">
        <f ca="1">中信三级行业指数热度!B211&amp;CHAR(10)&amp;TEXT(中信三级行业指数热度!E211,"0.0")&amp;"%"</f>
        <v>农产品加工Ⅲ指数
-6.0%</v>
      </c>
      <c r="J15" s="13" t="str">
        <f ca="1">中信三级行业指数热度!B255&amp;CHAR(10)&amp;TEXT(中信三级行业指数热度!E255,"0.0")&amp;"%"</f>
        <v>黄金指数
-11.4%</v>
      </c>
      <c r="K15" s="13" t="str">
        <f ca="1">中信三级行业指数热度!B148&amp;CHAR(10)&amp;TEXT(中信三级行业指数热度!E148,"0.0")&amp;"%"</f>
        <v>系统设备指数
1.9%</v>
      </c>
      <c r="L15" s="13" t="str">
        <f ca="1">中信三级行业指数热度!B164&amp;CHAR(10)&amp;TEXT(中信三级行业指数热度!E164,"0.0")&amp;"%"</f>
        <v>改性塑料指数
-3.9%</v>
      </c>
      <c r="M15" s="13" t="str">
        <f ca="1">中信三级行业指数热度!B55&amp;CHAR(10)&amp;TEXT(中信三级行业指数热度!E55,"0.0")&amp;"%"</f>
        <v>其他非银金融指数
2.4%</v>
      </c>
      <c r="N15" s="13" t="str">
        <f ca="1">中信三级行业指数热度!B111&amp;CHAR(10)&amp;TEXT(中信三级行业指数热度!E111,"0.0")&amp;"%"</f>
        <v>基础件指数
-4.6%</v>
      </c>
      <c r="O15" s="13" t="str">
        <f ca="1">中信三级行业指数热度!B44&amp;CHAR(10)&amp;TEXT(中信三级行业指数热度!E44,"0.0")&amp;"%"</f>
        <v>多领域控股Ⅲ指数
0.1%</v>
      </c>
      <c r="R15" s="14">
        <f ca="1">中信三级行业指数热度!E120</f>
        <v>0.48185541448053648</v>
      </c>
      <c r="S15" s="14">
        <f ca="1">中信三级行业指数热度!E39</f>
        <v>4.2681038822520723</v>
      </c>
      <c r="T15" s="14">
        <f ca="1">中信三级行业指数热度!E241</f>
        <v>1.8232594212138187</v>
      </c>
      <c r="U15" s="14">
        <f ca="1">中信三级行业指数热度!E169</f>
        <v>-3.4183567564212591</v>
      </c>
      <c r="V15" s="14">
        <f ca="1">中信三级行业指数热度!E115</f>
        <v>-0.80681618891580431</v>
      </c>
      <c r="W15" s="14">
        <f ca="1">中信三级行业指数热度!E180</f>
        <v>-0.42091993247707071</v>
      </c>
      <c r="X15" s="14">
        <f ca="1">中信三级行业指数热度!E208</f>
        <v>-3.5365171055327438</v>
      </c>
      <c r="Y15" s="14">
        <f ca="1">中信三级行业指数热度!E211</f>
        <v>-6.0062537321935778</v>
      </c>
      <c r="Z15" s="14">
        <f ca="1">中信三级行业指数热度!E255</f>
        <v>-11.447702930479696</v>
      </c>
      <c r="AA15" s="14">
        <f ca="1">中信三级行业指数热度!E148</f>
        <v>1.9445068903940488</v>
      </c>
      <c r="AB15" s="14">
        <f ca="1">中信三级行业指数热度!E164</f>
        <v>-3.9264121754400638</v>
      </c>
      <c r="AC15" s="14">
        <f ca="1">中信三级行业指数热度!E55</f>
        <v>2.4142642741753706</v>
      </c>
      <c r="AD15" s="14">
        <f ca="1">中信三级行业指数热度!E111</f>
        <v>-4.5566997077920117</v>
      </c>
      <c r="AE15" s="14">
        <f ca="1">中信三级行业指数热度!E44</f>
        <v>0.13312360716715155</v>
      </c>
      <c r="AG15">
        <f ca="1">IFERROR(中信三级行业指数热度!G15+ROW()*0.0000000001,-9999)</f>
        <v>-0.20884913019266216</v>
      </c>
    </row>
    <row r="16" spans="2:33" ht="34" customHeight="1" x14ac:dyDescent="0.25">
      <c r="B16" s="13" t="str">
        <f ca="1">中信三级行业指数热度!B130&amp;CHAR(10)&amp;TEXT(中信三级行业指数热度!E130,"0.0")&amp;"%"</f>
        <v>电池综合服务指数
-3.1%</v>
      </c>
      <c r="C16" s="13" t="str">
        <f ca="1">中信三级行业指数热度!B95&amp;CHAR(10)&amp;TEXT(中信三级行业指数热度!E95,"0.0")&amp;"%"</f>
        <v>玻璃纤维指数
23.2%</v>
      </c>
      <c r="D16" s="13" t="str">
        <f ca="1">中信三级行业指数热度!B174&amp;CHAR(10)&amp;TEXT(中信三级行业指数热度!E174,"0.0")&amp;"%"</f>
        <v>体育及户外品牌指数
19.2%</v>
      </c>
      <c r="E16" s="13" t="str">
        <f ca="1">中信三级行业指数热度!B105&amp;CHAR(10)&amp;TEXT(中信三级行业指数热度!E105,"0.0")&amp;"%"</f>
        <v>服务机器人指数
-2.0%</v>
      </c>
      <c r="F16" s="13" t="str">
        <f ca="1">中信三级行业指数热度!B132&amp;CHAR(10)&amp;TEXT(中信三级行业指数热度!E132,"0.0")&amp;"%"</f>
        <v>餐饮指数
-3.0%</v>
      </c>
      <c r="G16" s="13" t="str">
        <f ca="1">中信三级行业指数热度!B100&amp;CHAR(10)&amp;TEXT(中信三级行业指数热度!E100,"0.0")&amp;"%"</f>
        <v>医药流通指数
-2.1%</v>
      </c>
      <c r="H16" s="13" t="str">
        <f ca="1">中信三级行业指数热度!B249&amp;CHAR(10)&amp;TEXT(中信三级行业指数热度!E249,"0.0")&amp;"%"</f>
        <v>家电3C指数
-7.8%</v>
      </c>
      <c r="I16" s="13" t="str">
        <f ca="1">中信三级行业指数热度!B153&amp;CHAR(10)&amp;TEXT(中信三级行业指数热度!E153,"0.0")&amp;"%"</f>
        <v>太阳能指数
-0.9%</v>
      </c>
      <c r="J16" s="13" t="str">
        <f ca="1">中信三级行业指数热度!B193&amp;CHAR(10)&amp;TEXT(中信三级行业指数热度!E193,"0.0")&amp;"%"</f>
        <v>配电设备指数
-4.4%</v>
      </c>
      <c r="K16" s="13" t="str">
        <f ca="1">中信三级行业指数热度!B175&amp;CHAR(10)&amp;TEXT(中信三级行业指数热度!E175,"0.0")&amp;"%"</f>
        <v>水泥指数
-1.3%</v>
      </c>
      <c r="L16" s="13" t="str">
        <f ca="1">中信三级行业指数热度!B187&amp;CHAR(10)&amp;TEXT(中信三级行业指数热度!E187,"0.0")&amp;"%"</f>
        <v>景区指数
-3.3%</v>
      </c>
      <c r="M16" s="13" t="str">
        <f ca="1">中信三级行业指数热度!B30&amp;CHAR(10)&amp;TEXT(中信三级行业指数热度!E30,"0.0")&amp;"%"</f>
        <v>网络覆盖优化与运维指数
-2.8%</v>
      </c>
      <c r="N16" s="13" t="str">
        <f ca="1">中信三级行业指数热度!B70&amp;CHAR(10)&amp;TEXT(中信三级行业指数热度!E70,"0.0")&amp;"%"</f>
        <v>汽车销售及服务Ⅲ指数
-2.3%</v>
      </c>
      <c r="O16" s="13" t="str">
        <f ca="1">中信三级行业指数热度!B161&amp;CHAR(10)&amp;TEXT(中信三级行业指数热度!E161,"0.0")&amp;"%"</f>
        <v>船舶制造指数
-2.6%</v>
      </c>
      <c r="R16" s="14">
        <f ca="1">中信三级行业指数热度!E130</f>
        <v>-3.0787083206612609</v>
      </c>
      <c r="S16" s="14">
        <f ca="1">中信三级行业指数热度!E95</f>
        <v>23.19845414655348</v>
      </c>
      <c r="T16" s="14">
        <f ca="1">中信三级行业指数热度!E174</f>
        <v>19.238437094521508</v>
      </c>
      <c r="U16" s="14">
        <f ca="1">中信三级行业指数热度!E105</f>
        <v>-2.0360907897205016</v>
      </c>
      <c r="V16" s="14">
        <f ca="1">中信三级行业指数热度!E132</f>
        <v>-2.9720067771834224</v>
      </c>
      <c r="W16" s="14">
        <f ca="1">中信三级行业指数热度!E100</f>
        <v>-2.1185568565039836</v>
      </c>
      <c r="X16" s="14">
        <f ca="1">中信三级行业指数热度!E249</f>
        <v>-7.7515031409093993</v>
      </c>
      <c r="Y16" s="14">
        <f ca="1">中信三级行业指数热度!E153</f>
        <v>-0.90229482858080745</v>
      </c>
      <c r="Z16" s="14">
        <f ca="1">中信三级行业指数热度!E193</f>
        <v>-4.3823398765368111</v>
      </c>
      <c r="AA16" s="14">
        <f ca="1">中信三级行业指数热度!E175</f>
        <v>-1.3169824305572342</v>
      </c>
      <c r="AB16" s="14">
        <f ca="1">中信三级行业指数热度!E187</f>
        <v>-3.2632248255920149</v>
      </c>
      <c r="AC16" s="14">
        <f ca="1">中信三级行业指数热度!E30</f>
        <v>-2.8461825174952438</v>
      </c>
      <c r="AD16" s="14">
        <f ca="1">中信三级行业指数热度!E70</f>
        <v>-2.3057968925582428</v>
      </c>
      <c r="AE16" s="14">
        <f ca="1">中信三级行业指数热度!E161</f>
        <v>-2.5982194078458365</v>
      </c>
      <c r="AG16">
        <f ca="1">IFERROR(中信三级行业指数热度!G16+ROW()*0.0000000001,-9999)</f>
        <v>0.82467337583953626</v>
      </c>
    </row>
    <row r="17" spans="2:33" ht="34" customHeight="1" x14ac:dyDescent="0.25">
      <c r="B17" s="13" t="str">
        <f ca="1">中信三级行业指数热度!B143&amp;CHAR(10)&amp;TEXT(中信三级行业指数热度!E143,"0.0")&amp;"%"</f>
        <v>肉制品指数
3.9%</v>
      </c>
      <c r="C17" s="13" t="str">
        <f ca="1">中信三级行业指数热度!B258&amp;CHAR(10)&amp;TEXT(中信三级行业指数热度!E258,"0.0")&amp;"%"</f>
        <v>锂电设备指数
-6.4%</v>
      </c>
      <c r="D17" s="13" t="str">
        <f ca="1">中信三级行业指数热度!B197&amp;CHAR(10)&amp;TEXT(中信三级行业指数热度!E197,"0.0")&amp;"%"</f>
        <v>安防指数
1.5%</v>
      </c>
      <c r="E17" s="13" t="str">
        <f ca="1">中信三级行业指数热度!B135&amp;CHAR(10)&amp;TEXT(中信三级行业指数热度!E135,"0.0")&amp;"%"</f>
        <v>铁路交通设备指数
-3.1%</v>
      </c>
      <c r="F17" s="13" t="str">
        <f ca="1">中信三级行业指数热度!B36&amp;CHAR(10)&amp;TEXT(中信三级行业指数热度!E36,"0.0")&amp;"%"</f>
        <v>通用计算机设备指数
5.0%</v>
      </c>
      <c r="G17" s="13" t="str">
        <f ca="1">中信三级行业指数热度!B112&amp;CHAR(10)&amp;TEXT(中信三级行业指数热度!E112,"0.0")&amp;"%"</f>
        <v>塑料加工机械指数
-4.1%</v>
      </c>
      <c r="H17" s="13" t="str">
        <f ca="1">中信三级行业指数热度!B232&amp;CHAR(10)&amp;TEXT(中信三级行业指数热度!E232,"0.0")&amp;"%"</f>
        <v>油田服务指数
-3.8%</v>
      </c>
      <c r="I17" s="13" t="str">
        <f ca="1">中信三级行业指数热度!B219&amp;CHAR(10)&amp;TEXT(中信三级行业指数热度!E219,"0.0")&amp;"%"</f>
        <v>城商行指数
-1.4%</v>
      </c>
      <c r="J17" s="13" t="str">
        <f ca="1">中信三级行业指数热度!B159&amp;CHAR(10)&amp;TEXT(中信三级行业指数热度!E159,"0.0")&amp;"%"</f>
        <v>航天军工指数
-3.8%</v>
      </c>
      <c r="K17" s="13" t="str">
        <f ca="1">中信三级行业指数热度!B134&amp;CHAR(10)&amp;TEXT(中信三级行业指数热度!E134,"0.0")&amp;"%"</f>
        <v>航空军工指数
-3.4%</v>
      </c>
      <c r="L17" s="13" t="str">
        <f ca="1">中信三级行业指数热度!B199&amp;CHAR(10)&amp;TEXT(中信三级行业指数热度!E199,"0.0")&amp;"%"</f>
        <v>休闲综合指数
-4.2%</v>
      </c>
      <c r="M17" s="13" t="str">
        <f ca="1">中信三级行业指数热度!B188&amp;CHAR(10)&amp;TEXT(中信三级行业指数热度!E188,"0.0")&amp;"%"</f>
        <v>农商行指数
-1.5%</v>
      </c>
      <c r="N17" s="13" t="str">
        <f ca="1">中信三级行业指数热度!B217&amp;CHAR(10)&amp;TEXT(中信三级行业指数热度!E217,"0.0")&amp;"%"</f>
        <v>房建建设指数
-4.1%</v>
      </c>
      <c r="O17" s="13" t="str">
        <f ca="1">中信三级行业指数热度!B83&amp;CHAR(10)&amp;TEXT(中信三级行业指数热度!E83,"0.0")&amp;"%"</f>
        <v>环保及水务指数
-1.0%</v>
      </c>
      <c r="R17" s="14">
        <f ca="1">中信三级行业指数热度!E143</f>
        <v>3.936836508938435</v>
      </c>
      <c r="S17" s="14">
        <f ca="1">中信三级行业指数热度!E258</f>
        <v>-6.4372903464865683</v>
      </c>
      <c r="T17" s="14">
        <f ca="1">中信三级行业指数热度!E197</f>
        <v>1.4525423845957341</v>
      </c>
      <c r="U17" s="14">
        <f ca="1">中信三级行业指数热度!E135</f>
        <v>-3.1370845700006811</v>
      </c>
      <c r="V17" s="14">
        <f ca="1">中信三级行业指数热度!E36</f>
        <v>5.0357420841134592</v>
      </c>
      <c r="W17" s="14">
        <f ca="1">中信三级行业指数热度!E112</f>
        <v>-4.0763877507858037</v>
      </c>
      <c r="X17" s="14">
        <f ca="1">中信三级行业指数热度!E232</f>
        <v>-3.795560612061033</v>
      </c>
      <c r="Y17" s="14">
        <f ca="1">中信三级行业指数热度!E219</f>
        <v>-1.394454161499814</v>
      </c>
      <c r="Z17" s="14">
        <f ca="1">中信三级行业指数热度!E159</f>
        <v>-3.7732549600425491</v>
      </c>
      <c r="AA17" s="14">
        <f ca="1">中信三级行业指数热度!E134</f>
        <v>-3.4467939103714484</v>
      </c>
      <c r="AB17" s="14">
        <f ca="1">中信三级行业指数热度!E199</f>
        <v>-4.2416758314546605</v>
      </c>
      <c r="AC17" s="14">
        <f ca="1">中信三级行业指数热度!E188</f>
        <v>-1.450328199115769</v>
      </c>
      <c r="AD17" s="14">
        <f ca="1">中信三级行业指数热度!E217</f>
        <v>-4.139451158707141</v>
      </c>
      <c r="AE17" s="14">
        <f ca="1">中信三级行业指数热度!E83</f>
        <v>-0.97761710723499595</v>
      </c>
      <c r="AG17">
        <f ca="1">IFERROR(中信三级行业指数热度!G17+ROW()*0.0000000001,-9999)</f>
        <v>0.56285423469989482</v>
      </c>
    </row>
    <row r="18" spans="2:33" ht="34" customHeight="1" x14ac:dyDescent="0.25">
      <c r="B18" s="13" t="str">
        <f ca="1">中信三级行业指数热度!B160&amp;CHAR(10)&amp;TEXT(中信三级行业指数热度!E160,"0.0")&amp;"%"</f>
        <v>林木及加工指数
-5.9%</v>
      </c>
      <c r="C18" s="13" t="str">
        <f ca="1">中信三级行业指数热度!B163&amp;CHAR(10)&amp;TEXT(中信三级行业指数热度!E163,"0.0")&amp;"%"</f>
        <v>矿山冶金机械指数
-4.6%</v>
      </c>
      <c r="D18" s="13" t="str">
        <f ca="1">中信三级行业指数热度!B239&amp;CHAR(10)&amp;TEXT(中信三级行业指数热度!E239,"0.0")&amp;"%"</f>
        <v>氟化工指数
10.7%</v>
      </c>
      <c r="E18" s="13" t="str">
        <f ca="1">中信三级行业指数热度!B73&amp;CHAR(10)&amp;TEXT(中信三级行业指数热度!E73,"0.0")&amp;"%"</f>
        <v>燃气指数
-4.0%</v>
      </c>
      <c r="F18" s="13" t="str">
        <f ca="1">中信三级行业指数热度!B41&amp;CHAR(10)&amp;TEXT(中信三级行业指数热度!E41,"0.0")&amp;"%"</f>
        <v>饲料加工指数
2.1%</v>
      </c>
      <c r="G18" s="13" t="str">
        <f ca="1">中信三级行业指数热度!B171&amp;CHAR(10)&amp;TEXT(中信三级行业指数热度!E171,"0.0")&amp;"%"</f>
        <v>其他稀有金属指数
9.3%</v>
      </c>
      <c r="H18" s="13" t="str">
        <f ca="1">中信三级行业指数热度!B177&amp;CHAR(10)&amp;TEXT(中信三级行业指数热度!E177,"0.0")&amp;"%"</f>
        <v>铁路指数
-1.7%</v>
      </c>
      <c r="I18" s="13" t="str">
        <f ca="1">中信三级行业指数热度!B26&amp;CHAR(10)&amp;TEXT(中信三级行业指数热度!E26,"0.0")&amp;"%"</f>
        <v>公交指数
-5.9%</v>
      </c>
      <c r="J18" s="13" t="str">
        <f ca="1">中信三级行业指数热度!B224&amp;CHAR(10)&amp;TEXT(中信三级行业指数热度!E224,"0.0")&amp;"%"</f>
        <v>旅游服务指数
-4.1%</v>
      </c>
      <c r="K18" s="13" t="str">
        <f ca="1">中信三级行业指数热度!B220&amp;CHAR(10)&amp;TEXT(中信三级行业指数热度!E220,"0.0")&amp;"%"</f>
        <v>炼油指数
-3.1%</v>
      </c>
      <c r="L18" s="13" t="str">
        <f ca="1">中信三级行业指数热度!B154&amp;CHAR(10)&amp;TEXT(中信三级行业指数热度!E154,"0.0")&amp;"%"</f>
        <v>园区综合开发指数
-4.1%</v>
      </c>
      <c r="M18" s="13" t="str">
        <f ca="1">中信三级行业指数热度!B228&amp;CHAR(10)&amp;TEXT(中信三级行业指数热度!E228,"0.0")&amp;"%"</f>
        <v>动力煤指数
-3.3%</v>
      </c>
      <c r="N18" s="13" t="str">
        <f ca="1">中信三级行业指数热度!B227&amp;CHAR(10)&amp;TEXT(中信三级行业指数热度!E227,"0.0")&amp;"%"</f>
        <v>光伏设备指数
0.5%</v>
      </c>
      <c r="O18" s="13" t="str">
        <f ca="1">中信三级行业指数热度!B109&amp;CHAR(10)&amp;TEXT(中信三级行业指数热度!E109,"0.0")&amp;"%"</f>
        <v>建筑设计及服务Ⅲ指数
-3.1%</v>
      </c>
      <c r="R18" s="14">
        <f ca="1">中信三级行业指数热度!E160</f>
        <v>-5.9133491363699715</v>
      </c>
      <c r="S18" s="14">
        <f ca="1">中信三级行业指数热度!E163</f>
        <v>-4.5767157747965808</v>
      </c>
      <c r="T18" s="14">
        <f ca="1">中信三级行业指数热度!E239</f>
        <v>10.65534709461302</v>
      </c>
      <c r="U18" s="14">
        <f ca="1">中信三级行业指数热度!E73</f>
        <v>-4.0426161909264513</v>
      </c>
      <c r="V18" s="14">
        <f ca="1">中信三级行业指数热度!E41</f>
        <v>2.1297963975481116</v>
      </c>
      <c r="W18" s="14">
        <f ca="1">中信三级行业指数热度!E171</f>
        <v>9.3400709016908223</v>
      </c>
      <c r="X18" s="14">
        <f ca="1">中信三级行业指数热度!E177</f>
        <v>-1.6660781651168355</v>
      </c>
      <c r="Y18" s="14">
        <f ca="1">中信三级行业指数热度!E26</f>
        <v>-5.9225529922806714</v>
      </c>
      <c r="Z18" s="14">
        <f ca="1">中信三级行业指数热度!E224</f>
        <v>-4.105573232196436</v>
      </c>
      <c r="AA18" s="14">
        <f ca="1">中信三级行业指数热度!E220</f>
        <v>-3.1366921990874652</v>
      </c>
      <c r="AB18" s="14">
        <f ca="1">中信三级行业指数热度!E154</f>
        <v>-4.095025252946261</v>
      </c>
      <c r="AC18" s="14">
        <f ca="1">中信三级行业指数热度!E228</f>
        <v>-3.2567953777302261</v>
      </c>
      <c r="AD18" s="14">
        <f ca="1">中信三级行业指数热度!E227</f>
        <v>0.45400683558891597</v>
      </c>
      <c r="AE18" s="14">
        <f ca="1">中信三级行业指数热度!E109</f>
        <v>-3.0802052098264254</v>
      </c>
      <c r="AG18">
        <f ca="1">IFERROR(中信三级行业指数热度!G18+ROW()*0.0000000001,-9999)</f>
        <v>1.2790468846016632</v>
      </c>
    </row>
    <row r="19" spans="2:33" ht="34" customHeight="1" x14ac:dyDescent="0.25">
      <c r="B19" s="13" t="str">
        <f ca="1">中信三级行业指数热度!B13&amp;CHAR(10)&amp;TEXT(中信三级行业指数热度!E13,"0.0")&amp;"%"</f>
        <v>印染化学品指数
9.6%</v>
      </c>
      <c r="C19" s="13" t="str">
        <f ca="1">中信三级行业指数热度!B191&amp;CHAR(10)&amp;TEXT(中信三级行业指数热度!E191,"0.0")&amp;"%"</f>
        <v>国有大型银行Ⅲ指数
-0.7%</v>
      </c>
      <c r="D19" s="13" t="str">
        <f ca="1">中信三级行业指数热度!B92&amp;CHAR(10)&amp;TEXT(中信三级行业指数热度!E92,"0.0")&amp;"%"</f>
        <v>铅锌指数
1.6%</v>
      </c>
      <c r="E19" s="13" t="str">
        <f ca="1">中信三级行业指数热度!B242&amp;CHAR(10)&amp;TEXT(中信三级行业指数热度!E242,"0.0")&amp;"%"</f>
        <v>纺织服装机械指数
-5.9%</v>
      </c>
      <c r="F19" s="13" t="str">
        <f ca="1">中信三级行业指数热度!B168&amp;CHAR(10)&amp;TEXT(中信三级行业指数热度!E168,"0.0")&amp;"%"</f>
        <v>长材指数
-3.6%</v>
      </c>
      <c r="G19" s="13" t="str">
        <f ca="1">中信三级行业指数热度!B234&amp;CHAR(10)&amp;TEXT(中信三级行业指数热度!E234,"0.0")&amp;"%"</f>
        <v>电信运营Ⅲ指数
-4.6%</v>
      </c>
      <c r="H19" s="13" t="str">
        <f ca="1">中信三级行业指数热度!B254&amp;CHAR(10)&amp;TEXT(中信三级行业指数热度!E254,"0.0")&amp;"%"</f>
        <v>膜材料指数
2.8%</v>
      </c>
      <c r="I19" s="13" t="str">
        <f ca="1">中信三级行业指数热度!B229&amp;CHAR(10)&amp;TEXT(中信三级行业指数热度!E229,"0.0")&amp;"%"</f>
        <v>钾肥指数
-0.9%</v>
      </c>
      <c r="J19" s="13" t="str">
        <f ca="1">中信三级行业指数热度!B76&amp;CHAR(10)&amp;TEXT(中信三级行业指数热度!E76,"0.0")&amp;"%"</f>
        <v>钢铁耗材指数
6.4%</v>
      </c>
      <c r="K19" s="13" t="str">
        <f ca="1">中信三级行业指数热度!B262&amp;CHAR(10)&amp;TEXT(中信三级行业指数热度!E262,"0.0")&amp;"%"</f>
        <v>被动元件指数
4.0%</v>
      </c>
      <c r="L19" s="13" t="str">
        <f ca="1">中信三级行业指数热度!B102&amp;CHAR(10)&amp;TEXT(中信三级行业指数热度!E102,"0.0")&amp;"%"</f>
        <v>其他轻工Ⅲ指数
1.0%</v>
      </c>
      <c r="M19" s="13" t="str">
        <f ca="1">中信三级行业指数热度!B149&amp;CHAR(10)&amp;TEXT(中信三级行业指数热度!E149,"0.0")&amp;"%"</f>
        <v>3C设备指数
8.2%</v>
      </c>
      <c r="N19" s="13" t="str">
        <f ca="1">中信三级行业指数热度!B236&amp;CHAR(10)&amp;TEXT(中信三级行业指数热度!E236,"0.0")&amp;"%"</f>
        <v>文娱轻工Ⅲ指数
-2.5%</v>
      </c>
      <c r="O19" s="13" t="str">
        <f ca="1">中信三级行业指数热度!B204&amp;CHAR(10)&amp;TEXT(中信三级行业指数热度!E204,"0.0")&amp;"%"</f>
        <v>白酒指数
-0.7%</v>
      </c>
      <c r="R19" s="14">
        <f ca="1">中信三级行业指数热度!E13</f>
        <v>9.5575775267515937</v>
      </c>
      <c r="S19" s="14">
        <f ca="1">中信三级行业指数热度!E191</f>
        <v>-0.66821902952175494</v>
      </c>
      <c r="T19" s="14">
        <f ca="1">中信三级行业指数热度!E92</f>
        <v>1.6329874405801137</v>
      </c>
      <c r="U19" s="14">
        <f ca="1">中信三级行业指数热度!E242</f>
        <v>-5.8533688245771991</v>
      </c>
      <c r="V19" s="14">
        <f ca="1">中信三级行业指数热度!E168</f>
        <v>-3.6369307401583617</v>
      </c>
      <c r="W19" s="14">
        <f ca="1">中信三级行业指数热度!E234</f>
        <v>-4.6007582008962933</v>
      </c>
      <c r="X19" s="14">
        <f ca="1">中信三级行业指数热度!E254</f>
        <v>2.8281898451343324</v>
      </c>
      <c r="Y19" s="14">
        <f ca="1">中信三级行业指数热度!E229</f>
        <v>-0.90432899046584136</v>
      </c>
      <c r="Z19" s="14">
        <f ca="1">中信三级行业指数热度!E76</f>
        <v>6.4347355951750673</v>
      </c>
      <c r="AA19" s="14">
        <f ca="1">中信三级行业指数热度!E262</f>
        <v>4.0355351703966535</v>
      </c>
      <c r="AB19" s="14">
        <f ca="1">中信三级行业指数热度!E102</f>
        <v>0.96269826797077407</v>
      </c>
      <c r="AC19" s="14">
        <f ca="1">中信三级行业指数热度!E149</f>
        <v>8.1546193802921394</v>
      </c>
      <c r="AD19" s="14">
        <f ca="1">中信三级行业指数热度!E236</f>
        <v>-2.5075074420652044</v>
      </c>
      <c r="AE19" s="14">
        <f ca="1">中信三级行业指数热度!E204</f>
        <v>-0.66575341730314985</v>
      </c>
      <c r="AG19">
        <f ca="1">IFERROR(中信三级行业指数热度!G19+ROW()*0.0000000001,-9999)</f>
        <v>1.260212547349846</v>
      </c>
    </row>
    <row r="20" spans="2:33" ht="34" customHeight="1" x14ac:dyDescent="0.25">
      <c r="B20" s="13" t="str">
        <f ca="1">中信三级行业指数热度!B117&amp;CHAR(10)&amp;TEXT(中信三级行业指数热度!E117,"0.0")&amp;"%"</f>
        <v>速冻食品指数
-0.2%</v>
      </c>
      <c r="C20" s="13" t="str">
        <f ca="1">中信三级行业指数热度!B261&amp;CHAR(10)&amp;TEXT(中信三级行业指数热度!E261,"0.0")&amp;"%"</f>
        <v>铁矿石指数
-5.6%</v>
      </c>
      <c r="D20" s="13" t="str">
        <f ca="1">中信三级行业指数热度!B170&amp;CHAR(10)&amp;TEXT(中信三级行业指数热度!E170,"0.0")&amp;"%"</f>
        <v>白色家电Ⅲ指数
-0.6%</v>
      </c>
      <c r="E20" s="13" t="str">
        <f ca="1">中信三级行业指数热度!B114&amp;CHAR(10)&amp;TEXT(中信三级行业指数热度!E114,"0.0")&amp;"%"</f>
        <v>中高端成人品牌服饰指数
-5.5%</v>
      </c>
      <c r="F20" s="13" t="str">
        <f ca="1">中信三级行业指数热度!B201&amp;CHAR(10)&amp;TEXT(中信三级行业指数热度!E201,"0.0")&amp;"%"</f>
        <v>镍钴锡锑指数
-1.6%</v>
      </c>
      <c r="G20" s="13" t="str">
        <f ca="1">中信三级行业指数热度!B235&amp;CHAR(10)&amp;TEXT(中信三级行业指数热度!E235,"0.0")&amp;"%"</f>
        <v>焦炭指数
-2.7%</v>
      </c>
      <c r="H20" s="13" t="str">
        <f ca="1">中信三级行业指数热度!B221&amp;CHAR(10)&amp;TEXT(中信三级行业指数热度!E221,"0.0")&amp;"%"</f>
        <v>种植指数
-9.5%</v>
      </c>
      <c r="I20" s="13" t="str">
        <f ca="1">中信三级行业指数热度!B260&amp;CHAR(10)&amp;TEXT(中信三级行业指数热度!E260,"0.0")&amp;"%"</f>
        <v>橡胶制品指数
-3.7%</v>
      </c>
      <c r="J20" s="13" t="str">
        <f ca="1">中信三级行业指数热度!B243&amp;CHAR(10)&amp;TEXT(中信三级行业指数热度!E243,"0.0")&amp;"%"</f>
        <v>铜指数
-11.5%</v>
      </c>
      <c r="K20" s="13" t="str">
        <f ca="1">中信三级行业指数热度!B214&amp;CHAR(10)&amp;TEXT(中信三级行业指数热度!E214,"0.0")&amp;"%"</f>
        <v>轮胎指数
0.5%</v>
      </c>
      <c r="L20" s="13" t="str">
        <f ca="1">中信三级行业指数热度!B127&amp;CHAR(10)&amp;TEXT(中信三级行业指数热度!E127,"0.0")&amp;"%"</f>
        <v>仪器仪表Ⅲ指数
2.6%</v>
      </c>
      <c r="M20" s="13" t="str">
        <f ca="1">中信三级行业指数热度!B230&amp;CHAR(10)&amp;TEXT(中信三级行业指数热度!E230,"0.0")&amp;"%"</f>
        <v>稀土及磁性材料指数
-1.7%</v>
      </c>
      <c r="N20" s="13" t="str">
        <f ca="1">中信三级行业指数热度!B138&amp;CHAR(10)&amp;TEXT(中信三级行业指数热度!E138,"0.0")&amp;"%"</f>
        <v>快递指数
-0.5%</v>
      </c>
      <c r="O20" s="13" t="str">
        <f ca="1">中信三级行业指数热度!B216&amp;CHAR(10)&amp;TEXT(中信三级行业指数热度!E216,"0.0")&amp;"%"</f>
        <v>机场指数
0.0%</v>
      </c>
      <c r="R20" s="14">
        <f ca="1">中信三级行业指数热度!E117</f>
        <v>-0.24885510597035809</v>
      </c>
      <c r="S20" s="14">
        <f ca="1">中信三级行业指数热度!E261</f>
        <v>-5.5897634137006218</v>
      </c>
      <c r="T20" s="14">
        <f ca="1">中信三级行业指数热度!E170</f>
        <v>-0.64144772604164402</v>
      </c>
      <c r="U20" s="14">
        <f ca="1">中信三级行业指数热度!E114</f>
        <v>-5.5389856899155205</v>
      </c>
      <c r="V20" s="14">
        <f ca="1">中信三级行业指数热度!E201</f>
        <v>-1.6466986989360444</v>
      </c>
      <c r="W20" s="14">
        <f ca="1">中信三级行业指数热度!E235</f>
        <v>-2.7159016910144107</v>
      </c>
      <c r="X20" s="14">
        <f ca="1">中信三级行业指数热度!E221</f>
        <v>-9.4758169054125716</v>
      </c>
      <c r="Y20" s="14">
        <f ca="1">中信三级行业指数热度!E260</f>
        <v>-3.7006007253145179</v>
      </c>
      <c r="Z20" s="14">
        <f ca="1">中信三级行业指数热度!E243</f>
        <v>-11.541405819362016</v>
      </c>
      <c r="AA20" s="14">
        <f ca="1">中信三级行业指数热度!E214</f>
        <v>0.52027398441210071</v>
      </c>
      <c r="AB20" s="14">
        <f ca="1">中信三级行业指数热度!E127</f>
        <v>2.5717674013219005</v>
      </c>
      <c r="AC20" s="14">
        <f ca="1">中信三级行业指数热度!E230</f>
        <v>-1.6910097262558432</v>
      </c>
      <c r="AD20" s="14">
        <f ca="1">中信三级行业指数热度!E138</f>
        <v>-0.51159502099368259</v>
      </c>
      <c r="AE20" s="14">
        <f ca="1">中信三级行业指数热度!E216</f>
        <v>2.683420979248119E-2</v>
      </c>
      <c r="AG20">
        <f ca="1">IFERROR(中信三级行业指数热度!G20+ROW()*0.0000000001,-9999)</f>
        <v>0.45883473817979292</v>
      </c>
    </row>
    <row r="21" spans="2:33" ht="34" customHeight="1" x14ac:dyDescent="0.25">
      <c r="B21" s="13" t="str">
        <f ca="1">中信三级行业指数热度!B98&amp;CHAR(10)&amp;TEXT(中信三级行业指数热度!E98,"0.0")&amp;"%"</f>
        <v>广播电视指数
-3.5%</v>
      </c>
      <c r="C21" s="13" t="str">
        <f ca="1">中信三级行业指数热度!B183&amp;CHAR(10)&amp;TEXT(中信三级行业指数热度!E183,"0.0")&amp;"%"</f>
        <v>网络接配及塔设指数
-0.3%</v>
      </c>
      <c r="D21" s="13" t="str">
        <f ca="1">中信三级行业指数热度!B250&amp;CHAR(10)&amp;TEXT(中信三级行业指数热度!E250,"0.0")&amp;"%"</f>
        <v>炼焦煤指数
-3.9%</v>
      </c>
      <c r="E21" s="13" t="str">
        <f ca="1">中信三级行业指数热度!B24&amp;CHAR(10)&amp;TEXT(中信三级行业指数热度!E24,"0.0")&amp;"%"</f>
        <v>数字金融服务指数
-3.5%</v>
      </c>
      <c r="F21" s="13" t="str">
        <f ca="1">中信三级行业指数热度!B259&amp;CHAR(10)&amp;TEXT(中信三级行业指数热度!E259,"0.0")&amp;"%"</f>
        <v>核电指数
-10.7%</v>
      </c>
      <c r="G21" s="13" t="str">
        <f ca="1">中信三级行业指数热度!B58&amp;CHAR(10)&amp;TEXT(中信三级行业指数热度!E58,"0.0")&amp;"%"</f>
        <v>云软件服务指数
-3.3%</v>
      </c>
      <c r="H21" s="13" t="str">
        <f ca="1">中信三级行业指数热度!B247&amp;CHAR(10)&amp;TEXT(中信三级行业指数热度!E247,"0.0")&amp;"%"</f>
        <v>无烟煤指数
-0.8%</v>
      </c>
      <c r="I21" s="13" t="str">
        <f ca="1">中信三级行业指数热度!B226&amp;CHAR(10)&amp;TEXT(中信三级行业指数热度!E226,"0.0")&amp;"%"</f>
        <v>机床设备指数
-2.9%</v>
      </c>
      <c r="J21" s="13" t="str">
        <f ca="1">中信三级行业指数热度!B248&amp;CHAR(10)&amp;TEXT(中信三级行业指数热度!E248,"0.0")&amp;"%"</f>
        <v>啤酒指数
-3.0%</v>
      </c>
      <c r="R21" s="14">
        <f ca="1">中信三级行业指数热度!E98</f>
        <v>-3.4538983811091883</v>
      </c>
      <c r="S21" s="14">
        <f ca="1">中信三级行业指数热度!E183</f>
        <v>-0.33990381163858663</v>
      </c>
      <c r="T21" s="14">
        <f ca="1">中信三级行业指数热度!E250</f>
        <v>-3.8884128778268523</v>
      </c>
      <c r="U21" s="14">
        <f ca="1">中信三级行业指数热度!E24</f>
        <v>-3.4811007033495489</v>
      </c>
      <c r="V21" s="14">
        <f ca="1">中信三级行业指数热度!E259</f>
        <v>-10.706622825962398</v>
      </c>
      <c r="W21" s="14">
        <f ca="1">中信三级行业指数热度!E58</f>
        <v>-3.2543880617207366</v>
      </c>
      <c r="X21" s="14">
        <f ca="1">中信三级行业指数热度!E247</f>
        <v>-0.82069940786865248</v>
      </c>
      <c r="Y21" s="14">
        <f ca="1">中信三级行业指数热度!E226</f>
        <v>-2.9103441277736453</v>
      </c>
      <c r="Z21" s="14">
        <f ca="1">中信三级行业指数热度!E248</f>
        <v>-2.9595862844521759</v>
      </c>
      <c r="AG21">
        <f ca="1">IFERROR(中信三级行业指数热度!G21+ROW()*0.0000000001,-9999)</f>
        <v>0.2210940378245278</v>
      </c>
    </row>
    <row r="22" spans="2:33" x14ac:dyDescent="0.25">
      <c r="AG22">
        <f ca="1">IFERROR(中信三级行业指数热度!G22+ROW()*0.0000000001,-9999)</f>
        <v>0.46354521885688932</v>
      </c>
    </row>
    <row r="23" spans="2:33" x14ac:dyDescent="0.25">
      <c r="B23" s="15" t="s">
        <v>3025</v>
      </c>
      <c r="D23" s="16" t="s">
        <v>3026</v>
      </c>
      <c r="E23" s="17" t="s">
        <v>3027</v>
      </c>
      <c r="F23" s="18" t="s">
        <v>3028</v>
      </c>
      <c r="G23" s="19" t="s">
        <v>3029</v>
      </c>
      <c r="H23" s="20" t="s">
        <v>3030</v>
      </c>
      <c r="I23" s="21" t="s">
        <v>3031</v>
      </c>
      <c r="J23" s="22" t="s">
        <v>3032</v>
      </c>
      <c r="AG23">
        <f ca="1">IFERROR(中信三级行业指数热度!G23+ROW()*0.0000000001,-9999)</f>
        <v>0.67721979305559099</v>
      </c>
    </row>
    <row r="24" spans="2:33" x14ac:dyDescent="0.25">
      <c r="AG24">
        <f ca="1">IFERROR(中信三级行业指数热度!G24+ROW()*0.0000000001,-9999)</f>
        <v>-0.2235998361597126</v>
      </c>
    </row>
    <row r="25" spans="2:33" x14ac:dyDescent="0.25">
      <c r="AG25">
        <f ca="1">IFERROR(中信三级行业指数热度!G25+ROW()*0.0000000001,-9999)</f>
        <v>-0.3109161400688395</v>
      </c>
    </row>
    <row r="26" spans="2:33" ht="15" x14ac:dyDescent="0.25">
      <c r="B26" s="23" t="s">
        <v>3033</v>
      </c>
      <c r="AG26">
        <f ca="1">IFERROR(中信三级行业指数热度!G26+ROW()*0.0000000001,-9999)</f>
        <v>-0.34970064684459645</v>
      </c>
    </row>
    <row r="27" spans="2:33" x14ac:dyDescent="0.25">
      <c r="B27" s="24" t="s">
        <v>3034</v>
      </c>
      <c r="C27" s="24" t="s">
        <v>1</v>
      </c>
      <c r="D27" s="24" t="s">
        <v>3035</v>
      </c>
      <c r="E27" s="24" t="s">
        <v>3036</v>
      </c>
      <c r="F27" s="24" t="s">
        <v>6</v>
      </c>
      <c r="G27" s="24" t="s">
        <v>3037</v>
      </c>
      <c r="AG27">
        <f ca="1">IFERROR(中信三级行业指数热度!G27+ROW()*0.0000000001,-9999)</f>
        <v>-0.1857688404668425</v>
      </c>
    </row>
    <row r="28" spans="2:33" x14ac:dyDescent="0.25">
      <c r="B28">
        <v>1</v>
      </c>
      <c r="C28" t="str">
        <f ca="1">IFERROR(INDEX(中信三级行业指数热度!$B$2:$B$262,MATCH(LARGE($AG$2:$AG$262,1),$AG$2:$AG$262,0)),"")</f>
        <v>体育及户外品牌指数</v>
      </c>
      <c r="D28" s="10">
        <f ca="1">IFERROR(INDEX(中信三级行业指数热度!$E$2:$E$262,MATCH(LARGE($AG$2:$AG$262,1),$AG$2:$AG$262,0)),"")</f>
        <v>19.238437094521508</v>
      </c>
      <c r="E28" s="10">
        <f ca="1">IFERROR(INDEX(中信三级行业指数热度!$F$2:$F$262,MATCH(LARGE($AG$2:$AG$262,1),$AG$2:$AG$262,0)),"")</f>
        <v>29.453078727304781</v>
      </c>
      <c r="F28" s="11">
        <f ca="1">IFERROR(INDEX(中信三级行业指数热度!$G$2:$G$262,MATCH(LARGE($AG$2:$AG$262,1),$AG$2:$AG$262,0)),"")</f>
        <v>2.3750334825390622</v>
      </c>
      <c r="G28" s="10">
        <f ca="1">IFERROR(INDEX(中信三级行业指数热度!$D$2:$D$262,MATCH(LARGE($AG$2:$AG$262,1),$AG$2:$AG$262,0)),"")</f>
        <v>67.5033890113653</v>
      </c>
      <c r="AG28">
        <f ca="1">IFERROR(中信三级行业指数热度!G28+ROW()*0.0000000001,-9999)</f>
        <v>1.4032429406289324</v>
      </c>
    </row>
    <row r="29" spans="2:33" x14ac:dyDescent="0.25">
      <c r="B29">
        <v>2</v>
      </c>
      <c r="C29" t="str">
        <f ca="1">IFERROR(INDEX(中信三级行业指数热度!$B$2:$B$262,MATCH(LARGE($AG$2:$AG$262,2),$AG$2:$AG$262,0)),"")</f>
        <v>磷肥及磷化工指数</v>
      </c>
      <c r="D29" s="10">
        <f ca="1">IFERROR(INDEX(中信三级行业指数热度!$E$2:$E$262,MATCH(LARGE($AG$2:$AG$262,2),$AG$2:$AG$262,0)),"")</f>
        <v>13.043544863142987</v>
      </c>
      <c r="E29" s="10">
        <f ca="1">IFERROR(INDEX(中信三级行业指数热度!$F$2:$F$262,MATCH(LARGE($AG$2:$AG$262,2),$AG$2:$AG$262,0)),"")</f>
        <v>11.124112428282618</v>
      </c>
      <c r="F29" s="11">
        <f ca="1">IFERROR(INDEX(中信三级行业指数热度!$G$2:$G$262,MATCH(LARGE($AG$2:$AG$262,2),$AG$2:$AG$262,0)),"")</f>
        <v>2.0525033512144661</v>
      </c>
      <c r="G29" s="10">
        <f ca="1">IFERROR(INDEX(中信三级行业指数热度!$D$2:$D$262,MATCH(LARGE($AG$2:$AG$262,2),$AG$2:$AG$262,0)),"")</f>
        <v>9.9029400988457574</v>
      </c>
      <c r="AG29">
        <f ca="1">IFERROR(中信三级行业指数热度!G29+ROW()*0.0000000001,-9999)</f>
        <v>0.7578251315793203</v>
      </c>
    </row>
    <row r="30" spans="2:33" x14ac:dyDescent="0.25">
      <c r="B30">
        <v>3</v>
      </c>
      <c r="C30" t="str">
        <f ca="1">IFERROR(INDEX(中信三级行业指数热度!$B$2:$B$262,MATCH(LARGE($AG$2:$AG$262,3),$AG$2:$AG$262,0)),"")</f>
        <v>橡胶助剂指数</v>
      </c>
      <c r="D30" s="10">
        <f ca="1">IFERROR(INDEX(中信三级行业指数热度!$E$2:$E$262,MATCH(LARGE($AG$2:$AG$262,3),$AG$2:$AG$262,0)),"")</f>
        <v>16.971810380286946</v>
      </c>
      <c r="E30" s="10">
        <f ca="1">IFERROR(INDEX(中信三级行业指数热度!$F$2:$F$262,MATCH(LARGE($AG$2:$AG$262,3),$AG$2:$AG$262,0)),"")</f>
        <v>27.839875851342487</v>
      </c>
      <c r="F30" s="11">
        <f ca="1">IFERROR(INDEX(中信三级行业指数热度!$G$2:$G$262,MATCH(LARGE($AG$2:$AG$262,3),$AG$2:$AG$262,0)),"")</f>
        <v>2.0023682834902647</v>
      </c>
      <c r="G30" s="10">
        <f ca="1">IFERROR(INDEX(中信三级行业指数热度!$D$2:$D$262,MATCH(LARGE($AG$2:$AG$262,3),$AG$2:$AG$262,0)),"")</f>
        <v>47.346121718805719</v>
      </c>
      <c r="AG30">
        <f ca="1">IFERROR(中信三级行业指数热度!G30+ROW()*0.0000000001,-9999)</f>
        <v>-1.6405573737599238E-2</v>
      </c>
    </row>
    <row r="31" spans="2:33" x14ac:dyDescent="0.25">
      <c r="B31">
        <v>4</v>
      </c>
      <c r="C31" t="str">
        <f ca="1">IFERROR(INDEX(中信三级行业指数热度!$B$2:$B$262,MATCH(LARGE($AG$2:$AG$262,4),$AG$2:$AG$262,0)),"")</f>
        <v>玻璃纤维指数</v>
      </c>
      <c r="D31" s="10">
        <f ca="1">IFERROR(INDEX(中信三级行业指数热度!$E$2:$E$262,MATCH(LARGE($AG$2:$AG$262,4),$AG$2:$AG$262,0)),"")</f>
        <v>23.19845414655348</v>
      </c>
      <c r="E31" s="10">
        <f ca="1">IFERROR(INDEX(中信三级行业指数热度!$F$2:$F$262,MATCH(LARGE($AG$2:$AG$262,4),$AG$2:$AG$262,0)),"")</f>
        <v>52.748443672459835</v>
      </c>
      <c r="F31" s="11">
        <f ca="1">IFERROR(INDEX(中信三级行业指数热度!$G$2:$G$262,MATCH(LARGE($AG$2:$AG$262,4),$AG$2:$AG$262,0)),"")</f>
        <v>2.0022686456877046</v>
      </c>
      <c r="G31" s="10">
        <f ca="1">IFERROR(INDEX(中信三级行业指数热度!$D$2:$D$262,MATCH(LARGE($AG$2:$AG$262,4),$AG$2:$AG$262,0)),"")</f>
        <v>266.17090830491566</v>
      </c>
      <c r="AG31">
        <f ca="1">IFERROR(中信三级行业指数热度!G31+ROW()*0.0000000001,-9999)</f>
        <v>0.22622637619352656</v>
      </c>
    </row>
    <row r="32" spans="2:33" x14ac:dyDescent="0.25">
      <c r="B32">
        <v>5</v>
      </c>
      <c r="C32" t="str">
        <f ca="1">IFERROR(INDEX(中信三级行业指数热度!$B$2:$B$262,MATCH(LARGE($AG$2:$AG$262,5),$AG$2:$AG$262,0)),"")</f>
        <v>燃料电池指数</v>
      </c>
      <c r="D32" s="10">
        <f ca="1">IFERROR(INDEX(中信三级行业指数热度!$E$2:$E$262,MATCH(LARGE($AG$2:$AG$262,5),$AG$2:$AG$262,0)),"")</f>
        <v>10.996869605728543</v>
      </c>
      <c r="E32" s="10">
        <f ca="1">IFERROR(INDEX(中信三级行业指数热度!$F$2:$F$262,MATCH(LARGE($AG$2:$AG$262,5),$AG$2:$AG$262,0)),"")</f>
        <v>13.220679365545163</v>
      </c>
      <c r="F32" s="11">
        <f ca="1">IFERROR(INDEX(中信三级行业指数热度!$G$2:$G$262,MATCH(LARGE($AG$2:$AG$262,5),$AG$2:$AG$262,0)),"")</f>
        <v>1.5383399528684505</v>
      </c>
      <c r="G32" s="10">
        <f ca="1">IFERROR(INDEX(中信三级行业指数热度!$D$2:$D$262,MATCH(LARGE($AG$2:$AG$262,5),$AG$2:$AG$262,0)),"")</f>
        <v>37.507649674133802</v>
      </c>
      <c r="AG32">
        <f ca="1">IFERROR(中信三级行业指数热度!G32+ROW()*0.0000000001,-9999)</f>
        <v>-2.2405872333555996E-2</v>
      </c>
    </row>
    <row r="33" spans="2:33" x14ac:dyDescent="0.25">
      <c r="B33">
        <v>6</v>
      </c>
      <c r="C33" t="str">
        <f ca="1">IFERROR(INDEX(中信三级行业指数热度!$B$2:$B$262,MATCH(LARGE($AG$2:$AG$262,6),$AG$2:$AG$262,0)),"")</f>
        <v>分立器件指数</v>
      </c>
      <c r="D33" s="10">
        <f ca="1">IFERROR(INDEX(中信三级行业指数热度!$E$2:$E$262,MATCH(LARGE($AG$2:$AG$262,6),$AG$2:$AG$262,0)),"")</f>
        <v>10.726999675720105</v>
      </c>
      <c r="E33" s="10">
        <f ca="1">IFERROR(INDEX(中信三级行业指数热度!$F$2:$F$262,MATCH(LARGE($AG$2:$AG$262,6),$AG$2:$AG$262,0)),"")</f>
        <v>14.042782449083834</v>
      </c>
      <c r="F33" s="11">
        <f ca="1">IFERROR(INDEX(中信三级行业指数热度!$G$2:$G$262,MATCH(LARGE($AG$2:$AG$262,6),$AG$2:$AG$262,0)),"")</f>
        <v>1.4432608126898294</v>
      </c>
      <c r="G33" s="10">
        <f ca="1">IFERROR(INDEX(中信三级行业指数热度!$D$2:$D$262,MATCH(LARGE($AG$2:$AG$262,6),$AG$2:$AG$262,0)),"")</f>
        <v>63.771828475046696</v>
      </c>
      <c r="AG33">
        <f ca="1">IFERROR(中信三级行业指数热度!G33+ROW()*0.0000000001,-9999)</f>
        <v>0.65410444561256975</v>
      </c>
    </row>
    <row r="34" spans="2:33" x14ac:dyDescent="0.25">
      <c r="B34">
        <v>7</v>
      </c>
      <c r="C34" t="str">
        <f ca="1">IFERROR(INDEX(中信三级行业指数热度!$B$2:$B$262,MATCH(LARGE($AG$2:$AG$262,7),$AG$2:$AG$262,0)),"")</f>
        <v>印染化学品指数</v>
      </c>
      <c r="D34" s="10">
        <f ca="1">IFERROR(INDEX(中信三级行业指数热度!$E$2:$E$262,MATCH(LARGE($AG$2:$AG$262,7),$AG$2:$AG$262,0)),"")</f>
        <v>9.5575775267515937</v>
      </c>
      <c r="E34" s="10">
        <f ca="1">IFERROR(INDEX(中信三级行业指数热度!$F$2:$F$262,MATCH(LARGE($AG$2:$AG$262,7),$AG$2:$AG$262,0)),"")</f>
        <v>9.3877472480765611</v>
      </c>
      <c r="F34" s="11">
        <f ca="1">IFERROR(INDEX(中信三级行业指数热度!$G$2:$G$262,MATCH(LARGE($AG$2:$AG$262,7),$AG$2:$AG$262,0)),"")</f>
        <v>1.4421281429464907</v>
      </c>
      <c r="G34" s="10">
        <f ca="1">IFERROR(INDEX(中信三级行业指数热度!$D$2:$D$262,MATCH(LARGE($AG$2:$AG$262,7),$AG$2:$AG$262,0)),"")</f>
        <v>25.606663584526721</v>
      </c>
      <c r="AG34">
        <f ca="1">IFERROR(中信三级行业指数热度!G34+ROW()*0.0000000001,-9999)</f>
        <v>0.86117278704762901</v>
      </c>
    </row>
    <row r="35" spans="2:33" x14ac:dyDescent="0.25">
      <c r="B35">
        <v>8</v>
      </c>
      <c r="C35" t="str">
        <f ca="1">IFERROR(INDEX(中信三级行业指数热度!$B$2:$B$262,MATCH(LARGE($AG$2:$AG$262,8),$AG$2:$AG$262,0)),"")</f>
        <v>贸易流通指数</v>
      </c>
      <c r="D35" s="10">
        <f ca="1">IFERROR(INDEX(中信三级行业指数热度!$E$2:$E$262,MATCH(LARGE($AG$2:$AG$262,8),$AG$2:$AG$262,0)),"")</f>
        <v>5.742269511116338</v>
      </c>
      <c r="E35" s="10">
        <f ca="1">IFERROR(INDEX(中信三级行业指数热度!$F$2:$F$262,MATCH(LARGE($AG$2:$AG$262,8),$AG$2:$AG$262,0)),"")</f>
        <v>-5.0957807121132959</v>
      </c>
      <c r="F35" s="11">
        <f ca="1">IFERROR(INDEX(中信三级行业指数热度!$G$2:$G$262,MATCH(LARGE($AG$2:$AG$262,8),$AG$2:$AG$262,0)),"")</f>
        <v>1.4032429378289324</v>
      </c>
      <c r="G35" s="10">
        <f ca="1">IFERROR(INDEX(中信三级行业指数热度!$D$2:$D$262,MATCH(LARGE($AG$2:$AG$262,8),$AG$2:$AG$262,0)),"")</f>
        <v>-15.250728717983975</v>
      </c>
      <c r="AG35">
        <f ca="1">IFERROR(中信三级行业指数热度!G35+ROW()*0.0000000001,-9999)</f>
        <v>-0.25464709152676207</v>
      </c>
    </row>
    <row r="36" spans="2:33" x14ac:dyDescent="0.25">
      <c r="B36">
        <v>9</v>
      </c>
      <c r="C36" t="str">
        <f ca="1">IFERROR(INDEX(中信三级行业指数热度!$B$2:$B$262,MATCH(LARGE($AG$2:$AG$262,9),$AG$2:$AG$262,0)),"")</f>
        <v>医疗服务指数</v>
      </c>
      <c r="D36" s="10">
        <f ca="1">IFERROR(INDEX(中信三级行业指数热度!$E$2:$E$262,MATCH(LARGE($AG$2:$AG$262,9),$AG$2:$AG$262,0)),"")</f>
        <v>8.0227066951536372</v>
      </c>
      <c r="E36" s="10">
        <f ca="1">IFERROR(INDEX(中信三级行业指数热度!$F$2:$F$262,MATCH(LARGE($AG$2:$AG$262,9),$AG$2:$AG$262,0)),"")</f>
        <v>5.0132767416420032</v>
      </c>
      <c r="F36" s="11">
        <f ca="1">IFERROR(INDEX(中信三级行业指数热度!$G$2:$G$262,MATCH(LARGE($AG$2:$AG$262,9),$AG$2:$AG$262,0)),"")</f>
        <v>1.3538775019486273</v>
      </c>
      <c r="G36" s="10">
        <f ca="1">IFERROR(INDEX(中信三级行业指数热度!$D$2:$D$262,MATCH(LARGE($AG$2:$AG$262,9),$AG$2:$AG$262,0)),"")</f>
        <v>4.0206398825403111</v>
      </c>
      <c r="AG36">
        <f ca="1">IFERROR(中信三级行业指数热度!G36+ROW()*0.0000000001,-9999)</f>
        <v>0.70687963699727041</v>
      </c>
    </row>
    <row r="37" spans="2:33" x14ac:dyDescent="0.25">
      <c r="B37">
        <v>10</v>
      </c>
      <c r="C37" t="str">
        <f ca="1">IFERROR(INDEX(中信三级行业指数热度!$B$2:$B$262,MATCH(LARGE($AG$2:$AG$262,10),$AG$2:$AG$262,0)),"")</f>
        <v>激光加工设备指数</v>
      </c>
      <c r="D37" s="10">
        <f ca="1">IFERROR(INDEX(中信三级行业指数热度!$E$2:$E$262,MATCH(LARGE($AG$2:$AG$262,10),$AG$2:$AG$262,0)),"")</f>
        <v>10.215832644014622</v>
      </c>
      <c r="E37" s="10">
        <f ca="1">IFERROR(INDEX(中信三级行业指数热度!$F$2:$F$262,MATCH(LARGE($AG$2:$AG$262,10),$AG$2:$AG$262,0)),"")</f>
        <v>14.020730234930113</v>
      </c>
      <c r="F37" s="11">
        <f ca="1">IFERROR(INDEX(中信三级行业指数热度!$G$2:$G$262,MATCH(LARGE($AG$2:$AG$262,10),$AG$2:$AG$262,0)),"")</f>
        <v>1.3421300170564188</v>
      </c>
      <c r="G37" s="10">
        <f ca="1">IFERROR(INDEX(中信三级行业指数热度!$D$2:$D$262,MATCH(LARGE($AG$2:$AG$262,10),$AG$2:$AG$262,0)),"")</f>
        <v>198.24216045287503</v>
      </c>
      <c r="AG37">
        <f ca="1">IFERROR(中信三级行业指数热度!G37+ROW()*0.0000000001,-9999)</f>
        <v>-0.23456243847561828</v>
      </c>
    </row>
    <row r="38" spans="2:33" x14ac:dyDescent="0.25">
      <c r="B38">
        <v>11</v>
      </c>
      <c r="C38" t="str">
        <f ca="1">IFERROR(INDEX(中信三级行业指数热度!$B$2:$B$262,MATCH(LARGE($AG$2:$AG$262,11),$AG$2:$AG$262,0)),"")</f>
        <v>集成电路指数</v>
      </c>
      <c r="D38" s="10">
        <f ca="1">IFERROR(INDEX(中信三级行业指数热度!$E$2:$E$262,MATCH(LARGE($AG$2:$AG$262,11),$AG$2:$AG$262,0)),"")</f>
        <v>10.902559496400798</v>
      </c>
      <c r="E38" s="10">
        <f ca="1">IFERROR(INDEX(中信三级行业指数热度!$F$2:$F$262,MATCH(LARGE($AG$2:$AG$262,11),$AG$2:$AG$262,0)),"")</f>
        <v>17.487046438032692</v>
      </c>
      <c r="F38" s="11">
        <f ca="1">IFERROR(INDEX(中信三级行业指数热度!$G$2:$G$262,MATCH(LARGE($AG$2:$AG$262,11),$AG$2:$AG$262,0)),"")</f>
        <v>1.3061595773785251</v>
      </c>
      <c r="G38" s="10">
        <f ca="1">IFERROR(INDEX(中信三级行业指数热度!$D$2:$D$262,MATCH(LARGE($AG$2:$AG$262,11),$AG$2:$AG$262,0)),"")</f>
        <v>84.306330884507872</v>
      </c>
      <c r="AG38">
        <f ca="1">IFERROR(中信三级行业指数热度!G38+ROW()*0.0000000001,-9999)</f>
        <v>-0.36104982875042035</v>
      </c>
    </row>
    <row r="39" spans="2:33" x14ac:dyDescent="0.25">
      <c r="B39">
        <v>12</v>
      </c>
      <c r="C39" t="str">
        <f ca="1">IFERROR(INDEX(中信三级行业指数热度!$B$2:$B$262,MATCH(LARGE($AG$2:$AG$262,12),$AG$2:$AG$262,0)),"")</f>
        <v>其他稀有金属指数</v>
      </c>
      <c r="D39" s="10">
        <f ca="1">IFERROR(INDEX(中信三级行业指数热度!$E$2:$E$262,MATCH(LARGE($AG$2:$AG$262,12),$AG$2:$AG$262,0)),"")</f>
        <v>9.3400709016908223</v>
      </c>
      <c r="E39" s="10">
        <f ca="1">IFERROR(INDEX(中信三级行业指数热度!$F$2:$F$262,MATCH(LARGE($AG$2:$AG$262,12),$AG$2:$AG$262,0)),"")</f>
        <v>11.478196983830458</v>
      </c>
      <c r="F39" s="11">
        <f ca="1">IFERROR(INDEX(中信三级行业指数热度!$G$2:$G$262,MATCH(LARGE($AG$2:$AG$262,12),$AG$2:$AG$262,0)),"")</f>
        <v>1.2941043311466416</v>
      </c>
      <c r="G39" s="10">
        <f ca="1">IFERROR(INDEX(中信三级行业指数热度!$D$2:$D$262,MATCH(LARGE($AG$2:$AG$262,12),$AG$2:$AG$262,0)),"")</f>
        <v>63.130382005504714</v>
      </c>
      <c r="AG39">
        <f ca="1">IFERROR(中信三级行业指数热度!G39+ROW()*0.0000000001,-9999)</f>
        <v>0.78081414564424489</v>
      </c>
    </row>
    <row r="40" spans="2:33" x14ac:dyDescent="0.25">
      <c r="B40">
        <v>13</v>
      </c>
      <c r="C40" t="str">
        <f ca="1">IFERROR(INDEX(中信三级行业指数热度!$B$2:$B$262,MATCH(LARGE($AG$2:$AG$262,13),$AG$2:$AG$262,0)),"")</f>
        <v>聚氨酯指数</v>
      </c>
      <c r="D40" s="10">
        <f ca="1">IFERROR(INDEX(中信三级行业指数热度!$E$2:$E$262,MATCH(LARGE($AG$2:$AG$262,13),$AG$2:$AG$262,0)),"")</f>
        <v>6.3281788490610058</v>
      </c>
      <c r="E40" s="10">
        <f ca="1">IFERROR(INDEX(中信三级行业指数热度!$F$2:$F$262,MATCH(LARGE($AG$2:$AG$262,13),$AG$2:$AG$262,0)),"")</f>
        <v>-0.26822225978924141</v>
      </c>
      <c r="F40" s="11">
        <f ca="1">IFERROR(INDEX(中信三级行业指数热度!$G$2:$G$262,MATCH(LARGE($AG$2:$AG$262,13),$AG$2:$AG$262,0)),"")</f>
        <v>1.2790468828016632</v>
      </c>
      <c r="G40" s="10">
        <f ca="1">IFERROR(INDEX(中信三级行业指数热度!$D$2:$D$262,MATCH(LARGE($AG$2:$AG$262,13),$AG$2:$AG$262,0)),"")</f>
        <v>-2.869626713313489</v>
      </c>
      <c r="AG40">
        <f ca="1">IFERROR(中信三级行业指数热度!G40+ROW()*0.0000000001,-9999)</f>
        <v>0.54143884935506115</v>
      </c>
    </row>
    <row r="41" spans="2:33" x14ac:dyDescent="0.25">
      <c r="B41">
        <v>14</v>
      </c>
      <c r="C41" t="str">
        <f ca="1">IFERROR(INDEX(中信三级行业指数热度!$B$2:$B$262,MATCH(LARGE($AG$2:$AG$262,14),$AG$2:$AG$262,0)),"")</f>
        <v>游戏指数</v>
      </c>
      <c r="D41" s="10">
        <f ca="1">IFERROR(INDEX(中信三级行业指数热度!$E$2:$E$262,MATCH(LARGE($AG$2:$AG$262,14),$AG$2:$AG$262,0)),"")</f>
        <v>5.4308485700890641</v>
      </c>
      <c r="E41" s="10">
        <f ca="1">IFERROR(INDEX(中信三级行业指数热度!$F$2:$F$262,MATCH(LARGE($AG$2:$AG$262,14),$AG$2:$AG$262,0)),"")</f>
        <v>-3.8390224495921887</v>
      </c>
      <c r="F41" s="11">
        <f ca="1">IFERROR(INDEX(中信三级行业指数热度!$G$2:$G$262,MATCH(LARGE($AG$2:$AG$262,14),$AG$2:$AG$262,0)),"")</f>
        <v>1.2781208364974224</v>
      </c>
      <c r="G41" s="10">
        <f ca="1">IFERROR(INDEX(中信三级行业指数热度!$D$2:$D$262,MATCH(LARGE($AG$2:$AG$262,14),$AG$2:$AG$262,0)),"")</f>
        <v>-20.726340987714387</v>
      </c>
      <c r="AG41">
        <f ca="1">IFERROR(中信三级行业指数热度!G41+ROW()*0.0000000001,-9999)</f>
        <v>0.6770774721024827</v>
      </c>
    </row>
    <row r="42" spans="2:33" x14ac:dyDescent="0.25">
      <c r="B42">
        <v>15</v>
      </c>
      <c r="C42" t="str">
        <f ca="1">IFERROR(INDEX(中信三级行业指数热度!$B$2:$B$262,MATCH(LARGE($AG$2:$AG$262,15),$AG$2:$AG$262,0)),"")</f>
        <v>证券Ⅲ指数</v>
      </c>
      <c r="D42" s="10">
        <f ca="1">IFERROR(INDEX(中信三级行业指数热度!$E$2:$E$262,MATCH(LARGE($AG$2:$AG$262,15),$AG$2:$AG$262,0)),"")</f>
        <v>9.4874126453676979</v>
      </c>
      <c r="E42" s="10">
        <f ca="1">IFERROR(INDEX(中信三级行业指数热度!$F$2:$F$262,MATCH(LARGE($AG$2:$AG$262,15),$AG$2:$AG$262,0)),"")</f>
        <v>12.574280920033543</v>
      </c>
      <c r="F42" s="11">
        <f ca="1">IFERROR(INDEX(中信三级行业指数热度!$G$2:$G$262,MATCH(LARGE($AG$2:$AG$262,15),$AG$2:$AG$262,0)),"")</f>
        <v>1.2687684830718624</v>
      </c>
      <c r="G42" s="10">
        <f ca="1">IFERROR(INDEX(中信三级行业指数热度!$D$2:$D$262,MATCH(LARGE($AG$2:$AG$262,15),$AG$2:$AG$262,0)),"")</f>
        <v>-4.9994750833474821</v>
      </c>
      <c r="AG42">
        <f ca="1">IFERROR(中信三级行业指数热度!G42+ROW()*0.0000000001,-9999)</f>
        <v>4.2847330739918185E-2</v>
      </c>
    </row>
    <row r="43" spans="2:33" x14ac:dyDescent="0.25">
      <c r="B43">
        <v>16</v>
      </c>
      <c r="C43" t="str">
        <f ca="1">IFERROR(INDEX(中信三级行业指数热度!$B$2:$B$262,MATCH(LARGE($AG$2:$AG$262,16),$AG$2:$AG$262,0)),"")</f>
        <v>钛白粉指数</v>
      </c>
      <c r="D43" s="10">
        <f ca="1">IFERROR(INDEX(中信三级行业指数热度!$E$2:$E$262,MATCH(LARGE($AG$2:$AG$262,16),$AG$2:$AG$262,0)),"")</f>
        <v>9.5045086987806791</v>
      </c>
      <c r="E43" s="10">
        <f ca="1">IFERROR(INDEX(中信三级行业指数热度!$F$2:$F$262,MATCH(LARGE($AG$2:$AG$262,16),$AG$2:$AG$262,0)),"")</f>
        <v>12.813783886125796</v>
      </c>
      <c r="F43" s="11">
        <f ca="1">IFERROR(INDEX(中信三级行业指数热度!$G$2:$G$262,MATCH(LARGE($AG$2:$AG$262,16),$AG$2:$AG$262,0)),"")</f>
        <v>1.2602125454498461</v>
      </c>
      <c r="G43" s="10">
        <f ca="1">IFERROR(INDEX(中信三级行业指数热度!$D$2:$D$262,MATCH(LARGE($AG$2:$AG$262,16),$AG$2:$AG$262,0)),"")</f>
        <v>-6.0961378172560305</v>
      </c>
      <c r="AG43">
        <f ca="1">IFERROR(中信三级行业指数热度!G43+ROW()*0.0000000001,-9999)</f>
        <v>0.39896285390454056</v>
      </c>
    </row>
    <row r="44" spans="2:33" x14ac:dyDescent="0.25">
      <c r="B44">
        <v>17</v>
      </c>
      <c r="C44" t="str">
        <f ca="1">IFERROR(INDEX(中信三级行业指数热度!$B$2:$B$262,MATCH(LARGE($AG$2:$AG$262,17),$AG$2:$AG$262,0)),"")</f>
        <v>其他石化指数</v>
      </c>
      <c r="D44" s="10">
        <f ca="1">IFERROR(INDEX(中信三级行业指数热度!$E$2:$E$262,MATCH(LARGE($AG$2:$AG$262,17),$AG$2:$AG$262,0)),"")</f>
        <v>7.7417234064911078</v>
      </c>
      <c r="E44" s="10">
        <f ca="1">IFERROR(INDEX(中信三级行业指数热度!$F$2:$F$262,MATCH(LARGE($AG$2:$AG$262,17),$AG$2:$AG$262,0)),"")</f>
        <v>6.8469841648188812</v>
      </c>
      <c r="F44" s="11">
        <f ca="1">IFERROR(INDEX(中信三级行业指数热度!$G$2:$G$262,MATCH(LARGE($AG$2:$AG$262,17),$AG$2:$AG$262,0)),"")</f>
        <v>1.2059954730572775</v>
      </c>
      <c r="G44" s="10">
        <f ca="1">IFERROR(INDEX(中信三级行业指数热度!$D$2:$D$262,MATCH(LARGE($AG$2:$AG$262,17),$AG$2:$AG$262,0)),"")</f>
        <v>3.7845098006719979</v>
      </c>
      <c r="AG44">
        <f ca="1">IFERROR(中信三级行业指数热度!G44+ROW()*0.0000000001,-9999)</f>
        <v>0.28167707336880027</v>
      </c>
    </row>
    <row r="45" spans="2:33" x14ac:dyDescent="0.25">
      <c r="B45">
        <v>18</v>
      </c>
      <c r="C45" t="str">
        <f ca="1">IFERROR(INDEX(中信三级行业指数热度!$B$2:$B$262,MATCH(LARGE($AG$2:$AG$262,18),$AG$2:$AG$262,0)),"")</f>
        <v>航运指数</v>
      </c>
      <c r="D45" s="10">
        <f ca="1">IFERROR(INDEX(中信三级行业指数热度!$E$2:$E$262,MATCH(LARGE($AG$2:$AG$262,18),$AG$2:$AG$262,0)),"")</f>
        <v>6.9384061413963138</v>
      </c>
      <c r="E45" s="10">
        <f ca="1">IFERROR(INDEX(中信三级行业指数热度!$F$2:$F$262,MATCH(LARGE($AG$2:$AG$262,18),$AG$2:$AG$262,0)),"")</f>
        <v>5.3765929833758719</v>
      </c>
      <c r="F45" s="11">
        <f ca="1">IFERROR(INDEX(中信三级行业指数热度!$G$2:$G$262,MATCH(LARGE($AG$2:$AG$262,18),$AG$2:$AG$262,0)),"")</f>
        <v>1.1188515791104692</v>
      </c>
      <c r="G45" s="10">
        <f ca="1">IFERROR(INDEX(中信三级行业指数热度!$D$2:$D$262,MATCH(LARGE($AG$2:$AG$262,18),$AG$2:$AG$262,0)),"")</f>
        <v>20.034214122160311</v>
      </c>
      <c r="AG45">
        <f ca="1">IFERROR(中信三级行业指数热度!G45+ROW()*0.0000000001,-9999)</f>
        <v>-0.30594973769585354</v>
      </c>
    </row>
    <row r="46" spans="2:33" x14ac:dyDescent="0.25">
      <c r="B46">
        <v>19</v>
      </c>
      <c r="C46" t="str">
        <f ca="1">IFERROR(INDEX(中信三级行业指数热度!$B$2:$B$262,MATCH(LARGE($AG$2:$AG$262,19),$AG$2:$AG$262,0)),"")</f>
        <v>面板指数</v>
      </c>
      <c r="D46" s="10">
        <f ca="1">IFERROR(INDEX(中信三级行业指数热度!$E$2:$E$262,MATCH(LARGE($AG$2:$AG$262,19),$AG$2:$AG$262,0)),"")</f>
        <v>11.871478250120425</v>
      </c>
      <c r="E46" s="10">
        <f ca="1">IFERROR(INDEX(中信三级行业指数热度!$F$2:$F$262,MATCH(LARGE($AG$2:$AG$262,19),$AG$2:$AG$262,0)),"")</f>
        <v>25.642215433338379</v>
      </c>
      <c r="F46" s="11">
        <f ca="1">IFERROR(INDEX(中信三级行业指数热度!$G$2:$G$262,MATCH(LARGE($AG$2:$AG$262,19),$AG$2:$AG$262,0)),"")</f>
        <v>1.0921848783571664</v>
      </c>
      <c r="G46" s="10">
        <f ca="1">IFERROR(INDEX(中信三级行业指数热度!$D$2:$D$262,MATCH(LARGE($AG$2:$AG$262,19),$AG$2:$AG$262,0)),"")</f>
        <v>50.277386506674993</v>
      </c>
      <c r="AG46">
        <f ca="1">IFERROR(中信三级行业指数热度!G46+ROW()*0.0000000001,-9999)</f>
        <v>-0.28323298002555991</v>
      </c>
    </row>
    <row r="47" spans="2:33" x14ac:dyDescent="0.25">
      <c r="B47">
        <v>20</v>
      </c>
      <c r="C47" t="str">
        <f ca="1">IFERROR(INDEX(中信三级行业指数热度!$B$2:$B$262,MATCH(LARGE($AG$2:$AG$262,20),$AG$2:$AG$262,0)),"")</f>
        <v>半导体设备指数</v>
      </c>
      <c r="D47" s="10">
        <f ca="1">IFERROR(INDEX(中信三级行业指数热度!$E$2:$E$262,MATCH(LARGE($AG$2:$AG$262,20),$AG$2:$AG$262,0)),"")</f>
        <v>12.773946083526821</v>
      </c>
      <c r="E47" s="10">
        <f ca="1">IFERROR(INDEX(中信三级行业指数热度!$F$2:$F$262,MATCH(LARGE($AG$2:$AG$262,20),$AG$2:$AG$262,0)),"")</f>
        <v>30.866908613560472</v>
      </c>
      <c r="F47" s="11">
        <f ca="1">IFERROR(INDEX(中信三级行业指数热度!$G$2:$G$262,MATCH(LARGE($AG$2:$AG$262,20),$AG$2:$AG$262,0)),"")</f>
        <v>1.0114437860273406</v>
      </c>
      <c r="G47" s="10">
        <f ca="1">IFERROR(INDEX(中信三级行业指数热度!$D$2:$D$262,MATCH(LARGE($AG$2:$AG$262,20),$AG$2:$AG$262,0)),"")</f>
        <v>118.03562607108464</v>
      </c>
      <c r="AG47">
        <f ca="1">IFERROR(中信三级行业指数热度!G47+ROW()*0.0000000001,-9999)</f>
        <v>1.2687684877718624</v>
      </c>
    </row>
    <row r="48" spans="2:33" x14ac:dyDescent="0.25">
      <c r="AG48">
        <f ca="1">IFERROR(中信三级行业指数热度!G48+ROW()*0.0000000001,-9999)</f>
        <v>0.82037274109645186</v>
      </c>
    </row>
    <row r="49" spans="33:33" x14ac:dyDescent="0.25">
      <c r="AG49">
        <f ca="1">IFERROR(中信三级行业指数热度!G49+ROW()*0.0000000001,-9999)</f>
        <v>2.0059681982867599E-2</v>
      </c>
    </row>
    <row r="50" spans="33:33" x14ac:dyDescent="0.25">
      <c r="AG50">
        <f ca="1">IFERROR(中信三级行业指数热度!G50+ROW()*0.0000000001,-9999)</f>
        <v>0.6535088151341002</v>
      </c>
    </row>
    <row r="51" spans="33:33" x14ac:dyDescent="0.25">
      <c r="AG51">
        <f ca="1">IFERROR(中信三级行业指数热度!G51+ROW()*0.0000000001,-9999)</f>
        <v>0.38716008968234694</v>
      </c>
    </row>
    <row r="52" spans="33:33" x14ac:dyDescent="0.25">
      <c r="AG52">
        <f ca="1">IFERROR(中信三级行业指数热度!G52+ROW()*0.0000000001,-9999)</f>
        <v>5.8183798263364409E-2</v>
      </c>
    </row>
    <row r="53" spans="33:33" x14ac:dyDescent="0.25">
      <c r="AG53">
        <f ca="1">IFERROR(中信三级行业指数热度!G53+ROW()*0.0000000001,-9999)</f>
        <v>0.6479497414663028</v>
      </c>
    </row>
    <row r="54" spans="33:33" x14ac:dyDescent="0.25">
      <c r="AG54">
        <f ca="1">IFERROR(中信三级行业指数热度!G54+ROW()*0.0000000001,-9999)</f>
        <v>-1.042184488896877</v>
      </c>
    </row>
    <row r="55" spans="33:33" x14ac:dyDescent="0.25">
      <c r="AG55">
        <f ca="1">IFERROR(中信三级行业指数热度!G55+ROW()*0.0000000001,-9999)</f>
        <v>0.70572738105994692</v>
      </c>
    </row>
    <row r="56" spans="33:33" x14ac:dyDescent="0.25">
      <c r="AG56">
        <f ca="1">IFERROR(中信三级行业指数热度!G56+ROW()*0.0000000001,-9999)</f>
        <v>0.14980622774086802</v>
      </c>
    </row>
    <row r="57" spans="33:33" x14ac:dyDescent="0.25">
      <c r="AG57">
        <f ca="1">IFERROR(中信三级行业指数热度!G57+ROW()*0.0000000001,-9999)</f>
        <v>-0.4853845407588363</v>
      </c>
    </row>
    <row r="58" spans="33:33" x14ac:dyDescent="0.25">
      <c r="AG58">
        <f ca="1">IFERROR(中信三级行业指数热度!G58+ROW()*0.0000000001,-9999)</f>
        <v>-0.10361753623123741</v>
      </c>
    </row>
    <row r="59" spans="33:33" x14ac:dyDescent="0.25">
      <c r="AG59">
        <f ca="1">IFERROR(中信三级行业指数热度!G59+ROW()*0.0000000001,-9999)</f>
        <v>-0.74501159469085687</v>
      </c>
    </row>
    <row r="60" spans="33:33" x14ac:dyDescent="0.25">
      <c r="AG60">
        <f ca="1">IFERROR(中信三级行业指数热度!G60+ROW()*0.0000000001,-9999)</f>
        <v>7.9697260667995262E-2</v>
      </c>
    </row>
    <row r="61" spans="33:33" x14ac:dyDescent="0.25">
      <c r="AG61">
        <f ca="1">IFERROR(中信三级行业指数热度!G61+ROW()*0.0000000001,-9999)</f>
        <v>0.19627465852618714</v>
      </c>
    </row>
    <row r="62" spans="33:33" x14ac:dyDescent="0.25">
      <c r="AG62">
        <f ca="1">IFERROR(中信三级行业指数热度!G62+ROW()*0.0000000001,-9999)</f>
        <v>0.21327028481990146</v>
      </c>
    </row>
    <row r="63" spans="33:33" x14ac:dyDescent="0.25">
      <c r="AG63">
        <f ca="1">IFERROR(中信三级行业指数热度!G63+ROW()*0.0000000001,-9999)</f>
        <v>1.3421300233564188</v>
      </c>
    </row>
    <row r="64" spans="33:33" x14ac:dyDescent="0.25">
      <c r="AG64">
        <f ca="1">IFERROR(中信三级行业指数热度!G64+ROW()*0.0000000001,-9999)</f>
        <v>0.35709041195659041</v>
      </c>
    </row>
    <row r="65" spans="33:33" x14ac:dyDescent="0.25">
      <c r="AG65">
        <f ca="1">IFERROR(中信三级行业指数热度!G65+ROW()*0.0000000001,-9999)</f>
        <v>-1.1765710883995233E-2</v>
      </c>
    </row>
    <row r="66" spans="33:33" x14ac:dyDescent="0.25">
      <c r="AG66">
        <f ca="1">IFERROR(中信三级行业指数热度!G66+ROW()*0.0000000001,-9999)</f>
        <v>-0.11890259590930584</v>
      </c>
    </row>
    <row r="67" spans="33:33" x14ac:dyDescent="0.25">
      <c r="AG67">
        <f ca="1">IFERROR(中信三级行业指数热度!G67+ROW()*0.0000000001,-9999)</f>
        <v>6.9116217235750121E-2</v>
      </c>
    </row>
    <row r="68" spans="33:33" x14ac:dyDescent="0.25">
      <c r="AG68">
        <f ca="1">IFERROR(中信三级行业指数热度!G68+ROW()*0.0000000001,-9999)</f>
        <v>-0.53829755403064949</v>
      </c>
    </row>
    <row r="69" spans="33:33" x14ac:dyDescent="0.25">
      <c r="AG69">
        <f ca="1">IFERROR(中信三级行业指数热度!G69+ROW()*0.0000000001,-9999)</f>
        <v>-0.65118288077836761</v>
      </c>
    </row>
    <row r="70" spans="33:33" x14ac:dyDescent="0.25">
      <c r="AG70">
        <f ca="1">IFERROR(中信三级行业指数热度!G70+ROW()*0.0000000001,-9999)</f>
        <v>9.2477341546908759E-2</v>
      </c>
    </row>
    <row r="71" spans="33:33" x14ac:dyDescent="0.25">
      <c r="AG71">
        <f ca="1">IFERROR(中信三级行业指数热度!G71+ROW()*0.0000000001,-9999)</f>
        <v>5.7752637197822608E-2</v>
      </c>
    </row>
    <row r="72" spans="33:33" x14ac:dyDescent="0.25">
      <c r="AG72">
        <f ca="1">IFERROR(中信三级行业指数热度!G72+ROW()*0.0000000001,-9999)</f>
        <v>-0.22887925087056729</v>
      </c>
    </row>
    <row r="73" spans="33:33" x14ac:dyDescent="0.25">
      <c r="AG73">
        <f ca="1">IFERROR(中信三级行业指数热度!G73+ROW()*0.0000000001,-9999)</f>
        <v>-0.20874902795410605</v>
      </c>
    </row>
    <row r="74" spans="33:33" x14ac:dyDescent="0.25">
      <c r="AG74">
        <f ca="1">IFERROR(中信三级行业指数热度!G74+ROW()*0.0000000001,-9999)</f>
        <v>-0.89459104077486207</v>
      </c>
    </row>
    <row r="75" spans="33:33" x14ac:dyDescent="0.25">
      <c r="AG75">
        <f ca="1">IFERROR(中信三级行业指数热度!G75+ROW()*0.0000000001,-9999)</f>
        <v>1.2781208439974223</v>
      </c>
    </row>
    <row r="76" spans="33:33" x14ac:dyDescent="0.25">
      <c r="AG76">
        <f ca="1">IFERROR(中信三级行业指数热度!G76+ROW()*0.0000000001,-9999)</f>
        <v>0.94882303639301324</v>
      </c>
    </row>
    <row r="77" spans="33:33" x14ac:dyDescent="0.25">
      <c r="AG77">
        <f ca="1">IFERROR(中信三级行业指数热度!G77+ROW()*0.0000000001,-9999)</f>
        <v>-0.14160430835889312</v>
      </c>
    </row>
    <row r="78" spans="33:33" x14ac:dyDescent="0.25">
      <c r="AG78">
        <f ca="1">IFERROR(中信三级行业指数热度!G78+ROW()*0.0000000001,-9999)</f>
        <v>-0.4421433191362607</v>
      </c>
    </row>
    <row r="79" spans="33:33" x14ac:dyDescent="0.25">
      <c r="AG79">
        <f ca="1">IFERROR(中信三级行业指数热度!G79+ROW()*0.0000000001,-9999)</f>
        <v>0.24853841252002395</v>
      </c>
    </row>
    <row r="80" spans="33:33" x14ac:dyDescent="0.25">
      <c r="AG80">
        <f ca="1">IFERROR(中信三级行业指数热度!G80+ROW()*0.0000000001,-9999)</f>
        <v>-0.33299913642919854</v>
      </c>
    </row>
    <row r="81" spans="33:33" x14ac:dyDescent="0.25">
      <c r="AG81">
        <f ca="1">IFERROR(中信三级行业指数热度!G81+ROW()*0.0000000001,-9999)</f>
        <v>-0.21642929617089701</v>
      </c>
    </row>
    <row r="82" spans="33:33" x14ac:dyDescent="0.25">
      <c r="AG82">
        <f ca="1">IFERROR(中信三级行业指数热度!G82+ROW()*0.0000000001,-9999)</f>
        <v>0.26756344458327408</v>
      </c>
    </row>
    <row r="83" spans="33:33" x14ac:dyDescent="0.25">
      <c r="AG83">
        <f ca="1">IFERROR(中信三级行业指数热度!G83+ROW()*0.0000000001,-9999)</f>
        <v>9.2511237679139699E-2</v>
      </c>
    </row>
    <row r="84" spans="33:33" x14ac:dyDescent="0.25">
      <c r="AG84">
        <f ca="1">IFERROR(中信三级行业指数热度!G84+ROW()*0.0000000001,-9999)</f>
        <v>8.6322026021686066E-2</v>
      </c>
    </row>
    <row r="85" spans="33:33" x14ac:dyDescent="0.25">
      <c r="AG85">
        <f ca="1">IFERROR(中信三级行业指数热度!G85+ROW()*0.0000000001,-9999)</f>
        <v>2.052503359714466</v>
      </c>
    </row>
    <row r="86" spans="33:33" x14ac:dyDescent="0.25">
      <c r="AG86">
        <f ca="1">IFERROR(中信三级行业指数热度!G86+ROW()*0.0000000001,-9999)</f>
        <v>0.43081858609785179</v>
      </c>
    </row>
    <row r="87" spans="33:33" x14ac:dyDescent="0.25">
      <c r="AG87">
        <f ca="1">IFERROR(中信三级行业指数热度!G87+ROW()*0.0000000001,-9999)</f>
        <v>-0.45355959712651733</v>
      </c>
    </row>
    <row r="88" spans="33:33" x14ac:dyDescent="0.25">
      <c r="AG88">
        <f ca="1">IFERROR(中信三级行业指数热度!G88+ROW()*0.0000000001,-9999)</f>
        <v>0.42244598271534411</v>
      </c>
    </row>
    <row r="89" spans="33:33" x14ac:dyDescent="0.25">
      <c r="AG89">
        <f ca="1">IFERROR(中信三级行业指数热度!G89+ROW()*0.0000000001,-9999)</f>
        <v>0.33505650079080057</v>
      </c>
    </row>
    <row r="90" spans="33:33" x14ac:dyDescent="0.25">
      <c r="AG90">
        <f ca="1">IFERROR(中信三级行业指数热度!G90+ROW()*0.0000000001,-9999)</f>
        <v>-0.29471452764165312</v>
      </c>
    </row>
    <row r="91" spans="33:33" x14ac:dyDescent="0.25">
      <c r="AG91">
        <f ca="1">IFERROR(中信三级行业指数热度!G91+ROW()*0.0000000001,-9999)</f>
        <v>0.49351509864658727</v>
      </c>
    </row>
    <row r="92" spans="33:33" x14ac:dyDescent="0.25">
      <c r="AG92">
        <f ca="1">IFERROR(中信三级行业指数热度!G92+ROW()*0.0000000001,-9999)</f>
        <v>0.30522190232329194</v>
      </c>
    </row>
    <row r="93" spans="33:33" x14ac:dyDescent="0.25">
      <c r="AG93">
        <f ca="1">IFERROR(中信三级行业指数热度!G93+ROW()*0.0000000001,-9999)</f>
        <v>-0.3328928207168661</v>
      </c>
    </row>
    <row r="94" spans="33:33" x14ac:dyDescent="0.25">
      <c r="AG94">
        <f ca="1">IFERROR(中信三级行业指数热度!G94+ROW()*0.0000000001,-9999)</f>
        <v>0.34179718298057693</v>
      </c>
    </row>
    <row r="95" spans="33:33" x14ac:dyDescent="0.25">
      <c r="AG95">
        <f ca="1">IFERROR(中信三级行业指数热度!G95+ROW()*0.0000000001,-9999)</f>
        <v>2.0022686551877045</v>
      </c>
    </row>
    <row r="96" spans="33:33" x14ac:dyDescent="0.25">
      <c r="AG96">
        <f ca="1">IFERROR(中信三级行业指数热度!G96+ROW()*0.0000000001,-9999)</f>
        <v>-0.39266427820166783</v>
      </c>
    </row>
    <row r="97" spans="33:33" x14ac:dyDescent="0.25">
      <c r="AG97">
        <f ca="1">IFERROR(中信三级行业指数热度!G97+ROW()*0.0000000001,-9999)</f>
        <v>-8.2218512796353976E-2</v>
      </c>
    </row>
    <row r="98" spans="33:33" x14ac:dyDescent="0.25">
      <c r="AG98">
        <f ca="1">IFERROR(中信三级行业指数热度!G98+ROW()*0.0000000001,-9999)</f>
        <v>4.4189598505009219E-2</v>
      </c>
    </row>
    <row r="99" spans="33:33" x14ac:dyDescent="0.25">
      <c r="AG99">
        <f ca="1">IFERROR(中信三级行业指数热度!G99+ROW()*0.0000000001,-9999)</f>
        <v>-0.78959548687320325</v>
      </c>
    </row>
    <row r="100" spans="33:33" x14ac:dyDescent="0.25">
      <c r="AG100">
        <f ca="1">IFERROR(中信三级行业指数热度!G100+ROW()*0.0000000001,-9999)</f>
        <v>-0.17787228301446886</v>
      </c>
    </row>
    <row r="101" spans="33:33" x14ac:dyDescent="0.25">
      <c r="AG101">
        <f ca="1">IFERROR(中信三级行业指数热度!G101+ROW()*0.0000000001,-9999)</f>
        <v>-0.22898097610646956</v>
      </c>
    </row>
    <row r="102" spans="33:33" x14ac:dyDescent="0.25">
      <c r="AG102">
        <f ca="1">IFERROR(中信三级行业指数热度!G102+ROW()*0.0000000001,-9999)</f>
        <v>0.64393628817192816</v>
      </c>
    </row>
    <row r="103" spans="33:33" x14ac:dyDescent="0.25">
      <c r="AG103">
        <f ca="1">IFERROR(中信三级行业指数热度!G103+ROW()*0.0000000001,-9999)</f>
        <v>5.2358895161832919E-3</v>
      </c>
    </row>
    <row r="104" spans="33:33" x14ac:dyDescent="0.25">
      <c r="AG104">
        <f ca="1">IFERROR(中信三级行业指数热度!G104+ROW()*0.0000000001,-9999)</f>
        <v>-0.53668761539190457</v>
      </c>
    </row>
    <row r="105" spans="33:33" x14ac:dyDescent="0.25">
      <c r="AG105">
        <f ca="1">IFERROR(中信三级行业指数热度!G105+ROW()*0.0000000001,-9999)</f>
        <v>0.34596869919939011</v>
      </c>
    </row>
    <row r="106" spans="33:33" x14ac:dyDescent="0.25">
      <c r="AG106">
        <f ca="1">IFERROR(中信三级行业指数热度!G106+ROW()*0.0000000001,-9999)</f>
        <v>0.32827654367480219</v>
      </c>
    </row>
    <row r="107" spans="33:33" x14ac:dyDescent="0.25">
      <c r="AG107">
        <f ca="1">IFERROR(中信三级行业指数热度!G107+ROW()*0.0000000001,-9999)</f>
        <v>-0.33468147203980481</v>
      </c>
    </row>
    <row r="108" spans="33:33" x14ac:dyDescent="0.25">
      <c r="AG108">
        <f ca="1">IFERROR(中信三级行业指数热度!G108+ROW()*0.0000000001,-9999)</f>
        <v>-0.10821190966250427</v>
      </c>
    </row>
    <row r="109" spans="33:33" x14ac:dyDescent="0.25">
      <c r="AG109">
        <f ca="1">IFERROR(中信三级行业指数热度!G109+ROW()*0.0000000001,-9999)</f>
        <v>-0.13232353640624839</v>
      </c>
    </row>
    <row r="110" spans="33:33" x14ac:dyDescent="0.25">
      <c r="AG110">
        <f ca="1">IFERROR(中信三级行业指数热度!G110+ROW()*0.0000000001,-9999)</f>
        <v>-0.19702988911453925</v>
      </c>
    </row>
    <row r="111" spans="33:33" x14ac:dyDescent="0.25">
      <c r="AG111">
        <f ca="1">IFERROR(中信三级行业指数热度!G111+ROW()*0.0000000001,-9999)</f>
        <v>-0.66488290841987085</v>
      </c>
    </row>
    <row r="112" spans="33:33" x14ac:dyDescent="0.25">
      <c r="AG112">
        <f ca="1">IFERROR(中信三级行业指数热度!G112+ROW()*0.0000000001,-9999)</f>
        <v>-0.57460487684530748</v>
      </c>
    </row>
    <row r="113" spans="33:33" x14ac:dyDescent="0.25">
      <c r="AG113">
        <f ca="1">IFERROR(中信三级行业指数热度!G113+ROW()*0.0000000001,-9999)</f>
        <v>-2.7569117822955725E-2</v>
      </c>
    </row>
    <row r="114" spans="33:33" x14ac:dyDescent="0.25">
      <c r="AG114">
        <f ca="1">IFERROR(中信三级行业指数热度!G114+ROW()*0.0000000001,-9999)</f>
        <v>-0.57254275519786935</v>
      </c>
    </row>
    <row r="115" spans="33:33" x14ac:dyDescent="0.25">
      <c r="AG115">
        <f ca="1">IFERROR(中信三级行业指数热度!G115+ROW()*0.0000000001,-9999)</f>
        <v>-2.9939018302520388E-2</v>
      </c>
    </row>
    <row r="116" spans="33:33" x14ac:dyDescent="0.25">
      <c r="AG116">
        <f ca="1">IFERROR(中信三级行业指数热度!G116+ROW()*0.0000000001,-9999)</f>
        <v>-0.18713424410236476</v>
      </c>
    </row>
    <row r="117" spans="33:33" x14ac:dyDescent="0.25">
      <c r="AG117">
        <f ca="1">IFERROR(中信三级行业指数热度!G117+ROW()*0.0000000001,-9999)</f>
        <v>0.55243730291122461</v>
      </c>
    </row>
    <row r="118" spans="33:33" x14ac:dyDescent="0.25">
      <c r="AG118">
        <f ca="1">IFERROR(中信三级行业指数热度!G118+ROW()*0.0000000001,-9999)</f>
        <v>0.25140490172749841</v>
      </c>
    </row>
    <row r="119" spans="33:33" x14ac:dyDescent="0.25">
      <c r="AG119">
        <f ca="1">IFERROR(中信三级行业指数热度!G119+ROW()*0.0000000001,-9999)</f>
        <v>-0.22171719158802769</v>
      </c>
    </row>
    <row r="120" spans="33:33" x14ac:dyDescent="0.25">
      <c r="AG120">
        <f ca="1">IFERROR(中信三级行业指数热度!G120+ROW()*0.0000000001,-9999)</f>
        <v>0.25635180909488808</v>
      </c>
    </row>
    <row r="121" spans="33:33" x14ac:dyDescent="0.25">
      <c r="AG121">
        <f ca="1">IFERROR(中信三级行业指数热度!G121+ROW()*0.0000000001,-9999)</f>
        <v>3.9344670888932898E-2</v>
      </c>
    </row>
    <row r="122" spans="33:33" x14ac:dyDescent="0.25">
      <c r="AG122">
        <f ca="1">IFERROR(中信三级行业指数热度!G122+ROW()*0.0000000001,-9999)</f>
        <v>-0.420291163675654</v>
      </c>
    </row>
    <row r="123" spans="33:33" x14ac:dyDescent="0.25">
      <c r="AG123">
        <f ca="1">IFERROR(中信三级行业指数热度!G123+ROW()*0.0000000001,-9999)</f>
        <v>-0.19286203348350731</v>
      </c>
    </row>
    <row r="124" spans="33:33" x14ac:dyDescent="0.25">
      <c r="AG124">
        <f ca="1">IFERROR(中信三级行业指数热度!G124+ROW()*0.0000000001,-9999)</f>
        <v>0.78337594744970551</v>
      </c>
    </row>
    <row r="125" spans="33:33" x14ac:dyDescent="0.25">
      <c r="AG125">
        <f ca="1">IFERROR(中信三级行业指数热度!G125+ROW()*0.0000000001,-9999)</f>
        <v>-0.28306948978603358</v>
      </c>
    </row>
    <row r="126" spans="33:33" x14ac:dyDescent="0.25">
      <c r="AG126">
        <f ca="1">IFERROR(中信三级行业指数热度!G126+ROW()*0.0000000001,-9999)</f>
        <v>0.26233728789133165</v>
      </c>
    </row>
    <row r="127" spans="33:33" x14ac:dyDescent="0.25">
      <c r="AG127">
        <f ca="1">IFERROR(中信三级行业指数热度!G127+ROW()*0.0000000001,-9999)</f>
        <v>-0.14719986048707051</v>
      </c>
    </row>
    <row r="128" spans="33:33" x14ac:dyDescent="0.25">
      <c r="AG128">
        <f ca="1">IFERROR(中信三级行业指数热度!G128+ROW()*0.0000000001,-9999)</f>
        <v>-0.46773892916778798</v>
      </c>
    </row>
    <row r="129" spans="33:33" x14ac:dyDescent="0.25">
      <c r="AG129">
        <f ca="1">IFERROR(中信三级行业指数热度!G129+ROW()*0.0000000001,-9999)</f>
        <v>0.25801675906490323</v>
      </c>
    </row>
    <row r="130" spans="33:33" x14ac:dyDescent="0.25">
      <c r="AG130">
        <f ca="1">IFERROR(中信三级行业指数热度!G130+ROW()*0.0000000001,-9999)</f>
        <v>-0.23534325965699263</v>
      </c>
    </row>
    <row r="131" spans="33:33" x14ac:dyDescent="0.25">
      <c r="AG131">
        <f ca="1">IFERROR(中信三级行业指数热度!G131+ROW()*0.0000000001,-9999)</f>
        <v>-0.25652163026672392</v>
      </c>
    </row>
    <row r="132" spans="33:33" x14ac:dyDescent="0.25">
      <c r="AG132">
        <f ca="1">IFERROR(中信三级行业指数热度!G132+ROW()*0.0000000001,-9999)</f>
        <v>-9.6175141406697459E-2</v>
      </c>
    </row>
    <row r="133" spans="33:33" x14ac:dyDescent="0.25">
      <c r="AG133">
        <f ca="1">IFERROR(中信三级行业指数热度!G133+ROW()*0.0000000001,-9999)</f>
        <v>2.6744295771874526E-3</v>
      </c>
    </row>
    <row r="134" spans="33:33" x14ac:dyDescent="0.25">
      <c r="AG134">
        <f ca="1">IFERROR(中信三级行业指数热度!G134+ROW()*0.0000000001,-9999)</f>
        <v>-0.2316781982811883</v>
      </c>
    </row>
    <row r="135" spans="33:33" x14ac:dyDescent="0.25">
      <c r="AG135">
        <f ca="1">IFERROR(中信三级行业指数热度!G135+ROW()*0.0000000001,-9999)</f>
        <v>-0.36713413747914037</v>
      </c>
    </row>
    <row r="136" spans="33:33" x14ac:dyDescent="0.25">
      <c r="AG136">
        <f ca="1">IFERROR(中信三级行业指数热度!G136+ROW()*0.0000000001,-9999)</f>
        <v>-2.5584471644904419E-2</v>
      </c>
    </row>
    <row r="137" spans="33:33" x14ac:dyDescent="0.25">
      <c r="AG137">
        <f ca="1">IFERROR(中信三级行业指数热度!G137+ROW()*0.0000000001,-9999)</f>
        <v>1.2059954867572775</v>
      </c>
    </row>
    <row r="138" spans="33:33" x14ac:dyDescent="0.25">
      <c r="AG138">
        <f ca="1">IFERROR(中信三级行业指数热度!G138+ROW()*0.0000000001,-9999)</f>
        <v>0.48226387652276487</v>
      </c>
    </row>
    <row r="139" spans="33:33" x14ac:dyDescent="0.25">
      <c r="AG139">
        <f ca="1">IFERROR(中信三级行业指数热度!G139+ROW()*0.0000000001,-9999)</f>
        <v>-5.4906932046676668E-2</v>
      </c>
    </row>
    <row r="140" spans="33:33" x14ac:dyDescent="0.25">
      <c r="AG140">
        <f ca="1">IFERROR(中信三级行业指数热度!G140+ROW()*0.0000000001,-9999)</f>
        <v>-0.58349030340236308</v>
      </c>
    </row>
    <row r="141" spans="33:33" x14ac:dyDescent="0.25">
      <c r="AG141">
        <f ca="1">IFERROR(中信三级行业指数热度!G141+ROW()*0.0000000001,-9999)</f>
        <v>-1.1642961713737078E-2</v>
      </c>
    </row>
    <row r="142" spans="33:33" x14ac:dyDescent="0.25">
      <c r="AG142">
        <f ca="1">IFERROR(中信三级行业指数热度!G142+ROW()*0.0000000001,-9999)</f>
        <v>-0.99513454051532024</v>
      </c>
    </row>
    <row r="143" spans="33:33" x14ac:dyDescent="0.25">
      <c r="AG143">
        <f ca="1">IFERROR(中信三级行业指数热度!G143+ROW()*0.0000000001,-9999)</f>
        <v>0.51913275774914214</v>
      </c>
    </row>
    <row r="144" spans="33:33" x14ac:dyDescent="0.25">
      <c r="AG144">
        <f ca="1">IFERROR(中信三级行业指数热度!G144+ROW()*0.0000000001,-9999)</f>
        <v>-0.26837110169286088</v>
      </c>
    </row>
    <row r="145" spans="33:33" x14ac:dyDescent="0.25">
      <c r="AG145">
        <f ca="1">IFERROR(中信三级行业指数热度!G145+ROW()*0.0000000001,-9999)</f>
        <v>3.2378674126325911E-2</v>
      </c>
    </row>
    <row r="146" spans="33:33" x14ac:dyDescent="0.25">
      <c r="AG146">
        <f ca="1">IFERROR(中信三级行业指数热度!G146+ROW()*0.0000000001,-9999)</f>
        <v>-0.28254240469624559</v>
      </c>
    </row>
    <row r="147" spans="33:33" x14ac:dyDescent="0.25">
      <c r="AG147">
        <f ca="1">IFERROR(中信三级行业指数热度!G147+ROW()*0.0000000001,-9999)</f>
        <v>1.1755142713347816E-3</v>
      </c>
    </row>
    <row r="148" spans="33:33" x14ac:dyDescent="0.25">
      <c r="AG148">
        <f ca="1">IFERROR(中信三级行业指数热度!G148+ROW()*0.0000000001,-9999)</f>
        <v>-3.4570997630879563E-2</v>
      </c>
    </row>
    <row r="149" spans="33:33" x14ac:dyDescent="0.25">
      <c r="AG149">
        <f ca="1">IFERROR(中信三级行业指数热度!G149+ROW()*0.0000000001,-9999)</f>
        <v>0.51665767909246385</v>
      </c>
    </row>
    <row r="150" spans="33:33" x14ac:dyDescent="0.25">
      <c r="AG150">
        <f ca="1">IFERROR(中信三级行业指数热度!G150+ROW()*0.0000000001,-9999)</f>
        <v>-0.10479418696474131</v>
      </c>
    </row>
    <row r="151" spans="33:33" x14ac:dyDescent="0.25">
      <c r="AG151">
        <f ca="1">IFERROR(中信三级行业指数热度!G151+ROW()*0.0000000001,-9999)</f>
        <v>-0.11265018002830821</v>
      </c>
    </row>
    <row r="152" spans="33:33" x14ac:dyDescent="0.25">
      <c r="AG152">
        <f ca="1">IFERROR(中信三级行业指数热度!G152+ROW()*0.0000000001,-9999)</f>
        <v>-0.13898186178898889</v>
      </c>
    </row>
    <row r="153" spans="33:33" x14ac:dyDescent="0.25">
      <c r="AG153">
        <f ca="1">IFERROR(中信三级行业指数热度!G153+ROW()*0.0000000001,-9999)</f>
        <v>0.6092430891018068</v>
      </c>
    </row>
    <row r="154" spans="33:33" x14ac:dyDescent="0.25">
      <c r="AG154">
        <f ca="1">IFERROR(中信三级行业指数热度!G154+ROW()*0.0000000001,-9999)</f>
        <v>-9.068022851610541E-2</v>
      </c>
    </row>
    <row r="155" spans="33:33" x14ac:dyDescent="0.25">
      <c r="AG155">
        <f ca="1">IFERROR(中信三级行业指数热度!G155+ROW()*0.0000000001,-9999)</f>
        <v>-0.89972581942990815</v>
      </c>
    </row>
    <row r="156" spans="33:33" x14ac:dyDescent="0.25">
      <c r="AG156">
        <f ca="1">IFERROR(中信三级行业指数热度!G156+ROW()*0.0000000001,-9999)</f>
        <v>0.28228281321092547</v>
      </c>
    </row>
    <row r="157" spans="33:33" x14ac:dyDescent="0.25">
      <c r="AG157">
        <f ca="1">IFERROR(中信三级行业指数热度!G157+ROW()*0.0000000001,-9999)</f>
        <v>0.85930128926832139</v>
      </c>
    </row>
    <row r="158" spans="33:33" x14ac:dyDescent="0.25">
      <c r="AG158">
        <f ca="1">IFERROR(中信三级行业指数热度!G158+ROW()*0.0000000001,-9999)</f>
        <v>-0.53494797972381014</v>
      </c>
    </row>
    <row r="159" spans="33:33" x14ac:dyDescent="0.25">
      <c r="AG159">
        <f ca="1">IFERROR(中信三级行业指数热度!G159+ROW()*0.0000000001,-9999)</f>
        <v>-0.34277710305308984</v>
      </c>
    </row>
    <row r="160" spans="33:33" x14ac:dyDescent="0.25">
      <c r="AG160">
        <f ca="1">IFERROR(中信三级行业指数热度!G160+ROW()*0.0000000001,-9999)</f>
        <v>-0.12135931843364832</v>
      </c>
    </row>
    <row r="161" spans="33:33" x14ac:dyDescent="0.25">
      <c r="AG161">
        <f ca="1">IFERROR(中信三级行业指数热度!G161+ROW()*0.0000000001,-9999)</f>
        <v>-0.17882637401157553</v>
      </c>
    </row>
    <row r="162" spans="33:33" x14ac:dyDescent="0.25">
      <c r="AG162">
        <f ca="1">IFERROR(中信三级行业指数热度!G162+ROW()*0.0000000001,-9999)</f>
        <v>-3.5932508393390579E-2</v>
      </c>
    </row>
    <row r="163" spans="33:33" x14ac:dyDescent="0.25">
      <c r="AG163">
        <f ca="1">IFERROR(中信三级行业指数热度!G163+ROW()*0.0000000001,-9999)</f>
        <v>-0.25990494413614484</v>
      </c>
    </row>
    <row r="164" spans="33:33" x14ac:dyDescent="0.25">
      <c r="AG164">
        <f ca="1">IFERROR(中信三级行业指数热度!G164+ROW()*0.0000000001,-9999)</f>
        <v>-0.71905038561833801</v>
      </c>
    </row>
    <row r="165" spans="33:33" x14ac:dyDescent="0.25">
      <c r="AG165">
        <f ca="1">IFERROR(中信三级行业指数热度!G165+ROW()*0.0000000001,-9999)</f>
        <v>0.5146954563292625</v>
      </c>
    </row>
    <row r="166" spans="33:33" x14ac:dyDescent="0.25">
      <c r="AG166">
        <f ca="1">IFERROR(中信三级行业指数热度!G166+ROW()*0.0000000001,-9999)</f>
        <v>-0.50751537070249508</v>
      </c>
    </row>
    <row r="167" spans="33:33" x14ac:dyDescent="0.25">
      <c r="AG167">
        <f ca="1">IFERROR(中信三级行业指数热度!G167+ROW()*0.0000000001,-9999)</f>
        <v>-0.23406739427478312</v>
      </c>
    </row>
    <row r="168" spans="33:33" x14ac:dyDescent="0.25">
      <c r="AG168">
        <f ca="1">IFERROR(中信三级行业指数热度!G168+ROW()*0.0000000001,-9999)</f>
        <v>-0.28872745066341776</v>
      </c>
    </row>
    <row r="169" spans="33:33" x14ac:dyDescent="0.25">
      <c r="AG169">
        <f ca="1">IFERROR(中信三级行业指数热度!G169+ROW()*0.0000000001,-9999)</f>
        <v>-0.22737327284371806</v>
      </c>
    </row>
    <row r="170" spans="33:33" x14ac:dyDescent="0.25">
      <c r="AG170">
        <f ca="1">IFERROR(中信三级行业指数热度!G170+ROW()*0.0000000001,-9999)</f>
        <v>-8.4839428412939091E-3</v>
      </c>
    </row>
    <row r="171" spans="33:33" x14ac:dyDescent="0.25">
      <c r="AG171">
        <f ca="1">IFERROR(中信三级行业指数热度!G171+ROW()*0.0000000001,-9999)</f>
        <v>1.2941043482466417</v>
      </c>
    </row>
    <row r="172" spans="33:33" x14ac:dyDescent="0.25">
      <c r="AG172">
        <f ca="1">IFERROR(中信三级行业指数热度!G172+ROW()*0.0000000001,-9999)</f>
        <v>0.64557978768282809</v>
      </c>
    </row>
    <row r="173" spans="33:33" x14ac:dyDescent="0.25">
      <c r="AG173">
        <f ca="1">IFERROR(中信三级行业指数热度!G173+ROW()*0.0000000001,-9999)</f>
        <v>-2.1935510323862529E-2</v>
      </c>
    </row>
    <row r="174" spans="33:33" x14ac:dyDescent="0.25">
      <c r="AG174">
        <f ca="1">IFERROR(中信三级行业指数热度!G174+ROW()*0.0000000001,-9999)</f>
        <v>2.3750334999390623</v>
      </c>
    </row>
    <row r="175" spans="33:33" x14ac:dyDescent="0.25">
      <c r="AG175">
        <f ca="1">IFERROR(中信三级行业指数热度!G175+ROW()*0.0000000001,-9999)</f>
        <v>0.18385524235145129</v>
      </c>
    </row>
    <row r="176" spans="33:33" x14ac:dyDescent="0.25">
      <c r="AG176">
        <f ca="1">IFERROR(中信三级行业指数热度!G176+ROW()*0.0000000001,-9999)</f>
        <v>-0.23933770185622405</v>
      </c>
    </row>
    <row r="177" spans="33:33" x14ac:dyDescent="0.25">
      <c r="AG177">
        <f ca="1">IFERROR(中信三级行业指数热度!G177+ROW()*0.0000000001,-9999)</f>
        <v>2.0565673220695115E-2</v>
      </c>
    </row>
    <row r="178" spans="33:33" x14ac:dyDescent="0.25">
      <c r="AG178">
        <f ca="1">IFERROR(中信三级行业指数热度!G178+ROW()*0.0000000001,-9999)</f>
        <v>-0.95763693665660266</v>
      </c>
    </row>
    <row r="179" spans="33:33" x14ac:dyDescent="0.25">
      <c r="AG179">
        <f ca="1">IFERROR(中信三级行业指数热度!G179+ROW()*0.0000000001,-9999)</f>
        <v>-0.10146193923217676</v>
      </c>
    </row>
    <row r="180" spans="33:33" x14ac:dyDescent="0.25">
      <c r="AG180">
        <f ca="1">IFERROR(中信三级行业指数热度!G180+ROW()*0.0000000001,-9999)</f>
        <v>0.41504312750373601</v>
      </c>
    </row>
    <row r="181" spans="33:33" x14ac:dyDescent="0.25">
      <c r="AG181">
        <f ca="1">IFERROR(中信三级行业指数热度!G181+ROW()*0.0000000001,-9999)</f>
        <v>-5.7599245413974931E-2</v>
      </c>
    </row>
    <row r="182" spans="33:33" x14ac:dyDescent="0.25">
      <c r="AG182">
        <f ca="1">IFERROR(中信三级行业指数热度!G182+ROW()*0.0000000001,-9999)</f>
        <v>0.21552973523282742</v>
      </c>
    </row>
    <row r="183" spans="33:33" x14ac:dyDescent="0.25">
      <c r="AG183">
        <f ca="1">IFERROR(中信三级行业指数热度!G183+ROW()*0.0000000001,-9999)</f>
        <v>-0.73564629801291681</v>
      </c>
    </row>
    <row r="184" spans="33:33" x14ac:dyDescent="0.25">
      <c r="AG184">
        <f ca="1">IFERROR(中信三级行业指数热度!G184+ROW()*0.0000000001,-9999)</f>
        <v>1.7862541191542323E-2</v>
      </c>
    </row>
    <row r="185" spans="33:33" x14ac:dyDescent="0.25">
      <c r="AG185">
        <f ca="1">IFERROR(中信三级行业指数热度!G185+ROW()*0.0000000001,-9999)</f>
        <v>-2.7196295941619295E-2</v>
      </c>
    </row>
    <row r="186" spans="33:33" x14ac:dyDescent="0.25">
      <c r="AG186">
        <f ca="1">IFERROR(中信三级行业指数热度!G186+ROW()*0.0000000001,-9999)</f>
        <v>-0.46774230848779064</v>
      </c>
    </row>
    <row r="187" spans="33:33" x14ac:dyDescent="0.25">
      <c r="AG187">
        <f ca="1">IFERROR(中信三级行业指数热度!G187+ROW()*0.0000000001,-9999)</f>
        <v>-0.31485514975923767</v>
      </c>
    </row>
    <row r="188" spans="33:33" x14ac:dyDescent="0.25">
      <c r="AG188">
        <f ca="1">IFERROR(中信三级行业指数热度!G188+ROW()*0.0000000001,-9999)</f>
        <v>-0.15313500337670582</v>
      </c>
    </row>
    <row r="189" spans="33:33" x14ac:dyDescent="0.25">
      <c r="AG189">
        <f ca="1">IFERROR(中信三级行业指数热度!G189+ROW()*0.0000000001,-9999)</f>
        <v>0.65615140171702735</v>
      </c>
    </row>
    <row r="190" spans="33:33" x14ac:dyDescent="0.25">
      <c r="AG190">
        <f ca="1">IFERROR(中信三级行业指数热度!G190+ROW()*0.0000000001,-9999)</f>
        <v>-0.34545898841197287</v>
      </c>
    </row>
    <row r="191" spans="33:33" x14ac:dyDescent="0.25">
      <c r="AG191">
        <f ca="1">IFERROR(中信三级行业指数热度!G191+ROW()*0.0000000001,-9999)</f>
        <v>-0.1623058442915131</v>
      </c>
    </row>
    <row r="192" spans="33:33" x14ac:dyDescent="0.25">
      <c r="AG192">
        <f ca="1">IFERROR(中信三级行业指数热度!G192+ROW()*0.0000000001,-9999)</f>
        <v>-0.14583602934770171</v>
      </c>
    </row>
    <row r="193" spans="33:33" x14ac:dyDescent="0.25">
      <c r="AG193">
        <f ca="1">IFERROR(中信三级行业指数热度!G193+ROW()*0.0000000001,-9999)</f>
        <v>-0.24454583634233401</v>
      </c>
    </row>
    <row r="194" spans="33:33" x14ac:dyDescent="0.25">
      <c r="AG194">
        <f ca="1">IFERROR(中信三级行业指数热度!G194+ROW()*0.0000000001,-9999)</f>
        <v>0.61070841122724717</v>
      </c>
    </row>
    <row r="195" spans="33:33" x14ac:dyDescent="0.25">
      <c r="AG195">
        <f ca="1">IFERROR(中信三级行业指数热度!G195+ROW()*0.0000000001,-9999)</f>
        <v>-0.74060884292774021</v>
      </c>
    </row>
    <row r="196" spans="33:33" x14ac:dyDescent="0.25">
      <c r="AG196">
        <f ca="1">IFERROR(中信三级行业指数热度!G196+ROW()*0.0000000001,-9999)</f>
        <v>-2.9698758436572058E-2</v>
      </c>
    </row>
    <row r="197" spans="33:33" x14ac:dyDescent="0.25">
      <c r="AG197">
        <f ca="1">IFERROR(中信三级行业指数热度!G197+ROW()*0.0000000001,-9999)</f>
        <v>2.6193238714083446E-2</v>
      </c>
    </row>
    <row r="198" spans="33:33" x14ac:dyDescent="0.25">
      <c r="AG198">
        <f ca="1">IFERROR(中信三级行业指数热度!G198+ROW()*0.0000000001,-9999)</f>
        <v>-0.27829228841500075</v>
      </c>
    </row>
    <row r="199" spans="33:33" x14ac:dyDescent="0.25">
      <c r="AG199">
        <f ca="1">IFERROR(中信三级行业指数热度!G199+ROW()*0.0000000001,-9999)</f>
        <v>-0.20365054530538149</v>
      </c>
    </row>
    <row r="200" spans="33:33" x14ac:dyDescent="0.25">
      <c r="AG200">
        <f ca="1">IFERROR(中信三级行业指数热度!G200+ROW()*0.0000000001,-9999)</f>
        <v>-0.18417134001410929</v>
      </c>
    </row>
    <row r="201" spans="33:33" x14ac:dyDescent="0.25">
      <c r="AG201">
        <f ca="1">IFERROR(中信三级行业指数热度!G201+ROW()*0.0000000001,-9999)</f>
        <v>-0.42579049973933969</v>
      </c>
    </row>
    <row r="202" spans="33:33" x14ac:dyDescent="0.25">
      <c r="AG202">
        <f ca="1">IFERROR(中信三级行业指数热度!G202+ROW()*0.0000000001,-9999)</f>
        <v>0.26999180672050593</v>
      </c>
    </row>
    <row r="203" spans="33:33" x14ac:dyDescent="0.25">
      <c r="AG203">
        <f ca="1">IFERROR(中信三级行业指数热度!G203+ROW()*0.0000000001,-9999)</f>
        <v>-0.25234440004443803</v>
      </c>
    </row>
    <row r="204" spans="33:33" x14ac:dyDescent="0.25">
      <c r="AG204">
        <f ca="1">IFERROR(中信三级行业指数热度!G204+ROW()*0.0000000001,-9999)</f>
        <v>0.20775861274279714</v>
      </c>
    </row>
    <row r="205" spans="33:33" x14ac:dyDescent="0.25">
      <c r="AG205">
        <f ca="1">IFERROR(中信三级行业指数热度!G205+ROW()*0.0000000001,-9999)</f>
        <v>0.52835615830729488</v>
      </c>
    </row>
    <row r="206" spans="33:33" x14ac:dyDescent="0.25">
      <c r="AG206">
        <f ca="1">IFERROR(中信三级行业指数热度!G206+ROW()*0.0000000001,-9999)</f>
        <v>-0.13403783321303711</v>
      </c>
    </row>
    <row r="207" spans="33:33" x14ac:dyDescent="0.25">
      <c r="AG207">
        <f ca="1">IFERROR(中信三级行业指数热度!G207+ROW()*0.0000000001,-9999)</f>
        <v>-0.57831483919089488</v>
      </c>
    </row>
    <row r="208" spans="33:33" x14ac:dyDescent="0.25">
      <c r="AG208">
        <f ca="1">IFERROR(中信三级行业指数热度!G208+ROW()*0.0000000001,-9999)</f>
        <v>-0.1523455721151396</v>
      </c>
    </row>
    <row r="209" spans="33:33" x14ac:dyDescent="0.25">
      <c r="AG209">
        <f ca="1">IFERROR(中信三级行业指数热度!G209+ROW()*0.0000000001,-9999)</f>
        <v>-0.28684469739333468</v>
      </c>
    </row>
    <row r="210" spans="33:33" x14ac:dyDescent="0.25">
      <c r="AG210">
        <f ca="1">IFERROR(中信三级行业指数热度!G210+ROW()*0.0000000001,-9999)</f>
        <v>-0.38375307593522817</v>
      </c>
    </row>
    <row r="211" spans="33:33" x14ac:dyDescent="0.25">
      <c r="AG211">
        <f ca="1">IFERROR(中信三级行业指数热度!G211+ROW()*0.0000000001,-9999)</f>
        <v>-0.58992595905662759</v>
      </c>
    </row>
    <row r="212" spans="33:33" x14ac:dyDescent="0.25">
      <c r="AG212">
        <f ca="1">IFERROR(中信三级行业指数热度!G212+ROW()*0.0000000001,-9999)</f>
        <v>-0.31991918186197799</v>
      </c>
    </row>
    <row r="213" spans="33:33" x14ac:dyDescent="0.25">
      <c r="AG213">
        <f ca="1">IFERROR(中信三级行业指数热度!G213+ROW()*0.0000000001,-9999)</f>
        <v>-0.89045901808420491</v>
      </c>
    </row>
    <row r="214" spans="33:33" x14ac:dyDescent="0.25">
      <c r="AG214">
        <f ca="1">IFERROR(中信三级行业指数热度!G214+ROW()*0.0000000001,-9999)</f>
        <v>0.46130792152935352</v>
      </c>
    </row>
    <row r="215" spans="33:33" x14ac:dyDescent="0.25">
      <c r="AG215">
        <f ca="1">IFERROR(中信三级行业指数热度!G215+ROW()*0.0000000001,-9999)</f>
        <v>-0.49102167489638693</v>
      </c>
    </row>
    <row r="216" spans="33:33" x14ac:dyDescent="0.25">
      <c r="AG216">
        <f ca="1">IFERROR(中信三级行业指数热度!G216+ROW()*0.0000000001,-9999)</f>
        <v>0.36090964292150907</v>
      </c>
    </row>
    <row r="217" spans="33:33" x14ac:dyDescent="0.25">
      <c r="AG217">
        <f ca="1">IFERROR(中信三级行业指数热度!G217+ROW()*0.0000000001,-9999)</f>
        <v>-0.43114983759739378</v>
      </c>
    </row>
    <row r="218" spans="33:33" x14ac:dyDescent="0.25">
      <c r="AG218">
        <f ca="1">IFERROR(中信三级行业指数热度!G218+ROW()*0.0000000001,-9999)</f>
        <v>3.4000108334979189E-3</v>
      </c>
    </row>
    <row r="219" spans="33:33" x14ac:dyDescent="0.25">
      <c r="AG219">
        <f ca="1">IFERROR(中信三级行业指数热度!G219+ROW()*0.0000000001,-9999)</f>
        <v>-0.23899551208653128</v>
      </c>
    </row>
    <row r="220" spans="33:33" x14ac:dyDescent="0.25">
      <c r="AG220">
        <f ca="1">IFERROR(中信三级行业指数热度!G220+ROW()*0.0000000001,-9999)</f>
        <v>-0.47081017489402094</v>
      </c>
    </row>
    <row r="221" spans="33:33" x14ac:dyDescent="0.25">
      <c r="AG221">
        <f ca="1">IFERROR(中信三级行业指数热度!G221+ROW()*0.0000000001,-9999)</f>
        <v>-1.2446738616080864</v>
      </c>
    </row>
    <row r="222" spans="33:33" x14ac:dyDescent="0.25">
      <c r="AG222">
        <f ca="1">IFERROR(中信三级行业指数热度!G222+ROW()*0.0000000001,-9999)</f>
        <v>-0.70126481144273134</v>
      </c>
    </row>
    <row r="223" spans="33:33" x14ac:dyDescent="0.25">
      <c r="AG223">
        <f ca="1">IFERROR(中信三级行业指数热度!G223+ROW()*0.0000000001,-9999)</f>
        <v>-0.40706697755971483</v>
      </c>
    </row>
    <row r="224" spans="33:33" x14ac:dyDescent="0.25">
      <c r="AG224">
        <f ca="1">IFERROR(中信三级行业指数热度!G224+ROW()*0.0000000001,-9999)</f>
        <v>-0.21856084141870155</v>
      </c>
    </row>
    <row r="225" spans="33:33" x14ac:dyDescent="0.25">
      <c r="AG225">
        <f ca="1">IFERROR(中信三级行业指数热度!G225+ROW()*0.0000000001,-9999)</f>
        <v>0.71776950544218598</v>
      </c>
    </row>
    <row r="226" spans="33:33" x14ac:dyDescent="0.25">
      <c r="AG226">
        <f ca="1">IFERROR(中信三级行业指数热度!G226+ROW()*0.0000000001,-9999)</f>
        <v>-0.49766976798032403</v>
      </c>
    </row>
    <row r="227" spans="33:33" x14ac:dyDescent="0.25">
      <c r="AG227">
        <f ca="1">IFERROR(中信三级行业指数热度!G227+ROW()*0.0000000001,-9999)</f>
        <v>0.38941077783395539</v>
      </c>
    </row>
    <row r="228" spans="33:33" x14ac:dyDescent="0.25">
      <c r="AG228">
        <f ca="1">IFERROR(中信三级行业指数热度!G228+ROW()*0.0000000001,-9999)</f>
        <v>-0.14577887351709085</v>
      </c>
    </row>
    <row r="229" spans="33:33" x14ac:dyDescent="0.25">
      <c r="AG229">
        <f ca="1">IFERROR(中信三级行业指数热度!G229+ROW()*0.0000000001,-9999)</f>
        <v>8.454468026464633E-2</v>
      </c>
    </row>
    <row r="230" spans="33:33" x14ac:dyDescent="0.25">
      <c r="AG230">
        <f ca="1">IFERROR(中信三级行业指数热度!G230+ROW()*0.0000000001,-9999)</f>
        <v>-0.737535222063885</v>
      </c>
    </row>
    <row r="231" spans="33:33" x14ac:dyDescent="0.25">
      <c r="AG231">
        <f ca="1">IFERROR(中信三级行业指数热度!G231+ROW()*0.0000000001,-9999)</f>
        <v>-0.23363740084860787</v>
      </c>
    </row>
    <row r="232" spans="33:33" x14ac:dyDescent="0.25">
      <c r="AG232">
        <f ca="1">IFERROR(中信三级行业指数热度!G232+ROW()*0.0000000001,-9999)</f>
        <v>-0.48969636489906238</v>
      </c>
    </row>
    <row r="233" spans="33:33" x14ac:dyDescent="0.25">
      <c r="AG233">
        <f ca="1">IFERROR(中信三级行业指数热度!G233+ROW()*0.0000000001,-9999)</f>
        <v>-0.33739140653822802</v>
      </c>
    </row>
    <row r="234" spans="33:33" x14ac:dyDescent="0.25">
      <c r="AG234">
        <f ca="1">IFERROR(中信三级行业指数热度!G234+ROW()*0.0000000001,-9999)</f>
        <v>-0.52836250187408529</v>
      </c>
    </row>
    <row r="235" spans="33:33" x14ac:dyDescent="0.25">
      <c r="AG235">
        <f ca="1">IFERROR(中信三级行业指数热度!G235+ROW()*0.0000000001,-9999)</f>
        <v>0.1734327064200078</v>
      </c>
    </row>
    <row r="236" spans="33:33" x14ac:dyDescent="0.25">
      <c r="AG236">
        <f ca="1">IFERROR(中信三级行业指数热度!G236+ROW()*0.0000000001,-9999)</f>
        <v>0.18725892885876755</v>
      </c>
    </row>
    <row r="237" spans="33:33" x14ac:dyDescent="0.25">
      <c r="AG237">
        <f ca="1">IFERROR(中信三级行业指数热度!G237+ROW()*0.0000000001,-9999)</f>
        <v>-0.17228825718617688</v>
      </c>
    </row>
    <row r="238" spans="33:33" x14ac:dyDescent="0.25">
      <c r="AG238">
        <f ca="1">IFERROR(中信三级行业指数热度!G238+ROW()*0.0000000001,-9999)</f>
        <v>-0.17790754321470567</v>
      </c>
    </row>
    <row r="239" spans="33:33" x14ac:dyDescent="0.25">
      <c r="AG239">
        <f ca="1">IFERROR(中信三级行业指数热度!G239+ROW()*0.0000000001,-9999)</f>
        <v>0.82650847384988202</v>
      </c>
    </row>
    <row r="240" spans="33:33" x14ac:dyDescent="0.25">
      <c r="AG240">
        <f ca="1">IFERROR(中信三级行业指数热度!G240+ROW()*0.0000000001,-9999)</f>
        <v>-0.1775956409215238</v>
      </c>
    </row>
    <row r="241" spans="33:33" x14ac:dyDescent="0.25">
      <c r="AG241">
        <f ca="1">IFERROR(中信三级行业指数热度!G241+ROW()*0.0000000001,-9999)</f>
        <v>0.415605317001291</v>
      </c>
    </row>
    <row r="242" spans="33:33" x14ac:dyDescent="0.25">
      <c r="AG242">
        <f ca="1">IFERROR(中信三级行业指数热度!G242+ROW()*0.0000000001,-9999)</f>
        <v>-1.0674126544648914</v>
      </c>
    </row>
    <row r="243" spans="33:33" x14ac:dyDescent="0.25">
      <c r="AG243">
        <f ca="1">IFERROR(中信三级行业指数热度!G243+ROW()*0.0000000001,-9999)</f>
        <v>-1.8568585168028797</v>
      </c>
    </row>
    <row r="244" spans="33:33" x14ac:dyDescent="0.25">
      <c r="AG244">
        <f ca="1">IFERROR(中信三级行业指数热度!G244+ROW()*0.0000000001,-9999)</f>
        <v>0.24184065478914904</v>
      </c>
    </row>
    <row r="245" spans="33:33" x14ac:dyDescent="0.25">
      <c r="AG245">
        <f ca="1">IFERROR(中信三级行业指数热度!G245+ROW()*0.0000000001,-9999)</f>
        <v>-0.77499147894011111</v>
      </c>
    </row>
    <row r="246" spans="33:33" x14ac:dyDescent="0.25">
      <c r="AG246">
        <f ca="1">IFERROR(中信三级行业指数热度!G246+ROW()*0.0000000001,-9999)</f>
        <v>-0.88238171523036679</v>
      </c>
    </row>
    <row r="247" spans="33:33" x14ac:dyDescent="0.25">
      <c r="AG247">
        <f ca="1">IFERROR(中信三级行业指数热度!G247+ROW()*0.0000000001,-9999)</f>
        <v>0.34877119891209413</v>
      </c>
    </row>
    <row r="248" spans="33:33" x14ac:dyDescent="0.25">
      <c r="AG248">
        <f ca="1">IFERROR(中信三级行业指数热度!G248+ROW()*0.0000000001,-9999)</f>
        <v>0.12262101687530685</v>
      </c>
    </row>
    <row r="249" spans="33:33" x14ac:dyDescent="0.25">
      <c r="AG249">
        <f ca="1">IFERROR(中信三级行业指数热度!G249+ROW()*0.0000000001,-9999)</f>
        <v>-0.97231814604078637</v>
      </c>
    </row>
    <row r="250" spans="33:33" x14ac:dyDescent="0.25">
      <c r="AG250">
        <f ca="1">IFERROR(中信三级行业指数热度!G250+ROW()*0.0000000001,-9999)</f>
        <v>-0.49181049407876193</v>
      </c>
    </row>
    <row r="251" spans="33:33" x14ac:dyDescent="0.25">
      <c r="AG251">
        <f ca="1">IFERROR(中信三级行业指数热度!G251+ROW()*0.0000000001,-9999)</f>
        <v>-1.3921447501050153</v>
      </c>
    </row>
    <row r="252" spans="33:33" x14ac:dyDescent="0.25">
      <c r="AG252">
        <f ca="1">IFERROR(中信三级行业指数热度!G252+ROW()*0.0000000001,-9999)</f>
        <v>-0.44805609783835509</v>
      </c>
    </row>
    <row r="253" spans="33:33" x14ac:dyDescent="0.25">
      <c r="AG253">
        <f ca="1">IFERROR(中信三级行业指数热度!G253+ROW()*0.0000000001,-9999)</f>
        <v>-2.0107010213110299</v>
      </c>
    </row>
    <row r="254" spans="33:33" x14ac:dyDescent="0.25">
      <c r="AG254">
        <f ca="1">IFERROR(中信三级行业指数热度!G254+ROW()*0.0000000001,-9999)</f>
        <v>-0.54175591087888153</v>
      </c>
    </row>
    <row r="255" spans="33:33" x14ac:dyDescent="0.25">
      <c r="AG255">
        <f ca="1">IFERROR(中信三级行业指数热度!G255+ROW()*0.0000000001,-9999)</f>
        <v>-1.5241096535500382</v>
      </c>
    </row>
    <row r="256" spans="33:33" x14ac:dyDescent="0.25">
      <c r="AG256">
        <f ca="1">IFERROR(中信三级行业指数热度!G256+ROW()*0.0000000001,-9999)</f>
        <v>-0.22736091914730183</v>
      </c>
    </row>
    <row r="257" spans="33:33" x14ac:dyDescent="0.25">
      <c r="AG257">
        <f ca="1">IFERROR(中信三级行业指数热度!G257+ROW()*0.0000000001,-9999)</f>
        <v>-0.51062207556465666</v>
      </c>
    </row>
    <row r="258" spans="33:33" x14ac:dyDescent="0.25">
      <c r="AG258">
        <f ca="1">IFERROR(中信三级行业指数热度!G258+ROW()*0.0000000001,-9999)</f>
        <v>-0.46018907617287585</v>
      </c>
    </row>
    <row r="259" spans="33:33" x14ac:dyDescent="0.25">
      <c r="AG259">
        <f ca="1">IFERROR(中信三级行业指数热度!G259+ROW()*0.0000000001,-9999)</f>
        <v>-1.5092592316287112</v>
      </c>
    </row>
    <row r="260" spans="33:33" x14ac:dyDescent="0.25">
      <c r="AG260">
        <f ca="1">IFERROR(中信三级行业指数热度!G260+ROW()*0.0000000001,-9999)</f>
        <v>-0.96243539232493502</v>
      </c>
    </row>
    <row r="261" spans="33:33" x14ac:dyDescent="0.25">
      <c r="AG261">
        <f ca="1">IFERROR(中信三级行业指数热度!G261+ROW()*0.0000000001,-9999)</f>
        <v>-0.33278033855642147</v>
      </c>
    </row>
    <row r="262" spans="33:33" x14ac:dyDescent="0.25">
      <c r="AG262">
        <f ca="1">IFERROR(中信三级行业指数热度!G262+ROW()*0.0000000001,-9999)</f>
        <v>-0.91476834891488501</v>
      </c>
    </row>
  </sheetData>
  <mergeCells count="1">
    <mergeCell ref="B2:O2"/>
  </mergeCells>
  <phoneticPr fontId="17" type="noConversion"/>
  <conditionalFormatting sqref="B3:O21">
    <cfRule type="expression" dxfId="6" priority="1" stopIfTrue="1">
      <formula>R3&lt;=-7</formula>
    </cfRule>
    <cfRule type="expression" dxfId="5" priority="2" stopIfTrue="1">
      <formula>AND(R3&gt;-7,R3&lt;=-3)</formula>
    </cfRule>
    <cfRule type="expression" dxfId="4" priority="3" stopIfTrue="1">
      <formula>AND(R3&gt;-3,R3&lt;=-1)</formula>
    </cfRule>
    <cfRule type="expression" dxfId="3" priority="4" stopIfTrue="1">
      <formula>AND(R3&gt;-1,R3&lt;1)</formula>
    </cfRule>
    <cfRule type="expression" dxfId="2" priority="5" stopIfTrue="1">
      <formula>AND(R3&gt;=1,R3&lt;3)</formula>
    </cfRule>
    <cfRule type="expression" dxfId="1" priority="6" stopIfTrue="1">
      <formula>AND(R3&gt;=3,R3&lt;7)</formula>
    </cfRule>
    <cfRule type="expression" dxfId="0" priority="7" stopIfTrue="1">
      <formula>R3&gt;=7</formula>
    </cfRule>
  </conditionalFormatting>
  <conditionalFormatting sqref="F28:F47">
    <cfRule type="colorScale" priority="8">
      <colorScale>
        <cfvo type="min"/>
        <cfvo type="max"/>
        <color rgb="FFFFFFFF"/>
        <color rgb="FFC62828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44"/>
  <sheetViews>
    <sheetView workbookViewId="0"/>
  </sheetViews>
  <sheetFormatPr defaultRowHeight="14" x14ac:dyDescent="0.25"/>
  <cols>
    <col min="1" max="1" width="2" customWidth="1"/>
    <col min="2" max="2" width="104" customWidth="1"/>
  </cols>
  <sheetData>
    <row r="1" spans="2:2" ht="18.5" x14ac:dyDescent="0.3">
      <c r="B1" s="25" t="s">
        <v>3038</v>
      </c>
    </row>
    <row r="3" spans="2:2" ht="30" customHeight="1" x14ac:dyDescent="0.25">
      <c r="B3" s="26" t="s">
        <v>3039</v>
      </c>
    </row>
    <row r="5" spans="2:2" ht="16.5" x14ac:dyDescent="0.3">
      <c r="B5" s="27" t="s">
        <v>3040</v>
      </c>
    </row>
    <row r="6" spans="2:2" ht="15" customHeight="1" x14ac:dyDescent="0.25">
      <c r="B6" s="28" t="s">
        <v>3041</v>
      </c>
    </row>
    <row r="7" spans="2:2" ht="15" customHeight="1" x14ac:dyDescent="0.25">
      <c r="B7" s="28" t="s">
        <v>3042</v>
      </c>
    </row>
    <row r="8" spans="2:2" ht="30" customHeight="1" x14ac:dyDescent="0.25">
      <c r="B8" s="28" t="s">
        <v>3043</v>
      </c>
    </row>
    <row r="9" spans="2:2" ht="30" customHeight="1" x14ac:dyDescent="0.25">
      <c r="B9" s="28" t="s">
        <v>3044</v>
      </c>
    </row>
    <row r="11" spans="2:2" ht="16.5" x14ac:dyDescent="0.3">
      <c r="B11" s="27" t="s">
        <v>3045</v>
      </c>
    </row>
    <row r="12" spans="2:2" ht="15" customHeight="1" x14ac:dyDescent="0.25">
      <c r="B12" s="28" t="s">
        <v>3046</v>
      </c>
    </row>
    <row r="13" spans="2:2" ht="15" customHeight="1" x14ac:dyDescent="0.25">
      <c r="B13" s="29" t="s">
        <v>3047</v>
      </c>
    </row>
    <row r="14" spans="2:2" ht="15" customHeight="1" x14ac:dyDescent="0.25">
      <c r="B14" s="29" t="s">
        <v>3048</v>
      </c>
    </row>
    <row r="15" spans="2:2" ht="15" customHeight="1" x14ac:dyDescent="0.25">
      <c r="B15" s="29" t="s">
        <v>3049</v>
      </c>
    </row>
    <row r="16" spans="2:2" ht="15" customHeight="1" x14ac:dyDescent="0.25">
      <c r="B16" s="28" t="s">
        <v>3050</v>
      </c>
    </row>
    <row r="17" spans="2:2" ht="15" customHeight="1" x14ac:dyDescent="0.25">
      <c r="B17" s="29" t="e">
        <f>([1]!thsiFinD("ths_close_price_index",$A2,$AE$2,"","")/[1]!thsiFinD("ths_close_price_index",$A2,$AE$3,"","")-1)*100</f>
        <v>#DIV/0!</v>
      </c>
    </row>
    <row r="19" spans="2:2" ht="16.5" x14ac:dyDescent="0.3">
      <c r="B19" s="27" t="s">
        <v>3051</v>
      </c>
    </row>
    <row r="20" spans="2:2" ht="15" customHeight="1" x14ac:dyDescent="0.25">
      <c r="B20" s="26" t="s">
        <v>3052</v>
      </c>
    </row>
    <row r="21" spans="2:2" ht="15" customHeight="1" x14ac:dyDescent="0.25">
      <c r="B21" s="29" t="s">
        <v>3053</v>
      </c>
    </row>
    <row r="22" spans="2:2" ht="15" customHeight="1" x14ac:dyDescent="0.25">
      <c r="B22" s="29" t="s">
        <v>3054</v>
      </c>
    </row>
    <row r="23" spans="2:2" ht="15" customHeight="1" x14ac:dyDescent="0.25">
      <c r="B23" s="28" t="s">
        <v>3055</v>
      </c>
    </row>
    <row r="24" spans="2:2" ht="15" customHeight="1" x14ac:dyDescent="0.25">
      <c r="B24" s="28" t="s">
        <v>3056</v>
      </c>
    </row>
    <row r="25" spans="2:2" ht="15" customHeight="1" x14ac:dyDescent="0.25">
      <c r="B25" s="28" t="s">
        <v>3057</v>
      </c>
    </row>
    <row r="26" spans="2:2" ht="30" customHeight="1" x14ac:dyDescent="0.25">
      <c r="B26" s="28" t="s">
        <v>3058</v>
      </c>
    </row>
    <row r="27" spans="2:2" ht="30" customHeight="1" x14ac:dyDescent="0.25">
      <c r="B27" s="28" t="s">
        <v>3059</v>
      </c>
    </row>
    <row r="29" spans="2:2" ht="16.5" x14ac:dyDescent="0.3">
      <c r="B29" s="27" t="s">
        <v>3060</v>
      </c>
    </row>
    <row r="30" spans="2:2" ht="30" customHeight="1" x14ac:dyDescent="0.25">
      <c r="B30" s="28" t="s">
        <v>3061</v>
      </c>
    </row>
    <row r="31" spans="2:2" ht="15" customHeight="1" x14ac:dyDescent="0.25">
      <c r="B31" s="28" t="s">
        <v>3062</v>
      </c>
    </row>
    <row r="32" spans="2:2" ht="15" customHeight="1" x14ac:dyDescent="0.25">
      <c r="B32" s="28" t="s">
        <v>3063</v>
      </c>
    </row>
    <row r="33" spans="2:2" ht="15" customHeight="1" x14ac:dyDescent="0.25">
      <c r="B33" s="28" t="s">
        <v>3064</v>
      </c>
    </row>
    <row r="35" spans="2:2" ht="16.5" x14ac:dyDescent="0.3">
      <c r="B35" s="27" t="s">
        <v>3065</v>
      </c>
    </row>
    <row r="36" spans="2:2" ht="30" customHeight="1" x14ac:dyDescent="0.25">
      <c r="B36" s="28" t="s">
        <v>3066</v>
      </c>
    </row>
    <row r="37" spans="2:2" ht="15" customHeight="1" x14ac:dyDescent="0.25">
      <c r="B37" s="28" t="s">
        <v>3067</v>
      </c>
    </row>
    <row r="38" spans="2:2" ht="15" customHeight="1" x14ac:dyDescent="0.25">
      <c r="B38" s="28" t="s">
        <v>3068</v>
      </c>
    </row>
    <row r="40" spans="2:2" ht="16.5" x14ac:dyDescent="0.3">
      <c r="B40" s="27" t="s">
        <v>3069</v>
      </c>
    </row>
    <row r="41" spans="2:2" ht="15" customHeight="1" x14ac:dyDescent="0.25">
      <c r="B41" s="28" t="s">
        <v>3070</v>
      </c>
    </row>
    <row r="42" spans="2:2" ht="15" customHeight="1" x14ac:dyDescent="0.25">
      <c r="B42" s="28" t="s">
        <v>3071</v>
      </c>
    </row>
    <row r="43" spans="2:2" ht="30" customHeight="1" x14ac:dyDescent="0.25">
      <c r="B43" s="28" t="s">
        <v>3072</v>
      </c>
    </row>
    <row r="44" spans="2:2" ht="30" customHeight="1" x14ac:dyDescent="0.25">
      <c r="B44" s="28" t="s">
        <v>3073</v>
      </c>
    </row>
  </sheetData>
  <phoneticPr fontId="1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中信三级行业指数热度</vt:lpstr>
      <vt:lpstr>热点热力图</vt:lpstr>
      <vt:lpstr>动量加速度计算逻辑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白昕</cp:lastModifiedBy>
  <dcterms:created xsi:type="dcterms:W3CDTF">2026-06-23T12:37:00Z</dcterms:created>
  <dcterms:modified xsi:type="dcterms:W3CDTF">2026-06-26T04:27:51Z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0E9B2600195308AB178B3B6A61AC8679_42</vt:lpwstr>
  </property>
  <property fmtid="{D5CDD505-2E9C-101B-9397-08002B2CF9AE}" pid="3" name="KSOProductBuildVer">
    <vt:lpwstr>2052-6.14.0.8924</vt:lpwstr>
  </property>
</Properties>
</file>