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Desktop\"/>
    </mc:Choice>
  </mc:AlternateContent>
  <bookViews>
    <workbookView xWindow="0" yWindow="0" windowWidth="25600" windowHeight="11620"/>
  </bookViews>
  <sheets>
    <sheet name="概念指数热点监控" sheetId="1" r:id="rId1"/>
  </sheets>
  <externalReferences>
    <externalReference r:id="rId2"/>
  </externalReferences>
  <calcPr calcId="152511"/>
</workbook>
</file>

<file path=xl/calcChain.xml><?xml version="1.0" encoding="utf-8"?>
<calcChain xmlns="http://schemas.openxmlformats.org/spreadsheetml/2006/main">
  <c r="A2" i="1" l="1"/>
  <c r="C2" i="1" s="1"/>
  <c r="D2" i="1" s="1"/>
  <c r="D1" i="1" s="1"/>
  <c r="C5" i="1"/>
  <c r="C13" i="1"/>
  <c r="C21" i="1"/>
  <c r="C29" i="1"/>
  <c r="C37" i="1"/>
  <c r="C45" i="1"/>
  <c r="C53" i="1"/>
  <c r="C61" i="1"/>
  <c r="C69" i="1"/>
  <c r="C77" i="1"/>
  <c r="C85" i="1"/>
  <c r="C93" i="1"/>
  <c r="C101" i="1"/>
  <c r="C109" i="1"/>
  <c r="C117" i="1"/>
  <c r="C125" i="1"/>
  <c r="C133" i="1"/>
  <c r="C141" i="1"/>
  <c r="C149" i="1"/>
  <c r="C157" i="1"/>
  <c r="C165" i="1"/>
  <c r="C173" i="1"/>
  <c r="C181" i="1"/>
  <c r="C189" i="1"/>
  <c r="C197" i="1"/>
  <c r="C205" i="1"/>
  <c r="C213" i="1"/>
  <c r="C221" i="1"/>
  <c r="C229" i="1"/>
  <c r="C237" i="1"/>
  <c r="C245" i="1"/>
  <c r="C253" i="1"/>
  <c r="C261" i="1"/>
  <c r="C269" i="1"/>
  <c r="C277" i="1"/>
  <c r="C285" i="1"/>
  <c r="C293" i="1"/>
  <c r="C301" i="1"/>
  <c r="C309" i="1"/>
  <c r="C317" i="1"/>
  <c r="C325" i="1"/>
  <c r="C333" i="1"/>
  <c r="C341" i="1"/>
  <c r="C349" i="1"/>
  <c r="C357" i="1"/>
  <c r="C365" i="1"/>
  <c r="C373" i="1"/>
  <c r="C381" i="1"/>
  <c r="C389" i="1"/>
  <c r="C6" i="1"/>
  <c r="C14" i="1"/>
  <c r="C22" i="1"/>
  <c r="C30" i="1"/>
  <c r="C38" i="1"/>
  <c r="C46" i="1"/>
  <c r="C54" i="1"/>
  <c r="C62" i="1"/>
  <c r="C70" i="1"/>
  <c r="C78" i="1"/>
  <c r="C86" i="1"/>
  <c r="C94" i="1"/>
  <c r="C102" i="1"/>
  <c r="C110" i="1"/>
  <c r="C118" i="1"/>
  <c r="C126" i="1"/>
  <c r="C134" i="1"/>
  <c r="C142" i="1"/>
  <c r="C150" i="1"/>
  <c r="C158" i="1"/>
  <c r="C166" i="1"/>
  <c r="C174" i="1"/>
  <c r="C182" i="1"/>
  <c r="C190" i="1"/>
  <c r="C198" i="1"/>
  <c r="C206" i="1"/>
  <c r="C214" i="1"/>
  <c r="C222" i="1"/>
  <c r="C230" i="1"/>
  <c r="C238" i="1"/>
  <c r="C246" i="1"/>
  <c r="C254" i="1"/>
  <c r="C262" i="1"/>
  <c r="C270" i="1"/>
  <c r="C278" i="1"/>
  <c r="C286" i="1"/>
  <c r="C294" i="1"/>
  <c r="C302" i="1"/>
  <c r="C310" i="1"/>
  <c r="C318" i="1"/>
  <c r="C326" i="1"/>
  <c r="C334" i="1"/>
  <c r="C342" i="1"/>
  <c r="C350" i="1"/>
  <c r="C358" i="1"/>
  <c r="C366" i="1"/>
  <c r="C374" i="1"/>
  <c r="C382" i="1"/>
  <c r="C390" i="1"/>
  <c r="C52" i="1"/>
  <c r="C108" i="1"/>
  <c r="C156" i="1"/>
  <c r="C212" i="1"/>
  <c r="C260" i="1"/>
  <c r="C308" i="1"/>
  <c r="C356" i="1"/>
  <c r="C7" i="1"/>
  <c r="C15" i="1"/>
  <c r="C23" i="1"/>
  <c r="C31" i="1"/>
  <c r="C39" i="1"/>
  <c r="C47" i="1"/>
  <c r="C55" i="1"/>
  <c r="C63" i="1"/>
  <c r="C71" i="1"/>
  <c r="C79" i="1"/>
  <c r="C87" i="1"/>
  <c r="C95" i="1"/>
  <c r="C103" i="1"/>
  <c r="C111" i="1"/>
  <c r="C119" i="1"/>
  <c r="C127" i="1"/>
  <c r="C135" i="1"/>
  <c r="C143" i="1"/>
  <c r="C151" i="1"/>
  <c r="C159" i="1"/>
  <c r="C167" i="1"/>
  <c r="C175" i="1"/>
  <c r="C183" i="1"/>
  <c r="C191" i="1"/>
  <c r="C199" i="1"/>
  <c r="C207" i="1"/>
  <c r="C215" i="1"/>
  <c r="C223" i="1"/>
  <c r="C231" i="1"/>
  <c r="C239" i="1"/>
  <c r="C247" i="1"/>
  <c r="C255" i="1"/>
  <c r="C263" i="1"/>
  <c r="C271" i="1"/>
  <c r="C279" i="1"/>
  <c r="C287" i="1"/>
  <c r="C295" i="1"/>
  <c r="C303" i="1"/>
  <c r="C311" i="1"/>
  <c r="C319" i="1"/>
  <c r="C327" i="1"/>
  <c r="C335" i="1"/>
  <c r="C343" i="1"/>
  <c r="C351" i="1"/>
  <c r="C359" i="1"/>
  <c r="C367" i="1"/>
  <c r="C375" i="1"/>
  <c r="C383" i="1"/>
  <c r="C391" i="1"/>
  <c r="C12" i="1"/>
  <c r="C140" i="1"/>
  <c r="C196" i="1"/>
  <c r="C252" i="1"/>
  <c r="C300" i="1"/>
  <c r="C348" i="1"/>
  <c r="C8" i="1"/>
  <c r="C16" i="1"/>
  <c r="C24" i="1"/>
  <c r="C32" i="1"/>
  <c r="C40" i="1"/>
  <c r="C48" i="1"/>
  <c r="C56" i="1"/>
  <c r="C64" i="1"/>
  <c r="C72" i="1"/>
  <c r="C80" i="1"/>
  <c r="C88" i="1"/>
  <c r="C96" i="1"/>
  <c r="C104" i="1"/>
  <c r="C112" i="1"/>
  <c r="C120" i="1"/>
  <c r="C128" i="1"/>
  <c r="C136" i="1"/>
  <c r="C144" i="1"/>
  <c r="C152" i="1"/>
  <c r="C160" i="1"/>
  <c r="C168" i="1"/>
  <c r="C176" i="1"/>
  <c r="C184" i="1"/>
  <c r="C192" i="1"/>
  <c r="C200" i="1"/>
  <c r="C208" i="1"/>
  <c r="C216" i="1"/>
  <c r="C224" i="1"/>
  <c r="C232" i="1"/>
  <c r="C240" i="1"/>
  <c r="C248" i="1"/>
  <c r="C256" i="1"/>
  <c r="C264" i="1"/>
  <c r="C272" i="1"/>
  <c r="C280" i="1"/>
  <c r="C288" i="1"/>
  <c r="C296" i="1"/>
  <c r="C304" i="1"/>
  <c r="C312" i="1"/>
  <c r="C320" i="1"/>
  <c r="C328" i="1"/>
  <c r="C336" i="1"/>
  <c r="C344" i="1"/>
  <c r="C352" i="1"/>
  <c r="C360" i="1"/>
  <c r="C368" i="1"/>
  <c r="C376" i="1"/>
  <c r="C384" i="1"/>
  <c r="C392" i="1"/>
  <c r="C28" i="1"/>
  <c r="C116" i="1"/>
  <c r="C164" i="1"/>
  <c r="C204" i="1"/>
  <c r="C236" i="1"/>
  <c r="C284" i="1"/>
  <c r="C332" i="1"/>
  <c r="C380" i="1"/>
  <c r="C9" i="1"/>
  <c r="C17" i="1"/>
  <c r="C25" i="1"/>
  <c r="C33" i="1"/>
  <c r="C41" i="1"/>
  <c r="C49" i="1"/>
  <c r="C57" i="1"/>
  <c r="C65" i="1"/>
  <c r="C73" i="1"/>
  <c r="C81" i="1"/>
  <c r="C89" i="1"/>
  <c r="C97" i="1"/>
  <c r="C105" i="1"/>
  <c r="C113" i="1"/>
  <c r="C121" i="1"/>
  <c r="C129" i="1"/>
  <c r="C137" i="1"/>
  <c r="C145" i="1"/>
  <c r="C153" i="1"/>
  <c r="C161" i="1"/>
  <c r="C169" i="1"/>
  <c r="C177" i="1"/>
  <c r="C185" i="1"/>
  <c r="C193" i="1"/>
  <c r="C201" i="1"/>
  <c r="C209" i="1"/>
  <c r="C217" i="1"/>
  <c r="C225" i="1"/>
  <c r="C233" i="1"/>
  <c r="C241" i="1"/>
  <c r="C249" i="1"/>
  <c r="C257" i="1"/>
  <c r="C265" i="1"/>
  <c r="C273" i="1"/>
  <c r="C281" i="1"/>
  <c r="C289" i="1"/>
  <c r="C297" i="1"/>
  <c r="C305" i="1"/>
  <c r="C313" i="1"/>
  <c r="C321" i="1"/>
  <c r="C329" i="1"/>
  <c r="C337" i="1"/>
  <c r="C345" i="1"/>
  <c r="C353" i="1"/>
  <c r="C361" i="1"/>
  <c r="C369" i="1"/>
  <c r="C377" i="1"/>
  <c r="C385" i="1"/>
  <c r="C393" i="1"/>
  <c r="C20" i="1"/>
  <c r="C148" i="1"/>
  <c r="C188" i="1"/>
  <c r="C244" i="1"/>
  <c r="C292" i="1"/>
  <c r="C340" i="1"/>
  <c r="C10" i="1"/>
  <c r="C18" i="1"/>
  <c r="C26" i="1"/>
  <c r="C34" i="1"/>
  <c r="C42" i="1"/>
  <c r="C50" i="1"/>
  <c r="C58" i="1"/>
  <c r="C66" i="1"/>
  <c r="C74" i="1"/>
  <c r="C82" i="1"/>
  <c r="C90" i="1"/>
  <c r="C98" i="1"/>
  <c r="C106" i="1"/>
  <c r="C114" i="1"/>
  <c r="C122" i="1"/>
  <c r="C130" i="1"/>
  <c r="C138" i="1"/>
  <c r="C146" i="1"/>
  <c r="C154" i="1"/>
  <c r="C162" i="1"/>
  <c r="C170" i="1"/>
  <c r="C178" i="1"/>
  <c r="C186" i="1"/>
  <c r="C194" i="1"/>
  <c r="C202" i="1"/>
  <c r="C210" i="1"/>
  <c r="C218" i="1"/>
  <c r="C226" i="1"/>
  <c r="C234" i="1"/>
  <c r="C242" i="1"/>
  <c r="C250" i="1"/>
  <c r="C258" i="1"/>
  <c r="C266" i="1"/>
  <c r="C274" i="1"/>
  <c r="C282" i="1"/>
  <c r="C290" i="1"/>
  <c r="C298" i="1"/>
  <c r="C306" i="1"/>
  <c r="C314" i="1"/>
  <c r="C322" i="1"/>
  <c r="C330" i="1"/>
  <c r="C338" i="1"/>
  <c r="C346" i="1"/>
  <c r="C354" i="1"/>
  <c r="C362" i="1"/>
  <c r="C370" i="1"/>
  <c r="C378" i="1"/>
  <c r="C386" i="1"/>
  <c r="C394" i="1"/>
  <c r="C44" i="1"/>
  <c r="C60" i="1"/>
  <c r="C76" i="1"/>
  <c r="C92" i="1"/>
  <c r="C124" i="1"/>
  <c r="C172" i="1"/>
  <c r="C220" i="1"/>
  <c r="C268" i="1"/>
  <c r="C316" i="1"/>
  <c r="C364" i="1"/>
  <c r="C388" i="1"/>
  <c r="C11" i="1"/>
  <c r="C19" i="1"/>
  <c r="C27" i="1"/>
  <c r="C35" i="1"/>
  <c r="C43" i="1"/>
  <c r="C51" i="1"/>
  <c r="C59" i="1"/>
  <c r="C67" i="1"/>
  <c r="C75" i="1"/>
  <c r="C83" i="1"/>
  <c r="C91" i="1"/>
  <c r="C99" i="1"/>
  <c r="C107" i="1"/>
  <c r="C115" i="1"/>
  <c r="C123" i="1"/>
  <c r="C131" i="1"/>
  <c r="C139" i="1"/>
  <c r="C147" i="1"/>
  <c r="C155" i="1"/>
  <c r="C163" i="1"/>
  <c r="C171" i="1"/>
  <c r="C179" i="1"/>
  <c r="C187" i="1"/>
  <c r="C195" i="1"/>
  <c r="C203" i="1"/>
  <c r="C211" i="1"/>
  <c r="C219" i="1"/>
  <c r="C227" i="1"/>
  <c r="C235" i="1"/>
  <c r="C243" i="1"/>
  <c r="C251" i="1"/>
  <c r="C259" i="1"/>
  <c r="C267" i="1"/>
  <c r="C275" i="1"/>
  <c r="C283" i="1"/>
  <c r="C291" i="1"/>
  <c r="C299" i="1"/>
  <c r="C307" i="1"/>
  <c r="C315" i="1"/>
  <c r="C323" i="1"/>
  <c r="C331" i="1"/>
  <c r="C339" i="1"/>
  <c r="C347" i="1"/>
  <c r="C355" i="1"/>
  <c r="C363" i="1"/>
  <c r="C371" i="1"/>
  <c r="C379" i="1"/>
  <c r="C387" i="1"/>
  <c r="C395" i="1"/>
  <c r="C36" i="1"/>
  <c r="C68" i="1"/>
  <c r="C84" i="1"/>
  <c r="C100" i="1"/>
  <c r="C132" i="1"/>
  <c r="C180" i="1"/>
  <c r="C228" i="1"/>
  <c r="C276" i="1"/>
  <c r="C324" i="1"/>
  <c r="C372" i="1"/>
  <c r="C396" i="1"/>
  <c r="D11" i="1"/>
  <c r="D5" i="1"/>
  <c r="D9" i="1"/>
  <c r="D13" i="1"/>
  <c r="D17" i="1"/>
  <c r="D21" i="1"/>
  <c r="D25" i="1"/>
  <c r="D29" i="1"/>
  <c r="D33" i="1"/>
  <c r="D37" i="1"/>
  <c r="D7" i="1"/>
  <c r="D23" i="1"/>
  <c r="D31" i="1"/>
  <c r="D43" i="1"/>
  <c r="D55" i="1"/>
  <c r="D67" i="1"/>
  <c r="D83" i="1"/>
  <c r="D95" i="1"/>
  <c r="D107" i="1"/>
  <c r="D119" i="1"/>
  <c r="D127" i="1"/>
  <c r="D139" i="1"/>
  <c r="D155" i="1"/>
  <c r="D167" i="1"/>
  <c r="D179" i="1"/>
  <c r="D191" i="1"/>
  <c r="D203" i="1"/>
  <c r="D215" i="1"/>
  <c r="D227" i="1"/>
  <c r="D243" i="1"/>
  <c r="D251" i="1"/>
  <c r="D267" i="1"/>
  <c r="D279" i="1"/>
  <c r="D295" i="1"/>
  <c r="D315" i="1"/>
  <c r="D327" i="1"/>
  <c r="D6" i="1"/>
  <c r="D10" i="1"/>
  <c r="D14" i="1"/>
  <c r="D18" i="1"/>
  <c r="D22" i="1"/>
  <c r="D26" i="1"/>
  <c r="D30" i="1"/>
  <c r="D34" i="1"/>
  <c r="D38" i="1"/>
  <c r="D42" i="1"/>
  <c r="D46" i="1"/>
  <c r="D50" i="1"/>
  <c r="D54" i="1"/>
  <c r="D58" i="1"/>
  <c r="D62" i="1"/>
  <c r="D66" i="1"/>
  <c r="D70" i="1"/>
  <c r="D74" i="1"/>
  <c r="D78" i="1"/>
  <c r="D82" i="1"/>
  <c r="D86" i="1"/>
  <c r="D90" i="1"/>
  <c r="D94" i="1"/>
  <c r="D98" i="1"/>
  <c r="D102" i="1"/>
  <c r="D106" i="1"/>
  <c r="D110" i="1"/>
  <c r="D114" i="1"/>
  <c r="D118" i="1"/>
  <c r="D122" i="1"/>
  <c r="D126" i="1"/>
  <c r="D130" i="1"/>
  <c r="D134" i="1"/>
  <c r="D138" i="1"/>
  <c r="D142" i="1"/>
  <c r="D146" i="1"/>
  <c r="D150" i="1"/>
  <c r="D154" i="1"/>
  <c r="D158" i="1"/>
  <c r="D162" i="1"/>
  <c r="D166" i="1"/>
  <c r="D170" i="1"/>
  <c r="D174" i="1"/>
  <c r="D178" i="1"/>
  <c r="D182" i="1"/>
  <c r="D186" i="1"/>
  <c r="D190" i="1"/>
  <c r="D194" i="1"/>
  <c r="D198" i="1"/>
  <c r="D202" i="1"/>
  <c r="D206" i="1"/>
  <c r="D210" i="1"/>
  <c r="D214" i="1"/>
  <c r="D218" i="1"/>
  <c r="D222" i="1"/>
  <c r="D226" i="1"/>
  <c r="D230" i="1"/>
  <c r="D234" i="1"/>
  <c r="D238" i="1"/>
  <c r="D242" i="1"/>
  <c r="D246" i="1"/>
  <c r="D250" i="1"/>
  <c r="D254" i="1"/>
  <c r="D258" i="1"/>
  <c r="D262" i="1"/>
  <c r="D266" i="1"/>
  <c r="D270" i="1"/>
  <c r="D274" i="1"/>
  <c r="D278" i="1"/>
  <c r="D282" i="1"/>
  <c r="D286" i="1"/>
  <c r="D290" i="1"/>
  <c r="D294" i="1"/>
  <c r="D298" i="1"/>
  <c r="D302" i="1"/>
  <c r="D306" i="1"/>
  <c r="D310" i="1"/>
  <c r="D314" i="1"/>
  <c r="D318" i="1"/>
  <c r="D322" i="1"/>
  <c r="D326" i="1"/>
  <c r="D330" i="1"/>
  <c r="D334" i="1"/>
  <c r="D338" i="1"/>
  <c r="D342" i="1"/>
  <c r="D346" i="1"/>
  <c r="D350" i="1"/>
  <c r="D354" i="1"/>
  <c r="D358" i="1"/>
  <c r="D362" i="1"/>
  <c r="D366" i="1"/>
  <c r="D370" i="1"/>
  <c r="D374" i="1"/>
  <c r="D378" i="1"/>
  <c r="D382" i="1"/>
  <c r="D386" i="1"/>
  <c r="D390" i="1"/>
  <c r="D394" i="1"/>
  <c r="D19" i="1"/>
  <c r="D27" i="1"/>
  <c r="D35" i="1"/>
  <c r="D47" i="1"/>
  <c r="D59" i="1"/>
  <c r="D71" i="1"/>
  <c r="D79" i="1"/>
  <c r="D91" i="1"/>
  <c r="D103" i="1"/>
  <c r="D111" i="1"/>
  <c r="D123" i="1"/>
  <c r="D135" i="1"/>
  <c r="D151" i="1"/>
  <c r="D163" i="1"/>
  <c r="D171" i="1"/>
  <c r="D183" i="1"/>
  <c r="D195" i="1"/>
  <c r="D207" i="1"/>
  <c r="D219" i="1"/>
  <c r="D231" i="1"/>
  <c r="D255" i="1"/>
  <c r="D271" i="1"/>
  <c r="D283" i="1"/>
  <c r="D299" i="1"/>
  <c r="D303" i="1"/>
  <c r="D319" i="1"/>
  <c r="D15" i="1"/>
  <c r="D39" i="1"/>
  <c r="D51" i="1"/>
  <c r="D63" i="1"/>
  <c r="D75" i="1"/>
  <c r="D87" i="1"/>
  <c r="D99" i="1"/>
  <c r="D115" i="1"/>
  <c r="D131" i="1"/>
  <c r="D143" i="1"/>
  <c r="D159" i="1"/>
  <c r="D175" i="1"/>
  <c r="D187" i="1"/>
  <c r="D199" i="1"/>
  <c r="D211" i="1"/>
  <c r="D223" i="1"/>
  <c r="D235" i="1"/>
  <c r="D247" i="1"/>
  <c r="D263" i="1"/>
  <c r="D275" i="1"/>
  <c r="D291" i="1"/>
  <c r="D307" i="1"/>
  <c r="D323" i="1"/>
  <c r="D147" i="1"/>
  <c r="D239" i="1"/>
  <c r="D259" i="1"/>
  <c r="D287" i="1"/>
  <c r="D311" i="1"/>
  <c r="D331" i="1"/>
  <c r="D8" i="1"/>
  <c r="D12" i="1"/>
  <c r="D16" i="1"/>
  <c r="D20" i="1"/>
  <c r="D24" i="1"/>
  <c r="D28" i="1"/>
  <c r="D32" i="1"/>
  <c r="D36" i="1"/>
  <c r="D40" i="1"/>
  <c r="D44" i="1"/>
  <c r="D48" i="1"/>
  <c r="D52" i="1"/>
  <c r="D56" i="1"/>
  <c r="D60" i="1"/>
  <c r="D64" i="1"/>
  <c r="D68" i="1"/>
  <c r="D72" i="1"/>
  <c r="D76" i="1"/>
  <c r="D80" i="1"/>
  <c r="D84" i="1"/>
  <c r="D88" i="1"/>
  <c r="D92" i="1"/>
  <c r="D96" i="1"/>
  <c r="D100" i="1"/>
  <c r="D104" i="1"/>
  <c r="D108" i="1"/>
  <c r="D112" i="1"/>
  <c r="D116" i="1"/>
  <c r="D120" i="1"/>
  <c r="D124" i="1"/>
  <c r="D128" i="1"/>
  <c r="D132" i="1"/>
  <c r="D136" i="1"/>
  <c r="D140" i="1"/>
  <c r="D144" i="1"/>
  <c r="D148" i="1"/>
  <c r="D152" i="1"/>
  <c r="D156" i="1"/>
  <c r="D160" i="1"/>
  <c r="D164" i="1"/>
  <c r="D168" i="1"/>
  <c r="D172" i="1"/>
  <c r="D176" i="1"/>
  <c r="D180" i="1"/>
  <c r="D184" i="1"/>
  <c r="D188" i="1"/>
  <c r="D192" i="1"/>
  <c r="D196" i="1"/>
  <c r="D200" i="1"/>
  <c r="D204" i="1"/>
  <c r="D208" i="1"/>
  <c r="D212" i="1"/>
  <c r="D216" i="1"/>
  <c r="D220" i="1"/>
  <c r="D224" i="1"/>
  <c r="D228" i="1"/>
  <c r="D232" i="1"/>
  <c r="D236" i="1"/>
  <c r="D240" i="1"/>
  <c r="D244" i="1"/>
  <c r="D248" i="1"/>
  <c r="D252" i="1"/>
  <c r="D256" i="1"/>
  <c r="D260" i="1"/>
  <c r="D264" i="1"/>
  <c r="D268" i="1"/>
  <c r="D272" i="1"/>
  <c r="D276" i="1"/>
  <c r="D280" i="1"/>
  <c r="D284" i="1"/>
  <c r="D288" i="1"/>
  <c r="D292" i="1"/>
  <c r="D296" i="1"/>
  <c r="D300" i="1"/>
  <c r="D304" i="1"/>
  <c r="D308" i="1"/>
  <c r="D312" i="1"/>
  <c r="D316" i="1"/>
  <c r="D320" i="1"/>
  <c r="D324" i="1"/>
  <c r="D328" i="1"/>
  <c r="D332" i="1"/>
  <c r="D336" i="1"/>
  <c r="D340" i="1"/>
  <c r="D344" i="1"/>
  <c r="D348" i="1"/>
  <c r="D352" i="1"/>
  <c r="D356" i="1"/>
  <c r="D360" i="1"/>
  <c r="D364" i="1"/>
  <c r="D368" i="1"/>
  <c r="D372" i="1"/>
  <c r="D376" i="1"/>
  <c r="D380" i="1"/>
  <c r="D384" i="1"/>
  <c r="D388" i="1"/>
  <c r="D392" i="1"/>
  <c r="D396" i="1"/>
  <c r="D41" i="1"/>
  <c r="D73" i="1"/>
  <c r="D105" i="1"/>
  <c r="D137" i="1"/>
  <c r="D169" i="1"/>
  <c r="D201" i="1"/>
  <c r="D233" i="1"/>
  <c r="D249" i="1"/>
  <c r="D265" i="1"/>
  <c r="D281" i="1"/>
  <c r="D297" i="1"/>
  <c r="D313" i="1"/>
  <c r="D329" i="1"/>
  <c r="D341" i="1"/>
  <c r="D363" i="1"/>
  <c r="D373" i="1"/>
  <c r="D395" i="1"/>
  <c r="D385" i="1"/>
  <c r="D377" i="1"/>
  <c r="D357" i="1"/>
  <c r="D391" i="1"/>
  <c r="D69" i="1"/>
  <c r="D45" i="1"/>
  <c r="D77" i="1"/>
  <c r="D109" i="1"/>
  <c r="D141" i="1"/>
  <c r="D173" i="1"/>
  <c r="D205" i="1"/>
  <c r="D343" i="1"/>
  <c r="D353" i="1"/>
  <c r="D375" i="1"/>
  <c r="D347" i="1"/>
  <c r="D389" i="1"/>
  <c r="D165" i="1"/>
  <c r="D49" i="1"/>
  <c r="D81" i="1"/>
  <c r="D113" i="1"/>
  <c r="D145" i="1"/>
  <c r="D177" i="1"/>
  <c r="D209" i="1"/>
  <c r="D237" i="1"/>
  <c r="D253" i="1"/>
  <c r="D269" i="1"/>
  <c r="D285" i="1"/>
  <c r="D301" i="1"/>
  <c r="D317" i="1"/>
  <c r="D333" i="1"/>
  <c r="D355" i="1"/>
  <c r="D365" i="1"/>
  <c r="D387" i="1"/>
  <c r="D53" i="1"/>
  <c r="D85" i="1"/>
  <c r="D117" i="1"/>
  <c r="D149" i="1"/>
  <c r="D181" i="1"/>
  <c r="D213" i="1"/>
  <c r="D335" i="1"/>
  <c r="D345" i="1"/>
  <c r="D367" i="1"/>
  <c r="D379" i="1"/>
  <c r="D371" i="1"/>
  <c r="D229" i="1"/>
  <c r="D383" i="1"/>
  <c r="D57" i="1"/>
  <c r="D89" i="1"/>
  <c r="D121" i="1"/>
  <c r="D153" i="1"/>
  <c r="D185" i="1"/>
  <c r="D217" i="1"/>
  <c r="D241" i="1"/>
  <c r="D257" i="1"/>
  <c r="D273" i="1"/>
  <c r="D289" i="1"/>
  <c r="D305" i="1"/>
  <c r="D321" i="1"/>
  <c r="D381" i="1"/>
  <c r="D197" i="1"/>
  <c r="D361" i="1"/>
  <c r="D61" i="1"/>
  <c r="D93" i="1"/>
  <c r="D125" i="1"/>
  <c r="D157" i="1"/>
  <c r="D189" i="1"/>
  <c r="D221" i="1"/>
  <c r="D337" i="1"/>
  <c r="D359" i="1"/>
  <c r="D369" i="1"/>
  <c r="D101" i="1"/>
  <c r="D393" i="1"/>
  <c r="D65" i="1"/>
  <c r="D97" i="1"/>
  <c r="D129" i="1"/>
  <c r="D161" i="1"/>
  <c r="D193" i="1"/>
  <c r="D225" i="1"/>
  <c r="D245" i="1"/>
  <c r="D261" i="1"/>
  <c r="D277" i="1"/>
  <c r="D293" i="1"/>
  <c r="D309" i="1"/>
  <c r="D325" i="1"/>
  <c r="D339" i="1"/>
  <c r="D349" i="1"/>
  <c r="D133" i="1"/>
  <c r="D351" i="1"/>
  <c r="D4" i="1"/>
  <c r="C4" i="1"/>
  <c r="E2" i="1" l="1"/>
  <c r="E1" i="1" l="1"/>
  <c r="E5" i="1"/>
  <c r="E9" i="1"/>
  <c r="E13" i="1"/>
  <c r="E17" i="1"/>
  <c r="E21" i="1"/>
  <c r="E25" i="1"/>
  <c r="E29" i="1"/>
  <c r="E33" i="1"/>
  <c r="E37" i="1"/>
  <c r="E41" i="1"/>
  <c r="E45" i="1"/>
  <c r="E49" i="1"/>
  <c r="E53" i="1"/>
  <c r="E57" i="1"/>
  <c r="E61" i="1"/>
  <c r="E65" i="1"/>
  <c r="E69" i="1"/>
  <c r="E73" i="1"/>
  <c r="E77" i="1"/>
  <c r="E81" i="1"/>
  <c r="E85" i="1"/>
  <c r="E89" i="1"/>
  <c r="E93" i="1"/>
  <c r="E97" i="1"/>
  <c r="E101" i="1"/>
  <c r="E105" i="1"/>
  <c r="E109" i="1"/>
  <c r="E113" i="1"/>
  <c r="E117" i="1"/>
  <c r="E121" i="1"/>
  <c r="E125" i="1"/>
  <c r="E129" i="1"/>
  <c r="E133" i="1"/>
  <c r="E137" i="1"/>
  <c r="E141" i="1"/>
  <c r="E145" i="1"/>
  <c r="E149" i="1"/>
  <c r="E153" i="1"/>
  <c r="E157" i="1"/>
  <c r="E161" i="1"/>
  <c r="E165" i="1"/>
  <c r="E169" i="1"/>
  <c r="E173" i="1"/>
  <c r="E177" i="1"/>
  <c r="E181" i="1"/>
  <c r="E185" i="1"/>
  <c r="E189" i="1"/>
  <c r="E193" i="1"/>
  <c r="E197" i="1"/>
  <c r="E201" i="1"/>
  <c r="E205" i="1"/>
  <c r="E209" i="1"/>
  <c r="E213" i="1"/>
  <c r="E217" i="1"/>
  <c r="E221" i="1"/>
  <c r="E225" i="1"/>
  <c r="E229" i="1"/>
  <c r="E233" i="1"/>
  <c r="E237" i="1"/>
  <c r="E241" i="1"/>
  <c r="E245" i="1"/>
  <c r="E249" i="1"/>
  <c r="E253" i="1"/>
  <c r="E257" i="1"/>
  <c r="E261" i="1"/>
  <c r="E265" i="1"/>
  <c r="E269" i="1"/>
  <c r="E273" i="1"/>
  <c r="E277" i="1"/>
  <c r="E281" i="1"/>
  <c r="E285" i="1"/>
  <c r="E289" i="1"/>
  <c r="E293" i="1"/>
  <c r="E297" i="1"/>
  <c r="E301" i="1"/>
  <c r="E305" i="1"/>
  <c r="E309" i="1"/>
  <c r="E313" i="1"/>
  <c r="E317" i="1"/>
  <c r="E321" i="1"/>
  <c r="E325" i="1"/>
  <c r="E329" i="1"/>
  <c r="E333" i="1"/>
  <c r="E337" i="1"/>
  <c r="E341" i="1"/>
  <c r="E345" i="1"/>
  <c r="E349" i="1"/>
  <c r="E353" i="1"/>
  <c r="E357" i="1"/>
  <c r="E361" i="1"/>
  <c r="E365" i="1"/>
  <c r="E369" i="1"/>
  <c r="E373" i="1"/>
  <c r="E377" i="1"/>
  <c r="E381" i="1"/>
  <c r="E385" i="1"/>
  <c r="E389" i="1"/>
  <c r="E393" i="1"/>
  <c r="E6" i="1"/>
  <c r="E10" i="1"/>
  <c r="E14" i="1"/>
  <c r="E18" i="1"/>
  <c r="E22" i="1"/>
  <c r="E26" i="1"/>
  <c r="E30" i="1"/>
  <c r="E34" i="1"/>
  <c r="E38" i="1"/>
  <c r="E42" i="1"/>
  <c r="E46" i="1"/>
  <c r="E50" i="1"/>
  <c r="E54" i="1"/>
  <c r="E58" i="1"/>
  <c r="E62" i="1"/>
  <c r="E66" i="1"/>
  <c r="E70" i="1"/>
  <c r="E74" i="1"/>
  <c r="E78" i="1"/>
  <c r="E82" i="1"/>
  <c r="E86" i="1"/>
  <c r="E90" i="1"/>
  <c r="E94" i="1"/>
  <c r="E98" i="1"/>
  <c r="E102" i="1"/>
  <c r="E106" i="1"/>
  <c r="E110" i="1"/>
  <c r="E114" i="1"/>
  <c r="E118" i="1"/>
  <c r="E122" i="1"/>
  <c r="E126" i="1"/>
  <c r="E130" i="1"/>
  <c r="E134" i="1"/>
  <c r="E138" i="1"/>
  <c r="E142" i="1"/>
  <c r="E146" i="1"/>
  <c r="E150" i="1"/>
  <c r="E154" i="1"/>
  <c r="E158" i="1"/>
  <c r="E162" i="1"/>
  <c r="E166" i="1"/>
  <c r="E170" i="1"/>
  <c r="E174" i="1"/>
  <c r="E178" i="1"/>
  <c r="E182" i="1"/>
  <c r="E186" i="1"/>
  <c r="E190" i="1"/>
  <c r="E194" i="1"/>
  <c r="E198" i="1"/>
  <c r="E202" i="1"/>
  <c r="E206" i="1"/>
  <c r="E210" i="1"/>
  <c r="E214" i="1"/>
  <c r="E218" i="1"/>
  <c r="E222" i="1"/>
  <c r="E226" i="1"/>
  <c r="E230" i="1"/>
  <c r="E234" i="1"/>
  <c r="E238" i="1"/>
  <c r="E242" i="1"/>
  <c r="E246" i="1"/>
  <c r="E250" i="1"/>
  <c r="E254" i="1"/>
  <c r="E258" i="1"/>
  <c r="E262" i="1"/>
  <c r="E266" i="1"/>
  <c r="E270" i="1"/>
  <c r="E274" i="1"/>
  <c r="E278" i="1"/>
  <c r="E282" i="1"/>
  <c r="E286" i="1"/>
  <c r="E290" i="1"/>
  <c r="E294" i="1"/>
  <c r="E298" i="1"/>
  <c r="E302" i="1"/>
  <c r="E306" i="1"/>
  <c r="E310" i="1"/>
  <c r="E314" i="1"/>
  <c r="E318" i="1"/>
  <c r="E322" i="1"/>
  <c r="E326" i="1"/>
  <c r="E330" i="1"/>
  <c r="E334" i="1"/>
  <c r="E338" i="1"/>
  <c r="E342" i="1"/>
  <c r="E346" i="1"/>
  <c r="E350" i="1"/>
  <c r="E354" i="1"/>
  <c r="E358" i="1"/>
  <c r="E362" i="1"/>
  <c r="E366" i="1"/>
  <c r="E370" i="1"/>
  <c r="E374" i="1"/>
  <c r="E378" i="1"/>
  <c r="E382" i="1"/>
  <c r="E386" i="1"/>
  <c r="E390" i="1"/>
  <c r="E394" i="1"/>
  <c r="E7" i="1"/>
  <c r="E11" i="1"/>
  <c r="E15" i="1"/>
  <c r="E19" i="1"/>
  <c r="E23" i="1"/>
  <c r="E27" i="1"/>
  <c r="E31" i="1"/>
  <c r="E35" i="1"/>
  <c r="E39" i="1"/>
  <c r="E43" i="1"/>
  <c r="E47" i="1"/>
  <c r="E51" i="1"/>
  <c r="E55" i="1"/>
  <c r="E59" i="1"/>
  <c r="E63" i="1"/>
  <c r="E67" i="1"/>
  <c r="E71" i="1"/>
  <c r="E75" i="1"/>
  <c r="E79" i="1"/>
  <c r="E83" i="1"/>
  <c r="E87" i="1"/>
  <c r="E91" i="1"/>
  <c r="E95" i="1"/>
  <c r="E99" i="1"/>
  <c r="E103" i="1"/>
  <c r="E107" i="1"/>
  <c r="E111" i="1"/>
  <c r="E115" i="1"/>
  <c r="E119" i="1"/>
  <c r="E123" i="1"/>
  <c r="E127" i="1"/>
  <c r="E131" i="1"/>
  <c r="E135" i="1"/>
  <c r="E139" i="1"/>
  <c r="E143" i="1"/>
  <c r="E147" i="1"/>
  <c r="E151" i="1"/>
  <c r="E155" i="1"/>
  <c r="E159" i="1"/>
  <c r="E163" i="1"/>
  <c r="E167" i="1"/>
  <c r="E171" i="1"/>
  <c r="E175" i="1"/>
  <c r="E179" i="1"/>
  <c r="E183" i="1"/>
  <c r="E187" i="1"/>
  <c r="E191" i="1"/>
  <c r="E195" i="1"/>
  <c r="E199" i="1"/>
  <c r="E203" i="1"/>
  <c r="E207" i="1"/>
  <c r="E211" i="1"/>
  <c r="E215" i="1"/>
  <c r="E219" i="1"/>
  <c r="E223" i="1"/>
  <c r="E227" i="1"/>
  <c r="E231" i="1"/>
  <c r="E235" i="1"/>
  <c r="E239" i="1"/>
  <c r="E243" i="1"/>
  <c r="E247" i="1"/>
  <c r="E251" i="1"/>
  <c r="E255" i="1"/>
  <c r="E259" i="1"/>
  <c r="E263" i="1"/>
  <c r="E267" i="1"/>
  <c r="E271" i="1"/>
  <c r="E275" i="1"/>
  <c r="E279" i="1"/>
  <c r="E283" i="1"/>
  <c r="E287" i="1"/>
  <c r="E291" i="1"/>
  <c r="E295" i="1"/>
  <c r="E299" i="1"/>
  <c r="E303" i="1"/>
  <c r="E307" i="1"/>
  <c r="E311" i="1"/>
  <c r="E315" i="1"/>
  <c r="E319" i="1"/>
  <c r="E323" i="1"/>
  <c r="E327" i="1"/>
  <c r="E331" i="1"/>
  <c r="E335" i="1"/>
  <c r="E339" i="1"/>
  <c r="E343" i="1"/>
  <c r="E347" i="1"/>
  <c r="E351" i="1"/>
  <c r="E355" i="1"/>
  <c r="E359" i="1"/>
  <c r="E363" i="1"/>
  <c r="E367" i="1"/>
  <c r="E371" i="1"/>
  <c r="E375" i="1"/>
  <c r="E379" i="1"/>
  <c r="E383" i="1"/>
  <c r="E387" i="1"/>
  <c r="E391" i="1"/>
  <c r="E395" i="1"/>
  <c r="E8" i="1"/>
  <c r="E20" i="1"/>
  <c r="E28" i="1"/>
  <c r="E36" i="1"/>
  <c r="E44" i="1"/>
  <c r="E52" i="1"/>
  <c r="E60" i="1"/>
  <c r="E68" i="1"/>
  <c r="E76" i="1"/>
  <c r="E84" i="1"/>
  <c r="E92" i="1"/>
  <c r="E100" i="1"/>
  <c r="E112" i="1"/>
  <c r="E120" i="1"/>
  <c r="E128" i="1"/>
  <c r="E136" i="1"/>
  <c r="E144" i="1"/>
  <c r="E152" i="1"/>
  <c r="E160" i="1"/>
  <c r="E168" i="1"/>
  <c r="E176" i="1"/>
  <c r="E184" i="1"/>
  <c r="E192" i="1"/>
  <c r="E200" i="1"/>
  <c r="E208" i="1"/>
  <c r="E216" i="1"/>
  <c r="E224" i="1"/>
  <c r="E232" i="1"/>
  <c r="E12" i="1"/>
  <c r="E16" i="1"/>
  <c r="E24" i="1"/>
  <c r="E32" i="1"/>
  <c r="E40" i="1"/>
  <c r="E48" i="1"/>
  <c r="E56" i="1"/>
  <c r="E64" i="1"/>
  <c r="E72" i="1"/>
  <c r="E80" i="1"/>
  <c r="E88" i="1"/>
  <c r="E96" i="1"/>
  <c r="E104" i="1"/>
  <c r="E108" i="1"/>
  <c r="E116" i="1"/>
  <c r="E124" i="1"/>
  <c r="E132" i="1"/>
  <c r="E140" i="1"/>
  <c r="E148" i="1"/>
  <c r="E156" i="1"/>
  <c r="E164" i="1"/>
  <c r="E172" i="1"/>
  <c r="E180" i="1"/>
  <c r="E188" i="1"/>
  <c r="E196" i="1"/>
  <c r="E204" i="1"/>
  <c r="E212" i="1"/>
  <c r="E220" i="1"/>
  <c r="E228" i="1"/>
  <c r="E352" i="1"/>
  <c r="E384" i="1"/>
  <c r="E340" i="1"/>
  <c r="E236" i="1"/>
  <c r="E252" i="1"/>
  <c r="E268" i="1"/>
  <c r="E284" i="1"/>
  <c r="E300" i="1"/>
  <c r="E316" i="1"/>
  <c r="E332" i="1"/>
  <c r="E364" i="1"/>
  <c r="E396" i="1"/>
  <c r="E388" i="1"/>
  <c r="E392" i="1"/>
  <c r="E296" i="1"/>
  <c r="E372" i="1"/>
  <c r="E344" i="1"/>
  <c r="E376" i="1"/>
  <c r="E240" i="1"/>
  <c r="E256" i="1"/>
  <c r="E272" i="1"/>
  <c r="E288" i="1"/>
  <c r="E304" i="1"/>
  <c r="E320" i="1"/>
  <c r="E356" i="1"/>
  <c r="E312" i="1"/>
  <c r="E336" i="1"/>
  <c r="E368" i="1"/>
  <c r="E264" i="1"/>
  <c r="E244" i="1"/>
  <c r="E260" i="1"/>
  <c r="E276" i="1"/>
  <c r="E292" i="1"/>
  <c r="E308" i="1"/>
  <c r="E324" i="1"/>
  <c r="E348" i="1"/>
  <c r="E380" i="1"/>
  <c r="E328" i="1"/>
  <c r="E360" i="1"/>
  <c r="E248" i="1"/>
  <c r="E280" i="1"/>
  <c r="E4" i="1"/>
</calcChain>
</file>

<file path=xl/sharedStrings.xml><?xml version="1.0" encoding="utf-8"?>
<sst xmlns="http://schemas.openxmlformats.org/spreadsheetml/2006/main" count="3624" uniqueCount="1870">
  <si>
    <t>概念代码</t>
  </si>
  <si>
    <t>概念名称</t>
  </si>
  <si>
    <t>YTD涨跌幅</t>
  </si>
  <si>
    <t>第1大重仓-名称</t>
  </si>
  <si>
    <t>第1大重仓-代码</t>
  </si>
  <si>
    <t>第1大重仓-流通市值(亿元)</t>
  </si>
  <si>
    <t>第2大重仓-名称</t>
  </si>
  <si>
    <t>第2大重仓-代码</t>
  </si>
  <si>
    <t>第2大重仓-流通市值(亿元)</t>
  </si>
  <si>
    <t>第3大重仓-名称</t>
  </si>
  <si>
    <t>第3大重仓-代码</t>
  </si>
  <si>
    <t>第3大重仓-流通市值(亿元)</t>
  </si>
  <si>
    <t>第4大重仓-名称</t>
  </si>
  <si>
    <t>第4大重仓-代码</t>
  </si>
  <si>
    <t>第4大重仓-流通市值(亿元)</t>
  </si>
  <si>
    <t>第5大重仓-名称</t>
  </si>
  <si>
    <t>第5大重仓-代码</t>
  </si>
  <si>
    <t>第5大重仓-流通市值(亿元)</t>
  </si>
  <si>
    <t>886020.TI</t>
  </si>
  <si>
    <t>PET铜箔</t>
  </si>
  <si>
    <t>中天科技</t>
  </si>
  <si>
    <t>600522.SH</t>
  </si>
  <si>
    <t>铜冠铜箔</t>
  </si>
  <si>
    <t>301217.SZ</t>
  </si>
  <si>
    <t>恒力石化</t>
  </si>
  <si>
    <t>600346.SH</t>
  </si>
  <si>
    <t>东材科技</t>
  </si>
  <si>
    <t>601208.SH</t>
  </si>
  <si>
    <t>远东股份</t>
  </si>
  <si>
    <t>600869.SH</t>
  </si>
  <si>
    <t>886033.TI</t>
  </si>
  <si>
    <t>共封装光学(CPO)</t>
  </si>
  <si>
    <t>工业富联</t>
  </si>
  <si>
    <t>601138.SH</t>
  </si>
  <si>
    <t>中际旭创</t>
  </si>
  <si>
    <t>300308.SZ</t>
  </si>
  <si>
    <t>新易盛</t>
  </si>
  <si>
    <t>300502.SZ</t>
  </si>
  <si>
    <t>立讯精密</t>
  </si>
  <si>
    <t>002475.SZ</t>
  </si>
  <si>
    <t>生益科技</t>
  </si>
  <si>
    <t>600183.SH</t>
  </si>
  <si>
    <t>886084.TI</t>
  </si>
  <si>
    <t>光纤概念</t>
  </si>
  <si>
    <t>东山精密</t>
  </si>
  <si>
    <t>002384.SZ</t>
  </si>
  <si>
    <t>天孚通信</t>
  </si>
  <si>
    <t>300394.SZ</t>
  </si>
  <si>
    <t>三环集团</t>
  </si>
  <si>
    <t>300408.SZ</t>
  </si>
  <si>
    <t>海康威视</t>
  </si>
  <si>
    <t>002415.SZ</t>
  </si>
  <si>
    <t>蓝思科技</t>
  </si>
  <si>
    <t>300433.SZ</t>
  </si>
  <si>
    <t>886009.TI</t>
  </si>
  <si>
    <t>先进封装</t>
  </si>
  <si>
    <t>寒武纪</t>
  </si>
  <si>
    <t>688256.SH</t>
  </si>
  <si>
    <t>中微公司</t>
  </si>
  <si>
    <t>688012.SH</t>
  </si>
  <si>
    <t>深南电路</t>
  </si>
  <si>
    <t>002916.SZ</t>
  </si>
  <si>
    <t>885959.TI</t>
  </si>
  <si>
    <t>PCB概念</t>
  </si>
  <si>
    <t>胜宏科技</t>
  </si>
  <si>
    <t>300476.SZ</t>
  </si>
  <si>
    <t>沪电股份</t>
  </si>
  <si>
    <t>002463.SZ</t>
  </si>
  <si>
    <t>885893.TI</t>
  </si>
  <si>
    <t>国家大基金持股</t>
  </si>
  <si>
    <t>北方华创</t>
  </si>
  <si>
    <t>002371.SZ</t>
  </si>
  <si>
    <t>中芯国际</t>
  </si>
  <si>
    <t>688981.SH</t>
  </si>
  <si>
    <t>拓荆科技</t>
  </si>
  <si>
    <t>688072.SH</t>
  </si>
  <si>
    <t>886042.TI</t>
  </si>
  <si>
    <t>存储芯片</t>
  </si>
  <si>
    <t>兆易创新</t>
  </si>
  <si>
    <t>603986.SH</t>
  </si>
  <si>
    <t>澜起科技</t>
  </si>
  <si>
    <t>688008.SH</t>
  </si>
  <si>
    <t>886054.TI</t>
  </si>
  <si>
    <t>光刻机</t>
  </si>
  <si>
    <t>大族激光</t>
  </si>
  <si>
    <t>002008.SZ</t>
  </si>
  <si>
    <t>江丰电子</t>
  </si>
  <si>
    <t>300666.SZ</t>
  </si>
  <si>
    <t>芯碁微装</t>
  </si>
  <si>
    <t>688630.SH</t>
  </si>
  <si>
    <t>富创精密</t>
  </si>
  <si>
    <t>688409.SH</t>
  </si>
  <si>
    <t>中瓷电子</t>
  </si>
  <si>
    <t>003031.SZ</t>
  </si>
  <si>
    <t>885897.TI</t>
  </si>
  <si>
    <t>中芯国际概念</t>
  </si>
  <si>
    <t>盛美上海</t>
  </si>
  <si>
    <t>688082.SH</t>
  </si>
  <si>
    <t>885875.TI</t>
  </si>
  <si>
    <t>MiniLED</t>
  </si>
  <si>
    <t>鹏鼎控股</t>
  </si>
  <si>
    <t>002938.SZ</t>
  </si>
  <si>
    <t>京东方A</t>
  </si>
  <si>
    <t>000725.SZ</t>
  </si>
  <si>
    <t>885908.TI</t>
  </si>
  <si>
    <t>第三代半导体</t>
  </si>
  <si>
    <t>格力电器</t>
  </si>
  <si>
    <t>000651.SZ</t>
  </si>
  <si>
    <t>长飞光纤</t>
  </si>
  <si>
    <t>601869.SH</t>
  </si>
  <si>
    <t>华工科技</t>
  </si>
  <si>
    <t>000988.SZ</t>
  </si>
  <si>
    <t>885937.TI</t>
  </si>
  <si>
    <t>培育钻石</t>
  </si>
  <si>
    <t>晶盛机电</t>
  </si>
  <si>
    <t>300316.SZ</t>
  </si>
  <si>
    <t>国机精工</t>
  </si>
  <si>
    <t>002046.SZ</t>
  </si>
  <si>
    <t>中兵红箭</t>
  </si>
  <si>
    <t>000519.SZ</t>
  </si>
  <si>
    <t>楚江新材</t>
  </si>
  <si>
    <t>002171.SZ</t>
  </si>
  <si>
    <t>英诺激光</t>
  </si>
  <si>
    <t>301021.SZ</t>
  </si>
  <si>
    <t>885786.TI</t>
  </si>
  <si>
    <t>富士康概念</t>
  </si>
  <si>
    <t>885738.TI</t>
  </si>
  <si>
    <t>OLED</t>
  </si>
  <si>
    <t>885998.TI</t>
  </si>
  <si>
    <t>F5G概念</t>
  </si>
  <si>
    <t>亨通光电</t>
  </si>
  <si>
    <t>600487.SH</t>
  </si>
  <si>
    <t>光迅科技</t>
  </si>
  <si>
    <t>002281.SZ</t>
  </si>
  <si>
    <t>上港集团</t>
  </si>
  <si>
    <t>600018.SH</t>
  </si>
  <si>
    <t>886073.TI</t>
  </si>
  <si>
    <t>铜缆高速连接</t>
  </si>
  <si>
    <t>885987.TI</t>
  </si>
  <si>
    <t>MicroLED概念</t>
  </si>
  <si>
    <t>华海清科</t>
  </si>
  <si>
    <t>688120.SH</t>
  </si>
  <si>
    <t>晶合集成</t>
  </si>
  <si>
    <t>688249.SH</t>
  </si>
  <si>
    <t>885864.TI</t>
  </si>
  <si>
    <t>光刻胶</t>
  </si>
  <si>
    <t>鼎龙股份</t>
  </si>
  <si>
    <t>300054.SZ</t>
  </si>
  <si>
    <t>芯源微</t>
  </si>
  <si>
    <t>688037.SH</t>
  </si>
  <si>
    <t>圣泉集团</t>
  </si>
  <si>
    <t>605589.SH</t>
  </si>
  <si>
    <t>885809.TI</t>
  </si>
  <si>
    <t>柔性屏(折叠屏)</t>
  </si>
  <si>
    <t>领益智造</t>
  </si>
  <si>
    <t>002600.SZ</t>
  </si>
  <si>
    <t>TCL科技</t>
  </si>
  <si>
    <t>000100.SZ</t>
  </si>
  <si>
    <t>885376.TI</t>
  </si>
  <si>
    <t>苹果概念</t>
  </si>
  <si>
    <t>885886.TI</t>
  </si>
  <si>
    <t>超级电容</t>
  </si>
  <si>
    <t>思源电气</t>
  </si>
  <si>
    <t>002028.SZ</t>
  </si>
  <si>
    <t>东阳光</t>
  </si>
  <si>
    <t>600673.SH</t>
  </si>
  <si>
    <t>江海股份</t>
  </si>
  <si>
    <t>002484.SZ</t>
  </si>
  <si>
    <t>风华高科</t>
  </si>
  <si>
    <t>000636.SZ</t>
  </si>
  <si>
    <t>885907.TI</t>
  </si>
  <si>
    <t>科创次新股</t>
  </si>
  <si>
    <t>联讯仪器</t>
  </si>
  <si>
    <t>688808.SH</t>
  </si>
  <si>
    <t>盛合晶微</t>
  </si>
  <si>
    <t>688820.SH</t>
  </si>
  <si>
    <t>摩尔线程</t>
  </si>
  <si>
    <t>688795.SH</t>
  </si>
  <si>
    <t>强一股份</t>
  </si>
  <si>
    <t>688809.SH</t>
  </si>
  <si>
    <t>沐曦股份</t>
  </si>
  <si>
    <t>688802.SH</t>
  </si>
  <si>
    <t>886082.TI</t>
  </si>
  <si>
    <t>同花顺果指数</t>
  </si>
  <si>
    <t>886071.TI</t>
  </si>
  <si>
    <t>AI PC</t>
  </si>
  <si>
    <t>佰维存储</t>
  </si>
  <si>
    <t>688525.SH</t>
  </si>
  <si>
    <t>江波龙</t>
  </si>
  <si>
    <t>301308.SZ</t>
  </si>
  <si>
    <t>886053.TI</t>
  </si>
  <si>
    <t>BC电池</t>
  </si>
  <si>
    <t>罗博特科</t>
  </si>
  <si>
    <t>300757.SZ</t>
  </si>
  <si>
    <t>隆基绿能</t>
  </si>
  <si>
    <t>601012.SH</t>
  </si>
  <si>
    <t>先导智能</t>
  </si>
  <si>
    <t>300450.SZ</t>
  </si>
  <si>
    <t>885756.TI</t>
  </si>
  <si>
    <t>芯片概念</t>
  </si>
  <si>
    <t>海光信息</t>
  </si>
  <si>
    <t>688041.SH</t>
  </si>
  <si>
    <t>886037.TI</t>
  </si>
  <si>
    <t>6G概念</t>
  </si>
  <si>
    <t>中国电信</t>
  </si>
  <si>
    <t>601728.SH</t>
  </si>
  <si>
    <t>885945.TI</t>
  </si>
  <si>
    <t>汽车芯片</t>
  </si>
  <si>
    <t>源杰科技</t>
  </si>
  <si>
    <t>688498.SH</t>
  </si>
  <si>
    <t>中兴通讯</t>
  </si>
  <si>
    <t>000063.SZ</t>
  </si>
  <si>
    <t>886091.TI</t>
  </si>
  <si>
    <t>华为手机</t>
  </si>
  <si>
    <t>宏和科技</t>
  </si>
  <si>
    <t>603256.SH</t>
  </si>
  <si>
    <t>豪威集团</t>
  </si>
  <si>
    <t>603501.SH</t>
  </si>
  <si>
    <t>景旺电子</t>
  </si>
  <si>
    <t>603228.SH</t>
  </si>
  <si>
    <t>华勤技术</t>
  </si>
  <si>
    <t>603296.SH</t>
  </si>
  <si>
    <t>886044.TI</t>
  </si>
  <si>
    <t>液冷服务器</t>
  </si>
  <si>
    <t>美的集团</t>
  </si>
  <si>
    <t>000333.SZ</t>
  </si>
  <si>
    <t>885800.TI</t>
  </si>
  <si>
    <t>消费电子概念</t>
  </si>
  <si>
    <t>886006.TI</t>
  </si>
  <si>
    <t>钙钛矿电池</t>
  </si>
  <si>
    <t>中国核电</t>
  </si>
  <si>
    <t>601985.SH</t>
  </si>
  <si>
    <t>885843.TI</t>
  </si>
  <si>
    <t>华为海思概念股</t>
  </si>
  <si>
    <t>通富微电</t>
  </si>
  <si>
    <t>002156.SZ</t>
  </si>
  <si>
    <t>华天科技</t>
  </si>
  <si>
    <t>002185.SZ</t>
  </si>
  <si>
    <t>886109.TI</t>
  </si>
  <si>
    <t>2026一季报预增</t>
  </si>
  <si>
    <t>886085.TI</t>
  </si>
  <si>
    <t>AI眼镜</t>
  </si>
  <si>
    <t>885556.TI</t>
  </si>
  <si>
    <t>5G</t>
  </si>
  <si>
    <t>885425.TI</t>
  </si>
  <si>
    <t>特高压</t>
  </si>
  <si>
    <t>国电南瑞</t>
  </si>
  <si>
    <t>600406.SH</t>
  </si>
  <si>
    <t>中国中车</t>
  </si>
  <si>
    <t>601766.SH</t>
  </si>
  <si>
    <t>886007.TI</t>
  </si>
  <si>
    <t>TOPCON电池</t>
  </si>
  <si>
    <t>885948.TI</t>
  </si>
  <si>
    <t>柔性直流输电</t>
  </si>
  <si>
    <t>特变电工</t>
  </si>
  <si>
    <t>600089.SH</t>
  </si>
  <si>
    <t>中国能建</t>
  </si>
  <si>
    <t>601868.SH</t>
  </si>
  <si>
    <t>885899.TI</t>
  </si>
  <si>
    <t>新型烟草(电子烟)</t>
  </si>
  <si>
    <t>亿纬锂能</t>
  </si>
  <si>
    <t>300014.SZ</t>
  </si>
  <si>
    <t>欣旺达</t>
  </si>
  <si>
    <t>300207.SZ</t>
  </si>
  <si>
    <t>鹏辉能源</t>
  </si>
  <si>
    <t>300438.SZ</t>
  </si>
  <si>
    <t>电连技术</t>
  </si>
  <si>
    <t>300679.SZ</t>
  </si>
  <si>
    <t>886032.TI</t>
  </si>
  <si>
    <t>固态电池</t>
  </si>
  <si>
    <t>宁德时代</t>
  </si>
  <si>
    <t>300750.SZ</t>
  </si>
  <si>
    <t>潍柴动力</t>
  </si>
  <si>
    <t>000338.SZ</t>
  </si>
  <si>
    <t>886048.TI</t>
  </si>
  <si>
    <t>英伟达概念</t>
  </si>
  <si>
    <t>协创数据</t>
  </si>
  <si>
    <t>300857.SZ</t>
  </si>
  <si>
    <t>886093.TI</t>
  </si>
  <si>
    <t>华为数字能源</t>
  </si>
  <si>
    <t>885878.TI</t>
  </si>
  <si>
    <t>HJT电池</t>
  </si>
  <si>
    <t>通威股份</t>
  </si>
  <si>
    <t>600438.SH</t>
  </si>
  <si>
    <t>885545.TI</t>
  </si>
  <si>
    <t>汽车电子</t>
  </si>
  <si>
    <t>885551.TI</t>
  </si>
  <si>
    <t>氟化工概念</t>
  </si>
  <si>
    <t>巨化股份</t>
  </si>
  <si>
    <t>600160.SH</t>
  </si>
  <si>
    <t>新和成</t>
  </si>
  <si>
    <t>002001.SZ</t>
  </si>
  <si>
    <t>天赐材料</t>
  </si>
  <si>
    <t>002709.SZ</t>
  </si>
  <si>
    <t>包钢股份</t>
  </si>
  <si>
    <t>600010.SH</t>
  </si>
  <si>
    <t>886038.TI</t>
  </si>
  <si>
    <t>超导概念</t>
  </si>
  <si>
    <t>上海电气</t>
  </si>
  <si>
    <t>601727.SH</t>
  </si>
  <si>
    <t>永鼎股份</t>
  </si>
  <si>
    <t>600105.SH</t>
  </si>
  <si>
    <t>中信金属</t>
  </si>
  <si>
    <t>601061.SH</t>
  </si>
  <si>
    <t>885925.TI</t>
  </si>
  <si>
    <t>MCU芯片</t>
  </si>
  <si>
    <t>芯原股份</t>
  </si>
  <si>
    <t>688521.SH</t>
  </si>
  <si>
    <t>长城汽车</t>
  </si>
  <si>
    <t>601633.SH</t>
  </si>
  <si>
    <t>885940.TI</t>
  </si>
  <si>
    <t>WiFi6</t>
  </si>
  <si>
    <t>烽火通信</t>
  </si>
  <si>
    <t>600498.SH</t>
  </si>
  <si>
    <t>环旭电子</t>
  </si>
  <si>
    <t>601231.SH</t>
  </si>
  <si>
    <t>信维通信</t>
  </si>
  <si>
    <t>300136.SZ</t>
  </si>
  <si>
    <t>紫光股份</t>
  </si>
  <si>
    <t>000938.SZ</t>
  </si>
  <si>
    <t>锐捷网络</t>
  </si>
  <si>
    <t>301165.SZ</t>
  </si>
  <si>
    <t>885531.TI</t>
  </si>
  <si>
    <t>光伏概念</t>
  </si>
  <si>
    <t>比亚迪</t>
  </si>
  <si>
    <t>002594.SZ</t>
  </si>
  <si>
    <t>886070.TI</t>
  </si>
  <si>
    <t>AI手机</t>
  </si>
  <si>
    <t>885343.TI</t>
  </si>
  <si>
    <t>稀土永磁</t>
  </si>
  <si>
    <t>北方稀土</t>
  </si>
  <si>
    <t>600111.SH</t>
  </si>
  <si>
    <t>厦门钨业</t>
  </si>
  <si>
    <t>600549.SH</t>
  </si>
  <si>
    <t>中国铝业</t>
  </si>
  <si>
    <t>601600.SH</t>
  </si>
  <si>
    <t>885454.TI</t>
  </si>
  <si>
    <t>智能穿戴</t>
  </si>
  <si>
    <t>886046.TI</t>
  </si>
  <si>
    <t>MR(混合现实)</t>
  </si>
  <si>
    <t>歌尔股份</t>
  </si>
  <si>
    <t>002241.SZ</t>
  </si>
  <si>
    <t>炬光科技</t>
  </si>
  <si>
    <t>688167.SH</t>
  </si>
  <si>
    <t>885931.TI</t>
  </si>
  <si>
    <t>PVDF概念</t>
  </si>
  <si>
    <t>昊华科技</t>
  </si>
  <si>
    <t>600378.SH</t>
  </si>
  <si>
    <t>璞泰来</t>
  </si>
  <si>
    <t>603659.SH</t>
  </si>
  <si>
    <t>多氟多</t>
  </si>
  <si>
    <t>002407.SZ</t>
  </si>
  <si>
    <t>885789.TI</t>
  </si>
  <si>
    <t>宁德时代概念</t>
  </si>
  <si>
    <t>885953.TI</t>
  </si>
  <si>
    <t>电子纸</t>
  </si>
  <si>
    <t>汇顶科技</t>
  </si>
  <si>
    <t>603160.SH</t>
  </si>
  <si>
    <t>飞凯材料</t>
  </si>
  <si>
    <t>300398.SZ</t>
  </si>
  <si>
    <t>长信科技</t>
  </si>
  <si>
    <t>300088.SZ</t>
  </si>
  <si>
    <t>深天马A</t>
  </si>
  <si>
    <t>000050.SZ</t>
  </si>
  <si>
    <t>885355.TI</t>
  </si>
  <si>
    <t>石墨烯</t>
  </si>
  <si>
    <t>中国动力</t>
  </si>
  <si>
    <t>600482.SH</t>
  </si>
  <si>
    <t>广汽集团</t>
  </si>
  <si>
    <t>601238.SH</t>
  </si>
  <si>
    <t>彤程新材</t>
  </si>
  <si>
    <t>603650.SH</t>
  </si>
  <si>
    <t>格林美</t>
  </si>
  <si>
    <t>002340.SZ</t>
  </si>
  <si>
    <t>886107.TI</t>
  </si>
  <si>
    <t>2025年报预增</t>
  </si>
  <si>
    <t>885935.TI</t>
  </si>
  <si>
    <t>抽水蓄能</t>
  </si>
  <si>
    <t>三峡能源</t>
  </si>
  <si>
    <t>600905.SH</t>
  </si>
  <si>
    <t>国投电力</t>
  </si>
  <si>
    <t>600886.SH</t>
  </si>
  <si>
    <t>885774.TI</t>
  </si>
  <si>
    <t>无线充电</t>
  </si>
  <si>
    <t>海尔智家</t>
  </si>
  <si>
    <t>600690.SH</t>
  </si>
  <si>
    <t>赛力斯</t>
  </si>
  <si>
    <t>601127.SH</t>
  </si>
  <si>
    <t>公牛集团</t>
  </si>
  <si>
    <t>603195.SH</t>
  </si>
  <si>
    <t>885930.TI</t>
  </si>
  <si>
    <t>工业母机</t>
  </si>
  <si>
    <t>汇川技术</t>
  </si>
  <si>
    <t>300124.SZ</t>
  </si>
  <si>
    <t>大族数控</t>
  </si>
  <si>
    <t>301200.SZ</t>
  </si>
  <si>
    <t>中钨高新</t>
  </si>
  <si>
    <t>000657.SZ</t>
  </si>
  <si>
    <t>886065.TI</t>
  </si>
  <si>
    <t>可控核聚变</t>
  </si>
  <si>
    <t>885868.TI</t>
  </si>
  <si>
    <t>无线耳机</t>
  </si>
  <si>
    <t>885552.TI</t>
  </si>
  <si>
    <t>小金属概念</t>
  </si>
  <si>
    <t>紫金矿业</t>
  </si>
  <si>
    <t>601899.SH</t>
  </si>
  <si>
    <t>洛阳钼业</t>
  </si>
  <si>
    <t>603993.SH</t>
  </si>
  <si>
    <t>盐湖股份</t>
  </si>
  <si>
    <t>000792.SZ</t>
  </si>
  <si>
    <t>885537.TI</t>
  </si>
  <si>
    <t>3D打印</t>
  </si>
  <si>
    <t>光库科技</t>
  </si>
  <si>
    <t>300620.SZ</t>
  </si>
  <si>
    <t>885710.TI</t>
  </si>
  <si>
    <t>锂电池概念</t>
  </si>
  <si>
    <t>885887.TI</t>
  </si>
  <si>
    <t>数据中心(AIDC)</t>
  </si>
  <si>
    <t>885860.TI</t>
  </si>
  <si>
    <t>中船系</t>
  </si>
  <si>
    <t>中国船舶</t>
  </si>
  <si>
    <t>600150.SH</t>
  </si>
  <si>
    <t>中船防务</t>
  </si>
  <si>
    <t>600685.SH</t>
  </si>
  <si>
    <t>中国海防</t>
  </si>
  <si>
    <t>600764.SH</t>
  </si>
  <si>
    <t>中船科技</t>
  </si>
  <si>
    <t>600072.SH</t>
  </si>
  <si>
    <t>885970.TI</t>
  </si>
  <si>
    <t>金属锌</t>
  </si>
  <si>
    <t>中国中铁</t>
  </si>
  <si>
    <t>601390.SH</t>
  </si>
  <si>
    <t>西部矿业</t>
  </si>
  <si>
    <t>601168.SH</t>
  </si>
  <si>
    <t>兴业银锡</t>
  </si>
  <si>
    <t>000426.SZ</t>
  </si>
  <si>
    <t>锡业股份</t>
  </si>
  <si>
    <t>000960.SZ</t>
  </si>
  <si>
    <t>885903.TI</t>
  </si>
  <si>
    <t>环氧丙烷</t>
  </si>
  <si>
    <t>万华化学</t>
  </si>
  <si>
    <t>600309.SH</t>
  </si>
  <si>
    <t>东方盛虹</t>
  </si>
  <si>
    <t>000301.SZ</t>
  </si>
  <si>
    <t>卫星化学</t>
  </si>
  <si>
    <t>002648.SZ</t>
  </si>
  <si>
    <t>中国化学</t>
  </si>
  <si>
    <t>601117.SH</t>
  </si>
  <si>
    <t>联泓新科</t>
  </si>
  <si>
    <t>003022.SZ</t>
  </si>
  <si>
    <t>883304.TI</t>
  </si>
  <si>
    <t>中证500成份股</t>
  </si>
  <si>
    <t>886035.TI</t>
  </si>
  <si>
    <t>毫米波雷达</t>
  </si>
  <si>
    <t>长电科技</t>
  </si>
  <si>
    <t>600584.SH</t>
  </si>
  <si>
    <t>生益电子</t>
  </si>
  <si>
    <t>688183.SH</t>
  </si>
  <si>
    <t>885912.TI</t>
  </si>
  <si>
    <t>有机硅概念</t>
  </si>
  <si>
    <t>合盛硅业</t>
  </si>
  <si>
    <t>603260.SH</t>
  </si>
  <si>
    <t>兴发集团</t>
  </si>
  <si>
    <t>600141.SH</t>
  </si>
  <si>
    <t>大全能源</t>
  </si>
  <si>
    <t>688303.SH</t>
  </si>
  <si>
    <t>鲁西化工</t>
  </si>
  <si>
    <t>000830.SZ</t>
  </si>
  <si>
    <t>885996.TI</t>
  </si>
  <si>
    <t>超超临界发电</t>
  </si>
  <si>
    <t>国电电力</t>
  </si>
  <si>
    <t>600795.SH</t>
  </si>
  <si>
    <t>华能国际</t>
  </si>
  <si>
    <t>600011.SH</t>
  </si>
  <si>
    <t>886052.TI</t>
  </si>
  <si>
    <t>核污染防治</t>
  </si>
  <si>
    <t>中国广核</t>
  </si>
  <si>
    <t>003816.SZ</t>
  </si>
  <si>
    <t>应流股份</t>
  </si>
  <si>
    <t>603308.SH</t>
  </si>
  <si>
    <t>光智科技</t>
  </si>
  <si>
    <t>300489.SZ</t>
  </si>
  <si>
    <t>885969.TI</t>
  </si>
  <si>
    <t>金属镍</t>
  </si>
  <si>
    <t>885555.TI</t>
  </si>
  <si>
    <t>PM2.5</t>
  </si>
  <si>
    <t>贵研铂业</t>
  </si>
  <si>
    <t>600459.SH</t>
  </si>
  <si>
    <t>再升科技</t>
  </si>
  <si>
    <t>603601.SH</t>
  </si>
  <si>
    <t>华盛昌</t>
  </si>
  <si>
    <t>002980.SZ</t>
  </si>
  <si>
    <t>优利德</t>
  </si>
  <si>
    <t>688628.SH</t>
  </si>
  <si>
    <t>美埃科技</t>
  </si>
  <si>
    <t>688376.SH</t>
  </si>
  <si>
    <t>885863.TI</t>
  </si>
  <si>
    <t>磷化工</t>
  </si>
  <si>
    <t>华友钴业</t>
  </si>
  <si>
    <t>603799.SH</t>
  </si>
  <si>
    <t>湖南裕能</t>
  </si>
  <si>
    <t>301358.SZ</t>
  </si>
  <si>
    <t>云天化</t>
  </si>
  <si>
    <t>600096.SH</t>
  </si>
  <si>
    <t>886001.TI</t>
  </si>
  <si>
    <t>高压快充</t>
  </si>
  <si>
    <t>885946.TI</t>
  </si>
  <si>
    <t>传感器</t>
  </si>
  <si>
    <t>886028.TI</t>
  </si>
  <si>
    <t>血氧仪</t>
  </si>
  <si>
    <t>九安医疗</t>
  </si>
  <si>
    <t>002432.SZ</t>
  </si>
  <si>
    <t>科翔股份</t>
  </si>
  <si>
    <t>300903.SZ</t>
  </si>
  <si>
    <t>四川长虹</t>
  </si>
  <si>
    <t>600839.SH</t>
  </si>
  <si>
    <t>鱼跃医疗</t>
  </si>
  <si>
    <t>002223.SZ</t>
  </si>
  <si>
    <t>乐普医疗</t>
  </si>
  <si>
    <t>300003.SZ</t>
  </si>
  <si>
    <t>885785.TI</t>
  </si>
  <si>
    <t>小米概念</t>
  </si>
  <si>
    <t>885311.TI</t>
  </si>
  <si>
    <t>智能电网</t>
  </si>
  <si>
    <t>886043.TI</t>
  </si>
  <si>
    <t>太赫兹</t>
  </si>
  <si>
    <t>航天电子</t>
  </si>
  <si>
    <t>600879.SH</t>
  </si>
  <si>
    <t>海格通信</t>
  </si>
  <si>
    <t>002465.SZ</t>
  </si>
  <si>
    <t>885971.TI</t>
  </si>
  <si>
    <t>金属铅</t>
  </si>
  <si>
    <t>885958.TI</t>
  </si>
  <si>
    <t>硅能源</t>
  </si>
  <si>
    <t>885929.TI</t>
  </si>
  <si>
    <t>专精特新</t>
  </si>
  <si>
    <t>885928.TI</t>
  </si>
  <si>
    <t>钠离子电池</t>
  </si>
  <si>
    <t>885921.TI</t>
  </si>
  <si>
    <t>储能</t>
  </si>
  <si>
    <t>长江电力</t>
  </si>
  <si>
    <t>600900.SH</t>
  </si>
  <si>
    <t>885957.TI</t>
  </si>
  <si>
    <t>东数西算(算力)</t>
  </si>
  <si>
    <t>883303.TI</t>
  </si>
  <si>
    <t>上证380成份股</t>
  </si>
  <si>
    <t>华虹宏力</t>
  </si>
  <si>
    <t>688347.SH</t>
  </si>
  <si>
    <t>885997.TI</t>
  </si>
  <si>
    <t>比亚迪概念</t>
  </si>
  <si>
    <t>三花智控</t>
  </si>
  <si>
    <t>002050.SZ</t>
  </si>
  <si>
    <t>885865.TI</t>
  </si>
  <si>
    <t>金属钴</t>
  </si>
  <si>
    <t>886102.TI</t>
  </si>
  <si>
    <t>中国AI 50</t>
  </si>
  <si>
    <t>885652.TI</t>
  </si>
  <si>
    <t>钛白粉概念</t>
  </si>
  <si>
    <t>国城矿业</t>
  </si>
  <si>
    <t>000688.SZ</t>
  </si>
  <si>
    <t>龙佰集团</t>
  </si>
  <si>
    <t>002601.SZ</t>
  </si>
  <si>
    <t>钒钛股份</t>
  </si>
  <si>
    <t>000629.SZ</t>
  </si>
  <si>
    <t>振华股份</t>
  </si>
  <si>
    <t>603067.SH</t>
  </si>
  <si>
    <t>坤彩科技</t>
  </si>
  <si>
    <t>603826.SH</t>
  </si>
  <si>
    <t>885973.TI</t>
  </si>
  <si>
    <t>金属铜</t>
  </si>
  <si>
    <t>885641.TI</t>
  </si>
  <si>
    <t>风电</t>
  </si>
  <si>
    <t>阳光电源</t>
  </si>
  <si>
    <t>300274.SZ</t>
  </si>
  <si>
    <t>中国巨石</t>
  </si>
  <si>
    <t>600176.SH</t>
  </si>
  <si>
    <t>885431.TI</t>
  </si>
  <si>
    <t>新能源汽车</t>
  </si>
  <si>
    <t>885806.TI</t>
  </si>
  <si>
    <t>华为概念</t>
  </si>
  <si>
    <t>886002.TI</t>
  </si>
  <si>
    <t>机器视觉</t>
  </si>
  <si>
    <t>885922.TI</t>
  </si>
  <si>
    <t>盐湖提锂</t>
  </si>
  <si>
    <t>885832.TI</t>
  </si>
  <si>
    <t>长三角一体化</t>
  </si>
  <si>
    <t>885771.TI</t>
  </si>
  <si>
    <t>智能音箱</t>
  </si>
  <si>
    <t>科大讯飞</t>
  </si>
  <si>
    <t>002230.SZ</t>
  </si>
  <si>
    <t>886059.TI</t>
  </si>
  <si>
    <t>智能座舱</t>
  </si>
  <si>
    <t>拓普集团</t>
  </si>
  <si>
    <t>601689.SH</t>
  </si>
  <si>
    <t>886078.TI</t>
  </si>
  <si>
    <t>商业航天</t>
  </si>
  <si>
    <t>885467.TI</t>
  </si>
  <si>
    <t>特斯拉概念</t>
  </si>
  <si>
    <t>886026.TI</t>
  </si>
  <si>
    <t>POE胶膜</t>
  </si>
  <si>
    <t>中国石化</t>
  </si>
  <si>
    <t>600028.SH</t>
  </si>
  <si>
    <t>宝丰能源</t>
  </si>
  <si>
    <t>600989.SH</t>
  </si>
  <si>
    <t>荣盛石化</t>
  </si>
  <si>
    <t>002493.SZ</t>
  </si>
  <si>
    <t>885571.TI</t>
  </si>
  <si>
    <t>核电</t>
  </si>
  <si>
    <t>中国建筑</t>
  </si>
  <si>
    <t>601668.SH</t>
  </si>
  <si>
    <t>885530.TI</t>
  </si>
  <si>
    <t>黄金概念</t>
  </si>
  <si>
    <t>藏格矿业</t>
  </si>
  <si>
    <t>000408.SZ</t>
  </si>
  <si>
    <t>江西铜业</t>
  </si>
  <si>
    <t>600362.SH</t>
  </si>
  <si>
    <t>885972.TI</t>
  </si>
  <si>
    <t>金属回收</t>
  </si>
  <si>
    <t>885902.TI</t>
  </si>
  <si>
    <t>汽车拆解概念</t>
  </si>
  <si>
    <t>山子高科</t>
  </si>
  <si>
    <t>000981.SZ</t>
  </si>
  <si>
    <t>华宏科技</t>
  </si>
  <si>
    <t>002645.SZ</t>
  </si>
  <si>
    <t>物产中大</t>
  </si>
  <si>
    <t>600704.SH</t>
  </si>
  <si>
    <t>885742.TI</t>
  </si>
  <si>
    <t>摘帽</t>
  </si>
  <si>
    <t>886050.TI</t>
  </si>
  <si>
    <t>算力租赁</t>
  </si>
  <si>
    <t>润泽科技</t>
  </si>
  <si>
    <t>300442.SZ</t>
  </si>
  <si>
    <t>中国联通</t>
  </si>
  <si>
    <t>600050.SH</t>
  </si>
  <si>
    <t>中科曙光</t>
  </si>
  <si>
    <t>603019.SH</t>
  </si>
  <si>
    <t>886057.TI</t>
  </si>
  <si>
    <t>新型工业化</t>
  </si>
  <si>
    <t>885461.TI</t>
  </si>
  <si>
    <t>充电桩</t>
  </si>
  <si>
    <t>885633.TI</t>
  </si>
  <si>
    <t>染料</t>
  </si>
  <si>
    <t>883300.TI</t>
  </si>
  <si>
    <t>沪深300样本股</t>
  </si>
  <si>
    <t>农业银行</t>
  </si>
  <si>
    <t>601288.SH</t>
  </si>
  <si>
    <t>工商银行</t>
  </si>
  <si>
    <t>601398.SH</t>
  </si>
  <si>
    <t>中国石油</t>
  </si>
  <si>
    <t>601857.SH</t>
  </si>
  <si>
    <t>885709.TI</t>
  </si>
  <si>
    <t>虚拟现实</t>
  </si>
  <si>
    <t>885427.TI</t>
  </si>
  <si>
    <t>高端装备</t>
  </si>
  <si>
    <t>恒立液压</t>
  </si>
  <si>
    <t>601100.SH</t>
  </si>
  <si>
    <t>三一重工</t>
  </si>
  <si>
    <t>600031.SH</t>
  </si>
  <si>
    <t>886069.TI</t>
  </si>
  <si>
    <t>人形机器人</t>
  </si>
  <si>
    <t>885521.TI</t>
  </si>
  <si>
    <t>粤港澳大湾区</t>
  </si>
  <si>
    <t>886049.TI</t>
  </si>
  <si>
    <t>空间计算</t>
  </si>
  <si>
    <t>885914.TI</t>
  </si>
  <si>
    <t>煤炭概念</t>
  </si>
  <si>
    <t>中国神华</t>
  </si>
  <si>
    <t>601088.SH</t>
  </si>
  <si>
    <t>陕西煤业</t>
  </si>
  <si>
    <t>601225.SH</t>
  </si>
  <si>
    <t>中煤能源</t>
  </si>
  <si>
    <t>601898.SH</t>
  </si>
  <si>
    <t>886004.TI</t>
  </si>
  <si>
    <t>虚拟电厂</t>
  </si>
  <si>
    <t>885823.TI</t>
  </si>
  <si>
    <t>氢能源</t>
  </si>
  <si>
    <t>885829.TI</t>
  </si>
  <si>
    <t>丙烯酸</t>
  </si>
  <si>
    <t>885520.TI</t>
  </si>
  <si>
    <t>沪股通</t>
  </si>
  <si>
    <t>贵州茅台</t>
  </si>
  <si>
    <t>600519.SH</t>
  </si>
  <si>
    <t>885936.TI</t>
  </si>
  <si>
    <t>绿色电力</t>
  </si>
  <si>
    <t>恒瑞医药</t>
  </si>
  <si>
    <t>600276.SH</t>
  </si>
  <si>
    <t>885650.TI</t>
  </si>
  <si>
    <t>碳纤维</t>
  </si>
  <si>
    <t>光启技术</t>
  </si>
  <si>
    <t>002625.SZ</t>
  </si>
  <si>
    <t>885884.TI</t>
  </si>
  <si>
    <t>航空发动机</t>
  </si>
  <si>
    <t>航发动力</t>
  </si>
  <si>
    <t>600893.SH</t>
  </si>
  <si>
    <t>中控技术</t>
  </si>
  <si>
    <t>688777.SH</t>
  </si>
  <si>
    <t>中信特钢</t>
  </si>
  <si>
    <t>000708.SZ</t>
  </si>
  <si>
    <t>885426.TI</t>
  </si>
  <si>
    <t>海工装备</t>
  </si>
  <si>
    <t>中材科技</t>
  </si>
  <si>
    <t>002080.SZ</t>
  </si>
  <si>
    <t>885574.TI</t>
  </si>
  <si>
    <t>卫星导航</t>
  </si>
  <si>
    <t>885944.TI</t>
  </si>
  <si>
    <t>动力电池回收</t>
  </si>
  <si>
    <t>上汽集团</t>
  </si>
  <si>
    <t>600104.SH</t>
  </si>
  <si>
    <t>885338.TI</t>
  </si>
  <si>
    <t>融资融券</t>
  </si>
  <si>
    <t>886030.TI</t>
  </si>
  <si>
    <t>成飞概念</t>
  </si>
  <si>
    <t>中航光电</t>
  </si>
  <si>
    <t>002179.SZ</t>
  </si>
  <si>
    <t>中航成飞</t>
  </si>
  <si>
    <t>302132.SZ</t>
  </si>
  <si>
    <t>申菱环境</t>
  </si>
  <si>
    <t>301018.SZ</t>
  </si>
  <si>
    <t>中航重机</t>
  </si>
  <si>
    <t>600765.SH</t>
  </si>
  <si>
    <t>885939.TI</t>
  </si>
  <si>
    <t>海峡两岸</t>
  </si>
  <si>
    <t>兴业银行</t>
  </si>
  <si>
    <t>601166.SH</t>
  </si>
  <si>
    <t>886063.TI</t>
  </si>
  <si>
    <t>PEEK材料</t>
  </si>
  <si>
    <t>885564.TI</t>
  </si>
  <si>
    <t>无人机</t>
  </si>
  <si>
    <t>顺丰控股</t>
  </si>
  <si>
    <t>002352.SZ</t>
  </si>
  <si>
    <t>885963.TI</t>
  </si>
  <si>
    <t>智慧灯杆</t>
  </si>
  <si>
    <t>大华股份</t>
  </si>
  <si>
    <t>002236.SZ</t>
  </si>
  <si>
    <t>罗曼股份</t>
  </si>
  <si>
    <t>605289.SH</t>
  </si>
  <si>
    <t>特发信息</t>
  </si>
  <si>
    <t>000070.SZ</t>
  </si>
  <si>
    <t>利亚德</t>
  </si>
  <si>
    <t>300296.SZ</t>
  </si>
  <si>
    <t>得邦照明</t>
  </si>
  <si>
    <t>603303.SH</t>
  </si>
  <si>
    <t>885905.TI</t>
  </si>
  <si>
    <t>注册制次新股</t>
  </si>
  <si>
    <t>大普微</t>
  </si>
  <si>
    <t>301666.SZ</t>
  </si>
  <si>
    <t>华电新能</t>
  </si>
  <si>
    <t>600930.SH</t>
  </si>
  <si>
    <t>885730.TI</t>
  </si>
  <si>
    <t>量子科技</t>
  </si>
  <si>
    <t>885775.TI</t>
  </si>
  <si>
    <t>燃料电池</t>
  </si>
  <si>
    <t>885700.TI</t>
  </si>
  <si>
    <t>军工</t>
  </si>
  <si>
    <t>885736.TI</t>
  </si>
  <si>
    <t>无人驾驶</t>
  </si>
  <si>
    <t>885517.TI</t>
  </si>
  <si>
    <t>机器人概念</t>
  </si>
  <si>
    <t>885919.TI</t>
  </si>
  <si>
    <t>碳中和</t>
  </si>
  <si>
    <t>885920.TI</t>
  </si>
  <si>
    <t>光伏建筑一体化</t>
  </si>
  <si>
    <t>正泰电器</t>
  </si>
  <si>
    <t>601877.SH</t>
  </si>
  <si>
    <t>885901.TI</t>
  </si>
  <si>
    <t>可降解塑料</t>
  </si>
  <si>
    <t>上纬新材</t>
  </si>
  <si>
    <t>688585.SH</t>
  </si>
  <si>
    <t>恒逸石化</t>
  </si>
  <si>
    <t>000703.SZ</t>
  </si>
  <si>
    <t>华峰化学</t>
  </si>
  <si>
    <t>002064.SZ</t>
  </si>
  <si>
    <t>885739.TI</t>
  </si>
  <si>
    <t>股权转让(并购重组)</t>
  </si>
  <si>
    <t>885964.TI</t>
  </si>
  <si>
    <t>俄乌冲突概念</t>
  </si>
  <si>
    <t>中远海控</t>
  </si>
  <si>
    <t>601919.SH</t>
  </si>
  <si>
    <t>招商轮船</t>
  </si>
  <si>
    <t>601872.SH</t>
  </si>
  <si>
    <t>885694.TI</t>
  </si>
  <si>
    <t>深股通</t>
  </si>
  <si>
    <t>885410.TI</t>
  </si>
  <si>
    <t>固废处理</t>
  </si>
  <si>
    <t>天通股份</t>
  </si>
  <si>
    <t>600330.SH</t>
  </si>
  <si>
    <t>盛屯矿业</t>
  </si>
  <si>
    <t>600711.SH</t>
  </si>
  <si>
    <t>盈峰环境</t>
  </si>
  <si>
    <t>000967.SZ</t>
  </si>
  <si>
    <t>885986.TI</t>
  </si>
  <si>
    <t>碳交易</t>
  </si>
  <si>
    <t>885430.TI</t>
  </si>
  <si>
    <t>天然气</t>
  </si>
  <si>
    <t>杰瑞股份</t>
  </si>
  <si>
    <t>002353.SZ</t>
  </si>
  <si>
    <t>886003.TI</t>
  </si>
  <si>
    <t>钒电池</t>
  </si>
  <si>
    <t>海亮股份</t>
  </si>
  <si>
    <t>002203.SZ</t>
  </si>
  <si>
    <t>申能股份</t>
  </si>
  <si>
    <t>600642.SH</t>
  </si>
  <si>
    <t>885840.TI</t>
  </si>
  <si>
    <t>人民币贬值受益</t>
  </si>
  <si>
    <t>885943.TI</t>
  </si>
  <si>
    <t>EDR概念</t>
  </si>
  <si>
    <t>三六零</t>
  </si>
  <si>
    <t>601360.SH</t>
  </si>
  <si>
    <t>均胜电子</t>
  </si>
  <si>
    <t>600699.SH</t>
  </si>
  <si>
    <t>全志科技</t>
  </si>
  <si>
    <t>300458.SZ</t>
  </si>
  <si>
    <t>885961.TI</t>
  </si>
  <si>
    <t>净水概念</t>
  </si>
  <si>
    <t>首创环保</t>
  </si>
  <si>
    <t>600008.SH</t>
  </si>
  <si>
    <t>885792.TI</t>
  </si>
  <si>
    <t>赛马概念</t>
  </si>
  <si>
    <t>中体产业</t>
  </si>
  <si>
    <t>600158.SH</t>
  </si>
  <si>
    <t>中牧股份</t>
  </si>
  <si>
    <t>600195.SH</t>
  </si>
  <si>
    <t>*ST正平</t>
  </si>
  <si>
    <t>603843.SH</t>
  </si>
  <si>
    <t>新华都</t>
  </si>
  <si>
    <t>002264.SZ</t>
  </si>
  <si>
    <t>885962.TI</t>
  </si>
  <si>
    <t>土壤修复</t>
  </si>
  <si>
    <t>招商公路</t>
  </si>
  <si>
    <t>001965.SZ</t>
  </si>
  <si>
    <t>中国电建</t>
  </si>
  <si>
    <t>601669.SH</t>
  </si>
  <si>
    <t>886096.TI</t>
  </si>
  <si>
    <t>同花顺新质50</t>
  </si>
  <si>
    <t>885926.TI</t>
  </si>
  <si>
    <t>牙科医疗</t>
  </si>
  <si>
    <t>国瓷材料</t>
  </si>
  <si>
    <t>300285.SZ</t>
  </si>
  <si>
    <t>有研新材</t>
  </si>
  <si>
    <t>600206.SH</t>
  </si>
  <si>
    <t>奕瑞科技</t>
  </si>
  <si>
    <t>688301.SH</t>
  </si>
  <si>
    <t>美年健康</t>
  </si>
  <si>
    <t>002044.SZ</t>
  </si>
  <si>
    <t>东方精工</t>
  </si>
  <si>
    <t>002611.SZ</t>
  </si>
  <si>
    <t>883302.TI</t>
  </si>
  <si>
    <t>上证180成份股</t>
  </si>
  <si>
    <t>885566.TI</t>
  </si>
  <si>
    <t>大飞机</t>
  </si>
  <si>
    <t>中航沈飞</t>
  </si>
  <si>
    <t>600760.SH</t>
  </si>
  <si>
    <t>885562.TI</t>
  </si>
  <si>
    <t>高铁</t>
  </si>
  <si>
    <t>京沪高铁</t>
  </si>
  <si>
    <t>601816.SH</t>
  </si>
  <si>
    <t>大秦铁路</t>
  </si>
  <si>
    <t>601006.SH</t>
  </si>
  <si>
    <t>英维克</t>
  </si>
  <si>
    <t>002837.SZ</t>
  </si>
  <si>
    <t>885918.TI</t>
  </si>
  <si>
    <t>快手概念</t>
  </si>
  <si>
    <t>蓝色光标</t>
  </si>
  <si>
    <t>300058.SZ</t>
  </si>
  <si>
    <t>利欧股份</t>
  </si>
  <si>
    <t>002131.SZ</t>
  </si>
  <si>
    <t>奥飞数据</t>
  </si>
  <si>
    <t>300738.SZ</t>
  </si>
  <si>
    <t>易点天下</t>
  </si>
  <si>
    <t>301171.SZ</t>
  </si>
  <si>
    <t>886064.TI</t>
  </si>
  <si>
    <t>小米汽车</t>
  </si>
  <si>
    <t>886005.TI</t>
  </si>
  <si>
    <t>生物质能发电</t>
  </si>
  <si>
    <t>伟明环保</t>
  </si>
  <si>
    <t>603568.SH</t>
  </si>
  <si>
    <t>协鑫能科</t>
  </si>
  <si>
    <t>002015.SZ</t>
  </si>
  <si>
    <t>高能环境</t>
  </si>
  <si>
    <t>603588.SH</t>
  </si>
  <si>
    <t>瀚蓝环境</t>
  </si>
  <si>
    <t>600323.SH</t>
  </si>
  <si>
    <t>885412.TI</t>
  </si>
  <si>
    <t>污水处理</t>
  </si>
  <si>
    <t>金风科技</t>
  </si>
  <si>
    <t>002202.SZ</t>
  </si>
  <si>
    <t>886072.TI</t>
  </si>
  <si>
    <t>高股息精选</t>
  </si>
  <si>
    <t>885543.TI</t>
  </si>
  <si>
    <t>家用电器</t>
  </si>
  <si>
    <t>885888.TI</t>
  </si>
  <si>
    <t>C2M概念</t>
  </si>
  <si>
    <t>南钢股份</t>
  </si>
  <si>
    <t>600282.SH</t>
  </si>
  <si>
    <t>欧派家居</t>
  </si>
  <si>
    <t>603833.SH</t>
  </si>
  <si>
    <t>汉得信息</t>
  </si>
  <si>
    <t>300170.SZ</t>
  </si>
  <si>
    <t>松霖科技</t>
  </si>
  <si>
    <t>603992.SH</t>
  </si>
  <si>
    <t>舍得酒业</t>
  </si>
  <si>
    <t>600702.SH</t>
  </si>
  <si>
    <t>885478.TI</t>
  </si>
  <si>
    <t>智能家居</t>
  </si>
  <si>
    <t>885890.TI</t>
  </si>
  <si>
    <t>抖音概念(字节概念)</t>
  </si>
  <si>
    <t>885783.TI</t>
  </si>
  <si>
    <t>工业互联网</t>
  </si>
  <si>
    <t>886034.TI</t>
  </si>
  <si>
    <t>数字水印</t>
  </si>
  <si>
    <t>通鼎互联</t>
  </si>
  <si>
    <t>002491.SZ</t>
  </si>
  <si>
    <t>锐科激光</t>
  </si>
  <si>
    <t>300747.SZ</t>
  </si>
  <si>
    <t>东方国信</t>
  </si>
  <si>
    <t>300166.SZ</t>
  </si>
  <si>
    <t>星环科技</t>
  </si>
  <si>
    <t>688031.SH</t>
  </si>
  <si>
    <t>视觉中国</t>
  </si>
  <si>
    <t>000681.SZ</t>
  </si>
  <si>
    <t>885741.TI</t>
  </si>
  <si>
    <t>中字头股票</t>
  </si>
  <si>
    <t>中国人寿</t>
  </si>
  <si>
    <t>601628.SH</t>
  </si>
  <si>
    <t>886011.TI</t>
  </si>
  <si>
    <t>光热发电</t>
  </si>
  <si>
    <t>龙源电力</t>
  </si>
  <si>
    <t>001289.SZ</t>
  </si>
  <si>
    <t>东方电气</t>
  </si>
  <si>
    <t>600875.SH</t>
  </si>
  <si>
    <t>885580.TI</t>
  </si>
  <si>
    <t>足球概念</t>
  </si>
  <si>
    <t>儒意电影</t>
  </si>
  <si>
    <t>002739.SZ</t>
  </si>
  <si>
    <t>江苏有线</t>
  </si>
  <si>
    <t>600959.SH</t>
  </si>
  <si>
    <t>886098.TI</t>
  </si>
  <si>
    <t>小红书概念</t>
  </si>
  <si>
    <t>885882.TI</t>
  </si>
  <si>
    <t>消毒剂</t>
  </si>
  <si>
    <t>金安国纪</t>
  </si>
  <si>
    <t>002636.SZ</t>
  </si>
  <si>
    <t>885924.TI</t>
  </si>
  <si>
    <t>共同富裕示范区</t>
  </si>
  <si>
    <t>885819.TI</t>
  </si>
  <si>
    <t>电力物联网</t>
  </si>
  <si>
    <t>瑞芯微</t>
  </si>
  <si>
    <t>603893.SH</t>
  </si>
  <si>
    <t>四方股份</t>
  </si>
  <si>
    <t>601126.SH</t>
  </si>
  <si>
    <t>润和软件</t>
  </si>
  <si>
    <t>300339.SZ</t>
  </si>
  <si>
    <t>886075.TI</t>
  </si>
  <si>
    <t>同花顺出海50</t>
  </si>
  <si>
    <t>885386.TI</t>
  </si>
  <si>
    <t>建筑节能</t>
  </si>
  <si>
    <t>885938.TI</t>
  </si>
  <si>
    <t>换电概念</t>
  </si>
  <si>
    <t>886067.TI</t>
  </si>
  <si>
    <t>低空经济</t>
  </si>
  <si>
    <t>885595.TI</t>
  </si>
  <si>
    <t>央企国企改革</t>
  </si>
  <si>
    <t>885904.TI</t>
  </si>
  <si>
    <t>代糖概念</t>
  </si>
  <si>
    <t>太阳纸业</t>
  </si>
  <si>
    <t>002078.SZ</t>
  </si>
  <si>
    <t>中化国际</t>
  </si>
  <si>
    <t>600500.SH</t>
  </si>
  <si>
    <t>梅花生物</t>
  </si>
  <si>
    <t>600873.SH</t>
  </si>
  <si>
    <t>鲁信创投</t>
  </si>
  <si>
    <t>600783.SH</t>
  </si>
  <si>
    <t>885820.TI</t>
  </si>
  <si>
    <t>数字孪生</t>
  </si>
  <si>
    <t>886010.TI</t>
  </si>
  <si>
    <t>空气能热泵</t>
  </si>
  <si>
    <t>冰轮环境</t>
  </si>
  <si>
    <t>000811.SZ</t>
  </si>
  <si>
    <t>885423.TI</t>
  </si>
  <si>
    <t>安防</t>
  </si>
  <si>
    <t>三安光电</t>
  </si>
  <si>
    <t>600703.SH</t>
  </si>
  <si>
    <t>北京君正</t>
  </si>
  <si>
    <t>300223.SZ</t>
  </si>
  <si>
    <t>885494.TI</t>
  </si>
  <si>
    <t>一带一路</t>
  </si>
  <si>
    <t>885748.TI</t>
  </si>
  <si>
    <t>可燃冰</t>
  </si>
  <si>
    <t>时代电气</t>
  </si>
  <si>
    <t>688187.SH</t>
  </si>
  <si>
    <t>中海油服</t>
  </si>
  <si>
    <t>601808.SH</t>
  </si>
  <si>
    <t>石化油服</t>
  </si>
  <si>
    <t>600871.SH</t>
  </si>
  <si>
    <t>885312.TI</t>
  </si>
  <si>
    <t>物联网</t>
  </si>
  <si>
    <t>885851.TI</t>
  </si>
  <si>
    <t>烟草</t>
  </si>
  <si>
    <t>886086.TI</t>
  </si>
  <si>
    <t>西部大开发</t>
  </si>
  <si>
    <t>885406.TI</t>
  </si>
  <si>
    <t>食品安全</t>
  </si>
  <si>
    <t>886000.TI</t>
  </si>
  <si>
    <t>一体化压铸</t>
  </si>
  <si>
    <t>三祥新材</t>
  </si>
  <si>
    <t>603663.SH</t>
  </si>
  <si>
    <t>北汽蓝谷</t>
  </si>
  <si>
    <t>600733.SH</t>
  </si>
  <si>
    <t>885874.TI</t>
  </si>
  <si>
    <t>云游戏</t>
  </si>
  <si>
    <t>世纪华通</t>
  </si>
  <si>
    <t>002602.SZ</t>
  </si>
  <si>
    <t>方正科技</t>
  </si>
  <si>
    <t>600601.SH</t>
  </si>
  <si>
    <t>昆仑万维</t>
  </si>
  <si>
    <t>300418.SZ</t>
  </si>
  <si>
    <t>885999.TI</t>
  </si>
  <si>
    <t>汽车热管理</t>
  </si>
  <si>
    <t>宇通客车</t>
  </si>
  <si>
    <t>600066.SH</t>
  </si>
  <si>
    <t>885779.TI</t>
  </si>
  <si>
    <t>腾讯概念</t>
  </si>
  <si>
    <t>885413.TI</t>
  </si>
  <si>
    <t>创投</t>
  </si>
  <si>
    <t>885539.TI</t>
  </si>
  <si>
    <t>医疗器械概念</t>
  </si>
  <si>
    <t>迈瑞医疗</t>
  </si>
  <si>
    <t>300760.SZ</t>
  </si>
  <si>
    <t>886105.TI</t>
  </si>
  <si>
    <t>雅下水电概念</t>
  </si>
  <si>
    <t>大唐发电</t>
  </si>
  <si>
    <t>601991.SH</t>
  </si>
  <si>
    <t>885854.TI</t>
  </si>
  <si>
    <t>垃圾分类</t>
  </si>
  <si>
    <t>深圳能源</t>
  </si>
  <si>
    <t>000027.SZ</t>
  </si>
  <si>
    <t>886062.TI</t>
  </si>
  <si>
    <t>多模态AI</t>
  </si>
  <si>
    <t>885834.TI</t>
  </si>
  <si>
    <t>华为汽车</t>
  </si>
  <si>
    <t>883301.TI</t>
  </si>
  <si>
    <t>上证50样本股</t>
  </si>
  <si>
    <t>中国银行</t>
  </si>
  <si>
    <t>601988.SH</t>
  </si>
  <si>
    <t>886055.TI</t>
  </si>
  <si>
    <t>星闪概念</t>
  </si>
  <si>
    <t>国科微</t>
  </si>
  <si>
    <t>300672.SZ</t>
  </si>
  <si>
    <t>885372.TI</t>
  </si>
  <si>
    <t>页岩气</t>
  </si>
  <si>
    <t>中国海油</t>
  </si>
  <si>
    <t>600938.SH</t>
  </si>
  <si>
    <t>885598.TI</t>
  </si>
  <si>
    <t>新股与次新股</t>
  </si>
  <si>
    <t>886021.TI</t>
  </si>
  <si>
    <t>国企改革</t>
  </si>
  <si>
    <t>885398.TI</t>
  </si>
  <si>
    <t>煤化工概念</t>
  </si>
  <si>
    <t>886066.TI</t>
  </si>
  <si>
    <t>飞行汽车(eVTOL)</t>
  </si>
  <si>
    <t>885697.TI</t>
  </si>
  <si>
    <t>深圳国企改革</t>
  </si>
  <si>
    <t>885991.TI</t>
  </si>
  <si>
    <t>新型城镇化</t>
  </si>
  <si>
    <t>张江高科</t>
  </si>
  <si>
    <t>600895.SH</t>
  </si>
  <si>
    <t>886061.TI</t>
  </si>
  <si>
    <t>长安汽车概念</t>
  </si>
  <si>
    <t>885345.TI</t>
  </si>
  <si>
    <t>新疆振兴</t>
  </si>
  <si>
    <t>申万宏源</t>
  </si>
  <si>
    <t>000166.SZ</t>
  </si>
  <si>
    <t>中油资本</t>
  </si>
  <si>
    <t>000617.SZ</t>
  </si>
  <si>
    <t>885611.TI</t>
  </si>
  <si>
    <t>阿里巴巴概念</t>
  </si>
  <si>
    <t>885472.TI</t>
  </si>
  <si>
    <t>上海自贸区</t>
  </si>
  <si>
    <t>中远海能</t>
  </si>
  <si>
    <t>600026.SH</t>
  </si>
  <si>
    <t>886008.TI</t>
  </si>
  <si>
    <t>减速器</t>
  </si>
  <si>
    <t>绿的谐波</t>
  </si>
  <si>
    <t>688017.SH</t>
  </si>
  <si>
    <t>886047.TI</t>
  </si>
  <si>
    <t>脑机接口</t>
  </si>
  <si>
    <t>世运电路</t>
  </si>
  <si>
    <t>603920.SH</t>
  </si>
  <si>
    <t>岩山科技</t>
  </si>
  <si>
    <t>002195.SZ</t>
  </si>
  <si>
    <t>886045.TI</t>
  </si>
  <si>
    <t>同花顺中特估100</t>
  </si>
  <si>
    <t>招商银行</t>
  </si>
  <si>
    <t>600036.SH</t>
  </si>
  <si>
    <t>886058.TI</t>
  </si>
  <si>
    <t>华为昇腾</t>
  </si>
  <si>
    <t>高德红外</t>
  </si>
  <si>
    <t>002414.SZ</t>
  </si>
  <si>
    <t>恒生电子</t>
  </si>
  <si>
    <t>600570.SH</t>
  </si>
  <si>
    <t>885827.TI</t>
  </si>
  <si>
    <t>横琴新区</t>
  </si>
  <si>
    <t>博杰股份</t>
  </si>
  <si>
    <t>002975.SZ</t>
  </si>
  <si>
    <t>丽珠集团</t>
  </si>
  <si>
    <t>000513.SZ</t>
  </si>
  <si>
    <t>云意电气</t>
  </si>
  <si>
    <t>300304.SZ</t>
  </si>
  <si>
    <t>885934.TI</t>
  </si>
  <si>
    <t>元宇宙</t>
  </si>
  <si>
    <t>浪潮信息</t>
  </si>
  <si>
    <t>000977.SZ</t>
  </si>
  <si>
    <t>885728.TI</t>
  </si>
  <si>
    <t>人工智能</t>
  </si>
  <si>
    <t>885927.TI</t>
  </si>
  <si>
    <t>CRO概念</t>
  </si>
  <si>
    <t>药明康德</t>
  </si>
  <si>
    <t>603259.SH</t>
  </si>
  <si>
    <t>凯莱英</t>
  </si>
  <si>
    <t>002821.SZ</t>
  </si>
  <si>
    <t>康龙化成</t>
  </si>
  <si>
    <t>300759.SZ</t>
  </si>
  <si>
    <t>泰格医药</t>
  </si>
  <si>
    <t>300347.SZ</t>
  </si>
  <si>
    <t>885734.TI</t>
  </si>
  <si>
    <t>广东自贸区</t>
  </si>
  <si>
    <t>广州发展</t>
  </si>
  <si>
    <t>600098.SH</t>
  </si>
  <si>
    <t>广州港</t>
  </si>
  <si>
    <t>601228.SH</t>
  </si>
  <si>
    <t>奥海科技</t>
  </si>
  <si>
    <t>002993.SZ</t>
  </si>
  <si>
    <t>粤传媒</t>
  </si>
  <si>
    <t>002181.SZ</t>
  </si>
  <si>
    <t>中京电子</t>
  </si>
  <si>
    <t>002579.SZ</t>
  </si>
  <si>
    <t>886100.TI</t>
  </si>
  <si>
    <t>DeepSeek概念</t>
  </si>
  <si>
    <t>885960.TI</t>
  </si>
  <si>
    <t>民爆概念</t>
  </si>
  <si>
    <t>淮北矿业</t>
  </si>
  <si>
    <t>600985.SH</t>
  </si>
  <si>
    <t>雅化集团</t>
  </si>
  <si>
    <t>002497.SZ</t>
  </si>
  <si>
    <t>广东宏大</t>
  </si>
  <si>
    <t>002683.SZ</t>
  </si>
  <si>
    <t>金石资源</t>
  </si>
  <si>
    <t>603505.SH</t>
  </si>
  <si>
    <t>885852.TI</t>
  </si>
  <si>
    <t>青蒿素</t>
  </si>
  <si>
    <t>复星医药</t>
  </si>
  <si>
    <t>600196.SH</t>
  </si>
  <si>
    <t>白云山</t>
  </si>
  <si>
    <t>600332.SH</t>
  </si>
  <si>
    <t>华润双鹤</t>
  </si>
  <si>
    <t>600062.SH</t>
  </si>
  <si>
    <t>海正药业</t>
  </si>
  <si>
    <t>600267.SH</t>
  </si>
  <si>
    <t>885759.TI</t>
  </si>
  <si>
    <t>人脸识别</t>
  </si>
  <si>
    <t>885770.TI</t>
  </si>
  <si>
    <t>智能物流</t>
  </si>
  <si>
    <t>885640.TI</t>
  </si>
  <si>
    <t>草甘膦</t>
  </si>
  <si>
    <t>扬农化工</t>
  </si>
  <si>
    <t>600486.SH</t>
  </si>
  <si>
    <t>新安股份</t>
  </si>
  <si>
    <t>600596.SH</t>
  </si>
  <si>
    <t>和邦生物</t>
  </si>
  <si>
    <t>603077.SH</t>
  </si>
  <si>
    <t>润丰股份</t>
  </si>
  <si>
    <t>301035.SZ</t>
  </si>
  <si>
    <t>886040.TI</t>
  </si>
  <si>
    <t>MLOps概念</t>
  </si>
  <si>
    <t>传音控股</t>
  </si>
  <si>
    <t>688036.SH</t>
  </si>
  <si>
    <t>奥比中光</t>
  </si>
  <si>
    <t>688322.SH</t>
  </si>
  <si>
    <t>中科创达</t>
  </si>
  <si>
    <t>300496.SZ</t>
  </si>
  <si>
    <t>光环新网</t>
  </si>
  <si>
    <t>300383.SZ</t>
  </si>
  <si>
    <t>885781.TI</t>
  </si>
  <si>
    <t>石墨电极</t>
  </si>
  <si>
    <t>宝钢股份</t>
  </si>
  <si>
    <t>600019.SH</t>
  </si>
  <si>
    <t>贝特瑞</t>
  </si>
  <si>
    <t>920185.BJ</t>
  </si>
  <si>
    <t>886060.TI</t>
  </si>
  <si>
    <t>短剧游戏</t>
  </si>
  <si>
    <t>兆驰股份</t>
  </si>
  <si>
    <t>002429.SZ</t>
  </si>
  <si>
    <t>885805.TI</t>
  </si>
  <si>
    <t>芬太尼</t>
  </si>
  <si>
    <t>ST人福</t>
  </si>
  <si>
    <t>600079.SH</t>
  </si>
  <si>
    <t>恩华药业</t>
  </si>
  <si>
    <t>002262.SZ</t>
  </si>
  <si>
    <t>国药股份</t>
  </si>
  <si>
    <t>600511.SH</t>
  </si>
  <si>
    <t>羚锐制药</t>
  </si>
  <si>
    <t>600285.SH</t>
  </si>
  <si>
    <t>国药现代</t>
  </si>
  <si>
    <t>600420.SH</t>
  </si>
  <si>
    <t>885797.TI</t>
  </si>
  <si>
    <t>百度概念</t>
  </si>
  <si>
    <t>885760.TI</t>
  </si>
  <si>
    <t>装配式建筑</t>
  </si>
  <si>
    <t>中国铁建</t>
  </si>
  <si>
    <t>601186.SH</t>
  </si>
  <si>
    <t>海螺水泥</t>
  </si>
  <si>
    <t>600585.SH</t>
  </si>
  <si>
    <t>中国中冶</t>
  </si>
  <si>
    <t>601618.SH</t>
  </si>
  <si>
    <t>北新建材</t>
  </si>
  <si>
    <t>000786.SZ</t>
  </si>
  <si>
    <t>885617.TI</t>
  </si>
  <si>
    <t>福建自贸区</t>
  </si>
  <si>
    <t>福耀玻璃</t>
  </si>
  <si>
    <t>600660.SH</t>
  </si>
  <si>
    <t>885362.TI</t>
  </si>
  <si>
    <t>云计算</t>
  </si>
  <si>
    <t>885990.TI</t>
  </si>
  <si>
    <t>露营经济</t>
  </si>
  <si>
    <t>885572.TI</t>
  </si>
  <si>
    <t>水利</t>
  </si>
  <si>
    <t>885744.TI</t>
  </si>
  <si>
    <t>雄安新区</t>
  </si>
  <si>
    <t>885487.TI</t>
  </si>
  <si>
    <t>天津自贸区</t>
  </si>
  <si>
    <t>金开新能</t>
  </si>
  <si>
    <t>600821.SH</t>
  </si>
  <si>
    <t>天津港</t>
  </si>
  <si>
    <t>600717.SH</t>
  </si>
  <si>
    <t>海航科技</t>
  </si>
  <si>
    <t>600751.SH</t>
  </si>
  <si>
    <t>天津普林</t>
  </si>
  <si>
    <t>002134.SZ</t>
  </si>
  <si>
    <t>885787.TI</t>
  </si>
  <si>
    <t>独角兽概念</t>
  </si>
  <si>
    <t>中国平安</t>
  </si>
  <si>
    <t>601318.SH</t>
  </si>
  <si>
    <t>885881.TI</t>
  </si>
  <si>
    <t>云办公</t>
  </si>
  <si>
    <t>金山办公</t>
  </si>
  <si>
    <t>688111.SH</t>
  </si>
  <si>
    <t>深信服</t>
  </si>
  <si>
    <t>300454.SZ</t>
  </si>
  <si>
    <t>亿联网络</t>
  </si>
  <si>
    <t>300628.SZ</t>
  </si>
  <si>
    <t>885916.TI</t>
  </si>
  <si>
    <t>同花顺漂亮100</t>
  </si>
  <si>
    <t>885967.TI</t>
  </si>
  <si>
    <t>化肥</t>
  </si>
  <si>
    <t>天齐锂业</t>
  </si>
  <si>
    <t>002466.SZ</t>
  </si>
  <si>
    <t>赣锋锂业</t>
  </si>
  <si>
    <t>002460.SZ</t>
  </si>
  <si>
    <t>885849.TI</t>
  </si>
  <si>
    <t>黑龙江自贸区</t>
  </si>
  <si>
    <t>华电能源</t>
  </si>
  <si>
    <t>600726.SH</t>
  </si>
  <si>
    <t>北大荒</t>
  </si>
  <si>
    <t>600598.SH</t>
  </si>
  <si>
    <t>中国一重</t>
  </si>
  <si>
    <t>601106.SH</t>
  </si>
  <si>
    <t>湘财股份</t>
  </si>
  <si>
    <t>600095.SH</t>
  </si>
  <si>
    <t>中直股份</t>
  </si>
  <si>
    <t>600038.SH</t>
  </si>
  <si>
    <t>885662.TI</t>
  </si>
  <si>
    <t>车联网(车路协同)</t>
  </si>
  <si>
    <t>886099.TI</t>
  </si>
  <si>
    <t>AI智能体</t>
  </si>
  <si>
    <t>886056.TI</t>
  </si>
  <si>
    <t>阿尔茨海默概念</t>
  </si>
  <si>
    <t>885378.TI</t>
  </si>
  <si>
    <t>智慧城市</t>
  </si>
  <si>
    <t>885578.TI</t>
  </si>
  <si>
    <t>基因测序</t>
  </si>
  <si>
    <t>温氏股份</t>
  </si>
  <si>
    <t>300498.SZ</t>
  </si>
  <si>
    <t>茂莱光学</t>
  </si>
  <si>
    <t>688502.SH</t>
  </si>
  <si>
    <t>九州通</t>
  </si>
  <si>
    <t>600998.SH</t>
  </si>
  <si>
    <t>贝达药业</t>
  </si>
  <si>
    <t>300558.SZ</t>
  </si>
  <si>
    <t>885839.TI</t>
  </si>
  <si>
    <t>人造肉</t>
  </si>
  <si>
    <t>双汇发展</t>
  </si>
  <si>
    <t>000895.SZ</t>
  </si>
  <si>
    <t>安琪酵母</t>
  </si>
  <si>
    <t>600298.SH</t>
  </si>
  <si>
    <t>国恩股份</t>
  </si>
  <si>
    <t>002768.SZ</t>
  </si>
  <si>
    <t>金字火腿</t>
  </si>
  <si>
    <t>002515.SZ</t>
  </si>
  <si>
    <t>诚志股份</t>
  </si>
  <si>
    <t>000990.SZ</t>
  </si>
  <si>
    <t>885690.TI</t>
  </si>
  <si>
    <t>PPP概念</t>
  </si>
  <si>
    <t>885743.TI</t>
  </si>
  <si>
    <t>军民融合</t>
  </si>
  <si>
    <t>中国卫星</t>
  </si>
  <si>
    <t>600118.SH</t>
  </si>
  <si>
    <t>885402.TI</t>
  </si>
  <si>
    <t>智能医疗</t>
  </si>
  <si>
    <t>885692.TI</t>
  </si>
  <si>
    <t>地下管网</t>
  </si>
  <si>
    <t>东方雨虹</t>
  </si>
  <si>
    <t>002271.SZ</t>
  </si>
  <si>
    <t>铁建重工</t>
  </si>
  <si>
    <t>688425.SH</t>
  </si>
  <si>
    <t>上海建工</t>
  </si>
  <si>
    <t>600170.SH</t>
  </si>
  <si>
    <t>885795.TI</t>
  </si>
  <si>
    <t>国产航母</t>
  </si>
  <si>
    <t>885909.TI</t>
  </si>
  <si>
    <t>辅助生殖</t>
  </si>
  <si>
    <t>长春高新</t>
  </si>
  <si>
    <t>000661.SZ</t>
  </si>
  <si>
    <t>885733.TI</t>
  </si>
  <si>
    <t>航运概念</t>
  </si>
  <si>
    <t>885910.TI</t>
  </si>
  <si>
    <t>拼多多概念</t>
  </si>
  <si>
    <t>中恒电气</t>
  </si>
  <si>
    <t>002364.SZ</t>
  </si>
  <si>
    <t>东航物流</t>
  </si>
  <si>
    <t>601156.SH</t>
  </si>
  <si>
    <t>每日互动</t>
  </si>
  <si>
    <t>300766.SZ</t>
  </si>
  <si>
    <t>885459.TI</t>
  </si>
  <si>
    <t>网络安全</t>
  </si>
  <si>
    <t>886039.TI</t>
  </si>
  <si>
    <t>ERP概念</t>
  </si>
  <si>
    <t>宝信软件</t>
  </si>
  <si>
    <t>600845.SH</t>
  </si>
  <si>
    <t>用友网络</t>
  </si>
  <si>
    <t>600588.SH</t>
  </si>
  <si>
    <t>软通动力</t>
  </si>
  <si>
    <t>301236.SZ</t>
  </si>
  <si>
    <t>精达股份</t>
  </si>
  <si>
    <t>600577.SH</t>
  </si>
  <si>
    <t>885835.TI</t>
  </si>
  <si>
    <t>参股银行</t>
  </si>
  <si>
    <t>886090.TI</t>
  </si>
  <si>
    <t>智谱AI</t>
  </si>
  <si>
    <t>886087.TI</t>
  </si>
  <si>
    <t>房屋检测</t>
  </si>
  <si>
    <t>886013.TI</t>
  </si>
  <si>
    <t>信创</t>
  </si>
  <si>
    <t>885699.TI</t>
  </si>
  <si>
    <t>ST板块</t>
  </si>
  <si>
    <t>*ST新潮</t>
  </si>
  <si>
    <t>600777.SH</t>
  </si>
  <si>
    <t>ST臻镭</t>
  </si>
  <si>
    <t>688270.SH</t>
  </si>
  <si>
    <t>*ST闻泰</t>
  </si>
  <si>
    <t>600745.SH</t>
  </si>
  <si>
    <t>*ST亚振</t>
  </si>
  <si>
    <t>603389.SH</t>
  </si>
  <si>
    <t>885900.TI</t>
  </si>
  <si>
    <t>NMN概念</t>
  </si>
  <si>
    <t>众生药业</t>
  </si>
  <si>
    <t>002317.SZ</t>
  </si>
  <si>
    <t>浙江医药</t>
  </si>
  <si>
    <t>600216.SH</t>
  </si>
  <si>
    <t>885514.TI</t>
  </si>
  <si>
    <t>京津冀一体化</t>
  </si>
  <si>
    <t>885782.TI</t>
  </si>
  <si>
    <t>水泥概念</t>
  </si>
  <si>
    <t>君正集团</t>
  </si>
  <si>
    <t>601216.SH</t>
  </si>
  <si>
    <t>天山股份</t>
  </si>
  <si>
    <t>000877.SZ</t>
  </si>
  <si>
    <t>鄂尔多斯</t>
  </si>
  <si>
    <t>600295.SH</t>
  </si>
  <si>
    <t>886036.TI</t>
  </si>
  <si>
    <t>时空大数据</t>
  </si>
  <si>
    <t>中科星图</t>
  </si>
  <si>
    <t>688568.SH</t>
  </si>
  <si>
    <t>赛微电子</t>
  </si>
  <si>
    <t>300456.SZ</t>
  </si>
  <si>
    <t>广电运通</t>
  </si>
  <si>
    <t>002152.SZ</t>
  </si>
  <si>
    <t>885761.TI</t>
  </si>
  <si>
    <t>超级品牌</t>
  </si>
  <si>
    <t>885976.TI</t>
  </si>
  <si>
    <t>数字经济</t>
  </si>
  <si>
    <t>885591.TI</t>
  </si>
  <si>
    <t>中韩自贸区</t>
  </si>
  <si>
    <t>青岛港</t>
  </si>
  <si>
    <t>601298.SH</t>
  </si>
  <si>
    <t>辽港股份</t>
  </si>
  <si>
    <t>601880.SH</t>
  </si>
  <si>
    <t>明泰铝业</t>
  </si>
  <si>
    <t>601677.SH</t>
  </si>
  <si>
    <t>日照港</t>
  </si>
  <si>
    <t>600017.SH</t>
  </si>
  <si>
    <t>885663.TI</t>
  </si>
  <si>
    <t>证金持股</t>
  </si>
  <si>
    <t>886019.TI</t>
  </si>
  <si>
    <t>AIGC概念</t>
  </si>
  <si>
    <t>885977.TI</t>
  </si>
  <si>
    <t>国资云</t>
  </si>
  <si>
    <t>中国移动</t>
  </si>
  <si>
    <t>600941.SH</t>
  </si>
  <si>
    <t>886077.TI</t>
  </si>
  <si>
    <t>合成生物</t>
  </si>
  <si>
    <t>885913.TI</t>
  </si>
  <si>
    <t>医美概念</t>
  </si>
  <si>
    <t>云南白药</t>
  </si>
  <si>
    <t>000538.SZ</t>
  </si>
  <si>
    <t>长光华芯</t>
  </si>
  <si>
    <t>688048.SH</t>
  </si>
  <si>
    <t>爱尔眼科</t>
  </si>
  <si>
    <t>300015.SZ</t>
  </si>
  <si>
    <t>华东医药</t>
  </si>
  <si>
    <t>000963.SZ</t>
  </si>
  <si>
    <t>885942.TI</t>
  </si>
  <si>
    <t>数据安全</t>
  </si>
  <si>
    <t>885587.TI</t>
  </si>
  <si>
    <t>举牌</t>
  </si>
  <si>
    <t>886041.TI</t>
  </si>
  <si>
    <t>数据要素</t>
  </si>
  <si>
    <t>885570.TI</t>
  </si>
  <si>
    <t>期货概念</t>
  </si>
  <si>
    <t>中信证券</t>
  </si>
  <si>
    <t>600030.SH</t>
  </si>
  <si>
    <t>东方财富</t>
  </si>
  <si>
    <t>300059.SZ</t>
  </si>
  <si>
    <t>国泰海通</t>
  </si>
  <si>
    <t>601211.SH</t>
  </si>
  <si>
    <t>华泰证券</t>
  </si>
  <si>
    <t>601688.SH</t>
  </si>
  <si>
    <t>广发证券</t>
  </si>
  <si>
    <t>000776.SZ</t>
  </si>
  <si>
    <t>885965.TI</t>
  </si>
  <si>
    <t>中俄贸易概念</t>
  </si>
  <si>
    <t>小商品城</t>
  </si>
  <si>
    <t>600415.SH</t>
  </si>
  <si>
    <t>特锐德</t>
  </si>
  <si>
    <t>300001.SZ</t>
  </si>
  <si>
    <t>885615.TI</t>
  </si>
  <si>
    <t>体育产业</t>
  </si>
  <si>
    <t>分众传媒</t>
  </si>
  <si>
    <t>002027.SZ</t>
  </si>
  <si>
    <t>中复神鹰</t>
  </si>
  <si>
    <t>688295.SH</t>
  </si>
  <si>
    <t>华利集团</t>
  </si>
  <si>
    <t>300979.SZ</t>
  </si>
  <si>
    <t>885706.TI</t>
  </si>
  <si>
    <t>农机</t>
  </si>
  <si>
    <t>885642.TI</t>
  </si>
  <si>
    <t>跨境电商</t>
  </si>
  <si>
    <t>885623.TI</t>
  </si>
  <si>
    <t>参股保险</t>
  </si>
  <si>
    <t>885480.TI</t>
  </si>
  <si>
    <t>在线教育</t>
  </si>
  <si>
    <t>拓维信息</t>
  </si>
  <si>
    <t>002261.SZ</t>
  </si>
  <si>
    <t>885985.TI</t>
  </si>
  <si>
    <t>毛发医疗</t>
  </si>
  <si>
    <t>885705.TI</t>
  </si>
  <si>
    <t>乡村振兴</t>
  </si>
  <si>
    <t>885620.TI</t>
  </si>
  <si>
    <t>参股券商</t>
  </si>
  <si>
    <t>886074.TI</t>
  </si>
  <si>
    <t>AI语料</t>
  </si>
  <si>
    <t>885540.TI</t>
  </si>
  <si>
    <t>三胎概念</t>
  </si>
  <si>
    <t>伊利股份</t>
  </si>
  <si>
    <t>600887.SH</t>
  </si>
  <si>
    <t>雅戈尔</t>
  </si>
  <si>
    <t>600177.SH</t>
  </si>
  <si>
    <t>885950.TI</t>
  </si>
  <si>
    <t>虚拟数字人</t>
  </si>
  <si>
    <t>885861.TI</t>
  </si>
  <si>
    <t>ETC</t>
  </si>
  <si>
    <t>紫光国微</t>
  </si>
  <si>
    <t>002049.SZ</t>
  </si>
  <si>
    <t>合力泰</t>
  </si>
  <si>
    <t>002217.SZ</t>
  </si>
  <si>
    <t>力源信息</t>
  </si>
  <si>
    <t>300184.SZ</t>
  </si>
  <si>
    <t>新大陆</t>
  </si>
  <si>
    <t>000997.SZ</t>
  </si>
  <si>
    <t>智微智能</t>
  </si>
  <si>
    <t>001339.SZ</t>
  </si>
  <si>
    <t>885502.TI</t>
  </si>
  <si>
    <t>冷链物流</t>
  </si>
  <si>
    <t>885750.TI</t>
  </si>
  <si>
    <t>特色小镇</t>
  </si>
  <si>
    <t>885603.TI</t>
  </si>
  <si>
    <t>网络游戏</t>
  </si>
  <si>
    <t>885418.TI</t>
  </si>
  <si>
    <t>文化传媒概念</t>
  </si>
  <si>
    <t>光线传媒</t>
  </si>
  <si>
    <t>300251.SZ</t>
  </si>
  <si>
    <t>885780.TI</t>
  </si>
  <si>
    <t>啤酒概念</t>
  </si>
  <si>
    <t>泸州老窖</t>
  </si>
  <si>
    <t>000568.SZ</t>
  </si>
  <si>
    <t>青岛啤酒</t>
  </si>
  <si>
    <t>600600.SH</t>
  </si>
  <si>
    <t>燕京啤酒</t>
  </si>
  <si>
    <t>000729.SZ</t>
  </si>
  <si>
    <t>重庆啤酒</t>
  </si>
  <si>
    <t>600132.SH</t>
  </si>
  <si>
    <t>珠江啤酒</t>
  </si>
  <si>
    <t>002461.SZ</t>
  </si>
  <si>
    <t>885586.TI</t>
  </si>
  <si>
    <t>职业教育</t>
  </si>
  <si>
    <t>大中矿业</t>
  </si>
  <si>
    <t>001203.SZ</t>
  </si>
  <si>
    <t>宏景科技</t>
  </si>
  <si>
    <t>301396.SZ</t>
  </si>
  <si>
    <t>机器人</t>
  </si>
  <si>
    <t>300024.SZ</t>
  </si>
  <si>
    <t>885428.TI</t>
  </si>
  <si>
    <t>特钢概念</t>
  </si>
  <si>
    <t>华菱钢铁</t>
  </si>
  <si>
    <t>000932.SZ</t>
  </si>
  <si>
    <t>885980.TI</t>
  </si>
  <si>
    <t>华为鲲鹏</t>
  </si>
  <si>
    <t>中国长城</t>
  </si>
  <si>
    <t>000066.SZ</t>
  </si>
  <si>
    <t>886031.TI</t>
  </si>
  <si>
    <t>ChatGPT概念</t>
  </si>
  <si>
    <t>885952.TI</t>
  </si>
  <si>
    <t>幽门螺杆菌概念</t>
  </si>
  <si>
    <t>科伦药业</t>
  </si>
  <si>
    <t>002422.SZ</t>
  </si>
  <si>
    <t>万泰生物</t>
  </si>
  <si>
    <t>603392.SH</t>
  </si>
  <si>
    <t>济川药业</t>
  </si>
  <si>
    <t>600566.SH</t>
  </si>
  <si>
    <t>以岭药业</t>
  </si>
  <si>
    <t>002603.SZ</t>
  </si>
  <si>
    <t>886076.TI</t>
  </si>
  <si>
    <t>军工信息化</t>
  </si>
  <si>
    <t>国博电子</t>
  </si>
  <si>
    <t>688375.SH</t>
  </si>
  <si>
    <t>中航机载</t>
  </si>
  <si>
    <t>600372.SH</t>
  </si>
  <si>
    <t>航天发展</t>
  </si>
  <si>
    <t>000547.SZ</t>
  </si>
  <si>
    <t>886051.TI</t>
  </si>
  <si>
    <t>减肥药</t>
  </si>
  <si>
    <t>885923.TI</t>
  </si>
  <si>
    <t>鸿蒙概念</t>
  </si>
  <si>
    <t>885879.TI</t>
  </si>
  <si>
    <t>流感</t>
  </si>
  <si>
    <t>华润三九</t>
  </si>
  <si>
    <t>000999.SZ</t>
  </si>
  <si>
    <t>886068.TI</t>
  </si>
  <si>
    <t>AI视频</t>
  </si>
  <si>
    <t>885757.TI</t>
  </si>
  <si>
    <t>区块链</t>
  </si>
  <si>
    <t>885772.TI</t>
  </si>
  <si>
    <t>语音技术</t>
  </si>
  <si>
    <t>885974.TI</t>
  </si>
  <si>
    <t>两轮车</t>
  </si>
  <si>
    <t>国轩高科</t>
  </si>
  <si>
    <t>002074.SZ</t>
  </si>
  <si>
    <t>千里科技</t>
  </si>
  <si>
    <t>601777.SH</t>
  </si>
  <si>
    <t>886023.TI</t>
  </si>
  <si>
    <t>数据确权</t>
  </si>
  <si>
    <t>深桑达A</t>
  </si>
  <si>
    <t>000032.SZ</t>
  </si>
  <si>
    <t>衢州发展</t>
  </si>
  <si>
    <t>600208.SH</t>
  </si>
  <si>
    <t>常山北明</t>
  </si>
  <si>
    <t>000158.SZ</t>
  </si>
  <si>
    <t>人民网</t>
  </si>
  <si>
    <t>603000.SH</t>
  </si>
  <si>
    <t>885968.TI</t>
  </si>
  <si>
    <t>托育服务</t>
  </si>
  <si>
    <t>*ST金科</t>
  </si>
  <si>
    <t>000656.SZ</t>
  </si>
  <si>
    <t>孚日股份</t>
  </si>
  <si>
    <t>002083.SZ</t>
  </si>
  <si>
    <t>长江传媒</t>
  </si>
  <si>
    <t>600757.SH</t>
  </si>
  <si>
    <t>中原传媒</t>
  </si>
  <si>
    <t>000719.SZ</t>
  </si>
  <si>
    <t>885769.TI</t>
  </si>
  <si>
    <t>细胞免疫治疗</t>
  </si>
  <si>
    <t>886095.TI</t>
  </si>
  <si>
    <t>IP经济(谷子经济)</t>
  </si>
  <si>
    <t>886016.TI</t>
  </si>
  <si>
    <t>供销社</t>
  </si>
  <si>
    <t>885876.TI</t>
  </si>
  <si>
    <t>网红经济</t>
  </si>
  <si>
    <t>885818.TI</t>
  </si>
  <si>
    <t>工业大麻</t>
  </si>
  <si>
    <t>通化金马</t>
  </si>
  <si>
    <t>000766.SZ</t>
  </si>
  <si>
    <t>天士力</t>
  </si>
  <si>
    <t>600535.SH</t>
  </si>
  <si>
    <t>蓝晓科技</t>
  </si>
  <si>
    <t>300487.SZ</t>
  </si>
  <si>
    <t>翰宇药业</t>
  </si>
  <si>
    <t>300199.SZ</t>
  </si>
  <si>
    <t>885838.TI</t>
  </si>
  <si>
    <t>眼科医疗</t>
  </si>
  <si>
    <t>甘李药业</t>
  </si>
  <si>
    <t>603087.SH</t>
  </si>
  <si>
    <t>885497.TI</t>
  </si>
  <si>
    <t>旅游概念</t>
  </si>
  <si>
    <t>885661.TI</t>
  </si>
  <si>
    <t>医药电商</t>
  </si>
  <si>
    <t>上海医药</t>
  </si>
  <si>
    <t>601607.SH</t>
  </si>
  <si>
    <t>885505.TI</t>
  </si>
  <si>
    <t>生态农业</t>
  </si>
  <si>
    <t>海大集团</t>
  </si>
  <si>
    <t>002311.SZ</t>
  </si>
  <si>
    <t>新洋丰</t>
  </si>
  <si>
    <t>000902.SZ</t>
  </si>
  <si>
    <t>885522.TI</t>
  </si>
  <si>
    <t>养老概念</t>
  </si>
  <si>
    <t>招商蛇口</t>
  </si>
  <si>
    <t>001979.SZ</t>
  </si>
  <si>
    <t>886017.TI</t>
  </si>
  <si>
    <t>Web3.0</t>
  </si>
  <si>
    <t>凌云光</t>
  </si>
  <si>
    <t>688400.SH</t>
  </si>
  <si>
    <t>885812.TI</t>
  </si>
  <si>
    <t>农业种植</t>
  </si>
  <si>
    <t>885749.TI</t>
  </si>
  <si>
    <t>蚂蚁集团概念</t>
  </si>
  <si>
    <t>中国人保</t>
  </si>
  <si>
    <t>601319.SH</t>
  </si>
  <si>
    <t>中国太保</t>
  </si>
  <si>
    <t>601601.SH</t>
  </si>
  <si>
    <t>新华保险</t>
  </si>
  <si>
    <t>601336.SH</t>
  </si>
  <si>
    <t>886015.TI</t>
  </si>
  <si>
    <t>创新药</t>
  </si>
  <si>
    <t>885856.TI</t>
  </si>
  <si>
    <t>仿制药一致性评价</t>
  </si>
  <si>
    <t>信立泰</t>
  </si>
  <si>
    <t>002294.SZ</t>
  </si>
  <si>
    <t>885825.TI</t>
  </si>
  <si>
    <t>冰雪产业</t>
  </si>
  <si>
    <t>万科A</t>
  </si>
  <si>
    <t>000002.SZ</t>
  </si>
  <si>
    <t>豫园股份</t>
  </si>
  <si>
    <t>600655.SH</t>
  </si>
  <si>
    <t>885956.TI</t>
  </si>
  <si>
    <t>智慧政务</t>
  </si>
  <si>
    <t>885737.TI</t>
  </si>
  <si>
    <t>电子竞技</t>
  </si>
  <si>
    <t>巨人网络</t>
  </si>
  <si>
    <t>002558.SZ</t>
  </si>
  <si>
    <t>东方明珠</t>
  </si>
  <si>
    <t>600637.SH</t>
  </si>
  <si>
    <t>三七互娱</t>
  </si>
  <si>
    <t>002555.SZ</t>
  </si>
  <si>
    <t>恺英网络</t>
  </si>
  <si>
    <t>002517.SZ</t>
  </si>
  <si>
    <t>885791.TI</t>
  </si>
  <si>
    <t>知识产权保护</t>
  </si>
  <si>
    <t>中文在线</t>
  </si>
  <si>
    <t>300364.SZ</t>
  </si>
  <si>
    <t>中国科传</t>
  </si>
  <si>
    <t>601858.SH</t>
  </si>
  <si>
    <t>885814.TI</t>
  </si>
  <si>
    <t>信托概念</t>
  </si>
  <si>
    <t>浦发银行</t>
  </si>
  <si>
    <t>600000.SH</t>
  </si>
  <si>
    <t>国投资本</t>
  </si>
  <si>
    <t>600061.SH</t>
  </si>
  <si>
    <t>江苏国信</t>
  </si>
  <si>
    <t>002608.SZ</t>
  </si>
  <si>
    <t>电投产融</t>
  </si>
  <si>
    <t>000958.SZ</t>
  </si>
  <si>
    <t>885842.TI</t>
  </si>
  <si>
    <t>数字乡村</t>
  </si>
  <si>
    <t>885490.TI</t>
  </si>
  <si>
    <t>民营医院</t>
  </si>
  <si>
    <t>885988.TI</t>
  </si>
  <si>
    <t>统一大市场</t>
  </si>
  <si>
    <t>885844.TI</t>
  </si>
  <si>
    <t>国产操作系统</t>
  </si>
  <si>
    <t>885915.TI</t>
  </si>
  <si>
    <t>物业管理</t>
  </si>
  <si>
    <t>886012.TI</t>
  </si>
  <si>
    <t>宠物经济</t>
  </si>
  <si>
    <t>885508.TI</t>
  </si>
  <si>
    <t>禽流感</t>
  </si>
  <si>
    <t>华兰生物</t>
  </si>
  <si>
    <t>002007.SZ</t>
  </si>
  <si>
    <t>885740.TI</t>
  </si>
  <si>
    <t>化债概念(AMC概念)</t>
  </si>
  <si>
    <t>东兴证券</t>
  </si>
  <si>
    <t>601198.SH</t>
  </si>
  <si>
    <t>越秀资本</t>
  </si>
  <si>
    <t>000987.SZ</t>
  </si>
  <si>
    <t>陕国投A</t>
  </si>
  <si>
    <t>000563.SZ</t>
  </si>
  <si>
    <t>885758.TI</t>
  </si>
  <si>
    <t>租售同权</t>
  </si>
  <si>
    <t>保利发展</t>
  </si>
  <si>
    <t>600048.SH</t>
  </si>
  <si>
    <t>滨江集团</t>
  </si>
  <si>
    <t>002244.SZ</t>
  </si>
  <si>
    <t>885493.TI</t>
  </si>
  <si>
    <t>上海国企改革</t>
  </si>
  <si>
    <t>华域汽车</t>
  </si>
  <si>
    <t>600741.SH</t>
  </si>
  <si>
    <t>885994.TI</t>
  </si>
  <si>
    <t>猴痘概念</t>
  </si>
  <si>
    <t>新产业</t>
  </si>
  <si>
    <t>300832.SZ</t>
  </si>
  <si>
    <t>君实生物</t>
  </si>
  <si>
    <t>688180.SH</t>
  </si>
  <si>
    <t>华测检测</t>
  </si>
  <si>
    <t>300012.SZ</t>
  </si>
  <si>
    <t>886094.TI</t>
  </si>
  <si>
    <t>华为盘古</t>
  </si>
  <si>
    <t>拓尔思</t>
  </si>
  <si>
    <t>300229.SZ</t>
  </si>
  <si>
    <t>885457.TI</t>
  </si>
  <si>
    <t>手机游戏</t>
  </si>
  <si>
    <t>885982.TI</t>
  </si>
  <si>
    <t>华为欧拉</t>
  </si>
  <si>
    <t>885981.TI</t>
  </si>
  <si>
    <t>家庭医生</t>
  </si>
  <si>
    <t>885439.TI</t>
  </si>
  <si>
    <t>土地流转</t>
  </si>
  <si>
    <t>万辰集团</t>
  </si>
  <si>
    <t>300972.SZ</t>
  </si>
  <si>
    <t>海南机场</t>
  </si>
  <si>
    <t>600515.SH</t>
  </si>
  <si>
    <t>正邦科技</t>
  </si>
  <si>
    <t>002157.SZ</t>
  </si>
  <si>
    <t>中国宝安</t>
  </si>
  <si>
    <t>000009.SZ</t>
  </si>
  <si>
    <t>885525.TI</t>
  </si>
  <si>
    <t>白酒概念</t>
  </si>
  <si>
    <t>886081.TI</t>
  </si>
  <si>
    <t>维生素</t>
  </si>
  <si>
    <t>石药创新</t>
  </si>
  <si>
    <t>300765.SZ</t>
  </si>
  <si>
    <t>安迪苏</t>
  </si>
  <si>
    <t>600299.SH</t>
  </si>
  <si>
    <t>885456.TI</t>
  </si>
  <si>
    <t>互联网金融</t>
  </si>
  <si>
    <t>同花顺</t>
  </si>
  <si>
    <t>300033.SZ</t>
  </si>
  <si>
    <t>东方证券</t>
  </si>
  <si>
    <t>600958.SH</t>
  </si>
  <si>
    <t>885989.TI</t>
  </si>
  <si>
    <t>肝炎概念</t>
  </si>
  <si>
    <t>886108.TI</t>
  </si>
  <si>
    <t>AI应用</t>
  </si>
  <si>
    <t>885808.TI</t>
  </si>
  <si>
    <t>养鸡</t>
  </si>
  <si>
    <t>885747.TI</t>
  </si>
  <si>
    <t>共享单车</t>
  </si>
  <si>
    <t>885933.TI</t>
  </si>
  <si>
    <t>NFT概念</t>
  </si>
  <si>
    <t>885846.TI</t>
  </si>
  <si>
    <t>动物疫苗</t>
  </si>
  <si>
    <t>885955.TI</t>
  </si>
  <si>
    <t>重组蛋白</t>
  </si>
  <si>
    <t>885767.TI</t>
  </si>
  <si>
    <t>互联网保险</t>
  </si>
  <si>
    <t>886018.TI</t>
  </si>
  <si>
    <t>高压氧舱</t>
  </si>
  <si>
    <t>杭氧股份</t>
  </si>
  <si>
    <t>002430.SZ</t>
  </si>
  <si>
    <t>三星电气</t>
  </si>
  <si>
    <t>601567.SH</t>
  </si>
  <si>
    <t>国际医学</t>
  </si>
  <si>
    <t>000516.SZ</t>
  </si>
  <si>
    <t>创新医疗</t>
  </si>
  <si>
    <t>002173.SZ</t>
  </si>
  <si>
    <t>885333.TI</t>
  </si>
  <si>
    <t>移动支付</t>
  </si>
  <si>
    <t>顺络电子</t>
  </si>
  <si>
    <t>002138.SZ</t>
  </si>
  <si>
    <t>885877.TI</t>
  </si>
  <si>
    <t>转基因</t>
  </si>
  <si>
    <t>隆平高科</t>
  </si>
  <si>
    <t>000998.SZ</t>
  </si>
  <si>
    <t>大北农</t>
  </si>
  <si>
    <t>002385.SZ</t>
  </si>
  <si>
    <t>芭田股份</t>
  </si>
  <si>
    <t>002170.SZ</t>
  </si>
  <si>
    <t>华邦健康</t>
  </si>
  <si>
    <t>002004.SZ</t>
  </si>
  <si>
    <t>886080.TI</t>
  </si>
  <si>
    <t>财税数字化</t>
  </si>
  <si>
    <t>885947.TI</t>
  </si>
  <si>
    <t>DRG/DIP</t>
  </si>
  <si>
    <t>885951.TI</t>
  </si>
  <si>
    <t>预制菜</t>
  </si>
  <si>
    <t>东阿阿胶</t>
  </si>
  <si>
    <t>000423.SZ</t>
  </si>
  <si>
    <t>885995.TI</t>
  </si>
  <si>
    <t>粮食概念</t>
  </si>
  <si>
    <t>885462.TI</t>
  </si>
  <si>
    <t>乳业</t>
  </si>
  <si>
    <t>885845.TI</t>
  </si>
  <si>
    <t>生物疫苗</t>
  </si>
  <si>
    <t>885629.TI</t>
  </si>
  <si>
    <t>农村电商</t>
  </si>
  <si>
    <t>885966.TI</t>
  </si>
  <si>
    <t>跨境支付(CIPS)</t>
  </si>
  <si>
    <t>885810.TI</t>
  </si>
  <si>
    <t>大豆</t>
  </si>
  <si>
    <t>885894.TI</t>
  </si>
  <si>
    <t>海南自贸区</t>
  </si>
  <si>
    <t>海航控股</t>
  </si>
  <si>
    <t>600221.SH</t>
  </si>
  <si>
    <t>金盘科技</t>
  </si>
  <si>
    <t>688676.SH</t>
  </si>
  <si>
    <t>中稀有色</t>
  </si>
  <si>
    <t>600259.SH</t>
  </si>
  <si>
    <t>885764.TI</t>
  </si>
  <si>
    <t>自由贸易港</t>
  </si>
  <si>
    <t>885811.TI</t>
  </si>
  <si>
    <t>玉米</t>
  </si>
  <si>
    <t>885573.TI</t>
  </si>
  <si>
    <t>猪肉</t>
  </si>
  <si>
    <t>牧原股份</t>
  </si>
  <si>
    <t>002714.SZ</t>
  </si>
  <si>
    <t>新希望</t>
  </si>
  <si>
    <t>000876.SZ</t>
  </si>
  <si>
    <t>885866.TI</t>
  </si>
  <si>
    <t>数字货币</t>
  </si>
  <si>
    <t>885753.TI</t>
  </si>
  <si>
    <t>网约车</t>
  </si>
  <si>
    <t>长安汽车</t>
  </si>
  <si>
    <t>000625.SZ</t>
  </si>
  <si>
    <t>885975.TI</t>
  </si>
  <si>
    <t>电子身份证</t>
  </si>
  <si>
    <t>中国软件</t>
  </si>
  <si>
    <t>600536.SH</t>
  </si>
  <si>
    <t>国芯科技</t>
  </si>
  <si>
    <t>688262.SH</t>
  </si>
  <si>
    <t>885768.TI</t>
  </si>
  <si>
    <t>无人零售</t>
  </si>
  <si>
    <t>供销大集</t>
  </si>
  <si>
    <t>000564.SZ</t>
  </si>
  <si>
    <t>移远通信</t>
  </si>
  <si>
    <t>603236.SH</t>
  </si>
  <si>
    <t>云从科技</t>
  </si>
  <si>
    <t>688327.SH</t>
  </si>
  <si>
    <t>ST易购</t>
  </si>
  <si>
    <t>002024.SZ</t>
  </si>
  <si>
    <t>天奇股份</t>
  </si>
  <si>
    <t>002009.SZ</t>
  </si>
  <si>
    <t>885898.TI</t>
  </si>
  <si>
    <t>免税店</t>
  </si>
  <si>
    <t>中国中免</t>
  </si>
  <si>
    <t>601888.SH</t>
  </si>
  <si>
    <t>上海机场</t>
  </si>
  <si>
    <t>600009.SH</t>
  </si>
  <si>
    <t>春秋航空</t>
  </si>
  <si>
    <t>601021.SH</t>
  </si>
  <si>
    <t>886101.TI</t>
  </si>
  <si>
    <t>兵装重组概念</t>
  </si>
  <si>
    <t>近一周</t>
    <phoneticPr fontId="3" type="noConversion"/>
  </si>
  <si>
    <t>近一月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</si>
</sst>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%"/>
  </numFmts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0" xfId="0" applyNumberFormat="1"/>
    <xf numFmtId="0" fontId="4" fillId="2" borderId="1" xfId="0" applyFont="1" applyFill="1" applyBorder="1" applyAlignment="1">
      <alignment horizontal="center" vertical="center"/>
    </xf>
    <xf numFmtId="177" fontId="0" fillId="0" borderId="1" xfId="1" applyNumberFormat="1" applyFont="1" applyBorder="1" applyAlignment="1">
      <alignment horizontal="right" vertic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6"/>
  <sheetViews>
    <sheetView tabSelected="1" workbookViewId="0">
      <pane ySplit="3" topLeftCell="A4" activePane="bottomLeft" state="frozen"/>
      <selection pane="bottomLeft" activeCell="D9" sqref="D9"/>
    </sheetView>
  </sheetViews>
  <sheetFormatPr defaultRowHeight="14" x14ac:dyDescent="0.25"/>
  <cols>
    <col min="1" max="1" width="12" customWidth="1"/>
    <col min="2" max="2" width="20" customWidth="1"/>
    <col min="3" max="5" width="11" customWidth="1"/>
    <col min="6" max="6" width="13" customWidth="1"/>
    <col min="7" max="7" width="11" customWidth="1"/>
    <col min="8" max="8" width="16" customWidth="1"/>
    <col min="9" max="9" width="13" customWidth="1"/>
    <col min="10" max="10" width="11" customWidth="1"/>
    <col min="11" max="11" width="16" customWidth="1"/>
    <col min="12" max="12" width="13" customWidth="1"/>
    <col min="13" max="13" width="11" customWidth="1"/>
    <col min="14" max="14" width="16" customWidth="1"/>
    <col min="15" max="15" width="13" customWidth="1"/>
    <col min="16" max="16" width="11" customWidth="1"/>
    <col min="17" max="17" width="16" customWidth="1"/>
    <col min="18" max="18" width="13" customWidth="1"/>
    <col min="19" max="19" width="11" customWidth="1"/>
    <col min="20" max="20" width="16" customWidth="1"/>
  </cols>
  <sheetData>
    <row r="1" spans="1:20" x14ac:dyDescent="0.25">
      <c r="C1" s="3">
        <v>46023</v>
      </c>
      <c r="D1" s="3">
        <f ca="1">DATE(YEAR(D2),MONTH(D2),DAY(D2)-7)</f>
        <v>46187</v>
      </c>
      <c r="E1" s="3">
        <f ca="1">DATE(YEAR(E2),MONTH(E2),DAY(E2)-30)</f>
        <v>46164</v>
      </c>
    </row>
    <row r="2" spans="1:20" x14ac:dyDescent="0.25">
      <c r="A2" s="3">
        <f ca="1">TODAY()-1</f>
        <v>46194</v>
      </c>
      <c r="C2" s="3">
        <f ca="1">A2</f>
        <v>46194</v>
      </c>
      <c r="D2" s="3">
        <f ca="1">C2</f>
        <v>46194</v>
      </c>
      <c r="E2" s="3">
        <f ca="1">D2</f>
        <v>46194</v>
      </c>
    </row>
    <row r="3" spans="1:20" x14ac:dyDescent="0.25">
      <c r="A3" s="1" t="s">
        <v>0</v>
      </c>
      <c r="B3" s="1" t="s">
        <v>1</v>
      </c>
      <c r="C3" s="1" t="s">
        <v>2</v>
      </c>
      <c r="D3" s="4" t="s">
        <v>1868</v>
      </c>
      <c r="E3" s="4" t="s">
        <v>1869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</row>
    <row r="4" spans="1:20" x14ac:dyDescent="0.25">
      <c r="A4" s="2" t="s">
        <v>18</v>
      </c>
      <c r="B4" s="2" t="s">
        <v>19</v>
      </c>
      <c r="C4" s="5">
        <f ca="1">[1]!thsiFinD("ths_int_chg_ratio_index",$A4,C$1,C$2)/100</f>
        <v>0.90489859206635004</v>
      </c>
      <c r="D4" s="5">
        <f ca="1">[1]!thsiFinD("ths_int_chg_ratio_index",$A4,D$1,D$2)/100</f>
        <v>0.16235202136506</v>
      </c>
      <c r="E4" s="5">
        <f ca="1">[1]!thsiFinD("ths_int_chg_ratio_index",$A4,E$1,E$2)/100</f>
        <v>0.28522414764335002</v>
      </c>
      <c r="F4" s="2" t="s">
        <v>20</v>
      </c>
      <c r="G4" s="2" t="s">
        <v>21</v>
      </c>
      <c r="H4" s="2">
        <v>1929.7</v>
      </c>
      <c r="I4" s="2" t="s">
        <v>22</v>
      </c>
      <c r="J4" s="2" t="s">
        <v>23</v>
      </c>
      <c r="K4" s="2">
        <v>1656.4</v>
      </c>
      <c r="L4" s="2" t="s">
        <v>24</v>
      </c>
      <c r="M4" s="2" t="s">
        <v>25</v>
      </c>
      <c r="N4" s="2">
        <v>1208.5999999999999</v>
      </c>
      <c r="O4" s="2" t="s">
        <v>26</v>
      </c>
      <c r="P4" s="2" t="s">
        <v>27</v>
      </c>
      <c r="Q4" s="2">
        <v>755.9</v>
      </c>
      <c r="R4" s="2" t="s">
        <v>28</v>
      </c>
      <c r="S4" s="2" t="s">
        <v>29</v>
      </c>
      <c r="T4" s="2">
        <v>729.3</v>
      </c>
    </row>
    <row r="5" spans="1:20" x14ac:dyDescent="0.25">
      <c r="A5" s="2" t="s">
        <v>30</v>
      </c>
      <c r="B5" s="2" t="s">
        <v>31</v>
      </c>
      <c r="C5" s="5">
        <f ca="1">[1]!thsiFinD("ths_int_chg_ratio_index",$A5,C$1,C$2)/100</f>
        <v>0.91612022500384993</v>
      </c>
      <c r="D5" s="5">
        <f ca="1">[1]!thsiFinD("ths_int_chg_ratio_index",$A5,D$1,D$2)/100</f>
        <v>0.1696458574387</v>
      </c>
      <c r="E5" s="5">
        <f ca="1">[1]!thsiFinD("ths_int_chg_ratio_index",$A5,E$1,E$2)/100</f>
        <v>0.18129525233711999</v>
      </c>
      <c r="F5" s="2" t="s">
        <v>32</v>
      </c>
      <c r="G5" s="2" t="s">
        <v>33</v>
      </c>
      <c r="H5" s="2">
        <v>15494.3</v>
      </c>
      <c r="I5" s="2" t="s">
        <v>34</v>
      </c>
      <c r="J5" s="2" t="s">
        <v>35</v>
      </c>
      <c r="K5" s="2">
        <v>15182.6</v>
      </c>
      <c r="L5" s="2" t="s">
        <v>36</v>
      </c>
      <c r="M5" s="2" t="s">
        <v>37</v>
      </c>
      <c r="N5" s="2">
        <v>7293.2</v>
      </c>
      <c r="O5" s="2" t="s">
        <v>38</v>
      </c>
      <c r="P5" s="2" t="s">
        <v>39</v>
      </c>
      <c r="Q5" s="2">
        <v>5083.3999999999996</v>
      </c>
      <c r="R5" s="2" t="s">
        <v>40</v>
      </c>
      <c r="S5" s="2" t="s">
        <v>41</v>
      </c>
      <c r="T5" s="2">
        <v>4402.8</v>
      </c>
    </row>
    <row r="6" spans="1:20" x14ac:dyDescent="0.25">
      <c r="A6" s="2" t="s">
        <v>42</v>
      </c>
      <c r="B6" s="2" t="s">
        <v>43</v>
      </c>
      <c r="C6" s="5">
        <f ca="1">[1]!thsiFinD("ths_int_chg_ratio_index",$A6,C$1,C$2)/100</f>
        <v>0.80063131903552998</v>
      </c>
      <c r="D6" s="5">
        <f ca="1">[1]!thsiFinD("ths_int_chg_ratio_index",$A6,D$1,D$2)/100</f>
        <v>0.12849927873422001</v>
      </c>
      <c r="E6" s="5">
        <f ca="1">[1]!thsiFinD("ths_int_chg_ratio_index",$A6,E$1,E$2)/100</f>
        <v>0.12776735609949</v>
      </c>
      <c r="F6" s="2" t="s">
        <v>44</v>
      </c>
      <c r="G6" s="2" t="s">
        <v>45</v>
      </c>
      <c r="H6" s="2">
        <v>3784.7</v>
      </c>
      <c r="I6" s="2" t="s">
        <v>46</v>
      </c>
      <c r="J6" s="2" t="s">
        <v>47</v>
      </c>
      <c r="K6" s="2">
        <v>3663.5</v>
      </c>
      <c r="L6" s="2" t="s">
        <v>48</v>
      </c>
      <c r="M6" s="2" t="s">
        <v>49</v>
      </c>
      <c r="N6" s="2">
        <v>2952.2</v>
      </c>
      <c r="O6" s="2" t="s">
        <v>50</v>
      </c>
      <c r="P6" s="2" t="s">
        <v>51</v>
      </c>
      <c r="Q6" s="2">
        <v>2922</v>
      </c>
      <c r="R6" s="2" t="s">
        <v>52</v>
      </c>
      <c r="S6" s="2" t="s">
        <v>53</v>
      </c>
      <c r="T6" s="2">
        <v>2771.6</v>
      </c>
    </row>
    <row r="7" spans="1:20" x14ac:dyDescent="0.25">
      <c r="A7" s="2" t="s">
        <v>54</v>
      </c>
      <c r="B7" s="2" t="s">
        <v>55</v>
      </c>
      <c r="C7" s="5">
        <f ca="1">[1]!thsiFinD("ths_int_chg_ratio_index",$A7,C$1,C$2)/100</f>
        <v>0.7974965485804999</v>
      </c>
      <c r="D7" s="5">
        <f ca="1">[1]!thsiFinD("ths_int_chg_ratio_index",$A7,D$1,D$2)/100</f>
        <v>0.16422291118324001</v>
      </c>
      <c r="E7" s="5">
        <f ca="1">[1]!thsiFinD("ths_int_chg_ratio_index",$A7,E$1,E$2)/100</f>
        <v>0.21988059697074</v>
      </c>
      <c r="F7" s="2" t="s">
        <v>56</v>
      </c>
      <c r="G7" s="2" t="s">
        <v>57</v>
      </c>
      <c r="H7" s="2">
        <v>9471.2999999999993</v>
      </c>
      <c r="I7" s="2" t="s">
        <v>40</v>
      </c>
      <c r="J7" s="2" t="s">
        <v>41</v>
      </c>
      <c r="K7" s="2">
        <v>4402.8</v>
      </c>
      <c r="L7" s="2" t="s">
        <v>46</v>
      </c>
      <c r="M7" s="2" t="s">
        <v>47</v>
      </c>
      <c r="N7" s="2">
        <v>3663.5</v>
      </c>
      <c r="O7" s="2" t="s">
        <v>58</v>
      </c>
      <c r="P7" s="2" t="s">
        <v>59</v>
      </c>
      <c r="Q7" s="2">
        <v>3373.1</v>
      </c>
      <c r="R7" s="2" t="s">
        <v>60</v>
      </c>
      <c r="S7" s="2" t="s">
        <v>61</v>
      </c>
      <c r="T7" s="2">
        <v>3016.9</v>
      </c>
    </row>
    <row r="8" spans="1:20" x14ac:dyDescent="0.25">
      <c r="A8" s="2" t="s">
        <v>62</v>
      </c>
      <c r="B8" s="2" t="s">
        <v>63</v>
      </c>
      <c r="C8" s="5">
        <f ca="1">[1]!thsiFinD("ths_int_chg_ratio_index",$A8,C$1,C$2)/100</f>
        <v>0.78950373793154993</v>
      </c>
      <c r="D8" s="5">
        <f ca="1">[1]!thsiFinD("ths_int_chg_ratio_index",$A8,D$1,D$2)/100</f>
        <v>0.16890584176682999</v>
      </c>
      <c r="E8" s="5">
        <f ca="1">[1]!thsiFinD("ths_int_chg_ratio_index",$A8,E$1,E$2)/100</f>
        <v>0.24309462500843002</v>
      </c>
      <c r="F8" s="2" t="s">
        <v>40</v>
      </c>
      <c r="G8" s="2" t="s">
        <v>41</v>
      </c>
      <c r="H8" s="2">
        <v>4402.8</v>
      </c>
      <c r="I8" s="2" t="s">
        <v>44</v>
      </c>
      <c r="J8" s="2" t="s">
        <v>45</v>
      </c>
      <c r="K8" s="2">
        <v>3784.7</v>
      </c>
      <c r="L8" s="2" t="s">
        <v>64</v>
      </c>
      <c r="M8" s="2" t="s">
        <v>65</v>
      </c>
      <c r="N8" s="2">
        <v>3192.6</v>
      </c>
      <c r="O8" s="2" t="s">
        <v>60</v>
      </c>
      <c r="P8" s="2" t="s">
        <v>61</v>
      </c>
      <c r="Q8" s="2">
        <v>3016.9</v>
      </c>
      <c r="R8" s="2" t="s">
        <v>66</v>
      </c>
      <c r="S8" s="2" t="s">
        <v>67</v>
      </c>
      <c r="T8" s="2">
        <v>2843.8</v>
      </c>
    </row>
    <row r="9" spans="1:20" x14ac:dyDescent="0.25">
      <c r="A9" s="2" t="s">
        <v>68</v>
      </c>
      <c r="B9" s="2" t="s">
        <v>69</v>
      </c>
      <c r="C9" s="5">
        <f ca="1">[1]!thsiFinD("ths_int_chg_ratio_index",$A9,C$1,C$2)/100</f>
        <v>0.7883923904018999</v>
      </c>
      <c r="D9" s="5">
        <f ca="1">[1]!thsiFinD("ths_int_chg_ratio_index",$A9,D$1,D$2)/100</f>
        <v>0.16518373058791</v>
      </c>
      <c r="E9" s="5">
        <f ca="1">[1]!thsiFinD("ths_int_chg_ratio_index",$A9,E$1,E$2)/100</f>
        <v>0.19906556956822999</v>
      </c>
      <c r="F9" s="2" t="s">
        <v>70</v>
      </c>
      <c r="G9" s="2" t="s">
        <v>71</v>
      </c>
      <c r="H9" s="2">
        <v>5222.2</v>
      </c>
      <c r="I9" s="2" t="s">
        <v>58</v>
      </c>
      <c r="J9" s="2" t="s">
        <v>59</v>
      </c>
      <c r="K9" s="2">
        <v>3373.1</v>
      </c>
      <c r="L9" s="2" t="s">
        <v>60</v>
      </c>
      <c r="M9" s="2" t="s">
        <v>61</v>
      </c>
      <c r="N9" s="2">
        <v>3016.9</v>
      </c>
      <c r="O9" s="2" t="s">
        <v>72</v>
      </c>
      <c r="P9" s="2" t="s">
        <v>73</v>
      </c>
      <c r="Q9" s="2">
        <v>2813.4</v>
      </c>
      <c r="R9" s="2" t="s">
        <v>74</v>
      </c>
      <c r="S9" s="2" t="s">
        <v>75</v>
      </c>
      <c r="T9" s="2">
        <v>2075</v>
      </c>
    </row>
    <row r="10" spans="1:20" x14ac:dyDescent="0.25">
      <c r="A10" s="2" t="s">
        <v>76</v>
      </c>
      <c r="B10" s="2" t="s">
        <v>77</v>
      </c>
      <c r="C10" s="5">
        <f ca="1">[1]!thsiFinD("ths_int_chg_ratio_index",$A10,C$1,C$2)/100</f>
        <v>0.77695635010150998</v>
      </c>
      <c r="D10" s="5">
        <f ca="1">[1]!thsiFinD("ths_int_chg_ratio_index",$A10,D$1,D$2)/100</f>
        <v>0.14448090805902</v>
      </c>
      <c r="E10" s="5">
        <f ca="1">[1]!thsiFinD("ths_int_chg_ratio_index",$A10,E$1,E$2)/100</f>
        <v>0.15999327027715998</v>
      </c>
      <c r="F10" s="2" t="s">
        <v>70</v>
      </c>
      <c r="G10" s="2" t="s">
        <v>71</v>
      </c>
      <c r="H10" s="2">
        <v>5222.2</v>
      </c>
      <c r="I10" s="2" t="s">
        <v>40</v>
      </c>
      <c r="J10" s="2" t="s">
        <v>41</v>
      </c>
      <c r="K10" s="2">
        <v>4402.8</v>
      </c>
      <c r="L10" s="2" t="s">
        <v>78</v>
      </c>
      <c r="M10" s="2" t="s">
        <v>79</v>
      </c>
      <c r="N10" s="2">
        <v>4204.8</v>
      </c>
      <c r="O10" s="2" t="s">
        <v>58</v>
      </c>
      <c r="P10" s="2" t="s">
        <v>59</v>
      </c>
      <c r="Q10" s="2">
        <v>3373.1</v>
      </c>
      <c r="R10" s="2" t="s">
        <v>80</v>
      </c>
      <c r="S10" s="2" t="s">
        <v>81</v>
      </c>
      <c r="T10" s="2">
        <v>3094.2</v>
      </c>
    </row>
    <row r="11" spans="1:20" x14ac:dyDescent="0.25">
      <c r="A11" s="2" t="s">
        <v>82</v>
      </c>
      <c r="B11" s="2" t="s">
        <v>83</v>
      </c>
      <c r="C11" s="5">
        <f ca="1">[1]!thsiFinD("ths_int_chg_ratio_index",$A11,C$1,C$2)/100</f>
        <v>0.67268309379281999</v>
      </c>
      <c r="D11" s="5">
        <f ca="1">[1]!thsiFinD("ths_int_chg_ratio_index",$A11,D$1,D$2)/100</f>
        <v>0.10657891375919</v>
      </c>
      <c r="E11" s="5">
        <f ca="1">[1]!thsiFinD("ths_int_chg_ratio_index",$A11,E$1,E$2)/100</f>
        <v>0.15338558484334</v>
      </c>
      <c r="F11" s="2" t="s">
        <v>84</v>
      </c>
      <c r="G11" s="2" t="s">
        <v>85</v>
      </c>
      <c r="H11" s="2">
        <v>1290.5999999999999</v>
      </c>
      <c r="I11" s="2" t="s">
        <v>86</v>
      </c>
      <c r="J11" s="2" t="s">
        <v>87</v>
      </c>
      <c r="K11" s="2">
        <v>688.1</v>
      </c>
      <c r="L11" s="2" t="s">
        <v>88</v>
      </c>
      <c r="M11" s="2" t="s">
        <v>89</v>
      </c>
      <c r="N11" s="2">
        <v>661.3</v>
      </c>
      <c r="O11" s="2" t="s">
        <v>90</v>
      </c>
      <c r="P11" s="2" t="s">
        <v>91</v>
      </c>
      <c r="Q11" s="2">
        <v>622.5</v>
      </c>
      <c r="R11" s="2" t="s">
        <v>92</v>
      </c>
      <c r="S11" s="2" t="s">
        <v>93</v>
      </c>
      <c r="T11" s="2">
        <v>599.70000000000005</v>
      </c>
    </row>
    <row r="12" spans="1:20" x14ac:dyDescent="0.25">
      <c r="A12" s="2" t="s">
        <v>94</v>
      </c>
      <c r="B12" s="2" t="s">
        <v>95</v>
      </c>
      <c r="C12" s="5">
        <f ca="1">[1]!thsiFinD("ths_int_chg_ratio_index",$A12,C$1,C$2)/100</f>
        <v>0.65211167623565003</v>
      </c>
      <c r="D12" s="5">
        <f ca="1">[1]!thsiFinD("ths_int_chg_ratio_index",$A12,D$1,D$2)/100</f>
        <v>0.12033957779361</v>
      </c>
      <c r="E12" s="5">
        <f ca="1">[1]!thsiFinD("ths_int_chg_ratio_index",$A12,E$1,E$2)/100</f>
        <v>0.15904167585111001</v>
      </c>
      <c r="F12" s="2" t="s">
        <v>70</v>
      </c>
      <c r="G12" s="2" t="s">
        <v>71</v>
      </c>
      <c r="H12" s="2">
        <v>5222.2</v>
      </c>
      <c r="I12" s="2" t="s">
        <v>58</v>
      </c>
      <c r="J12" s="2" t="s">
        <v>59</v>
      </c>
      <c r="K12" s="2">
        <v>3373.1</v>
      </c>
      <c r="L12" s="2" t="s">
        <v>80</v>
      </c>
      <c r="M12" s="2" t="s">
        <v>81</v>
      </c>
      <c r="N12" s="2">
        <v>3094.2</v>
      </c>
      <c r="O12" s="2" t="s">
        <v>72</v>
      </c>
      <c r="P12" s="2" t="s">
        <v>73</v>
      </c>
      <c r="Q12" s="2">
        <v>2813.4</v>
      </c>
      <c r="R12" s="2" t="s">
        <v>96</v>
      </c>
      <c r="S12" s="2" t="s">
        <v>97</v>
      </c>
      <c r="T12" s="2">
        <v>1808.2</v>
      </c>
    </row>
    <row r="13" spans="1:20" x14ac:dyDescent="0.25">
      <c r="A13" s="2" t="s">
        <v>98</v>
      </c>
      <c r="B13" s="2" t="s">
        <v>99</v>
      </c>
      <c r="C13" s="5">
        <f ca="1">[1]!thsiFinD("ths_int_chg_ratio_index",$A13,C$1,C$2)/100</f>
        <v>0.57366655512274001</v>
      </c>
      <c r="D13" s="5">
        <f ca="1">[1]!thsiFinD("ths_int_chg_ratio_index",$A13,D$1,D$2)/100</f>
        <v>0.13727414313368</v>
      </c>
      <c r="E13" s="5">
        <f ca="1">[1]!thsiFinD("ths_int_chg_ratio_index",$A13,E$1,E$2)/100</f>
        <v>0.13054591258502002</v>
      </c>
      <c r="F13" s="2" t="s">
        <v>40</v>
      </c>
      <c r="G13" s="2" t="s">
        <v>41</v>
      </c>
      <c r="H13" s="2">
        <v>4402.8</v>
      </c>
      <c r="I13" s="2" t="s">
        <v>44</v>
      </c>
      <c r="J13" s="2" t="s">
        <v>45</v>
      </c>
      <c r="K13" s="2">
        <v>3784.7</v>
      </c>
      <c r="L13" s="2" t="s">
        <v>58</v>
      </c>
      <c r="M13" s="2" t="s">
        <v>59</v>
      </c>
      <c r="N13" s="2">
        <v>3373.1</v>
      </c>
      <c r="O13" s="2" t="s">
        <v>100</v>
      </c>
      <c r="P13" s="2" t="s">
        <v>101</v>
      </c>
      <c r="Q13" s="2">
        <v>2769.2</v>
      </c>
      <c r="R13" s="2" t="s">
        <v>102</v>
      </c>
      <c r="S13" s="2" t="s">
        <v>103</v>
      </c>
      <c r="T13" s="2">
        <v>2316.5</v>
      </c>
    </row>
    <row r="14" spans="1:20" x14ac:dyDescent="0.25">
      <c r="A14" s="2" t="s">
        <v>104</v>
      </c>
      <c r="B14" s="2" t="s">
        <v>105</v>
      </c>
      <c r="C14" s="5">
        <f ca="1">[1]!thsiFinD("ths_int_chg_ratio_index",$A14,C$1,C$2)/100</f>
        <v>0.58431783851157004</v>
      </c>
      <c r="D14" s="5">
        <f ca="1">[1]!thsiFinD("ths_int_chg_ratio_index",$A14,D$1,D$2)/100</f>
        <v>0.12588708320333999</v>
      </c>
      <c r="E14" s="5">
        <f ca="1">[1]!thsiFinD("ths_int_chg_ratio_index",$A14,E$1,E$2)/100</f>
        <v>0.13595804155969002</v>
      </c>
      <c r="F14" s="2" t="s">
        <v>70</v>
      </c>
      <c r="G14" s="2" t="s">
        <v>71</v>
      </c>
      <c r="H14" s="2">
        <v>5222.2</v>
      </c>
      <c r="I14" s="2" t="s">
        <v>106</v>
      </c>
      <c r="J14" s="2" t="s">
        <v>107</v>
      </c>
      <c r="K14" s="2">
        <v>2027.7</v>
      </c>
      <c r="L14" s="2" t="s">
        <v>108</v>
      </c>
      <c r="M14" s="2" t="s">
        <v>109</v>
      </c>
      <c r="N14" s="2">
        <v>1916.1</v>
      </c>
      <c r="O14" s="2" t="s">
        <v>96</v>
      </c>
      <c r="P14" s="2" t="s">
        <v>97</v>
      </c>
      <c r="Q14" s="2">
        <v>1808.2</v>
      </c>
      <c r="R14" s="2" t="s">
        <v>110</v>
      </c>
      <c r="S14" s="2" t="s">
        <v>111</v>
      </c>
      <c r="T14" s="2">
        <v>1784.4</v>
      </c>
    </row>
    <row r="15" spans="1:20" x14ac:dyDescent="0.25">
      <c r="A15" s="2" t="s">
        <v>112</v>
      </c>
      <c r="B15" s="2" t="s">
        <v>113</v>
      </c>
      <c r="C15" s="5">
        <f ca="1">[1]!thsiFinD("ths_int_chg_ratio_index",$A15,C$1,C$2)/100</f>
        <v>0.59007770633310996</v>
      </c>
      <c r="D15" s="5">
        <f ca="1">[1]!thsiFinD("ths_int_chg_ratio_index",$A15,D$1,D$2)/100</f>
        <v>0.10471692045406999</v>
      </c>
      <c r="E15" s="5">
        <f ca="1">[1]!thsiFinD("ths_int_chg_ratio_index",$A15,E$1,E$2)/100</f>
        <v>0.26091762506226002</v>
      </c>
      <c r="F15" s="2" t="s">
        <v>114</v>
      </c>
      <c r="G15" s="2" t="s">
        <v>115</v>
      </c>
      <c r="H15" s="2">
        <v>663.7</v>
      </c>
      <c r="I15" s="2" t="s">
        <v>116</v>
      </c>
      <c r="J15" s="2" t="s">
        <v>117</v>
      </c>
      <c r="K15" s="2">
        <v>337.7</v>
      </c>
      <c r="L15" s="2" t="s">
        <v>118</v>
      </c>
      <c r="M15" s="2" t="s">
        <v>119</v>
      </c>
      <c r="N15" s="2">
        <v>283.2</v>
      </c>
      <c r="O15" s="2" t="s">
        <v>120</v>
      </c>
      <c r="P15" s="2" t="s">
        <v>121</v>
      </c>
      <c r="Q15" s="2">
        <v>248.2</v>
      </c>
      <c r="R15" s="2" t="s">
        <v>122</v>
      </c>
      <c r="S15" s="2" t="s">
        <v>123</v>
      </c>
      <c r="T15" s="2">
        <v>189.9</v>
      </c>
    </row>
    <row r="16" spans="1:20" x14ac:dyDescent="0.25">
      <c r="A16" s="2" t="s">
        <v>124</v>
      </c>
      <c r="B16" s="2" t="s">
        <v>125</v>
      </c>
      <c r="C16" s="5">
        <f ca="1">[1]!thsiFinD("ths_int_chg_ratio_index",$A16,C$1,C$2)/100</f>
        <v>0.54302494875119001</v>
      </c>
      <c r="D16" s="5">
        <f ca="1">[1]!thsiFinD("ths_int_chg_ratio_index",$A16,D$1,D$2)/100</f>
        <v>0.13216547055399</v>
      </c>
      <c r="E16" s="5">
        <f ca="1">[1]!thsiFinD("ths_int_chg_ratio_index",$A16,E$1,E$2)/100</f>
        <v>0.1352216633618</v>
      </c>
      <c r="F16" s="2" t="s">
        <v>32</v>
      </c>
      <c r="G16" s="2" t="s">
        <v>33</v>
      </c>
      <c r="H16" s="2">
        <v>15494.3</v>
      </c>
      <c r="I16" s="2" t="s">
        <v>64</v>
      </c>
      <c r="J16" s="2" t="s">
        <v>65</v>
      </c>
      <c r="K16" s="2">
        <v>3192.6</v>
      </c>
      <c r="L16" s="2" t="s">
        <v>60</v>
      </c>
      <c r="M16" s="2" t="s">
        <v>61</v>
      </c>
      <c r="N16" s="2">
        <v>3016.9</v>
      </c>
      <c r="O16" s="2" t="s">
        <v>100</v>
      </c>
      <c r="P16" s="2" t="s">
        <v>101</v>
      </c>
      <c r="Q16" s="2">
        <v>2769.2</v>
      </c>
      <c r="R16" s="2" t="s">
        <v>84</v>
      </c>
      <c r="S16" s="2" t="s">
        <v>85</v>
      </c>
      <c r="T16" s="2">
        <v>1290.5999999999999</v>
      </c>
    </row>
    <row r="17" spans="1:20" x14ac:dyDescent="0.25">
      <c r="A17" s="2" t="s">
        <v>126</v>
      </c>
      <c r="B17" s="2" t="s">
        <v>127</v>
      </c>
      <c r="C17" s="5">
        <f ca="1">[1]!thsiFinD("ths_int_chg_ratio_index",$A17,C$1,C$2)/100</f>
        <v>0.48994099724172996</v>
      </c>
      <c r="D17" s="5">
        <f ca="1">[1]!thsiFinD("ths_int_chg_ratio_index",$A17,D$1,D$2)/100</f>
        <v>0.1190038235372</v>
      </c>
      <c r="E17" s="5">
        <f ca="1">[1]!thsiFinD("ths_int_chg_ratio_index",$A17,E$1,E$2)/100</f>
        <v>0.12476865692889999</v>
      </c>
      <c r="F17" s="2" t="s">
        <v>70</v>
      </c>
      <c r="G17" s="2" t="s">
        <v>71</v>
      </c>
      <c r="H17" s="2">
        <v>5222.2</v>
      </c>
      <c r="I17" s="2" t="s">
        <v>72</v>
      </c>
      <c r="J17" s="2" t="s">
        <v>73</v>
      </c>
      <c r="K17" s="2">
        <v>2813.4</v>
      </c>
      <c r="L17" s="2" t="s">
        <v>52</v>
      </c>
      <c r="M17" s="2" t="s">
        <v>53</v>
      </c>
      <c r="N17" s="2">
        <v>2771.6</v>
      </c>
      <c r="O17" s="2" t="s">
        <v>102</v>
      </c>
      <c r="P17" s="2" t="s">
        <v>103</v>
      </c>
      <c r="Q17" s="2">
        <v>2316.5</v>
      </c>
      <c r="R17" s="2" t="s">
        <v>84</v>
      </c>
      <c r="S17" s="2" t="s">
        <v>85</v>
      </c>
      <c r="T17" s="2">
        <v>1290.5999999999999</v>
      </c>
    </row>
    <row r="18" spans="1:20" x14ac:dyDescent="0.25">
      <c r="A18" s="2" t="s">
        <v>128</v>
      </c>
      <c r="B18" s="2" t="s">
        <v>129</v>
      </c>
      <c r="C18" s="5">
        <f ca="1">[1]!thsiFinD("ths_int_chg_ratio_index",$A18,C$1,C$2)/100</f>
        <v>0.52247818612616004</v>
      </c>
      <c r="D18" s="5">
        <f ca="1">[1]!thsiFinD("ths_int_chg_ratio_index",$A18,D$1,D$2)/100</f>
        <v>0.13479952596834999</v>
      </c>
      <c r="E18" s="5">
        <f ca="1">[1]!thsiFinD("ths_int_chg_ratio_index",$A18,E$1,E$2)/100</f>
        <v>7.826846225156299E-2</v>
      </c>
      <c r="F18" s="2" t="s">
        <v>34</v>
      </c>
      <c r="G18" s="2" t="s">
        <v>35</v>
      </c>
      <c r="H18" s="2">
        <v>15182.6</v>
      </c>
      <c r="I18" s="2" t="s">
        <v>130</v>
      </c>
      <c r="J18" s="2" t="s">
        <v>131</v>
      </c>
      <c r="K18" s="2">
        <v>2714.4</v>
      </c>
      <c r="L18" s="2" t="s">
        <v>132</v>
      </c>
      <c r="M18" s="2" t="s">
        <v>133</v>
      </c>
      <c r="N18" s="2">
        <v>2077.6999999999998</v>
      </c>
      <c r="O18" s="2" t="s">
        <v>110</v>
      </c>
      <c r="P18" s="2" t="s">
        <v>111</v>
      </c>
      <c r="Q18" s="2">
        <v>1784.4</v>
      </c>
      <c r="R18" s="2" t="s">
        <v>134</v>
      </c>
      <c r="S18" s="2" t="s">
        <v>135</v>
      </c>
      <c r="T18" s="2">
        <v>1136.8</v>
      </c>
    </row>
    <row r="19" spans="1:20" x14ac:dyDescent="0.25">
      <c r="A19" s="2" t="s">
        <v>136</v>
      </c>
      <c r="B19" s="2" t="s">
        <v>137</v>
      </c>
      <c r="C19" s="5">
        <f ca="1">[1]!thsiFinD("ths_int_chg_ratio_index",$A19,C$1,C$2)/100</f>
        <v>0.51879586367410002</v>
      </c>
      <c r="D19" s="5">
        <f ca="1">[1]!thsiFinD("ths_int_chg_ratio_index",$A19,D$1,D$2)/100</f>
        <v>0.12233659303953999</v>
      </c>
      <c r="E19" s="5">
        <f ca="1">[1]!thsiFinD("ths_int_chg_ratio_index",$A19,E$1,E$2)/100</f>
        <v>0.13410876023465002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5">
      <c r="A20" s="2" t="s">
        <v>138</v>
      </c>
      <c r="B20" s="2" t="s">
        <v>139</v>
      </c>
      <c r="C20" s="5">
        <f ca="1">[1]!thsiFinD("ths_int_chg_ratio_index",$A20,C$1,C$2)/100</f>
        <v>0.46160409907751998</v>
      </c>
      <c r="D20" s="5">
        <f ca="1">[1]!thsiFinD("ths_int_chg_ratio_index",$A20,D$1,D$2)/100</f>
        <v>0.13243719629986</v>
      </c>
      <c r="E20" s="5">
        <f ca="1">[1]!thsiFinD("ths_int_chg_ratio_index",$A20,E$1,E$2)/100</f>
        <v>0.10113798920761999</v>
      </c>
      <c r="F20" s="2" t="s">
        <v>102</v>
      </c>
      <c r="G20" s="2" t="s">
        <v>103</v>
      </c>
      <c r="H20" s="2">
        <v>2316.5</v>
      </c>
      <c r="I20" s="2" t="s">
        <v>110</v>
      </c>
      <c r="J20" s="2" t="s">
        <v>111</v>
      </c>
      <c r="K20" s="2">
        <v>1784.4</v>
      </c>
      <c r="L20" s="2" t="s">
        <v>84</v>
      </c>
      <c r="M20" s="2" t="s">
        <v>85</v>
      </c>
      <c r="N20" s="2">
        <v>1290.5999999999999</v>
      </c>
      <c r="O20" s="2" t="s">
        <v>140</v>
      </c>
      <c r="P20" s="2" t="s">
        <v>141</v>
      </c>
      <c r="Q20" s="2">
        <v>1122.3</v>
      </c>
      <c r="R20" s="2" t="s">
        <v>142</v>
      </c>
      <c r="S20" s="2" t="s">
        <v>143</v>
      </c>
      <c r="T20" s="2">
        <v>1003</v>
      </c>
    </row>
    <row r="21" spans="1:20" x14ac:dyDescent="0.25">
      <c r="A21" s="2" t="s">
        <v>144</v>
      </c>
      <c r="B21" s="2" t="s">
        <v>145</v>
      </c>
      <c r="C21" s="5">
        <f ca="1">[1]!thsiFinD("ths_int_chg_ratio_index",$A21,C$1,C$2)/100</f>
        <v>0.47030285746498995</v>
      </c>
      <c r="D21" s="5">
        <f ca="1">[1]!thsiFinD("ths_int_chg_ratio_index",$A21,D$1,D$2)/100</f>
        <v>9.9113027709422E-2</v>
      </c>
      <c r="E21" s="5">
        <f ca="1">[1]!thsiFinD("ths_int_chg_ratio_index",$A21,E$1,E$2)/100</f>
        <v>0.12618398905080999</v>
      </c>
      <c r="F21" s="2" t="s">
        <v>26</v>
      </c>
      <c r="G21" s="2" t="s">
        <v>27</v>
      </c>
      <c r="H21" s="2">
        <v>755.9</v>
      </c>
      <c r="I21" s="2" t="s">
        <v>146</v>
      </c>
      <c r="J21" s="2" t="s">
        <v>147</v>
      </c>
      <c r="K21" s="2">
        <v>684.8</v>
      </c>
      <c r="L21" s="2" t="s">
        <v>88</v>
      </c>
      <c r="M21" s="2" t="s">
        <v>89</v>
      </c>
      <c r="N21" s="2">
        <v>661.3</v>
      </c>
      <c r="O21" s="2" t="s">
        <v>148</v>
      </c>
      <c r="P21" s="2" t="s">
        <v>149</v>
      </c>
      <c r="Q21" s="2">
        <v>590.9</v>
      </c>
      <c r="R21" s="2" t="s">
        <v>150</v>
      </c>
      <c r="S21" s="2" t="s">
        <v>151</v>
      </c>
      <c r="T21" s="2">
        <v>590.6</v>
      </c>
    </row>
    <row r="22" spans="1:20" x14ac:dyDescent="0.25">
      <c r="A22" s="2" t="s">
        <v>152</v>
      </c>
      <c r="B22" s="2" t="s">
        <v>153</v>
      </c>
      <c r="C22" s="5">
        <f ca="1">[1]!thsiFinD("ths_int_chg_ratio_index",$A22,C$1,C$2)/100</f>
        <v>0.46267407196409005</v>
      </c>
      <c r="D22" s="5">
        <f ca="1">[1]!thsiFinD("ths_int_chg_ratio_index",$A22,D$1,D$2)/100</f>
        <v>0.12274219986274</v>
      </c>
      <c r="E22" s="5">
        <f ca="1">[1]!thsiFinD("ths_int_chg_ratio_index",$A22,E$1,E$2)/100</f>
        <v>0.12266992811745001</v>
      </c>
      <c r="F22" s="2" t="s">
        <v>52</v>
      </c>
      <c r="G22" s="2" t="s">
        <v>53</v>
      </c>
      <c r="H22" s="2">
        <v>2771.6</v>
      </c>
      <c r="I22" s="2" t="s">
        <v>102</v>
      </c>
      <c r="J22" s="2" t="s">
        <v>103</v>
      </c>
      <c r="K22" s="2">
        <v>2316.5</v>
      </c>
      <c r="L22" s="2" t="s">
        <v>110</v>
      </c>
      <c r="M22" s="2" t="s">
        <v>111</v>
      </c>
      <c r="N22" s="2">
        <v>1784.4</v>
      </c>
      <c r="O22" s="2" t="s">
        <v>154</v>
      </c>
      <c r="P22" s="2" t="s">
        <v>155</v>
      </c>
      <c r="Q22" s="2">
        <v>1211</v>
      </c>
      <c r="R22" s="2" t="s">
        <v>156</v>
      </c>
      <c r="S22" s="2" t="s">
        <v>157</v>
      </c>
      <c r="T22" s="2">
        <v>956.6</v>
      </c>
    </row>
    <row r="23" spans="1:20" x14ac:dyDescent="0.25">
      <c r="A23" s="2" t="s">
        <v>158</v>
      </c>
      <c r="B23" s="2" t="s">
        <v>159</v>
      </c>
      <c r="C23" s="5">
        <f ca="1">[1]!thsiFinD("ths_int_chg_ratio_index",$A23,C$1,C$2)/100</f>
        <v>0.44452962223987003</v>
      </c>
      <c r="D23" s="5">
        <f ca="1">[1]!thsiFinD("ths_int_chg_ratio_index",$A23,D$1,D$2)/100</f>
        <v>0.12605335085072</v>
      </c>
      <c r="E23" s="5">
        <f ca="1">[1]!thsiFinD("ths_int_chg_ratio_index",$A23,E$1,E$2)/100</f>
        <v>9.5277519905048999E-2</v>
      </c>
      <c r="F23" s="2" t="s">
        <v>32</v>
      </c>
      <c r="G23" s="2" t="s">
        <v>33</v>
      </c>
      <c r="H23" s="2">
        <v>15494.3</v>
      </c>
      <c r="I23" s="2" t="s">
        <v>38</v>
      </c>
      <c r="J23" s="2" t="s">
        <v>39</v>
      </c>
      <c r="K23" s="2">
        <v>5083.3999999999996</v>
      </c>
      <c r="L23" s="2" t="s">
        <v>44</v>
      </c>
      <c r="M23" s="2" t="s">
        <v>45</v>
      </c>
      <c r="N23" s="2">
        <v>3784.7</v>
      </c>
      <c r="O23" s="2" t="s">
        <v>60</v>
      </c>
      <c r="P23" s="2" t="s">
        <v>61</v>
      </c>
      <c r="Q23" s="2">
        <v>3016.9</v>
      </c>
      <c r="R23" s="2" t="s">
        <v>52</v>
      </c>
      <c r="S23" s="2" t="s">
        <v>53</v>
      </c>
      <c r="T23" s="2">
        <v>2771.6</v>
      </c>
    </row>
    <row r="24" spans="1:20" x14ac:dyDescent="0.25">
      <c r="A24" s="2" t="s">
        <v>160</v>
      </c>
      <c r="B24" s="2" t="s">
        <v>161</v>
      </c>
      <c r="C24" s="5">
        <f ca="1">[1]!thsiFinD("ths_int_chg_ratio_index",$A24,C$1,C$2)/100</f>
        <v>0.41584671614016999</v>
      </c>
      <c r="D24" s="5">
        <f ca="1">[1]!thsiFinD("ths_int_chg_ratio_index",$A24,D$1,D$2)/100</f>
        <v>9.9293445149061008E-2</v>
      </c>
      <c r="E24" s="5">
        <f ca="1">[1]!thsiFinD("ths_int_chg_ratio_index",$A24,E$1,E$2)/100</f>
        <v>0.16959862103230999</v>
      </c>
      <c r="F24" s="2" t="s">
        <v>20</v>
      </c>
      <c r="G24" s="2" t="s">
        <v>21</v>
      </c>
      <c r="H24" s="2">
        <v>1930</v>
      </c>
      <c r="I24" s="2" t="s">
        <v>162</v>
      </c>
      <c r="J24" s="2" t="s">
        <v>163</v>
      </c>
      <c r="K24" s="2">
        <v>1161.5</v>
      </c>
      <c r="L24" s="2" t="s">
        <v>164</v>
      </c>
      <c r="M24" s="2" t="s">
        <v>165</v>
      </c>
      <c r="N24" s="2">
        <v>1088.4000000000001</v>
      </c>
      <c r="O24" s="2" t="s">
        <v>166</v>
      </c>
      <c r="P24" s="2" t="s">
        <v>167</v>
      </c>
      <c r="Q24" s="2">
        <v>886.6</v>
      </c>
      <c r="R24" s="2" t="s">
        <v>168</v>
      </c>
      <c r="S24" s="2" t="s">
        <v>169</v>
      </c>
      <c r="T24" s="2">
        <v>863.1</v>
      </c>
    </row>
    <row r="25" spans="1:20" x14ac:dyDescent="0.25">
      <c r="A25" s="2" t="s">
        <v>170</v>
      </c>
      <c r="B25" s="2" t="s">
        <v>171</v>
      </c>
      <c r="C25" s="5">
        <f ca="1">[1]!thsiFinD("ths_int_chg_ratio_index",$A25,C$1,C$2)/100</f>
        <v>0.45025048260435002</v>
      </c>
      <c r="D25" s="5">
        <f ca="1">[1]!thsiFinD("ths_int_chg_ratio_index",$A25,D$1,D$2)/100</f>
        <v>0.10687603896546</v>
      </c>
      <c r="E25" s="5">
        <f ca="1">[1]!thsiFinD("ths_int_chg_ratio_index",$A25,E$1,E$2)/100</f>
        <v>1.8447936480898E-2</v>
      </c>
      <c r="F25" s="2" t="s">
        <v>172</v>
      </c>
      <c r="G25" s="2" t="s">
        <v>173</v>
      </c>
      <c r="H25" s="2">
        <v>457.9</v>
      </c>
      <c r="I25" s="2" t="s">
        <v>174</v>
      </c>
      <c r="J25" s="2" t="s">
        <v>175</v>
      </c>
      <c r="K25" s="2">
        <v>320.89999999999998</v>
      </c>
      <c r="L25" s="2" t="s">
        <v>176</v>
      </c>
      <c r="M25" s="2" t="s">
        <v>177</v>
      </c>
      <c r="N25" s="2">
        <v>202.2</v>
      </c>
      <c r="O25" s="2" t="s">
        <v>178</v>
      </c>
      <c r="P25" s="2" t="s">
        <v>179</v>
      </c>
      <c r="Q25" s="2">
        <v>152.4</v>
      </c>
      <c r="R25" s="2" t="s">
        <v>180</v>
      </c>
      <c r="S25" s="2" t="s">
        <v>181</v>
      </c>
      <c r="T25" s="2">
        <v>142.6</v>
      </c>
    </row>
    <row r="26" spans="1:20" x14ac:dyDescent="0.25">
      <c r="A26" s="2" t="s">
        <v>182</v>
      </c>
      <c r="B26" s="2" t="s">
        <v>183</v>
      </c>
      <c r="C26" s="5">
        <f ca="1">[1]!thsiFinD("ths_int_chg_ratio_index",$A26,C$1,C$2)/100</f>
        <v>0.42465590906203998</v>
      </c>
      <c r="D26" s="5">
        <f ca="1">[1]!thsiFinD("ths_int_chg_ratio_index",$A26,D$1,D$2)/100</f>
        <v>0.14018572225015999</v>
      </c>
      <c r="E26" s="5">
        <f ca="1">[1]!thsiFinD("ths_int_chg_ratio_index",$A26,E$1,E$2)/100</f>
        <v>0.117878139933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5">
      <c r="A27" s="2" t="s">
        <v>184</v>
      </c>
      <c r="B27" s="2" t="s">
        <v>185</v>
      </c>
      <c r="C27" s="5">
        <f ca="1">[1]!thsiFinD("ths_int_chg_ratio_index",$A27,C$1,C$2)/100</f>
        <v>0.38248894680598999</v>
      </c>
      <c r="D27" s="5">
        <f ca="1">[1]!thsiFinD("ths_int_chg_ratio_index",$A27,D$1,D$2)/100</f>
        <v>0.11590273756864</v>
      </c>
      <c r="E27" s="5">
        <f ca="1">[1]!thsiFinD("ths_int_chg_ratio_index",$A27,E$1,E$2)/100</f>
        <v>7.9385354910050998E-2</v>
      </c>
      <c r="F27" s="2" t="s">
        <v>64</v>
      </c>
      <c r="G27" s="2" t="s">
        <v>65</v>
      </c>
      <c r="H27" s="2">
        <v>3192.6</v>
      </c>
      <c r="I27" s="2" t="s">
        <v>100</v>
      </c>
      <c r="J27" s="2" t="s">
        <v>101</v>
      </c>
      <c r="K27" s="2">
        <v>2769.2</v>
      </c>
      <c r="L27" s="2" t="s">
        <v>102</v>
      </c>
      <c r="M27" s="2" t="s">
        <v>103</v>
      </c>
      <c r="N27" s="2">
        <v>2316.5</v>
      </c>
      <c r="O27" s="2" t="s">
        <v>186</v>
      </c>
      <c r="P27" s="2" t="s">
        <v>187</v>
      </c>
      <c r="Q27" s="2">
        <v>1821.2</v>
      </c>
      <c r="R27" s="2" t="s">
        <v>188</v>
      </c>
      <c r="S27" s="2" t="s">
        <v>189</v>
      </c>
      <c r="T27" s="2">
        <v>1628.5</v>
      </c>
    </row>
    <row r="28" spans="1:20" x14ac:dyDescent="0.25">
      <c r="A28" s="2" t="s">
        <v>190</v>
      </c>
      <c r="B28" s="2" t="s">
        <v>191</v>
      </c>
      <c r="C28" s="5">
        <f ca="1">[1]!thsiFinD("ths_int_chg_ratio_index",$A28,C$1,C$2)/100</f>
        <v>0.35789843652566</v>
      </c>
      <c r="D28" s="5">
        <f ca="1">[1]!thsiFinD("ths_int_chg_ratio_index",$A28,D$1,D$2)/100</f>
        <v>7.0233077667733998E-2</v>
      </c>
      <c r="E28" s="5">
        <f ca="1">[1]!thsiFinD("ths_int_chg_ratio_index",$A28,E$1,E$2)/100</f>
        <v>2.4839166503848001E-2</v>
      </c>
      <c r="F28" s="2" t="s">
        <v>192</v>
      </c>
      <c r="G28" s="2" t="s">
        <v>193</v>
      </c>
      <c r="H28" s="2">
        <v>1082.7</v>
      </c>
      <c r="I28" s="2" t="s">
        <v>194</v>
      </c>
      <c r="J28" s="2" t="s">
        <v>195</v>
      </c>
      <c r="K28" s="2">
        <v>973</v>
      </c>
      <c r="L28" s="2" t="s">
        <v>26</v>
      </c>
      <c r="M28" s="2" t="s">
        <v>27</v>
      </c>
      <c r="N28" s="2">
        <v>755.9</v>
      </c>
      <c r="O28" s="2" t="s">
        <v>196</v>
      </c>
      <c r="P28" s="2" t="s">
        <v>197</v>
      </c>
      <c r="Q28" s="2">
        <v>728.7</v>
      </c>
      <c r="R28" s="2" t="s">
        <v>114</v>
      </c>
      <c r="S28" s="2" t="s">
        <v>115</v>
      </c>
      <c r="T28" s="2">
        <v>663.7</v>
      </c>
    </row>
    <row r="29" spans="1:20" x14ac:dyDescent="0.25">
      <c r="A29" s="2" t="s">
        <v>198</v>
      </c>
      <c r="B29" s="2" t="s">
        <v>199</v>
      </c>
      <c r="C29" s="5">
        <f ca="1">[1]!thsiFinD("ths_int_chg_ratio_index",$A29,C$1,C$2)/100</f>
        <v>0.36395560118848996</v>
      </c>
      <c r="D29" s="5">
        <f ca="1">[1]!thsiFinD("ths_int_chg_ratio_index",$A29,D$1,D$2)/100</f>
        <v>9.7083231880332993E-2</v>
      </c>
      <c r="E29" s="5">
        <f ca="1">[1]!thsiFinD("ths_int_chg_ratio_index",$A29,E$1,E$2)/100</f>
        <v>7.3619937949006994E-2</v>
      </c>
      <c r="F29" s="2" t="s">
        <v>32</v>
      </c>
      <c r="G29" s="2" t="s">
        <v>33</v>
      </c>
      <c r="H29" s="2">
        <v>15494.3</v>
      </c>
      <c r="I29" s="2" t="s">
        <v>34</v>
      </c>
      <c r="J29" s="2" t="s">
        <v>35</v>
      </c>
      <c r="K29" s="2">
        <v>15182.6</v>
      </c>
      <c r="L29" s="2" t="s">
        <v>56</v>
      </c>
      <c r="M29" s="2" t="s">
        <v>57</v>
      </c>
      <c r="N29" s="2">
        <v>9471.2999999999993</v>
      </c>
      <c r="O29" s="2" t="s">
        <v>200</v>
      </c>
      <c r="P29" s="2" t="s">
        <v>201</v>
      </c>
      <c r="Q29" s="2">
        <v>7623.8</v>
      </c>
      <c r="R29" s="2" t="s">
        <v>36</v>
      </c>
      <c r="S29" s="2" t="s">
        <v>37</v>
      </c>
      <c r="T29" s="2">
        <v>7293.2</v>
      </c>
    </row>
    <row r="30" spans="1:20" x14ac:dyDescent="0.25">
      <c r="A30" s="2" t="s">
        <v>202</v>
      </c>
      <c r="B30" s="2" t="s">
        <v>203</v>
      </c>
      <c r="C30" s="5">
        <f ca="1">[1]!thsiFinD("ths_int_chg_ratio_index",$A30,C$1,C$2)/100</f>
        <v>0.34611505470332998</v>
      </c>
      <c r="D30" s="5">
        <f ca="1">[1]!thsiFinD("ths_int_chg_ratio_index",$A30,D$1,D$2)/100</f>
        <v>0.10665382124863999</v>
      </c>
      <c r="E30" s="5">
        <f ca="1">[1]!thsiFinD("ths_int_chg_ratio_index",$A30,E$1,E$2)/100</f>
        <v>7.0525535810227996E-2</v>
      </c>
      <c r="F30" s="2" t="s">
        <v>204</v>
      </c>
      <c r="G30" s="2" t="s">
        <v>205</v>
      </c>
      <c r="H30" s="2">
        <v>4409.3999999999996</v>
      </c>
      <c r="I30" s="2" t="s">
        <v>130</v>
      </c>
      <c r="J30" s="2" t="s">
        <v>131</v>
      </c>
      <c r="K30" s="2">
        <v>2714.4</v>
      </c>
      <c r="L30" s="2" t="s">
        <v>132</v>
      </c>
      <c r="M30" s="2" t="s">
        <v>133</v>
      </c>
      <c r="N30" s="2">
        <v>2077.6999999999998</v>
      </c>
      <c r="O30" s="2" t="s">
        <v>20</v>
      </c>
      <c r="P30" s="2" t="s">
        <v>21</v>
      </c>
      <c r="Q30" s="2">
        <v>1930</v>
      </c>
      <c r="R30" s="2" t="s">
        <v>110</v>
      </c>
      <c r="S30" s="2" t="s">
        <v>111</v>
      </c>
      <c r="T30" s="2">
        <v>1784.4</v>
      </c>
    </row>
    <row r="31" spans="1:20" x14ac:dyDescent="0.25">
      <c r="A31" s="2" t="s">
        <v>206</v>
      </c>
      <c r="B31" s="2" t="s">
        <v>207</v>
      </c>
      <c r="C31" s="5">
        <f ca="1">[1]!thsiFinD("ths_int_chg_ratio_index",$A31,C$1,C$2)/100</f>
        <v>0.34267211483627003</v>
      </c>
      <c r="D31" s="5">
        <f ca="1">[1]!thsiFinD("ths_int_chg_ratio_index",$A31,D$1,D$2)/100</f>
        <v>0.12139062750302999</v>
      </c>
      <c r="E31" s="5">
        <f ca="1">[1]!thsiFinD("ths_int_chg_ratio_index",$A31,E$1,E$2)/100</f>
        <v>6.8716935814757005E-2</v>
      </c>
      <c r="F31" s="2" t="s">
        <v>56</v>
      </c>
      <c r="G31" s="2" t="s">
        <v>57</v>
      </c>
      <c r="H31" s="2">
        <v>9471.2999999999993</v>
      </c>
      <c r="I31" s="2" t="s">
        <v>78</v>
      </c>
      <c r="J31" s="2" t="s">
        <v>79</v>
      </c>
      <c r="K31" s="2">
        <v>4204.8</v>
      </c>
      <c r="L31" s="2" t="s">
        <v>208</v>
      </c>
      <c r="M31" s="2" t="s">
        <v>209</v>
      </c>
      <c r="N31" s="2">
        <v>2056.4</v>
      </c>
      <c r="O31" s="2" t="s">
        <v>186</v>
      </c>
      <c r="P31" s="2" t="s">
        <v>187</v>
      </c>
      <c r="Q31" s="2">
        <v>1821.2</v>
      </c>
      <c r="R31" s="2" t="s">
        <v>210</v>
      </c>
      <c r="S31" s="2" t="s">
        <v>211</v>
      </c>
      <c r="T31" s="2">
        <v>1526.1</v>
      </c>
    </row>
    <row r="32" spans="1:20" x14ac:dyDescent="0.25">
      <c r="A32" s="2" t="s">
        <v>212</v>
      </c>
      <c r="B32" s="2" t="s">
        <v>213</v>
      </c>
      <c r="C32" s="5">
        <f ca="1">[1]!thsiFinD("ths_int_chg_ratio_index",$A32,C$1,C$2)/100</f>
        <v>0.32290401673370001</v>
      </c>
      <c r="D32" s="5">
        <f ca="1">[1]!thsiFinD("ths_int_chg_ratio_index",$A32,D$1,D$2)/100</f>
        <v>0.10609341373905</v>
      </c>
      <c r="E32" s="5">
        <f ca="1">[1]!thsiFinD("ths_int_chg_ratio_index",$A32,E$1,E$2)/100</f>
        <v>9.8772256918210996E-2</v>
      </c>
      <c r="F32" s="2" t="s">
        <v>38</v>
      </c>
      <c r="G32" s="2" t="s">
        <v>39</v>
      </c>
      <c r="H32" s="2">
        <v>5083.3999999999996</v>
      </c>
      <c r="I32" s="2" t="s">
        <v>214</v>
      </c>
      <c r="J32" s="2" t="s">
        <v>215</v>
      </c>
      <c r="K32" s="2">
        <v>2267.9</v>
      </c>
      <c r="L32" s="2" t="s">
        <v>216</v>
      </c>
      <c r="M32" s="2" t="s">
        <v>217</v>
      </c>
      <c r="N32" s="2">
        <v>1089.2</v>
      </c>
      <c r="O32" s="2" t="s">
        <v>218</v>
      </c>
      <c r="P32" s="2" t="s">
        <v>219</v>
      </c>
      <c r="Q32" s="2">
        <v>791</v>
      </c>
      <c r="R32" s="2" t="s">
        <v>220</v>
      </c>
      <c r="S32" s="2" t="s">
        <v>221</v>
      </c>
      <c r="T32" s="2">
        <v>642.1</v>
      </c>
    </row>
    <row r="33" spans="1:20" x14ac:dyDescent="0.25">
      <c r="A33" s="2" t="s">
        <v>222</v>
      </c>
      <c r="B33" s="2" t="s">
        <v>223</v>
      </c>
      <c r="C33" s="5">
        <f ca="1">[1]!thsiFinD("ths_int_chg_ratio_index",$A33,C$1,C$2)/100</f>
        <v>0.33127794685615003</v>
      </c>
      <c r="D33" s="5">
        <f ca="1">[1]!thsiFinD("ths_int_chg_ratio_index",$A33,D$1,D$2)/100</f>
        <v>9.1494050701088001E-2</v>
      </c>
      <c r="E33" s="5">
        <f ca="1">[1]!thsiFinD("ths_int_chg_ratio_index",$A33,E$1,E$2)/100</f>
        <v>4.4643368531496995E-2</v>
      </c>
      <c r="F33" s="2" t="s">
        <v>32</v>
      </c>
      <c r="G33" s="2" t="s">
        <v>33</v>
      </c>
      <c r="H33" s="2">
        <v>15494.3</v>
      </c>
      <c r="I33" s="2" t="s">
        <v>34</v>
      </c>
      <c r="J33" s="2" t="s">
        <v>35</v>
      </c>
      <c r="K33" s="2">
        <v>15182.6</v>
      </c>
      <c r="L33" s="2" t="s">
        <v>224</v>
      </c>
      <c r="M33" s="2" t="s">
        <v>225</v>
      </c>
      <c r="N33" s="2">
        <v>5352.5</v>
      </c>
      <c r="O33" s="2" t="s">
        <v>38</v>
      </c>
      <c r="P33" s="2" t="s">
        <v>39</v>
      </c>
      <c r="Q33" s="2">
        <v>5083.3999999999996</v>
      </c>
      <c r="R33" s="2" t="s">
        <v>52</v>
      </c>
      <c r="S33" s="2" t="s">
        <v>53</v>
      </c>
      <c r="T33" s="2">
        <v>2771.6</v>
      </c>
    </row>
    <row r="34" spans="1:20" x14ac:dyDescent="0.25">
      <c r="A34" s="2" t="s">
        <v>226</v>
      </c>
      <c r="B34" s="2" t="s">
        <v>227</v>
      </c>
      <c r="C34" s="5">
        <f ca="1">[1]!thsiFinD("ths_int_chg_ratio_index",$A34,C$1,C$2)/100</f>
        <v>0.31914044521398</v>
      </c>
      <c r="D34" s="5">
        <f ca="1">[1]!thsiFinD("ths_int_chg_ratio_index",$A34,D$1,D$2)/100</f>
        <v>0.11161878271712</v>
      </c>
      <c r="E34" s="5">
        <f ca="1">[1]!thsiFinD("ths_int_chg_ratio_index",$A34,E$1,E$2)/100</f>
        <v>7.3032435167711005E-2</v>
      </c>
      <c r="F34" s="2" t="s">
        <v>38</v>
      </c>
      <c r="G34" s="2" t="s">
        <v>39</v>
      </c>
      <c r="H34" s="2">
        <v>5083.3999999999996</v>
      </c>
      <c r="I34" s="2" t="s">
        <v>44</v>
      </c>
      <c r="J34" s="2" t="s">
        <v>45</v>
      </c>
      <c r="K34" s="2">
        <v>3784.7</v>
      </c>
      <c r="L34" s="2" t="s">
        <v>80</v>
      </c>
      <c r="M34" s="2" t="s">
        <v>81</v>
      </c>
      <c r="N34" s="2">
        <v>3094.2</v>
      </c>
      <c r="O34" s="2" t="s">
        <v>48</v>
      </c>
      <c r="P34" s="2" t="s">
        <v>49</v>
      </c>
      <c r="Q34" s="2">
        <v>2952.2</v>
      </c>
      <c r="R34" s="2" t="s">
        <v>72</v>
      </c>
      <c r="S34" s="2" t="s">
        <v>73</v>
      </c>
      <c r="T34" s="2">
        <v>2813.4</v>
      </c>
    </row>
    <row r="35" spans="1:20" x14ac:dyDescent="0.25">
      <c r="A35" s="2" t="s">
        <v>228</v>
      </c>
      <c r="B35" s="2" t="s">
        <v>229</v>
      </c>
      <c r="C35" s="5">
        <f ca="1">[1]!thsiFinD("ths_int_chg_ratio_index",$A35,C$1,C$2)/100</f>
        <v>0.29771657660798001</v>
      </c>
      <c r="D35" s="5">
        <f ca="1">[1]!thsiFinD("ths_int_chg_ratio_index",$A35,D$1,D$2)/100</f>
        <v>7.0471276302858002E-2</v>
      </c>
      <c r="E35" s="5">
        <f ca="1">[1]!thsiFinD("ths_int_chg_ratio_index",$A35,E$1,E$2)/100</f>
        <v>-3.1071116642981001E-3</v>
      </c>
      <c r="F35" s="2" t="s">
        <v>102</v>
      </c>
      <c r="G35" s="2" t="s">
        <v>103</v>
      </c>
      <c r="H35" s="2">
        <v>2316.5</v>
      </c>
      <c r="I35" s="2" t="s">
        <v>20</v>
      </c>
      <c r="J35" s="2" t="s">
        <v>21</v>
      </c>
      <c r="K35" s="2">
        <v>1930</v>
      </c>
      <c r="L35" s="2" t="s">
        <v>110</v>
      </c>
      <c r="M35" s="2" t="s">
        <v>111</v>
      </c>
      <c r="N35" s="2">
        <v>1784.4</v>
      </c>
      <c r="O35" s="2" t="s">
        <v>230</v>
      </c>
      <c r="P35" s="2" t="s">
        <v>231</v>
      </c>
      <c r="Q35" s="2">
        <v>1722.2</v>
      </c>
      <c r="R35" s="2" t="s">
        <v>84</v>
      </c>
      <c r="S35" s="2" t="s">
        <v>85</v>
      </c>
      <c r="T35" s="2">
        <v>1290.5999999999999</v>
      </c>
    </row>
    <row r="36" spans="1:20" x14ac:dyDescent="0.25">
      <c r="A36" s="2" t="s">
        <v>232</v>
      </c>
      <c r="B36" s="2" t="s">
        <v>233</v>
      </c>
      <c r="C36" s="5">
        <f ca="1">[1]!thsiFinD("ths_int_chg_ratio_index",$A36,C$1,C$2)/100</f>
        <v>0.31926771191737996</v>
      </c>
      <c r="D36" s="5">
        <f ca="1">[1]!thsiFinD("ths_int_chg_ratio_index",$A36,D$1,D$2)/100</f>
        <v>0.1239002110667</v>
      </c>
      <c r="E36" s="5">
        <f ca="1">[1]!thsiFinD("ths_int_chg_ratio_index",$A36,E$1,E$2)/100</f>
        <v>5.8229276382390005E-2</v>
      </c>
      <c r="F36" s="2" t="s">
        <v>70</v>
      </c>
      <c r="G36" s="2" t="s">
        <v>71</v>
      </c>
      <c r="H36" s="2">
        <v>5222.2</v>
      </c>
      <c r="I36" s="2" t="s">
        <v>192</v>
      </c>
      <c r="J36" s="2" t="s">
        <v>193</v>
      </c>
      <c r="K36" s="2">
        <v>1082.7</v>
      </c>
      <c r="L36" s="2" t="s">
        <v>234</v>
      </c>
      <c r="M36" s="2" t="s">
        <v>235</v>
      </c>
      <c r="N36" s="2">
        <v>1036</v>
      </c>
      <c r="O36" s="2" t="s">
        <v>236</v>
      </c>
      <c r="P36" s="2" t="s">
        <v>237</v>
      </c>
      <c r="Q36" s="2">
        <v>651.6</v>
      </c>
      <c r="R36" s="2" t="s">
        <v>92</v>
      </c>
      <c r="S36" s="2" t="s">
        <v>93</v>
      </c>
      <c r="T36" s="2">
        <v>599.70000000000005</v>
      </c>
    </row>
    <row r="37" spans="1:20" x14ac:dyDescent="0.25">
      <c r="A37" s="2" t="s">
        <v>238</v>
      </c>
      <c r="B37" s="2" t="s">
        <v>239</v>
      </c>
      <c r="C37" s="5">
        <f ca="1">[1]!thsiFinD("ths_int_chg_ratio_index",$A37,C$1,C$2)/100</f>
        <v>0.29352299999999998</v>
      </c>
      <c r="D37" s="5">
        <f ca="1">[1]!thsiFinD("ths_int_chg_ratio_index",$A37,D$1,D$2)/100</f>
        <v>6.5118025494856999E-2</v>
      </c>
      <c r="E37" s="5">
        <f ca="1">[1]!thsiFinD("ths_int_chg_ratio_index",$A37,E$1,E$2)/100</f>
        <v>6.5046989679891004E-2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25">
      <c r="A38" s="2" t="s">
        <v>240</v>
      </c>
      <c r="B38" s="2" t="s">
        <v>241</v>
      </c>
      <c r="C38" s="5">
        <f ca="1">[1]!thsiFinD("ths_int_chg_ratio_index",$A38,C$1,C$2)/100</f>
        <v>0.2844582629911</v>
      </c>
      <c r="D38" s="5">
        <f ca="1">[1]!thsiFinD("ths_int_chg_ratio_index",$A38,D$1,D$2)/100</f>
        <v>0.10420896743326001</v>
      </c>
      <c r="E38" s="5">
        <f ca="1">[1]!thsiFinD("ths_int_chg_ratio_index",$A38,E$1,E$2)/100</f>
        <v>5.0741289883038998E-2</v>
      </c>
      <c r="F38" s="2" t="s">
        <v>38</v>
      </c>
      <c r="G38" s="2" t="s">
        <v>39</v>
      </c>
      <c r="H38" s="2">
        <v>5083.3999999999996</v>
      </c>
      <c r="I38" s="2" t="s">
        <v>52</v>
      </c>
      <c r="J38" s="2" t="s">
        <v>53</v>
      </c>
      <c r="K38" s="2">
        <v>2771.6</v>
      </c>
      <c r="L38" s="2" t="s">
        <v>100</v>
      </c>
      <c r="M38" s="2" t="s">
        <v>101</v>
      </c>
      <c r="N38" s="2">
        <v>2769.2</v>
      </c>
      <c r="O38" s="2" t="s">
        <v>102</v>
      </c>
      <c r="P38" s="2" t="s">
        <v>103</v>
      </c>
      <c r="Q38" s="2">
        <v>2316.5</v>
      </c>
      <c r="R38" s="2" t="s">
        <v>186</v>
      </c>
      <c r="S38" s="2" t="s">
        <v>187</v>
      </c>
      <c r="T38" s="2">
        <v>1821.2</v>
      </c>
    </row>
    <row r="39" spans="1:20" x14ac:dyDescent="0.25">
      <c r="A39" s="2" t="s">
        <v>242</v>
      </c>
      <c r="B39" s="2" t="s">
        <v>243</v>
      </c>
      <c r="C39" s="5">
        <f ca="1">[1]!thsiFinD("ths_int_chg_ratio_index",$A39,C$1,C$2)/100</f>
        <v>0.27894377938706</v>
      </c>
      <c r="D39" s="5">
        <f ca="1">[1]!thsiFinD("ths_int_chg_ratio_index",$A39,D$1,D$2)/100</f>
        <v>9.9264180462749999E-2</v>
      </c>
      <c r="E39" s="5">
        <f ca="1">[1]!thsiFinD("ths_int_chg_ratio_index",$A39,E$1,E$2)/100</f>
        <v>5.4175021214920002E-2</v>
      </c>
      <c r="F39" s="2" t="s">
        <v>32</v>
      </c>
      <c r="G39" s="2" t="s">
        <v>33</v>
      </c>
      <c r="H39" s="2">
        <v>15494.3</v>
      </c>
      <c r="I39" s="2" t="s">
        <v>34</v>
      </c>
      <c r="J39" s="2" t="s">
        <v>35</v>
      </c>
      <c r="K39" s="2">
        <v>15182.6</v>
      </c>
      <c r="L39" s="2" t="s">
        <v>36</v>
      </c>
      <c r="M39" s="2" t="s">
        <v>37</v>
      </c>
      <c r="N39" s="2">
        <v>7293.2</v>
      </c>
      <c r="O39" s="2" t="s">
        <v>38</v>
      </c>
      <c r="P39" s="2" t="s">
        <v>39</v>
      </c>
      <c r="Q39" s="2">
        <v>5083.3999999999996</v>
      </c>
      <c r="R39" s="2" t="s">
        <v>204</v>
      </c>
      <c r="S39" s="2" t="s">
        <v>205</v>
      </c>
      <c r="T39" s="2">
        <v>4409.3999999999996</v>
      </c>
    </row>
    <row r="40" spans="1:20" x14ac:dyDescent="0.25">
      <c r="A40" s="2" t="s">
        <v>244</v>
      </c>
      <c r="B40" s="2" t="s">
        <v>245</v>
      </c>
      <c r="C40" s="5">
        <f ca="1">[1]!thsiFinD("ths_int_chg_ratio_index",$A40,C$1,C$2)/100</f>
        <v>0.2601222816064</v>
      </c>
      <c r="D40" s="5">
        <f ca="1">[1]!thsiFinD("ths_int_chg_ratio_index",$A40,D$1,D$2)/100</f>
        <v>4.8650671800862001E-2</v>
      </c>
      <c r="E40" s="5">
        <f ca="1">[1]!thsiFinD("ths_int_chg_ratio_index",$A40,E$1,E$2)/100</f>
        <v>-2.8681482355474998E-2</v>
      </c>
      <c r="F40" s="2" t="s">
        <v>130</v>
      </c>
      <c r="G40" s="2" t="s">
        <v>131</v>
      </c>
      <c r="H40" s="2">
        <v>2714.4</v>
      </c>
      <c r="I40" s="2" t="s">
        <v>20</v>
      </c>
      <c r="J40" s="2" t="s">
        <v>21</v>
      </c>
      <c r="K40" s="2">
        <v>1930</v>
      </c>
      <c r="L40" s="2" t="s">
        <v>108</v>
      </c>
      <c r="M40" s="2" t="s">
        <v>109</v>
      </c>
      <c r="N40" s="2">
        <v>1916.1</v>
      </c>
      <c r="O40" s="2" t="s">
        <v>246</v>
      </c>
      <c r="P40" s="2" t="s">
        <v>247</v>
      </c>
      <c r="Q40" s="2">
        <v>1846.7</v>
      </c>
      <c r="R40" s="2" t="s">
        <v>248</v>
      </c>
      <c r="S40" s="2" t="s">
        <v>249</v>
      </c>
      <c r="T40" s="2">
        <v>1362.4</v>
      </c>
    </row>
    <row r="41" spans="1:20" x14ac:dyDescent="0.25">
      <c r="A41" s="2" t="s">
        <v>250</v>
      </c>
      <c r="B41" s="2" t="s">
        <v>251</v>
      </c>
      <c r="C41" s="5">
        <f ca="1">[1]!thsiFinD("ths_int_chg_ratio_index",$A41,C$1,C$2)/100</f>
        <v>0.25476466832744998</v>
      </c>
      <c r="D41" s="5">
        <f ca="1">[1]!thsiFinD("ths_int_chg_ratio_index",$A41,D$1,D$2)/100</f>
        <v>4.4837202534251004E-2</v>
      </c>
      <c r="E41" s="5">
        <f ca="1">[1]!thsiFinD("ths_int_chg_ratio_index",$A41,E$1,E$2)/100</f>
        <v>-2.1654981915473003E-2</v>
      </c>
      <c r="F41" s="2" t="s">
        <v>52</v>
      </c>
      <c r="G41" s="2" t="s">
        <v>53</v>
      </c>
      <c r="H41" s="2">
        <v>2771.6</v>
      </c>
      <c r="I41" s="2" t="s">
        <v>84</v>
      </c>
      <c r="J41" s="2" t="s">
        <v>85</v>
      </c>
      <c r="K41" s="2">
        <v>1290.5999999999999</v>
      </c>
      <c r="L41" s="2" t="s">
        <v>192</v>
      </c>
      <c r="M41" s="2" t="s">
        <v>193</v>
      </c>
      <c r="N41" s="2">
        <v>1082.7</v>
      </c>
      <c r="O41" s="2" t="s">
        <v>194</v>
      </c>
      <c r="P41" s="2" t="s">
        <v>195</v>
      </c>
      <c r="Q41" s="2">
        <v>973</v>
      </c>
      <c r="R41" s="2" t="s">
        <v>196</v>
      </c>
      <c r="S41" s="2" t="s">
        <v>197</v>
      </c>
      <c r="T41" s="2">
        <v>728.7</v>
      </c>
    </row>
    <row r="42" spans="1:20" x14ac:dyDescent="0.25">
      <c r="A42" s="2" t="s">
        <v>252</v>
      </c>
      <c r="B42" s="2" t="s">
        <v>253</v>
      </c>
      <c r="C42" s="5">
        <f ca="1">[1]!thsiFinD("ths_int_chg_ratio_index",$A42,C$1,C$2)/100</f>
        <v>0.24932333450114</v>
      </c>
      <c r="D42" s="5">
        <f ca="1">[1]!thsiFinD("ths_int_chg_ratio_index",$A42,D$1,D$2)/100</f>
        <v>6.4875370517953002E-2</v>
      </c>
      <c r="E42" s="5">
        <f ca="1">[1]!thsiFinD("ths_int_chg_ratio_index",$A42,E$1,E$2)/100</f>
        <v>-2.6971421334554001E-2</v>
      </c>
      <c r="F42" s="2" t="s">
        <v>130</v>
      </c>
      <c r="G42" s="2" t="s">
        <v>131</v>
      </c>
      <c r="H42" s="2">
        <v>2714.4</v>
      </c>
      <c r="I42" s="2" t="s">
        <v>20</v>
      </c>
      <c r="J42" s="2" t="s">
        <v>21</v>
      </c>
      <c r="K42" s="2">
        <v>1930</v>
      </c>
      <c r="L42" s="2" t="s">
        <v>246</v>
      </c>
      <c r="M42" s="2" t="s">
        <v>247</v>
      </c>
      <c r="N42" s="2">
        <v>1846.7</v>
      </c>
      <c r="O42" s="2" t="s">
        <v>254</v>
      </c>
      <c r="P42" s="2" t="s">
        <v>255</v>
      </c>
      <c r="Q42" s="2">
        <v>1178.3</v>
      </c>
      <c r="R42" s="2" t="s">
        <v>256</v>
      </c>
      <c r="S42" s="2" t="s">
        <v>257</v>
      </c>
      <c r="T42" s="2">
        <v>895</v>
      </c>
    </row>
    <row r="43" spans="1:20" x14ac:dyDescent="0.25">
      <c r="A43" s="2" t="s">
        <v>258</v>
      </c>
      <c r="B43" s="2" t="s">
        <v>259</v>
      </c>
      <c r="C43" s="5">
        <f ca="1">[1]!thsiFinD("ths_int_chg_ratio_index",$A43,C$1,C$2)/100</f>
        <v>0.27317598507452001</v>
      </c>
      <c r="D43" s="5">
        <f ca="1">[1]!thsiFinD("ths_int_chg_ratio_index",$A43,D$1,D$2)/100</f>
        <v>0.10752368683917</v>
      </c>
      <c r="E43" s="5">
        <f ca="1">[1]!thsiFinD("ths_int_chg_ratio_index",$A43,E$1,E$2)/100</f>
        <v>5.7278414577822005E-2</v>
      </c>
      <c r="F43" s="2" t="s">
        <v>52</v>
      </c>
      <c r="G43" s="2" t="s">
        <v>53</v>
      </c>
      <c r="H43" s="2">
        <v>2771.6</v>
      </c>
      <c r="I43" s="2" t="s">
        <v>260</v>
      </c>
      <c r="J43" s="2" t="s">
        <v>261</v>
      </c>
      <c r="K43" s="2">
        <v>1408.2</v>
      </c>
      <c r="L43" s="2" t="s">
        <v>262</v>
      </c>
      <c r="M43" s="2" t="s">
        <v>263</v>
      </c>
      <c r="N43" s="2">
        <v>356.5</v>
      </c>
      <c r="O43" s="2" t="s">
        <v>264</v>
      </c>
      <c r="P43" s="2" t="s">
        <v>265</v>
      </c>
      <c r="Q43" s="2">
        <v>328.2</v>
      </c>
      <c r="R43" s="2" t="s">
        <v>266</v>
      </c>
      <c r="S43" s="2" t="s">
        <v>267</v>
      </c>
      <c r="T43" s="2">
        <v>259.5</v>
      </c>
    </row>
    <row r="44" spans="1:20" x14ac:dyDescent="0.25">
      <c r="A44" s="2" t="s">
        <v>268</v>
      </c>
      <c r="B44" s="2" t="s">
        <v>269</v>
      </c>
      <c r="C44" s="5">
        <f ca="1">[1]!thsiFinD("ths_int_chg_ratio_index",$A44,C$1,C$2)/100</f>
        <v>0.25013713333070997</v>
      </c>
      <c r="D44" s="5">
        <f ca="1">[1]!thsiFinD("ths_int_chg_ratio_index",$A44,D$1,D$2)/100</f>
        <v>7.4501545190769E-2</v>
      </c>
      <c r="E44" s="5">
        <f ca="1">[1]!thsiFinD("ths_int_chg_ratio_index",$A44,E$1,E$2)/100</f>
        <v>3.7493316315090001E-2</v>
      </c>
      <c r="F44" s="2" t="s">
        <v>270</v>
      </c>
      <c r="G44" s="2" t="s">
        <v>271</v>
      </c>
      <c r="H44" s="2">
        <v>16668.3</v>
      </c>
      <c r="I44" s="2" t="s">
        <v>20</v>
      </c>
      <c r="J44" s="2" t="s">
        <v>21</v>
      </c>
      <c r="K44" s="2">
        <v>1930</v>
      </c>
      <c r="L44" s="2" t="s">
        <v>22</v>
      </c>
      <c r="M44" s="2" t="s">
        <v>23</v>
      </c>
      <c r="N44" s="2">
        <v>1658</v>
      </c>
      <c r="O44" s="2" t="s">
        <v>272</v>
      </c>
      <c r="P44" s="2" t="s">
        <v>273</v>
      </c>
      <c r="Q44" s="2">
        <v>1490.4</v>
      </c>
      <c r="R44" s="2" t="s">
        <v>260</v>
      </c>
      <c r="S44" s="2" t="s">
        <v>261</v>
      </c>
      <c r="T44" s="2">
        <v>1408.2</v>
      </c>
    </row>
    <row r="45" spans="1:20" x14ac:dyDescent="0.25">
      <c r="A45" s="2" t="s">
        <v>274</v>
      </c>
      <c r="B45" s="2" t="s">
        <v>275</v>
      </c>
      <c r="C45" s="5">
        <f ca="1">[1]!thsiFinD("ths_int_chg_ratio_index",$A45,C$1,C$2)/100</f>
        <v>0.27070539758113998</v>
      </c>
      <c r="D45" s="5">
        <f ca="1">[1]!thsiFinD("ths_int_chg_ratio_index",$A45,D$1,D$2)/100</f>
        <v>9.2155873837696994E-2</v>
      </c>
      <c r="E45" s="5">
        <f ca="1">[1]!thsiFinD("ths_int_chg_ratio_index",$A45,E$1,E$2)/100</f>
        <v>4.8069652904595001E-2</v>
      </c>
      <c r="F45" s="2" t="s">
        <v>32</v>
      </c>
      <c r="G45" s="2" t="s">
        <v>33</v>
      </c>
      <c r="H45" s="2">
        <v>15494.3</v>
      </c>
      <c r="I45" s="2" t="s">
        <v>46</v>
      </c>
      <c r="J45" s="2" t="s">
        <v>47</v>
      </c>
      <c r="K45" s="2">
        <v>3663.5</v>
      </c>
      <c r="L45" s="2" t="s">
        <v>64</v>
      </c>
      <c r="M45" s="2" t="s">
        <v>65</v>
      </c>
      <c r="N45" s="2">
        <v>3192.6</v>
      </c>
      <c r="O45" s="2" t="s">
        <v>276</v>
      </c>
      <c r="P45" s="2" t="s">
        <v>277</v>
      </c>
      <c r="Q45" s="2">
        <v>1352.3</v>
      </c>
      <c r="R45" s="2" t="s">
        <v>154</v>
      </c>
      <c r="S45" s="2" t="s">
        <v>155</v>
      </c>
      <c r="T45" s="2">
        <v>1211</v>
      </c>
    </row>
    <row r="46" spans="1:20" x14ac:dyDescent="0.25">
      <c r="A46" s="2" t="s">
        <v>278</v>
      </c>
      <c r="B46" s="2" t="s">
        <v>279</v>
      </c>
      <c r="C46" s="5">
        <f ca="1">[1]!thsiFinD("ths_int_chg_ratio_index",$A46,C$1,C$2)/100</f>
        <v>0.24985104365103999</v>
      </c>
      <c r="D46" s="5">
        <f ca="1">[1]!thsiFinD("ths_int_chg_ratio_index",$A46,D$1,D$2)/100</f>
        <v>6.5142071195150003E-2</v>
      </c>
      <c r="E46" s="5">
        <f ca="1">[1]!thsiFinD("ths_int_chg_ratio_index",$A46,E$1,E$2)/100</f>
        <v>8.2632100567416999E-3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x14ac:dyDescent="0.25">
      <c r="A47" s="2" t="s">
        <v>280</v>
      </c>
      <c r="B47" s="2" t="s">
        <v>281</v>
      </c>
      <c r="C47" s="5">
        <f ca="1">[1]!thsiFinD("ths_int_chg_ratio_index",$A47,C$1,C$2)/100</f>
        <v>0.23239755457611</v>
      </c>
      <c r="D47" s="5">
        <f ca="1">[1]!thsiFinD("ths_int_chg_ratio_index",$A47,D$1,D$2)/100</f>
        <v>4.1075012536288001E-2</v>
      </c>
      <c r="E47" s="5">
        <f ca="1">[1]!thsiFinD("ths_int_chg_ratio_index",$A47,E$1,E$2)/100</f>
        <v>-2.5196353121270998E-2</v>
      </c>
      <c r="F47" s="2" t="s">
        <v>84</v>
      </c>
      <c r="G47" s="2" t="s">
        <v>85</v>
      </c>
      <c r="H47" s="2">
        <v>1290.5999999999999</v>
      </c>
      <c r="I47" s="2" t="s">
        <v>192</v>
      </c>
      <c r="J47" s="2" t="s">
        <v>193</v>
      </c>
      <c r="K47" s="2">
        <v>1082.7</v>
      </c>
      <c r="L47" s="2" t="s">
        <v>194</v>
      </c>
      <c r="M47" s="2" t="s">
        <v>195</v>
      </c>
      <c r="N47" s="2">
        <v>973</v>
      </c>
      <c r="O47" s="2" t="s">
        <v>196</v>
      </c>
      <c r="P47" s="2" t="s">
        <v>197</v>
      </c>
      <c r="Q47" s="2">
        <v>728.7</v>
      </c>
      <c r="R47" s="2" t="s">
        <v>282</v>
      </c>
      <c r="S47" s="2" t="s">
        <v>283</v>
      </c>
      <c r="T47" s="2">
        <v>578.5</v>
      </c>
    </row>
    <row r="48" spans="1:20" x14ac:dyDescent="0.25">
      <c r="A48" s="2" t="s">
        <v>284</v>
      </c>
      <c r="B48" s="2" t="s">
        <v>285</v>
      </c>
      <c r="C48" s="5">
        <f ca="1">[1]!thsiFinD("ths_int_chg_ratio_index",$A48,C$1,C$2)/100</f>
        <v>0.25111041524173999</v>
      </c>
      <c r="D48" s="5">
        <f ca="1">[1]!thsiFinD("ths_int_chg_ratio_index",$A48,D$1,D$2)/100</f>
        <v>9.9451738580789997E-2</v>
      </c>
      <c r="E48" s="5">
        <f ca="1">[1]!thsiFinD("ths_int_chg_ratio_index",$A48,E$1,E$2)/100</f>
        <v>4.4946935642536996E-2</v>
      </c>
      <c r="F48" s="2" t="s">
        <v>34</v>
      </c>
      <c r="G48" s="2" t="s">
        <v>35</v>
      </c>
      <c r="H48" s="2">
        <v>15182.6</v>
      </c>
      <c r="I48" s="2" t="s">
        <v>38</v>
      </c>
      <c r="J48" s="2" t="s">
        <v>39</v>
      </c>
      <c r="K48" s="2">
        <v>5083.3999999999996</v>
      </c>
      <c r="L48" s="2" t="s">
        <v>40</v>
      </c>
      <c r="M48" s="2" t="s">
        <v>41</v>
      </c>
      <c r="N48" s="2">
        <v>4402.8</v>
      </c>
      <c r="O48" s="2" t="s">
        <v>78</v>
      </c>
      <c r="P48" s="2" t="s">
        <v>79</v>
      </c>
      <c r="Q48" s="2">
        <v>4204.8</v>
      </c>
      <c r="R48" s="2" t="s">
        <v>64</v>
      </c>
      <c r="S48" s="2" t="s">
        <v>65</v>
      </c>
      <c r="T48" s="2">
        <v>3192.6</v>
      </c>
    </row>
    <row r="49" spans="1:20" x14ac:dyDescent="0.25">
      <c r="A49" s="2" t="s">
        <v>286</v>
      </c>
      <c r="B49" s="2" t="s">
        <v>287</v>
      </c>
      <c r="C49" s="5">
        <f ca="1">[1]!thsiFinD("ths_int_chg_ratio_index",$A49,C$1,C$2)/100</f>
        <v>0.22869643626319999</v>
      </c>
      <c r="D49" s="5">
        <f ca="1">[1]!thsiFinD("ths_int_chg_ratio_index",$A49,D$1,D$2)/100</f>
        <v>4.6360399617767001E-2</v>
      </c>
      <c r="E49" s="5">
        <f ca="1">[1]!thsiFinD("ths_int_chg_ratio_index",$A49,E$1,E$2)/100</f>
        <v>6.2268204063741998E-2</v>
      </c>
      <c r="F49" s="2" t="s">
        <v>288</v>
      </c>
      <c r="G49" s="2" t="s">
        <v>289</v>
      </c>
      <c r="H49" s="2">
        <v>1191.0999999999999</v>
      </c>
      <c r="I49" s="2" t="s">
        <v>164</v>
      </c>
      <c r="J49" s="2" t="s">
        <v>165</v>
      </c>
      <c r="K49" s="2">
        <v>1088.4000000000001</v>
      </c>
      <c r="L49" s="2" t="s">
        <v>290</v>
      </c>
      <c r="M49" s="2" t="s">
        <v>291</v>
      </c>
      <c r="N49" s="2">
        <v>850.3</v>
      </c>
      <c r="O49" s="2" t="s">
        <v>292</v>
      </c>
      <c r="P49" s="2" t="s">
        <v>293</v>
      </c>
      <c r="Q49" s="2">
        <v>778.8</v>
      </c>
      <c r="R49" s="2" t="s">
        <v>294</v>
      </c>
      <c r="S49" s="2" t="s">
        <v>295</v>
      </c>
      <c r="T49" s="2">
        <v>761</v>
      </c>
    </row>
    <row r="50" spans="1:20" x14ac:dyDescent="0.25">
      <c r="A50" s="2" t="s">
        <v>296</v>
      </c>
      <c r="B50" s="2" t="s">
        <v>297</v>
      </c>
      <c r="C50" s="5">
        <f ca="1">[1]!thsiFinD("ths_int_chg_ratio_index",$A50,C$1,C$2)/100</f>
        <v>0.23941450637965001</v>
      </c>
      <c r="D50" s="5">
        <f ca="1">[1]!thsiFinD("ths_int_chg_ratio_index",$A50,D$1,D$2)/100</f>
        <v>4.7264284026565004E-2</v>
      </c>
      <c r="E50" s="5">
        <f ca="1">[1]!thsiFinD("ths_int_chg_ratio_index",$A50,E$1,E$2)/100</f>
        <v>2.0740347931121002E-2</v>
      </c>
      <c r="F50" s="2" t="s">
        <v>20</v>
      </c>
      <c r="G50" s="2" t="s">
        <v>21</v>
      </c>
      <c r="H50" s="2">
        <v>1930</v>
      </c>
      <c r="I50" s="2" t="s">
        <v>298</v>
      </c>
      <c r="J50" s="2" t="s">
        <v>299</v>
      </c>
      <c r="K50" s="2">
        <v>922.2</v>
      </c>
      <c r="L50" s="2" t="s">
        <v>300</v>
      </c>
      <c r="M50" s="2" t="s">
        <v>301</v>
      </c>
      <c r="N50" s="2">
        <v>908.2</v>
      </c>
      <c r="O50" s="2" t="s">
        <v>28</v>
      </c>
      <c r="P50" s="2" t="s">
        <v>29</v>
      </c>
      <c r="Q50" s="2">
        <v>729.3</v>
      </c>
      <c r="R50" s="2" t="s">
        <v>302</v>
      </c>
      <c r="S50" s="2" t="s">
        <v>303</v>
      </c>
      <c r="T50" s="2">
        <v>586</v>
      </c>
    </row>
    <row r="51" spans="1:20" x14ac:dyDescent="0.25">
      <c r="A51" s="2" t="s">
        <v>304</v>
      </c>
      <c r="B51" s="2" t="s">
        <v>305</v>
      </c>
      <c r="C51" s="5">
        <f ca="1">[1]!thsiFinD("ths_int_chg_ratio_index",$A51,C$1,C$2)/100</f>
        <v>0.23264332545178998</v>
      </c>
      <c r="D51" s="5">
        <f ca="1">[1]!thsiFinD("ths_int_chg_ratio_index",$A51,D$1,D$2)/100</f>
        <v>0.1088835483838</v>
      </c>
      <c r="E51" s="5">
        <f ca="1">[1]!thsiFinD("ths_int_chg_ratio_index",$A51,E$1,E$2)/100</f>
        <v>5.9735060002775002E-2</v>
      </c>
      <c r="F51" s="2" t="s">
        <v>224</v>
      </c>
      <c r="G51" s="2" t="s">
        <v>225</v>
      </c>
      <c r="H51" s="2">
        <v>5352.5</v>
      </c>
      <c r="I51" s="2" t="s">
        <v>78</v>
      </c>
      <c r="J51" s="2" t="s">
        <v>79</v>
      </c>
      <c r="K51" s="2">
        <v>4204.8</v>
      </c>
      <c r="L51" s="2" t="s">
        <v>106</v>
      </c>
      <c r="M51" s="2" t="s">
        <v>107</v>
      </c>
      <c r="N51" s="2">
        <v>2027.7</v>
      </c>
      <c r="O51" s="2" t="s">
        <v>306</v>
      </c>
      <c r="P51" s="2" t="s">
        <v>307</v>
      </c>
      <c r="Q51" s="2">
        <v>1441</v>
      </c>
      <c r="R51" s="2" t="s">
        <v>308</v>
      </c>
      <c r="S51" s="2" t="s">
        <v>309</v>
      </c>
      <c r="T51" s="2">
        <v>1097.9000000000001</v>
      </c>
    </row>
    <row r="52" spans="1:20" x14ac:dyDescent="0.25">
      <c r="A52" s="2" t="s">
        <v>310</v>
      </c>
      <c r="B52" s="2" t="s">
        <v>311</v>
      </c>
      <c r="C52" s="5">
        <f ca="1">[1]!thsiFinD("ths_int_chg_ratio_index",$A52,C$1,C$2)/100</f>
        <v>0.22757668716293999</v>
      </c>
      <c r="D52" s="5">
        <f ca="1">[1]!thsiFinD("ths_int_chg_ratio_index",$A52,D$1,D$2)/100</f>
        <v>0.11075719920655</v>
      </c>
      <c r="E52" s="5">
        <f ca="1">[1]!thsiFinD("ths_int_chg_ratio_index",$A52,E$1,E$2)/100</f>
        <v>2.5038125921586999E-2</v>
      </c>
      <c r="F52" s="2" t="s">
        <v>312</v>
      </c>
      <c r="G52" s="2" t="s">
        <v>313</v>
      </c>
      <c r="H52" s="2">
        <v>957.7</v>
      </c>
      <c r="I52" s="2" t="s">
        <v>314</v>
      </c>
      <c r="J52" s="2" t="s">
        <v>315</v>
      </c>
      <c r="K52" s="2">
        <v>896.1</v>
      </c>
      <c r="L52" s="2" t="s">
        <v>316</v>
      </c>
      <c r="M52" s="2" t="s">
        <v>317</v>
      </c>
      <c r="N52" s="2">
        <v>886.7</v>
      </c>
      <c r="O52" s="2" t="s">
        <v>318</v>
      </c>
      <c r="P52" s="2" t="s">
        <v>319</v>
      </c>
      <c r="Q52" s="2">
        <v>785.1</v>
      </c>
      <c r="R52" s="2" t="s">
        <v>320</v>
      </c>
      <c r="S52" s="2" t="s">
        <v>321</v>
      </c>
      <c r="T52" s="2">
        <v>755</v>
      </c>
    </row>
    <row r="53" spans="1:20" x14ac:dyDescent="0.25">
      <c r="A53" s="2" t="s">
        <v>322</v>
      </c>
      <c r="B53" s="2" t="s">
        <v>323</v>
      </c>
      <c r="C53" s="5">
        <f ca="1">[1]!thsiFinD("ths_int_chg_ratio_index",$A53,C$1,C$2)/100</f>
        <v>0.20445768364216999</v>
      </c>
      <c r="D53" s="5">
        <f ca="1">[1]!thsiFinD("ths_int_chg_ratio_index",$A53,D$1,D$2)/100</f>
        <v>5.6326117588175004E-2</v>
      </c>
      <c r="E53" s="5">
        <f ca="1">[1]!thsiFinD("ths_int_chg_ratio_index",$A53,E$1,E$2)/100</f>
        <v>3.4817076437034005E-5</v>
      </c>
      <c r="F53" s="2" t="s">
        <v>70</v>
      </c>
      <c r="G53" s="2" t="s">
        <v>71</v>
      </c>
      <c r="H53" s="2">
        <v>5222.2</v>
      </c>
      <c r="I53" s="2" t="s">
        <v>78</v>
      </c>
      <c r="J53" s="2" t="s">
        <v>79</v>
      </c>
      <c r="K53" s="2">
        <v>4204.8</v>
      </c>
      <c r="L53" s="2" t="s">
        <v>64</v>
      </c>
      <c r="M53" s="2" t="s">
        <v>65</v>
      </c>
      <c r="N53" s="2">
        <v>3192.6</v>
      </c>
      <c r="O53" s="2" t="s">
        <v>324</v>
      </c>
      <c r="P53" s="2" t="s">
        <v>325</v>
      </c>
      <c r="Q53" s="2">
        <v>3072.8</v>
      </c>
      <c r="R53" s="2" t="s">
        <v>52</v>
      </c>
      <c r="S53" s="2" t="s">
        <v>53</v>
      </c>
      <c r="T53" s="2">
        <v>2771.6</v>
      </c>
    </row>
    <row r="54" spans="1:20" x14ac:dyDescent="0.25">
      <c r="A54" s="2" t="s">
        <v>326</v>
      </c>
      <c r="B54" s="2" t="s">
        <v>327</v>
      </c>
      <c r="C54" s="5">
        <f ca="1">[1]!thsiFinD("ths_int_chg_ratio_index",$A54,C$1,C$2)/100</f>
        <v>0.23379954944453998</v>
      </c>
      <c r="D54" s="5">
        <f ca="1">[1]!thsiFinD("ths_int_chg_ratio_index",$A54,D$1,D$2)/100</f>
        <v>0.13242716437773</v>
      </c>
      <c r="E54" s="5">
        <f ca="1">[1]!thsiFinD("ths_int_chg_ratio_index",$A54,E$1,E$2)/100</f>
        <v>6.4402149891267996E-2</v>
      </c>
      <c r="F54" s="2" t="s">
        <v>44</v>
      </c>
      <c r="G54" s="2" t="s">
        <v>45</v>
      </c>
      <c r="H54" s="2">
        <v>3784.7</v>
      </c>
      <c r="I54" s="2" t="s">
        <v>64</v>
      </c>
      <c r="J54" s="2" t="s">
        <v>65</v>
      </c>
      <c r="K54" s="2">
        <v>3192.6</v>
      </c>
      <c r="L54" s="2" t="s">
        <v>52</v>
      </c>
      <c r="M54" s="2" t="s">
        <v>53</v>
      </c>
      <c r="N54" s="2">
        <v>2771.6</v>
      </c>
      <c r="O54" s="2" t="s">
        <v>100</v>
      </c>
      <c r="P54" s="2" t="s">
        <v>101</v>
      </c>
      <c r="Q54" s="2">
        <v>2769.2</v>
      </c>
      <c r="R54" s="2" t="s">
        <v>186</v>
      </c>
      <c r="S54" s="2" t="s">
        <v>187</v>
      </c>
      <c r="T54" s="2">
        <v>1821.2</v>
      </c>
    </row>
    <row r="55" spans="1:20" x14ac:dyDescent="0.25">
      <c r="A55" s="2" t="s">
        <v>328</v>
      </c>
      <c r="B55" s="2" t="s">
        <v>329</v>
      </c>
      <c r="C55" s="5">
        <f ca="1">[1]!thsiFinD("ths_int_chg_ratio_index",$A55,C$1,C$2)/100</f>
        <v>0.23729002870033</v>
      </c>
      <c r="D55" s="5">
        <f ca="1">[1]!thsiFinD("ths_int_chg_ratio_index",$A55,D$1,D$2)/100</f>
        <v>6.8377239892326996E-2</v>
      </c>
      <c r="E55" s="5">
        <f ca="1">[1]!thsiFinD("ths_int_chg_ratio_index",$A55,E$1,E$2)/100</f>
        <v>9.3843310414703007E-2</v>
      </c>
      <c r="F55" s="2" t="s">
        <v>330</v>
      </c>
      <c r="G55" s="2" t="s">
        <v>331</v>
      </c>
      <c r="H55" s="2">
        <v>1858.1</v>
      </c>
      <c r="I55" s="2" t="s">
        <v>332</v>
      </c>
      <c r="J55" s="2" t="s">
        <v>333</v>
      </c>
      <c r="K55" s="2">
        <v>1335</v>
      </c>
      <c r="L55" s="2" t="s">
        <v>334</v>
      </c>
      <c r="M55" s="2" t="s">
        <v>335</v>
      </c>
      <c r="N55" s="2">
        <v>1235.7</v>
      </c>
      <c r="O55" s="2" t="s">
        <v>154</v>
      </c>
      <c r="P55" s="2" t="s">
        <v>155</v>
      </c>
      <c r="Q55" s="2">
        <v>1211</v>
      </c>
      <c r="R55" s="2" t="s">
        <v>294</v>
      </c>
      <c r="S55" s="2" t="s">
        <v>295</v>
      </c>
      <c r="T55" s="2">
        <v>761</v>
      </c>
    </row>
    <row r="56" spans="1:20" x14ac:dyDescent="0.25">
      <c r="A56" s="2" t="s">
        <v>336</v>
      </c>
      <c r="B56" s="2" t="s">
        <v>337</v>
      </c>
      <c r="C56" s="5">
        <f ca="1">[1]!thsiFinD("ths_int_chg_ratio_index",$A56,C$1,C$2)/100</f>
        <v>0.21581293535006998</v>
      </c>
      <c r="D56" s="5">
        <f ca="1">[1]!thsiFinD("ths_int_chg_ratio_index",$A56,D$1,D$2)/100</f>
        <v>9.735036173205501E-2</v>
      </c>
      <c r="E56" s="5">
        <f ca="1">[1]!thsiFinD("ths_int_chg_ratio_index",$A56,E$1,E$2)/100</f>
        <v>3.0884816099035997E-2</v>
      </c>
      <c r="F56" s="2" t="s">
        <v>38</v>
      </c>
      <c r="G56" s="2" t="s">
        <v>39</v>
      </c>
      <c r="H56" s="2">
        <v>5083.3999999999996</v>
      </c>
      <c r="I56" s="2" t="s">
        <v>44</v>
      </c>
      <c r="J56" s="2" t="s">
        <v>45</v>
      </c>
      <c r="K56" s="2">
        <v>3784.7</v>
      </c>
      <c r="L56" s="2" t="s">
        <v>52</v>
      </c>
      <c r="M56" s="2" t="s">
        <v>53</v>
      </c>
      <c r="N56" s="2">
        <v>2771.6</v>
      </c>
      <c r="O56" s="2" t="s">
        <v>100</v>
      </c>
      <c r="P56" s="2" t="s">
        <v>101</v>
      </c>
      <c r="Q56" s="2">
        <v>2769.2</v>
      </c>
      <c r="R56" s="2" t="s">
        <v>102</v>
      </c>
      <c r="S56" s="2" t="s">
        <v>103</v>
      </c>
      <c r="T56" s="2">
        <v>2316.5</v>
      </c>
    </row>
    <row r="57" spans="1:20" x14ac:dyDescent="0.25">
      <c r="A57" s="2" t="s">
        <v>338</v>
      </c>
      <c r="B57" s="2" t="s">
        <v>339</v>
      </c>
      <c r="C57" s="5">
        <f ca="1">[1]!thsiFinD("ths_int_chg_ratio_index",$A57,C$1,C$2)/100</f>
        <v>0.21090633910318998</v>
      </c>
      <c r="D57" s="5">
        <f ca="1">[1]!thsiFinD("ths_int_chg_ratio_index",$A57,D$1,D$2)/100</f>
        <v>7.6376856060021009E-2</v>
      </c>
      <c r="E57" s="5">
        <f ca="1">[1]!thsiFinD("ths_int_chg_ratio_index",$A57,E$1,E$2)/100</f>
        <v>4.3514102307313004E-3</v>
      </c>
      <c r="F57" s="2" t="s">
        <v>38</v>
      </c>
      <c r="G57" s="2" t="s">
        <v>39</v>
      </c>
      <c r="H57" s="2">
        <v>5083.3999999999996</v>
      </c>
      <c r="I57" s="2" t="s">
        <v>84</v>
      </c>
      <c r="J57" s="2" t="s">
        <v>85</v>
      </c>
      <c r="K57" s="2">
        <v>1290.5999999999999</v>
      </c>
      <c r="L57" s="2" t="s">
        <v>154</v>
      </c>
      <c r="M57" s="2" t="s">
        <v>155</v>
      </c>
      <c r="N57" s="2">
        <v>1211</v>
      </c>
      <c r="O57" s="2" t="s">
        <v>340</v>
      </c>
      <c r="P57" s="2" t="s">
        <v>341</v>
      </c>
      <c r="Q57" s="2">
        <v>751.9</v>
      </c>
      <c r="R57" s="2" t="s">
        <v>342</v>
      </c>
      <c r="S57" s="2" t="s">
        <v>343</v>
      </c>
      <c r="T57" s="2">
        <v>511.4</v>
      </c>
    </row>
    <row r="58" spans="1:20" x14ac:dyDescent="0.25">
      <c r="A58" s="2" t="s">
        <v>344</v>
      </c>
      <c r="B58" s="2" t="s">
        <v>345</v>
      </c>
      <c r="C58" s="5">
        <f ca="1">[1]!thsiFinD("ths_int_chg_ratio_index",$A58,C$1,C$2)/100</f>
        <v>0.19287064381853</v>
      </c>
      <c r="D58" s="5">
        <f ca="1">[1]!thsiFinD("ths_int_chg_ratio_index",$A58,D$1,D$2)/100</f>
        <v>2.8117023210753999E-2</v>
      </c>
      <c r="E58" s="5">
        <f ca="1">[1]!thsiFinD("ths_int_chg_ratio_index",$A58,E$1,E$2)/100</f>
        <v>2.9308094766848002E-2</v>
      </c>
      <c r="F58" s="2" t="s">
        <v>288</v>
      </c>
      <c r="G58" s="2" t="s">
        <v>289</v>
      </c>
      <c r="H58" s="2">
        <v>1191.0999999999999</v>
      </c>
      <c r="I58" s="2" t="s">
        <v>164</v>
      </c>
      <c r="J58" s="2" t="s">
        <v>165</v>
      </c>
      <c r="K58" s="2">
        <v>1088.4000000000001</v>
      </c>
      <c r="L58" s="2" t="s">
        <v>346</v>
      </c>
      <c r="M58" s="2" t="s">
        <v>347</v>
      </c>
      <c r="N58" s="2">
        <v>698.9</v>
      </c>
      <c r="O58" s="2" t="s">
        <v>348</v>
      </c>
      <c r="P58" s="2" t="s">
        <v>349</v>
      </c>
      <c r="Q58" s="2">
        <v>632.4</v>
      </c>
      <c r="R58" s="2" t="s">
        <v>350</v>
      </c>
      <c r="S58" s="2" t="s">
        <v>351</v>
      </c>
      <c r="T58" s="2">
        <v>418.3</v>
      </c>
    </row>
    <row r="59" spans="1:20" x14ac:dyDescent="0.25">
      <c r="A59" s="2" t="s">
        <v>352</v>
      </c>
      <c r="B59" s="2" t="s">
        <v>353</v>
      </c>
      <c r="C59" s="5">
        <f ca="1">[1]!thsiFinD("ths_int_chg_ratio_index",$A59,C$1,C$2)/100</f>
        <v>0.20165714593415998</v>
      </c>
      <c r="D59" s="5">
        <f ca="1">[1]!thsiFinD("ths_int_chg_ratio_index",$A59,D$1,D$2)/100</f>
        <v>7.3491187074701994E-2</v>
      </c>
      <c r="E59" s="5">
        <f ca="1">[1]!thsiFinD("ths_int_chg_ratio_index",$A59,E$1,E$2)/100</f>
        <v>2.2684807781109997E-2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x14ac:dyDescent="0.25">
      <c r="A60" s="2" t="s">
        <v>354</v>
      </c>
      <c r="B60" s="2" t="s">
        <v>355</v>
      </c>
      <c r="C60" s="5">
        <f ca="1">[1]!thsiFinD("ths_int_chg_ratio_index",$A60,C$1,C$2)/100</f>
        <v>0.17209016040278999</v>
      </c>
      <c r="D60" s="5">
        <f ca="1">[1]!thsiFinD("ths_int_chg_ratio_index",$A60,D$1,D$2)/100</f>
        <v>9.6225805386926003E-2</v>
      </c>
      <c r="E60" s="5">
        <f ca="1">[1]!thsiFinD("ths_int_chg_ratio_index",$A60,E$1,E$2)/100</f>
        <v>2.4572182040183001E-2</v>
      </c>
      <c r="F60" s="2" t="s">
        <v>102</v>
      </c>
      <c r="G60" s="2" t="s">
        <v>103</v>
      </c>
      <c r="H60" s="2">
        <v>2316.5</v>
      </c>
      <c r="I60" s="2" t="s">
        <v>356</v>
      </c>
      <c r="J60" s="2" t="s">
        <v>357</v>
      </c>
      <c r="K60" s="2">
        <v>275.10000000000002</v>
      </c>
      <c r="L60" s="2" t="s">
        <v>358</v>
      </c>
      <c r="M60" s="2" t="s">
        <v>359</v>
      </c>
      <c r="N60" s="2">
        <v>259.89999999999998</v>
      </c>
      <c r="O60" s="2" t="s">
        <v>360</v>
      </c>
      <c r="P60" s="2" t="s">
        <v>361</v>
      </c>
      <c r="Q60" s="2">
        <v>257.7</v>
      </c>
      <c r="R60" s="2" t="s">
        <v>362</v>
      </c>
      <c r="S60" s="2" t="s">
        <v>363</v>
      </c>
      <c r="T60" s="2">
        <v>217.8</v>
      </c>
    </row>
    <row r="61" spans="1:20" x14ac:dyDescent="0.25">
      <c r="A61" s="2" t="s">
        <v>364</v>
      </c>
      <c r="B61" s="2" t="s">
        <v>365</v>
      </c>
      <c r="C61" s="5">
        <f ca="1">[1]!thsiFinD("ths_int_chg_ratio_index",$A61,C$1,C$2)/100</f>
        <v>0.18884260505398001</v>
      </c>
      <c r="D61" s="5">
        <f ca="1">[1]!thsiFinD("ths_int_chg_ratio_index",$A61,D$1,D$2)/100</f>
        <v>5.1921193049966001E-2</v>
      </c>
      <c r="E61" s="5">
        <f ca="1">[1]!thsiFinD("ths_int_chg_ratio_index",$A61,E$1,E$2)/100</f>
        <v>3.4875371277954002E-2</v>
      </c>
      <c r="F61" s="2" t="s">
        <v>366</v>
      </c>
      <c r="G61" s="2" t="s">
        <v>367</v>
      </c>
      <c r="H61" s="2">
        <v>751</v>
      </c>
      <c r="I61" s="2" t="s">
        <v>150</v>
      </c>
      <c r="J61" s="2" t="s">
        <v>151</v>
      </c>
      <c r="K61" s="2">
        <v>590.6</v>
      </c>
      <c r="L61" s="2" t="s">
        <v>368</v>
      </c>
      <c r="M61" s="2" t="s">
        <v>369</v>
      </c>
      <c r="N61" s="2">
        <v>408.3</v>
      </c>
      <c r="O61" s="2" t="s">
        <v>370</v>
      </c>
      <c r="P61" s="2" t="s">
        <v>371</v>
      </c>
      <c r="Q61" s="2">
        <v>405.4</v>
      </c>
      <c r="R61" s="2" t="s">
        <v>372</v>
      </c>
      <c r="S61" s="2" t="s">
        <v>373</v>
      </c>
      <c r="T61" s="2">
        <v>376.6</v>
      </c>
    </row>
    <row r="62" spans="1:20" x14ac:dyDescent="0.25">
      <c r="A62" s="2" t="s">
        <v>374</v>
      </c>
      <c r="B62" s="2" t="s">
        <v>375</v>
      </c>
      <c r="C62" s="5">
        <f ca="1">[1]!thsiFinD("ths_int_chg_ratio_index",$A62,C$1,C$2)/100</f>
        <v>0.19255800000000001</v>
      </c>
      <c r="D62" s="5">
        <f ca="1">[1]!thsiFinD("ths_int_chg_ratio_index",$A62,D$1,D$2)/100</f>
        <v>4.0850864016938999E-2</v>
      </c>
      <c r="E62" s="5">
        <f ca="1">[1]!thsiFinD("ths_int_chg_ratio_index",$A62,E$1,E$2)/100</f>
        <v>-1.5819569919626998E-2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x14ac:dyDescent="0.25">
      <c r="A63" s="2" t="s">
        <v>376</v>
      </c>
      <c r="B63" s="2" t="s">
        <v>377</v>
      </c>
      <c r="C63" s="5">
        <f ca="1">[1]!thsiFinD("ths_int_chg_ratio_index",$A63,C$1,C$2)/100</f>
        <v>0.16543905247023999</v>
      </c>
      <c r="D63" s="5">
        <f ca="1">[1]!thsiFinD("ths_int_chg_ratio_index",$A63,D$1,D$2)/100</f>
        <v>3.6896343155775001E-3</v>
      </c>
      <c r="E63" s="5">
        <f ca="1">[1]!thsiFinD("ths_int_chg_ratio_index",$A63,E$1,E$2)/100</f>
        <v>-5.9528557193585997E-2</v>
      </c>
      <c r="F63" s="2" t="s">
        <v>246</v>
      </c>
      <c r="G63" s="2" t="s">
        <v>247</v>
      </c>
      <c r="H63" s="2">
        <v>1846.7</v>
      </c>
      <c r="I63" s="2" t="s">
        <v>254</v>
      </c>
      <c r="J63" s="2" t="s">
        <v>255</v>
      </c>
      <c r="K63" s="2">
        <v>1178.3</v>
      </c>
      <c r="L63" s="2" t="s">
        <v>378</v>
      </c>
      <c r="M63" s="2" t="s">
        <v>379</v>
      </c>
      <c r="N63" s="2">
        <v>1163.5</v>
      </c>
      <c r="O63" s="2" t="s">
        <v>162</v>
      </c>
      <c r="P63" s="2" t="s">
        <v>163</v>
      </c>
      <c r="Q63" s="2">
        <v>1161.5</v>
      </c>
      <c r="R63" s="2" t="s">
        <v>380</v>
      </c>
      <c r="S63" s="2" t="s">
        <v>381</v>
      </c>
      <c r="T63" s="2">
        <v>974.3</v>
      </c>
    </row>
    <row r="64" spans="1:20" x14ac:dyDescent="0.25">
      <c r="A64" s="2" t="s">
        <v>382</v>
      </c>
      <c r="B64" s="2" t="s">
        <v>383</v>
      </c>
      <c r="C64" s="5">
        <f ca="1">[1]!thsiFinD("ths_int_chg_ratio_index",$A64,C$1,C$2)/100</f>
        <v>0.19880734631829</v>
      </c>
      <c r="D64" s="5">
        <f ca="1">[1]!thsiFinD("ths_int_chg_ratio_index",$A64,D$1,D$2)/100</f>
        <v>8.9014283957674009E-2</v>
      </c>
      <c r="E64" s="5">
        <f ca="1">[1]!thsiFinD("ths_int_chg_ratio_index",$A64,E$1,E$2)/100</f>
        <v>2.8543680151511E-2</v>
      </c>
      <c r="F64" s="2" t="s">
        <v>384</v>
      </c>
      <c r="G64" s="2" t="s">
        <v>385</v>
      </c>
      <c r="H64" s="2">
        <v>1216.2</v>
      </c>
      <c r="I64" s="2" t="s">
        <v>154</v>
      </c>
      <c r="J64" s="2" t="s">
        <v>155</v>
      </c>
      <c r="K64" s="2">
        <v>1211</v>
      </c>
      <c r="L64" s="2" t="s">
        <v>386</v>
      </c>
      <c r="M64" s="2" t="s">
        <v>387</v>
      </c>
      <c r="N64" s="2">
        <v>1009.2</v>
      </c>
      <c r="O64" s="2" t="s">
        <v>316</v>
      </c>
      <c r="P64" s="2" t="s">
        <v>317</v>
      </c>
      <c r="Q64" s="2">
        <v>886.7</v>
      </c>
      <c r="R64" s="2" t="s">
        <v>388</v>
      </c>
      <c r="S64" s="2" t="s">
        <v>389</v>
      </c>
      <c r="T64" s="2">
        <v>708.6</v>
      </c>
    </row>
    <row r="65" spans="1:20" x14ac:dyDescent="0.25">
      <c r="A65" s="2" t="s">
        <v>390</v>
      </c>
      <c r="B65" s="2" t="s">
        <v>391</v>
      </c>
      <c r="C65" s="5">
        <f ca="1">[1]!thsiFinD("ths_int_chg_ratio_index",$A65,C$1,C$2)/100</f>
        <v>0.19650749354336</v>
      </c>
      <c r="D65" s="5">
        <f ca="1">[1]!thsiFinD("ths_int_chg_ratio_index",$A65,D$1,D$2)/100</f>
        <v>7.0470624951682992E-2</v>
      </c>
      <c r="E65" s="5">
        <f ca="1">[1]!thsiFinD("ths_int_chg_ratio_index",$A65,E$1,E$2)/100</f>
        <v>1.2702406942916999E-2</v>
      </c>
      <c r="F65" s="2" t="s">
        <v>106</v>
      </c>
      <c r="G65" s="2" t="s">
        <v>107</v>
      </c>
      <c r="H65" s="2">
        <v>2027.7</v>
      </c>
      <c r="I65" s="2" t="s">
        <v>110</v>
      </c>
      <c r="J65" s="2" t="s">
        <v>111</v>
      </c>
      <c r="K65" s="2">
        <v>1784.4</v>
      </c>
      <c r="L65" s="2" t="s">
        <v>392</v>
      </c>
      <c r="M65" s="2" t="s">
        <v>393</v>
      </c>
      <c r="N65" s="2">
        <v>1715.7</v>
      </c>
      <c r="O65" s="2" t="s">
        <v>394</v>
      </c>
      <c r="P65" s="2" t="s">
        <v>395</v>
      </c>
      <c r="Q65" s="2">
        <v>1433.1</v>
      </c>
      <c r="R65" s="2" t="s">
        <v>396</v>
      </c>
      <c r="S65" s="2" t="s">
        <v>397</v>
      </c>
      <c r="T65" s="2">
        <v>1430.8</v>
      </c>
    </row>
    <row r="66" spans="1:20" x14ac:dyDescent="0.25">
      <c r="A66" s="2" t="s">
        <v>398</v>
      </c>
      <c r="B66" s="2" t="s">
        <v>399</v>
      </c>
      <c r="C66" s="5">
        <f ca="1">[1]!thsiFinD("ths_int_chg_ratio_index",$A66,C$1,C$2)/100</f>
        <v>0.18869590882259002</v>
      </c>
      <c r="D66" s="5">
        <f ca="1">[1]!thsiFinD("ths_int_chg_ratio_index",$A66,D$1,D$2)/100</f>
        <v>6.8676846154850993E-2</v>
      </c>
      <c r="E66" s="5">
        <f ca="1">[1]!thsiFinD("ths_int_chg_ratio_index",$A66,E$1,E$2)/100</f>
        <v>3.1433147432019998E-2</v>
      </c>
      <c r="F66" s="2" t="s">
        <v>20</v>
      </c>
      <c r="G66" s="2" t="s">
        <v>21</v>
      </c>
      <c r="H66" s="2">
        <v>1930</v>
      </c>
      <c r="I66" s="2" t="s">
        <v>230</v>
      </c>
      <c r="J66" s="2" t="s">
        <v>231</v>
      </c>
      <c r="K66" s="2">
        <v>1722.2</v>
      </c>
      <c r="L66" s="2" t="s">
        <v>396</v>
      </c>
      <c r="M66" s="2" t="s">
        <v>397</v>
      </c>
      <c r="N66" s="2">
        <v>1430.8</v>
      </c>
      <c r="O66" s="2" t="s">
        <v>332</v>
      </c>
      <c r="P66" s="2" t="s">
        <v>333</v>
      </c>
      <c r="Q66" s="2">
        <v>1335</v>
      </c>
      <c r="R66" s="2" t="s">
        <v>298</v>
      </c>
      <c r="S66" s="2" t="s">
        <v>299</v>
      </c>
      <c r="T66" s="2">
        <v>922.2</v>
      </c>
    </row>
    <row r="67" spans="1:20" x14ac:dyDescent="0.25">
      <c r="A67" s="2" t="s">
        <v>400</v>
      </c>
      <c r="B67" s="2" t="s">
        <v>401</v>
      </c>
      <c r="C67" s="5">
        <f ca="1">[1]!thsiFinD("ths_int_chg_ratio_index",$A67,C$1,C$2)/100</f>
        <v>0.19864091670773998</v>
      </c>
      <c r="D67" s="5">
        <f ca="1">[1]!thsiFinD("ths_int_chg_ratio_index",$A67,D$1,D$2)/100</f>
        <v>9.6869322114657E-2</v>
      </c>
      <c r="E67" s="5">
        <f ca="1">[1]!thsiFinD("ths_int_chg_ratio_index",$A67,E$1,E$2)/100</f>
        <v>2.7143816091656E-2</v>
      </c>
      <c r="F67" s="2" t="s">
        <v>38</v>
      </c>
      <c r="G67" s="2" t="s">
        <v>39</v>
      </c>
      <c r="H67" s="2">
        <v>5083.3999999999996</v>
      </c>
      <c r="I67" s="2" t="s">
        <v>78</v>
      </c>
      <c r="J67" s="2" t="s">
        <v>79</v>
      </c>
      <c r="K67" s="2">
        <v>4204.8</v>
      </c>
      <c r="L67" s="2" t="s">
        <v>52</v>
      </c>
      <c r="M67" s="2" t="s">
        <v>53</v>
      </c>
      <c r="N67" s="2">
        <v>2771.6</v>
      </c>
      <c r="O67" s="2" t="s">
        <v>100</v>
      </c>
      <c r="P67" s="2" t="s">
        <v>101</v>
      </c>
      <c r="Q67" s="2">
        <v>2769.2</v>
      </c>
      <c r="R67" s="2" t="s">
        <v>260</v>
      </c>
      <c r="S67" s="2" t="s">
        <v>261</v>
      </c>
      <c r="T67" s="2">
        <v>1408.2</v>
      </c>
    </row>
    <row r="68" spans="1:20" x14ac:dyDescent="0.25">
      <c r="A68" s="2" t="s">
        <v>402</v>
      </c>
      <c r="B68" s="2" t="s">
        <v>403</v>
      </c>
      <c r="C68" s="5">
        <f ca="1">[1]!thsiFinD("ths_int_chg_ratio_index",$A68,C$1,C$2)/100</f>
        <v>0.18488464168349</v>
      </c>
      <c r="D68" s="5">
        <f ca="1">[1]!thsiFinD("ths_int_chg_ratio_index",$A68,D$1,D$2)/100</f>
        <v>3.1378618420349003E-2</v>
      </c>
      <c r="E68" s="5">
        <f ca="1">[1]!thsiFinD("ths_int_chg_ratio_index",$A68,E$1,E$2)/100</f>
        <v>3.3887566012824999E-2</v>
      </c>
      <c r="F68" s="2" t="s">
        <v>404</v>
      </c>
      <c r="G68" s="2" t="s">
        <v>405</v>
      </c>
      <c r="H68" s="2">
        <v>6116.7</v>
      </c>
      <c r="I68" s="2" t="s">
        <v>406</v>
      </c>
      <c r="J68" s="2" t="s">
        <v>407</v>
      </c>
      <c r="K68" s="2">
        <v>3499.2</v>
      </c>
      <c r="L68" s="2" t="s">
        <v>330</v>
      </c>
      <c r="M68" s="2" t="s">
        <v>331</v>
      </c>
      <c r="N68" s="2">
        <v>1858.1</v>
      </c>
      <c r="O68" s="2" t="s">
        <v>408</v>
      </c>
      <c r="P68" s="2" t="s">
        <v>409</v>
      </c>
      <c r="Q68" s="2">
        <v>1574.2</v>
      </c>
      <c r="R68" s="2" t="s">
        <v>396</v>
      </c>
      <c r="S68" s="2" t="s">
        <v>397</v>
      </c>
      <c r="T68" s="2">
        <v>1430.8</v>
      </c>
    </row>
    <row r="69" spans="1:20" x14ac:dyDescent="0.25">
      <c r="A69" s="2" t="s">
        <v>410</v>
      </c>
      <c r="B69" s="2" t="s">
        <v>411</v>
      </c>
      <c r="C69" s="5">
        <f ca="1">[1]!thsiFinD("ths_int_chg_ratio_index",$A69,C$1,C$2)/100</f>
        <v>0.19667562432846999</v>
      </c>
      <c r="D69" s="5">
        <f ca="1">[1]!thsiFinD("ths_int_chg_ratio_index",$A69,D$1,D$2)/100</f>
        <v>8.2060559137756006E-2</v>
      </c>
      <c r="E69" s="5">
        <f ca="1">[1]!thsiFinD("ths_int_chg_ratio_index",$A69,E$1,E$2)/100</f>
        <v>2.9845335615102001E-2</v>
      </c>
      <c r="F69" s="2" t="s">
        <v>52</v>
      </c>
      <c r="G69" s="2" t="s">
        <v>53</v>
      </c>
      <c r="H69" s="2">
        <v>2771.6</v>
      </c>
      <c r="I69" s="2" t="s">
        <v>110</v>
      </c>
      <c r="J69" s="2" t="s">
        <v>111</v>
      </c>
      <c r="K69" s="2">
        <v>1784.4</v>
      </c>
      <c r="L69" s="2" t="s">
        <v>84</v>
      </c>
      <c r="M69" s="2" t="s">
        <v>85</v>
      </c>
      <c r="N69" s="2">
        <v>1290.5999999999999</v>
      </c>
      <c r="O69" s="2" t="s">
        <v>154</v>
      </c>
      <c r="P69" s="2" t="s">
        <v>155</v>
      </c>
      <c r="Q69" s="2">
        <v>1211</v>
      </c>
      <c r="R69" s="2" t="s">
        <v>412</v>
      </c>
      <c r="S69" s="2" t="s">
        <v>413</v>
      </c>
      <c r="T69" s="2">
        <v>965.7</v>
      </c>
    </row>
    <row r="70" spans="1:20" x14ac:dyDescent="0.25">
      <c r="A70" s="2" t="s">
        <v>414</v>
      </c>
      <c r="B70" s="2" t="s">
        <v>415</v>
      </c>
      <c r="C70" s="5">
        <f ca="1">[1]!thsiFinD("ths_int_chg_ratio_index",$A70,C$1,C$2)/100</f>
        <v>0.17559283364375999</v>
      </c>
      <c r="D70" s="5">
        <f ca="1">[1]!thsiFinD("ths_int_chg_ratio_index",$A70,D$1,D$2)/100</f>
        <v>5.5500475180325998E-2</v>
      </c>
      <c r="E70" s="5">
        <f ca="1">[1]!thsiFinD("ths_int_chg_ratio_index",$A70,E$1,E$2)/100</f>
        <v>7.9201307800092994E-3</v>
      </c>
      <c r="F70" s="2" t="s">
        <v>270</v>
      </c>
      <c r="G70" s="2" t="s">
        <v>271</v>
      </c>
      <c r="H70" s="2">
        <v>16668.3</v>
      </c>
      <c r="I70" s="2" t="s">
        <v>404</v>
      </c>
      <c r="J70" s="2" t="s">
        <v>405</v>
      </c>
      <c r="K70" s="2">
        <v>6116.7</v>
      </c>
      <c r="L70" s="2" t="s">
        <v>70</v>
      </c>
      <c r="M70" s="2" t="s">
        <v>71</v>
      </c>
      <c r="N70" s="2">
        <v>5222.2</v>
      </c>
      <c r="O70" s="2" t="s">
        <v>78</v>
      </c>
      <c r="P70" s="2" t="s">
        <v>79</v>
      </c>
      <c r="Q70" s="2">
        <v>4204.8</v>
      </c>
      <c r="R70" s="2" t="s">
        <v>324</v>
      </c>
      <c r="S70" s="2" t="s">
        <v>325</v>
      </c>
      <c r="T70" s="2">
        <v>3072.8</v>
      </c>
    </row>
    <row r="71" spans="1:20" x14ac:dyDescent="0.25">
      <c r="A71" s="2" t="s">
        <v>416</v>
      </c>
      <c r="B71" s="2" t="s">
        <v>417</v>
      </c>
      <c r="C71" s="5">
        <f ca="1">[1]!thsiFinD("ths_int_chg_ratio_index",$A71,C$1,C$2)/100</f>
        <v>0.17425340583675999</v>
      </c>
      <c r="D71" s="5">
        <f ca="1">[1]!thsiFinD("ths_int_chg_ratio_index",$A71,D$1,D$2)/100</f>
        <v>6.9245515215481002E-2</v>
      </c>
      <c r="E71" s="5">
        <f ca="1">[1]!thsiFinD("ths_int_chg_ratio_index",$A71,E$1,E$2)/100</f>
        <v>-2.3573653395921001E-2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x14ac:dyDescent="0.25">
      <c r="A72" s="2" t="s">
        <v>418</v>
      </c>
      <c r="B72" s="2" t="s">
        <v>419</v>
      </c>
      <c r="C72" s="5">
        <f ca="1">[1]!thsiFinD("ths_int_chg_ratio_index",$A72,C$1,C$2)/100</f>
        <v>0.15694814295505</v>
      </c>
      <c r="D72" s="5">
        <f ca="1">[1]!thsiFinD("ths_int_chg_ratio_index",$A72,D$1,D$2)/100</f>
        <v>2.1486935898602001E-2</v>
      </c>
      <c r="E72" s="5">
        <f ca="1">[1]!thsiFinD("ths_int_chg_ratio_index",$A72,E$1,E$2)/100</f>
        <v>2.2786013619405E-2</v>
      </c>
      <c r="F72" s="2" t="s">
        <v>420</v>
      </c>
      <c r="G72" s="2" t="s">
        <v>421</v>
      </c>
      <c r="H72" s="2">
        <v>2719.8</v>
      </c>
      <c r="I72" s="2" t="s">
        <v>366</v>
      </c>
      <c r="J72" s="2" t="s">
        <v>367</v>
      </c>
      <c r="K72" s="2">
        <v>751</v>
      </c>
      <c r="L72" s="2" t="s">
        <v>422</v>
      </c>
      <c r="M72" s="2" t="s">
        <v>423</v>
      </c>
      <c r="N72" s="2">
        <v>219.1</v>
      </c>
      <c r="O72" s="2" t="s">
        <v>424</v>
      </c>
      <c r="P72" s="2" t="s">
        <v>425</v>
      </c>
      <c r="Q72" s="2">
        <v>133</v>
      </c>
      <c r="R72" s="2" t="s">
        <v>426</v>
      </c>
      <c r="S72" s="2" t="s">
        <v>427</v>
      </c>
      <c r="T72" s="2">
        <v>102.2</v>
      </c>
    </row>
    <row r="73" spans="1:20" x14ac:dyDescent="0.25">
      <c r="A73" s="2" t="s">
        <v>428</v>
      </c>
      <c r="B73" s="2" t="s">
        <v>429</v>
      </c>
      <c r="C73" s="5">
        <f ca="1">[1]!thsiFinD("ths_int_chg_ratio_index",$A73,C$1,C$2)/100</f>
        <v>0.14898343091142999</v>
      </c>
      <c r="D73" s="5">
        <f ca="1">[1]!thsiFinD("ths_int_chg_ratio_index",$A73,D$1,D$2)/100</f>
        <v>1.1124452281624999E-4</v>
      </c>
      <c r="E73" s="5">
        <f ca="1">[1]!thsiFinD("ths_int_chg_ratio_index",$A73,E$1,E$2)/100</f>
        <v>-2.6270114566988002E-2</v>
      </c>
      <c r="F73" s="2" t="s">
        <v>404</v>
      </c>
      <c r="G73" s="2" t="s">
        <v>405</v>
      </c>
      <c r="H73" s="2">
        <v>6116.7</v>
      </c>
      <c r="I73" s="2" t="s">
        <v>430</v>
      </c>
      <c r="J73" s="2" t="s">
        <v>431</v>
      </c>
      <c r="K73" s="2">
        <v>923.6</v>
      </c>
      <c r="L73" s="2" t="s">
        <v>432</v>
      </c>
      <c r="M73" s="2" t="s">
        <v>433</v>
      </c>
      <c r="N73" s="2">
        <v>756.6</v>
      </c>
      <c r="O73" s="2" t="s">
        <v>434</v>
      </c>
      <c r="P73" s="2" t="s">
        <v>435</v>
      </c>
      <c r="Q73" s="2">
        <v>702.4</v>
      </c>
      <c r="R73" s="2" t="s">
        <v>436</v>
      </c>
      <c r="S73" s="2" t="s">
        <v>437</v>
      </c>
      <c r="T73" s="2">
        <v>686.8</v>
      </c>
    </row>
    <row r="74" spans="1:20" x14ac:dyDescent="0.25">
      <c r="A74" s="2" t="s">
        <v>438</v>
      </c>
      <c r="B74" s="2" t="s">
        <v>439</v>
      </c>
      <c r="C74" s="5">
        <f ca="1">[1]!thsiFinD("ths_int_chg_ratio_index",$A74,C$1,C$2)/100</f>
        <v>0.12808573617133001</v>
      </c>
      <c r="D74" s="5">
        <f ca="1">[1]!thsiFinD("ths_int_chg_ratio_index",$A74,D$1,D$2)/100</f>
        <v>-5.9447708068504999E-3</v>
      </c>
      <c r="E74" s="5">
        <f ca="1">[1]!thsiFinD("ths_int_chg_ratio_index",$A74,E$1,E$2)/100</f>
        <v>-3.0273975786301997E-2</v>
      </c>
      <c r="F74" s="2" t="s">
        <v>440</v>
      </c>
      <c r="G74" s="2" t="s">
        <v>441</v>
      </c>
      <c r="H74" s="2">
        <v>2161.6</v>
      </c>
      <c r="I74" s="2" t="s">
        <v>442</v>
      </c>
      <c r="J74" s="2" t="s">
        <v>443</v>
      </c>
      <c r="K74" s="2">
        <v>765.9</v>
      </c>
      <c r="L74" s="2" t="s">
        <v>444</v>
      </c>
      <c r="M74" s="2" t="s">
        <v>445</v>
      </c>
      <c r="N74" s="2">
        <v>728.8</v>
      </c>
      <c r="O74" s="2" t="s">
        <v>446</v>
      </c>
      <c r="P74" s="2" t="s">
        <v>447</v>
      </c>
      <c r="Q74" s="2">
        <v>491.9</v>
      </c>
      <c r="R74" s="2" t="s">
        <v>448</v>
      </c>
      <c r="S74" s="2" t="s">
        <v>449</v>
      </c>
      <c r="T74" s="2">
        <v>376.2</v>
      </c>
    </row>
    <row r="75" spans="1:20" x14ac:dyDescent="0.25">
      <c r="A75" s="2" t="s">
        <v>450</v>
      </c>
      <c r="B75" s="2" t="s">
        <v>451</v>
      </c>
      <c r="C75" s="5">
        <f ca="1">[1]!thsiFinD("ths_int_chg_ratio_index",$A75,C$1,C$2)/100</f>
        <v>0.16174518489546</v>
      </c>
      <c r="D75" s="5">
        <f ca="1">[1]!thsiFinD("ths_int_chg_ratio_index",$A75,D$1,D$2)/100</f>
        <v>6.9932494905444995E-2</v>
      </c>
      <c r="E75" s="5">
        <f ca="1">[1]!thsiFinD("ths_int_chg_ratio_index",$A75,E$1,E$2)/100</f>
        <v>3.0078135716879003E-2</v>
      </c>
      <c r="F75" s="2" t="s">
        <v>214</v>
      </c>
      <c r="G75" s="2" t="s">
        <v>215</v>
      </c>
      <c r="H75" s="2">
        <v>2267.9</v>
      </c>
      <c r="I75" s="2" t="s">
        <v>132</v>
      </c>
      <c r="J75" s="2" t="s">
        <v>133</v>
      </c>
      <c r="K75" s="2">
        <v>2077.6999999999998</v>
      </c>
      <c r="L75" s="2" t="s">
        <v>208</v>
      </c>
      <c r="M75" s="2" t="s">
        <v>209</v>
      </c>
      <c r="N75" s="2">
        <v>2056.4</v>
      </c>
      <c r="O75" s="2" t="s">
        <v>108</v>
      </c>
      <c r="P75" s="2" t="s">
        <v>109</v>
      </c>
      <c r="Q75" s="2">
        <v>1916.1</v>
      </c>
      <c r="R75" s="2" t="s">
        <v>394</v>
      </c>
      <c r="S75" s="2" t="s">
        <v>395</v>
      </c>
      <c r="T75" s="2">
        <v>1433.1</v>
      </c>
    </row>
    <row r="76" spans="1:20" x14ac:dyDescent="0.25">
      <c r="A76" s="2" t="s">
        <v>452</v>
      </c>
      <c r="B76" s="2" t="s">
        <v>453</v>
      </c>
      <c r="C76" s="5">
        <f ca="1">[1]!thsiFinD("ths_int_chg_ratio_index",$A76,C$1,C$2)/100</f>
        <v>0.15964214210378</v>
      </c>
      <c r="D76" s="5">
        <f ca="1">[1]!thsiFinD("ths_int_chg_ratio_index",$A76,D$1,D$2)/100</f>
        <v>8.7303857592905001E-2</v>
      </c>
      <c r="E76" s="5">
        <f ca="1">[1]!thsiFinD("ths_int_chg_ratio_index",$A76,E$1,E$2)/100</f>
        <v>4.4959760604335E-2</v>
      </c>
      <c r="F76" s="2" t="s">
        <v>38</v>
      </c>
      <c r="G76" s="2" t="s">
        <v>39</v>
      </c>
      <c r="H76" s="2">
        <v>5083.3999999999996</v>
      </c>
      <c r="I76" s="2" t="s">
        <v>40</v>
      </c>
      <c r="J76" s="2" t="s">
        <v>41</v>
      </c>
      <c r="K76" s="2">
        <v>4402.8</v>
      </c>
      <c r="L76" s="2" t="s">
        <v>66</v>
      </c>
      <c r="M76" s="2" t="s">
        <v>67</v>
      </c>
      <c r="N76" s="2">
        <v>2843.8</v>
      </c>
      <c r="O76" s="2" t="s">
        <v>454</v>
      </c>
      <c r="P76" s="2" t="s">
        <v>455</v>
      </c>
      <c r="Q76" s="2">
        <v>1485.8</v>
      </c>
      <c r="R76" s="2" t="s">
        <v>456</v>
      </c>
      <c r="S76" s="2" t="s">
        <v>457</v>
      </c>
      <c r="T76" s="2">
        <v>1152.0999999999999</v>
      </c>
    </row>
    <row r="77" spans="1:20" x14ac:dyDescent="0.25">
      <c r="A77" s="2" t="s">
        <v>458</v>
      </c>
      <c r="B77" s="2" t="s">
        <v>459</v>
      </c>
      <c r="C77" s="5">
        <f ca="1">[1]!thsiFinD("ths_int_chg_ratio_index",$A77,C$1,C$2)/100</f>
        <v>0.13754399276538001</v>
      </c>
      <c r="D77" s="5">
        <f ca="1">[1]!thsiFinD("ths_int_chg_ratio_index",$A77,D$1,D$2)/100</f>
        <v>4.5948054625048002E-2</v>
      </c>
      <c r="E77" s="5">
        <f ca="1">[1]!thsiFinD("ths_int_chg_ratio_index",$A77,E$1,E$2)/100</f>
        <v>3.9076253942604E-2</v>
      </c>
      <c r="F77" s="2" t="s">
        <v>292</v>
      </c>
      <c r="G77" s="2" t="s">
        <v>293</v>
      </c>
      <c r="H77" s="2">
        <v>778.8</v>
      </c>
      <c r="I77" s="2" t="s">
        <v>460</v>
      </c>
      <c r="J77" s="2" t="s">
        <v>461</v>
      </c>
      <c r="K77" s="2">
        <v>572.20000000000005</v>
      </c>
      <c r="L77" s="2" t="s">
        <v>462</v>
      </c>
      <c r="M77" s="2" t="s">
        <v>463</v>
      </c>
      <c r="N77" s="2">
        <v>464.5</v>
      </c>
      <c r="O77" s="2" t="s">
        <v>464</v>
      </c>
      <c r="P77" s="2" t="s">
        <v>465</v>
      </c>
      <c r="Q77" s="2">
        <v>411.9</v>
      </c>
      <c r="R77" s="2" t="s">
        <v>466</v>
      </c>
      <c r="S77" s="2" t="s">
        <v>467</v>
      </c>
      <c r="T77" s="2">
        <v>239.7</v>
      </c>
    </row>
    <row r="78" spans="1:20" x14ac:dyDescent="0.25">
      <c r="A78" s="2" t="s">
        <v>468</v>
      </c>
      <c r="B78" s="2" t="s">
        <v>469</v>
      </c>
      <c r="C78" s="5">
        <f ca="1">[1]!thsiFinD("ths_int_chg_ratio_index",$A78,C$1,C$2)/100</f>
        <v>0.11616508925839</v>
      </c>
      <c r="D78" s="5">
        <f ca="1">[1]!thsiFinD("ths_int_chg_ratio_index",$A78,D$1,D$2)/100</f>
        <v>-1.6988175492357E-2</v>
      </c>
      <c r="E78" s="5">
        <f ca="1">[1]!thsiFinD("ths_int_chg_ratio_index",$A78,E$1,E$2)/100</f>
        <v>-4.4499746490280004E-2</v>
      </c>
      <c r="F78" s="2" t="s">
        <v>254</v>
      </c>
      <c r="G78" s="2" t="s">
        <v>255</v>
      </c>
      <c r="H78" s="2">
        <v>1178.3</v>
      </c>
      <c r="I78" s="2" t="s">
        <v>298</v>
      </c>
      <c r="J78" s="2" t="s">
        <v>299</v>
      </c>
      <c r="K78" s="2">
        <v>922.2</v>
      </c>
      <c r="L78" s="2" t="s">
        <v>256</v>
      </c>
      <c r="M78" s="2" t="s">
        <v>257</v>
      </c>
      <c r="N78" s="2">
        <v>895</v>
      </c>
      <c r="O78" s="2" t="s">
        <v>470</v>
      </c>
      <c r="P78" s="2" t="s">
        <v>471</v>
      </c>
      <c r="Q78" s="2">
        <v>845.4</v>
      </c>
      <c r="R78" s="2" t="s">
        <v>472</v>
      </c>
      <c r="S78" s="2" t="s">
        <v>473</v>
      </c>
      <c r="T78" s="2">
        <v>840.2</v>
      </c>
    </row>
    <row r="79" spans="1:20" x14ac:dyDescent="0.25">
      <c r="A79" s="2" t="s">
        <v>474</v>
      </c>
      <c r="B79" s="2" t="s">
        <v>475</v>
      </c>
      <c r="C79" s="5">
        <f ca="1">[1]!thsiFinD("ths_int_chg_ratio_index",$A79,C$1,C$2)/100</f>
        <v>0.14663414474972</v>
      </c>
      <c r="D79" s="5">
        <f ca="1">[1]!thsiFinD("ths_int_chg_ratio_index",$A79,D$1,D$2)/100</f>
        <v>4.6626697262165999E-2</v>
      </c>
      <c r="E79" s="5">
        <f ca="1">[1]!thsiFinD("ths_int_chg_ratio_index",$A79,E$1,E$2)/100</f>
        <v>-1.246199486766E-2</v>
      </c>
      <c r="F79" s="2" t="s">
        <v>476</v>
      </c>
      <c r="G79" s="2" t="s">
        <v>477</v>
      </c>
      <c r="H79" s="2">
        <v>1604.9</v>
      </c>
      <c r="I79" s="2" t="s">
        <v>298</v>
      </c>
      <c r="J79" s="2" t="s">
        <v>299</v>
      </c>
      <c r="K79" s="2">
        <v>922.2</v>
      </c>
      <c r="L79" s="2" t="s">
        <v>366</v>
      </c>
      <c r="M79" s="2" t="s">
        <v>367</v>
      </c>
      <c r="N79" s="2">
        <v>751</v>
      </c>
      <c r="O79" s="2" t="s">
        <v>478</v>
      </c>
      <c r="P79" s="2" t="s">
        <v>479</v>
      </c>
      <c r="Q79" s="2">
        <v>463</v>
      </c>
      <c r="R79" s="2" t="s">
        <v>480</v>
      </c>
      <c r="S79" s="2" t="s">
        <v>481</v>
      </c>
      <c r="T79" s="2">
        <v>312.7</v>
      </c>
    </row>
    <row r="80" spans="1:20" x14ac:dyDescent="0.25">
      <c r="A80" s="2" t="s">
        <v>482</v>
      </c>
      <c r="B80" s="2" t="s">
        <v>483</v>
      </c>
      <c r="C80" s="5">
        <f ca="1">[1]!thsiFinD("ths_int_chg_ratio_index",$A80,C$1,C$2)/100</f>
        <v>0.14020205263763</v>
      </c>
      <c r="D80" s="5">
        <f ca="1">[1]!thsiFinD("ths_int_chg_ratio_index",$A80,D$1,D$2)/100</f>
        <v>3.4970409133729001E-2</v>
      </c>
      <c r="E80" s="5">
        <f ca="1">[1]!thsiFinD("ths_int_chg_ratio_index",$A80,E$1,E$2)/100</f>
        <v>2.7372896902158002E-2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x14ac:dyDescent="0.25">
      <c r="A81" s="2" t="s">
        <v>484</v>
      </c>
      <c r="B81" s="2" t="s">
        <v>485</v>
      </c>
      <c r="C81" s="5">
        <f ca="1">[1]!thsiFinD("ths_int_chg_ratio_index",$A81,C$1,C$2)/100</f>
        <v>0.12031817631297001</v>
      </c>
      <c r="D81" s="5">
        <f ca="1">[1]!thsiFinD("ths_int_chg_ratio_index",$A81,D$1,D$2)/100</f>
        <v>2.0399639754545999E-2</v>
      </c>
      <c r="E81" s="5">
        <f ca="1">[1]!thsiFinD("ths_int_chg_ratio_index",$A81,E$1,E$2)/100</f>
        <v>-4.5128915179394997E-2</v>
      </c>
      <c r="F81" s="2" t="s">
        <v>486</v>
      </c>
      <c r="G81" s="2" t="s">
        <v>487</v>
      </c>
      <c r="H81" s="2">
        <v>198.2</v>
      </c>
      <c r="I81" s="2" t="s">
        <v>488</v>
      </c>
      <c r="J81" s="2" t="s">
        <v>489</v>
      </c>
      <c r="K81" s="2">
        <v>171</v>
      </c>
      <c r="L81" s="2" t="s">
        <v>490</v>
      </c>
      <c r="M81" s="2" t="s">
        <v>491</v>
      </c>
      <c r="N81" s="2">
        <v>133</v>
      </c>
      <c r="O81" s="2" t="s">
        <v>492</v>
      </c>
      <c r="P81" s="2" t="s">
        <v>493</v>
      </c>
      <c r="Q81" s="2">
        <v>118.6</v>
      </c>
      <c r="R81" s="2" t="s">
        <v>494</v>
      </c>
      <c r="S81" s="2" t="s">
        <v>495</v>
      </c>
      <c r="T81" s="2">
        <v>106.5</v>
      </c>
    </row>
    <row r="82" spans="1:20" x14ac:dyDescent="0.25">
      <c r="A82" s="2" t="s">
        <v>496</v>
      </c>
      <c r="B82" s="2" t="s">
        <v>497</v>
      </c>
      <c r="C82" s="5">
        <f ca="1">[1]!thsiFinD("ths_int_chg_ratio_index",$A82,C$1,C$2)/100</f>
        <v>0.12085760171458</v>
      </c>
      <c r="D82" s="5">
        <f ca="1">[1]!thsiFinD("ths_int_chg_ratio_index",$A82,D$1,D$2)/100</f>
        <v>6.2779310347021002E-3</v>
      </c>
      <c r="E82" s="5">
        <f ca="1">[1]!thsiFinD("ths_int_chg_ratio_index",$A82,E$1,E$2)/100</f>
        <v>-3.0249311080234001E-2</v>
      </c>
      <c r="F82" s="2" t="s">
        <v>406</v>
      </c>
      <c r="G82" s="2" t="s">
        <v>407</v>
      </c>
      <c r="H82" s="2">
        <v>3499.2</v>
      </c>
      <c r="I82" s="2" t="s">
        <v>498</v>
      </c>
      <c r="J82" s="2" t="s">
        <v>499</v>
      </c>
      <c r="K82" s="2">
        <v>983.4</v>
      </c>
      <c r="L82" s="2" t="s">
        <v>346</v>
      </c>
      <c r="M82" s="2" t="s">
        <v>347</v>
      </c>
      <c r="N82" s="2">
        <v>698.9</v>
      </c>
      <c r="O82" s="2" t="s">
        <v>500</v>
      </c>
      <c r="P82" s="2" t="s">
        <v>501</v>
      </c>
      <c r="Q82" s="2">
        <v>578.20000000000005</v>
      </c>
      <c r="R82" s="2" t="s">
        <v>502</v>
      </c>
      <c r="S82" s="2" t="s">
        <v>503</v>
      </c>
      <c r="T82" s="2">
        <v>539.1</v>
      </c>
    </row>
    <row r="83" spans="1:20" x14ac:dyDescent="0.25">
      <c r="A83" s="2" t="s">
        <v>504</v>
      </c>
      <c r="B83" s="2" t="s">
        <v>505</v>
      </c>
      <c r="C83" s="5">
        <f ca="1">[1]!thsiFinD("ths_int_chg_ratio_index",$A83,C$1,C$2)/100</f>
        <v>0.13457360144777999</v>
      </c>
      <c r="D83" s="5">
        <f ca="1">[1]!thsiFinD("ths_int_chg_ratio_index",$A83,D$1,D$2)/100</f>
        <v>6.5324432055165998E-2</v>
      </c>
      <c r="E83" s="5">
        <f ca="1">[1]!thsiFinD("ths_int_chg_ratio_index",$A83,E$1,E$2)/100</f>
        <v>-1.7455012404507E-2</v>
      </c>
      <c r="F83" s="2" t="s">
        <v>44</v>
      </c>
      <c r="G83" s="2" t="s">
        <v>45</v>
      </c>
      <c r="H83" s="2">
        <v>3784.7</v>
      </c>
      <c r="I83" s="2" t="s">
        <v>324</v>
      </c>
      <c r="J83" s="2" t="s">
        <v>325</v>
      </c>
      <c r="K83" s="2">
        <v>3072.8</v>
      </c>
      <c r="L83" s="2" t="s">
        <v>110</v>
      </c>
      <c r="M83" s="2" t="s">
        <v>111</v>
      </c>
      <c r="N83" s="2">
        <v>1784.4</v>
      </c>
      <c r="O83" s="2" t="s">
        <v>254</v>
      </c>
      <c r="P83" s="2" t="s">
        <v>255</v>
      </c>
      <c r="Q83" s="2">
        <v>1178.3</v>
      </c>
      <c r="R83" s="2" t="s">
        <v>168</v>
      </c>
      <c r="S83" s="2" t="s">
        <v>169</v>
      </c>
      <c r="T83" s="2">
        <v>863.1</v>
      </c>
    </row>
    <row r="84" spans="1:20" x14ac:dyDescent="0.25">
      <c r="A84" s="2" t="s">
        <v>506</v>
      </c>
      <c r="B84" s="2" t="s">
        <v>507</v>
      </c>
      <c r="C84" s="5">
        <f ca="1">[1]!thsiFinD("ths_int_chg_ratio_index",$A84,C$1,C$2)/100</f>
        <v>0.13900336872108998</v>
      </c>
      <c r="D84" s="5">
        <f ca="1">[1]!thsiFinD("ths_int_chg_ratio_index",$A84,D$1,D$2)/100</f>
        <v>7.7004675731734001E-2</v>
      </c>
      <c r="E84" s="5">
        <f ca="1">[1]!thsiFinD("ths_int_chg_ratio_index",$A84,E$1,E$2)/100</f>
        <v>7.3119925656733994E-3</v>
      </c>
      <c r="F84" s="2" t="s">
        <v>78</v>
      </c>
      <c r="G84" s="2" t="s">
        <v>79</v>
      </c>
      <c r="H84" s="2">
        <v>4204.8</v>
      </c>
      <c r="I84" s="2" t="s">
        <v>52</v>
      </c>
      <c r="J84" s="2" t="s">
        <v>53</v>
      </c>
      <c r="K84" s="2">
        <v>2771.6</v>
      </c>
      <c r="L84" s="2" t="s">
        <v>102</v>
      </c>
      <c r="M84" s="2" t="s">
        <v>103</v>
      </c>
      <c r="N84" s="2">
        <v>2316.5</v>
      </c>
      <c r="O84" s="2" t="s">
        <v>110</v>
      </c>
      <c r="P84" s="2" t="s">
        <v>111</v>
      </c>
      <c r="Q84" s="2">
        <v>1784.4</v>
      </c>
      <c r="R84" s="2" t="s">
        <v>216</v>
      </c>
      <c r="S84" s="2" t="s">
        <v>217</v>
      </c>
      <c r="T84" s="2">
        <v>1089.2</v>
      </c>
    </row>
    <row r="85" spans="1:20" x14ac:dyDescent="0.25">
      <c r="A85" s="2" t="s">
        <v>508</v>
      </c>
      <c r="B85" s="2" t="s">
        <v>509</v>
      </c>
      <c r="C85" s="5">
        <f ca="1">[1]!thsiFinD("ths_int_chg_ratio_index",$A85,C$1,C$2)/100</f>
        <v>0.14157691004487</v>
      </c>
      <c r="D85" s="5">
        <f ca="1">[1]!thsiFinD("ths_int_chg_ratio_index",$A85,D$1,D$2)/100</f>
        <v>5.6942370629884997E-2</v>
      </c>
      <c r="E85" s="5">
        <f ca="1">[1]!thsiFinD("ths_int_chg_ratio_index",$A85,E$1,E$2)/100</f>
        <v>-4.1575937505927002E-2</v>
      </c>
      <c r="F85" s="2" t="s">
        <v>510</v>
      </c>
      <c r="G85" s="2" t="s">
        <v>511</v>
      </c>
      <c r="H85" s="2">
        <v>342</v>
      </c>
      <c r="I85" s="2" t="s">
        <v>512</v>
      </c>
      <c r="J85" s="2" t="s">
        <v>513</v>
      </c>
      <c r="K85" s="2">
        <v>335.9</v>
      </c>
      <c r="L85" s="2" t="s">
        <v>514</v>
      </c>
      <c r="M85" s="2" t="s">
        <v>515</v>
      </c>
      <c r="N85" s="2">
        <v>312.89999999999998</v>
      </c>
      <c r="O85" s="2" t="s">
        <v>516</v>
      </c>
      <c r="P85" s="2" t="s">
        <v>517</v>
      </c>
      <c r="Q85" s="2">
        <v>232.9</v>
      </c>
      <c r="R85" s="2" t="s">
        <v>518</v>
      </c>
      <c r="S85" s="2" t="s">
        <v>519</v>
      </c>
      <c r="T85" s="2">
        <v>186.6</v>
      </c>
    </row>
    <row r="86" spans="1:20" x14ac:dyDescent="0.25">
      <c r="A86" s="2" t="s">
        <v>520</v>
      </c>
      <c r="B86" s="2" t="s">
        <v>521</v>
      </c>
      <c r="C86" s="5">
        <f ca="1">[1]!thsiFinD("ths_int_chg_ratio_index",$A86,C$1,C$2)/100</f>
        <v>0.13663006928245999</v>
      </c>
      <c r="D86" s="5">
        <f ca="1">[1]!thsiFinD("ths_int_chg_ratio_index",$A86,D$1,D$2)/100</f>
        <v>8.3157460560766991E-2</v>
      </c>
      <c r="E86" s="5">
        <f ca="1">[1]!thsiFinD("ths_int_chg_ratio_index",$A86,E$1,E$2)/100</f>
        <v>1.2416327196776E-2</v>
      </c>
      <c r="F86" s="2" t="s">
        <v>78</v>
      </c>
      <c r="G86" s="2" t="s">
        <v>79</v>
      </c>
      <c r="H86" s="2">
        <v>4204.8</v>
      </c>
      <c r="I86" s="2" t="s">
        <v>44</v>
      </c>
      <c r="J86" s="2" t="s">
        <v>45</v>
      </c>
      <c r="K86" s="2">
        <v>3784.7</v>
      </c>
      <c r="L86" s="2" t="s">
        <v>64</v>
      </c>
      <c r="M86" s="2" t="s">
        <v>65</v>
      </c>
      <c r="N86" s="2">
        <v>3192.6</v>
      </c>
      <c r="O86" s="2" t="s">
        <v>48</v>
      </c>
      <c r="P86" s="2" t="s">
        <v>49</v>
      </c>
      <c r="Q86" s="2">
        <v>2952.2</v>
      </c>
      <c r="R86" s="2" t="s">
        <v>52</v>
      </c>
      <c r="S86" s="2" t="s">
        <v>53</v>
      </c>
      <c r="T86" s="2">
        <v>2771.6</v>
      </c>
    </row>
    <row r="87" spans="1:20" x14ac:dyDescent="0.25">
      <c r="A87" s="2" t="s">
        <v>522</v>
      </c>
      <c r="B87" s="2" t="s">
        <v>523</v>
      </c>
      <c r="C87" s="5">
        <f ca="1">[1]!thsiFinD("ths_int_chg_ratio_index",$A87,C$1,C$2)/100</f>
        <v>0.12403637674359</v>
      </c>
      <c r="D87" s="5">
        <f ca="1">[1]!thsiFinD("ths_int_chg_ratio_index",$A87,D$1,D$2)/100</f>
        <v>3.8362988962573001E-2</v>
      </c>
      <c r="E87" s="5">
        <f ca="1">[1]!thsiFinD("ths_int_chg_ratio_index",$A87,E$1,E$2)/100</f>
        <v>-6.4504630158912002E-2</v>
      </c>
      <c r="F87" s="2" t="s">
        <v>224</v>
      </c>
      <c r="G87" s="2" t="s">
        <v>225</v>
      </c>
      <c r="H87" s="2">
        <v>5352.5</v>
      </c>
      <c r="I87" s="2" t="s">
        <v>64</v>
      </c>
      <c r="J87" s="2" t="s">
        <v>65</v>
      </c>
      <c r="K87" s="2">
        <v>3192.6</v>
      </c>
      <c r="L87" s="2" t="s">
        <v>130</v>
      </c>
      <c r="M87" s="2" t="s">
        <v>131</v>
      </c>
      <c r="N87" s="2">
        <v>2714.4</v>
      </c>
      <c r="O87" s="2" t="s">
        <v>20</v>
      </c>
      <c r="P87" s="2" t="s">
        <v>21</v>
      </c>
      <c r="Q87" s="2">
        <v>1930</v>
      </c>
      <c r="R87" s="2" t="s">
        <v>108</v>
      </c>
      <c r="S87" s="2" t="s">
        <v>109</v>
      </c>
      <c r="T87" s="2">
        <v>1916.1</v>
      </c>
    </row>
    <row r="88" spans="1:20" x14ac:dyDescent="0.25">
      <c r="A88" s="2" t="s">
        <v>524</v>
      </c>
      <c r="B88" s="2" t="s">
        <v>525</v>
      </c>
      <c r="C88" s="5">
        <f ca="1">[1]!thsiFinD("ths_int_chg_ratio_index",$A88,C$1,C$2)/100</f>
        <v>0.12750724548386999</v>
      </c>
      <c r="D88" s="5">
        <f ca="1">[1]!thsiFinD("ths_int_chg_ratio_index",$A88,D$1,D$2)/100</f>
        <v>5.2894637376994999E-2</v>
      </c>
      <c r="E88" s="5">
        <f ca="1">[1]!thsiFinD("ths_int_chg_ratio_index",$A88,E$1,E$2)/100</f>
        <v>1.0878031348276999E-2</v>
      </c>
      <c r="F88" s="2" t="s">
        <v>130</v>
      </c>
      <c r="G88" s="2" t="s">
        <v>131</v>
      </c>
      <c r="H88" s="2">
        <v>2714.4</v>
      </c>
      <c r="I88" s="2" t="s">
        <v>108</v>
      </c>
      <c r="J88" s="2" t="s">
        <v>109</v>
      </c>
      <c r="K88" s="2">
        <v>1916.1</v>
      </c>
      <c r="L88" s="2" t="s">
        <v>210</v>
      </c>
      <c r="M88" s="2" t="s">
        <v>211</v>
      </c>
      <c r="N88" s="2">
        <v>1526.1</v>
      </c>
      <c r="O88" s="2" t="s">
        <v>526</v>
      </c>
      <c r="P88" s="2" t="s">
        <v>527</v>
      </c>
      <c r="Q88" s="2">
        <v>681.6</v>
      </c>
      <c r="R88" s="2" t="s">
        <v>528</v>
      </c>
      <c r="S88" s="2" t="s">
        <v>529</v>
      </c>
      <c r="T88" s="2">
        <v>339</v>
      </c>
    </row>
    <row r="89" spans="1:20" x14ac:dyDescent="0.25">
      <c r="A89" s="2" t="s">
        <v>530</v>
      </c>
      <c r="B89" s="2" t="s">
        <v>531</v>
      </c>
      <c r="C89" s="5">
        <f ca="1">[1]!thsiFinD("ths_int_chg_ratio_index",$A89,C$1,C$2)/100</f>
        <v>0.11042410656101</v>
      </c>
      <c r="D89" s="5">
        <f ca="1">[1]!thsiFinD("ths_int_chg_ratio_index",$A89,D$1,D$2)/100</f>
        <v>4.9835959690854997E-3</v>
      </c>
      <c r="E89" s="5">
        <f ca="1">[1]!thsiFinD("ths_int_chg_ratio_index",$A89,E$1,E$2)/100</f>
        <v>-1.8122812247419001E-2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x14ac:dyDescent="0.25">
      <c r="A90" s="2" t="s">
        <v>532</v>
      </c>
      <c r="B90" s="2" t="s">
        <v>533</v>
      </c>
      <c r="C90" s="5">
        <f ca="1">[1]!thsiFinD("ths_int_chg_ratio_index",$A90,C$1,C$2)/100</f>
        <v>9.6448184288922004E-2</v>
      </c>
      <c r="D90" s="5">
        <f ca="1">[1]!thsiFinD("ths_int_chg_ratio_index",$A90,D$1,D$2)/100</f>
        <v>2.6173774504913001E-2</v>
      </c>
      <c r="E90" s="5">
        <f ca="1">[1]!thsiFinD("ths_int_chg_ratio_index",$A90,E$1,E$2)/100</f>
        <v>-1.602074971336E-2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x14ac:dyDescent="0.25">
      <c r="A91" s="2" t="s">
        <v>534</v>
      </c>
      <c r="B91" s="2" t="s">
        <v>535</v>
      </c>
      <c r="C91" s="5">
        <f ca="1">[1]!thsiFinD("ths_int_chg_ratio_index",$A91,C$1,C$2)/100</f>
        <v>0.12774254582014</v>
      </c>
      <c r="D91" s="5">
        <f ca="1">[1]!thsiFinD("ths_int_chg_ratio_index",$A91,D$1,D$2)/100</f>
        <v>5.5010581116577001E-2</v>
      </c>
      <c r="E91" s="5">
        <f ca="1">[1]!thsiFinD("ths_int_chg_ratio_index",$A91,E$1,E$2)/100</f>
        <v>-1.3037896117979E-2</v>
      </c>
      <c r="F91" s="2" t="s">
        <v>46</v>
      </c>
      <c r="G91" s="2" t="s">
        <v>47</v>
      </c>
      <c r="H91" s="2">
        <v>3663.5</v>
      </c>
      <c r="I91" s="2" t="s">
        <v>214</v>
      </c>
      <c r="J91" s="2" t="s">
        <v>215</v>
      </c>
      <c r="K91" s="2">
        <v>2267.9</v>
      </c>
      <c r="L91" s="2" t="s">
        <v>108</v>
      </c>
      <c r="M91" s="2" t="s">
        <v>109</v>
      </c>
      <c r="N91" s="2">
        <v>1916.1</v>
      </c>
      <c r="O91" s="2" t="s">
        <v>330</v>
      </c>
      <c r="P91" s="2" t="s">
        <v>331</v>
      </c>
      <c r="Q91" s="2">
        <v>1858.1</v>
      </c>
      <c r="R91" s="2" t="s">
        <v>186</v>
      </c>
      <c r="S91" s="2" t="s">
        <v>187</v>
      </c>
      <c r="T91" s="2">
        <v>1821.2</v>
      </c>
    </row>
    <row r="92" spans="1:20" x14ac:dyDescent="0.25">
      <c r="A92" s="2" t="s">
        <v>536</v>
      </c>
      <c r="B92" s="2" t="s">
        <v>537</v>
      </c>
      <c r="C92" s="5">
        <f ca="1">[1]!thsiFinD("ths_int_chg_ratio_index",$A92,C$1,C$2)/100</f>
        <v>0.11279482945031001</v>
      </c>
      <c r="D92" s="5">
        <f ca="1">[1]!thsiFinD("ths_int_chg_ratio_index",$A92,D$1,D$2)/100</f>
        <v>4.8296258869341004E-2</v>
      </c>
      <c r="E92" s="5">
        <f ca="1">[1]!thsiFinD("ths_int_chg_ratio_index",$A92,E$1,E$2)/100</f>
        <v>-1.1786492240541999E-2</v>
      </c>
      <c r="F92" s="2" t="s">
        <v>270</v>
      </c>
      <c r="G92" s="2" t="s">
        <v>271</v>
      </c>
      <c r="H92" s="2">
        <v>16668.3</v>
      </c>
      <c r="I92" s="2" t="s">
        <v>324</v>
      </c>
      <c r="J92" s="2" t="s">
        <v>325</v>
      </c>
      <c r="K92" s="2">
        <v>3072.8</v>
      </c>
      <c r="L92" s="2" t="s">
        <v>260</v>
      </c>
      <c r="M92" s="2" t="s">
        <v>261</v>
      </c>
      <c r="N92" s="2">
        <v>1408.2</v>
      </c>
      <c r="O92" s="2" t="s">
        <v>498</v>
      </c>
      <c r="P92" s="2" t="s">
        <v>499</v>
      </c>
      <c r="Q92" s="2">
        <v>983.4</v>
      </c>
      <c r="R92" s="2" t="s">
        <v>292</v>
      </c>
      <c r="S92" s="2" t="s">
        <v>293</v>
      </c>
      <c r="T92" s="2">
        <v>778.8</v>
      </c>
    </row>
    <row r="93" spans="1:20" x14ac:dyDescent="0.25">
      <c r="A93" s="2" t="s">
        <v>538</v>
      </c>
      <c r="B93" s="2" t="s">
        <v>539</v>
      </c>
      <c r="C93" s="5">
        <f ca="1">[1]!thsiFinD("ths_int_chg_ratio_index",$A93,C$1,C$2)/100</f>
        <v>0.11485785003503</v>
      </c>
      <c r="D93" s="5">
        <f ca="1">[1]!thsiFinD("ths_int_chg_ratio_index",$A93,D$1,D$2)/100</f>
        <v>4.1162971172168994E-2</v>
      </c>
      <c r="E93" s="5">
        <f ca="1">[1]!thsiFinD("ths_int_chg_ratio_index",$A93,E$1,E$2)/100</f>
        <v>-3.8616284005264997E-2</v>
      </c>
      <c r="F93" s="2" t="s">
        <v>270</v>
      </c>
      <c r="G93" s="2" t="s">
        <v>271</v>
      </c>
      <c r="H93" s="2">
        <v>16668.3</v>
      </c>
      <c r="I93" s="2" t="s">
        <v>540</v>
      </c>
      <c r="J93" s="2" t="s">
        <v>541</v>
      </c>
      <c r="K93" s="2">
        <v>6523.2</v>
      </c>
      <c r="L93" s="2" t="s">
        <v>224</v>
      </c>
      <c r="M93" s="2" t="s">
        <v>225</v>
      </c>
      <c r="N93" s="2">
        <v>5352.5</v>
      </c>
      <c r="O93" s="2" t="s">
        <v>64</v>
      </c>
      <c r="P93" s="2" t="s">
        <v>65</v>
      </c>
      <c r="Q93" s="2">
        <v>3192.6</v>
      </c>
      <c r="R93" s="2" t="s">
        <v>324</v>
      </c>
      <c r="S93" s="2" t="s">
        <v>325</v>
      </c>
      <c r="T93" s="2">
        <v>3072.8</v>
      </c>
    </row>
    <row r="94" spans="1:20" x14ac:dyDescent="0.25">
      <c r="A94" s="2" t="s">
        <v>542</v>
      </c>
      <c r="B94" s="2" t="s">
        <v>543</v>
      </c>
      <c r="C94" s="5">
        <f ca="1">[1]!thsiFinD("ths_int_chg_ratio_index",$A94,C$1,C$2)/100</f>
        <v>0.12816604033904</v>
      </c>
      <c r="D94" s="5">
        <f ca="1">[1]!thsiFinD("ths_int_chg_ratio_index",$A94,D$1,D$2)/100</f>
        <v>6.5658632637823997E-2</v>
      </c>
      <c r="E94" s="5">
        <f ca="1">[1]!thsiFinD("ths_int_chg_ratio_index",$A94,E$1,E$2)/100</f>
        <v>-3.3500458540897997E-2</v>
      </c>
      <c r="F94" s="2" t="s">
        <v>32</v>
      </c>
      <c r="G94" s="2" t="s">
        <v>33</v>
      </c>
      <c r="H94" s="2">
        <v>15494.3</v>
      </c>
      <c r="I94" s="2" t="s">
        <v>56</v>
      </c>
      <c r="J94" s="2" t="s">
        <v>57</v>
      </c>
      <c r="K94" s="2">
        <v>9471.2999999999993</v>
      </c>
      <c r="L94" s="2" t="s">
        <v>200</v>
      </c>
      <c r="M94" s="2" t="s">
        <v>201</v>
      </c>
      <c r="N94" s="2">
        <v>7623.8</v>
      </c>
      <c r="O94" s="2" t="s">
        <v>64</v>
      </c>
      <c r="P94" s="2" t="s">
        <v>65</v>
      </c>
      <c r="Q94" s="2">
        <v>3192.6</v>
      </c>
      <c r="R94" s="2" t="s">
        <v>132</v>
      </c>
      <c r="S94" s="2" t="s">
        <v>133</v>
      </c>
      <c r="T94" s="2">
        <v>2077.6999999999998</v>
      </c>
    </row>
    <row r="95" spans="1:20" x14ac:dyDescent="0.25">
      <c r="A95" s="2" t="s">
        <v>544</v>
      </c>
      <c r="B95" s="2" t="s">
        <v>545</v>
      </c>
      <c r="C95" s="5">
        <f ca="1">[1]!thsiFinD("ths_int_chg_ratio_index",$A95,C$1,C$2)/100</f>
        <v>0.11964602844523001</v>
      </c>
      <c r="D95" s="5">
        <f ca="1">[1]!thsiFinD("ths_int_chg_ratio_index",$A95,D$1,D$2)/100</f>
        <v>5.2090033988815003E-2</v>
      </c>
      <c r="E95" s="5">
        <f ca="1">[1]!thsiFinD("ths_int_chg_ratio_index",$A95,E$1,E$2)/100</f>
        <v>1.7736441039269E-2</v>
      </c>
      <c r="F95" s="2" t="s">
        <v>214</v>
      </c>
      <c r="G95" s="2" t="s">
        <v>215</v>
      </c>
      <c r="H95" s="2">
        <v>2267.9</v>
      </c>
      <c r="I95" s="2" t="s">
        <v>208</v>
      </c>
      <c r="J95" s="2" t="s">
        <v>209</v>
      </c>
      <c r="K95" s="2">
        <v>2056.4</v>
      </c>
      <c r="L95" s="2" t="s">
        <v>108</v>
      </c>
      <c r="M95" s="2" t="s">
        <v>109</v>
      </c>
      <c r="N95" s="2">
        <v>1916.1</v>
      </c>
      <c r="O95" s="2" t="s">
        <v>546</v>
      </c>
      <c r="P95" s="2" t="s">
        <v>547</v>
      </c>
      <c r="Q95" s="2">
        <v>1132.8</v>
      </c>
      <c r="R95" s="2" t="s">
        <v>140</v>
      </c>
      <c r="S95" s="2" t="s">
        <v>141</v>
      </c>
      <c r="T95" s="2">
        <v>1122.3</v>
      </c>
    </row>
    <row r="96" spans="1:20" x14ac:dyDescent="0.25">
      <c r="A96" s="2" t="s">
        <v>548</v>
      </c>
      <c r="B96" s="2" t="s">
        <v>549</v>
      </c>
      <c r="C96" s="5">
        <f ca="1">[1]!thsiFinD("ths_int_chg_ratio_index",$A96,C$1,C$2)/100</f>
        <v>0.12147144336974999</v>
      </c>
      <c r="D96" s="5">
        <f ca="1">[1]!thsiFinD("ths_int_chg_ratio_index",$A96,D$1,D$2)/100</f>
        <v>6.8169099687221998E-2</v>
      </c>
      <c r="E96" s="5">
        <f ca="1">[1]!thsiFinD("ths_int_chg_ratio_index",$A96,E$1,E$2)/100</f>
        <v>-2.9113005833262002E-3</v>
      </c>
      <c r="F96" s="2" t="s">
        <v>324</v>
      </c>
      <c r="G96" s="2" t="s">
        <v>325</v>
      </c>
      <c r="H96" s="2">
        <v>3072.8</v>
      </c>
      <c r="I96" s="2" t="s">
        <v>52</v>
      </c>
      <c r="J96" s="2" t="s">
        <v>53</v>
      </c>
      <c r="K96" s="2">
        <v>2771.6</v>
      </c>
      <c r="L96" s="2" t="s">
        <v>186</v>
      </c>
      <c r="M96" s="2" t="s">
        <v>187</v>
      </c>
      <c r="N96" s="2">
        <v>1821.2</v>
      </c>
      <c r="O96" s="2" t="s">
        <v>110</v>
      </c>
      <c r="P96" s="2" t="s">
        <v>111</v>
      </c>
      <c r="Q96" s="2">
        <v>1784.4</v>
      </c>
      <c r="R96" s="2" t="s">
        <v>550</v>
      </c>
      <c r="S96" s="2" t="s">
        <v>551</v>
      </c>
      <c r="T96" s="2">
        <v>1685.2</v>
      </c>
    </row>
    <row r="97" spans="1:20" x14ac:dyDescent="0.25">
      <c r="A97" s="2" t="s">
        <v>552</v>
      </c>
      <c r="B97" s="2" t="s">
        <v>553</v>
      </c>
      <c r="C97" s="5">
        <f ca="1">[1]!thsiFinD("ths_int_chg_ratio_index",$A97,C$1,C$2)/100</f>
        <v>0.11824491355286999</v>
      </c>
      <c r="D97" s="5">
        <f ca="1">[1]!thsiFinD("ths_int_chg_ratio_index",$A97,D$1,D$2)/100</f>
        <v>4.7673038605710996E-2</v>
      </c>
      <c r="E97" s="5">
        <f ca="1">[1]!thsiFinD("ths_int_chg_ratio_index",$A97,E$1,E$2)/100</f>
        <v>2.4381749714785999E-2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x14ac:dyDescent="0.25">
      <c r="A98" s="2" t="s">
        <v>554</v>
      </c>
      <c r="B98" s="2" t="s">
        <v>555</v>
      </c>
      <c r="C98" s="5">
        <f ca="1">[1]!thsiFinD("ths_int_chg_ratio_index",$A98,C$1,C$2)/100</f>
        <v>0.14166971366611</v>
      </c>
      <c r="D98" s="5">
        <f ca="1">[1]!thsiFinD("ths_int_chg_ratio_index",$A98,D$1,D$2)/100</f>
        <v>7.9542129664356004E-2</v>
      </c>
      <c r="E98" s="5">
        <f ca="1">[1]!thsiFinD("ths_int_chg_ratio_index",$A98,E$1,E$2)/100</f>
        <v>-8.5916382871467998E-3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x14ac:dyDescent="0.25">
      <c r="A99" s="2" t="s">
        <v>556</v>
      </c>
      <c r="B99" s="2" t="s">
        <v>557</v>
      </c>
      <c r="C99" s="5">
        <f ca="1">[1]!thsiFinD("ths_int_chg_ratio_index",$A99,C$1,C$2)/100</f>
        <v>0.10744436003489</v>
      </c>
      <c r="D99" s="5">
        <f ca="1">[1]!thsiFinD("ths_int_chg_ratio_index",$A99,D$1,D$2)/100</f>
        <v>4.4619296646355999E-3</v>
      </c>
      <c r="E99" s="5">
        <f ca="1">[1]!thsiFinD("ths_int_chg_ratio_index",$A99,E$1,E$2)/100</f>
        <v>-5.8302010933929997E-2</v>
      </c>
      <c r="F99" s="2" t="s">
        <v>558</v>
      </c>
      <c r="G99" s="2" t="s">
        <v>559</v>
      </c>
      <c r="H99" s="2">
        <v>448.7</v>
      </c>
      <c r="I99" s="2" t="s">
        <v>560</v>
      </c>
      <c r="J99" s="2" t="s">
        <v>561</v>
      </c>
      <c r="K99" s="2">
        <v>307.7</v>
      </c>
      <c r="L99" s="2" t="s">
        <v>562</v>
      </c>
      <c r="M99" s="2" t="s">
        <v>563</v>
      </c>
      <c r="N99" s="2">
        <v>297.3</v>
      </c>
      <c r="O99" s="2" t="s">
        <v>564</v>
      </c>
      <c r="P99" s="2" t="s">
        <v>565</v>
      </c>
      <c r="Q99" s="2">
        <v>272.7</v>
      </c>
      <c r="R99" s="2" t="s">
        <v>566</v>
      </c>
      <c r="S99" s="2" t="s">
        <v>567</v>
      </c>
      <c r="T99" s="2">
        <v>203.6</v>
      </c>
    </row>
    <row r="100" spans="1:20" x14ac:dyDescent="0.25">
      <c r="A100" s="2" t="s">
        <v>568</v>
      </c>
      <c r="B100" s="2" t="s">
        <v>569</v>
      </c>
      <c r="C100" s="5">
        <f ca="1">[1]!thsiFinD("ths_int_chg_ratio_index",$A100,C$1,C$2)/100</f>
        <v>0.10471534660685</v>
      </c>
      <c r="D100" s="5">
        <f ca="1">[1]!thsiFinD("ths_int_chg_ratio_index",$A100,D$1,D$2)/100</f>
        <v>2.5918682449819999E-2</v>
      </c>
      <c r="E100" s="5">
        <f ca="1">[1]!thsiFinD("ths_int_chg_ratio_index",$A100,E$1,E$2)/100</f>
        <v>1.6160873589739999E-2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x14ac:dyDescent="0.25">
      <c r="A101" s="2" t="s">
        <v>570</v>
      </c>
      <c r="B101" s="2" t="s">
        <v>571</v>
      </c>
      <c r="C101" s="5">
        <f ca="1">[1]!thsiFinD("ths_int_chg_ratio_index",$A101,C$1,C$2)/100</f>
        <v>8.5071114085282992E-2</v>
      </c>
      <c r="D101" s="5">
        <f ca="1">[1]!thsiFinD("ths_int_chg_ratio_index",$A101,D$1,D$2)/100</f>
        <v>1.516412226938E-2</v>
      </c>
      <c r="E101" s="5">
        <f ca="1">[1]!thsiFinD("ths_int_chg_ratio_index",$A101,E$1,E$2)/100</f>
        <v>-5.0641907697387994E-2</v>
      </c>
      <c r="F101" s="2" t="s">
        <v>420</v>
      </c>
      <c r="G101" s="2" t="s">
        <v>421</v>
      </c>
      <c r="H101" s="2">
        <v>2719.8</v>
      </c>
      <c r="I101" s="2" t="s">
        <v>130</v>
      </c>
      <c r="J101" s="2" t="s">
        <v>131</v>
      </c>
      <c r="K101" s="2">
        <v>2714.4</v>
      </c>
      <c r="L101" s="2" t="s">
        <v>572</v>
      </c>
      <c r="M101" s="2" t="s">
        <v>573</v>
      </c>
      <c r="N101" s="2">
        <v>2333.3000000000002</v>
      </c>
      <c r="O101" s="2" t="s">
        <v>574</v>
      </c>
      <c r="P101" s="2" t="s">
        <v>575</v>
      </c>
      <c r="Q101" s="2">
        <v>2141.6999999999998</v>
      </c>
      <c r="R101" s="2" t="s">
        <v>20</v>
      </c>
      <c r="S101" s="2" t="s">
        <v>21</v>
      </c>
      <c r="T101" s="2">
        <v>1930</v>
      </c>
    </row>
    <row r="102" spans="1:20" x14ac:dyDescent="0.25">
      <c r="A102" s="2" t="s">
        <v>576</v>
      </c>
      <c r="B102" s="2" t="s">
        <v>577</v>
      </c>
      <c r="C102" s="5">
        <f ca="1">[1]!thsiFinD("ths_int_chg_ratio_index",$A102,C$1,C$2)/100</f>
        <v>0.10135022242755</v>
      </c>
      <c r="D102" s="5">
        <f ca="1">[1]!thsiFinD("ths_int_chg_ratio_index",$A102,D$1,D$2)/100</f>
        <v>5.6359278106197001E-2</v>
      </c>
      <c r="E102" s="5">
        <f ca="1">[1]!thsiFinD("ths_int_chg_ratio_index",$A102,E$1,E$2)/100</f>
        <v>-7.0278307356934997E-3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x14ac:dyDescent="0.25">
      <c r="A103" s="2" t="s">
        <v>578</v>
      </c>
      <c r="B103" s="2" t="s">
        <v>579</v>
      </c>
      <c r="C103" s="5">
        <f ca="1">[1]!thsiFinD("ths_int_chg_ratio_index",$A103,C$1,C$2)/100</f>
        <v>9.8909547229197994E-2</v>
      </c>
      <c r="D103" s="5">
        <f ca="1">[1]!thsiFinD("ths_int_chg_ratio_index",$A103,D$1,D$2)/100</f>
        <v>5.5311573336765001E-2</v>
      </c>
      <c r="E103" s="5">
        <f ca="1">[1]!thsiFinD("ths_int_chg_ratio_index",$A103,E$1,E$2)/100</f>
        <v>-1.7409410730915998E-2</v>
      </c>
      <c r="F103" s="2" t="s">
        <v>224</v>
      </c>
      <c r="G103" s="2" t="s">
        <v>225</v>
      </c>
      <c r="H103" s="2">
        <v>5352.5</v>
      </c>
      <c r="I103" s="2" t="s">
        <v>38</v>
      </c>
      <c r="J103" s="2" t="s">
        <v>39</v>
      </c>
      <c r="K103" s="2">
        <v>5083.3999999999996</v>
      </c>
      <c r="L103" s="2" t="s">
        <v>40</v>
      </c>
      <c r="M103" s="2" t="s">
        <v>41</v>
      </c>
      <c r="N103" s="2">
        <v>4402.8</v>
      </c>
      <c r="O103" s="2" t="s">
        <v>44</v>
      </c>
      <c r="P103" s="2" t="s">
        <v>45</v>
      </c>
      <c r="Q103" s="2">
        <v>3784.7</v>
      </c>
      <c r="R103" s="2" t="s">
        <v>46</v>
      </c>
      <c r="S103" s="2" t="s">
        <v>47</v>
      </c>
      <c r="T103" s="2">
        <v>3663.5</v>
      </c>
    </row>
    <row r="104" spans="1:20" x14ac:dyDescent="0.25">
      <c r="A104" s="2" t="s">
        <v>580</v>
      </c>
      <c r="B104" s="2" t="s">
        <v>581</v>
      </c>
      <c r="C104" s="5">
        <f ca="1">[1]!thsiFinD("ths_int_chg_ratio_index",$A104,C$1,C$2)/100</f>
        <v>0.10699499242353</v>
      </c>
      <c r="D104" s="5">
        <f ca="1">[1]!thsiFinD("ths_int_chg_ratio_index",$A104,D$1,D$2)/100</f>
        <v>6.8853629937284E-2</v>
      </c>
      <c r="E104" s="5">
        <f ca="1">[1]!thsiFinD("ths_int_chg_ratio_index",$A104,E$1,E$2)/100</f>
        <v>-9.7832311066193001E-3</v>
      </c>
      <c r="F104" s="2" t="s">
        <v>38</v>
      </c>
      <c r="G104" s="2" t="s">
        <v>39</v>
      </c>
      <c r="H104" s="2">
        <v>5083.3999999999996</v>
      </c>
      <c r="I104" s="2" t="s">
        <v>50</v>
      </c>
      <c r="J104" s="2" t="s">
        <v>51</v>
      </c>
      <c r="K104" s="2">
        <v>2922</v>
      </c>
      <c r="L104" s="2" t="s">
        <v>392</v>
      </c>
      <c r="M104" s="2" t="s">
        <v>393</v>
      </c>
      <c r="N104" s="2">
        <v>1715.7</v>
      </c>
      <c r="O104" s="2" t="s">
        <v>84</v>
      </c>
      <c r="P104" s="2" t="s">
        <v>85</v>
      </c>
      <c r="Q104" s="2">
        <v>1290.5999999999999</v>
      </c>
      <c r="R104" s="2" t="s">
        <v>216</v>
      </c>
      <c r="S104" s="2" t="s">
        <v>217</v>
      </c>
      <c r="T104" s="2">
        <v>1089.2</v>
      </c>
    </row>
    <row r="105" spans="1:20" x14ac:dyDescent="0.25">
      <c r="A105" s="2" t="s">
        <v>582</v>
      </c>
      <c r="B105" s="2" t="s">
        <v>583</v>
      </c>
      <c r="C105" s="5">
        <f ca="1">[1]!thsiFinD("ths_int_chg_ratio_index",$A105,C$1,C$2)/100</f>
        <v>8.1528388691027007E-2</v>
      </c>
      <c r="D105" s="5">
        <f ca="1">[1]!thsiFinD("ths_int_chg_ratio_index",$A105,D$1,D$2)/100</f>
        <v>-1.6603292492199E-4</v>
      </c>
      <c r="E105" s="5">
        <f ca="1">[1]!thsiFinD("ths_int_chg_ratio_index",$A105,E$1,E$2)/100</f>
        <v>-3.9246215121281E-2</v>
      </c>
      <c r="F105" s="2" t="s">
        <v>404</v>
      </c>
      <c r="G105" s="2" t="s">
        <v>405</v>
      </c>
      <c r="H105" s="2">
        <v>6116.7</v>
      </c>
      <c r="I105" s="2" t="s">
        <v>406</v>
      </c>
      <c r="J105" s="2" t="s">
        <v>407</v>
      </c>
      <c r="K105" s="2">
        <v>3499.2</v>
      </c>
      <c r="L105" s="2" t="s">
        <v>324</v>
      </c>
      <c r="M105" s="2" t="s">
        <v>325</v>
      </c>
      <c r="N105" s="2">
        <v>3072.8</v>
      </c>
      <c r="O105" s="2" t="s">
        <v>408</v>
      </c>
      <c r="P105" s="2" t="s">
        <v>409</v>
      </c>
      <c r="Q105" s="2">
        <v>1574.2</v>
      </c>
      <c r="R105" s="2" t="s">
        <v>260</v>
      </c>
      <c r="S105" s="2" t="s">
        <v>261</v>
      </c>
      <c r="T105" s="2">
        <v>1408.2</v>
      </c>
    </row>
    <row r="106" spans="1:20" x14ac:dyDescent="0.25">
      <c r="A106" s="2" t="s">
        <v>584</v>
      </c>
      <c r="B106" s="2" t="s">
        <v>585</v>
      </c>
      <c r="C106" s="5">
        <f ca="1">[1]!thsiFinD("ths_int_chg_ratio_index",$A106,C$1,C$2)/100</f>
        <v>8.4996128001871993E-2</v>
      </c>
      <c r="D106" s="5">
        <f ca="1">[1]!thsiFinD("ths_int_chg_ratio_index",$A106,D$1,D$2)/100</f>
        <v>1.6219223912045999E-2</v>
      </c>
      <c r="E106" s="5">
        <f ca="1">[1]!thsiFinD("ths_int_chg_ratio_index",$A106,E$1,E$2)/100</f>
        <v>-3.1587796168520005E-2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x14ac:dyDescent="0.25">
      <c r="A107" s="2" t="s">
        <v>586</v>
      </c>
      <c r="B107" s="2" t="s">
        <v>587</v>
      </c>
      <c r="C107" s="5">
        <f ca="1">[1]!thsiFinD("ths_int_chg_ratio_index",$A107,C$1,C$2)/100</f>
        <v>0.11159769407015001</v>
      </c>
      <c r="D107" s="5">
        <f ca="1">[1]!thsiFinD("ths_int_chg_ratio_index",$A107,D$1,D$2)/100</f>
        <v>9.4480373089631989E-2</v>
      </c>
      <c r="E107" s="5">
        <f ca="1">[1]!thsiFinD("ths_int_chg_ratio_index",$A107,E$1,E$2)/100</f>
        <v>-1.3758398758074998E-2</v>
      </c>
      <c r="F107" s="2" t="s">
        <v>38</v>
      </c>
      <c r="G107" s="2" t="s">
        <v>39</v>
      </c>
      <c r="H107" s="2">
        <v>5083.3999999999996</v>
      </c>
      <c r="I107" s="2" t="s">
        <v>306</v>
      </c>
      <c r="J107" s="2" t="s">
        <v>307</v>
      </c>
      <c r="K107" s="2">
        <v>1441</v>
      </c>
      <c r="L107" s="2" t="s">
        <v>276</v>
      </c>
      <c r="M107" s="2" t="s">
        <v>277</v>
      </c>
      <c r="N107" s="2">
        <v>1352.3</v>
      </c>
      <c r="O107" s="2" t="s">
        <v>154</v>
      </c>
      <c r="P107" s="2" t="s">
        <v>155</v>
      </c>
      <c r="Q107" s="2">
        <v>1211</v>
      </c>
      <c r="R107" s="2" t="s">
        <v>588</v>
      </c>
      <c r="S107" s="2" t="s">
        <v>589</v>
      </c>
      <c r="T107" s="2">
        <v>932.9</v>
      </c>
    </row>
    <row r="108" spans="1:20" x14ac:dyDescent="0.25">
      <c r="A108" s="2" t="s">
        <v>590</v>
      </c>
      <c r="B108" s="2" t="s">
        <v>591</v>
      </c>
      <c r="C108" s="5">
        <f ca="1">[1]!thsiFinD("ths_int_chg_ratio_index",$A108,C$1,C$2)/100</f>
        <v>9.2655598286282004E-2</v>
      </c>
      <c r="D108" s="5">
        <f ca="1">[1]!thsiFinD("ths_int_chg_ratio_index",$A108,D$1,D$2)/100</f>
        <v>7.7569922020682996E-2</v>
      </c>
      <c r="E108" s="5">
        <f ca="1">[1]!thsiFinD("ths_int_chg_ratio_index",$A108,E$1,E$2)/100</f>
        <v>-1.6315814279734001E-2</v>
      </c>
      <c r="F108" s="2" t="s">
        <v>38</v>
      </c>
      <c r="G108" s="2" t="s">
        <v>39</v>
      </c>
      <c r="H108" s="2">
        <v>5083.3999999999996</v>
      </c>
      <c r="I108" s="2" t="s">
        <v>324</v>
      </c>
      <c r="J108" s="2" t="s">
        <v>325</v>
      </c>
      <c r="K108" s="2">
        <v>3072.8</v>
      </c>
      <c r="L108" s="2" t="s">
        <v>52</v>
      </c>
      <c r="M108" s="2" t="s">
        <v>53</v>
      </c>
      <c r="N108" s="2">
        <v>2771.6</v>
      </c>
      <c r="O108" s="2" t="s">
        <v>592</v>
      </c>
      <c r="P108" s="2" t="s">
        <v>593</v>
      </c>
      <c r="Q108" s="2">
        <v>1082.7</v>
      </c>
      <c r="R108" s="2" t="s">
        <v>386</v>
      </c>
      <c r="S108" s="2" t="s">
        <v>387</v>
      </c>
      <c r="T108" s="2">
        <v>1009.2</v>
      </c>
    </row>
    <row r="109" spans="1:20" x14ac:dyDescent="0.25">
      <c r="A109" s="2" t="s">
        <v>594</v>
      </c>
      <c r="B109" s="2" t="s">
        <v>595</v>
      </c>
      <c r="C109" s="5">
        <f ca="1">[1]!thsiFinD("ths_int_chg_ratio_index",$A109,C$1,C$2)/100</f>
        <v>8.9651270264666003E-2</v>
      </c>
      <c r="D109" s="5">
        <f ca="1">[1]!thsiFinD("ths_int_chg_ratio_index",$A109,D$1,D$2)/100</f>
        <v>5.7574336366195002E-2</v>
      </c>
      <c r="E109" s="5">
        <f ca="1">[1]!thsiFinD("ths_int_chg_ratio_index",$A109,E$1,E$2)/100</f>
        <v>-4.4770098893154005E-4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x14ac:dyDescent="0.25">
      <c r="A110" s="2" t="s">
        <v>596</v>
      </c>
      <c r="B110" s="2" t="s">
        <v>597</v>
      </c>
      <c r="C110" s="5">
        <f ca="1">[1]!thsiFinD("ths_int_chg_ratio_index",$A110,C$1,C$2)/100</f>
        <v>8.4537079985963992E-2</v>
      </c>
      <c r="D110" s="5">
        <f ca="1">[1]!thsiFinD("ths_int_chg_ratio_index",$A110,D$1,D$2)/100</f>
        <v>5.3614182756403006E-2</v>
      </c>
      <c r="E110" s="5">
        <f ca="1">[1]!thsiFinD("ths_int_chg_ratio_index",$A110,E$1,E$2)/100</f>
        <v>-2.0502243187545E-2</v>
      </c>
      <c r="F110" s="2" t="s">
        <v>270</v>
      </c>
      <c r="G110" s="2" t="s">
        <v>271</v>
      </c>
      <c r="H110" s="2">
        <v>16668.3</v>
      </c>
      <c r="I110" s="2" t="s">
        <v>44</v>
      </c>
      <c r="J110" s="2" t="s">
        <v>45</v>
      </c>
      <c r="K110" s="2">
        <v>3784.7</v>
      </c>
      <c r="L110" s="2" t="s">
        <v>64</v>
      </c>
      <c r="M110" s="2" t="s">
        <v>65</v>
      </c>
      <c r="N110" s="2">
        <v>3192.6</v>
      </c>
      <c r="O110" s="2" t="s">
        <v>52</v>
      </c>
      <c r="P110" s="2" t="s">
        <v>53</v>
      </c>
      <c r="Q110" s="2">
        <v>2771.6</v>
      </c>
      <c r="R110" s="2" t="s">
        <v>110</v>
      </c>
      <c r="S110" s="2" t="s">
        <v>111</v>
      </c>
      <c r="T110" s="2">
        <v>1784.4</v>
      </c>
    </row>
    <row r="111" spans="1:20" x14ac:dyDescent="0.25">
      <c r="A111" s="2" t="s">
        <v>598</v>
      </c>
      <c r="B111" s="2" t="s">
        <v>599</v>
      </c>
      <c r="C111" s="5">
        <f ca="1">[1]!thsiFinD("ths_int_chg_ratio_index",$A111,C$1,C$2)/100</f>
        <v>5.8721245775376997E-2</v>
      </c>
      <c r="D111" s="5">
        <f ca="1">[1]!thsiFinD("ths_int_chg_ratio_index",$A111,D$1,D$2)/100</f>
        <v>7.0642213901773001E-3</v>
      </c>
      <c r="E111" s="5">
        <f ca="1">[1]!thsiFinD("ths_int_chg_ratio_index",$A111,E$1,E$2)/100</f>
        <v>-3.0788754145674998E-2</v>
      </c>
      <c r="F111" s="2" t="s">
        <v>600</v>
      </c>
      <c r="G111" s="2" t="s">
        <v>601</v>
      </c>
      <c r="H111" s="2">
        <v>4462.8</v>
      </c>
      <c r="I111" s="2" t="s">
        <v>440</v>
      </c>
      <c r="J111" s="2" t="s">
        <v>441</v>
      </c>
      <c r="K111" s="2">
        <v>2161.6</v>
      </c>
      <c r="L111" s="2" t="s">
        <v>20</v>
      </c>
      <c r="M111" s="2" t="s">
        <v>21</v>
      </c>
      <c r="N111" s="2">
        <v>1930</v>
      </c>
      <c r="O111" s="2" t="s">
        <v>602</v>
      </c>
      <c r="P111" s="2" t="s">
        <v>603</v>
      </c>
      <c r="Q111" s="2">
        <v>1577.4</v>
      </c>
      <c r="R111" s="2" t="s">
        <v>604</v>
      </c>
      <c r="S111" s="2" t="s">
        <v>605</v>
      </c>
      <c r="T111" s="2">
        <v>1046.8</v>
      </c>
    </row>
    <row r="112" spans="1:20" x14ac:dyDescent="0.25">
      <c r="A112" s="2" t="s">
        <v>606</v>
      </c>
      <c r="B112" s="2" t="s">
        <v>607</v>
      </c>
      <c r="C112" s="5">
        <f ca="1">[1]!thsiFinD("ths_int_chg_ratio_index",$A112,C$1,C$2)/100</f>
        <v>7.7401002638997005E-2</v>
      </c>
      <c r="D112" s="5">
        <f ca="1">[1]!thsiFinD("ths_int_chg_ratio_index",$A112,D$1,D$2)/100</f>
        <v>2.8311943522985002E-2</v>
      </c>
      <c r="E112" s="5">
        <f ca="1">[1]!thsiFinD("ths_int_chg_ratio_index",$A112,E$1,E$2)/100</f>
        <v>-2.8666978517219999E-2</v>
      </c>
      <c r="F112" s="2" t="s">
        <v>540</v>
      </c>
      <c r="G112" s="2" t="s">
        <v>541</v>
      </c>
      <c r="H112" s="2">
        <v>6523.2</v>
      </c>
      <c r="I112" s="2" t="s">
        <v>20</v>
      </c>
      <c r="J112" s="2" t="s">
        <v>21</v>
      </c>
      <c r="K112" s="2">
        <v>1930</v>
      </c>
      <c r="L112" s="2" t="s">
        <v>608</v>
      </c>
      <c r="M112" s="2" t="s">
        <v>609</v>
      </c>
      <c r="N112" s="2">
        <v>1904.9</v>
      </c>
      <c r="O112" s="2" t="s">
        <v>246</v>
      </c>
      <c r="P112" s="2" t="s">
        <v>247</v>
      </c>
      <c r="Q112" s="2">
        <v>1846.7</v>
      </c>
      <c r="R112" s="2" t="s">
        <v>230</v>
      </c>
      <c r="S112" s="2" t="s">
        <v>231</v>
      </c>
      <c r="T112" s="2">
        <v>1722.2</v>
      </c>
    </row>
    <row r="113" spans="1:20" x14ac:dyDescent="0.25">
      <c r="A113" s="2" t="s">
        <v>610</v>
      </c>
      <c r="B113" s="2" t="s">
        <v>611</v>
      </c>
      <c r="C113" s="5">
        <f ca="1">[1]!thsiFinD("ths_int_chg_ratio_index",$A113,C$1,C$2)/100</f>
        <v>6.9180275003513994E-2</v>
      </c>
      <c r="D113" s="5">
        <f ca="1">[1]!thsiFinD("ths_int_chg_ratio_index",$A113,D$1,D$2)/100</f>
        <v>1.7547775509265999E-2</v>
      </c>
      <c r="E113" s="5">
        <f ca="1">[1]!thsiFinD("ths_int_chg_ratio_index",$A113,E$1,E$2)/100</f>
        <v>-3.8026886615606997E-3</v>
      </c>
      <c r="F113" s="2" t="s">
        <v>404</v>
      </c>
      <c r="G113" s="2" t="s">
        <v>405</v>
      </c>
      <c r="H113" s="2">
        <v>6116.7</v>
      </c>
      <c r="I113" s="2" t="s">
        <v>406</v>
      </c>
      <c r="J113" s="2" t="s">
        <v>407</v>
      </c>
      <c r="K113" s="2">
        <v>3499.2</v>
      </c>
      <c r="L113" s="2" t="s">
        <v>612</v>
      </c>
      <c r="M113" s="2" t="s">
        <v>613</v>
      </c>
      <c r="N113" s="2">
        <v>1199</v>
      </c>
      <c r="O113" s="2" t="s">
        <v>254</v>
      </c>
      <c r="P113" s="2" t="s">
        <v>255</v>
      </c>
      <c r="Q113" s="2">
        <v>1178.3</v>
      </c>
      <c r="R113" s="2" t="s">
        <v>614</v>
      </c>
      <c r="S113" s="2" t="s">
        <v>615</v>
      </c>
      <c r="T113" s="2">
        <v>1106.3</v>
      </c>
    </row>
    <row r="114" spans="1:20" x14ac:dyDescent="0.25">
      <c r="A114" s="2" t="s">
        <v>616</v>
      </c>
      <c r="B114" s="2" t="s">
        <v>617</v>
      </c>
      <c r="C114" s="5">
        <f ca="1">[1]!thsiFinD("ths_int_chg_ratio_index",$A114,C$1,C$2)/100</f>
        <v>8.078898175801999E-2</v>
      </c>
      <c r="D114" s="5">
        <f ca="1">[1]!thsiFinD("ths_int_chg_ratio_index",$A114,D$1,D$2)/100</f>
        <v>2.6851950898262998E-2</v>
      </c>
      <c r="E114" s="5">
        <f ca="1">[1]!thsiFinD("ths_int_chg_ratio_index",$A114,E$1,E$2)/100</f>
        <v>-2.2566413640116002E-2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x14ac:dyDescent="0.25">
      <c r="A115" s="2" t="s">
        <v>618</v>
      </c>
      <c r="B115" s="2" t="s">
        <v>619</v>
      </c>
      <c r="C115" s="5">
        <f ca="1">[1]!thsiFinD("ths_int_chg_ratio_index",$A115,C$1,C$2)/100</f>
        <v>6.6798520793954E-2</v>
      </c>
      <c r="D115" s="5">
        <f ca="1">[1]!thsiFinD("ths_int_chg_ratio_index",$A115,D$1,D$2)/100</f>
        <v>8.9774716278018998E-3</v>
      </c>
      <c r="E115" s="5">
        <f ca="1">[1]!thsiFinD("ths_int_chg_ratio_index",$A115,E$1,E$2)/100</f>
        <v>-5.9034423392155998E-2</v>
      </c>
      <c r="F115" s="2" t="s">
        <v>324</v>
      </c>
      <c r="G115" s="2" t="s">
        <v>325</v>
      </c>
      <c r="H115" s="2">
        <v>3072.8</v>
      </c>
      <c r="I115" s="2" t="s">
        <v>372</v>
      </c>
      <c r="J115" s="2" t="s">
        <v>373</v>
      </c>
      <c r="K115" s="2">
        <v>376.6</v>
      </c>
      <c r="L115" s="2" t="s">
        <v>620</v>
      </c>
      <c r="M115" s="2" t="s">
        <v>621</v>
      </c>
      <c r="N115" s="2">
        <v>308.2</v>
      </c>
      <c r="O115" s="2" t="s">
        <v>622</v>
      </c>
      <c r="P115" s="2" t="s">
        <v>623</v>
      </c>
      <c r="Q115" s="2">
        <v>245.6</v>
      </c>
      <c r="R115" s="2" t="s">
        <v>624</v>
      </c>
      <c r="S115" s="2" t="s">
        <v>625</v>
      </c>
      <c r="T115" s="2">
        <v>244.1</v>
      </c>
    </row>
    <row r="116" spans="1:20" x14ac:dyDescent="0.25">
      <c r="A116" s="2" t="s">
        <v>626</v>
      </c>
      <c r="B116" s="2" t="s">
        <v>627</v>
      </c>
      <c r="C116" s="5">
        <f ca="1">[1]!thsiFinD("ths_int_chg_ratio_index",$A116,C$1,C$2)/100</f>
        <v>6.6412925789613997E-2</v>
      </c>
      <c r="D116" s="5">
        <f ca="1">[1]!thsiFinD("ths_int_chg_ratio_index",$A116,D$1,D$2)/100</f>
        <v>3.3449408104149002E-2</v>
      </c>
      <c r="E116" s="5">
        <f ca="1">[1]!thsiFinD("ths_int_chg_ratio_index",$A116,E$1,E$2)/100</f>
        <v>-5.9048089729359002E-2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x14ac:dyDescent="0.25">
      <c r="A117" s="2" t="s">
        <v>628</v>
      </c>
      <c r="B117" s="2" t="s">
        <v>629</v>
      </c>
      <c r="C117" s="5">
        <f ca="1">[1]!thsiFinD("ths_int_chg_ratio_index",$A117,C$1,C$2)/100</f>
        <v>8.2885505683599009E-2</v>
      </c>
      <c r="D117" s="5">
        <f ca="1">[1]!thsiFinD("ths_int_chg_ratio_index",$A117,D$1,D$2)/100</f>
        <v>5.3915213505361999E-2</v>
      </c>
      <c r="E117" s="5">
        <f ca="1">[1]!thsiFinD("ths_int_chg_ratio_index",$A117,E$1,E$2)/100</f>
        <v>-9.0113447580246003E-2</v>
      </c>
      <c r="F117" s="2" t="s">
        <v>32</v>
      </c>
      <c r="G117" s="2" t="s">
        <v>33</v>
      </c>
      <c r="H117" s="2">
        <v>15494.3</v>
      </c>
      <c r="I117" s="2" t="s">
        <v>630</v>
      </c>
      <c r="J117" s="2" t="s">
        <v>631</v>
      </c>
      <c r="K117" s="2">
        <v>1395.6</v>
      </c>
      <c r="L117" s="2" t="s">
        <v>276</v>
      </c>
      <c r="M117" s="2" t="s">
        <v>277</v>
      </c>
      <c r="N117" s="2">
        <v>1352.3</v>
      </c>
      <c r="O117" s="2" t="s">
        <v>632</v>
      </c>
      <c r="P117" s="2" t="s">
        <v>633</v>
      </c>
      <c r="Q117" s="2">
        <v>1326.4</v>
      </c>
      <c r="R117" s="2" t="s">
        <v>634</v>
      </c>
      <c r="S117" s="2" t="s">
        <v>635</v>
      </c>
      <c r="T117" s="2">
        <v>1297.0999999999999</v>
      </c>
    </row>
    <row r="118" spans="1:20" x14ac:dyDescent="0.25">
      <c r="A118" s="2" t="s">
        <v>636</v>
      </c>
      <c r="B118" s="2" t="s">
        <v>637</v>
      </c>
      <c r="C118" s="5">
        <f ca="1">[1]!thsiFinD("ths_int_chg_ratio_index",$A118,C$1,C$2)/100</f>
        <v>8.5800483647547998E-2</v>
      </c>
      <c r="D118" s="5">
        <f ca="1">[1]!thsiFinD("ths_int_chg_ratio_index",$A118,D$1,D$2)/100</f>
        <v>6.0581390548963998E-2</v>
      </c>
      <c r="E118" s="5">
        <f ca="1">[1]!thsiFinD("ths_int_chg_ratio_index",$A118,E$1,E$2)/100</f>
        <v>-2.2526435484314E-2</v>
      </c>
      <c r="F118" s="2" t="s">
        <v>52</v>
      </c>
      <c r="G118" s="2" t="s">
        <v>53</v>
      </c>
      <c r="H118" s="2">
        <v>2771.6</v>
      </c>
      <c r="I118" s="2" t="s">
        <v>110</v>
      </c>
      <c r="J118" s="2" t="s">
        <v>111</v>
      </c>
      <c r="K118" s="2">
        <v>1784.4</v>
      </c>
      <c r="L118" s="2" t="s">
        <v>392</v>
      </c>
      <c r="M118" s="2" t="s">
        <v>393</v>
      </c>
      <c r="N118" s="2">
        <v>1715.7</v>
      </c>
      <c r="O118" s="2" t="s">
        <v>634</v>
      </c>
      <c r="P118" s="2" t="s">
        <v>635</v>
      </c>
      <c r="Q118" s="2">
        <v>1297.0999999999999</v>
      </c>
      <c r="R118" s="2" t="s">
        <v>84</v>
      </c>
      <c r="S118" s="2" t="s">
        <v>85</v>
      </c>
      <c r="T118" s="2">
        <v>1290.5999999999999</v>
      </c>
    </row>
    <row r="119" spans="1:20" x14ac:dyDescent="0.25">
      <c r="A119" s="2" t="s">
        <v>638</v>
      </c>
      <c r="B119" s="2" t="s">
        <v>639</v>
      </c>
      <c r="C119" s="5">
        <f ca="1">[1]!thsiFinD("ths_int_chg_ratio_index",$A119,C$1,C$2)/100</f>
        <v>6.9246384162431007E-2</v>
      </c>
      <c r="D119" s="5">
        <f ca="1">[1]!thsiFinD("ths_int_chg_ratio_index",$A119,D$1,D$2)/100</f>
        <v>4.0964503184787997E-2</v>
      </c>
      <c r="E119" s="5">
        <f ca="1">[1]!thsiFinD("ths_int_chg_ratio_index",$A119,E$1,E$2)/100</f>
        <v>-5.1670527242556004E-2</v>
      </c>
      <c r="F119" s="2" t="s">
        <v>38</v>
      </c>
      <c r="G119" s="2" t="s">
        <v>39</v>
      </c>
      <c r="H119" s="2">
        <v>5083.3999999999996</v>
      </c>
      <c r="I119" s="2" t="s">
        <v>600</v>
      </c>
      <c r="J119" s="2" t="s">
        <v>601</v>
      </c>
      <c r="K119" s="2">
        <v>4462.8</v>
      </c>
      <c r="L119" s="2" t="s">
        <v>324</v>
      </c>
      <c r="M119" s="2" t="s">
        <v>325</v>
      </c>
      <c r="N119" s="2">
        <v>3072.8</v>
      </c>
      <c r="O119" s="2" t="s">
        <v>52</v>
      </c>
      <c r="P119" s="2" t="s">
        <v>53</v>
      </c>
      <c r="Q119" s="2">
        <v>2771.6</v>
      </c>
      <c r="R119" s="2" t="s">
        <v>572</v>
      </c>
      <c r="S119" s="2" t="s">
        <v>573</v>
      </c>
      <c r="T119" s="2">
        <v>2333.3000000000002</v>
      </c>
    </row>
    <row r="120" spans="1:20" x14ac:dyDescent="0.25">
      <c r="A120" s="2" t="s">
        <v>640</v>
      </c>
      <c r="B120" s="2" t="s">
        <v>641</v>
      </c>
      <c r="C120" s="5">
        <f ca="1">[1]!thsiFinD("ths_int_chg_ratio_index",$A120,C$1,C$2)/100</f>
        <v>6.8157592125811003E-2</v>
      </c>
      <c r="D120" s="5">
        <f ca="1">[1]!thsiFinD("ths_int_chg_ratio_index",$A120,D$1,D$2)/100</f>
        <v>2.6123032103732E-2</v>
      </c>
      <c r="E120" s="5">
        <f ca="1">[1]!thsiFinD("ths_int_chg_ratio_index",$A120,E$1,E$2)/100</f>
        <v>-2.9988431926407003E-2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x14ac:dyDescent="0.25">
      <c r="A121" s="2" t="s">
        <v>642</v>
      </c>
      <c r="B121" s="2" t="s">
        <v>643</v>
      </c>
      <c r="C121" s="5">
        <f ca="1">[1]!thsiFinD("ths_int_chg_ratio_index",$A121,C$1,C$2)/100</f>
        <v>6.7313831280750996E-2</v>
      </c>
      <c r="D121" s="5">
        <f ca="1">[1]!thsiFinD("ths_int_chg_ratio_index",$A121,D$1,D$2)/100</f>
        <v>3.4387055004259003E-2</v>
      </c>
      <c r="E121" s="5">
        <f ca="1">[1]!thsiFinD("ths_int_chg_ratio_index",$A121,E$1,E$2)/100</f>
        <v>3.3137727891002999E-2</v>
      </c>
      <c r="F121" s="2" t="s">
        <v>644</v>
      </c>
      <c r="G121" s="2" t="s">
        <v>645</v>
      </c>
      <c r="H121" s="2">
        <v>20335.900000000001</v>
      </c>
      <c r="I121" s="2" t="s">
        <v>646</v>
      </c>
      <c r="J121" s="2" t="s">
        <v>647</v>
      </c>
      <c r="K121" s="2">
        <v>19304.2</v>
      </c>
      <c r="L121" s="2" t="s">
        <v>270</v>
      </c>
      <c r="M121" s="2" t="s">
        <v>271</v>
      </c>
      <c r="N121" s="2">
        <v>16668.3</v>
      </c>
      <c r="O121" s="2" t="s">
        <v>648</v>
      </c>
      <c r="P121" s="2" t="s">
        <v>649</v>
      </c>
      <c r="Q121" s="2">
        <v>15512.1</v>
      </c>
      <c r="R121" s="2" t="s">
        <v>32</v>
      </c>
      <c r="S121" s="2" t="s">
        <v>33</v>
      </c>
      <c r="T121" s="2">
        <v>15494.3</v>
      </c>
    </row>
    <row r="122" spans="1:20" x14ac:dyDescent="0.25">
      <c r="A122" s="2" t="s">
        <v>650</v>
      </c>
      <c r="B122" s="2" t="s">
        <v>651</v>
      </c>
      <c r="C122" s="5">
        <f ca="1">[1]!thsiFinD("ths_int_chg_ratio_index",$A122,C$1,C$2)/100</f>
        <v>6.4719175569990003E-2</v>
      </c>
      <c r="D122" s="5">
        <f ca="1">[1]!thsiFinD("ths_int_chg_ratio_index",$A122,D$1,D$2)/100</f>
        <v>5.1578436890764995E-2</v>
      </c>
      <c r="E122" s="5">
        <f ca="1">[1]!thsiFinD("ths_int_chg_ratio_index",$A122,E$1,E$2)/100</f>
        <v>-2.8790876713314997E-2</v>
      </c>
      <c r="F122" s="2" t="s">
        <v>32</v>
      </c>
      <c r="G122" s="2" t="s">
        <v>33</v>
      </c>
      <c r="H122" s="2">
        <v>15494.3</v>
      </c>
      <c r="I122" s="2" t="s">
        <v>38</v>
      </c>
      <c r="J122" s="2" t="s">
        <v>39</v>
      </c>
      <c r="K122" s="2">
        <v>5083.3999999999996</v>
      </c>
      <c r="L122" s="2" t="s">
        <v>64</v>
      </c>
      <c r="M122" s="2" t="s">
        <v>65</v>
      </c>
      <c r="N122" s="2">
        <v>3192.6</v>
      </c>
      <c r="O122" s="2" t="s">
        <v>52</v>
      </c>
      <c r="P122" s="2" t="s">
        <v>53</v>
      </c>
      <c r="Q122" s="2">
        <v>2771.6</v>
      </c>
      <c r="R122" s="2" t="s">
        <v>100</v>
      </c>
      <c r="S122" s="2" t="s">
        <v>101</v>
      </c>
      <c r="T122" s="2">
        <v>2769.2</v>
      </c>
    </row>
    <row r="123" spans="1:20" x14ac:dyDescent="0.25">
      <c r="A123" s="2" t="s">
        <v>652</v>
      </c>
      <c r="B123" s="2" t="s">
        <v>653</v>
      </c>
      <c r="C123" s="5">
        <f ca="1">[1]!thsiFinD("ths_int_chg_ratio_index",$A123,C$1,C$2)/100</f>
        <v>6.5716159026529997E-2</v>
      </c>
      <c r="D123" s="5">
        <f ca="1">[1]!thsiFinD("ths_int_chg_ratio_index",$A123,D$1,D$2)/100</f>
        <v>4.2267555936235005E-2</v>
      </c>
      <c r="E123" s="5">
        <f ca="1">[1]!thsiFinD("ths_int_chg_ratio_index",$A123,E$1,E$2)/100</f>
        <v>-3.5247179724717997E-2</v>
      </c>
      <c r="F123" s="2" t="s">
        <v>420</v>
      </c>
      <c r="G123" s="2" t="s">
        <v>421</v>
      </c>
      <c r="H123" s="2">
        <v>2719.8</v>
      </c>
      <c r="I123" s="2" t="s">
        <v>110</v>
      </c>
      <c r="J123" s="2" t="s">
        <v>111</v>
      </c>
      <c r="K123" s="2">
        <v>1784.4</v>
      </c>
      <c r="L123" s="2" t="s">
        <v>654</v>
      </c>
      <c r="M123" s="2" t="s">
        <v>655</v>
      </c>
      <c r="N123" s="2">
        <v>1580.8</v>
      </c>
      <c r="O123" s="2" t="s">
        <v>656</v>
      </c>
      <c r="P123" s="2" t="s">
        <v>657</v>
      </c>
      <c r="Q123" s="2">
        <v>1556.7</v>
      </c>
      <c r="R123" s="2" t="s">
        <v>272</v>
      </c>
      <c r="S123" s="2" t="s">
        <v>273</v>
      </c>
      <c r="T123" s="2">
        <v>1490.4</v>
      </c>
    </row>
    <row r="124" spans="1:20" x14ac:dyDescent="0.25">
      <c r="A124" s="2" t="s">
        <v>658</v>
      </c>
      <c r="B124" s="2" t="s">
        <v>659</v>
      </c>
      <c r="C124" s="5">
        <f ca="1">[1]!thsiFinD("ths_int_chg_ratio_index",$A124,C$1,C$2)/100</f>
        <v>7.6749154845029005E-2</v>
      </c>
      <c r="D124" s="5">
        <f ca="1">[1]!thsiFinD("ths_int_chg_ratio_index",$A124,D$1,D$2)/100</f>
        <v>6.7691771487649002E-2</v>
      </c>
      <c r="E124" s="5">
        <f ca="1">[1]!thsiFinD("ths_int_chg_ratio_index",$A124,E$1,E$2)/100</f>
        <v>-1.141701191703E-2</v>
      </c>
      <c r="F124" s="2" t="s">
        <v>224</v>
      </c>
      <c r="G124" s="2" t="s">
        <v>225</v>
      </c>
      <c r="H124" s="2">
        <v>5352.5</v>
      </c>
      <c r="I124" s="2" t="s">
        <v>38</v>
      </c>
      <c r="J124" s="2" t="s">
        <v>39</v>
      </c>
      <c r="K124" s="2">
        <v>5083.3999999999996</v>
      </c>
      <c r="L124" s="2" t="s">
        <v>78</v>
      </c>
      <c r="M124" s="2" t="s">
        <v>79</v>
      </c>
      <c r="N124" s="2">
        <v>4204.8</v>
      </c>
      <c r="O124" s="2" t="s">
        <v>44</v>
      </c>
      <c r="P124" s="2" t="s">
        <v>45</v>
      </c>
      <c r="Q124" s="2">
        <v>3784.7</v>
      </c>
      <c r="R124" s="2" t="s">
        <v>64</v>
      </c>
      <c r="S124" s="2" t="s">
        <v>65</v>
      </c>
      <c r="T124" s="2">
        <v>3192.6</v>
      </c>
    </row>
    <row r="125" spans="1:20" x14ac:dyDescent="0.25">
      <c r="A125" s="2" t="s">
        <v>660</v>
      </c>
      <c r="B125" s="2" t="s">
        <v>661</v>
      </c>
      <c r="C125" s="5">
        <f ca="1">[1]!thsiFinD("ths_int_chg_ratio_index",$A125,C$1,C$2)/100</f>
        <v>6.0468419172759996E-2</v>
      </c>
      <c r="D125" s="5">
        <f ca="1">[1]!thsiFinD("ths_int_chg_ratio_index",$A125,D$1,D$2)/100</f>
        <v>3.6981882573209002E-2</v>
      </c>
      <c r="E125" s="5">
        <f ca="1">[1]!thsiFinD("ths_int_chg_ratio_index",$A125,E$1,E$2)/100</f>
        <v>-2.7897782260764999E-2</v>
      </c>
      <c r="F125" s="2" t="s">
        <v>38</v>
      </c>
      <c r="G125" s="2" t="s">
        <v>39</v>
      </c>
      <c r="H125" s="2">
        <v>5083.3999999999996</v>
      </c>
      <c r="I125" s="2" t="s">
        <v>64</v>
      </c>
      <c r="J125" s="2" t="s">
        <v>65</v>
      </c>
      <c r="K125" s="2">
        <v>3192.6</v>
      </c>
      <c r="L125" s="2" t="s">
        <v>324</v>
      </c>
      <c r="M125" s="2" t="s">
        <v>325</v>
      </c>
      <c r="N125" s="2">
        <v>3072.8</v>
      </c>
      <c r="O125" s="2" t="s">
        <v>60</v>
      </c>
      <c r="P125" s="2" t="s">
        <v>61</v>
      </c>
      <c r="Q125" s="2">
        <v>3016.9</v>
      </c>
      <c r="R125" s="2" t="s">
        <v>186</v>
      </c>
      <c r="S125" s="2" t="s">
        <v>187</v>
      </c>
      <c r="T125" s="2">
        <v>1821.2</v>
      </c>
    </row>
    <row r="126" spans="1:20" x14ac:dyDescent="0.25">
      <c r="A126" s="2" t="s">
        <v>662</v>
      </c>
      <c r="B126" s="2" t="s">
        <v>663</v>
      </c>
      <c r="C126" s="5">
        <f ca="1">[1]!thsiFinD("ths_int_chg_ratio_index",$A126,C$1,C$2)/100</f>
        <v>6.7863306320134001E-2</v>
      </c>
      <c r="D126" s="5">
        <f ca="1">[1]!thsiFinD("ths_int_chg_ratio_index",$A126,D$1,D$2)/100</f>
        <v>3.9983951892856001E-2</v>
      </c>
      <c r="E126" s="5">
        <f ca="1">[1]!thsiFinD("ths_int_chg_ratio_index",$A126,E$1,E$2)/100</f>
        <v>-3.3232101997411001E-2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x14ac:dyDescent="0.25">
      <c r="A127" s="2" t="s">
        <v>664</v>
      </c>
      <c r="B127" s="2" t="s">
        <v>665</v>
      </c>
      <c r="C127" s="5">
        <f ca="1">[1]!thsiFinD("ths_int_chg_ratio_index",$A127,C$1,C$2)/100</f>
        <v>3.5912169959676998E-2</v>
      </c>
      <c r="D127" s="5">
        <f ca="1">[1]!thsiFinD("ths_int_chg_ratio_index",$A127,D$1,D$2)/100</f>
        <v>-5.8225228634043995E-2</v>
      </c>
      <c r="E127" s="5">
        <f ca="1">[1]!thsiFinD("ths_int_chg_ratio_index",$A127,E$1,E$2)/100</f>
        <v>-3.9388719238213001E-2</v>
      </c>
      <c r="F127" s="2" t="s">
        <v>666</v>
      </c>
      <c r="G127" s="2" t="s">
        <v>667</v>
      </c>
      <c r="H127" s="2">
        <v>6804.2</v>
      </c>
      <c r="I127" s="2" t="s">
        <v>668</v>
      </c>
      <c r="J127" s="2" t="s">
        <v>669</v>
      </c>
      <c r="K127" s="2">
        <v>2226.9</v>
      </c>
      <c r="L127" s="2" t="s">
        <v>602</v>
      </c>
      <c r="M127" s="2" t="s">
        <v>603</v>
      </c>
      <c r="N127" s="2">
        <v>1577.4</v>
      </c>
      <c r="O127" s="2" t="s">
        <v>670</v>
      </c>
      <c r="P127" s="2" t="s">
        <v>671</v>
      </c>
      <c r="Q127" s="2">
        <v>1235.5</v>
      </c>
      <c r="R127" s="2" t="s">
        <v>254</v>
      </c>
      <c r="S127" s="2" t="s">
        <v>255</v>
      </c>
      <c r="T127" s="2">
        <v>1178.3</v>
      </c>
    </row>
    <row r="128" spans="1:20" x14ac:dyDescent="0.25">
      <c r="A128" s="2" t="s">
        <v>672</v>
      </c>
      <c r="B128" s="2" t="s">
        <v>673</v>
      </c>
      <c r="C128" s="5">
        <f ca="1">[1]!thsiFinD("ths_int_chg_ratio_index",$A128,C$1,C$2)/100</f>
        <v>4.9675550307999E-2</v>
      </c>
      <c r="D128" s="5">
        <f ca="1">[1]!thsiFinD("ths_int_chg_ratio_index",$A128,D$1,D$2)/100</f>
        <v>1.1837141904605998E-2</v>
      </c>
      <c r="E128" s="5">
        <f ca="1">[1]!thsiFinD("ths_int_chg_ratio_index",$A128,E$1,E$2)/100</f>
        <v>-7.7518797420442001E-2</v>
      </c>
      <c r="F128" s="2" t="s">
        <v>572</v>
      </c>
      <c r="G128" s="2" t="s">
        <v>573</v>
      </c>
      <c r="H128" s="2">
        <v>2333.3000000000002</v>
      </c>
      <c r="I128" s="2" t="s">
        <v>102</v>
      </c>
      <c r="J128" s="2" t="s">
        <v>103</v>
      </c>
      <c r="K128" s="2">
        <v>2316.5</v>
      </c>
      <c r="L128" s="2" t="s">
        <v>246</v>
      </c>
      <c r="M128" s="2" t="s">
        <v>247</v>
      </c>
      <c r="N128" s="2">
        <v>1846.7</v>
      </c>
      <c r="O128" s="2" t="s">
        <v>254</v>
      </c>
      <c r="P128" s="2" t="s">
        <v>255</v>
      </c>
      <c r="Q128" s="2">
        <v>1178.3</v>
      </c>
      <c r="R128" s="2" t="s">
        <v>298</v>
      </c>
      <c r="S128" s="2" t="s">
        <v>299</v>
      </c>
      <c r="T128" s="2">
        <v>922.2</v>
      </c>
    </row>
    <row r="129" spans="1:20" x14ac:dyDescent="0.25">
      <c r="A129" s="2" t="s">
        <v>674</v>
      </c>
      <c r="B129" s="2" t="s">
        <v>675</v>
      </c>
      <c r="C129" s="5">
        <f ca="1">[1]!thsiFinD("ths_int_chg_ratio_index",$A129,C$1,C$2)/100</f>
        <v>4.8945950086633994E-2</v>
      </c>
      <c r="D129" s="5">
        <f ca="1">[1]!thsiFinD("ths_int_chg_ratio_index",$A129,D$1,D$2)/100</f>
        <v>2.1715465293424E-2</v>
      </c>
      <c r="E129" s="5">
        <f ca="1">[1]!thsiFinD("ths_int_chg_ratio_index",$A129,E$1,E$2)/100</f>
        <v>-5.0010789943159002E-2</v>
      </c>
      <c r="F129" s="2" t="s">
        <v>648</v>
      </c>
      <c r="G129" s="2" t="s">
        <v>649</v>
      </c>
      <c r="H129" s="2">
        <v>15512.1</v>
      </c>
      <c r="I129" s="2" t="s">
        <v>404</v>
      </c>
      <c r="J129" s="2" t="s">
        <v>405</v>
      </c>
      <c r="K129" s="2">
        <v>6116.7</v>
      </c>
      <c r="L129" s="2" t="s">
        <v>600</v>
      </c>
      <c r="M129" s="2" t="s">
        <v>601</v>
      </c>
      <c r="N129" s="2">
        <v>4462.8</v>
      </c>
      <c r="O129" s="2" t="s">
        <v>572</v>
      </c>
      <c r="P129" s="2" t="s">
        <v>573</v>
      </c>
      <c r="Q129" s="2">
        <v>2333.3000000000002</v>
      </c>
      <c r="R129" s="2" t="s">
        <v>20</v>
      </c>
      <c r="S129" s="2" t="s">
        <v>21</v>
      </c>
      <c r="T129" s="2">
        <v>1930</v>
      </c>
    </row>
    <row r="130" spans="1:20" x14ac:dyDescent="0.25">
      <c r="A130" s="2" t="s">
        <v>676</v>
      </c>
      <c r="B130" s="2" t="s">
        <v>677</v>
      </c>
      <c r="C130" s="5">
        <f ca="1">[1]!thsiFinD("ths_int_chg_ratio_index",$A130,C$1,C$2)/100</f>
        <v>5.3563969215871997E-2</v>
      </c>
      <c r="D130" s="5">
        <f ca="1">[1]!thsiFinD("ths_int_chg_ratio_index",$A130,D$1,D$2)/100</f>
        <v>3.1351668649265002E-3</v>
      </c>
      <c r="E130" s="5">
        <f ca="1">[1]!thsiFinD("ths_int_chg_ratio_index",$A130,E$1,E$2)/100</f>
        <v>-5.6841789126600997E-2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x14ac:dyDescent="0.25">
      <c r="A131" s="2" t="s">
        <v>678</v>
      </c>
      <c r="B131" s="2" t="s">
        <v>679</v>
      </c>
      <c r="C131" s="5">
        <f ca="1">[1]!thsiFinD("ths_int_chg_ratio_index",$A131,C$1,C$2)/100</f>
        <v>5.0150986736557004E-2</v>
      </c>
      <c r="D131" s="5">
        <f ca="1">[1]!thsiFinD("ths_int_chg_ratio_index",$A131,D$1,D$2)/100</f>
        <v>2.0053370794698998E-2</v>
      </c>
      <c r="E131" s="5">
        <f ca="1">[1]!thsiFinD("ths_int_chg_ratio_index",$A131,E$1,E$2)/100</f>
        <v>-2.7441276612290001E-2</v>
      </c>
      <c r="F131" s="2" t="s">
        <v>644</v>
      </c>
      <c r="G131" s="2" t="s">
        <v>645</v>
      </c>
      <c r="H131" s="2">
        <v>20335.900000000001</v>
      </c>
      <c r="I131" s="2" t="s">
        <v>646</v>
      </c>
      <c r="J131" s="2" t="s">
        <v>647</v>
      </c>
      <c r="K131" s="2">
        <v>19304.2</v>
      </c>
      <c r="L131" s="2" t="s">
        <v>648</v>
      </c>
      <c r="M131" s="2" t="s">
        <v>649</v>
      </c>
      <c r="N131" s="2">
        <v>15512.1</v>
      </c>
      <c r="O131" s="2" t="s">
        <v>32</v>
      </c>
      <c r="P131" s="2" t="s">
        <v>33</v>
      </c>
      <c r="Q131" s="2">
        <v>15494.3</v>
      </c>
      <c r="R131" s="2" t="s">
        <v>680</v>
      </c>
      <c r="S131" s="2" t="s">
        <v>681</v>
      </c>
      <c r="T131" s="2">
        <v>15188.5</v>
      </c>
    </row>
    <row r="132" spans="1:20" x14ac:dyDescent="0.25">
      <c r="A132" s="2" t="s">
        <v>682</v>
      </c>
      <c r="B132" s="2" t="s">
        <v>683</v>
      </c>
      <c r="C132" s="5">
        <f ca="1">[1]!thsiFinD("ths_int_chg_ratio_index",$A132,C$1,C$2)/100</f>
        <v>3.4178153407660998E-2</v>
      </c>
      <c r="D132" s="5">
        <f ca="1">[1]!thsiFinD("ths_int_chg_ratio_index",$A132,D$1,D$2)/100</f>
        <v>-6.5489277016724003E-3</v>
      </c>
      <c r="E132" s="5">
        <f ca="1">[1]!thsiFinD("ths_int_chg_ratio_index",$A132,E$1,E$2)/100</f>
        <v>-6.6063364020987003E-2</v>
      </c>
      <c r="F132" s="2" t="s">
        <v>666</v>
      </c>
      <c r="G132" s="2" t="s">
        <v>667</v>
      </c>
      <c r="H132" s="2">
        <v>6804.2</v>
      </c>
      <c r="I132" s="2" t="s">
        <v>540</v>
      </c>
      <c r="J132" s="2" t="s">
        <v>541</v>
      </c>
      <c r="K132" s="2">
        <v>6523.2</v>
      </c>
      <c r="L132" s="2" t="s">
        <v>684</v>
      </c>
      <c r="M132" s="2" t="s">
        <v>685</v>
      </c>
      <c r="N132" s="2">
        <v>3088.7</v>
      </c>
      <c r="O132" s="2" t="s">
        <v>440</v>
      </c>
      <c r="P132" s="2" t="s">
        <v>441</v>
      </c>
      <c r="Q132" s="2">
        <v>2161.6</v>
      </c>
      <c r="R132" s="2" t="s">
        <v>20</v>
      </c>
      <c r="S132" s="2" t="s">
        <v>21</v>
      </c>
      <c r="T132" s="2">
        <v>1930</v>
      </c>
    </row>
    <row r="133" spans="1:20" x14ac:dyDescent="0.25">
      <c r="A133" s="2" t="s">
        <v>686</v>
      </c>
      <c r="B133" s="2" t="s">
        <v>687</v>
      </c>
      <c r="C133" s="5">
        <f ca="1">[1]!thsiFinD("ths_int_chg_ratio_index",$A133,C$1,C$2)/100</f>
        <v>4.7077655091844001E-2</v>
      </c>
      <c r="D133" s="5">
        <f ca="1">[1]!thsiFinD("ths_int_chg_ratio_index",$A133,D$1,D$2)/100</f>
        <v>3.7509980168439004E-2</v>
      </c>
      <c r="E133" s="5">
        <f ca="1">[1]!thsiFinD("ths_int_chg_ratio_index",$A133,E$1,E$2)/100</f>
        <v>-3.7483312147046999E-3</v>
      </c>
      <c r="F133" s="2" t="s">
        <v>440</v>
      </c>
      <c r="G133" s="2" t="s">
        <v>441</v>
      </c>
      <c r="H133" s="2">
        <v>2161.6</v>
      </c>
      <c r="I133" s="2" t="s">
        <v>154</v>
      </c>
      <c r="J133" s="2" t="s">
        <v>155</v>
      </c>
      <c r="K133" s="2">
        <v>1211</v>
      </c>
      <c r="L133" s="2" t="s">
        <v>604</v>
      </c>
      <c r="M133" s="2" t="s">
        <v>605</v>
      </c>
      <c r="N133" s="2">
        <v>1046.8</v>
      </c>
      <c r="O133" s="2" t="s">
        <v>442</v>
      </c>
      <c r="P133" s="2" t="s">
        <v>443</v>
      </c>
      <c r="Q133" s="2">
        <v>765.9</v>
      </c>
      <c r="R133" s="2" t="s">
        <v>688</v>
      </c>
      <c r="S133" s="2" t="s">
        <v>689</v>
      </c>
      <c r="T133" s="2">
        <v>735.8</v>
      </c>
    </row>
    <row r="134" spans="1:20" x14ac:dyDescent="0.25">
      <c r="A134" s="2" t="s">
        <v>690</v>
      </c>
      <c r="B134" s="2" t="s">
        <v>691</v>
      </c>
      <c r="C134" s="5">
        <f ca="1">[1]!thsiFinD("ths_int_chg_ratio_index",$A134,C$1,C$2)/100</f>
        <v>6.7113871319552001E-2</v>
      </c>
      <c r="D134" s="5">
        <f ca="1">[1]!thsiFinD("ths_int_chg_ratio_index",$A134,D$1,D$2)/100</f>
        <v>4.9157720100536005E-2</v>
      </c>
      <c r="E134" s="5">
        <f ca="1">[1]!thsiFinD("ths_int_chg_ratio_index",$A134,E$1,E$2)/100</f>
        <v>-9.280977702431999E-3</v>
      </c>
      <c r="F134" s="2" t="s">
        <v>110</v>
      </c>
      <c r="G134" s="2" t="s">
        <v>111</v>
      </c>
      <c r="H134" s="2">
        <v>1784.4</v>
      </c>
      <c r="I134" s="2" t="s">
        <v>692</v>
      </c>
      <c r="J134" s="2" t="s">
        <v>693</v>
      </c>
      <c r="K134" s="2">
        <v>1039.9000000000001</v>
      </c>
      <c r="L134" s="2" t="s">
        <v>694</v>
      </c>
      <c r="M134" s="2" t="s">
        <v>695</v>
      </c>
      <c r="N134" s="2">
        <v>980.1</v>
      </c>
      <c r="O134" s="2" t="s">
        <v>298</v>
      </c>
      <c r="P134" s="2" t="s">
        <v>299</v>
      </c>
      <c r="Q134" s="2">
        <v>922.2</v>
      </c>
      <c r="R134" s="2" t="s">
        <v>696</v>
      </c>
      <c r="S134" s="2" t="s">
        <v>697</v>
      </c>
      <c r="T134" s="2">
        <v>682.9</v>
      </c>
    </row>
    <row r="135" spans="1:20" x14ac:dyDescent="0.25">
      <c r="A135" s="2" t="s">
        <v>698</v>
      </c>
      <c r="B135" s="2" t="s">
        <v>699</v>
      </c>
      <c r="C135" s="5">
        <f ca="1">[1]!thsiFinD("ths_int_chg_ratio_index",$A135,C$1,C$2)/100</f>
        <v>4.4129537902131005E-2</v>
      </c>
      <c r="D135" s="5">
        <f ca="1">[1]!thsiFinD("ths_int_chg_ratio_index",$A135,D$1,D$2)/100</f>
        <v>2.3229363653050998E-2</v>
      </c>
      <c r="E135" s="5">
        <f ca="1">[1]!thsiFinD("ths_int_chg_ratio_index",$A135,E$1,E$2)/100</f>
        <v>-5.1325066422144003E-2</v>
      </c>
      <c r="F135" s="2" t="s">
        <v>420</v>
      </c>
      <c r="G135" s="2" t="s">
        <v>421</v>
      </c>
      <c r="H135" s="2">
        <v>2719.8</v>
      </c>
      <c r="I135" s="2" t="s">
        <v>130</v>
      </c>
      <c r="J135" s="2" t="s">
        <v>131</v>
      </c>
      <c r="K135" s="2">
        <v>2714.4</v>
      </c>
      <c r="L135" s="2" t="s">
        <v>20</v>
      </c>
      <c r="M135" s="2" t="s">
        <v>21</v>
      </c>
      <c r="N135" s="2">
        <v>1930</v>
      </c>
      <c r="O135" s="2" t="s">
        <v>108</v>
      </c>
      <c r="P135" s="2" t="s">
        <v>109</v>
      </c>
      <c r="Q135" s="2">
        <v>1916.1</v>
      </c>
      <c r="R135" s="2" t="s">
        <v>700</v>
      </c>
      <c r="S135" s="2" t="s">
        <v>701</v>
      </c>
      <c r="T135" s="2">
        <v>1351.7</v>
      </c>
    </row>
    <row r="136" spans="1:20" x14ac:dyDescent="0.25">
      <c r="A136" s="2" t="s">
        <v>702</v>
      </c>
      <c r="B136" s="2" t="s">
        <v>703</v>
      </c>
      <c r="C136" s="5">
        <f ca="1">[1]!thsiFinD("ths_int_chg_ratio_index",$A136,C$1,C$2)/100</f>
        <v>5.1954017321567E-2</v>
      </c>
      <c r="D136" s="5">
        <f ca="1">[1]!thsiFinD("ths_int_chg_ratio_index",$A136,D$1,D$2)/100</f>
        <v>5.5765070877389002E-2</v>
      </c>
      <c r="E136" s="5">
        <f ca="1">[1]!thsiFinD("ths_int_chg_ratio_index",$A136,E$1,E$2)/100</f>
        <v>-2.0485752858782E-2</v>
      </c>
      <c r="F136" s="2" t="s">
        <v>204</v>
      </c>
      <c r="G136" s="2" t="s">
        <v>205</v>
      </c>
      <c r="H136" s="2">
        <v>4409.3999999999996</v>
      </c>
      <c r="I136" s="2" t="s">
        <v>110</v>
      </c>
      <c r="J136" s="2" t="s">
        <v>111</v>
      </c>
      <c r="K136" s="2">
        <v>1784.4</v>
      </c>
      <c r="L136" s="2" t="s">
        <v>210</v>
      </c>
      <c r="M136" s="2" t="s">
        <v>211</v>
      </c>
      <c r="N136" s="2">
        <v>1526.1</v>
      </c>
      <c r="O136" s="2" t="s">
        <v>632</v>
      </c>
      <c r="P136" s="2" t="s">
        <v>633</v>
      </c>
      <c r="Q136" s="2">
        <v>1326.4</v>
      </c>
      <c r="R136" s="2" t="s">
        <v>412</v>
      </c>
      <c r="S136" s="2" t="s">
        <v>413</v>
      </c>
      <c r="T136" s="2">
        <v>965.7</v>
      </c>
    </row>
    <row r="137" spans="1:20" x14ac:dyDescent="0.25">
      <c r="A137" s="2" t="s">
        <v>704</v>
      </c>
      <c r="B137" s="2" t="s">
        <v>705</v>
      </c>
      <c r="C137" s="5">
        <f ca="1">[1]!thsiFinD("ths_int_chg_ratio_index",$A137,C$1,C$2)/100</f>
        <v>3.9153258913753999E-2</v>
      </c>
      <c r="D137" s="5">
        <f ca="1">[1]!thsiFinD("ths_int_chg_ratio_index",$A137,D$1,D$2)/100</f>
        <v>2.6085869040226001E-2</v>
      </c>
      <c r="E137" s="5">
        <f ca="1">[1]!thsiFinD("ths_int_chg_ratio_index",$A137,E$1,E$2)/100</f>
        <v>-3.8499500432891E-2</v>
      </c>
      <c r="F137" s="2" t="s">
        <v>270</v>
      </c>
      <c r="G137" s="2" t="s">
        <v>271</v>
      </c>
      <c r="H137" s="2">
        <v>16668.3</v>
      </c>
      <c r="I137" s="2" t="s">
        <v>324</v>
      </c>
      <c r="J137" s="2" t="s">
        <v>325</v>
      </c>
      <c r="K137" s="2">
        <v>3072.8</v>
      </c>
      <c r="L137" s="2" t="s">
        <v>260</v>
      </c>
      <c r="M137" s="2" t="s">
        <v>261</v>
      </c>
      <c r="N137" s="2">
        <v>1408.2</v>
      </c>
      <c r="O137" s="2" t="s">
        <v>332</v>
      </c>
      <c r="P137" s="2" t="s">
        <v>333</v>
      </c>
      <c r="Q137" s="2">
        <v>1335</v>
      </c>
      <c r="R137" s="2" t="s">
        <v>706</v>
      </c>
      <c r="S137" s="2" t="s">
        <v>707</v>
      </c>
      <c r="T137" s="2">
        <v>1202.4000000000001</v>
      </c>
    </row>
    <row r="138" spans="1:20" x14ac:dyDescent="0.25">
      <c r="A138" s="2" t="s">
        <v>708</v>
      </c>
      <c r="B138" s="2" t="s">
        <v>709</v>
      </c>
      <c r="C138" s="5">
        <f ca="1">[1]!thsiFinD("ths_int_chg_ratio_index",$A138,C$1,C$2)/100</f>
        <v>4.3530618866406003E-2</v>
      </c>
      <c r="D138" s="5">
        <f ca="1">[1]!thsiFinD("ths_int_chg_ratio_index",$A138,D$1,D$2)/100</f>
        <v>2.7705605248518998E-2</v>
      </c>
      <c r="E138" s="5">
        <f ca="1">[1]!thsiFinD("ths_int_chg_ratio_index",$A138,E$1,E$2)/100</f>
        <v>-3.4497365141055003E-2</v>
      </c>
      <c r="F138" s="2" t="s">
        <v>644</v>
      </c>
      <c r="G138" s="2" t="s">
        <v>645</v>
      </c>
      <c r="H138" s="2">
        <v>20335.900000000001</v>
      </c>
      <c r="I138" s="2" t="s">
        <v>646</v>
      </c>
      <c r="J138" s="2" t="s">
        <v>647</v>
      </c>
      <c r="K138" s="2">
        <v>19304.2</v>
      </c>
      <c r="L138" s="2" t="s">
        <v>270</v>
      </c>
      <c r="M138" s="2" t="s">
        <v>271</v>
      </c>
      <c r="N138" s="2">
        <v>16668.3</v>
      </c>
      <c r="O138" s="2" t="s">
        <v>648</v>
      </c>
      <c r="P138" s="2" t="s">
        <v>649</v>
      </c>
      <c r="Q138" s="2">
        <v>15512.1</v>
      </c>
      <c r="R138" s="2" t="s">
        <v>32</v>
      </c>
      <c r="S138" s="2" t="s">
        <v>33</v>
      </c>
      <c r="T138" s="2">
        <v>15494.3</v>
      </c>
    </row>
    <row r="139" spans="1:20" x14ac:dyDescent="0.25">
      <c r="A139" s="2" t="s">
        <v>710</v>
      </c>
      <c r="B139" s="2" t="s">
        <v>711</v>
      </c>
      <c r="C139" s="5">
        <f ca="1">[1]!thsiFinD("ths_int_chg_ratio_index",$A139,C$1,C$2)/100</f>
        <v>4.4686603930762001E-2</v>
      </c>
      <c r="D139" s="5">
        <f ca="1">[1]!thsiFinD("ths_int_chg_ratio_index",$A139,D$1,D$2)/100</f>
        <v>2.9676399177438001E-2</v>
      </c>
      <c r="E139" s="5">
        <f ca="1">[1]!thsiFinD("ths_int_chg_ratio_index",$A139,E$1,E$2)/100</f>
        <v>-2.9600109479099E-2</v>
      </c>
      <c r="F139" s="2" t="s">
        <v>712</v>
      </c>
      <c r="G139" s="2" t="s">
        <v>713</v>
      </c>
      <c r="H139" s="2">
        <v>855</v>
      </c>
      <c r="I139" s="2" t="s">
        <v>714</v>
      </c>
      <c r="J139" s="2" t="s">
        <v>715</v>
      </c>
      <c r="K139" s="2">
        <v>347.7</v>
      </c>
      <c r="L139" s="2" t="s">
        <v>528</v>
      </c>
      <c r="M139" s="2" t="s">
        <v>529</v>
      </c>
      <c r="N139" s="2">
        <v>339</v>
      </c>
      <c r="O139" s="2" t="s">
        <v>716</v>
      </c>
      <c r="P139" s="2" t="s">
        <v>717</v>
      </c>
      <c r="Q139" s="2">
        <v>329</v>
      </c>
      <c r="R139" s="2" t="s">
        <v>718</v>
      </c>
      <c r="S139" s="2" t="s">
        <v>719</v>
      </c>
      <c r="T139" s="2">
        <v>215.8</v>
      </c>
    </row>
    <row r="140" spans="1:20" x14ac:dyDescent="0.25">
      <c r="A140" s="2" t="s">
        <v>720</v>
      </c>
      <c r="B140" s="2" t="s">
        <v>721</v>
      </c>
      <c r="C140" s="5">
        <f ca="1">[1]!thsiFinD("ths_int_chg_ratio_index",$A140,C$1,C$2)/100</f>
        <v>4.3518919340396998E-2</v>
      </c>
      <c r="D140" s="5">
        <f ca="1">[1]!thsiFinD("ths_int_chg_ratio_index",$A140,D$1,D$2)/100</f>
        <v>3.5005029596213003E-2</v>
      </c>
      <c r="E140" s="5">
        <f ca="1">[1]!thsiFinD("ths_int_chg_ratio_index",$A140,E$1,E$2)/100</f>
        <v>-2.8875025522561999E-2</v>
      </c>
      <c r="F140" s="2" t="s">
        <v>32</v>
      </c>
      <c r="G140" s="2" t="s">
        <v>33</v>
      </c>
      <c r="H140" s="2">
        <v>15494.3</v>
      </c>
      <c r="I140" s="2" t="s">
        <v>38</v>
      </c>
      <c r="J140" s="2" t="s">
        <v>39</v>
      </c>
      <c r="K140" s="2">
        <v>5083.3999999999996</v>
      </c>
      <c r="L140" s="2" t="s">
        <v>722</v>
      </c>
      <c r="M140" s="2" t="s">
        <v>723</v>
      </c>
      <c r="N140" s="2">
        <v>3665.4</v>
      </c>
      <c r="O140" s="2" t="s">
        <v>64</v>
      </c>
      <c r="P140" s="2" t="s">
        <v>65</v>
      </c>
      <c r="Q140" s="2">
        <v>3192.6</v>
      </c>
      <c r="R140" s="2" t="s">
        <v>66</v>
      </c>
      <c r="S140" s="2" t="s">
        <v>67</v>
      </c>
      <c r="T140" s="2">
        <v>2843.8</v>
      </c>
    </row>
    <row r="141" spans="1:20" x14ac:dyDescent="0.25">
      <c r="A141" s="2" t="s">
        <v>724</v>
      </c>
      <c r="B141" s="2" t="s">
        <v>725</v>
      </c>
      <c r="C141" s="5">
        <f ca="1">[1]!thsiFinD("ths_int_chg_ratio_index",$A141,C$1,C$2)/100</f>
        <v>4.6975397562500999E-2</v>
      </c>
      <c r="D141" s="5">
        <f ca="1">[1]!thsiFinD("ths_int_chg_ratio_index",$A141,D$1,D$2)/100</f>
        <v>4.3007702082905004E-2</v>
      </c>
      <c r="E141" s="5">
        <f ca="1">[1]!thsiFinD("ths_int_chg_ratio_index",$A141,E$1,E$2)/100</f>
        <v>-8.9915327901426007E-3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x14ac:dyDescent="0.25">
      <c r="A142" s="2" t="s">
        <v>726</v>
      </c>
      <c r="B142" s="2" t="s">
        <v>727</v>
      </c>
      <c r="C142" s="5">
        <f ca="1">[1]!thsiFinD("ths_int_chg_ratio_index",$A142,C$1,C$2)/100</f>
        <v>4.7434363586429995E-2</v>
      </c>
      <c r="D142" s="5">
        <f ca="1">[1]!thsiFinD("ths_int_chg_ratio_index",$A142,D$1,D$2)/100</f>
        <v>4.8017950352266997E-2</v>
      </c>
      <c r="E142" s="5">
        <f ca="1">[1]!thsiFinD("ths_int_chg_ratio_index",$A142,E$1,E$2)/100</f>
        <v>-1.9022095029173E-2</v>
      </c>
      <c r="F142" s="2" t="s">
        <v>50</v>
      </c>
      <c r="G142" s="2" t="s">
        <v>51</v>
      </c>
      <c r="H142" s="2">
        <v>2922</v>
      </c>
      <c r="I142" s="2" t="s">
        <v>210</v>
      </c>
      <c r="J142" s="2" t="s">
        <v>211</v>
      </c>
      <c r="K142" s="2">
        <v>1526.1</v>
      </c>
      <c r="L142" s="2" t="s">
        <v>728</v>
      </c>
      <c r="M142" s="2" t="s">
        <v>729</v>
      </c>
      <c r="N142" s="2">
        <v>1504.9</v>
      </c>
      <c r="O142" s="2" t="s">
        <v>260</v>
      </c>
      <c r="P142" s="2" t="s">
        <v>261</v>
      </c>
      <c r="Q142" s="2">
        <v>1408.2</v>
      </c>
      <c r="R142" s="2" t="s">
        <v>700</v>
      </c>
      <c r="S142" s="2" t="s">
        <v>701</v>
      </c>
      <c r="T142" s="2">
        <v>1351.7</v>
      </c>
    </row>
    <row r="143" spans="1:20" x14ac:dyDescent="0.25">
      <c r="A143" s="2" t="s">
        <v>730</v>
      </c>
      <c r="B143" s="2" t="s">
        <v>731</v>
      </c>
      <c r="C143" s="5">
        <f ca="1">[1]!thsiFinD("ths_int_chg_ratio_index",$A143,C$1,C$2)/100</f>
        <v>4.0085769438070996E-2</v>
      </c>
      <c r="D143" s="5">
        <f ca="1">[1]!thsiFinD("ths_int_chg_ratio_index",$A143,D$1,D$2)/100</f>
        <v>3.2874143862149999E-2</v>
      </c>
      <c r="E143" s="5">
        <f ca="1">[1]!thsiFinD("ths_int_chg_ratio_index",$A143,E$1,E$2)/100</f>
        <v>-6.4236862609298007E-2</v>
      </c>
      <c r="F143" s="2" t="s">
        <v>732</v>
      </c>
      <c r="G143" s="2" t="s">
        <v>733</v>
      </c>
      <c r="H143" s="2">
        <v>389</v>
      </c>
      <c r="I143" s="2" t="s">
        <v>734</v>
      </c>
      <c r="J143" s="2" t="s">
        <v>735</v>
      </c>
      <c r="K143" s="2">
        <v>211.1</v>
      </c>
      <c r="L143" s="2" t="s">
        <v>736</v>
      </c>
      <c r="M143" s="2" t="s">
        <v>737</v>
      </c>
      <c r="N143" s="2">
        <v>177.6</v>
      </c>
      <c r="O143" s="2" t="s">
        <v>738</v>
      </c>
      <c r="P143" s="2" t="s">
        <v>739</v>
      </c>
      <c r="Q143" s="2">
        <v>152.80000000000001</v>
      </c>
      <c r="R143" s="2" t="s">
        <v>740</v>
      </c>
      <c r="S143" s="2" t="s">
        <v>741</v>
      </c>
      <c r="T143" s="2">
        <v>148.80000000000001</v>
      </c>
    </row>
    <row r="144" spans="1:20" x14ac:dyDescent="0.25">
      <c r="A144" s="2" t="s">
        <v>742</v>
      </c>
      <c r="B144" s="2" t="s">
        <v>743</v>
      </c>
      <c r="C144" s="5">
        <f ca="1">[1]!thsiFinD("ths_int_chg_ratio_index",$A144,C$1,C$2)/100</f>
        <v>5.9342371498930999E-2</v>
      </c>
      <c r="D144" s="5">
        <f ca="1">[1]!thsiFinD("ths_int_chg_ratio_index",$A144,D$1,D$2)/100</f>
        <v>7.2270410728366999E-2</v>
      </c>
      <c r="E144" s="5">
        <f ca="1">[1]!thsiFinD("ths_int_chg_ratio_index",$A144,E$1,E$2)/100</f>
        <v>-5.8800302874051996E-2</v>
      </c>
      <c r="F144" s="2" t="s">
        <v>172</v>
      </c>
      <c r="G144" s="2" t="s">
        <v>173</v>
      </c>
      <c r="H144" s="2">
        <v>457.9</v>
      </c>
      <c r="I144" s="2" t="s">
        <v>174</v>
      </c>
      <c r="J144" s="2" t="s">
        <v>175</v>
      </c>
      <c r="K144" s="2">
        <v>320.89999999999998</v>
      </c>
      <c r="L144" s="2" t="s">
        <v>176</v>
      </c>
      <c r="M144" s="2" t="s">
        <v>177</v>
      </c>
      <c r="N144" s="2">
        <v>202.2</v>
      </c>
      <c r="O144" s="2" t="s">
        <v>744</v>
      </c>
      <c r="P144" s="2" t="s">
        <v>745</v>
      </c>
      <c r="Q144" s="2">
        <v>178.3</v>
      </c>
      <c r="R144" s="2" t="s">
        <v>746</v>
      </c>
      <c r="S144" s="2" t="s">
        <v>747</v>
      </c>
      <c r="T144" s="2">
        <v>170.5</v>
      </c>
    </row>
    <row r="145" spans="1:20" x14ac:dyDescent="0.25">
      <c r="A145" s="2" t="s">
        <v>748</v>
      </c>
      <c r="B145" s="2" t="s">
        <v>749</v>
      </c>
      <c r="C145" s="5">
        <f ca="1">[1]!thsiFinD("ths_int_chg_ratio_index",$A145,C$1,C$2)/100</f>
        <v>4.1941135885677001E-2</v>
      </c>
      <c r="D145" s="5">
        <f ca="1">[1]!thsiFinD("ths_int_chg_ratio_index",$A145,D$1,D$2)/100</f>
        <v>5.2869898825015998E-2</v>
      </c>
      <c r="E145" s="5">
        <f ca="1">[1]!thsiFinD("ths_int_chg_ratio_index",$A145,E$1,E$2)/100</f>
        <v>-3.2802008653054E-2</v>
      </c>
      <c r="F145" s="2" t="s">
        <v>200</v>
      </c>
      <c r="G145" s="2" t="s">
        <v>201</v>
      </c>
      <c r="H145" s="2">
        <v>7623.8</v>
      </c>
      <c r="I145" s="2" t="s">
        <v>204</v>
      </c>
      <c r="J145" s="2" t="s">
        <v>205</v>
      </c>
      <c r="K145" s="2">
        <v>4409.3999999999996</v>
      </c>
      <c r="L145" s="2" t="s">
        <v>130</v>
      </c>
      <c r="M145" s="2" t="s">
        <v>131</v>
      </c>
      <c r="N145" s="2">
        <v>2714.4</v>
      </c>
      <c r="O145" s="2" t="s">
        <v>132</v>
      </c>
      <c r="P145" s="2" t="s">
        <v>133</v>
      </c>
      <c r="Q145" s="2">
        <v>2077.6999999999998</v>
      </c>
      <c r="R145" s="2" t="s">
        <v>20</v>
      </c>
      <c r="S145" s="2" t="s">
        <v>21</v>
      </c>
      <c r="T145" s="2">
        <v>1930</v>
      </c>
    </row>
    <row r="146" spans="1:20" x14ac:dyDescent="0.25">
      <c r="A146" s="2" t="s">
        <v>750</v>
      </c>
      <c r="B146" s="2" t="s">
        <v>751</v>
      </c>
      <c r="C146" s="5">
        <f ca="1">[1]!thsiFinD("ths_int_chg_ratio_index",$A146,C$1,C$2)/100</f>
        <v>3.7157387725390997E-2</v>
      </c>
      <c r="D146" s="5">
        <f ca="1">[1]!thsiFinD("ths_int_chg_ratio_index",$A146,D$1,D$2)/100</f>
        <v>3.6523288614755997E-2</v>
      </c>
      <c r="E146" s="5">
        <f ca="1">[1]!thsiFinD("ths_int_chg_ratio_index",$A146,E$1,E$2)/100</f>
        <v>-3.5430506649718002E-2</v>
      </c>
      <c r="F146" s="2" t="s">
        <v>48</v>
      </c>
      <c r="G146" s="2" t="s">
        <v>49</v>
      </c>
      <c r="H146" s="2">
        <v>2952.2</v>
      </c>
      <c r="I146" s="2" t="s">
        <v>550</v>
      </c>
      <c r="J146" s="2" t="s">
        <v>551</v>
      </c>
      <c r="K146" s="2">
        <v>1685.2</v>
      </c>
      <c r="L146" s="2" t="s">
        <v>272</v>
      </c>
      <c r="M146" s="2" t="s">
        <v>273</v>
      </c>
      <c r="N146" s="2">
        <v>1490.4</v>
      </c>
      <c r="O146" s="2" t="s">
        <v>260</v>
      </c>
      <c r="P146" s="2" t="s">
        <v>261</v>
      </c>
      <c r="Q146" s="2">
        <v>1408.2</v>
      </c>
      <c r="R146" s="2" t="s">
        <v>248</v>
      </c>
      <c r="S146" s="2" t="s">
        <v>249</v>
      </c>
      <c r="T146" s="2">
        <v>1362.4</v>
      </c>
    </row>
    <row r="147" spans="1:20" x14ac:dyDescent="0.25">
      <c r="A147" s="2" t="s">
        <v>752</v>
      </c>
      <c r="B147" s="2" t="s">
        <v>753</v>
      </c>
      <c r="C147" s="5">
        <f ca="1">[1]!thsiFinD("ths_int_chg_ratio_index",$A147,C$1,C$2)/100</f>
        <v>4.3554084037515005E-2</v>
      </c>
      <c r="D147" s="5">
        <f ca="1">[1]!thsiFinD("ths_int_chg_ratio_index",$A147,D$1,D$2)/100</f>
        <v>4.4295355983334998E-2</v>
      </c>
      <c r="E147" s="5">
        <f ca="1">[1]!thsiFinD("ths_int_chg_ratio_index",$A147,E$1,E$2)/100</f>
        <v>-2.1710206673467E-2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x14ac:dyDescent="0.25">
      <c r="A148" s="2" t="s">
        <v>754</v>
      </c>
      <c r="B148" s="2" t="s">
        <v>755</v>
      </c>
      <c r="C148" s="5">
        <f ca="1">[1]!thsiFinD("ths_int_chg_ratio_index",$A148,C$1,C$2)/100</f>
        <v>3.9952801843488997E-2</v>
      </c>
      <c r="D148" s="5">
        <f ca="1">[1]!thsiFinD("ths_int_chg_ratio_index",$A148,D$1,D$2)/100</f>
        <v>5.1613300752539996E-2</v>
      </c>
      <c r="E148" s="5">
        <f ca="1">[1]!thsiFinD("ths_int_chg_ratio_index",$A148,E$1,E$2)/100</f>
        <v>-2.5153983694990001E-2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x14ac:dyDescent="0.25">
      <c r="A149" s="2" t="s">
        <v>756</v>
      </c>
      <c r="B149" s="2" t="s">
        <v>757</v>
      </c>
      <c r="C149" s="5">
        <f ca="1">[1]!thsiFinD("ths_int_chg_ratio_index",$A149,C$1,C$2)/100</f>
        <v>4.2339613706488997E-2</v>
      </c>
      <c r="D149" s="5">
        <f ca="1">[1]!thsiFinD("ths_int_chg_ratio_index",$A149,D$1,D$2)/100</f>
        <v>4.6963167576071004E-2</v>
      </c>
      <c r="E149" s="5">
        <f ca="1">[1]!thsiFinD("ths_int_chg_ratio_index",$A149,E$1,E$2)/100</f>
        <v>-3.3404229186570003E-2</v>
      </c>
      <c r="F149" s="2" t="s">
        <v>32</v>
      </c>
      <c r="G149" s="2" t="s">
        <v>33</v>
      </c>
      <c r="H149" s="2">
        <v>15494.3</v>
      </c>
      <c r="I149" s="2" t="s">
        <v>224</v>
      </c>
      <c r="J149" s="2" t="s">
        <v>225</v>
      </c>
      <c r="K149" s="2">
        <v>5352.5</v>
      </c>
      <c r="L149" s="2" t="s">
        <v>38</v>
      </c>
      <c r="M149" s="2" t="s">
        <v>39</v>
      </c>
      <c r="N149" s="2">
        <v>5083.3999999999996</v>
      </c>
      <c r="O149" s="2" t="s">
        <v>44</v>
      </c>
      <c r="P149" s="2" t="s">
        <v>45</v>
      </c>
      <c r="Q149" s="2">
        <v>3784.7</v>
      </c>
      <c r="R149" s="2" t="s">
        <v>64</v>
      </c>
      <c r="S149" s="2" t="s">
        <v>65</v>
      </c>
      <c r="T149" s="2">
        <v>3192.6</v>
      </c>
    </row>
    <row r="150" spans="1:20" x14ac:dyDescent="0.25">
      <c r="A150" s="2" t="s">
        <v>758</v>
      </c>
      <c r="B150" s="2" t="s">
        <v>759</v>
      </c>
      <c r="C150" s="5">
        <f ca="1">[1]!thsiFinD("ths_int_chg_ratio_index",$A150,C$1,C$2)/100</f>
        <v>2.7839685368602998E-2</v>
      </c>
      <c r="D150" s="5">
        <f ca="1">[1]!thsiFinD("ths_int_chg_ratio_index",$A150,D$1,D$2)/100</f>
        <v>2.2196558632740001E-3</v>
      </c>
      <c r="E150" s="5">
        <f ca="1">[1]!thsiFinD("ths_int_chg_ratio_index",$A150,E$1,E$2)/100</f>
        <v>-7.0224391810876002E-2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x14ac:dyDescent="0.25">
      <c r="A151" s="2" t="s">
        <v>760</v>
      </c>
      <c r="B151" s="2" t="s">
        <v>761</v>
      </c>
      <c r="C151" s="5">
        <f ca="1">[1]!thsiFinD("ths_int_chg_ratio_index",$A151,C$1,C$2)/100</f>
        <v>2.0047750024795002E-2</v>
      </c>
      <c r="D151" s="5">
        <f ca="1">[1]!thsiFinD("ths_int_chg_ratio_index",$A151,D$1,D$2)/100</f>
        <v>1.4083610699216001E-3</v>
      </c>
      <c r="E151" s="5">
        <f ca="1">[1]!thsiFinD("ths_int_chg_ratio_index",$A151,E$1,E$2)/100</f>
        <v>-8.3234871895260007E-2</v>
      </c>
      <c r="F151" s="2" t="s">
        <v>102</v>
      </c>
      <c r="G151" s="2" t="s">
        <v>103</v>
      </c>
      <c r="H151" s="2">
        <v>2316.5</v>
      </c>
      <c r="I151" s="2" t="s">
        <v>608</v>
      </c>
      <c r="J151" s="2" t="s">
        <v>609</v>
      </c>
      <c r="K151" s="2">
        <v>1904.9</v>
      </c>
      <c r="L151" s="2" t="s">
        <v>194</v>
      </c>
      <c r="M151" s="2" t="s">
        <v>195</v>
      </c>
      <c r="N151" s="2">
        <v>973</v>
      </c>
      <c r="O151" s="2" t="s">
        <v>150</v>
      </c>
      <c r="P151" s="2" t="s">
        <v>151</v>
      </c>
      <c r="Q151" s="2">
        <v>590.6</v>
      </c>
      <c r="R151" s="2" t="s">
        <v>762</v>
      </c>
      <c r="S151" s="2" t="s">
        <v>763</v>
      </c>
      <c r="T151" s="2">
        <v>581.1</v>
      </c>
    </row>
    <row r="152" spans="1:20" x14ac:dyDescent="0.25">
      <c r="A152" s="2" t="s">
        <v>764</v>
      </c>
      <c r="B152" s="2" t="s">
        <v>765</v>
      </c>
      <c r="C152" s="5">
        <f ca="1">[1]!thsiFinD("ths_int_chg_ratio_index",$A152,C$1,C$2)/100</f>
        <v>2.5504891394462003E-2</v>
      </c>
      <c r="D152" s="5">
        <f ca="1">[1]!thsiFinD("ths_int_chg_ratio_index",$A152,D$1,D$2)/100</f>
        <v>1.1530970921359001E-2</v>
      </c>
      <c r="E152" s="5">
        <f ca="1">[1]!thsiFinD("ths_int_chg_ratio_index",$A152,E$1,E$2)/100</f>
        <v>-3.0393083969618997E-2</v>
      </c>
      <c r="F152" s="2" t="s">
        <v>440</v>
      </c>
      <c r="G152" s="2" t="s">
        <v>441</v>
      </c>
      <c r="H152" s="2">
        <v>2161.6</v>
      </c>
      <c r="I152" s="2" t="s">
        <v>24</v>
      </c>
      <c r="J152" s="2" t="s">
        <v>25</v>
      </c>
      <c r="K152" s="2">
        <v>1203.7</v>
      </c>
      <c r="L152" s="2" t="s">
        <v>766</v>
      </c>
      <c r="M152" s="2" t="s">
        <v>767</v>
      </c>
      <c r="N152" s="2">
        <v>650.79999999999995</v>
      </c>
      <c r="O152" s="2" t="s">
        <v>768</v>
      </c>
      <c r="P152" s="2" t="s">
        <v>769</v>
      </c>
      <c r="Q152" s="2">
        <v>473.7</v>
      </c>
      <c r="R152" s="2" t="s">
        <v>770</v>
      </c>
      <c r="S152" s="2" t="s">
        <v>771</v>
      </c>
      <c r="T152" s="2">
        <v>470.4</v>
      </c>
    </row>
    <row r="153" spans="1:20" x14ac:dyDescent="0.25">
      <c r="A153" s="2" t="s">
        <v>772</v>
      </c>
      <c r="B153" s="2" t="s">
        <v>773</v>
      </c>
      <c r="C153" s="5">
        <f ca="1">[1]!thsiFinD("ths_int_chg_ratio_index",$A153,C$1,C$2)/100</f>
        <v>2.8739111440417998E-2</v>
      </c>
      <c r="D153" s="5">
        <f ca="1">[1]!thsiFinD("ths_int_chg_ratio_index",$A153,D$1,D$2)/100</f>
        <v>1.8083269508784999E-2</v>
      </c>
      <c r="E153" s="5">
        <f ca="1">[1]!thsiFinD("ths_int_chg_ratio_index",$A153,E$1,E$2)/100</f>
        <v>-3.7243065192292001E-2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x14ac:dyDescent="0.25">
      <c r="A154" s="2" t="s">
        <v>774</v>
      </c>
      <c r="B154" s="2" t="s">
        <v>775</v>
      </c>
      <c r="C154" s="5">
        <f ca="1">[1]!thsiFinD("ths_int_chg_ratio_index",$A154,C$1,C$2)/100</f>
        <v>2.3790888824216001E-2</v>
      </c>
      <c r="D154" s="5">
        <f ca="1">[1]!thsiFinD("ths_int_chg_ratio_index",$A154,D$1,D$2)/100</f>
        <v>-2.1143359623518002E-2</v>
      </c>
      <c r="E154" s="5">
        <f ca="1">[1]!thsiFinD("ths_int_chg_ratio_index",$A154,E$1,E$2)/100</f>
        <v>-8.517217546085501E-2</v>
      </c>
      <c r="F154" s="2" t="s">
        <v>648</v>
      </c>
      <c r="G154" s="2" t="s">
        <v>649</v>
      </c>
      <c r="H154" s="2">
        <v>15512.1</v>
      </c>
      <c r="I154" s="2" t="s">
        <v>776</v>
      </c>
      <c r="J154" s="2" t="s">
        <v>777</v>
      </c>
      <c r="K154" s="2">
        <v>1732.8</v>
      </c>
      <c r="L154" s="2" t="s">
        <v>778</v>
      </c>
      <c r="M154" s="2" t="s">
        <v>779</v>
      </c>
      <c r="N154" s="2">
        <v>1384</v>
      </c>
      <c r="O154" s="2" t="s">
        <v>334</v>
      </c>
      <c r="P154" s="2" t="s">
        <v>335</v>
      </c>
      <c r="Q154" s="2">
        <v>1235.7</v>
      </c>
      <c r="R154" s="2" t="s">
        <v>498</v>
      </c>
      <c r="S154" s="2" t="s">
        <v>499</v>
      </c>
      <c r="T154" s="2">
        <v>983.4</v>
      </c>
    </row>
    <row r="155" spans="1:20" x14ac:dyDescent="0.25">
      <c r="A155" s="2" t="s">
        <v>780</v>
      </c>
      <c r="B155" s="2" t="s">
        <v>781</v>
      </c>
      <c r="C155" s="5">
        <f ca="1">[1]!thsiFinD("ths_int_chg_ratio_index",$A155,C$1,C$2)/100</f>
        <v>2.9583085138348002E-2</v>
      </c>
      <c r="D155" s="5">
        <f ca="1">[1]!thsiFinD("ths_int_chg_ratio_index",$A155,D$1,D$2)/100</f>
        <v>3.1487722458993998E-2</v>
      </c>
      <c r="E155" s="5">
        <f ca="1">[1]!thsiFinD("ths_int_chg_ratio_index",$A155,E$1,E$2)/100</f>
        <v>-3.3622354964364998E-2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x14ac:dyDescent="0.25">
      <c r="A156" s="2" t="s">
        <v>782</v>
      </c>
      <c r="B156" s="2" t="s">
        <v>783</v>
      </c>
      <c r="C156" s="5">
        <f ca="1">[1]!thsiFinD("ths_int_chg_ratio_index",$A156,C$1,C$2)/100</f>
        <v>2.1473000933548998E-2</v>
      </c>
      <c r="D156" s="5">
        <f ca="1">[1]!thsiFinD("ths_int_chg_ratio_index",$A156,D$1,D$2)/100</f>
        <v>-5.3591773335741003E-3</v>
      </c>
      <c r="E156" s="5">
        <f ca="1">[1]!thsiFinD("ths_int_chg_ratio_index",$A156,E$1,E$2)/100</f>
        <v>-4.8324567156629E-2</v>
      </c>
      <c r="F156" s="2" t="s">
        <v>298</v>
      </c>
      <c r="G156" s="2" t="s">
        <v>299</v>
      </c>
      <c r="H156" s="2">
        <v>922.2</v>
      </c>
      <c r="I156" s="2" t="s">
        <v>784</v>
      </c>
      <c r="J156" s="2" t="s">
        <v>785</v>
      </c>
      <c r="K156" s="2">
        <v>405.6</v>
      </c>
      <c r="L156" s="2" t="s">
        <v>786</v>
      </c>
      <c r="M156" s="2" t="s">
        <v>787</v>
      </c>
      <c r="N156" s="2">
        <v>396.5</v>
      </c>
      <c r="O156" s="2" t="s">
        <v>372</v>
      </c>
      <c r="P156" s="2" t="s">
        <v>373</v>
      </c>
      <c r="Q156" s="2">
        <v>376.6</v>
      </c>
      <c r="R156" s="2" t="s">
        <v>788</v>
      </c>
      <c r="S156" s="2" t="s">
        <v>789</v>
      </c>
      <c r="T156" s="2">
        <v>342.5</v>
      </c>
    </row>
    <row r="157" spans="1:20" x14ac:dyDescent="0.25">
      <c r="A157" s="2" t="s">
        <v>790</v>
      </c>
      <c r="B157" s="2" t="s">
        <v>791</v>
      </c>
      <c r="C157" s="5">
        <f ca="1">[1]!thsiFinD("ths_int_chg_ratio_index",$A157,C$1,C$2)/100</f>
        <v>1.1947906307939999E-2</v>
      </c>
      <c r="D157" s="5">
        <f ca="1">[1]!thsiFinD("ths_int_chg_ratio_index",$A157,D$1,D$2)/100</f>
        <v>-1.2500965169074001E-2</v>
      </c>
      <c r="E157" s="5">
        <f ca="1">[1]!thsiFinD("ths_int_chg_ratio_index",$A157,E$1,E$2)/100</f>
        <v>-6.5363433937342008E-2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x14ac:dyDescent="0.25">
      <c r="A158" s="2" t="s">
        <v>792</v>
      </c>
      <c r="B158" s="2" t="s">
        <v>793</v>
      </c>
      <c r="C158" s="5">
        <f ca="1">[1]!thsiFinD("ths_int_chg_ratio_index",$A158,C$1,C$2)/100</f>
        <v>1.7378965789452E-2</v>
      </c>
      <c r="D158" s="5">
        <f ca="1">[1]!thsiFinD("ths_int_chg_ratio_index",$A158,D$1,D$2)/100</f>
        <v>-1.1592908655969E-2</v>
      </c>
      <c r="E158" s="5">
        <f ca="1">[1]!thsiFinD("ths_int_chg_ratio_index",$A158,E$1,E$2)/100</f>
        <v>-7.5367285661940994E-2</v>
      </c>
      <c r="F158" s="2" t="s">
        <v>648</v>
      </c>
      <c r="G158" s="2" t="s">
        <v>649</v>
      </c>
      <c r="H158" s="2">
        <v>15512.1</v>
      </c>
      <c r="I158" s="2" t="s">
        <v>600</v>
      </c>
      <c r="J158" s="2" t="s">
        <v>601</v>
      </c>
      <c r="K158" s="2">
        <v>4462.8</v>
      </c>
      <c r="L158" s="2" t="s">
        <v>778</v>
      </c>
      <c r="M158" s="2" t="s">
        <v>779</v>
      </c>
      <c r="N158" s="2">
        <v>1384</v>
      </c>
      <c r="O158" s="2" t="s">
        <v>254</v>
      </c>
      <c r="P158" s="2" t="s">
        <v>255</v>
      </c>
      <c r="Q158" s="2">
        <v>1178.3</v>
      </c>
      <c r="R158" s="2" t="s">
        <v>794</v>
      </c>
      <c r="S158" s="2" t="s">
        <v>795</v>
      </c>
      <c r="T158" s="2">
        <v>1134.8</v>
      </c>
    </row>
    <row r="159" spans="1:20" x14ac:dyDescent="0.25">
      <c r="A159" s="2" t="s">
        <v>796</v>
      </c>
      <c r="B159" s="2" t="s">
        <v>797</v>
      </c>
      <c r="C159" s="5">
        <f ca="1">[1]!thsiFinD("ths_int_chg_ratio_index",$A159,C$1,C$2)/100</f>
        <v>2.3498556176649997E-2</v>
      </c>
      <c r="D159" s="5">
        <f ca="1">[1]!thsiFinD("ths_int_chg_ratio_index",$A159,D$1,D$2)/100</f>
        <v>6.7692071366412003E-3</v>
      </c>
      <c r="E159" s="5">
        <f ca="1">[1]!thsiFinD("ths_int_chg_ratio_index",$A159,E$1,E$2)/100</f>
        <v>-3.9204919904947004E-2</v>
      </c>
      <c r="F159" s="2" t="s">
        <v>378</v>
      </c>
      <c r="G159" s="2" t="s">
        <v>379</v>
      </c>
      <c r="H159" s="2">
        <v>1163.5</v>
      </c>
      <c r="I159" s="2" t="s">
        <v>298</v>
      </c>
      <c r="J159" s="2" t="s">
        <v>299</v>
      </c>
      <c r="K159" s="2">
        <v>922.2</v>
      </c>
      <c r="L159" s="2" t="s">
        <v>432</v>
      </c>
      <c r="M159" s="2" t="s">
        <v>433</v>
      </c>
      <c r="N159" s="2">
        <v>756.6</v>
      </c>
      <c r="O159" s="2" t="s">
        <v>798</v>
      </c>
      <c r="P159" s="2" t="s">
        <v>799</v>
      </c>
      <c r="Q159" s="2">
        <v>564.5</v>
      </c>
      <c r="R159" s="2" t="s">
        <v>800</v>
      </c>
      <c r="S159" s="2" t="s">
        <v>801</v>
      </c>
      <c r="T159" s="2">
        <v>446.3</v>
      </c>
    </row>
    <row r="160" spans="1:20" x14ac:dyDescent="0.25">
      <c r="A160" s="2" t="s">
        <v>802</v>
      </c>
      <c r="B160" s="2" t="s">
        <v>803</v>
      </c>
      <c r="C160" s="5">
        <f ca="1">[1]!thsiFinD("ths_int_chg_ratio_index",$A160,C$1,C$2)/100</f>
        <v>2.5999232418776001E-2</v>
      </c>
      <c r="D160" s="5">
        <f ca="1">[1]!thsiFinD("ths_int_chg_ratio_index",$A160,D$1,D$2)/100</f>
        <v>2.6715756134820003E-2</v>
      </c>
      <c r="E160" s="5">
        <f ca="1">[1]!thsiFinD("ths_int_chg_ratio_index",$A160,E$1,E$2)/100</f>
        <v>-5.2003600191141003E-2</v>
      </c>
      <c r="F160" s="2" t="s">
        <v>34</v>
      </c>
      <c r="G160" s="2" t="s">
        <v>35</v>
      </c>
      <c r="H160" s="2">
        <v>15182.6</v>
      </c>
      <c r="I160" s="2" t="s">
        <v>36</v>
      </c>
      <c r="J160" s="2" t="s">
        <v>37</v>
      </c>
      <c r="K160" s="2">
        <v>7293.2</v>
      </c>
      <c r="L160" s="2" t="s">
        <v>38</v>
      </c>
      <c r="M160" s="2" t="s">
        <v>39</v>
      </c>
      <c r="N160" s="2">
        <v>5083.3999999999996</v>
      </c>
      <c r="O160" s="2" t="s">
        <v>78</v>
      </c>
      <c r="P160" s="2" t="s">
        <v>79</v>
      </c>
      <c r="Q160" s="2">
        <v>4204.8</v>
      </c>
      <c r="R160" s="2" t="s">
        <v>44</v>
      </c>
      <c r="S160" s="2" t="s">
        <v>45</v>
      </c>
      <c r="T160" s="2">
        <v>3784.7</v>
      </c>
    </row>
    <row r="161" spans="1:20" x14ac:dyDescent="0.25">
      <c r="A161" s="2" t="s">
        <v>804</v>
      </c>
      <c r="B161" s="2" t="s">
        <v>805</v>
      </c>
      <c r="C161" s="5">
        <f ca="1">[1]!thsiFinD("ths_int_chg_ratio_index",$A161,C$1,C$2)/100</f>
        <v>2.3297872272465998E-2</v>
      </c>
      <c r="D161" s="5">
        <f ca="1">[1]!thsiFinD("ths_int_chg_ratio_index",$A161,D$1,D$2)/100</f>
        <v>6.3348203024388997E-2</v>
      </c>
      <c r="E161" s="5">
        <f ca="1">[1]!thsiFinD("ths_int_chg_ratio_index",$A161,E$1,E$2)/100</f>
        <v>-6.8156089842408993E-2</v>
      </c>
      <c r="F161" s="2" t="s">
        <v>188</v>
      </c>
      <c r="G161" s="2" t="s">
        <v>189</v>
      </c>
      <c r="H161" s="2">
        <v>1628.5</v>
      </c>
      <c r="I161" s="2" t="s">
        <v>276</v>
      </c>
      <c r="J161" s="2" t="s">
        <v>277</v>
      </c>
      <c r="K161" s="2">
        <v>1352.3</v>
      </c>
      <c r="L161" s="2" t="s">
        <v>806</v>
      </c>
      <c r="M161" s="2" t="s">
        <v>807</v>
      </c>
      <c r="N161" s="2">
        <v>655.9</v>
      </c>
      <c r="O161" s="2" t="s">
        <v>808</v>
      </c>
      <c r="P161" s="2" t="s">
        <v>809</v>
      </c>
      <c r="Q161" s="2">
        <v>334.3</v>
      </c>
      <c r="R161" s="2" t="s">
        <v>810</v>
      </c>
      <c r="S161" s="2" t="s">
        <v>811</v>
      </c>
      <c r="T161" s="2">
        <v>290.2</v>
      </c>
    </row>
    <row r="162" spans="1:20" x14ac:dyDescent="0.25">
      <c r="A162" s="2" t="s">
        <v>812</v>
      </c>
      <c r="B162" s="2" t="s">
        <v>813</v>
      </c>
      <c r="C162" s="5">
        <f ca="1">[1]!thsiFinD("ths_int_chg_ratio_index",$A162,C$1,C$2)/100</f>
        <v>1.0673487424673E-2</v>
      </c>
      <c r="D162" s="5">
        <f ca="1">[1]!thsiFinD("ths_int_chg_ratio_index",$A162,D$1,D$2)/100</f>
        <v>-1.4223183327795E-2</v>
      </c>
      <c r="E162" s="5">
        <f ca="1">[1]!thsiFinD("ths_int_chg_ratio_index",$A162,E$1,E$2)/100</f>
        <v>-7.7187225171818002E-2</v>
      </c>
      <c r="F162" s="2" t="s">
        <v>224</v>
      </c>
      <c r="G162" s="2" t="s">
        <v>225</v>
      </c>
      <c r="H162" s="2">
        <v>5352.5</v>
      </c>
      <c r="I162" s="2" t="s">
        <v>106</v>
      </c>
      <c r="J162" s="2" t="s">
        <v>107</v>
      </c>
      <c r="K162" s="2">
        <v>2027.7</v>
      </c>
      <c r="L162" s="2" t="s">
        <v>276</v>
      </c>
      <c r="M162" s="2" t="s">
        <v>277</v>
      </c>
      <c r="N162" s="2">
        <v>1352.3</v>
      </c>
      <c r="O162" s="2" t="s">
        <v>384</v>
      </c>
      <c r="P162" s="2" t="s">
        <v>385</v>
      </c>
      <c r="Q162" s="2">
        <v>1216.2</v>
      </c>
      <c r="R162" s="2" t="s">
        <v>814</v>
      </c>
      <c r="S162" s="2" t="s">
        <v>815</v>
      </c>
      <c r="T162" s="2">
        <v>218.7</v>
      </c>
    </row>
    <row r="163" spans="1:20" x14ac:dyDescent="0.25">
      <c r="A163" s="2" t="s">
        <v>816</v>
      </c>
      <c r="B163" s="2" t="s">
        <v>817</v>
      </c>
      <c r="C163" s="5">
        <f ca="1">[1]!thsiFinD("ths_int_chg_ratio_index",$A163,C$1,C$2)/100</f>
        <v>1.3730042791584001E-2</v>
      </c>
      <c r="D163" s="5">
        <f ca="1">[1]!thsiFinD("ths_int_chg_ratio_index",$A163,D$1,D$2)/100</f>
        <v>-5.1446438753835005E-2</v>
      </c>
      <c r="E163" s="5">
        <f ca="1">[1]!thsiFinD("ths_int_chg_ratio_index",$A163,E$1,E$2)/100</f>
        <v>-0.14092219136990999</v>
      </c>
      <c r="F163" s="2" t="s">
        <v>818</v>
      </c>
      <c r="G163" s="2" t="s">
        <v>819</v>
      </c>
      <c r="H163" s="2">
        <v>73</v>
      </c>
      <c r="I163" s="2" t="s">
        <v>820</v>
      </c>
      <c r="J163" s="2" t="s">
        <v>821</v>
      </c>
      <c r="K163" s="2">
        <v>64.900000000000006</v>
      </c>
      <c r="L163" s="2" t="s">
        <v>822</v>
      </c>
      <c r="M163" s="2" t="s">
        <v>823</v>
      </c>
      <c r="N163" s="2">
        <v>61.6</v>
      </c>
      <c r="O163" s="2" t="s">
        <v>824</v>
      </c>
      <c r="P163" s="2" t="s">
        <v>825</v>
      </c>
      <c r="Q163" s="2">
        <v>38.6</v>
      </c>
      <c r="R163" s="2"/>
      <c r="S163" s="2"/>
      <c r="T163" s="2"/>
    </row>
    <row r="164" spans="1:20" x14ac:dyDescent="0.25">
      <c r="A164" s="2" t="s">
        <v>826</v>
      </c>
      <c r="B164" s="2" t="s">
        <v>827</v>
      </c>
      <c r="C164" s="5">
        <f ca="1">[1]!thsiFinD("ths_int_chg_ratio_index",$A164,C$1,C$2)/100</f>
        <v>7.0125056667190997E-3</v>
      </c>
      <c r="D164" s="5">
        <f ca="1">[1]!thsiFinD("ths_int_chg_ratio_index",$A164,D$1,D$2)/100</f>
        <v>-5.5026314285955003E-3</v>
      </c>
      <c r="E164" s="5">
        <f ca="1">[1]!thsiFinD("ths_int_chg_ratio_index",$A164,E$1,E$2)/100</f>
        <v>-7.1655393826634009E-2</v>
      </c>
      <c r="F164" s="2" t="s">
        <v>794</v>
      </c>
      <c r="G164" s="2" t="s">
        <v>795</v>
      </c>
      <c r="H164" s="2">
        <v>1134.8</v>
      </c>
      <c r="I164" s="2" t="s">
        <v>256</v>
      </c>
      <c r="J164" s="2" t="s">
        <v>257</v>
      </c>
      <c r="K164" s="2">
        <v>895</v>
      </c>
      <c r="L164" s="2" t="s">
        <v>828</v>
      </c>
      <c r="M164" s="2" t="s">
        <v>829</v>
      </c>
      <c r="N164" s="2">
        <v>667.3</v>
      </c>
      <c r="O164" s="2" t="s">
        <v>830</v>
      </c>
      <c r="P164" s="2" t="s">
        <v>831</v>
      </c>
      <c r="Q164" s="2">
        <v>645.70000000000005</v>
      </c>
      <c r="R164" s="2" t="s">
        <v>372</v>
      </c>
      <c r="S164" s="2" t="s">
        <v>373</v>
      </c>
      <c r="T164" s="2">
        <v>376.6</v>
      </c>
    </row>
    <row r="165" spans="1:20" x14ac:dyDescent="0.25">
      <c r="A165" s="2" t="s">
        <v>832</v>
      </c>
      <c r="B165" s="2" t="s">
        <v>833</v>
      </c>
      <c r="C165" s="5">
        <f ca="1">[1]!thsiFinD("ths_int_chg_ratio_index",$A165,C$1,C$2)/100</f>
        <v>3.1028987348955001E-2</v>
      </c>
      <c r="D165" s="5">
        <f ca="1">[1]!thsiFinD("ths_int_chg_ratio_index",$A165,D$1,D$2)/100</f>
        <v>5.1862780990835994E-2</v>
      </c>
      <c r="E165" s="5">
        <f ca="1">[1]!thsiFinD("ths_int_chg_ratio_index",$A165,E$1,E$2)/100</f>
        <v>-3.0884522693398999E-2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x14ac:dyDescent="0.25">
      <c r="A166" s="2" t="s">
        <v>834</v>
      </c>
      <c r="B166" s="2" t="s">
        <v>835</v>
      </c>
      <c r="C166" s="5">
        <f ca="1">[1]!thsiFinD("ths_int_chg_ratio_index",$A166,C$1,C$2)/100</f>
        <v>4.6665679451108E-2</v>
      </c>
      <c r="D166" s="5">
        <f ca="1">[1]!thsiFinD("ths_int_chg_ratio_index",$A166,D$1,D$2)/100</f>
        <v>7.6365482233503007E-2</v>
      </c>
      <c r="E166" s="5">
        <f ca="1">[1]!thsiFinD("ths_int_chg_ratio_index",$A166,E$1,E$2)/100</f>
        <v>2.8669763208078E-2</v>
      </c>
      <c r="F166" s="2" t="s">
        <v>836</v>
      </c>
      <c r="G166" s="2" t="s">
        <v>837</v>
      </c>
      <c r="H166" s="2">
        <v>764.3</v>
      </c>
      <c r="I166" s="2" t="s">
        <v>838</v>
      </c>
      <c r="J166" s="2" t="s">
        <v>839</v>
      </c>
      <c r="K166" s="2">
        <v>359.9</v>
      </c>
      <c r="L166" s="2" t="s">
        <v>840</v>
      </c>
      <c r="M166" s="2" t="s">
        <v>841</v>
      </c>
      <c r="N166" s="2">
        <v>356.8</v>
      </c>
      <c r="O166" s="2" t="s">
        <v>842</v>
      </c>
      <c r="P166" s="2" t="s">
        <v>843</v>
      </c>
      <c r="Q166" s="2">
        <v>217</v>
      </c>
      <c r="R166" s="2" t="s">
        <v>844</v>
      </c>
      <c r="S166" s="2" t="s">
        <v>845</v>
      </c>
      <c r="T166" s="2">
        <v>187.8</v>
      </c>
    </row>
    <row r="167" spans="1:20" x14ac:dyDescent="0.25">
      <c r="A167" s="2" t="s">
        <v>846</v>
      </c>
      <c r="B167" s="2" t="s">
        <v>847</v>
      </c>
      <c r="C167" s="5">
        <f ca="1">[1]!thsiFinD("ths_int_chg_ratio_index",$A167,C$1,C$2)/100</f>
        <v>9.2692988919574008E-3</v>
      </c>
      <c r="D167" s="5">
        <f ca="1">[1]!thsiFinD("ths_int_chg_ratio_index",$A167,D$1,D$2)/100</f>
        <v>1.9646093930460001E-2</v>
      </c>
      <c r="E167" s="5">
        <f ca="1">[1]!thsiFinD("ths_int_chg_ratio_index",$A167,E$1,E$2)/100</f>
        <v>1.8662282071027999E-3</v>
      </c>
      <c r="F167" s="2" t="s">
        <v>644</v>
      </c>
      <c r="G167" s="2" t="s">
        <v>645</v>
      </c>
      <c r="H167" s="2">
        <v>20335.900000000001</v>
      </c>
      <c r="I167" s="2" t="s">
        <v>646</v>
      </c>
      <c r="J167" s="2" t="s">
        <v>647</v>
      </c>
      <c r="K167" s="2">
        <v>19304.2</v>
      </c>
      <c r="L167" s="2" t="s">
        <v>648</v>
      </c>
      <c r="M167" s="2" t="s">
        <v>649</v>
      </c>
      <c r="N167" s="2">
        <v>15512.1</v>
      </c>
      <c r="O167" s="2" t="s">
        <v>32</v>
      </c>
      <c r="P167" s="2" t="s">
        <v>33</v>
      </c>
      <c r="Q167" s="2">
        <v>15494.3</v>
      </c>
      <c r="R167" s="2" t="s">
        <v>680</v>
      </c>
      <c r="S167" s="2" t="s">
        <v>681</v>
      </c>
      <c r="T167" s="2">
        <v>15188.5</v>
      </c>
    </row>
    <row r="168" spans="1:20" x14ac:dyDescent="0.25">
      <c r="A168" s="2" t="s">
        <v>848</v>
      </c>
      <c r="B168" s="2" t="s">
        <v>849</v>
      </c>
      <c r="C168" s="5">
        <f ca="1">[1]!thsiFinD("ths_int_chg_ratio_index",$A168,C$1,C$2)/100</f>
        <v>1.7779954603622E-2</v>
      </c>
      <c r="D168" s="5">
        <f ca="1">[1]!thsiFinD("ths_int_chg_ratio_index",$A168,D$1,D$2)/100</f>
        <v>3.9237590123523E-2</v>
      </c>
      <c r="E168" s="5">
        <f ca="1">[1]!thsiFinD("ths_int_chg_ratio_index",$A168,E$1,E$2)/100</f>
        <v>-2.5833476396503002E-2</v>
      </c>
      <c r="F168" s="2" t="s">
        <v>110</v>
      </c>
      <c r="G168" s="2" t="s">
        <v>111</v>
      </c>
      <c r="H168" s="2">
        <v>1784.4</v>
      </c>
      <c r="I168" s="2" t="s">
        <v>850</v>
      </c>
      <c r="J168" s="2" t="s">
        <v>851</v>
      </c>
      <c r="K168" s="2">
        <v>1167.8</v>
      </c>
      <c r="L168" s="2" t="s">
        <v>692</v>
      </c>
      <c r="M168" s="2" t="s">
        <v>693</v>
      </c>
      <c r="N168" s="2">
        <v>1039.9000000000001</v>
      </c>
      <c r="O168" s="2" t="s">
        <v>694</v>
      </c>
      <c r="P168" s="2" t="s">
        <v>695</v>
      </c>
      <c r="Q168" s="2">
        <v>980.1</v>
      </c>
      <c r="R168" s="2" t="s">
        <v>298</v>
      </c>
      <c r="S168" s="2" t="s">
        <v>299</v>
      </c>
      <c r="T168" s="2">
        <v>922.2</v>
      </c>
    </row>
    <row r="169" spans="1:20" x14ac:dyDescent="0.25">
      <c r="A169" s="2" t="s">
        <v>852</v>
      </c>
      <c r="B169" s="2" t="s">
        <v>853</v>
      </c>
      <c r="C169" s="5">
        <f ca="1">[1]!thsiFinD("ths_int_chg_ratio_index",$A169,C$1,C$2)/100</f>
        <v>-9.8284955061303005E-4</v>
      </c>
      <c r="D169" s="5">
        <f ca="1">[1]!thsiFinD("ths_int_chg_ratio_index",$A169,D$1,D$2)/100</f>
        <v>2.1234184372986999E-2</v>
      </c>
      <c r="E169" s="5">
        <f ca="1">[1]!thsiFinD("ths_int_chg_ratio_index",$A169,E$1,E$2)/100</f>
        <v>-3.3609758571718003E-2</v>
      </c>
      <c r="F169" s="2" t="s">
        <v>854</v>
      </c>
      <c r="G169" s="2" t="s">
        <v>855</v>
      </c>
      <c r="H169" s="2">
        <v>2245.6999999999998</v>
      </c>
      <c r="I169" s="2" t="s">
        <v>248</v>
      </c>
      <c r="J169" s="2" t="s">
        <v>249</v>
      </c>
      <c r="K169" s="2">
        <v>1362.4</v>
      </c>
      <c r="L169" s="2" t="s">
        <v>856</v>
      </c>
      <c r="M169" s="2" t="s">
        <v>857</v>
      </c>
      <c r="N169" s="2">
        <v>981.2</v>
      </c>
      <c r="O169" s="2" t="s">
        <v>430</v>
      </c>
      <c r="P169" s="2" t="s">
        <v>431</v>
      </c>
      <c r="Q169" s="2">
        <v>923.6</v>
      </c>
      <c r="R169" s="2" t="s">
        <v>858</v>
      </c>
      <c r="S169" s="2" t="s">
        <v>859</v>
      </c>
      <c r="T169" s="2">
        <v>840.7</v>
      </c>
    </row>
    <row r="170" spans="1:20" x14ac:dyDescent="0.25">
      <c r="A170" s="2" t="s">
        <v>860</v>
      </c>
      <c r="B170" s="2" t="s">
        <v>861</v>
      </c>
      <c r="C170" s="5">
        <f ca="1">[1]!thsiFinD("ths_int_chg_ratio_index",$A170,C$1,C$2)/100</f>
        <v>1.2751531672945999E-2</v>
      </c>
      <c r="D170" s="5">
        <f ca="1">[1]!thsiFinD("ths_int_chg_ratio_index",$A170,D$1,D$2)/100</f>
        <v>1.5942049787806001E-2</v>
      </c>
      <c r="E170" s="5">
        <f ca="1">[1]!thsiFinD("ths_int_chg_ratio_index",$A170,E$1,E$2)/100</f>
        <v>-0.10272471427403999</v>
      </c>
      <c r="F170" s="2" t="s">
        <v>320</v>
      </c>
      <c r="G170" s="2" t="s">
        <v>321</v>
      </c>
      <c r="H170" s="2">
        <v>755</v>
      </c>
      <c r="I170" s="2" t="s">
        <v>862</v>
      </c>
      <c r="J170" s="2" t="s">
        <v>863</v>
      </c>
      <c r="K170" s="2">
        <v>530.4</v>
      </c>
      <c r="L170" s="2" t="s">
        <v>864</v>
      </c>
      <c r="M170" s="2" t="s">
        <v>865</v>
      </c>
      <c r="N170" s="2">
        <v>312.10000000000002</v>
      </c>
      <c r="O170" s="2" t="s">
        <v>866</v>
      </c>
      <c r="P170" s="2" t="s">
        <v>867</v>
      </c>
      <c r="Q170" s="2">
        <v>208</v>
      </c>
      <c r="R170" s="2" t="s">
        <v>868</v>
      </c>
      <c r="S170" s="2" t="s">
        <v>869</v>
      </c>
      <c r="T170" s="2">
        <v>191.7</v>
      </c>
    </row>
    <row r="171" spans="1:20" x14ac:dyDescent="0.25">
      <c r="A171" s="2" t="s">
        <v>870</v>
      </c>
      <c r="B171" s="2" t="s">
        <v>871</v>
      </c>
      <c r="C171" s="5">
        <f ca="1">[1]!thsiFinD("ths_int_chg_ratio_index",$A171,C$1,C$2)/100</f>
        <v>5.5837525029360999E-3</v>
      </c>
      <c r="D171" s="5">
        <f ca="1">[1]!thsiFinD("ths_int_chg_ratio_index",$A171,D$1,D$2)/100</f>
        <v>4.5878009875772001E-2</v>
      </c>
      <c r="E171" s="5">
        <f ca="1">[1]!thsiFinD("ths_int_chg_ratio_index",$A171,E$1,E$2)/100</f>
        <v>-5.2899912148801E-2</v>
      </c>
      <c r="F171" s="2" t="s">
        <v>270</v>
      </c>
      <c r="G171" s="2" t="s">
        <v>271</v>
      </c>
      <c r="H171" s="2">
        <v>16668.3</v>
      </c>
      <c r="I171" s="2" t="s">
        <v>52</v>
      </c>
      <c r="J171" s="2" t="s">
        <v>53</v>
      </c>
      <c r="K171" s="2">
        <v>2771.6</v>
      </c>
      <c r="L171" s="2" t="s">
        <v>130</v>
      </c>
      <c r="M171" s="2" t="s">
        <v>131</v>
      </c>
      <c r="N171" s="2">
        <v>2714.4</v>
      </c>
      <c r="O171" s="2" t="s">
        <v>392</v>
      </c>
      <c r="P171" s="2" t="s">
        <v>393</v>
      </c>
      <c r="Q171" s="2">
        <v>1715.7</v>
      </c>
      <c r="R171" s="2" t="s">
        <v>188</v>
      </c>
      <c r="S171" s="2" t="s">
        <v>189</v>
      </c>
      <c r="T171" s="2">
        <v>1628.5</v>
      </c>
    </row>
    <row r="172" spans="1:20" x14ac:dyDescent="0.25">
      <c r="A172" s="2" t="s">
        <v>872</v>
      </c>
      <c r="B172" s="2" t="s">
        <v>873</v>
      </c>
      <c r="C172" s="5">
        <f ca="1">[1]!thsiFinD("ths_int_chg_ratio_index",$A172,C$1,C$2)/100</f>
        <v>-1.7082374410330999E-2</v>
      </c>
      <c r="D172" s="5">
        <f ca="1">[1]!thsiFinD("ths_int_chg_ratio_index",$A172,D$1,D$2)/100</f>
        <v>-1.5524032048898E-2</v>
      </c>
      <c r="E172" s="5">
        <f ca="1">[1]!thsiFinD("ths_int_chg_ratio_index",$A172,E$1,E$2)/100</f>
        <v>-7.6919140713423997E-2</v>
      </c>
      <c r="F172" s="2" t="s">
        <v>256</v>
      </c>
      <c r="G172" s="2" t="s">
        <v>257</v>
      </c>
      <c r="H172" s="2">
        <v>895</v>
      </c>
      <c r="I172" s="2" t="s">
        <v>874</v>
      </c>
      <c r="J172" s="2" t="s">
        <v>875</v>
      </c>
      <c r="K172" s="2">
        <v>335.7</v>
      </c>
      <c r="L172" s="2" t="s">
        <v>876</v>
      </c>
      <c r="M172" s="2" t="s">
        <v>877</v>
      </c>
      <c r="N172" s="2">
        <v>302.39999999999998</v>
      </c>
      <c r="O172" s="2" t="s">
        <v>878</v>
      </c>
      <c r="P172" s="2" t="s">
        <v>879</v>
      </c>
      <c r="Q172" s="2">
        <v>243.9</v>
      </c>
      <c r="R172" s="2" t="s">
        <v>880</v>
      </c>
      <c r="S172" s="2" t="s">
        <v>881</v>
      </c>
      <c r="T172" s="2">
        <v>235.8</v>
      </c>
    </row>
    <row r="173" spans="1:20" x14ac:dyDescent="0.25">
      <c r="A173" s="2" t="s">
        <v>882</v>
      </c>
      <c r="B173" s="2" t="s">
        <v>883</v>
      </c>
      <c r="C173" s="5">
        <f ca="1">[1]!thsiFinD("ths_int_chg_ratio_index",$A173,C$1,C$2)/100</f>
        <v>-6.0978104272004993E-3</v>
      </c>
      <c r="D173" s="5">
        <f ca="1">[1]!thsiFinD("ths_int_chg_ratio_index",$A173,D$1,D$2)/100</f>
        <v>-5.2701731438614995E-3</v>
      </c>
      <c r="E173" s="5">
        <f ca="1">[1]!thsiFinD("ths_int_chg_ratio_index",$A173,E$1,E$2)/100</f>
        <v>-6.7101856128025009E-2</v>
      </c>
      <c r="F173" s="2" t="s">
        <v>66</v>
      </c>
      <c r="G173" s="2" t="s">
        <v>67</v>
      </c>
      <c r="H173" s="2">
        <v>2843.8</v>
      </c>
      <c r="I173" s="2" t="s">
        <v>700</v>
      </c>
      <c r="J173" s="2" t="s">
        <v>701</v>
      </c>
      <c r="K173" s="2">
        <v>1351.7</v>
      </c>
      <c r="L173" s="2" t="s">
        <v>794</v>
      </c>
      <c r="M173" s="2" t="s">
        <v>795</v>
      </c>
      <c r="N173" s="2">
        <v>1134.8</v>
      </c>
      <c r="O173" s="2" t="s">
        <v>884</v>
      </c>
      <c r="P173" s="2" t="s">
        <v>885</v>
      </c>
      <c r="Q173" s="2">
        <v>756.5</v>
      </c>
      <c r="R173" s="2" t="s">
        <v>830</v>
      </c>
      <c r="S173" s="2" t="s">
        <v>831</v>
      </c>
      <c r="T173" s="2">
        <v>645.70000000000005</v>
      </c>
    </row>
    <row r="174" spans="1:20" x14ac:dyDescent="0.25">
      <c r="A174" s="2" t="s">
        <v>886</v>
      </c>
      <c r="B174" s="2" t="s">
        <v>887</v>
      </c>
      <c r="C174" s="5">
        <f ca="1">[1]!thsiFinD("ths_int_chg_ratio_index",$A174,C$1,C$2)/100</f>
        <v>-1.5203260609496E-2</v>
      </c>
      <c r="D174" s="5">
        <f ca="1">[1]!thsiFinD("ths_int_chg_ratio_index",$A174,D$1,D$2)/100</f>
        <v>-3.1585656506070002E-2</v>
      </c>
      <c r="E174" s="5">
        <f ca="1">[1]!thsiFinD("ths_int_chg_ratio_index",$A174,E$1,E$2)/100</f>
        <v>-5.5380874966764998E-2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x14ac:dyDescent="0.25">
      <c r="A175" s="2" t="s">
        <v>888</v>
      </c>
      <c r="B175" s="2" t="s">
        <v>889</v>
      </c>
      <c r="C175" s="5">
        <f ca="1">[1]!thsiFinD("ths_int_chg_ratio_index",$A175,C$1,C$2)/100</f>
        <v>-3.5949031330992998E-3</v>
      </c>
      <c r="D175" s="5">
        <f ca="1">[1]!thsiFinD("ths_int_chg_ratio_index",$A175,D$1,D$2)/100</f>
        <v>2.5578832879207002E-2</v>
      </c>
      <c r="E175" s="5">
        <f ca="1">[1]!thsiFinD("ths_int_chg_ratio_index",$A175,E$1,E$2)/100</f>
        <v>-6.3350367923878007E-2</v>
      </c>
      <c r="F175" s="2" t="s">
        <v>224</v>
      </c>
      <c r="G175" s="2" t="s">
        <v>225</v>
      </c>
      <c r="H175" s="2">
        <v>5352.5</v>
      </c>
      <c r="I175" s="2" t="s">
        <v>106</v>
      </c>
      <c r="J175" s="2" t="s">
        <v>107</v>
      </c>
      <c r="K175" s="2">
        <v>2027.7</v>
      </c>
      <c r="L175" s="2" t="s">
        <v>110</v>
      </c>
      <c r="M175" s="2" t="s">
        <v>111</v>
      </c>
      <c r="N175" s="2">
        <v>1784.4</v>
      </c>
      <c r="O175" s="2" t="s">
        <v>550</v>
      </c>
      <c r="P175" s="2" t="s">
        <v>551</v>
      </c>
      <c r="Q175" s="2">
        <v>1685.2</v>
      </c>
      <c r="R175" s="2" t="s">
        <v>276</v>
      </c>
      <c r="S175" s="2" t="s">
        <v>277</v>
      </c>
      <c r="T175" s="2">
        <v>1352.3</v>
      </c>
    </row>
    <row r="176" spans="1:20" x14ac:dyDescent="0.25">
      <c r="A176" s="2" t="s">
        <v>890</v>
      </c>
      <c r="B176" s="2" t="s">
        <v>891</v>
      </c>
      <c r="C176" s="5">
        <f ca="1">[1]!thsiFinD("ths_int_chg_ratio_index",$A176,C$1,C$2)/100</f>
        <v>2.8047939313324E-3</v>
      </c>
      <c r="D176" s="5">
        <f ca="1">[1]!thsiFinD("ths_int_chg_ratio_index",$A176,D$1,D$2)/100</f>
        <v>6.9848418180213003E-3</v>
      </c>
      <c r="E176" s="5">
        <f ca="1">[1]!thsiFinD("ths_int_chg_ratio_index",$A176,E$1,E$2)/100</f>
        <v>-6.5363897397837004E-2</v>
      </c>
      <c r="F176" s="2" t="s">
        <v>892</v>
      </c>
      <c r="G176" s="2" t="s">
        <v>893</v>
      </c>
      <c r="H176" s="2">
        <v>289.8</v>
      </c>
      <c r="I176" s="2" t="s">
        <v>894</v>
      </c>
      <c r="J176" s="2" t="s">
        <v>895</v>
      </c>
      <c r="K176" s="2">
        <v>204.4</v>
      </c>
      <c r="L176" s="2" t="s">
        <v>896</v>
      </c>
      <c r="M176" s="2" t="s">
        <v>897</v>
      </c>
      <c r="N176" s="2">
        <v>177.7</v>
      </c>
      <c r="O176" s="2" t="s">
        <v>898</v>
      </c>
      <c r="P176" s="2" t="s">
        <v>899</v>
      </c>
      <c r="Q176" s="2">
        <v>148.4</v>
      </c>
      <c r="R176" s="2" t="s">
        <v>900</v>
      </c>
      <c r="S176" s="2" t="s">
        <v>901</v>
      </c>
      <c r="T176" s="2">
        <v>126.7</v>
      </c>
    </row>
    <row r="177" spans="1:20" x14ac:dyDescent="0.25">
      <c r="A177" s="2" t="s">
        <v>902</v>
      </c>
      <c r="B177" s="2" t="s">
        <v>903</v>
      </c>
      <c r="C177" s="5">
        <f ca="1">[1]!thsiFinD("ths_int_chg_ratio_index",$A177,C$1,C$2)/100</f>
        <v>1.4382401599091998E-4</v>
      </c>
      <c r="D177" s="5">
        <f ca="1">[1]!thsiFinD("ths_int_chg_ratio_index",$A177,D$1,D$2)/100</f>
        <v>3.9882112442612E-2</v>
      </c>
      <c r="E177" s="5">
        <f ca="1">[1]!thsiFinD("ths_int_chg_ratio_index",$A177,E$1,E$2)/100</f>
        <v>-5.2200410330150999E-2</v>
      </c>
      <c r="F177" s="2" t="s">
        <v>224</v>
      </c>
      <c r="G177" s="2" t="s">
        <v>225</v>
      </c>
      <c r="H177" s="2">
        <v>5352.5</v>
      </c>
      <c r="I177" s="2" t="s">
        <v>50</v>
      </c>
      <c r="J177" s="2" t="s">
        <v>51</v>
      </c>
      <c r="K177" s="2">
        <v>2922</v>
      </c>
      <c r="L177" s="2" t="s">
        <v>52</v>
      </c>
      <c r="M177" s="2" t="s">
        <v>53</v>
      </c>
      <c r="N177" s="2">
        <v>2771.6</v>
      </c>
      <c r="O177" s="2" t="s">
        <v>106</v>
      </c>
      <c r="P177" s="2" t="s">
        <v>107</v>
      </c>
      <c r="Q177" s="2">
        <v>2027.7</v>
      </c>
      <c r="R177" s="2" t="s">
        <v>110</v>
      </c>
      <c r="S177" s="2" t="s">
        <v>111</v>
      </c>
      <c r="T177" s="2">
        <v>1784.4</v>
      </c>
    </row>
    <row r="178" spans="1:20" x14ac:dyDescent="0.25">
      <c r="A178" s="2" t="s">
        <v>904</v>
      </c>
      <c r="B178" s="2" t="s">
        <v>905</v>
      </c>
      <c r="C178" s="5">
        <f ca="1">[1]!thsiFinD("ths_int_chg_ratio_index",$A178,C$1,C$2)/100</f>
        <v>4.0426535410452999E-3</v>
      </c>
      <c r="D178" s="5">
        <f ca="1">[1]!thsiFinD("ths_int_chg_ratio_index",$A178,D$1,D$2)/100</f>
        <v>3.5844859671759002E-2</v>
      </c>
      <c r="E178" s="5">
        <f ca="1">[1]!thsiFinD("ths_int_chg_ratio_index",$A178,E$1,E$2)/100</f>
        <v>-6.5066762941202005E-2</v>
      </c>
      <c r="F178" s="2" t="s">
        <v>200</v>
      </c>
      <c r="G178" s="2" t="s">
        <v>201</v>
      </c>
      <c r="H178" s="2">
        <v>7623.8</v>
      </c>
      <c r="I178" s="2" t="s">
        <v>132</v>
      </c>
      <c r="J178" s="2" t="s">
        <v>133</v>
      </c>
      <c r="K178" s="2">
        <v>2077.6999999999998</v>
      </c>
      <c r="L178" s="2" t="s">
        <v>108</v>
      </c>
      <c r="M178" s="2" t="s">
        <v>109</v>
      </c>
      <c r="N178" s="2">
        <v>1916.1</v>
      </c>
      <c r="O178" s="2" t="s">
        <v>210</v>
      </c>
      <c r="P178" s="2" t="s">
        <v>211</v>
      </c>
      <c r="Q178" s="2">
        <v>1526.1</v>
      </c>
      <c r="R178" s="2" t="s">
        <v>630</v>
      </c>
      <c r="S178" s="2" t="s">
        <v>631</v>
      </c>
      <c r="T178" s="2">
        <v>1395.6</v>
      </c>
    </row>
    <row r="179" spans="1:20" x14ac:dyDescent="0.25">
      <c r="A179" s="2" t="s">
        <v>906</v>
      </c>
      <c r="B179" s="2" t="s">
        <v>907</v>
      </c>
      <c r="C179" s="5">
        <f ca="1">[1]!thsiFinD("ths_int_chg_ratio_index",$A179,C$1,C$2)/100</f>
        <v>1.5762297767085002E-3</v>
      </c>
      <c r="D179" s="5">
        <f ca="1">[1]!thsiFinD("ths_int_chg_ratio_index",$A179,D$1,D$2)/100</f>
        <v>3.4060023145708003E-2</v>
      </c>
      <c r="E179" s="5">
        <f ca="1">[1]!thsiFinD("ths_int_chg_ratio_index",$A179,E$1,E$2)/100</f>
        <v>-4.9775841850932E-2</v>
      </c>
      <c r="F179" s="2" t="s">
        <v>32</v>
      </c>
      <c r="G179" s="2" t="s">
        <v>33</v>
      </c>
      <c r="H179" s="2">
        <v>15494.3</v>
      </c>
      <c r="I179" s="2" t="s">
        <v>224</v>
      </c>
      <c r="J179" s="2" t="s">
        <v>225</v>
      </c>
      <c r="K179" s="2">
        <v>5352.5</v>
      </c>
      <c r="L179" s="2" t="s">
        <v>58</v>
      </c>
      <c r="M179" s="2" t="s">
        <v>59</v>
      </c>
      <c r="N179" s="2">
        <v>3373.1</v>
      </c>
      <c r="O179" s="2" t="s">
        <v>50</v>
      </c>
      <c r="P179" s="2" t="s">
        <v>51</v>
      </c>
      <c r="Q179" s="2">
        <v>2922</v>
      </c>
      <c r="R179" s="2" t="s">
        <v>52</v>
      </c>
      <c r="S179" s="2" t="s">
        <v>53</v>
      </c>
      <c r="T179" s="2">
        <v>2771.6</v>
      </c>
    </row>
    <row r="180" spans="1:20" x14ac:dyDescent="0.25">
      <c r="A180" s="2" t="s">
        <v>908</v>
      </c>
      <c r="B180" s="2" t="s">
        <v>909</v>
      </c>
      <c r="C180" s="5">
        <f ca="1">[1]!thsiFinD("ths_int_chg_ratio_index",$A180,C$1,C$2)/100</f>
        <v>1.3405119143268E-2</v>
      </c>
      <c r="D180" s="5">
        <f ca="1">[1]!thsiFinD("ths_int_chg_ratio_index",$A180,D$1,D$2)/100</f>
        <v>4.3872399862157005E-2</v>
      </c>
      <c r="E180" s="5">
        <f ca="1">[1]!thsiFinD("ths_int_chg_ratio_index",$A180,E$1,E$2)/100</f>
        <v>-4.3565703345104005E-2</v>
      </c>
      <c r="F180" s="2" t="s">
        <v>910</v>
      </c>
      <c r="G180" s="2" t="s">
        <v>911</v>
      </c>
      <c r="H180" s="2">
        <v>371.5</v>
      </c>
      <c r="I180" s="2" t="s">
        <v>912</v>
      </c>
      <c r="J180" s="2" t="s">
        <v>913</v>
      </c>
      <c r="K180" s="2">
        <v>282.10000000000002</v>
      </c>
      <c r="L180" s="2" t="s">
        <v>914</v>
      </c>
      <c r="M180" s="2" t="s">
        <v>915</v>
      </c>
      <c r="N180" s="2">
        <v>169.4</v>
      </c>
      <c r="O180" s="2" t="s">
        <v>916</v>
      </c>
      <c r="P180" s="2" t="s">
        <v>917</v>
      </c>
      <c r="Q180" s="2">
        <v>154.30000000000001</v>
      </c>
      <c r="R180" s="2" t="s">
        <v>918</v>
      </c>
      <c r="S180" s="2" t="s">
        <v>919</v>
      </c>
      <c r="T180" s="2">
        <v>146.69999999999999</v>
      </c>
    </row>
    <row r="181" spans="1:20" x14ac:dyDescent="0.25">
      <c r="A181" s="2" t="s">
        <v>920</v>
      </c>
      <c r="B181" s="2" t="s">
        <v>921</v>
      </c>
      <c r="C181" s="5">
        <f ca="1">[1]!thsiFinD("ths_int_chg_ratio_index",$A181,C$1,C$2)/100</f>
        <v>-1.8073612911631998E-2</v>
      </c>
      <c r="D181" s="5">
        <f ca="1">[1]!thsiFinD("ths_int_chg_ratio_index",$A181,D$1,D$2)/100</f>
        <v>3.4858835258996003E-3</v>
      </c>
      <c r="E181" s="5">
        <f ca="1">[1]!thsiFinD("ths_int_chg_ratio_index",$A181,E$1,E$2)/100</f>
        <v>-3.7097696357528999E-2</v>
      </c>
      <c r="F181" s="2" t="s">
        <v>648</v>
      </c>
      <c r="G181" s="2" t="s">
        <v>649</v>
      </c>
      <c r="H181" s="2">
        <v>15512.1</v>
      </c>
      <c r="I181" s="2" t="s">
        <v>922</v>
      </c>
      <c r="J181" s="2" t="s">
        <v>923</v>
      </c>
      <c r="K181" s="2">
        <v>7017.5</v>
      </c>
      <c r="L181" s="2" t="s">
        <v>666</v>
      </c>
      <c r="M181" s="2" t="s">
        <v>667</v>
      </c>
      <c r="N181" s="2">
        <v>6804.2</v>
      </c>
      <c r="O181" s="2" t="s">
        <v>600</v>
      </c>
      <c r="P181" s="2" t="s">
        <v>601</v>
      </c>
      <c r="Q181" s="2">
        <v>4462.8</v>
      </c>
      <c r="R181" s="2" t="s">
        <v>204</v>
      </c>
      <c r="S181" s="2" t="s">
        <v>205</v>
      </c>
      <c r="T181" s="2">
        <v>4409.3999999999996</v>
      </c>
    </row>
    <row r="182" spans="1:20" x14ac:dyDescent="0.25">
      <c r="A182" s="2" t="s">
        <v>924</v>
      </c>
      <c r="B182" s="2" t="s">
        <v>925</v>
      </c>
      <c r="C182" s="5">
        <f ca="1">[1]!thsiFinD("ths_int_chg_ratio_index",$A182,C$1,C$2)/100</f>
        <v>-1.7649292743648001E-2</v>
      </c>
      <c r="D182" s="5">
        <f ca="1">[1]!thsiFinD("ths_int_chg_ratio_index",$A182,D$1,D$2)/100</f>
        <v>-5.2186191171282002E-4</v>
      </c>
      <c r="E182" s="5">
        <f ca="1">[1]!thsiFinD("ths_int_chg_ratio_index",$A182,E$1,E$2)/100</f>
        <v>-8.757073218315399E-2</v>
      </c>
      <c r="F182" s="2" t="s">
        <v>378</v>
      </c>
      <c r="G182" s="2" t="s">
        <v>379</v>
      </c>
      <c r="H182" s="2">
        <v>1163.5</v>
      </c>
      <c r="I182" s="2" t="s">
        <v>256</v>
      </c>
      <c r="J182" s="2" t="s">
        <v>257</v>
      </c>
      <c r="K182" s="2">
        <v>895</v>
      </c>
      <c r="L182" s="2" t="s">
        <v>926</v>
      </c>
      <c r="M182" s="2" t="s">
        <v>927</v>
      </c>
      <c r="N182" s="2">
        <v>836.5</v>
      </c>
      <c r="O182" s="2" t="s">
        <v>928</v>
      </c>
      <c r="P182" s="2" t="s">
        <v>929</v>
      </c>
      <c r="Q182" s="2">
        <v>737</v>
      </c>
      <c r="R182" s="2" t="s">
        <v>830</v>
      </c>
      <c r="S182" s="2" t="s">
        <v>831</v>
      </c>
      <c r="T182" s="2">
        <v>645.70000000000005</v>
      </c>
    </row>
    <row r="183" spans="1:20" x14ac:dyDescent="0.25">
      <c r="A183" s="2" t="s">
        <v>930</v>
      </c>
      <c r="B183" s="2" t="s">
        <v>931</v>
      </c>
      <c r="C183" s="5">
        <f ca="1">[1]!thsiFinD("ths_int_chg_ratio_index",$A183,C$1,C$2)/100</f>
        <v>-9.8571144695431996E-3</v>
      </c>
      <c r="D183" s="5">
        <f ca="1">[1]!thsiFinD("ths_int_chg_ratio_index",$A183,D$1,D$2)/100</f>
        <v>-1.1535981835168001E-2</v>
      </c>
      <c r="E183" s="5">
        <f ca="1">[1]!thsiFinD("ths_int_chg_ratio_index",$A183,E$1,E$2)/100</f>
        <v>-0.11461865716753999</v>
      </c>
      <c r="F183" s="2" t="s">
        <v>50</v>
      </c>
      <c r="G183" s="2" t="s">
        <v>51</v>
      </c>
      <c r="H183" s="2">
        <v>2922</v>
      </c>
      <c r="I183" s="2" t="s">
        <v>706</v>
      </c>
      <c r="J183" s="2" t="s">
        <v>707</v>
      </c>
      <c r="K183" s="2">
        <v>1202.4000000000001</v>
      </c>
      <c r="L183" s="2" t="s">
        <v>134</v>
      </c>
      <c r="M183" s="2" t="s">
        <v>135</v>
      </c>
      <c r="N183" s="2">
        <v>1136.8</v>
      </c>
      <c r="O183" s="2" t="s">
        <v>932</v>
      </c>
      <c r="P183" s="2" t="s">
        <v>933</v>
      </c>
      <c r="Q183" s="2">
        <v>167.4</v>
      </c>
      <c r="R183" s="2" t="s">
        <v>934</v>
      </c>
      <c r="S183" s="2" t="s">
        <v>935</v>
      </c>
      <c r="T183" s="2">
        <v>155</v>
      </c>
    </row>
    <row r="184" spans="1:20" x14ac:dyDescent="0.25">
      <c r="A184" s="2" t="s">
        <v>936</v>
      </c>
      <c r="B184" s="2" t="s">
        <v>937</v>
      </c>
      <c r="C184" s="5">
        <f ca="1">[1]!thsiFinD("ths_int_chg_ratio_index",$A184,C$1,C$2)/100</f>
        <v>-2.1345622144429998E-3</v>
      </c>
      <c r="D184" s="5">
        <f ca="1">[1]!thsiFinD("ths_int_chg_ratio_index",$A184,D$1,D$2)/100</f>
        <v>1.3528552101099999E-2</v>
      </c>
      <c r="E184" s="5">
        <f ca="1">[1]!thsiFinD("ths_int_chg_ratio_index",$A184,E$1,E$2)/100</f>
        <v>-0.10201901429226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x14ac:dyDescent="0.25">
      <c r="A185" s="2" t="s">
        <v>938</v>
      </c>
      <c r="B185" s="2" t="s">
        <v>939</v>
      </c>
      <c r="C185" s="5">
        <f ca="1">[1]!thsiFinD("ths_int_chg_ratio_index",$A185,C$1,C$2)/100</f>
        <v>-1.3387965679448E-2</v>
      </c>
      <c r="D185" s="5">
        <f ca="1">[1]!thsiFinD("ths_int_chg_ratio_index",$A185,D$1,D$2)/100</f>
        <v>2.0047823027200999E-3</v>
      </c>
      <c r="E185" s="5">
        <f ca="1">[1]!thsiFinD("ths_int_chg_ratio_index",$A185,E$1,E$2)/100</f>
        <v>-4.6041775459369001E-2</v>
      </c>
      <c r="F185" s="2" t="s">
        <v>288</v>
      </c>
      <c r="G185" s="2" t="s">
        <v>289</v>
      </c>
      <c r="H185" s="2">
        <v>1191.0999999999999</v>
      </c>
      <c r="I185" s="2" t="s">
        <v>164</v>
      </c>
      <c r="J185" s="2" t="s">
        <v>165</v>
      </c>
      <c r="K185" s="2">
        <v>1088.4000000000001</v>
      </c>
      <c r="L185" s="2" t="s">
        <v>940</v>
      </c>
      <c r="M185" s="2" t="s">
        <v>941</v>
      </c>
      <c r="N185" s="2">
        <v>756.3</v>
      </c>
      <c r="O185" s="2" t="s">
        <v>462</v>
      </c>
      <c r="P185" s="2" t="s">
        <v>463</v>
      </c>
      <c r="Q185" s="2">
        <v>464.5</v>
      </c>
      <c r="R185" s="2" t="s">
        <v>466</v>
      </c>
      <c r="S185" s="2" t="s">
        <v>467</v>
      </c>
      <c r="T185" s="2">
        <v>239.7</v>
      </c>
    </row>
    <row r="186" spans="1:20" x14ac:dyDescent="0.25">
      <c r="A186" s="2" t="s">
        <v>942</v>
      </c>
      <c r="B186" s="2" t="s">
        <v>943</v>
      </c>
      <c r="C186" s="5">
        <f ca="1">[1]!thsiFinD("ths_int_chg_ratio_index",$A186,C$1,C$2)/100</f>
        <v>-1.2110421891269001E-2</v>
      </c>
      <c r="D186" s="5">
        <f ca="1">[1]!thsiFinD("ths_int_chg_ratio_index",$A186,D$1,D$2)/100</f>
        <v>4.6962156251679002E-3</v>
      </c>
      <c r="E186" s="5">
        <f ca="1">[1]!thsiFinD("ths_int_chg_ratio_index",$A186,E$1,E$2)/100</f>
        <v>-6.7218810252745995E-2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x14ac:dyDescent="0.25">
      <c r="A187" s="2" t="s">
        <v>944</v>
      </c>
      <c r="B187" s="2" t="s">
        <v>945</v>
      </c>
      <c r="C187" s="5">
        <f ca="1">[1]!thsiFinD("ths_int_chg_ratio_index",$A187,C$1,C$2)/100</f>
        <v>-1.1059681764311E-2</v>
      </c>
      <c r="D187" s="5">
        <f ca="1">[1]!thsiFinD("ths_int_chg_ratio_index",$A187,D$1,D$2)/100</f>
        <v>2.0998096559210002E-2</v>
      </c>
      <c r="E187" s="5">
        <f ca="1">[1]!thsiFinD("ths_int_chg_ratio_index",$A187,E$1,E$2)/100</f>
        <v>-9.310604224704401E-2</v>
      </c>
      <c r="F187" s="2" t="s">
        <v>246</v>
      </c>
      <c r="G187" s="2" t="s">
        <v>247</v>
      </c>
      <c r="H187" s="2">
        <v>1846.7</v>
      </c>
      <c r="I187" s="2" t="s">
        <v>162</v>
      </c>
      <c r="J187" s="2" t="s">
        <v>163</v>
      </c>
      <c r="K187" s="2">
        <v>1161.5</v>
      </c>
      <c r="L187" s="2" t="s">
        <v>946</v>
      </c>
      <c r="M187" s="2" t="s">
        <v>947</v>
      </c>
      <c r="N187" s="2">
        <v>760.4</v>
      </c>
      <c r="O187" s="2" t="s">
        <v>948</v>
      </c>
      <c r="P187" s="2" t="s">
        <v>949</v>
      </c>
      <c r="Q187" s="2">
        <v>615.79999999999995</v>
      </c>
      <c r="R187" s="2" t="s">
        <v>950</v>
      </c>
      <c r="S187" s="2" t="s">
        <v>951</v>
      </c>
      <c r="T187" s="2">
        <v>312.7</v>
      </c>
    </row>
    <row r="188" spans="1:20" x14ac:dyDescent="0.25">
      <c r="A188" s="2" t="s">
        <v>952</v>
      </c>
      <c r="B188" s="2" t="s">
        <v>953</v>
      </c>
      <c r="C188" s="5">
        <f ca="1">[1]!thsiFinD("ths_int_chg_ratio_index",$A188,C$1,C$2)/100</f>
        <v>-5.1617987916107002E-3</v>
      </c>
      <c r="D188" s="5">
        <f ca="1">[1]!thsiFinD("ths_int_chg_ratio_index",$A188,D$1,D$2)/100</f>
        <v>1.8532044809420001E-2</v>
      </c>
      <c r="E188" s="5">
        <f ca="1">[1]!thsiFinD("ths_int_chg_ratio_index",$A188,E$1,E$2)/100</f>
        <v>-1.4152486823232001E-2</v>
      </c>
      <c r="F188" s="2" t="s">
        <v>270</v>
      </c>
      <c r="G188" s="2" t="s">
        <v>271</v>
      </c>
      <c r="H188" s="2">
        <v>16668.3</v>
      </c>
      <c r="I188" s="2" t="s">
        <v>32</v>
      </c>
      <c r="J188" s="2" t="s">
        <v>33</v>
      </c>
      <c r="K188" s="2">
        <v>15494.3</v>
      </c>
      <c r="L188" s="2" t="s">
        <v>404</v>
      </c>
      <c r="M188" s="2" t="s">
        <v>405</v>
      </c>
      <c r="N188" s="2">
        <v>6116.7</v>
      </c>
      <c r="O188" s="2" t="s">
        <v>224</v>
      </c>
      <c r="P188" s="2" t="s">
        <v>225</v>
      </c>
      <c r="Q188" s="2">
        <v>5352.5</v>
      </c>
      <c r="R188" s="2" t="s">
        <v>38</v>
      </c>
      <c r="S188" s="2" t="s">
        <v>39</v>
      </c>
      <c r="T188" s="2">
        <v>5083.3999999999996</v>
      </c>
    </row>
    <row r="189" spans="1:20" x14ac:dyDescent="0.25">
      <c r="A189" s="2" t="s">
        <v>954</v>
      </c>
      <c r="B189" s="2" t="s">
        <v>955</v>
      </c>
      <c r="C189" s="5">
        <f ca="1">[1]!thsiFinD("ths_int_chg_ratio_index",$A189,C$1,C$2)/100</f>
        <v>-2.4578266730563E-2</v>
      </c>
      <c r="D189" s="5">
        <f ca="1">[1]!thsiFinD("ths_int_chg_ratio_index",$A189,D$1,D$2)/100</f>
        <v>-2.9665308504408E-3</v>
      </c>
      <c r="E189" s="5">
        <f ca="1">[1]!thsiFinD("ths_int_chg_ratio_index",$A189,E$1,E$2)/100</f>
        <v>-8.0622770804954003E-2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x14ac:dyDescent="0.25">
      <c r="A190" s="2" t="s">
        <v>956</v>
      </c>
      <c r="B190" s="2" t="s">
        <v>957</v>
      </c>
      <c r="C190" s="5">
        <f ca="1">[1]!thsiFinD("ths_int_chg_ratio_index",$A190,C$1,C$2)/100</f>
        <v>-7.6684868196552E-3</v>
      </c>
      <c r="D190" s="5">
        <f ca="1">[1]!thsiFinD("ths_int_chg_ratio_index",$A190,D$1,D$2)/100</f>
        <v>3.3100630476137004E-2</v>
      </c>
      <c r="E190" s="5">
        <f ca="1">[1]!thsiFinD("ths_int_chg_ratio_index",$A190,E$1,E$2)/100</f>
        <v>-8.3789175261206009E-2</v>
      </c>
      <c r="F190" s="2" t="s">
        <v>270</v>
      </c>
      <c r="G190" s="2" t="s">
        <v>271</v>
      </c>
      <c r="H190" s="2">
        <v>16668.3</v>
      </c>
      <c r="I190" s="2" t="s">
        <v>246</v>
      </c>
      <c r="J190" s="2" t="s">
        <v>247</v>
      </c>
      <c r="K190" s="2">
        <v>1846.7</v>
      </c>
      <c r="L190" s="2" t="s">
        <v>392</v>
      </c>
      <c r="M190" s="2" t="s">
        <v>393</v>
      </c>
      <c r="N190" s="2">
        <v>1715.7</v>
      </c>
      <c r="O190" s="2" t="s">
        <v>706</v>
      </c>
      <c r="P190" s="2" t="s">
        <v>707</v>
      </c>
      <c r="Q190" s="2">
        <v>1202.4000000000001</v>
      </c>
      <c r="R190" s="2" t="s">
        <v>712</v>
      </c>
      <c r="S190" s="2" t="s">
        <v>713</v>
      </c>
      <c r="T190" s="2">
        <v>855</v>
      </c>
    </row>
    <row r="191" spans="1:20" x14ac:dyDescent="0.25">
      <c r="A191" s="2" t="s">
        <v>958</v>
      </c>
      <c r="B191" s="2" t="s">
        <v>959</v>
      </c>
      <c r="C191" s="5">
        <f ca="1">[1]!thsiFinD("ths_int_chg_ratio_index",$A191,C$1,C$2)/100</f>
        <v>-7.9624404471365998E-3</v>
      </c>
      <c r="D191" s="5">
        <f ca="1">[1]!thsiFinD("ths_int_chg_ratio_index",$A191,D$1,D$2)/100</f>
        <v>4.0522580479863006E-2</v>
      </c>
      <c r="E191" s="5">
        <f ca="1">[1]!thsiFinD("ths_int_chg_ratio_index",$A191,E$1,E$2)/100</f>
        <v>-3.8632574130521E-2</v>
      </c>
      <c r="F191" s="2" t="s">
        <v>440</v>
      </c>
      <c r="G191" s="2" t="s">
        <v>441</v>
      </c>
      <c r="H191" s="2">
        <v>2161.6</v>
      </c>
      <c r="I191" s="2" t="s">
        <v>20</v>
      </c>
      <c r="J191" s="2" t="s">
        <v>21</v>
      </c>
      <c r="K191" s="2">
        <v>1930</v>
      </c>
      <c r="L191" s="2" t="s">
        <v>210</v>
      </c>
      <c r="M191" s="2" t="s">
        <v>211</v>
      </c>
      <c r="N191" s="2">
        <v>1526.1</v>
      </c>
      <c r="O191" s="2" t="s">
        <v>728</v>
      </c>
      <c r="P191" s="2" t="s">
        <v>729</v>
      </c>
      <c r="Q191" s="2">
        <v>1504.9</v>
      </c>
      <c r="R191" s="2" t="s">
        <v>260</v>
      </c>
      <c r="S191" s="2" t="s">
        <v>261</v>
      </c>
      <c r="T191" s="2">
        <v>1408.2</v>
      </c>
    </row>
    <row r="192" spans="1:20" x14ac:dyDescent="0.25">
      <c r="A192" s="2" t="s">
        <v>960</v>
      </c>
      <c r="B192" s="2" t="s">
        <v>961</v>
      </c>
      <c r="C192" s="5">
        <f ca="1">[1]!thsiFinD("ths_int_chg_ratio_index",$A192,C$1,C$2)/100</f>
        <v>-2.2491415335521001E-2</v>
      </c>
      <c r="D192" s="5">
        <f ca="1">[1]!thsiFinD("ths_int_chg_ratio_index",$A192,D$1,D$2)/100</f>
        <v>1.5587388153455999E-3</v>
      </c>
      <c r="E192" s="5">
        <f ca="1">[1]!thsiFinD("ths_int_chg_ratio_index",$A192,E$1,E$2)/100</f>
        <v>-4.2038687859937002E-2</v>
      </c>
      <c r="F192" s="2" t="s">
        <v>648</v>
      </c>
      <c r="G192" s="2" t="s">
        <v>649</v>
      </c>
      <c r="H192" s="2">
        <v>15512.1</v>
      </c>
      <c r="I192" s="2" t="s">
        <v>922</v>
      </c>
      <c r="J192" s="2" t="s">
        <v>923</v>
      </c>
      <c r="K192" s="2">
        <v>7017.5</v>
      </c>
      <c r="L192" s="2" t="s">
        <v>666</v>
      </c>
      <c r="M192" s="2" t="s">
        <v>667</v>
      </c>
      <c r="N192" s="2">
        <v>6804.2</v>
      </c>
      <c r="O192" s="2" t="s">
        <v>600</v>
      </c>
      <c r="P192" s="2" t="s">
        <v>601</v>
      </c>
      <c r="Q192" s="2">
        <v>4462.8</v>
      </c>
      <c r="R192" s="2" t="s">
        <v>204</v>
      </c>
      <c r="S192" s="2" t="s">
        <v>205</v>
      </c>
      <c r="T192" s="2">
        <v>4409.3999999999996</v>
      </c>
    </row>
    <row r="193" spans="1:20" x14ac:dyDescent="0.25">
      <c r="A193" s="2" t="s">
        <v>962</v>
      </c>
      <c r="B193" s="2" t="s">
        <v>963</v>
      </c>
      <c r="C193" s="5">
        <f ca="1">[1]!thsiFinD("ths_int_chg_ratio_index",$A193,C$1,C$2)/100</f>
        <v>-1.4201075006108E-2</v>
      </c>
      <c r="D193" s="5">
        <f ca="1">[1]!thsiFinD("ths_int_chg_ratio_index",$A193,D$1,D$2)/100</f>
        <v>-1.5252632575558001E-2</v>
      </c>
      <c r="E193" s="5">
        <f ca="1">[1]!thsiFinD("ths_int_chg_ratio_index",$A193,E$1,E$2)/100</f>
        <v>-4.3001452737966003E-2</v>
      </c>
      <c r="F193" s="2" t="s">
        <v>150</v>
      </c>
      <c r="G193" s="2" t="s">
        <v>151</v>
      </c>
      <c r="H193" s="2">
        <v>590.6</v>
      </c>
      <c r="I193" s="2" t="s">
        <v>964</v>
      </c>
      <c r="J193" s="2" t="s">
        <v>965</v>
      </c>
      <c r="K193" s="2">
        <v>348</v>
      </c>
      <c r="L193" s="2" t="s">
        <v>966</v>
      </c>
      <c r="M193" s="2" t="s">
        <v>967</v>
      </c>
      <c r="N193" s="2">
        <v>316.8</v>
      </c>
      <c r="O193" s="2" t="s">
        <v>968</v>
      </c>
      <c r="P193" s="2" t="s">
        <v>969</v>
      </c>
      <c r="Q193" s="2">
        <v>233</v>
      </c>
      <c r="R193" s="2" t="s">
        <v>970</v>
      </c>
      <c r="S193" s="2" t="s">
        <v>971</v>
      </c>
      <c r="T193" s="2">
        <v>157.30000000000001</v>
      </c>
    </row>
    <row r="194" spans="1:20" x14ac:dyDescent="0.25">
      <c r="A194" s="2" t="s">
        <v>972</v>
      </c>
      <c r="B194" s="2" t="s">
        <v>973</v>
      </c>
      <c r="C194" s="5">
        <f ca="1">[1]!thsiFinD("ths_int_chg_ratio_index",$A194,C$1,C$2)/100</f>
        <v>-8.645579977074401E-3</v>
      </c>
      <c r="D194" s="5">
        <f ca="1">[1]!thsiFinD("ths_int_chg_ratio_index",$A194,D$1,D$2)/100</f>
        <v>2.2538745426115E-2</v>
      </c>
      <c r="E194" s="5">
        <f ca="1">[1]!thsiFinD("ths_int_chg_ratio_index",$A194,E$1,E$2)/100</f>
        <v>-6.8248830394422005E-2</v>
      </c>
      <c r="F194" s="2" t="s">
        <v>608</v>
      </c>
      <c r="G194" s="2" t="s">
        <v>609</v>
      </c>
      <c r="H194" s="2">
        <v>1904.9</v>
      </c>
      <c r="I194" s="2" t="s">
        <v>110</v>
      </c>
      <c r="J194" s="2" t="s">
        <v>111</v>
      </c>
      <c r="K194" s="2">
        <v>1784.4</v>
      </c>
      <c r="L194" s="2" t="s">
        <v>728</v>
      </c>
      <c r="M194" s="2" t="s">
        <v>729</v>
      </c>
      <c r="N194" s="2">
        <v>1504.9</v>
      </c>
      <c r="O194" s="2" t="s">
        <v>634</v>
      </c>
      <c r="P194" s="2" t="s">
        <v>635</v>
      </c>
      <c r="Q194" s="2">
        <v>1297.0999999999999</v>
      </c>
      <c r="R194" s="2" t="s">
        <v>694</v>
      </c>
      <c r="S194" s="2" t="s">
        <v>695</v>
      </c>
      <c r="T194" s="2">
        <v>980.1</v>
      </c>
    </row>
    <row r="195" spans="1:20" x14ac:dyDescent="0.25">
      <c r="A195" s="2" t="s">
        <v>974</v>
      </c>
      <c r="B195" s="2" t="s">
        <v>975</v>
      </c>
      <c r="C195" s="5">
        <f ca="1">[1]!thsiFinD("ths_int_chg_ratio_index",$A195,C$1,C$2)/100</f>
        <v>-1.2467044821667E-2</v>
      </c>
      <c r="D195" s="5">
        <f ca="1">[1]!thsiFinD("ths_int_chg_ratio_index",$A195,D$1,D$2)/100</f>
        <v>1.8074130580623002E-2</v>
      </c>
      <c r="E195" s="5">
        <f ca="1">[1]!thsiFinD("ths_int_chg_ratio_index",$A195,E$1,E$2)/100</f>
        <v>-7.2505788313459996E-2</v>
      </c>
      <c r="F195" s="2" t="s">
        <v>224</v>
      </c>
      <c r="G195" s="2" t="s">
        <v>225</v>
      </c>
      <c r="H195" s="2">
        <v>5352.5</v>
      </c>
      <c r="I195" s="2" t="s">
        <v>106</v>
      </c>
      <c r="J195" s="2" t="s">
        <v>107</v>
      </c>
      <c r="K195" s="2">
        <v>2027.7</v>
      </c>
      <c r="L195" s="2" t="s">
        <v>550</v>
      </c>
      <c r="M195" s="2" t="s">
        <v>551</v>
      </c>
      <c r="N195" s="2">
        <v>1685.2</v>
      </c>
      <c r="O195" s="2" t="s">
        <v>384</v>
      </c>
      <c r="P195" s="2" t="s">
        <v>385</v>
      </c>
      <c r="Q195" s="2">
        <v>1216.2</v>
      </c>
      <c r="R195" s="2" t="s">
        <v>976</v>
      </c>
      <c r="S195" s="2" t="s">
        <v>977</v>
      </c>
      <c r="T195" s="2">
        <v>393</v>
      </c>
    </row>
    <row r="196" spans="1:20" x14ac:dyDescent="0.25">
      <c r="A196" s="2" t="s">
        <v>978</v>
      </c>
      <c r="B196" s="2" t="s">
        <v>979</v>
      </c>
      <c r="C196" s="5">
        <f ca="1">[1]!thsiFinD("ths_int_chg_ratio_index",$A196,C$1,C$2)/100</f>
        <v>-1.5608618225668001E-2</v>
      </c>
      <c r="D196" s="5">
        <f ca="1">[1]!thsiFinD("ths_int_chg_ratio_index",$A196,D$1,D$2)/100</f>
        <v>5.0348182780079999E-2</v>
      </c>
      <c r="E196" s="5">
        <f ca="1">[1]!thsiFinD("ths_int_chg_ratio_index",$A196,E$1,E$2)/100</f>
        <v>-4.6996887121175002E-2</v>
      </c>
      <c r="F196" s="2" t="s">
        <v>50</v>
      </c>
      <c r="G196" s="2" t="s">
        <v>51</v>
      </c>
      <c r="H196" s="2">
        <v>2922</v>
      </c>
      <c r="I196" s="2" t="s">
        <v>260</v>
      </c>
      <c r="J196" s="2" t="s">
        <v>261</v>
      </c>
      <c r="K196" s="2">
        <v>1408.2</v>
      </c>
      <c r="L196" s="2" t="s">
        <v>276</v>
      </c>
      <c r="M196" s="2" t="s">
        <v>277</v>
      </c>
      <c r="N196" s="2">
        <v>1352.3</v>
      </c>
      <c r="O196" s="2" t="s">
        <v>980</v>
      </c>
      <c r="P196" s="2" t="s">
        <v>981</v>
      </c>
      <c r="Q196" s="2">
        <v>875.1</v>
      </c>
      <c r="R196" s="2" t="s">
        <v>982</v>
      </c>
      <c r="S196" s="2" t="s">
        <v>983</v>
      </c>
      <c r="T196" s="2">
        <v>784.6</v>
      </c>
    </row>
    <row r="197" spans="1:20" x14ac:dyDescent="0.25">
      <c r="A197" s="2" t="s">
        <v>984</v>
      </c>
      <c r="B197" s="2" t="s">
        <v>985</v>
      </c>
      <c r="C197" s="5">
        <f ca="1">[1]!thsiFinD("ths_int_chg_ratio_index",$A197,C$1,C$2)/100</f>
        <v>-2.2931215682170998E-2</v>
      </c>
      <c r="D197" s="5">
        <f ca="1">[1]!thsiFinD("ths_int_chg_ratio_index",$A197,D$1,D$2)/100</f>
        <v>9.5864735708723996E-3</v>
      </c>
      <c r="E197" s="5">
        <f ca="1">[1]!thsiFinD("ths_int_chg_ratio_index",$A197,E$1,E$2)/100</f>
        <v>-6.5055743324541004E-2</v>
      </c>
      <c r="F197" s="2" t="s">
        <v>648</v>
      </c>
      <c r="G197" s="2" t="s">
        <v>649</v>
      </c>
      <c r="H197" s="2">
        <v>15512.1</v>
      </c>
      <c r="I197" s="2" t="s">
        <v>404</v>
      </c>
      <c r="J197" s="2" t="s">
        <v>405</v>
      </c>
      <c r="K197" s="2">
        <v>6116.7</v>
      </c>
      <c r="L197" s="2" t="s">
        <v>224</v>
      </c>
      <c r="M197" s="2" t="s">
        <v>225</v>
      </c>
      <c r="N197" s="2">
        <v>5352.5</v>
      </c>
      <c r="O197" s="2" t="s">
        <v>600</v>
      </c>
      <c r="P197" s="2" t="s">
        <v>601</v>
      </c>
      <c r="Q197" s="2">
        <v>4462.8</v>
      </c>
      <c r="R197" s="2" t="s">
        <v>420</v>
      </c>
      <c r="S197" s="2" t="s">
        <v>421</v>
      </c>
      <c r="T197" s="2">
        <v>2719.8</v>
      </c>
    </row>
    <row r="198" spans="1:20" x14ac:dyDescent="0.25">
      <c r="A198" s="2" t="s">
        <v>986</v>
      </c>
      <c r="B198" s="2" t="s">
        <v>987</v>
      </c>
      <c r="C198" s="5">
        <f ca="1">[1]!thsiFinD("ths_int_chg_ratio_index",$A198,C$1,C$2)/100</f>
        <v>-2.3782661027215001E-2</v>
      </c>
      <c r="D198" s="5">
        <f ca="1">[1]!thsiFinD("ths_int_chg_ratio_index",$A198,D$1,D$2)/100</f>
        <v>-2.1247814718065E-2</v>
      </c>
      <c r="E198" s="5">
        <f ca="1">[1]!thsiFinD("ths_int_chg_ratio_index",$A198,E$1,E$2)/100</f>
        <v>-8.8360604000776999E-2</v>
      </c>
      <c r="F198" s="2" t="s">
        <v>600</v>
      </c>
      <c r="G198" s="2" t="s">
        <v>601</v>
      </c>
      <c r="H198" s="2">
        <v>4462.8</v>
      </c>
      <c r="I198" s="2" t="s">
        <v>988</v>
      </c>
      <c r="J198" s="2" t="s">
        <v>989</v>
      </c>
      <c r="K198" s="2">
        <v>510</v>
      </c>
      <c r="L198" s="2" t="s">
        <v>990</v>
      </c>
      <c r="M198" s="2" t="s">
        <v>991</v>
      </c>
      <c r="N198" s="2">
        <v>351.4</v>
      </c>
      <c r="O198" s="2" t="s">
        <v>992</v>
      </c>
      <c r="P198" s="2" t="s">
        <v>993</v>
      </c>
      <c r="Q198" s="2">
        <v>289.89999999999998</v>
      </c>
      <c r="R198" s="2" t="s">
        <v>892</v>
      </c>
      <c r="S198" s="2" t="s">
        <v>893</v>
      </c>
      <c r="T198" s="2">
        <v>289.8</v>
      </c>
    </row>
    <row r="199" spans="1:20" x14ac:dyDescent="0.25">
      <c r="A199" s="2" t="s">
        <v>994</v>
      </c>
      <c r="B199" s="2" t="s">
        <v>995</v>
      </c>
      <c r="C199" s="5">
        <f ca="1">[1]!thsiFinD("ths_int_chg_ratio_index",$A199,C$1,C$2)/100</f>
        <v>-1.1821402209816001E-2</v>
      </c>
      <c r="D199" s="5">
        <f ca="1">[1]!thsiFinD("ths_int_chg_ratio_index",$A199,D$1,D$2)/100</f>
        <v>4.5550778249031004E-2</v>
      </c>
      <c r="E199" s="5">
        <f ca="1">[1]!thsiFinD("ths_int_chg_ratio_index",$A199,E$1,E$2)/100</f>
        <v>-5.2807126705416006E-2</v>
      </c>
      <c r="F199" s="2" t="s">
        <v>32</v>
      </c>
      <c r="G199" s="2" t="s">
        <v>33</v>
      </c>
      <c r="H199" s="2">
        <v>15494.3</v>
      </c>
      <c r="I199" s="2" t="s">
        <v>224</v>
      </c>
      <c r="J199" s="2" t="s">
        <v>225</v>
      </c>
      <c r="K199" s="2">
        <v>5352.5</v>
      </c>
      <c r="L199" s="2" t="s">
        <v>204</v>
      </c>
      <c r="M199" s="2" t="s">
        <v>205</v>
      </c>
      <c r="N199" s="2">
        <v>4409.3999999999996</v>
      </c>
      <c r="O199" s="2" t="s">
        <v>78</v>
      </c>
      <c r="P199" s="2" t="s">
        <v>79</v>
      </c>
      <c r="Q199" s="2">
        <v>4204.8</v>
      </c>
      <c r="R199" s="2" t="s">
        <v>64</v>
      </c>
      <c r="S199" s="2" t="s">
        <v>65</v>
      </c>
      <c r="T199" s="2">
        <v>3192.6</v>
      </c>
    </row>
    <row r="200" spans="1:20" x14ac:dyDescent="0.25">
      <c r="A200" s="2" t="s">
        <v>996</v>
      </c>
      <c r="B200" s="2" t="s">
        <v>997</v>
      </c>
      <c r="C200" s="5">
        <f ca="1">[1]!thsiFinD("ths_int_chg_ratio_index",$A200,C$1,C$2)/100</f>
        <v>-2.8034037946597999E-2</v>
      </c>
      <c r="D200" s="5">
        <f ca="1">[1]!thsiFinD("ths_int_chg_ratio_index",$A200,D$1,D$2)/100</f>
        <v>4.1585841100210998E-3</v>
      </c>
      <c r="E200" s="5">
        <f ca="1">[1]!thsiFinD("ths_int_chg_ratio_index",$A200,E$1,E$2)/100</f>
        <v>-7.1114037884499007E-2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 x14ac:dyDescent="0.25">
      <c r="A201" s="2" t="s">
        <v>998</v>
      </c>
      <c r="B201" s="2" t="s">
        <v>999</v>
      </c>
      <c r="C201" s="5">
        <f ca="1">[1]!thsiFinD("ths_int_chg_ratio_index",$A201,C$1,C$2)/100</f>
        <v>-2.6557415935415E-2</v>
      </c>
      <c r="D201" s="5">
        <f ca="1">[1]!thsiFinD("ths_int_chg_ratio_index",$A201,D$1,D$2)/100</f>
        <v>-3.9334752305830003E-3</v>
      </c>
      <c r="E201" s="5">
        <f ca="1">[1]!thsiFinD("ths_int_chg_ratio_index",$A201,E$1,E$2)/100</f>
        <v>-6.177268067313E-2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 x14ac:dyDescent="0.25">
      <c r="A202" s="2" t="s">
        <v>1000</v>
      </c>
      <c r="B202" s="2" t="s">
        <v>1001</v>
      </c>
      <c r="C202" s="5">
        <f ca="1">[1]!thsiFinD("ths_int_chg_ratio_index",$A202,C$1,C$2)/100</f>
        <v>-1.9875229674299999E-2</v>
      </c>
      <c r="D202" s="5">
        <f ca="1">[1]!thsiFinD("ths_int_chg_ratio_index",$A202,D$1,D$2)/100</f>
        <v>1.8738581571659002E-2</v>
      </c>
      <c r="E202" s="5">
        <f ca="1">[1]!thsiFinD("ths_int_chg_ratio_index",$A202,E$1,E$2)/100</f>
        <v>-2.8976423004130999E-2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 x14ac:dyDescent="0.25">
      <c r="A203" s="2" t="s">
        <v>1002</v>
      </c>
      <c r="B203" s="2" t="s">
        <v>1003</v>
      </c>
      <c r="C203" s="5">
        <f ca="1">[1]!thsiFinD("ths_int_chg_ratio_index",$A203,C$1,C$2)/100</f>
        <v>-2.3781957725587999E-2</v>
      </c>
      <c r="D203" s="5">
        <f ca="1">[1]!thsiFinD("ths_int_chg_ratio_index",$A203,D$1,D$2)/100</f>
        <v>2.8383706884877E-2</v>
      </c>
      <c r="E203" s="5">
        <f ca="1">[1]!thsiFinD("ths_int_chg_ratio_index",$A203,E$1,E$2)/100</f>
        <v>-3.7209104614237001E-2</v>
      </c>
      <c r="F203" s="2" t="s">
        <v>106</v>
      </c>
      <c r="G203" s="2" t="s">
        <v>107</v>
      </c>
      <c r="H203" s="2">
        <v>2027.7</v>
      </c>
      <c r="I203" s="2" t="s">
        <v>392</v>
      </c>
      <c r="J203" s="2" t="s">
        <v>393</v>
      </c>
      <c r="K203" s="2">
        <v>1715.7</v>
      </c>
      <c r="L203" s="2" t="s">
        <v>592</v>
      </c>
      <c r="M203" s="2" t="s">
        <v>593</v>
      </c>
      <c r="N203" s="2">
        <v>1082.7</v>
      </c>
      <c r="O203" s="2" t="s">
        <v>1004</v>
      </c>
      <c r="P203" s="2" t="s">
        <v>1005</v>
      </c>
      <c r="Q203" s="2">
        <v>370</v>
      </c>
      <c r="R203" s="2" t="s">
        <v>1006</v>
      </c>
      <c r="S203" s="2" t="s">
        <v>1007</v>
      </c>
      <c r="T203" s="2">
        <v>316.7</v>
      </c>
    </row>
    <row r="204" spans="1:20" x14ac:dyDescent="0.25">
      <c r="A204" s="2" t="s">
        <v>1008</v>
      </c>
      <c r="B204" s="2" t="s">
        <v>1009</v>
      </c>
      <c r="C204" s="5">
        <f ca="1">[1]!thsiFinD("ths_int_chg_ratio_index",$A204,C$1,C$2)/100</f>
        <v>-2.2803965327724E-2</v>
      </c>
      <c r="D204" s="5">
        <f ca="1">[1]!thsiFinD("ths_int_chg_ratio_index",$A204,D$1,D$2)/100</f>
        <v>3.1503644502142998E-2</v>
      </c>
      <c r="E204" s="5">
        <f ca="1">[1]!thsiFinD("ths_int_chg_ratio_index",$A204,E$1,E$2)/100</f>
        <v>-0.10497688125453999</v>
      </c>
      <c r="F204" s="2" t="s">
        <v>276</v>
      </c>
      <c r="G204" s="2" t="s">
        <v>277</v>
      </c>
      <c r="H204" s="2">
        <v>1352.3</v>
      </c>
      <c r="I204" s="2" t="s">
        <v>1010</v>
      </c>
      <c r="J204" s="2" t="s">
        <v>1011</v>
      </c>
      <c r="K204" s="2">
        <v>879.5</v>
      </c>
      <c r="L204" s="2" t="s">
        <v>806</v>
      </c>
      <c r="M204" s="2" t="s">
        <v>807</v>
      </c>
      <c r="N204" s="2">
        <v>655.9</v>
      </c>
      <c r="O204" s="2" t="s">
        <v>1012</v>
      </c>
      <c r="P204" s="2" t="s">
        <v>1013</v>
      </c>
      <c r="Q204" s="2">
        <v>600.5</v>
      </c>
      <c r="R204" s="2" t="s">
        <v>1014</v>
      </c>
      <c r="S204" s="2" t="s">
        <v>1015</v>
      </c>
      <c r="T204" s="2">
        <v>505.4</v>
      </c>
    </row>
    <row r="205" spans="1:20" x14ac:dyDescent="0.25">
      <c r="A205" s="2" t="s">
        <v>1016</v>
      </c>
      <c r="B205" s="2" t="s">
        <v>1017</v>
      </c>
      <c r="C205" s="5">
        <f ca="1">[1]!thsiFinD("ths_int_chg_ratio_index",$A205,C$1,C$2)/100</f>
        <v>-2.2746220082007999E-2</v>
      </c>
      <c r="D205" s="5">
        <f ca="1">[1]!thsiFinD("ths_int_chg_ratio_index",$A205,D$1,D$2)/100</f>
        <v>4.6124296949753993E-2</v>
      </c>
      <c r="E205" s="5">
        <f ca="1">[1]!thsiFinD("ths_int_chg_ratio_index",$A205,E$1,E$2)/100</f>
        <v>-6.4936359889123996E-2</v>
      </c>
      <c r="F205" s="2" t="s">
        <v>224</v>
      </c>
      <c r="G205" s="2" t="s">
        <v>225</v>
      </c>
      <c r="H205" s="2">
        <v>5352.5</v>
      </c>
      <c r="I205" s="2" t="s">
        <v>110</v>
      </c>
      <c r="J205" s="2" t="s">
        <v>111</v>
      </c>
      <c r="K205" s="2">
        <v>1784.4</v>
      </c>
      <c r="L205" s="2" t="s">
        <v>550</v>
      </c>
      <c r="M205" s="2" t="s">
        <v>551</v>
      </c>
      <c r="N205" s="2">
        <v>1685.2</v>
      </c>
      <c r="O205" s="2" t="s">
        <v>592</v>
      </c>
      <c r="P205" s="2" t="s">
        <v>593</v>
      </c>
      <c r="Q205" s="2">
        <v>1082.7</v>
      </c>
      <c r="R205" s="2" t="s">
        <v>1018</v>
      </c>
      <c r="S205" s="2" t="s">
        <v>1019</v>
      </c>
      <c r="T205" s="2">
        <v>576.5</v>
      </c>
    </row>
    <row r="206" spans="1:20" x14ac:dyDescent="0.25">
      <c r="A206" s="2" t="s">
        <v>1020</v>
      </c>
      <c r="B206" s="2" t="s">
        <v>1021</v>
      </c>
      <c r="C206" s="5">
        <f ca="1">[1]!thsiFinD("ths_int_chg_ratio_index",$A206,C$1,C$2)/100</f>
        <v>-2.6413057568103002E-2</v>
      </c>
      <c r="D206" s="5">
        <f ca="1">[1]!thsiFinD("ths_int_chg_ratio_index",$A206,D$1,D$2)/100</f>
        <v>2.8984912705464997E-2</v>
      </c>
      <c r="E206" s="5">
        <f ca="1">[1]!thsiFinD("ths_int_chg_ratio_index",$A206,E$1,E$2)/100</f>
        <v>-7.3747893210966003E-2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 x14ac:dyDescent="0.25">
      <c r="A207" s="2" t="s">
        <v>1022</v>
      </c>
      <c r="B207" s="2" t="s">
        <v>1023</v>
      </c>
      <c r="C207" s="5">
        <f ca="1">[1]!thsiFinD("ths_int_chg_ratio_index",$A207,C$1,C$2)/100</f>
        <v>-3.0840626962450001E-2</v>
      </c>
      <c r="D207" s="5">
        <f ca="1">[1]!thsiFinD("ths_int_chg_ratio_index",$A207,D$1,D$2)/100</f>
        <v>1.7943481895701999E-2</v>
      </c>
      <c r="E207" s="5">
        <f ca="1">[1]!thsiFinD("ths_int_chg_ratio_index",$A207,E$1,E$2)/100</f>
        <v>-5.8929552496634001E-2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 x14ac:dyDescent="0.25">
      <c r="A208" s="2" t="s">
        <v>1024</v>
      </c>
      <c r="B208" s="2" t="s">
        <v>1025</v>
      </c>
      <c r="C208" s="5">
        <f ca="1">[1]!thsiFinD("ths_int_chg_ratio_index",$A208,C$1,C$2)/100</f>
        <v>-2.8230867174783E-2</v>
      </c>
      <c r="D208" s="5">
        <f ca="1">[1]!thsiFinD("ths_int_chg_ratio_index",$A208,D$1,D$2)/100</f>
        <v>1.3843873678723998E-2</v>
      </c>
      <c r="E208" s="5">
        <f ca="1">[1]!thsiFinD("ths_int_chg_ratio_index",$A208,E$1,E$2)/100</f>
        <v>-5.9143006577603005E-2</v>
      </c>
      <c r="F208" s="2" t="s">
        <v>32</v>
      </c>
      <c r="G208" s="2" t="s">
        <v>33</v>
      </c>
      <c r="H208" s="2">
        <v>15494.3</v>
      </c>
      <c r="I208" s="2" t="s">
        <v>102</v>
      </c>
      <c r="J208" s="2" t="s">
        <v>103</v>
      </c>
      <c r="K208" s="2">
        <v>2316.5</v>
      </c>
      <c r="L208" s="2" t="s">
        <v>1026</v>
      </c>
      <c r="M208" s="2" t="s">
        <v>1027</v>
      </c>
      <c r="N208" s="2">
        <v>1696.1</v>
      </c>
      <c r="O208" s="2" t="s">
        <v>396</v>
      </c>
      <c r="P208" s="2" t="s">
        <v>397</v>
      </c>
      <c r="Q208" s="2">
        <v>1430.8</v>
      </c>
      <c r="R208" s="2" t="s">
        <v>216</v>
      </c>
      <c r="S208" s="2" t="s">
        <v>217</v>
      </c>
      <c r="T208" s="2">
        <v>1089.2</v>
      </c>
    </row>
    <row r="209" spans="1:20" x14ac:dyDescent="0.25">
      <c r="A209" s="2" t="s">
        <v>1028</v>
      </c>
      <c r="B209" s="2" t="s">
        <v>1029</v>
      </c>
      <c r="C209" s="5">
        <f ca="1">[1]!thsiFinD("ths_int_chg_ratio_index",$A209,C$1,C$2)/100</f>
        <v>-3.6112761073028E-2</v>
      </c>
      <c r="D209" s="5">
        <f ca="1">[1]!thsiFinD("ths_int_chg_ratio_index",$A209,D$1,D$2)/100</f>
        <v>4.7678270559733003E-3</v>
      </c>
      <c r="E209" s="5">
        <f ca="1">[1]!thsiFinD("ths_int_chg_ratio_index",$A209,E$1,E$2)/100</f>
        <v>-6.0577871560233004E-2</v>
      </c>
      <c r="F209" s="2" t="s">
        <v>246</v>
      </c>
      <c r="G209" s="2" t="s">
        <v>247</v>
      </c>
      <c r="H209" s="2">
        <v>1846.7</v>
      </c>
      <c r="I209" s="2" t="s">
        <v>656</v>
      </c>
      <c r="J209" s="2" t="s">
        <v>657</v>
      </c>
      <c r="K209" s="2">
        <v>1556.7</v>
      </c>
      <c r="L209" s="2" t="s">
        <v>396</v>
      </c>
      <c r="M209" s="2" t="s">
        <v>397</v>
      </c>
      <c r="N209" s="2">
        <v>1430.8</v>
      </c>
      <c r="O209" s="2" t="s">
        <v>254</v>
      </c>
      <c r="P209" s="2" t="s">
        <v>255</v>
      </c>
      <c r="Q209" s="2">
        <v>1178.3</v>
      </c>
      <c r="R209" s="2" t="s">
        <v>1030</v>
      </c>
      <c r="S209" s="2" t="s">
        <v>1031</v>
      </c>
      <c r="T209" s="2">
        <v>1019</v>
      </c>
    </row>
    <row r="210" spans="1:20" x14ac:dyDescent="0.25">
      <c r="A210" s="2" t="s">
        <v>1032</v>
      </c>
      <c r="B210" s="2" t="s">
        <v>1033</v>
      </c>
      <c r="C210" s="5">
        <f ca="1">[1]!thsiFinD("ths_int_chg_ratio_index",$A210,C$1,C$2)/100</f>
        <v>-4.2288121273691998E-2</v>
      </c>
      <c r="D210" s="5">
        <f ca="1">[1]!thsiFinD("ths_int_chg_ratio_index",$A210,D$1,D$2)/100</f>
        <v>-8.5517112899809993E-3</v>
      </c>
      <c r="E210" s="5">
        <f ca="1">[1]!thsiFinD("ths_int_chg_ratio_index",$A210,E$1,E$2)/100</f>
        <v>-7.2717667515741005E-2</v>
      </c>
      <c r="F210" s="2" t="s">
        <v>372</v>
      </c>
      <c r="G210" s="2" t="s">
        <v>373</v>
      </c>
      <c r="H210" s="2">
        <v>376.6</v>
      </c>
      <c r="I210" s="2" t="s">
        <v>788</v>
      </c>
      <c r="J210" s="2" t="s">
        <v>789</v>
      </c>
      <c r="K210" s="2">
        <v>342.5</v>
      </c>
      <c r="L210" s="2" t="s">
        <v>874</v>
      </c>
      <c r="M210" s="2" t="s">
        <v>875</v>
      </c>
      <c r="N210" s="2">
        <v>335.7</v>
      </c>
      <c r="O210" s="2" t="s">
        <v>1034</v>
      </c>
      <c r="P210" s="2" t="s">
        <v>1035</v>
      </c>
      <c r="Q210" s="2">
        <v>327.3</v>
      </c>
      <c r="R210" s="2" t="s">
        <v>622</v>
      </c>
      <c r="S210" s="2" t="s">
        <v>623</v>
      </c>
      <c r="T210" s="2">
        <v>245.6</v>
      </c>
    </row>
    <row r="211" spans="1:20" x14ac:dyDescent="0.25">
      <c r="A211" s="2" t="s">
        <v>1036</v>
      </c>
      <c r="B211" s="2" t="s">
        <v>1037</v>
      </c>
      <c r="C211" s="5">
        <f ca="1">[1]!thsiFinD("ths_int_chg_ratio_index",$A211,C$1,C$2)/100</f>
        <v>-2.2492053834071001E-2</v>
      </c>
      <c r="D211" s="5">
        <f ca="1">[1]!thsiFinD("ths_int_chg_ratio_index",$A211,D$1,D$2)/100</f>
        <v>3.6038297752157E-2</v>
      </c>
      <c r="E211" s="5">
        <f ca="1">[1]!thsiFinD("ths_int_chg_ratio_index",$A211,E$1,E$2)/100</f>
        <v>-7.148336400076799E-2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 x14ac:dyDescent="0.25">
      <c r="A212" s="2" t="s">
        <v>1038</v>
      </c>
      <c r="B212" s="2" t="s">
        <v>1039</v>
      </c>
      <c r="C212" s="5">
        <f ca="1">[1]!thsiFinD("ths_int_chg_ratio_index",$A212,C$1,C$2)/100</f>
        <v>-3.2939213789452998E-2</v>
      </c>
      <c r="D212" s="5">
        <f ca="1">[1]!thsiFinD("ths_int_chg_ratio_index",$A212,D$1,D$2)/100</f>
        <v>3.9028997506775999E-2</v>
      </c>
      <c r="E212" s="5">
        <f ca="1">[1]!thsiFinD("ths_int_chg_ratio_index",$A212,E$1,E$2)/100</f>
        <v>-5.7781623297894005E-2</v>
      </c>
      <c r="F212" s="2" t="s">
        <v>270</v>
      </c>
      <c r="G212" s="2" t="s">
        <v>271</v>
      </c>
      <c r="H212" s="2">
        <v>16668.3</v>
      </c>
      <c r="I212" s="2" t="s">
        <v>110</v>
      </c>
      <c r="J212" s="2" t="s">
        <v>111</v>
      </c>
      <c r="K212" s="2">
        <v>1784.4</v>
      </c>
      <c r="L212" s="2" t="s">
        <v>550</v>
      </c>
      <c r="M212" s="2" t="s">
        <v>551</v>
      </c>
      <c r="N212" s="2">
        <v>1685.2</v>
      </c>
      <c r="O212" s="2" t="s">
        <v>706</v>
      </c>
      <c r="P212" s="2" t="s">
        <v>707</v>
      </c>
      <c r="Q212" s="2">
        <v>1202.4000000000001</v>
      </c>
      <c r="R212" s="2" t="s">
        <v>592</v>
      </c>
      <c r="S212" s="2" t="s">
        <v>593</v>
      </c>
      <c r="T212" s="2">
        <v>1082.7</v>
      </c>
    </row>
    <row r="213" spans="1:20" x14ac:dyDescent="0.25">
      <c r="A213" s="2" t="s">
        <v>1040</v>
      </c>
      <c r="B213" s="2" t="s">
        <v>1041</v>
      </c>
      <c r="C213" s="5">
        <f ca="1">[1]!thsiFinD("ths_int_chg_ratio_index",$A213,C$1,C$2)/100</f>
        <v>-3.3776182479800999E-2</v>
      </c>
      <c r="D213" s="5">
        <f ca="1">[1]!thsiFinD("ths_int_chg_ratio_index",$A213,D$1,D$2)/100</f>
        <v>1.3127853881278E-2</v>
      </c>
      <c r="E213" s="5">
        <f ca="1">[1]!thsiFinD("ths_int_chg_ratio_index",$A213,E$1,E$2)/100</f>
        <v>2.6772295125183001E-3</v>
      </c>
      <c r="F213" s="2" t="s">
        <v>644</v>
      </c>
      <c r="G213" s="2" t="s">
        <v>645</v>
      </c>
      <c r="H213" s="2">
        <v>20335.900000000001</v>
      </c>
      <c r="I213" s="2" t="s">
        <v>646</v>
      </c>
      <c r="J213" s="2" t="s">
        <v>647</v>
      </c>
      <c r="K213" s="2">
        <v>19304.2</v>
      </c>
      <c r="L213" s="2" t="s">
        <v>648</v>
      </c>
      <c r="M213" s="2" t="s">
        <v>649</v>
      </c>
      <c r="N213" s="2">
        <v>15512.1</v>
      </c>
      <c r="O213" s="2" t="s">
        <v>680</v>
      </c>
      <c r="P213" s="2" t="s">
        <v>681</v>
      </c>
      <c r="Q213" s="2">
        <v>15188.5</v>
      </c>
      <c r="R213" s="2" t="s">
        <v>1042</v>
      </c>
      <c r="S213" s="2" t="s">
        <v>1043</v>
      </c>
      <c r="T213" s="2">
        <v>12182.2</v>
      </c>
    </row>
    <row r="214" spans="1:20" x14ac:dyDescent="0.25">
      <c r="A214" s="2" t="s">
        <v>1044</v>
      </c>
      <c r="B214" s="2" t="s">
        <v>1045</v>
      </c>
      <c r="C214" s="5">
        <f ca="1">[1]!thsiFinD("ths_int_chg_ratio_index",$A214,C$1,C$2)/100</f>
        <v>-2.6906164505613003E-2</v>
      </c>
      <c r="D214" s="5">
        <f ca="1">[1]!thsiFinD("ths_int_chg_ratio_index",$A214,D$1,D$2)/100</f>
        <v>6.7987259039825998E-2</v>
      </c>
      <c r="E214" s="5">
        <f ca="1">[1]!thsiFinD("ths_int_chg_ratio_index",$A214,E$1,E$2)/100</f>
        <v>-3.3894281270955999E-2</v>
      </c>
      <c r="F214" s="2" t="s">
        <v>210</v>
      </c>
      <c r="G214" s="2" t="s">
        <v>211</v>
      </c>
      <c r="H214" s="2">
        <v>1526.1</v>
      </c>
      <c r="I214" s="2" t="s">
        <v>340</v>
      </c>
      <c r="J214" s="2" t="s">
        <v>341</v>
      </c>
      <c r="K214" s="2">
        <v>751.9</v>
      </c>
      <c r="L214" s="2" t="s">
        <v>1046</v>
      </c>
      <c r="M214" s="2" t="s">
        <v>1047</v>
      </c>
      <c r="N214" s="2">
        <v>695.3</v>
      </c>
      <c r="O214" s="2" t="s">
        <v>220</v>
      </c>
      <c r="P214" s="2" t="s">
        <v>221</v>
      </c>
      <c r="Q214" s="2">
        <v>642.1</v>
      </c>
      <c r="R214" s="2" t="s">
        <v>732</v>
      </c>
      <c r="S214" s="2" t="s">
        <v>733</v>
      </c>
      <c r="T214" s="2">
        <v>389</v>
      </c>
    </row>
    <row r="215" spans="1:20" x14ac:dyDescent="0.25">
      <c r="A215" s="2" t="s">
        <v>1048</v>
      </c>
      <c r="B215" s="2" t="s">
        <v>1049</v>
      </c>
      <c r="C215" s="5">
        <f ca="1">[1]!thsiFinD("ths_int_chg_ratio_index",$A215,C$1,C$2)/100</f>
        <v>-3.9981721662329002E-2</v>
      </c>
      <c r="D215" s="5">
        <f ca="1">[1]!thsiFinD("ths_int_chg_ratio_index",$A215,D$1,D$2)/100</f>
        <v>-2.6607491449311002E-2</v>
      </c>
      <c r="E215" s="5">
        <f ca="1">[1]!thsiFinD("ths_int_chg_ratio_index",$A215,E$1,E$2)/100</f>
        <v>-9.3979462776198008E-2</v>
      </c>
      <c r="F215" s="2" t="s">
        <v>648</v>
      </c>
      <c r="G215" s="2" t="s">
        <v>649</v>
      </c>
      <c r="H215" s="2">
        <v>15512.1</v>
      </c>
      <c r="I215" s="2" t="s">
        <v>600</v>
      </c>
      <c r="J215" s="2" t="s">
        <v>601</v>
      </c>
      <c r="K215" s="2">
        <v>4462.8</v>
      </c>
      <c r="L215" s="2" t="s">
        <v>794</v>
      </c>
      <c r="M215" s="2" t="s">
        <v>795</v>
      </c>
      <c r="N215" s="2">
        <v>1134.8</v>
      </c>
      <c r="O215" s="2" t="s">
        <v>1050</v>
      </c>
      <c r="P215" s="2" t="s">
        <v>1051</v>
      </c>
      <c r="Q215" s="2">
        <v>917.9</v>
      </c>
      <c r="R215" s="2" t="s">
        <v>346</v>
      </c>
      <c r="S215" s="2" t="s">
        <v>347</v>
      </c>
      <c r="T215" s="2">
        <v>698.9</v>
      </c>
    </row>
    <row r="216" spans="1:20" x14ac:dyDescent="0.25">
      <c r="A216" s="2" t="s">
        <v>1052</v>
      </c>
      <c r="B216" s="2" t="s">
        <v>1053</v>
      </c>
      <c r="C216" s="5">
        <f ca="1">[1]!thsiFinD("ths_int_chg_ratio_index",$A216,C$1,C$2)/100</f>
        <v>-2.1516603919557998E-2</v>
      </c>
      <c r="D216" s="5">
        <f ca="1">[1]!thsiFinD("ths_int_chg_ratio_index",$A216,D$1,D$2)/100</f>
        <v>7.0040405000330999E-2</v>
      </c>
      <c r="E216" s="5">
        <f ca="1">[1]!thsiFinD("ths_int_chg_ratio_index",$A216,E$1,E$2)/100</f>
        <v>-7.5506280387477004E-2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 x14ac:dyDescent="0.25">
      <c r="A217" s="2" t="s">
        <v>1054</v>
      </c>
      <c r="B217" s="2" t="s">
        <v>1055</v>
      </c>
      <c r="C217" s="5">
        <f ca="1">[1]!thsiFinD("ths_int_chg_ratio_index",$A217,C$1,C$2)/100</f>
        <v>-4.5502691604969996E-2</v>
      </c>
      <c r="D217" s="5">
        <f ca="1">[1]!thsiFinD("ths_int_chg_ratio_index",$A217,D$1,D$2)/100</f>
        <v>-5.1171437085812E-3</v>
      </c>
      <c r="E217" s="5">
        <f ca="1">[1]!thsiFinD("ths_int_chg_ratio_index",$A217,E$1,E$2)/100</f>
        <v>-5.8387106955616996E-2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 x14ac:dyDescent="0.25">
      <c r="A218" s="2" t="s">
        <v>1056</v>
      </c>
      <c r="B218" s="2" t="s">
        <v>1057</v>
      </c>
      <c r="C218" s="5">
        <f ca="1">[1]!thsiFinD("ths_int_chg_ratio_index",$A218,C$1,C$2)/100</f>
        <v>-5.1848216002191999E-2</v>
      </c>
      <c r="D218" s="5">
        <f ca="1">[1]!thsiFinD("ths_int_chg_ratio_index",$A218,D$1,D$2)/100</f>
        <v>-3.5786469999770996E-2</v>
      </c>
      <c r="E218" s="5">
        <f ca="1">[1]!thsiFinD("ths_int_chg_ratio_index",$A218,E$1,E$2)/100</f>
        <v>-7.3418017014016998E-2</v>
      </c>
      <c r="F218" s="2" t="s">
        <v>666</v>
      </c>
      <c r="G218" s="2" t="s">
        <v>667</v>
      </c>
      <c r="H218" s="2">
        <v>6804.2</v>
      </c>
      <c r="I218" s="2" t="s">
        <v>600</v>
      </c>
      <c r="J218" s="2" t="s">
        <v>601</v>
      </c>
      <c r="K218" s="2">
        <v>4462.8</v>
      </c>
      <c r="L218" s="2" t="s">
        <v>440</v>
      </c>
      <c r="M218" s="2" t="s">
        <v>441</v>
      </c>
      <c r="N218" s="2">
        <v>2161.6</v>
      </c>
      <c r="O218" s="2" t="s">
        <v>602</v>
      </c>
      <c r="P218" s="2" t="s">
        <v>603</v>
      </c>
      <c r="Q218" s="2">
        <v>1577.4</v>
      </c>
      <c r="R218" s="2" t="s">
        <v>670</v>
      </c>
      <c r="S218" s="2" t="s">
        <v>671</v>
      </c>
      <c r="T218" s="2">
        <v>1235.5</v>
      </c>
    </row>
    <row r="219" spans="1:20" x14ac:dyDescent="0.25">
      <c r="A219" s="2" t="s">
        <v>1058</v>
      </c>
      <c r="B219" s="2" t="s">
        <v>1059</v>
      </c>
      <c r="C219" s="5">
        <f ca="1">[1]!thsiFinD("ths_int_chg_ratio_index",$A219,C$1,C$2)/100</f>
        <v>-3.4478374436639002E-2</v>
      </c>
      <c r="D219" s="5">
        <f ca="1">[1]!thsiFinD("ths_int_chg_ratio_index",$A219,D$1,D$2)/100</f>
        <v>4.1826853300647997E-2</v>
      </c>
      <c r="E219" s="5">
        <f ca="1">[1]!thsiFinD("ths_int_chg_ratio_index",$A219,E$1,E$2)/100</f>
        <v>-3.0744287928328E-2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 x14ac:dyDescent="0.25">
      <c r="A220" s="2" t="s">
        <v>1060</v>
      </c>
      <c r="B220" s="2" t="s">
        <v>1061</v>
      </c>
      <c r="C220" s="5">
        <f ca="1">[1]!thsiFinD("ths_int_chg_ratio_index",$A220,C$1,C$2)/100</f>
        <v>-4.1392064722019999E-2</v>
      </c>
      <c r="D220" s="5">
        <f ca="1">[1]!thsiFinD("ths_int_chg_ratio_index",$A220,D$1,D$2)/100</f>
        <v>1.0650228975394001E-2</v>
      </c>
      <c r="E220" s="5">
        <f ca="1">[1]!thsiFinD("ths_int_chg_ratio_index",$A220,E$1,E$2)/100</f>
        <v>-3.8816508915596001E-2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1:20" x14ac:dyDescent="0.25">
      <c r="A221" s="2" t="s">
        <v>1062</v>
      </c>
      <c r="B221" s="2" t="s">
        <v>1063</v>
      </c>
      <c r="C221" s="5">
        <f ca="1">[1]!thsiFinD("ths_int_chg_ratio_index",$A221,C$1,C$2)/100</f>
        <v>-4.7650552978815999E-2</v>
      </c>
      <c r="D221" s="5">
        <f ca="1">[1]!thsiFinD("ths_int_chg_ratio_index",$A221,D$1,D$2)/100</f>
        <v>-4.0567483503804007E-3</v>
      </c>
      <c r="E221" s="5">
        <f ca="1">[1]!thsiFinD("ths_int_chg_ratio_index",$A221,E$1,E$2)/100</f>
        <v>-9.2406657708938009E-2</v>
      </c>
      <c r="F221" s="2" t="s">
        <v>608</v>
      </c>
      <c r="G221" s="2" t="s">
        <v>609</v>
      </c>
      <c r="H221" s="2">
        <v>1904.9</v>
      </c>
      <c r="I221" s="2" t="s">
        <v>430</v>
      </c>
      <c r="J221" s="2" t="s">
        <v>431</v>
      </c>
      <c r="K221" s="2">
        <v>923.6</v>
      </c>
      <c r="L221" s="2" t="s">
        <v>256</v>
      </c>
      <c r="M221" s="2" t="s">
        <v>257</v>
      </c>
      <c r="N221" s="2">
        <v>895</v>
      </c>
      <c r="O221" s="2" t="s">
        <v>830</v>
      </c>
      <c r="P221" s="2" t="s">
        <v>831</v>
      </c>
      <c r="Q221" s="2">
        <v>645.70000000000005</v>
      </c>
      <c r="R221" s="2" t="s">
        <v>1064</v>
      </c>
      <c r="S221" s="2" t="s">
        <v>1065</v>
      </c>
      <c r="T221" s="2">
        <v>509.4</v>
      </c>
    </row>
    <row r="222" spans="1:20" x14ac:dyDescent="0.25">
      <c r="A222" s="2" t="s">
        <v>1066</v>
      </c>
      <c r="B222" s="2" t="s">
        <v>1067</v>
      </c>
      <c r="C222" s="5">
        <f ca="1">[1]!thsiFinD("ths_int_chg_ratio_index",$A222,C$1,C$2)/100</f>
        <v>-4.1367392377704995E-2</v>
      </c>
      <c r="D222" s="5">
        <f ca="1">[1]!thsiFinD("ths_int_chg_ratio_index",$A222,D$1,D$2)/100</f>
        <v>2.9831486783086999E-2</v>
      </c>
      <c r="E222" s="5">
        <f ca="1">[1]!thsiFinD("ths_int_chg_ratio_index",$A222,E$1,E$2)/100</f>
        <v>-7.1859257956426004E-2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 x14ac:dyDescent="0.25">
      <c r="A223" s="2" t="s">
        <v>1068</v>
      </c>
      <c r="B223" s="2" t="s">
        <v>1069</v>
      </c>
      <c r="C223" s="5">
        <f ca="1">[1]!thsiFinD("ths_int_chg_ratio_index",$A223,C$1,C$2)/100</f>
        <v>-5.1714336886860994E-2</v>
      </c>
      <c r="D223" s="5">
        <f ca="1">[1]!thsiFinD("ths_int_chg_ratio_index",$A223,D$1,D$2)/100</f>
        <v>-1.1922354084281E-2</v>
      </c>
      <c r="E223" s="5">
        <f ca="1">[1]!thsiFinD("ths_int_chg_ratio_index",$A223,E$1,E$2)/100</f>
        <v>-8.8618963155886007E-2</v>
      </c>
      <c r="F223" s="2" t="s">
        <v>656</v>
      </c>
      <c r="G223" s="2" t="s">
        <v>657</v>
      </c>
      <c r="H223" s="2">
        <v>1556.7</v>
      </c>
      <c r="I223" s="2" t="s">
        <v>254</v>
      </c>
      <c r="J223" s="2" t="s">
        <v>255</v>
      </c>
      <c r="K223" s="2">
        <v>1178.3</v>
      </c>
      <c r="L223" s="2" t="s">
        <v>1070</v>
      </c>
      <c r="M223" s="2" t="s">
        <v>1071</v>
      </c>
      <c r="N223" s="2">
        <v>993.8</v>
      </c>
      <c r="O223" s="2" t="s">
        <v>1072</v>
      </c>
      <c r="P223" s="2" t="s">
        <v>1073</v>
      </c>
      <c r="Q223" s="2">
        <v>906.4</v>
      </c>
      <c r="R223" s="2" t="s">
        <v>926</v>
      </c>
      <c r="S223" s="2" t="s">
        <v>927</v>
      </c>
      <c r="T223" s="2">
        <v>836.5</v>
      </c>
    </row>
    <row r="224" spans="1:20" x14ac:dyDescent="0.25">
      <c r="A224" s="2" t="s">
        <v>1074</v>
      </c>
      <c r="B224" s="2" t="s">
        <v>1075</v>
      </c>
      <c r="C224" s="5">
        <f ca="1">[1]!thsiFinD("ths_int_chg_ratio_index",$A224,C$1,C$2)/100</f>
        <v>-3.7867960375411E-2</v>
      </c>
      <c r="D224" s="5">
        <f ca="1">[1]!thsiFinD("ths_int_chg_ratio_index",$A224,D$1,D$2)/100</f>
        <v>3.2353373107899999E-2</v>
      </c>
      <c r="E224" s="5">
        <f ca="1">[1]!thsiFinD("ths_int_chg_ratio_index",$A224,E$1,E$2)/100</f>
        <v>-7.6542756006083998E-2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1:20" x14ac:dyDescent="0.25">
      <c r="A225" s="2" t="s">
        <v>1076</v>
      </c>
      <c r="B225" s="2" t="s">
        <v>1077</v>
      </c>
      <c r="C225" s="5">
        <f ca="1">[1]!thsiFinD("ths_int_chg_ratio_index",$A225,C$1,C$2)/100</f>
        <v>-4.4389199647155E-2</v>
      </c>
      <c r="D225" s="5">
        <f ca="1">[1]!thsiFinD("ths_int_chg_ratio_index",$A225,D$1,D$2)/100</f>
        <v>2.4288983937984999E-2</v>
      </c>
      <c r="E225" s="5">
        <f ca="1">[1]!thsiFinD("ths_int_chg_ratio_index",$A225,E$1,E$2)/100</f>
        <v>-6.3234709964126001E-2</v>
      </c>
      <c r="F225" s="2" t="s">
        <v>72</v>
      </c>
      <c r="G225" s="2" t="s">
        <v>73</v>
      </c>
      <c r="H225" s="2">
        <v>2813.4</v>
      </c>
      <c r="I225" s="2" t="s">
        <v>306</v>
      </c>
      <c r="J225" s="2" t="s">
        <v>307</v>
      </c>
      <c r="K225" s="2">
        <v>1441</v>
      </c>
      <c r="L225" s="2" t="s">
        <v>778</v>
      </c>
      <c r="M225" s="2" t="s">
        <v>779</v>
      </c>
      <c r="N225" s="2">
        <v>1384</v>
      </c>
      <c r="O225" s="2" t="s">
        <v>134</v>
      </c>
      <c r="P225" s="2" t="s">
        <v>135</v>
      </c>
      <c r="Q225" s="2">
        <v>1136.8</v>
      </c>
      <c r="R225" s="2" t="s">
        <v>1078</v>
      </c>
      <c r="S225" s="2" t="s">
        <v>1079</v>
      </c>
      <c r="T225" s="2">
        <v>738.7</v>
      </c>
    </row>
    <row r="226" spans="1:20" x14ac:dyDescent="0.25">
      <c r="A226" s="2" t="s">
        <v>1080</v>
      </c>
      <c r="B226" s="2" t="s">
        <v>1081</v>
      </c>
      <c r="C226" s="5">
        <f ca="1">[1]!thsiFinD("ths_int_chg_ratio_index",$A226,C$1,C$2)/100</f>
        <v>-3.5052563561136001E-2</v>
      </c>
      <c r="D226" s="5">
        <f ca="1">[1]!thsiFinD("ths_int_chg_ratio_index",$A226,D$1,D$2)/100</f>
        <v>3.8510847751871996E-2</v>
      </c>
      <c r="E226" s="5">
        <f ca="1">[1]!thsiFinD("ths_int_chg_ratio_index",$A226,E$1,E$2)/100</f>
        <v>-6.5815425241304001E-2</v>
      </c>
      <c r="F226" s="2" t="s">
        <v>52</v>
      </c>
      <c r="G226" s="2" t="s">
        <v>53</v>
      </c>
      <c r="H226" s="2">
        <v>2771.6</v>
      </c>
      <c r="I226" s="2" t="s">
        <v>84</v>
      </c>
      <c r="J226" s="2" t="s">
        <v>85</v>
      </c>
      <c r="K226" s="2">
        <v>1290.5999999999999</v>
      </c>
      <c r="L226" s="2" t="s">
        <v>154</v>
      </c>
      <c r="M226" s="2" t="s">
        <v>155</v>
      </c>
      <c r="N226" s="2">
        <v>1211</v>
      </c>
      <c r="O226" s="2" t="s">
        <v>298</v>
      </c>
      <c r="P226" s="2" t="s">
        <v>299</v>
      </c>
      <c r="Q226" s="2">
        <v>922.2</v>
      </c>
      <c r="R226" s="2" t="s">
        <v>1082</v>
      </c>
      <c r="S226" s="2" t="s">
        <v>1083</v>
      </c>
      <c r="T226" s="2">
        <v>748</v>
      </c>
    </row>
    <row r="227" spans="1:20" x14ac:dyDescent="0.25">
      <c r="A227" s="2" t="s">
        <v>1084</v>
      </c>
      <c r="B227" s="2" t="s">
        <v>1085</v>
      </c>
      <c r="C227" s="5">
        <f ca="1">[1]!thsiFinD("ths_int_chg_ratio_index",$A227,C$1,C$2)/100</f>
        <v>-3.9283868468928E-2</v>
      </c>
      <c r="D227" s="5">
        <f ca="1">[1]!thsiFinD("ths_int_chg_ratio_index",$A227,D$1,D$2)/100</f>
        <v>4.2739950561749999E-2</v>
      </c>
      <c r="E227" s="5">
        <f ca="1">[1]!thsiFinD("ths_int_chg_ratio_index",$A227,E$1,E$2)/100</f>
        <v>-6.3567857897824001E-2</v>
      </c>
      <c r="F227" s="2" t="s">
        <v>260</v>
      </c>
      <c r="G227" s="2" t="s">
        <v>261</v>
      </c>
      <c r="H227" s="2">
        <v>1408.2</v>
      </c>
      <c r="I227" s="2" t="s">
        <v>588</v>
      </c>
      <c r="J227" s="2" t="s">
        <v>589</v>
      </c>
      <c r="K227" s="2">
        <v>932.9</v>
      </c>
      <c r="L227" s="2" t="s">
        <v>1010</v>
      </c>
      <c r="M227" s="2" t="s">
        <v>1011</v>
      </c>
      <c r="N227" s="2">
        <v>879.5</v>
      </c>
      <c r="O227" s="2" t="s">
        <v>1086</v>
      </c>
      <c r="P227" s="2" t="s">
        <v>1087</v>
      </c>
      <c r="Q227" s="2">
        <v>421.5</v>
      </c>
      <c r="R227" s="2" t="s">
        <v>1088</v>
      </c>
      <c r="S227" s="2" t="s">
        <v>1089</v>
      </c>
      <c r="T227" s="2">
        <v>399.8</v>
      </c>
    </row>
    <row r="228" spans="1:20" x14ac:dyDescent="0.25">
      <c r="A228" s="2" t="s">
        <v>1090</v>
      </c>
      <c r="B228" s="2" t="s">
        <v>1091</v>
      </c>
      <c r="C228" s="5">
        <f ca="1">[1]!thsiFinD("ths_int_chg_ratio_index",$A228,C$1,C$2)/100</f>
        <v>-6.7626649453182003E-2</v>
      </c>
      <c r="D228" s="5">
        <f ca="1">[1]!thsiFinD("ths_int_chg_ratio_index",$A228,D$1,D$2)/100</f>
        <v>-1.9197520653961998E-2</v>
      </c>
      <c r="E228" s="5">
        <f ca="1">[1]!thsiFinD("ths_int_chg_ratio_index",$A228,E$1,E$2)/100</f>
        <v>-4.9362944462257995E-2</v>
      </c>
      <c r="F228" s="2" t="s">
        <v>644</v>
      </c>
      <c r="G228" s="2" t="s">
        <v>645</v>
      </c>
      <c r="H228" s="2">
        <v>20335.900000000001</v>
      </c>
      <c r="I228" s="2" t="s">
        <v>646</v>
      </c>
      <c r="J228" s="2" t="s">
        <v>647</v>
      </c>
      <c r="K228" s="2">
        <v>19304.2</v>
      </c>
      <c r="L228" s="2" t="s">
        <v>648</v>
      </c>
      <c r="M228" s="2" t="s">
        <v>649</v>
      </c>
      <c r="N228" s="2">
        <v>15512.1</v>
      </c>
      <c r="O228" s="2" t="s">
        <v>1042</v>
      </c>
      <c r="P228" s="2" t="s">
        <v>1043</v>
      </c>
      <c r="Q228" s="2">
        <v>12182.2</v>
      </c>
      <c r="R228" s="2" t="s">
        <v>1092</v>
      </c>
      <c r="S228" s="2" t="s">
        <v>1093</v>
      </c>
      <c r="T228" s="2">
        <v>7686.3</v>
      </c>
    </row>
    <row r="229" spans="1:20" x14ac:dyDescent="0.25">
      <c r="A229" s="2" t="s">
        <v>1094</v>
      </c>
      <c r="B229" s="2" t="s">
        <v>1095</v>
      </c>
      <c r="C229" s="5">
        <f ca="1">[1]!thsiFinD("ths_int_chg_ratio_index",$A229,C$1,C$2)/100</f>
        <v>-3.9184445250203002E-2</v>
      </c>
      <c r="D229" s="5">
        <f ca="1">[1]!thsiFinD("ths_int_chg_ratio_index",$A229,D$1,D$2)/100</f>
        <v>5.2075816847575E-2</v>
      </c>
      <c r="E229" s="5">
        <f ca="1">[1]!thsiFinD("ths_int_chg_ratio_index",$A229,E$1,E$2)/100</f>
        <v>-7.7861025580194004E-2</v>
      </c>
      <c r="F229" s="2" t="s">
        <v>312</v>
      </c>
      <c r="G229" s="2" t="s">
        <v>313</v>
      </c>
      <c r="H229" s="2">
        <v>957.7</v>
      </c>
      <c r="I229" s="2" t="s">
        <v>588</v>
      </c>
      <c r="J229" s="2" t="s">
        <v>589</v>
      </c>
      <c r="K229" s="2">
        <v>932.9</v>
      </c>
      <c r="L229" s="2" t="s">
        <v>1096</v>
      </c>
      <c r="M229" s="2" t="s">
        <v>1097</v>
      </c>
      <c r="N229" s="2">
        <v>464.3</v>
      </c>
      <c r="O229" s="2" t="s">
        <v>1098</v>
      </c>
      <c r="P229" s="2" t="s">
        <v>1099</v>
      </c>
      <c r="Q229" s="2">
        <v>421.3</v>
      </c>
      <c r="R229" s="2" t="s">
        <v>732</v>
      </c>
      <c r="S229" s="2" t="s">
        <v>733</v>
      </c>
      <c r="T229" s="2">
        <v>389</v>
      </c>
    </row>
    <row r="230" spans="1:20" x14ac:dyDescent="0.25">
      <c r="A230" s="2" t="s">
        <v>1100</v>
      </c>
      <c r="B230" s="2" t="s">
        <v>1101</v>
      </c>
      <c r="C230" s="5">
        <f ca="1">[1]!thsiFinD("ths_int_chg_ratio_index",$A230,C$1,C$2)/100</f>
        <v>-5.1022147227162001E-2</v>
      </c>
      <c r="D230" s="5">
        <f ca="1">[1]!thsiFinD("ths_int_chg_ratio_index",$A230,D$1,D$2)/100</f>
        <v>2.2118624973977E-2</v>
      </c>
      <c r="E230" s="5">
        <f ca="1">[1]!thsiFinD("ths_int_chg_ratio_index",$A230,E$1,E$2)/100</f>
        <v>-6.7639988908676008E-2</v>
      </c>
      <c r="F230" s="2" t="s">
        <v>412</v>
      </c>
      <c r="G230" s="2" t="s">
        <v>413</v>
      </c>
      <c r="H230" s="2">
        <v>965.7</v>
      </c>
      <c r="I230" s="2" t="s">
        <v>810</v>
      </c>
      <c r="J230" s="2" t="s">
        <v>811</v>
      </c>
      <c r="K230" s="2">
        <v>290.2</v>
      </c>
      <c r="L230" s="2" t="s">
        <v>1102</v>
      </c>
      <c r="M230" s="2" t="s">
        <v>1103</v>
      </c>
      <c r="N230" s="2">
        <v>187.9</v>
      </c>
      <c r="O230" s="2" t="s">
        <v>1104</v>
      </c>
      <c r="P230" s="2" t="s">
        <v>1105</v>
      </c>
      <c r="Q230" s="2">
        <v>166.5</v>
      </c>
      <c r="R230" s="2" t="s">
        <v>1106</v>
      </c>
      <c r="S230" s="2" t="s">
        <v>1107</v>
      </c>
      <c r="T230" s="2">
        <v>156.19999999999999</v>
      </c>
    </row>
    <row r="231" spans="1:20" x14ac:dyDescent="0.25">
      <c r="A231" s="2" t="s">
        <v>1108</v>
      </c>
      <c r="B231" s="2" t="s">
        <v>1109</v>
      </c>
      <c r="C231" s="5">
        <f ca="1">[1]!thsiFinD("ths_int_chg_ratio_index",$A231,C$1,C$2)/100</f>
        <v>-4.4835946620604E-2</v>
      </c>
      <c r="D231" s="5">
        <f ca="1">[1]!thsiFinD("ths_int_chg_ratio_index",$A231,D$1,D$2)/100</f>
        <v>2.5309787554610001E-2</v>
      </c>
      <c r="E231" s="5">
        <f ca="1">[1]!thsiFinD("ths_int_chg_ratio_index",$A231,E$1,E$2)/100</f>
        <v>-6.7343753907714993E-2</v>
      </c>
      <c r="F231" s="2" t="s">
        <v>52</v>
      </c>
      <c r="G231" s="2" t="s">
        <v>53</v>
      </c>
      <c r="H231" s="2">
        <v>2771.6</v>
      </c>
      <c r="I231" s="2" t="s">
        <v>210</v>
      </c>
      <c r="J231" s="2" t="s">
        <v>211</v>
      </c>
      <c r="K231" s="2">
        <v>1526.1</v>
      </c>
      <c r="L231" s="2" t="s">
        <v>1110</v>
      </c>
      <c r="M231" s="2" t="s">
        <v>1111</v>
      </c>
      <c r="N231" s="2">
        <v>963.1</v>
      </c>
      <c r="O231" s="2" t="s">
        <v>588</v>
      </c>
      <c r="P231" s="2" t="s">
        <v>589</v>
      </c>
      <c r="Q231" s="2">
        <v>932.9</v>
      </c>
      <c r="R231" s="2" t="s">
        <v>314</v>
      </c>
      <c r="S231" s="2" t="s">
        <v>315</v>
      </c>
      <c r="T231" s="2">
        <v>896.1</v>
      </c>
    </row>
    <row r="232" spans="1:20" x14ac:dyDescent="0.25">
      <c r="A232" s="2" t="s">
        <v>1112</v>
      </c>
      <c r="B232" s="2" t="s">
        <v>1113</v>
      </c>
      <c r="C232" s="5">
        <f ca="1">[1]!thsiFinD("ths_int_chg_ratio_index",$A232,C$1,C$2)/100</f>
        <v>-4.6441005439609002E-2</v>
      </c>
      <c r="D232" s="5">
        <f ca="1">[1]!thsiFinD("ths_int_chg_ratio_index",$A232,D$1,D$2)/100</f>
        <v>2.3273255822963003E-2</v>
      </c>
      <c r="E232" s="5">
        <f ca="1">[1]!thsiFinD("ths_int_chg_ratio_index",$A232,E$1,E$2)/100</f>
        <v>-6.9789194176603994E-2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 x14ac:dyDescent="0.25">
      <c r="A233" s="2" t="s">
        <v>1114</v>
      </c>
      <c r="B233" s="2" t="s">
        <v>1115</v>
      </c>
      <c r="C233" s="5">
        <f ca="1">[1]!thsiFinD("ths_int_chg_ratio_index",$A233,C$1,C$2)/100</f>
        <v>-3.0970332969696E-2</v>
      </c>
      <c r="D233" s="5">
        <f ca="1">[1]!thsiFinD("ths_int_chg_ratio_index",$A233,D$1,D$2)/100</f>
        <v>1.6598534730829E-2</v>
      </c>
      <c r="E233" s="5">
        <f ca="1">[1]!thsiFinD("ths_int_chg_ratio_index",$A233,E$1,E$2)/100</f>
        <v>-8.1371285016284989E-2</v>
      </c>
      <c r="F233" s="2" t="s">
        <v>1116</v>
      </c>
      <c r="G233" s="2" t="s">
        <v>1117</v>
      </c>
      <c r="H233" s="2">
        <v>2540.6</v>
      </c>
      <c r="I233" s="2" t="s">
        <v>150</v>
      </c>
      <c r="J233" s="2" t="s">
        <v>151</v>
      </c>
      <c r="K233" s="2">
        <v>590.6</v>
      </c>
      <c r="L233" s="2" t="s">
        <v>1118</v>
      </c>
      <c r="M233" s="2" t="s">
        <v>1119</v>
      </c>
      <c r="N233" s="2">
        <v>392.6</v>
      </c>
      <c r="O233" s="2" t="s">
        <v>1120</v>
      </c>
      <c r="P233" s="2" t="s">
        <v>1121</v>
      </c>
      <c r="Q233" s="2">
        <v>322.5</v>
      </c>
      <c r="R233" s="2" t="s">
        <v>1122</v>
      </c>
      <c r="S233" s="2" t="s">
        <v>1123</v>
      </c>
      <c r="T233" s="2">
        <v>227.3</v>
      </c>
    </row>
    <row r="234" spans="1:20" x14ac:dyDescent="0.25">
      <c r="A234" s="2" t="s">
        <v>1124</v>
      </c>
      <c r="B234" s="2" t="s">
        <v>1125</v>
      </c>
      <c r="C234" s="5">
        <f ca="1">[1]!thsiFinD("ths_int_chg_ratio_index",$A234,C$1,C$2)/100</f>
        <v>-5.8122134076272002E-2</v>
      </c>
      <c r="D234" s="5">
        <f ca="1">[1]!thsiFinD("ths_int_chg_ratio_index",$A234,D$1,D$2)/100</f>
        <v>-7.5891628635906992E-4</v>
      </c>
      <c r="E234" s="5">
        <f ca="1">[1]!thsiFinD("ths_int_chg_ratio_index",$A234,E$1,E$2)/100</f>
        <v>-5.3787492965776999E-2</v>
      </c>
      <c r="F234" s="2" t="s">
        <v>1126</v>
      </c>
      <c r="G234" s="2" t="s">
        <v>1127</v>
      </c>
      <c r="H234" s="2">
        <v>230.7</v>
      </c>
      <c r="I234" s="2" t="s">
        <v>1128</v>
      </c>
      <c r="J234" s="2" t="s">
        <v>1129</v>
      </c>
      <c r="K234" s="2">
        <v>223.3</v>
      </c>
      <c r="L234" s="2" t="s">
        <v>1130</v>
      </c>
      <c r="M234" s="2" t="s">
        <v>1131</v>
      </c>
      <c r="N234" s="2">
        <v>163.30000000000001</v>
      </c>
      <c r="O234" s="2" t="s">
        <v>1132</v>
      </c>
      <c r="P234" s="2" t="s">
        <v>1133</v>
      </c>
      <c r="Q234" s="2">
        <v>125.6</v>
      </c>
      <c r="R234" s="2" t="s">
        <v>1134</v>
      </c>
      <c r="S234" s="2" t="s">
        <v>1135</v>
      </c>
      <c r="T234" s="2">
        <v>118.5</v>
      </c>
    </row>
    <row r="235" spans="1:20" x14ac:dyDescent="0.25">
      <c r="A235" s="2" t="s">
        <v>1136</v>
      </c>
      <c r="B235" s="2" t="s">
        <v>1137</v>
      </c>
      <c r="C235" s="5">
        <f ca="1">[1]!thsiFinD("ths_int_chg_ratio_index",$A235,C$1,C$2)/100</f>
        <v>-4.8946232689861001E-2</v>
      </c>
      <c r="D235" s="5">
        <f ca="1">[1]!thsiFinD("ths_int_chg_ratio_index",$A235,D$1,D$2)/100</f>
        <v>1.8601834281506E-2</v>
      </c>
      <c r="E235" s="5">
        <f ca="1">[1]!thsiFinD("ths_int_chg_ratio_index",$A235,E$1,E$2)/100</f>
        <v>-7.4445956017580001E-2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1:20" x14ac:dyDescent="0.25">
      <c r="A236" s="2" t="s">
        <v>1138</v>
      </c>
      <c r="B236" s="2" t="s">
        <v>1139</v>
      </c>
      <c r="C236" s="5">
        <f ca="1">[1]!thsiFinD("ths_int_chg_ratio_index",$A236,C$1,C$2)/100</f>
        <v>-5.7455378253535999E-2</v>
      </c>
      <c r="D236" s="5">
        <f ca="1">[1]!thsiFinD("ths_int_chg_ratio_index",$A236,D$1,D$2)/100</f>
        <v>-5.8938683212169992E-3</v>
      </c>
      <c r="E236" s="5">
        <f ca="1">[1]!thsiFinD("ths_int_chg_ratio_index",$A236,E$1,E$2)/100</f>
        <v>-7.1679673652809001E-2</v>
      </c>
      <c r="F236" s="2" t="s">
        <v>256</v>
      </c>
      <c r="G236" s="2" t="s">
        <v>257</v>
      </c>
      <c r="H236" s="2">
        <v>895</v>
      </c>
      <c r="I236" s="2" t="s">
        <v>1140</v>
      </c>
      <c r="J236" s="2" t="s">
        <v>1141</v>
      </c>
      <c r="K236" s="2">
        <v>403.5</v>
      </c>
      <c r="L236" s="2" t="s">
        <v>1142</v>
      </c>
      <c r="M236" s="2" t="s">
        <v>1143</v>
      </c>
      <c r="N236" s="2">
        <v>235</v>
      </c>
      <c r="O236" s="2" t="s">
        <v>1144</v>
      </c>
      <c r="P236" s="2" t="s">
        <v>1145</v>
      </c>
      <c r="Q236" s="2">
        <v>199.2</v>
      </c>
      <c r="R236" s="2" t="s">
        <v>1146</v>
      </c>
      <c r="S236" s="2" t="s">
        <v>1147</v>
      </c>
      <c r="T236" s="2">
        <v>163</v>
      </c>
    </row>
    <row r="237" spans="1:20" x14ac:dyDescent="0.25">
      <c r="A237" s="2" t="s">
        <v>1148</v>
      </c>
      <c r="B237" s="2" t="s">
        <v>1149</v>
      </c>
      <c r="C237" s="5">
        <f ca="1">[1]!thsiFinD("ths_int_chg_ratio_index",$A237,C$1,C$2)/100</f>
        <v>-5.6856091317853998E-2</v>
      </c>
      <c r="D237" s="5">
        <f ca="1">[1]!thsiFinD("ths_int_chg_ratio_index",$A237,D$1,D$2)/100</f>
        <v>-1.6129041036691001E-2</v>
      </c>
      <c r="E237" s="5">
        <f ca="1">[1]!thsiFinD("ths_int_chg_ratio_index",$A237,E$1,E$2)/100</f>
        <v>-6.1275328210611997E-2</v>
      </c>
      <c r="F237" s="2" t="s">
        <v>290</v>
      </c>
      <c r="G237" s="2" t="s">
        <v>291</v>
      </c>
      <c r="H237" s="2">
        <v>850.3</v>
      </c>
      <c r="I237" s="2" t="s">
        <v>1150</v>
      </c>
      <c r="J237" s="2" t="s">
        <v>1151</v>
      </c>
      <c r="K237" s="2">
        <v>461.6</v>
      </c>
      <c r="L237" s="2" t="s">
        <v>1152</v>
      </c>
      <c r="M237" s="2" t="s">
        <v>1153</v>
      </c>
      <c r="N237" s="2">
        <v>292.10000000000002</v>
      </c>
      <c r="O237" s="2" t="s">
        <v>1154</v>
      </c>
      <c r="P237" s="2" t="s">
        <v>1155</v>
      </c>
      <c r="Q237" s="2">
        <v>170.1</v>
      </c>
      <c r="R237" s="2" t="s">
        <v>1156</v>
      </c>
      <c r="S237" s="2" t="s">
        <v>1157</v>
      </c>
      <c r="T237" s="2">
        <v>116.3</v>
      </c>
    </row>
    <row r="238" spans="1:20" x14ac:dyDescent="0.25">
      <c r="A238" s="2" t="s">
        <v>1158</v>
      </c>
      <c r="B238" s="2" t="s">
        <v>1159</v>
      </c>
      <c r="C238" s="5">
        <f ca="1">[1]!thsiFinD("ths_int_chg_ratio_index",$A238,C$1,C$2)/100</f>
        <v>-5.3297620923271005E-2</v>
      </c>
      <c r="D238" s="5">
        <f ca="1">[1]!thsiFinD("ths_int_chg_ratio_index",$A238,D$1,D$2)/100</f>
        <v>4.0127588467183999E-2</v>
      </c>
      <c r="E238" s="5">
        <f ca="1">[1]!thsiFinD("ths_int_chg_ratio_index",$A238,E$1,E$2)/100</f>
        <v>-6.2637930257469998E-2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1:20" x14ac:dyDescent="0.25">
      <c r="A239" s="2" t="s">
        <v>1160</v>
      </c>
      <c r="B239" s="2" t="s">
        <v>1161</v>
      </c>
      <c r="C239" s="5">
        <f ca="1">[1]!thsiFinD("ths_int_chg_ratio_index",$A239,C$1,C$2)/100</f>
        <v>-5.1551831028068998E-2</v>
      </c>
      <c r="D239" s="5">
        <f ca="1">[1]!thsiFinD("ths_int_chg_ratio_index",$A239,D$1,D$2)/100</f>
        <v>1.4087559006739001E-2</v>
      </c>
      <c r="E239" s="5">
        <f ca="1">[1]!thsiFinD("ths_int_chg_ratio_index",$A239,E$1,E$2)/100</f>
        <v>-6.2802132386057002E-2</v>
      </c>
      <c r="F239" s="2" t="s">
        <v>52</v>
      </c>
      <c r="G239" s="2" t="s">
        <v>53</v>
      </c>
      <c r="H239" s="2">
        <v>2771.6</v>
      </c>
      <c r="I239" s="2" t="s">
        <v>106</v>
      </c>
      <c r="J239" s="2" t="s">
        <v>107</v>
      </c>
      <c r="K239" s="2">
        <v>2027.7</v>
      </c>
      <c r="L239" s="2" t="s">
        <v>728</v>
      </c>
      <c r="M239" s="2" t="s">
        <v>729</v>
      </c>
      <c r="N239" s="2">
        <v>1504.9</v>
      </c>
      <c r="O239" s="2" t="s">
        <v>272</v>
      </c>
      <c r="P239" s="2" t="s">
        <v>273</v>
      </c>
      <c r="Q239" s="2">
        <v>1490.4</v>
      </c>
      <c r="R239" s="2" t="s">
        <v>694</v>
      </c>
      <c r="S239" s="2" t="s">
        <v>695</v>
      </c>
      <c r="T239" s="2">
        <v>980.1</v>
      </c>
    </row>
    <row r="240" spans="1:20" x14ac:dyDescent="0.25">
      <c r="A240" s="2" t="s">
        <v>1162</v>
      </c>
      <c r="B240" s="2" t="s">
        <v>1163</v>
      </c>
      <c r="C240" s="5">
        <f ca="1">[1]!thsiFinD("ths_int_chg_ratio_index",$A240,C$1,C$2)/100</f>
        <v>-7.2608678696284998E-2</v>
      </c>
      <c r="D240" s="5">
        <f ca="1">[1]!thsiFinD("ths_int_chg_ratio_index",$A240,D$1,D$2)/100</f>
        <v>-3.4131025025334001E-2</v>
      </c>
      <c r="E240" s="5">
        <f ca="1">[1]!thsiFinD("ths_int_chg_ratio_index",$A240,E$1,E$2)/100</f>
        <v>-6.1062469843195001E-2</v>
      </c>
      <c r="F240" s="2" t="s">
        <v>462</v>
      </c>
      <c r="G240" s="2" t="s">
        <v>463</v>
      </c>
      <c r="H240" s="2">
        <v>464.5</v>
      </c>
      <c r="I240" s="2" t="s">
        <v>1164</v>
      </c>
      <c r="J240" s="2" t="s">
        <v>1165</v>
      </c>
      <c r="K240" s="2">
        <v>217.8</v>
      </c>
      <c r="L240" s="2" t="s">
        <v>1166</v>
      </c>
      <c r="M240" s="2" t="s">
        <v>1167</v>
      </c>
      <c r="N240" s="2">
        <v>207.6</v>
      </c>
      <c r="O240" s="2" t="s">
        <v>1168</v>
      </c>
      <c r="P240" s="2" t="s">
        <v>1169</v>
      </c>
      <c r="Q240" s="2">
        <v>204.9</v>
      </c>
      <c r="R240" s="2" t="s">
        <v>1170</v>
      </c>
      <c r="S240" s="2" t="s">
        <v>1171</v>
      </c>
      <c r="T240" s="2">
        <v>181.3</v>
      </c>
    </row>
    <row r="241" spans="1:20" x14ac:dyDescent="0.25">
      <c r="A241" s="2" t="s">
        <v>1172</v>
      </c>
      <c r="B241" s="2" t="s">
        <v>1173</v>
      </c>
      <c r="C241" s="5">
        <f ca="1">[1]!thsiFinD("ths_int_chg_ratio_index",$A241,C$1,C$2)/100</f>
        <v>-3.6595289429279004E-2</v>
      </c>
      <c r="D241" s="5">
        <f ca="1">[1]!thsiFinD("ths_int_chg_ratio_index",$A241,D$1,D$2)/100</f>
        <v>4.8381772756382994E-2</v>
      </c>
      <c r="E241" s="5">
        <f ca="1">[1]!thsiFinD("ths_int_chg_ratio_index",$A241,E$1,E$2)/100</f>
        <v>-6.5196376060001004E-2</v>
      </c>
      <c r="F241" s="2" t="s">
        <v>1174</v>
      </c>
      <c r="G241" s="2" t="s">
        <v>1175</v>
      </c>
      <c r="H241" s="2">
        <v>616</v>
      </c>
      <c r="I241" s="2" t="s">
        <v>1176</v>
      </c>
      <c r="J241" s="2" t="s">
        <v>1177</v>
      </c>
      <c r="K241" s="2">
        <v>426.2</v>
      </c>
      <c r="L241" s="2" t="s">
        <v>950</v>
      </c>
      <c r="M241" s="2" t="s">
        <v>951</v>
      </c>
      <c r="N241" s="2">
        <v>312.7</v>
      </c>
      <c r="O241" s="2" t="s">
        <v>1178</v>
      </c>
      <c r="P241" s="2" t="s">
        <v>1179</v>
      </c>
      <c r="Q241" s="2">
        <v>243.4</v>
      </c>
      <c r="R241" s="2" t="s">
        <v>1180</v>
      </c>
      <c r="S241" s="2" t="s">
        <v>1181</v>
      </c>
      <c r="T241" s="2">
        <v>231.5</v>
      </c>
    </row>
    <row r="242" spans="1:20" x14ac:dyDescent="0.25">
      <c r="A242" s="2" t="s">
        <v>1182</v>
      </c>
      <c r="B242" s="2" t="s">
        <v>1183</v>
      </c>
      <c r="C242" s="5">
        <f ca="1">[1]!thsiFinD("ths_int_chg_ratio_index",$A242,C$1,C$2)/100</f>
        <v>-7.0721069044946003E-2</v>
      </c>
      <c r="D242" s="5">
        <f ca="1">[1]!thsiFinD("ths_int_chg_ratio_index",$A242,D$1,D$2)/100</f>
        <v>1.2475415832469E-3</v>
      </c>
      <c r="E242" s="5">
        <f ca="1">[1]!thsiFinD("ths_int_chg_ratio_index",$A242,E$1,E$2)/100</f>
        <v>-4.9903543123895E-2</v>
      </c>
      <c r="F242" s="2" t="s">
        <v>1184</v>
      </c>
      <c r="G242" s="2" t="s">
        <v>1185</v>
      </c>
      <c r="H242" s="2">
        <v>1216.3</v>
      </c>
      <c r="I242" s="2" t="s">
        <v>348</v>
      </c>
      <c r="J242" s="2" t="s">
        <v>349</v>
      </c>
      <c r="K242" s="2">
        <v>632.4</v>
      </c>
      <c r="L242" s="2" t="s">
        <v>460</v>
      </c>
      <c r="M242" s="2" t="s">
        <v>461</v>
      </c>
      <c r="N242" s="2">
        <v>572.20000000000005</v>
      </c>
      <c r="O242" s="2" t="s">
        <v>560</v>
      </c>
      <c r="P242" s="2" t="s">
        <v>561</v>
      </c>
      <c r="Q242" s="2">
        <v>307.7</v>
      </c>
      <c r="R242" s="2" t="s">
        <v>1186</v>
      </c>
      <c r="S242" s="2" t="s">
        <v>1187</v>
      </c>
      <c r="T242" s="2">
        <v>296.8</v>
      </c>
    </row>
    <row r="243" spans="1:20" x14ac:dyDescent="0.25">
      <c r="A243" s="2" t="s">
        <v>1188</v>
      </c>
      <c r="B243" s="2" t="s">
        <v>1189</v>
      </c>
      <c r="C243" s="5">
        <f ca="1">[1]!thsiFinD("ths_int_chg_ratio_index",$A243,C$1,C$2)/100</f>
        <v>-5.2337931505705003E-2</v>
      </c>
      <c r="D243" s="5">
        <f ca="1">[1]!thsiFinD("ths_int_chg_ratio_index",$A243,D$1,D$2)/100</f>
        <v>-1.5629436772368998E-3</v>
      </c>
      <c r="E243" s="5">
        <f ca="1">[1]!thsiFinD("ths_int_chg_ratio_index",$A243,E$1,E$2)/100</f>
        <v>-9.618875430183399E-2</v>
      </c>
      <c r="F243" s="2" t="s">
        <v>276</v>
      </c>
      <c r="G243" s="2" t="s">
        <v>277</v>
      </c>
      <c r="H243" s="2">
        <v>1352.3</v>
      </c>
      <c r="I243" s="2" t="s">
        <v>1190</v>
      </c>
      <c r="J243" s="2" t="s">
        <v>1191</v>
      </c>
      <c r="K243" s="2">
        <v>537.5</v>
      </c>
      <c r="L243" s="2" t="s">
        <v>862</v>
      </c>
      <c r="M243" s="2" t="s">
        <v>863</v>
      </c>
      <c r="N243" s="2">
        <v>530.4</v>
      </c>
      <c r="O243" s="2" t="s">
        <v>1014</v>
      </c>
      <c r="P243" s="2" t="s">
        <v>1015</v>
      </c>
      <c r="Q243" s="2">
        <v>505.4</v>
      </c>
      <c r="R243" s="2" t="s">
        <v>1088</v>
      </c>
      <c r="S243" s="2" t="s">
        <v>1089</v>
      </c>
      <c r="T243" s="2">
        <v>399.8</v>
      </c>
    </row>
    <row r="244" spans="1:20" x14ac:dyDescent="0.25">
      <c r="A244" s="2" t="s">
        <v>1192</v>
      </c>
      <c r="B244" s="2" t="s">
        <v>1193</v>
      </c>
      <c r="C244" s="5">
        <f ca="1">[1]!thsiFinD("ths_int_chg_ratio_index",$A244,C$1,C$2)/100</f>
        <v>-6.6747046013866995E-2</v>
      </c>
      <c r="D244" s="5">
        <f ca="1">[1]!thsiFinD("ths_int_chg_ratio_index",$A244,D$1,D$2)/100</f>
        <v>-2.4530172442254E-2</v>
      </c>
      <c r="E244" s="5">
        <f ca="1">[1]!thsiFinD("ths_int_chg_ratio_index",$A244,E$1,E$2)/100</f>
        <v>-2.4422503268849999E-2</v>
      </c>
      <c r="F244" s="2" t="s">
        <v>1194</v>
      </c>
      <c r="G244" s="2" t="s">
        <v>1195</v>
      </c>
      <c r="H244" s="2">
        <v>253.2</v>
      </c>
      <c r="I244" s="2" t="s">
        <v>1196</v>
      </c>
      <c r="J244" s="2" t="s">
        <v>1197</v>
      </c>
      <c r="K244" s="2">
        <v>165.2</v>
      </c>
      <c r="L244" s="2" t="s">
        <v>1198</v>
      </c>
      <c r="M244" s="2" t="s">
        <v>1199</v>
      </c>
      <c r="N244" s="2">
        <v>150.5</v>
      </c>
      <c r="O244" s="2" t="s">
        <v>1200</v>
      </c>
      <c r="P244" s="2" t="s">
        <v>1201</v>
      </c>
      <c r="Q244" s="2">
        <v>114</v>
      </c>
      <c r="R244" s="2" t="s">
        <v>1202</v>
      </c>
      <c r="S244" s="2" t="s">
        <v>1203</v>
      </c>
      <c r="T244" s="2">
        <v>110</v>
      </c>
    </row>
    <row r="245" spans="1:20" x14ac:dyDescent="0.25">
      <c r="A245" s="2" t="s">
        <v>1204</v>
      </c>
      <c r="B245" s="2" t="s">
        <v>1205</v>
      </c>
      <c r="C245" s="5">
        <f ca="1">[1]!thsiFinD("ths_int_chg_ratio_index",$A245,C$1,C$2)/100</f>
        <v>-5.5693324966004001E-2</v>
      </c>
      <c r="D245" s="5">
        <f ca="1">[1]!thsiFinD("ths_int_chg_ratio_index",$A245,D$1,D$2)/100</f>
        <v>3.0384476921877002E-2</v>
      </c>
      <c r="E245" s="5">
        <f ca="1">[1]!thsiFinD("ths_int_chg_ratio_index",$A245,E$1,E$2)/100</f>
        <v>-7.9082468074949008E-2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1:20" x14ac:dyDescent="0.25">
      <c r="A246" s="2" t="s">
        <v>1206</v>
      </c>
      <c r="B246" s="2" t="s">
        <v>1207</v>
      </c>
      <c r="C246" s="5">
        <f ca="1">[1]!thsiFinD("ths_int_chg_ratio_index",$A246,C$1,C$2)/100</f>
        <v>-6.5754279733499996E-2</v>
      </c>
      <c r="D246" s="5">
        <f ca="1">[1]!thsiFinD("ths_int_chg_ratio_index",$A246,D$1,D$2)/100</f>
        <v>-9.8955145741315993E-3</v>
      </c>
      <c r="E246" s="5">
        <f ca="1">[1]!thsiFinD("ths_int_chg_ratio_index",$A246,E$1,E$2)/100</f>
        <v>-0.10424981607066</v>
      </c>
      <c r="F246" s="2" t="s">
        <v>608</v>
      </c>
      <c r="G246" s="2" t="s">
        <v>609</v>
      </c>
      <c r="H246" s="2">
        <v>1904.9</v>
      </c>
      <c r="I246" s="2" t="s">
        <v>1208</v>
      </c>
      <c r="J246" s="2" t="s">
        <v>1209</v>
      </c>
      <c r="K246" s="2">
        <v>724.7</v>
      </c>
      <c r="L246" s="2" t="s">
        <v>1210</v>
      </c>
      <c r="M246" s="2" t="s">
        <v>1211</v>
      </c>
      <c r="N246" s="2">
        <v>710.3</v>
      </c>
      <c r="O246" s="2" t="s">
        <v>1212</v>
      </c>
      <c r="P246" s="2" t="s">
        <v>1213</v>
      </c>
      <c r="Q246" s="2">
        <v>476.7</v>
      </c>
      <c r="R246" s="2" t="s">
        <v>1214</v>
      </c>
      <c r="S246" s="2" t="s">
        <v>1215</v>
      </c>
      <c r="T246" s="2">
        <v>333.2</v>
      </c>
    </row>
    <row r="247" spans="1:20" x14ac:dyDescent="0.25">
      <c r="A247" s="2" t="s">
        <v>1216</v>
      </c>
      <c r="B247" s="2" t="s">
        <v>1217</v>
      </c>
      <c r="C247" s="5">
        <f ca="1">[1]!thsiFinD("ths_int_chg_ratio_index",$A247,C$1,C$2)/100</f>
        <v>-6.1333429367695001E-2</v>
      </c>
      <c r="D247" s="5">
        <f ca="1">[1]!thsiFinD("ths_int_chg_ratio_index",$A247,D$1,D$2)/100</f>
        <v>1.422093632618E-2</v>
      </c>
      <c r="E247" s="5">
        <f ca="1">[1]!thsiFinD("ths_int_chg_ratio_index",$A247,E$1,E$2)/100</f>
        <v>-6.7210481323302998E-2</v>
      </c>
      <c r="F247" s="2" t="s">
        <v>404</v>
      </c>
      <c r="G247" s="2" t="s">
        <v>405</v>
      </c>
      <c r="H247" s="2">
        <v>6116.7</v>
      </c>
      <c r="I247" s="2" t="s">
        <v>722</v>
      </c>
      <c r="J247" s="2" t="s">
        <v>723</v>
      </c>
      <c r="K247" s="2">
        <v>3665.4</v>
      </c>
      <c r="L247" s="2" t="s">
        <v>332</v>
      </c>
      <c r="M247" s="2" t="s">
        <v>333</v>
      </c>
      <c r="N247" s="2">
        <v>1335</v>
      </c>
      <c r="O247" s="2" t="s">
        <v>1218</v>
      </c>
      <c r="P247" s="2" t="s">
        <v>1219</v>
      </c>
      <c r="Q247" s="2">
        <v>1000.5</v>
      </c>
      <c r="R247" s="2" t="s">
        <v>980</v>
      </c>
      <c r="S247" s="2" t="s">
        <v>981</v>
      </c>
      <c r="T247" s="2">
        <v>875.1</v>
      </c>
    </row>
    <row r="248" spans="1:20" x14ac:dyDescent="0.25">
      <c r="A248" s="2" t="s">
        <v>1220</v>
      </c>
      <c r="B248" s="2" t="s">
        <v>1221</v>
      </c>
      <c r="C248" s="5">
        <f ca="1">[1]!thsiFinD("ths_int_chg_ratio_index",$A248,C$1,C$2)/100</f>
        <v>-5.4211588033920004E-2</v>
      </c>
      <c r="D248" s="5">
        <f ca="1">[1]!thsiFinD("ths_int_chg_ratio_index",$A248,D$1,D$2)/100</f>
        <v>3.3497958979312001E-2</v>
      </c>
      <c r="E248" s="5">
        <f ca="1">[1]!thsiFinD("ths_int_chg_ratio_index",$A248,E$1,E$2)/100</f>
        <v>-9.3329552902022994E-2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 x14ac:dyDescent="0.25">
      <c r="A249" s="2" t="s">
        <v>1222</v>
      </c>
      <c r="B249" s="2" t="s">
        <v>1223</v>
      </c>
      <c r="C249" s="5">
        <f ca="1">[1]!thsiFinD("ths_int_chg_ratio_index",$A249,C$1,C$2)/100</f>
        <v>-6.3646699653814004E-2</v>
      </c>
      <c r="D249" s="5">
        <f ca="1">[1]!thsiFinD("ths_int_chg_ratio_index",$A249,D$1,D$2)/100</f>
        <v>-1.5197451740415001E-2</v>
      </c>
      <c r="E249" s="5">
        <f ca="1">[1]!thsiFinD("ths_int_chg_ratio_index",$A249,E$1,E$2)/100</f>
        <v>-0.10581135256401999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1:20" x14ac:dyDescent="0.25">
      <c r="A250" s="2" t="s">
        <v>1224</v>
      </c>
      <c r="B250" s="2" t="s">
        <v>1225</v>
      </c>
      <c r="C250" s="5">
        <f ca="1">[1]!thsiFinD("ths_int_chg_ratio_index",$A250,C$1,C$2)/100</f>
        <v>-6.5773282802951E-2</v>
      </c>
      <c r="D250" s="5">
        <f ca="1">[1]!thsiFinD("ths_int_chg_ratio_index",$A250,D$1,D$2)/100</f>
        <v>3.4820585216550999E-3</v>
      </c>
      <c r="E250" s="5">
        <f ca="1">[1]!thsiFinD("ths_int_chg_ratio_index",$A250,E$1,E$2)/100</f>
        <v>-8.0554116669003001E-2</v>
      </c>
      <c r="F250" s="2" t="s">
        <v>200</v>
      </c>
      <c r="G250" s="2" t="s">
        <v>201</v>
      </c>
      <c r="H250" s="2">
        <v>7623.8</v>
      </c>
      <c r="I250" s="2" t="s">
        <v>540</v>
      </c>
      <c r="J250" s="2" t="s">
        <v>541</v>
      </c>
      <c r="K250" s="2">
        <v>6523.2</v>
      </c>
      <c r="L250" s="2" t="s">
        <v>130</v>
      </c>
      <c r="M250" s="2" t="s">
        <v>131</v>
      </c>
      <c r="N250" s="2">
        <v>2714.4</v>
      </c>
      <c r="O250" s="2" t="s">
        <v>608</v>
      </c>
      <c r="P250" s="2" t="s">
        <v>609</v>
      </c>
      <c r="Q250" s="2">
        <v>1904.9</v>
      </c>
      <c r="R250" s="2" t="s">
        <v>246</v>
      </c>
      <c r="S250" s="2" t="s">
        <v>247</v>
      </c>
      <c r="T250" s="2">
        <v>1846.7</v>
      </c>
    </row>
    <row r="251" spans="1:20" x14ac:dyDescent="0.25">
      <c r="A251" s="2" t="s">
        <v>1226</v>
      </c>
      <c r="B251" s="2" t="s">
        <v>1227</v>
      </c>
      <c r="C251" s="5">
        <f ca="1">[1]!thsiFinD("ths_int_chg_ratio_index",$A251,C$1,C$2)/100</f>
        <v>-6.7844796870461008E-2</v>
      </c>
      <c r="D251" s="5">
        <f ca="1">[1]!thsiFinD("ths_int_chg_ratio_index",$A251,D$1,D$2)/100</f>
        <v>-1.1872601775438999E-2</v>
      </c>
      <c r="E251" s="5">
        <f ca="1">[1]!thsiFinD("ths_int_chg_ratio_index",$A251,E$1,E$2)/100</f>
        <v>-7.9329138552914999E-2</v>
      </c>
      <c r="F251" s="2" t="s">
        <v>248</v>
      </c>
      <c r="G251" s="2" t="s">
        <v>249</v>
      </c>
      <c r="H251" s="2">
        <v>1362.4</v>
      </c>
      <c r="I251" s="2" t="s">
        <v>634</v>
      </c>
      <c r="J251" s="2" t="s">
        <v>635</v>
      </c>
      <c r="K251" s="2">
        <v>1297.0999999999999</v>
      </c>
      <c r="L251" s="2" t="s">
        <v>254</v>
      </c>
      <c r="M251" s="2" t="s">
        <v>255</v>
      </c>
      <c r="N251" s="2">
        <v>1178.3</v>
      </c>
      <c r="O251" s="2" t="s">
        <v>308</v>
      </c>
      <c r="P251" s="2" t="s">
        <v>309</v>
      </c>
      <c r="Q251" s="2">
        <v>1097.9000000000001</v>
      </c>
      <c r="R251" s="2" t="s">
        <v>588</v>
      </c>
      <c r="S251" s="2" t="s">
        <v>589</v>
      </c>
      <c r="T251" s="2">
        <v>932.9</v>
      </c>
    </row>
    <row r="252" spans="1:20" x14ac:dyDescent="0.25">
      <c r="A252" s="2" t="s">
        <v>1228</v>
      </c>
      <c r="B252" s="2" t="s">
        <v>1229</v>
      </c>
      <c r="C252" s="5">
        <f ca="1">[1]!thsiFinD("ths_int_chg_ratio_index",$A252,C$1,C$2)/100</f>
        <v>-5.6420452512225994E-2</v>
      </c>
      <c r="D252" s="5">
        <f ca="1">[1]!thsiFinD("ths_int_chg_ratio_index",$A252,D$1,D$2)/100</f>
        <v>-1.4167039019542001E-2</v>
      </c>
      <c r="E252" s="5">
        <f ca="1">[1]!thsiFinD("ths_int_chg_ratio_index",$A252,E$1,E$2)/100</f>
        <v>-9.2029620272938997E-2</v>
      </c>
      <c r="F252" s="2" t="s">
        <v>510</v>
      </c>
      <c r="G252" s="2" t="s">
        <v>511</v>
      </c>
      <c r="H252" s="2">
        <v>342</v>
      </c>
      <c r="I252" s="2" t="s">
        <v>1230</v>
      </c>
      <c r="J252" s="2" t="s">
        <v>1231</v>
      </c>
      <c r="K252" s="2">
        <v>128.9</v>
      </c>
      <c r="L252" s="2" t="s">
        <v>1232</v>
      </c>
      <c r="M252" s="2" t="s">
        <v>1233</v>
      </c>
      <c r="N252" s="2">
        <v>121.8</v>
      </c>
      <c r="O252" s="2" t="s">
        <v>1234</v>
      </c>
      <c r="P252" s="2" t="s">
        <v>1235</v>
      </c>
      <c r="Q252" s="2">
        <v>79.8</v>
      </c>
      <c r="R252" s="2" t="s">
        <v>1236</v>
      </c>
      <c r="S252" s="2" t="s">
        <v>1237</v>
      </c>
      <c r="T252" s="2">
        <v>75.099999999999994</v>
      </c>
    </row>
    <row r="253" spans="1:20" x14ac:dyDescent="0.25">
      <c r="A253" s="2" t="s">
        <v>1238</v>
      </c>
      <c r="B253" s="2" t="s">
        <v>1239</v>
      </c>
      <c r="C253" s="5">
        <f ca="1">[1]!thsiFinD("ths_int_chg_ratio_index",$A253,C$1,C$2)/100</f>
        <v>-5.8215925014910998E-2</v>
      </c>
      <c r="D253" s="5">
        <f ca="1">[1]!thsiFinD("ths_int_chg_ratio_index",$A253,D$1,D$2)/100</f>
        <v>1.6242392208378E-2</v>
      </c>
      <c r="E253" s="5">
        <f ca="1">[1]!thsiFinD("ths_int_chg_ratio_index",$A253,E$1,E$2)/100</f>
        <v>-7.9786649999578005E-2</v>
      </c>
      <c r="F253" s="2" t="s">
        <v>1240</v>
      </c>
      <c r="G253" s="2" t="s">
        <v>1241</v>
      </c>
      <c r="H253" s="2">
        <v>5263.9</v>
      </c>
      <c r="I253" s="2" t="s">
        <v>110</v>
      </c>
      <c r="J253" s="2" t="s">
        <v>111</v>
      </c>
      <c r="K253" s="2">
        <v>1784.4</v>
      </c>
      <c r="L253" s="2" t="s">
        <v>706</v>
      </c>
      <c r="M253" s="2" t="s">
        <v>707</v>
      </c>
      <c r="N253" s="2">
        <v>1202.4000000000001</v>
      </c>
      <c r="O253" s="2" t="s">
        <v>588</v>
      </c>
      <c r="P253" s="2" t="s">
        <v>589</v>
      </c>
      <c r="Q253" s="2">
        <v>932.9</v>
      </c>
      <c r="R253" s="2" t="s">
        <v>298</v>
      </c>
      <c r="S253" s="2" t="s">
        <v>299</v>
      </c>
      <c r="T253" s="2">
        <v>922.2</v>
      </c>
    </row>
    <row r="254" spans="1:20" x14ac:dyDescent="0.25">
      <c r="A254" s="2" t="s">
        <v>1242</v>
      </c>
      <c r="B254" s="2" t="s">
        <v>1243</v>
      </c>
      <c r="C254" s="5">
        <f ca="1">[1]!thsiFinD("ths_int_chg_ratio_index",$A254,C$1,C$2)/100</f>
        <v>-5.3286622053937999E-2</v>
      </c>
      <c r="D254" s="5">
        <f ca="1">[1]!thsiFinD("ths_int_chg_ratio_index",$A254,D$1,D$2)/100</f>
        <v>3.5742522795965001E-2</v>
      </c>
      <c r="E254" s="5">
        <f ca="1">[1]!thsiFinD("ths_int_chg_ratio_index",$A254,E$1,E$2)/100</f>
        <v>-9.6566239756374003E-2</v>
      </c>
      <c r="F254" s="2" t="s">
        <v>1244</v>
      </c>
      <c r="G254" s="2" t="s">
        <v>1245</v>
      </c>
      <c r="H254" s="2">
        <v>1008.6</v>
      </c>
      <c r="I254" s="2" t="s">
        <v>320</v>
      </c>
      <c r="J254" s="2" t="s">
        <v>321</v>
      </c>
      <c r="K254" s="2">
        <v>755</v>
      </c>
      <c r="L254" s="2" t="s">
        <v>806</v>
      </c>
      <c r="M254" s="2" t="s">
        <v>807</v>
      </c>
      <c r="N254" s="2">
        <v>655.9</v>
      </c>
      <c r="O254" s="2" t="s">
        <v>1246</v>
      </c>
      <c r="P254" s="2" t="s">
        <v>1247</v>
      </c>
      <c r="Q254" s="2">
        <v>291.5</v>
      </c>
      <c r="R254" s="2" t="s">
        <v>1248</v>
      </c>
      <c r="S254" s="2" t="s">
        <v>1249</v>
      </c>
      <c r="T254" s="2">
        <v>241</v>
      </c>
    </row>
    <row r="255" spans="1:20" x14ac:dyDescent="0.25">
      <c r="A255" s="2" t="s">
        <v>1250</v>
      </c>
      <c r="B255" s="2" t="s">
        <v>1251</v>
      </c>
      <c r="C255" s="5">
        <f ca="1">[1]!thsiFinD("ths_int_chg_ratio_index",$A255,C$1,C$2)/100</f>
        <v>-7.3912303336559002E-2</v>
      </c>
      <c r="D255" s="5">
        <f ca="1">[1]!thsiFinD("ths_int_chg_ratio_index",$A255,D$1,D$2)/100</f>
        <v>-5.9231066075037002E-3</v>
      </c>
      <c r="E255" s="5">
        <f ca="1">[1]!thsiFinD("ths_int_chg_ratio_index",$A255,E$1,E$2)/100</f>
        <v>-4.758065444996E-2</v>
      </c>
      <c r="F255" s="2" t="s">
        <v>270</v>
      </c>
      <c r="G255" s="2" t="s">
        <v>271</v>
      </c>
      <c r="H255" s="2">
        <v>16668.3</v>
      </c>
      <c r="I255" s="2" t="s">
        <v>32</v>
      </c>
      <c r="J255" s="2" t="s">
        <v>33</v>
      </c>
      <c r="K255" s="2">
        <v>15494.3</v>
      </c>
      <c r="L255" s="2" t="s">
        <v>680</v>
      </c>
      <c r="M255" s="2" t="s">
        <v>681</v>
      </c>
      <c r="N255" s="2">
        <v>15188.5</v>
      </c>
      <c r="O255" s="2" t="s">
        <v>1092</v>
      </c>
      <c r="P255" s="2" t="s">
        <v>1093</v>
      </c>
      <c r="Q255" s="2">
        <v>7686.3</v>
      </c>
      <c r="R255" s="2" t="s">
        <v>666</v>
      </c>
      <c r="S255" s="2" t="s">
        <v>667</v>
      </c>
      <c r="T255" s="2">
        <v>6804.2</v>
      </c>
    </row>
    <row r="256" spans="1:20" x14ac:dyDescent="0.25">
      <c r="A256" s="2" t="s">
        <v>1252</v>
      </c>
      <c r="B256" s="2" t="s">
        <v>1253</v>
      </c>
      <c r="C256" s="5">
        <f ca="1">[1]!thsiFinD("ths_int_chg_ratio_index",$A256,C$1,C$2)/100</f>
        <v>-7.9123260983251009E-2</v>
      </c>
      <c r="D256" s="5">
        <f ca="1">[1]!thsiFinD("ths_int_chg_ratio_index",$A256,D$1,D$2)/100</f>
        <v>-4.2413468513505997E-2</v>
      </c>
      <c r="E256" s="5">
        <f ca="1">[1]!thsiFinD("ths_int_chg_ratio_index",$A256,E$1,E$2)/100</f>
        <v>-9.2813578567761998E-2</v>
      </c>
      <c r="F256" s="2" t="s">
        <v>408</v>
      </c>
      <c r="G256" s="2" t="s">
        <v>409</v>
      </c>
      <c r="H256" s="2">
        <v>1574.2</v>
      </c>
      <c r="I256" s="2" t="s">
        <v>670</v>
      </c>
      <c r="J256" s="2" t="s">
        <v>671</v>
      </c>
      <c r="K256" s="2">
        <v>1235.5</v>
      </c>
      <c r="L256" s="2" t="s">
        <v>612</v>
      </c>
      <c r="M256" s="2" t="s">
        <v>613</v>
      </c>
      <c r="N256" s="2">
        <v>1199</v>
      </c>
      <c r="O256" s="2" t="s">
        <v>1254</v>
      </c>
      <c r="P256" s="2" t="s">
        <v>1255</v>
      </c>
      <c r="Q256" s="2">
        <v>917.6</v>
      </c>
      <c r="R256" s="2" t="s">
        <v>1256</v>
      </c>
      <c r="S256" s="2" t="s">
        <v>1257</v>
      </c>
      <c r="T256" s="2">
        <v>840.1</v>
      </c>
    </row>
    <row r="257" spans="1:20" x14ac:dyDescent="0.25">
      <c r="A257" s="2" t="s">
        <v>1258</v>
      </c>
      <c r="B257" s="2" t="s">
        <v>1259</v>
      </c>
      <c r="C257" s="5">
        <f ca="1">[1]!thsiFinD("ths_int_chg_ratio_index",$A257,C$1,C$2)/100</f>
        <v>-7.6467498535362999E-2</v>
      </c>
      <c r="D257" s="5">
        <f ca="1">[1]!thsiFinD("ths_int_chg_ratio_index",$A257,D$1,D$2)/100</f>
        <v>-2.7246618037253E-2</v>
      </c>
      <c r="E257" s="5">
        <f ca="1">[1]!thsiFinD("ths_int_chg_ratio_index",$A257,E$1,E$2)/100</f>
        <v>-8.6217015310726008E-2</v>
      </c>
      <c r="F257" s="2" t="s">
        <v>1260</v>
      </c>
      <c r="G257" s="2" t="s">
        <v>1261</v>
      </c>
      <c r="H257" s="2">
        <v>589.1</v>
      </c>
      <c r="I257" s="2" t="s">
        <v>1262</v>
      </c>
      <c r="J257" s="2" t="s">
        <v>1263</v>
      </c>
      <c r="K257" s="2">
        <v>245</v>
      </c>
      <c r="L257" s="2" t="s">
        <v>1264</v>
      </c>
      <c r="M257" s="2" t="s">
        <v>1265</v>
      </c>
      <c r="N257" s="2">
        <v>239.3</v>
      </c>
      <c r="O257" s="2" t="s">
        <v>1266</v>
      </c>
      <c r="P257" s="2" t="s">
        <v>1267</v>
      </c>
      <c r="Q257" s="2">
        <v>221.3</v>
      </c>
      <c r="R257" s="2" t="s">
        <v>1268</v>
      </c>
      <c r="S257" s="2" t="s">
        <v>1269</v>
      </c>
      <c r="T257" s="2">
        <v>179.7</v>
      </c>
    </row>
    <row r="258" spans="1:20" x14ac:dyDescent="0.25">
      <c r="A258" s="2" t="s">
        <v>1270</v>
      </c>
      <c r="B258" s="2" t="s">
        <v>1271</v>
      </c>
      <c r="C258" s="5">
        <f ca="1">[1]!thsiFinD("ths_int_chg_ratio_index",$A258,C$1,C$2)/100</f>
        <v>-6.2245873577031E-2</v>
      </c>
      <c r="D258" s="5">
        <f ca="1">[1]!thsiFinD("ths_int_chg_ratio_index",$A258,D$1,D$2)/100</f>
        <v>3.8258741810718998E-2</v>
      </c>
      <c r="E258" s="5">
        <f ca="1">[1]!thsiFinD("ths_int_chg_ratio_index",$A258,E$1,E$2)/100</f>
        <v>-6.4667163368968994E-2</v>
      </c>
      <c r="F258" s="2" t="s">
        <v>324</v>
      </c>
      <c r="G258" s="2" t="s">
        <v>325</v>
      </c>
      <c r="H258" s="2">
        <v>3072.8</v>
      </c>
      <c r="I258" s="2" t="s">
        <v>246</v>
      </c>
      <c r="J258" s="2" t="s">
        <v>247</v>
      </c>
      <c r="K258" s="2">
        <v>1846.7</v>
      </c>
      <c r="L258" s="2" t="s">
        <v>210</v>
      </c>
      <c r="M258" s="2" t="s">
        <v>211</v>
      </c>
      <c r="N258" s="2">
        <v>1526.1</v>
      </c>
      <c r="O258" s="2" t="s">
        <v>272</v>
      </c>
      <c r="P258" s="2" t="s">
        <v>273</v>
      </c>
      <c r="Q258" s="2">
        <v>1490.4</v>
      </c>
      <c r="R258" s="2" t="s">
        <v>276</v>
      </c>
      <c r="S258" s="2" t="s">
        <v>277</v>
      </c>
      <c r="T258" s="2">
        <v>1352.3</v>
      </c>
    </row>
    <row r="259" spans="1:20" x14ac:dyDescent="0.25">
      <c r="A259" s="2" t="s">
        <v>1272</v>
      </c>
      <c r="B259" s="2" t="s">
        <v>1273</v>
      </c>
      <c r="C259" s="5">
        <f ca="1">[1]!thsiFinD("ths_int_chg_ratio_index",$A259,C$1,C$2)/100</f>
        <v>-6.1128915360544996E-2</v>
      </c>
      <c r="D259" s="5">
        <f ca="1">[1]!thsiFinD("ths_int_chg_ratio_index",$A259,D$1,D$2)/100</f>
        <v>2.3080763958913997E-2</v>
      </c>
      <c r="E259" s="5">
        <f ca="1">[1]!thsiFinD("ths_int_chg_ratio_index",$A259,E$1,E$2)/100</f>
        <v>-7.9024617064146999E-2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 x14ac:dyDescent="0.25">
      <c r="A260" s="2" t="s">
        <v>1274</v>
      </c>
      <c r="B260" s="2" t="s">
        <v>1275</v>
      </c>
      <c r="C260" s="5">
        <f ca="1">[1]!thsiFinD("ths_int_chg_ratio_index",$A260,C$1,C$2)/100</f>
        <v>-5.7056206334641008E-2</v>
      </c>
      <c r="D260" s="5">
        <f ca="1">[1]!thsiFinD("ths_int_chg_ratio_index",$A260,D$1,D$2)/100</f>
        <v>-6.5859885247699004E-3</v>
      </c>
      <c r="E260" s="5">
        <f ca="1">[1]!thsiFinD("ths_int_chg_ratio_index",$A260,E$1,E$2)/100</f>
        <v>-8.1616055986808003E-2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 x14ac:dyDescent="0.25">
      <c r="A261" s="2" t="s">
        <v>1276</v>
      </c>
      <c r="B261" s="2" t="s">
        <v>1277</v>
      </c>
      <c r="C261" s="5">
        <f ca="1">[1]!thsiFinD("ths_int_chg_ratio_index",$A261,C$1,C$2)/100</f>
        <v>-6.5094120142075995E-2</v>
      </c>
      <c r="D261" s="5">
        <f ca="1">[1]!thsiFinD("ths_int_chg_ratio_index",$A261,D$1,D$2)/100</f>
        <v>2.4318323677286001E-2</v>
      </c>
      <c r="E261" s="5">
        <f ca="1">[1]!thsiFinD("ths_int_chg_ratio_index",$A261,E$1,E$2)/100</f>
        <v>-7.2642096817051999E-2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 x14ac:dyDescent="0.25">
      <c r="A262" s="2" t="s">
        <v>1278</v>
      </c>
      <c r="B262" s="2" t="s">
        <v>1279</v>
      </c>
      <c r="C262" s="5">
        <f ca="1">[1]!thsiFinD("ths_int_chg_ratio_index",$A262,C$1,C$2)/100</f>
        <v>-5.5585341387952993E-2</v>
      </c>
      <c r="D262" s="5">
        <f ca="1">[1]!thsiFinD("ths_int_chg_ratio_index",$A262,D$1,D$2)/100</f>
        <v>7.1370857713775005E-3</v>
      </c>
      <c r="E262" s="5">
        <f ca="1">[1]!thsiFinD("ths_int_chg_ratio_index",$A262,E$1,E$2)/100</f>
        <v>-8.2081702366495007E-2</v>
      </c>
      <c r="F262" s="2" t="s">
        <v>110</v>
      </c>
      <c r="G262" s="2" t="s">
        <v>111</v>
      </c>
      <c r="H262" s="2">
        <v>1784.4</v>
      </c>
      <c r="I262" s="2" t="s">
        <v>1280</v>
      </c>
      <c r="J262" s="2" t="s">
        <v>1281</v>
      </c>
      <c r="K262" s="2">
        <v>735.1</v>
      </c>
      <c r="L262" s="2" t="s">
        <v>1282</v>
      </c>
      <c r="M262" s="2" t="s">
        <v>1283</v>
      </c>
      <c r="N262" s="2">
        <v>274.60000000000002</v>
      </c>
      <c r="O262" s="2" t="s">
        <v>1284</v>
      </c>
      <c r="P262" s="2" t="s">
        <v>1285</v>
      </c>
      <c r="Q262" s="2">
        <v>243.6</v>
      </c>
      <c r="R262" s="2" t="s">
        <v>1286</v>
      </c>
      <c r="S262" s="2" t="s">
        <v>1287</v>
      </c>
      <c r="T262" s="2">
        <v>230.6</v>
      </c>
    </row>
    <row r="263" spans="1:20" x14ac:dyDescent="0.25">
      <c r="A263" s="2" t="s">
        <v>1288</v>
      </c>
      <c r="B263" s="2" t="s">
        <v>1289</v>
      </c>
      <c r="C263" s="5">
        <f ca="1">[1]!thsiFinD("ths_int_chg_ratio_index",$A263,C$1,C$2)/100</f>
        <v>-7.0036470872233997E-2</v>
      </c>
      <c r="D263" s="5">
        <f ca="1">[1]!thsiFinD("ths_int_chg_ratio_index",$A263,D$1,D$2)/100</f>
        <v>2.2472431543813002E-3</v>
      </c>
      <c r="E263" s="5">
        <f ca="1">[1]!thsiFinD("ths_int_chg_ratio_index",$A263,E$1,E$2)/100</f>
        <v>-5.1403445841039001E-2</v>
      </c>
      <c r="F263" s="2" t="s">
        <v>1290</v>
      </c>
      <c r="G263" s="2" t="s">
        <v>1291</v>
      </c>
      <c r="H263" s="2">
        <v>789.5</v>
      </c>
      <c r="I263" s="2" t="s">
        <v>1292</v>
      </c>
      <c r="J263" s="2" t="s">
        <v>1293</v>
      </c>
      <c r="K263" s="2">
        <v>287.10000000000002</v>
      </c>
      <c r="L263" s="2" t="s">
        <v>1294</v>
      </c>
      <c r="M263" s="2" t="s">
        <v>1295</v>
      </c>
      <c r="N263" s="2">
        <v>140.9</v>
      </c>
      <c r="O263" s="2" t="s">
        <v>1296</v>
      </c>
      <c r="P263" s="2" t="s">
        <v>1297</v>
      </c>
      <c r="Q263" s="2">
        <v>106.1</v>
      </c>
      <c r="R263" s="2" t="s">
        <v>1298</v>
      </c>
      <c r="S263" s="2" t="s">
        <v>1299</v>
      </c>
      <c r="T263" s="2">
        <v>105.1</v>
      </c>
    </row>
    <row r="264" spans="1:20" x14ac:dyDescent="0.25">
      <c r="A264" s="2" t="s">
        <v>1300</v>
      </c>
      <c r="B264" s="2" t="s">
        <v>1301</v>
      </c>
      <c r="C264" s="5">
        <f ca="1">[1]!thsiFinD("ths_int_chg_ratio_index",$A264,C$1,C$2)/100</f>
        <v>-7.7911732067540998E-2</v>
      </c>
      <c r="D264" s="5">
        <f ca="1">[1]!thsiFinD("ths_int_chg_ratio_index",$A264,D$1,D$2)/100</f>
        <v>-1.7127180133307999E-2</v>
      </c>
      <c r="E264" s="5">
        <f ca="1">[1]!thsiFinD("ths_int_chg_ratio_index",$A264,E$1,E$2)/100</f>
        <v>-8.6718742804394996E-2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1:20" x14ac:dyDescent="0.25">
      <c r="A265" s="2" t="s">
        <v>1302</v>
      </c>
      <c r="B265" s="2" t="s">
        <v>1303</v>
      </c>
      <c r="C265" s="5">
        <f ca="1">[1]!thsiFinD("ths_int_chg_ratio_index",$A265,C$1,C$2)/100</f>
        <v>-6.6336378046498001E-2</v>
      </c>
      <c r="D265" s="5">
        <f ca="1">[1]!thsiFinD("ths_int_chg_ratio_index",$A265,D$1,D$2)/100</f>
        <v>2.6336890111661002E-2</v>
      </c>
      <c r="E265" s="5">
        <f ca="1">[1]!thsiFinD("ths_int_chg_ratio_index",$A265,E$1,E$2)/100</f>
        <v>-4.8196897474133998E-2</v>
      </c>
      <c r="F265" s="2" t="s">
        <v>420</v>
      </c>
      <c r="G265" s="2" t="s">
        <v>421</v>
      </c>
      <c r="H265" s="2">
        <v>2719.8</v>
      </c>
      <c r="I265" s="2" t="s">
        <v>850</v>
      </c>
      <c r="J265" s="2" t="s">
        <v>851</v>
      </c>
      <c r="K265" s="2">
        <v>1167.8</v>
      </c>
      <c r="L265" s="2" t="s">
        <v>1304</v>
      </c>
      <c r="M265" s="2" t="s">
        <v>1305</v>
      </c>
      <c r="N265" s="2">
        <v>904.8</v>
      </c>
      <c r="O265" s="2" t="s">
        <v>712</v>
      </c>
      <c r="P265" s="2" t="s">
        <v>713</v>
      </c>
      <c r="Q265" s="2">
        <v>855</v>
      </c>
      <c r="R265" s="2" t="s">
        <v>366</v>
      </c>
      <c r="S265" s="2" t="s">
        <v>367</v>
      </c>
      <c r="T265" s="2">
        <v>751</v>
      </c>
    </row>
    <row r="266" spans="1:20" x14ac:dyDescent="0.25">
      <c r="A266" s="2" t="s">
        <v>1306</v>
      </c>
      <c r="B266" s="2" t="s">
        <v>1307</v>
      </c>
      <c r="C266" s="5">
        <f ca="1">[1]!thsiFinD("ths_int_chg_ratio_index",$A266,C$1,C$2)/100</f>
        <v>-6.1808987527173002E-2</v>
      </c>
      <c r="D266" s="5">
        <f ca="1">[1]!thsiFinD("ths_int_chg_ratio_index",$A266,D$1,D$2)/100</f>
        <v>1.7881850630956E-2</v>
      </c>
      <c r="E266" s="5">
        <f ca="1">[1]!thsiFinD("ths_int_chg_ratio_index",$A266,E$1,E$2)/100</f>
        <v>-7.8976647533898992E-2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 x14ac:dyDescent="0.25">
      <c r="A267" s="2" t="s">
        <v>1308</v>
      </c>
      <c r="B267" s="2" t="s">
        <v>1309</v>
      </c>
      <c r="C267" s="5">
        <f ca="1">[1]!thsiFinD("ths_int_chg_ratio_index",$A267,C$1,C$2)/100</f>
        <v>-7.7432641177993006E-2</v>
      </c>
      <c r="D267" s="5">
        <f ca="1">[1]!thsiFinD("ths_int_chg_ratio_index",$A267,D$1,D$2)/100</f>
        <v>-1.8412539669636001E-2</v>
      </c>
      <c r="E267" s="5">
        <f ca="1">[1]!thsiFinD("ths_int_chg_ratio_index",$A267,E$1,E$2)/100</f>
        <v>-8.8341845274981998E-2</v>
      </c>
      <c r="F267" s="2" t="s">
        <v>608</v>
      </c>
      <c r="G267" s="2" t="s">
        <v>609</v>
      </c>
      <c r="H267" s="2">
        <v>1904.9</v>
      </c>
      <c r="I267" s="2" t="s">
        <v>1310</v>
      </c>
      <c r="J267" s="2" t="s">
        <v>1311</v>
      </c>
      <c r="K267" s="2">
        <v>232.2</v>
      </c>
      <c r="L267" s="2" t="s">
        <v>1312</v>
      </c>
      <c r="M267" s="2" t="s">
        <v>1313</v>
      </c>
      <c r="N267" s="2">
        <v>227.2</v>
      </c>
      <c r="O267" s="2" t="s">
        <v>814</v>
      </c>
      <c r="P267" s="2" t="s">
        <v>815</v>
      </c>
      <c r="Q267" s="2">
        <v>218.7</v>
      </c>
      <c r="R267" s="2" t="s">
        <v>1314</v>
      </c>
      <c r="S267" s="2" t="s">
        <v>1315</v>
      </c>
      <c r="T267" s="2">
        <v>211.5</v>
      </c>
    </row>
    <row r="268" spans="1:20" x14ac:dyDescent="0.25">
      <c r="A268" s="2" t="s">
        <v>1316</v>
      </c>
      <c r="B268" s="2" t="s">
        <v>1317</v>
      </c>
      <c r="C268" s="5">
        <f ca="1">[1]!thsiFinD("ths_int_chg_ratio_index",$A268,C$1,C$2)/100</f>
        <v>-7.3267568627156998E-2</v>
      </c>
      <c r="D268" s="5">
        <f ca="1">[1]!thsiFinD("ths_int_chg_ratio_index",$A268,D$1,D$2)/100</f>
        <v>4.5474839932196E-3</v>
      </c>
      <c r="E268" s="5">
        <f ca="1">[1]!thsiFinD("ths_int_chg_ratio_index",$A268,E$1,E$2)/100</f>
        <v>-6.3956583072868001E-2</v>
      </c>
      <c r="F268" s="2" t="s">
        <v>420</v>
      </c>
      <c r="G268" s="2" t="s">
        <v>421</v>
      </c>
      <c r="H268" s="2">
        <v>2719.8</v>
      </c>
      <c r="I268" s="2" t="s">
        <v>692</v>
      </c>
      <c r="J268" s="2" t="s">
        <v>693</v>
      </c>
      <c r="K268" s="2">
        <v>1039.9000000000001</v>
      </c>
      <c r="L268" s="2" t="s">
        <v>1304</v>
      </c>
      <c r="M268" s="2" t="s">
        <v>1305</v>
      </c>
      <c r="N268" s="2">
        <v>904.8</v>
      </c>
      <c r="O268" s="2" t="s">
        <v>712</v>
      </c>
      <c r="P268" s="2" t="s">
        <v>713</v>
      </c>
      <c r="Q268" s="2">
        <v>855</v>
      </c>
      <c r="R268" s="2" t="s">
        <v>366</v>
      </c>
      <c r="S268" s="2" t="s">
        <v>367</v>
      </c>
      <c r="T268" s="2">
        <v>751</v>
      </c>
    </row>
    <row r="269" spans="1:20" x14ac:dyDescent="0.25">
      <c r="A269" s="2" t="s">
        <v>1318</v>
      </c>
      <c r="B269" s="2" t="s">
        <v>1319</v>
      </c>
      <c r="C269" s="5">
        <f ca="1">[1]!thsiFinD("ths_int_chg_ratio_index",$A269,C$1,C$2)/100</f>
        <v>-5.8501223374386006E-2</v>
      </c>
      <c r="D269" s="5">
        <f ca="1">[1]!thsiFinD("ths_int_chg_ratio_index",$A269,D$1,D$2)/100</f>
        <v>-9.7882489720200008E-4</v>
      </c>
      <c r="E269" s="5">
        <f ca="1">[1]!thsiFinD("ths_int_chg_ratio_index",$A269,E$1,E$2)/100</f>
        <v>-8.3132221964186001E-2</v>
      </c>
      <c r="F269" s="2" t="s">
        <v>684</v>
      </c>
      <c r="G269" s="2" t="s">
        <v>685</v>
      </c>
      <c r="H269" s="2">
        <v>3088.7</v>
      </c>
      <c r="I269" s="2" t="s">
        <v>1150</v>
      </c>
      <c r="J269" s="2" t="s">
        <v>1151</v>
      </c>
      <c r="K269" s="2">
        <v>461.6</v>
      </c>
      <c r="L269" s="2" t="s">
        <v>1320</v>
      </c>
      <c r="M269" s="2" t="s">
        <v>1321</v>
      </c>
      <c r="N269" s="2">
        <v>256.2</v>
      </c>
      <c r="O269" s="2" t="s">
        <v>1194</v>
      </c>
      <c r="P269" s="2" t="s">
        <v>1195</v>
      </c>
      <c r="Q269" s="2">
        <v>253.2</v>
      </c>
      <c r="R269" s="2" t="s">
        <v>624</v>
      </c>
      <c r="S269" s="2" t="s">
        <v>625</v>
      </c>
      <c r="T269" s="2">
        <v>244.1</v>
      </c>
    </row>
    <row r="270" spans="1:20" x14ac:dyDescent="0.25">
      <c r="A270" s="2" t="s">
        <v>1322</v>
      </c>
      <c r="B270" s="2" t="s">
        <v>1323</v>
      </c>
      <c r="C270" s="5">
        <f ca="1">[1]!thsiFinD("ths_int_chg_ratio_index",$A270,C$1,C$2)/100</f>
        <v>-8.0252431114365003E-2</v>
      </c>
      <c r="D270" s="5">
        <f ca="1">[1]!thsiFinD("ths_int_chg_ratio_index",$A270,D$1,D$2)/100</f>
        <v>-7.8613541864447998E-3</v>
      </c>
      <c r="E270" s="5">
        <f ca="1">[1]!thsiFinD("ths_int_chg_ratio_index",$A270,E$1,E$2)/100</f>
        <v>-8.6462245481957994E-2</v>
      </c>
      <c r="F270" s="2" t="s">
        <v>420</v>
      </c>
      <c r="G270" s="2" t="s">
        <v>421</v>
      </c>
      <c r="H270" s="2">
        <v>2719.8</v>
      </c>
      <c r="I270" s="2" t="s">
        <v>776</v>
      </c>
      <c r="J270" s="2" t="s">
        <v>777</v>
      </c>
      <c r="K270" s="2">
        <v>1732.8</v>
      </c>
      <c r="L270" s="2" t="s">
        <v>778</v>
      </c>
      <c r="M270" s="2" t="s">
        <v>779</v>
      </c>
      <c r="N270" s="2">
        <v>1384</v>
      </c>
      <c r="O270" s="2" t="s">
        <v>134</v>
      </c>
      <c r="P270" s="2" t="s">
        <v>135</v>
      </c>
      <c r="Q270" s="2">
        <v>1136.8</v>
      </c>
      <c r="R270" s="2" t="s">
        <v>1078</v>
      </c>
      <c r="S270" s="2" t="s">
        <v>1079</v>
      </c>
      <c r="T270" s="2">
        <v>738.7</v>
      </c>
    </row>
    <row r="271" spans="1:20" x14ac:dyDescent="0.25">
      <c r="A271" s="2" t="s">
        <v>1324</v>
      </c>
      <c r="B271" s="2" t="s">
        <v>1325</v>
      </c>
      <c r="C271" s="5">
        <f ca="1">[1]!thsiFinD("ths_int_chg_ratio_index",$A271,C$1,C$2)/100</f>
        <v>-7.827228722049101E-2</v>
      </c>
      <c r="D271" s="5">
        <f ca="1">[1]!thsiFinD("ths_int_chg_ratio_index",$A271,D$1,D$2)/100</f>
        <v>-8.3779952929498008E-3</v>
      </c>
      <c r="E271" s="5">
        <f ca="1">[1]!thsiFinD("ths_int_chg_ratio_index",$A271,E$1,E$2)/100</f>
        <v>-0.10543562432921</v>
      </c>
      <c r="F271" s="2" t="s">
        <v>1190</v>
      </c>
      <c r="G271" s="2" t="s">
        <v>1191</v>
      </c>
      <c r="H271" s="2">
        <v>537.5</v>
      </c>
      <c r="I271" s="2" t="s">
        <v>1326</v>
      </c>
      <c r="J271" s="2" t="s">
        <v>1327</v>
      </c>
      <c r="K271" s="2">
        <v>302.3</v>
      </c>
      <c r="L271" s="2" t="s">
        <v>868</v>
      </c>
      <c r="M271" s="2" t="s">
        <v>869</v>
      </c>
      <c r="N271" s="2">
        <v>191.7</v>
      </c>
      <c r="O271" s="2" t="s">
        <v>1328</v>
      </c>
      <c r="P271" s="2" t="s">
        <v>1329</v>
      </c>
      <c r="Q271" s="2">
        <v>156.6</v>
      </c>
      <c r="R271" s="2" t="s">
        <v>1330</v>
      </c>
      <c r="S271" s="2" t="s">
        <v>1331</v>
      </c>
      <c r="T271" s="2">
        <v>86.2</v>
      </c>
    </row>
    <row r="272" spans="1:20" x14ac:dyDescent="0.25">
      <c r="A272" s="2" t="s">
        <v>1332</v>
      </c>
      <c r="B272" s="2" t="s">
        <v>1333</v>
      </c>
      <c r="C272" s="5">
        <f ca="1">[1]!thsiFinD("ths_int_chg_ratio_index",$A272,C$1,C$2)/100</f>
        <v>-6.9576275205649005E-2</v>
      </c>
      <c r="D272" s="5">
        <f ca="1">[1]!thsiFinD("ths_int_chg_ratio_index",$A272,D$1,D$2)/100</f>
        <v>4.2046227712362001E-2</v>
      </c>
      <c r="E272" s="5">
        <f ca="1">[1]!thsiFinD("ths_int_chg_ratio_index",$A272,E$1,E$2)/100</f>
        <v>-8.1286975271207998E-2</v>
      </c>
      <c r="F272" s="2" t="s">
        <v>130</v>
      </c>
      <c r="G272" s="2" t="s">
        <v>131</v>
      </c>
      <c r="H272" s="2">
        <v>2714.4</v>
      </c>
      <c r="I272" s="2" t="s">
        <v>210</v>
      </c>
      <c r="J272" s="2" t="s">
        <v>211</v>
      </c>
      <c r="K272" s="2">
        <v>1526.1</v>
      </c>
      <c r="L272" s="2" t="s">
        <v>634</v>
      </c>
      <c r="M272" s="2" t="s">
        <v>635</v>
      </c>
      <c r="N272" s="2">
        <v>1297.0999999999999</v>
      </c>
      <c r="O272" s="2" t="s">
        <v>694</v>
      </c>
      <c r="P272" s="2" t="s">
        <v>695</v>
      </c>
      <c r="Q272" s="2">
        <v>980.1</v>
      </c>
      <c r="R272" s="2" t="s">
        <v>312</v>
      </c>
      <c r="S272" s="2" t="s">
        <v>313</v>
      </c>
      <c r="T272" s="2">
        <v>957.7</v>
      </c>
    </row>
    <row r="273" spans="1:20" x14ac:dyDescent="0.25">
      <c r="A273" s="2" t="s">
        <v>1334</v>
      </c>
      <c r="B273" s="2" t="s">
        <v>1335</v>
      </c>
      <c r="C273" s="5">
        <f ca="1">[1]!thsiFinD("ths_int_chg_ratio_index",$A273,C$1,C$2)/100</f>
        <v>-7.836032174963399E-2</v>
      </c>
      <c r="D273" s="5">
        <f ca="1">[1]!thsiFinD("ths_int_chg_ratio_index",$A273,D$1,D$2)/100</f>
        <v>1.6077811954443001E-2</v>
      </c>
      <c r="E273" s="5">
        <f ca="1">[1]!thsiFinD("ths_int_chg_ratio_index",$A273,E$1,E$2)/100</f>
        <v>-9.1824444863250004E-2</v>
      </c>
      <c r="F273" s="2" t="s">
        <v>1336</v>
      </c>
      <c r="G273" s="2" t="s">
        <v>1337</v>
      </c>
      <c r="H273" s="2">
        <v>382</v>
      </c>
      <c r="I273" s="2" t="s">
        <v>1338</v>
      </c>
      <c r="J273" s="2" t="s">
        <v>1339</v>
      </c>
      <c r="K273" s="2">
        <v>334.5</v>
      </c>
      <c r="L273" s="2" t="s">
        <v>950</v>
      </c>
      <c r="M273" s="2" t="s">
        <v>951</v>
      </c>
      <c r="N273" s="2">
        <v>312.7</v>
      </c>
      <c r="O273" s="2" t="s">
        <v>1340</v>
      </c>
      <c r="P273" s="2" t="s">
        <v>1341</v>
      </c>
      <c r="Q273" s="2">
        <v>303</v>
      </c>
      <c r="R273" s="2" t="s">
        <v>1342</v>
      </c>
      <c r="S273" s="2" t="s">
        <v>1343</v>
      </c>
      <c r="T273" s="2">
        <v>253</v>
      </c>
    </row>
    <row r="274" spans="1:20" x14ac:dyDescent="0.25">
      <c r="A274" s="2" t="s">
        <v>1344</v>
      </c>
      <c r="B274" s="2" t="s">
        <v>1345</v>
      </c>
      <c r="C274" s="5">
        <f ca="1">[1]!thsiFinD("ths_int_chg_ratio_index",$A274,C$1,C$2)/100</f>
        <v>-8.9138764557032998E-2</v>
      </c>
      <c r="D274" s="5">
        <f ca="1">[1]!thsiFinD("ths_int_chg_ratio_index",$A274,D$1,D$2)/100</f>
        <v>-1.8317574284312001E-2</v>
      </c>
      <c r="E274" s="5">
        <f ca="1">[1]!thsiFinD("ths_int_chg_ratio_index",$A274,E$1,E$2)/100</f>
        <v>-6.7088141178499996E-2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 x14ac:dyDescent="0.25">
      <c r="A275" s="2" t="s">
        <v>1346</v>
      </c>
      <c r="B275" s="2" t="s">
        <v>1347</v>
      </c>
      <c r="C275" s="5">
        <f ca="1">[1]!thsiFinD("ths_int_chg_ratio_index",$A275,C$1,C$2)/100</f>
        <v>-7.0154743265526009E-2</v>
      </c>
      <c r="D275" s="5">
        <f ca="1">[1]!thsiFinD("ths_int_chg_ratio_index",$A275,D$1,D$2)/100</f>
        <v>3.6109938289888996E-2</v>
      </c>
      <c r="E275" s="5">
        <f ca="1">[1]!thsiFinD("ths_int_chg_ratio_index",$A275,E$1,E$2)/100</f>
        <v>-8.4219292389211997E-2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 x14ac:dyDescent="0.25">
      <c r="A276" s="2" t="s">
        <v>1348</v>
      </c>
      <c r="B276" s="2" t="s">
        <v>1349</v>
      </c>
      <c r="C276" s="5">
        <f ca="1">[1]!thsiFinD("ths_int_chg_ratio_index",$A276,C$1,C$2)/100</f>
        <v>-8.7406395982074989E-2</v>
      </c>
      <c r="D276" s="5">
        <f ca="1">[1]!thsiFinD("ths_int_chg_ratio_index",$A276,D$1,D$2)/100</f>
        <v>-9.1422263417078996E-3</v>
      </c>
      <c r="E276" s="5">
        <f ca="1">[1]!thsiFinD("ths_int_chg_ratio_index",$A276,E$1,E$2)/100</f>
        <v>-8.7719357814260004E-2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 x14ac:dyDescent="0.25">
      <c r="A277" s="2" t="s">
        <v>1350</v>
      </c>
      <c r="B277" s="2" t="s">
        <v>1351</v>
      </c>
      <c r="C277" s="5">
        <f ca="1">[1]!thsiFinD("ths_int_chg_ratio_index",$A277,C$1,C$2)/100</f>
        <v>-7.3029107045692002E-2</v>
      </c>
      <c r="D277" s="5">
        <f ca="1">[1]!thsiFinD("ths_int_chg_ratio_index",$A277,D$1,D$2)/100</f>
        <v>3.8095497874977E-2</v>
      </c>
      <c r="E277" s="5">
        <f ca="1">[1]!thsiFinD("ths_int_chg_ratio_index",$A277,E$1,E$2)/100</f>
        <v>-7.0793170230133998E-2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1:20" x14ac:dyDescent="0.25">
      <c r="A278" s="2" t="s">
        <v>1352</v>
      </c>
      <c r="B278" s="2" t="s">
        <v>1353</v>
      </c>
      <c r="C278" s="5">
        <f ca="1">[1]!thsiFinD("ths_int_chg_ratio_index",$A278,C$1,C$2)/100</f>
        <v>-9.2166169274762011E-2</v>
      </c>
      <c r="D278" s="5">
        <f ca="1">[1]!thsiFinD("ths_int_chg_ratio_index",$A278,D$1,D$2)/100</f>
        <v>-1.3801271264166E-2</v>
      </c>
      <c r="E278" s="5">
        <f ca="1">[1]!thsiFinD("ths_int_chg_ratio_index",$A278,E$1,E$2)/100</f>
        <v>-7.7627392989143007E-2</v>
      </c>
      <c r="F278" s="2" t="s">
        <v>1354</v>
      </c>
      <c r="G278" s="2" t="s">
        <v>1355</v>
      </c>
      <c r="H278" s="2">
        <v>312.60000000000002</v>
      </c>
      <c r="I278" s="2" t="s">
        <v>1356</v>
      </c>
      <c r="J278" s="2" t="s">
        <v>1357</v>
      </c>
      <c r="K278" s="2">
        <v>255</v>
      </c>
      <c r="L278" s="2" t="s">
        <v>1194</v>
      </c>
      <c r="M278" s="2" t="s">
        <v>1195</v>
      </c>
      <c r="N278" s="2">
        <v>253.2</v>
      </c>
      <c r="O278" s="2" t="s">
        <v>1358</v>
      </c>
      <c r="P278" s="2" t="s">
        <v>1359</v>
      </c>
      <c r="Q278" s="2">
        <v>210.3</v>
      </c>
      <c r="R278" s="2" t="s">
        <v>1360</v>
      </c>
      <c r="S278" s="2" t="s">
        <v>1361</v>
      </c>
      <c r="T278" s="2">
        <v>161</v>
      </c>
    </row>
    <row r="279" spans="1:20" x14ac:dyDescent="0.25">
      <c r="A279" s="2" t="s">
        <v>1362</v>
      </c>
      <c r="B279" s="2" t="s">
        <v>1363</v>
      </c>
      <c r="C279" s="5">
        <f ca="1">[1]!thsiFinD("ths_int_chg_ratio_index",$A279,C$1,C$2)/100</f>
        <v>-8.6012634885842001E-2</v>
      </c>
      <c r="D279" s="5">
        <f ca="1">[1]!thsiFinD("ths_int_chg_ratio_index",$A279,D$1,D$2)/100</f>
        <v>-1.8885721589875001E-2</v>
      </c>
      <c r="E279" s="5">
        <f ca="1">[1]!thsiFinD("ths_int_chg_ratio_index",$A279,E$1,E$2)/100</f>
        <v>-7.7753864302873996E-2</v>
      </c>
      <c r="F279" s="2" t="s">
        <v>1292</v>
      </c>
      <c r="G279" s="2" t="s">
        <v>1293</v>
      </c>
      <c r="H279" s="2">
        <v>287.10000000000002</v>
      </c>
      <c r="I279" s="2" t="s">
        <v>1364</v>
      </c>
      <c r="J279" s="2" t="s">
        <v>1365</v>
      </c>
      <c r="K279" s="2">
        <v>174.4</v>
      </c>
      <c r="L279" s="2" t="s">
        <v>1154</v>
      </c>
      <c r="M279" s="2" t="s">
        <v>1155</v>
      </c>
      <c r="N279" s="2">
        <v>170.1</v>
      </c>
      <c r="O279" s="2" t="s">
        <v>1202</v>
      </c>
      <c r="P279" s="2" t="s">
        <v>1203</v>
      </c>
      <c r="Q279" s="2">
        <v>110</v>
      </c>
      <c r="R279" s="2" t="s">
        <v>1366</v>
      </c>
      <c r="S279" s="2" t="s">
        <v>1367</v>
      </c>
      <c r="T279" s="2">
        <v>109.6</v>
      </c>
    </row>
    <row r="280" spans="1:20" x14ac:dyDescent="0.25">
      <c r="A280" s="2" t="s">
        <v>1368</v>
      </c>
      <c r="B280" s="2" t="s">
        <v>1369</v>
      </c>
      <c r="C280" s="5">
        <f ca="1">[1]!thsiFinD("ths_int_chg_ratio_index",$A280,C$1,C$2)/100</f>
        <v>-8.3552138168297999E-2</v>
      </c>
      <c r="D280" s="5">
        <f ca="1">[1]!thsiFinD("ths_int_chg_ratio_index",$A280,D$1,D$2)/100</f>
        <v>2.6984570507728001E-3</v>
      </c>
      <c r="E280" s="5">
        <f ca="1">[1]!thsiFinD("ths_int_chg_ratio_index",$A280,E$1,E$2)/100</f>
        <v>-8.0326496561888006E-2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 x14ac:dyDescent="0.25">
      <c r="A281" s="2" t="s">
        <v>1370</v>
      </c>
      <c r="B281" s="2" t="s">
        <v>1371</v>
      </c>
      <c r="C281" s="5">
        <f ca="1">[1]!thsiFinD("ths_int_chg_ratio_index",$A281,C$1,C$2)/100</f>
        <v>-9.8766071071483011E-2</v>
      </c>
      <c r="D281" s="5">
        <f ca="1">[1]!thsiFinD("ths_int_chg_ratio_index",$A281,D$1,D$2)/100</f>
        <v>-3.6911241562228997E-2</v>
      </c>
      <c r="E281" s="5">
        <f ca="1">[1]!thsiFinD("ths_int_chg_ratio_index",$A281,E$1,E$2)/100</f>
        <v>-9.4751642327141991E-2</v>
      </c>
      <c r="F281" s="2" t="s">
        <v>256</v>
      </c>
      <c r="G281" s="2" t="s">
        <v>257</v>
      </c>
      <c r="H281" s="2">
        <v>895</v>
      </c>
      <c r="I281" s="2" t="s">
        <v>1210</v>
      </c>
      <c r="J281" s="2" t="s">
        <v>1211</v>
      </c>
      <c r="K281" s="2">
        <v>710.3</v>
      </c>
      <c r="L281" s="2" t="s">
        <v>1372</v>
      </c>
      <c r="M281" s="2" t="s">
        <v>1373</v>
      </c>
      <c r="N281" s="2">
        <v>419.4</v>
      </c>
      <c r="O281" s="2" t="s">
        <v>1374</v>
      </c>
      <c r="P281" s="2" t="s">
        <v>1375</v>
      </c>
      <c r="Q281" s="2">
        <v>280.2</v>
      </c>
      <c r="R281" s="2" t="s">
        <v>1376</v>
      </c>
      <c r="S281" s="2" t="s">
        <v>1377</v>
      </c>
      <c r="T281" s="2">
        <v>250.1</v>
      </c>
    </row>
    <row r="282" spans="1:20" x14ac:dyDescent="0.25">
      <c r="A282" s="2" t="s">
        <v>1378</v>
      </c>
      <c r="B282" s="2" t="s">
        <v>1379</v>
      </c>
      <c r="C282" s="5">
        <f ca="1">[1]!thsiFinD("ths_int_chg_ratio_index",$A282,C$1,C$2)/100</f>
        <v>-8.4311983708295998E-2</v>
      </c>
      <c r="D282" s="5">
        <f ca="1">[1]!thsiFinD("ths_int_chg_ratio_index",$A282,D$1,D$2)/100</f>
        <v>2.0597739919689002E-2</v>
      </c>
      <c r="E282" s="5">
        <f ca="1">[1]!thsiFinD("ths_int_chg_ratio_index",$A282,E$1,E$2)/100</f>
        <v>-9.4516274180913004E-2</v>
      </c>
      <c r="F282" s="2" t="s">
        <v>732</v>
      </c>
      <c r="G282" s="2" t="s">
        <v>733</v>
      </c>
      <c r="H282" s="2">
        <v>389</v>
      </c>
      <c r="I282" s="2" t="s">
        <v>1380</v>
      </c>
      <c r="J282" s="2" t="s">
        <v>1381</v>
      </c>
      <c r="K282" s="2">
        <v>365.7</v>
      </c>
      <c r="L282" s="2" t="s">
        <v>528</v>
      </c>
      <c r="M282" s="2" t="s">
        <v>529</v>
      </c>
      <c r="N282" s="2">
        <v>339</v>
      </c>
      <c r="O282" s="2" t="s">
        <v>1382</v>
      </c>
      <c r="P282" s="2" t="s">
        <v>1383</v>
      </c>
      <c r="Q282" s="2">
        <v>255.8</v>
      </c>
      <c r="R282" s="2" t="s">
        <v>1384</v>
      </c>
      <c r="S282" s="2" t="s">
        <v>1385</v>
      </c>
      <c r="T282" s="2">
        <v>246.2</v>
      </c>
    </row>
    <row r="283" spans="1:20" x14ac:dyDescent="0.25">
      <c r="A283" s="2" t="s">
        <v>1386</v>
      </c>
      <c r="B283" s="2" t="s">
        <v>1387</v>
      </c>
      <c r="C283" s="5">
        <f ca="1">[1]!thsiFinD("ths_int_chg_ratio_index",$A283,C$1,C$2)/100</f>
        <v>-9.8292340914646004E-2</v>
      </c>
      <c r="D283" s="5">
        <f ca="1">[1]!thsiFinD("ths_int_chg_ratio_index",$A283,D$1,D$2)/100</f>
        <v>-3.4232626605239999E-2</v>
      </c>
      <c r="E283" s="5">
        <f ca="1">[1]!thsiFinD("ths_int_chg_ratio_index",$A283,E$1,E$2)/100</f>
        <v>-6.1007701488989999E-2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 x14ac:dyDescent="0.25">
      <c r="A284" s="2" t="s">
        <v>1388</v>
      </c>
      <c r="B284" s="2" t="s">
        <v>1389</v>
      </c>
      <c r="C284" s="5">
        <f ca="1">[1]!thsiFinD("ths_int_chg_ratio_index",$A284,C$1,C$2)/100</f>
        <v>-8.7988047598185001E-2</v>
      </c>
      <c r="D284" s="5">
        <f ca="1">[1]!thsiFinD("ths_int_chg_ratio_index",$A284,D$1,D$2)/100</f>
        <v>1.2589127068221E-2</v>
      </c>
      <c r="E284" s="5">
        <f ca="1">[1]!thsiFinD("ths_int_chg_ratio_index",$A284,E$1,E$2)/100</f>
        <v>-8.2376966357863998E-2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1:20" x14ac:dyDescent="0.25">
      <c r="A285" s="2" t="s">
        <v>1390</v>
      </c>
      <c r="B285" s="2" t="s">
        <v>1391</v>
      </c>
      <c r="C285" s="5">
        <f ca="1">[1]!thsiFinD("ths_int_chg_ratio_index",$A285,C$1,C$2)/100</f>
        <v>-9.4142132419892999E-2</v>
      </c>
      <c r="D285" s="5">
        <f ca="1">[1]!thsiFinD("ths_int_chg_ratio_index",$A285,D$1,D$2)/100</f>
        <v>-2.1973172225392999E-2</v>
      </c>
      <c r="E285" s="5">
        <f ca="1">[1]!thsiFinD("ths_int_chg_ratio_index",$A285,E$1,E$2)/100</f>
        <v>-6.6806572032923006E-2</v>
      </c>
      <c r="F285" s="2" t="s">
        <v>86</v>
      </c>
      <c r="G285" s="2" t="s">
        <v>87</v>
      </c>
      <c r="H285" s="2">
        <v>688.1</v>
      </c>
      <c r="I285" s="2" t="s">
        <v>1392</v>
      </c>
      <c r="J285" s="2" t="s">
        <v>1393</v>
      </c>
      <c r="K285" s="2">
        <v>450.8</v>
      </c>
      <c r="L285" s="2" t="s">
        <v>1394</v>
      </c>
      <c r="M285" s="2" t="s">
        <v>1395</v>
      </c>
      <c r="N285" s="2">
        <v>276.2</v>
      </c>
      <c r="O285" s="2" t="s">
        <v>1396</v>
      </c>
      <c r="P285" s="2" t="s">
        <v>1397</v>
      </c>
      <c r="Q285" s="2">
        <v>202.9</v>
      </c>
      <c r="R285" s="2" t="s">
        <v>1398</v>
      </c>
      <c r="S285" s="2" t="s">
        <v>1399</v>
      </c>
      <c r="T285" s="2">
        <v>80</v>
      </c>
    </row>
    <row r="286" spans="1:20" x14ac:dyDescent="0.25">
      <c r="A286" s="2" t="s">
        <v>1400</v>
      </c>
      <c r="B286" s="2" t="s">
        <v>1401</v>
      </c>
      <c r="C286" s="5">
        <f ca="1">[1]!thsiFinD("ths_int_chg_ratio_index",$A286,C$1,C$2)/100</f>
        <v>-0.10168649242814</v>
      </c>
      <c r="D286" s="5">
        <f ca="1">[1]!thsiFinD("ths_int_chg_ratio_index",$A286,D$1,D$2)/100</f>
        <v>-1.8614178918671998E-2</v>
      </c>
      <c r="E286" s="5">
        <f ca="1">[1]!thsiFinD("ths_int_chg_ratio_index",$A286,E$1,E$2)/100</f>
        <v>-4.6137609958057005E-2</v>
      </c>
      <c r="F286" s="2" t="s">
        <v>644</v>
      </c>
      <c r="G286" s="2" t="s">
        <v>645</v>
      </c>
      <c r="H286" s="2">
        <v>20335.900000000001</v>
      </c>
      <c r="I286" s="2" t="s">
        <v>646</v>
      </c>
      <c r="J286" s="2" t="s">
        <v>647</v>
      </c>
      <c r="K286" s="2">
        <v>19304.2</v>
      </c>
      <c r="L286" s="2" t="s">
        <v>648</v>
      </c>
      <c r="M286" s="2" t="s">
        <v>649</v>
      </c>
      <c r="N286" s="2">
        <v>15512.1</v>
      </c>
      <c r="O286" s="2" t="s">
        <v>680</v>
      </c>
      <c r="P286" s="2" t="s">
        <v>681</v>
      </c>
      <c r="Q286" s="2">
        <v>15188.5</v>
      </c>
      <c r="R286" s="2" t="s">
        <v>1042</v>
      </c>
      <c r="S286" s="2" t="s">
        <v>1043</v>
      </c>
      <c r="T286" s="2">
        <v>12182.2</v>
      </c>
    </row>
    <row r="287" spans="1:20" x14ac:dyDescent="0.25">
      <c r="A287" s="2" t="s">
        <v>1402</v>
      </c>
      <c r="B287" s="2" t="s">
        <v>1403</v>
      </c>
      <c r="C287" s="5">
        <f ca="1">[1]!thsiFinD("ths_int_chg_ratio_index",$A287,C$1,C$2)/100</f>
        <v>-8.3872139367593995E-2</v>
      </c>
      <c r="D287" s="5">
        <f ca="1">[1]!thsiFinD("ths_int_chg_ratio_index",$A287,D$1,D$2)/100</f>
        <v>1.6651552024395E-2</v>
      </c>
      <c r="E287" s="5">
        <f ca="1">[1]!thsiFinD("ths_int_chg_ratio_index",$A287,E$1,E$2)/100</f>
        <v>-9.5830877953357999E-2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 x14ac:dyDescent="0.25">
      <c r="A288" s="2" t="s">
        <v>1404</v>
      </c>
      <c r="B288" s="2" t="s">
        <v>1405</v>
      </c>
      <c r="C288" s="5">
        <f ca="1">[1]!thsiFinD("ths_int_chg_ratio_index",$A288,C$1,C$2)/100</f>
        <v>-9.5128448292983003E-2</v>
      </c>
      <c r="D288" s="5">
        <f ca="1">[1]!thsiFinD("ths_int_chg_ratio_index",$A288,D$1,D$2)/100</f>
        <v>1.800126660322E-2</v>
      </c>
      <c r="E288" s="5">
        <f ca="1">[1]!thsiFinD("ths_int_chg_ratio_index",$A288,E$1,E$2)/100</f>
        <v>-8.2432417123890003E-2</v>
      </c>
      <c r="F288" s="2" t="s">
        <v>204</v>
      </c>
      <c r="G288" s="2" t="s">
        <v>205</v>
      </c>
      <c r="H288" s="2">
        <v>4409.3999999999996</v>
      </c>
      <c r="I288" s="2" t="s">
        <v>632</v>
      </c>
      <c r="J288" s="2" t="s">
        <v>633</v>
      </c>
      <c r="K288" s="2">
        <v>1326.4</v>
      </c>
      <c r="L288" s="2" t="s">
        <v>1110</v>
      </c>
      <c r="M288" s="2" t="s">
        <v>1111</v>
      </c>
      <c r="N288" s="2">
        <v>963.1</v>
      </c>
      <c r="O288" s="2" t="s">
        <v>312</v>
      </c>
      <c r="P288" s="2" t="s">
        <v>313</v>
      </c>
      <c r="Q288" s="2">
        <v>957.7</v>
      </c>
      <c r="R288" s="2" t="s">
        <v>1406</v>
      </c>
      <c r="S288" s="2" t="s">
        <v>1407</v>
      </c>
      <c r="T288" s="2">
        <v>827.4</v>
      </c>
    </row>
    <row r="289" spans="1:20" x14ac:dyDescent="0.25">
      <c r="A289" s="2" t="s">
        <v>1408</v>
      </c>
      <c r="B289" s="2" t="s">
        <v>1409</v>
      </c>
      <c r="C289" s="5">
        <f ca="1">[1]!thsiFinD("ths_int_chg_ratio_index",$A289,C$1,C$2)/100</f>
        <v>-8.6227070540689996E-2</v>
      </c>
      <c r="D289" s="5">
        <f ca="1">[1]!thsiFinD("ths_int_chg_ratio_index",$A289,D$1,D$2)/100</f>
        <v>-4.8395013789058004E-3</v>
      </c>
      <c r="E289" s="5">
        <f ca="1">[1]!thsiFinD("ths_int_chg_ratio_index",$A289,E$1,E$2)/100</f>
        <v>-8.1312526979848004E-2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 x14ac:dyDescent="0.25">
      <c r="A290" s="2" t="s">
        <v>1410</v>
      </c>
      <c r="B290" s="2" t="s">
        <v>1411</v>
      </c>
      <c r="C290" s="5">
        <f ca="1">[1]!thsiFinD("ths_int_chg_ratio_index",$A290,C$1,C$2)/100</f>
        <v>-8.8868036475221998E-2</v>
      </c>
      <c r="D290" s="5">
        <f ca="1">[1]!thsiFinD("ths_int_chg_ratio_index",$A290,D$1,D$2)/100</f>
        <v>-3.1684973997746002E-4</v>
      </c>
      <c r="E290" s="5">
        <f ca="1">[1]!thsiFinD("ths_int_chg_ratio_index",$A290,E$1,E$2)/100</f>
        <v>-8.4816507782475001E-2</v>
      </c>
      <c r="F290" s="2" t="s">
        <v>1412</v>
      </c>
      <c r="G290" s="2" t="s">
        <v>1413</v>
      </c>
      <c r="H290" s="2">
        <v>858.6</v>
      </c>
      <c r="I290" s="2" t="s">
        <v>1414</v>
      </c>
      <c r="J290" s="2" t="s">
        <v>1415</v>
      </c>
      <c r="K290" s="2">
        <v>689.4</v>
      </c>
      <c r="L290" s="2" t="s">
        <v>1416</v>
      </c>
      <c r="M290" s="2" t="s">
        <v>1417</v>
      </c>
      <c r="N290" s="2">
        <v>657.9</v>
      </c>
      <c r="O290" s="2" t="s">
        <v>342</v>
      </c>
      <c r="P290" s="2" t="s">
        <v>343</v>
      </c>
      <c r="Q290" s="2">
        <v>511.4</v>
      </c>
      <c r="R290" s="2" t="s">
        <v>1418</v>
      </c>
      <c r="S290" s="2" t="s">
        <v>1419</v>
      </c>
      <c r="T290" s="2">
        <v>496.8</v>
      </c>
    </row>
    <row r="291" spans="1:20" x14ac:dyDescent="0.25">
      <c r="A291" s="2" t="s">
        <v>1420</v>
      </c>
      <c r="B291" s="2" t="s">
        <v>1421</v>
      </c>
      <c r="C291" s="5">
        <f ca="1">[1]!thsiFinD("ths_int_chg_ratio_index",$A291,C$1,C$2)/100</f>
        <v>-8.7260577395939995E-2</v>
      </c>
      <c r="D291" s="5">
        <f ca="1">[1]!thsiFinD("ths_int_chg_ratio_index",$A291,D$1,D$2)/100</f>
        <v>3.6179082113233001E-2</v>
      </c>
      <c r="E291" s="5">
        <f ca="1">[1]!thsiFinD("ths_int_chg_ratio_index",$A291,E$1,E$2)/100</f>
        <v>-8.931692785331799E-2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 x14ac:dyDescent="0.25">
      <c r="A292" s="2" t="s">
        <v>1422</v>
      </c>
      <c r="B292" s="2" t="s">
        <v>1423</v>
      </c>
      <c r="C292" s="5">
        <f ca="1">[1]!thsiFinD("ths_int_chg_ratio_index",$A292,C$1,C$2)/100</f>
        <v>-0.10062900880638001</v>
      </c>
      <c r="D292" s="5">
        <f ca="1">[1]!thsiFinD("ths_int_chg_ratio_index",$A292,D$1,D$2)/100</f>
        <v>-4.0929596516917997E-3</v>
      </c>
      <c r="E292" s="5">
        <f ca="1">[1]!thsiFinD("ths_int_chg_ratio_index",$A292,E$1,E$2)/100</f>
        <v>-6.4439982285131994E-2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 x14ac:dyDescent="0.25">
      <c r="A293" s="2" t="s">
        <v>1424</v>
      </c>
      <c r="B293" s="2" t="s">
        <v>1425</v>
      </c>
      <c r="C293" s="5">
        <f ca="1">[1]!thsiFinD("ths_int_chg_ratio_index",$A293,C$1,C$2)/100</f>
        <v>-9.191219895068499E-2</v>
      </c>
      <c r="D293" s="5">
        <f ca="1">[1]!thsiFinD("ths_int_chg_ratio_index",$A293,D$1,D$2)/100</f>
        <v>1.4563701935355999E-2</v>
      </c>
      <c r="E293" s="5">
        <f ca="1">[1]!thsiFinD("ths_int_chg_ratio_index",$A293,E$1,E$2)/100</f>
        <v>-8.9146916497044995E-2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1:20" x14ac:dyDescent="0.25">
      <c r="A294" s="2" t="s">
        <v>1426</v>
      </c>
      <c r="B294" s="2" t="s">
        <v>1427</v>
      </c>
      <c r="C294" s="5">
        <f ca="1">[1]!thsiFinD("ths_int_chg_ratio_index",$A294,C$1,C$2)/100</f>
        <v>-0.11326046683767001</v>
      </c>
      <c r="D294" s="5">
        <f ca="1">[1]!thsiFinD("ths_int_chg_ratio_index",$A294,D$1,D$2)/100</f>
        <v>2.9586846626223E-3</v>
      </c>
      <c r="E294" s="5">
        <f ca="1">[1]!thsiFinD("ths_int_chg_ratio_index",$A294,E$1,E$2)/100</f>
        <v>-4.3005087772947002E-2</v>
      </c>
      <c r="F294" s="2" t="s">
        <v>1428</v>
      </c>
      <c r="G294" s="2" t="s">
        <v>1429</v>
      </c>
      <c r="H294" s="2">
        <v>3234.1</v>
      </c>
      <c r="I294" s="2" t="s">
        <v>1430</v>
      </c>
      <c r="J294" s="2" t="s">
        <v>1431</v>
      </c>
      <c r="K294" s="2">
        <v>2483.6999999999998</v>
      </c>
      <c r="L294" s="2" t="s">
        <v>1432</v>
      </c>
      <c r="M294" s="2" t="s">
        <v>1433</v>
      </c>
      <c r="N294" s="2">
        <v>2332.3000000000002</v>
      </c>
      <c r="O294" s="2" t="s">
        <v>1434</v>
      </c>
      <c r="P294" s="2" t="s">
        <v>1435</v>
      </c>
      <c r="Q294" s="2">
        <v>1428.5</v>
      </c>
      <c r="R294" s="2" t="s">
        <v>1436</v>
      </c>
      <c r="S294" s="2" t="s">
        <v>1437</v>
      </c>
      <c r="T294" s="2">
        <v>1218.5999999999999</v>
      </c>
    </row>
    <row r="295" spans="1:20" x14ac:dyDescent="0.25">
      <c r="A295" s="2" t="s">
        <v>1438</v>
      </c>
      <c r="B295" s="2" t="s">
        <v>1439</v>
      </c>
      <c r="C295" s="5">
        <f ca="1">[1]!thsiFinD("ths_int_chg_ratio_index",$A295,C$1,C$2)/100</f>
        <v>-0.10357440154788</v>
      </c>
      <c r="D295" s="5">
        <f ca="1">[1]!thsiFinD("ths_int_chg_ratio_index",$A295,D$1,D$2)/100</f>
        <v>-4.7807302103310004E-3</v>
      </c>
      <c r="E295" s="5">
        <f ca="1">[1]!thsiFinD("ths_int_chg_ratio_index",$A295,E$1,E$2)/100</f>
        <v>-8.9456761317996E-2</v>
      </c>
      <c r="F295" s="2" t="s">
        <v>794</v>
      </c>
      <c r="G295" s="2" t="s">
        <v>795</v>
      </c>
      <c r="H295" s="2">
        <v>1134.8</v>
      </c>
      <c r="I295" s="2" t="s">
        <v>294</v>
      </c>
      <c r="J295" s="2" t="s">
        <v>295</v>
      </c>
      <c r="K295" s="2">
        <v>761</v>
      </c>
      <c r="L295" s="2" t="s">
        <v>1440</v>
      </c>
      <c r="M295" s="2" t="s">
        <v>1441</v>
      </c>
      <c r="N295" s="2">
        <v>578</v>
      </c>
      <c r="O295" s="2" t="s">
        <v>1392</v>
      </c>
      <c r="P295" s="2" t="s">
        <v>1393</v>
      </c>
      <c r="Q295" s="2">
        <v>450.8</v>
      </c>
      <c r="R295" s="2" t="s">
        <v>1442</v>
      </c>
      <c r="S295" s="2" t="s">
        <v>1443</v>
      </c>
      <c r="T295" s="2">
        <v>412.9</v>
      </c>
    </row>
    <row r="296" spans="1:20" x14ac:dyDescent="0.25">
      <c r="A296" s="2" t="s">
        <v>1444</v>
      </c>
      <c r="B296" s="2" t="s">
        <v>1445</v>
      </c>
      <c r="C296" s="5">
        <f ca="1">[1]!thsiFinD("ths_int_chg_ratio_index",$A296,C$1,C$2)/100</f>
        <v>-0.10445462107359998</v>
      </c>
      <c r="D296" s="5">
        <f ca="1">[1]!thsiFinD("ths_int_chg_ratio_index",$A296,D$1,D$2)/100</f>
        <v>-1.2209211678306998E-2</v>
      </c>
      <c r="E296" s="5">
        <f ca="1">[1]!thsiFinD("ths_int_chg_ratio_index",$A296,E$1,E$2)/100</f>
        <v>-8.8729768554290003E-2</v>
      </c>
      <c r="F296" s="2" t="s">
        <v>134</v>
      </c>
      <c r="G296" s="2" t="s">
        <v>135</v>
      </c>
      <c r="H296" s="2">
        <v>1136.8</v>
      </c>
      <c r="I296" s="2" t="s">
        <v>1446</v>
      </c>
      <c r="J296" s="2" t="s">
        <v>1447</v>
      </c>
      <c r="K296" s="2">
        <v>725</v>
      </c>
      <c r="L296" s="2" t="s">
        <v>1448</v>
      </c>
      <c r="M296" s="2" t="s">
        <v>1449</v>
      </c>
      <c r="N296" s="2">
        <v>460.4</v>
      </c>
      <c r="O296" s="2" t="s">
        <v>976</v>
      </c>
      <c r="P296" s="2" t="s">
        <v>977</v>
      </c>
      <c r="Q296" s="2">
        <v>393</v>
      </c>
      <c r="R296" s="2" t="s">
        <v>1450</v>
      </c>
      <c r="S296" s="2" t="s">
        <v>1451</v>
      </c>
      <c r="T296" s="2">
        <v>364.8</v>
      </c>
    </row>
    <row r="297" spans="1:20" x14ac:dyDescent="0.25">
      <c r="A297" s="2" t="s">
        <v>1452</v>
      </c>
      <c r="B297" s="2" t="s">
        <v>1453</v>
      </c>
      <c r="C297" s="5">
        <f ca="1">[1]!thsiFinD("ths_int_chg_ratio_index",$A297,C$1,C$2)/100</f>
        <v>-9.8281896765873997E-2</v>
      </c>
      <c r="D297" s="5">
        <f ca="1">[1]!thsiFinD("ths_int_chg_ratio_index",$A297,D$1,D$2)/100</f>
        <v>9.752579381823499E-3</v>
      </c>
      <c r="E297" s="5">
        <f ca="1">[1]!thsiFinD("ths_int_chg_ratio_index",$A297,E$1,E$2)/100</f>
        <v>-7.9154208151503008E-2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1:20" x14ac:dyDescent="0.25">
      <c r="A298" s="2" t="s">
        <v>1454</v>
      </c>
      <c r="B298" s="2" t="s">
        <v>1455</v>
      </c>
      <c r="C298" s="5">
        <f ca="1">[1]!thsiFinD("ths_int_chg_ratio_index",$A298,C$1,C$2)/100</f>
        <v>-0.1043377187454</v>
      </c>
      <c r="D298" s="5">
        <f ca="1">[1]!thsiFinD("ths_int_chg_ratio_index",$A298,D$1,D$2)/100</f>
        <v>-5.2906943194762999E-3</v>
      </c>
      <c r="E298" s="5">
        <f ca="1">[1]!thsiFinD("ths_int_chg_ratio_index",$A298,E$1,E$2)/100</f>
        <v>-9.0018329789574011E-2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 x14ac:dyDescent="0.25">
      <c r="A299" s="2" t="s">
        <v>1456</v>
      </c>
      <c r="B299" s="2" t="s">
        <v>1457</v>
      </c>
      <c r="C299" s="5">
        <f ca="1">[1]!thsiFinD("ths_int_chg_ratio_index",$A299,C$1,C$2)/100</f>
        <v>-0.11213214653745</v>
      </c>
      <c r="D299" s="5">
        <f ca="1">[1]!thsiFinD("ths_int_chg_ratio_index",$A299,D$1,D$2)/100</f>
        <v>-9.9101962553741988E-3</v>
      </c>
      <c r="E299" s="5">
        <f ca="1">[1]!thsiFinD("ths_int_chg_ratio_index",$A299,E$1,E$2)/100</f>
        <v>-6.9773350596555997E-2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1:20" x14ac:dyDescent="0.25">
      <c r="A300" s="2" t="s">
        <v>1458</v>
      </c>
      <c r="B300" s="2" t="s">
        <v>1459</v>
      </c>
      <c r="C300" s="5">
        <f ca="1">[1]!thsiFinD("ths_int_chg_ratio_index",$A300,C$1,C$2)/100</f>
        <v>-0.10430262787132</v>
      </c>
      <c r="D300" s="5">
        <f ca="1">[1]!thsiFinD("ths_int_chg_ratio_index",$A300,D$1,D$2)/100</f>
        <v>5.3394562624522E-3</v>
      </c>
      <c r="E300" s="5">
        <f ca="1">[1]!thsiFinD("ths_int_chg_ratio_index",$A300,E$1,E$2)/100</f>
        <v>-8.2438957088532008E-2</v>
      </c>
      <c r="F300" s="2" t="s">
        <v>588</v>
      </c>
      <c r="G300" s="2" t="s">
        <v>589</v>
      </c>
      <c r="H300" s="2">
        <v>932.9</v>
      </c>
      <c r="I300" s="2" t="s">
        <v>862</v>
      </c>
      <c r="J300" s="2" t="s">
        <v>863</v>
      </c>
      <c r="K300" s="2">
        <v>530.4</v>
      </c>
      <c r="L300" s="2" t="s">
        <v>1014</v>
      </c>
      <c r="M300" s="2" t="s">
        <v>1015</v>
      </c>
      <c r="N300" s="2">
        <v>505.4</v>
      </c>
      <c r="O300" s="2" t="s">
        <v>1176</v>
      </c>
      <c r="P300" s="2" t="s">
        <v>1177</v>
      </c>
      <c r="Q300" s="2">
        <v>426.2</v>
      </c>
      <c r="R300" s="2" t="s">
        <v>1460</v>
      </c>
      <c r="S300" s="2" t="s">
        <v>1461</v>
      </c>
      <c r="T300" s="2">
        <v>350</v>
      </c>
    </row>
    <row r="301" spans="1:20" x14ac:dyDescent="0.25">
      <c r="A301" s="2" t="s">
        <v>1462</v>
      </c>
      <c r="B301" s="2" t="s">
        <v>1463</v>
      </c>
      <c r="C301" s="5">
        <f ca="1">[1]!thsiFinD("ths_int_chg_ratio_index",$A301,C$1,C$2)/100</f>
        <v>-9.8516295543636001E-2</v>
      </c>
      <c r="D301" s="5">
        <f ca="1">[1]!thsiFinD("ths_int_chg_ratio_index",$A301,D$1,D$2)/100</f>
        <v>-3.0044010991617E-3</v>
      </c>
      <c r="E301" s="5">
        <f ca="1">[1]!thsiFinD("ths_int_chg_ratio_index",$A301,E$1,E$2)/100</f>
        <v>-7.5950695696638995E-2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1:20" x14ac:dyDescent="0.25">
      <c r="A302" s="2" t="s">
        <v>1464</v>
      </c>
      <c r="B302" s="2" t="s">
        <v>1465</v>
      </c>
      <c r="C302" s="5">
        <f ca="1">[1]!thsiFinD("ths_int_chg_ratio_index",$A302,C$1,C$2)/100</f>
        <v>-0.11142982145666</v>
      </c>
      <c r="D302" s="5">
        <f ca="1">[1]!thsiFinD("ths_int_chg_ratio_index",$A302,D$1,D$2)/100</f>
        <v>-1.6300971146773001E-2</v>
      </c>
      <c r="E302" s="5">
        <f ca="1">[1]!thsiFinD("ths_int_chg_ratio_index",$A302,E$1,E$2)/100</f>
        <v>-9.1138478866062994E-2</v>
      </c>
      <c r="F302" s="2" t="s">
        <v>64</v>
      </c>
      <c r="G302" s="2" t="s">
        <v>65</v>
      </c>
      <c r="H302" s="2">
        <v>3192.6</v>
      </c>
      <c r="I302" s="2" t="s">
        <v>50</v>
      </c>
      <c r="J302" s="2" t="s">
        <v>51</v>
      </c>
      <c r="K302" s="2">
        <v>2922</v>
      </c>
      <c r="L302" s="2" t="s">
        <v>110</v>
      </c>
      <c r="M302" s="2" t="s">
        <v>111</v>
      </c>
      <c r="N302" s="2">
        <v>1784.4</v>
      </c>
      <c r="O302" s="2" t="s">
        <v>210</v>
      </c>
      <c r="P302" s="2" t="s">
        <v>211</v>
      </c>
      <c r="Q302" s="2">
        <v>1526.1</v>
      </c>
      <c r="R302" s="2" t="s">
        <v>728</v>
      </c>
      <c r="S302" s="2" t="s">
        <v>729</v>
      </c>
      <c r="T302" s="2">
        <v>1504.9</v>
      </c>
    </row>
    <row r="303" spans="1:20" x14ac:dyDescent="0.25">
      <c r="A303" s="2" t="s">
        <v>1466</v>
      </c>
      <c r="B303" s="2" t="s">
        <v>1467</v>
      </c>
      <c r="C303" s="5">
        <f ca="1">[1]!thsiFinD("ths_int_chg_ratio_index",$A303,C$1,C$2)/100</f>
        <v>-0.11496750661107001</v>
      </c>
      <c r="D303" s="5">
        <f ca="1">[1]!thsiFinD("ths_int_chg_ratio_index",$A303,D$1,D$2)/100</f>
        <v>-1.0213461128682998E-2</v>
      </c>
      <c r="E303" s="5">
        <f ca="1">[1]!thsiFinD("ths_int_chg_ratio_index",$A303,E$1,E$2)/100</f>
        <v>-6.8127849450662997E-2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 x14ac:dyDescent="0.25">
      <c r="A304" s="2" t="s">
        <v>1468</v>
      </c>
      <c r="B304" s="2" t="s">
        <v>1469</v>
      </c>
      <c r="C304" s="5">
        <f ca="1">[1]!thsiFinD("ths_int_chg_ratio_index",$A304,C$1,C$2)/100</f>
        <v>-9.0010543891000994E-2</v>
      </c>
      <c r="D304" s="5">
        <f ca="1">[1]!thsiFinD("ths_int_chg_ratio_index",$A304,D$1,D$2)/100</f>
        <v>2.8541928588554998E-2</v>
      </c>
      <c r="E304" s="5">
        <f ca="1">[1]!thsiFinD("ths_int_chg_ratio_index",$A304,E$1,E$2)/100</f>
        <v>-7.9701173046992993E-2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1:20" x14ac:dyDescent="0.25">
      <c r="A305" s="2" t="s">
        <v>1470</v>
      </c>
      <c r="B305" s="2" t="s">
        <v>1471</v>
      </c>
      <c r="C305" s="5">
        <f ca="1">[1]!thsiFinD("ths_int_chg_ratio_index",$A305,C$1,C$2)/100</f>
        <v>-0.11015168002531001</v>
      </c>
      <c r="D305" s="5">
        <f ca="1">[1]!thsiFinD("ths_int_chg_ratio_index",$A305,D$1,D$2)/100</f>
        <v>-1.2628811777077E-2</v>
      </c>
      <c r="E305" s="5">
        <f ca="1">[1]!thsiFinD("ths_int_chg_ratio_index",$A305,E$1,E$2)/100</f>
        <v>-8.7350261855551004E-2</v>
      </c>
      <c r="F305" s="2" t="s">
        <v>1472</v>
      </c>
      <c r="G305" s="2" t="s">
        <v>1473</v>
      </c>
      <c r="H305" s="2">
        <v>1526.9</v>
      </c>
      <c r="I305" s="2" t="s">
        <v>444</v>
      </c>
      <c r="J305" s="2" t="s">
        <v>445</v>
      </c>
      <c r="K305" s="2">
        <v>728.8</v>
      </c>
      <c r="L305" s="2" t="s">
        <v>1450</v>
      </c>
      <c r="M305" s="2" t="s">
        <v>1451</v>
      </c>
      <c r="N305" s="2">
        <v>364.8</v>
      </c>
      <c r="O305" s="2" t="s">
        <v>1460</v>
      </c>
      <c r="P305" s="2" t="s">
        <v>1461</v>
      </c>
      <c r="Q305" s="2">
        <v>350</v>
      </c>
      <c r="R305" s="2" t="s">
        <v>1474</v>
      </c>
      <c r="S305" s="2" t="s">
        <v>1475</v>
      </c>
      <c r="T305" s="2">
        <v>331</v>
      </c>
    </row>
    <row r="306" spans="1:20" x14ac:dyDescent="0.25">
      <c r="A306" s="2" t="s">
        <v>1476</v>
      </c>
      <c r="B306" s="2" t="s">
        <v>1477</v>
      </c>
      <c r="C306" s="5">
        <f ca="1">[1]!thsiFinD("ths_int_chg_ratio_index",$A306,C$1,C$2)/100</f>
        <v>-0.10495030221446999</v>
      </c>
      <c r="D306" s="5">
        <f ca="1">[1]!thsiFinD("ths_int_chg_ratio_index",$A306,D$1,D$2)/100</f>
        <v>3.1435964257739003E-3</v>
      </c>
      <c r="E306" s="5">
        <f ca="1">[1]!thsiFinD("ths_int_chg_ratio_index",$A306,E$1,E$2)/100</f>
        <v>-9.8532938166960002E-2</v>
      </c>
      <c r="F306" s="2" t="s">
        <v>588</v>
      </c>
      <c r="G306" s="2" t="s">
        <v>589</v>
      </c>
      <c r="H306" s="2">
        <v>932.9</v>
      </c>
      <c r="I306" s="2" t="s">
        <v>1010</v>
      </c>
      <c r="J306" s="2" t="s">
        <v>1011</v>
      </c>
      <c r="K306" s="2">
        <v>879.5</v>
      </c>
      <c r="L306" s="2" t="s">
        <v>1406</v>
      </c>
      <c r="M306" s="2" t="s">
        <v>1407</v>
      </c>
      <c r="N306" s="2">
        <v>827.4</v>
      </c>
      <c r="O306" s="2" t="s">
        <v>1416</v>
      </c>
      <c r="P306" s="2" t="s">
        <v>1417</v>
      </c>
      <c r="Q306" s="2">
        <v>657.9</v>
      </c>
      <c r="R306" s="2" t="s">
        <v>806</v>
      </c>
      <c r="S306" s="2" t="s">
        <v>807</v>
      </c>
      <c r="T306" s="2">
        <v>655.9</v>
      </c>
    </row>
    <row r="307" spans="1:20" x14ac:dyDescent="0.25">
      <c r="A307" s="2" t="s">
        <v>1478</v>
      </c>
      <c r="B307" s="2" t="s">
        <v>1479</v>
      </c>
      <c r="C307" s="5">
        <f ca="1">[1]!thsiFinD("ths_int_chg_ratio_index",$A307,C$1,C$2)/100</f>
        <v>-0.10720587882283</v>
      </c>
      <c r="D307" s="5">
        <f ca="1">[1]!thsiFinD("ths_int_chg_ratio_index",$A307,D$1,D$2)/100</f>
        <v>2.5933575255612001E-2</v>
      </c>
      <c r="E307" s="5">
        <f ca="1">[1]!thsiFinD("ths_int_chg_ratio_index",$A307,E$1,E$2)/100</f>
        <v>-7.6056564341038996E-2</v>
      </c>
      <c r="F307" s="2" t="s">
        <v>1480</v>
      </c>
      <c r="G307" s="2" t="s">
        <v>1481</v>
      </c>
      <c r="H307" s="2">
        <v>682.9</v>
      </c>
      <c r="I307" s="2" t="s">
        <v>1482</v>
      </c>
      <c r="J307" s="2" t="s">
        <v>1483</v>
      </c>
      <c r="K307" s="2">
        <v>184.2</v>
      </c>
      <c r="L307" s="2" t="s">
        <v>1484</v>
      </c>
      <c r="M307" s="2" t="s">
        <v>1485</v>
      </c>
      <c r="N307" s="2">
        <v>180.7</v>
      </c>
      <c r="O307" s="2" t="s">
        <v>1486</v>
      </c>
      <c r="P307" s="2" t="s">
        <v>1487</v>
      </c>
      <c r="Q307" s="2">
        <v>178.8</v>
      </c>
      <c r="R307" s="2" t="s">
        <v>1488</v>
      </c>
      <c r="S307" s="2" t="s">
        <v>1489</v>
      </c>
      <c r="T307" s="2">
        <v>158.1</v>
      </c>
    </row>
    <row r="308" spans="1:20" x14ac:dyDescent="0.25">
      <c r="A308" s="2" t="s">
        <v>1490</v>
      </c>
      <c r="B308" s="2" t="s">
        <v>1491</v>
      </c>
      <c r="C308" s="5">
        <f ca="1">[1]!thsiFinD("ths_int_chg_ratio_index",$A308,C$1,C$2)/100</f>
        <v>-0.11312217667508</v>
      </c>
      <c r="D308" s="5">
        <f ca="1">[1]!thsiFinD("ths_int_chg_ratio_index",$A308,D$1,D$2)/100</f>
        <v>-1.2267342747007E-2</v>
      </c>
      <c r="E308" s="5">
        <f ca="1">[1]!thsiFinD("ths_int_chg_ratio_index",$A308,E$1,E$2)/100</f>
        <v>-8.4905482332094995E-2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1:20" x14ac:dyDescent="0.25">
      <c r="A309" s="2" t="s">
        <v>1492</v>
      </c>
      <c r="B309" s="2" t="s">
        <v>1493</v>
      </c>
      <c r="C309" s="5">
        <f ca="1">[1]!thsiFinD("ths_int_chg_ratio_index",$A309,C$1,C$2)/100</f>
        <v>-0.11762150242421</v>
      </c>
      <c r="D309" s="5">
        <f ca="1">[1]!thsiFinD("ths_int_chg_ratio_index",$A309,D$1,D$2)/100</f>
        <v>-3.8750348009386003E-2</v>
      </c>
      <c r="E309" s="5">
        <f ca="1">[1]!thsiFinD("ths_int_chg_ratio_index",$A309,E$1,E$2)/100</f>
        <v>-9.2134350307740004E-2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 x14ac:dyDescent="0.25">
      <c r="A310" s="2" t="s">
        <v>1494</v>
      </c>
      <c r="B310" s="2" t="s">
        <v>1495</v>
      </c>
      <c r="C310" s="5">
        <f ca="1">[1]!thsiFinD("ths_int_chg_ratio_index",$A310,C$1,C$2)/100</f>
        <v>-0.10493390616619999</v>
      </c>
      <c r="D310" s="5">
        <f ca="1">[1]!thsiFinD("ths_int_chg_ratio_index",$A310,D$1,D$2)/100</f>
        <v>-1.0937637707029001E-3</v>
      </c>
      <c r="E310" s="5">
        <f ca="1">[1]!thsiFinD("ths_int_chg_ratio_index",$A310,E$1,E$2)/100</f>
        <v>-8.6250515150695012E-2</v>
      </c>
      <c r="F310" s="2" t="s">
        <v>276</v>
      </c>
      <c r="G310" s="2" t="s">
        <v>277</v>
      </c>
      <c r="H310" s="2">
        <v>1352.3</v>
      </c>
      <c r="I310" s="2" t="s">
        <v>1010</v>
      </c>
      <c r="J310" s="2" t="s">
        <v>1011</v>
      </c>
      <c r="K310" s="2">
        <v>879.5</v>
      </c>
      <c r="L310" s="2" t="s">
        <v>806</v>
      </c>
      <c r="M310" s="2" t="s">
        <v>807</v>
      </c>
      <c r="N310" s="2">
        <v>655.9</v>
      </c>
      <c r="O310" s="2" t="s">
        <v>1012</v>
      </c>
      <c r="P310" s="2" t="s">
        <v>1013</v>
      </c>
      <c r="Q310" s="2">
        <v>600.5</v>
      </c>
      <c r="R310" s="2" t="s">
        <v>1014</v>
      </c>
      <c r="S310" s="2" t="s">
        <v>1015</v>
      </c>
      <c r="T310" s="2">
        <v>505.4</v>
      </c>
    </row>
    <row r="311" spans="1:20" x14ac:dyDescent="0.25">
      <c r="A311" s="2" t="s">
        <v>1496</v>
      </c>
      <c r="B311" s="2" t="s">
        <v>1497</v>
      </c>
      <c r="C311" s="5">
        <f ca="1">[1]!thsiFinD("ths_int_chg_ratio_index",$A311,C$1,C$2)/100</f>
        <v>-0.11193233205332</v>
      </c>
      <c r="D311" s="5">
        <f ca="1">[1]!thsiFinD("ths_int_chg_ratio_index",$A311,D$1,D$2)/100</f>
        <v>-1.7506384089171999E-2</v>
      </c>
      <c r="E311" s="5">
        <f ca="1">[1]!thsiFinD("ths_int_chg_ratio_index",$A311,E$1,E$2)/100</f>
        <v>-0.10888303787676</v>
      </c>
      <c r="F311" s="2" t="s">
        <v>1446</v>
      </c>
      <c r="G311" s="2" t="s">
        <v>1447</v>
      </c>
      <c r="H311" s="2">
        <v>725</v>
      </c>
      <c r="I311" s="2" t="s">
        <v>806</v>
      </c>
      <c r="J311" s="2" t="s">
        <v>807</v>
      </c>
      <c r="K311" s="2">
        <v>655.9</v>
      </c>
      <c r="L311" s="2" t="s">
        <v>862</v>
      </c>
      <c r="M311" s="2" t="s">
        <v>863</v>
      </c>
      <c r="N311" s="2">
        <v>530.4</v>
      </c>
      <c r="O311" s="2" t="s">
        <v>1498</v>
      </c>
      <c r="P311" s="2" t="s">
        <v>1499</v>
      </c>
      <c r="Q311" s="2">
        <v>314.2</v>
      </c>
      <c r="R311" s="2" t="s">
        <v>864</v>
      </c>
      <c r="S311" s="2" t="s">
        <v>865</v>
      </c>
      <c r="T311" s="2">
        <v>312.10000000000002</v>
      </c>
    </row>
    <row r="312" spans="1:20" x14ac:dyDescent="0.25">
      <c r="A312" s="2" t="s">
        <v>1500</v>
      </c>
      <c r="B312" s="2" t="s">
        <v>1501</v>
      </c>
      <c r="C312" s="5">
        <f ca="1">[1]!thsiFinD("ths_int_chg_ratio_index",$A312,C$1,C$2)/100</f>
        <v>-0.11549122674899999</v>
      </c>
      <c r="D312" s="5">
        <f ca="1">[1]!thsiFinD("ths_int_chg_ratio_index",$A312,D$1,D$2)/100</f>
        <v>-4.4737177702070995E-2</v>
      </c>
      <c r="E312" s="5">
        <f ca="1">[1]!thsiFinD("ths_int_chg_ratio_index",$A312,E$1,E$2)/100</f>
        <v>-0.11708378711732999</v>
      </c>
      <c r="F312" s="2" t="s">
        <v>1502</v>
      </c>
      <c r="G312" s="2" t="s">
        <v>1503</v>
      </c>
      <c r="H312" s="2">
        <v>1190.5</v>
      </c>
      <c r="I312" s="2" t="s">
        <v>1504</v>
      </c>
      <c r="J312" s="2" t="s">
        <v>1505</v>
      </c>
      <c r="K312" s="2">
        <v>382.2</v>
      </c>
      <c r="L312" s="2" t="s">
        <v>1506</v>
      </c>
      <c r="M312" s="2" t="s">
        <v>1507</v>
      </c>
      <c r="N312" s="2">
        <v>257.2</v>
      </c>
      <c r="O312" s="2" t="s">
        <v>1508</v>
      </c>
      <c r="P312" s="2" t="s">
        <v>1509</v>
      </c>
      <c r="Q312" s="2">
        <v>214.5</v>
      </c>
      <c r="R312" s="2" t="s">
        <v>1510</v>
      </c>
      <c r="S312" s="2" t="s">
        <v>1511</v>
      </c>
      <c r="T312" s="2">
        <v>182.6</v>
      </c>
    </row>
    <row r="313" spans="1:20" x14ac:dyDescent="0.25">
      <c r="A313" s="2" t="s">
        <v>1512</v>
      </c>
      <c r="B313" s="2" t="s">
        <v>1513</v>
      </c>
      <c r="C313" s="5">
        <f ca="1">[1]!thsiFinD("ths_int_chg_ratio_index",$A313,C$1,C$2)/100</f>
        <v>-0.10947605730267</v>
      </c>
      <c r="D313" s="5">
        <f ca="1">[1]!thsiFinD("ths_int_chg_ratio_index",$A313,D$1,D$2)/100</f>
        <v>-1.2808137808138001E-3</v>
      </c>
      <c r="E313" s="5">
        <f ca="1">[1]!thsiFinD("ths_int_chg_ratio_index",$A313,E$1,E$2)/100</f>
        <v>-9.7045683399112986E-2</v>
      </c>
      <c r="F313" s="2" t="s">
        <v>862</v>
      </c>
      <c r="G313" s="2" t="s">
        <v>863</v>
      </c>
      <c r="H313" s="2">
        <v>530.4</v>
      </c>
      <c r="I313" s="2" t="s">
        <v>1514</v>
      </c>
      <c r="J313" s="2" t="s">
        <v>1515</v>
      </c>
      <c r="K313" s="2">
        <v>423.9</v>
      </c>
      <c r="L313" s="2" t="s">
        <v>1516</v>
      </c>
      <c r="M313" s="2" t="s">
        <v>1517</v>
      </c>
      <c r="N313" s="2">
        <v>315.5</v>
      </c>
      <c r="O313" s="2" t="s">
        <v>1340</v>
      </c>
      <c r="P313" s="2" t="s">
        <v>1341</v>
      </c>
      <c r="Q313" s="2">
        <v>303</v>
      </c>
      <c r="R313" s="2" t="s">
        <v>1518</v>
      </c>
      <c r="S313" s="2" t="s">
        <v>1519</v>
      </c>
      <c r="T313" s="2">
        <v>279.39999999999998</v>
      </c>
    </row>
    <row r="314" spans="1:20" x14ac:dyDescent="0.25">
      <c r="A314" s="2" t="s">
        <v>1520</v>
      </c>
      <c r="B314" s="2" t="s">
        <v>1521</v>
      </c>
      <c r="C314" s="5">
        <f ca="1">[1]!thsiFinD("ths_int_chg_ratio_index",$A314,C$1,C$2)/100</f>
        <v>-0.10013063750700001</v>
      </c>
      <c r="D314" s="5">
        <f ca="1">[1]!thsiFinD("ths_int_chg_ratio_index",$A314,D$1,D$2)/100</f>
        <v>1.5009313166184E-2</v>
      </c>
      <c r="E314" s="5">
        <f ca="1">[1]!thsiFinD("ths_int_chg_ratio_index",$A314,E$1,E$2)/100</f>
        <v>-4.5919251270721995E-2</v>
      </c>
      <c r="F314" s="2" t="s">
        <v>1184</v>
      </c>
      <c r="G314" s="2" t="s">
        <v>1185</v>
      </c>
      <c r="H314" s="2">
        <v>1216.3</v>
      </c>
      <c r="I314" s="2" t="s">
        <v>294</v>
      </c>
      <c r="J314" s="2" t="s">
        <v>295</v>
      </c>
      <c r="K314" s="2">
        <v>761</v>
      </c>
      <c r="L314" s="2" t="s">
        <v>696</v>
      </c>
      <c r="M314" s="2" t="s">
        <v>697</v>
      </c>
      <c r="N314" s="2">
        <v>682.9</v>
      </c>
      <c r="O314" s="2" t="s">
        <v>892</v>
      </c>
      <c r="P314" s="2" t="s">
        <v>893</v>
      </c>
      <c r="Q314" s="2">
        <v>289.8</v>
      </c>
      <c r="R314" s="2" t="s">
        <v>1522</v>
      </c>
      <c r="S314" s="2" t="s">
        <v>1523</v>
      </c>
      <c r="T314" s="2">
        <v>249.4</v>
      </c>
    </row>
    <row r="315" spans="1:20" x14ac:dyDescent="0.25">
      <c r="A315" s="2" t="s">
        <v>1524</v>
      </c>
      <c r="B315" s="2" t="s">
        <v>1525</v>
      </c>
      <c r="C315" s="5">
        <f ca="1">[1]!thsiFinD("ths_int_chg_ratio_index",$A315,C$1,C$2)/100</f>
        <v>-0.10952008924233</v>
      </c>
      <c r="D315" s="5">
        <f ca="1">[1]!thsiFinD("ths_int_chg_ratio_index",$A315,D$1,D$2)/100</f>
        <v>2.6721958972949E-2</v>
      </c>
      <c r="E315" s="5">
        <f ca="1">[1]!thsiFinD("ths_int_chg_ratio_index",$A315,E$1,E$2)/100</f>
        <v>-9.2410875223331995E-2</v>
      </c>
      <c r="F315" s="2" t="s">
        <v>188</v>
      </c>
      <c r="G315" s="2" t="s">
        <v>189</v>
      </c>
      <c r="H315" s="2">
        <v>1628.5</v>
      </c>
      <c r="I315" s="2" t="s">
        <v>694</v>
      </c>
      <c r="J315" s="2" t="s">
        <v>695</v>
      </c>
      <c r="K315" s="2">
        <v>980.1</v>
      </c>
      <c r="L315" s="2" t="s">
        <v>312</v>
      </c>
      <c r="M315" s="2" t="s">
        <v>313</v>
      </c>
      <c r="N315" s="2">
        <v>957.7</v>
      </c>
      <c r="O315" s="2" t="s">
        <v>1526</v>
      </c>
      <c r="P315" s="2" t="s">
        <v>1527</v>
      </c>
      <c r="Q315" s="2">
        <v>575.4</v>
      </c>
      <c r="R315" s="2" t="s">
        <v>1098</v>
      </c>
      <c r="S315" s="2" t="s">
        <v>1099</v>
      </c>
      <c r="T315" s="2">
        <v>421.3</v>
      </c>
    </row>
    <row r="316" spans="1:20" x14ac:dyDescent="0.25">
      <c r="A316" s="2" t="s">
        <v>1528</v>
      </c>
      <c r="B316" s="2" t="s">
        <v>1529</v>
      </c>
      <c r="C316" s="5">
        <f ca="1">[1]!thsiFinD("ths_int_chg_ratio_index",$A316,C$1,C$2)/100</f>
        <v>-0.10589789372192999</v>
      </c>
      <c r="D316" s="5">
        <f ca="1">[1]!thsiFinD("ths_int_chg_ratio_index",$A316,D$1,D$2)/100</f>
        <v>2.5525852022813E-2</v>
      </c>
      <c r="E316" s="5">
        <f ca="1">[1]!thsiFinD("ths_int_chg_ratio_index",$A316,E$1,E$2)/100</f>
        <v>-8.0943932274442007E-2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1:20" x14ac:dyDescent="0.25">
      <c r="A317" s="2" t="s">
        <v>1530</v>
      </c>
      <c r="B317" s="2" t="s">
        <v>1531</v>
      </c>
      <c r="C317" s="5">
        <f ca="1">[1]!thsiFinD("ths_int_chg_ratio_index",$A317,C$1,C$2)/100</f>
        <v>-0.11055857329387</v>
      </c>
      <c r="D317" s="5">
        <f ca="1">[1]!thsiFinD("ths_int_chg_ratio_index",$A317,D$1,D$2)/100</f>
        <v>-7.7394084665914995E-3</v>
      </c>
      <c r="E317" s="5">
        <f ca="1">[1]!thsiFinD("ths_int_chg_ratio_index",$A317,E$1,E$2)/100</f>
        <v>-9.8723532486121993E-2</v>
      </c>
      <c r="F317" s="2" t="s">
        <v>1532</v>
      </c>
      <c r="G317" s="2" t="s">
        <v>1533</v>
      </c>
      <c r="H317" s="2">
        <v>466.5</v>
      </c>
      <c r="I317" s="2" t="s">
        <v>1534</v>
      </c>
      <c r="J317" s="2" t="s">
        <v>1535</v>
      </c>
      <c r="K317" s="2">
        <v>360.9</v>
      </c>
      <c r="L317" s="2" t="s">
        <v>1536</v>
      </c>
      <c r="M317" s="2" t="s">
        <v>1537</v>
      </c>
      <c r="N317" s="2">
        <v>238</v>
      </c>
      <c r="O317" s="2" t="s">
        <v>516</v>
      </c>
      <c r="P317" s="2" t="s">
        <v>517</v>
      </c>
      <c r="Q317" s="2">
        <v>232.9</v>
      </c>
      <c r="R317" s="2" t="s">
        <v>1538</v>
      </c>
      <c r="S317" s="2" t="s">
        <v>1539</v>
      </c>
      <c r="T317" s="2">
        <v>206.8</v>
      </c>
    </row>
    <row r="318" spans="1:20" x14ac:dyDescent="0.25">
      <c r="A318" s="2" t="s">
        <v>1540</v>
      </c>
      <c r="B318" s="2" t="s">
        <v>1541</v>
      </c>
      <c r="C318" s="5">
        <f ca="1">[1]!thsiFinD("ths_int_chg_ratio_index",$A318,C$1,C$2)/100</f>
        <v>-0.10907093660449001</v>
      </c>
      <c r="D318" s="5">
        <f ca="1">[1]!thsiFinD("ths_int_chg_ratio_index",$A318,D$1,D$2)/100</f>
        <v>2.2378540600695999E-2</v>
      </c>
      <c r="E318" s="5">
        <f ca="1">[1]!thsiFinD("ths_int_chg_ratio_index",$A318,E$1,E$2)/100</f>
        <v>-6.0066924896984994E-2</v>
      </c>
      <c r="F318" s="2" t="s">
        <v>526</v>
      </c>
      <c r="G318" s="2" t="s">
        <v>527</v>
      </c>
      <c r="H318" s="2">
        <v>681.6</v>
      </c>
      <c r="I318" s="2" t="s">
        <v>1542</v>
      </c>
      <c r="J318" s="2" t="s">
        <v>1543</v>
      </c>
      <c r="K318" s="2">
        <v>607.5</v>
      </c>
      <c r="L318" s="2" t="s">
        <v>1544</v>
      </c>
      <c r="M318" s="2" t="s">
        <v>1545</v>
      </c>
      <c r="N318" s="2">
        <v>531.29999999999995</v>
      </c>
      <c r="O318" s="2" t="s">
        <v>528</v>
      </c>
      <c r="P318" s="2" t="s">
        <v>529</v>
      </c>
      <c r="Q318" s="2">
        <v>339</v>
      </c>
      <c r="R318" s="2" t="s">
        <v>1546</v>
      </c>
      <c r="S318" s="2" t="s">
        <v>1547</v>
      </c>
      <c r="T318" s="2">
        <v>313.39999999999998</v>
      </c>
    </row>
    <row r="319" spans="1:20" x14ac:dyDescent="0.25">
      <c r="A319" s="2" t="s">
        <v>1548</v>
      </c>
      <c r="B319" s="2" t="s">
        <v>1549</v>
      </c>
      <c r="C319" s="5">
        <f ca="1">[1]!thsiFinD("ths_int_chg_ratio_index",$A319,C$1,C$2)/100</f>
        <v>-9.5131835096873008E-2</v>
      </c>
      <c r="D319" s="5">
        <f ca="1">[1]!thsiFinD("ths_int_chg_ratio_index",$A319,D$1,D$2)/100</f>
        <v>3.1950002365458002E-3</v>
      </c>
      <c r="E319" s="5">
        <f ca="1">[1]!thsiFinD("ths_int_chg_ratio_index",$A319,E$1,E$2)/100</f>
        <v>-8.7524956097299988E-2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1:20" x14ac:dyDescent="0.25">
      <c r="A320" s="2" t="s">
        <v>1550</v>
      </c>
      <c r="B320" s="2" t="s">
        <v>1551</v>
      </c>
      <c r="C320" s="5">
        <f ca="1">[1]!thsiFinD("ths_int_chg_ratio_index",$A320,C$1,C$2)/100</f>
        <v>-0.11185081710453999</v>
      </c>
      <c r="D320" s="5">
        <f ca="1">[1]!thsiFinD("ths_int_chg_ratio_index",$A320,D$1,D$2)/100</f>
        <v>2.3486011923208001E-2</v>
      </c>
      <c r="E320" s="5">
        <f ca="1">[1]!thsiFinD("ths_int_chg_ratio_index",$A320,E$1,E$2)/100</f>
        <v>-9.0944401259031998E-2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spans="1:20" x14ac:dyDescent="0.25">
      <c r="A321" s="2" t="s">
        <v>1552</v>
      </c>
      <c r="B321" s="2" t="s">
        <v>1553</v>
      </c>
      <c r="C321" s="5">
        <f ca="1">[1]!thsiFinD("ths_int_chg_ratio_index",$A321,C$1,C$2)/100</f>
        <v>-0.11018535014436001</v>
      </c>
      <c r="D321" s="5">
        <f ca="1">[1]!thsiFinD("ths_int_chg_ratio_index",$A321,D$1,D$2)/100</f>
        <v>-1.3789511921969999E-2</v>
      </c>
      <c r="E321" s="5">
        <f ca="1">[1]!thsiFinD("ths_int_chg_ratio_index",$A321,E$1,E$2)/100</f>
        <v>-9.6517821696729011E-2</v>
      </c>
      <c r="F321" s="2" t="s">
        <v>1532</v>
      </c>
      <c r="G321" s="2" t="s">
        <v>1533</v>
      </c>
      <c r="H321" s="2">
        <v>466.5</v>
      </c>
      <c r="I321" s="2" t="s">
        <v>1150</v>
      </c>
      <c r="J321" s="2" t="s">
        <v>1151</v>
      </c>
      <c r="K321" s="2">
        <v>461.6</v>
      </c>
      <c r="L321" s="2" t="s">
        <v>1554</v>
      </c>
      <c r="M321" s="2" t="s">
        <v>1555</v>
      </c>
      <c r="N321" s="2">
        <v>390.4</v>
      </c>
      <c r="O321" s="2" t="s">
        <v>1534</v>
      </c>
      <c r="P321" s="2" t="s">
        <v>1535</v>
      </c>
      <c r="Q321" s="2">
        <v>360.9</v>
      </c>
      <c r="R321" s="2" t="s">
        <v>510</v>
      </c>
      <c r="S321" s="2" t="s">
        <v>511</v>
      </c>
      <c r="T321" s="2">
        <v>342</v>
      </c>
    </row>
    <row r="322" spans="1:20" x14ac:dyDescent="0.25">
      <c r="A322" s="2" t="s">
        <v>1556</v>
      </c>
      <c r="B322" s="2" t="s">
        <v>1557</v>
      </c>
      <c r="C322" s="5">
        <f ca="1">[1]!thsiFinD("ths_int_chg_ratio_index",$A322,C$1,C$2)/100</f>
        <v>-0.10338444439557</v>
      </c>
      <c r="D322" s="5">
        <f ca="1">[1]!thsiFinD("ths_int_chg_ratio_index",$A322,D$1,D$2)/100</f>
        <v>2.3437401943888003E-2</v>
      </c>
      <c r="E322" s="5">
        <f ca="1">[1]!thsiFinD("ths_int_chg_ratio_index",$A322,E$1,E$2)/100</f>
        <v>-9.5498588042453994E-2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1:20" x14ac:dyDescent="0.25">
      <c r="A323" s="2" t="s">
        <v>1558</v>
      </c>
      <c r="B323" s="2" t="s">
        <v>1559</v>
      </c>
      <c r="C323" s="5">
        <f ca="1">[1]!thsiFinD("ths_int_chg_ratio_index",$A323,C$1,C$2)/100</f>
        <v>-0.11621850278877</v>
      </c>
      <c r="D323" s="5">
        <f ca="1">[1]!thsiFinD("ths_int_chg_ratio_index",$A323,D$1,D$2)/100</f>
        <v>1.7466209817901E-2</v>
      </c>
      <c r="E323" s="5">
        <f ca="1">[1]!thsiFinD("ths_int_chg_ratio_index",$A323,E$1,E$2)/100</f>
        <v>-9.088903007856701E-2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1:20" x14ac:dyDescent="0.25">
      <c r="A324" s="2" t="s">
        <v>1560</v>
      </c>
      <c r="B324" s="2" t="s">
        <v>1561</v>
      </c>
      <c r="C324" s="5">
        <f ca="1">[1]!thsiFinD("ths_int_chg_ratio_index",$A324,C$1,C$2)/100</f>
        <v>-0.11472623858184</v>
      </c>
      <c r="D324" s="5">
        <f ca="1">[1]!thsiFinD("ths_int_chg_ratio_index",$A324,D$1,D$2)/100</f>
        <v>3.1191211269083002E-2</v>
      </c>
      <c r="E324" s="5">
        <f ca="1">[1]!thsiFinD("ths_int_chg_ratio_index",$A324,E$1,E$2)/100</f>
        <v>-8.0722445680227004E-2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1:20" x14ac:dyDescent="0.25">
      <c r="A325" s="2" t="s">
        <v>1562</v>
      </c>
      <c r="B325" s="2" t="s">
        <v>1563</v>
      </c>
      <c r="C325" s="5">
        <f ca="1">[1]!thsiFinD("ths_int_chg_ratio_index",$A325,C$1,C$2)/100</f>
        <v>-0.12568743386494</v>
      </c>
      <c r="D325" s="5">
        <f ca="1">[1]!thsiFinD("ths_int_chg_ratio_index",$A325,D$1,D$2)/100</f>
        <v>1.3433203012688999E-2</v>
      </c>
      <c r="E325" s="5">
        <f ca="1">[1]!thsiFinD("ths_int_chg_ratio_index",$A325,E$1,E$2)/100</f>
        <v>-7.7029021735256997E-2</v>
      </c>
      <c r="F325" s="2" t="s">
        <v>260</v>
      </c>
      <c r="G325" s="2" t="s">
        <v>261</v>
      </c>
      <c r="H325" s="2">
        <v>1408.2</v>
      </c>
      <c r="I325" s="2" t="s">
        <v>308</v>
      </c>
      <c r="J325" s="2" t="s">
        <v>309</v>
      </c>
      <c r="K325" s="2">
        <v>1097.9000000000001</v>
      </c>
      <c r="L325" s="2" t="s">
        <v>1564</v>
      </c>
      <c r="M325" s="2" t="s">
        <v>1565</v>
      </c>
      <c r="N325" s="2">
        <v>515.79999999999995</v>
      </c>
      <c r="O325" s="2" t="s">
        <v>1566</v>
      </c>
      <c r="P325" s="2" t="s">
        <v>1567</v>
      </c>
      <c r="Q325" s="2">
        <v>420.5</v>
      </c>
      <c r="R325" s="2" t="s">
        <v>368</v>
      </c>
      <c r="S325" s="2" t="s">
        <v>369</v>
      </c>
      <c r="T325" s="2">
        <v>408.3</v>
      </c>
    </row>
    <row r="326" spans="1:20" x14ac:dyDescent="0.25">
      <c r="A326" s="2" t="s">
        <v>1568</v>
      </c>
      <c r="B326" s="2" t="s">
        <v>1569</v>
      </c>
      <c r="C326" s="5">
        <f ca="1">[1]!thsiFinD("ths_int_chg_ratio_index",$A326,C$1,C$2)/100</f>
        <v>-0.11924579181581001</v>
      </c>
      <c r="D326" s="5">
        <f ca="1">[1]!thsiFinD("ths_int_chg_ratio_index",$A326,D$1,D$2)/100</f>
        <v>1.2004157235771999E-2</v>
      </c>
      <c r="E326" s="5">
        <f ca="1">[1]!thsiFinD("ths_int_chg_ratio_index",$A326,E$1,E$2)/100</f>
        <v>-9.3852153341904998E-2</v>
      </c>
      <c r="F326" s="2" t="s">
        <v>1570</v>
      </c>
      <c r="G326" s="2" t="s">
        <v>1571</v>
      </c>
      <c r="H326" s="2">
        <v>279.89999999999998</v>
      </c>
      <c r="I326" s="2" t="s">
        <v>1572</v>
      </c>
      <c r="J326" s="2" t="s">
        <v>1573</v>
      </c>
      <c r="K326" s="2">
        <v>263.7</v>
      </c>
      <c r="L326" s="2" t="s">
        <v>1384</v>
      </c>
      <c r="M326" s="2" t="s">
        <v>1385</v>
      </c>
      <c r="N326" s="2">
        <v>246.2</v>
      </c>
      <c r="O326" s="2" t="s">
        <v>1574</v>
      </c>
      <c r="P326" s="2" t="s">
        <v>1575</v>
      </c>
      <c r="Q326" s="2">
        <v>231</v>
      </c>
      <c r="R326" s="2" t="s">
        <v>1576</v>
      </c>
      <c r="S326" s="2" t="s">
        <v>1577</v>
      </c>
      <c r="T326" s="2">
        <v>178</v>
      </c>
    </row>
    <row r="327" spans="1:20" x14ac:dyDescent="0.25">
      <c r="A327" s="2" t="s">
        <v>1578</v>
      </c>
      <c r="B327" s="2" t="s">
        <v>1579</v>
      </c>
      <c r="C327" s="5">
        <f ca="1">[1]!thsiFinD("ths_int_chg_ratio_index",$A327,C$1,C$2)/100</f>
        <v>-0.12383841002683001</v>
      </c>
      <c r="D327" s="5">
        <f ca="1">[1]!thsiFinD("ths_int_chg_ratio_index",$A327,D$1,D$2)/100</f>
        <v>1.3067010520955999E-2</v>
      </c>
      <c r="E327" s="5">
        <f ca="1">[1]!thsiFinD("ths_int_chg_ratio_index",$A327,E$1,E$2)/100</f>
        <v>-5.2424767951694998E-2</v>
      </c>
      <c r="F327" s="2" t="s">
        <v>1460</v>
      </c>
      <c r="G327" s="2" t="s">
        <v>1461</v>
      </c>
      <c r="H327" s="2">
        <v>350</v>
      </c>
      <c r="I327" s="2" t="s">
        <v>1580</v>
      </c>
      <c r="J327" s="2" t="s">
        <v>1581</v>
      </c>
      <c r="K327" s="2">
        <v>101.6</v>
      </c>
      <c r="L327" s="2" t="s">
        <v>1582</v>
      </c>
      <c r="M327" s="2" t="s">
        <v>1583</v>
      </c>
      <c r="N327" s="2">
        <v>100.2</v>
      </c>
      <c r="O327" s="2" t="s">
        <v>1584</v>
      </c>
      <c r="P327" s="2" t="s">
        <v>1585</v>
      </c>
      <c r="Q327" s="2">
        <v>92.6</v>
      </c>
      <c r="R327" s="2" t="s">
        <v>1586</v>
      </c>
      <c r="S327" s="2" t="s">
        <v>1587</v>
      </c>
      <c r="T327" s="2">
        <v>79.7</v>
      </c>
    </row>
    <row r="328" spans="1:20" x14ac:dyDescent="0.25">
      <c r="A328" s="2" t="s">
        <v>1588</v>
      </c>
      <c r="B328" s="2" t="s">
        <v>1589</v>
      </c>
      <c r="C328" s="5">
        <f ca="1">[1]!thsiFinD("ths_int_chg_ratio_index",$A328,C$1,C$2)/100</f>
        <v>-0.10399080713558</v>
      </c>
      <c r="D328" s="5">
        <f ca="1">[1]!thsiFinD("ths_int_chg_ratio_index",$A328,D$1,D$2)/100</f>
        <v>-5.1133001698006999E-3</v>
      </c>
      <c r="E328" s="5">
        <f ca="1">[1]!thsiFinD("ths_int_chg_ratio_index",$A328,E$1,E$2)/100</f>
        <v>-0.10310184734712999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spans="1:20" x14ac:dyDescent="0.25">
      <c r="A329" s="2" t="s">
        <v>1590</v>
      </c>
      <c r="B329" s="2" t="s">
        <v>1591</v>
      </c>
      <c r="C329" s="5">
        <f ca="1">[1]!thsiFinD("ths_int_chg_ratio_index",$A329,C$1,C$2)/100</f>
        <v>-0.12728167829545001</v>
      </c>
      <c r="D329" s="5">
        <f ca="1">[1]!thsiFinD("ths_int_chg_ratio_index",$A329,D$1,D$2)/100</f>
        <v>-2.1192926871953999E-2</v>
      </c>
      <c r="E329" s="5">
        <f ca="1">[1]!thsiFinD("ths_int_chg_ratio_index",$A329,E$1,E$2)/100</f>
        <v>-9.4272141697129996E-2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1:20" x14ac:dyDescent="0.25">
      <c r="A330" s="2" t="s">
        <v>1592</v>
      </c>
      <c r="B330" s="2" t="s">
        <v>1593</v>
      </c>
      <c r="C330" s="5">
        <f ca="1">[1]!thsiFinD("ths_int_chg_ratio_index",$A330,C$1,C$2)/100</f>
        <v>-0.13425253254804001</v>
      </c>
      <c r="D330" s="5">
        <f ca="1">[1]!thsiFinD("ths_int_chg_ratio_index",$A330,D$1,D$2)/100</f>
        <v>-2.4478916512286002E-2</v>
      </c>
      <c r="E330" s="5">
        <f ca="1">[1]!thsiFinD("ths_int_chg_ratio_index",$A330,E$1,E$2)/100</f>
        <v>-7.3192836260884006E-2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1:20" x14ac:dyDescent="0.25">
      <c r="A331" s="2" t="s">
        <v>1594</v>
      </c>
      <c r="B331" s="2" t="s">
        <v>1595</v>
      </c>
      <c r="C331" s="5">
        <f ca="1">[1]!thsiFinD("ths_int_chg_ratio_index",$A331,C$1,C$2)/100</f>
        <v>-0.12899450669928</v>
      </c>
      <c r="D331" s="5">
        <f ca="1">[1]!thsiFinD("ths_int_chg_ratio_index",$A331,D$1,D$2)/100</f>
        <v>-2.4901540581261997E-2</v>
      </c>
      <c r="E331" s="5">
        <f ca="1">[1]!thsiFinD("ths_int_chg_ratio_index",$A331,E$1,E$2)/100</f>
        <v>-9.8579617673324987E-2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1:20" x14ac:dyDescent="0.25">
      <c r="A332" s="2" t="s">
        <v>1596</v>
      </c>
      <c r="B332" s="2" t="s">
        <v>1597</v>
      </c>
      <c r="C332" s="5">
        <f ca="1">[1]!thsiFinD("ths_int_chg_ratio_index",$A332,C$1,C$2)/100</f>
        <v>-0.1340411425926</v>
      </c>
      <c r="D332" s="5">
        <f ca="1">[1]!thsiFinD("ths_int_chg_ratio_index",$A332,D$1,D$2)/100</f>
        <v>-1.6878914710635001E-2</v>
      </c>
      <c r="E332" s="5">
        <f ca="1">[1]!thsiFinD("ths_int_chg_ratio_index",$A332,E$1,E$2)/100</f>
        <v>-8.6778197159553996E-2</v>
      </c>
      <c r="F332" s="2" t="s">
        <v>1412</v>
      </c>
      <c r="G332" s="2" t="s">
        <v>1413</v>
      </c>
      <c r="H332" s="2">
        <v>858.6</v>
      </c>
      <c r="I332" s="2" t="s">
        <v>1598</v>
      </c>
      <c r="J332" s="2" t="s">
        <v>1599</v>
      </c>
      <c r="K332" s="2">
        <v>235.8</v>
      </c>
      <c r="L332" s="2" t="s">
        <v>1600</v>
      </c>
      <c r="M332" s="2" t="s">
        <v>1601</v>
      </c>
      <c r="N332" s="2">
        <v>210.5</v>
      </c>
      <c r="O332" s="2" t="s">
        <v>1602</v>
      </c>
      <c r="P332" s="2" t="s">
        <v>1603</v>
      </c>
      <c r="Q332" s="2">
        <v>171.1</v>
      </c>
      <c r="R332" s="2" t="s">
        <v>1604</v>
      </c>
      <c r="S332" s="2" t="s">
        <v>1605</v>
      </c>
      <c r="T332" s="2">
        <v>163.9</v>
      </c>
    </row>
    <row r="333" spans="1:20" x14ac:dyDescent="0.25">
      <c r="A333" s="2" t="s">
        <v>1606</v>
      </c>
      <c r="B333" s="2" t="s">
        <v>1607</v>
      </c>
      <c r="C333" s="5">
        <f ca="1">[1]!thsiFinD("ths_int_chg_ratio_index",$A333,C$1,C$2)/100</f>
        <v>-0.11554935875012999</v>
      </c>
      <c r="D333" s="5">
        <f ca="1">[1]!thsiFinD("ths_int_chg_ratio_index",$A333,D$1,D$2)/100</f>
        <v>9.3863641392947009E-4</v>
      </c>
      <c r="E333" s="5">
        <f ca="1">[1]!thsiFinD("ths_int_chg_ratio_index",$A333,E$1,E$2)/100</f>
        <v>-9.6717272015213004E-2</v>
      </c>
      <c r="F333" s="2" t="s">
        <v>684</v>
      </c>
      <c r="G333" s="2" t="s">
        <v>685</v>
      </c>
      <c r="H333" s="2">
        <v>3088.7</v>
      </c>
      <c r="I333" s="2" t="s">
        <v>588</v>
      </c>
      <c r="J333" s="2" t="s">
        <v>589</v>
      </c>
      <c r="K333" s="2">
        <v>932.9</v>
      </c>
      <c r="L333" s="2" t="s">
        <v>1416</v>
      </c>
      <c r="M333" s="2" t="s">
        <v>1417</v>
      </c>
      <c r="N333" s="2">
        <v>657.9</v>
      </c>
      <c r="O333" s="2" t="s">
        <v>1608</v>
      </c>
      <c r="P333" s="2" t="s">
        <v>1609</v>
      </c>
      <c r="Q333" s="2">
        <v>318.2</v>
      </c>
      <c r="R333" s="2" t="s">
        <v>1282</v>
      </c>
      <c r="S333" s="2" t="s">
        <v>1283</v>
      </c>
      <c r="T333" s="2">
        <v>274.60000000000002</v>
      </c>
    </row>
    <row r="334" spans="1:20" x14ac:dyDescent="0.25">
      <c r="A334" s="2" t="s">
        <v>1610</v>
      </c>
      <c r="B334" s="2" t="s">
        <v>1611</v>
      </c>
      <c r="C334" s="5">
        <f ca="1">[1]!thsiFinD("ths_int_chg_ratio_index",$A334,C$1,C$2)/100</f>
        <v>-0.13203609740205999</v>
      </c>
      <c r="D334" s="5">
        <f ca="1">[1]!thsiFinD("ths_int_chg_ratio_index",$A334,D$1,D$2)/100</f>
        <v>-2.9223765553568998E-2</v>
      </c>
      <c r="E334" s="5">
        <f ca="1">[1]!thsiFinD("ths_int_chg_ratio_index",$A334,E$1,E$2)/100</f>
        <v>-9.3903004778879987E-2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1:20" x14ac:dyDescent="0.25">
      <c r="A335" s="2" t="s">
        <v>1612</v>
      </c>
      <c r="B335" s="2" t="s">
        <v>1613</v>
      </c>
      <c r="C335" s="5">
        <f ca="1">[1]!thsiFinD("ths_int_chg_ratio_index",$A335,C$1,C$2)/100</f>
        <v>-0.12392442444851999</v>
      </c>
      <c r="D335" s="5">
        <f ca="1">[1]!thsiFinD("ths_int_chg_ratio_index",$A335,D$1,D$2)/100</f>
        <v>-1.7732237603729998E-2</v>
      </c>
      <c r="E335" s="5">
        <f ca="1">[1]!thsiFinD("ths_int_chg_ratio_index",$A335,E$1,E$2)/100</f>
        <v>-8.1930878146623004E-2</v>
      </c>
      <c r="F335" s="2" t="s">
        <v>684</v>
      </c>
      <c r="G335" s="2" t="s">
        <v>685</v>
      </c>
      <c r="H335" s="2">
        <v>3088.7</v>
      </c>
      <c r="I335" s="2" t="s">
        <v>1412</v>
      </c>
      <c r="J335" s="2" t="s">
        <v>1413</v>
      </c>
      <c r="K335" s="2">
        <v>858.6</v>
      </c>
      <c r="L335" s="2" t="s">
        <v>1418</v>
      </c>
      <c r="M335" s="2" t="s">
        <v>1419</v>
      </c>
      <c r="N335" s="2">
        <v>496.8</v>
      </c>
      <c r="O335" s="2" t="s">
        <v>1532</v>
      </c>
      <c r="P335" s="2" t="s">
        <v>1533</v>
      </c>
      <c r="Q335" s="2">
        <v>466.5</v>
      </c>
      <c r="R335" s="2" t="s">
        <v>1614</v>
      </c>
      <c r="S335" s="2" t="s">
        <v>1615</v>
      </c>
      <c r="T335" s="2">
        <v>443.8</v>
      </c>
    </row>
    <row r="336" spans="1:20" x14ac:dyDescent="0.25">
      <c r="A336" s="2" t="s">
        <v>1616</v>
      </c>
      <c r="B336" s="2" t="s">
        <v>1617</v>
      </c>
      <c r="C336" s="5">
        <f ca="1">[1]!thsiFinD("ths_int_chg_ratio_index",$A336,C$1,C$2)/100</f>
        <v>-0.13727330631119</v>
      </c>
      <c r="D336" s="5">
        <f ca="1">[1]!thsiFinD("ths_int_chg_ratio_index",$A336,D$1,D$2)/100</f>
        <v>-3.6919061080833003E-2</v>
      </c>
      <c r="E336" s="5">
        <f ca="1">[1]!thsiFinD("ths_int_chg_ratio_index",$A336,E$1,E$2)/100</f>
        <v>-0.10150122770596001</v>
      </c>
      <c r="F336" s="2" t="s">
        <v>1472</v>
      </c>
      <c r="G336" s="2" t="s">
        <v>1473</v>
      </c>
      <c r="H336" s="2">
        <v>1526.9</v>
      </c>
      <c r="I336" s="2" t="s">
        <v>1618</v>
      </c>
      <c r="J336" s="2" t="s">
        <v>1619</v>
      </c>
      <c r="K336" s="2">
        <v>677.4</v>
      </c>
      <c r="L336" s="2" t="s">
        <v>1262</v>
      </c>
      <c r="M336" s="2" t="s">
        <v>1263</v>
      </c>
      <c r="N336" s="2">
        <v>245</v>
      </c>
      <c r="O336" s="2" t="s">
        <v>466</v>
      </c>
      <c r="P336" s="2" t="s">
        <v>467</v>
      </c>
      <c r="Q336" s="2">
        <v>239.7</v>
      </c>
      <c r="R336" s="2" t="s">
        <v>1620</v>
      </c>
      <c r="S336" s="2" t="s">
        <v>1621</v>
      </c>
      <c r="T336" s="2">
        <v>138.80000000000001</v>
      </c>
    </row>
    <row r="337" spans="1:20" x14ac:dyDescent="0.25">
      <c r="A337" s="2" t="s">
        <v>1622</v>
      </c>
      <c r="B337" s="2" t="s">
        <v>1623</v>
      </c>
      <c r="C337" s="5">
        <f ca="1">[1]!thsiFinD("ths_int_chg_ratio_index",$A337,C$1,C$2)/100</f>
        <v>-0.12596073346757</v>
      </c>
      <c r="D337" s="5">
        <f ca="1">[1]!thsiFinD("ths_int_chg_ratio_index",$A337,D$1,D$2)/100</f>
        <v>-5.1068504611558995E-3</v>
      </c>
      <c r="E337" s="5">
        <f ca="1">[1]!thsiFinD("ths_int_chg_ratio_index",$A337,E$1,E$2)/100</f>
        <v>-9.1736439427636998E-2</v>
      </c>
      <c r="F337" s="2" t="s">
        <v>50</v>
      </c>
      <c r="G337" s="2" t="s">
        <v>51</v>
      </c>
      <c r="H337" s="2">
        <v>2922</v>
      </c>
      <c r="I337" s="2" t="s">
        <v>1416</v>
      </c>
      <c r="J337" s="2" t="s">
        <v>1417</v>
      </c>
      <c r="K337" s="2">
        <v>657.9</v>
      </c>
      <c r="L337" s="2" t="s">
        <v>1624</v>
      </c>
      <c r="M337" s="2" t="s">
        <v>1625</v>
      </c>
      <c r="N337" s="2">
        <v>610</v>
      </c>
      <c r="O337" s="2" t="s">
        <v>732</v>
      </c>
      <c r="P337" s="2" t="s">
        <v>733</v>
      </c>
      <c r="Q337" s="2">
        <v>389</v>
      </c>
      <c r="R337" s="2" t="s">
        <v>510</v>
      </c>
      <c r="S337" s="2" t="s">
        <v>511</v>
      </c>
      <c r="T337" s="2">
        <v>342</v>
      </c>
    </row>
    <row r="338" spans="1:20" x14ac:dyDescent="0.25">
      <c r="A338" s="2" t="s">
        <v>1626</v>
      </c>
      <c r="B338" s="2" t="s">
        <v>1627</v>
      </c>
      <c r="C338" s="5">
        <f ca="1">[1]!thsiFinD("ths_int_chg_ratio_index",$A338,C$1,C$2)/100</f>
        <v>-0.11777271236244999</v>
      </c>
      <c r="D338" s="5">
        <f ca="1">[1]!thsiFinD("ths_int_chg_ratio_index",$A338,D$1,D$2)/100</f>
        <v>2.9908716231444997E-2</v>
      </c>
      <c r="E338" s="5">
        <f ca="1">[1]!thsiFinD("ths_int_chg_ratio_index",$A338,E$1,E$2)/100</f>
        <v>-8.830685099959E-2</v>
      </c>
      <c r="F338" s="2" t="s">
        <v>634</v>
      </c>
      <c r="G338" s="2" t="s">
        <v>635</v>
      </c>
      <c r="H338" s="2">
        <v>1297.0999999999999</v>
      </c>
      <c r="I338" s="2" t="s">
        <v>862</v>
      </c>
      <c r="J338" s="2" t="s">
        <v>863</v>
      </c>
      <c r="K338" s="2">
        <v>530.4</v>
      </c>
      <c r="L338" s="2" t="s">
        <v>1014</v>
      </c>
      <c r="M338" s="2" t="s">
        <v>1015</v>
      </c>
      <c r="N338" s="2">
        <v>505.4</v>
      </c>
      <c r="O338" s="2" t="s">
        <v>1628</v>
      </c>
      <c r="P338" s="2" t="s">
        <v>1629</v>
      </c>
      <c r="Q338" s="2">
        <v>318.5</v>
      </c>
      <c r="R338" s="2" t="s">
        <v>1572</v>
      </c>
      <c r="S338" s="2" t="s">
        <v>1573</v>
      </c>
      <c r="T338" s="2">
        <v>263.7</v>
      </c>
    </row>
    <row r="339" spans="1:20" x14ac:dyDescent="0.25">
      <c r="A339" s="2" t="s">
        <v>1630</v>
      </c>
      <c r="B339" s="2" t="s">
        <v>1631</v>
      </c>
      <c r="C339" s="5">
        <f ca="1">[1]!thsiFinD("ths_int_chg_ratio_index",$A339,C$1,C$2)/100</f>
        <v>-0.13594871235319</v>
      </c>
      <c r="D339" s="5">
        <f ca="1">[1]!thsiFinD("ths_int_chg_ratio_index",$A339,D$1,D$2)/100</f>
        <v>-4.0153962205760001E-2</v>
      </c>
      <c r="E339" s="5">
        <f ca="1">[1]!thsiFinD("ths_int_chg_ratio_index",$A339,E$1,E$2)/100</f>
        <v>-9.5831990451095E-2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 x14ac:dyDescent="0.25">
      <c r="A340" s="2" t="s">
        <v>1632</v>
      </c>
      <c r="B340" s="2" t="s">
        <v>1633</v>
      </c>
      <c r="C340" s="5">
        <f ca="1">[1]!thsiFinD("ths_int_chg_ratio_index",$A340,C$1,C$2)/100</f>
        <v>-0.13506633655296998</v>
      </c>
      <c r="D340" s="5">
        <f ca="1">[1]!thsiFinD("ths_int_chg_ratio_index",$A340,D$1,D$2)/100</f>
        <v>9.2690969762792997E-3</v>
      </c>
      <c r="E340" s="5">
        <f ca="1">[1]!thsiFinD("ths_int_chg_ratio_index",$A340,E$1,E$2)/100</f>
        <v>-9.4098809401168992E-2</v>
      </c>
      <c r="F340" s="2" t="s">
        <v>52</v>
      </c>
      <c r="G340" s="2" t="s">
        <v>53</v>
      </c>
      <c r="H340" s="2">
        <v>2771.6</v>
      </c>
      <c r="I340" s="2" t="s">
        <v>1634</v>
      </c>
      <c r="J340" s="2" t="s">
        <v>1635</v>
      </c>
      <c r="K340" s="2">
        <v>2360.6</v>
      </c>
      <c r="L340" s="2" t="s">
        <v>1636</v>
      </c>
      <c r="M340" s="2" t="s">
        <v>1637</v>
      </c>
      <c r="N340" s="2">
        <v>2052.1</v>
      </c>
      <c r="O340" s="2" t="s">
        <v>1638</v>
      </c>
      <c r="P340" s="2" t="s">
        <v>1639</v>
      </c>
      <c r="Q340" s="2">
        <v>1200.2</v>
      </c>
      <c r="R340" s="2" t="s">
        <v>320</v>
      </c>
      <c r="S340" s="2" t="s">
        <v>321</v>
      </c>
      <c r="T340" s="2">
        <v>755</v>
      </c>
    </row>
    <row r="341" spans="1:20" x14ac:dyDescent="0.25">
      <c r="A341" s="2" t="s">
        <v>1640</v>
      </c>
      <c r="B341" s="2" t="s">
        <v>1641</v>
      </c>
      <c r="C341" s="5">
        <f ca="1">[1]!thsiFinD("ths_int_chg_ratio_index",$A341,C$1,C$2)/100</f>
        <v>-0.12137777621816</v>
      </c>
      <c r="D341" s="5">
        <f ca="1">[1]!thsiFinD("ths_int_chg_ratio_index",$A341,D$1,D$2)/100</f>
        <v>-9.1219666213276998E-3</v>
      </c>
      <c r="E341" s="5">
        <f ca="1">[1]!thsiFinD("ths_int_chg_ratio_index",$A341,E$1,E$2)/100</f>
        <v>-9.8289283418709003E-2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spans="1:20" x14ac:dyDescent="0.25">
      <c r="A342" s="2" t="s">
        <v>1642</v>
      </c>
      <c r="B342" s="2" t="s">
        <v>1643</v>
      </c>
      <c r="C342" s="5">
        <f ca="1">[1]!thsiFinD("ths_int_chg_ratio_index",$A342,C$1,C$2)/100</f>
        <v>-0.1298393877689</v>
      </c>
      <c r="D342" s="5">
        <f ca="1">[1]!thsiFinD("ths_int_chg_ratio_index",$A342,D$1,D$2)/100</f>
        <v>-1.5175786925589001E-2</v>
      </c>
      <c r="E342" s="5">
        <f ca="1">[1]!thsiFinD("ths_int_chg_ratio_index",$A342,E$1,E$2)/100</f>
        <v>-9.9849346965715E-2</v>
      </c>
      <c r="F342" s="2" t="s">
        <v>684</v>
      </c>
      <c r="G342" s="2" t="s">
        <v>685</v>
      </c>
      <c r="H342" s="2">
        <v>3088.7</v>
      </c>
      <c r="I342" s="2" t="s">
        <v>1532</v>
      </c>
      <c r="J342" s="2" t="s">
        <v>1533</v>
      </c>
      <c r="K342" s="2">
        <v>466.5</v>
      </c>
      <c r="L342" s="2" t="s">
        <v>1150</v>
      </c>
      <c r="M342" s="2" t="s">
        <v>1151</v>
      </c>
      <c r="N342" s="2">
        <v>461.6</v>
      </c>
      <c r="O342" s="2" t="s">
        <v>1614</v>
      </c>
      <c r="P342" s="2" t="s">
        <v>1615</v>
      </c>
      <c r="Q342" s="2">
        <v>443.8</v>
      </c>
      <c r="R342" s="2" t="s">
        <v>1644</v>
      </c>
      <c r="S342" s="2" t="s">
        <v>1645</v>
      </c>
      <c r="T342" s="2">
        <v>338.6</v>
      </c>
    </row>
    <row r="343" spans="1:20" x14ac:dyDescent="0.25">
      <c r="A343" s="2" t="s">
        <v>1646</v>
      </c>
      <c r="B343" s="2" t="s">
        <v>1647</v>
      </c>
      <c r="C343" s="5">
        <f ca="1">[1]!thsiFinD("ths_int_chg_ratio_index",$A343,C$1,C$2)/100</f>
        <v>-0.13903772348089</v>
      </c>
      <c r="D343" s="5">
        <f ca="1">[1]!thsiFinD("ths_int_chg_ratio_index",$A343,D$1,D$2)/100</f>
        <v>-2.7822914813987999E-2</v>
      </c>
      <c r="E343" s="5">
        <f ca="1">[1]!thsiFinD("ths_int_chg_ratio_index",$A343,E$1,E$2)/100</f>
        <v>-0.10032288339777001</v>
      </c>
      <c r="F343" s="2" t="s">
        <v>976</v>
      </c>
      <c r="G343" s="2" t="s">
        <v>977</v>
      </c>
      <c r="H343" s="2">
        <v>393</v>
      </c>
      <c r="I343" s="2" t="s">
        <v>1474</v>
      </c>
      <c r="J343" s="2" t="s">
        <v>1475</v>
      </c>
      <c r="K343" s="2">
        <v>331</v>
      </c>
      <c r="L343" s="2" t="s">
        <v>1648</v>
      </c>
      <c r="M343" s="2" t="s">
        <v>1649</v>
      </c>
      <c r="N343" s="2">
        <v>297.3</v>
      </c>
      <c r="O343" s="2" t="s">
        <v>1310</v>
      </c>
      <c r="P343" s="2" t="s">
        <v>1311</v>
      </c>
      <c r="Q343" s="2">
        <v>232.2</v>
      </c>
      <c r="R343" s="2" t="s">
        <v>1650</v>
      </c>
      <c r="S343" s="2" t="s">
        <v>1651</v>
      </c>
      <c r="T343" s="2">
        <v>171.9</v>
      </c>
    </row>
    <row r="344" spans="1:20" x14ac:dyDescent="0.25">
      <c r="A344" s="2" t="s">
        <v>1652</v>
      </c>
      <c r="B344" s="2" t="s">
        <v>1653</v>
      </c>
      <c r="C344" s="5">
        <f ca="1">[1]!thsiFinD("ths_int_chg_ratio_index",$A344,C$1,C$2)/100</f>
        <v>-0.12950753915773</v>
      </c>
      <c r="D344" s="5">
        <f ca="1">[1]!thsiFinD("ths_int_chg_ratio_index",$A344,D$1,D$2)/100</f>
        <v>2.2865428949644002E-2</v>
      </c>
      <c r="E344" s="5">
        <f ca="1">[1]!thsiFinD("ths_int_chg_ratio_index",$A344,E$1,E$2)/100</f>
        <v>-9.6817552598906995E-2</v>
      </c>
      <c r="F344" s="2" t="s">
        <v>204</v>
      </c>
      <c r="G344" s="2" t="s">
        <v>205</v>
      </c>
      <c r="H344" s="2">
        <v>4409.3999999999996</v>
      </c>
      <c r="I344" s="2" t="s">
        <v>50</v>
      </c>
      <c r="J344" s="2" t="s">
        <v>51</v>
      </c>
      <c r="K344" s="2">
        <v>2922</v>
      </c>
      <c r="L344" s="2" t="s">
        <v>312</v>
      </c>
      <c r="M344" s="2" t="s">
        <v>313</v>
      </c>
      <c r="N344" s="2">
        <v>957.7</v>
      </c>
      <c r="O344" s="2" t="s">
        <v>588</v>
      </c>
      <c r="P344" s="2" t="s">
        <v>589</v>
      </c>
      <c r="Q344" s="2">
        <v>932.9</v>
      </c>
      <c r="R344" s="2" t="s">
        <v>318</v>
      </c>
      <c r="S344" s="2" t="s">
        <v>319</v>
      </c>
      <c r="T344" s="2">
        <v>785.1</v>
      </c>
    </row>
    <row r="345" spans="1:20" x14ac:dyDescent="0.25">
      <c r="A345" s="2" t="s">
        <v>1654</v>
      </c>
      <c r="B345" s="2" t="s">
        <v>1655</v>
      </c>
      <c r="C345" s="5">
        <f ca="1">[1]!thsiFinD("ths_int_chg_ratio_index",$A345,C$1,C$2)/100</f>
        <v>-0.13680852512973002</v>
      </c>
      <c r="D345" s="5">
        <f ca="1">[1]!thsiFinD("ths_int_chg_ratio_index",$A345,D$1,D$2)/100</f>
        <v>-6.6306394859877004E-3</v>
      </c>
      <c r="E345" s="5">
        <f ca="1">[1]!thsiFinD("ths_int_chg_ratio_index",$A345,E$1,E$2)/100</f>
        <v>-8.7386293307799012E-2</v>
      </c>
      <c r="F345" s="2" t="s">
        <v>1010</v>
      </c>
      <c r="G345" s="2" t="s">
        <v>1011</v>
      </c>
      <c r="H345" s="2">
        <v>879.5</v>
      </c>
      <c r="I345" s="2" t="s">
        <v>1656</v>
      </c>
      <c r="J345" s="2" t="s">
        <v>1657</v>
      </c>
      <c r="K345" s="2">
        <v>454.2</v>
      </c>
      <c r="L345" s="2" t="s">
        <v>1658</v>
      </c>
      <c r="M345" s="2" t="s">
        <v>1659</v>
      </c>
      <c r="N345" s="2">
        <v>298.5</v>
      </c>
      <c r="O345" s="2" t="s">
        <v>1660</v>
      </c>
      <c r="P345" s="2" t="s">
        <v>1661</v>
      </c>
      <c r="Q345" s="2">
        <v>277.3</v>
      </c>
      <c r="R345" s="2" t="s">
        <v>1662</v>
      </c>
      <c r="S345" s="2" t="s">
        <v>1663</v>
      </c>
      <c r="T345" s="2">
        <v>273.89999999999998</v>
      </c>
    </row>
    <row r="346" spans="1:20" x14ac:dyDescent="0.25">
      <c r="A346" s="2" t="s">
        <v>1664</v>
      </c>
      <c r="B346" s="2" t="s">
        <v>1665</v>
      </c>
      <c r="C346" s="5">
        <f ca="1">[1]!thsiFinD("ths_int_chg_ratio_index",$A346,C$1,C$2)/100</f>
        <v>-0.13342307214756</v>
      </c>
      <c r="D346" s="5">
        <f ca="1">[1]!thsiFinD("ths_int_chg_ratio_index",$A346,D$1,D$2)/100</f>
        <v>1.3577786863845E-3</v>
      </c>
      <c r="E346" s="5">
        <f ca="1">[1]!thsiFinD("ths_int_chg_ratio_index",$A346,E$1,E$2)/100</f>
        <v>-0.10710573579530999</v>
      </c>
      <c r="F346" s="2" t="s">
        <v>1572</v>
      </c>
      <c r="G346" s="2" t="s">
        <v>1573</v>
      </c>
      <c r="H346" s="2">
        <v>263.7</v>
      </c>
      <c r="I346" s="2" t="s">
        <v>1576</v>
      </c>
      <c r="J346" s="2" t="s">
        <v>1577</v>
      </c>
      <c r="K346" s="2">
        <v>178</v>
      </c>
      <c r="L346" s="2" t="s">
        <v>1666</v>
      </c>
      <c r="M346" s="2" t="s">
        <v>1667</v>
      </c>
      <c r="N346" s="2">
        <v>165.5</v>
      </c>
      <c r="O346" s="2" t="s">
        <v>1668</v>
      </c>
      <c r="P346" s="2" t="s">
        <v>1669</v>
      </c>
      <c r="Q346" s="2">
        <v>161.19999999999999</v>
      </c>
      <c r="R346" s="2" t="s">
        <v>918</v>
      </c>
      <c r="S346" s="2" t="s">
        <v>919</v>
      </c>
      <c r="T346" s="2">
        <v>146.69999999999999</v>
      </c>
    </row>
    <row r="347" spans="1:20" x14ac:dyDescent="0.25">
      <c r="A347" s="2" t="s">
        <v>1670</v>
      </c>
      <c r="B347" s="2" t="s">
        <v>1671</v>
      </c>
      <c r="C347" s="5">
        <f ca="1">[1]!thsiFinD("ths_int_chg_ratio_index",$A347,C$1,C$2)/100</f>
        <v>-0.14899783691301</v>
      </c>
      <c r="D347" s="5">
        <f ca="1">[1]!thsiFinD("ths_int_chg_ratio_index",$A347,D$1,D$2)/100</f>
        <v>-1.4672392303078E-2</v>
      </c>
      <c r="E347" s="5">
        <f ca="1">[1]!thsiFinD("ths_int_chg_ratio_index",$A347,E$1,E$2)/100</f>
        <v>-8.1439493826446996E-2</v>
      </c>
      <c r="F347" s="2" t="s">
        <v>1672</v>
      </c>
      <c r="G347" s="2" t="s">
        <v>1673</v>
      </c>
      <c r="H347" s="2">
        <v>3027.5</v>
      </c>
      <c r="I347" s="2" t="s">
        <v>1072</v>
      </c>
      <c r="J347" s="2" t="s">
        <v>1073</v>
      </c>
      <c r="K347" s="2">
        <v>906.4</v>
      </c>
      <c r="L347" s="2" t="s">
        <v>1674</v>
      </c>
      <c r="M347" s="2" t="s">
        <v>1675</v>
      </c>
      <c r="N347" s="2">
        <v>406.7</v>
      </c>
      <c r="O347" s="2" t="s">
        <v>1676</v>
      </c>
      <c r="P347" s="2" t="s">
        <v>1677</v>
      </c>
      <c r="Q347" s="2">
        <v>315.5</v>
      </c>
      <c r="R347" s="2" t="s">
        <v>1678</v>
      </c>
      <c r="S347" s="2" t="s">
        <v>1679</v>
      </c>
      <c r="T347" s="2">
        <v>313.3</v>
      </c>
    </row>
    <row r="348" spans="1:20" x14ac:dyDescent="0.25">
      <c r="A348" s="2" t="s">
        <v>1680</v>
      </c>
      <c r="B348" s="2" t="s">
        <v>1681</v>
      </c>
      <c r="C348" s="5">
        <f ca="1">[1]!thsiFinD("ths_int_chg_ratio_index",$A348,C$1,C$2)/100</f>
        <v>-0.13623859006427</v>
      </c>
      <c r="D348" s="5">
        <f ca="1">[1]!thsiFinD("ths_int_chg_ratio_index",$A348,D$1,D$2)/100</f>
        <v>4.2295044657994002E-3</v>
      </c>
      <c r="E348" s="5">
        <f ca="1">[1]!thsiFinD("ths_int_chg_ratio_index",$A348,E$1,E$2)/100</f>
        <v>-9.9354758758295997E-2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1:20" x14ac:dyDescent="0.25">
      <c r="A349" s="2" t="s">
        <v>1682</v>
      </c>
      <c r="B349" s="2" t="s">
        <v>1683</v>
      </c>
      <c r="C349" s="5">
        <f ca="1">[1]!thsiFinD("ths_int_chg_ratio_index",$A349,C$1,C$2)/100</f>
        <v>-0.13759345829400002</v>
      </c>
      <c r="D349" s="5">
        <f ca="1">[1]!thsiFinD("ths_int_chg_ratio_index",$A349,D$1,D$2)/100</f>
        <v>-1.8054603820903001E-2</v>
      </c>
      <c r="E349" s="5">
        <f ca="1">[1]!thsiFinD("ths_int_chg_ratio_index",$A349,E$1,E$2)/100</f>
        <v>-8.4552040589115002E-2</v>
      </c>
      <c r="F349" s="2" t="s">
        <v>102</v>
      </c>
      <c r="G349" s="2" t="s">
        <v>103</v>
      </c>
      <c r="H349" s="2">
        <v>2316.5</v>
      </c>
      <c r="I349" s="2" t="s">
        <v>1416</v>
      </c>
      <c r="J349" s="2" t="s">
        <v>1417</v>
      </c>
      <c r="K349" s="2">
        <v>657.9</v>
      </c>
      <c r="L349" s="2" t="s">
        <v>1150</v>
      </c>
      <c r="M349" s="2" t="s">
        <v>1151</v>
      </c>
      <c r="N349" s="2">
        <v>461.6</v>
      </c>
      <c r="O349" s="2" t="s">
        <v>1194</v>
      </c>
      <c r="P349" s="2" t="s">
        <v>1195</v>
      </c>
      <c r="Q349" s="2">
        <v>253.2</v>
      </c>
      <c r="R349" s="2" t="s">
        <v>1598</v>
      </c>
      <c r="S349" s="2" t="s">
        <v>1599</v>
      </c>
      <c r="T349" s="2">
        <v>235.8</v>
      </c>
    </row>
    <row r="350" spans="1:20" x14ac:dyDescent="0.25">
      <c r="A350" s="2" t="s">
        <v>1684</v>
      </c>
      <c r="B350" s="2" t="s">
        <v>1685</v>
      </c>
      <c r="C350" s="5">
        <f ca="1">[1]!thsiFinD("ths_int_chg_ratio_index",$A350,C$1,C$2)/100</f>
        <v>-0.14018812324152999</v>
      </c>
      <c r="D350" s="5">
        <f ca="1">[1]!thsiFinD("ths_int_chg_ratio_index",$A350,D$1,D$2)/100</f>
        <v>-1.5983216844162998E-2</v>
      </c>
      <c r="E350" s="5">
        <f ca="1">[1]!thsiFinD("ths_int_chg_ratio_index",$A350,E$1,E$2)/100</f>
        <v>-8.7590866947340001E-2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spans="1:20" x14ac:dyDescent="0.25">
      <c r="A351" s="2" t="s">
        <v>1686</v>
      </c>
      <c r="B351" s="2" t="s">
        <v>1687</v>
      </c>
      <c r="C351" s="5">
        <f ca="1">[1]!thsiFinD("ths_int_chg_ratio_index",$A351,C$1,C$2)/100</f>
        <v>-0.13113565240697</v>
      </c>
      <c r="D351" s="5">
        <f ca="1">[1]!thsiFinD("ths_int_chg_ratio_index",$A351,D$1,D$2)/100</f>
        <v>3.9561823158956996E-2</v>
      </c>
      <c r="E351" s="5">
        <f ca="1">[1]!thsiFinD("ths_int_chg_ratio_index",$A351,E$1,E$2)/100</f>
        <v>-8.0313515261183993E-2</v>
      </c>
      <c r="F351" s="2" t="s">
        <v>56</v>
      </c>
      <c r="G351" s="2" t="s">
        <v>57</v>
      </c>
      <c r="H351" s="2">
        <v>9471.2999999999993</v>
      </c>
      <c r="I351" s="2" t="s">
        <v>210</v>
      </c>
      <c r="J351" s="2" t="s">
        <v>211</v>
      </c>
      <c r="K351" s="2">
        <v>1526.1</v>
      </c>
      <c r="L351" s="2" t="s">
        <v>634</v>
      </c>
      <c r="M351" s="2" t="s">
        <v>635</v>
      </c>
      <c r="N351" s="2">
        <v>1297.0999999999999</v>
      </c>
      <c r="O351" s="2" t="s">
        <v>694</v>
      </c>
      <c r="P351" s="2" t="s">
        <v>695</v>
      </c>
      <c r="Q351" s="2">
        <v>980.1</v>
      </c>
      <c r="R351" s="2" t="s">
        <v>1110</v>
      </c>
      <c r="S351" s="2" t="s">
        <v>1111</v>
      </c>
      <c r="T351" s="2">
        <v>963.1</v>
      </c>
    </row>
    <row r="352" spans="1:20" x14ac:dyDescent="0.25">
      <c r="A352" s="2" t="s">
        <v>1688</v>
      </c>
      <c r="B352" s="2" t="s">
        <v>1689</v>
      </c>
      <c r="C352" s="5">
        <f ca="1">[1]!thsiFinD("ths_int_chg_ratio_index",$A352,C$1,C$2)/100</f>
        <v>-0.14587493447698999</v>
      </c>
      <c r="D352" s="5">
        <f ca="1">[1]!thsiFinD("ths_int_chg_ratio_index",$A352,D$1,D$2)/100</f>
        <v>-2.8695478370970001E-2</v>
      </c>
      <c r="E352" s="5">
        <f ca="1">[1]!thsiFinD("ths_int_chg_ratio_index",$A352,E$1,E$2)/100</f>
        <v>-8.7051047989181993E-2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1:20" x14ac:dyDescent="0.25">
      <c r="A353" s="2" t="s">
        <v>1690</v>
      </c>
      <c r="B353" s="2" t="s">
        <v>1691</v>
      </c>
      <c r="C353" s="5">
        <f ca="1">[1]!thsiFinD("ths_int_chg_ratio_index",$A353,C$1,C$2)/100</f>
        <v>-0.14005001740871001</v>
      </c>
      <c r="D353" s="5">
        <f ca="1">[1]!thsiFinD("ths_int_chg_ratio_index",$A353,D$1,D$2)/100</f>
        <v>-1.2968501831560999E-2</v>
      </c>
      <c r="E353" s="5">
        <f ca="1">[1]!thsiFinD("ths_int_chg_ratio_index",$A353,E$1,E$2)/100</f>
        <v>-8.6026771912425012E-2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1:20" x14ac:dyDescent="0.25">
      <c r="A354" s="2" t="s">
        <v>1692</v>
      </c>
      <c r="B354" s="2" t="s">
        <v>1693</v>
      </c>
      <c r="C354" s="5">
        <f ca="1">[1]!thsiFinD("ths_int_chg_ratio_index",$A354,C$1,C$2)/100</f>
        <v>-0.13964593071664</v>
      </c>
      <c r="D354" s="5">
        <f ca="1">[1]!thsiFinD("ths_int_chg_ratio_index",$A354,D$1,D$2)/100</f>
        <v>-2.9976701666914001E-2</v>
      </c>
      <c r="E354" s="5">
        <f ca="1">[1]!thsiFinD("ths_int_chg_ratio_index",$A354,E$1,E$2)/100</f>
        <v>-9.6474706240638003E-2</v>
      </c>
      <c r="F354" s="2" t="s">
        <v>1280</v>
      </c>
      <c r="G354" s="2" t="s">
        <v>1281</v>
      </c>
      <c r="H354" s="2">
        <v>735.1</v>
      </c>
      <c r="I354" s="2" t="s">
        <v>1554</v>
      </c>
      <c r="J354" s="2" t="s">
        <v>1555</v>
      </c>
      <c r="K354" s="2">
        <v>390.4</v>
      </c>
      <c r="L354" s="2" t="s">
        <v>1538</v>
      </c>
      <c r="M354" s="2" t="s">
        <v>1539</v>
      </c>
      <c r="N354" s="2">
        <v>206.8</v>
      </c>
      <c r="O354" s="2" t="s">
        <v>1694</v>
      </c>
      <c r="P354" s="2" t="s">
        <v>1695</v>
      </c>
      <c r="Q354" s="2">
        <v>202</v>
      </c>
      <c r="R354" s="2" t="s">
        <v>1364</v>
      </c>
      <c r="S354" s="2" t="s">
        <v>1365</v>
      </c>
      <c r="T354" s="2">
        <v>174.4</v>
      </c>
    </row>
    <row r="355" spans="1:20" x14ac:dyDescent="0.25">
      <c r="A355" s="2" t="s">
        <v>1696</v>
      </c>
      <c r="B355" s="2" t="s">
        <v>1697</v>
      </c>
      <c r="C355" s="5">
        <f ca="1">[1]!thsiFinD("ths_int_chg_ratio_index",$A355,C$1,C$2)/100</f>
        <v>-0.15511775835856001</v>
      </c>
      <c r="D355" s="5">
        <f ca="1">[1]!thsiFinD("ths_int_chg_ratio_index",$A355,D$1,D$2)/100</f>
        <v>-2.6597970709038E-2</v>
      </c>
      <c r="E355" s="5">
        <f ca="1">[1]!thsiFinD("ths_int_chg_ratio_index",$A355,E$1,E$2)/100</f>
        <v>-7.7390255619155995E-2</v>
      </c>
      <c r="F355" s="2" t="s">
        <v>298</v>
      </c>
      <c r="G355" s="2" t="s">
        <v>299</v>
      </c>
      <c r="H355" s="2">
        <v>922.2</v>
      </c>
      <c r="I355" s="2" t="s">
        <v>1698</v>
      </c>
      <c r="J355" s="2" t="s">
        <v>1699</v>
      </c>
      <c r="K355" s="2">
        <v>413.8</v>
      </c>
      <c r="L355" s="2" t="s">
        <v>1700</v>
      </c>
      <c r="M355" s="2" t="s">
        <v>1701</v>
      </c>
      <c r="N355" s="2">
        <v>375</v>
      </c>
      <c r="O355" s="2" t="s">
        <v>624</v>
      </c>
      <c r="P355" s="2" t="s">
        <v>625</v>
      </c>
      <c r="Q355" s="2">
        <v>244.1</v>
      </c>
      <c r="R355" s="2" t="s">
        <v>1702</v>
      </c>
      <c r="S355" s="2" t="s">
        <v>1703</v>
      </c>
      <c r="T355" s="2">
        <v>146.30000000000001</v>
      </c>
    </row>
    <row r="356" spans="1:20" x14ac:dyDescent="0.25">
      <c r="A356" s="2" t="s">
        <v>1704</v>
      </c>
      <c r="B356" s="2" t="s">
        <v>1705</v>
      </c>
      <c r="C356" s="5">
        <f ca="1">[1]!thsiFinD("ths_int_chg_ratio_index",$A356,C$1,C$2)/100</f>
        <v>-0.15693049771771</v>
      </c>
      <c r="D356" s="5">
        <f ca="1">[1]!thsiFinD("ths_int_chg_ratio_index",$A356,D$1,D$2)/100</f>
        <v>-3.0396618985695997E-2</v>
      </c>
      <c r="E356" s="5">
        <f ca="1">[1]!thsiFinD("ths_int_chg_ratio_index",$A356,E$1,E$2)/100</f>
        <v>-0.10039392641478999</v>
      </c>
      <c r="F356" s="2" t="s">
        <v>1624</v>
      </c>
      <c r="G356" s="2" t="s">
        <v>1625</v>
      </c>
      <c r="H356" s="2">
        <v>610</v>
      </c>
      <c r="I356" s="2" t="s">
        <v>1706</v>
      </c>
      <c r="J356" s="2" t="s">
        <v>1707</v>
      </c>
      <c r="K356" s="2">
        <v>588.9</v>
      </c>
      <c r="L356" s="2" t="s">
        <v>1064</v>
      </c>
      <c r="M356" s="2" t="s">
        <v>1065</v>
      </c>
      <c r="N356" s="2">
        <v>509.4</v>
      </c>
      <c r="O356" s="2" t="s">
        <v>1648</v>
      </c>
      <c r="P356" s="2" t="s">
        <v>1649</v>
      </c>
      <c r="Q356" s="2">
        <v>297.3</v>
      </c>
      <c r="R356" s="2" t="s">
        <v>1708</v>
      </c>
      <c r="S356" s="2" t="s">
        <v>1709</v>
      </c>
      <c r="T356" s="2">
        <v>230.8</v>
      </c>
    </row>
    <row r="357" spans="1:20" x14ac:dyDescent="0.25">
      <c r="A357" s="2" t="s">
        <v>1710</v>
      </c>
      <c r="B357" s="2" t="s">
        <v>1711</v>
      </c>
      <c r="C357" s="5">
        <f ca="1">[1]!thsiFinD("ths_int_chg_ratio_index",$A357,C$1,C$2)/100</f>
        <v>-0.15274008529270999</v>
      </c>
      <c r="D357" s="5">
        <f ca="1">[1]!thsiFinD("ths_int_chg_ratio_index",$A357,D$1,D$2)/100</f>
        <v>-1.0689837823131002E-2</v>
      </c>
      <c r="E357" s="5">
        <f ca="1">[1]!thsiFinD("ths_int_chg_ratio_index",$A357,E$1,E$2)/100</f>
        <v>-9.0335235378031009E-2</v>
      </c>
      <c r="F357" s="2" t="s">
        <v>706</v>
      </c>
      <c r="G357" s="2" t="s">
        <v>707</v>
      </c>
      <c r="H357" s="2">
        <v>1202.4000000000001</v>
      </c>
      <c r="I357" s="2" t="s">
        <v>134</v>
      </c>
      <c r="J357" s="2" t="s">
        <v>135</v>
      </c>
      <c r="K357" s="2">
        <v>1136.8</v>
      </c>
      <c r="L357" s="2" t="s">
        <v>546</v>
      </c>
      <c r="M357" s="2" t="s">
        <v>547</v>
      </c>
      <c r="N357" s="2">
        <v>1132.8</v>
      </c>
      <c r="O357" s="2" t="s">
        <v>298</v>
      </c>
      <c r="P357" s="2" t="s">
        <v>299</v>
      </c>
      <c r="Q357" s="2">
        <v>922.2</v>
      </c>
      <c r="R357" s="2" t="s">
        <v>1712</v>
      </c>
      <c r="S357" s="2" t="s">
        <v>1713</v>
      </c>
      <c r="T357" s="2">
        <v>512.9</v>
      </c>
    </row>
    <row r="358" spans="1:20" x14ac:dyDescent="0.25">
      <c r="A358" s="2" t="s">
        <v>1714</v>
      </c>
      <c r="B358" s="2" t="s">
        <v>1715</v>
      </c>
      <c r="C358" s="5">
        <f ca="1">[1]!thsiFinD("ths_int_chg_ratio_index",$A358,C$1,C$2)/100</f>
        <v>-0.13347731530977</v>
      </c>
      <c r="D358" s="5">
        <f ca="1">[1]!thsiFinD("ths_int_chg_ratio_index",$A358,D$1,D$2)/100</f>
        <v>-1.4823224373546001E-3</v>
      </c>
      <c r="E358" s="5">
        <f ca="1">[1]!thsiFinD("ths_int_chg_ratio_index",$A358,E$1,E$2)/100</f>
        <v>-9.6452860321562001E-2</v>
      </c>
      <c r="F358" s="2" t="s">
        <v>1150</v>
      </c>
      <c r="G358" s="2" t="s">
        <v>1151</v>
      </c>
      <c r="H358" s="2">
        <v>461.6</v>
      </c>
      <c r="I358" s="2" t="s">
        <v>1534</v>
      </c>
      <c r="J358" s="2" t="s">
        <v>1535</v>
      </c>
      <c r="K358" s="2">
        <v>360.9</v>
      </c>
      <c r="L358" s="2" t="s">
        <v>1716</v>
      </c>
      <c r="M358" s="2" t="s">
        <v>1717</v>
      </c>
      <c r="N358" s="2">
        <v>286.89999999999998</v>
      </c>
      <c r="O358" s="2" t="s">
        <v>1718</v>
      </c>
      <c r="P358" s="2" t="s">
        <v>1719</v>
      </c>
      <c r="Q358" s="2">
        <v>230.6</v>
      </c>
      <c r="R358" s="2" t="s">
        <v>1720</v>
      </c>
      <c r="S358" s="2" t="s">
        <v>1721</v>
      </c>
      <c r="T358" s="2">
        <v>205.8</v>
      </c>
    </row>
    <row r="359" spans="1:20" x14ac:dyDescent="0.25">
      <c r="A359" s="2" t="s">
        <v>1722</v>
      </c>
      <c r="B359" s="2" t="s">
        <v>1723</v>
      </c>
      <c r="C359" s="5">
        <f ca="1">[1]!thsiFinD("ths_int_chg_ratio_index",$A359,C$1,C$2)/100</f>
        <v>-0.14465737049391</v>
      </c>
      <c r="D359" s="5">
        <f ca="1">[1]!thsiFinD("ths_int_chg_ratio_index",$A359,D$1,D$2)/100</f>
        <v>1.5594514003362002E-2</v>
      </c>
      <c r="E359" s="5">
        <f ca="1">[1]!thsiFinD("ths_int_chg_ratio_index",$A359,E$1,E$2)/100</f>
        <v>-7.5979952047919005E-2</v>
      </c>
      <c r="F359" s="2" t="s">
        <v>1460</v>
      </c>
      <c r="G359" s="2" t="s">
        <v>1461</v>
      </c>
      <c r="H359" s="2">
        <v>350</v>
      </c>
      <c r="I359" s="2" t="s">
        <v>1340</v>
      </c>
      <c r="J359" s="2" t="s">
        <v>1341</v>
      </c>
      <c r="K359" s="2">
        <v>303</v>
      </c>
      <c r="L359" s="2" t="s">
        <v>1574</v>
      </c>
      <c r="M359" s="2" t="s">
        <v>1575</v>
      </c>
      <c r="N359" s="2">
        <v>231</v>
      </c>
      <c r="O359" s="2" t="s">
        <v>868</v>
      </c>
      <c r="P359" s="2" t="s">
        <v>869</v>
      </c>
      <c r="Q359" s="2">
        <v>191.7</v>
      </c>
      <c r="R359" s="2" t="s">
        <v>1724</v>
      </c>
      <c r="S359" s="2" t="s">
        <v>1725</v>
      </c>
      <c r="T359" s="2">
        <v>136.5</v>
      </c>
    </row>
    <row r="360" spans="1:20" x14ac:dyDescent="0.25">
      <c r="A360" s="2" t="s">
        <v>1726</v>
      </c>
      <c r="B360" s="2" t="s">
        <v>1727</v>
      </c>
      <c r="C360" s="5">
        <f ca="1">[1]!thsiFinD("ths_int_chg_ratio_index",$A360,C$1,C$2)/100</f>
        <v>-0.14301344501005001</v>
      </c>
      <c r="D360" s="5">
        <f ca="1">[1]!thsiFinD("ths_int_chg_ratio_index",$A360,D$1,D$2)/100</f>
        <v>-6.5754754899102997E-3</v>
      </c>
      <c r="E360" s="5">
        <f ca="1">[1]!thsiFinD("ths_int_chg_ratio_index",$A360,E$1,E$2)/100</f>
        <v>-0.10261789899445001</v>
      </c>
      <c r="F360" s="2" t="s">
        <v>1010</v>
      </c>
      <c r="G360" s="2" t="s">
        <v>1011</v>
      </c>
      <c r="H360" s="2">
        <v>879.5</v>
      </c>
      <c r="I360" s="2" t="s">
        <v>1014</v>
      </c>
      <c r="J360" s="2" t="s">
        <v>1015</v>
      </c>
      <c r="K360" s="2">
        <v>505.4</v>
      </c>
      <c r="L360" s="2" t="s">
        <v>1656</v>
      </c>
      <c r="M360" s="2" t="s">
        <v>1657</v>
      </c>
      <c r="N360" s="2">
        <v>454.2</v>
      </c>
      <c r="O360" s="2" t="s">
        <v>1460</v>
      </c>
      <c r="P360" s="2" t="s">
        <v>1461</v>
      </c>
      <c r="Q360" s="2">
        <v>350</v>
      </c>
      <c r="R360" s="2" t="s">
        <v>1660</v>
      </c>
      <c r="S360" s="2" t="s">
        <v>1661</v>
      </c>
      <c r="T360" s="2">
        <v>277.3</v>
      </c>
    </row>
    <row r="361" spans="1:20" x14ac:dyDescent="0.25">
      <c r="A361" s="2" t="s">
        <v>1728</v>
      </c>
      <c r="B361" s="2" t="s">
        <v>1729</v>
      </c>
      <c r="C361" s="5">
        <f ca="1">[1]!thsiFinD("ths_int_chg_ratio_index",$A361,C$1,C$2)/100</f>
        <v>-0.13633368507723001</v>
      </c>
      <c r="D361" s="5">
        <f ca="1">[1]!thsiFinD("ths_int_chg_ratio_index",$A361,D$1,D$2)/100</f>
        <v>3.3742921993607997E-2</v>
      </c>
      <c r="E361" s="5">
        <f ca="1">[1]!thsiFinD("ths_int_chg_ratio_index",$A361,E$1,E$2)/100</f>
        <v>-8.8933120770716009E-2</v>
      </c>
      <c r="F361" s="2" t="s">
        <v>1460</v>
      </c>
      <c r="G361" s="2" t="s">
        <v>1461</v>
      </c>
      <c r="H361" s="2">
        <v>350</v>
      </c>
      <c r="I361" s="2" t="s">
        <v>1546</v>
      </c>
      <c r="J361" s="2" t="s">
        <v>1547</v>
      </c>
      <c r="K361" s="2">
        <v>313.39999999999998</v>
      </c>
      <c r="L361" s="2" t="s">
        <v>514</v>
      </c>
      <c r="M361" s="2" t="s">
        <v>515</v>
      </c>
      <c r="N361" s="2">
        <v>312.89999999999998</v>
      </c>
      <c r="O361" s="2" t="s">
        <v>950</v>
      </c>
      <c r="P361" s="2" t="s">
        <v>951</v>
      </c>
      <c r="Q361" s="2">
        <v>312.7</v>
      </c>
      <c r="R361" s="2" t="s">
        <v>1340</v>
      </c>
      <c r="S361" s="2" t="s">
        <v>1341</v>
      </c>
      <c r="T361" s="2">
        <v>303</v>
      </c>
    </row>
    <row r="362" spans="1:20" x14ac:dyDescent="0.25">
      <c r="A362" s="2" t="s">
        <v>1730</v>
      </c>
      <c r="B362" s="2" t="s">
        <v>1731</v>
      </c>
      <c r="C362" s="5">
        <f ca="1">[1]!thsiFinD("ths_int_chg_ratio_index",$A362,C$1,C$2)/100</f>
        <v>-0.14359222331429</v>
      </c>
      <c r="D362" s="5">
        <f ca="1">[1]!thsiFinD("ths_int_chg_ratio_index",$A362,D$1,D$2)/100</f>
        <v>-7.7201401352459996E-3</v>
      </c>
      <c r="E362" s="5">
        <f ca="1">[1]!thsiFinD("ths_int_chg_ratio_index",$A362,E$1,E$2)/100</f>
        <v>-0.10635415605682001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1:20" x14ac:dyDescent="0.25">
      <c r="A363" s="2" t="s">
        <v>1732</v>
      </c>
      <c r="B363" s="2" t="s">
        <v>1733</v>
      </c>
      <c r="C363" s="5">
        <f ca="1">[1]!thsiFinD("ths_int_chg_ratio_index",$A363,C$1,C$2)/100</f>
        <v>-0.15466638985297998</v>
      </c>
      <c r="D363" s="5">
        <f ca="1">[1]!thsiFinD("ths_int_chg_ratio_index",$A363,D$1,D$2)/100</f>
        <v>-4.3659029426030005E-2</v>
      </c>
      <c r="E363" s="5">
        <f ca="1">[1]!thsiFinD("ths_int_chg_ratio_index",$A363,E$1,E$2)/100</f>
        <v>-0.12370521638677999</v>
      </c>
      <c r="F363" s="2" t="s">
        <v>1734</v>
      </c>
      <c r="G363" s="2" t="s">
        <v>1735</v>
      </c>
      <c r="H363" s="2">
        <v>317.39999999999998</v>
      </c>
      <c r="I363" s="2" t="s">
        <v>1736</v>
      </c>
      <c r="J363" s="2" t="s">
        <v>1737</v>
      </c>
      <c r="K363" s="2">
        <v>261.5</v>
      </c>
      <c r="L363" s="2" t="s">
        <v>1262</v>
      </c>
      <c r="M363" s="2" t="s">
        <v>1263</v>
      </c>
      <c r="N363" s="2">
        <v>245</v>
      </c>
      <c r="O363" s="2" t="s">
        <v>1738</v>
      </c>
      <c r="P363" s="2" t="s">
        <v>1739</v>
      </c>
      <c r="Q363" s="2">
        <v>225.8</v>
      </c>
      <c r="R363" s="2" t="s">
        <v>1740</v>
      </c>
      <c r="S363" s="2" t="s">
        <v>1741</v>
      </c>
      <c r="T363" s="2">
        <v>176.2</v>
      </c>
    </row>
    <row r="364" spans="1:20" x14ac:dyDescent="0.25">
      <c r="A364" s="2" t="s">
        <v>1742</v>
      </c>
      <c r="B364" s="2" t="s">
        <v>1743</v>
      </c>
      <c r="C364" s="5">
        <f ca="1">[1]!thsiFinD("ths_int_chg_ratio_index",$A364,C$1,C$2)/100</f>
        <v>-0.15466878753398999</v>
      </c>
      <c r="D364" s="5">
        <f ca="1">[1]!thsiFinD("ths_int_chg_ratio_index",$A364,D$1,D$2)/100</f>
        <v>-2.4469952761495998E-2</v>
      </c>
      <c r="E364" s="5">
        <f ca="1">[1]!thsiFinD("ths_int_chg_ratio_index",$A364,E$1,E$2)/100</f>
        <v>-0.10667426306557999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1:20" x14ac:dyDescent="0.25">
      <c r="A365" s="2" t="s">
        <v>1744</v>
      </c>
      <c r="B365" s="2" t="s">
        <v>1745</v>
      </c>
      <c r="C365" s="5">
        <f ca="1">[1]!thsiFinD("ths_int_chg_ratio_index",$A365,C$1,C$2)/100</f>
        <v>-0.14976914788296</v>
      </c>
      <c r="D365" s="5">
        <f ca="1">[1]!thsiFinD("ths_int_chg_ratio_index",$A365,D$1,D$2)/100</f>
        <v>-2.0588899925705003E-2</v>
      </c>
      <c r="E365" s="5">
        <f ca="1">[1]!thsiFinD("ths_int_chg_ratio_index",$A365,E$1,E$2)/100</f>
        <v>-9.6273478271957008E-2</v>
      </c>
      <c r="F365" s="2" t="s">
        <v>290</v>
      </c>
      <c r="G365" s="2" t="s">
        <v>291</v>
      </c>
      <c r="H365" s="2">
        <v>850.3</v>
      </c>
      <c r="I365" s="2" t="s">
        <v>1746</v>
      </c>
      <c r="J365" s="2" t="s">
        <v>1747</v>
      </c>
      <c r="K365" s="2">
        <v>336.4</v>
      </c>
      <c r="L365" s="2" t="s">
        <v>1292</v>
      </c>
      <c r="M365" s="2" t="s">
        <v>1293</v>
      </c>
      <c r="N365" s="2">
        <v>287.10000000000002</v>
      </c>
      <c r="O365" s="2" t="s">
        <v>564</v>
      </c>
      <c r="P365" s="2" t="s">
        <v>565</v>
      </c>
      <c r="Q365" s="2">
        <v>272.7</v>
      </c>
      <c r="R365" s="2" t="s">
        <v>1748</v>
      </c>
      <c r="S365" s="2" t="s">
        <v>1749</v>
      </c>
      <c r="T365" s="2">
        <v>256.89999999999998</v>
      </c>
    </row>
    <row r="366" spans="1:20" x14ac:dyDescent="0.25">
      <c r="A366" s="2" t="s">
        <v>1750</v>
      </c>
      <c r="B366" s="2" t="s">
        <v>1751</v>
      </c>
      <c r="C366" s="5">
        <f ca="1">[1]!thsiFinD("ths_int_chg_ratio_index",$A366,C$1,C$2)/100</f>
        <v>-0.1559159137593</v>
      </c>
      <c r="D366" s="5">
        <f ca="1">[1]!thsiFinD("ths_int_chg_ratio_index",$A366,D$1,D$2)/100</f>
        <v>1.0232249789832998E-2</v>
      </c>
      <c r="E366" s="5">
        <f ca="1">[1]!thsiFinD("ths_int_chg_ratio_index",$A366,E$1,E$2)/100</f>
        <v>-9.2824118593799007E-2</v>
      </c>
      <c r="F366" s="2" t="s">
        <v>1430</v>
      </c>
      <c r="G366" s="2" t="s">
        <v>1431</v>
      </c>
      <c r="H366" s="2">
        <v>2483.6999999999998</v>
      </c>
      <c r="I366" s="2" t="s">
        <v>1434</v>
      </c>
      <c r="J366" s="2" t="s">
        <v>1435</v>
      </c>
      <c r="K366" s="2">
        <v>1428.5</v>
      </c>
      <c r="L366" s="2" t="s">
        <v>1752</v>
      </c>
      <c r="M366" s="2" t="s">
        <v>1753</v>
      </c>
      <c r="N366" s="2">
        <v>941.2</v>
      </c>
      <c r="O366" s="2" t="s">
        <v>444</v>
      </c>
      <c r="P366" s="2" t="s">
        <v>445</v>
      </c>
      <c r="Q366" s="2">
        <v>728.8</v>
      </c>
      <c r="R366" s="2" t="s">
        <v>1754</v>
      </c>
      <c r="S366" s="2" t="s">
        <v>1755</v>
      </c>
      <c r="T366" s="2">
        <v>687.9</v>
      </c>
    </row>
    <row r="367" spans="1:20" x14ac:dyDescent="0.25">
      <c r="A367" s="2" t="s">
        <v>1756</v>
      </c>
      <c r="B367" s="2" t="s">
        <v>1757</v>
      </c>
      <c r="C367" s="5">
        <f ca="1">[1]!thsiFinD("ths_int_chg_ratio_index",$A367,C$1,C$2)/100</f>
        <v>-0.14958497167639001</v>
      </c>
      <c r="D367" s="5">
        <f ca="1">[1]!thsiFinD("ths_int_chg_ratio_index",$A367,D$1,D$2)/100</f>
        <v>-1.4218510235912E-2</v>
      </c>
      <c r="E367" s="5">
        <f ca="1">[1]!thsiFinD("ths_int_chg_ratio_index",$A367,E$1,E$2)/100</f>
        <v>-9.8325117037877996E-2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1:20" x14ac:dyDescent="0.25">
      <c r="A368" s="2" t="s">
        <v>1758</v>
      </c>
      <c r="B368" s="2" t="s">
        <v>1759</v>
      </c>
      <c r="C368" s="5">
        <f ca="1">[1]!thsiFinD("ths_int_chg_ratio_index",$A368,C$1,C$2)/100</f>
        <v>-0.152785</v>
      </c>
      <c r="D368" s="5">
        <f ca="1">[1]!thsiFinD("ths_int_chg_ratio_index",$A368,D$1,D$2)/100</f>
        <v>1.5195306602248E-2</v>
      </c>
      <c r="E368" s="5">
        <f ca="1">[1]!thsiFinD("ths_int_chg_ratio_index",$A368,E$1,E$2)/100</f>
        <v>-8.8172934111113002E-2</v>
      </c>
      <c r="F368" s="2" t="s">
        <v>32</v>
      </c>
      <c r="G368" s="2" t="s">
        <v>33</v>
      </c>
      <c r="H368" s="2">
        <v>15494.3</v>
      </c>
      <c r="I368" s="2" t="s">
        <v>56</v>
      </c>
      <c r="J368" s="2" t="s">
        <v>57</v>
      </c>
      <c r="K368" s="2">
        <v>9471.2999999999993</v>
      </c>
      <c r="L368" s="2" t="s">
        <v>200</v>
      </c>
      <c r="M368" s="2" t="s">
        <v>201</v>
      </c>
      <c r="N368" s="2">
        <v>7623.8</v>
      </c>
      <c r="O368" s="2" t="s">
        <v>80</v>
      </c>
      <c r="P368" s="2" t="s">
        <v>81</v>
      </c>
      <c r="Q368" s="2">
        <v>3094.2</v>
      </c>
      <c r="R368" s="2" t="s">
        <v>50</v>
      </c>
      <c r="S368" s="2" t="s">
        <v>51</v>
      </c>
      <c r="T368" s="2">
        <v>2922</v>
      </c>
    </row>
    <row r="369" spans="1:20" x14ac:dyDescent="0.25">
      <c r="A369" s="2" t="s">
        <v>1760</v>
      </c>
      <c r="B369" s="2" t="s">
        <v>1761</v>
      </c>
      <c r="C369" s="5">
        <f ca="1">[1]!thsiFinD("ths_int_chg_ratio_index",$A369,C$1,C$2)/100</f>
        <v>-0.16631589645764</v>
      </c>
      <c r="D369" s="5">
        <f ca="1">[1]!thsiFinD("ths_int_chg_ratio_index",$A369,D$1,D$2)/100</f>
        <v>-4.9815417598192004E-2</v>
      </c>
      <c r="E369" s="5">
        <f ca="1">[1]!thsiFinD("ths_int_chg_ratio_index",$A369,E$1,E$2)/100</f>
        <v>-0.10049414082928999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1:20" x14ac:dyDescent="0.25">
      <c r="A370" s="2" t="s">
        <v>1762</v>
      </c>
      <c r="B370" s="2" t="s">
        <v>1763</v>
      </c>
      <c r="C370" s="5">
        <f ca="1">[1]!thsiFinD("ths_int_chg_ratio_index",$A370,C$1,C$2)/100</f>
        <v>-0.16207636321798</v>
      </c>
      <c r="D370" s="5">
        <f ca="1">[1]!thsiFinD("ths_int_chg_ratio_index",$A370,D$1,D$2)/100</f>
        <v>3.4332599754807003E-3</v>
      </c>
      <c r="E370" s="5">
        <f ca="1">[1]!thsiFinD("ths_int_chg_ratio_index",$A370,E$1,E$2)/100</f>
        <v>-0.11232692481495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1:20" x14ac:dyDescent="0.25">
      <c r="A371" s="2" t="s">
        <v>1764</v>
      </c>
      <c r="B371" s="2" t="s">
        <v>1765</v>
      </c>
      <c r="C371" s="5">
        <f ca="1">[1]!thsiFinD("ths_int_chg_ratio_index",$A371,C$1,C$2)/100</f>
        <v>-0.16745183320462001</v>
      </c>
      <c r="D371" s="5">
        <f ca="1">[1]!thsiFinD("ths_int_chg_ratio_index",$A371,D$1,D$2)/100</f>
        <v>-1.5558658226792E-2</v>
      </c>
      <c r="E371" s="5">
        <f ca="1">[1]!thsiFinD("ths_int_chg_ratio_index",$A371,E$1,E$2)/100</f>
        <v>-0.12367665425837</v>
      </c>
      <c r="F371" s="2" t="s">
        <v>1010</v>
      </c>
      <c r="G371" s="2" t="s">
        <v>1011</v>
      </c>
      <c r="H371" s="2">
        <v>879.5</v>
      </c>
      <c r="I371" s="2" t="s">
        <v>862</v>
      </c>
      <c r="J371" s="2" t="s">
        <v>863</v>
      </c>
      <c r="K371" s="2">
        <v>530.4</v>
      </c>
      <c r="L371" s="2" t="s">
        <v>514</v>
      </c>
      <c r="M371" s="2" t="s">
        <v>515</v>
      </c>
      <c r="N371" s="2">
        <v>312.89999999999998</v>
      </c>
      <c r="O371" s="2" t="s">
        <v>1660</v>
      </c>
      <c r="P371" s="2" t="s">
        <v>1661</v>
      </c>
      <c r="Q371" s="2">
        <v>277.3</v>
      </c>
      <c r="R371" s="2" t="s">
        <v>1662</v>
      </c>
      <c r="S371" s="2" t="s">
        <v>1663</v>
      </c>
      <c r="T371" s="2">
        <v>273.89999999999998</v>
      </c>
    </row>
    <row r="372" spans="1:20" x14ac:dyDescent="0.25">
      <c r="A372" s="2" t="s">
        <v>1766</v>
      </c>
      <c r="B372" s="2" t="s">
        <v>1767</v>
      </c>
      <c r="C372" s="5">
        <f ca="1">[1]!thsiFinD("ths_int_chg_ratio_index",$A372,C$1,C$2)/100</f>
        <v>-0.16366610179599</v>
      </c>
      <c r="D372" s="5">
        <f ca="1">[1]!thsiFinD("ths_int_chg_ratio_index",$A372,D$1,D$2)/100</f>
        <v>5.6138946132456005E-3</v>
      </c>
      <c r="E372" s="5">
        <f ca="1">[1]!thsiFinD("ths_int_chg_ratio_index",$A372,E$1,E$2)/100</f>
        <v>-6.0202487536489997E-2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 x14ac:dyDescent="0.25">
      <c r="A373" s="2" t="s">
        <v>1768</v>
      </c>
      <c r="B373" s="2" t="s">
        <v>1769</v>
      </c>
      <c r="C373" s="5">
        <f ca="1">[1]!thsiFinD("ths_int_chg_ratio_index",$A373,C$1,C$2)/100</f>
        <v>-0.15179115254637002</v>
      </c>
      <c r="D373" s="5">
        <f ca="1">[1]!thsiFinD("ths_int_chg_ratio_index",$A373,D$1,D$2)/100</f>
        <v>1.9393956976456999E-3</v>
      </c>
      <c r="E373" s="5">
        <f ca="1">[1]!thsiFinD("ths_int_chg_ratio_index",$A373,E$1,E$2)/100</f>
        <v>-9.9417453955654003E-2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spans="1:20" x14ac:dyDescent="0.25">
      <c r="A374" s="2" t="s">
        <v>1770</v>
      </c>
      <c r="B374" s="2" t="s">
        <v>1771</v>
      </c>
      <c r="C374" s="5">
        <f ca="1">[1]!thsiFinD("ths_int_chg_ratio_index",$A374,C$1,C$2)/100</f>
        <v>-0.17932870382998001</v>
      </c>
      <c r="D374" s="5">
        <f ca="1">[1]!thsiFinD("ths_int_chg_ratio_index",$A374,D$1,D$2)/100</f>
        <v>1.2600912678781002E-3</v>
      </c>
      <c r="E374" s="5">
        <f ca="1">[1]!thsiFinD("ths_int_chg_ratio_index",$A374,E$1,E$2)/100</f>
        <v>-0.11486154543128001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1:20" x14ac:dyDescent="0.25">
      <c r="A375" s="2" t="s">
        <v>1772</v>
      </c>
      <c r="B375" s="2" t="s">
        <v>1773</v>
      </c>
      <c r="C375" s="5">
        <f ca="1">[1]!thsiFinD("ths_int_chg_ratio_index",$A375,C$1,C$2)/100</f>
        <v>-0.17561591423026002</v>
      </c>
      <c r="D375" s="5">
        <f ca="1">[1]!thsiFinD("ths_int_chg_ratio_index",$A375,D$1,D$2)/100</f>
        <v>-9.4783277121531992E-3</v>
      </c>
      <c r="E375" s="5">
        <f ca="1">[1]!thsiFinD("ths_int_chg_ratio_index",$A375,E$1,E$2)/100</f>
        <v>-0.13180746109935002</v>
      </c>
      <c r="F375" s="2" t="s">
        <v>1774</v>
      </c>
      <c r="G375" s="2" t="s">
        <v>1775</v>
      </c>
      <c r="H375" s="2">
        <v>254.3</v>
      </c>
      <c r="I375" s="2" t="s">
        <v>1312</v>
      </c>
      <c r="J375" s="2" t="s">
        <v>1313</v>
      </c>
      <c r="K375" s="2">
        <v>227.2</v>
      </c>
      <c r="L375" s="2" t="s">
        <v>1776</v>
      </c>
      <c r="M375" s="2" t="s">
        <v>1777</v>
      </c>
      <c r="N375" s="2">
        <v>211.5</v>
      </c>
      <c r="O375" s="2" t="s">
        <v>1778</v>
      </c>
      <c r="P375" s="2" t="s">
        <v>1779</v>
      </c>
      <c r="Q375" s="2">
        <v>91.9</v>
      </c>
      <c r="R375" s="2" t="s">
        <v>1780</v>
      </c>
      <c r="S375" s="2" t="s">
        <v>1781</v>
      </c>
      <c r="T375" s="2">
        <v>72</v>
      </c>
    </row>
    <row r="376" spans="1:20" x14ac:dyDescent="0.25">
      <c r="A376" s="2" t="s">
        <v>1782</v>
      </c>
      <c r="B376" s="2" t="s">
        <v>1783</v>
      </c>
      <c r="C376" s="5">
        <f ca="1">[1]!thsiFinD("ths_int_chg_ratio_index",$A376,C$1,C$2)/100</f>
        <v>-0.18213720865176</v>
      </c>
      <c r="D376" s="5">
        <f ca="1">[1]!thsiFinD("ths_int_chg_ratio_index",$A376,D$1,D$2)/100</f>
        <v>1.7371123621217E-2</v>
      </c>
      <c r="E376" s="5">
        <f ca="1">[1]!thsiFinD("ths_int_chg_ratio_index",$A376,E$1,E$2)/100</f>
        <v>-7.7294413095668993E-2</v>
      </c>
      <c r="F376" s="2" t="s">
        <v>632</v>
      </c>
      <c r="G376" s="2" t="s">
        <v>633</v>
      </c>
      <c r="H376" s="2">
        <v>1326.4</v>
      </c>
      <c r="I376" s="2" t="s">
        <v>1406</v>
      </c>
      <c r="J376" s="2" t="s">
        <v>1407</v>
      </c>
      <c r="K376" s="2">
        <v>827.4</v>
      </c>
      <c r="L376" s="2" t="s">
        <v>1480</v>
      </c>
      <c r="M376" s="2" t="s">
        <v>1481</v>
      </c>
      <c r="N376" s="2">
        <v>682.9</v>
      </c>
      <c r="O376" s="2" t="s">
        <v>1440</v>
      </c>
      <c r="P376" s="2" t="s">
        <v>1441</v>
      </c>
      <c r="Q376" s="2">
        <v>578</v>
      </c>
      <c r="R376" s="2" t="s">
        <v>1784</v>
      </c>
      <c r="S376" s="2" t="s">
        <v>1785</v>
      </c>
      <c r="T376" s="2">
        <v>538.29999999999995</v>
      </c>
    </row>
    <row r="377" spans="1:20" x14ac:dyDescent="0.25">
      <c r="A377" s="2" t="s">
        <v>1786</v>
      </c>
      <c r="B377" s="2" t="s">
        <v>1787</v>
      </c>
      <c r="C377" s="5">
        <f ca="1">[1]!thsiFinD("ths_int_chg_ratio_index",$A377,C$1,C$2)/100</f>
        <v>-0.17954303329898999</v>
      </c>
      <c r="D377" s="5">
        <f ca="1">[1]!thsiFinD("ths_int_chg_ratio_index",$A377,D$1,D$2)/100</f>
        <v>-3.1126557381857E-2</v>
      </c>
      <c r="E377" s="5">
        <f ca="1">[1]!thsiFinD("ths_int_chg_ratio_index",$A377,E$1,E$2)/100</f>
        <v>-8.378334340631699E-2</v>
      </c>
      <c r="F377" s="2" t="s">
        <v>1166</v>
      </c>
      <c r="G377" s="2" t="s">
        <v>1167</v>
      </c>
      <c r="H377" s="2">
        <v>207.6</v>
      </c>
      <c r="I377" s="2" t="s">
        <v>1788</v>
      </c>
      <c r="J377" s="2" t="s">
        <v>1789</v>
      </c>
      <c r="K377" s="2">
        <v>105.4</v>
      </c>
      <c r="L377" s="2" t="s">
        <v>1790</v>
      </c>
      <c r="M377" s="2" t="s">
        <v>1791</v>
      </c>
      <c r="N377" s="2">
        <v>100.1</v>
      </c>
      <c r="O377" s="2" t="s">
        <v>1792</v>
      </c>
      <c r="P377" s="2" t="s">
        <v>1793</v>
      </c>
      <c r="Q377" s="2">
        <v>85.2</v>
      </c>
      <c r="R377" s="2" t="s">
        <v>1794</v>
      </c>
      <c r="S377" s="2" t="s">
        <v>1795</v>
      </c>
      <c r="T377" s="2">
        <v>77.599999999999994</v>
      </c>
    </row>
    <row r="378" spans="1:20" x14ac:dyDescent="0.25">
      <c r="A378" s="2" t="s">
        <v>1796</v>
      </c>
      <c r="B378" s="2" t="s">
        <v>1797</v>
      </c>
      <c r="C378" s="5">
        <f ca="1">[1]!thsiFinD("ths_int_chg_ratio_index",$A378,C$1,C$2)/100</f>
        <v>-0.17472009560221</v>
      </c>
      <c r="D378" s="5">
        <f ca="1">[1]!thsiFinD("ths_int_chg_ratio_index",$A378,D$1,D$2)/100</f>
        <v>2.0913416157242001E-2</v>
      </c>
      <c r="E378" s="5">
        <f ca="1">[1]!thsiFinD("ths_int_chg_ratio_index",$A378,E$1,E$2)/100</f>
        <v>-9.8649649382265989E-2</v>
      </c>
      <c r="F378" s="2" t="s">
        <v>1338</v>
      </c>
      <c r="G378" s="2" t="s">
        <v>1339</v>
      </c>
      <c r="H378" s="2">
        <v>334.5</v>
      </c>
      <c r="I378" s="2" t="s">
        <v>1516</v>
      </c>
      <c r="J378" s="2" t="s">
        <v>1517</v>
      </c>
      <c r="K378" s="2">
        <v>315.5</v>
      </c>
      <c r="L378" s="2" t="s">
        <v>514</v>
      </c>
      <c r="M378" s="2" t="s">
        <v>515</v>
      </c>
      <c r="N378" s="2">
        <v>312.89999999999998</v>
      </c>
      <c r="O378" s="2" t="s">
        <v>950</v>
      </c>
      <c r="P378" s="2" t="s">
        <v>951</v>
      </c>
      <c r="Q378" s="2">
        <v>312.7</v>
      </c>
      <c r="R378" s="2" t="s">
        <v>1340</v>
      </c>
      <c r="S378" s="2" t="s">
        <v>1341</v>
      </c>
      <c r="T378" s="2">
        <v>303</v>
      </c>
    </row>
    <row r="379" spans="1:20" x14ac:dyDescent="0.25">
      <c r="A379" s="2" t="s">
        <v>1798</v>
      </c>
      <c r="B379" s="2" t="s">
        <v>1799</v>
      </c>
      <c r="C379" s="5">
        <f ca="1">[1]!thsiFinD("ths_int_chg_ratio_index",$A379,C$1,C$2)/100</f>
        <v>-0.17682347417921998</v>
      </c>
      <c r="D379" s="5">
        <f ca="1">[1]!thsiFinD("ths_int_chg_ratio_index",$A379,D$1,D$2)/100</f>
        <v>1.1373062463882999E-2</v>
      </c>
      <c r="E379" s="5">
        <f ca="1">[1]!thsiFinD("ths_int_chg_ratio_index",$A379,E$1,E$2)/100</f>
        <v>-8.6572812448844003E-2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1:20" x14ac:dyDescent="0.25">
      <c r="A380" s="2" t="s">
        <v>1800</v>
      </c>
      <c r="B380" s="2" t="s">
        <v>1801</v>
      </c>
      <c r="C380" s="5">
        <f ca="1">[1]!thsiFinD("ths_int_chg_ratio_index",$A380,C$1,C$2)/100</f>
        <v>-0.18782757422881999</v>
      </c>
      <c r="D380" s="5">
        <f ca="1">[1]!thsiFinD("ths_int_chg_ratio_index",$A380,D$1,D$2)/100</f>
        <v>-4.3313953780621001E-2</v>
      </c>
      <c r="E380" s="5">
        <f ca="1">[1]!thsiFinD("ths_int_chg_ratio_index",$A380,E$1,E$2)/100</f>
        <v>-9.2881709442120999E-2</v>
      </c>
      <c r="F380" s="2" t="s">
        <v>106</v>
      </c>
      <c r="G380" s="2" t="s">
        <v>107</v>
      </c>
      <c r="H380" s="2">
        <v>2027.7</v>
      </c>
      <c r="I380" s="2" t="s">
        <v>1290</v>
      </c>
      <c r="J380" s="2" t="s">
        <v>1291</v>
      </c>
      <c r="K380" s="2">
        <v>789.5</v>
      </c>
      <c r="L380" s="2" t="s">
        <v>1280</v>
      </c>
      <c r="M380" s="2" t="s">
        <v>1281</v>
      </c>
      <c r="N380" s="2">
        <v>735.1</v>
      </c>
      <c r="O380" s="2" t="s">
        <v>282</v>
      </c>
      <c r="P380" s="2" t="s">
        <v>283</v>
      </c>
      <c r="Q380" s="2">
        <v>578.5</v>
      </c>
      <c r="R380" s="2" t="s">
        <v>1802</v>
      </c>
      <c r="S380" s="2" t="s">
        <v>1803</v>
      </c>
      <c r="T380" s="2">
        <v>293.7</v>
      </c>
    </row>
    <row r="381" spans="1:20" x14ac:dyDescent="0.25">
      <c r="A381" s="2" t="s">
        <v>1804</v>
      </c>
      <c r="B381" s="2" t="s">
        <v>1805</v>
      </c>
      <c r="C381" s="5">
        <f ca="1">[1]!thsiFinD("ths_int_chg_ratio_index",$A381,C$1,C$2)/100</f>
        <v>-0.18780958230183001</v>
      </c>
      <c r="D381" s="5">
        <f ca="1">[1]!thsiFinD("ths_int_chg_ratio_index",$A381,D$1,D$2)/100</f>
        <v>-3.8027062004949999E-2</v>
      </c>
      <c r="E381" s="5">
        <f ca="1">[1]!thsiFinD("ths_int_chg_ratio_index",$A381,E$1,E$2)/100</f>
        <v>-9.8430909712810002E-2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1:20" x14ac:dyDescent="0.25">
      <c r="A382" s="2" t="s">
        <v>1806</v>
      </c>
      <c r="B382" s="2" t="s">
        <v>1807</v>
      </c>
      <c r="C382" s="5">
        <f ca="1">[1]!thsiFinD("ths_int_chg_ratio_index",$A382,C$1,C$2)/100</f>
        <v>-0.19175358728894001</v>
      </c>
      <c r="D382" s="5">
        <f ca="1">[1]!thsiFinD("ths_int_chg_ratio_index",$A382,D$1,D$2)/100</f>
        <v>-3.9907949531466001E-2</v>
      </c>
      <c r="E382" s="5">
        <f ca="1">[1]!thsiFinD("ths_int_chg_ratio_index",$A382,E$1,E$2)/100</f>
        <v>-0.11965311150708001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1:20" x14ac:dyDescent="0.25">
      <c r="A383" s="2" t="s">
        <v>1808</v>
      </c>
      <c r="B383" s="2" t="s">
        <v>1809</v>
      </c>
      <c r="C383" s="5">
        <f ca="1">[1]!thsiFinD("ths_int_chg_ratio_index",$A383,C$1,C$2)/100</f>
        <v>-0.18303110272912998</v>
      </c>
      <c r="D383" s="5">
        <f ca="1">[1]!thsiFinD("ths_int_chg_ratio_index",$A383,D$1,D$2)/100</f>
        <v>-1.2646774558391001E-2</v>
      </c>
      <c r="E383" s="5">
        <f ca="1">[1]!thsiFinD("ths_int_chg_ratio_index",$A383,E$1,E$2)/100</f>
        <v>-0.10102868380173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spans="1:20" x14ac:dyDescent="0.25">
      <c r="A384" s="2" t="s">
        <v>1810</v>
      </c>
      <c r="B384" s="2" t="s">
        <v>1811</v>
      </c>
      <c r="C384" s="5">
        <f ca="1">[1]!thsiFinD("ths_int_chg_ratio_index",$A384,C$1,C$2)/100</f>
        <v>-0.20178013634176001</v>
      </c>
      <c r="D384" s="5">
        <f ca="1">[1]!thsiFinD("ths_int_chg_ratio_index",$A384,D$1,D$2)/100</f>
        <v>-3.4035170338449001E-2</v>
      </c>
      <c r="E384" s="5">
        <f ca="1">[1]!thsiFinD("ths_int_chg_ratio_index",$A384,E$1,E$2)/100</f>
        <v>-0.11697447201126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1:20" x14ac:dyDescent="0.25">
      <c r="A385" s="2" t="s">
        <v>1812</v>
      </c>
      <c r="B385" s="2" t="s">
        <v>1813</v>
      </c>
      <c r="C385" s="5">
        <f ca="1">[1]!thsiFinD("ths_int_chg_ratio_index",$A385,C$1,C$2)/100</f>
        <v>-0.20210203447823002</v>
      </c>
      <c r="D385" s="5">
        <f ca="1">[1]!thsiFinD("ths_int_chg_ratio_index",$A385,D$1,D$2)/100</f>
        <v>-3.9190241543253998E-3</v>
      </c>
      <c r="E385" s="5">
        <f ca="1">[1]!thsiFinD("ths_int_chg_ratio_index",$A385,E$1,E$2)/100</f>
        <v>-9.2877669865216991E-2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1:20" x14ac:dyDescent="0.25">
      <c r="A386" s="2" t="s">
        <v>1814</v>
      </c>
      <c r="B386" s="2" t="s">
        <v>1815</v>
      </c>
      <c r="C386" s="5">
        <f ca="1">[1]!thsiFinD("ths_int_chg_ratio_index",$A386,C$1,C$2)/100</f>
        <v>-0.20875295928279003</v>
      </c>
      <c r="D386" s="5">
        <f ca="1">[1]!thsiFinD("ths_int_chg_ratio_index",$A386,D$1,D$2)/100</f>
        <v>-3.4794729944268001E-2</v>
      </c>
      <c r="E386" s="5">
        <f ca="1">[1]!thsiFinD("ths_int_chg_ratio_index",$A386,E$1,E$2)/100</f>
        <v>-8.3167569081973008E-2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1:20" x14ac:dyDescent="0.25">
      <c r="A387" s="2" t="s">
        <v>1816</v>
      </c>
      <c r="B387" s="2" t="s">
        <v>1817</v>
      </c>
      <c r="C387" s="5">
        <f ca="1">[1]!thsiFinD("ths_int_chg_ratio_index",$A387,C$1,C$2)/100</f>
        <v>-0.20350284120661999</v>
      </c>
      <c r="D387" s="5">
        <f ca="1">[1]!thsiFinD("ths_int_chg_ratio_index",$A387,D$1,D$2)/100</f>
        <v>-1.8703077130545999E-4</v>
      </c>
      <c r="E387" s="5">
        <f ca="1">[1]!thsiFinD("ths_int_chg_ratio_index",$A387,E$1,E$2)/100</f>
        <v>-8.5672163270769999E-2</v>
      </c>
      <c r="F387" s="2" t="s">
        <v>396</v>
      </c>
      <c r="G387" s="2" t="s">
        <v>397</v>
      </c>
      <c r="H387" s="2">
        <v>1430.8</v>
      </c>
      <c r="I387" s="2" t="s">
        <v>1818</v>
      </c>
      <c r="J387" s="2" t="s">
        <v>1819</v>
      </c>
      <c r="K387" s="2">
        <v>621.29999999999995</v>
      </c>
      <c r="L387" s="2" t="s">
        <v>1820</v>
      </c>
      <c r="M387" s="2" t="s">
        <v>1821</v>
      </c>
      <c r="N387" s="2">
        <v>425.3</v>
      </c>
      <c r="O387" s="2" t="s">
        <v>1822</v>
      </c>
      <c r="P387" s="2" t="s">
        <v>1823</v>
      </c>
      <c r="Q387" s="2">
        <v>391.2</v>
      </c>
      <c r="R387" s="2" t="s">
        <v>1736</v>
      </c>
      <c r="S387" s="2" t="s">
        <v>1737</v>
      </c>
      <c r="T387" s="2">
        <v>261.5</v>
      </c>
    </row>
    <row r="388" spans="1:20" x14ac:dyDescent="0.25">
      <c r="A388" s="2" t="s">
        <v>1824</v>
      </c>
      <c r="B388" s="2" t="s">
        <v>1825</v>
      </c>
      <c r="C388" s="5">
        <f ca="1">[1]!thsiFinD("ths_int_chg_ratio_index",$A388,C$1,C$2)/100</f>
        <v>-0.20851274136629999</v>
      </c>
      <c r="D388" s="5">
        <f ca="1">[1]!thsiFinD("ths_int_chg_ratio_index",$A388,D$1,D$2)/100</f>
        <v>-1.6072096464915E-2</v>
      </c>
      <c r="E388" s="5">
        <f ca="1">[1]!thsiFinD("ths_int_chg_ratio_index",$A388,E$1,E$2)/100</f>
        <v>-9.0571631807667002E-2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1:20" x14ac:dyDescent="0.25">
      <c r="A389" s="2" t="s">
        <v>1826</v>
      </c>
      <c r="B389" s="2" t="s">
        <v>1827</v>
      </c>
      <c r="C389" s="5">
        <f ca="1">[1]!thsiFinD("ths_int_chg_ratio_index",$A389,C$1,C$2)/100</f>
        <v>-0.21627580055508999</v>
      </c>
      <c r="D389" s="5">
        <f ca="1">[1]!thsiFinD("ths_int_chg_ratio_index",$A389,D$1,D$2)/100</f>
        <v>-3.8043290518761999E-2</v>
      </c>
      <c r="E389" s="5">
        <f ca="1">[1]!thsiFinD("ths_int_chg_ratio_index",$A389,E$1,E$2)/100</f>
        <v>-9.8076733823399001E-2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1:20" x14ac:dyDescent="0.25">
      <c r="A390" s="2" t="s">
        <v>1828</v>
      </c>
      <c r="B390" s="2" t="s">
        <v>1829</v>
      </c>
      <c r="C390" s="5">
        <f ca="1">[1]!thsiFinD("ths_int_chg_ratio_index",$A390,C$1,C$2)/100</f>
        <v>-0.22754919183594002</v>
      </c>
      <c r="D390" s="5">
        <f ca="1">[1]!thsiFinD("ths_int_chg_ratio_index",$A390,D$1,D$2)/100</f>
        <v>-4.7535014246731004E-2</v>
      </c>
      <c r="E390" s="5">
        <f ca="1">[1]!thsiFinD("ths_int_chg_ratio_index",$A390,E$1,E$2)/100</f>
        <v>-0.12603521293344</v>
      </c>
      <c r="F390" s="2" t="s">
        <v>1830</v>
      </c>
      <c r="G390" s="2" t="s">
        <v>1831</v>
      </c>
      <c r="H390" s="2">
        <v>1278</v>
      </c>
      <c r="I390" s="2" t="s">
        <v>1290</v>
      </c>
      <c r="J390" s="2" t="s">
        <v>1291</v>
      </c>
      <c r="K390" s="2">
        <v>789.5</v>
      </c>
      <c r="L390" s="2" t="s">
        <v>1280</v>
      </c>
      <c r="M390" s="2" t="s">
        <v>1281</v>
      </c>
      <c r="N390" s="2">
        <v>735.1</v>
      </c>
      <c r="O390" s="2" t="s">
        <v>1618</v>
      </c>
      <c r="P390" s="2" t="s">
        <v>1619</v>
      </c>
      <c r="Q390" s="2">
        <v>677.4</v>
      </c>
      <c r="R390" s="2" t="s">
        <v>1832</v>
      </c>
      <c r="S390" s="2" t="s">
        <v>1833</v>
      </c>
      <c r="T390" s="2">
        <v>279</v>
      </c>
    </row>
    <row r="391" spans="1:20" x14ac:dyDescent="0.25">
      <c r="A391" s="2" t="s">
        <v>1834</v>
      </c>
      <c r="B391" s="2" t="s">
        <v>1835</v>
      </c>
      <c r="C391" s="5">
        <f ca="1">[1]!thsiFinD("ths_int_chg_ratio_index",$A391,C$1,C$2)/100</f>
        <v>-0.22285207662985002</v>
      </c>
      <c r="D391" s="5">
        <f ca="1">[1]!thsiFinD("ths_int_chg_ratio_index",$A391,D$1,D$2)/100</f>
        <v>1.5144621106442E-2</v>
      </c>
      <c r="E391" s="5">
        <f ca="1">[1]!thsiFinD("ths_int_chg_ratio_index",$A391,E$1,E$2)/100</f>
        <v>-9.9303874752484991E-2</v>
      </c>
      <c r="F391" s="2" t="s">
        <v>306</v>
      </c>
      <c r="G391" s="2" t="s">
        <v>307</v>
      </c>
      <c r="H391" s="2">
        <v>1441</v>
      </c>
      <c r="I391" s="2" t="s">
        <v>1072</v>
      </c>
      <c r="J391" s="2" t="s">
        <v>1073</v>
      </c>
      <c r="K391" s="2">
        <v>906.4</v>
      </c>
      <c r="L391" s="2" t="s">
        <v>1480</v>
      </c>
      <c r="M391" s="2" t="s">
        <v>1481</v>
      </c>
      <c r="N391" s="2">
        <v>682.9</v>
      </c>
      <c r="O391" s="2" t="s">
        <v>1440</v>
      </c>
      <c r="P391" s="2" t="s">
        <v>1441</v>
      </c>
      <c r="Q391" s="2">
        <v>578</v>
      </c>
      <c r="R391" s="2" t="s">
        <v>1098</v>
      </c>
      <c r="S391" s="2" t="s">
        <v>1099</v>
      </c>
      <c r="T391" s="2">
        <v>421.3</v>
      </c>
    </row>
    <row r="392" spans="1:20" x14ac:dyDescent="0.25">
      <c r="A392" s="2" t="s">
        <v>1836</v>
      </c>
      <c r="B392" s="2" t="s">
        <v>1837</v>
      </c>
      <c r="C392" s="5">
        <f ca="1">[1]!thsiFinD("ths_int_chg_ratio_index",$A392,C$1,C$2)/100</f>
        <v>-0.22188621752978002</v>
      </c>
      <c r="D392" s="5">
        <f ca="1">[1]!thsiFinD("ths_int_chg_ratio_index",$A392,D$1,D$2)/100</f>
        <v>-5.1372435421463006E-3</v>
      </c>
      <c r="E392" s="5">
        <f ca="1">[1]!thsiFinD("ths_int_chg_ratio_index",$A392,E$1,E$2)/100</f>
        <v>-0.11415410551432</v>
      </c>
      <c r="F392" s="2" t="s">
        <v>706</v>
      </c>
      <c r="G392" s="2" t="s">
        <v>707</v>
      </c>
      <c r="H392" s="2">
        <v>1202.4000000000001</v>
      </c>
      <c r="I392" s="2" t="s">
        <v>1838</v>
      </c>
      <c r="J392" s="2" t="s">
        <v>1839</v>
      </c>
      <c r="K392" s="2">
        <v>615.9</v>
      </c>
      <c r="L392" s="2" t="s">
        <v>368</v>
      </c>
      <c r="M392" s="2" t="s">
        <v>369</v>
      </c>
      <c r="N392" s="2">
        <v>408.3</v>
      </c>
      <c r="O392" s="2" t="s">
        <v>732</v>
      </c>
      <c r="P392" s="2" t="s">
        <v>733</v>
      </c>
      <c r="Q392" s="2">
        <v>389</v>
      </c>
      <c r="R392" s="2" t="s">
        <v>1006</v>
      </c>
      <c r="S392" s="2" t="s">
        <v>1007</v>
      </c>
      <c r="T392" s="2">
        <v>316.7</v>
      </c>
    </row>
    <row r="393" spans="1:20" x14ac:dyDescent="0.25">
      <c r="A393" s="2" t="s">
        <v>1840</v>
      </c>
      <c r="B393" s="2" t="s">
        <v>1841</v>
      </c>
      <c r="C393" s="5">
        <f ca="1">[1]!thsiFinD("ths_int_chg_ratio_index",$A393,C$1,C$2)/100</f>
        <v>-0.21520757479902999</v>
      </c>
      <c r="D393" s="5">
        <f ca="1">[1]!thsiFinD("ths_int_chg_ratio_index",$A393,D$1,D$2)/100</f>
        <v>2.3468815737062002E-2</v>
      </c>
      <c r="E393" s="5">
        <f ca="1">[1]!thsiFinD("ths_int_chg_ratio_index",$A393,E$1,E$2)/100</f>
        <v>-0.10315215374542999</v>
      </c>
      <c r="F393" s="2" t="s">
        <v>1842</v>
      </c>
      <c r="G393" s="2" t="s">
        <v>1843</v>
      </c>
      <c r="H393" s="2">
        <v>245.3</v>
      </c>
      <c r="I393" s="2" t="s">
        <v>1486</v>
      </c>
      <c r="J393" s="2" t="s">
        <v>1487</v>
      </c>
      <c r="K393" s="2">
        <v>178.8</v>
      </c>
      <c r="L393" s="2" t="s">
        <v>914</v>
      </c>
      <c r="M393" s="2" t="s">
        <v>915</v>
      </c>
      <c r="N393" s="2">
        <v>169.4</v>
      </c>
      <c r="O393" s="2" t="s">
        <v>1724</v>
      </c>
      <c r="P393" s="2" t="s">
        <v>1725</v>
      </c>
      <c r="Q393" s="2">
        <v>136.5</v>
      </c>
      <c r="R393" s="2" t="s">
        <v>1844</v>
      </c>
      <c r="S393" s="2" t="s">
        <v>1845</v>
      </c>
      <c r="T393" s="2">
        <v>133.19999999999999</v>
      </c>
    </row>
    <row r="394" spans="1:20" x14ac:dyDescent="0.25">
      <c r="A394" s="2" t="s">
        <v>1846</v>
      </c>
      <c r="B394" s="2" t="s">
        <v>1847</v>
      </c>
      <c r="C394" s="5">
        <f ca="1">[1]!thsiFinD("ths_int_chg_ratio_index",$A394,C$1,C$2)/100</f>
        <v>-0.24302736427254998</v>
      </c>
      <c r="D394" s="5">
        <f ca="1">[1]!thsiFinD("ths_int_chg_ratio_index",$A394,D$1,D$2)/100</f>
        <v>-3.0804813987221004E-3</v>
      </c>
      <c r="E394" s="5">
        <f ca="1">[1]!thsiFinD("ths_int_chg_ratio_index",$A394,E$1,E$2)/100</f>
        <v>-9.9969350622508002E-2</v>
      </c>
      <c r="F394" s="2" t="s">
        <v>1848</v>
      </c>
      <c r="G394" s="2" t="s">
        <v>1849</v>
      </c>
      <c r="H394" s="2">
        <v>220.4</v>
      </c>
      <c r="I394" s="2" t="s">
        <v>1850</v>
      </c>
      <c r="J394" s="2" t="s">
        <v>1851</v>
      </c>
      <c r="K394" s="2">
        <v>193.5</v>
      </c>
      <c r="L394" s="2" t="s">
        <v>1852</v>
      </c>
      <c r="M394" s="2" t="s">
        <v>1853</v>
      </c>
      <c r="N394" s="2">
        <v>119.1</v>
      </c>
      <c r="O394" s="2" t="s">
        <v>1854</v>
      </c>
      <c r="P394" s="2" t="s">
        <v>1855</v>
      </c>
      <c r="Q394" s="2">
        <v>112</v>
      </c>
      <c r="R394" s="2" t="s">
        <v>1856</v>
      </c>
      <c r="S394" s="2" t="s">
        <v>1857</v>
      </c>
      <c r="T394" s="2">
        <v>73.599999999999994</v>
      </c>
    </row>
    <row r="395" spans="1:20" x14ac:dyDescent="0.25">
      <c r="A395" s="2" t="s">
        <v>1858</v>
      </c>
      <c r="B395" s="2" t="s">
        <v>1859</v>
      </c>
      <c r="C395" s="5">
        <f ca="1">[1]!thsiFinD("ths_int_chg_ratio_index",$A395,C$1,C$2)/100</f>
        <v>-0.26629320821067998</v>
      </c>
      <c r="D395" s="5">
        <f ca="1">[1]!thsiFinD("ths_int_chg_ratio_index",$A395,D$1,D$2)/100</f>
        <v>-4.0794239845542E-2</v>
      </c>
      <c r="E395" s="5">
        <f ca="1">[1]!thsiFinD("ths_int_chg_ratio_index",$A395,E$1,E$2)/100</f>
        <v>-7.9930904685630008E-2</v>
      </c>
      <c r="F395" s="2" t="s">
        <v>134</v>
      </c>
      <c r="G395" s="2" t="s">
        <v>135</v>
      </c>
      <c r="H395" s="2">
        <v>1136.8</v>
      </c>
      <c r="I395" s="2" t="s">
        <v>1860</v>
      </c>
      <c r="J395" s="2" t="s">
        <v>1861</v>
      </c>
      <c r="K395" s="2">
        <v>1080.3</v>
      </c>
      <c r="L395" s="2" t="s">
        <v>1624</v>
      </c>
      <c r="M395" s="2" t="s">
        <v>1625</v>
      </c>
      <c r="N395" s="2">
        <v>610</v>
      </c>
      <c r="O395" s="2" t="s">
        <v>1862</v>
      </c>
      <c r="P395" s="2" t="s">
        <v>1863</v>
      </c>
      <c r="Q395" s="2">
        <v>473.9</v>
      </c>
      <c r="R395" s="2" t="s">
        <v>1864</v>
      </c>
      <c r="S395" s="2" t="s">
        <v>1865</v>
      </c>
      <c r="T395" s="2">
        <v>447.7</v>
      </c>
    </row>
    <row r="396" spans="1:20" x14ac:dyDescent="0.25">
      <c r="A396" s="2" t="s">
        <v>1866</v>
      </c>
      <c r="B396" s="2" t="s">
        <v>1867</v>
      </c>
      <c r="C396" s="5">
        <f ca="1">[1]!thsiFinD("ths_int_chg_ratio_index",$A396,C$1,C$2)/100</f>
        <v>-0.27549727439961003</v>
      </c>
      <c r="D396" s="5">
        <f ca="1">[1]!thsiFinD("ths_int_chg_ratio_index",$A396,D$1,D$2)/100</f>
        <v>-4.4139428544964006E-2</v>
      </c>
      <c r="E396" s="5">
        <f ca="1">[1]!thsiFinD("ths_int_chg_ratio_index",$A396,E$1,E$2)/100</f>
        <v>-0.12023680610148001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概念指数热点监控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白昕</cp:lastModifiedBy>
  <dcterms:created xsi:type="dcterms:W3CDTF">2026-06-18T14:38:13Z</dcterms:created>
  <dcterms:modified xsi:type="dcterms:W3CDTF">2026-06-22T02:33:05Z</dcterms:modified>
</cp:coreProperties>
</file>