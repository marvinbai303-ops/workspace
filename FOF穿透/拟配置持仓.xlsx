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xin\投顾组合材料\"/>
    </mc:Choice>
  </mc:AlternateContent>
  <bookViews>
    <workbookView xWindow="0" yWindow="0" windowWidth="25600" windowHeight="11620"/>
  </bookViews>
  <sheets>
    <sheet name="Sheet1" sheetId="1" r:id="rId1"/>
    <sheet name="指增" sheetId="2" r:id="rId2"/>
    <sheet name="产业趋势" sheetId="3" r:id="rId3"/>
  </sheets>
  <externalReferences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1" l="1"/>
  <c r="N15" i="1"/>
  <c r="L15" i="1"/>
  <c r="N7" i="1"/>
  <c r="N8" i="1"/>
  <c r="N9" i="1"/>
  <c r="N10" i="1"/>
  <c r="N11" i="1"/>
  <c r="N12" i="1"/>
  <c r="N13" i="1"/>
  <c r="N6" i="1"/>
  <c r="M7" i="1"/>
  <c r="M8" i="1"/>
  <c r="M9" i="1"/>
  <c r="M10" i="1"/>
  <c r="M11" i="1"/>
  <c r="M12" i="1"/>
  <c r="M13" i="1"/>
  <c r="M6" i="1"/>
  <c r="E27" i="1"/>
  <c r="E20" i="1"/>
  <c r="E21" i="1"/>
  <c r="E22" i="1"/>
  <c r="E23" i="1"/>
  <c r="E24" i="1"/>
  <c r="E25" i="1"/>
  <c r="E26" i="1"/>
  <c r="L7" i="1" l="1"/>
  <c r="L8" i="1"/>
  <c r="L9" i="1"/>
  <c r="L10" i="1"/>
  <c r="L11" i="1"/>
  <c r="L12" i="1"/>
  <c r="L13" i="1"/>
  <c r="L6" i="1"/>
  <c r="E5" i="1"/>
  <c r="E10" i="1"/>
  <c r="E6" i="1"/>
  <c r="E7" i="1"/>
  <c r="E9" i="1"/>
  <c r="E8" i="1"/>
  <c r="E4" i="1"/>
</calcChain>
</file>

<file path=xl/sharedStrings.xml><?xml version="1.0" encoding="utf-8"?>
<sst xmlns="http://schemas.openxmlformats.org/spreadsheetml/2006/main" count="108" uniqueCount="53">
  <si>
    <t>基金代码/基金名称</t>
  </si>
  <si>
    <t>基金类型</t>
  </si>
  <si>
    <t>持仓比例</t>
  </si>
  <si>
    <t>固定收益投资、货币市场工具、银行存款和结算备付金比例</t>
  </si>
  <si>
    <t>代码</t>
  </si>
  <si>
    <t>基金</t>
  </si>
  <si>
    <t>初始配比</t>
  </si>
  <si>
    <t>001170.OF</t>
  </si>
  <si>
    <t>宏利复兴伟业</t>
  </si>
  <si>
    <t>011369.OF</t>
  </si>
  <si>
    <t>华商均衡成长</t>
  </si>
  <si>
    <t>001513.OF</t>
  </si>
  <si>
    <t>易方达信息产业</t>
  </si>
  <si>
    <t>013840.OF</t>
  </si>
  <si>
    <t>银华集成电路混合A</t>
  </si>
  <si>
    <t>015453.OF</t>
  </si>
  <si>
    <t>中欧中证500指数增强A</t>
  </si>
  <si>
    <t>014201.OF</t>
  </si>
  <si>
    <t>天弘中证1000指数增强A</t>
  </si>
  <si>
    <t>019923.OF</t>
  </si>
  <si>
    <t>华泰柏瑞中证2000指数增强A</t>
  </si>
  <si>
    <t>007044.OF</t>
  </si>
  <si>
    <t>博道沪深300指数增强A</t>
  </si>
  <si>
    <t>10/90配比</t>
    <phoneticPr fontId="3" type="noConversion"/>
  </si>
  <si>
    <t>基金经理</t>
  </si>
  <si>
    <t>宋婷,钱亚婷</t>
  </si>
  <si>
    <t>001556.OF</t>
  </si>
  <si>
    <t>天弘中证500指数增强A</t>
  </si>
  <si>
    <t>杨超</t>
  </si>
  <si>
    <t>017953.OF</t>
  </si>
  <si>
    <t>汇添富中证1000指数增强A</t>
  </si>
  <si>
    <t>王星星,许一尊</t>
  </si>
  <si>
    <t>盛豪,孔令烨,雷文渊</t>
  </si>
  <si>
    <t>019918.OF</t>
  </si>
  <si>
    <t>招商中证2000指数增强A</t>
  </si>
  <si>
    <t>王平,刘浒</t>
  </si>
  <si>
    <t>杨梦</t>
  </si>
  <si>
    <t>003957.OF</t>
  </si>
  <si>
    <t>安信量化精选沪深300指数增强A</t>
  </si>
  <si>
    <t>施荣盛</t>
  </si>
  <si>
    <t>027033.OF</t>
  </si>
  <si>
    <t>中银中证科创创业人工智能指数A</t>
  </si>
  <si>
    <t>易方达信息产业A</t>
  </si>
  <si>
    <t>001323.OF</t>
  </si>
  <si>
    <t>东吴移动互联A</t>
  </si>
  <si>
    <t>002164.OF</t>
  </si>
  <si>
    <t>汇添富新睿精选混合C</t>
  </si>
  <si>
    <t>20/80配比</t>
    <phoneticPr fontId="3" type="noConversion"/>
  </si>
  <si>
    <t>30/70配比</t>
    <phoneticPr fontId="3" type="noConversion"/>
  </si>
  <si>
    <t>000216.OF</t>
  </si>
  <si>
    <t>华安黄金ETF联接A</t>
  </si>
  <si>
    <t>161119.OF</t>
    <phoneticPr fontId="3" type="noConversion"/>
  </si>
  <si>
    <t>易方达中债新综指(LOF)A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</si>
</sst>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0.0%"/>
  </numFmts>
  <fonts count="9" x14ac:knownFonts="1">
    <font>
      <sz val="11"/>
      <color theme="1"/>
      <name val="宋体"/>
      <family val="2"/>
      <charset val="134"/>
      <scheme val="minor"/>
    </font>
    <font>
      <b/>
      <sz val="9"/>
      <color rgb="FF000000"/>
      <name val="仿宋"/>
      <family val="3"/>
      <charset val="134"/>
    </font>
    <font>
      <b/>
      <sz val="8"/>
      <color rgb="FF000000"/>
      <name val="仿宋"/>
      <family val="3"/>
      <charset val="134"/>
    </font>
    <font>
      <sz val="9"/>
      <name val="宋体"/>
      <family val="2"/>
      <charset val="134"/>
      <scheme val="minor"/>
    </font>
    <font>
      <b/>
      <sz val="11"/>
      <color rgb="FF000000"/>
      <name val="华文中宋"/>
      <family val="3"/>
      <charset val="134"/>
    </font>
    <font>
      <sz val="9"/>
      <color rgb="FF000000"/>
      <name val="华文中宋"/>
      <family val="3"/>
      <charset val="134"/>
    </font>
    <font>
      <b/>
      <u/>
      <sz val="10"/>
      <color rgb="FF000000"/>
      <name val="华文中宋"/>
      <family val="3"/>
      <charset val="134"/>
    </font>
    <font>
      <sz val="10"/>
      <color rgb="FF000000"/>
      <name val="华文中宋"/>
      <family val="3"/>
      <charset val="134"/>
    </font>
    <font>
      <sz val="11"/>
      <color theme="1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10" fontId="6" fillId="2" borderId="0" xfId="0" applyNumberFormat="1" applyFont="1" applyFill="1" applyAlignment="1">
      <alignment horizontal="center" vertical="center" wrapText="1"/>
    </xf>
    <xf numFmtId="10" fontId="6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10" fontId="7" fillId="4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10" fontId="7" fillId="3" borderId="0" xfId="0" applyNumberFormat="1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10" fontId="7" fillId="5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9" fontId="2" fillId="0" borderId="3" xfId="0" applyNumberFormat="1" applyFont="1" applyBorder="1" applyAlignment="1">
      <alignment horizontal="center" vertical="center" wrapText="1"/>
    </xf>
    <xf numFmtId="181" fontId="2" fillId="0" borderId="3" xfId="1" applyNumberFormat="1" applyFont="1" applyBorder="1" applyAlignment="1">
      <alignment horizontal="right" vertical="center" wrapText="1"/>
    </xf>
    <xf numFmtId="10" fontId="6" fillId="6" borderId="0" xfId="0" applyNumberFormat="1" applyFont="1" applyFill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7"/>
  <sheetViews>
    <sheetView tabSelected="1" workbookViewId="0">
      <selection activeCell="L19" sqref="L19"/>
    </sheetView>
  </sheetViews>
  <sheetFormatPr defaultRowHeight="14" x14ac:dyDescent="0.25"/>
  <cols>
    <col min="10" max="10" width="9.54296875" customWidth="1"/>
    <col min="11" max="11" width="24.08984375" style="9" customWidth="1"/>
    <col min="12" max="12" width="11.7265625" customWidth="1"/>
    <col min="13" max="13" width="13.54296875" customWidth="1"/>
    <col min="14" max="14" width="13.7265625" customWidth="1"/>
  </cols>
  <sheetData>
    <row r="2" spans="2:14" ht="14.5" thickBot="1" x14ac:dyDescent="0.3"/>
    <row r="3" spans="2:14" ht="84.5" thickBot="1" x14ac:dyDescent="0.3">
      <c r="B3" s="1" t="s">
        <v>0</v>
      </c>
      <c r="C3" s="2" t="s">
        <v>1</v>
      </c>
      <c r="D3" s="2" t="s">
        <v>2</v>
      </c>
      <c r="E3" s="2" t="s">
        <v>3</v>
      </c>
    </row>
    <row r="4" spans="2:14" ht="29" thickBot="1" x14ac:dyDescent="0.3">
      <c r="B4" s="3" t="s">
        <v>40</v>
      </c>
      <c r="C4" s="3" t="s">
        <v>41</v>
      </c>
      <c r="D4" s="22">
        <v>0.2</v>
      </c>
      <c r="E4" s="23">
        <f>[1]!thsiFinD("ths_bond_mv_to_fanv_fund",B4,"2026-03-31")/100</f>
        <v>0</v>
      </c>
    </row>
    <row r="5" spans="2:14" ht="30.5" thickBot="1" x14ac:dyDescent="0.3">
      <c r="B5" s="3" t="s">
        <v>7</v>
      </c>
      <c r="C5" s="3" t="s">
        <v>8</v>
      </c>
      <c r="D5" s="22">
        <v>0.15</v>
      </c>
      <c r="E5" s="23">
        <f>[1]!thsiFinD("ths_bond_mv_to_fanv_fund",B5,"2026-03-31")/100</f>
        <v>0</v>
      </c>
      <c r="J5" s="4" t="s">
        <v>4</v>
      </c>
      <c r="K5" s="4" t="s">
        <v>5</v>
      </c>
      <c r="L5" s="4" t="s">
        <v>23</v>
      </c>
      <c r="M5" s="4" t="s">
        <v>47</v>
      </c>
      <c r="N5" s="4" t="s">
        <v>48</v>
      </c>
    </row>
    <row r="6" spans="2:14" ht="19.5" thickBot="1" x14ac:dyDescent="0.3">
      <c r="B6" s="3" t="s">
        <v>9</v>
      </c>
      <c r="C6" s="3" t="s">
        <v>10</v>
      </c>
      <c r="D6" s="22">
        <v>0.15</v>
      </c>
      <c r="E6" s="23">
        <f>[1]!thsiFinD("ths_bond_mv_to_fanv_fund",B6,"2026-03-31")/100</f>
        <v>0</v>
      </c>
      <c r="I6" s="7">
        <v>0.15</v>
      </c>
      <c r="J6" s="5" t="s">
        <v>7</v>
      </c>
      <c r="K6" s="6" t="s">
        <v>8</v>
      </c>
      <c r="L6" s="7">
        <f>I6*0.1</f>
        <v>1.4999999999999999E-2</v>
      </c>
      <c r="M6" s="7">
        <f>I6*0.2</f>
        <v>0.03</v>
      </c>
      <c r="N6" s="7">
        <f>I6*0.3</f>
        <v>4.4999999999999998E-2</v>
      </c>
    </row>
    <row r="7" spans="2:14" ht="19.5" thickBot="1" x14ac:dyDescent="0.3">
      <c r="B7" s="3" t="s">
        <v>11</v>
      </c>
      <c r="C7" s="3" t="s">
        <v>42</v>
      </c>
      <c r="D7" s="22">
        <v>0.15</v>
      </c>
      <c r="E7" s="23">
        <f>[1]!thsiFinD("ths_bond_mv_to_fanv_fund",B7,"2026-03-31")/100</f>
        <v>1.9733999260606E-4</v>
      </c>
      <c r="I7" s="7">
        <v>0.15</v>
      </c>
      <c r="J7" s="5" t="s">
        <v>9</v>
      </c>
      <c r="K7" s="6" t="s">
        <v>10</v>
      </c>
      <c r="L7" s="7">
        <f t="shared" ref="L7:L13" si="0">I7*0.1</f>
        <v>1.4999999999999999E-2</v>
      </c>
      <c r="M7" s="7">
        <f t="shared" ref="M7:M13" si="1">I7*0.2</f>
        <v>0.03</v>
      </c>
      <c r="N7" s="7">
        <f t="shared" ref="N7:N13" si="2">I7*0.3</f>
        <v>4.4999999999999998E-2</v>
      </c>
    </row>
    <row r="8" spans="2:14" ht="19.5" thickBot="1" x14ac:dyDescent="0.3">
      <c r="B8" s="3" t="s">
        <v>43</v>
      </c>
      <c r="C8" s="3" t="s">
        <v>44</v>
      </c>
      <c r="D8" s="22">
        <v>0.15</v>
      </c>
      <c r="E8" s="23">
        <f>[1]!thsiFinD("ths_bond_mv_to_fanv_fund",B8,"2026-03-31")/100</f>
        <v>0</v>
      </c>
      <c r="I8" s="7">
        <v>0.1</v>
      </c>
      <c r="J8" s="5" t="s">
        <v>11</v>
      </c>
      <c r="K8" s="6" t="s">
        <v>12</v>
      </c>
      <c r="L8" s="7">
        <f t="shared" si="0"/>
        <v>1.0000000000000002E-2</v>
      </c>
      <c r="M8" s="7">
        <f t="shared" si="1"/>
        <v>2.0000000000000004E-2</v>
      </c>
      <c r="N8" s="7">
        <f t="shared" si="2"/>
        <v>0.03</v>
      </c>
    </row>
    <row r="9" spans="2:14" ht="19.5" thickBot="1" x14ac:dyDescent="0.3">
      <c r="B9" s="3" t="s">
        <v>13</v>
      </c>
      <c r="C9" s="3" t="s">
        <v>14</v>
      </c>
      <c r="D9" s="22">
        <v>0.1</v>
      </c>
      <c r="E9" s="23">
        <f>[1]!thsiFinD("ths_bond_mv_to_fanv_fund",B9,"2026-03-31")/100</f>
        <v>3.1251568753733E-2</v>
      </c>
      <c r="I9" s="7">
        <v>0.1</v>
      </c>
      <c r="J9" s="5" t="s">
        <v>13</v>
      </c>
      <c r="K9" s="6" t="s">
        <v>14</v>
      </c>
      <c r="L9" s="7">
        <f t="shared" si="0"/>
        <v>1.0000000000000002E-2</v>
      </c>
      <c r="M9" s="7">
        <f t="shared" si="1"/>
        <v>2.0000000000000004E-2</v>
      </c>
      <c r="N9" s="7">
        <f t="shared" si="2"/>
        <v>0.03</v>
      </c>
    </row>
    <row r="10" spans="2:14" ht="19.5" thickBot="1" x14ac:dyDescent="0.3">
      <c r="B10" s="3" t="s">
        <v>45</v>
      </c>
      <c r="C10" s="3" t="s">
        <v>46</v>
      </c>
      <c r="D10" s="22">
        <v>0.1</v>
      </c>
      <c r="E10" s="23">
        <f>[1]!thsiFinD("ths_bond_mv_to_fanv_fund",B10,"2026-03-31")/100</f>
        <v>0</v>
      </c>
      <c r="I10" s="8">
        <v>0.125</v>
      </c>
      <c r="J10" s="5" t="s">
        <v>15</v>
      </c>
      <c r="K10" s="6" t="s">
        <v>16</v>
      </c>
      <c r="L10" s="24">
        <f t="shared" si="0"/>
        <v>1.2500000000000001E-2</v>
      </c>
      <c r="M10" s="24">
        <f t="shared" si="1"/>
        <v>2.5000000000000001E-2</v>
      </c>
      <c r="N10" s="24">
        <f t="shared" si="2"/>
        <v>3.7499999999999999E-2</v>
      </c>
    </row>
    <row r="11" spans="2:14" x14ac:dyDescent="0.25">
      <c r="I11" s="8">
        <v>0.125</v>
      </c>
      <c r="J11" s="5" t="s">
        <v>17</v>
      </c>
      <c r="K11" s="6" t="s">
        <v>18</v>
      </c>
      <c r="L11" s="24">
        <f t="shared" si="0"/>
        <v>1.2500000000000001E-2</v>
      </c>
      <c r="M11" s="24">
        <f t="shared" si="1"/>
        <v>2.5000000000000001E-2</v>
      </c>
      <c r="N11" s="24">
        <f t="shared" si="2"/>
        <v>3.7499999999999999E-2</v>
      </c>
    </row>
    <row r="12" spans="2:14" ht="25" x14ac:dyDescent="0.25">
      <c r="I12" s="8">
        <v>0.125</v>
      </c>
      <c r="J12" s="5" t="s">
        <v>19</v>
      </c>
      <c r="K12" s="6" t="s">
        <v>20</v>
      </c>
      <c r="L12" s="24">
        <f t="shared" si="0"/>
        <v>1.2500000000000001E-2</v>
      </c>
      <c r="M12" s="24">
        <f t="shared" si="1"/>
        <v>2.5000000000000001E-2</v>
      </c>
      <c r="N12" s="24">
        <f t="shared" si="2"/>
        <v>3.7499999999999999E-2</v>
      </c>
    </row>
    <row r="13" spans="2:14" x14ac:dyDescent="0.25">
      <c r="I13" s="8">
        <v>0.125</v>
      </c>
      <c r="J13" s="5" t="s">
        <v>21</v>
      </c>
      <c r="K13" s="6" t="s">
        <v>22</v>
      </c>
      <c r="L13" s="24">
        <f t="shared" si="0"/>
        <v>1.2500000000000001E-2</v>
      </c>
      <c r="M13" s="24">
        <f t="shared" si="1"/>
        <v>2.5000000000000001E-2</v>
      </c>
      <c r="N13" s="24">
        <f t="shared" si="2"/>
        <v>3.7499999999999999E-2</v>
      </c>
    </row>
    <row r="14" spans="2:14" x14ac:dyDescent="0.25">
      <c r="J14" s="5" t="s">
        <v>49</v>
      </c>
      <c r="K14" s="6" t="s">
        <v>50</v>
      </c>
      <c r="L14" s="24">
        <v>0.05</v>
      </c>
      <c r="M14" s="24">
        <v>0.05</v>
      </c>
      <c r="N14" s="24">
        <v>0.1</v>
      </c>
    </row>
    <row r="15" spans="2:14" x14ac:dyDescent="0.25">
      <c r="J15" s="5" t="s">
        <v>51</v>
      </c>
      <c r="K15" s="6" t="s">
        <v>52</v>
      </c>
      <c r="L15" s="24">
        <f>L16-SUM(L6:L14)</f>
        <v>0.85</v>
      </c>
      <c r="M15" s="24">
        <f t="shared" ref="M15:N15" si="3">M16-SUM(M6:M14)</f>
        <v>0.75</v>
      </c>
      <c r="N15" s="24">
        <f t="shared" si="3"/>
        <v>0.6</v>
      </c>
    </row>
    <row r="16" spans="2:14" x14ac:dyDescent="0.25">
      <c r="L16">
        <v>1</v>
      </c>
      <c r="M16">
        <v>1</v>
      </c>
      <c r="N16">
        <v>1</v>
      </c>
    </row>
    <row r="18" spans="2:5" ht="14.5" thickBot="1" x14ac:dyDescent="0.3"/>
    <row r="19" spans="2:5" ht="84.5" thickBot="1" x14ac:dyDescent="0.3">
      <c r="B19" s="1" t="s">
        <v>0</v>
      </c>
      <c r="C19" s="2" t="s">
        <v>1</v>
      </c>
      <c r="D19" s="2" t="s">
        <v>2</v>
      </c>
      <c r="E19" s="2" t="s">
        <v>3</v>
      </c>
    </row>
    <row r="20" spans="2:5" ht="29" thickBot="1" x14ac:dyDescent="0.3">
      <c r="B20" s="3" t="s">
        <v>15</v>
      </c>
      <c r="C20" s="3" t="s">
        <v>16</v>
      </c>
      <c r="D20" s="22">
        <v>0.125</v>
      </c>
      <c r="E20" s="23">
        <f>[1]!thsiFinD("ths_bond_mv_to_fanv_fund",B20,"2026-03-31")/100</f>
        <v>8.3464005393675007E-3</v>
      </c>
    </row>
    <row r="21" spans="2:5" ht="29" thickBot="1" x14ac:dyDescent="0.3">
      <c r="B21" s="3" t="s">
        <v>26</v>
      </c>
      <c r="C21" s="3" t="s">
        <v>27</v>
      </c>
      <c r="D21" s="22">
        <v>0.125</v>
      </c>
      <c r="E21" s="23">
        <f>[1]!thsiFinD("ths_bond_mv_to_fanv_fund",B21,"2026-03-31")/100</f>
        <v>1.7220693763905E-3</v>
      </c>
    </row>
    <row r="22" spans="2:5" ht="29" thickBot="1" x14ac:dyDescent="0.3">
      <c r="B22" s="3" t="s">
        <v>17</v>
      </c>
      <c r="C22" s="3" t="s">
        <v>18</v>
      </c>
      <c r="D22" s="22">
        <v>0.125</v>
      </c>
      <c r="E22" s="23">
        <f>[1]!thsiFinD("ths_bond_mv_to_fanv_fund",B22,"2026-03-31")/100</f>
        <v>1.0954216106545E-4</v>
      </c>
    </row>
    <row r="23" spans="2:5" ht="29" thickBot="1" x14ac:dyDescent="0.3">
      <c r="B23" s="3" t="s">
        <v>29</v>
      </c>
      <c r="C23" s="3" t="s">
        <v>30</v>
      </c>
      <c r="D23" s="22">
        <v>0.125</v>
      </c>
      <c r="E23" s="23">
        <f>[1]!thsiFinD("ths_bond_mv_to_fanv_fund",B23,"2026-03-31")/100</f>
        <v>0</v>
      </c>
    </row>
    <row r="24" spans="2:5" ht="29" thickBot="1" x14ac:dyDescent="0.3">
      <c r="B24" s="3" t="s">
        <v>19</v>
      </c>
      <c r="C24" s="3" t="s">
        <v>20</v>
      </c>
      <c r="D24" s="22">
        <v>0.125</v>
      </c>
      <c r="E24" s="23">
        <f>[1]!thsiFinD("ths_bond_mv_to_fanv_fund",B24,"2026-03-31")/100</f>
        <v>0</v>
      </c>
    </row>
    <row r="25" spans="2:5" ht="29" thickBot="1" x14ac:dyDescent="0.3">
      <c r="B25" s="3" t="s">
        <v>33</v>
      </c>
      <c r="C25" s="3" t="s">
        <v>34</v>
      </c>
      <c r="D25" s="22">
        <v>0.125</v>
      </c>
      <c r="E25" s="23">
        <f>[1]!thsiFinD("ths_bond_mv_to_fanv_fund",B25,"2026-03-31")/100</f>
        <v>1.0450080574491E-3</v>
      </c>
    </row>
    <row r="26" spans="2:5" ht="29" thickBot="1" x14ac:dyDescent="0.3">
      <c r="B26" s="3" t="s">
        <v>21</v>
      </c>
      <c r="C26" s="3" t="s">
        <v>22</v>
      </c>
      <c r="D26" s="22">
        <v>0.125</v>
      </c>
      <c r="E26" s="23">
        <f>[1]!thsiFinD("ths_bond_mv_to_fanv_fund",B26,"2026-03-31")/100</f>
        <v>5.1838932538191003E-2</v>
      </c>
    </row>
    <row r="27" spans="2:5" ht="29" thickBot="1" x14ac:dyDescent="0.3">
      <c r="B27" s="3" t="s">
        <v>37</v>
      </c>
      <c r="C27" s="3" t="s">
        <v>38</v>
      </c>
      <c r="D27" s="22">
        <v>0.125</v>
      </c>
      <c r="E27" s="23">
        <f>[1]!thsiFinD("ths_bond_mv_to_fanv_fund",B27,"2026-03-31")/100</f>
        <v>4.5235169232311002E-2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1"/>
  <sheetViews>
    <sheetView workbookViewId="0">
      <selection activeCell="D16" sqref="D16"/>
    </sheetView>
  </sheetViews>
  <sheetFormatPr defaultRowHeight="14" x14ac:dyDescent="0.25"/>
  <sheetData>
    <row r="3" spans="2:5" ht="30.5" thickBot="1" x14ac:dyDescent="0.3">
      <c r="B3" s="4" t="s">
        <v>4</v>
      </c>
      <c r="C3" s="4" t="s">
        <v>5</v>
      </c>
      <c r="D3" s="4" t="s">
        <v>24</v>
      </c>
      <c r="E3" s="4" t="s">
        <v>6</v>
      </c>
    </row>
    <row r="4" spans="2:5" ht="42" x14ac:dyDescent="0.25">
      <c r="B4" s="10" t="s">
        <v>15</v>
      </c>
      <c r="C4" s="11" t="s">
        <v>16</v>
      </c>
      <c r="D4" s="10" t="s">
        <v>25</v>
      </c>
      <c r="E4" s="12">
        <v>0.125</v>
      </c>
    </row>
    <row r="5" spans="2:5" ht="42" x14ac:dyDescent="0.25">
      <c r="B5" s="10" t="s">
        <v>26</v>
      </c>
      <c r="C5" s="11" t="s">
        <v>27</v>
      </c>
      <c r="D5" s="10" t="s">
        <v>28</v>
      </c>
      <c r="E5" s="12">
        <v>0.125</v>
      </c>
    </row>
    <row r="6" spans="2:5" ht="42" x14ac:dyDescent="0.25">
      <c r="B6" s="13" t="s">
        <v>17</v>
      </c>
      <c r="C6" s="14" t="s">
        <v>18</v>
      </c>
      <c r="D6" s="13" t="s">
        <v>28</v>
      </c>
      <c r="E6" s="15">
        <v>0.125</v>
      </c>
    </row>
    <row r="7" spans="2:5" ht="42" x14ac:dyDescent="0.25">
      <c r="B7" s="13" t="s">
        <v>29</v>
      </c>
      <c r="C7" s="14" t="s">
        <v>30</v>
      </c>
      <c r="D7" s="13" t="s">
        <v>31</v>
      </c>
      <c r="E7" s="15">
        <v>0.125</v>
      </c>
    </row>
    <row r="8" spans="2:5" ht="56" x14ac:dyDescent="0.25">
      <c r="B8" s="10" t="s">
        <v>19</v>
      </c>
      <c r="C8" s="11" t="s">
        <v>20</v>
      </c>
      <c r="D8" s="10" t="s">
        <v>32</v>
      </c>
      <c r="E8" s="12">
        <v>0.125</v>
      </c>
    </row>
    <row r="9" spans="2:5" ht="42" x14ac:dyDescent="0.25">
      <c r="B9" s="10" t="s">
        <v>33</v>
      </c>
      <c r="C9" s="11" t="s">
        <v>34</v>
      </c>
      <c r="D9" s="10" t="s">
        <v>35</v>
      </c>
      <c r="E9" s="12">
        <v>0.125</v>
      </c>
    </row>
    <row r="10" spans="2:5" ht="42" x14ac:dyDescent="0.25">
      <c r="B10" s="16" t="s">
        <v>21</v>
      </c>
      <c r="C10" s="17" t="s">
        <v>22</v>
      </c>
      <c r="D10" s="16" t="s">
        <v>36</v>
      </c>
      <c r="E10" s="18">
        <v>0.125</v>
      </c>
    </row>
    <row r="11" spans="2:5" ht="56" x14ac:dyDescent="0.25">
      <c r="B11" s="16" t="s">
        <v>37</v>
      </c>
      <c r="C11" s="17" t="s">
        <v>38</v>
      </c>
      <c r="D11" s="16" t="s">
        <v>39</v>
      </c>
      <c r="E11" s="18">
        <v>0.125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11"/>
  <sheetViews>
    <sheetView workbookViewId="0">
      <selection activeCell="H13" sqref="H13"/>
    </sheetView>
  </sheetViews>
  <sheetFormatPr defaultRowHeight="14" x14ac:dyDescent="0.25"/>
  <sheetData>
    <row r="4" spans="2:4" ht="30.5" thickBot="1" x14ac:dyDescent="0.3">
      <c r="B4" s="4" t="s">
        <v>4</v>
      </c>
      <c r="C4" s="4" t="s">
        <v>5</v>
      </c>
      <c r="D4" s="4" t="s">
        <v>6</v>
      </c>
    </row>
    <row r="5" spans="2:4" ht="56" x14ac:dyDescent="0.25">
      <c r="B5" s="19" t="s">
        <v>40</v>
      </c>
      <c r="C5" s="19" t="s">
        <v>41</v>
      </c>
      <c r="D5" s="20">
        <v>0.2</v>
      </c>
    </row>
    <row r="6" spans="2:4" ht="25" x14ac:dyDescent="0.25">
      <c r="B6" s="21" t="s">
        <v>7</v>
      </c>
      <c r="C6" s="21" t="s">
        <v>8</v>
      </c>
      <c r="D6" s="20">
        <v>0.15</v>
      </c>
    </row>
    <row r="7" spans="2:4" ht="25" x14ac:dyDescent="0.25">
      <c r="B7" s="21" t="s">
        <v>9</v>
      </c>
      <c r="C7" s="21" t="s">
        <v>10</v>
      </c>
      <c r="D7" s="20">
        <v>0.15</v>
      </c>
    </row>
    <row r="8" spans="2:4" ht="25" x14ac:dyDescent="0.25">
      <c r="B8" s="21" t="s">
        <v>11</v>
      </c>
      <c r="C8" s="21" t="s">
        <v>42</v>
      </c>
      <c r="D8" s="20">
        <v>0.15</v>
      </c>
    </row>
    <row r="9" spans="2:4" ht="25" x14ac:dyDescent="0.25">
      <c r="B9" s="21" t="s">
        <v>43</v>
      </c>
      <c r="C9" s="21" t="s">
        <v>44</v>
      </c>
      <c r="D9" s="20">
        <v>0.15</v>
      </c>
    </row>
    <row r="10" spans="2:4" ht="25" x14ac:dyDescent="0.25">
      <c r="B10" s="21" t="s">
        <v>13</v>
      </c>
      <c r="C10" s="21" t="s">
        <v>14</v>
      </c>
      <c r="D10" s="20">
        <v>0.1</v>
      </c>
    </row>
    <row r="11" spans="2:4" ht="37.5" x14ac:dyDescent="0.25">
      <c r="B11" s="21" t="s">
        <v>45</v>
      </c>
      <c r="C11" s="21" t="s">
        <v>46</v>
      </c>
      <c r="D11" s="20">
        <v>0.1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指增</vt:lpstr>
      <vt:lpstr>产业趋势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2026-06-03T10:41:17Z</dcterms:created>
  <dcterms:modified xsi:type="dcterms:W3CDTF">2026-06-03T12:32:52Z</dcterms:modified>
</cp:coreProperties>
</file>