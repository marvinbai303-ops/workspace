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E:\坚果云同步\我的坚果云\公司点评\北京君正\"/>
    </mc:Choice>
  </mc:AlternateContent>
  <xr:revisionPtr revIDLastSave="0" documentId="13_ncr:1_{164B0AE2-FEA0-4594-BE78-A81C244C6F88}" xr6:coauthVersionLast="47" xr6:coauthVersionMax="47" xr10:uidLastSave="{00000000-0000-0000-0000-000000000000}"/>
  <bookViews>
    <workbookView xWindow="-98" yWindow="-98" windowWidth="21795" windowHeight="12975" tabRatio="787" firstSheet="1" activeTab="11" xr2:uid="{00000000-000D-0000-FFFF-FFFF00000000}"/>
  </bookViews>
  <sheets>
    <sheet name="首页" sheetId="4" r:id="rId1"/>
    <sheet name="Financials at a glance" sheetId="21" r:id="rId2"/>
    <sheet name="历史数据" sheetId="1" r:id="rId3"/>
    <sheet name="经营模型" sheetId="5" r:id="rId4"/>
    <sheet name="经营模型拆分" sheetId="23" r:id="rId5"/>
    <sheet name="假设表" sheetId="3" r:id="rId6"/>
    <sheet name="关键项目预测" sheetId="8" r:id="rId7"/>
    <sheet name="历史数据及预测表" sheetId="2" r:id="rId8"/>
    <sheet name="估值表" sheetId="6" r:id="rId9"/>
    <sheet name="非财务信息" sheetId="9" r:id="rId10"/>
    <sheet name="关键比率" sheetId="10" r:id="rId11"/>
    <sheet name="输出表-首页用表" sheetId="18" r:id="rId12"/>
    <sheet name="输出表-利润表" sheetId="13" r:id="rId13"/>
    <sheet name="输出表-资产负债表" sheetId="15" r:id="rId14"/>
    <sheet name="输出表-现金流量表" sheetId="16" r:id="rId15"/>
    <sheet name="输出表-财务指标" sheetId="17" r:id="rId16"/>
    <sheet name="六张图" sheetId="20" r:id="rId17"/>
    <sheet name="校验警告" sheetId="19" r:id="rId18"/>
  </sheets>
  <externalReferences>
    <externalReference r:id="rId19"/>
    <externalReference r:id="rId20"/>
  </externalReferences>
  <definedNames>
    <definedName name="AccountMethod">[1]投资!$C$66</definedName>
    <definedName name="DebtFinancing">[1]筹资!$E$22</definedName>
    <definedName name="DepositRate">[1]筹资!$B$6</definedName>
    <definedName name="EndYear">[1]首页!$C$9</definedName>
    <definedName name="EstiDate">首页!$C$7</definedName>
    <definedName name="FinancingMethod">[1]筹资!$B$18</definedName>
    <definedName name="ics" localSheetId="9">非财务信息!$E$17</definedName>
    <definedName name="iRepType">1</definedName>
    <definedName name="IsInitialization">0</definedName>
    <definedName name="IssuePrice">[1]筹资!$E$24</definedName>
    <definedName name="LastEndYear">2007</definedName>
    <definedName name="LastEstiDate">40128</definedName>
    <definedName name="LastEstNum">2</definedName>
    <definedName name="LastHasNew">"否"</definedName>
    <definedName name="LastReportList">"2004;2005;2006;2007"</definedName>
    <definedName name="LastStYear">2004</definedName>
    <definedName name="LastTransitionYear">0</definedName>
    <definedName name="LastWindCode">"600028.SH"</definedName>
    <definedName name="LDebtFinancing">[1]筹资!$E$23</definedName>
    <definedName name="LongBorrowRate">[1]筹资!$B$8</definedName>
    <definedName name="MinCashBalance">[1]筹资!$B$9</definedName>
    <definedName name="nrAfter">假设表!$C$8:$C$162</definedName>
    <definedName name="nrBefore">假设表!$C$4:$C$7</definedName>
    <definedName name="NRPredictWay">假设表!$C:$C</definedName>
    <definedName name="PeriodGrowth">[1]绝对估值!$C$5</definedName>
    <definedName name="RepType">[1]首页!$C$11</definedName>
    <definedName name="ShortBorrowRate">[1]筹资!$B$7</definedName>
    <definedName name="StockCode">首页!$C$6</definedName>
    <definedName name="ThisEndYear">2008</definedName>
    <definedName name="ThisEstiDate">40128</definedName>
    <definedName name="ThisEstNum">3</definedName>
    <definedName name="ThisHasNew">"否"</definedName>
    <definedName name="ThisReportList">"2005;2006;2007;2008"</definedName>
    <definedName name="ThisStYear">2005</definedName>
    <definedName name="ThisTransitionYear">0</definedName>
    <definedName name="ThisWindCode">"600028.SH"</definedName>
    <definedName name="unit">10000</definedName>
    <definedName name="高6" localSheetId="12">#REF!</definedName>
    <definedName name="高6">#REF!</definedName>
  </definedNames>
  <calcPr calcId="191029" iterate="1"/>
</workbook>
</file>

<file path=xl/calcChain.xml><?xml version="1.0" encoding="utf-8"?>
<calcChain xmlns="http://schemas.openxmlformats.org/spreadsheetml/2006/main">
  <c r="J43" i="3" l="1"/>
  <c r="K43" i="3" s="1"/>
  <c r="L43" i="3" s="1"/>
  <c r="M43" i="3" s="1"/>
  <c r="N43" i="3" s="1"/>
  <c r="O43" i="3" s="1"/>
  <c r="P43" i="3" s="1"/>
  <c r="Q43" i="3" s="1"/>
  <c r="R43" i="3" s="1"/>
  <c r="S43" i="3" s="1"/>
  <c r="T43" i="3" s="1"/>
  <c r="J42" i="3"/>
  <c r="K42" i="3" s="1"/>
  <c r="L42" i="3" s="1"/>
  <c r="M42" i="3" s="1"/>
  <c r="N42" i="3" s="1"/>
  <c r="O42" i="3" s="1"/>
  <c r="P42" i="3" s="1"/>
  <c r="Q42" i="3" s="1"/>
  <c r="R42" i="3" s="1"/>
  <c r="S42" i="3" s="1"/>
  <c r="T42" i="3" s="1"/>
  <c r="J86" i="3"/>
  <c r="K86" i="3" s="1"/>
  <c r="T61" i="3"/>
  <c r="S61" i="3"/>
  <c r="R61" i="3"/>
  <c r="Q61" i="3"/>
  <c r="P61" i="3"/>
  <c r="O61" i="3"/>
  <c r="N61" i="3"/>
  <c r="M61" i="3"/>
  <c r="L61" i="3"/>
  <c r="K61" i="3"/>
  <c r="J61" i="3"/>
  <c r="I61" i="3"/>
  <c r="K136" i="23"/>
  <c r="K128" i="23"/>
  <c r="K132" i="23"/>
  <c r="K134" i="23"/>
  <c r="K73" i="23"/>
  <c r="K35" i="23"/>
  <c r="K39" i="23"/>
  <c r="K38" i="23" s="1"/>
  <c r="K53" i="23"/>
  <c r="K52" i="23" s="1"/>
  <c r="K60" i="23"/>
  <c r="K63" i="23"/>
  <c r="K78" i="23"/>
  <c r="K80" i="23"/>
  <c r="K82" i="23"/>
  <c r="K83" i="23"/>
  <c r="K85" i="23"/>
  <c r="K84" i="23" s="1"/>
  <c r="K117" i="23"/>
  <c r="K92" i="23"/>
  <c r="G45" i="23"/>
  <c r="G73" i="23"/>
  <c r="F76" i="23"/>
  <c r="B76" i="23"/>
  <c r="C76" i="23"/>
  <c r="D76" i="23"/>
  <c r="E76" i="23"/>
  <c r="G62" i="23"/>
  <c r="F62" i="23"/>
  <c r="G105" i="23"/>
  <c r="G101" i="23"/>
  <c r="G93" i="23"/>
  <c r="F20" i="23"/>
  <c r="F22" i="23" s="1"/>
  <c r="K3" i="23"/>
  <c r="G4" i="23"/>
  <c r="G12" i="23" s="1"/>
  <c r="G13" i="23" s="1"/>
  <c r="G5" i="23"/>
  <c r="F5" i="23"/>
  <c r="D124" i="23" s="1"/>
  <c r="F4" i="23"/>
  <c r="E104" i="23" s="1"/>
  <c r="F222" i="23"/>
  <c r="E222" i="23"/>
  <c r="D222" i="23"/>
  <c r="C222" i="23"/>
  <c r="B222" i="23"/>
  <c r="F220" i="23"/>
  <c r="E220" i="23"/>
  <c r="D220" i="23"/>
  <c r="C220" i="23"/>
  <c r="B220" i="23"/>
  <c r="F219" i="23"/>
  <c r="E219" i="23"/>
  <c r="D219" i="23"/>
  <c r="C219" i="23"/>
  <c r="B219" i="23"/>
  <c r="F217" i="23"/>
  <c r="E217" i="23"/>
  <c r="D217" i="23"/>
  <c r="C217" i="23"/>
  <c r="B217" i="23"/>
  <c r="F210" i="23"/>
  <c r="E210" i="23"/>
  <c r="D210" i="23"/>
  <c r="C210" i="23"/>
  <c r="B210" i="23"/>
  <c r="F208" i="23"/>
  <c r="E208" i="23"/>
  <c r="D208" i="23"/>
  <c r="C208" i="23"/>
  <c r="B208" i="23"/>
  <c r="E160" i="23"/>
  <c r="B152" i="23"/>
  <c r="E149" i="23"/>
  <c r="E153" i="23" s="1"/>
  <c r="D149" i="23"/>
  <c r="D154" i="23" s="1"/>
  <c r="D156" i="23" s="1"/>
  <c r="D157" i="23" s="1"/>
  <c r="C149" i="23"/>
  <c r="C154" i="23" s="1"/>
  <c r="C156" i="23" s="1"/>
  <c r="C157" i="23" s="1"/>
  <c r="B149" i="23"/>
  <c r="D145" i="23"/>
  <c r="C145" i="23"/>
  <c r="B145" i="23"/>
  <c r="D144" i="23"/>
  <c r="C144" i="23"/>
  <c r="B144" i="23"/>
  <c r="F142" i="23"/>
  <c r="E142" i="23"/>
  <c r="D142" i="23"/>
  <c r="C142" i="23"/>
  <c r="B142" i="23"/>
  <c r="F138" i="23"/>
  <c r="E138" i="23"/>
  <c r="D138" i="23"/>
  <c r="C138" i="23"/>
  <c r="B138" i="23"/>
  <c r="E136" i="23"/>
  <c r="D136" i="23"/>
  <c r="C136" i="23"/>
  <c r="B136" i="23"/>
  <c r="F134" i="23"/>
  <c r="E134" i="23"/>
  <c r="B134" i="23"/>
  <c r="C133" i="23"/>
  <c r="B133" i="23"/>
  <c r="C132" i="23"/>
  <c r="B132" i="23"/>
  <c r="C130" i="23"/>
  <c r="B130" i="23"/>
  <c r="C126" i="23"/>
  <c r="B126" i="23"/>
  <c r="F125" i="23"/>
  <c r="E125" i="23"/>
  <c r="D125" i="23"/>
  <c r="C124" i="23"/>
  <c r="G117" i="23"/>
  <c r="G134" i="23" s="1"/>
  <c r="J116" i="23"/>
  <c r="K116" i="23" s="1"/>
  <c r="D116" i="23"/>
  <c r="D114" i="23"/>
  <c r="C114" i="23"/>
  <c r="B114" i="23"/>
  <c r="D112" i="23"/>
  <c r="D110" i="23"/>
  <c r="C110" i="23"/>
  <c r="B110" i="23"/>
  <c r="E109" i="23"/>
  <c r="E111" i="23" s="1"/>
  <c r="F105" i="23"/>
  <c r="D103" i="23"/>
  <c r="D111" i="23" s="1"/>
  <c r="C103" i="23"/>
  <c r="C111" i="23" s="1"/>
  <c r="B103" i="23"/>
  <c r="B115" i="23" s="1"/>
  <c r="J101" i="23"/>
  <c r="K101" i="23" s="1"/>
  <c r="K130" i="23" s="1"/>
  <c r="F101" i="23"/>
  <c r="E101" i="23"/>
  <c r="D101" i="23"/>
  <c r="F93" i="23"/>
  <c r="E93" i="23"/>
  <c r="D93" i="23"/>
  <c r="C93" i="23"/>
  <c r="H92" i="23"/>
  <c r="J85" i="23"/>
  <c r="I85" i="23"/>
  <c r="H85" i="23"/>
  <c r="H84" i="23" s="1"/>
  <c r="G85" i="23"/>
  <c r="F85" i="23"/>
  <c r="E85" i="23"/>
  <c r="D85" i="23"/>
  <c r="C85" i="23"/>
  <c r="B85" i="23"/>
  <c r="B84" i="23" s="1"/>
  <c r="C84" i="23" s="1"/>
  <c r="D84" i="23" s="1"/>
  <c r="E84" i="23" s="1"/>
  <c r="F84" i="23" s="1"/>
  <c r="J83" i="23"/>
  <c r="I83" i="23"/>
  <c r="H83" i="23"/>
  <c r="H82" i="23" s="1"/>
  <c r="G83" i="23"/>
  <c r="F83" i="23"/>
  <c r="E83" i="23"/>
  <c r="D83" i="23"/>
  <c r="C83" i="23"/>
  <c r="C82" i="23" s="1"/>
  <c r="J80" i="23"/>
  <c r="I80" i="23"/>
  <c r="H80" i="23"/>
  <c r="G80" i="23"/>
  <c r="F80" i="23"/>
  <c r="E80" i="23"/>
  <c r="D80" i="23"/>
  <c r="C80" i="23"/>
  <c r="B80" i="23"/>
  <c r="M79" i="23"/>
  <c r="J78" i="23"/>
  <c r="I78" i="23"/>
  <c r="H78" i="23"/>
  <c r="G78" i="23"/>
  <c r="F78" i="23"/>
  <c r="E78" i="23"/>
  <c r="D78" i="23"/>
  <c r="C78" i="23"/>
  <c r="B78" i="23"/>
  <c r="M77" i="23"/>
  <c r="F73" i="23"/>
  <c r="J73" i="23" s="1"/>
  <c r="J67" i="23"/>
  <c r="I67" i="23"/>
  <c r="H67" i="23"/>
  <c r="H66" i="23" s="1"/>
  <c r="G67" i="23"/>
  <c r="F67" i="23"/>
  <c r="E67" i="23"/>
  <c r="D67" i="23"/>
  <c r="C67" i="23"/>
  <c r="B67" i="23"/>
  <c r="B66" i="23" s="1"/>
  <c r="D63" i="23"/>
  <c r="E63" i="23" s="1"/>
  <c r="F63" i="23" s="1"/>
  <c r="G63" i="23" s="1"/>
  <c r="H63" i="23" s="1"/>
  <c r="I63" i="23" s="1"/>
  <c r="J63" i="23" s="1"/>
  <c r="J53" i="23"/>
  <c r="I53" i="23"/>
  <c r="H53" i="23"/>
  <c r="H52" i="23" s="1"/>
  <c r="G53" i="23"/>
  <c r="F53" i="23"/>
  <c r="E53" i="23"/>
  <c r="D53" i="23"/>
  <c r="C53" i="23"/>
  <c r="C52" i="23" s="1"/>
  <c r="D50" i="23"/>
  <c r="C50" i="23"/>
  <c r="B50" i="23"/>
  <c r="E49" i="23"/>
  <c r="F49" i="23" s="1"/>
  <c r="G49" i="23" s="1"/>
  <c r="H49" i="23" s="1"/>
  <c r="F45" i="23"/>
  <c r="E45" i="23"/>
  <c r="D45" i="23"/>
  <c r="J39" i="23"/>
  <c r="I39" i="23"/>
  <c r="H39" i="23"/>
  <c r="H38" i="23" s="1"/>
  <c r="G39" i="23"/>
  <c r="F39" i="23"/>
  <c r="E39" i="23"/>
  <c r="D39" i="23"/>
  <c r="C39" i="23"/>
  <c r="B39" i="23"/>
  <c r="B38" i="23" s="1"/>
  <c r="B40" i="23" s="1"/>
  <c r="D37" i="23"/>
  <c r="C37" i="23"/>
  <c r="B37" i="23"/>
  <c r="D36" i="23"/>
  <c r="C36" i="23"/>
  <c r="B36" i="23"/>
  <c r="E35" i="23"/>
  <c r="F35" i="23" s="1"/>
  <c r="G35" i="23" s="1"/>
  <c r="H35" i="23" s="1"/>
  <c r="I35" i="23" s="1"/>
  <c r="J35" i="23" s="1"/>
  <c r="B33" i="23"/>
  <c r="F31" i="23"/>
  <c r="E31" i="23"/>
  <c r="D31" i="23"/>
  <c r="C31" i="23"/>
  <c r="B23" i="23"/>
  <c r="F34" i="23"/>
  <c r="E20" i="23"/>
  <c r="E34" i="23" s="1"/>
  <c r="D20" i="23"/>
  <c r="C20" i="23"/>
  <c r="B20" i="23"/>
  <c r="F19" i="23"/>
  <c r="E19" i="23"/>
  <c r="D19" i="23"/>
  <c r="C19" i="23"/>
  <c r="B19" i="23"/>
  <c r="D16" i="23"/>
  <c r="C16" i="23"/>
  <c r="B16" i="23"/>
  <c r="B17" i="23" s="1"/>
  <c r="D15" i="23"/>
  <c r="C15" i="23"/>
  <c r="B15" i="23"/>
  <c r="F13" i="23"/>
  <c r="E13" i="23"/>
  <c r="D13" i="23"/>
  <c r="C13" i="23"/>
  <c r="B13" i="23"/>
  <c r="J3" i="23"/>
  <c r="I3" i="23"/>
  <c r="H3" i="23"/>
  <c r="D249" i="2"/>
  <c r="D248" i="2"/>
  <c r="D246" i="2"/>
  <c r="D244" i="2"/>
  <c r="D234" i="2"/>
  <c r="D196" i="2"/>
  <c r="E249" i="2"/>
  <c r="E248" i="2"/>
  <c r="E246" i="2"/>
  <c r="E244" i="2"/>
  <c r="E234" i="2"/>
  <c r="E196" i="2"/>
  <c r="F248" i="2"/>
  <c r="F246" i="2"/>
  <c r="F244" i="2"/>
  <c r="F234" i="2"/>
  <c r="F196" i="2"/>
  <c r="G248" i="2"/>
  <c r="G246" i="2"/>
  <c r="G244" i="2"/>
  <c r="G234" i="2"/>
  <c r="H248" i="2"/>
  <c r="H246" i="2"/>
  <c r="H244" i="2"/>
  <c r="H234" i="2"/>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3" i="1"/>
  <c r="C242" i="1"/>
  <c r="C241" i="1"/>
  <c r="C240" i="1"/>
  <c r="C239" i="1"/>
  <c r="C238" i="1"/>
  <c r="C236" i="1"/>
  <c r="C235" i="1"/>
  <c r="C234" i="1"/>
  <c r="C233" i="1"/>
  <c r="C232" i="1"/>
  <c r="C231" i="1"/>
  <c r="C230" i="1"/>
  <c r="C229" i="1"/>
  <c r="C228" i="1"/>
  <c r="C227" i="1"/>
  <c r="C226" i="1"/>
  <c r="C225" i="1"/>
  <c r="C224" i="1"/>
  <c r="C223" i="1"/>
  <c r="C222" i="1"/>
  <c r="C221" i="1"/>
  <c r="C220" i="1"/>
  <c r="C218" i="1"/>
  <c r="C217" i="1"/>
  <c r="C216" i="1"/>
  <c r="C215" i="1"/>
  <c r="C214" i="1"/>
  <c r="C213" i="1"/>
  <c r="C212" i="1"/>
  <c r="C211" i="1"/>
  <c r="C210" i="1"/>
  <c r="C209" i="1"/>
  <c r="C208" i="1"/>
  <c r="C207" i="1"/>
  <c r="C206" i="1"/>
  <c r="C205" i="1"/>
  <c r="C204" i="1"/>
  <c r="C203" i="1"/>
  <c r="C202"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67" i="1"/>
  <c r="C166" i="1"/>
  <c r="C165" i="1"/>
  <c r="C164" i="1"/>
  <c r="C163" i="1"/>
  <c r="C161" i="1"/>
  <c r="C160" i="1"/>
  <c r="C159" i="1"/>
  <c r="C158" i="1"/>
  <c r="C157" i="1"/>
  <c r="C156" i="1"/>
  <c r="C155" i="1"/>
  <c r="C154" i="1"/>
  <c r="C153" i="1"/>
  <c r="C152" i="1"/>
  <c r="C151" i="1"/>
  <c r="C150" i="1"/>
  <c r="C148" i="1"/>
  <c r="C147" i="1"/>
  <c r="C146" i="1"/>
  <c r="C144" i="1"/>
  <c r="C143" i="1"/>
  <c r="C142" i="1"/>
  <c r="C141" i="1"/>
  <c r="C140" i="1"/>
  <c r="C139" i="1"/>
  <c r="C138" i="1"/>
  <c r="C137" i="1"/>
  <c r="C136" i="1"/>
  <c r="C134"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6" i="1"/>
  <c r="C105" i="1"/>
  <c r="C104" i="1"/>
  <c r="C103" i="1"/>
  <c r="C101" i="1"/>
  <c r="C100" i="1"/>
  <c r="C99" i="1"/>
  <c r="C98" i="1"/>
  <c r="C97" i="1"/>
  <c r="C96" i="1"/>
  <c r="C95" i="1"/>
  <c r="C94" i="1"/>
  <c r="C93" i="1"/>
  <c r="C92" i="1"/>
  <c r="C91" i="1"/>
  <c r="C90" i="1"/>
  <c r="C89" i="1"/>
  <c r="C88" i="1"/>
  <c r="C87" i="1"/>
  <c r="C86" i="1"/>
  <c r="C85" i="1"/>
  <c r="C84" i="1"/>
  <c r="C83" i="1"/>
  <c r="C82" i="1"/>
  <c r="C81" i="1"/>
  <c r="C79" i="1"/>
  <c r="C77" i="1"/>
  <c r="C76" i="1"/>
  <c r="C75" i="1"/>
  <c r="C74" i="1"/>
  <c r="C73" i="1"/>
  <c r="C72" i="1"/>
  <c r="C71" i="1"/>
  <c r="C70" i="1"/>
  <c r="C69" i="1"/>
  <c r="C68" i="1"/>
  <c r="C67" i="1"/>
  <c r="C66" i="1"/>
  <c r="C65" i="1"/>
  <c r="C64" i="1"/>
  <c r="C63" i="1"/>
  <c r="C62" i="1"/>
  <c r="C61" i="1"/>
  <c r="C60" i="1"/>
  <c r="C59" i="1"/>
  <c r="C58" i="1"/>
  <c r="C57" i="1"/>
  <c r="C50" i="1"/>
  <c r="C49" i="1"/>
  <c r="C48" i="1"/>
  <c r="C47" i="1"/>
  <c r="C46" i="1"/>
  <c r="C45" i="1"/>
  <c r="C44" i="1"/>
  <c r="C42" i="1"/>
  <c r="C41" i="1"/>
  <c r="C40" i="1"/>
  <c r="C38" i="1"/>
  <c r="C37" i="1"/>
  <c r="C36" i="1"/>
  <c r="C35" i="1"/>
  <c r="C33" i="1"/>
  <c r="C32" i="1"/>
  <c r="C31" i="1"/>
  <c r="C30" i="1"/>
  <c r="C29" i="1"/>
  <c r="C28" i="1"/>
  <c r="C27" i="1"/>
  <c r="C26" i="1"/>
  <c r="C25" i="1"/>
  <c r="C23" i="1"/>
  <c r="C22" i="1"/>
  <c r="C21" i="1"/>
  <c r="D115" i="2" s="1"/>
  <c r="C20" i="1"/>
  <c r="C19" i="1"/>
  <c r="C18" i="1"/>
  <c r="C17" i="1"/>
  <c r="C16" i="1"/>
  <c r="C15" i="1"/>
  <c r="C14" i="1"/>
  <c r="C13" i="1"/>
  <c r="C12" i="1"/>
  <c r="C11" i="1"/>
  <c r="C10" i="1"/>
  <c r="C9" i="1"/>
  <c r="C8" i="1"/>
  <c r="C7" i="1"/>
  <c r="C6" i="1"/>
  <c r="C5" i="1"/>
  <c r="C4" i="1"/>
  <c r="C3"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3" i="1"/>
  <c r="D242" i="1"/>
  <c r="D241" i="1"/>
  <c r="D240" i="1"/>
  <c r="D239" i="1"/>
  <c r="D238" i="1"/>
  <c r="D236" i="1"/>
  <c r="D235" i="1"/>
  <c r="D234" i="1"/>
  <c r="D233" i="1"/>
  <c r="D232" i="1"/>
  <c r="D231" i="1"/>
  <c r="D230" i="1"/>
  <c r="D229" i="1"/>
  <c r="D228" i="1"/>
  <c r="D227" i="1"/>
  <c r="D226" i="1"/>
  <c r="D225" i="1"/>
  <c r="D224" i="1"/>
  <c r="D223" i="1"/>
  <c r="D222" i="1"/>
  <c r="D221" i="1"/>
  <c r="D220" i="1"/>
  <c r="D218" i="1"/>
  <c r="D217" i="1"/>
  <c r="D216" i="1"/>
  <c r="D215" i="1"/>
  <c r="D214" i="1"/>
  <c r="D213" i="1"/>
  <c r="D212" i="1"/>
  <c r="D211" i="1"/>
  <c r="D210" i="1"/>
  <c r="D209" i="1"/>
  <c r="D208" i="1"/>
  <c r="D207" i="1"/>
  <c r="D206" i="1"/>
  <c r="D205" i="1"/>
  <c r="D204" i="1"/>
  <c r="D203" i="1"/>
  <c r="D202"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67" i="1"/>
  <c r="D166" i="1"/>
  <c r="D165" i="1"/>
  <c r="D164" i="1"/>
  <c r="D163" i="1"/>
  <c r="D161" i="1"/>
  <c r="D160" i="1"/>
  <c r="D159" i="1"/>
  <c r="D158" i="1"/>
  <c r="D157" i="1"/>
  <c r="D156" i="1"/>
  <c r="D155" i="1"/>
  <c r="D154" i="1"/>
  <c r="D153" i="1"/>
  <c r="D152" i="1"/>
  <c r="D151" i="1"/>
  <c r="D150" i="1"/>
  <c r="D148" i="1"/>
  <c r="D147" i="1"/>
  <c r="D146" i="1"/>
  <c r="D144" i="1"/>
  <c r="D143" i="1"/>
  <c r="D142" i="1"/>
  <c r="D141" i="1"/>
  <c r="D140" i="1"/>
  <c r="D139" i="1"/>
  <c r="D138" i="1"/>
  <c r="D137" i="1"/>
  <c r="D136" i="1"/>
  <c r="D134"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6" i="1"/>
  <c r="D105" i="1"/>
  <c r="D104" i="1"/>
  <c r="D103" i="1"/>
  <c r="D101" i="1"/>
  <c r="D100" i="1"/>
  <c r="D99" i="1"/>
  <c r="D98" i="1"/>
  <c r="D97" i="1"/>
  <c r="D96" i="1"/>
  <c r="D95" i="1"/>
  <c r="D94" i="1"/>
  <c r="D93" i="1"/>
  <c r="D92" i="1"/>
  <c r="D91" i="1"/>
  <c r="D90" i="1"/>
  <c r="D89" i="1"/>
  <c r="D88" i="1"/>
  <c r="D87" i="1"/>
  <c r="D86" i="1"/>
  <c r="D85" i="1"/>
  <c r="D84" i="1"/>
  <c r="D83" i="1"/>
  <c r="D82" i="1"/>
  <c r="D81" i="1"/>
  <c r="D79" i="1"/>
  <c r="D77" i="1"/>
  <c r="D76" i="1"/>
  <c r="D75" i="1"/>
  <c r="D74" i="1"/>
  <c r="D73" i="1"/>
  <c r="D72" i="1"/>
  <c r="D71" i="1"/>
  <c r="D70" i="1"/>
  <c r="D69" i="1"/>
  <c r="D68" i="1"/>
  <c r="D67" i="1"/>
  <c r="D66" i="1"/>
  <c r="D65" i="1"/>
  <c r="D64" i="1"/>
  <c r="D63" i="1"/>
  <c r="D62" i="1"/>
  <c r="D61" i="1"/>
  <c r="D60" i="1"/>
  <c r="D59" i="1"/>
  <c r="D58" i="1"/>
  <c r="D57" i="1"/>
  <c r="D50" i="1"/>
  <c r="D49" i="1"/>
  <c r="D48" i="1"/>
  <c r="D47" i="1"/>
  <c r="D46" i="1"/>
  <c r="D45" i="1"/>
  <c r="D44" i="1"/>
  <c r="D42" i="1"/>
  <c r="D41" i="1"/>
  <c r="D40" i="1"/>
  <c r="D38" i="1"/>
  <c r="D37" i="1"/>
  <c r="D36" i="1"/>
  <c r="D35" i="1"/>
  <c r="D33" i="1"/>
  <c r="D32" i="1"/>
  <c r="D31" i="1"/>
  <c r="D30" i="1"/>
  <c r="D29" i="1"/>
  <c r="D28" i="1"/>
  <c r="D27" i="1"/>
  <c r="D26" i="1"/>
  <c r="D25" i="1"/>
  <c r="D23" i="1"/>
  <c r="D22" i="1"/>
  <c r="D21" i="1"/>
  <c r="D20" i="1"/>
  <c r="D19" i="1"/>
  <c r="D18" i="1"/>
  <c r="D17" i="1"/>
  <c r="D16" i="1"/>
  <c r="D15" i="1"/>
  <c r="D14" i="1"/>
  <c r="D13" i="1"/>
  <c r="D12" i="1"/>
  <c r="D11" i="1"/>
  <c r="D10" i="1"/>
  <c r="D9" i="1"/>
  <c r="D8" i="1"/>
  <c r="D7" i="1"/>
  <c r="D6" i="1"/>
  <c r="D5" i="1"/>
  <c r="D4" i="1"/>
  <c r="D3"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3" i="1"/>
  <c r="E242" i="1"/>
  <c r="E241" i="1"/>
  <c r="E240" i="1"/>
  <c r="E239" i="1"/>
  <c r="E238" i="1"/>
  <c r="E236" i="1"/>
  <c r="E235" i="1"/>
  <c r="E234" i="1"/>
  <c r="E233" i="1"/>
  <c r="E232" i="1"/>
  <c r="E231" i="1"/>
  <c r="E230" i="1"/>
  <c r="E229" i="1"/>
  <c r="E228" i="1"/>
  <c r="E227" i="1"/>
  <c r="E226" i="1"/>
  <c r="E225" i="1"/>
  <c r="E224" i="1"/>
  <c r="E223" i="1"/>
  <c r="E222" i="1"/>
  <c r="E221" i="1"/>
  <c r="E220" i="1"/>
  <c r="E218" i="1"/>
  <c r="E217" i="1"/>
  <c r="E216" i="1"/>
  <c r="E215" i="1"/>
  <c r="E214" i="1"/>
  <c r="E213" i="1"/>
  <c r="E212" i="1"/>
  <c r="E211" i="1"/>
  <c r="E210" i="1"/>
  <c r="E209" i="1"/>
  <c r="E208" i="1"/>
  <c r="E207" i="1"/>
  <c r="E206" i="1"/>
  <c r="E205" i="1"/>
  <c r="E204" i="1"/>
  <c r="E203" i="1"/>
  <c r="E202" i="1"/>
  <c r="E200" i="1"/>
  <c r="B40" i="20" s="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67" i="1"/>
  <c r="E166" i="1"/>
  <c r="E165" i="1"/>
  <c r="E164" i="1"/>
  <c r="E163" i="1"/>
  <c r="E161" i="1"/>
  <c r="E160" i="1"/>
  <c r="E159" i="1"/>
  <c r="E158" i="1"/>
  <c r="E157" i="1"/>
  <c r="E156" i="1"/>
  <c r="E155" i="1"/>
  <c r="E154" i="1"/>
  <c r="E153" i="1"/>
  <c r="E152" i="1"/>
  <c r="E151" i="1"/>
  <c r="E150" i="1"/>
  <c r="E148" i="1"/>
  <c r="E147" i="1"/>
  <c r="E146" i="1"/>
  <c r="E144" i="1"/>
  <c r="E143" i="1"/>
  <c r="E142" i="1"/>
  <c r="E141" i="1"/>
  <c r="E140" i="1"/>
  <c r="E139" i="1"/>
  <c r="E138" i="1"/>
  <c r="E137" i="1"/>
  <c r="E136" i="1"/>
  <c r="E134"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6" i="1"/>
  <c r="E105" i="1"/>
  <c r="E104" i="1"/>
  <c r="E103" i="1"/>
  <c r="E101" i="1"/>
  <c r="E100" i="1"/>
  <c r="E99" i="1"/>
  <c r="E98" i="1"/>
  <c r="E97" i="1"/>
  <c r="E96" i="1"/>
  <c r="E95" i="1"/>
  <c r="E94" i="1"/>
  <c r="E93" i="1"/>
  <c r="E92" i="1"/>
  <c r="E91" i="1"/>
  <c r="E90" i="1"/>
  <c r="E89" i="1"/>
  <c r="E88" i="1"/>
  <c r="E87" i="1"/>
  <c r="E86" i="1"/>
  <c r="E85" i="1"/>
  <c r="E84" i="1"/>
  <c r="E83" i="1"/>
  <c r="E82" i="1"/>
  <c r="E81" i="1"/>
  <c r="E79" i="1"/>
  <c r="E77" i="1"/>
  <c r="E76" i="1"/>
  <c r="E75" i="1"/>
  <c r="E74" i="1"/>
  <c r="E73" i="1"/>
  <c r="E72" i="1"/>
  <c r="E71" i="1"/>
  <c r="E70" i="1"/>
  <c r="E69" i="1"/>
  <c r="E68" i="1"/>
  <c r="E67" i="1"/>
  <c r="E66" i="1"/>
  <c r="E65" i="1"/>
  <c r="E64" i="1"/>
  <c r="E63" i="1"/>
  <c r="E62" i="1"/>
  <c r="E61" i="1"/>
  <c r="E60" i="1"/>
  <c r="E59" i="1"/>
  <c r="E58" i="1"/>
  <c r="E57" i="1"/>
  <c r="E50" i="1"/>
  <c r="E49" i="1"/>
  <c r="E48" i="1"/>
  <c r="E47" i="1"/>
  <c r="E46" i="1"/>
  <c r="E45" i="1"/>
  <c r="E44" i="1"/>
  <c r="E42" i="1"/>
  <c r="E41" i="1"/>
  <c r="E40" i="1"/>
  <c r="E38" i="1"/>
  <c r="E37" i="1"/>
  <c r="E36" i="1"/>
  <c r="E35" i="1"/>
  <c r="E33" i="1"/>
  <c r="E32" i="1"/>
  <c r="E31" i="1"/>
  <c r="E30" i="1"/>
  <c r="E29" i="1"/>
  <c r="E28" i="1"/>
  <c r="E27" i="1"/>
  <c r="E26" i="1"/>
  <c r="E25" i="1"/>
  <c r="E23" i="1"/>
  <c r="E22" i="1"/>
  <c r="E21" i="1"/>
  <c r="E20" i="1"/>
  <c r="E19" i="1"/>
  <c r="E18" i="1"/>
  <c r="E17" i="1"/>
  <c r="E16" i="1"/>
  <c r="E15" i="1"/>
  <c r="E14" i="1"/>
  <c r="E13" i="1"/>
  <c r="E12" i="1"/>
  <c r="E11" i="1"/>
  <c r="E10" i="1"/>
  <c r="E9" i="1"/>
  <c r="E8" i="1"/>
  <c r="E7" i="1"/>
  <c r="E6" i="1"/>
  <c r="E5" i="1"/>
  <c r="E4" i="1"/>
  <c r="E3"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3" i="1"/>
  <c r="F242" i="1"/>
  <c r="F241" i="1"/>
  <c r="F240" i="1"/>
  <c r="F239" i="1"/>
  <c r="F238" i="1"/>
  <c r="F236" i="1"/>
  <c r="F235" i="1"/>
  <c r="F234" i="1"/>
  <c r="F233" i="1"/>
  <c r="F232" i="1"/>
  <c r="F231" i="1"/>
  <c r="F230" i="1"/>
  <c r="F229" i="1"/>
  <c r="F228" i="1"/>
  <c r="F227" i="1"/>
  <c r="F226" i="1"/>
  <c r="F225" i="1"/>
  <c r="F224" i="1"/>
  <c r="F223" i="1"/>
  <c r="F222" i="1"/>
  <c r="F221" i="1"/>
  <c r="F220" i="1"/>
  <c r="F218" i="1"/>
  <c r="F217" i="1"/>
  <c r="F216" i="1"/>
  <c r="F215" i="1"/>
  <c r="F214" i="1"/>
  <c r="F213" i="1"/>
  <c r="F212" i="1"/>
  <c r="F211" i="1"/>
  <c r="F210" i="1"/>
  <c r="F209" i="1"/>
  <c r="F208" i="1"/>
  <c r="F207" i="1"/>
  <c r="F206" i="1"/>
  <c r="F205" i="1"/>
  <c r="F204" i="1"/>
  <c r="F203" i="1"/>
  <c r="F202"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67" i="1"/>
  <c r="F166" i="1"/>
  <c r="F165" i="1"/>
  <c r="F164" i="1"/>
  <c r="F163" i="1"/>
  <c r="F161" i="1"/>
  <c r="F160" i="1"/>
  <c r="F159" i="1"/>
  <c r="F158" i="1"/>
  <c r="F157" i="1"/>
  <c r="F156" i="1"/>
  <c r="F155" i="1"/>
  <c r="F154" i="1"/>
  <c r="F153" i="1"/>
  <c r="F152" i="1"/>
  <c r="F151" i="1"/>
  <c r="F150" i="1"/>
  <c r="F148" i="1"/>
  <c r="F147" i="1"/>
  <c r="F146" i="1"/>
  <c r="F144" i="1"/>
  <c r="F143" i="1"/>
  <c r="F142" i="1"/>
  <c r="F141" i="1"/>
  <c r="F140" i="1"/>
  <c r="F139" i="1"/>
  <c r="F138" i="1"/>
  <c r="F137" i="1"/>
  <c r="F136" i="1"/>
  <c r="F134"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6" i="1"/>
  <c r="F105" i="1"/>
  <c r="F104" i="1"/>
  <c r="F103" i="1"/>
  <c r="F101" i="1"/>
  <c r="F100" i="1"/>
  <c r="F99" i="1"/>
  <c r="F98" i="1"/>
  <c r="F97" i="1"/>
  <c r="F96" i="1"/>
  <c r="F95" i="1"/>
  <c r="F94" i="1"/>
  <c r="F93" i="1"/>
  <c r="F92" i="1"/>
  <c r="F91" i="1"/>
  <c r="F90" i="1"/>
  <c r="F89" i="1"/>
  <c r="F88" i="1"/>
  <c r="F87" i="1"/>
  <c r="F86" i="1"/>
  <c r="F85" i="1"/>
  <c r="F84" i="1"/>
  <c r="F83" i="1"/>
  <c r="F82" i="1"/>
  <c r="F81" i="1"/>
  <c r="F79" i="1"/>
  <c r="F77" i="1"/>
  <c r="F76" i="1"/>
  <c r="F75" i="1"/>
  <c r="F74" i="1"/>
  <c r="F73" i="1"/>
  <c r="F72" i="1"/>
  <c r="F71" i="1"/>
  <c r="F70" i="1"/>
  <c r="F69" i="1"/>
  <c r="F68" i="1"/>
  <c r="F67" i="1"/>
  <c r="F66" i="1"/>
  <c r="F65" i="1"/>
  <c r="F64" i="1"/>
  <c r="F63" i="1"/>
  <c r="F62" i="1"/>
  <c r="F61" i="1"/>
  <c r="F60" i="1"/>
  <c r="F59" i="1"/>
  <c r="F58" i="1"/>
  <c r="F57" i="1"/>
  <c r="F50" i="1"/>
  <c r="F49" i="1"/>
  <c r="F48" i="1"/>
  <c r="F47" i="1"/>
  <c r="F46" i="1"/>
  <c r="F45" i="1"/>
  <c r="F44" i="1"/>
  <c r="F42" i="1"/>
  <c r="F41" i="1"/>
  <c r="F40" i="1"/>
  <c r="F38" i="1"/>
  <c r="F37" i="1"/>
  <c r="F36" i="1"/>
  <c r="F35" i="1"/>
  <c r="F33" i="1"/>
  <c r="F32" i="1"/>
  <c r="F31" i="1"/>
  <c r="F30" i="1"/>
  <c r="F29" i="1"/>
  <c r="F28" i="1"/>
  <c r="F27" i="1"/>
  <c r="F26" i="1"/>
  <c r="F25" i="1"/>
  <c r="F23" i="1"/>
  <c r="F22" i="1"/>
  <c r="F21" i="1"/>
  <c r="F20" i="1"/>
  <c r="F19" i="1"/>
  <c r="F18" i="1"/>
  <c r="F17" i="1"/>
  <c r="F16" i="1"/>
  <c r="F15" i="1"/>
  <c r="F14" i="1"/>
  <c r="F13" i="1"/>
  <c r="F12" i="1"/>
  <c r="F11" i="1"/>
  <c r="F10" i="1"/>
  <c r="F9" i="1"/>
  <c r="F8" i="1"/>
  <c r="F7" i="1"/>
  <c r="F6" i="1"/>
  <c r="F5" i="1"/>
  <c r="F4" i="1"/>
  <c r="F3"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3" i="1"/>
  <c r="G242" i="1"/>
  <c r="G241" i="1"/>
  <c r="G240" i="1"/>
  <c r="G239" i="1"/>
  <c r="G238" i="1"/>
  <c r="G236" i="1"/>
  <c r="G235" i="1"/>
  <c r="G234" i="1"/>
  <c r="G233" i="1"/>
  <c r="G232" i="1"/>
  <c r="G231" i="1"/>
  <c r="G230" i="1"/>
  <c r="G229" i="1"/>
  <c r="G228" i="1"/>
  <c r="G227" i="1"/>
  <c r="G226" i="1"/>
  <c r="G225" i="1"/>
  <c r="G224" i="1"/>
  <c r="G223" i="1"/>
  <c r="G222" i="1"/>
  <c r="G221" i="1"/>
  <c r="G220" i="1"/>
  <c r="G218" i="1"/>
  <c r="G217" i="1"/>
  <c r="G216" i="1"/>
  <c r="G215" i="1"/>
  <c r="G214" i="1"/>
  <c r="G213" i="1"/>
  <c r="G212" i="1"/>
  <c r="G211" i="1"/>
  <c r="G210" i="1"/>
  <c r="G209" i="1"/>
  <c r="G208" i="1"/>
  <c r="G207" i="1"/>
  <c r="G206" i="1"/>
  <c r="G205" i="1"/>
  <c r="G204" i="1"/>
  <c r="G203" i="1"/>
  <c r="G202"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67" i="1"/>
  <c r="G166" i="1"/>
  <c r="G165" i="1"/>
  <c r="G164" i="1"/>
  <c r="G163" i="1"/>
  <c r="G161" i="1"/>
  <c r="G160" i="1"/>
  <c r="G159" i="1"/>
  <c r="G158" i="1"/>
  <c r="G157" i="1"/>
  <c r="G156" i="1"/>
  <c r="G155" i="1"/>
  <c r="G154" i="1"/>
  <c r="G153" i="1"/>
  <c r="G152" i="1"/>
  <c r="G151" i="1"/>
  <c r="G150" i="1"/>
  <c r="G148" i="1"/>
  <c r="G147" i="1"/>
  <c r="G146" i="1"/>
  <c r="G144" i="1"/>
  <c r="G143" i="1"/>
  <c r="G142" i="1"/>
  <c r="G141" i="1"/>
  <c r="G140" i="1"/>
  <c r="G139" i="1"/>
  <c r="G138" i="1"/>
  <c r="G137" i="1"/>
  <c r="G136" i="1"/>
  <c r="G134"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6" i="1"/>
  <c r="G105" i="1"/>
  <c r="G104" i="1"/>
  <c r="G103" i="1"/>
  <c r="G101" i="1"/>
  <c r="G100" i="1"/>
  <c r="G99" i="1"/>
  <c r="G98" i="1"/>
  <c r="G97" i="1"/>
  <c r="G96" i="1"/>
  <c r="G95" i="1"/>
  <c r="G94" i="1"/>
  <c r="G93" i="1"/>
  <c r="G92" i="1"/>
  <c r="G91" i="1"/>
  <c r="G90" i="1"/>
  <c r="G89" i="1"/>
  <c r="G88" i="1"/>
  <c r="G87" i="1"/>
  <c r="G86" i="1"/>
  <c r="G85" i="1"/>
  <c r="G84" i="1"/>
  <c r="G83" i="1"/>
  <c r="G82" i="1"/>
  <c r="G81" i="1"/>
  <c r="G79" i="1"/>
  <c r="G77" i="1"/>
  <c r="G76" i="1"/>
  <c r="G75" i="1"/>
  <c r="G74" i="1"/>
  <c r="G73" i="1"/>
  <c r="G72" i="1"/>
  <c r="G71" i="1"/>
  <c r="G70" i="1"/>
  <c r="G69" i="1"/>
  <c r="G68" i="1"/>
  <c r="G67" i="1"/>
  <c r="G66" i="1"/>
  <c r="G65" i="1"/>
  <c r="G64" i="1"/>
  <c r="G63" i="1"/>
  <c r="G62" i="1"/>
  <c r="G61" i="1"/>
  <c r="G60" i="1"/>
  <c r="G59" i="1"/>
  <c r="G58" i="1"/>
  <c r="G57" i="1"/>
  <c r="G50" i="1"/>
  <c r="G49" i="1"/>
  <c r="G48" i="1"/>
  <c r="G47" i="1"/>
  <c r="G46" i="1"/>
  <c r="G45" i="1"/>
  <c r="G44" i="1"/>
  <c r="G42" i="1"/>
  <c r="G41" i="1"/>
  <c r="G40" i="1"/>
  <c r="G38" i="1"/>
  <c r="G37" i="1"/>
  <c r="G36" i="1"/>
  <c r="G35" i="1"/>
  <c r="G33" i="1"/>
  <c r="G32" i="1"/>
  <c r="G31" i="1"/>
  <c r="G30" i="1"/>
  <c r="G29" i="1"/>
  <c r="G28" i="1"/>
  <c r="G27" i="1"/>
  <c r="G26" i="1"/>
  <c r="G25" i="1"/>
  <c r="G23" i="1"/>
  <c r="G22" i="1"/>
  <c r="G21" i="1"/>
  <c r="G20" i="1"/>
  <c r="G19" i="1"/>
  <c r="G18" i="1"/>
  <c r="G17" i="1"/>
  <c r="G16" i="1"/>
  <c r="G15" i="1"/>
  <c r="G14" i="1"/>
  <c r="G13" i="1"/>
  <c r="G12" i="1"/>
  <c r="G11" i="1"/>
  <c r="G10" i="1"/>
  <c r="G9" i="1"/>
  <c r="G8" i="1"/>
  <c r="G7" i="1"/>
  <c r="G6" i="1"/>
  <c r="G5" i="1"/>
  <c r="G4" i="1"/>
  <c r="G3" i="1"/>
  <c r="J42" i="20"/>
  <c r="I42" i="20"/>
  <c r="H42" i="20"/>
  <c r="G42" i="20"/>
  <c r="B42" i="20"/>
  <c r="J41" i="20"/>
  <c r="I41" i="20"/>
  <c r="H41" i="20"/>
  <c r="G41" i="20"/>
  <c r="B41" i="20"/>
  <c r="J40" i="20"/>
  <c r="I40" i="20"/>
  <c r="H40" i="20"/>
  <c r="G40" i="20"/>
  <c r="D23" i="20"/>
  <c r="C23" i="20"/>
  <c r="B23" i="20"/>
  <c r="D22" i="20"/>
  <c r="C22" i="20"/>
  <c r="B22" i="20"/>
  <c r="D21" i="20"/>
  <c r="C21" i="20"/>
  <c r="B21" i="20"/>
  <c r="B5" i="20"/>
  <c r="B4" i="20"/>
  <c r="D16" i="17"/>
  <c r="C16" i="17"/>
  <c r="D14" i="17"/>
  <c r="C14" i="17"/>
  <c r="D13" i="16"/>
  <c r="D77" i="21" s="1"/>
  <c r="C13" i="16"/>
  <c r="C77" i="21" s="1"/>
  <c r="C9" i="16"/>
  <c r="D23" i="15"/>
  <c r="D18" i="15"/>
  <c r="D56" i="21" s="1"/>
  <c r="C9" i="15"/>
  <c r="C47" i="21" s="1"/>
  <c r="D7" i="18"/>
  <c r="D11" i="18" s="1"/>
  <c r="D11" i="21" s="1"/>
  <c r="E7" i="10"/>
  <c r="H5" i="10"/>
  <c r="M69" i="6"/>
  <c r="L69" i="6"/>
  <c r="K69" i="6"/>
  <c r="J69" i="6"/>
  <c r="I69" i="6"/>
  <c r="H69" i="6"/>
  <c r="G69" i="6"/>
  <c r="F69" i="6"/>
  <c r="E69" i="6"/>
  <c r="D69" i="6"/>
  <c r="F62" i="6"/>
  <c r="E62" i="6"/>
  <c r="D62" i="6"/>
  <c r="M56" i="6"/>
  <c r="L56" i="6"/>
  <c r="K56" i="6"/>
  <c r="J56" i="6"/>
  <c r="I56" i="6"/>
  <c r="H56" i="6"/>
  <c r="G56" i="6"/>
  <c r="F56" i="6"/>
  <c r="E56" i="6"/>
  <c r="D56" i="6"/>
  <c r="M50" i="6"/>
  <c r="L50" i="6"/>
  <c r="K50" i="6"/>
  <c r="J50" i="6"/>
  <c r="I50" i="6"/>
  <c r="H50" i="6"/>
  <c r="G50" i="6"/>
  <c r="F50" i="6"/>
  <c r="E50" i="6"/>
  <c r="D50" i="6"/>
  <c r="M44" i="6"/>
  <c r="L44" i="6"/>
  <c r="K44" i="6"/>
  <c r="J44" i="6"/>
  <c r="I44" i="6"/>
  <c r="H44" i="6"/>
  <c r="G44" i="6"/>
  <c r="F44" i="6"/>
  <c r="E44" i="6"/>
  <c r="D44" i="6"/>
  <c r="F12" i="6"/>
  <c r="K10" i="6"/>
  <c r="K9" i="6"/>
  <c r="K8" i="6"/>
  <c r="H7" i="6"/>
  <c r="H5" i="6"/>
  <c r="H4" i="6"/>
  <c r="H3" i="6"/>
  <c r="C2" i="6"/>
  <c r="G237" i="2"/>
  <c r="G236" i="2"/>
  <c r="G235" i="2"/>
  <c r="E224" i="2"/>
  <c r="H223" i="2"/>
  <c r="F223" i="2"/>
  <c r="G222" i="2"/>
  <c r="G221" i="2"/>
  <c r="E221" i="2"/>
  <c r="E220" i="2"/>
  <c r="D220" i="2"/>
  <c r="T219" i="2"/>
  <c r="R219" i="2"/>
  <c r="M36" i="6" s="1"/>
  <c r="Q219" i="2"/>
  <c r="L36" i="6" s="1"/>
  <c r="K219" i="2"/>
  <c r="F36" i="6" s="1"/>
  <c r="H219" i="2"/>
  <c r="G219" i="2"/>
  <c r="F219" i="2"/>
  <c r="E219" i="2"/>
  <c r="D219" i="2"/>
  <c r="T218" i="2"/>
  <c r="S218" i="2"/>
  <c r="R218" i="2"/>
  <c r="Q218" i="2"/>
  <c r="P218" i="2"/>
  <c r="O218" i="2"/>
  <c r="N218" i="2"/>
  <c r="M218" i="2"/>
  <c r="L218" i="2"/>
  <c r="K218" i="2"/>
  <c r="J218" i="2"/>
  <c r="I218" i="2"/>
  <c r="T217" i="2"/>
  <c r="S217" i="2"/>
  <c r="R217" i="2"/>
  <c r="Q217" i="2"/>
  <c r="P217" i="2"/>
  <c r="O217" i="2"/>
  <c r="N217" i="2"/>
  <c r="M217" i="2"/>
  <c r="L217" i="2"/>
  <c r="K217" i="2"/>
  <c r="J217" i="2"/>
  <c r="I217" i="2"/>
  <c r="T216" i="2"/>
  <c r="S216" i="2"/>
  <c r="R216" i="2"/>
  <c r="Q216" i="2"/>
  <c r="P216" i="2"/>
  <c r="O216" i="2"/>
  <c r="N216" i="2"/>
  <c r="M216" i="2"/>
  <c r="L216" i="2"/>
  <c r="K216" i="2"/>
  <c r="J216" i="2"/>
  <c r="I216" i="2"/>
  <c r="T215" i="2"/>
  <c r="S215" i="2"/>
  <c r="R215" i="2"/>
  <c r="Q215" i="2"/>
  <c r="P215" i="2"/>
  <c r="O215" i="2"/>
  <c r="N215" i="2"/>
  <c r="M215" i="2"/>
  <c r="L215" i="2"/>
  <c r="K215" i="2"/>
  <c r="J215" i="2"/>
  <c r="I215" i="2"/>
  <c r="T214" i="2"/>
  <c r="S214" i="2"/>
  <c r="R214" i="2"/>
  <c r="Q214" i="2"/>
  <c r="P214" i="2"/>
  <c r="O214" i="2"/>
  <c r="N214" i="2"/>
  <c r="M214" i="2"/>
  <c r="L214" i="2"/>
  <c r="K214" i="2"/>
  <c r="J214" i="2"/>
  <c r="I214" i="2"/>
  <c r="H212" i="2"/>
  <c r="G212" i="2"/>
  <c r="F212" i="2"/>
  <c r="E212" i="2"/>
  <c r="D212" i="2"/>
  <c r="H209" i="2"/>
  <c r="G209" i="2"/>
  <c r="F209" i="2"/>
  <c r="E209" i="2"/>
  <c r="D209" i="2"/>
  <c r="I203" i="2"/>
  <c r="D31" i="6" s="1"/>
  <c r="H202" i="2"/>
  <c r="G202" i="2"/>
  <c r="G223" i="2" s="1"/>
  <c r="F202" i="2"/>
  <c r="E202" i="2"/>
  <c r="E223" i="2" s="1"/>
  <c r="D202" i="2"/>
  <c r="H192" i="2"/>
  <c r="H180" i="2"/>
  <c r="D16" i="16" s="1"/>
  <c r="D80" i="21" s="1"/>
  <c r="G180" i="2"/>
  <c r="C16" i="16" s="1"/>
  <c r="F180" i="2"/>
  <c r="E180" i="2"/>
  <c r="D180" i="2"/>
  <c r="H176" i="2"/>
  <c r="D14" i="16" s="1"/>
  <c r="G176" i="2"/>
  <c r="C14" i="16" s="1"/>
  <c r="C78" i="21" s="1"/>
  <c r="F176" i="2"/>
  <c r="E176" i="2"/>
  <c r="D176" i="2"/>
  <c r="I173" i="2"/>
  <c r="H173" i="2"/>
  <c r="G173" i="2"/>
  <c r="F173" i="2"/>
  <c r="E173" i="2"/>
  <c r="D173" i="2"/>
  <c r="H171" i="2"/>
  <c r="G171" i="2"/>
  <c r="F171" i="2"/>
  <c r="E171" i="2"/>
  <c r="D171" i="2"/>
  <c r="H167" i="2"/>
  <c r="D11" i="16" s="1"/>
  <c r="D75" i="21" s="1"/>
  <c r="G167" i="2"/>
  <c r="C11" i="16" s="1"/>
  <c r="F167" i="2"/>
  <c r="E167" i="2"/>
  <c r="D167" i="2"/>
  <c r="H162" i="2"/>
  <c r="D8" i="16" s="1"/>
  <c r="D72" i="21" s="1"/>
  <c r="G162" i="2"/>
  <c r="C8" i="16" s="1"/>
  <c r="C72" i="21" s="1"/>
  <c r="F162" i="2"/>
  <c r="E162" i="2"/>
  <c r="D162" i="2"/>
  <c r="H159" i="2"/>
  <c r="D7" i="16" s="1"/>
  <c r="D71" i="21" s="1"/>
  <c r="G159" i="2"/>
  <c r="F159" i="2"/>
  <c r="G7" i="10" s="1"/>
  <c r="E159" i="2"/>
  <c r="F7" i="10" s="1"/>
  <c r="D159" i="2"/>
  <c r="H157" i="2"/>
  <c r="D5" i="16" s="1"/>
  <c r="G157" i="2"/>
  <c r="C5" i="16" s="1"/>
  <c r="F157" i="2"/>
  <c r="E157" i="2"/>
  <c r="D157" i="2"/>
  <c r="H151" i="2"/>
  <c r="D4" i="16" s="1"/>
  <c r="D68" i="21" s="1"/>
  <c r="G151" i="2"/>
  <c r="C4" i="16" s="1"/>
  <c r="F151" i="2"/>
  <c r="E151" i="2"/>
  <c r="D151" i="2"/>
  <c r="H149" i="2"/>
  <c r="G149" i="2"/>
  <c r="F149" i="2"/>
  <c r="E149" i="2"/>
  <c r="D149" i="2"/>
  <c r="H143" i="2"/>
  <c r="G143" i="2"/>
  <c r="F143" i="2"/>
  <c r="E143" i="2"/>
  <c r="D143" i="2"/>
  <c r="H142" i="2"/>
  <c r="I5" i="10" s="1"/>
  <c r="D84" i="21" s="1"/>
  <c r="G142" i="2"/>
  <c r="C7" i="18" s="1"/>
  <c r="C11" i="18" s="1"/>
  <c r="C11" i="21" s="1"/>
  <c r="F142" i="2"/>
  <c r="G5" i="10" s="1"/>
  <c r="E142" i="2"/>
  <c r="F5" i="10" s="1"/>
  <c r="D142" i="2"/>
  <c r="E5" i="10" s="1"/>
  <c r="H139" i="2"/>
  <c r="G139" i="2"/>
  <c r="G24" i="3" s="1"/>
  <c r="F139" i="2"/>
  <c r="E139" i="2"/>
  <c r="E24" i="3" s="1"/>
  <c r="D139" i="2"/>
  <c r="H138" i="2"/>
  <c r="H24" i="3" s="1"/>
  <c r="G138" i="2"/>
  <c r="F138" i="2"/>
  <c r="F24" i="3" s="1"/>
  <c r="I24" i="3" s="1"/>
  <c r="E138" i="2"/>
  <c r="D138" i="2"/>
  <c r="H137" i="2"/>
  <c r="H23" i="3" s="1"/>
  <c r="G137" i="2"/>
  <c r="F137" i="2"/>
  <c r="E137" i="2"/>
  <c r="D137" i="2"/>
  <c r="H135" i="2"/>
  <c r="D24" i="13" s="1"/>
  <c r="D37" i="21" s="1"/>
  <c r="G135" i="2"/>
  <c r="C24" i="13" s="1"/>
  <c r="F135" i="2"/>
  <c r="E135" i="2"/>
  <c r="D135" i="2"/>
  <c r="H132" i="2"/>
  <c r="G132" i="2"/>
  <c r="F132" i="2"/>
  <c r="E132" i="2"/>
  <c r="D132" i="2"/>
  <c r="H131" i="2"/>
  <c r="D22" i="13" s="1"/>
  <c r="G131" i="2"/>
  <c r="C22" i="13" s="1"/>
  <c r="F131" i="2"/>
  <c r="E131" i="2"/>
  <c r="D131" i="2"/>
  <c r="H128" i="2"/>
  <c r="D20" i="13" s="1"/>
  <c r="G128" i="2"/>
  <c r="C20" i="13" s="1"/>
  <c r="C33" i="21" s="1"/>
  <c r="F128" i="2"/>
  <c r="E128" i="2"/>
  <c r="D128" i="2"/>
  <c r="D19" i="3" s="1"/>
  <c r="H127" i="2"/>
  <c r="D19" i="13" s="1"/>
  <c r="G127" i="2"/>
  <c r="C19" i="13" s="1"/>
  <c r="C32" i="21" s="1"/>
  <c r="F127" i="2"/>
  <c r="F18" i="3" s="1"/>
  <c r="E127" i="2"/>
  <c r="D127" i="2"/>
  <c r="D18" i="3" s="1"/>
  <c r="H124" i="2"/>
  <c r="H17" i="3" s="1"/>
  <c r="G124" i="2"/>
  <c r="F124" i="2"/>
  <c r="F17" i="3" s="1"/>
  <c r="E124" i="2"/>
  <c r="D124" i="2"/>
  <c r="H123" i="2"/>
  <c r="G123" i="2"/>
  <c r="C15" i="13" s="1"/>
  <c r="F123" i="2"/>
  <c r="F16" i="3" s="1"/>
  <c r="I16" i="3" s="1"/>
  <c r="I123" i="2" s="1"/>
  <c r="I153" i="2" s="1"/>
  <c r="E123" i="2"/>
  <c r="E16" i="3" s="1"/>
  <c r="D123" i="2"/>
  <c r="H122" i="2"/>
  <c r="H15" i="3" s="1"/>
  <c r="G122" i="2"/>
  <c r="G15" i="3" s="1"/>
  <c r="F122" i="2"/>
  <c r="F15" i="3" s="1"/>
  <c r="E122" i="2"/>
  <c r="D122" i="2"/>
  <c r="D15" i="3" s="1"/>
  <c r="H121" i="2"/>
  <c r="H14" i="3" s="1"/>
  <c r="G121" i="2"/>
  <c r="G14" i="3" s="1"/>
  <c r="F121" i="2"/>
  <c r="E121" i="2"/>
  <c r="D121" i="2"/>
  <c r="D14" i="3" s="1"/>
  <c r="H120" i="2"/>
  <c r="H13" i="3" s="1"/>
  <c r="G120" i="2"/>
  <c r="G13" i="3" s="1"/>
  <c r="F120" i="2"/>
  <c r="F13" i="3" s="1"/>
  <c r="E120" i="2"/>
  <c r="E13" i="3" s="1"/>
  <c r="D120" i="2"/>
  <c r="H119" i="2"/>
  <c r="G119" i="2"/>
  <c r="F119" i="2"/>
  <c r="E119" i="2"/>
  <c r="D119" i="2"/>
  <c r="H118" i="2"/>
  <c r="G118" i="2"/>
  <c r="F118" i="2"/>
  <c r="E118" i="2"/>
  <c r="D118" i="2"/>
  <c r="H117" i="2"/>
  <c r="G117" i="2"/>
  <c r="G12" i="3" s="1"/>
  <c r="F117" i="2"/>
  <c r="E117" i="2"/>
  <c r="D117" i="2"/>
  <c r="D12" i="3" s="1"/>
  <c r="H116" i="2"/>
  <c r="G8" i="5" s="1"/>
  <c r="I7" i="3" s="1"/>
  <c r="G116" i="2"/>
  <c r="F8" i="5" s="1"/>
  <c r="F116" i="2"/>
  <c r="E8" i="5" s="1"/>
  <c r="E116" i="2"/>
  <c r="D8" i="5" s="1"/>
  <c r="D116" i="2"/>
  <c r="C8" i="5" s="1"/>
  <c r="H115" i="2"/>
  <c r="D11" i="13" s="1"/>
  <c r="D24" i="21" s="1"/>
  <c r="G115" i="2"/>
  <c r="C11" i="13" s="1"/>
  <c r="F115" i="2"/>
  <c r="E115" i="2"/>
  <c r="H114" i="2"/>
  <c r="G114" i="2"/>
  <c r="F114" i="2"/>
  <c r="E114" i="2"/>
  <c r="E11" i="3" s="1"/>
  <c r="D114" i="2"/>
  <c r="D11" i="3" s="1"/>
  <c r="H113" i="2"/>
  <c r="D9" i="13" s="1"/>
  <c r="G113" i="2"/>
  <c r="C9" i="13" s="1"/>
  <c r="F113" i="2"/>
  <c r="E113" i="2"/>
  <c r="D113" i="2"/>
  <c r="H112" i="2"/>
  <c r="D7" i="13" s="1"/>
  <c r="G112" i="2"/>
  <c r="C7" i="13" s="1"/>
  <c r="C20" i="21" s="1"/>
  <c r="F112" i="2"/>
  <c r="E112" i="2"/>
  <c r="D112" i="2"/>
  <c r="H111" i="2"/>
  <c r="D6" i="13" s="1"/>
  <c r="D19" i="21" s="1"/>
  <c r="G111" i="2"/>
  <c r="C6" i="13" s="1"/>
  <c r="C19" i="21" s="1"/>
  <c r="F111" i="2"/>
  <c r="E111" i="2"/>
  <c r="D111" i="2"/>
  <c r="H110" i="2"/>
  <c r="G110" i="2"/>
  <c r="G58" i="3" s="1"/>
  <c r="F110" i="2"/>
  <c r="F6" i="3" s="1"/>
  <c r="E110" i="2"/>
  <c r="D110" i="2"/>
  <c r="H108" i="2"/>
  <c r="G108" i="2"/>
  <c r="F108" i="2"/>
  <c r="E108" i="2"/>
  <c r="D108" i="2"/>
  <c r="C7" i="5" s="1"/>
  <c r="H107" i="2"/>
  <c r="G107" i="2"/>
  <c r="F107" i="2"/>
  <c r="E107" i="2"/>
  <c r="D107" i="2"/>
  <c r="H98" i="2"/>
  <c r="D25" i="15" s="1"/>
  <c r="G98" i="2"/>
  <c r="C25" i="15" s="1"/>
  <c r="C63" i="21" s="1"/>
  <c r="F98" i="2"/>
  <c r="E98" i="2"/>
  <c r="D98" i="2"/>
  <c r="H95" i="2"/>
  <c r="H141" i="3" s="1"/>
  <c r="G95" i="2"/>
  <c r="G141" i="3" s="1"/>
  <c r="F95" i="2"/>
  <c r="F141" i="3" s="1"/>
  <c r="E95" i="2"/>
  <c r="E141" i="3" s="1"/>
  <c r="D95" i="2"/>
  <c r="H94" i="2"/>
  <c r="G94" i="2"/>
  <c r="G140" i="3" s="1"/>
  <c r="F94" i="2"/>
  <c r="E94" i="2"/>
  <c r="E140" i="3" s="1"/>
  <c r="D94" i="2"/>
  <c r="H92" i="2"/>
  <c r="G92" i="2"/>
  <c r="F92" i="2"/>
  <c r="E92" i="2"/>
  <c r="D92" i="2"/>
  <c r="H91" i="2"/>
  <c r="G91" i="2"/>
  <c r="F91" i="2"/>
  <c r="E91" i="2"/>
  <c r="D91" i="2"/>
  <c r="H90" i="2"/>
  <c r="G90" i="2"/>
  <c r="F90" i="2"/>
  <c r="F93" i="2" s="1"/>
  <c r="E90" i="2"/>
  <c r="E93" i="2" s="1"/>
  <c r="D90" i="2"/>
  <c r="H89" i="2"/>
  <c r="I89" i="2" s="1"/>
  <c r="J89" i="2" s="1"/>
  <c r="K89" i="2" s="1"/>
  <c r="L89" i="2" s="1"/>
  <c r="M89" i="2" s="1"/>
  <c r="N89" i="2" s="1"/>
  <c r="O89" i="2" s="1"/>
  <c r="P89" i="2" s="1"/>
  <c r="Q89" i="2" s="1"/>
  <c r="R89" i="2" s="1"/>
  <c r="S89" i="2" s="1"/>
  <c r="T89" i="2" s="1"/>
  <c r="G89" i="2"/>
  <c r="F89" i="2"/>
  <c r="E89" i="2"/>
  <c r="F139" i="3" s="1"/>
  <c r="D89" i="2"/>
  <c r="H88" i="2"/>
  <c r="G88" i="2"/>
  <c r="F88" i="2"/>
  <c r="E88" i="2"/>
  <c r="D88" i="2"/>
  <c r="H87" i="2"/>
  <c r="G87" i="2"/>
  <c r="F87" i="2"/>
  <c r="E87" i="2"/>
  <c r="D87" i="2"/>
  <c r="E138" i="3" s="1"/>
  <c r="H86" i="2"/>
  <c r="G86" i="2"/>
  <c r="C23" i="15" s="1"/>
  <c r="F86" i="2"/>
  <c r="E86" i="2"/>
  <c r="D86" i="2"/>
  <c r="H85" i="2"/>
  <c r="G85" i="2"/>
  <c r="G134" i="3" s="1"/>
  <c r="F85" i="2"/>
  <c r="E85" i="2"/>
  <c r="F134" i="3" s="1"/>
  <c r="D85" i="2"/>
  <c r="H84" i="2"/>
  <c r="D22" i="15" s="1"/>
  <c r="G84" i="2"/>
  <c r="C22" i="15" s="1"/>
  <c r="F84" i="2"/>
  <c r="E84" i="2"/>
  <c r="D84" i="2"/>
  <c r="H79" i="2"/>
  <c r="G79" i="2"/>
  <c r="G74" i="3" s="1"/>
  <c r="F79" i="2"/>
  <c r="E79" i="2"/>
  <c r="F74" i="3" s="1"/>
  <c r="D79" i="2"/>
  <c r="I78" i="2"/>
  <c r="J78" i="2" s="1"/>
  <c r="K78" i="2" s="1"/>
  <c r="L78" i="2" s="1"/>
  <c r="M78" i="2" s="1"/>
  <c r="N78" i="2" s="1"/>
  <c r="O78" i="2" s="1"/>
  <c r="P78" i="2" s="1"/>
  <c r="Q78" i="2" s="1"/>
  <c r="R78" i="2" s="1"/>
  <c r="S78" i="2" s="1"/>
  <c r="T78" i="2" s="1"/>
  <c r="H78" i="2"/>
  <c r="G78" i="2"/>
  <c r="F78" i="2"/>
  <c r="F73" i="3" s="1"/>
  <c r="E78" i="2"/>
  <c r="D78" i="2"/>
  <c r="H77" i="2"/>
  <c r="I77" i="2" s="1"/>
  <c r="I156" i="2" s="1"/>
  <c r="G77" i="2"/>
  <c r="F77" i="2"/>
  <c r="E77" i="2"/>
  <c r="E72" i="3" s="1"/>
  <c r="D77" i="2"/>
  <c r="H76" i="2"/>
  <c r="G76" i="2"/>
  <c r="F76" i="2"/>
  <c r="E76" i="2"/>
  <c r="F71" i="3" s="1"/>
  <c r="D76" i="2"/>
  <c r="H75" i="2"/>
  <c r="I75" i="2" s="1"/>
  <c r="J75" i="2" s="1"/>
  <c r="K75" i="2" s="1"/>
  <c r="L75" i="2" s="1"/>
  <c r="M75" i="2" s="1"/>
  <c r="N75" i="2" s="1"/>
  <c r="O75" i="2" s="1"/>
  <c r="P75" i="2" s="1"/>
  <c r="Q75" i="2" s="1"/>
  <c r="R75" i="2" s="1"/>
  <c r="S75" i="2" s="1"/>
  <c r="T75" i="2" s="1"/>
  <c r="G75" i="2"/>
  <c r="F75" i="2"/>
  <c r="E75" i="2"/>
  <c r="D75" i="2"/>
  <c r="J74" i="2"/>
  <c r="H74" i="2"/>
  <c r="I74" i="2" s="1"/>
  <c r="G74" i="2"/>
  <c r="F74" i="2"/>
  <c r="E74" i="2"/>
  <c r="D74" i="2"/>
  <c r="E123" i="3" s="1"/>
  <c r="H73" i="2"/>
  <c r="H96" i="3" s="1"/>
  <c r="G73" i="2"/>
  <c r="F73" i="2"/>
  <c r="G96" i="3" s="1"/>
  <c r="E73" i="2"/>
  <c r="D73" i="2"/>
  <c r="H72" i="2"/>
  <c r="I72" i="2" s="1"/>
  <c r="J72" i="2" s="1"/>
  <c r="J170" i="2" s="1"/>
  <c r="G72" i="2"/>
  <c r="F72" i="2"/>
  <c r="E72" i="2"/>
  <c r="D72" i="2"/>
  <c r="E122" i="3" s="1"/>
  <c r="H71" i="2"/>
  <c r="I71" i="2" s="1"/>
  <c r="G71" i="2"/>
  <c r="F71" i="2"/>
  <c r="E71" i="2"/>
  <c r="D71" i="2"/>
  <c r="E121" i="3" s="1"/>
  <c r="H67" i="2"/>
  <c r="I67" i="2" s="1"/>
  <c r="J67" i="2" s="1"/>
  <c r="K67" i="2" s="1"/>
  <c r="L67" i="2" s="1"/>
  <c r="M67" i="2" s="1"/>
  <c r="N67" i="2" s="1"/>
  <c r="O67" i="2" s="1"/>
  <c r="P67" i="2" s="1"/>
  <c r="Q67" i="2" s="1"/>
  <c r="R67" i="2" s="1"/>
  <c r="S67" i="2" s="1"/>
  <c r="T67" i="2" s="1"/>
  <c r="G67" i="2"/>
  <c r="F67" i="2"/>
  <c r="E67" i="2"/>
  <c r="F70" i="3" s="1"/>
  <c r="D67" i="2"/>
  <c r="H66" i="2"/>
  <c r="H69" i="3" s="1"/>
  <c r="G66" i="2"/>
  <c r="F66" i="2"/>
  <c r="G69" i="3" s="1"/>
  <c r="E66" i="2"/>
  <c r="D66" i="2"/>
  <c r="H65" i="2"/>
  <c r="D317" i="8" s="1"/>
  <c r="G65" i="2"/>
  <c r="F65" i="2"/>
  <c r="E65" i="2"/>
  <c r="D65" i="2"/>
  <c r="J64" i="2"/>
  <c r="F316" i="8" s="1"/>
  <c r="H64" i="2"/>
  <c r="I64" i="2" s="1"/>
  <c r="E316" i="8" s="1"/>
  <c r="G64" i="2"/>
  <c r="F64" i="2"/>
  <c r="E64" i="2"/>
  <c r="D64" i="2"/>
  <c r="H63" i="2"/>
  <c r="G63" i="2"/>
  <c r="F63" i="2"/>
  <c r="E63" i="2"/>
  <c r="E66" i="3" s="1"/>
  <c r="D63" i="2"/>
  <c r="H62" i="2"/>
  <c r="G62" i="2"/>
  <c r="F62" i="2"/>
  <c r="E62" i="2"/>
  <c r="D62" i="2"/>
  <c r="H61" i="2"/>
  <c r="D313" i="8" s="1"/>
  <c r="G61" i="2"/>
  <c r="F61" i="2"/>
  <c r="E61" i="2"/>
  <c r="D61" i="2"/>
  <c r="J60" i="2"/>
  <c r="H60" i="2"/>
  <c r="I60" i="2" s="1"/>
  <c r="G60" i="2"/>
  <c r="F60" i="2"/>
  <c r="G63" i="3" s="1"/>
  <c r="E60" i="2"/>
  <c r="D60" i="2"/>
  <c r="H59" i="2"/>
  <c r="D311" i="8" s="1"/>
  <c r="G59" i="2"/>
  <c r="G62" i="3" s="1"/>
  <c r="F59" i="2"/>
  <c r="E59" i="2"/>
  <c r="D59" i="2"/>
  <c r="H58" i="2"/>
  <c r="D310" i="8" s="1"/>
  <c r="G58" i="2"/>
  <c r="G61" i="3" s="1"/>
  <c r="F58" i="2"/>
  <c r="E58" i="2"/>
  <c r="E61" i="3" s="1"/>
  <c r="D58" i="2"/>
  <c r="H57" i="2"/>
  <c r="D309" i="8" s="1"/>
  <c r="G57" i="2"/>
  <c r="G60" i="3" s="1"/>
  <c r="F57" i="2"/>
  <c r="E57" i="2"/>
  <c r="D57" i="2"/>
  <c r="D60" i="3" s="1"/>
  <c r="H56" i="2"/>
  <c r="D308" i="8" s="1"/>
  <c r="G56" i="2"/>
  <c r="G59" i="3" s="1"/>
  <c r="F56" i="2"/>
  <c r="E56" i="2"/>
  <c r="D56" i="2"/>
  <c r="D59" i="3" s="1"/>
  <c r="H55" i="2"/>
  <c r="G55" i="2"/>
  <c r="F55" i="2"/>
  <c r="F58" i="3" s="1"/>
  <c r="E55" i="2"/>
  <c r="E58" i="3" s="1"/>
  <c r="D55" i="2"/>
  <c r="H54" i="2"/>
  <c r="D306" i="8" s="1"/>
  <c r="G54" i="2"/>
  <c r="C15" i="15" s="1"/>
  <c r="F54" i="2"/>
  <c r="E54" i="2"/>
  <c r="D54" i="2"/>
  <c r="H53" i="2"/>
  <c r="H56" i="3" s="1"/>
  <c r="G53" i="2"/>
  <c r="G56" i="3" s="1"/>
  <c r="F53" i="2"/>
  <c r="F56" i="3" s="1"/>
  <c r="E53" i="2"/>
  <c r="D53" i="2"/>
  <c r="D56" i="3" s="1"/>
  <c r="H52" i="2"/>
  <c r="I52" i="2" s="1"/>
  <c r="J52" i="2" s="1"/>
  <c r="K52" i="2" s="1"/>
  <c r="L52" i="2" s="1"/>
  <c r="M52" i="2" s="1"/>
  <c r="N52" i="2" s="1"/>
  <c r="O52" i="2" s="1"/>
  <c r="P52" i="2" s="1"/>
  <c r="Q52" i="2" s="1"/>
  <c r="R52" i="2" s="1"/>
  <c r="S52" i="2" s="1"/>
  <c r="T52" i="2" s="1"/>
  <c r="G52" i="2"/>
  <c r="F52" i="2"/>
  <c r="E52" i="2"/>
  <c r="D52" i="2"/>
  <c r="E55" i="3" s="1"/>
  <c r="H51" i="2"/>
  <c r="H128" i="3" s="1"/>
  <c r="G51" i="2"/>
  <c r="C14" i="15" s="1"/>
  <c r="C52" i="21" s="1"/>
  <c r="F51" i="2"/>
  <c r="E51" i="2"/>
  <c r="D51" i="2"/>
  <c r="D128" i="3" s="1"/>
  <c r="H45" i="2"/>
  <c r="I45" i="2" s="1"/>
  <c r="J45" i="2" s="1"/>
  <c r="K45" i="2" s="1"/>
  <c r="L45" i="2" s="1"/>
  <c r="M45" i="2" s="1"/>
  <c r="N45" i="2" s="1"/>
  <c r="O45" i="2" s="1"/>
  <c r="P45" i="2" s="1"/>
  <c r="Q45" i="2" s="1"/>
  <c r="R45" i="2" s="1"/>
  <c r="S45" i="2" s="1"/>
  <c r="T45" i="2" s="1"/>
  <c r="G45" i="2"/>
  <c r="H53" i="3" s="1"/>
  <c r="F45" i="2"/>
  <c r="G53" i="3" s="1"/>
  <c r="E45" i="2"/>
  <c r="D45" i="2"/>
  <c r="H44" i="2"/>
  <c r="I44" i="2" s="1"/>
  <c r="J44" i="2" s="1"/>
  <c r="K44" i="2" s="1"/>
  <c r="L44" i="2" s="1"/>
  <c r="M44" i="2" s="1"/>
  <c r="N44" i="2" s="1"/>
  <c r="O44" i="2" s="1"/>
  <c r="P44" i="2" s="1"/>
  <c r="Q44" i="2" s="1"/>
  <c r="R44" i="2" s="1"/>
  <c r="S44" i="2" s="1"/>
  <c r="T44" i="2" s="1"/>
  <c r="G44" i="2"/>
  <c r="F44" i="2"/>
  <c r="E44" i="2"/>
  <c r="D44" i="2"/>
  <c r="E52" i="3" s="1"/>
  <c r="H43" i="2"/>
  <c r="I43" i="2" s="1"/>
  <c r="J43" i="2" s="1"/>
  <c r="G43" i="2"/>
  <c r="F43" i="2"/>
  <c r="D43" i="2"/>
  <c r="H42" i="2"/>
  <c r="D232" i="8" s="1"/>
  <c r="E228" i="8" s="1"/>
  <c r="G42" i="2"/>
  <c r="F42" i="2"/>
  <c r="E42" i="2"/>
  <c r="D42" i="2"/>
  <c r="H41" i="2"/>
  <c r="G41" i="2"/>
  <c r="F41" i="2"/>
  <c r="E41" i="2"/>
  <c r="D41" i="2"/>
  <c r="H40" i="2"/>
  <c r="I40" i="2" s="1"/>
  <c r="J40" i="2" s="1"/>
  <c r="K40" i="2" s="1"/>
  <c r="L40" i="2" s="1"/>
  <c r="M40" i="2" s="1"/>
  <c r="N40" i="2" s="1"/>
  <c r="O40" i="2" s="1"/>
  <c r="P40" i="2" s="1"/>
  <c r="Q40" i="2" s="1"/>
  <c r="R40" i="2" s="1"/>
  <c r="S40" i="2" s="1"/>
  <c r="T40" i="2" s="1"/>
  <c r="G40" i="2"/>
  <c r="F40" i="2"/>
  <c r="G99" i="3" s="1"/>
  <c r="E40" i="2"/>
  <c r="D40" i="2"/>
  <c r="H39" i="2"/>
  <c r="G39" i="2"/>
  <c r="F39" i="2"/>
  <c r="E39" i="2"/>
  <c r="D39" i="2"/>
  <c r="H38" i="2"/>
  <c r="G38" i="2"/>
  <c r="C10" i="15" s="1"/>
  <c r="C48" i="21" s="1"/>
  <c r="F38" i="2"/>
  <c r="E38" i="2"/>
  <c r="D38" i="2"/>
  <c r="H37" i="2"/>
  <c r="D225" i="8" s="1"/>
  <c r="E221" i="8" s="1"/>
  <c r="G37" i="2"/>
  <c r="F37" i="2"/>
  <c r="E37" i="2"/>
  <c r="D37" i="2"/>
  <c r="H36" i="2"/>
  <c r="G36" i="2"/>
  <c r="F36" i="2"/>
  <c r="E36" i="2"/>
  <c r="D36" i="2"/>
  <c r="H35" i="2"/>
  <c r="G35" i="2"/>
  <c r="F35" i="2"/>
  <c r="E35" i="2"/>
  <c r="D35" i="2"/>
  <c r="H34" i="2"/>
  <c r="D8" i="15" s="1"/>
  <c r="D46" i="21" s="1"/>
  <c r="G34" i="2"/>
  <c r="C8" i="15" s="1"/>
  <c r="C46" i="21" s="1"/>
  <c r="F34" i="2"/>
  <c r="E34" i="2"/>
  <c r="D34" i="2"/>
  <c r="H33" i="2"/>
  <c r="G33" i="2"/>
  <c r="F33" i="2"/>
  <c r="E33" i="2"/>
  <c r="F85" i="3" s="1"/>
  <c r="D33" i="2"/>
  <c r="H32" i="2"/>
  <c r="G32" i="2"/>
  <c r="H84" i="3" s="1"/>
  <c r="F32" i="2"/>
  <c r="E32" i="2"/>
  <c r="D32" i="2"/>
  <c r="H31" i="2"/>
  <c r="G31" i="2"/>
  <c r="F31" i="2"/>
  <c r="E31" i="2"/>
  <c r="F83" i="3" s="1"/>
  <c r="D31" i="2"/>
  <c r="H30" i="2"/>
  <c r="D9" i="15" s="1"/>
  <c r="D47" i="21" s="1"/>
  <c r="G30" i="2"/>
  <c r="F30" i="2"/>
  <c r="E30" i="2"/>
  <c r="D30" i="2"/>
  <c r="H29" i="2"/>
  <c r="G29" i="2"/>
  <c r="H81" i="3" s="1"/>
  <c r="F29" i="2"/>
  <c r="E29" i="2"/>
  <c r="D29" i="2"/>
  <c r="H28" i="2"/>
  <c r="I28" i="2" s="1"/>
  <c r="J28" i="2" s="1"/>
  <c r="K28" i="2" s="1"/>
  <c r="L28" i="2" s="1"/>
  <c r="M28" i="2" s="1"/>
  <c r="N28" i="2" s="1"/>
  <c r="O28" i="2" s="1"/>
  <c r="P28" i="2" s="1"/>
  <c r="Q28" i="2" s="1"/>
  <c r="R28" i="2" s="1"/>
  <c r="S28" i="2" s="1"/>
  <c r="T28" i="2" s="1"/>
  <c r="G28" i="2"/>
  <c r="F28" i="2"/>
  <c r="E28" i="2"/>
  <c r="D28" i="2"/>
  <c r="E78" i="3" s="1"/>
  <c r="H27" i="2"/>
  <c r="G27" i="2"/>
  <c r="H80" i="3" s="1"/>
  <c r="F27" i="2"/>
  <c r="F80" i="3" s="1"/>
  <c r="E27" i="2"/>
  <c r="D27" i="2"/>
  <c r="E80" i="3" s="1"/>
  <c r="H26" i="2"/>
  <c r="G26" i="2"/>
  <c r="F26" i="2"/>
  <c r="G79" i="3" s="1"/>
  <c r="E26" i="2"/>
  <c r="D26" i="2"/>
  <c r="H25" i="2"/>
  <c r="I25" i="2" s="1"/>
  <c r="G25" i="2"/>
  <c r="F25" i="2"/>
  <c r="E25" i="2"/>
  <c r="D25" i="2"/>
  <c r="H21" i="2"/>
  <c r="I21" i="2" s="1"/>
  <c r="J21" i="2" s="1"/>
  <c r="K21" i="2" s="1"/>
  <c r="L21" i="2" s="1"/>
  <c r="M21" i="2" s="1"/>
  <c r="N21" i="2" s="1"/>
  <c r="O21" i="2" s="1"/>
  <c r="P21" i="2" s="1"/>
  <c r="Q21" i="2" s="1"/>
  <c r="R21" i="2" s="1"/>
  <c r="S21" i="2" s="1"/>
  <c r="T21" i="2" s="1"/>
  <c r="G21" i="2"/>
  <c r="F21" i="2"/>
  <c r="E21" i="2"/>
  <c r="D21" i="2"/>
  <c r="H20" i="2"/>
  <c r="D302" i="8" s="1"/>
  <c r="G20" i="2"/>
  <c r="H49" i="3" s="1"/>
  <c r="F20" i="2"/>
  <c r="F49" i="3" s="1"/>
  <c r="E20" i="2"/>
  <c r="D20" i="2"/>
  <c r="H19" i="2"/>
  <c r="D301" i="8" s="1"/>
  <c r="G19" i="2"/>
  <c r="F19" i="2"/>
  <c r="E19" i="2"/>
  <c r="D19" i="2"/>
  <c r="D48" i="3" s="1"/>
  <c r="J18" i="2"/>
  <c r="F300" i="8" s="1"/>
  <c r="H18" i="2"/>
  <c r="I18" i="2" s="1"/>
  <c r="G18" i="2"/>
  <c r="F18" i="2"/>
  <c r="E18" i="2"/>
  <c r="F47" i="3" s="1"/>
  <c r="D18" i="2"/>
  <c r="H17" i="2"/>
  <c r="I17" i="2" s="1"/>
  <c r="E299" i="8" s="1"/>
  <c r="G17" i="2"/>
  <c r="F17" i="2"/>
  <c r="E17" i="2"/>
  <c r="F46" i="3" s="1"/>
  <c r="D17" i="2"/>
  <c r="H16" i="2"/>
  <c r="H198" i="2" s="1"/>
  <c r="D298" i="8" s="1"/>
  <c r="G16" i="2"/>
  <c r="G198" i="2" s="1"/>
  <c r="G45" i="3" s="1"/>
  <c r="J45" i="3" s="1"/>
  <c r="F16" i="2"/>
  <c r="F198" i="2" s="1"/>
  <c r="E16" i="2"/>
  <c r="E198" i="2" s="1"/>
  <c r="D16" i="2"/>
  <c r="D198" i="2" s="1"/>
  <c r="D45" i="3" s="1"/>
  <c r="H15" i="2"/>
  <c r="G15" i="2"/>
  <c r="F15" i="2"/>
  <c r="F195" i="2" s="1"/>
  <c r="F43" i="3" s="1"/>
  <c r="E15" i="2"/>
  <c r="E195" i="2" s="1"/>
  <c r="D15" i="2"/>
  <c r="D195" i="2" s="1"/>
  <c r="D43" i="3" s="1"/>
  <c r="H14" i="2"/>
  <c r="G14" i="2"/>
  <c r="G192" i="2" s="1"/>
  <c r="G41" i="3" s="1"/>
  <c r="F14" i="2"/>
  <c r="F192" i="2" s="1"/>
  <c r="E14" i="2"/>
  <c r="E192" i="2" s="1"/>
  <c r="D14" i="2"/>
  <c r="D192" i="2" s="1"/>
  <c r="H13" i="2"/>
  <c r="G13" i="2"/>
  <c r="F13" i="2"/>
  <c r="E13" i="2"/>
  <c r="D13" i="2"/>
  <c r="H12" i="2"/>
  <c r="G12" i="2"/>
  <c r="G38" i="3" s="1"/>
  <c r="F12" i="2"/>
  <c r="E12" i="2"/>
  <c r="E38" i="3" s="1"/>
  <c r="D12" i="2"/>
  <c r="H11" i="2"/>
  <c r="H37" i="3" s="1"/>
  <c r="G11" i="2"/>
  <c r="G37" i="3" s="1"/>
  <c r="F11" i="2"/>
  <c r="E11" i="2"/>
  <c r="D11" i="2"/>
  <c r="H10" i="2"/>
  <c r="G10" i="2"/>
  <c r="F10" i="2"/>
  <c r="F189" i="2" s="1"/>
  <c r="F36" i="3" s="1"/>
  <c r="I36" i="3" s="1"/>
  <c r="E10" i="2"/>
  <c r="E189" i="2" s="1"/>
  <c r="D10" i="2"/>
  <c r="D189" i="2" s="1"/>
  <c r="H9" i="2"/>
  <c r="I9" i="2" s="1"/>
  <c r="J9" i="2" s="1"/>
  <c r="K9" i="2" s="1"/>
  <c r="L9" i="2" s="1"/>
  <c r="M9" i="2" s="1"/>
  <c r="N9" i="2" s="1"/>
  <c r="O9" i="2" s="1"/>
  <c r="P9" i="2" s="1"/>
  <c r="Q9" i="2" s="1"/>
  <c r="R9" i="2" s="1"/>
  <c r="S9" i="2" s="1"/>
  <c r="T9" i="2" s="1"/>
  <c r="G9" i="2"/>
  <c r="F9" i="2"/>
  <c r="F34" i="3" s="1"/>
  <c r="E9" i="2"/>
  <c r="D9" i="2"/>
  <c r="E34" i="3" s="1"/>
  <c r="H8" i="2"/>
  <c r="G8" i="2"/>
  <c r="F8" i="2"/>
  <c r="E8" i="2"/>
  <c r="D8" i="2"/>
  <c r="H7" i="2"/>
  <c r="D3" i="15" s="1"/>
  <c r="D41" i="21" s="1"/>
  <c r="G7" i="2"/>
  <c r="C3" i="15" s="1"/>
  <c r="F7" i="2"/>
  <c r="E7" i="2"/>
  <c r="D7" i="2"/>
  <c r="D120" i="3" s="1"/>
  <c r="E349" i="8"/>
  <c r="E342" i="8"/>
  <c r="D316" i="8"/>
  <c r="D315" i="8"/>
  <c r="E312" i="8"/>
  <c r="D312" i="8"/>
  <c r="E300" i="8"/>
  <c r="D300" i="8"/>
  <c r="D299" i="8"/>
  <c r="D296" i="8"/>
  <c r="D295" i="8"/>
  <c r="P278" i="8"/>
  <c r="O278" i="8"/>
  <c r="N278" i="8"/>
  <c r="M278" i="8"/>
  <c r="L278" i="8"/>
  <c r="K278" i="8"/>
  <c r="J278" i="8"/>
  <c r="I278" i="8"/>
  <c r="H278" i="8"/>
  <c r="G278" i="8"/>
  <c r="F278" i="8"/>
  <c r="E278" i="8"/>
  <c r="E263" i="8"/>
  <c r="E258" i="8"/>
  <c r="E257" i="8"/>
  <c r="E259" i="8" s="1"/>
  <c r="P253" i="8"/>
  <c r="O253" i="8"/>
  <c r="E253" i="8"/>
  <c r="E252" i="8"/>
  <c r="E254" i="8" s="1"/>
  <c r="F248" i="8"/>
  <c r="F245" i="8"/>
  <c r="E245" i="8"/>
  <c r="P236" i="8"/>
  <c r="O236" i="8"/>
  <c r="N236" i="8"/>
  <c r="M236" i="8"/>
  <c r="L236" i="8"/>
  <c r="K236" i="8"/>
  <c r="J236" i="8"/>
  <c r="I236" i="8"/>
  <c r="H236" i="8"/>
  <c r="G236" i="8"/>
  <c r="F236" i="8"/>
  <c r="E236" i="8"/>
  <c r="P229" i="8"/>
  <c r="O229" i="8"/>
  <c r="N229" i="8"/>
  <c r="M229" i="8"/>
  <c r="L229" i="8"/>
  <c r="K229" i="8"/>
  <c r="J229" i="8"/>
  <c r="I229" i="8"/>
  <c r="H229" i="8"/>
  <c r="G229" i="8"/>
  <c r="F229" i="8"/>
  <c r="E229" i="8"/>
  <c r="P222" i="8"/>
  <c r="O222" i="8"/>
  <c r="N222" i="8"/>
  <c r="M222" i="8"/>
  <c r="L222" i="8"/>
  <c r="K222" i="8"/>
  <c r="J222" i="8"/>
  <c r="I222" i="8"/>
  <c r="H222" i="8"/>
  <c r="G222" i="8"/>
  <c r="F222" i="8"/>
  <c r="E222" i="8"/>
  <c r="I202" i="8"/>
  <c r="D199" i="8"/>
  <c r="E195" i="8" s="1"/>
  <c r="P196" i="8"/>
  <c r="O196" i="8"/>
  <c r="N196" i="8"/>
  <c r="M196" i="8"/>
  <c r="L196" i="8"/>
  <c r="K196" i="8"/>
  <c r="J196" i="8"/>
  <c r="I196" i="8"/>
  <c r="H196" i="8"/>
  <c r="G196" i="8"/>
  <c r="F196" i="8"/>
  <c r="E196" i="8"/>
  <c r="I176" i="8"/>
  <c r="D173" i="8"/>
  <c r="E169" i="8" s="1"/>
  <c r="P172" i="8"/>
  <c r="O172" i="8"/>
  <c r="N172" i="8"/>
  <c r="M172" i="8"/>
  <c r="L172" i="8"/>
  <c r="K172" i="8"/>
  <c r="J172" i="8"/>
  <c r="I172" i="8"/>
  <c r="H172" i="8"/>
  <c r="G172" i="8"/>
  <c r="F172" i="8"/>
  <c r="E172" i="8"/>
  <c r="P170" i="8"/>
  <c r="O170" i="8"/>
  <c r="N170" i="8"/>
  <c r="M170" i="8"/>
  <c r="L170" i="8"/>
  <c r="K170" i="8"/>
  <c r="J170" i="8"/>
  <c r="I170" i="8"/>
  <c r="H170" i="8"/>
  <c r="G170" i="8"/>
  <c r="F170" i="8"/>
  <c r="E170" i="8"/>
  <c r="I150" i="8"/>
  <c r="D147" i="8"/>
  <c r="E143" i="8" s="1"/>
  <c r="P144" i="8"/>
  <c r="O144" i="8"/>
  <c r="N144" i="8"/>
  <c r="M144" i="8"/>
  <c r="L144" i="8"/>
  <c r="K144" i="8"/>
  <c r="J144" i="8"/>
  <c r="I144" i="8"/>
  <c r="H144" i="8"/>
  <c r="G144" i="8"/>
  <c r="F144" i="8"/>
  <c r="E144" i="8"/>
  <c r="P130" i="8"/>
  <c r="O130" i="8"/>
  <c r="N130" i="8"/>
  <c r="M130" i="8"/>
  <c r="L130" i="8"/>
  <c r="K130" i="8"/>
  <c r="J130" i="8"/>
  <c r="I130" i="8"/>
  <c r="H130" i="8"/>
  <c r="G130" i="8"/>
  <c r="F130" i="8"/>
  <c r="E130" i="8"/>
  <c r="F129" i="8"/>
  <c r="F131" i="8" s="1"/>
  <c r="F136" i="8" s="1"/>
  <c r="F242" i="8" s="1"/>
  <c r="J162" i="2" s="1"/>
  <c r="E129" i="8"/>
  <c r="E131" i="8" s="1"/>
  <c r="E136" i="8" s="1"/>
  <c r="I107" i="8"/>
  <c r="I88" i="8"/>
  <c r="I69" i="8"/>
  <c r="D65" i="8"/>
  <c r="D62" i="8"/>
  <c r="D61" i="8"/>
  <c r="D60" i="8"/>
  <c r="D59" i="8"/>
  <c r="D56" i="8"/>
  <c r="D55" i="8"/>
  <c r="I50" i="8"/>
  <c r="D46" i="8"/>
  <c r="D45" i="8"/>
  <c r="D37" i="8"/>
  <c r="D36" i="8"/>
  <c r="D35" i="8"/>
  <c r="I31" i="8"/>
  <c r="I10" i="8"/>
  <c r="E3" i="8"/>
  <c r="L144" i="3"/>
  <c r="K144" i="3"/>
  <c r="J144" i="3"/>
  <c r="I144" i="3"/>
  <c r="E265" i="8" s="1"/>
  <c r="J143" i="3"/>
  <c r="I143" i="3"/>
  <c r="I142" i="3"/>
  <c r="J142" i="3" s="1"/>
  <c r="D141" i="3"/>
  <c r="H140" i="3"/>
  <c r="F140" i="3"/>
  <c r="D140" i="3"/>
  <c r="H139" i="3"/>
  <c r="E139" i="3"/>
  <c r="F138" i="3"/>
  <c r="K137" i="3"/>
  <c r="I137" i="3"/>
  <c r="J137" i="3" s="1"/>
  <c r="K135" i="3"/>
  <c r="G253" i="8" s="1"/>
  <c r="J135" i="3"/>
  <c r="F253" i="8" s="1"/>
  <c r="I135" i="3"/>
  <c r="J133" i="3"/>
  <c r="I133" i="3"/>
  <c r="I132" i="3"/>
  <c r="J131" i="3"/>
  <c r="I131" i="3"/>
  <c r="E128" i="3"/>
  <c r="I127" i="3"/>
  <c r="E368" i="8" s="1"/>
  <c r="I126" i="3"/>
  <c r="L125" i="3"/>
  <c r="K125" i="3"/>
  <c r="J125" i="3"/>
  <c r="I125" i="3"/>
  <c r="E353" i="8" s="1"/>
  <c r="G124" i="3"/>
  <c r="H122" i="3"/>
  <c r="F121" i="3"/>
  <c r="G120" i="3"/>
  <c r="J119" i="3"/>
  <c r="I119" i="3"/>
  <c r="I118" i="3"/>
  <c r="E348" i="8" s="1"/>
  <c r="J117" i="3"/>
  <c r="F342" i="8" s="1"/>
  <c r="I117" i="3"/>
  <c r="I114" i="3"/>
  <c r="E286" i="8" s="1"/>
  <c r="H114" i="3"/>
  <c r="G114" i="3"/>
  <c r="F114" i="3"/>
  <c r="E114" i="3"/>
  <c r="D114" i="3"/>
  <c r="I113" i="3"/>
  <c r="E285" i="8" s="1"/>
  <c r="H113" i="3"/>
  <c r="G113" i="3"/>
  <c r="F113" i="3"/>
  <c r="E113" i="3"/>
  <c r="D113" i="3"/>
  <c r="H112" i="3"/>
  <c r="G112" i="3"/>
  <c r="F112" i="3"/>
  <c r="I112" i="3" s="1"/>
  <c r="E112" i="3"/>
  <c r="D112" i="3"/>
  <c r="I111" i="3"/>
  <c r="H111" i="3"/>
  <c r="G111" i="3"/>
  <c r="F111" i="3"/>
  <c r="E111" i="3"/>
  <c r="D111" i="3"/>
  <c r="H110" i="3"/>
  <c r="G110" i="3"/>
  <c r="F110" i="3"/>
  <c r="E110" i="3"/>
  <c r="D110" i="3"/>
  <c r="H109" i="3"/>
  <c r="G109" i="3"/>
  <c r="F109" i="3"/>
  <c r="E109" i="3"/>
  <c r="D109" i="3"/>
  <c r="H108" i="3"/>
  <c r="G108" i="3"/>
  <c r="F108" i="3"/>
  <c r="E108" i="3"/>
  <c r="D108" i="3"/>
  <c r="H107" i="3"/>
  <c r="G107" i="3"/>
  <c r="F107" i="3"/>
  <c r="E107" i="3"/>
  <c r="D107" i="3"/>
  <c r="H106" i="3"/>
  <c r="G106" i="3"/>
  <c r="F106" i="3"/>
  <c r="I106" i="3" s="1"/>
  <c r="E106" i="3"/>
  <c r="D106" i="3"/>
  <c r="H105" i="3"/>
  <c r="G105" i="3"/>
  <c r="F105" i="3"/>
  <c r="I105" i="3" s="1"/>
  <c r="E105" i="3"/>
  <c r="D105" i="3"/>
  <c r="H104" i="3"/>
  <c r="G104" i="3"/>
  <c r="F104" i="3"/>
  <c r="E104" i="3"/>
  <c r="D104" i="3"/>
  <c r="I102" i="3"/>
  <c r="H102" i="3"/>
  <c r="G102" i="3"/>
  <c r="F102" i="3"/>
  <c r="E102" i="3"/>
  <c r="D102" i="3"/>
  <c r="H101" i="3"/>
  <c r="G101" i="3"/>
  <c r="F101" i="3"/>
  <c r="E101" i="3"/>
  <c r="H100" i="3"/>
  <c r="G100" i="3"/>
  <c r="F100" i="3"/>
  <c r="E100" i="3"/>
  <c r="H98" i="3"/>
  <c r="G98" i="3"/>
  <c r="F98" i="3"/>
  <c r="E98" i="3"/>
  <c r="D98" i="3"/>
  <c r="H97" i="3"/>
  <c r="G97" i="3"/>
  <c r="F97" i="3"/>
  <c r="E97" i="3"/>
  <c r="H95" i="3"/>
  <c r="D153" i="8" s="1" a="1"/>
  <c r="D162" i="8" s="1"/>
  <c r="H94" i="3"/>
  <c r="D205" i="8" s="1" a="1"/>
  <c r="H93" i="3"/>
  <c r="D179" i="8" s="1" a="1"/>
  <c r="D191" i="8" s="1"/>
  <c r="H92" i="3"/>
  <c r="E92" i="3"/>
  <c r="H91" i="3"/>
  <c r="H89" i="3"/>
  <c r="D72" i="8" s="1" a="1"/>
  <c r="H88" i="3"/>
  <c r="D53" i="8" s="1" a="1"/>
  <c r="H87" i="3"/>
  <c r="D34" i="8" s="1" a="1"/>
  <c r="H86" i="3"/>
  <c r="G85" i="3"/>
  <c r="G83" i="3"/>
  <c r="H82" i="3"/>
  <c r="G82" i="3"/>
  <c r="F82" i="3"/>
  <c r="E82" i="3"/>
  <c r="H79" i="3"/>
  <c r="E79" i="3"/>
  <c r="F78" i="3"/>
  <c r="H77" i="3"/>
  <c r="G77" i="3"/>
  <c r="G71" i="3"/>
  <c r="F69" i="3"/>
  <c r="H67" i="3"/>
  <c r="G67" i="3"/>
  <c r="H66" i="3"/>
  <c r="G65" i="3"/>
  <c r="F65" i="3"/>
  <c r="G64" i="3"/>
  <c r="F64" i="3"/>
  <c r="E64" i="3"/>
  <c r="H63" i="3"/>
  <c r="H62" i="3"/>
  <c r="F62" i="3"/>
  <c r="E62" i="3"/>
  <c r="D62" i="3"/>
  <c r="H61" i="3"/>
  <c r="E60" i="3"/>
  <c r="H59" i="3"/>
  <c r="E59" i="3"/>
  <c r="E57" i="3"/>
  <c r="E56" i="3"/>
  <c r="E53" i="3"/>
  <c r="H52" i="3"/>
  <c r="G52" i="3"/>
  <c r="E49" i="3"/>
  <c r="G48" i="3"/>
  <c r="E48" i="3"/>
  <c r="H47" i="3"/>
  <c r="G47" i="3"/>
  <c r="H46" i="3"/>
  <c r="G46" i="3"/>
  <c r="F45" i="3"/>
  <c r="I45" i="3" s="1"/>
  <c r="E45" i="3"/>
  <c r="F44" i="3"/>
  <c r="I44" i="3" s="1"/>
  <c r="E44" i="3"/>
  <c r="H41" i="3"/>
  <c r="E41" i="3"/>
  <c r="D41" i="3"/>
  <c r="H40" i="3"/>
  <c r="G40" i="3"/>
  <c r="E40" i="3"/>
  <c r="D40" i="3"/>
  <c r="E39" i="3"/>
  <c r="D38" i="3"/>
  <c r="D37" i="3"/>
  <c r="G33" i="3"/>
  <c r="F33" i="3"/>
  <c r="H29" i="3"/>
  <c r="G29" i="3"/>
  <c r="F29" i="3"/>
  <c r="E29" i="3"/>
  <c r="D29" i="3"/>
  <c r="H28" i="3"/>
  <c r="G28" i="3"/>
  <c r="F28" i="3"/>
  <c r="E28" i="3"/>
  <c r="D28" i="3"/>
  <c r="H27" i="3"/>
  <c r="G27" i="3"/>
  <c r="F27" i="3"/>
  <c r="E27" i="3"/>
  <c r="D27" i="3"/>
  <c r="H26" i="3"/>
  <c r="G26" i="3"/>
  <c r="F26" i="3"/>
  <c r="E26" i="3"/>
  <c r="D26" i="3"/>
  <c r="H25" i="3"/>
  <c r="G25" i="3"/>
  <c r="F25" i="3"/>
  <c r="E25" i="3"/>
  <c r="D25" i="3"/>
  <c r="G23" i="3"/>
  <c r="F23" i="3"/>
  <c r="E23" i="3"/>
  <c r="D23" i="3"/>
  <c r="H21" i="3"/>
  <c r="G21" i="3"/>
  <c r="F21" i="3"/>
  <c r="E21" i="3"/>
  <c r="D21" i="3"/>
  <c r="H19" i="3"/>
  <c r="F19" i="3"/>
  <c r="E19" i="3"/>
  <c r="H18" i="3"/>
  <c r="E18" i="3"/>
  <c r="G17" i="3"/>
  <c r="E17" i="3"/>
  <c r="D17" i="3"/>
  <c r="H16" i="3"/>
  <c r="G16" i="3"/>
  <c r="D16" i="3"/>
  <c r="E15" i="3"/>
  <c r="F14" i="3"/>
  <c r="E14" i="3"/>
  <c r="D13" i="3"/>
  <c r="H12" i="3"/>
  <c r="F12" i="3"/>
  <c r="E12" i="3"/>
  <c r="H10" i="3"/>
  <c r="G10" i="3"/>
  <c r="E10" i="3"/>
  <c r="H9" i="3"/>
  <c r="G9" i="3"/>
  <c r="F9" i="3"/>
  <c r="D8" i="3"/>
  <c r="L7" i="3"/>
  <c r="K7" i="3"/>
  <c r="J7" i="3"/>
  <c r="E6" i="3"/>
  <c r="L5" i="3"/>
  <c r="K5" i="3"/>
  <c r="M5" i="3" s="1"/>
  <c r="J5" i="3"/>
  <c r="H4" i="3"/>
  <c r="E7" i="5"/>
  <c r="E5" i="5"/>
  <c r="D5" i="5"/>
  <c r="G4" i="5"/>
  <c r="F4" i="5"/>
  <c r="E4" i="5"/>
  <c r="D4" i="5"/>
  <c r="E231" i="2" s="1"/>
  <c r="C4" i="5"/>
  <c r="G162" i="1"/>
  <c r="H96" i="2" s="1"/>
  <c r="I96" i="2" s="1"/>
  <c r="J96" i="2" s="1"/>
  <c r="K96" i="2" s="1"/>
  <c r="L96" i="2" s="1"/>
  <c r="M96" i="2" s="1"/>
  <c r="N96" i="2" s="1"/>
  <c r="O96" i="2" s="1"/>
  <c r="P96" i="2" s="1"/>
  <c r="Q96" i="2" s="1"/>
  <c r="R96" i="2" s="1"/>
  <c r="S96" i="2" s="1"/>
  <c r="T96" i="2" s="1"/>
  <c r="F162" i="1"/>
  <c r="G96" i="2" s="1"/>
  <c r="E162" i="1"/>
  <c r="F96" i="2" s="1"/>
  <c r="D162" i="1"/>
  <c r="E96" i="2" s="1"/>
  <c r="C162" i="1"/>
  <c r="D96" i="2" s="1"/>
  <c r="G145" i="1"/>
  <c r="H80" i="2" s="1"/>
  <c r="I80" i="2" s="1"/>
  <c r="J80" i="2" s="1"/>
  <c r="K80" i="2" s="1"/>
  <c r="L80" i="2" s="1"/>
  <c r="M80" i="2" s="1"/>
  <c r="N80" i="2" s="1"/>
  <c r="O80" i="2" s="1"/>
  <c r="P80" i="2" s="1"/>
  <c r="Q80" i="2" s="1"/>
  <c r="R80" i="2" s="1"/>
  <c r="S80" i="2" s="1"/>
  <c r="T80" i="2" s="1"/>
  <c r="F145" i="1"/>
  <c r="G80" i="2" s="1"/>
  <c r="E145" i="1"/>
  <c r="F80" i="2" s="1"/>
  <c r="D145" i="1"/>
  <c r="E80" i="2" s="1"/>
  <c r="C145" i="1"/>
  <c r="D80" i="2" s="1"/>
  <c r="G133" i="1"/>
  <c r="H68" i="2" s="1"/>
  <c r="I68" i="2" s="1"/>
  <c r="J68" i="2" s="1"/>
  <c r="K68" i="2" s="1"/>
  <c r="L68" i="2" s="1"/>
  <c r="M68" i="2" s="1"/>
  <c r="N68" i="2" s="1"/>
  <c r="O68" i="2" s="1"/>
  <c r="P68" i="2" s="1"/>
  <c r="Q68" i="2" s="1"/>
  <c r="R68" i="2" s="1"/>
  <c r="S68" i="2" s="1"/>
  <c r="T68" i="2" s="1"/>
  <c r="F133" i="1"/>
  <c r="G68" i="2" s="1"/>
  <c r="E133" i="1"/>
  <c r="F68" i="2" s="1"/>
  <c r="D133" i="1"/>
  <c r="E68" i="2" s="1"/>
  <c r="C133" i="1"/>
  <c r="D68" i="2" s="1"/>
  <c r="G102" i="1"/>
  <c r="H46" i="2" s="1"/>
  <c r="I46" i="2" s="1"/>
  <c r="J46" i="2" s="1"/>
  <c r="K46" i="2" s="1"/>
  <c r="L46" i="2" s="1"/>
  <c r="M46" i="2" s="1"/>
  <c r="N46" i="2" s="1"/>
  <c r="O46" i="2" s="1"/>
  <c r="P46" i="2" s="1"/>
  <c r="Q46" i="2" s="1"/>
  <c r="R46" i="2" s="1"/>
  <c r="S46" i="2" s="1"/>
  <c r="T46" i="2" s="1"/>
  <c r="F102" i="1"/>
  <c r="G46" i="2" s="1"/>
  <c r="E102" i="1"/>
  <c r="F46" i="2" s="1"/>
  <c r="C102" i="1"/>
  <c r="D46" i="2" s="1"/>
  <c r="G78" i="1"/>
  <c r="H22" i="2" s="1"/>
  <c r="F78" i="1"/>
  <c r="G22" i="2" s="1"/>
  <c r="E78" i="1"/>
  <c r="F22" i="2" s="1"/>
  <c r="D78" i="1"/>
  <c r="E22" i="2" s="1"/>
  <c r="C78" i="1"/>
  <c r="D22" i="2" s="1"/>
  <c r="G43" i="1"/>
  <c r="H133" i="2" s="1"/>
  <c r="I133" i="2" s="1"/>
  <c r="J133" i="2" s="1"/>
  <c r="K133" i="2" s="1"/>
  <c r="L133" i="2" s="1"/>
  <c r="M133" i="2" s="1"/>
  <c r="N133" i="2" s="1"/>
  <c r="O133" i="2" s="1"/>
  <c r="P133" i="2" s="1"/>
  <c r="Q133" i="2" s="1"/>
  <c r="R133" i="2" s="1"/>
  <c r="S133" i="2" s="1"/>
  <c r="T133" i="2" s="1"/>
  <c r="F43" i="1"/>
  <c r="G133" i="2" s="1"/>
  <c r="E43" i="1"/>
  <c r="F133" i="2" s="1"/>
  <c r="D43" i="1"/>
  <c r="E133" i="2" s="1"/>
  <c r="C43" i="1"/>
  <c r="D133" i="2" s="1"/>
  <c r="G39" i="1"/>
  <c r="H129" i="2" s="1"/>
  <c r="I129" i="2" s="1"/>
  <c r="J129" i="2" s="1"/>
  <c r="K129" i="2" s="1"/>
  <c r="L129" i="2" s="1"/>
  <c r="M129" i="2" s="1"/>
  <c r="N129" i="2" s="1"/>
  <c r="O129" i="2" s="1"/>
  <c r="P129" i="2" s="1"/>
  <c r="Q129" i="2" s="1"/>
  <c r="R129" i="2" s="1"/>
  <c r="S129" i="2" s="1"/>
  <c r="T129" i="2" s="1"/>
  <c r="F39" i="1"/>
  <c r="G129" i="2" s="1"/>
  <c r="E39" i="1"/>
  <c r="F129" i="2" s="1"/>
  <c r="D39" i="1"/>
  <c r="E129" i="2" s="1"/>
  <c r="C39" i="1"/>
  <c r="D129" i="2" s="1"/>
  <c r="G34" i="1"/>
  <c r="H125" i="2" s="1"/>
  <c r="I125" i="2" s="1"/>
  <c r="J125" i="2" s="1"/>
  <c r="K125" i="2" s="1"/>
  <c r="L125" i="2" s="1"/>
  <c r="M125" i="2" s="1"/>
  <c r="N125" i="2" s="1"/>
  <c r="O125" i="2" s="1"/>
  <c r="P125" i="2" s="1"/>
  <c r="Q125" i="2" s="1"/>
  <c r="R125" i="2" s="1"/>
  <c r="S125" i="2" s="1"/>
  <c r="T125" i="2" s="1"/>
  <c r="F34" i="1"/>
  <c r="G125" i="2" s="1"/>
  <c r="E34" i="1"/>
  <c r="F125" i="2" s="1"/>
  <c r="D34" i="1"/>
  <c r="E125" i="2" s="1"/>
  <c r="C34" i="1"/>
  <c r="D125" i="2" s="1"/>
  <c r="C1" i="1"/>
  <c r="D143" i="21"/>
  <c r="C143" i="21"/>
  <c r="D142" i="21"/>
  <c r="C142" i="21"/>
  <c r="D141" i="21"/>
  <c r="C141" i="21"/>
  <c r="D139" i="21"/>
  <c r="C139" i="21"/>
  <c r="D138" i="21"/>
  <c r="C138" i="21"/>
  <c r="D137" i="21"/>
  <c r="C137" i="21"/>
  <c r="D136" i="21"/>
  <c r="C136" i="21"/>
  <c r="D135" i="21"/>
  <c r="C135" i="21"/>
  <c r="D134" i="21"/>
  <c r="C134" i="21"/>
  <c r="D133" i="21"/>
  <c r="C133" i="21"/>
  <c r="D132" i="21"/>
  <c r="C132" i="21"/>
  <c r="D131" i="21"/>
  <c r="C131" i="21"/>
  <c r="D130" i="21"/>
  <c r="C130" i="21"/>
  <c r="D129" i="21"/>
  <c r="C129" i="21"/>
  <c r="D128" i="21"/>
  <c r="C128" i="21"/>
  <c r="D127" i="21"/>
  <c r="C127" i="21"/>
  <c r="D125" i="21"/>
  <c r="C125" i="21"/>
  <c r="D124" i="21"/>
  <c r="C124" i="21"/>
  <c r="D123" i="21"/>
  <c r="C123" i="21"/>
  <c r="D122" i="21"/>
  <c r="C122" i="21"/>
  <c r="D121" i="21"/>
  <c r="C121" i="21"/>
  <c r="D120" i="21"/>
  <c r="C120" i="21"/>
  <c r="D119" i="21"/>
  <c r="C119" i="21"/>
  <c r="D118" i="21"/>
  <c r="C118" i="21"/>
  <c r="D117" i="21"/>
  <c r="C117" i="21"/>
  <c r="D116" i="21"/>
  <c r="C116" i="21"/>
  <c r="D115" i="21"/>
  <c r="C115" i="21"/>
  <c r="D114" i="21"/>
  <c r="C114" i="21"/>
  <c r="D113" i="21"/>
  <c r="C113" i="21"/>
  <c r="D112" i="21"/>
  <c r="C112" i="21"/>
  <c r="D111" i="21"/>
  <c r="C111" i="21"/>
  <c r="D109" i="21"/>
  <c r="C109" i="21"/>
  <c r="D108" i="21"/>
  <c r="C108" i="21"/>
  <c r="D107" i="21"/>
  <c r="C107" i="21"/>
  <c r="D106" i="21"/>
  <c r="C106" i="21"/>
  <c r="D105" i="21"/>
  <c r="C105" i="21"/>
  <c r="D104" i="21"/>
  <c r="C104" i="21"/>
  <c r="D99" i="21"/>
  <c r="C99" i="21"/>
  <c r="D98" i="21"/>
  <c r="C98" i="21"/>
  <c r="D97" i="21"/>
  <c r="C97" i="21"/>
  <c r="D96" i="21"/>
  <c r="C96" i="21"/>
  <c r="D94" i="21"/>
  <c r="C94" i="21"/>
  <c r="D93" i="21"/>
  <c r="C93" i="21"/>
  <c r="D90" i="21"/>
  <c r="C90" i="21"/>
  <c r="D89" i="21"/>
  <c r="C89" i="21"/>
  <c r="D88" i="21"/>
  <c r="C88" i="21"/>
  <c r="C84" i="21"/>
  <c r="C80" i="21"/>
  <c r="D78" i="21"/>
  <c r="C75" i="21"/>
  <c r="C73" i="21"/>
  <c r="D69" i="21"/>
  <c r="C69" i="21"/>
  <c r="C68" i="21"/>
  <c r="D63" i="21"/>
  <c r="D61" i="21"/>
  <c r="C61" i="21"/>
  <c r="D60" i="21"/>
  <c r="C60" i="21"/>
  <c r="C53" i="21"/>
  <c r="C41" i="21"/>
  <c r="C37" i="21"/>
  <c r="D35" i="21"/>
  <c r="C35" i="21"/>
  <c r="D33" i="21"/>
  <c r="D32" i="21"/>
  <c r="C28" i="21"/>
  <c r="C24" i="21"/>
  <c r="D22" i="21"/>
  <c r="C22" i="21"/>
  <c r="D20" i="21"/>
  <c r="L86" i="3" l="1"/>
  <c r="G129" i="8"/>
  <c r="G131" i="8" s="1"/>
  <c r="G136" i="8" s="1"/>
  <c r="G242" i="8"/>
  <c r="K162" i="2" s="1"/>
  <c r="K65" i="23"/>
  <c r="D52" i="23"/>
  <c r="I38" i="23"/>
  <c r="J38" i="23" s="1"/>
  <c r="F21" i="23"/>
  <c r="E52" i="23"/>
  <c r="F52" i="23" s="1"/>
  <c r="B146" i="23"/>
  <c r="I66" i="23"/>
  <c r="J66" i="23" s="1"/>
  <c r="D22" i="23"/>
  <c r="D137" i="23" s="1"/>
  <c r="D143" i="23" s="1"/>
  <c r="E22" i="23"/>
  <c r="E137" i="23" s="1"/>
  <c r="E143" i="23" s="1"/>
  <c r="F137" i="23"/>
  <c r="F143" i="23" s="1"/>
  <c r="B154" i="23"/>
  <c r="B156" i="23" s="1"/>
  <c r="B157" i="23" s="1"/>
  <c r="B168" i="23" s="1"/>
  <c r="D82" i="23"/>
  <c r="E82" i="23" s="1"/>
  <c r="F82" i="23" s="1"/>
  <c r="D34" i="23"/>
  <c r="C115" i="23"/>
  <c r="D115" i="23"/>
  <c r="E21" i="23"/>
  <c r="D108" i="23"/>
  <c r="D146" i="23"/>
  <c r="C66" i="23"/>
  <c r="D66" i="23" s="1"/>
  <c r="E66" i="23" s="1"/>
  <c r="F66" i="23" s="1"/>
  <c r="B96" i="23"/>
  <c r="E162" i="23"/>
  <c r="E163" i="23" s="1"/>
  <c r="C22" i="23"/>
  <c r="C137" i="23" s="1"/>
  <c r="C143" i="23" s="1"/>
  <c r="H117" i="23"/>
  <c r="B153" i="23"/>
  <c r="B105" i="23"/>
  <c r="C146" i="23"/>
  <c r="C153" i="23"/>
  <c r="C162" i="23" s="1"/>
  <c r="C163" i="23" s="1"/>
  <c r="C105" i="23"/>
  <c r="D153" i="23"/>
  <c r="B34" i="23"/>
  <c r="D105" i="23"/>
  <c r="E37" i="23"/>
  <c r="C34" i="23"/>
  <c r="D131" i="23"/>
  <c r="D134" i="23" s="1"/>
  <c r="D122" i="23" s="1"/>
  <c r="M92" i="23"/>
  <c r="H130" i="23"/>
  <c r="I92" i="23"/>
  <c r="C173" i="23"/>
  <c r="C169" i="23"/>
  <c r="C172" i="23"/>
  <c r="C168" i="23"/>
  <c r="D172" i="23"/>
  <c r="D168" i="23"/>
  <c r="M52" i="23"/>
  <c r="I52" i="23"/>
  <c r="J52" i="23" s="1"/>
  <c r="F37" i="23"/>
  <c r="M84" i="23"/>
  <c r="I84" i="23"/>
  <c r="J84" i="23" s="1"/>
  <c r="C38" i="23"/>
  <c r="D173" i="23"/>
  <c r="E29" i="23"/>
  <c r="D29" i="23"/>
  <c r="D169" i="23"/>
  <c r="E154" i="23"/>
  <c r="E156" i="23" s="1"/>
  <c r="E157" i="23" s="1"/>
  <c r="E172" i="23" s="1"/>
  <c r="M49" i="23"/>
  <c r="D17" i="23"/>
  <c r="F29" i="23"/>
  <c r="C17" i="23"/>
  <c r="I82" i="23"/>
  <c r="J82" i="23" s="1"/>
  <c r="E161" i="23"/>
  <c r="E113" i="23"/>
  <c r="C125" i="23"/>
  <c r="C131" i="23" s="1"/>
  <c r="C134" i="23" s="1"/>
  <c r="C122" i="23" s="1"/>
  <c r="E132" i="23"/>
  <c r="C46" i="23"/>
  <c r="E105" i="23"/>
  <c r="C96" i="23"/>
  <c r="E144" i="23"/>
  <c r="D96" i="23"/>
  <c r="E96" i="23"/>
  <c r="B24" i="23"/>
  <c r="F96" i="23"/>
  <c r="B104" i="23"/>
  <c r="B108" i="23"/>
  <c r="C21" i="23"/>
  <c r="C29" i="23"/>
  <c r="C104" i="23"/>
  <c r="C108" i="23"/>
  <c r="B111" i="23"/>
  <c r="F109" i="23"/>
  <c r="D21" i="23"/>
  <c r="D104" i="23"/>
  <c r="E222" i="2"/>
  <c r="E225" i="2" s="1"/>
  <c r="D182" i="2"/>
  <c r="D93" i="2"/>
  <c r="D97" i="2" s="1"/>
  <c r="E124" i="3"/>
  <c r="D81" i="2"/>
  <c r="E69" i="3"/>
  <c r="E68" i="3"/>
  <c r="E67" i="3"/>
  <c r="E65" i="3"/>
  <c r="E63" i="3"/>
  <c r="E81" i="3"/>
  <c r="E77" i="3"/>
  <c r="D39" i="3"/>
  <c r="E50" i="3"/>
  <c r="D24" i="3"/>
  <c r="D140" i="2"/>
  <c r="D42" i="3"/>
  <c r="D6" i="3"/>
  <c r="D44" i="3"/>
  <c r="D57" i="3"/>
  <c r="C5" i="5"/>
  <c r="D58" i="3"/>
  <c r="D106" i="2"/>
  <c r="D7" i="3"/>
  <c r="E4" i="3"/>
  <c r="E182" i="2"/>
  <c r="E134" i="3"/>
  <c r="E74" i="3"/>
  <c r="F72" i="3"/>
  <c r="E71" i="3"/>
  <c r="F124" i="3"/>
  <c r="F122" i="3"/>
  <c r="F68" i="3"/>
  <c r="F67" i="3"/>
  <c r="F63" i="3"/>
  <c r="F55" i="3"/>
  <c r="E70" i="3"/>
  <c r="F52" i="3"/>
  <c r="D102" i="1"/>
  <c r="E46" i="2" s="1"/>
  <c r="E47" i="2" s="1"/>
  <c r="E43" i="2"/>
  <c r="F92" i="3"/>
  <c r="E85" i="3"/>
  <c r="E83" i="3"/>
  <c r="F81" i="3"/>
  <c r="E47" i="3"/>
  <c r="E46" i="3"/>
  <c r="F50" i="3"/>
  <c r="E140" i="2"/>
  <c r="E9" i="3"/>
  <c r="E37" i="3"/>
  <c r="E8" i="3"/>
  <c r="F182" i="2"/>
  <c r="G139" i="3"/>
  <c r="G138" i="3"/>
  <c r="G73" i="3"/>
  <c r="G122" i="3"/>
  <c r="G55" i="3"/>
  <c r="G70" i="3"/>
  <c r="G92" i="3"/>
  <c r="G78" i="3"/>
  <c r="F79" i="3"/>
  <c r="I79" i="3"/>
  <c r="I26" i="2" s="1"/>
  <c r="F53" i="3"/>
  <c r="G50" i="3"/>
  <c r="J24" i="3"/>
  <c r="F11" i="3"/>
  <c r="F7" i="3"/>
  <c r="F57" i="3"/>
  <c r="I57" i="3" s="1"/>
  <c r="F39" i="3"/>
  <c r="I39" i="3" s="1"/>
  <c r="F231" i="2"/>
  <c r="G4" i="3"/>
  <c r="F128" i="3"/>
  <c r="F37" i="3"/>
  <c r="I37" i="3" s="1"/>
  <c r="J37" i="3" s="1"/>
  <c r="F59" i="3"/>
  <c r="I59" i="3" s="1"/>
  <c r="J59" i="3" s="1"/>
  <c r="K59" i="3" s="1"/>
  <c r="L59" i="3" s="1"/>
  <c r="M59" i="3" s="1"/>
  <c r="F8" i="3"/>
  <c r="I8" i="3" s="1"/>
  <c r="F60" i="3"/>
  <c r="I60" i="3" s="1"/>
  <c r="J60" i="3" s="1"/>
  <c r="K60" i="3" s="1"/>
  <c r="L60" i="3" s="1"/>
  <c r="M60" i="3" s="1"/>
  <c r="F10" i="3"/>
  <c r="F48" i="3"/>
  <c r="I48" i="3" s="1"/>
  <c r="J48" i="3" s="1"/>
  <c r="F120" i="3"/>
  <c r="I120" i="3" s="1"/>
  <c r="J120" i="3" s="1"/>
  <c r="F38" i="3"/>
  <c r="I38" i="3" s="1"/>
  <c r="J38" i="3" s="1"/>
  <c r="F4" i="3"/>
  <c r="G93" i="2"/>
  <c r="H138" i="3"/>
  <c r="H74" i="3"/>
  <c r="H73" i="3"/>
  <c r="G128" i="3"/>
  <c r="H85" i="3"/>
  <c r="G84" i="3"/>
  <c r="H83" i="3"/>
  <c r="G81" i="3"/>
  <c r="G80" i="3"/>
  <c r="G49" i="3"/>
  <c r="H33" i="3"/>
  <c r="C7" i="21"/>
  <c r="K24" i="3"/>
  <c r="G18" i="3"/>
  <c r="I14" i="3"/>
  <c r="I121" i="2" s="1"/>
  <c r="I12" i="3"/>
  <c r="I117" i="2" s="1"/>
  <c r="G66" i="3"/>
  <c r="G8" i="3"/>
  <c r="J8" i="3" s="1"/>
  <c r="G7" i="3"/>
  <c r="G44" i="3"/>
  <c r="J44" i="3" s="1"/>
  <c r="G6" i="3"/>
  <c r="G57" i="3"/>
  <c r="J57" i="3" s="1"/>
  <c r="C4" i="13"/>
  <c r="C17" i="21" s="1"/>
  <c r="G106" i="2"/>
  <c r="G5" i="3"/>
  <c r="K37" i="3"/>
  <c r="I141" i="3"/>
  <c r="J141" i="3" s="1"/>
  <c r="H93" i="2"/>
  <c r="I87" i="2"/>
  <c r="J87" i="2" s="1"/>
  <c r="K87" i="2" s="1"/>
  <c r="L87" i="2" s="1"/>
  <c r="M87" i="2" s="1"/>
  <c r="I79" i="2"/>
  <c r="J79" i="2" s="1"/>
  <c r="K79" i="2" s="1"/>
  <c r="L79" i="2" s="1"/>
  <c r="M79" i="2" s="1"/>
  <c r="N79" i="2" s="1"/>
  <c r="O79" i="2" s="1"/>
  <c r="P79" i="2" s="1"/>
  <c r="Q79" i="2" s="1"/>
  <c r="R79" i="2" s="1"/>
  <c r="S79" i="2" s="1"/>
  <c r="T79" i="2" s="1"/>
  <c r="H124" i="3"/>
  <c r="I73" i="2"/>
  <c r="J73" i="2" s="1"/>
  <c r="K73" i="2" s="1"/>
  <c r="L73" i="2" s="1"/>
  <c r="M73" i="2" s="1"/>
  <c r="N73" i="2" s="1"/>
  <c r="O73" i="2" s="1"/>
  <c r="P73" i="2" s="1"/>
  <c r="Q73" i="2" s="1"/>
  <c r="R73" i="2" s="1"/>
  <c r="S73" i="2" s="1"/>
  <c r="T73" i="2" s="1"/>
  <c r="I170" i="2"/>
  <c r="F349" i="8"/>
  <c r="I169" i="2"/>
  <c r="K64" i="2"/>
  <c r="G316" i="8" s="1"/>
  <c r="I61" i="2"/>
  <c r="H64" i="3"/>
  <c r="H70" i="3"/>
  <c r="H60" i="3"/>
  <c r="I56" i="3"/>
  <c r="I53" i="2" s="1"/>
  <c r="H55" i="3"/>
  <c r="D337" i="8"/>
  <c r="E334" i="8" s="1"/>
  <c r="H99" i="3"/>
  <c r="D157" i="8"/>
  <c r="D159" i="8"/>
  <c r="H238" i="2"/>
  <c r="D140" i="8"/>
  <c r="E135" i="8" s="1"/>
  <c r="I33" i="2"/>
  <c r="J33" i="2" s="1"/>
  <c r="K33" i="2" s="1"/>
  <c r="L33" i="2" s="1"/>
  <c r="M33" i="2" s="1"/>
  <c r="N33" i="2" s="1"/>
  <c r="O33" i="2" s="1"/>
  <c r="P33" i="2" s="1"/>
  <c r="Q33" i="2" s="1"/>
  <c r="R33" i="2" s="1"/>
  <c r="S33" i="2" s="1"/>
  <c r="T33" i="2" s="1"/>
  <c r="H78" i="3"/>
  <c r="I20" i="2"/>
  <c r="H48" i="3"/>
  <c r="K18" i="2"/>
  <c r="H44" i="3"/>
  <c r="D293" i="8"/>
  <c r="H50" i="3"/>
  <c r="H184" i="2"/>
  <c r="I183" i="2" s="1"/>
  <c r="E327" i="8"/>
  <c r="H120" i="3"/>
  <c r="E360" i="8"/>
  <c r="D7" i="21"/>
  <c r="I23" i="3"/>
  <c r="I137" i="2" s="1"/>
  <c r="I88" i="2" s="1"/>
  <c r="I17" i="3"/>
  <c r="I124" i="2" s="1"/>
  <c r="J16" i="3"/>
  <c r="J123" i="2" s="1"/>
  <c r="H8" i="3"/>
  <c r="H7" i="3"/>
  <c r="G5" i="5"/>
  <c r="H231" i="2" s="1"/>
  <c r="H6" i="3"/>
  <c r="D4" i="13"/>
  <c r="D17" i="21" s="1"/>
  <c r="H39" i="3"/>
  <c r="G7" i="5"/>
  <c r="I5" i="3" s="1"/>
  <c r="I108" i="2" s="1"/>
  <c r="I116" i="2" s="1"/>
  <c r="K105" i="3"/>
  <c r="F262" i="8"/>
  <c r="K126" i="3"/>
  <c r="C3" i="5"/>
  <c r="D4" i="2"/>
  <c r="E2" i="10"/>
  <c r="D2" i="3"/>
  <c r="D83" i="8"/>
  <c r="D81" i="8"/>
  <c r="D78" i="8"/>
  <c r="D80" i="8"/>
  <c r="D79" i="8"/>
  <c r="D82" i="8"/>
  <c r="D77" i="8"/>
  <c r="D74" i="8"/>
  <c r="D84" i="8"/>
  <c r="D76" i="8"/>
  <c r="D75" i="8"/>
  <c r="D73" i="8"/>
  <c r="D72" i="8"/>
  <c r="L135" i="3"/>
  <c r="E272" i="8"/>
  <c r="E146" i="8"/>
  <c r="E106" i="2"/>
  <c r="D7" i="5"/>
  <c r="F5" i="3"/>
  <c r="E5" i="3"/>
  <c r="E7" i="3"/>
  <c r="F8" i="16"/>
  <c r="F72" i="21" s="1"/>
  <c r="G8" i="16"/>
  <c r="G72" i="21" s="1"/>
  <c r="K111" i="3"/>
  <c r="L111" i="3" s="1"/>
  <c r="E273" i="8"/>
  <c r="E238" i="8"/>
  <c r="J111" i="3"/>
  <c r="D314" i="8"/>
  <c r="I62" i="2"/>
  <c r="H65" i="3"/>
  <c r="F28" i="4"/>
  <c r="E359" i="8"/>
  <c r="K119" i="3"/>
  <c r="L119" i="3" s="1"/>
  <c r="O5" i="3"/>
  <c r="H353" i="8"/>
  <c r="J105" i="3"/>
  <c r="E246" i="8"/>
  <c r="E247" i="8" s="1"/>
  <c r="J132" i="3"/>
  <c r="K132" i="3" s="1"/>
  <c r="N5" i="3"/>
  <c r="G123" i="3"/>
  <c r="G81" i="2"/>
  <c r="C20" i="15" s="1"/>
  <c r="H123" i="3"/>
  <c r="E262" i="8"/>
  <c r="E264" i="8" s="1"/>
  <c r="E266" i="8" s="1"/>
  <c r="K142" i="3"/>
  <c r="L142" i="3"/>
  <c r="F359" i="8"/>
  <c r="J113" i="3"/>
  <c r="D35" i="3"/>
  <c r="D36" i="3"/>
  <c r="H265" i="8"/>
  <c r="L105" i="3"/>
  <c r="E139" i="8"/>
  <c r="E271" i="8"/>
  <c r="D1" i="1"/>
  <c r="N7" i="3"/>
  <c r="K104" i="3"/>
  <c r="J104" i="3"/>
  <c r="I104" i="3"/>
  <c r="K113" i="3"/>
  <c r="L113" i="3"/>
  <c r="G265" i="8"/>
  <c r="N144" i="3"/>
  <c r="F123" i="3"/>
  <c r="F81" i="2"/>
  <c r="I22" i="2"/>
  <c r="M7" i="3"/>
  <c r="J116" i="2"/>
  <c r="D206" i="8"/>
  <c r="D205" i="8"/>
  <c r="D214" i="8"/>
  <c r="D211" i="8"/>
  <c r="D207" i="8"/>
  <c r="D210" i="8"/>
  <c r="D209" i="8"/>
  <c r="D208" i="8"/>
  <c r="D217" i="8"/>
  <c r="D216" i="8"/>
  <c r="D213" i="8"/>
  <c r="D215" i="8"/>
  <c r="D212" i="8"/>
  <c r="M137" i="3"/>
  <c r="N137" i="3" s="1"/>
  <c r="F258" i="8"/>
  <c r="L137" i="3"/>
  <c r="E35" i="3"/>
  <c r="E36" i="3"/>
  <c r="D153" i="8"/>
  <c r="D165" i="8"/>
  <c r="D164" i="8"/>
  <c r="D156" i="8"/>
  <c r="D155" i="8"/>
  <c r="D161" i="8"/>
  <c r="D160" i="8"/>
  <c r="D158" i="8"/>
  <c r="D154" i="8"/>
  <c r="D163" i="8"/>
  <c r="G353" i="8"/>
  <c r="G258" i="8"/>
  <c r="E97" i="2"/>
  <c r="I140" i="3"/>
  <c r="J140" i="3" s="1"/>
  <c r="F40" i="3"/>
  <c r="I40" i="3" s="1"/>
  <c r="J40" i="3" s="1"/>
  <c r="F41" i="3"/>
  <c r="I41" i="3" s="1"/>
  <c r="D23" i="2"/>
  <c r="J112" i="3"/>
  <c r="F23" i="2"/>
  <c r="H134" i="3"/>
  <c r="I85" i="2"/>
  <c r="C13" i="13"/>
  <c r="G11" i="3"/>
  <c r="E274" i="8"/>
  <c r="G47" i="2"/>
  <c r="C12" i="15" s="1"/>
  <c r="I21" i="3"/>
  <c r="J21" i="3" s="1"/>
  <c r="I83" i="3"/>
  <c r="J83" i="3" s="1"/>
  <c r="I110" i="3"/>
  <c r="D13" i="13"/>
  <c r="H11" i="3"/>
  <c r="J98" i="3"/>
  <c r="I98" i="3"/>
  <c r="D10" i="15"/>
  <c r="D48" i="21" s="1"/>
  <c r="D239" i="8"/>
  <c r="E235" i="8" s="1"/>
  <c r="E364" i="8"/>
  <c r="J126" i="3"/>
  <c r="L126" i="3" s="1"/>
  <c r="H81" i="2"/>
  <c r="D20" i="15" s="1"/>
  <c r="D319" i="8"/>
  <c r="H71" i="3"/>
  <c r="I76" i="2"/>
  <c r="K112" i="3"/>
  <c r="L112" i="3" s="1"/>
  <c r="J25" i="2"/>
  <c r="F35" i="3"/>
  <c r="I35" i="3" s="1"/>
  <c r="E230" i="8"/>
  <c r="I108" i="3"/>
  <c r="S219" i="2"/>
  <c r="J106" i="3"/>
  <c r="K60" i="2"/>
  <c r="F312" i="8"/>
  <c r="E242" i="8"/>
  <c r="I162" i="2" s="1"/>
  <c r="I18" i="3"/>
  <c r="J18" i="3" s="1"/>
  <c r="K18" i="3" s="1"/>
  <c r="G97" i="2"/>
  <c r="L64" i="2"/>
  <c r="E6" i="6"/>
  <c r="I234" i="2"/>
  <c r="D307" i="8"/>
  <c r="H58" i="3"/>
  <c r="D231" i="2"/>
  <c r="I13" i="3"/>
  <c r="J13" i="3" s="1"/>
  <c r="I15" i="3"/>
  <c r="J15" i="3" s="1"/>
  <c r="L24" i="3"/>
  <c r="M24" i="3" s="1"/>
  <c r="D185" i="8"/>
  <c r="D184" i="8"/>
  <c r="D183" i="8"/>
  <c r="D182" i="8"/>
  <c r="D187" i="8"/>
  <c r="D186" i="8"/>
  <c r="D180" i="8"/>
  <c r="D190" i="8"/>
  <c r="D189" i="8"/>
  <c r="D188" i="8"/>
  <c r="D181" i="8"/>
  <c r="D179" i="8"/>
  <c r="I107" i="3"/>
  <c r="J107" i="3" s="1"/>
  <c r="F353" i="8"/>
  <c r="M125" i="3"/>
  <c r="M144" i="3"/>
  <c r="O144" i="3" s="1"/>
  <c r="F265" i="8"/>
  <c r="E43" i="3"/>
  <c r="E42" i="3"/>
  <c r="F47" i="2"/>
  <c r="F77" i="3"/>
  <c r="I41" i="2"/>
  <c r="J41" i="2" s="1"/>
  <c r="K41" i="2" s="1"/>
  <c r="I66" i="2"/>
  <c r="D318" i="8"/>
  <c r="E33" i="3"/>
  <c r="C5" i="15"/>
  <c r="C43" i="21" s="1"/>
  <c r="G189" i="2"/>
  <c r="E99" i="3"/>
  <c r="F99" i="3"/>
  <c r="F96" i="3"/>
  <c r="E96" i="3"/>
  <c r="D109" i="2"/>
  <c r="D126" i="2" s="1"/>
  <c r="D130" i="2" s="1"/>
  <c r="D66" i="3"/>
  <c r="G6" i="20"/>
  <c r="C3" i="13"/>
  <c r="H51" i="3"/>
  <c r="G51" i="3"/>
  <c r="F97" i="2"/>
  <c r="H68" i="3"/>
  <c r="G68" i="3"/>
  <c r="E15" i="13"/>
  <c r="E28" i="21" s="1"/>
  <c r="E9" i="16"/>
  <c r="E73" i="21" s="1"/>
  <c r="I166" i="2"/>
  <c r="G19" i="3"/>
  <c r="L37" i="3"/>
  <c r="M37" i="3" s="1"/>
  <c r="H45" i="3"/>
  <c r="K45" i="3" s="1"/>
  <c r="L45" i="3" s="1"/>
  <c r="I62" i="3"/>
  <c r="J62" i="3" s="1"/>
  <c r="K62" i="3" s="1"/>
  <c r="I91" i="3"/>
  <c r="J91" i="3" s="1"/>
  <c r="F263" i="8"/>
  <c r="I29" i="2"/>
  <c r="I164" i="2" s="1"/>
  <c r="D15" i="15"/>
  <c r="D53" i="21" s="1"/>
  <c r="H57" i="3"/>
  <c r="N87" i="2"/>
  <c r="D10" i="3"/>
  <c r="D61" i="3"/>
  <c r="C12" i="16"/>
  <c r="C76" i="21" s="1"/>
  <c r="D47" i="2"/>
  <c r="H97" i="2"/>
  <c r="J114" i="3"/>
  <c r="K143" i="3"/>
  <c r="D12" i="16"/>
  <c r="D76" i="21" s="1"/>
  <c r="D29" i="15"/>
  <c r="D9" i="3"/>
  <c r="F42" i="3"/>
  <c r="F109" i="2"/>
  <c r="F61" i="3"/>
  <c r="F66" i="3"/>
  <c r="I66" i="3" s="1"/>
  <c r="E248" i="8"/>
  <c r="I8" i="2"/>
  <c r="H23" i="2"/>
  <c r="H5" i="3"/>
  <c r="F7" i="5"/>
  <c r="J155" i="2"/>
  <c r="E120" i="3"/>
  <c r="E23" i="2"/>
  <c r="C4" i="15"/>
  <c r="C42" i="21" s="1"/>
  <c r="G195" i="2"/>
  <c r="K43" i="2"/>
  <c r="K155" i="2" s="1"/>
  <c r="D43" i="8"/>
  <c r="D44" i="8"/>
  <c r="D42" i="8"/>
  <c r="D41" i="8"/>
  <c r="D40" i="8"/>
  <c r="D34" i="8"/>
  <c r="J102" i="3"/>
  <c r="K133" i="3"/>
  <c r="L133" i="3" s="1"/>
  <c r="D38" i="8"/>
  <c r="G34" i="3"/>
  <c r="H34" i="3"/>
  <c r="G23" i="2"/>
  <c r="D4" i="15"/>
  <c r="D42" i="21" s="1"/>
  <c r="H195" i="2"/>
  <c r="J108" i="2"/>
  <c r="K108" i="2" s="1"/>
  <c r="D63" i="8"/>
  <c r="D53" i="8"/>
  <c r="D58" i="8"/>
  <c r="D57" i="8"/>
  <c r="D54" i="8"/>
  <c r="K102" i="3"/>
  <c r="J118" i="3"/>
  <c r="D39" i="8"/>
  <c r="D64" i="8"/>
  <c r="J17" i="2"/>
  <c r="I171" i="2"/>
  <c r="E73" i="3"/>
  <c r="D5" i="15"/>
  <c r="D43" i="21" s="1"/>
  <c r="H189" i="2"/>
  <c r="D14" i="15"/>
  <c r="D52" i="21" s="1"/>
  <c r="H69" i="2"/>
  <c r="E343" i="8"/>
  <c r="C18" i="15"/>
  <c r="C56" i="21" s="1"/>
  <c r="H121" i="3"/>
  <c r="G121" i="3"/>
  <c r="D294" i="8"/>
  <c r="H38" i="3"/>
  <c r="E302" i="8"/>
  <c r="J20" i="2"/>
  <c r="H72" i="3"/>
  <c r="G72" i="3"/>
  <c r="E109" i="2"/>
  <c r="H47" i="2"/>
  <c r="D12" i="15" s="1"/>
  <c r="F5" i="5"/>
  <c r="G231" i="2" s="1"/>
  <c r="H6" i="20" s="1"/>
  <c r="G109" i="2"/>
  <c r="G126" i="2" s="1"/>
  <c r="G39" i="3"/>
  <c r="F84" i="3"/>
  <c r="E84" i="3"/>
  <c r="J77" i="2"/>
  <c r="H220" i="2"/>
  <c r="H221" i="2"/>
  <c r="H222" i="2"/>
  <c r="H224" i="2"/>
  <c r="J127" i="3"/>
  <c r="K131" i="3"/>
  <c r="I30" i="2"/>
  <c r="J173" i="2"/>
  <c r="K117" i="3"/>
  <c r="H109" i="2"/>
  <c r="O219" i="2"/>
  <c r="J36" i="6" s="1"/>
  <c r="I219" i="2"/>
  <c r="D36" i="6" s="1"/>
  <c r="P219" i="2"/>
  <c r="K36" i="6" s="1"/>
  <c r="E18" i="15"/>
  <c r="E56" i="21" s="1"/>
  <c r="J71" i="2"/>
  <c r="K74" i="2"/>
  <c r="J171" i="2"/>
  <c r="I155" i="2"/>
  <c r="D222" i="2"/>
  <c r="D221" i="2"/>
  <c r="D224" i="2"/>
  <c r="D223" i="2"/>
  <c r="F222" i="2"/>
  <c r="F224" i="2"/>
  <c r="F220" i="2"/>
  <c r="F225" i="2" s="1"/>
  <c r="I81" i="2"/>
  <c r="H7" i="10"/>
  <c r="C86" i="21" s="1"/>
  <c r="C7" i="16"/>
  <c r="G182" i="2"/>
  <c r="C17" i="16" s="1"/>
  <c r="C81" i="21" s="1"/>
  <c r="E350" i="8"/>
  <c r="E351" i="8" s="1"/>
  <c r="I7" i="10"/>
  <c r="D86" i="21" s="1"/>
  <c r="H182" i="2"/>
  <c r="D17" i="16" s="1"/>
  <c r="D81" i="21" s="1"/>
  <c r="F221" i="2"/>
  <c r="F69" i="2"/>
  <c r="F82" i="2" s="1"/>
  <c r="I65" i="2"/>
  <c r="E81" i="2"/>
  <c r="K72" i="2"/>
  <c r="H106" i="2"/>
  <c r="D4" i="17" s="1"/>
  <c r="D4" i="18" s="1"/>
  <c r="D4" i="21" s="1"/>
  <c r="N219" i="2"/>
  <c r="I36" i="6" s="1"/>
  <c r="G140" i="2"/>
  <c r="D15" i="13"/>
  <c r="D28" i="21" s="1"/>
  <c r="D9" i="16"/>
  <c r="D73" i="21" s="1"/>
  <c r="G224" i="2"/>
  <c r="G220" i="2"/>
  <c r="G225" i="2" s="1"/>
  <c r="D69" i="2"/>
  <c r="E69" i="2"/>
  <c r="M219" i="2"/>
  <c r="H36" i="6" s="1"/>
  <c r="G69" i="2"/>
  <c r="F140" i="2"/>
  <c r="D10" i="16"/>
  <c r="D74" i="21" s="1"/>
  <c r="J219" i="2"/>
  <c r="E36" i="6" s="1"/>
  <c r="F106" i="2"/>
  <c r="H5" i="20" s="1"/>
  <c r="H140" i="2"/>
  <c r="L219" i="2"/>
  <c r="G36" i="6" s="1"/>
  <c r="C10" i="16"/>
  <c r="C74" i="21" s="1"/>
  <c r="H8" i="6"/>
  <c r="D15" i="6"/>
  <c r="E15" i="6" s="1"/>
  <c r="F15" i="6" s="1"/>
  <c r="G15" i="6" s="1"/>
  <c r="H15" i="6" s="1"/>
  <c r="I15" i="6" s="1"/>
  <c r="J15" i="6" s="1"/>
  <c r="K15" i="6" s="1"/>
  <c r="L15" i="6" s="1"/>
  <c r="M15" i="6" s="1"/>
  <c r="K91" i="3" l="1"/>
  <c r="H129" i="8"/>
  <c r="H131" i="8" s="1"/>
  <c r="H136" i="8" s="1"/>
  <c r="H242" i="8" s="1"/>
  <c r="L162" i="2" s="1"/>
  <c r="M86" i="3"/>
  <c r="M82" i="23"/>
  <c r="B178" i="23"/>
  <c r="B173" i="23"/>
  <c r="B182" i="23" s="1"/>
  <c r="B162" i="23"/>
  <c r="B163" i="23" s="1"/>
  <c r="B169" i="23"/>
  <c r="B179" i="23" s="1"/>
  <c r="B172" i="23"/>
  <c r="B181" i="23" s="1"/>
  <c r="D161" i="23"/>
  <c r="D162" i="23"/>
  <c r="D163" i="23" s="1"/>
  <c r="C182" i="23"/>
  <c r="D182" i="23"/>
  <c r="H134" i="23"/>
  <c r="I117" i="23"/>
  <c r="C179" i="23"/>
  <c r="D179" i="23"/>
  <c r="C161" i="23"/>
  <c r="B161" i="23"/>
  <c r="C40" i="23"/>
  <c r="D38" i="23"/>
  <c r="E114" i="23"/>
  <c r="E133" i="23"/>
  <c r="E131" i="23" s="1"/>
  <c r="E124" i="23" s="1"/>
  <c r="E173" i="23"/>
  <c r="E182" i="23" s="1"/>
  <c r="E145" i="23"/>
  <c r="E146" i="23" s="1"/>
  <c r="E115" i="23"/>
  <c r="E169" i="23"/>
  <c r="E179" i="23" s="1"/>
  <c r="D166" i="23"/>
  <c r="D178" i="23"/>
  <c r="D181" i="23"/>
  <c r="D170" i="23"/>
  <c r="C166" i="23"/>
  <c r="C178" i="23"/>
  <c r="C181" i="23"/>
  <c r="C170" i="23"/>
  <c r="E108" i="23"/>
  <c r="E168" i="23"/>
  <c r="F144" i="23"/>
  <c r="F132" i="23"/>
  <c r="F113" i="23"/>
  <c r="F114" i="23" s="1"/>
  <c r="G109" i="23"/>
  <c r="G113" i="23" s="1"/>
  <c r="F111" i="23"/>
  <c r="B200" i="23"/>
  <c r="D46" i="23"/>
  <c r="C54" i="23"/>
  <c r="B46" i="23"/>
  <c r="C51" i="23"/>
  <c r="C139" i="23"/>
  <c r="C127" i="23"/>
  <c r="E181" i="23"/>
  <c r="I130" i="23"/>
  <c r="J92" i="23"/>
  <c r="D225" i="2"/>
  <c r="E6" i="10"/>
  <c r="D99" i="2"/>
  <c r="D233" i="2"/>
  <c r="D82" i="2"/>
  <c r="D100" i="2" s="1"/>
  <c r="F51" i="3"/>
  <c r="E51" i="3"/>
  <c r="J79" i="3"/>
  <c r="K57" i="3"/>
  <c r="I84" i="3"/>
  <c r="I80" i="3"/>
  <c r="I27" i="2" s="1"/>
  <c r="K44" i="3"/>
  <c r="J39" i="3"/>
  <c r="J14" i="3"/>
  <c r="K14" i="3" s="1"/>
  <c r="J12" i="3"/>
  <c r="J117" i="2" s="1"/>
  <c r="J165" i="2" s="1"/>
  <c r="L44" i="3"/>
  <c r="M44" i="3" s="1"/>
  <c r="K8" i="3"/>
  <c r="L8" i="3" s="1"/>
  <c r="K120" i="3"/>
  <c r="L120" i="3" s="1"/>
  <c r="K38" i="3"/>
  <c r="L38" i="3" s="1"/>
  <c r="K48" i="3"/>
  <c r="L48" i="3" s="1"/>
  <c r="M48" i="3" s="1"/>
  <c r="N48" i="3" s="1"/>
  <c r="O48" i="3" s="1"/>
  <c r="I95" i="2"/>
  <c r="I175" i="2" s="1"/>
  <c r="J56" i="3"/>
  <c r="K56" i="3" s="1"/>
  <c r="J41" i="3"/>
  <c r="K41" i="3" s="1"/>
  <c r="L41" i="3" s="1"/>
  <c r="J23" i="3"/>
  <c r="K23" i="3" s="1"/>
  <c r="K137" i="2" s="1"/>
  <c r="J17" i="3"/>
  <c r="K17" i="3" s="1"/>
  <c r="L17" i="3" s="1"/>
  <c r="J154" i="2"/>
  <c r="K12" i="3"/>
  <c r="K117" i="2" s="1"/>
  <c r="L12" i="3"/>
  <c r="M12" i="3" s="1"/>
  <c r="J66" i="3"/>
  <c r="K66" i="3" s="1"/>
  <c r="L66" i="3" s="1"/>
  <c r="K40" i="3"/>
  <c r="K141" i="3"/>
  <c r="L141" i="3" s="1"/>
  <c r="M141" i="3" s="1"/>
  <c r="J95" i="2"/>
  <c r="D320" i="8"/>
  <c r="J61" i="2"/>
  <c r="E313" i="8"/>
  <c r="G238" i="2"/>
  <c r="H90" i="3"/>
  <c r="D91" i="8" s="1" a="1"/>
  <c r="L18" i="2"/>
  <c r="G300" i="8"/>
  <c r="K16" i="3"/>
  <c r="K39" i="3"/>
  <c r="L39" i="3" s="1"/>
  <c r="L108" i="2"/>
  <c r="M108" i="2" s="1"/>
  <c r="K116" i="2"/>
  <c r="H7" i="20"/>
  <c r="G246" i="8"/>
  <c r="L132" i="3"/>
  <c r="H364" i="8"/>
  <c r="K265" i="8"/>
  <c r="O119" i="3"/>
  <c r="H359" i="8"/>
  <c r="M119" i="3"/>
  <c r="F198" i="8"/>
  <c r="F276" i="8"/>
  <c r="K110" i="3"/>
  <c r="L110" i="3" s="1"/>
  <c r="O111" i="3"/>
  <c r="H238" i="8"/>
  <c r="H273" i="8"/>
  <c r="N60" i="3"/>
  <c r="O60" i="3" s="1"/>
  <c r="D134" i="2"/>
  <c r="D20" i="3"/>
  <c r="J120" i="2"/>
  <c r="J94" i="2"/>
  <c r="J258" i="8"/>
  <c r="C17" i="13"/>
  <c r="G130" i="2"/>
  <c r="J132" i="2"/>
  <c r="H248" i="8"/>
  <c r="K59" i="2"/>
  <c r="G311" i="8" s="1"/>
  <c r="J122" i="2"/>
  <c r="H274" i="8"/>
  <c r="K127" i="2"/>
  <c r="G19" i="13" s="1"/>
  <c r="G32" i="21" s="1"/>
  <c r="L72" i="2"/>
  <c r="K170" i="2"/>
  <c r="L143" i="3"/>
  <c r="G263" i="8"/>
  <c r="J121" i="2"/>
  <c r="K21" i="3"/>
  <c r="L21" i="3" s="1"/>
  <c r="C3" i="18"/>
  <c r="C8" i="13"/>
  <c r="C21" i="21" s="1"/>
  <c r="C16" i="21"/>
  <c r="G48" i="2"/>
  <c r="C7" i="15"/>
  <c r="G364" i="8"/>
  <c r="F286" i="8"/>
  <c r="K121" i="2"/>
  <c r="G285" i="8"/>
  <c r="I94" i="2"/>
  <c r="I177" i="2" s="1"/>
  <c r="I32" i="2"/>
  <c r="H285" i="8"/>
  <c r="K173" i="2"/>
  <c r="G245" i="8"/>
  <c r="G247" i="8" s="1"/>
  <c r="F368" i="8"/>
  <c r="D11" i="15"/>
  <c r="D49" i="21" s="1"/>
  <c r="D50" i="21"/>
  <c r="H82" i="2"/>
  <c r="D17" i="15"/>
  <c r="F230" i="8"/>
  <c r="F145" i="8"/>
  <c r="F137" i="8"/>
  <c r="I127" i="2"/>
  <c r="E19" i="13" s="1"/>
  <c r="E32" i="21" s="1"/>
  <c r="L18" i="3"/>
  <c r="M18" i="3" s="1"/>
  <c r="D26" i="21"/>
  <c r="L104" i="3"/>
  <c r="E270" i="8"/>
  <c r="J265" i="8"/>
  <c r="J65" i="2"/>
  <c r="E317" i="8"/>
  <c r="F15" i="13"/>
  <c r="F28" i="21" s="1"/>
  <c r="F9" i="16"/>
  <c r="F73" i="21" s="1"/>
  <c r="J153" i="2"/>
  <c r="J166" i="2"/>
  <c r="M8" i="3"/>
  <c r="N8" i="3" s="1"/>
  <c r="O8" i="3" s="1"/>
  <c r="J29" i="2"/>
  <c r="J59" i="2"/>
  <c r="F311" i="8" s="1"/>
  <c r="M143" i="3"/>
  <c r="E8" i="16"/>
  <c r="E72" i="21" s="1"/>
  <c r="E277" i="8"/>
  <c r="E224" i="8"/>
  <c r="C14" i="13"/>
  <c r="C27" i="21" s="1"/>
  <c r="C26" i="21"/>
  <c r="M104" i="3"/>
  <c r="F270" i="8"/>
  <c r="E4" i="2"/>
  <c r="D3" i="5"/>
  <c r="F2" i="10"/>
  <c r="E2" i="3"/>
  <c r="E1" i="1"/>
  <c r="J108" i="3"/>
  <c r="D297" i="8"/>
  <c r="H43" i="3"/>
  <c r="H42" i="3"/>
  <c r="G238" i="8"/>
  <c r="G273" i="8"/>
  <c r="N111" i="3"/>
  <c r="M117" i="2"/>
  <c r="O87" i="2"/>
  <c r="M45" i="3"/>
  <c r="N45" i="3" s="1"/>
  <c r="I19" i="3"/>
  <c r="D38" i="6"/>
  <c r="J85" i="2"/>
  <c r="G270" i="8"/>
  <c r="L14" i="3"/>
  <c r="M14" i="3" s="1"/>
  <c r="N14" i="3" s="1"/>
  <c r="K17" i="2"/>
  <c r="F299" i="8"/>
  <c r="I132" i="2"/>
  <c r="G262" i="8"/>
  <c r="G264" i="8" s="1"/>
  <c r="G266" i="8" s="1"/>
  <c r="N142" i="3"/>
  <c r="G43" i="3"/>
  <c r="G42" i="3"/>
  <c r="F6" i="10"/>
  <c r="E233" i="2"/>
  <c r="E99" i="2"/>
  <c r="E48" i="2"/>
  <c r="M64" i="2"/>
  <c r="H316" i="8"/>
  <c r="D15" i="16"/>
  <c r="D79" i="21" s="1"/>
  <c r="L102" i="3"/>
  <c r="C19" i="15"/>
  <c r="C57" i="21" s="1"/>
  <c r="C58" i="21"/>
  <c r="L43" i="2"/>
  <c r="L155" i="2" s="1"/>
  <c r="G5" i="20"/>
  <c r="C4" i="17"/>
  <c r="C4" i="18" s="1"/>
  <c r="C4" i="21" s="1"/>
  <c r="F126" i="2"/>
  <c r="G274" i="8"/>
  <c r="G145" i="8"/>
  <c r="G137" i="8"/>
  <c r="D292" i="8"/>
  <c r="H36" i="3"/>
  <c r="H35" i="3"/>
  <c r="L91" i="3"/>
  <c r="M91" i="3" s="1"/>
  <c r="E137" i="8"/>
  <c r="E145" i="8"/>
  <c r="E147" i="8" s="1"/>
  <c r="I353" i="8"/>
  <c r="C24" i="15"/>
  <c r="C62" i="21" s="1"/>
  <c r="H6" i="10"/>
  <c r="G233" i="2"/>
  <c r="G99" i="2"/>
  <c r="C26" i="15" s="1"/>
  <c r="C64" i="21" s="1"/>
  <c r="J76" i="2"/>
  <c r="E319" i="8"/>
  <c r="H139" i="8"/>
  <c r="H271" i="8"/>
  <c r="E126" i="2"/>
  <c r="E130" i="2" s="1"/>
  <c r="J156" i="2"/>
  <c r="K77" i="2"/>
  <c r="K140" i="3"/>
  <c r="L140" i="3" s="1"/>
  <c r="H225" i="2"/>
  <c r="I59" i="2"/>
  <c r="E311" i="8" s="1"/>
  <c r="L62" i="3"/>
  <c r="M62" i="3" s="1"/>
  <c r="G6" i="10"/>
  <c r="F233" i="2"/>
  <c r="F99" i="2"/>
  <c r="F100" i="2" s="1"/>
  <c r="L60" i="2"/>
  <c r="G312" i="8"/>
  <c r="F48" i="2"/>
  <c r="H258" i="8"/>
  <c r="O137" i="3"/>
  <c r="P137" i="3" s="1"/>
  <c r="L258" i="8" s="1"/>
  <c r="N108" i="2"/>
  <c r="N116" i="2" s="1"/>
  <c r="Q5" i="3"/>
  <c r="S5" i="3" s="1"/>
  <c r="F264" i="8"/>
  <c r="F266" i="8" s="1"/>
  <c r="F18" i="15"/>
  <c r="F56" i="21" s="1"/>
  <c r="K71" i="2"/>
  <c r="F350" i="8"/>
  <c r="J169" i="2"/>
  <c r="G349" i="8"/>
  <c r="J127" i="2"/>
  <c r="F19" i="13" s="1"/>
  <c r="F32" i="21" s="1"/>
  <c r="C11" i="15"/>
  <c r="C49" i="21" s="1"/>
  <c r="C50" i="21"/>
  <c r="C17" i="15"/>
  <c r="G82" i="2"/>
  <c r="C71" i="21"/>
  <c r="I120" i="2"/>
  <c r="K13" i="3"/>
  <c r="E237" i="8"/>
  <c r="E239" i="8" s="1"/>
  <c r="L98" i="3"/>
  <c r="M112" i="3"/>
  <c r="F274" i="8"/>
  <c r="M142" i="3"/>
  <c r="K25" i="2"/>
  <c r="E82" i="2"/>
  <c r="H253" i="8"/>
  <c r="N135" i="3"/>
  <c r="M135" i="3"/>
  <c r="L41" i="2"/>
  <c r="I84" i="2"/>
  <c r="M126" i="3"/>
  <c r="N126" i="3" s="1"/>
  <c r="F364" i="8"/>
  <c r="P144" i="3"/>
  <c r="L265" i="8" s="1"/>
  <c r="I265" i="8"/>
  <c r="E232" i="8"/>
  <c r="L116" i="2"/>
  <c r="G36" i="3"/>
  <c r="J36" i="3" s="1"/>
  <c r="G35" i="3"/>
  <c r="J35" i="3" s="1"/>
  <c r="E276" i="8"/>
  <c r="E198" i="8"/>
  <c r="M133" i="3"/>
  <c r="J26" i="2"/>
  <c r="L79" i="3"/>
  <c r="F272" i="8"/>
  <c r="F146" i="8"/>
  <c r="N24" i="3"/>
  <c r="O24" i="3" s="1"/>
  <c r="D19" i="15"/>
  <c r="D57" i="21" s="1"/>
  <c r="D58" i="21"/>
  <c r="F237" i="8"/>
  <c r="J110" i="3"/>
  <c r="I258" i="8"/>
  <c r="P7" i="3"/>
  <c r="M116" i="2"/>
  <c r="E314" i="8"/>
  <c r="J62" i="2"/>
  <c r="G139" i="8"/>
  <c r="G271" i="8"/>
  <c r="L40" i="3"/>
  <c r="G359" i="8"/>
  <c r="N119" i="3"/>
  <c r="F348" i="8"/>
  <c r="K118" i="3"/>
  <c r="G230" i="8"/>
  <c r="E20" i="15"/>
  <c r="H233" i="2"/>
  <c r="I6" i="10"/>
  <c r="D24" i="15"/>
  <c r="D62" i="21" s="1"/>
  <c r="H99" i="2"/>
  <c r="D26" i="15" s="1"/>
  <c r="D64" i="21" s="1"/>
  <c r="M120" i="3"/>
  <c r="N120" i="3" s="1"/>
  <c r="K79" i="3"/>
  <c r="K107" i="3"/>
  <c r="J22" i="2"/>
  <c r="J158" i="2" s="1"/>
  <c r="J84" i="3"/>
  <c r="F246" i="8"/>
  <c r="F247" i="8" s="1"/>
  <c r="F249" i="8" s="1"/>
  <c r="J174" i="2" s="1"/>
  <c r="M132" i="3"/>
  <c r="L23" i="3"/>
  <c r="M23" i="3" s="1"/>
  <c r="G342" i="8"/>
  <c r="L117" i="3"/>
  <c r="H262" i="8"/>
  <c r="J66" i="2"/>
  <c r="E318" i="8"/>
  <c r="I122" i="2"/>
  <c r="K114" i="3"/>
  <c r="L114" i="3" s="1"/>
  <c r="C10" i="13"/>
  <c r="C23" i="21" s="1"/>
  <c r="D7" i="15"/>
  <c r="H48" i="2"/>
  <c r="I154" i="2"/>
  <c r="I165" i="2"/>
  <c r="D3" i="13"/>
  <c r="G7" i="20"/>
  <c r="H126" i="2"/>
  <c r="D5" i="17" s="1"/>
  <c r="L74" i="2"/>
  <c r="K171" i="2"/>
  <c r="L131" i="3"/>
  <c r="M131" i="3" s="1"/>
  <c r="F285" i="8"/>
  <c r="M113" i="3"/>
  <c r="L57" i="3"/>
  <c r="P5" i="3"/>
  <c r="R5" i="3" s="1"/>
  <c r="K15" i="3"/>
  <c r="E9" i="15"/>
  <c r="E47" i="21" s="1"/>
  <c r="J30" i="2"/>
  <c r="G248" i="8"/>
  <c r="N133" i="3"/>
  <c r="E231" i="8"/>
  <c r="E275" i="8"/>
  <c r="C15" i="16"/>
  <c r="C79" i="21" s="1"/>
  <c r="K20" i="2"/>
  <c r="F302" i="8"/>
  <c r="J8" i="2"/>
  <c r="N37" i="3"/>
  <c r="K98" i="3"/>
  <c r="I31" i="2"/>
  <c r="J31" i="2" s="1"/>
  <c r="K83" i="3"/>
  <c r="N125" i="3"/>
  <c r="I158" i="2"/>
  <c r="N59" i="3"/>
  <c r="E249" i="8"/>
  <c r="F273" i="8"/>
  <c r="F238" i="8"/>
  <c r="M111" i="3"/>
  <c r="K127" i="3"/>
  <c r="C12" i="13"/>
  <c r="C25" i="21" s="1"/>
  <c r="I161" i="2"/>
  <c r="O7" i="3"/>
  <c r="C29" i="15"/>
  <c r="C5" i="13"/>
  <c r="D48" i="2"/>
  <c r="K106" i="3"/>
  <c r="F139" i="8"/>
  <c r="M105" i="3"/>
  <c r="F271" i="8"/>
  <c r="L106" i="3"/>
  <c r="D303" i="8" l="1"/>
  <c r="D322" i="8" s="1"/>
  <c r="I129" i="8"/>
  <c r="I131" i="8" s="1"/>
  <c r="I136" i="8" s="1"/>
  <c r="I242" i="8" s="1"/>
  <c r="M162" i="2" s="1"/>
  <c r="N86" i="3"/>
  <c r="B180" i="23"/>
  <c r="B170" i="23"/>
  <c r="B166" i="23"/>
  <c r="B174" i="23" s="1"/>
  <c r="B183" i="23" s="1"/>
  <c r="D180" i="23"/>
  <c r="D177" i="23"/>
  <c r="G115" i="23"/>
  <c r="G114" i="23"/>
  <c r="B177" i="23"/>
  <c r="C180" i="23"/>
  <c r="C177" i="23"/>
  <c r="J117" i="23"/>
  <c r="J134" i="23" s="1"/>
  <c r="I134" i="23"/>
  <c r="D167" i="23"/>
  <c r="D174" i="23"/>
  <c r="D183" i="23" s="1"/>
  <c r="F133" i="23"/>
  <c r="F131" i="23" s="1"/>
  <c r="F124" i="23" s="1"/>
  <c r="F115" i="23"/>
  <c r="F145" i="23"/>
  <c r="F146" i="23"/>
  <c r="G111" i="23"/>
  <c r="G132" i="23"/>
  <c r="H109" i="23"/>
  <c r="G108" i="23"/>
  <c r="F108" i="23"/>
  <c r="E170" i="23"/>
  <c r="E171" i="23" s="1"/>
  <c r="J130" i="23"/>
  <c r="C174" i="23"/>
  <c r="C183" i="23" s="1"/>
  <c r="E180" i="23"/>
  <c r="E166" i="23"/>
  <c r="E178" i="23"/>
  <c r="E177" i="23" s="1"/>
  <c r="E38" i="23"/>
  <c r="D40" i="23"/>
  <c r="B48" i="23"/>
  <c r="B47" i="23"/>
  <c r="B51" i="23"/>
  <c r="D54" i="23"/>
  <c r="E46" i="23"/>
  <c r="D51" i="23"/>
  <c r="C200" i="23"/>
  <c r="D139" i="23"/>
  <c r="D48" i="23"/>
  <c r="D127" i="23"/>
  <c r="D171" i="23"/>
  <c r="D102" i="2"/>
  <c r="I163" i="2"/>
  <c r="I167" i="2" s="1"/>
  <c r="K95" i="2"/>
  <c r="J53" i="2"/>
  <c r="J80" i="3"/>
  <c r="N44" i="3"/>
  <c r="J137" i="2"/>
  <c r="J88" i="2" s="1"/>
  <c r="J124" i="2"/>
  <c r="N12" i="3"/>
  <c r="L117" i="2"/>
  <c r="J177" i="2"/>
  <c r="L56" i="3"/>
  <c r="M56" i="3" s="1"/>
  <c r="M53" i="2" s="1"/>
  <c r="K53" i="2"/>
  <c r="K88" i="2"/>
  <c r="K61" i="2"/>
  <c r="F313" i="8"/>
  <c r="D100" i="8"/>
  <c r="D99" i="8"/>
  <c r="D97" i="8"/>
  <c r="D96" i="8"/>
  <c r="D93" i="8"/>
  <c r="D95" i="8"/>
  <c r="D94" i="8"/>
  <c r="D102" i="8"/>
  <c r="D92" i="8"/>
  <c r="D91" i="8"/>
  <c r="D101" i="8"/>
  <c r="D103" i="8"/>
  <c r="D98" i="8"/>
  <c r="K84" i="3"/>
  <c r="L84" i="3" s="1"/>
  <c r="M84" i="3" s="1"/>
  <c r="M18" i="2"/>
  <c r="H300" i="8"/>
  <c r="K36" i="3"/>
  <c r="L36" i="3" s="1"/>
  <c r="P24" i="3"/>
  <c r="Q24" i="3" s="1"/>
  <c r="T24" i="3" s="1"/>
  <c r="L15" i="3"/>
  <c r="M15" i="3" s="1"/>
  <c r="K123" i="2"/>
  <c r="L16" i="3"/>
  <c r="O37" i="3"/>
  <c r="P37" i="3" s="1"/>
  <c r="K35" i="3"/>
  <c r="L35" i="3" s="1"/>
  <c r="H231" i="8"/>
  <c r="O110" i="3"/>
  <c r="H275" i="8"/>
  <c r="O45" i="3"/>
  <c r="M137" i="2"/>
  <c r="M127" i="2"/>
  <c r="H286" i="8"/>
  <c r="M114" i="3"/>
  <c r="F235" i="8"/>
  <c r="F239" i="8" s="1"/>
  <c r="I38" i="2"/>
  <c r="E10" i="15" s="1"/>
  <c r="E48" i="21" s="1"/>
  <c r="I145" i="8"/>
  <c r="I137" i="8"/>
  <c r="N102" i="3"/>
  <c r="M173" i="2"/>
  <c r="I245" i="8"/>
  <c r="I247" i="8" s="1"/>
  <c r="I249" i="8" s="1"/>
  <c r="M174" i="2" s="1"/>
  <c r="N131" i="3"/>
  <c r="L94" i="2"/>
  <c r="P48" i="3"/>
  <c r="M95" i="2"/>
  <c r="N141" i="3"/>
  <c r="O141" i="3" s="1"/>
  <c r="O120" i="3"/>
  <c r="M59" i="2"/>
  <c r="I311" i="8" s="1"/>
  <c r="J364" i="8"/>
  <c r="P105" i="3"/>
  <c r="I271" i="8"/>
  <c r="I139" i="8"/>
  <c r="K31" i="2"/>
  <c r="D3" i="18"/>
  <c r="D12" i="13"/>
  <c r="D25" i="21" s="1"/>
  <c r="D5" i="13"/>
  <c r="D16" i="21"/>
  <c r="D8" i="13"/>
  <c r="D21" i="21" s="1"/>
  <c r="D10" i="13"/>
  <c r="D23" i="21" s="1"/>
  <c r="F314" i="8"/>
  <c r="K62" i="2"/>
  <c r="C16" i="15"/>
  <c r="C54" i="21" s="1"/>
  <c r="C55" i="21"/>
  <c r="M43" i="2"/>
  <c r="M155" i="2" s="1"/>
  <c r="G299" i="8"/>
  <c r="L17" i="2"/>
  <c r="Q111" i="3"/>
  <c r="J238" i="8"/>
  <c r="J273" i="8"/>
  <c r="H263" i="8"/>
  <c r="H264" i="8" s="1"/>
  <c r="H266" i="8" s="1"/>
  <c r="O143" i="3"/>
  <c r="P143" i="3" s="1"/>
  <c r="L263" i="8" s="1"/>
  <c r="Q137" i="3"/>
  <c r="M258" i="8" s="1"/>
  <c r="N105" i="3"/>
  <c r="I274" i="8"/>
  <c r="L121" i="2"/>
  <c r="O14" i="3"/>
  <c r="P14" i="3" s="1"/>
  <c r="P121" i="2" s="1"/>
  <c r="G249" i="8"/>
  <c r="K174" i="2" s="1"/>
  <c r="G29" i="15" s="1"/>
  <c r="N143" i="3"/>
  <c r="N18" i="3"/>
  <c r="O18" i="3" s="1"/>
  <c r="P18" i="3" s="1"/>
  <c r="P127" i="2" s="1"/>
  <c r="M140" i="3"/>
  <c r="I359" i="8"/>
  <c r="P119" i="3"/>
  <c r="L359" i="8" s="1"/>
  <c r="L26" i="2"/>
  <c r="G272" i="8"/>
  <c r="G146" i="8"/>
  <c r="N106" i="3"/>
  <c r="N117" i="2"/>
  <c r="K65" i="2"/>
  <c r="F317" i="8"/>
  <c r="G12" i="16"/>
  <c r="G76" i="21" s="1"/>
  <c r="H272" i="8"/>
  <c r="H146" i="8"/>
  <c r="M74" i="2"/>
  <c r="L171" i="2"/>
  <c r="G134" i="2"/>
  <c r="C21" i="13"/>
  <c r="G20" i="3"/>
  <c r="J353" i="8"/>
  <c r="O125" i="3"/>
  <c r="I262" i="8"/>
  <c r="P142" i="3"/>
  <c r="L262" i="8" s="1"/>
  <c r="N56" i="3"/>
  <c r="L25" i="2"/>
  <c r="E134" i="2"/>
  <c r="E20" i="3"/>
  <c r="C5" i="17"/>
  <c r="F130" i="2"/>
  <c r="E19" i="15"/>
  <c r="E57" i="21" s="1"/>
  <c r="E58" i="21"/>
  <c r="G198" i="8"/>
  <c r="G276" i="8"/>
  <c r="N91" i="3"/>
  <c r="I263" i="8"/>
  <c r="C6" i="15"/>
  <c r="C44" i="21" s="1"/>
  <c r="C45" i="21"/>
  <c r="L124" i="2"/>
  <c r="I364" i="8"/>
  <c r="P126" i="3"/>
  <c r="L364" i="8" s="1"/>
  <c r="D13" i="15"/>
  <c r="D51" i="21" s="1"/>
  <c r="O142" i="3"/>
  <c r="E23" i="18"/>
  <c r="E22" i="15"/>
  <c r="E60" i="21" s="1"/>
  <c r="I202" i="2"/>
  <c r="F252" i="8"/>
  <c r="F254" i="8" s="1"/>
  <c r="F257" i="8"/>
  <c r="F259" i="8" s="1"/>
  <c r="J84" i="2"/>
  <c r="K120" i="2"/>
  <c r="T5" i="3"/>
  <c r="C10" i="18"/>
  <c r="C85" i="21"/>
  <c r="C13" i="15"/>
  <c r="C51" i="21" s="1"/>
  <c r="R144" i="3"/>
  <c r="N265" i="8" s="1"/>
  <c r="H230" i="8"/>
  <c r="N121" i="2"/>
  <c r="M165" i="2"/>
  <c r="M154" i="2"/>
  <c r="J32" i="2"/>
  <c r="K22" i="2"/>
  <c r="N98" i="3"/>
  <c r="G237" i="8"/>
  <c r="Q144" i="3"/>
  <c r="M265" i="8" s="1"/>
  <c r="C8" i="17"/>
  <c r="C8" i="18"/>
  <c r="C8" i="21" s="1"/>
  <c r="C18" i="21"/>
  <c r="J175" i="2"/>
  <c r="K85" i="2"/>
  <c r="S7" i="3"/>
  <c r="R7" i="3"/>
  <c r="O116" i="2"/>
  <c r="T7" i="3"/>
  <c r="D6" i="15"/>
  <c r="D44" i="21" s="1"/>
  <c r="D45" i="21"/>
  <c r="F275" i="8"/>
  <c r="M110" i="3"/>
  <c r="F231" i="8"/>
  <c r="M41" i="2"/>
  <c r="L13" i="3"/>
  <c r="M39" i="3"/>
  <c r="D22" i="3"/>
  <c r="D136" i="2"/>
  <c r="S144" i="3"/>
  <c r="O265" i="8" s="1"/>
  <c r="I174" i="2"/>
  <c r="I86" i="2"/>
  <c r="I42" i="2"/>
  <c r="F228" i="8"/>
  <c r="F232" i="8" s="1"/>
  <c r="H145" i="8"/>
  <c r="H137" i="8"/>
  <c r="K273" i="8"/>
  <c r="K238" i="8"/>
  <c r="I246" i="8"/>
  <c r="L127" i="2"/>
  <c r="L59" i="2"/>
  <c r="H311" i="8" s="1"/>
  <c r="J248" i="8"/>
  <c r="G348" i="8"/>
  <c r="K165" i="2"/>
  <c r="K154" i="2"/>
  <c r="K359" i="8"/>
  <c r="J359" i="8"/>
  <c r="Q119" i="3"/>
  <c r="M359" i="8" s="1"/>
  <c r="M98" i="3"/>
  <c r="O98" i="3" s="1"/>
  <c r="I253" i="8"/>
  <c r="K258" i="8"/>
  <c r="O108" i="2"/>
  <c r="P108" i="2" s="1"/>
  <c r="F277" i="8"/>
  <c r="F224" i="8"/>
  <c r="K108" i="3"/>
  <c r="N62" i="3"/>
  <c r="L137" i="2"/>
  <c r="L88" i="2" s="1"/>
  <c r="P87" i="2"/>
  <c r="L83" i="3"/>
  <c r="K66" i="2"/>
  <c r="F318" i="8"/>
  <c r="L107" i="3"/>
  <c r="K26" i="2"/>
  <c r="I128" i="2"/>
  <c r="E20" i="13" s="1"/>
  <c r="E33" i="21" s="1"/>
  <c r="F4" i="2"/>
  <c r="E3" i="5"/>
  <c r="F1" i="1"/>
  <c r="G2" i="10"/>
  <c r="F2" i="3"/>
  <c r="H270" i="8"/>
  <c r="M102" i="3"/>
  <c r="P60" i="3"/>
  <c r="O126" i="3"/>
  <c r="Q126" i="3" s="1"/>
  <c r="M364" i="8" s="1"/>
  <c r="G275" i="8"/>
  <c r="G231" i="8"/>
  <c r="N110" i="3"/>
  <c r="H130" i="2"/>
  <c r="D17" i="13"/>
  <c r="M79" i="3"/>
  <c r="I248" i="8"/>
  <c r="P133" i="3"/>
  <c r="L248" i="8" s="1"/>
  <c r="K76" i="2"/>
  <c r="F319" i="8"/>
  <c r="F9" i="15"/>
  <c r="F47" i="21" s="1"/>
  <c r="K30" i="2"/>
  <c r="F12" i="16"/>
  <c r="F76" i="21" s="1"/>
  <c r="N114" i="3"/>
  <c r="G286" i="8"/>
  <c r="K8" i="2"/>
  <c r="J163" i="2"/>
  <c r="F351" i="8"/>
  <c r="L77" i="2"/>
  <c r="K156" i="2"/>
  <c r="J19" i="3"/>
  <c r="K124" i="2"/>
  <c r="D16" i="15"/>
  <c r="D54" i="21" s="1"/>
  <c r="D55" i="21"/>
  <c r="Q7" i="3"/>
  <c r="L170" i="2"/>
  <c r="M72" i="2"/>
  <c r="H246" i="8"/>
  <c r="I270" i="8"/>
  <c r="I316" i="8"/>
  <c r="N64" i="2"/>
  <c r="L118" i="3"/>
  <c r="M118" i="3" s="1"/>
  <c r="N112" i="3"/>
  <c r="D21" i="15"/>
  <c r="D59" i="21" s="1"/>
  <c r="H100" i="2"/>
  <c r="D27" i="15" s="1"/>
  <c r="D65" i="21" s="1"/>
  <c r="C13" i="18"/>
  <c r="C13" i="21" s="1"/>
  <c r="C3" i="21"/>
  <c r="O44" i="3"/>
  <c r="P44" i="3" s="1"/>
  <c r="O133" i="3"/>
  <c r="N132" i="3"/>
  <c r="J262" i="8"/>
  <c r="Q142" i="3"/>
  <c r="M262" i="8" s="1"/>
  <c r="M121" i="2"/>
  <c r="L132" i="2"/>
  <c r="C18" i="13"/>
  <c r="C31" i="21" s="1"/>
  <c r="C30" i="21"/>
  <c r="C21" i="15"/>
  <c r="C59" i="21" s="1"/>
  <c r="G100" i="2"/>
  <c r="C27" i="15" s="1"/>
  <c r="C65" i="21" s="1"/>
  <c r="K94" i="2"/>
  <c r="K177" i="2" s="1"/>
  <c r="N104" i="3"/>
  <c r="K122" i="2"/>
  <c r="J253" i="8"/>
  <c r="G368" i="8"/>
  <c r="L127" i="3"/>
  <c r="H342" i="8"/>
  <c r="O12" i="3"/>
  <c r="O135" i="3"/>
  <c r="L95" i="2"/>
  <c r="J161" i="2"/>
  <c r="I285" i="8"/>
  <c r="M117" i="3"/>
  <c r="M66" i="3"/>
  <c r="L165" i="2"/>
  <c r="L154" i="2"/>
  <c r="F102" i="2"/>
  <c r="K29" i="2"/>
  <c r="P111" i="3"/>
  <c r="R111" i="3" s="1"/>
  <c r="I238" i="8"/>
  <c r="I273" i="8"/>
  <c r="D10" i="18"/>
  <c r="D85" i="21"/>
  <c r="E100" i="2"/>
  <c r="E102" i="2" s="1"/>
  <c r="G18" i="15"/>
  <c r="G56" i="21" s="1"/>
  <c r="L71" i="2"/>
  <c r="K169" i="2"/>
  <c r="G350" i="8"/>
  <c r="G351" i="8" s="1"/>
  <c r="H349" i="8"/>
  <c r="M38" i="3"/>
  <c r="F143" i="8"/>
  <c r="F147" i="8" s="1"/>
  <c r="I35" i="2"/>
  <c r="M57" i="3"/>
  <c r="O59" i="3"/>
  <c r="P59" i="3" s="1"/>
  <c r="J164" i="2"/>
  <c r="N113" i="3"/>
  <c r="K132" i="2"/>
  <c r="N23" i="3"/>
  <c r="O105" i="3"/>
  <c r="H237" i="8"/>
  <c r="L20" i="2"/>
  <c r="G302" i="8"/>
  <c r="L173" i="2"/>
  <c r="O131" i="3"/>
  <c r="H245" i="8"/>
  <c r="H247" i="8" s="1"/>
  <c r="H249" i="8" s="1"/>
  <c r="L174" i="2" s="1"/>
  <c r="M40" i="3"/>
  <c r="N40" i="3" s="1"/>
  <c r="M106" i="3"/>
  <c r="O106" i="3" s="1"/>
  <c r="J81" i="2"/>
  <c r="M60" i="2"/>
  <c r="H312" i="8"/>
  <c r="P8" i="3"/>
  <c r="Q8" i="3" s="1"/>
  <c r="D14" i="13"/>
  <c r="D27" i="21" s="1"/>
  <c r="M17" i="3"/>
  <c r="N17" i="3" s="1"/>
  <c r="M41" i="3"/>
  <c r="N41" i="3"/>
  <c r="M21" i="3"/>
  <c r="N21" i="3" s="1"/>
  <c r="O86" i="3" l="1"/>
  <c r="J129" i="8"/>
  <c r="J131" i="8" s="1"/>
  <c r="J136" i="8" s="1"/>
  <c r="J242" i="8" s="1"/>
  <c r="N162" i="2" s="1"/>
  <c r="F38" i="23"/>
  <c r="F40" i="23" s="1"/>
  <c r="E40" i="23"/>
  <c r="H132" i="23"/>
  <c r="M109" i="23"/>
  <c r="I109" i="23"/>
  <c r="E127" i="23"/>
  <c r="F46" i="23"/>
  <c r="E54" i="23"/>
  <c r="D200" i="23"/>
  <c r="E139" i="23"/>
  <c r="E48" i="23"/>
  <c r="E51" i="23"/>
  <c r="E167" i="23"/>
  <c r="E174" i="23"/>
  <c r="E183" i="23" s="1"/>
  <c r="G133" i="23"/>
  <c r="G131" i="23" s="1"/>
  <c r="H113" i="23"/>
  <c r="L177" i="2"/>
  <c r="L53" i="2"/>
  <c r="O56" i="3"/>
  <c r="K80" i="3"/>
  <c r="J27" i="2"/>
  <c r="K27" i="2" s="1"/>
  <c r="L80" i="3"/>
  <c r="L27" i="2" s="1"/>
  <c r="M88" i="2"/>
  <c r="L122" i="2"/>
  <c r="K163" i="2"/>
  <c r="K32" i="2"/>
  <c r="L61" i="2"/>
  <c r="G313" i="8"/>
  <c r="L163" i="2"/>
  <c r="M83" i="3"/>
  <c r="N83" i="3" s="1"/>
  <c r="O83" i="3" s="1"/>
  <c r="I300" i="8"/>
  <c r="N18" i="2"/>
  <c r="P45" i="3"/>
  <c r="O41" i="3"/>
  <c r="P41" i="3" s="1"/>
  <c r="Q41" i="3" s="1"/>
  <c r="O17" i="3"/>
  <c r="P17" i="3" s="1"/>
  <c r="P124" i="2" s="1"/>
  <c r="M122" i="2"/>
  <c r="N15" i="3"/>
  <c r="O15" i="3" s="1"/>
  <c r="O122" i="2" s="1"/>
  <c r="L123" i="2"/>
  <c r="M16" i="3"/>
  <c r="K153" i="2"/>
  <c r="G15" i="13"/>
  <c r="G28" i="21" s="1"/>
  <c r="G9" i="16"/>
  <c r="G73" i="21" s="1"/>
  <c r="K166" i="2"/>
  <c r="Q44" i="3"/>
  <c r="M35" i="3"/>
  <c r="N35" i="3" s="1"/>
  <c r="Q37" i="3"/>
  <c r="T37" i="3" s="1"/>
  <c r="T8" i="3"/>
  <c r="L32" i="2"/>
  <c r="M32" i="2" s="1"/>
  <c r="K237" i="8"/>
  <c r="R98" i="3"/>
  <c r="N237" i="8" s="1"/>
  <c r="N36" i="3"/>
  <c r="O36" i="3" s="1"/>
  <c r="O124" i="2"/>
  <c r="N238" i="8"/>
  <c r="N273" i="8"/>
  <c r="P113" i="3"/>
  <c r="L285" i="8" s="1"/>
  <c r="P116" i="2"/>
  <c r="Q108" i="2"/>
  <c r="R108" i="2" s="1"/>
  <c r="S108" i="2" s="1"/>
  <c r="T108" i="2" s="1"/>
  <c r="T116" i="2" s="1"/>
  <c r="K146" i="8"/>
  <c r="K272" i="8"/>
  <c r="I348" i="8"/>
  <c r="N132" i="2"/>
  <c r="M171" i="2"/>
  <c r="N74" i="2"/>
  <c r="G4" i="2"/>
  <c r="H2" i="10"/>
  <c r="G1" i="1"/>
  <c r="F3" i="5"/>
  <c r="G2" i="3"/>
  <c r="I342" i="8"/>
  <c r="M238" i="8"/>
  <c r="M273" i="8"/>
  <c r="J285" i="8"/>
  <c r="O113" i="3"/>
  <c r="G224" i="8"/>
  <c r="G277" i="8"/>
  <c r="L108" i="3"/>
  <c r="G9" i="15"/>
  <c r="G47" i="21" s="1"/>
  <c r="L30" i="2"/>
  <c r="M30" i="2" s="1"/>
  <c r="N30" i="2" s="1"/>
  <c r="O30" i="2" s="1"/>
  <c r="J137" i="8"/>
  <c r="J145" i="8"/>
  <c r="N53" i="2"/>
  <c r="M17" i="2"/>
  <c r="H299" i="8"/>
  <c r="L139" i="8"/>
  <c r="L271" i="8"/>
  <c r="N95" i="2"/>
  <c r="O107" i="3"/>
  <c r="H276" i="8"/>
  <c r="H198" i="8"/>
  <c r="M107" i="3"/>
  <c r="J42" i="2"/>
  <c r="G228" i="8"/>
  <c r="G232" i="8" s="1"/>
  <c r="O127" i="2"/>
  <c r="T18" i="3"/>
  <c r="T127" i="2" s="1"/>
  <c r="S18" i="3"/>
  <c r="S127" i="2" s="1"/>
  <c r="R18" i="3"/>
  <c r="R127" i="2" s="1"/>
  <c r="J167" i="2"/>
  <c r="O64" i="2"/>
  <c r="J316" i="8"/>
  <c r="L8" i="2"/>
  <c r="L161" i="2" s="1"/>
  <c r="L31" i="2"/>
  <c r="L264" i="8"/>
  <c r="L266" i="8" s="1"/>
  <c r="M94" i="2"/>
  <c r="M177" i="2" s="1"/>
  <c r="P141" i="3"/>
  <c r="P95" i="2" s="1"/>
  <c r="C10" i="21"/>
  <c r="C12" i="18"/>
  <c r="C12" i="21" s="1"/>
  <c r="O53" i="2"/>
  <c r="K161" i="2"/>
  <c r="R119" i="3"/>
  <c r="N359" i="8" s="1"/>
  <c r="Q14" i="3"/>
  <c r="Q121" i="2" s="1"/>
  <c r="F23" i="18"/>
  <c r="F22" i="15"/>
  <c r="F60" i="21" s="1"/>
  <c r="J202" i="2"/>
  <c r="G257" i="8"/>
  <c r="G259" i="8" s="1"/>
  <c r="G252" i="8"/>
  <c r="G254" i="8" s="1"/>
  <c r="N107" i="3"/>
  <c r="I264" i="8"/>
  <c r="I266" i="8" s="1"/>
  <c r="N127" i="2"/>
  <c r="Q18" i="3"/>
  <c r="Q127" i="2" s="1"/>
  <c r="F29" i="15"/>
  <c r="S110" i="3"/>
  <c r="K275" i="8"/>
  <c r="K231" i="8"/>
  <c r="T110" i="3"/>
  <c r="R110" i="3"/>
  <c r="N59" i="2"/>
  <c r="J311" i="8" s="1"/>
  <c r="Q106" i="3"/>
  <c r="J146" i="8"/>
  <c r="J272" i="8"/>
  <c r="N173" i="2"/>
  <c r="J245" i="8"/>
  <c r="J247" i="8" s="1"/>
  <c r="J249" i="8" s="1"/>
  <c r="N174" i="2" s="1"/>
  <c r="O21" i="3"/>
  <c r="L66" i="2"/>
  <c r="G318" i="8"/>
  <c r="L76" i="2"/>
  <c r="L81" i="2" s="1"/>
  <c r="G319" i="8"/>
  <c r="K353" i="8"/>
  <c r="R125" i="3"/>
  <c r="N353" i="8" s="1"/>
  <c r="Q143" i="3"/>
  <c r="M263" i="8" s="1"/>
  <c r="J263" i="8"/>
  <c r="J264" i="8" s="1"/>
  <c r="J266" i="8" s="1"/>
  <c r="N43" i="2"/>
  <c r="J230" i="8"/>
  <c r="G102" i="2"/>
  <c r="O173" i="2"/>
  <c r="K245" i="8"/>
  <c r="F40" i="20"/>
  <c r="A40" i="20"/>
  <c r="A21" i="20"/>
  <c r="F5" i="20"/>
  <c r="F21" i="20"/>
  <c r="M132" i="2"/>
  <c r="P21" i="3"/>
  <c r="P132" i="2" s="1"/>
  <c r="M264" i="8"/>
  <c r="M266" i="8" s="1"/>
  <c r="J286" i="8"/>
  <c r="Q114" i="3"/>
  <c r="M286" i="8" s="1"/>
  <c r="T119" i="3"/>
  <c r="P359" i="8" s="1"/>
  <c r="O102" i="3"/>
  <c r="J128" i="2"/>
  <c r="F20" i="13" s="1"/>
  <c r="F33" i="21" s="1"/>
  <c r="L156" i="2"/>
  <c r="M77" i="2"/>
  <c r="D232" i="2"/>
  <c r="E8" i="10"/>
  <c r="D208" i="2"/>
  <c r="D226" i="2"/>
  <c r="D30" i="3" s="1"/>
  <c r="O117" i="2"/>
  <c r="P12" i="3"/>
  <c r="P117" i="2" s="1"/>
  <c r="K364" i="8"/>
  <c r="T126" i="3"/>
  <c r="P364" i="8" s="1"/>
  <c r="S126" i="3"/>
  <c r="O364" i="8" s="1"/>
  <c r="R126" i="3"/>
  <c r="N364" i="8" s="1"/>
  <c r="N84" i="3"/>
  <c r="T137" i="3"/>
  <c r="P258" i="8" s="1"/>
  <c r="S111" i="3"/>
  <c r="L120" i="2"/>
  <c r="M13" i="3"/>
  <c r="J234" i="2"/>
  <c r="Q125" i="3"/>
  <c r="M353" i="8" s="1"/>
  <c r="O121" i="2"/>
  <c r="J274" i="8"/>
  <c r="K175" i="2"/>
  <c r="L85" i="2"/>
  <c r="I206" i="2"/>
  <c r="I224" i="2"/>
  <c r="I221" i="2"/>
  <c r="I220" i="2"/>
  <c r="I222" i="2"/>
  <c r="I223" i="2"/>
  <c r="G314" i="8"/>
  <c r="L62" i="2"/>
  <c r="R8" i="3"/>
  <c r="O62" i="3"/>
  <c r="P62" i="3" s="1"/>
  <c r="P59" i="2" s="1"/>
  <c r="L311" i="8" s="1"/>
  <c r="D13" i="18"/>
  <c r="D13" i="21" s="1"/>
  <c r="D3" i="21"/>
  <c r="N66" i="3"/>
  <c r="L22" i="2"/>
  <c r="L158" i="2" s="1"/>
  <c r="H348" i="8"/>
  <c r="N57" i="3"/>
  <c r="Q59" i="3"/>
  <c r="T59" i="3" s="1"/>
  <c r="P125" i="3"/>
  <c r="L353" i="8" s="1"/>
  <c r="M170" i="2"/>
  <c r="N72" i="2"/>
  <c r="M26" i="2"/>
  <c r="I230" i="8"/>
  <c r="P102" i="3"/>
  <c r="L230" i="8" s="1"/>
  <c r="R137" i="3"/>
  <c r="N258" i="8" s="1"/>
  <c r="F134" i="2"/>
  <c r="F20" i="3"/>
  <c r="I20" i="3" s="1"/>
  <c r="J20" i="3" s="1"/>
  <c r="S8" i="3"/>
  <c r="J237" i="8"/>
  <c r="Q98" i="3"/>
  <c r="M237" i="8" s="1"/>
  <c r="K158" i="2"/>
  <c r="R24" i="3"/>
  <c r="M124" i="2"/>
  <c r="D18" i="13"/>
  <c r="D31" i="21" s="1"/>
  <c r="D30" i="21"/>
  <c r="S137" i="3"/>
  <c r="O258" i="8" s="1"/>
  <c r="N39" i="3"/>
  <c r="G235" i="8"/>
  <c r="G239" i="8" s="1"/>
  <c r="J38" i="2"/>
  <c r="F10" i="15" s="1"/>
  <c r="F48" i="21" s="1"/>
  <c r="N124" i="2"/>
  <c r="F20" i="15"/>
  <c r="J35" i="2"/>
  <c r="G143" i="8"/>
  <c r="G147" i="8" s="1"/>
  <c r="L273" i="8"/>
  <c r="L238" i="8"/>
  <c r="K139" i="8"/>
  <c r="K271" i="8"/>
  <c r="N41" i="2"/>
  <c r="O41" i="2" s="1"/>
  <c r="J270" i="8"/>
  <c r="N79" i="3"/>
  <c r="T111" i="3"/>
  <c r="C34" i="21"/>
  <c r="C23" i="13"/>
  <c r="G317" i="8"/>
  <c r="L65" i="2"/>
  <c r="T48" i="3"/>
  <c r="P114" i="3"/>
  <c r="L286" i="8" s="1"/>
  <c r="I286" i="8"/>
  <c r="I237" i="8"/>
  <c r="P98" i="3"/>
  <c r="L237" i="8" s="1"/>
  <c r="E12" i="16"/>
  <c r="E76" i="21" s="1"/>
  <c r="E29" i="15"/>
  <c r="D12" i="18"/>
  <c r="D12" i="21" s="1"/>
  <c r="D10" i="21"/>
  <c r="K19" i="3"/>
  <c r="L19" i="3" s="1"/>
  <c r="N60" i="2"/>
  <c r="I312" i="8"/>
  <c r="O95" i="2"/>
  <c r="K253" i="8"/>
  <c r="N137" i="2"/>
  <c r="N88" i="2" s="1"/>
  <c r="J246" i="8"/>
  <c r="K248" i="8"/>
  <c r="T133" i="3"/>
  <c r="P248" i="8" s="1"/>
  <c r="S133" i="3"/>
  <c r="O248" i="8" s="1"/>
  <c r="R133" i="3"/>
  <c r="N248" i="8" s="1"/>
  <c r="O104" i="3"/>
  <c r="O40" i="3"/>
  <c r="N140" i="3"/>
  <c r="O140" i="3" s="1"/>
  <c r="K81" i="2"/>
  <c r="H368" i="8"/>
  <c r="M127" i="3"/>
  <c r="Q48" i="3"/>
  <c r="S48" i="3" s="1"/>
  <c r="P135" i="3"/>
  <c r="O91" i="3"/>
  <c r="P91" i="3" s="1"/>
  <c r="P110" i="3"/>
  <c r="I231" i="8"/>
  <c r="I275" i="8"/>
  <c r="T142" i="3"/>
  <c r="P262" i="8" s="1"/>
  <c r="P264" i="8" s="1"/>
  <c r="R142" i="3"/>
  <c r="N262" i="8" s="1"/>
  <c r="N264" i="8" s="1"/>
  <c r="N266" i="8" s="1"/>
  <c r="S142" i="3"/>
  <c r="O262" i="8" s="1"/>
  <c r="O264" i="8" s="1"/>
  <c r="O266" i="8" s="1"/>
  <c r="K262" i="8"/>
  <c r="K264" i="8" s="1"/>
  <c r="K266" i="8" s="1"/>
  <c r="T144" i="3"/>
  <c r="P265" i="8" s="1"/>
  <c r="E22" i="3"/>
  <c r="E136" i="2"/>
  <c r="C3" i="16"/>
  <c r="G136" i="2"/>
  <c r="G22" i="3"/>
  <c r="P112" i="3"/>
  <c r="L274" i="8" s="1"/>
  <c r="P56" i="3"/>
  <c r="P53" i="2" s="1"/>
  <c r="M36" i="3"/>
  <c r="S143" i="3"/>
  <c r="O263" i="8" s="1"/>
  <c r="T143" i="3"/>
  <c r="P263" i="8" s="1"/>
  <c r="K263" i="8"/>
  <c r="R143" i="3"/>
  <c r="N263" i="8" s="1"/>
  <c r="P131" i="3"/>
  <c r="E23" i="15"/>
  <c r="E61" i="21" s="1"/>
  <c r="J86" i="2"/>
  <c r="M20" i="2"/>
  <c r="H302" i="8"/>
  <c r="N117" i="3"/>
  <c r="S24" i="3"/>
  <c r="P120" i="3"/>
  <c r="Q120" i="3" s="1"/>
  <c r="S119" i="3"/>
  <c r="O359" i="8" s="1"/>
  <c r="N38" i="3"/>
  <c r="L29" i="2"/>
  <c r="P106" i="3"/>
  <c r="S106" i="3" s="1"/>
  <c r="I146" i="8"/>
  <c r="I272" i="8"/>
  <c r="K164" i="2"/>
  <c r="O132" i="3"/>
  <c r="H350" i="8"/>
  <c r="L169" i="2"/>
  <c r="I349" i="8"/>
  <c r="M71" i="2"/>
  <c r="R37" i="3"/>
  <c r="Q87" i="2"/>
  <c r="N118" i="3"/>
  <c r="R44" i="3"/>
  <c r="S44" i="3"/>
  <c r="T44" i="3"/>
  <c r="H134" i="2"/>
  <c r="H20" i="3"/>
  <c r="D21" i="13"/>
  <c r="J275" i="8"/>
  <c r="J231" i="8"/>
  <c r="Q110" i="3"/>
  <c r="E11" i="16"/>
  <c r="E329" i="8"/>
  <c r="O23" i="3"/>
  <c r="Q60" i="3"/>
  <c r="Q133" i="3"/>
  <c r="M248" i="8" s="1"/>
  <c r="H102" i="2"/>
  <c r="O112" i="3"/>
  <c r="M25" i="2"/>
  <c r="N154" i="2"/>
  <c r="N165" i="2"/>
  <c r="Q105" i="3"/>
  <c r="S105" i="3" s="1"/>
  <c r="J139" i="8"/>
  <c r="J271" i="8"/>
  <c r="D8" i="17"/>
  <c r="D8" i="18"/>
  <c r="D8" i="21" s="1"/>
  <c r="D18" i="21"/>
  <c r="O114" i="3"/>
  <c r="P86" i="3" l="1"/>
  <c r="K129" i="8"/>
  <c r="K131" i="8" s="1"/>
  <c r="K136" i="8" s="1"/>
  <c r="K242" i="8" s="1"/>
  <c r="O162" i="2" s="1"/>
  <c r="H133" i="23"/>
  <c r="H131" i="23" s="1"/>
  <c r="M113" i="23"/>
  <c r="I113" i="23"/>
  <c r="I103" i="23" s="1"/>
  <c r="F127" i="23"/>
  <c r="F51" i="23"/>
  <c r="G46" i="23"/>
  <c r="G74" i="23" s="1"/>
  <c r="F139" i="23"/>
  <c r="F54" i="23"/>
  <c r="E200" i="23"/>
  <c r="F48" i="23"/>
  <c r="J109" i="23"/>
  <c r="K109" i="23" s="1"/>
  <c r="I132" i="23"/>
  <c r="H103" i="23"/>
  <c r="Q56" i="3"/>
  <c r="Q53" i="2" s="1"/>
  <c r="M80" i="3"/>
  <c r="M27" i="2"/>
  <c r="M163" i="2"/>
  <c r="N80" i="3"/>
  <c r="N27" i="2" s="1"/>
  <c r="S37" i="3"/>
  <c r="Q21" i="3"/>
  <c r="Q132" i="2" s="1"/>
  <c r="M31" i="2"/>
  <c r="N31" i="2" s="1"/>
  <c r="O31" i="2" s="1"/>
  <c r="Q45" i="3"/>
  <c r="R45" i="3" s="1"/>
  <c r="T45" i="3"/>
  <c r="N122" i="2"/>
  <c r="P15" i="3"/>
  <c r="P122" i="2" s="1"/>
  <c r="K167" i="2"/>
  <c r="G11" i="16" s="1"/>
  <c r="Q141" i="3"/>
  <c r="K84" i="2"/>
  <c r="H351" i="8"/>
  <c r="H313" i="8"/>
  <c r="M61" i="2"/>
  <c r="R56" i="3"/>
  <c r="R53" i="2" s="1"/>
  <c r="S56" i="3"/>
  <c r="S53" i="2" s="1"/>
  <c r="T56" i="3"/>
  <c r="T53" i="2" s="1"/>
  <c r="O18" i="2"/>
  <c r="J300" i="8"/>
  <c r="N16" i="3"/>
  <c r="M123" i="2"/>
  <c r="O16" i="3"/>
  <c r="L166" i="2"/>
  <c r="L153" i="2"/>
  <c r="Q12" i="3"/>
  <c r="Q117" i="2" s="1"/>
  <c r="Q154" i="2" s="1"/>
  <c r="K20" i="3"/>
  <c r="L20" i="3" s="1"/>
  <c r="O66" i="3"/>
  <c r="P66" i="3" s="1"/>
  <c r="Q66" i="3" s="1"/>
  <c r="S116" i="2"/>
  <c r="O35" i="3"/>
  <c r="P35" i="3" s="1"/>
  <c r="R120" i="3"/>
  <c r="T41" i="3"/>
  <c r="S41" i="3"/>
  <c r="R41" i="3"/>
  <c r="O146" i="8"/>
  <c r="O272" i="8"/>
  <c r="O139" i="8"/>
  <c r="O271" i="8"/>
  <c r="G23" i="18"/>
  <c r="G22" i="15"/>
  <c r="G60" i="21" s="1"/>
  <c r="K202" i="2"/>
  <c r="H257" i="8"/>
  <c r="H259" i="8" s="1"/>
  <c r="H252" i="8"/>
  <c r="H254" i="8" s="1"/>
  <c r="P40" i="3"/>
  <c r="T125" i="3"/>
  <c r="P353" i="8" s="1"/>
  <c r="I368" i="8"/>
  <c r="C25" i="13"/>
  <c r="H8" i="10"/>
  <c r="C87" i="21" s="1"/>
  <c r="G232" i="2"/>
  <c r="G22" i="20"/>
  <c r="G208" i="2"/>
  <c r="G226" i="2"/>
  <c r="G30" i="3" s="1"/>
  <c r="C18" i="17" s="1"/>
  <c r="C20" i="17" s="1"/>
  <c r="J206" i="2"/>
  <c r="J224" i="2"/>
  <c r="J221" i="2"/>
  <c r="J222" i="2"/>
  <c r="J223" i="2"/>
  <c r="J220" i="2"/>
  <c r="J225" i="2" s="1"/>
  <c r="K270" i="8"/>
  <c r="P104" i="3"/>
  <c r="D3" i="16"/>
  <c r="H136" i="2"/>
  <c r="H22" i="3"/>
  <c r="K246" i="8"/>
  <c r="K247" i="8" s="1"/>
  <c r="K249" i="8" s="1"/>
  <c r="O174" i="2" s="1"/>
  <c r="P132" i="3"/>
  <c r="L246" i="8" s="1"/>
  <c r="R105" i="3"/>
  <c r="I225" i="2"/>
  <c r="I176" i="2"/>
  <c r="E14" i="16" s="1"/>
  <c r="E78" i="21" s="1"/>
  <c r="M120" i="2"/>
  <c r="N13" i="3"/>
  <c r="M146" i="8"/>
  <c r="M272" i="8"/>
  <c r="J342" i="8"/>
  <c r="Q117" i="3"/>
  <c r="M342" i="8" s="1"/>
  <c r="K234" i="2"/>
  <c r="L234" i="2" s="1"/>
  <c r="F8" i="10"/>
  <c r="E232" i="2"/>
  <c r="E208" i="2"/>
  <c r="E226" i="2"/>
  <c r="E30" i="3" s="1"/>
  <c r="P41" i="2"/>
  <c r="H235" i="8"/>
  <c r="H239" i="8" s="1"/>
  <c r="K38" i="2"/>
  <c r="G10" i="15" s="1"/>
  <c r="G48" i="21" s="1"/>
  <c r="F11" i="16"/>
  <c r="F329" i="8"/>
  <c r="K128" i="2"/>
  <c r="G20" i="13" s="1"/>
  <c r="G33" i="21" s="1"/>
  <c r="T105" i="3"/>
  <c r="O273" i="8"/>
  <c r="O238" i="8"/>
  <c r="N231" i="8"/>
  <c r="N275" i="8"/>
  <c r="H277" i="8"/>
  <c r="H224" i="8"/>
  <c r="P117" i="3"/>
  <c r="L342" i="8" s="1"/>
  <c r="F136" i="2"/>
  <c r="F22" i="3"/>
  <c r="I22" i="3" s="1"/>
  <c r="J22" i="3" s="1"/>
  <c r="P30" i="2"/>
  <c r="O154" i="2"/>
  <c r="O165" i="2"/>
  <c r="M66" i="2"/>
  <c r="H318" i="8"/>
  <c r="K276" i="8"/>
  <c r="K198" i="8"/>
  <c r="O117" i="3"/>
  <c r="G20" i="15"/>
  <c r="J348" i="8"/>
  <c r="N32" i="2"/>
  <c r="M8" i="2"/>
  <c r="M76" i="2"/>
  <c r="M81" i="2" s="1"/>
  <c r="H319" i="8"/>
  <c r="O60" i="2"/>
  <c r="J312" i="8"/>
  <c r="Q62" i="3"/>
  <c r="Q59" i="2" s="1"/>
  <c r="M311" i="8" s="1"/>
  <c r="M29" i="2"/>
  <c r="P231" i="8"/>
  <c r="P275" i="8"/>
  <c r="Q102" i="3"/>
  <c r="M230" i="8" s="1"/>
  <c r="K286" i="8"/>
  <c r="S114" i="3"/>
  <c r="O286" i="8" s="1"/>
  <c r="T114" i="3"/>
  <c r="P286" i="8" s="1"/>
  <c r="R114" i="3"/>
  <c r="N286" i="8" s="1"/>
  <c r="M19" i="3"/>
  <c r="O231" i="8"/>
  <c r="O275" i="8"/>
  <c r="N17" i="2"/>
  <c r="I299" i="8"/>
  <c r="R113" i="3"/>
  <c r="N285" i="8" s="1"/>
  <c r="K285" i="8"/>
  <c r="H4" i="2"/>
  <c r="I2" i="10"/>
  <c r="J2" i="10" s="1"/>
  <c r="K2" i="10" s="1"/>
  <c r="L2" i="10" s="1"/>
  <c r="M2" i="10" s="1"/>
  <c r="N2" i="10" s="1"/>
  <c r="O2" i="10" s="1"/>
  <c r="P2" i="10" s="1"/>
  <c r="Q2" i="10" s="1"/>
  <c r="R2" i="10" s="1"/>
  <c r="S2" i="10" s="1"/>
  <c r="T2" i="10" s="1"/>
  <c r="U2" i="10" s="1"/>
  <c r="G3" i="5"/>
  <c r="H2" i="3"/>
  <c r="S98" i="3"/>
  <c r="O237" i="8" s="1"/>
  <c r="M62" i="2"/>
  <c r="H314" i="8"/>
  <c r="O127" i="3"/>
  <c r="P127" i="3" s="1"/>
  <c r="L368" i="8" s="1"/>
  <c r="C67" i="21"/>
  <c r="C6" i="16"/>
  <c r="C70" i="21" s="1"/>
  <c r="N20" i="2"/>
  <c r="I302" i="8"/>
  <c r="S59" i="3"/>
  <c r="E23" i="10"/>
  <c r="E21" i="10" s="1"/>
  <c r="E22" i="10"/>
  <c r="F23" i="15"/>
  <c r="F61" i="21" s="1"/>
  <c r="K86" i="2"/>
  <c r="M65" i="2"/>
  <c r="H317" i="8"/>
  <c r="O118" i="3"/>
  <c r="R87" i="2"/>
  <c r="C17" i="17"/>
  <c r="C36" i="21"/>
  <c r="O94" i="2"/>
  <c r="O155" i="2"/>
  <c r="O43" i="2"/>
  <c r="Q113" i="3"/>
  <c r="M285" i="8" s="1"/>
  <c r="M139" i="8"/>
  <c r="M271" i="8"/>
  <c r="N25" i="2"/>
  <c r="Q17" i="3"/>
  <c r="Q124" i="2" s="1"/>
  <c r="K274" i="8"/>
  <c r="K316" i="8"/>
  <c r="P64" i="2"/>
  <c r="L128" i="2"/>
  <c r="L272" i="8"/>
  <c r="L146" i="8"/>
  <c r="L175" i="2"/>
  <c r="M85" i="2"/>
  <c r="L164" i="2"/>
  <c r="T106" i="3"/>
  <c r="E10" i="16"/>
  <c r="E74" i="21" s="1"/>
  <c r="E75" i="21"/>
  <c r="L137" i="8"/>
  <c r="L145" i="8"/>
  <c r="L275" i="8"/>
  <c r="L231" i="8"/>
  <c r="S14" i="3"/>
  <c r="S121" i="2" s="1"/>
  <c r="N155" i="2"/>
  <c r="M108" i="3"/>
  <c r="A22" i="20"/>
  <c r="C2" i="18"/>
  <c r="C2" i="17"/>
  <c r="C2" i="13"/>
  <c r="A41" i="20"/>
  <c r="F22" i="20"/>
  <c r="C2" i="15"/>
  <c r="C2" i="16"/>
  <c r="F6" i="20"/>
  <c r="C1" i="21"/>
  <c r="F41" i="20"/>
  <c r="R106" i="3"/>
  <c r="R59" i="3"/>
  <c r="P173" i="2"/>
  <c r="L245" i="8"/>
  <c r="P266" i="8"/>
  <c r="M22" i="2"/>
  <c r="K35" i="2"/>
  <c r="H143" i="8"/>
  <c r="H147" i="8" s="1"/>
  <c r="T14" i="3"/>
  <c r="T121" i="2" s="1"/>
  <c r="K230" i="8"/>
  <c r="P140" i="3"/>
  <c r="P94" i="2" s="1"/>
  <c r="K42" i="2"/>
  <c r="H228" i="8"/>
  <c r="H232" i="8" s="1"/>
  <c r="T120" i="3"/>
  <c r="Q112" i="3"/>
  <c r="M274" i="8" s="1"/>
  <c r="P83" i="3"/>
  <c r="T21" i="3"/>
  <c r="T132" i="2" s="1"/>
  <c r="S21" i="3"/>
  <c r="S132" i="2" s="1"/>
  <c r="O132" i="2"/>
  <c r="R21" i="3"/>
  <c r="R132" i="2" s="1"/>
  <c r="O57" i="3"/>
  <c r="J349" i="8"/>
  <c r="N71" i="2"/>
  <c r="I350" i="8"/>
  <c r="I351" i="8" s="1"/>
  <c r="M169" i="2"/>
  <c r="O39" i="3"/>
  <c r="L253" i="8"/>
  <c r="Q135" i="3"/>
  <c r="Q116" i="2"/>
  <c r="P273" i="8"/>
  <c r="P238" i="8"/>
  <c r="F19" i="15"/>
  <c r="F57" i="21" s="1"/>
  <c r="F58" i="21"/>
  <c r="R14" i="3"/>
  <c r="R121" i="2" s="1"/>
  <c r="R116" i="2"/>
  <c r="D34" i="21"/>
  <c r="D23" i="13"/>
  <c r="T60" i="3"/>
  <c r="R60" i="3"/>
  <c r="S60" i="3"/>
  <c r="O137" i="2"/>
  <c r="O88" i="2" s="1"/>
  <c r="P23" i="3"/>
  <c r="P137" i="2" s="1"/>
  <c r="N170" i="2"/>
  <c r="O72" i="2"/>
  <c r="N77" i="2"/>
  <c r="M156" i="2"/>
  <c r="O84" i="3"/>
  <c r="M275" i="8"/>
  <c r="M231" i="8"/>
  <c r="T98" i="3"/>
  <c r="P237" i="8" s="1"/>
  <c r="P36" i="3"/>
  <c r="Q36" i="3" s="1"/>
  <c r="K137" i="8"/>
  <c r="K145" i="8"/>
  <c r="Q83" i="3"/>
  <c r="O59" i="2"/>
  <c r="K311" i="8" s="1"/>
  <c r="T62" i="3"/>
  <c r="T59" i="2" s="1"/>
  <c r="P311" i="8" s="1"/>
  <c r="R62" i="3"/>
  <c r="R59" i="2" s="1"/>
  <c r="N311" i="8" s="1"/>
  <c r="S62" i="3"/>
  <c r="S59" i="2" s="1"/>
  <c r="O311" i="8" s="1"/>
  <c r="O38" i="3"/>
  <c r="N127" i="3"/>
  <c r="N94" i="2"/>
  <c r="N177" i="2" s="1"/>
  <c r="N26" i="2"/>
  <c r="O79" i="3"/>
  <c r="R48" i="3"/>
  <c r="P165" i="2"/>
  <c r="P154" i="2"/>
  <c r="S125" i="3"/>
  <c r="O353" i="8" s="1"/>
  <c r="Q131" i="3"/>
  <c r="Q107" i="3"/>
  <c r="R107" i="3" s="1"/>
  <c r="J276" i="8"/>
  <c r="J198" i="8"/>
  <c r="P107" i="3"/>
  <c r="I276" i="8"/>
  <c r="I198" i="8"/>
  <c r="Q91" i="3"/>
  <c r="T91" i="3" s="1"/>
  <c r="S120" i="3"/>
  <c r="O74" i="2"/>
  <c r="N171" i="2"/>
  <c r="S91" i="3" l="1"/>
  <c r="Q86" i="3"/>
  <c r="L129" i="8"/>
  <c r="L131" i="8" s="1"/>
  <c r="L136" i="8" s="1"/>
  <c r="L242" i="8" s="1"/>
  <c r="P162" i="2" s="1"/>
  <c r="G76" i="23"/>
  <c r="G75" i="23"/>
  <c r="I108" i="23"/>
  <c r="I111" i="23"/>
  <c r="I105" i="23"/>
  <c r="H105" i="23"/>
  <c r="H111" i="23"/>
  <c r="J113" i="23"/>
  <c r="K113" i="23" s="1"/>
  <c r="I115" i="23"/>
  <c r="I133" i="23"/>
  <c r="I131" i="23" s="1"/>
  <c r="H115" i="23"/>
  <c r="H46" i="23"/>
  <c r="G54" i="23"/>
  <c r="G51" i="23"/>
  <c r="G127" i="23"/>
  <c r="F200" i="23"/>
  <c r="J132" i="23"/>
  <c r="H108" i="23"/>
  <c r="N163" i="2"/>
  <c r="O80" i="3"/>
  <c r="O177" i="2"/>
  <c r="G329" i="8"/>
  <c r="S45" i="3"/>
  <c r="Q15" i="3"/>
  <c r="L167" i="2"/>
  <c r="H329" i="8" s="1"/>
  <c r="R12" i="3"/>
  <c r="R117" i="2" s="1"/>
  <c r="T12" i="3"/>
  <c r="T117" i="2" s="1"/>
  <c r="T154" i="2" s="1"/>
  <c r="S12" i="3"/>
  <c r="S117" i="2" s="1"/>
  <c r="S154" i="2" s="1"/>
  <c r="Q165" i="2"/>
  <c r="Q140" i="3"/>
  <c r="Q94" i="2" s="1"/>
  <c r="Q177" i="2" s="1"/>
  <c r="T140" i="3"/>
  <c r="T94" i="2" s="1"/>
  <c r="Q95" i="2"/>
  <c r="S141" i="3"/>
  <c r="S95" i="2" s="1"/>
  <c r="T141" i="3"/>
  <c r="T95" i="2" s="1"/>
  <c r="R141" i="3"/>
  <c r="R95" i="2" s="1"/>
  <c r="P88" i="2"/>
  <c r="L84" i="2"/>
  <c r="I313" i="8"/>
  <c r="N61" i="2"/>
  <c r="P18" i="2"/>
  <c r="K300" i="8"/>
  <c r="T17" i="3"/>
  <c r="T124" i="2" s="1"/>
  <c r="S17" i="3"/>
  <c r="S124" i="2" s="1"/>
  <c r="R17" i="3"/>
  <c r="R124" i="2" s="1"/>
  <c r="O123" i="2"/>
  <c r="P16" i="3"/>
  <c r="P123" i="2" s="1"/>
  <c r="M153" i="2"/>
  <c r="M166" i="2"/>
  <c r="N123" i="2"/>
  <c r="Q16" i="3"/>
  <c r="Q123" i="2" s="1"/>
  <c r="K22" i="3"/>
  <c r="L22" i="3" s="1"/>
  <c r="Q35" i="3"/>
  <c r="T35" i="3" s="1"/>
  <c r="M20" i="3"/>
  <c r="N20" i="3" s="1"/>
  <c r="L202" i="2"/>
  <c r="I252" i="8"/>
  <c r="I254" i="8" s="1"/>
  <c r="I257" i="8"/>
  <c r="I259" i="8" s="1"/>
  <c r="M84" i="2"/>
  <c r="N276" i="8"/>
  <c r="N198" i="8"/>
  <c r="M234" i="2"/>
  <c r="F10" i="16"/>
  <c r="F74" i="21" s="1"/>
  <c r="F75" i="21"/>
  <c r="K206" i="2"/>
  <c r="K222" i="2"/>
  <c r="K223" i="2"/>
  <c r="K224" i="2"/>
  <c r="K220" i="2"/>
  <c r="K221" i="2"/>
  <c r="J368" i="8"/>
  <c r="Q127" i="3"/>
  <c r="M368" i="8" s="1"/>
  <c r="P39" i="3"/>
  <c r="Q64" i="2"/>
  <c r="L316" i="8"/>
  <c r="O25" i="2"/>
  <c r="O163" i="2" s="1"/>
  <c r="I314" i="8"/>
  <c r="N62" i="2"/>
  <c r="Q40" i="3"/>
  <c r="T40" i="3" s="1"/>
  <c r="S107" i="3"/>
  <c r="C6" i="17"/>
  <c r="C6" i="18" s="1"/>
  <c r="C6" i="21" s="1"/>
  <c r="C40" i="20"/>
  <c r="H21" i="20"/>
  <c r="G21" i="20"/>
  <c r="F232" i="2"/>
  <c r="G8" i="10"/>
  <c r="F208" i="2"/>
  <c r="F226" i="2"/>
  <c r="F30" i="3" s="1"/>
  <c r="I235" i="8"/>
  <c r="I239" i="8" s="1"/>
  <c r="L38" i="2"/>
  <c r="O32" i="2"/>
  <c r="P84" i="3"/>
  <c r="D17" i="17"/>
  <c r="D36" i="21"/>
  <c r="K348" i="8"/>
  <c r="P118" i="3"/>
  <c r="L348" i="8" s="1"/>
  <c r="S132" i="3"/>
  <c r="O246" i="8" s="1"/>
  <c r="N22" i="2"/>
  <c r="N158" i="2" s="1"/>
  <c r="P38" i="3"/>
  <c r="Q84" i="3"/>
  <c r="R165" i="2"/>
  <c r="R154" i="2"/>
  <c r="T132" i="3"/>
  <c r="P246" i="8" s="1"/>
  <c r="S87" i="2"/>
  <c r="L35" i="2"/>
  <c r="I143" i="8"/>
  <c r="I147" i="8" s="1"/>
  <c r="N169" i="2"/>
  <c r="K349" i="8"/>
  <c r="O71" i="2"/>
  <c r="J350" i="8"/>
  <c r="J351" i="8" s="1"/>
  <c r="M158" i="2"/>
  <c r="P43" i="2"/>
  <c r="P155" i="2"/>
  <c r="I317" i="8"/>
  <c r="N65" i="2"/>
  <c r="D290" i="8"/>
  <c r="D340" i="8"/>
  <c r="D256" i="8"/>
  <c r="D244" i="8"/>
  <c r="D268" i="8"/>
  <c r="D134" i="8"/>
  <c r="D151" i="8"/>
  <c r="D234" i="8"/>
  <c r="D168" i="8"/>
  <c r="D220" i="8"/>
  <c r="D142" i="8"/>
  <c r="D357" i="8"/>
  <c r="D251" i="8"/>
  <c r="D281" i="8"/>
  <c r="D326" i="8"/>
  <c r="D227" i="8"/>
  <c r="I2" i="3"/>
  <c r="D261" i="8"/>
  <c r="G10" i="16"/>
  <c r="G74" i="21" s="1"/>
  <c r="G75" i="21"/>
  <c r="M128" i="2"/>
  <c r="O170" i="2"/>
  <c r="P72" i="2"/>
  <c r="S112" i="3"/>
  <c r="O274" i="8" s="1"/>
  <c r="N29" i="2"/>
  <c r="D67" i="21"/>
  <c r="D6" i="16"/>
  <c r="D70" i="21" s="1"/>
  <c r="P57" i="3"/>
  <c r="P177" i="2"/>
  <c r="L247" i="8"/>
  <c r="L249" i="8" s="1"/>
  <c r="P174" i="2" s="1"/>
  <c r="T112" i="3"/>
  <c r="P274" i="8" s="1"/>
  <c r="R140" i="3"/>
  <c r="R94" i="2" s="1"/>
  <c r="R177" i="2" s="1"/>
  <c r="D2" i="18"/>
  <c r="D2" i="17"/>
  <c r="D2" i="13"/>
  <c r="F7" i="20"/>
  <c r="F23" i="20"/>
  <c r="F42" i="20"/>
  <c r="A23" i="20"/>
  <c r="D2" i="15"/>
  <c r="I4" i="2"/>
  <c r="A42" i="20"/>
  <c r="D2" i="16"/>
  <c r="D1" i="21"/>
  <c r="M164" i="2"/>
  <c r="S36" i="3"/>
  <c r="L270" i="8"/>
  <c r="Q104" i="3"/>
  <c r="C41" i="20"/>
  <c r="C92" i="21"/>
  <c r="L42" i="2"/>
  <c r="I228" i="8"/>
  <c r="I232" i="8" s="1"/>
  <c r="G23" i="15"/>
  <c r="G61" i="21" s="1"/>
  <c r="L86" i="2"/>
  <c r="I318" i="8"/>
  <c r="N66" i="2"/>
  <c r="T36" i="3"/>
  <c r="Q41" i="2"/>
  <c r="P146" i="8"/>
  <c r="P272" i="8"/>
  <c r="K368" i="8"/>
  <c r="R36" i="3"/>
  <c r="R132" i="3"/>
  <c r="N246" i="8" s="1"/>
  <c r="R112" i="3"/>
  <c r="N274" i="8" s="1"/>
  <c r="I8" i="10"/>
  <c r="D87" i="21" s="1"/>
  <c r="G23" i="20"/>
  <c r="D25" i="13"/>
  <c r="H232" i="2"/>
  <c r="H208" i="2"/>
  <c r="H226" i="2"/>
  <c r="H30" i="3" s="1"/>
  <c r="D18" i="17" s="1"/>
  <c r="D20" i="17" s="1"/>
  <c r="O26" i="2"/>
  <c r="P79" i="3"/>
  <c r="Q23" i="3"/>
  <c r="Q137" i="2" s="1"/>
  <c r="Q88" i="2" s="1"/>
  <c r="M137" i="8"/>
  <c r="M145" i="8"/>
  <c r="J176" i="2"/>
  <c r="F14" i="16" s="1"/>
  <c r="F78" i="21" s="1"/>
  <c r="I277" i="8"/>
  <c r="I224" i="8"/>
  <c r="N108" i="3"/>
  <c r="R66" i="3"/>
  <c r="S113" i="3"/>
  <c r="O285" i="8" s="1"/>
  <c r="P60" i="2"/>
  <c r="K312" i="8"/>
  <c r="P271" i="8"/>
  <c r="P139" i="8"/>
  <c r="T104" i="3"/>
  <c r="P270" i="8" s="1"/>
  <c r="H22" i="10"/>
  <c r="C101" i="21" s="1"/>
  <c r="H23" i="10"/>
  <c r="M253" i="8"/>
  <c r="R135" i="3"/>
  <c r="N253" i="8" s="1"/>
  <c r="N146" i="8"/>
  <c r="N272" i="8"/>
  <c r="N139" i="8"/>
  <c r="N271" i="8"/>
  <c r="M245" i="8"/>
  <c r="M247" i="8" s="1"/>
  <c r="M249" i="8" s="1"/>
  <c r="Q174" i="2" s="1"/>
  <c r="Q173" i="2"/>
  <c r="S131" i="3"/>
  <c r="T131" i="3"/>
  <c r="R131" i="3"/>
  <c r="N156" i="2"/>
  <c r="O77" i="2"/>
  <c r="R91" i="3"/>
  <c r="P31" i="2"/>
  <c r="Q31" i="2" s="1"/>
  <c r="M175" i="2"/>
  <c r="N85" i="2"/>
  <c r="S66" i="3"/>
  <c r="T113" i="3"/>
  <c r="P285" i="8" s="1"/>
  <c r="N120" i="2"/>
  <c r="O13" i="3"/>
  <c r="O137" i="8"/>
  <c r="O145" i="8"/>
  <c r="R102" i="3"/>
  <c r="N230" i="8" s="1"/>
  <c r="T66" i="3"/>
  <c r="J302" i="8"/>
  <c r="O20" i="2"/>
  <c r="N76" i="2"/>
  <c r="I319" i="8"/>
  <c r="G19" i="15"/>
  <c r="G57" i="21" s="1"/>
  <c r="G58" i="21"/>
  <c r="N19" i="3"/>
  <c r="O19" i="3" s="1"/>
  <c r="F23" i="10"/>
  <c r="F21" i="10" s="1"/>
  <c r="F22" i="10"/>
  <c r="R83" i="3"/>
  <c r="C5" i="18"/>
  <c r="C5" i="21" s="1"/>
  <c r="C13" i="17"/>
  <c r="C12" i="17"/>
  <c r="C9" i="18" s="1"/>
  <c r="C9" i="21" s="1"/>
  <c r="C26" i="13"/>
  <c r="C38" i="21"/>
  <c r="O171" i="2"/>
  <c r="P74" i="2"/>
  <c r="L276" i="8"/>
  <c r="L198" i="8"/>
  <c r="P145" i="8"/>
  <c r="P137" i="8"/>
  <c r="S102" i="3"/>
  <c r="O230" i="8" s="1"/>
  <c r="O17" i="2"/>
  <c r="J299" i="8"/>
  <c r="N8" i="2"/>
  <c r="N161" i="2" s="1"/>
  <c r="K342" i="8"/>
  <c r="T117" i="3"/>
  <c r="P342" i="8" s="1"/>
  <c r="R117" i="3"/>
  <c r="N342" i="8" s="1"/>
  <c r="S117" i="3"/>
  <c r="O342" i="8" s="1"/>
  <c r="S83" i="3"/>
  <c r="H22" i="20"/>
  <c r="C95" i="21"/>
  <c r="M198" i="8"/>
  <c r="M276" i="8"/>
  <c r="T102" i="3"/>
  <c r="P230" i="8" s="1"/>
  <c r="M161" i="2"/>
  <c r="T107" i="3"/>
  <c r="Q132" i="3"/>
  <c r="M246" i="8" s="1"/>
  <c r="T83" i="3"/>
  <c r="D6" i="17"/>
  <c r="D6" i="18" s="1"/>
  <c r="D6" i="21" s="1"/>
  <c r="K103" i="23" l="1"/>
  <c r="K111" i="23" s="1"/>
  <c r="K133" i="23"/>
  <c r="K131" i="23" s="1"/>
  <c r="R86" i="3"/>
  <c r="M129" i="8"/>
  <c r="M131" i="8" s="1"/>
  <c r="M136" i="8" s="1"/>
  <c r="M242" i="8" s="1"/>
  <c r="Q162" i="2" s="1"/>
  <c r="K108" i="23"/>
  <c r="K104" i="23"/>
  <c r="K115" i="23"/>
  <c r="G40" i="23"/>
  <c r="G31" i="23"/>
  <c r="G37" i="23"/>
  <c r="G20" i="23"/>
  <c r="G96" i="23" s="1"/>
  <c r="J133" i="23"/>
  <c r="J131" i="23" s="1"/>
  <c r="M46" i="23"/>
  <c r="I46" i="23"/>
  <c r="H54" i="23"/>
  <c r="H127" i="23"/>
  <c r="H51" i="23"/>
  <c r="J103" i="23"/>
  <c r="S140" i="3"/>
  <c r="S94" i="2" s="1"/>
  <c r="S84" i="3"/>
  <c r="O27" i="2"/>
  <c r="P80" i="3"/>
  <c r="S165" i="2"/>
  <c r="T165" i="2"/>
  <c r="P26" i="2"/>
  <c r="S23" i="3"/>
  <c r="S137" i="2" s="1"/>
  <c r="Q122" i="2"/>
  <c r="T15" i="3"/>
  <c r="T122" i="2" s="1"/>
  <c r="S15" i="3"/>
  <c r="S122" i="2" s="1"/>
  <c r="R15" i="3"/>
  <c r="R122" i="2" s="1"/>
  <c r="M86" i="2"/>
  <c r="K176" i="2"/>
  <c r="G14" i="16" s="1"/>
  <c r="G78" i="21" s="1"/>
  <c r="O61" i="2"/>
  <c r="J313" i="8"/>
  <c r="Q18" i="2"/>
  <c r="L300" i="8"/>
  <c r="R35" i="3"/>
  <c r="S35" i="3"/>
  <c r="Q166" i="2"/>
  <c r="Q153" i="2"/>
  <c r="N153" i="2"/>
  <c r="N166" i="2"/>
  <c r="P166" i="2"/>
  <c r="P153" i="2"/>
  <c r="R16" i="3"/>
  <c r="R123" i="2" s="1"/>
  <c r="T16" i="3"/>
  <c r="T123" i="2" s="1"/>
  <c r="S16" i="3"/>
  <c r="S123" i="2" s="1"/>
  <c r="O166" i="2"/>
  <c r="O153" i="2"/>
  <c r="Q39" i="3"/>
  <c r="T39" i="3" s="1"/>
  <c r="O20" i="3"/>
  <c r="P20" i="3" s="1"/>
  <c r="Q20" i="3" s="1"/>
  <c r="S40" i="3"/>
  <c r="O198" i="8"/>
  <c r="O276" i="8"/>
  <c r="O76" i="2"/>
  <c r="J319" i="8"/>
  <c r="P77" i="2"/>
  <c r="O156" i="2"/>
  <c r="J317" i="8"/>
  <c r="O65" i="2"/>
  <c r="O66" i="2"/>
  <c r="J318" i="8"/>
  <c r="T87" i="2"/>
  <c r="K302" i="8"/>
  <c r="P20" i="2"/>
  <c r="Q43" i="2"/>
  <c r="R23" i="3"/>
  <c r="R137" i="2" s="1"/>
  <c r="R88" i="2" s="1"/>
  <c r="S88" i="2" s="1"/>
  <c r="O128" i="2"/>
  <c r="M167" i="2"/>
  <c r="I329" i="8" s="1"/>
  <c r="C10" i="17"/>
  <c r="C39" i="21"/>
  <c r="T23" i="3"/>
  <c r="T137" i="2" s="1"/>
  <c r="N81" i="2"/>
  <c r="M270" i="8"/>
  <c r="R104" i="3"/>
  <c r="N270" i="8" s="1"/>
  <c r="M38" i="2"/>
  <c r="J235" i="8"/>
  <c r="J239" i="8" s="1"/>
  <c r="P170" i="2"/>
  <c r="Q72" i="2"/>
  <c r="O169" i="2"/>
  <c r="L349" i="8"/>
  <c r="P71" i="2"/>
  <c r="K350" i="8"/>
  <c r="M202" i="2"/>
  <c r="J257" i="8"/>
  <c r="J259" i="8" s="1"/>
  <c r="J252" i="8"/>
  <c r="J254" i="8" s="1"/>
  <c r="N234" i="2" s="1"/>
  <c r="N84" i="2"/>
  <c r="R127" i="3"/>
  <c r="N368" i="8" s="1"/>
  <c r="T173" i="2"/>
  <c r="P245" i="8"/>
  <c r="P247" i="8" s="1"/>
  <c r="P249" i="8" s="1"/>
  <c r="T174" i="2" s="1"/>
  <c r="S173" i="2"/>
  <c r="O245" i="8"/>
  <c r="O247" i="8" s="1"/>
  <c r="O249" i="8" s="1"/>
  <c r="S174" i="2" s="1"/>
  <c r="T127" i="3"/>
  <c r="P368" i="8" s="1"/>
  <c r="D55" i="6"/>
  <c r="E2" i="15"/>
  <c r="E2" i="18"/>
  <c r="D68" i="6"/>
  <c r="D49" i="6"/>
  <c r="E2" i="16"/>
  <c r="J21" i="6"/>
  <c r="I21" i="6"/>
  <c r="D61" i="6"/>
  <c r="H21" i="6"/>
  <c r="E2" i="17"/>
  <c r="E2" i="13"/>
  <c r="G17" i="6"/>
  <c r="D43" i="6"/>
  <c r="G21" i="6"/>
  <c r="D35" i="6"/>
  <c r="D37" i="6" s="1"/>
  <c r="J4" i="2"/>
  <c r="F21" i="6"/>
  <c r="H3" i="5"/>
  <c r="E21" i="6"/>
  <c r="E1" i="21"/>
  <c r="D17" i="6"/>
  <c r="E17" i="6"/>
  <c r="F17" i="6"/>
  <c r="D21" i="6"/>
  <c r="L312" i="8"/>
  <c r="Q60" i="2"/>
  <c r="Q118" i="3"/>
  <c r="M348" i="8" s="1"/>
  <c r="P32" i="2"/>
  <c r="Q32" i="2" s="1"/>
  <c r="J314" i="8"/>
  <c r="O62" i="2"/>
  <c r="R173" i="2"/>
  <c r="N245" i="8"/>
  <c r="N247" i="8" s="1"/>
  <c r="N249" i="8" s="1"/>
  <c r="R174" i="2" s="1"/>
  <c r="R64" i="2"/>
  <c r="M316" i="8"/>
  <c r="M42" i="2"/>
  <c r="J228" i="8"/>
  <c r="J232" i="8" s="1"/>
  <c r="O29" i="2"/>
  <c r="O164" i="2"/>
  <c r="N164" i="2"/>
  <c r="K225" i="2"/>
  <c r="S177" i="2"/>
  <c r="P198" i="8"/>
  <c r="P276" i="8"/>
  <c r="N137" i="8"/>
  <c r="N145" i="8"/>
  <c r="D110" i="8" a="1"/>
  <c r="C42" i="20"/>
  <c r="D92" i="21"/>
  <c r="O22" i="2"/>
  <c r="O158" i="2" s="1"/>
  <c r="R118" i="3"/>
  <c r="N348" i="8" s="1"/>
  <c r="Q79" i="3"/>
  <c r="Q26" i="2" s="1"/>
  <c r="K351" i="8"/>
  <c r="P17" i="2"/>
  <c r="K299" i="8"/>
  <c r="Q57" i="3"/>
  <c r="T57" i="3" s="1"/>
  <c r="E290" i="8"/>
  <c r="E340" i="8"/>
  <c r="E281" i="8"/>
  <c r="E32" i="8"/>
  <c r="E326" i="8"/>
  <c r="E256" i="8"/>
  <c r="E244" i="8"/>
  <c r="J2" i="3"/>
  <c r="E357" i="8"/>
  <c r="E151" i="8"/>
  <c r="E142" i="8"/>
  <c r="E124" i="8"/>
  <c r="E194" i="8"/>
  <c r="E234" i="8"/>
  <c r="E51" i="8"/>
  <c r="E134" i="8"/>
  <c r="E177" i="8"/>
  <c r="E11" i="8"/>
  <c r="E268" i="8"/>
  <c r="E220" i="8"/>
  <c r="E70" i="8"/>
  <c r="E251" i="8"/>
  <c r="E227" i="8"/>
  <c r="E203" i="8"/>
  <c r="E261" i="8"/>
  <c r="E168" i="8"/>
  <c r="E108" i="8"/>
  <c r="E89" i="8"/>
  <c r="S104" i="3"/>
  <c r="O270" i="8" s="1"/>
  <c r="T84" i="3"/>
  <c r="L206" i="2"/>
  <c r="L220" i="2"/>
  <c r="L176" i="2" s="1"/>
  <c r="L221" i="2"/>
  <c r="L223" i="2"/>
  <c r="L224" i="2"/>
  <c r="L222" i="2"/>
  <c r="Q74" i="2"/>
  <c r="P171" i="2"/>
  <c r="N175" i="2"/>
  <c r="O85" i="2"/>
  <c r="S127" i="3"/>
  <c r="O368" i="8" s="1"/>
  <c r="J277" i="8"/>
  <c r="J224" i="8"/>
  <c r="O108" i="3"/>
  <c r="P108" i="3" s="1"/>
  <c r="M22" i="3"/>
  <c r="O8" i="2"/>
  <c r="I22" i="10"/>
  <c r="D101" i="21" s="1"/>
  <c r="I23" i="10"/>
  <c r="R41" i="2"/>
  <c r="S41" i="2" s="1"/>
  <c r="T41" i="2" s="1"/>
  <c r="R31" i="2"/>
  <c r="S31" i="2" s="1"/>
  <c r="T31" i="2" s="1"/>
  <c r="D5" i="18"/>
  <c r="D5" i="21" s="1"/>
  <c r="D26" i="13"/>
  <c r="D13" i="17"/>
  <c r="D12" i="17"/>
  <c r="D9" i="18" s="1"/>
  <c r="D9" i="21" s="1"/>
  <c r="D38" i="21"/>
  <c r="H23" i="20"/>
  <c r="D95" i="21"/>
  <c r="T177" i="2"/>
  <c r="P19" i="3"/>
  <c r="P128" i="2" s="1"/>
  <c r="N128" i="2"/>
  <c r="Q19" i="3"/>
  <c r="Q128" i="2" s="1"/>
  <c r="O120" i="2"/>
  <c r="P13" i="3"/>
  <c r="Q38" i="3"/>
  <c r="C16" i="13"/>
  <c r="H21" i="10"/>
  <c r="C100" i="21" s="1"/>
  <c r="C9" i="17"/>
  <c r="C102" i="21"/>
  <c r="R40" i="3"/>
  <c r="M35" i="2"/>
  <c r="J143" i="8"/>
  <c r="J147" i="8" s="1"/>
  <c r="Q30" i="2"/>
  <c r="R30" i="2" s="1"/>
  <c r="S30" i="2" s="1"/>
  <c r="T30" i="2" s="1"/>
  <c r="R84" i="3"/>
  <c r="G23" i="10"/>
  <c r="G21" i="10" s="1"/>
  <c r="G22" i="10"/>
  <c r="P25" i="2"/>
  <c r="P163" i="2"/>
  <c r="S86" i="3" l="1"/>
  <c r="N129" i="8"/>
  <c r="N131" i="8" s="1"/>
  <c r="N136" i="8" s="1"/>
  <c r="N242" i="8" s="1"/>
  <c r="R162" i="2" s="1"/>
  <c r="K21" i="6" s="1"/>
  <c r="K105" i="23"/>
  <c r="J105" i="23"/>
  <c r="J111" i="23"/>
  <c r="J108" i="23"/>
  <c r="J46" i="23"/>
  <c r="K46" i="23" s="1"/>
  <c r="I127" i="23"/>
  <c r="I54" i="23"/>
  <c r="J115" i="23"/>
  <c r="G29" i="23"/>
  <c r="G124" i="23"/>
  <c r="G21" i="23"/>
  <c r="G48" i="23"/>
  <c r="G34" i="23"/>
  <c r="Q80" i="3"/>
  <c r="S80" i="3" s="1"/>
  <c r="P27" i="2"/>
  <c r="S79" i="3"/>
  <c r="T88" i="2"/>
  <c r="P61" i="2"/>
  <c r="K313" i="8"/>
  <c r="M300" i="8"/>
  <c r="R18" i="2"/>
  <c r="T153" i="2"/>
  <c r="T166" i="2"/>
  <c r="R166" i="2"/>
  <c r="R153" i="2"/>
  <c r="S153" i="2"/>
  <c r="S166" i="2"/>
  <c r="N167" i="2"/>
  <c r="J329" i="8" s="1"/>
  <c r="H17" i="6"/>
  <c r="S57" i="3"/>
  <c r="R57" i="3"/>
  <c r="R39" i="3"/>
  <c r="S39" i="3"/>
  <c r="J17" i="6"/>
  <c r="R20" i="3"/>
  <c r="K17" i="6" s="1"/>
  <c r="T20" i="3"/>
  <c r="M17" i="6" s="1"/>
  <c r="S20" i="3"/>
  <c r="L17" i="6" s="1"/>
  <c r="I17" i="6"/>
  <c r="L277" i="8"/>
  <c r="L224" i="8"/>
  <c r="Q170" i="2"/>
  <c r="R72" i="2"/>
  <c r="S38" i="3"/>
  <c r="R38" i="3"/>
  <c r="T38" i="3"/>
  <c r="R79" i="3"/>
  <c r="R26" i="2" s="1"/>
  <c r="S26" i="2" s="1"/>
  <c r="N38" i="2"/>
  <c r="K235" i="8"/>
  <c r="K239" i="8" s="1"/>
  <c r="Q171" i="2"/>
  <c r="R74" i="2"/>
  <c r="M220" i="2"/>
  <c r="M221" i="2"/>
  <c r="M206" i="2"/>
  <c r="M223" i="2"/>
  <c r="M222" i="2"/>
  <c r="M224" i="2"/>
  <c r="Q108" i="3"/>
  <c r="F357" i="8"/>
  <c r="F340" i="8"/>
  <c r="F256" i="8"/>
  <c r="F51" i="8"/>
  <c r="F326" i="8"/>
  <c r="F234" i="8"/>
  <c r="F151" i="8"/>
  <c r="F142" i="8"/>
  <c r="F124" i="8"/>
  <c r="K2" i="3"/>
  <c r="F194" i="8"/>
  <c r="F268" i="8"/>
  <c r="F290" i="8"/>
  <c r="F227" i="8"/>
  <c r="F177" i="8"/>
  <c r="F32" i="8"/>
  <c r="F11" i="8"/>
  <c r="F220" i="8"/>
  <c r="F70" i="8"/>
  <c r="F251" i="8"/>
  <c r="F281" i="8"/>
  <c r="F89" i="8"/>
  <c r="F168" i="8"/>
  <c r="F261" i="8"/>
  <c r="F244" i="8"/>
  <c r="F203" i="8"/>
  <c r="F108" i="8"/>
  <c r="F134" i="8"/>
  <c r="P22" i="2"/>
  <c r="P158" i="2" s="1"/>
  <c r="F2" i="17"/>
  <c r="E55" i="6"/>
  <c r="E68" i="6"/>
  <c r="E49" i="6"/>
  <c r="F2" i="16"/>
  <c r="E43" i="6"/>
  <c r="E61" i="6"/>
  <c r="F2" i="13"/>
  <c r="F2" i="15"/>
  <c r="E35" i="6"/>
  <c r="E37" i="6" s="1"/>
  <c r="F2" i="18"/>
  <c r="K4" i="2"/>
  <c r="F1" i="21"/>
  <c r="I3" i="5"/>
  <c r="R19" i="3"/>
  <c r="R128" i="2" s="1"/>
  <c r="P66" i="2"/>
  <c r="K318" i="8"/>
  <c r="L225" i="2"/>
  <c r="S19" i="3"/>
  <c r="S128" i="2" s="1"/>
  <c r="P65" i="2"/>
  <c r="K317" i="8"/>
  <c r="P29" i="2"/>
  <c r="P164" i="2"/>
  <c r="T19" i="3"/>
  <c r="T128" i="2" s="1"/>
  <c r="P76" i="2"/>
  <c r="P81" i="2" s="1"/>
  <c r="K319" i="8"/>
  <c r="D10" i="17"/>
  <c r="D39" i="21"/>
  <c r="N86" i="2"/>
  <c r="Q20" i="2"/>
  <c r="L302" i="8"/>
  <c r="R13" i="3"/>
  <c r="R120" i="2" s="1"/>
  <c r="N202" i="2"/>
  <c r="K257" i="8"/>
  <c r="K259" i="8" s="1"/>
  <c r="K252" i="8"/>
  <c r="K254" i="8" s="1"/>
  <c r="O234" i="2" s="1"/>
  <c r="O84" i="2"/>
  <c r="P62" i="2"/>
  <c r="K314" i="8"/>
  <c r="M312" i="8"/>
  <c r="R60" i="2"/>
  <c r="P156" i="2"/>
  <c r="Q77" i="2"/>
  <c r="R32" i="2"/>
  <c r="S32" i="2" s="1"/>
  <c r="T32" i="2" s="1"/>
  <c r="I21" i="10"/>
  <c r="D100" i="21" s="1"/>
  <c r="D9" i="17"/>
  <c r="D16" i="13"/>
  <c r="D102" i="21"/>
  <c r="M349" i="8"/>
  <c r="P169" i="2"/>
  <c r="Q71" i="2"/>
  <c r="L350" i="8"/>
  <c r="L351" i="8" s="1"/>
  <c r="R43" i="2"/>
  <c r="R155" i="2" s="1"/>
  <c r="C29" i="21"/>
  <c r="C14" i="18"/>
  <c r="C14" i="21" s="1"/>
  <c r="P8" i="2"/>
  <c r="N42" i="2"/>
  <c r="K228" i="8"/>
  <c r="K232" i="8" s="1"/>
  <c r="N35" i="2"/>
  <c r="K143" i="8"/>
  <c r="K147" i="8" s="1"/>
  <c r="O175" i="2"/>
  <c r="P85" i="2"/>
  <c r="S64" i="2"/>
  <c r="N316" i="8"/>
  <c r="S118" i="3"/>
  <c r="O348" i="8" s="1"/>
  <c r="Q155" i="2"/>
  <c r="L299" i="8"/>
  <c r="Q17" i="2"/>
  <c r="P120" i="2"/>
  <c r="Q13" i="3"/>
  <c r="Q120" i="2" s="1"/>
  <c r="D120" i="8"/>
  <c r="D119" i="8"/>
  <c r="D118" i="8"/>
  <c r="D117" i="8"/>
  <c r="D116" i="8"/>
  <c r="D115" i="8"/>
  <c r="D113" i="8"/>
  <c r="D114" i="8"/>
  <c r="D112" i="8"/>
  <c r="D111" i="8"/>
  <c r="D110" i="8"/>
  <c r="D121" i="8"/>
  <c r="T118" i="3"/>
  <c r="P348" i="8" s="1"/>
  <c r="O81" i="2"/>
  <c r="N22" i="3"/>
  <c r="O22" i="3" s="1"/>
  <c r="K277" i="8"/>
  <c r="S108" i="3"/>
  <c r="R108" i="3"/>
  <c r="K224" i="8"/>
  <c r="O161" i="2"/>
  <c r="O167" i="2" s="1"/>
  <c r="K329" i="8" s="1"/>
  <c r="Q25" i="2"/>
  <c r="Q163" i="2" s="1"/>
  <c r="T79" i="3"/>
  <c r="K127" i="23" l="1"/>
  <c r="T86" i="3"/>
  <c r="P129" i="8" s="1"/>
  <c r="P131" i="8" s="1"/>
  <c r="P136" i="8" s="1"/>
  <c r="P242" i="8" s="1"/>
  <c r="T162" i="2" s="1"/>
  <c r="M21" i="6" s="1"/>
  <c r="O129" i="8"/>
  <c r="O131" i="8" s="1"/>
  <c r="O136" i="8" s="1"/>
  <c r="O242" i="8" s="1"/>
  <c r="S162" i="2" s="1"/>
  <c r="L21" i="6" s="1"/>
  <c r="K54" i="23"/>
  <c r="J54" i="23"/>
  <c r="J127" i="23"/>
  <c r="F136" i="23"/>
  <c r="F104" i="23"/>
  <c r="G142" i="23"/>
  <c r="G144" i="23"/>
  <c r="G145" i="23"/>
  <c r="G139" i="23"/>
  <c r="G138" i="23"/>
  <c r="G22" i="23"/>
  <c r="G137" i="23" s="1"/>
  <c r="G143" i="23" s="1"/>
  <c r="Q27" i="2"/>
  <c r="R80" i="3"/>
  <c r="R27" i="2" s="1"/>
  <c r="S27" i="2" s="1"/>
  <c r="T27" i="2" s="1"/>
  <c r="T80" i="3"/>
  <c r="L313" i="8"/>
  <c r="Q61" i="2"/>
  <c r="T26" i="2"/>
  <c r="S18" i="2"/>
  <c r="N300" i="8"/>
  <c r="P22" i="3"/>
  <c r="Q22" i="3" s="1"/>
  <c r="S22" i="3" s="1"/>
  <c r="G124" i="8"/>
  <c r="G70" i="8"/>
  <c r="G340" i="8"/>
  <c r="G151" i="8"/>
  <c r="G142" i="8"/>
  <c r="L2" i="3"/>
  <c r="G357" i="8"/>
  <c r="G220" i="8"/>
  <c r="G194" i="8"/>
  <c r="G268" i="8"/>
  <c r="G256" i="8"/>
  <c r="G51" i="8"/>
  <c r="G11" i="8"/>
  <c r="G281" i="8"/>
  <c r="G290" i="8"/>
  <c r="G326" i="8"/>
  <c r="G32" i="8"/>
  <c r="G251" i="8"/>
  <c r="G89" i="8"/>
  <c r="G227" i="8"/>
  <c r="G168" i="8"/>
  <c r="G234" i="8"/>
  <c r="G108" i="8"/>
  <c r="G177" i="8"/>
  <c r="G203" i="8"/>
  <c r="G261" i="8"/>
  <c r="G134" i="8"/>
  <c r="G244" i="8"/>
  <c r="Q164" i="2"/>
  <c r="Q29" i="2"/>
  <c r="S72" i="2"/>
  <c r="R170" i="2"/>
  <c r="M225" i="2"/>
  <c r="M176" i="2"/>
  <c r="N206" i="2"/>
  <c r="N223" i="2"/>
  <c r="N222" i="2"/>
  <c r="N220" i="2"/>
  <c r="N224" i="2"/>
  <c r="N221" i="2"/>
  <c r="Q65" i="2"/>
  <c r="L317" i="8"/>
  <c r="R171" i="2"/>
  <c r="S74" i="2"/>
  <c r="L235" i="8"/>
  <c r="L239" i="8" s="1"/>
  <c r="O38" i="2"/>
  <c r="Q156" i="2"/>
  <c r="R77" i="2"/>
  <c r="M302" i="8"/>
  <c r="R20" i="2"/>
  <c r="O86" i="2"/>
  <c r="L143" i="8"/>
  <c r="L147" i="8" s="1"/>
  <c r="O35" i="2"/>
  <c r="T13" i="3"/>
  <c r="T120" i="2" s="1"/>
  <c r="T64" i="2"/>
  <c r="P316" i="8" s="1"/>
  <c r="O316" i="8"/>
  <c r="M277" i="8"/>
  <c r="M224" i="8"/>
  <c r="G2" i="16"/>
  <c r="F68" i="6"/>
  <c r="F49" i="6"/>
  <c r="F43" i="6"/>
  <c r="F61" i="6"/>
  <c r="G2" i="15"/>
  <c r="G2" i="13"/>
  <c r="F35" i="6"/>
  <c r="F37" i="6" s="1"/>
  <c r="G2" i="17"/>
  <c r="G2" i="18"/>
  <c r="L4" i="2"/>
  <c r="G1" i="21"/>
  <c r="F55" i="6"/>
  <c r="J3" i="5"/>
  <c r="P175" i="2"/>
  <c r="Q85" i="2"/>
  <c r="N312" i="8"/>
  <c r="S60" i="2"/>
  <c r="S43" i="2"/>
  <c r="S155" i="2"/>
  <c r="Q169" i="2"/>
  <c r="N349" i="8"/>
  <c r="R71" i="2"/>
  <c r="M350" i="8"/>
  <c r="M351" i="8" s="1"/>
  <c r="O42" i="2"/>
  <c r="L228" i="8"/>
  <c r="L232" i="8" s="1"/>
  <c r="Q66" i="2"/>
  <c r="L318" i="8"/>
  <c r="N224" i="8"/>
  <c r="N277" i="8"/>
  <c r="Q22" i="2"/>
  <c r="O277" i="8"/>
  <c r="O224" i="8"/>
  <c r="M299" i="8"/>
  <c r="R17" i="2"/>
  <c r="Q8" i="2"/>
  <c r="Q161" i="2" s="1"/>
  <c r="D29" i="21"/>
  <c r="D14" i="18"/>
  <c r="D14" i="21" s="1"/>
  <c r="T108" i="3"/>
  <c r="P161" i="2"/>
  <c r="P167" i="2" s="1"/>
  <c r="L329" i="8" s="1"/>
  <c r="L314" i="8"/>
  <c r="Q62" i="2"/>
  <c r="L319" i="8"/>
  <c r="Q76" i="2"/>
  <c r="S13" i="3"/>
  <c r="S120" i="2" s="1"/>
  <c r="O202" i="2"/>
  <c r="L257" i="8"/>
  <c r="L259" i="8" s="1"/>
  <c r="L252" i="8"/>
  <c r="L254" i="8" s="1"/>
  <c r="P234" i="2" s="1"/>
  <c r="P84" i="2"/>
  <c r="R25" i="2"/>
  <c r="R163" i="2"/>
  <c r="D13" i="8" l="1" a="1"/>
  <c r="D25" i="8"/>
  <c r="D24" i="8"/>
  <c r="D23" i="8"/>
  <c r="D22" i="8"/>
  <c r="D20" i="8"/>
  <c r="D21" i="8"/>
  <c r="D13" i="8"/>
  <c r="D19" i="8"/>
  <c r="D17" i="8"/>
  <c r="D14" i="8"/>
  <c r="D16" i="8"/>
  <c r="D18" i="8"/>
  <c r="D15" i="8"/>
  <c r="G18" i="23"/>
  <c r="G19" i="23" s="1"/>
  <c r="G146" i="23"/>
  <c r="G10" i="23"/>
  <c r="N225" i="2"/>
  <c r="P86" i="2"/>
  <c r="R61" i="2"/>
  <c r="M313" i="8"/>
  <c r="Q167" i="2"/>
  <c r="M329" i="8" s="1"/>
  <c r="O300" i="8"/>
  <c r="T18" i="2"/>
  <c r="P300" i="8" s="1"/>
  <c r="T22" i="3"/>
  <c r="R65" i="2"/>
  <c r="M317" i="8"/>
  <c r="R62" i="2"/>
  <c r="M314" i="8"/>
  <c r="M143" i="8"/>
  <c r="M147" i="8" s="1"/>
  <c r="P35" i="2"/>
  <c r="R29" i="2"/>
  <c r="N299" i="8"/>
  <c r="S17" i="2"/>
  <c r="R66" i="2"/>
  <c r="M318" i="8"/>
  <c r="S25" i="2"/>
  <c r="S163" i="2" s="1"/>
  <c r="O312" i="8"/>
  <c r="T60" i="2"/>
  <c r="P312" i="8" s="1"/>
  <c r="G43" i="6"/>
  <c r="G49" i="6"/>
  <c r="G68" i="6"/>
  <c r="G35" i="6"/>
  <c r="G37" i="6" s="1"/>
  <c r="G55" i="6"/>
  <c r="M4" i="2"/>
  <c r="K3" i="5"/>
  <c r="S77" i="2"/>
  <c r="R156" i="2"/>
  <c r="P224" i="8"/>
  <c r="P277" i="8"/>
  <c r="Q175" i="2"/>
  <c r="R85" i="2"/>
  <c r="H357" i="8"/>
  <c r="H89" i="8"/>
  <c r="H227" i="8"/>
  <c r="H151" i="8"/>
  <c r="H142" i="8"/>
  <c r="M2" i="3"/>
  <c r="H124" i="8"/>
  <c r="H220" i="8"/>
  <c r="H194" i="8"/>
  <c r="H268" i="8"/>
  <c r="H203" i="8"/>
  <c r="H32" i="8"/>
  <c r="H244" i="8"/>
  <c r="H168" i="8"/>
  <c r="H326" i="8"/>
  <c r="H256" i="8"/>
  <c r="H177" i="8"/>
  <c r="H251" i="8"/>
  <c r="H290" i="8"/>
  <c r="H70" i="8"/>
  <c r="H281" i="8"/>
  <c r="H234" i="8"/>
  <c r="H340" i="8"/>
  <c r="H11" i="8"/>
  <c r="H261" i="8"/>
  <c r="H108" i="8"/>
  <c r="H51" i="8"/>
  <c r="H134" i="8"/>
  <c r="T43" i="2"/>
  <c r="T155" i="2" s="1"/>
  <c r="R76" i="2"/>
  <c r="M319" i="8"/>
  <c r="R81" i="2"/>
  <c r="R169" i="2"/>
  <c r="O349" i="8"/>
  <c r="N350" i="8"/>
  <c r="N351" i="8" s="1"/>
  <c r="S71" i="2"/>
  <c r="Q81" i="2"/>
  <c r="P38" i="2"/>
  <c r="M235" i="8"/>
  <c r="M239" i="8" s="1"/>
  <c r="N302" i="8"/>
  <c r="S20" i="2"/>
  <c r="R22" i="3"/>
  <c r="R22" i="2"/>
  <c r="R158" i="2" s="1"/>
  <c r="Q158" i="2"/>
  <c r="N176" i="2"/>
  <c r="S170" i="2"/>
  <c r="T72" i="2"/>
  <c r="T170" i="2" s="1"/>
  <c r="P42" i="2"/>
  <c r="M228" i="8"/>
  <c r="M232" i="8" s="1"/>
  <c r="M257" i="8"/>
  <c r="M259" i="8" s="1"/>
  <c r="P202" i="2"/>
  <c r="M252" i="8"/>
  <c r="M254" i="8" s="1"/>
  <c r="O206" i="2"/>
  <c r="O224" i="2"/>
  <c r="O221" i="2"/>
  <c r="O222" i="2"/>
  <c r="O220" i="2"/>
  <c r="O223" i="2"/>
  <c r="R8" i="2"/>
  <c r="T74" i="2"/>
  <c r="T171" i="2" s="1"/>
  <c r="S171" i="2"/>
  <c r="O176" i="2" l="1"/>
  <c r="Q86" i="2"/>
  <c r="Q84" i="2"/>
  <c r="N313" i="8"/>
  <c r="S61" i="2"/>
  <c r="Q202" i="2"/>
  <c r="N257" i="8"/>
  <c r="N259" i="8" s="1"/>
  <c r="N252" i="8"/>
  <c r="N254" i="8" s="1"/>
  <c r="R86" i="2" s="1"/>
  <c r="N228" i="8"/>
  <c r="N232" i="8" s="1"/>
  <c r="Q42" i="2"/>
  <c r="T25" i="2"/>
  <c r="T163" i="2" s="1"/>
  <c r="T17" i="2"/>
  <c r="P299" i="8" s="1"/>
  <c r="O299" i="8"/>
  <c r="O302" i="8"/>
  <c r="T20" i="2"/>
  <c r="P302" i="8" s="1"/>
  <c r="S65" i="2"/>
  <c r="N317" i="8"/>
  <c r="S85" i="2"/>
  <c r="R175" i="2"/>
  <c r="S22" i="2"/>
  <c r="S158" i="2" s="1"/>
  <c r="Q38" i="2"/>
  <c r="N235" i="8"/>
  <c r="N239" i="8" s="1"/>
  <c r="T77" i="2"/>
  <c r="T156" i="2" s="1"/>
  <c r="S156" i="2"/>
  <c r="P206" i="2"/>
  <c r="P221" i="2"/>
  <c r="P224" i="2"/>
  <c r="P222" i="2"/>
  <c r="P220" i="2"/>
  <c r="P223" i="2"/>
  <c r="S8" i="2"/>
  <c r="S161" i="2" s="1"/>
  <c r="S29" i="2"/>
  <c r="Q234" i="2"/>
  <c r="N143" i="8"/>
  <c r="N147" i="8" s="1"/>
  <c r="Q35" i="2"/>
  <c r="I326" i="8"/>
  <c r="I234" i="8"/>
  <c r="I108" i="8"/>
  <c r="I203" i="8"/>
  <c r="I124" i="8"/>
  <c r="I357" i="8"/>
  <c r="I220" i="8"/>
  <c r="I194" i="8"/>
  <c r="I268" i="8"/>
  <c r="I251" i="8"/>
  <c r="I32" i="8"/>
  <c r="I51" i="8"/>
  <c r="I227" i="8"/>
  <c r="I142" i="8"/>
  <c r="I177" i="8"/>
  <c r="I11" i="8"/>
  <c r="I168" i="8"/>
  <c r="I290" i="8"/>
  <c r="I89" i="8"/>
  <c r="I151" i="8"/>
  <c r="I281" i="8"/>
  <c r="I340" i="8"/>
  <c r="I256" i="8"/>
  <c r="I244" i="8"/>
  <c r="I261" i="8"/>
  <c r="I134" i="8"/>
  <c r="I70" i="8"/>
  <c r="N2" i="3"/>
  <c r="S62" i="2"/>
  <c r="N314" i="8"/>
  <c r="R161" i="2"/>
  <c r="N319" i="8"/>
  <c r="S76" i="2"/>
  <c r="S81" i="2" s="1"/>
  <c r="N318" i="8"/>
  <c r="S66" i="2"/>
  <c r="H49" i="6"/>
  <c r="H43" i="6"/>
  <c r="H68" i="6"/>
  <c r="H35" i="6"/>
  <c r="H37" i="6" s="1"/>
  <c r="H55" i="6"/>
  <c r="N4" i="2"/>
  <c r="R164" i="2"/>
  <c r="S169" i="2"/>
  <c r="P349" i="8"/>
  <c r="T71" i="2"/>
  <c r="O350" i="8"/>
  <c r="O351" i="8" s="1"/>
  <c r="O225" i="2"/>
  <c r="P176" i="2" l="1"/>
  <c r="R84" i="2"/>
  <c r="T61" i="2"/>
  <c r="P313" i="8" s="1"/>
  <c r="O313" i="8"/>
  <c r="O257" i="8"/>
  <c r="O259" i="8" s="1"/>
  <c r="R202" i="2"/>
  <c r="O252" i="8"/>
  <c r="O254" i="8" s="1"/>
  <c r="S86" i="2" s="1"/>
  <c r="S84" i="2"/>
  <c r="T29" i="2"/>
  <c r="T164" i="2"/>
  <c r="T85" i="2"/>
  <c r="T175" i="2" s="1"/>
  <c r="S175" i="2"/>
  <c r="T66" i="2"/>
  <c r="P318" i="8" s="1"/>
  <c r="O318" i="8"/>
  <c r="O317" i="8"/>
  <c r="T65" i="2"/>
  <c r="P317" i="8" s="1"/>
  <c r="T8" i="2"/>
  <c r="T161" i="2" s="1"/>
  <c r="T167" i="2" s="1"/>
  <c r="P329" i="8" s="1"/>
  <c r="I35" i="6"/>
  <c r="I37" i="6" s="1"/>
  <c r="I68" i="6"/>
  <c r="I43" i="6"/>
  <c r="I49" i="6"/>
  <c r="I55" i="6"/>
  <c r="O4" i="2"/>
  <c r="T62" i="2"/>
  <c r="P314" i="8" s="1"/>
  <c r="O314" i="8"/>
  <c r="S164" i="2"/>
  <c r="S167" i="2" s="1"/>
  <c r="O329" i="8" s="1"/>
  <c r="J326" i="8"/>
  <c r="J220" i="8"/>
  <c r="J357" i="8"/>
  <c r="J194" i="8"/>
  <c r="J11" i="8"/>
  <c r="J268" i="8"/>
  <c r="J51" i="8"/>
  <c r="J251" i="8"/>
  <c r="J203" i="8"/>
  <c r="J281" i="8"/>
  <c r="J89" i="8"/>
  <c r="J234" i="8"/>
  <c r="J151" i="8"/>
  <c r="J227" i="8"/>
  <c r="J32" i="8"/>
  <c r="J290" i="8"/>
  <c r="J142" i="8"/>
  <c r="J340" i="8"/>
  <c r="J124" i="8"/>
  <c r="J177" i="8"/>
  <c r="J256" i="8"/>
  <c r="J244" i="8"/>
  <c r="J261" i="8"/>
  <c r="J108" i="8"/>
  <c r="J70" i="8"/>
  <c r="J168" i="8"/>
  <c r="O2" i="3"/>
  <c r="J134" i="8"/>
  <c r="O235" i="8"/>
  <c r="O239" i="8" s="1"/>
  <c r="R38" i="2"/>
  <c r="P350" i="8"/>
  <c r="T169" i="2"/>
  <c r="T22" i="2"/>
  <c r="T158" i="2" s="1"/>
  <c r="P351" i="8"/>
  <c r="Q206" i="2"/>
  <c r="Q221" i="2"/>
  <c r="Q224" i="2"/>
  <c r="Q222" i="2"/>
  <c r="Q220" i="2"/>
  <c r="Q223" i="2"/>
  <c r="R167" i="2"/>
  <c r="N329" i="8" s="1"/>
  <c r="O143" i="8"/>
  <c r="O147" i="8" s="1"/>
  <c r="R35" i="2"/>
  <c r="P225" i="2"/>
  <c r="R42" i="2"/>
  <c r="O228" i="8"/>
  <c r="O232" i="8" s="1"/>
  <c r="T76" i="2"/>
  <c r="P319" i="8" s="1"/>
  <c r="O319" i="8"/>
  <c r="R234" i="2"/>
  <c r="Q176" i="2" l="1"/>
  <c r="S234" i="2"/>
  <c r="K326" i="8"/>
  <c r="K227" i="8"/>
  <c r="K261" i="8"/>
  <c r="K268" i="8"/>
  <c r="K220" i="8"/>
  <c r="K251" i="8"/>
  <c r="K203" i="8"/>
  <c r="K281" i="8"/>
  <c r="K89" i="8"/>
  <c r="K51" i="8"/>
  <c r="K11" i="8"/>
  <c r="K234" i="8"/>
  <c r="K151" i="8"/>
  <c r="K244" i="8"/>
  <c r="K168" i="8"/>
  <c r="K70" i="8"/>
  <c r="K32" i="8"/>
  <c r="P2" i="3"/>
  <c r="K290" i="8"/>
  <c r="K124" i="8"/>
  <c r="K194" i="8"/>
  <c r="K142" i="8"/>
  <c r="K108" i="8"/>
  <c r="K357" i="8"/>
  <c r="K340" i="8"/>
  <c r="K177" i="8"/>
  <c r="K256" i="8"/>
  <c r="K134" i="8"/>
  <c r="S38" i="2"/>
  <c r="P235" i="8"/>
  <c r="P239" i="8" s="1"/>
  <c r="T38" i="2" s="1"/>
  <c r="P143" i="8"/>
  <c r="P147" i="8" s="1"/>
  <c r="T35" i="2" s="1"/>
  <c r="S35" i="2"/>
  <c r="T81" i="2"/>
  <c r="T9" i="10"/>
  <c r="P257" i="8"/>
  <c r="P259" i="8" s="1"/>
  <c r="P252" i="8"/>
  <c r="P254" i="8" s="1"/>
  <c r="T86" i="2" s="1"/>
  <c r="S202" i="2"/>
  <c r="R206" i="2"/>
  <c r="R221" i="2"/>
  <c r="R222" i="2"/>
  <c r="R224" i="2"/>
  <c r="R223" i="2"/>
  <c r="R220" i="2"/>
  <c r="R176" i="2" s="1"/>
  <c r="J43" i="6"/>
  <c r="J35" i="6"/>
  <c r="J37" i="6" s="1"/>
  <c r="J49" i="6"/>
  <c r="J68" i="6"/>
  <c r="P4" i="2"/>
  <c r="J55" i="6"/>
  <c r="P228" i="8"/>
  <c r="P232" i="8" s="1"/>
  <c r="T42" i="2" s="1"/>
  <c r="S42" i="2"/>
  <c r="Q225" i="2"/>
  <c r="T84" i="2" l="1"/>
  <c r="T202" i="2"/>
  <c r="L203" i="8"/>
  <c r="L177" i="8"/>
  <c r="L134" i="8"/>
  <c r="L251" i="8"/>
  <c r="L281" i="8"/>
  <c r="L89" i="8"/>
  <c r="L51" i="8"/>
  <c r="L11" i="8"/>
  <c r="L244" i="8"/>
  <c r="L168" i="8"/>
  <c r="L142" i="8"/>
  <c r="L357" i="8"/>
  <c r="L227" i="8"/>
  <c r="Q2" i="3"/>
  <c r="L290" i="8"/>
  <c r="L151" i="8"/>
  <c r="L194" i="8"/>
  <c r="L70" i="8"/>
  <c r="L261" i="8"/>
  <c r="L268" i="8"/>
  <c r="L220" i="8"/>
  <c r="L108" i="8"/>
  <c r="L32" i="8"/>
  <c r="L124" i="8"/>
  <c r="L340" i="8"/>
  <c r="L256" i="8"/>
  <c r="L234" i="8"/>
  <c r="L326" i="8"/>
  <c r="T234" i="2"/>
  <c r="U9" i="10" s="1"/>
  <c r="R225" i="2"/>
  <c r="S206" i="2"/>
  <c r="S222" i="2"/>
  <c r="S224" i="2"/>
  <c r="S220" i="2"/>
  <c r="S223" i="2"/>
  <c r="S221" i="2"/>
  <c r="K43" i="6"/>
  <c r="K55" i="6"/>
  <c r="K49" i="6"/>
  <c r="K68" i="6"/>
  <c r="K35" i="6"/>
  <c r="K37" i="6" s="1"/>
  <c r="Q4" i="2"/>
  <c r="S225" i="2" l="1"/>
  <c r="S176" i="2"/>
  <c r="L43" i="6"/>
  <c r="L68" i="6"/>
  <c r="L35" i="6"/>
  <c r="L37" i="6" s="1"/>
  <c r="L55" i="6"/>
  <c r="L49" i="6"/>
  <c r="R4" i="2"/>
  <c r="M340" i="8"/>
  <c r="M220" i="8"/>
  <c r="M151" i="8"/>
  <c r="M281" i="8"/>
  <c r="M203" i="8"/>
  <c r="M89" i="8"/>
  <c r="M51" i="8"/>
  <c r="M11" i="8"/>
  <c r="M326" i="8"/>
  <c r="M142" i="8"/>
  <c r="M227" i="8"/>
  <c r="M251" i="8"/>
  <c r="M290" i="8"/>
  <c r="M168" i="8"/>
  <c r="M124" i="8"/>
  <c r="M234" i="8"/>
  <c r="M357" i="8"/>
  <c r="M268" i="8"/>
  <c r="M194" i="8"/>
  <c r="M108" i="8"/>
  <c r="M70" i="8"/>
  <c r="M177" i="8"/>
  <c r="M256" i="8"/>
  <c r="M244" i="8"/>
  <c r="M261" i="8"/>
  <c r="M32" i="8"/>
  <c r="M134" i="8"/>
  <c r="R2" i="3"/>
  <c r="T206" i="2"/>
  <c r="T223" i="2"/>
  <c r="T222" i="2"/>
  <c r="T221" i="2"/>
  <c r="T224" i="2"/>
  <c r="T220" i="2"/>
  <c r="T176" i="2" l="1"/>
  <c r="M43" i="6"/>
  <c r="M68" i="6"/>
  <c r="M55" i="6"/>
  <c r="S4" i="2"/>
  <c r="T4" i="2" s="1"/>
  <c r="B13" i="8" s="1" a="1"/>
  <c r="M35" i="6"/>
  <c r="M49" i="6"/>
  <c r="T225" i="2"/>
  <c r="N357" i="8"/>
  <c r="N256" i="8"/>
  <c r="N261" i="8"/>
  <c r="N194" i="8"/>
  <c r="N168" i="8"/>
  <c r="N268" i="8"/>
  <c r="N326" i="8"/>
  <c r="N290" i="8"/>
  <c r="N227" i="8"/>
  <c r="N51" i="8"/>
  <c r="N70" i="8"/>
  <c r="S2" i="3"/>
  <c r="N251" i="8"/>
  <c r="N220" i="8"/>
  <c r="N124" i="8"/>
  <c r="N151" i="8"/>
  <c r="N11" i="8"/>
  <c r="N340" i="8"/>
  <c r="N203" i="8"/>
  <c r="N108" i="8"/>
  <c r="N89" i="8"/>
  <c r="N142" i="8"/>
  <c r="N234" i="8"/>
  <c r="N281" i="8"/>
  <c r="N177" i="8"/>
  <c r="N244" i="8"/>
  <c r="N134" i="8"/>
  <c r="N32" i="8"/>
  <c r="N22" i="8" l="1"/>
  <c r="N17" i="8"/>
  <c r="M37" i="6"/>
  <c r="D39" i="6"/>
  <c r="D40" i="6" s="1"/>
  <c r="C7" i="6" s="1"/>
  <c r="B17" i="8"/>
  <c r="B25" i="8"/>
  <c r="B24" i="8"/>
  <c r="B22" i="8"/>
  <c r="M22" i="8" s="1"/>
  <c r="B21" i="8"/>
  <c r="B15" i="8"/>
  <c r="N15" i="8" s="1"/>
  <c r="B14" i="8"/>
  <c r="N14" i="8" s="1"/>
  <c r="B13" i="8"/>
  <c r="B23" i="8"/>
  <c r="N23" i="8" s="1"/>
  <c r="B20" i="8"/>
  <c r="N20" i="8" s="1"/>
  <c r="B18" i="8"/>
  <c r="B19" i="8"/>
  <c r="B16" i="8"/>
  <c r="O340" i="8"/>
  <c r="O326" i="8"/>
  <c r="O357" i="8"/>
  <c r="O251" i="8"/>
  <c r="O290" i="8"/>
  <c r="O227" i="8"/>
  <c r="O168" i="8"/>
  <c r="O134" i="8"/>
  <c r="O70" i="8"/>
  <c r="T2" i="3"/>
  <c r="O256" i="8"/>
  <c r="O124" i="8"/>
  <c r="O234" i="8"/>
  <c r="O194" i="8"/>
  <c r="O51" i="8"/>
  <c r="O281" i="8"/>
  <c r="O220" i="8"/>
  <c r="O108" i="8"/>
  <c r="O89" i="8"/>
  <c r="O142" i="8"/>
  <c r="O151" i="8"/>
  <c r="O177" i="8"/>
  <c r="O244" i="8"/>
  <c r="O11" i="8"/>
  <c r="O261" i="8"/>
  <c r="O203" i="8"/>
  <c r="O32" i="8"/>
  <c r="O268" i="8"/>
  <c r="E13" i="8" l="1"/>
  <c r="F13" i="8"/>
  <c r="G13" i="8"/>
  <c r="H13" i="8"/>
  <c r="I13" i="8"/>
  <c r="J13" i="8"/>
  <c r="K13" i="8"/>
  <c r="L13" i="8"/>
  <c r="M13" i="8"/>
  <c r="E14" i="8"/>
  <c r="F14" i="8"/>
  <c r="G14" i="8"/>
  <c r="H14" i="8"/>
  <c r="I14" i="8"/>
  <c r="J14" i="8"/>
  <c r="K14" i="8"/>
  <c r="L14" i="8"/>
  <c r="M14" i="8"/>
  <c r="K20" i="8"/>
  <c r="L20" i="8"/>
  <c r="M20" i="8"/>
  <c r="O23" i="8"/>
  <c r="O19" i="8"/>
  <c r="O22" i="8"/>
  <c r="O14" i="8"/>
  <c r="O16" i="8"/>
  <c r="O18" i="8"/>
  <c r="O15" i="8"/>
  <c r="O21" i="8"/>
  <c r="O17" i="8"/>
  <c r="O20" i="8"/>
  <c r="O13" i="8"/>
  <c r="O24" i="8"/>
  <c r="L21" i="8"/>
  <c r="M21" i="8"/>
  <c r="N21" i="8"/>
  <c r="G16" i="8"/>
  <c r="H16" i="8"/>
  <c r="I16" i="8"/>
  <c r="J16" i="8"/>
  <c r="K16" i="8"/>
  <c r="L16" i="8"/>
  <c r="M16" i="8"/>
  <c r="J19" i="8"/>
  <c r="K19" i="8"/>
  <c r="L19" i="8"/>
  <c r="M19" i="8"/>
  <c r="N19" i="8"/>
  <c r="I18" i="8"/>
  <c r="J18" i="8"/>
  <c r="K18" i="8"/>
  <c r="L18" i="8"/>
  <c r="M18" i="8"/>
  <c r="N13" i="8"/>
  <c r="F15" i="8"/>
  <c r="G15" i="8"/>
  <c r="H15" i="8"/>
  <c r="I15" i="8"/>
  <c r="J15" i="8"/>
  <c r="K15" i="8"/>
  <c r="L15" i="8"/>
  <c r="M15" i="8"/>
  <c r="N18" i="8"/>
  <c r="P142" i="8"/>
  <c r="P290" i="8"/>
  <c r="P244" i="8"/>
  <c r="P326" i="8"/>
  <c r="P227" i="8"/>
  <c r="P168" i="8"/>
  <c r="P134" i="8"/>
  <c r="P177" i="8"/>
  <c r="P256" i="8"/>
  <c r="P281" i="8"/>
  <c r="P89" i="8"/>
  <c r="P234" i="8"/>
  <c r="P194" i="8"/>
  <c r="P51" i="8"/>
  <c r="P70" i="8"/>
  <c r="P268" i="8"/>
  <c r="P220" i="8"/>
  <c r="P108" i="8"/>
  <c r="P261" i="8"/>
  <c r="P340" i="8"/>
  <c r="P251" i="8"/>
  <c r="P357" i="8"/>
  <c r="P124" i="8"/>
  <c r="P11" i="8"/>
  <c r="P151" i="8"/>
  <c r="P203" i="8"/>
  <c r="P32" i="8"/>
  <c r="B179" i="8" a="1"/>
  <c r="B53" i="8" a="1"/>
  <c r="B34" i="8" a="1"/>
  <c r="B153" i="8" a="1"/>
  <c r="B91" i="8" a="1"/>
  <c r="B110" i="8" a="1"/>
  <c r="B72" i="8" a="1"/>
  <c r="B205" i="8" a="1"/>
  <c r="H17" i="8"/>
  <c r="I17" i="8"/>
  <c r="J17" i="8"/>
  <c r="K17" i="8"/>
  <c r="L17" i="8"/>
  <c r="M17" i="8"/>
  <c r="N16" i="8"/>
  <c r="O26" i="8" l="1"/>
  <c r="B79" i="8"/>
  <c r="B76" i="8"/>
  <c r="B75" i="8"/>
  <c r="B74" i="8"/>
  <c r="B73" i="8"/>
  <c r="B72" i="8"/>
  <c r="B81" i="8"/>
  <c r="P81" i="8" s="1"/>
  <c r="B80" i="8"/>
  <c r="B78" i="8"/>
  <c r="B77" i="8"/>
  <c r="P77" i="8" s="1"/>
  <c r="B84" i="8"/>
  <c r="B82" i="8"/>
  <c r="B83" i="8"/>
  <c r="O83" i="8" s="1"/>
  <c r="B99" i="8"/>
  <c r="B103" i="8"/>
  <c r="P103" i="8" s="1"/>
  <c r="B102" i="8"/>
  <c r="O102" i="8" s="1"/>
  <c r="B93" i="8"/>
  <c r="B92" i="8"/>
  <c r="B95" i="8"/>
  <c r="B94" i="8"/>
  <c r="B91" i="8"/>
  <c r="B97" i="8"/>
  <c r="P97" i="8" s="1"/>
  <c r="B96" i="8"/>
  <c r="B101" i="8"/>
  <c r="B98" i="8"/>
  <c r="B100" i="8"/>
  <c r="P56" i="8"/>
  <c r="P65" i="8"/>
  <c r="P63" i="8"/>
  <c r="P64" i="8"/>
  <c r="P62" i="8"/>
  <c r="P57" i="8"/>
  <c r="L26" i="8"/>
  <c r="B217" i="8"/>
  <c r="B214" i="8"/>
  <c r="B216" i="8"/>
  <c r="O216" i="8" s="1"/>
  <c r="B215" i="8"/>
  <c r="P215" i="8" s="1"/>
  <c r="B213" i="8"/>
  <c r="B210" i="8"/>
  <c r="B208" i="8"/>
  <c r="B207" i="8"/>
  <c r="P207" i="8" s="1"/>
  <c r="B212" i="8"/>
  <c r="P212" i="8" s="1"/>
  <c r="B211" i="8"/>
  <c r="B206" i="8"/>
  <c r="P206" i="8" s="1"/>
  <c r="B205" i="8"/>
  <c r="P205" i="8" s="1"/>
  <c r="B209" i="8"/>
  <c r="P209" i="8" s="1"/>
  <c r="B162" i="8"/>
  <c r="P162" i="8" s="1"/>
  <c r="B161" i="8"/>
  <c r="P161" i="8" s="1"/>
  <c r="B160" i="8"/>
  <c r="P160" i="8" s="1"/>
  <c r="B159" i="8"/>
  <c r="B165" i="8"/>
  <c r="B164" i="8"/>
  <c r="O164" i="8" s="1"/>
  <c r="B158" i="8"/>
  <c r="B163" i="8"/>
  <c r="B157" i="8"/>
  <c r="B154" i="8"/>
  <c r="P154" i="8" s="1"/>
  <c r="B153" i="8"/>
  <c r="B156" i="8"/>
  <c r="B155" i="8"/>
  <c r="K26" i="8"/>
  <c r="B59" i="8"/>
  <c r="B65" i="8"/>
  <c r="B64" i="8"/>
  <c r="O64" i="8" s="1"/>
  <c r="B62" i="8"/>
  <c r="B61" i="8"/>
  <c r="B60" i="8"/>
  <c r="B58" i="8"/>
  <c r="P58" i="8" s="1"/>
  <c r="B56" i="8"/>
  <c r="B54" i="8"/>
  <c r="P54" i="8" s="1"/>
  <c r="B57" i="8"/>
  <c r="B63" i="8"/>
  <c r="B53" i="8"/>
  <c r="P53" i="8" s="1"/>
  <c r="B55" i="8"/>
  <c r="I26" i="8"/>
  <c r="M26" i="8"/>
  <c r="N26" i="8"/>
  <c r="P95" i="8"/>
  <c r="P94" i="8"/>
  <c r="P100" i="8"/>
  <c r="P91" i="8"/>
  <c r="P101" i="8"/>
  <c r="P98" i="8"/>
  <c r="H26" i="8"/>
  <c r="P74" i="8"/>
  <c r="P84" i="8"/>
  <c r="P76" i="8"/>
  <c r="P75" i="8"/>
  <c r="P82" i="8"/>
  <c r="P79" i="8"/>
  <c r="J26" i="8"/>
  <c r="E26" i="8"/>
  <c r="B39" i="8"/>
  <c r="B38" i="8"/>
  <c r="P38" i="8" s="1"/>
  <c r="B37" i="8"/>
  <c r="B36" i="8"/>
  <c r="B35" i="8"/>
  <c r="P35" i="8" s="1"/>
  <c r="B44" i="8"/>
  <c r="B46" i="8"/>
  <c r="P46" i="8" s="1"/>
  <c r="B43" i="8"/>
  <c r="P43" i="8" s="1"/>
  <c r="B45" i="8"/>
  <c r="O45" i="8" s="1"/>
  <c r="B41" i="8"/>
  <c r="B40" i="8"/>
  <c r="P40" i="8" s="1"/>
  <c r="B34" i="8"/>
  <c r="P34" i="8" s="1"/>
  <c r="B42" i="8"/>
  <c r="P42" i="8" s="1"/>
  <c r="P217" i="8"/>
  <c r="P210" i="8"/>
  <c r="P208" i="8"/>
  <c r="P118" i="8"/>
  <c r="P110" i="8"/>
  <c r="P117" i="8"/>
  <c r="P113" i="8"/>
  <c r="P112" i="8"/>
  <c r="P116" i="8"/>
  <c r="B119" i="8"/>
  <c r="B114" i="8"/>
  <c r="P114" i="8" s="1"/>
  <c r="B111" i="8"/>
  <c r="P111" i="8" s="1"/>
  <c r="B113" i="8"/>
  <c r="B112" i="8"/>
  <c r="B117" i="8"/>
  <c r="B116" i="8"/>
  <c r="B110" i="8"/>
  <c r="B120" i="8"/>
  <c r="O120" i="8" s="1"/>
  <c r="B118" i="8"/>
  <c r="B121" i="8"/>
  <c r="P121" i="8" s="1"/>
  <c r="B115" i="8"/>
  <c r="B191" i="8"/>
  <c r="P191" i="8" s="1"/>
  <c r="B180" i="8"/>
  <c r="B179" i="8"/>
  <c r="B188" i="8"/>
  <c r="B187" i="8"/>
  <c r="B184" i="8"/>
  <c r="B189" i="8"/>
  <c r="B181" i="8"/>
  <c r="P181" i="8" s="1"/>
  <c r="B182" i="8"/>
  <c r="B186" i="8"/>
  <c r="B185" i="8"/>
  <c r="B190" i="8"/>
  <c r="O190" i="8" s="1"/>
  <c r="B183" i="8"/>
  <c r="P39" i="8"/>
  <c r="P37" i="8"/>
  <c r="G26" i="8"/>
  <c r="P185" i="8"/>
  <c r="P183" i="8"/>
  <c r="P180" i="8"/>
  <c r="P186" i="8"/>
  <c r="P184" i="8"/>
  <c r="F26" i="8"/>
  <c r="P158" i="8"/>
  <c r="P165" i="8"/>
  <c r="P159" i="8"/>
  <c r="P156" i="8"/>
  <c r="P155" i="8"/>
  <c r="P164" i="8"/>
  <c r="P16" i="8"/>
  <c r="P18" i="8"/>
  <c r="P14" i="8"/>
  <c r="P21" i="8"/>
  <c r="P22" i="8"/>
  <c r="P17" i="8"/>
  <c r="P13" i="8"/>
  <c r="P24" i="8"/>
  <c r="P19" i="8"/>
  <c r="P15" i="8"/>
  <c r="P20" i="8"/>
  <c r="P25" i="8"/>
  <c r="P23" i="8"/>
  <c r="P47" i="8" l="1"/>
  <c r="I184" i="8"/>
  <c r="J184" i="8"/>
  <c r="K184" i="8"/>
  <c r="L184" i="8"/>
  <c r="M184" i="8"/>
  <c r="N184" i="8"/>
  <c r="O184" i="8"/>
  <c r="M62" i="8"/>
  <c r="N62" i="8"/>
  <c r="O62" i="8"/>
  <c r="K212" i="8"/>
  <c r="L212" i="8"/>
  <c r="M212" i="8"/>
  <c r="N212" i="8"/>
  <c r="O212" i="8"/>
  <c r="N189" i="8"/>
  <c r="O189" i="8"/>
  <c r="L61" i="8"/>
  <c r="M61" i="8"/>
  <c r="N61" i="8"/>
  <c r="O61" i="8"/>
  <c r="J211" i="8"/>
  <c r="K211" i="8"/>
  <c r="L211" i="8"/>
  <c r="M211" i="8"/>
  <c r="N211" i="8"/>
  <c r="O211" i="8"/>
  <c r="P45" i="8"/>
  <c r="L187" i="8"/>
  <c r="M187" i="8"/>
  <c r="N187" i="8"/>
  <c r="O187" i="8"/>
  <c r="N44" i="8"/>
  <c r="O44" i="8"/>
  <c r="F155" i="8"/>
  <c r="G155" i="8"/>
  <c r="H155" i="8"/>
  <c r="I155" i="8"/>
  <c r="J155" i="8"/>
  <c r="K155" i="8"/>
  <c r="L155" i="8"/>
  <c r="M155" i="8"/>
  <c r="N155" i="8"/>
  <c r="O155" i="8"/>
  <c r="F207" i="8"/>
  <c r="G207" i="8"/>
  <c r="H207" i="8"/>
  <c r="I207" i="8"/>
  <c r="J207" i="8"/>
  <c r="K207" i="8"/>
  <c r="L207" i="8"/>
  <c r="M207" i="8"/>
  <c r="N207" i="8"/>
  <c r="O207" i="8"/>
  <c r="L99" i="8"/>
  <c r="M99" i="8"/>
  <c r="N99" i="8"/>
  <c r="O99" i="8"/>
  <c r="K41" i="8"/>
  <c r="L41" i="8"/>
  <c r="M41" i="8"/>
  <c r="N41" i="8"/>
  <c r="O41" i="8"/>
  <c r="F93" i="8"/>
  <c r="G93" i="8"/>
  <c r="H93" i="8"/>
  <c r="I93" i="8"/>
  <c r="J93" i="8"/>
  <c r="K93" i="8"/>
  <c r="L93" i="8"/>
  <c r="M93" i="8"/>
  <c r="N93" i="8"/>
  <c r="O93" i="8"/>
  <c r="E179" i="8"/>
  <c r="F179" i="8"/>
  <c r="G179" i="8"/>
  <c r="H179" i="8"/>
  <c r="I179" i="8"/>
  <c r="J179" i="8"/>
  <c r="K179" i="8"/>
  <c r="L179" i="8"/>
  <c r="M179" i="8"/>
  <c r="N179" i="8"/>
  <c r="O179" i="8"/>
  <c r="F36" i="8"/>
  <c r="G36" i="8"/>
  <c r="H36" i="8"/>
  <c r="I36" i="8"/>
  <c r="J36" i="8"/>
  <c r="K36" i="8"/>
  <c r="L36" i="8"/>
  <c r="M36" i="8"/>
  <c r="N36" i="8"/>
  <c r="O36" i="8"/>
  <c r="P83" i="8"/>
  <c r="J59" i="8"/>
  <c r="K59" i="8"/>
  <c r="L59" i="8"/>
  <c r="M59" i="8"/>
  <c r="N59" i="8"/>
  <c r="O59" i="8"/>
  <c r="E153" i="8"/>
  <c r="F153" i="8"/>
  <c r="G153" i="8"/>
  <c r="H153" i="8"/>
  <c r="I153" i="8"/>
  <c r="J153" i="8"/>
  <c r="K153" i="8"/>
  <c r="L153" i="8"/>
  <c r="M153" i="8"/>
  <c r="N153" i="8"/>
  <c r="O153" i="8"/>
  <c r="I210" i="8"/>
  <c r="J210" i="8"/>
  <c r="K210" i="8"/>
  <c r="L210" i="8"/>
  <c r="M210" i="8"/>
  <c r="N210" i="8"/>
  <c r="O210" i="8"/>
  <c r="N82" i="8"/>
  <c r="O82" i="8"/>
  <c r="P153" i="8"/>
  <c r="E180" i="8"/>
  <c r="F180" i="8"/>
  <c r="G180" i="8"/>
  <c r="H180" i="8"/>
  <c r="I180" i="8"/>
  <c r="J180" i="8"/>
  <c r="K180" i="8"/>
  <c r="L180" i="8"/>
  <c r="M180" i="8"/>
  <c r="N180" i="8"/>
  <c r="O180" i="8"/>
  <c r="G37" i="8"/>
  <c r="H37" i="8"/>
  <c r="I37" i="8"/>
  <c r="J37" i="8"/>
  <c r="K37" i="8"/>
  <c r="L37" i="8"/>
  <c r="M37" i="8"/>
  <c r="N37" i="8"/>
  <c r="O37" i="8"/>
  <c r="E154" i="8"/>
  <c r="F154" i="8"/>
  <c r="G154" i="8"/>
  <c r="H154" i="8"/>
  <c r="I154" i="8"/>
  <c r="J154" i="8"/>
  <c r="K154" i="8"/>
  <c r="L154" i="8"/>
  <c r="M154" i="8"/>
  <c r="N154" i="8"/>
  <c r="O154" i="8"/>
  <c r="L213" i="8"/>
  <c r="M213" i="8"/>
  <c r="N213" i="8"/>
  <c r="O213" i="8"/>
  <c r="P216" i="8"/>
  <c r="I158" i="8"/>
  <c r="J158" i="8"/>
  <c r="K158" i="8"/>
  <c r="L158" i="8"/>
  <c r="M158" i="8"/>
  <c r="N158" i="8"/>
  <c r="O158" i="8"/>
  <c r="M214" i="8"/>
  <c r="N214" i="8"/>
  <c r="O214" i="8"/>
  <c r="M100" i="8"/>
  <c r="N100" i="8"/>
  <c r="O100" i="8"/>
  <c r="L80" i="8"/>
  <c r="M80" i="8"/>
  <c r="N80" i="8"/>
  <c r="O80" i="8"/>
  <c r="I58" i="8"/>
  <c r="J58" i="8"/>
  <c r="K58" i="8"/>
  <c r="L58" i="8"/>
  <c r="M58" i="8"/>
  <c r="N58" i="8"/>
  <c r="O58" i="8"/>
  <c r="K60" i="8"/>
  <c r="L60" i="8"/>
  <c r="M60" i="8"/>
  <c r="N60" i="8"/>
  <c r="O60" i="8"/>
  <c r="H157" i="8"/>
  <c r="I157" i="8"/>
  <c r="J157" i="8"/>
  <c r="K157" i="8"/>
  <c r="L157" i="8"/>
  <c r="M157" i="8"/>
  <c r="N157" i="8"/>
  <c r="O157" i="8"/>
  <c r="J78" i="8"/>
  <c r="K78" i="8"/>
  <c r="L78" i="8"/>
  <c r="M78" i="8"/>
  <c r="N78" i="8"/>
  <c r="O78" i="8"/>
  <c r="P36" i="8"/>
  <c r="M118" i="8"/>
  <c r="N118" i="8"/>
  <c r="O118" i="8"/>
  <c r="P120" i="8"/>
  <c r="K98" i="8"/>
  <c r="L98" i="8"/>
  <c r="M98" i="8"/>
  <c r="N98" i="8"/>
  <c r="O98" i="8"/>
  <c r="M81" i="8"/>
  <c r="N81" i="8"/>
  <c r="O81" i="8"/>
  <c r="E35" i="8"/>
  <c r="F35" i="8"/>
  <c r="G35" i="8"/>
  <c r="H35" i="8"/>
  <c r="I35" i="8"/>
  <c r="J35" i="8"/>
  <c r="K35" i="8"/>
  <c r="L35" i="8"/>
  <c r="M35" i="8"/>
  <c r="N35" i="8"/>
  <c r="O35" i="8"/>
  <c r="G156" i="8"/>
  <c r="H156" i="8"/>
  <c r="I156" i="8"/>
  <c r="J156" i="8"/>
  <c r="K156" i="8"/>
  <c r="L156" i="8"/>
  <c r="M156" i="8"/>
  <c r="N156" i="8"/>
  <c r="O156" i="8"/>
  <c r="N215" i="8"/>
  <c r="O215" i="8"/>
  <c r="F111" i="8"/>
  <c r="G111" i="8"/>
  <c r="H111" i="8"/>
  <c r="I111" i="8"/>
  <c r="J111" i="8"/>
  <c r="K111" i="8"/>
  <c r="L111" i="8"/>
  <c r="M111" i="8"/>
  <c r="N111" i="8"/>
  <c r="O111" i="8"/>
  <c r="N119" i="8"/>
  <c r="O119" i="8"/>
  <c r="G208" i="8"/>
  <c r="H208" i="8"/>
  <c r="I208" i="8"/>
  <c r="J208" i="8"/>
  <c r="K208" i="8"/>
  <c r="L208" i="8"/>
  <c r="M208" i="8"/>
  <c r="N208" i="8"/>
  <c r="O208" i="8"/>
  <c r="E72" i="8"/>
  <c r="E85" i="8" s="1"/>
  <c r="F72" i="8"/>
  <c r="F85" i="8" s="1"/>
  <c r="G72" i="8"/>
  <c r="G85" i="8" s="1"/>
  <c r="H72" i="8"/>
  <c r="I72" i="8"/>
  <c r="J72" i="8"/>
  <c r="K72" i="8"/>
  <c r="L72" i="8"/>
  <c r="M72" i="8"/>
  <c r="N72" i="8"/>
  <c r="O72" i="8"/>
  <c r="P119" i="8"/>
  <c r="N63" i="8"/>
  <c r="O63" i="8"/>
  <c r="K160" i="8"/>
  <c r="L160" i="8"/>
  <c r="M160" i="8"/>
  <c r="N160" i="8"/>
  <c r="O160" i="8"/>
  <c r="J97" i="8"/>
  <c r="K97" i="8"/>
  <c r="L97" i="8"/>
  <c r="M97" i="8"/>
  <c r="N97" i="8"/>
  <c r="O97" i="8"/>
  <c r="F74" i="8"/>
  <c r="G74" i="8"/>
  <c r="H74" i="8"/>
  <c r="I74" i="8"/>
  <c r="J74" i="8"/>
  <c r="K74" i="8"/>
  <c r="L74" i="8"/>
  <c r="M74" i="8"/>
  <c r="N74" i="8"/>
  <c r="O74" i="8"/>
  <c r="P179" i="8"/>
  <c r="L42" i="8"/>
  <c r="M42" i="8"/>
  <c r="N42" i="8"/>
  <c r="O42" i="8"/>
  <c r="P99" i="8"/>
  <c r="H57" i="8"/>
  <c r="I57" i="8"/>
  <c r="J57" i="8"/>
  <c r="K57" i="8"/>
  <c r="L57" i="8"/>
  <c r="M57" i="8"/>
  <c r="N57" i="8"/>
  <c r="O57" i="8"/>
  <c r="L161" i="8"/>
  <c r="M161" i="8"/>
  <c r="N161" i="8"/>
  <c r="O161" i="8"/>
  <c r="P60" i="8"/>
  <c r="E91" i="8"/>
  <c r="F91" i="8"/>
  <c r="G91" i="8"/>
  <c r="H91" i="8"/>
  <c r="I91" i="8"/>
  <c r="J91" i="8"/>
  <c r="K91" i="8"/>
  <c r="L91" i="8"/>
  <c r="M91" i="8"/>
  <c r="N91" i="8"/>
  <c r="O91" i="8"/>
  <c r="G75" i="8"/>
  <c r="H75" i="8"/>
  <c r="I75" i="8"/>
  <c r="J75" i="8"/>
  <c r="K75" i="8"/>
  <c r="L75" i="8"/>
  <c r="M75" i="8"/>
  <c r="N75" i="8"/>
  <c r="O75" i="8"/>
  <c r="E92" i="8"/>
  <c r="F92" i="8"/>
  <c r="G92" i="8"/>
  <c r="H92" i="8"/>
  <c r="I92" i="8"/>
  <c r="J92" i="8"/>
  <c r="K92" i="8"/>
  <c r="L92" i="8"/>
  <c r="M92" i="8"/>
  <c r="N92" i="8"/>
  <c r="O92" i="8"/>
  <c r="F181" i="8"/>
  <c r="G181" i="8"/>
  <c r="H181" i="8"/>
  <c r="I181" i="8"/>
  <c r="J181" i="8"/>
  <c r="K181" i="8"/>
  <c r="L181" i="8"/>
  <c r="M181" i="8"/>
  <c r="N181" i="8"/>
  <c r="O181" i="8"/>
  <c r="I114" i="8"/>
  <c r="J114" i="8"/>
  <c r="K114" i="8"/>
  <c r="L114" i="8"/>
  <c r="M114" i="8"/>
  <c r="N114" i="8"/>
  <c r="O114" i="8"/>
  <c r="E206" i="8"/>
  <c r="F206" i="8"/>
  <c r="G206" i="8"/>
  <c r="H206" i="8"/>
  <c r="I206" i="8"/>
  <c r="J206" i="8"/>
  <c r="K206" i="8"/>
  <c r="L206" i="8"/>
  <c r="M206" i="8"/>
  <c r="N206" i="8"/>
  <c r="O206" i="8"/>
  <c r="M188" i="8"/>
  <c r="N188" i="8"/>
  <c r="O188" i="8"/>
  <c r="P188" i="8"/>
  <c r="P61" i="8"/>
  <c r="P211" i="8"/>
  <c r="N163" i="8"/>
  <c r="O163" i="8"/>
  <c r="P102" i="8"/>
  <c r="F55" i="8"/>
  <c r="G55" i="8"/>
  <c r="H55" i="8"/>
  <c r="I55" i="8"/>
  <c r="J55" i="8"/>
  <c r="K55" i="8"/>
  <c r="L55" i="8"/>
  <c r="M55" i="8"/>
  <c r="N55" i="8"/>
  <c r="O55" i="8"/>
  <c r="N101" i="8"/>
  <c r="O101" i="8"/>
  <c r="P187" i="8"/>
  <c r="E73" i="8"/>
  <c r="F73" i="8"/>
  <c r="G73" i="8"/>
  <c r="H73" i="8"/>
  <c r="I73" i="8"/>
  <c r="J73" i="8"/>
  <c r="K73" i="8"/>
  <c r="L73" i="8"/>
  <c r="M73" i="8"/>
  <c r="N73" i="8"/>
  <c r="O73" i="8"/>
  <c r="P189" i="8"/>
  <c r="K116" i="8"/>
  <c r="L116" i="8"/>
  <c r="M116" i="8"/>
  <c r="N116" i="8"/>
  <c r="O116" i="8"/>
  <c r="P73" i="8"/>
  <c r="J185" i="8"/>
  <c r="K185" i="8"/>
  <c r="L185" i="8"/>
  <c r="M185" i="8"/>
  <c r="N185" i="8"/>
  <c r="O185" i="8"/>
  <c r="G112" i="8"/>
  <c r="H112" i="8"/>
  <c r="I112" i="8"/>
  <c r="J112" i="8"/>
  <c r="K112" i="8"/>
  <c r="L112" i="8"/>
  <c r="M112" i="8"/>
  <c r="N112" i="8"/>
  <c r="O112" i="8"/>
  <c r="P213" i="8"/>
  <c r="E34" i="8"/>
  <c r="F34" i="8"/>
  <c r="G34" i="8"/>
  <c r="H34" i="8"/>
  <c r="I34" i="8"/>
  <c r="J34" i="8"/>
  <c r="K34" i="8"/>
  <c r="L34" i="8"/>
  <c r="M34" i="8"/>
  <c r="N34" i="8"/>
  <c r="O34" i="8"/>
  <c r="P80" i="8"/>
  <c r="P92" i="8"/>
  <c r="E54" i="8"/>
  <c r="F54" i="8"/>
  <c r="G54" i="8"/>
  <c r="H54" i="8"/>
  <c r="I54" i="8"/>
  <c r="J54" i="8"/>
  <c r="K54" i="8"/>
  <c r="L54" i="8"/>
  <c r="M54" i="8"/>
  <c r="N54" i="8"/>
  <c r="O54" i="8"/>
  <c r="M162" i="8"/>
  <c r="N162" i="8"/>
  <c r="O162" i="8"/>
  <c r="P59" i="8"/>
  <c r="G94" i="8"/>
  <c r="H94" i="8"/>
  <c r="I94" i="8"/>
  <c r="J94" i="8"/>
  <c r="K94" i="8"/>
  <c r="L94" i="8"/>
  <c r="M94" i="8"/>
  <c r="N94" i="8"/>
  <c r="O94" i="8"/>
  <c r="H76" i="8"/>
  <c r="I76" i="8"/>
  <c r="J76" i="8"/>
  <c r="K76" i="8"/>
  <c r="L76" i="8"/>
  <c r="M76" i="8"/>
  <c r="N76" i="8"/>
  <c r="O76" i="8"/>
  <c r="G182" i="8"/>
  <c r="H182" i="8"/>
  <c r="I182" i="8"/>
  <c r="J182" i="8"/>
  <c r="K182" i="8"/>
  <c r="L182" i="8"/>
  <c r="M182" i="8"/>
  <c r="N182" i="8"/>
  <c r="O182" i="8"/>
  <c r="E205" i="8"/>
  <c r="F205" i="8"/>
  <c r="F218" i="8" s="1"/>
  <c r="F223" i="8" s="1"/>
  <c r="G205" i="8"/>
  <c r="H205" i="8"/>
  <c r="I205" i="8"/>
  <c r="J205" i="8"/>
  <c r="K205" i="8"/>
  <c r="L205" i="8"/>
  <c r="M205" i="8"/>
  <c r="N205" i="8"/>
  <c r="O205" i="8"/>
  <c r="P41" i="8"/>
  <c r="M43" i="8"/>
  <c r="N43" i="8"/>
  <c r="O43" i="8"/>
  <c r="P182" i="8"/>
  <c r="H38" i="8"/>
  <c r="I38" i="8"/>
  <c r="J38" i="8"/>
  <c r="K38" i="8"/>
  <c r="L38" i="8"/>
  <c r="M38" i="8"/>
  <c r="N38" i="8"/>
  <c r="O38" i="8"/>
  <c r="I77" i="8"/>
  <c r="J77" i="8"/>
  <c r="K77" i="8"/>
  <c r="L77" i="8"/>
  <c r="M77" i="8"/>
  <c r="N77" i="8"/>
  <c r="O77" i="8"/>
  <c r="P157" i="8"/>
  <c r="J115" i="8"/>
  <c r="K115" i="8"/>
  <c r="L115" i="8"/>
  <c r="M115" i="8"/>
  <c r="N115" i="8"/>
  <c r="O115" i="8"/>
  <c r="I39" i="8"/>
  <c r="J39" i="8"/>
  <c r="K39" i="8"/>
  <c r="L39" i="8"/>
  <c r="M39" i="8"/>
  <c r="N39" i="8"/>
  <c r="O39" i="8"/>
  <c r="P26" i="8"/>
  <c r="P163" i="8"/>
  <c r="P44" i="8"/>
  <c r="E110" i="8"/>
  <c r="E122" i="8" s="1"/>
  <c r="E125" i="8" s="1"/>
  <c r="E127" i="8" s="1"/>
  <c r="E138" i="8" s="1"/>
  <c r="F110" i="8"/>
  <c r="G110" i="8"/>
  <c r="H110" i="8"/>
  <c r="I110" i="8"/>
  <c r="J110" i="8"/>
  <c r="K110" i="8"/>
  <c r="L110" i="8"/>
  <c r="M110" i="8"/>
  <c r="N110" i="8"/>
  <c r="O110" i="8"/>
  <c r="P115" i="8"/>
  <c r="P78" i="8"/>
  <c r="P93" i="8"/>
  <c r="E53" i="8"/>
  <c r="E66" i="8" s="1"/>
  <c r="F53" i="8"/>
  <c r="G53" i="8"/>
  <c r="H53" i="8"/>
  <c r="I53" i="8"/>
  <c r="J53" i="8"/>
  <c r="K53" i="8"/>
  <c r="L53" i="8"/>
  <c r="M53" i="8"/>
  <c r="N53" i="8"/>
  <c r="O53" i="8"/>
  <c r="J159" i="8"/>
  <c r="K159" i="8"/>
  <c r="L159" i="8"/>
  <c r="M159" i="8"/>
  <c r="N159" i="8"/>
  <c r="O159" i="8"/>
  <c r="I96" i="8"/>
  <c r="J96" i="8"/>
  <c r="K96" i="8"/>
  <c r="L96" i="8"/>
  <c r="M96" i="8"/>
  <c r="N96" i="8"/>
  <c r="O96" i="8"/>
  <c r="H183" i="8"/>
  <c r="I183" i="8"/>
  <c r="J183" i="8"/>
  <c r="K183" i="8"/>
  <c r="L183" i="8"/>
  <c r="M183" i="8"/>
  <c r="N183" i="8"/>
  <c r="O183" i="8"/>
  <c r="L117" i="8"/>
  <c r="M117" i="8"/>
  <c r="N117" i="8"/>
  <c r="O117" i="8"/>
  <c r="P190" i="8"/>
  <c r="K186" i="8"/>
  <c r="L186" i="8"/>
  <c r="M186" i="8"/>
  <c r="N186" i="8"/>
  <c r="O186" i="8"/>
  <c r="H113" i="8"/>
  <c r="I113" i="8"/>
  <c r="J113" i="8"/>
  <c r="K113" i="8"/>
  <c r="L113" i="8"/>
  <c r="M113" i="8"/>
  <c r="N113" i="8"/>
  <c r="O113" i="8"/>
  <c r="P214" i="8"/>
  <c r="J40" i="8"/>
  <c r="K40" i="8"/>
  <c r="L40" i="8"/>
  <c r="M40" i="8"/>
  <c r="N40" i="8"/>
  <c r="O40" i="8"/>
  <c r="P72" i="8"/>
  <c r="P96" i="8"/>
  <c r="G56" i="8"/>
  <c r="H56" i="8"/>
  <c r="I56" i="8"/>
  <c r="J56" i="8"/>
  <c r="K56" i="8"/>
  <c r="L56" i="8"/>
  <c r="M56" i="8"/>
  <c r="N56" i="8"/>
  <c r="O56" i="8"/>
  <c r="H209" i="8"/>
  <c r="I209" i="8"/>
  <c r="J209" i="8"/>
  <c r="K209" i="8"/>
  <c r="L209" i="8"/>
  <c r="M209" i="8"/>
  <c r="N209" i="8"/>
  <c r="O209" i="8"/>
  <c r="P55" i="8"/>
  <c r="H95" i="8"/>
  <c r="I95" i="8"/>
  <c r="J95" i="8"/>
  <c r="K95" i="8"/>
  <c r="L95" i="8"/>
  <c r="M95" i="8"/>
  <c r="N95" i="8"/>
  <c r="O95" i="8"/>
  <c r="K79" i="8"/>
  <c r="L79" i="8"/>
  <c r="M79" i="8"/>
  <c r="N79" i="8"/>
  <c r="O79" i="8"/>
  <c r="J47" i="8" l="1"/>
  <c r="M66" i="8"/>
  <c r="I122" i="8"/>
  <c r="I125" i="8" s="1"/>
  <c r="I127" i="8" s="1"/>
  <c r="I138" i="8" s="1"/>
  <c r="E218" i="8"/>
  <c r="E223" i="8" s="1"/>
  <c r="E225" i="8" s="1"/>
  <c r="F221" i="8" s="1"/>
  <c r="F225" i="8" s="1"/>
  <c r="P218" i="8"/>
  <c r="P223" i="8" s="1"/>
  <c r="F122" i="8"/>
  <c r="F125" i="8" s="1"/>
  <c r="F127" i="8" s="1"/>
  <c r="F138" i="8" s="1"/>
  <c r="E47" i="8"/>
  <c r="P122" i="8"/>
  <c r="P125" i="8" s="1"/>
  <c r="P127" i="8" s="1"/>
  <c r="P138" i="8" s="1"/>
  <c r="L66" i="8"/>
  <c r="G122" i="8"/>
  <c r="G125" i="8" s="1"/>
  <c r="G127" i="8" s="1"/>
  <c r="G138" i="8" s="1"/>
  <c r="P166" i="8"/>
  <c r="P171" i="8" s="1"/>
  <c r="G166" i="8"/>
  <c r="G171" i="8" s="1"/>
  <c r="H122" i="8"/>
  <c r="H125" i="8" s="1"/>
  <c r="H127" i="8" s="1"/>
  <c r="H138" i="8" s="1"/>
  <c r="F47" i="8"/>
  <c r="P85" i="8"/>
  <c r="E166" i="8"/>
  <c r="E171" i="8" s="1"/>
  <c r="E173" i="8" s="1"/>
  <c r="F169" i="8" s="1"/>
  <c r="F173" i="8" s="1"/>
  <c r="K66" i="8"/>
  <c r="P66" i="8"/>
  <c r="P126" i="8" s="1"/>
  <c r="P104" i="8"/>
  <c r="E140" i="8"/>
  <c r="K47" i="8"/>
  <c r="H85" i="8"/>
  <c r="J166" i="8"/>
  <c r="J171" i="8" s="1"/>
  <c r="H47" i="8"/>
  <c r="F166" i="8"/>
  <c r="F171" i="8" s="1"/>
  <c r="I47" i="8"/>
  <c r="N104" i="8"/>
  <c r="O192" i="8"/>
  <c r="O197" i="8" s="1"/>
  <c r="H166" i="8"/>
  <c r="H171" i="8" s="1"/>
  <c r="M104" i="8"/>
  <c r="N192" i="8"/>
  <c r="N197" i="8" s="1"/>
  <c r="O104" i="8"/>
  <c r="G47" i="8"/>
  <c r="K104" i="8"/>
  <c r="L192" i="8"/>
  <c r="L197" i="8" s="1"/>
  <c r="N218" i="8"/>
  <c r="N223" i="8" s="1"/>
  <c r="I104" i="8"/>
  <c r="J192" i="8"/>
  <c r="J197" i="8" s="1"/>
  <c r="M192" i="8"/>
  <c r="M197" i="8" s="1"/>
  <c r="O218" i="8"/>
  <c r="O223" i="8" s="1"/>
  <c r="K192" i="8"/>
  <c r="K197" i="8" s="1"/>
  <c r="O85" i="8"/>
  <c r="I192" i="8"/>
  <c r="I197" i="8" s="1"/>
  <c r="J66" i="8"/>
  <c r="H66" i="8"/>
  <c r="J104" i="8"/>
  <c r="H192" i="8"/>
  <c r="H197" i="8" s="1"/>
  <c r="G66" i="8"/>
  <c r="L104" i="8"/>
  <c r="H104" i="8"/>
  <c r="O122" i="8"/>
  <c r="O125" i="8" s="1"/>
  <c r="O127" i="8" s="1"/>
  <c r="O138" i="8" s="1"/>
  <c r="M122" i="8"/>
  <c r="M125" i="8" s="1"/>
  <c r="M127" i="8" s="1"/>
  <c r="M138" i="8" s="1"/>
  <c r="J218" i="8"/>
  <c r="J223" i="8" s="1"/>
  <c r="O47" i="8"/>
  <c r="E104" i="8"/>
  <c r="E126" i="8" s="1"/>
  <c r="L85" i="8"/>
  <c r="N166" i="8"/>
  <c r="N171" i="8" s="1"/>
  <c r="F192" i="8"/>
  <c r="F197" i="8" s="1"/>
  <c r="I66" i="8"/>
  <c r="F66" i="8"/>
  <c r="M218" i="8"/>
  <c r="M223" i="8" s="1"/>
  <c r="L218" i="8"/>
  <c r="L223" i="8" s="1"/>
  <c r="N85" i="8"/>
  <c r="N122" i="8"/>
  <c r="N125" i="8" s="1"/>
  <c r="N127" i="8" s="1"/>
  <c r="N138" i="8" s="1"/>
  <c r="L122" i="8"/>
  <c r="L125" i="8" s="1"/>
  <c r="L127" i="8" s="1"/>
  <c r="L138" i="8" s="1"/>
  <c r="I218" i="8"/>
  <c r="I223" i="8" s="1"/>
  <c r="N47" i="8"/>
  <c r="K85" i="8"/>
  <c r="M166" i="8"/>
  <c r="M171" i="8" s="1"/>
  <c r="E192" i="8"/>
  <c r="E197" i="8" s="1"/>
  <c r="E199" i="8" s="1"/>
  <c r="I166" i="8"/>
  <c r="I171" i="8" s="1"/>
  <c r="P192" i="8"/>
  <c r="P197" i="8" s="1"/>
  <c r="G104" i="8"/>
  <c r="M85" i="8"/>
  <c r="O166" i="8"/>
  <c r="O171" i="8" s="1"/>
  <c r="O66" i="8"/>
  <c r="H218" i="8"/>
  <c r="H223" i="8" s="1"/>
  <c r="M47" i="8"/>
  <c r="J85" i="8"/>
  <c r="L166" i="8"/>
  <c r="L171" i="8" s="1"/>
  <c r="K218" i="8"/>
  <c r="K223" i="8" s="1"/>
  <c r="F104" i="8"/>
  <c r="G192" i="8"/>
  <c r="G197" i="8" s="1"/>
  <c r="K122" i="8"/>
  <c r="K125" i="8" s="1"/>
  <c r="K127" i="8" s="1"/>
  <c r="K138" i="8" s="1"/>
  <c r="N66" i="8"/>
  <c r="J122" i="8"/>
  <c r="J125" i="8" s="1"/>
  <c r="J127" i="8" s="1"/>
  <c r="J138" i="8" s="1"/>
  <c r="G218" i="8"/>
  <c r="G223" i="8" s="1"/>
  <c r="L47" i="8"/>
  <c r="I85" i="8"/>
  <c r="K166" i="8"/>
  <c r="K171" i="8" s="1"/>
  <c r="P241" i="8" l="1"/>
  <c r="T151" i="2" s="1"/>
  <c r="I241" i="8"/>
  <c r="M151" i="2" s="1"/>
  <c r="F241" i="8"/>
  <c r="J151" i="2" s="1"/>
  <c r="F4" i="16" s="1"/>
  <c r="F68" i="21" s="1"/>
  <c r="G126" i="8"/>
  <c r="H241" i="8"/>
  <c r="L151" i="2" s="1"/>
  <c r="M62" i="10" s="1"/>
  <c r="M126" i="8"/>
  <c r="I39" i="2"/>
  <c r="I37" i="2"/>
  <c r="G241" i="8"/>
  <c r="K151" i="2" s="1"/>
  <c r="G4" i="16" s="1"/>
  <c r="G68" i="21" s="1"/>
  <c r="J126" i="8"/>
  <c r="F126" i="8"/>
  <c r="K62" i="10"/>
  <c r="F141" i="21" s="1"/>
  <c r="N62" i="10"/>
  <c r="F19" i="6"/>
  <c r="L62" i="10"/>
  <c r="G141" i="21" s="1"/>
  <c r="D19" i="6"/>
  <c r="U62" i="10"/>
  <c r="M19" i="6"/>
  <c r="H126" i="8"/>
  <c r="O126" i="8"/>
  <c r="J241" i="8"/>
  <c r="N151" i="2" s="1"/>
  <c r="M241" i="8"/>
  <c r="Q151" i="2" s="1"/>
  <c r="O241" i="8"/>
  <c r="S151" i="2" s="1"/>
  <c r="N126" i="8"/>
  <c r="E241" i="8"/>
  <c r="I151" i="2" s="1"/>
  <c r="J39" i="2"/>
  <c r="G169" i="8"/>
  <c r="G173" i="8" s="1"/>
  <c r="I126" i="8"/>
  <c r="L126" i="8"/>
  <c r="I36" i="2"/>
  <c r="F195" i="8"/>
  <c r="F199" i="8" s="1"/>
  <c r="K126" i="8"/>
  <c r="I34" i="2"/>
  <c r="F135" i="8"/>
  <c r="F140" i="8" s="1"/>
  <c r="K241" i="8"/>
  <c r="O151" i="2" s="1"/>
  <c r="J37" i="2"/>
  <c r="G221" i="8"/>
  <c r="G225" i="8" s="1"/>
  <c r="L241" i="8"/>
  <c r="P151" i="2" s="1"/>
  <c r="N241" i="8"/>
  <c r="R151" i="2" s="1"/>
  <c r="E19" i="6" l="1"/>
  <c r="E4" i="16"/>
  <c r="E68" i="21" s="1"/>
  <c r="J62" i="10"/>
  <c r="E141" i="21" s="1"/>
  <c r="R62" i="10"/>
  <c r="J19" i="6"/>
  <c r="Q62" i="10"/>
  <c r="I19" i="6"/>
  <c r="K37" i="2"/>
  <c r="H221" i="8"/>
  <c r="H225" i="8" s="1"/>
  <c r="P62" i="10"/>
  <c r="H19" i="6"/>
  <c r="S62" i="10"/>
  <c r="K19" i="6"/>
  <c r="J34" i="2"/>
  <c r="G135" i="8"/>
  <c r="G140" i="8" s="1"/>
  <c r="E8" i="15"/>
  <c r="E46" i="21" s="1"/>
  <c r="I47" i="2"/>
  <c r="T62" i="10"/>
  <c r="L19" i="6"/>
  <c r="O62" i="10"/>
  <c r="G19" i="6"/>
  <c r="J36" i="2"/>
  <c r="G195" i="8"/>
  <c r="G199" i="8" s="1"/>
  <c r="K39" i="2"/>
  <c r="H169" i="8"/>
  <c r="H173" i="8" s="1"/>
  <c r="F8" i="15" l="1"/>
  <c r="F46" i="21" s="1"/>
  <c r="J47" i="2"/>
  <c r="L39" i="2"/>
  <c r="I169" i="8"/>
  <c r="I173" i="8" s="1"/>
  <c r="K36" i="2"/>
  <c r="H195" i="8"/>
  <c r="H199" i="8" s="1"/>
  <c r="E12" i="15"/>
  <c r="K34" i="2"/>
  <c r="H135" i="8"/>
  <c r="H140" i="8" s="1"/>
  <c r="L37" i="2"/>
  <c r="I221" i="8"/>
  <c r="I225" i="8" s="1"/>
  <c r="G8" i="15" l="1"/>
  <c r="G46" i="21" s="1"/>
  <c r="K47" i="2"/>
  <c r="E11" i="15"/>
  <c r="E49" i="21" s="1"/>
  <c r="E50" i="21"/>
  <c r="F12" i="15"/>
  <c r="M37" i="2"/>
  <c r="J221" i="8"/>
  <c r="J225" i="8" s="1"/>
  <c r="I135" i="8"/>
  <c r="I140" i="8" s="1"/>
  <c r="L34" i="2"/>
  <c r="L36" i="2"/>
  <c r="I195" i="8"/>
  <c r="I199" i="8" s="1"/>
  <c r="M39" i="2"/>
  <c r="J169" i="8"/>
  <c r="J173" i="8" s="1"/>
  <c r="M36" i="2" l="1"/>
  <c r="J195" i="8"/>
  <c r="J199" i="8" s="1"/>
  <c r="L47" i="2"/>
  <c r="F11" i="15"/>
  <c r="F49" i="21" s="1"/>
  <c r="F50" i="21"/>
  <c r="G12" i="15"/>
  <c r="N39" i="2"/>
  <c r="K169" i="8"/>
  <c r="K173" i="8" s="1"/>
  <c r="J135" i="8"/>
  <c r="J140" i="8" s="1"/>
  <c r="M34" i="2"/>
  <c r="N37" i="2"/>
  <c r="K221" i="8"/>
  <c r="K225" i="8" s="1"/>
  <c r="N34" i="2" l="1"/>
  <c r="K135" i="8"/>
  <c r="K140" i="8" s="1"/>
  <c r="O37" i="2"/>
  <c r="L221" i="8"/>
  <c r="L225" i="8" s="1"/>
  <c r="M47" i="2"/>
  <c r="N36" i="2"/>
  <c r="K195" i="8"/>
  <c r="K199" i="8" s="1"/>
  <c r="O39" i="2"/>
  <c r="L169" i="8"/>
  <c r="L173" i="8" s="1"/>
  <c r="G11" i="15"/>
  <c r="G49" i="21" s="1"/>
  <c r="G50" i="21"/>
  <c r="O34" i="2" l="1"/>
  <c r="L135" i="8"/>
  <c r="L140" i="8" s="1"/>
  <c r="P39" i="2"/>
  <c r="M169" i="8"/>
  <c r="M173" i="8" s="1"/>
  <c r="O36" i="2"/>
  <c r="L195" i="8"/>
  <c r="L199" i="8" s="1"/>
  <c r="P37" i="2"/>
  <c r="M221" i="8"/>
  <c r="M225" i="8" s="1"/>
  <c r="N47" i="2"/>
  <c r="P36" i="2" l="1"/>
  <c r="M195" i="8"/>
  <c r="M199" i="8" s="1"/>
  <c r="O47" i="2"/>
  <c r="Q37" i="2"/>
  <c r="N221" i="8"/>
  <c r="N225" i="8" s="1"/>
  <c r="N169" i="8"/>
  <c r="N173" i="8" s="1"/>
  <c r="Q39" i="2"/>
  <c r="P34" i="2"/>
  <c r="M135" i="8"/>
  <c r="M140" i="8" s="1"/>
  <c r="Q34" i="2" l="1"/>
  <c r="N135" i="8"/>
  <c r="N140" i="8" s="1"/>
  <c r="O169" i="8"/>
  <c r="O173" i="8" s="1"/>
  <c r="R39" i="2"/>
  <c r="N195" i="8"/>
  <c r="N199" i="8" s="1"/>
  <c r="Q36" i="2"/>
  <c r="P47" i="2"/>
  <c r="R37" i="2"/>
  <c r="O221" i="8"/>
  <c r="O225" i="8" s="1"/>
  <c r="O195" i="8" l="1"/>
  <c r="O199" i="8" s="1"/>
  <c r="R36" i="2"/>
  <c r="S39" i="2"/>
  <c r="P169" i="8"/>
  <c r="P173" i="8" s="1"/>
  <c r="T39" i="2" s="1"/>
  <c r="R34" i="2"/>
  <c r="O135" i="8"/>
  <c r="O140" i="8" s="1"/>
  <c r="S37" i="2"/>
  <c r="P221" i="8"/>
  <c r="P225" i="8" s="1"/>
  <c r="T37" i="2" s="1"/>
  <c r="Q47" i="2"/>
  <c r="S34" i="2" l="1"/>
  <c r="P135" i="8"/>
  <c r="P140" i="8" s="1"/>
  <c r="T34" i="2" s="1"/>
  <c r="P195" i="8"/>
  <c r="P199" i="8" s="1"/>
  <c r="T36" i="2" s="1"/>
  <c r="S36" i="2"/>
  <c r="R47" i="2"/>
  <c r="T47" i="2" l="1"/>
  <c r="S47" i="2"/>
  <c r="F149" i="23" l="1"/>
  <c r="F154" i="23" s="1"/>
  <c r="G149" i="23"/>
  <c r="G154" i="23" s="1"/>
  <c r="H149" i="23"/>
  <c r="I149" i="23"/>
  <c r="I153" i="23" s="1"/>
  <c r="J149" i="23"/>
  <c r="J153" i="23" s="1"/>
  <c r="L149" i="23"/>
  <c r="I154" i="23"/>
  <c r="J154" i="23"/>
  <c r="F156" i="23"/>
  <c r="J156" i="23"/>
  <c r="F157" i="23"/>
  <c r="F169" i="23" s="1"/>
  <c r="F172" i="23" l="1"/>
  <c r="H153" i="23"/>
  <c r="H154" i="23"/>
  <c r="F168" i="23"/>
  <c r="F173" i="23"/>
  <c r="G153" i="23"/>
  <c r="F153" i="23"/>
  <c r="F182" i="23" l="1"/>
  <c r="F166" i="23"/>
  <c r="F167" i="23" s="1"/>
  <c r="F178" i="23"/>
  <c r="F177" i="23" s="1"/>
  <c r="F170" i="23"/>
  <c r="F171" i="23" s="1"/>
  <c r="F181" i="23"/>
  <c r="F180" i="23" s="1"/>
  <c r="F174" i="23"/>
  <c r="F183" i="23" s="1"/>
  <c r="F179" i="23"/>
  <c r="G125" i="23" l="1"/>
  <c r="B60" i="23"/>
  <c r="B61" i="23" s="1"/>
  <c r="C60" i="23"/>
  <c r="C65" i="23"/>
  <c r="C68" i="23"/>
  <c r="C74" i="23"/>
  <c r="C81" i="23"/>
  <c r="C86" i="23"/>
  <c r="C91" i="23"/>
  <c r="C128" i="23"/>
  <c r="C129" i="23"/>
  <c r="C140" i="23"/>
  <c r="C141" i="23"/>
  <c r="B201" i="23"/>
  <c r="B205" i="23" s="1"/>
  <c r="B203" i="23" s="1"/>
  <c r="B202" i="23"/>
  <c r="B74" i="23" l="1"/>
  <c r="B68" i="23"/>
  <c r="C61" i="23"/>
  <c r="B81" i="23" l="1"/>
  <c r="B75" i="23"/>
  <c r="C75" i="23"/>
  <c r="B86" i="23"/>
  <c r="D60" i="23"/>
  <c r="E60" i="23"/>
  <c r="F60" i="23" s="1"/>
  <c r="D61" i="23"/>
  <c r="E62" i="23"/>
  <c r="D65" i="23"/>
  <c r="E65" i="23"/>
  <c r="D68" i="23"/>
  <c r="D74" i="23"/>
  <c r="D86" i="23" s="1"/>
  <c r="E74" i="23"/>
  <c r="D81" i="23"/>
  <c r="D91" i="23"/>
  <c r="E91" i="23"/>
  <c r="D128" i="23"/>
  <c r="E128" i="23"/>
  <c r="D129" i="23"/>
  <c r="E129" i="23"/>
  <c r="D140" i="23"/>
  <c r="E140" i="23"/>
  <c r="F140" i="23"/>
  <c r="C201" i="23"/>
  <c r="D201" i="23"/>
  <c r="D205" i="23" s="1"/>
  <c r="D203" i="23" s="1"/>
  <c r="C202" i="23"/>
  <c r="C205" i="23" s="1"/>
  <c r="D202" i="23"/>
  <c r="E202" i="23"/>
  <c r="C203" i="23"/>
  <c r="G60" i="23" l="1"/>
  <c r="F68" i="23"/>
  <c r="F128" i="23"/>
  <c r="F65" i="23"/>
  <c r="F74" i="23"/>
  <c r="E86" i="23"/>
  <c r="E75" i="23"/>
  <c r="E141" i="23"/>
  <c r="E81" i="23"/>
  <c r="E68" i="23"/>
  <c r="D141" i="23"/>
  <c r="D75" i="23"/>
  <c r="F86" i="23" l="1"/>
  <c r="F75" i="23"/>
  <c r="F141" i="23"/>
  <c r="F81" i="23"/>
  <c r="E201" i="23"/>
  <c r="E205" i="23" s="1"/>
  <c r="E203" i="23" s="1"/>
  <c r="F91" i="23"/>
  <c r="F129" i="23" s="1"/>
  <c r="G65" i="23"/>
  <c r="H60" i="23"/>
  <c r="G68" i="23"/>
  <c r="G128" i="23"/>
  <c r="F202" i="23"/>
  <c r="G140" i="23"/>
  <c r="H65" i="23" l="1"/>
  <c r="I60" i="23"/>
  <c r="M60" i="23"/>
  <c r="H128" i="23"/>
  <c r="H68" i="23"/>
  <c r="G86" i="23"/>
  <c r="G141" i="23"/>
  <c r="G81" i="23"/>
  <c r="F201" i="23"/>
  <c r="F205" i="23" s="1"/>
  <c r="F203" i="23" s="1"/>
  <c r="H74" i="23"/>
  <c r="M74" i="23" l="1"/>
  <c r="H129" i="23"/>
  <c r="H126" i="23" s="1"/>
  <c r="H125" i="23" s="1"/>
  <c r="H86" i="23"/>
  <c r="H81" i="23"/>
  <c r="I74" i="23"/>
  <c r="H30" i="23"/>
  <c r="H62" i="23" s="1"/>
  <c r="I65" i="23"/>
  <c r="J60" i="23"/>
  <c r="I128" i="23"/>
  <c r="I68" i="23"/>
  <c r="I30" i="23"/>
  <c r="I62" i="23" s="1"/>
  <c r="H45" i="23" l="1"/>
  <c r="I76" i="23"/>
  <c r="H76" i="23"/>
  <c r="J65" i="23"/>
  <c r="J68" i="23"/>
  <c r="J128" i="23"/>
  <c r="I129" i="23"/>
  <c r="I126" i="23" s="1"/>
  <c r="I125" i="23" s="1"/>
  <c r="I86" i="23"/>
  <c r="I81" i="23"/>
  <c r="J74" i="23"/>
  <c r="K74" i="23" s="1"/>
  <c r="I37" i="23"/>
  <c r="I40" i="23"/>
  <c r="I31" i="23"/>
  <c r="I20" i="23"/>
  <c r="I34" i="23" s="1"/>
  <c r="I45" i="23"/>
  <c r="H124" i="23"/>
  <c r="H19" i="23" s="1"/>
  <c r="H5" i="23" s="1"/>
  <c r="H5" i="5" s="1"/>
  <c r="H37" i="23"/>
  <c r="H40" i="23"/>
  <c r="M30" i="23"/>
  <c r="H31" i="23"/>
  <c r="H20" i="23"/>
  <c r="K129" i="23" l="1"/>
  <c r="K126" i="23" s="1"/>
  <c r="K125" i="23" s="1"/>
  <c r="K81" i="23"/>
  <c r="K86" i="23"/>
  <c r="K30" i="23"/>
  <c r="K76" i="23"/>
  <c r="K45" i="23"/>
  <c r="I29" i="23"/>
  <c r="I124" i="23"/>
  <c r="I19" i="23" s="1"/>
  <c r="H12" i="23"/>
  <c r="H48" i="23"/>
  <c r="H96" i="23"/>
  <c r="H21" i="23"/>
  <c r="J129" i="23"/>
  <c r="J126" i="23" s="1"/>
  <c r="J125" i="23" s="1"/>
  <c r="J86" i="23"/>
  <c r="J81" i="23"/>
  <c r="H34" i="23"/>
  <c r="H29" i="23"/>
  <c r="J30" i="23"/>
  <c r="I21" i="23"/>
  <c r="I12" i="23"/>
  <c r="I22" i="23" s="1"/>
  <c r="I137" i="23" s="1"/>
  <c r="I143" i="23" s="1"/>
  <c r="I48" i="23"/>
  <c r="I96" i="23"/>
  <c r="K40" i="23" l="1"/>
  <c r="K62" i="23"/>
  <c r="K37" i="23"/>
  <c r="K20" i="23"/>
  <c r="K34" i="23"/>
  <c r="K29" i="23"/>
  <c r="K124" i="23"/>
  <c r="K19" i="23" s="1"/>
  <c r="K5" i="23" s="1"/>
  <c r="J62" i="23"/>
  <c r="K31" i="23"/>
  <c r="J76" i="23"/>
  <c r="J45" i="23"/>
  <c r="J124" i="23"/>
  <c r="J19" i="23" s="1"/>
  <c r="J5" i="23" s="1"/>
  <c r="J5" i="5" s="1"/>
  <c r="H145" i="23"/>
  <c r="G136" i="23"/>
  <c r="H13" i="23"/>
  <c r="H142" i="23"/>
  <c r="H139" i="23"/>
  <c r="H4" i="23"/>
  <c r="H4" i="5" s="1"/>
  <c r="H144" i="23"/>
  <c r="H140" i="23"/>
  <c r="H141" i="23"/>
  <c r="H138" i="23"/>
  <c r="I145" i="23"/>
  <c r="N12" i="23"/>
  <c r="H136" i="23"/>
  <c r="I13" i="23"/>
  <c r="I4" i="23"/>
  <c r="I4" i="5" s="1"/>
  <c r="I142" i="23"/>
  <c r="I144" i="23"/>
  <c r="I139" i="23"/>
  <c r="I140" i="23"/>
  <c r="I138" i="23"/>
  <c r="I141" i="23"/>
  <c r="I5" i="23"/>
  <c r="I5" i="5" s="1"/>
  <c r="J6" i="3" s="1"/>
  <c r="N19" i="23"/>
  <c r="H22" i="23"/>
  <c r="H137" i="23" s="1"/>
  <c r="H143" i="23" s="1"/>
  <c r="J37" i="23"/>
  <c r="J40" i="23"/>
  <c r="J31" i="23"/>
  <c r="J20" i="23"/>
  <c r="K21" i="23" s="1"/>
  <c r="K5" i="5" l="1"/>
  <c r="K96" i="23"/>
  <c r="K48" i="23"/>
  <c r="K12" i="23"/>
  <c r="K22" i="23"/>
  <c r="K137" i="23" s="1"/>
  <c r="K143" i="23" s="1"/>
  <c r="I4" i="3"/>
  <c r="I107" i="2" s="1"/>
  <c r="I6" i="3"/>
  <c r="J4" i="3"/>
  <c r="H146" i="23"/>
  <c r="H156" i="23"/>
  <c r="H104" i="23"/>
  <c r="J21" i="23"/>
  <c r="J12" i="23"/>
  <c r="J96" i="23"/>
  <c r="J48" i="23"/>
  <c r="I146" i="23"/>
  <c r="J34" i="23"/>
  <c r="G104" i="23"/>
  <c r="G156" i="23"/>
  <c r="G157" i="23" s="1"/>
  <c r="H18" i="23"/>
  <c r="I18" i="23"/>
  <c r="J29" i="23"/>
  <c r="K145" i="23" l="1"/>
  <c r="K140" i="23"/>
  <c r="K142" i="23"/>
  <c r="J136" i="23"/>
  <c r="K139" i="23"/>
  <c r="K4" i="23"/>
  <c r="K144" i="23"/>
  <c r="K141" i="23"/>
  <c r="K138" i="23"/>
  <c r="K146" i="23" s="1"/>
  <c r="I110" i="2"/>
  <c r="J22" i="23"/>
  <c r="J137" i="23" s="1"/>
  <c r="J143" i="23" s="1"/>
  <c r="I136" i="23"/>
  <c r="K13" i="23"/>
  <c r="I12" i="2"/>
  <c r="E294" i="8" s="1"/>
  <c r="I189" i="2"/>
  <c r="E335" i="8"/>
  <c r="I19" i="2"/>
  <c r="E301" i="8" s="1"/>
  <c r="J107" i="2"/>
  <c r="I192" i="2"/>
  <c r="I106" i="2"/>
  <c r="E332" i="8"/>
  <c r="I57" i="2"/>
  <c r="E309" i="8" s="1"/>
  <c r="I11" i="2"/>
  <c r="E293" i="8" s="1"/>
  <c r="I111" i="2"/>
  <c r="E6" i="13" s="1"/>
  <c r="E19" i="21" s="1"/>
  <c r="I56" i="2"/>
  <c r="E308" i="8" s="1"/>
  <c r="D57" i="6"/>
  <c r="D58" i="6" s="1"/>
  <c r="C10" i="6" s="1"/>
  <c r="G172" i="23"/>
  <c r="G173" i="23"/>
  <c r="G182" i="23" s="1"/>
  <c r="G169" i="23"/>
  <c r="G179" i="23" s="1"/>
  <c r="I10" i="23"/>
  <c r="H157" i="23"/>
  <c r="H10" i="23"/>
  <c r="J144" i="23"/>
  <c r="J145" i="23"/>
  <c r="J13" i="23"/>
  <c r="J4" i="23"/>
  <c r="J4" i="5" s="1"/>
  <c r="J142" i="23"/>
  <c r="J139" i="23"/>
  <c r="J140" i="23"/>
  <c r="J141" i="23"/>
  <c r="J138" i="23"/>
  <c r="K4" i="5" l="1"/>
  <c r="L6" i="3" s="1"/>
  <c r="J104" i="23"/>
  <c r="K18" i="23"/>
  <c r="J146" i="23"/>
  <c r="E4" i="17"/>
  <c r="E4" i="18" s="1"/>
  <c r="E4" i="21" s="1"/>
  <c r="I10" i="3"/>
  <c r="I113" i="2" s="1"/>
  <c r="I11" i="3"/>
  <c r="I114" i="2" s="1"/>
  <c r="I9" i="3"/>
  <c r="I112" i="2" s="1"/>
  <c r="E3" i="13"/>
  <c r="J54" i="10"/>
  <c r="E133" i="21" s="1"/>
  <c r="J55" i="10"/>
  <c r="E134" i="21" s="1"/>
  <c r="K4" i="3"/>
  <c r="L4" i="3"/>
  <c r="K6" i="3"/>
  <c r="I190" i="2"/>
  <c r="E282" i="8" s="1"/>
  <c r="E292" i="8"/>
  <c r="E296" i="8"/>
  <c r="I193" i="2"/>
  <c r="E283" i="8" s="1"/>
  <c r="F335" i="8"/>
  <c r="J192" i="2"/>
  <c r="J19" i="2"/>
  <c r="F301" i="8" s="1"/>
  <c r="J106" i="2"/>
  <c r="J11" i="2"/>
  <c r="F293" i="8" s="1"/>
  <c r="J57" i="2"/>
  <c r="F309" i="8" s="1"/>
  <c r="J56" i="2"/>
  <c r="F308" i="8" s="1"/>
  <c r="J111" i="2"/>
  <c r="F6" i="13" s="1"/>
  <c r="F19" i="21" s="1"/>
  <c r="J189" i="2"/>
  <c r="J12" i="2"/>
  <c r="F294" i="8" s="1"/>
  <c r="F332" i="8"/>
  <c r="E57" i="6"/>
  <c r="E58" i="6" s="1"/>
  <c r="J110" i="2"/>
  <c r="J231" i="2" s="1"/>
  <c r="I231" i="2"/>
  <c r="I54" i="2"/>
  <c r="I198" i="2"/>
  <c r="I195" i="2"/>
  <c r="J18" i="10"/>
  <c r="I13" i="2"/>
  <c r="E295" i="8" s="1"/>
  <c r="E4" i="13"/>
  <c r="I55" i="2"/>
  <c r="E307" i="8" s="1"/>
  <c r="I156" i="23"/>
  <c r="I157" i="23" s="1"/>
  <c r="I104" i="23"/>
  <c r="J18" i="23"/>
  <c r="H172" i="23"/>
  <c r="H169" i="23"/>
  <c r="H179" i="23" s="1"/>
  <c r="H173" i="23"/>
  <c r="H182" i="23" s="1"/>
  <c r="H168" i="23"/>
  <c r="G170" i="23"/>
  <c r="G171" i="23" s="1"/>
  <c r="G181" i="23"/>
  <c r="G180" i="23" s="1"/>
  <c r="I14" i="2" l="1"/>
  <c r="I10" i="2"/>
  <c r="E5" i="15" s="1"/>
  <c r="E43" i="21" s="1"/>
  <c r="E15" i="15"/>
  <c r="E53" i="21" s="1"/>
  <c r="E306" i="8"/>
  <c r="M4" i="3"/>
  <c r="N4" i="3" s="1"/>
  <c r="O4" i="3" s="1"/>
  <c r="J52" i="10"/>
  <c r="E3" i="18"/>
  <c r="E16" i="21"/>
  <c r="F4" i="17"/>
  <c r="F4" i="18" s="1"/>
  <c r="F4" i="21" s="1"/>
  <c r="F3" i="13"/>
  <c r="K54" i="10"/>
  <c r="F133" i="21" s="1"/>
  <c r="K55" i="10"/>
  <c r="F134" i="21" s="1"/>
  <c r="J11" i="3"/>
  <c r="J114" i="2" s="1"/>
  <c r="E13" i="13"/>
  <c r="E303" i="8"/>
  <c r="K110" i="2"/>
  <c r="M6" i="3"/>
  <c r="N6" i="3" s="1"/>
  <c r="J57" i="10"/>
  <c r="J9" i="3"/>
  <c r="J112" i="2" s="1"/>
  <c r="I63" i="2"/>
  <c r="E315" i="8" s="1"/>
  <c r="E7" i="13"/>
  <c r="J17" i="10"/>
  <c r="E96" i="21" s="1"/>
  <c r="E97" i="21"/>
  <c r="J193" i="2"/>
  <c r="F283" i="8" s="1"/>
  <c r="F296" i="8"/>
  <c r="J14" i="2"/>
  <c r="J10" i="3"/>
  <c r="J113" i="2" s="1"/>
  <c r="E9" i="13"/>
  <c r="I58" i="2"/>
  <c r="E310" i="8" s="1"/>
  <c r="I199" i="2"/>
  <c r="E284" i="8" s="1"/>
  <c r="E287" i="8" s="1"/>
  <c r="I119" i="2" s="1"/>
  <c r="I150" i="2" s="1"/>
  <c r="E298" i="8"/>
  <c r="I16" i="2"/>
  <c r="J195" i="2"/>
  <c r="J198" i="2"/>
  <c r="J54" i="2"/>
  <c r="K57" i="10" s="1"/>
  <c r="F4" i="13"/>
  <c r="K18" i="10"/>
  <c r="J55" i="2"/>
  <c r="F307" i="8" s="1"/>
  <c r="J13" i="2"/>
  <c r="F295" i="8" s="1"/>
  <c r="J190" i="2"/>
  <c r="F282" i="8" s="1"/>
  <c r="F292" i="8"/>
  <c r="J10" i="2"/>
  <c r="F5" i="15" s="1"/>
  <c r="F43" i="21" s="1"/>
  <c r="K107" i="2"/>
  <c r="E17" i="21"/>
  <c r="E5" i="13"/>
  <c r="E297" i="8"/>
  <c r="I196" i="2"/>
  <c r="E269" i="8" s="1"/>
  <c r="E279" i="8" s="1"/>
  <c r="I118" i="2" s="1"/>
  <c r="I149" i="2" s="1"/>
  <c r="H178" i="23"/>
  <c r="H177" i="23" s="1"/>
  <c r="H166" i="23"/>
  <c r="H170" i="23"/>
  <c r="H171" i="23" s="1"/>
  <c r="H181" i="23"/>
  <c r="H180" i="23" s="1"/>
  <c r="J157" i="23"/>
  <c r="J10" i="23"/>
  <c r="I172" i="23"/>
  <c r="I169" i="23"/>
  <c r="I179" i="23" s="1"/>
  <c r="I173" i="23"/>
  <c r="I182" i="23" s="1"/>
  <c r="I168" i="23"/>
  <c r="I15" i="2" l="1"/>
  <c r="E8" i="18"/>
  <c r="E8" i="21" s="1"/>
  <c r="E18" i="21"/>
  <c r="E8" i="17"/>
  <c r="F16" i="21"/>
  <c r="F3" i="18"/>
  <c r="F297" i="8"/>
  <c r="J196" i="2"/>
  <c r="F269" i="8" s="1"/>
  <c r="F279" i="8" s="1"/>
  <c r="J118" i="2" s="1"/>
  <c r="J149" i="2" s="1"/>
  <c r="J15" i="2"/>
  <c r="F4" i="15" s="1"/>
  <c r="F42" i="21" s="1"/>
  <c r="J199" i="2"/>
  <c r="F284" i="8" s="1"/>
  <c r="F287" i="8" s="1"/>
  <c r="J119" i="2" s="1"/>
  <c r="J150" i="2" s="1"/>
  <c r="F298" i="8"/>
  <c r="F303" i="8" s="1"/>
  <c r="J16" i="2"/>
  <c r="K54" i="2"/>
  <c r="K13" i="2"/>
  <c r="G295" i="8" s="1"/>
  <c r="K198" i="2"/>
  <c r="K195" i="2"/>
  <c r="G4" i="13"/>
  <c r="L18" i="10"/>
  <c r="K55" i="2"/>
  <c r="G307" i="8" s="1"/>
  <c r="E26" i="21"/>
  <c r="E14" i="13"/>
  <c r="E27" i="21" s="1"/>
  <c r="E13" i="18"/>
  <c r="E13" i="21" s="1"/>
  <c r="E3" i="21"/>
  <c r="E20" i="21"/>
  <c r="E8" i="13"/>
  <c r="E21" i="21" s="1"/>
  <c r="J63" i="2"/>
  <c r="F315" i="8" s="1"/>
  <c r="F7" i="13"/>
  <c r="F13" i="13"/>
  <c r="L107" i="2"/>
  <c r="G335" i="8"/>
  <c r="K19" i="2"/>
  <c r="G301" i="8" s="1"/>
  <c r="K11" i="2"/>
  <c r="G293" i="8" s="1"/>
  <c r="K106" i="2"/>
  <c r="K10" i="3" s="1"/>
  <c r="K111" i="2"/>
  <c r="G6" i="13" s="1"/>
  <c r="G19" i="21" s="1"/>
  <c r="K56" i="2"/>
  <c r="G308" i="8" s="1"/>
  <c r="K57" i="2"/>
  <c r="G309" i="8" s="1"/>
  <c r="K189" i="2"/>
  <c r="K192" i="2"/>
  <c r="G332" i="8"/>
  <c r="K12" i="2"/>
  <c r="G294" i="8" s="1"/>
  <c r="F57" i="6"/>
  <c r="F58" i="6" s="1"/>
  <c r="K231" i="2"/>
  <c r="K52" i="10"/>
  <c r="E131" i="21"/>
  <c r="J51" i="10"/>
  <c r="K17" i="10"/>
  <c r="F96" i="21" s="1"/>
  <c r="F97" i="21"/>
  <c r="F5" i="13"/>
  <c r="F17" i="21"/>
  <c r="E136" i="21"/>
  <c r="J58" i="10"/>
  <c r="E137" i="21" s="1"/>
  <c r="E320" i="8"/>
  <c r="E322" i="8" s="1"/>
  <c r="E4" i="15"/>
  <c r="E42" i="21" s="1"/>
  <c r="J50" i="10"/>
  <c r="E22" i="21"/>
  <c r="E10" i="13"/>
  <c r="E23" i="21" s="1"/>
  <c r="J58" i="2"/>
  <c r="F310" i="8" s="1"/>
  <c r="F9" i="13"/>
  <c r="K58" i="10"/>
  <c r="F137" i="21" s="1"/>
  <c r="F136" i="21"/>
  <c r="P4" i="3"/>
  <c r="Q4" i="3" s="1"/>
  <c r="F15" i="15"/>
  <c r="F53" i="21" s="1"/>
  <c r="F306" i="8"/>
  <c r="O6" i="3"/>
  <c r="J172" i="23"/>
  <c r="J169" i="23"/>
  <c r="J179" i="23" s="1"/>
  <c r="J173" i="23"/>
  <c r="J182" i="23" s="1"/>
  <c r="J168" i="23"/>
  <c r="H174" i="23"/>
  <c r="H183" i="23" s="1"/>
  <c r="I178" i="23"/>
  <c r="I177" i="23" s="1"/>
  <c r="I166" i="23"/>
  <c r="I170" i="23"/>
  <c r="I171" i="23" s="1"/>
  <c r="I181" i="23"/>
  <c r="I180" i="23" s="1"/>
  <c r="K9" i="3" l="1"/>
  <c r="K11" i="3"/>
  <c r="K114" i="2" s="1"/>
  <c r="G13" i="13" s="1"/>
  <c r="G26" i="21" s="1"/>
  <c r="L9" i="3"/>
  <c r="K112" i="2"/>
  <c r="F10" i="13"/>
  <c r="F23" i="21" s="1"/>
  <c r="F22" i="21"/>
  <c r="F13" i="18"/>
  <c r="F13" i="21" s="1"/>
  <c r="F3" i="21"/>
  <c r="G292" i="8"/>
  <c r="K190" i="2"/>
  <c r="G282" i="8" s="1"/>
  <c r="K10" i="2"/>
  <c r="G5" i="15" s="1"/>
  <c r="G43" i="21" s="1"/>
  <c r="F131" i="21"/>
  <c r="K51" i="10"/>
  <c r="F130" i="21" s="1"/>
  <c r="J59" i="10"/>
  <c r="E138" i="21" s="1"/>
  <c r="E130" i="21"/>
  <c r="G306" i="8"/>
  <c r="G15" i="15"/>
  <c r="G53" i="21" s="1"/>
  <c r="F322" i="8"/>
  <c r="L10" i="3"/>
  <c r="K113" i="2"/>
  <c r="J49" i="10"/>
  <c r="E129" i="21"/>
  <c r="E324" i="8"/>
  <c r="I157" i="2" s="1"/>
  <c r="E5" i="16" s="1"/>
  <c r="E69" i="21" s="1"/>
  <c r="J43" i="10"/>
  <c r="E122" i="21" s="1"/>
  <c r="J60" i="10"/>
  <c r="E139" i="21" s="1"/>
  <c r="G4" i="17"/>
  <c r="G4" i="18" s="1"/>
  <c r="G4" i="21" s="1"/>
  <c r="G3" i="13"/>
  <c r="G5" i="13" s="1"/>
  <c r="L54" i="10"/>
  <c r="G133" i="21" s="1"/>
  <c r="L55" i="10"/>
  <c r="G134" i="21" s="1"/>
  <c r="F8" i="17"/>
  <c r="F18" i="21"/>
  <c r="F8" i="18"/>
  <c r="F8" i="21" s="1"/>
  <c r="G17" i="21"/>
  <c r="S4" i="3"/>
  <c r="L11" i="3"/>
  <c r="F8" i="13"/>
  <c r="F21" i="21" s="1"/>
  <c r="F20" i="21"/>
  <c r="G97" i="21"/>
  <c r="L17" i="10"/>
  <c r="G96" i="21" s="1"/>
  <c r="P6" i="3"/>
  <c r="L19" i="2"/>
  <c r="H301" i="8" s="1"/>
  <c r="L111" i="2"/>
  <c r="L189" i="2"/>
  <c r="L12" i="2"/>
  <c r="H294" i="8" s="1"/>
  <c r="M107" i="2"/>
  <c r="H335" i="8"/>
  <c r="L56" i="2"/>
  <c r="H308" i="8" s="1"/>
  <c r="L11" i="2"/>
  <c r="H293" i="8" s="1"/>
  <c r="L57" i="2"/>
  <c r="H309" i="8" s="1"/>
  <c r="H332" i="8"/>
  <c r="L192" i="2"/>
  <c r="L106" i="2"/>
  <c r="G57" i="6"/>
  <c r="G58" i="6" s="1"/>
  <c r="L110" i="2"/>
  <c r="G297" i="8"/>
  <c r="K196" i="2"/>
  <c r="G269" i="8" s="1"/>
  <c r="G279" i="8" s="1"/>
  <c r="K118" i="2" s="1"/>
  <c r="K149" i="2" s="1"/>
  <c r="K15" i="2"/>
  <c r="G4" i="15" s="1"/>
  <c r="G42" i="21" s="1"/>
  <c r="R4" i="3"/>
  <c r="K193" i="2"/>
  <c r="G283" i="8" s="1"/>
  <c r="G296" i="8"/>
  <c r="K14" i="2"/>
  <c r="L50" i="10"/>
  <c r="L57" i="10"/>
  <c r="K50" i="10"/>
  <c r="F320" i="8"/>
  <c r="F26" i="21"/>
  <c r="F14" i="13"/>
  <c r="F27" i="21" s="1"/>
  <c r="G298" i="8"/>
  <c r="K199" i="2"/>
  <c r="G284" i="8" s="1"/>
  <c r="T4" i="3"/>
  <c r="I167" i="23"/>
  <c r="I174" i="23"/>
  <c r="I183" i="23" s="1"/>
  <c r="J178" i="23"/>
  <c r="J177" i="23" s="1"/>
  <c r="J166" i="23"/>
  <c r="J170" i="23"/>
  <c r="J171" i="23" s="1"/>
  <c r="J181" i="23"/>
  <c r="J180" i="23" s="1"/>
  <c r="K16" i="2" l="1"/>
  <c r="L52" i="10"/>
  <c r="G131" i="21" s="1"/>
  <c r="G8" i="18"/>
  <c r="G8" i="21" s="1"/>
  <c r="G8" i="17"/>
  <c r="G18" i="21"/>
  <c r="K43" i="10"/>
  <c r="F122" i="21" s="1"/>
  <c r="M10" i="3"/>
  <c r="L113" i="2"/>
  <c r="L58" i="2" s="1"/>
  <c r="H310" i="8" s="1"/>
  <c r="L231" i="2"/>
  <c r="L55" i="2"/>
  <c r="H307" i="8" s="1"/>
  <c r="M18" i="10"/>
  <c r="M17" i="10" s="1"/>
  <c r="L198" i="2"/>
  <c r="L54" i="2"/>
  <c r="H306" i="8" s="1"/>
  <c r="L13" i="2"/>
  <c r="H295" i="8" s="1"/>
  <c r="L195" i="2"/>
  <c r="M57" i="10"/>
  <c r="M58" i="10" s="1"/>
  <c r="K60" i="10"/>
  <c r="F139" i="21" s="1"/>
  <c r="M11" i="3"/>
  <c r="L114" i="2"/>
  <c r="F129" i="21"/>
  <c r="K49" i="10"/>
  <c r="G136" i="21"/>
  <c r="L58" i="10"/>
  <c r="G137" i="21" s="1"/>
  <c r="L49" i="10"/>
  <c r="G129" i="21"/>
  <c r="G303" i="8"/>
  <c r="M54" i="10"/>
  <c r="M55" i="10"/>
  <c r="G287" i="8"/>
  <c r="K119" i="2" s="1"/>
  <c r="K150" i="2" s="1"/>
  <c r="L193" i="2"/>
  <c r="H283" i="8" s="1"/>
  <c r="H296" i="8"/>
  <c r="L14" i="2"/>
  <c r="F324" i="8"/>
  <c r="J157" i="2" s="1"/>
  <c r="F5" i="16" s="1"/>
  <c r="F69" i="21" s="1"/>
  <c r="G7" i="13"/>
  <c r="K63" i="2"/>
  <c r="G315" i="8" s="1"/>
  <c r="K58" i="2"/>
  <c r="G310" i="8" s="1"/>
  <c r="G9" i="13"/>
  <c r="M57" i="2"/>
  <c r="I309" i="8" s="1"/>
  <c r="M11" i="2"/>
  <c r="I293" i="8" s="1"/>
  <c r="M111" i="2"/>
  <c r="M192" i="2"/>
  <c r="M189" i="2"/>
  <c r="M19" i="2"/>
  <c r="I301" i="8" s="1"/>
  <c r="M56" i="2"/>
  <c r="I308" i="8" s="1"/>
  <c r="M12" i="2"/>
  <c r="I294" i="8" s="1"/>
  <c r="N107" i="2"/>
  <c r="I335" i="8"/>
  <c r="I332" i="8"/>
  <c r="M106" i="2"/>
  <c r="H57" i="6"/>
  <c r="H58" i="6" s="1"/>
  <c r="M110" i="2"/>
  <c r="L190" i="2"/>
  <c r="H282" i="8" s="1"/>
  <c r="H292" i="8"/>
  <c r="Q6" i="3"/>
  <c r="L51" i="10"/>
  <c r="G14" i="13"/>
  <c r="G27" i="21" s="1"/>
  <c r="G16" i="21"/>
  <c r="G3" i="18"/>
  <c r="J48" i="10"/>
  <c r="E127" i="21" s="1"/>
  <c r="E128" i="21"/>
  <c r="M9" i="3"/>
  <c r="L112" i="2"/>
  <c r="L63" i="2" s="1"/>
  <c r="H315" i="8" s="1"/>
  <c r="J167" i="23"/>
  <c r="J174" i="23"/>
  <c r="J183" i="23" s="1"/>
  <c r="G91" i="23"/>
  <c r="G129" i="23" s="1"/>
  <c r="G168" i="23"/>
  <c r="G178" i="23" s="1"/>
  <c r="G177" i="23" s="1"/>
  <c r="G320" i="8" l="1"/>
  <c r="N11" i="3"/>
  <c r="M114" i="2"/>
  <c r="M55" i="2"/>
  <c r="I307" i="8" s="1"/>
  <c r="M198" i="2"/>
  <c r="M13" i="2"/>
  <c r="I295" i="8" s="1"/>
  <c r="M195" i="2"/>
  <c r="M54" i="2"/>
  <c r="I306" i="8" s="1"/>
  <c r="N18" i="10"/>
  <c r="N17" i="10" s="1"/>
  <c r="N57" i="10"/>
  <c r="N58" i="10" s="1"/>
  <c r="H297" i="8"/>
  <c r="L196" i="2"/>
  <c r="H269" i="8" s="1"/>
  <c r="H279" i="8" s="1"/>
  <c r="L118" i="2" s="1"/>
  <c r="L149" i="2" s="1"/>
  <c r="L15" i="2"/>
  <c r="M50" i="10" s="1"/>
  <c r="M49" i="10" s="1"/>
  <c r="M48" i="10" s="1"/>
  <c r="G13" i="18"/>
  <c r="G13" i="21" s="1"/>
  <c r="G3" i="21"/>
  <c r="G322" i="8"/>
  <c r="O107" i="2"/>
  <c r="N19" i="2"/>
  <c r="J301" i="8" s="1"/>
  <c r="N57" i="2"/>
  <c r="J309" i="8" s="1"/>
  <c r="N56" i="2"/>
  <c r="J308" i="8" s="1"/>
  <c r="N11" i="2"/>
  <c r="J293" i="8" s="1"/>
  <c r="J332" i="8"/>
  <c r="N12" i="2"/>
  <c r="J294" i="8" s="1"/>
  <c r="N111" i="2"/>
  <c r="N189" i="2"/>
  <c r="N192" i="2"/>
  <c r="J335" i="8"/>
  <c r="N106" i="2"/>
  <c r="I57" i="6"/>
  <c r="I58" i="6" s="1"/>
  <c r="N110" i="2"/>
  <c r="G130" i="21"/>
  <c r="L59" i="10"/>
  <c r="G138" i="21" s="1"/>
  <c r="I292" i="8"/>
  <c r="M190" i="2"/>
  <c r="I282" i="8" s="1"/>
  <c r="H298" i="8"/>
  <c r="L199" i="2"/>
  <c r="H284" i="8" s="1"/>
  <c r="H287" i="8" s="1"/>
  <c r="L119" i="2" s="1"/>
  <c r="L150" i="2" s="1"/>
  <c r="L48" i="10"/>
  <c r="G127" i="21" s="1"/>
  <c r="G128" i="21"/>
  <c r="N10" i="3"/>
  <c r="M113" i="2"/>
  <c r="M58" i="2" s="1"/>
  <c r="I310" i="8" s="1"/>
  <c r="N54" i="10"/>
  <c r="N55" i="10"/>
  <c r="H320" i="8"/>
  <c r="M193" i="2"/>
  <c r="I283" i="8" s="1"/>
  <c r="I296" i="8"/>
  <c r="M14" i="2"/>
  <c r="G8" i="13"/>
  <c r="G21" i="21" s="1"/>
  <c r="G20" i="21"/>
  <c r="N9" i="3"/>
  <c r="M112" i="2"/>
  <c r="M231" i="2"/>
  <c r="T6" i="3"/>
  <c r="S6" i="3"/>
  <c r="R6" i="3"/>
  <c r="K59" i="10"/>
  <c r="F138" i="21" s="1"/>
  <c r="F128" i="21"/>
  <c r="K48" i="10"/>
  <c r="F127" i="21" s="1"/>
  <c r="L10" i="2"/>
  <c r="M52" i="10" s="1"/>
  <c r="M51" i="10" s="1"/>
  <c r="G22" i="21"/>
  <c r="G10" i="13"/>
  <c r="G23" i="21" s="1"/>
  <c r="G166" i="23"/>
  <c r="G174" i="23" s="1"/>
  <c r="G183" i="23" s="1"/>
  <c r="G167" i="23"/>
  <c r="M10" i="2" l="1"/>
  <c r="N52" i="10" s="1"/>
  <c r="N51" i="10" s="1"/>
  <c r="H303" i="8"/>
  <c r="L43" i="10"/>
  <c r="G122" i="21" s="1"/>
  <c r="L60" i="10"/>
  <c r="G139" i="21" s="1"/>
  <c r="G324" i="8"/>
  <c r="K157" i="2" s="1"/>
  <c r="M63" i="2"/>
  <c r="I315" i="8" s="1"/>
  <c r="I320" i="8" s="1"/>
  <c r="N54" i="2"/>
  <c r="J306" i="8" s="1"/>
  <c r="N13" i="2"/>
  <c r="J295" i="8" s="1"/>
  <c r="N198" i="2"/>
  <c r="O18" i="10"/>
  <c r="O17" i="10" s="1"/>
  <c r="N55" i="2"/>
  <c r="J307" i="8" s="1"/>
  <c r="N195" i="2"/>
  <c r="O57" i="10"/>
  <c r="O58" i="10" s="1"/>
  <c r="H167" i="23"/>
  <c r="N231" i="2"/>
  <c r="H322" i="8"/>
  <c r="M60" i="10" s="1"/>
  <c r="O54" i="10"/>
  <c r="O55" i="10"/>
  <c r="O9" i="3"/>
  <c r="N112" i="2"/>
  <c r="K335" i="8"/>
  <c r="P107" i="2"/>
  <c r="O106" i="2"/>
  <c r="O19" i="2"/>
  <c r="K301" i="8" s="1"/>
  <c r="O57" i="2"/>
  <c r="K309" i="8" s="1"/>
  <c r="O192" i="2"/>
  <c r="O12" i="2"/>
  <c r="K294" i="8" s="1"/>
  <c r="O56" i="2"/>
  <c r="K308" i="8" s="1"/>
  <c r="O111" i="2"/>
  <c r="K332" i="8"/>
  <c r="O189" i="2"/>
  <c r="O11" i="2"/>
  <c r="K293" i="8" s="1"/>
  <c r="J57" i="6"/>
  <c r="J58" i="6" s="1"/>
  <c r="O110" i="2"/>
  <c r="M59" i="10"/>
  <c r="N193" i="2"/>
  <c r="J283" i="8" s="1"/>
  <c r="J296" i="8"/>
  <c r="N190" i="2"/>
  <c r="J282" i="8" s="1"/>
  <c r="J292" i="8"/>
  <c r="N10" i="2"/>
  <c r="O52" i="10" s="1"/>
  <c r="O51" i="10" s="1"/>
  <c r="O10" i="3"/>
  <c r="N113" i="2"/>
  <c r="N58" i="2" s="1"/>
  <c r="J310" i="8" s="1"/>
  <c r="I297" i="8"/>
  <c r="M196" i="2"/>
  <c r="I269" i="8" s="1"/>
  <c r="I279" i="8" s="1"/>
  <c r="M118" i="2" s="1"/>
  <c r="M149" i="2" s="1"/>
  <c r="M15" i="2"/>
  <c r="N50" i="10" s="1"/>
  <c r="N49" i="10" s="1"/>
  <c r="I298" i="8"/>
  <c r="M199" i="2"/>
  <c r="I284" i="8" s="1"/>
  <c r="I287" i="8" s="1"/>
  <c r="M119" i="2" s="1"/>
  <c r="M150" i="2" s="1"/>
  <c r="L16" i="2"/>
  <c r="O11" i="3"/>
  <c r="N114" i="2"/>
  <c r="M16" i="2" l="1"/>
  <c r="I303" i="8"/>
  <c r="I322" i="8" s="1"/>
  <c r="N14" i="2"/>
  <c r="N48" i="10"/>
  <c r="N59" i="10"/>
  <c r="I324" i="8"/>
  <c r="M157" i="2" s="1"/>
  <c r="F20" i="6" s="1"/>
  <c r="N43" i="10"/>
  <c r="O193" i="2"/>
  <c r="K283" i="8" s="1"/>
  <c r="K296" i="8"/>
  <c r="O14" i="2"/>
  <c r="J297" i="8"/>
  <c r="N196" i="2"/>
  <c r="J269" i="8" s="1"/>
  <c r="J279" i="8" s="1"/>
  <c r="N118" i="2" s="1"/>
  <c r="N149" i="2" s="1"/>
  <c r="P10" i="3"/>
  <c r="O113" i="2"/>
  <c r="O58" i="2" s="1"/>
  <c r="K310" i="8" s="1"/>
  <c r="J298" i="8"/>
  <c r="J303" i="8" s="1"/>
  <c r="N199" i="2"/>
  <c r="J284" i="8" s="1"/>
  <c r="J287" i="8" s="1"/>
  <c r="N119" i="2" s="1"/>
  <c r="N150" i="2" s="1"/>
  <c r="N63" i="2"/>
  <c r="J315" i="8" s="1"/>
  <c r="J320" i="8" s="1"/>
  <c r="P9" i="3"/>
  <c r="O112" i="2"/>
  <c r="P54" i="10"/>
  <c r="P55" i="10"/>
  <c r="P56" i="2"/>
  <c r="L308" i="8" s="1"/>
  <c r="P111" i="2"/>
  <c r="P12" i="2"/>
  <c r="L294" i="8" s="1"/>
  <c r="P57" i="2"/>
  <c r="L309" i="8" s="1"/>
  <c r="P189" i="2"/>
  <c r="P192" i="2"/>
  <c r="P11" i="2"/>
  <c r="L293" i="8" s="1"/>
  <c r="L332" i="8"/>
  <c r="L335" i="8"/>
  <c r="Q107" i="2"/>
  <c r="P106" i="2"/>
  <c r="P19" i="2"/>
  <c r="L301" i="8" s="1"/>
  <c r="K57" i="6"/>
  <c r="K58" i="6" s="1"/>
  <c r="P110" i="2"/>
  <c r="P11" i="3"/>
  <c r="O114" i="2"/>
  <c r="O231" i="2"/>
  <c r="O55" i="2"/>
  <c r="K307" i="8" s="1"/>
  <c r="O195" i="2"/>
  <c r="O54" i="2"/>
  <c r="K306" i="8" s="1"/>
  <c r="O13" i="2"/>
  <c r="K295" i="8" s="1"/>
  <c r="P18" i="10"/>
  <c r="P17" i="10" s="1"/>
  <c r="O198" i="2"/>
  <c r="G5" i="16"/>
  <c r="G69" i="21" s="1"/>
  <c r="D20" i="6"/>
  <c r="O190" i="2"/>
  <c r="K282" i="8" s="1"/>
  <c r="K292" i="8"/>
  <c r="O10" i="2"/>
  <c r="P52" i="10" s="1"/>
  <c r="P51" i="10" s="1"/>
  <c r="H324" i="8"/>
  <c r="L157" i="2" s="1"/>
  <c r="E20" i="6" s="1"/>
  <c r="M43" i="10"/>
  <c r="N60" i="10"/>
  <c r="J322" i="8" l="1"/>
  <c r="Q10" i="3"/>
  <c r="P113" i="2"/>
  <c r="P58" i="2" s="1"/>
  <c r="L310" i="8" s="1"/>
  <c r="O196" i="2"/>
  <c r="K269" i="8" s="1"/>
  <c r="K279" i="8" s="1"/>
  <c r="O118" i="2" s="1"/>
  <c r="O149" i="2" s="1"/>
  <c r="K297" i="8"/>
  <c r="O15" i="2"/>
  <c r="P231" i="2"/>
  <c r="P54" i="2"/>
  <c r="L306" i="8" s="1"/>
  <c r="Q18" i="10"/>
  <c r="Q17" i="10" s="1"/>
  <c r="P195" i="2"/>
  <c r="P13" i="2"/>
  <c r="L295" i="8" s="1"/>
  <c r="P55" i="2"/>
  <c r="L307" i="8" s="1"/>
  <c r="P198" i="2"/>
  <c r="Q57" i="10"/>
  <c r="Q58" i="10" s="1"/>
  <c r="K303" i="8"/>
  <c r="Q9" i="3"/>
  <c r="P112" i="2"/>
  <c r="N15" i="2"/>
  <c r="O50" i="10" s="1"/>
  <c r="O49" i="10" s="1"/>
  <c r="Q11" i="3"/>
  <c r="P114" i="2"/>
  <c r="Q54" i="10"/>
  <c r="Q55" i="10"/>
  <c r="O63" i="2"/>
  <c r="K315" i="8" s="1"/>
  <c r="K320" i="8" s="1"/>
  <c r="Q11" i="2"/>
  <c r="M293" i="8" s="1"/>
  <c r="Q56" i="2"/>
  <c r="M308" i="8" s="1"/>
  <c r="Q57" i="2"/>
  <c r="M309" i="8" s="1"/>
  <c r="Q19" i="2"/>
  <c r="M301" i="8" s="1"/>
  <c r="M335" i="8"/>
  <c r="M332" i="8"/>
  <c r="Q189" i="2"/>
  <c r="Q192" i="2"/>
  <c r="Q111" i="2"/>
  <c r="Q106" i="2"/>
  <c r="Q12" i="2"/>
  <c r="M294" i="8" s="1"/>
  <c r="R107" i="2"/>
  <c r="L57" i="6"/>
  <c r="L58" i="6" s="1"/>
  <c r="Q110" i="2"/>
  <c r="P57" i="10"/>
  <c r="P58" i="10" s="1"/>
  <c r="L296" i="8"/>
  <c r="P193" i="2"/>
  <c r="L283" i="8" s="1"/>
  <c r="P14" i="2"/>
  <c r="K298" i="8"/>
  <c r="O199" i="2"/>
  <c r="K284" i="8" s="1"/>
  <c r="K287" i="8" s="1"/>
  <c r="O119" i="2" s="1"/>
  <c r="O150" i="2" s="1"/>
  <c r="P190" i="2"/>
  <c r="L282" i="8" s="1"/>
  <c r="L292" i="8"/>
  <c r="P10" i="2"/>
  <c r="Q52" i="10" s="1"/>
  <c r="Q51" i="10" s="1"/>
  <c r="N16" i="2"/>
  <c r="O16" i="2" l="1"/>
  <c r="P50" i="10"/>
  <c r="P49" i="10" s="1"/>
  <c r="P48" i="10" s="1"/>
  <c r="K322" i="8"/>
  <c r="Q193" i="2"/>
  <c r="M283" i="8" s="1"/>
  <c r="M296" i="8"/>
  <c r="Q14" i="2"/>
  <c r="Q231" i="2"/>
  <c r="Q55" i="2"/>
  <c r="M307" i="8" s="1"/>
  <c r="Q198" i="2"/>
  <c r="Q195" i="2"/>
  <c r="Q13" i="2"/>
  <c r="M295" i="8" s="1"/>
  <c r="Q54" i="2"/>
  <c r="M306" i="8" s="1"/>
  <c r="R18" i="10"/>
  <c r="R17" i="10" s="1"/>
  <c r="R57" i="10"/>
  <c r="R58" i="10" s="1"/>
  <c r="P199" i="2"/>
  <c r="L284" i="8" s="1"/>
  <c r="L287" i="8" s="1"/>
  <c r="P119" i="2" s="1"/>
  <c r="P150" i="2" s="1"/>
  <c r="L298" i="8"/>
  <c r="P196" i="2"/>
  <c r="L269" i="8" s="1"/>
  <c r="L279" i="8" s="1"/>
  <c r="P118" i="2" s="1"/>
  <c r="P149" i="2" s="1"/>
  <c r="L297" i="8"/>
  <c r="R189" i="2"/>
  <c r="R106" i="2"/>
  <c r="S107" i="2"/>
  <c r="R111" i="2"/>
  <c r="R192" i="2"/>
  <c r="R12" i="2"/>
  <c r="N294" i="8" s="1"/>
  <c r="N335" i="8"/>
  <c r="N332" i="8"/>
  <c r="R11" i="2"/>
  <c r="N293" i="8" s="1"/>
  <c r="R19" i="2"/>
  <c r="N301" i="8" s="1"/>
  <c r="R56" i="2"/>
  <c r="N308" i="8" s="1"/>
  <c r="R57" i="2"/>
  <c r="N309" i="8" s="1"/>
  <c r="M57" i="6"/>
  <c r="M58" i="6" s="1"/>
  <c r="R110" i="2"/>
  <c r="R54" i="10"/>
  <c r="R55" i="10"/>
  <c r="R11" i="3"/>
  <c r="Q114" i="2"/>
  <c r="M292" i="8"/>
  <c r="Q190" i="2"/>
  <c r="M282" i="8" s="1"/>
  <c r="Q10" i="2"/>
  <c r="R52" i="10" s="1"/>
  <c r="R51" i="10" s="1"/>
  <c r="O48" i="10"/>
  <c r="O59" i="10"/>
  <c r="P63" i="2"/>
  <c r="L315" i="8" s="1"/>
  <c r="L320" i="8" s="1"/>
  <c r="R10" i="3"/>
  <c r="Q113" i="2"/>
  <c r="Q58" i="2" s="1"/>
  <c r="M310" i="8" s="1"/>
  <c r="R9" i="3"/>
  <c r="Q112" i="2"/>
  <c r="O43" i="10"/>
  <c r="J324" i="8"/>
  <c r="N157" i="2" s="1"/>
  <c r="G20" i="6" s="1"/>
  <c r="O60" i="10"/>
  <c r="P60" i="10"/>
  <c r="L303" i="8" l="1"/>
  <c r="L322" i="8" s="1"/>
  <c r="P16" i="2"/>
  <c r="P59" i="10"/>
  <c r="L324" i="8"/>
  <c r="P157" i="2" s="1"/>
  <c r="I20" i="6" s="1"/>
  <c r="Q43" i="10"/>
  <c r="Q63" i="2"/>
  <c r="M315" i="8" s="1"/>
  <c r="M320" i="8" s="1"/>
  <c r="S9" i="3"/>
  <c r="R112" i="2"/>
  <c r="R231" i="2"/>
  <c r="R198" i="2"/>
  <c r="R13" i="2"/>
  <c r="N295" i="8" s="1"/>
  <c r="R54" i="2"/>
  <c r="N306" i="8" s="1"/>
  <c r="R55" i="2"/>
  <c r="N307" i="8" s="1"/>
  <c r="S18" i="10"/>
  <c r="S17" i="10" s="1"/>
  <c r="R195" i="2"/>
  <c r="S57" i="10"/>
  <c r="S58" i="10" s="1"/>
  <c r="S10" i="3"/>
  <c r="R113" i="2"/>
  <c r="R58" i="2" s="1"/>
  <c r="N310" i="8" s="1"/>
  <c r="Q196" i="2"/>
  <c r="M269" i="8" s="1"/>
  <c r="M279" i="8" s="1"/>
  <c r="Q118" i="2" s="1"/>
  <c r="Q149" i="2" s="1"/>
  <c r="M297" i="8"/>
  <c r="Q199" i="2"/>
  <c r="M284" i="8" s="1"/>
  <c r="M287" i="8" s="1"/>
  <c r="Q119" i="2" s="1"/>
  <c r="Q150" i="2" s="1"/>
  <c r="M298" i="8"/>
  <c r="Q16" i="2"/>
  <c r="N296" i="8"/>
  <c r="R193" i="2"/>
  <c r="N283" i="8" s="1"/>
  <c r="R14" i="2"/>
  <c r="O332" i="8"/>
  <c r="S189" i="2"/>
  <c r="S57" i="2"/>
  <c r="O309" i="8" s="1"/>
  <c r="S192" i="2"/>
  <c r="S111" i="2"/>
  <c r="S106" i="2"/>
  <c r="S12" i="2"/>
  <c r="O294" i="8" s="1"/>
  <c r="T107" i="2"/>
  <c r="S11" i="2"/>
  <c r="O293" i="8" s="1"/>
  <c r="O335" i="8"/>
  <c r="S19" i="2"/>
  <c r="O301" i="8" s="1"/>
  <c r="S56" i="2"/>
  <c r="O308" i="8" s="1"/>
  <c r="S110" i="2"/>
  <c r="P15" i="2"/>
  <c r="Q50" i="10" s="1"/>
  <c r="Q49" i="10" s="1"/>
  <c r="S11" i="3"/>
  <c r="R114" i="2"/>
  <c r="S54" i="10"/>
  <c r="S55" i="10"/>
  <c r="R190" i="2"/>
  <c r="N282" i="8" s="1"/>
  <c r="N292" i="8"/>
  <c r="K324" i="8"/>
  <c r="O157" i="2" s="1"/>
  <c r="H20" i="6" s="1"/>
  <c r="P43" i="10"/>
  <c r="Q60" i="10"/>
  <c r="Q15" i="2" l="1"/>
  <c r="S231" i="2"/>
  <c r="S55" i="2"/>
  <c r="O307" i="8" s="1"/>
  <c r="T18" i="10"/>
  <c r="T17" i="10" s="1"/>
  <c r="S195" i="2"/>
  <c r="S54" i="2"/>
  <c r="O306" i="8" s="1"/>
  <c r="S13" i="2"/>
  <c r="O295" i="8" s="1"/>
  <c r="S198" i="2"/>
  <c r="T57" i="10"/>
  <c r="T58" i="10" s="1"/>
  <c r="R199" i="2"/>
  <c r="N284" i="8" s="1"/>
  <c r="N287" i="8" s="1"/>
  <c r="R119" i="2" s="1"/>
  <c r="R150" i="2" s="1"/>
  <c r="N298" i="8"/>
  <c r="R16" i="2"/>
  <c r="R63" i="2"/>
  <c r="N315" i="8" s="1"/>
  <c r="N320" i="8" s="1"/>
  <c r="N297" i="8"/>
  <c r="N303" i="8" s="1"/>
  <c r="R196" i="2"/>
  <c r="N269" i="8" s="1"/>
  <c r="N279" i="8" s="1"/>
  <c r="R118" i="2" s="1"/>
  <c r="R149" i="2" s="1"/>
  <c r="Q48" i="10"/>
  <c r="Q59" i="10"/>
  <c r="R50" i="10"/>
  <c r="R49" i="10" s="1"/>
  <c r="O296" i="8"/>
  <c r="S193" i="2"/>
  <c r="O283" i="8" s="1"/>
  <c r="S14" i="2"/>
  <c r="O292" i="8"/>
  <c r="S190" i="2"/>
  <c r="O282" i="8" s="1"/>
  <c r="S10" i="2"/>
  <c r="T11" i="3"/>
  <c r="T114" i="2" s="1"/>
  <c r="S114" i="2"/>
  <c r="T9" i="3"/>
  <c r="T112" i="2" s="1"/>
  <c r="S112" i="2"/>
  <c r="M303" i="8"/>
  <c r="M322" i="8" s="1"/>
  <c r="T19" i="2"/>
  <c r="P301" i="8" s="1"/>
  <c r="T11" i="2"/>
  <c r="P293" i="8" s="1"/>
  <c r="P332" i="8"/>
  <c r="T57" i="2"/>
  <c r="P309" i="8" s="1"/>
  <c r="T189" i="2"/>
  <c r="T56" i="2"/>
  <c r="P308" i="8" s="1"/>
  <c r="T12" i="2"/>
  <c r="P294" i="8" s="1"/>
  <c r="T111" i="2"/>
  <c r="T106" i="2"/>
  <c r="P335" i="8"/>
  <c r="T192" i="2"/>
  <c r="T110" i="2"/>
  <c r="R10" i="2"/>
  <c r="S52" i="10" s="1"/>
  <c r="S51" i="10" s="1"/>
  <c r="T54" i="10"/>
  <c r="T55" i="10"/>
  <c r="T10" i="3"/>
  <c r="T113" i="2" s="1"/>
  <c r="T58" i="2" s="1"/>
  <c r="P310" i="8" s="1"/>
  <c r="S113" i="2"/>
  <c r="S58" i="2" s="1"/>
  <c r="O310" i="8" s="1"/>
  <c r="N322" i="8" l="1"/>
  <c r="S43" i="10"/>
  <c r="R60" i="10"/>
  <c r="R43" i="10"/>
  <c r="N324" i="8"/>
  <c r="R157" i="2" s="1"/>
  <c r="K20" i="6" s="1"/>
  <c r="M324" i="8"/>
  <c r="Q157" i="2" s="1"/>
  <c r="J20" i="6" s="1"/>
  <c r="S60" i="10"/>
  <c r="T63" i="2"/>
  <c r="P315" i="8" s="1"/>
  <c r="T231" i="2"/>
  <c r="T55" i="2"/>
  <c r="P307" i="8" s="1"/>
  <c r="T198" i="2"/>
  <c r="T195" i="2"/>
  <c r="T54" i="2"/>
  <c r="P306" i="8" s="1"/>
  <c r="U18" i="10"/>
  <c r="U17" i="10" s="1"/>
  <c r="T13" i="2"/>
  <c r="P295" i="8" s="1"/>
  <c r="R15" i="2"/>
  <c r="S50" i="10" s="1"/>
  <c r="S49" i="10" s="1"/>
  <c r="S48" i="10" s="1"/>
  <c r="S63" i="2"/>
  <c r="O315" i="8" s="1"/>
  <c r="O320" i="8" s="1"/>
  <c r="T52" i="10"/>
  <c r="T51" i="10" s="1"/>
  <c r="O298" i="8"/>
  <c r="S199" i="2"/>
  <c r="O284" i="8" s="1"/>
  <c r="O287" i="8" s="1"/>
  <c r="S119" i="2" s="1"/>
  <c r="S150" i="2" s="1"/>
  <c r="S16" i="2"/>
  <c r="P296" i="8"/>
  <c r="T193" i="2"/>
  <c r="P283" i="8" s="1"/>
  <c r="T14" i="2"/>
  <c r="U54" i="10"/>
  <c r="U55" i="10"/>
  <c r="O297" i="8"/>
  <c r="S196" i="2"/>
  <c r="O269" i="8" s="1"/>
  <c r="O279" i="8" s="1"/>
  <c r="S118" i="2" s="1"/>
  <c r="S149" i="2" s="1"/>
  <c r="R48" i="10"/>
  <c r="R59" i="10"/>
  <c r="P292" i="8"/>
  <c r="T190" i="2"/>
  <c r="P282" i="8" s="1"/>
  <c r="U57" i="10" l="1"/>
  <c r="U58" i="10" s="1"/>
  <c r="S15" i="2"/>
  <c r="T50" i="10" s="1"/>
  <c r="T49" i="10" s="1"/>
  <c r="P320" i="8"/>
  <c r="O303" i="8"/>
  <c r="T10" i="2"/>
  <c r="U52" i="10" s="1"/>
  <c r="U51" i="10" s="1"/>
  <c r="S59" i="10"/>
  <c r="P297" i="8"/>
  <c r="T196" i="2"/>
  <c r="P269" i="8" s="1"/>
  <c r="P279" i="8" s="1"/>
  <c r="T118" i="2" s="1"/>
  <c r="T149" i="2" s="1"/>
  <c r="P298" i="8"/>
  <c r="P303" i="8" s="1"/>
  <c r="P322" i="8" s="1"/>
  <c r="T199" i="2"/>
  <c r="P284" i="8" s="1"/>
  <c r="P287" i="8" s="1"/>
  <c r="T119" i="2" s="1"/>
  <c r="T150" i="2" s="1"/>
  <c r="O322" i="8"/>
  <c r="T59" i="10" l="1"/>
  <c r="T48" i="10"/>
  <c r="T16" i="2"/>
  <c r="T15" i="2"/>
  <c r="U50" i="10" s="1"/>
  <c r="U49" i="10" s="1"/>
  <c r="T43" i="10"/>
  <c r="T60" i="10"/>
  <c r="O324" i="8"/>
  <c r="S157" i="2" s="1"/>
  <c r="L20" i="6" s="1"/>
  <c r="U60" i="10"/>
  <c r="P324" i="8"/>
  <c r="T157" i="2" s="1"/>
  <c r="M20" i="6" s="1"/>
  <c r="U43" i="10"/>
  <c r="U48" i="10" l="1"/>
  <c r="U59" i="10"/>
  <c r="E5" i="21"/>
  <c r="F5" i="21"/>
  <c r="G5" i="21"/>
  <c r="E6" i="21"/>
  <c r="F6" i="21"/>
  <c r="G6" i="21"/>
  <c r="E7" i="21"/>
  <c r="F7" i="21"/>
  <c r="G7" i="21"/>
  <c r="E9" i="21"/>
  <c r="F9" i="21"/>
  <c r="G9" i="21"/>
  <c r="E10" i="21"/>
  <c r="F10" i="21"/>
  <c r="G10" i="21"/>
  <c r="E11" i="21"/>
  <c r="F11" i="21"/>
  <c r="G11" i="21"/>
  <c r="E12" i="21"/>
  <c r="F12" i="21"/>
  <c r="G12" i="21"/>
  <c r="E14" i="21"/>
  <c r="F14" i="21"/>
  <c r="G14" i="21"/>
  <c r="E24" i="21"/>
  <c r="F24" i="21"/>
  <c r="G24" i="21"/>
  <c r="E25" i="21"/>
  <c r="F25" i="21"/>
  <c r="G25" i="21"/>
  <c r="E29" i="21"/>
  <c r="F29" i="21"/>
  <c r="G29" i="21"/>
  <c r="E30" i="21"/>
  <c r="F30" i="21"/>
  <c r="G30" i="21"/>
  <c r="E31" i="21"/>
  <c r="F31" i="21"/>
  <c r="G31" i="21"/>
  <c r="E34" i="21"/>
  <c r="F34" i="21"/>
  <c r="G34" i="21"/>
  <c r="E35" i="21"/>
  <c r="F35" i="21"/>
  <c r="G35" i="21"/>
  <c r="E36" i="21"/>
  <c r="F36" i="21"/>
  <c r="G36" i="21"/>
  <c r="E37" i="21"/>
  <c r="F37" i="21"/>
  <c r="G37" i="21"/>
  <c r="E38" i="21"/>
  <c r="F38" i="21"/>
  <c r="G38" i="21"/>
  <c r="E39" i="21"/>
  <c r="F39" i="21"/>
  <c r="G39" i="21"/>
  <c r="E41" i="21"/>
  <c r="F41" i="21"/>
  <c r="G41" i="21"/>
  <c r="E44" i="21"/>
  <c r="F44" i="21"/>
  <c r="G44" i="21"/>
  <c r="E45" i="21"/>
  <c r="F45" i="21"/>
  <c r="G45" i="21"/>
  <c r="E51" i="21"/>
  <c r="F51" i="21"/>
  <c r="G51" i="21"/>
  <c r="E52" i="21"/>
  <c r="F52" i="21"/>
  <c r="G52" i="21"/>
  <c r="E54" i="21"/>
  <c r="F54" i="21"/>
  <c r="G54" i="21"/>
  <c r="E55" i="21"/>
  <c r="F55" i="21"/>
  <c r="G55" i="21"/>
  <c r="E59" i="21"/>
  <c r="F59" i="21"/>
  <c r="G59" i="21"/>
  <c r="E62" i="21"/>
  <c r="F62" i="21"/>
  <c r="G62" i="21"/>
  <c r="E63" i="21"/>
  <c r="F63" i="21"/>
  <c r="G63" i="21"/>
  <c r="E64" i="21"/>
  <c r="F64" i="21"/>
  <c r="G64" i="21"/>
  <c r="E65" i="21"/>
  <c r="F65" i="21"/>
  <c r="G65" i="21"/>
  <c r="E67" i="21"/>
  <c r="F67" i="21"/>
  <c r="G67" i="21"/>
  <c r="E70" i="21"/>
  <c r="F70" i="21"/>
  <c r="G70" i="21"/>
  <c r="E71" i="21"/>
  <c r="F71" i="21"/>
  <c r="G71" i="21"/>
  <c r="E77" i="21"/>
  <c r="F77" i="21"/>
  <c r="G77" i="21"/>
  <c r="E79" i="21"/>
  <c r="F79" i="21"/>
  <c r="G79" i="21"/>
  <c r="E80" i="21"/>
  <c r="F80" i="21"/>
  <c r="G80" i="21"/>
  <c r="E81" i="21"/>
  <c r="F81" i="21"/>
  <c r="G81" i="21"/>
  <c r="E84" i="21"/>
  <c r="F84" i="21"/>
  <c r="G84" i="21"/>
  <c r="E85" i="21"/>
  <c r="F85" i="21"/>
  <c r="G85" i="21"/>
  <c r="E86" i="21"/>
  <c r="F86" i="21"/>
  <c r="G86" i="21"/>
  <c r="E87" i="21"/>
  <c r="F87" i="21"/>
  <c r="G87" i="21"/>
  <c r="E88" i="21"/>
  <c r="F88" i="21"/>
  <c r="G88" i="21"/>
  <c r="E89" i="21"/>
  <c r="F89" i="21"/>
  <c r="G89" i="21"/>
  <c r="E90" i="21"/>
  <c r="F90" i="21"/>
  <c r="G90" i="21"/>
  <c r="E92" i="21"/>
  <c r="F92" i="21"/>
  <c r="G92" i="21"/>
  <c r="E93" i="21"/>
  <c r="F93" i="21"/>
  <c r="G93" i="21"/>
  <c r="E94" i="21"/>
  <c r="F94" i="21"/>
  <c r="G94" i="21"/>
  <c r="E95" i="21"/>
  <c r="F95" i="21"/>
  <c r="G95" i="21"/>
  <c r="E98" i="21"/>
  <c r="F98" i="21"/>
  <c r="G98" i="21"/>
  <c r="E99" i="21"/>
  <c r="F99" i="21"/>
  <c r="G99" i="21"/>
  <c r="E100" i="21"/>
  <c r="F100" i="21"/>
  <c r="G100" i="21"/>
  <c r="E101" i="21"/>
  <c r="F101" i="21"/>
  <c r="G101" i="21"/>
  <c r="E102" i="21"/>
  <c r="F102" i="21"/>
  <c r="G102" i="21"/>
  <c r="E104" i="21"/>
  <c r="F104" i="21"/>
  <c r="G104" i="21"/>
  <c r="E105" i="21"/>
  <c r="F105" i="21"/>
  <c r="G105" i="21"/>
  <c r="E106" i="21"/>
  <c r="F106" i="21"/>
  <c r="G106" i="21"/>
  <c r="E107" i="21"/>
  <c r="F107" i="21"/>
  <c r="G107" i="21"/>
  <c r="E108" i="21"/>
  <c r="F108" i="21"/>
  <c r="G108" i="21"/>
  <c r="E109" i="21"/>
  <c r="F109" i="21"/>
  <c r="G109" i="21"/>
  <c r="E111" i="21"/>
  <c r="F111" i="21"/>
  <c r="G111" i="21"/>
  <c r="E112" i="21"/>
  <c r="F112" i="21"/>
  <c r="G112" i="21"/>
  <c r="E113" i="21"/>
  <c r="F113" i="21"/>
  <c r="G113" i="21"/>
  <c r="E114" i="21"/>
  <c r="F114" i="21"/>
  <c r="G114" i="21"/>
  <c r="E115" i="21"/>
  <c r="F115" i="21"/>
  <c r="G115" i="21"/>
  <c r="E116" i="21"/>
  <c r="F116" i="21"/>
  <c r="G116" i="21"/>
  <c r="E117" i="21"/>
  <c r="F117" i="21"/>
  <c r="G117" i="21"/>
  <c r="E118" i="21"/>
  <c r="F118" i="21"/>
  <c r="G118" i="21"/>
  <c r="E119" i="21"/>
  <c r="F119" i="21"/>
  <c r="G119" i="21"/>
  <c r="E120" i="21"/>
  <c r="F120" i="21"/>
  <c r="G120" i="21"/>
  <c r="E121" i="21"/>
  <c r="F121" i="21"/>
  <c r="G121" i="21"/>
  <c r="E123" i="21"/>
  <c r="F123" i="21"/>
  <c r="G123" i="21"/>
  <c r="E124" i="21"/>
  <c r="F124" i="21"/>
  <c r="G124" i="21"/>
  <c r="E125" i="21"/>
  <c r="F125" i="21"/>
  <c r="G125" i="21"/>
  <c r="E132" i="21"/>
  <c r="F132" i="21"/>
  <c r="G132" i="21"/>
  <c r="E135" i="21"/>
  <c r="F135" i="21"/>
  <c r="G135" i="21"/>
  <c r="E142" i="21"/>
  <c r="F142" i="21"/>
  <c r="G142" i="21"/>
  <c r="E143" i="21"/>
  <c r="F143" i="21"/>
  <c r="G143" i="21"/>
  <c r="C6" i="6"/>
  <c r="C8" i="6"/>
  <c r="C9" i="6"/>
  <c r="C11" i="6"/>
  <c r="C12" i="6"/>
  <c r="D16" i="6"/>
  <c r="E16" i="6"/>
  <c r="F16" i="6"/>
  <c r="G16" i="6"/>
  <c r="H16" i="6"/>
  <c r="I16" i="6"/>
  <c r="J16" i="6"/>
  <c r="K16" i="6"/>
  <c r="L16" i="6"/>
  <c r="M16" i="6"/>
  <c r="D18" i="6"/>
  <c r="E18" i="6"/>
  <c r="F18" i="6"/>
  <c r="G18" i="6"/>
  <c r="H18" i="6"/>
  <c r="I18" i="6"/>
  <c r="J18" i="6"/>
  <c r="K18" i="6"/>
  <c r="L18" i="6"/>
  <c r="M18" i="6"/>
  <c r="D22" i="6"/>
  <c r="E22" i="6"/>
  <c r="F22" i="6"/>
  <c r="G22" i="6"/>
  <c r="H22" i="6"/>
  <c r="I22" i="6"/>
  <c r="J22" i="6"/>
  <c r="K22" i="6"/>
  <c r="L22" i="6"/>
  <c r="M22" i="6"/>
  <c r="D23" i="6"/>
  <c r="E23" i="6"/>
  <c r="F23" i="6"/>
  <c r="G23" i="6"/>
  <c r="H23" i="6"/>
  <c r="I23" i="6"/>
  <c r="J23" i="6"/>
  <c r="K23" i="6"/>
  <c r="L23" i="6"/>
  <c r="M23" i="6"/>
  <c r="D24" i="6"/>
  <c r="D25" i="6"/>
  <c r="D26" i="6"/>
  <c r="D27" i="6"/>
  <c r="D28" i="6"/>
  <c r="D29" i="6"/>
  <c r="D30" i="6"/>
  <c r="D32" i="6"/>
  <c r="D45" i="6"/>
  <c r="E45" i="6"/>
  <c r="F45" i="6"/>
  <c r="G45" i="6"/>
  <c r="H45" i="6"/>
  <c r="I45" i="6"/>
  <c r="J45" i="6"/>
  <c r="K45" i="6"/>
  <c r="L45" i="6"/>
  <c r="M45" i="6"/>
  <c r="D46" i="6"/>
  <c r="E46" i="6"/>
  <c r="F46" i="6"/>
  <c r="G46" i="6"/>
  <c r="H46" i="6"/>
  <c r="I46" i="6"/>
  <c r="J46" i="6"/>
  <c r="K46" i="6"/>
  <c r="L46" i="6"/>
  <c r="M46" i="6"/>
  <c r="D51" i="6"/>
  <c r="E51" i="6"/>
  <c r="F51" i="6"/>
  <c r="G51" i="6"/>
  <c r="H51" i="6"/>
  <c r="I51" i="6"/>
  <c r="J51" i="6"/>
  <c r="K51" i="6"/>
  <c r="L51" i="6"/>
  <c r="M51" i="6"/>
  <c r="D52" i="6"/>
  <c r="E52" i="6"/>
  <c r="F52" i="6"/>
  <c r="G52" i="6"/>
  <c r="H52" i="6"/>
  <c r="I52" i="6"/>
  <c r="J52" i="6"/>
  <c r="K52" i="6"/>
  <c r="L52" i="6"/>
  <c r="M52" i="6"/>
  <c r="D63" i="6"/>
  <c r="E63" i="6"/>
  <c r="F63" i="6"/>
  <c r="D64" i="6"/>
  <c r="E64" i="6"/>
  <c r="F64" i="6"/>
  <c r="D65" i="6"/>
  <c r="E65" i="6"/>
  <c r="F65" i="6"/>
  <c r="D70" i="6"/>
  <c r="E70" i="6"/>
  <c r="F70" i="6"/>
  <c r="G70" i="6"/>
  <c r="H70" i="6"/>
  <c r="I70" i="6"/>
  <c r="J70" i="6"/>
  <c r="K70" i="6"/>
  <c r="L70" i="6"/>
  <c r="M70" i="6"/>
  <c r="D71" i="6"/>
  <c r="E71" i="6"/>
  <c r="F71" i="6"/>
  <c r="G71" i="6"/>
  <c r="H71" i="6"/>
  <c r="I71" i="6"/>
  <c r="J71" i="6"/>
  <c r="K71" i="6"/>
  <c r="L71" i="6"/>
  <c r="M71" i="6"/>
  <c r="J5" i="10"/>
  <c r="K5" i="10"/>
  <c r="L5" i="10"/>
  <c r="M5" i="10"/>
  <c r="N5" i="10"/>
  <c r="O5" i="10"/>
  <c r="P5" i="10"/>
  <c r="Q5" i="10"/>
  <c r="R5" i="10"/>
  <c r="S5" i="10"/>
  <c r="T5" i="10"/>
  <c r="U5" i="10"/>
  <c r="J6" i="10"/>
  <c r="K6" i="10"/>
  <c r="L6" i="10"/>
  <c r="M6" i="10"/>
  <c r="N6" i="10"/>
  <c r="O6" i="10"/>
  <c r="P6" i="10"/>
  <c r="Q6" i="10"/>
  <c r="R6" i="10"/>
  <c r="S6" i="10"/>
  <c r="T6" i="10"/>
  <c r="U6" i="10"/>
  <c r="J7" i="10"/>
  <c r="K7" i="10"/>
  <c r="L7" i="10"/>
  <c r="M7" i="10"/>
  <c r="N7" i="10"/>
  <c r="O7" i="10"/>
  <c r="P7" i="10"/>
  <c r="Q7" i="10"/>
  <c r="R7" i="10"/>
  <c r="S7" i="10"/>
  <c r="T7" i="10"/>
  <c r="U7" i="10"/>
  <c r="J8" i="10"/>
  <c r="K8" i="10"/>
  <c r="L8" i="10"/>
  <c r="M8" i="10"/>
  <c r="N8" i="10"/>
  <c r="O8" i="10"/>
  <c r="P8" i="10"/>
  <c r="Q8" i="10"/>
  <c r="R8" i="10"/>
  <c r="S8" i="10"/>
  <c r="T8" i="10"/>
  <c r="U8" i="10"/>
  <c r="J9" i="10"/>
  <c r="K9" i="10"/>
  <c r="L9" i="10"/>
  <c r="M9" i="10"/>
  <c r="N9" i="10"/>
  <c r="O9" i="10"/>
  <c r="P9" i="10"/>
  <c r="Q9" i="10"/>
  <c r="R9" i="10"/>
  <c r="S9" i="10"/>
  <c r="J10" i="10"/>
  <c r="K10" i="10"/>
  <c r="L10" i="10"/>
  <c r="M10" i="10"/>
  <c r="N10" i="10"/>
  <c r="O10" i="10"/>
  <c r="P10" i="10"/>
  <c r="Q10" i="10"/>
  <c r="R10" i="10"/>
  <c r="S10" i="10"/>
  <c r="T10" i="10"/>
  <c r="U10" i="10"/>
  <c r="J11" i="10"/>
  <c r="K11" i="10"/>
  <c r="L11" i="10"/>
  <c r="M11" i="10"/>
  <c r="N11" i="10"/>
  <c r="O11" i="10"/>
  <c r="P11" i="10"/>
  <c r="Q11" i="10"/>
  <c r="R11" i="10"/>
  <c r="S11" i="10"/>
  <c r="T11" i="10"/>
  <c r="U11" i="10"/>
  <c r="J13" i="10"/>
  <c r="K13" i="10"/>
  <c r="L13" i="10"/>
  <c r="M13" i="10"/>
  <c r="N13" i="10"/>
  <c r="O13" i="10"/>
  <c r="P13" i="10"/>
  <c r="Q13" i="10"/>
  <c r="R13" i="10"/>
  <c r="S13" i="10"/>
  <c r="T13" i="10"/>
  <c r="U13" i="10"/>
  <c r="J14" i="10"/>
  <c r="K14" i="10"/>
  <c r="L14" i="10"/>
  <c r="M14" i="10"/>
  <c r="N14" i="10"/>
  <c r="O14" i="10"/>
  <c r="P14" i="10"/>
  <c r="Q14" i="10"/>
  <c r="R14" i="10"/>
  <c r="S14" i="10"/>
  <c r="T14" i="10"/>
  <c r="U14" i="10"/>
  <c r="J15" i="10"/>
  <c r="K15" i="10"/>
  <c r="L15" i="10"/>
  <c r="M15" i="10"/>
  <c r="N15" i="10"/>
  <c r="O15" i="10"/>
  <c r="P15" i="10"/>
  <c r="Q15" i="10"/>
  <c r="R15" i="10"/>
  <c r="S15" i="10"/>
  <c r="T15" i="10"/>
  <c r="U15" i="10"/>
  <c r="J16" i="10"/>
  <c r="K16" i="10"/>
  <c r="L16" i="10"/>
  <c r="M16" i="10"/>
  <c r="N16" i="10"/>
  <c r="O16" i="10"/>
  <c r="P16" i="10"/>
  <c r="Q16" i="10"/>
  <c r="R16" i="10"/>
  <c r="S16" i="10"/>
  <c r="T16" i="10"/>
  <c r="U16" i="10"/>
  <c r="J19" i="10"/>
  <c r="K19" i="10"/>
  <c r="L19" i="10"/>
  <c r="M19" i="10"/>
  <c r="N19" i="10"/>
  <c r="O19" i="10"/>
  <c r="P19" i="10"/>
  <c r="Q19" i="10"/>
  <c r="R19" i="10"/>
  <c r="S19" i="10"/>
  <c r="T19" i="10"/>
  <c r="U19" i="10"/>
  <c r="J20" i="10"/>
  <c r="K20" i="10"/>
  <c r="L20" i="10"/>
  <c r="M20" i="10"/>
  <c r="N20" i="10"/>
  <c r="O20" i="10"/>
  <c r="P20" i="10"/>
  <c r="Q20" i="10"/>
  <c r="R20" i="10"/>
  <c r="S20" i="10"/>
  <c r="T20" i="10"/>
  <c r="U20" i="10"/>
  <c r="J21" i="10"/>
  <c r="K21" i="10"/>
  <c r="L21" i="10"/>
  <c r="M21" i="10"/>
  <c r="N21" i="10"/>
  <c r="O21" i="10"/>
  <c r="P21" i="10"/>
  <c r="Q21" i="10"/>
  <c r="R21" i="10"/>
  <c r="S21" i="10"/>
  <c r="T21" i="10"/>
  <c r="U21" i="10"/>
  <c r="J22" i="10"/>
  <c r="K22" i="10"/>
  <c r="L22" i="10"/>
  <c r="M22" i="10"/>
  <c r="N22" i="10"/>
  <c r="O22" i="10"/>
  <c r="P22" i="10"/>
  <c r="Q22" i="10"/>
  <c r="R22" i="10"/>
  <c r="S22" i="10"/>
  <c r="T22" i="10"/>
  <c r="U22" i="10"/>
  <c r="J23" i="10"/>
  <c r="K23" i="10"/>
  <c r="L23" i="10"/>
  <c r="M23" i="10"/>
  <c r="N23" i="10"/>
  <c r="O23" i="10"/>
  <c r="P23" i="10"/>
  <c r="Q23" i="10"/>
  <c r="R23" i="10"/>
  <c r="S23" i="10"/>
  <c r="T23" i="10"/>
  <c r="U23" i="10"/>
  <c r="J25" i="10"/>
  <c r="K25" i="10"/>
  <c r="L25" i="10"/>
  <c r="M25" i="10"/>
  <c r="N25" i="10"/>
  <c r="O25" i="10"/>
  <c r="P25" i="10"/>
  <c r="Q25" i="10"/>
  <c r="R25" i="10"/>
  <c r="S25" i="10"/>
  <c r="T25" i="10"/>
  <c r="U25" i="10"/>
  <c r="J26" i="10"/>
  <c r="K26" i="10"/>
  <c r="L26" i="10"/>
  <c r="M26" i="10"/>
  <c r="N26" i="10"/>
  <c r="O26" i="10"/>
  <c r="P26" i="10"/>
  <c r="Q26" i="10"/>
  <c r="R26" i="10"/>
  <c r="S26" i="10"/>
  <c r="T26" i="10"/>
  <c r="U26" i="10"/>
  <c r="J27" i="10"/>
  <c r="K27" i="10"/>
  <c r="L27" i="10"/>
  <c r="M27" i="10"/>
  <c r="N27" i="10"/>
  <c r="O27" i="10"/>
  <c r="P27" i="10"/>
  <c r="Q27" i="10"/>
  <c r="R27" i="10"/>
  <c r="S27" i="10"/>
  <c r="T27" i="10"/>
  <c r="U27" i="10"/>
  <c r="J28" i="10"/>
  <c r="K28" i="10"/>
  <c r="L28" i="10"/>
  <c r="M28" i="10"/>
  <c r="N28" i="10"/>
  <c r="O28" i="10"/>
  <c r="P28" i="10"/>
  <c r="Q28" i="10"/>
  <c r="R28" i="10"/>
  <c r="S28" i="10"/>
  <c r="T28" i="10"/>
  <c r="U28" i="10"/>
  <c r="J29" i="10"/>
  <c r="K29" i="10"/>
  <c r="L29" i="10"/>
  <c r="M29" i="10"/>
  <c r="N29" i="10"/>
  <c r="O29" i="10"/>
  <c r="P29" i="10"/>
  <c r="Q29" i="10"/>
  <c r="R29" i="10"/>
  <c r="S29" i="10"/>
  <c r="T29" i="10"/>
  <c r="U29" i="10"/>
  <c r="J30" i="10"/>
  <c r="K30" i="10"/>
  <c r="L30" i="10"/>
  <c r="M30" i="10"/>
  <c r="N30" i="10"/>
  <c r="O30" i="10"/>
  <c r="P30" i="10"/>
  <c r="Q30" i="10"/>
  <c r="R30" i="10"/>
  <c r="S30" i="10"/>
  <c r="T30" i="10"/>
  <c r="U30" i="10"/>
  <c r="J32" i="10"/>
  <c r="K32" i="10"/>
  <c r="L32" i="10"/>
  <c r="M32" i="10"/>
  <c r="N32" i="10"/>
  <c r="O32" i="10"/>
  <c r="P32" i="10"/>
  <c r="Q32" i="10"/>
  <c r="R32" i="10"/>
  <c r="S32" i="10"/>
  <c r="T32" i="10"/>
  <c r="U32" i="10"/>
  <c r="J33" i="10"/>
  <c r="K33" i="10"/>
  <c r="L33" i="10"/>
  <c r="M33" i="10"/>
  <c r="N33" i="10"/>
  <c r="O33" i="10"/>
  <c r="P33" i="10"/>
  <c r="Q33" i="10"/>
  <c r="R33" i="10"/>
  <c r="S33" i="10"/>
  <c r="T33" i="10"/>
  <c r="U33" i="10"/>
  <c r="J34" i="10"/>
  <c r="K34" i="10"/>
  <c r="L34" i="10"/>
  <c r="M34" i="10"/>
  <c r="N34" i="10"/>
  <c r="O34" i="10"/>
  <c r="P34" i="10"/>
  <c r="Q34" i="10"/>
  <c r="R34" i="10"/>
  <c r="S34" i="10"/>
  <c r="T34" i="10"/>
  <c r="U34" i="10"/>
  <c r="J35" i="10"/>
  <c r="K35" i="10"/>
  <c r="L35" i="10"/>
  <c r="M35" i="10"/>
  <c r="N35" i="10"/>
  <c r="O35" i="10"/>
  <c r="P35" i="10"/>
  <c r="Q35" i="10"/>
  <c r="R35" i="10"/>
  <c r="S35" i="10"/>
  <c r="T35" i="10"/>
  <c r="U35" i="10"/>
  <c r="J36" i="10"/>
  <c r="K36" i="10"/>
  <c r="L36" i="10"/>
  <c r="M36" i="10"/>
  <c r="N36" i="10"/>
  <c r="O36" i="10"/>
  <c r="P36" i="10"/>
  <c r="Q36" i="10"/>
  <c r="R36" i="10"/>
  <c r="S36" i="10"/>
  <c r="T36" i="10"/>
  <c r="U36" i="10"/>
  <c r="J37" i="10"/>
  <c r="K37" i="10"/>
  <c r="L37" i="10"/>
  <c r="M37" i="10"/>
  <c r="N37" i="10"/>
  <c r="O37" i="10"/>
  <c r="P37" i="10"/>
  <c r="Q37" i="10"/>
  <c r="R37" i="10"/>
  <c r="S37" i="10"/>
  <c r="T37" i="10"/>
  <c r="U37" i="10"/>
  <c r="J38" i="10"/>
  <c r="K38" i="10"/>
  <c r="L38" i="10"/>
  <c r="M38" i="10"/>
  <c r="N38" i="10"/>
  <c r="O38" i="10"/>
  <c r="P38" i="10"/>
  <c r="Q38" i="10"/>
  <c r="R38" i="10"/>
  <c r="S38" i="10"/>
  <c r="T38" i="10"/>
  <c r="U38" i="10"/>
  <c r="J39" i="10"/>
  <c r="K39" i="10"/>
  <c r="L39" i="10"/>
  <c r="M39" i="10"/>
  <c r="N39" i="10"/>
  <c r="O39" i="10"/>
  <c r="P39" i="10"/>
  <c r="Q39" i="10"/>
  <c r="R39" i="10"/>
  <c r="S39" i="10"/>
  <c r="T39" i="10"/>
  <c r="U39" i="10"/>
  <c r="J40" i="10"/>
  <c r="K40" i="10"/>
  <c r="L40" i="10"/>
  <c r="M40" i="10"/>
  <c r="N40" i="10"/>
  <c r="O40" i="10"/>
  <c r="P40" i="10"/>
  <c r="Q40" i="10"/>
  <c r="R40" i="10"/>
  <c r="S40" i="10"/>
  <c r="T40" i="10"/>
  <c r="U40" i="10"/>
  <c r="J41" i="10"/>
  <c r="K41" i="10"/>
  <c r="L41" i="10"/>
  <c r="M41" i="10"/>
  <c r="N41" i="10"/>
  <c r="O41" i="10"/>
  <c r="P41" i="10"/>
  <c r="Q41" i="10"/>
  <c r="R41" i="10"/>
  <c r="S41" i="10"/>
  <c r="T41" i="10"/>
  <c r="U41" i="10"/>
  <c r="J42" i="10"/>
  <c r="K42" i="10"/>
  <c r="L42" i="10"/>
  <c r="M42" i="10"/>
  <c r="N42" i="10"/>
  <c r="O42" i="10"/>
  <c r="P42" i="10"/>
  <c r="Q42" i="10"/>
  <c r="R42" i="10"/>
  <c r="S42" i="10"/>
  <c r="T42" i="10"/>
  <c r="U42" i="10"/>
  <c r="J44" i="10"/>
  <c r="K44" i="10"/>
  <c r="L44" i="10"/>
  <c r="M44" i="10"/>
  <c r="N44" i="10"/>
  <c r="O44" i="10"/>
  <c r="P44" i="10"/>
  <c r="Q44" i="10"/>
  <c r="R44" i="10"/>
  <c r="S44" i="10"/>
  <c r="T44" i="10"/>
  <c r="U44" i="10"/>
  <c r="J45" i="10"/>
  <c r="K45" i="10"/>
  <c r="L45" i="10"/>
  <c r="M45" i="10"/>
  <c r="N45" i="10"/>
  <c r="O45" i="10"/>
  <c r="P45" i="10"/>
  <c r="Q45" i="10"/>
  <c r="R45" i="10"/>
  <c r="S45" i="10"/>
  <c r="T45" i="10"/>
  <c r="U45" i="10"/>
  <c r="J46" i="10"/>
  <c r="K46" i="10"/>
  <c r="L46" i="10"/>
  <c r="M46" i="10"/>
  <c r="N46" i="10"/>
  <c r="O46" i="10"/>
  <c r="P46" i="10"/>
  <c r="Q46" i="10"/>
  <c r="R46" i="10"/>
  <c r="S46" i="10"/>
  <c r="T46" i="10"/>
  <c r="U46" i="10"/>
  <c r="J53" i="10"/>
  <c r="K53" i="10"/>
  <c r="L53" i="10"/>
  <c r="M53" i="10"/>
  <c r="N53" i="10"/>
  <c r="O53" i="10"/>
  <c r="P53" i="10"/>
  <c r="Q53" i="10"/>
  <c r="R53" i="10"/>
  <c r="S53" i="10"/>
  <c r="T53" i="10"/>
  <c r="U53" i="10"/>
  <c r="J56" i="10"/>
  <c r="K56" i="10"/>
  <c r="L56" i="10"/>
  <c r="M56" i="10"/>
  <c r="N56" i="10"/>
  <c r="O56" i="10"/>
  <c r="P56" i="10"/>
  <c r="Q56" i="10"/>
  <c r="R56" i="10"/>
  <c r="S56" i="10"/>
  <c r="T56" i="10"/>
  <c r="U56" i="10"/>
  <c r="J63" i="10"/>
  <c r="K63" i="10"/>
  <c r="L63" i="10"/>
  <c r="M63" i="10"/>
  <c r="N63" i="10"/>
  <c r="O63" i="10"/>
  <c r="P63" i="10"/>
  <c r="Q63" i="10"/>
  <c r="R63" i="10"/>
  <c r="S63" i="10"/>
  <c r="T63" i="10"/>
  <c r="U63" i="10"/>
  <c r="J64" i="10"/>
  <c r="K64" i="10"/>
  <c r="L64" i="10"/>
  <c r="M64" i="10"/>
  <c r="N64" i="10"/>
  <c r="O64" i="10"/>
  <c r="P64" i="10"/>
  <c r="Q64" i="10"/>
  <c r="R64" i="10"/>
  <c r="S64" i="10"/>
  <c r="T64" i="10"/>
  <c r="U64" i="10"/>
  <c r="F327" i="8"/>
  <c r="G327" i="8"/>
  <c r="H327" i="8"/>
  <c r="I327" i="8"/>
  <c r="J327" i="8"/>
  <c r="K327" i="8"/>
  <c r="L327" i="8"/>
  <c r="M327" i="8"/>
  <c r="N327" i="8"/>
  <c r="O327" i="8"/>
  <c r="P327" i="8"/>
  <c r="E328" i="8"/>
  <c r="F328" i="8"/>
  <c r="G328" i="8"/>
  <c r="H328" i="8"/>
  <c r="I328" i="8"/>
  <c r="J328" i="8"/>
  <c r="K328" i="8"/>
  <c r="L328" i="8"/>
  <c r="M328" i="8"/>
  <c r="N328" i="8"/>
  <c r="O328" i="8"/>
  <c r="P328" i="8"/>
  <c r="E330" i="8"/>
  <c r="F330" i="8"/>
  <c r="G330" i="8"/>
  <c r="H330" i="8"/>
  <c r="I330" i="8"/>
  <c r="J330" i="8"/>
  <c r="K330" i="8"/>
  <c r="L330" i="8"/>
  <c r="M330" i="8"/>
  <c r="N330" i="8"/>
  <c r="O330" i="8"/>
  <c r="P330" i="8"/>
  <c r="E331" i="8"/>
  <c r="F331" i="8"/>
  <c r="G331" i="8"/>
  <c r="H331" i="8"/>
  <c r="I331" i="8"/>
  <c r="J331" i="8"/>
  <c r="K331" i="8"/>
  <c r="L331" i="8"/>
  <c r="M331" i="8"/>
  <c r="N331" i="8"/>
  <c r="O331" i="8"/>
  <c r="P331" i="8"/>
  <c r="E333" i="8"/>
  <c r="F333" i="8"/>
  <c r="G333" i="8"/>
  <c r="H333" i="8"/>
  <c r="I333" i="8"/>
  <c r="J333" i="8"/>
  <c r="K333" i="8"/>
  <c r="L333" i="8"/>
  <c r="M333" i="8"/>
  <c r="N333" i="8"/>
  <c r="O333" i="8"/>
  <c r="P333" i="8"/>
  <c r="F334" i="8"/>
  <c r="G334" i="8"/>
  <c r="H334" i="8"/>
  <c r="I334" i="8"/>
  <c r="J334" i="8"/>
  <c r="K334" i="8"/>
  <c r="L334" i="8"/>
  <c r="M334" i="8"/>
  <c r="N334" i="8"/>
  <c r="O334" i="8"/>
  <c r="P334" i="8"/>
  <c r="E336" i="8"/>
  <c r="F336" i="8"/>
  <c r="G336" i="8"/>
  <c r="H336" i="8"/>
  <c r="I336" i="8"/>
  <c r="J336" i="8"/>
  <c r="K336" i="8"/>
  <c r="L336" i="8"/>
  <c r="M336" i="8"/>
  <c r="N336" i="8"/>
  <c r="O336" i="8"/>
  <c r="P336" i="8"/>
  <c r="E337" i="8"/>
  <c r="F337" i="8"/>
  <c r="G337" i="8"/>
  <c r="H337" i="8"/>
  <c r="I337" i="8"/>
  <c r="J337" i="8"/>
  <c r="K337" i="8"/>
  <c r="L337" i="8"/>
  <c r="M337" i="8"/>
  <c r="N337" i="8"/>
  <c r="O337" i="8"/>
  <c r="P337" i="8"/>
  <c r="F343" i="8"/>
  <c r="G343" i="8"/>
  <c r="H343" i="8"/>
  <c r="I343" i="8"/>
  <c r="J343" i="8"/>
  <c r="K343" i="8"/>
  <c r="L343" i="8"/>
  <c r="M343" i="8"/>
  <c r="N343" i="8"/>
  <c r="O343" i="8"/>
  <c r="P343" i="8"/>
  <c r="E344" i="8"/>
  <c r="F344" i="8"/>
  <c r="G344" i="8"/>
  <c r="H344" i="8"/>
  <c r="I344" i="8"/>
  <c r="J344" i="8"/>
  <c r="K344" i="8"/>
  <c r="L344" i="8"/>
  <c r="M344" i="8"/>
  <c r="N344" i="8"/>
  <c r="O344" i="8"/>
  <c r="P344" i="8"/>
  <c r="E345" i="8"/>
  <c r="F345" i="8"/>
  <c r="G345" i="8"/>
  <c r="H345" i="8"/>
  <c r="I345" i="8"/>
  <c r="J345" i="8"/>
  <c r="K345" i="8"/>
  <c r="L345" i="8"/>
  <c r="M345" i="8"/>
  <c r="N345" i="8"/>
  <c r="O345" i="8"/>
  <c r="P345" i="8"/>
  <c r="E355" i="8"/>
  <c r="F355" i="8"/>
  <c r="G355" i="8"/>
  <c r="H355" i="8"/>
  <c r="I355" i="8"/>
  <c r="J355" i="8"/>
  <c r="K355" i="8"/>
  <c r="L355" i="8"/>
  <c r="M355" i="8"/>
  <c r="N355" i="8"/>
  <c r="O355" i="8"/>
  <c r="P355" i="8"/>
  <c r="F360" i="8"/>
  <c r="G360" i="8"/>
  <c r="H360" i="8"/>
  <c r="I360" i="8"/>
  <c r="J360" i="8"/>
  <c r="K360" i="8"/>
  <c r="L360" i="8"/>
  <c r="M360" i="8"/>
  <c r="N360" i="8"/>
  <c r="O360" i="8"/>
  <c r="P360" i="8"/>
  <c r="E361" i="8"/>
  <c r="F361" i="8"/>
  <c r="G361" i="8"/>
  <c r="H361" i="8"/>
  <c r="I361" i="8"/>
  <c r="J361" i="8"/>
  <c r="K361" i="8"/>
  <c r="L361" i="8"/>
  <c r="M361" i="8"/>
  <c r="N361" i="8"/>
  <c r="O361" i="8"/>
  <c r="P361" i="8"/>
  <c r="E362" i="8"/>
  <c r="F362" i="8"/>
  <c r="G362" i="8"/>
  <c r="H362" i="8"/>
  <c r="I362" i="8"/>
  <c r="J362" i="8"/>
  <c r="K362" i="8"/>
  <c r="L362" i="8"/>
  <c r="M362" i="8"/>
  <c r="N362" i="8"/>
  <c r="O362" i="8"/>
  <c r="P362" i="8"/>
  <c r="E366" i="8"/>
  <c r="F366" i="8"/>
  <c r="G366" i="8"/>
  <c r="H366" i="8"/>
  <c r="I366" i="8"/>
  <c r="J366" i="8"/>
  <c r="K366" i="8"/>
  <c r="L366" i="8"/>
  <c r="M366" i="8"/>
  <c r="N366" i="8"/>
  <c r="O366" i="8"/>
  <c r="P366" i="8"/>
  <c r="E370" i="8"/>
  <c r="F370" i="8"/>
  <c r="G370" i="8"/>
  <c r="H370" i="8"/>
  <c r="I370" i="8"/>
  <c r="J370" i="8"/>
  <c r="K370" i="8"/>
  <c r="L370" i="8"/>
  <c r="M370" i="8"/>
  <c r="N370" i="8"/>
  <c r="O370" i="8"/>
  <c r="P370" i="8"/>
  <c r="I161" i="3"/>
  <c r="J161" i="3"/>
  <c r="K161" i="3"/>
  <c r="I49" i="23"/>
  <c r="J49" i="23"/>
  <c r="K49" i="23"/>
  <c r="I50" i="23"/>
  <c r="K50" i="23"/>
  <c r="I51" i="23"/>
  <c r="J51" i="23"/>
  <c r="K51" i="23"/>
  <c r="I7" i="2"/>
  <c r="J7" i="2"/>
  <c r="K7" i="2"/>
  <c r="L7" i="2"/>
  <c r="M7" i="2"/>
  <c r="N7" i="2"/>
  <c r="O7" i="2"/>
  <c r="P7" i="2"/>
  <c r="Q7" i="2"/>
  <c r="R7" i="2"/>
  <c r="S7" i="2"/>
  <c r="T7" i="2"/>
  <c r="I23" i="2"/>
  <c r="J23" i="2"/>
  <c r="K23" i="2"/>
  <c r="L23" i="2"/>
  <c r="M23" i="2"/>
  <c r="N23" i="2"/>
  <c r="O23" i="2"/>
  <c r="P23" i="2"/>
  <c r="Q23" i="2"/>
  <c r="R23" i="2"/>
  <c r="S23" i="2"/>
  <c r="T23" i="2"/>
  <c r="I48" i="2"/>
  <c r="J48" i="2"/>
  <c r="K48" i="2"/>
  <c r="L48" i="2"/>
  <c r="M48" i="2"/>
  <c r="N48" i="2"/>
  <c r="O48" i="2"/>
  <c r="P48" i="2"/>
  <c r="Q48" i="2"/>
  <c r="R48" i="2"/>
  <c r="S48" i="2"/>
  <c r="T48" i="2"/>
  <c r="I51" i="2"/>
  <c r="J51" i="2"/>
  <c r="K51" i="2"/>
  <c r="L51" i="2"/>
  <c r="M51" i="2"/>
  <c r="N51" i="2"/>
  <c r="O51" i="2"/>
  <c r="P51" i="2"/>
  <c r="Q51" i="2"/>
  <c r="R51" i="2"/>
  <c r="S51" i="2"/>
  <c r="T51" i="2"/>
  <c r="I69" i="2"/>
  <c r="J69" i="2"/>
  <c r="K69" i="2"/>
  <c r="L69" i="2"/>
  <c r="M69" i="2"/>
  <c r="N69" i="2"/>
  <c r="O69" i="2"/>
  <c r="P69" i="2"/>
  <c r="Q69" i="2"/>
  <c r="R69" i="2"/>
  <c r="S69" i="2"/>
  <c r="T69" i="2"/>
  <c r="I82" i="2"/>
  <c r="J82" i="2"/>
  <c r="K82" i="2"/>
  <c r="L82" i="2"/>
  <c r="M82" i="2"/>
  <c r="N82" i="2"/>
  <c r="O82" i="2"/>
  <c r="P82" i="2"/>
  <c r="Q82" i="2"/>
  <c r="R82" i="2"/>
  <c r="S82" i="2"/>
  <c r="T82" i="2"/>
  <c r="I93" i="2"/>
  <c r="J93" i="2"/>
  <c r="K93" i="2"/>
  <c r="L93" i="2"/>
  <c r="M93" i="2"/>
  <c r="N93" i="2"/>
  <c r="O93" i="2"/>
  <c r="P93" i="2"/>
  <c r="Q93" i="2"/>
  <c r="R93" i="2"/>
  <c r="S93" i="2"/>
  <c r="T93" i="2"/>
  <c r="I97" i="2"/>
  <c r="J97" i="2"/>
  <c r="K97" i="2"/>
  <c r="L97" i="2"/>
  <c r="M97" i="2"/>
  <c r="N97" i="2"/>
  <c r="O97" i="2"/>
  <c r="P97" i="2"/>
  <c r="Q97" i="2"/>
  <c r="R97" i="2"/>
  <c r="S97" i="2"/>
  <c r="T97" i="2"/>
  <c r="I98" i="2"/>
  <c r="J98" i="2"/>
  <c r="K98" i="2"/>
  <c r="L98" i="2"/>
  <c r="M98" i="2"/>
  <c r="N98" i="2"/>
  <c r="O98" i="2"/>
  <c r="P98" i="2"/>
  <c r="Q98" i="2"/>
  <c r="R98" i="2"/>
  <c r="S98" i="2"/>
  <c r="T98" i="2"/>
  <c r="I99" i="2"/>
  <c r="J99" i="2"/>
  <c r="K99" i="2"/>
  <c r="L99" i="2"/>
  <c r="M99" i="2"/>
  <c r="N99" i="2"/>
  <c r="O99" i="2"/>
  <c r="P99" i="2"/>
  <c r="Q99" i="2"/>
  <c r="R99" i="2"/>
  <c r="S99" i="2"/>
  <c r="T99" i="2"/>
  <c r="I100" i="2"/>
  <c r="J100" i="2"/>
  <c r="K100" i="2"/>
  <c r="L100" i="2"/>
  <c r="M100" i="2"/>
  <c r="N100" i="2"/>
  <c r="O100" i="2"/>
  <c r="P100" i="2"/>
  <c r="Q100" i="2"/>
  <c r="R100" i="2"/>
  <c r="S100" i="2"/>
  <c r="T100" i="2"/>
  <c r="I102" i="2"/>
  <c r="J102" i="2"/>
  <c r="K102" i="2"/>
  <c r="L102" i="2"/>
  <c r="M102" i="2"/>
  <c r="N102" i="2"/>
  <c r="O102" i="2"/>
  <c r="P102" i="2"/>
  <c r="Q102" i="2"/>
  <c r="R102" i="2"/>
  <c r="S102" i="2"/>
  <c r="T102" i="2"/>
  <c r="I103" i="2"/>
  <c r="J103" i="2"/>
  <c r="K103" i="2"/>
  <c r="L103" i="2"/>
  <c r="M103" i="2"/>
  <c r="N103" i="2"/>
  <c r="O103" i="2"/>
  <c r="P103" i="2"/>
  <c r="Q103" i="2"/>
  <c r="R103" i="2"/>
  <c r="S103" i="2"/>
  <c r="T103" i="2"/>
  <c r="I109" i="2"/>
  <c r="J109" i="2"/>
  <c r="K109" i="2"/>
  <c r="L109" i="2"/>
  <c r="M109" i="2"/>
  <c r="N109" i="2"/>
  <c r="O109" i="2"/>
  <c r="P109" i="2"/>
  <c r="Q109" i="2"/>
  <c r="R109" i="2"/>
  <c r="S109" i="2"/>
  <c r="T109" i="2"/>
  <c r="I115" i="2"/>
  <c r="J115" i="2"/>
  <c r="K115" i="2"/>
  <c r="L115" i="2"/>
  <c r="M115" i="2"/>
  <c r="N115" i="2"/>
  <c r="O115" i="2"/>
  <c r="P115" i="2"/>
  <c r="Q115" i="2"/>
  <c r="R115" i="2"/>
  <c r="S115" i="2"/>
  <c r="T115" i="2"/>
  <c r="I126" i="2"/>
  <c r="J126" i="2"/>
  <c r="K126" i="2"/>
  <c r="L126" i="2"/>
  <c r="M126" i="2"/>
  <c r="N126" i="2"/>
  <c r="O126" i="2"/>
  <c r="P126" i="2"/>
  <c r="Q126" i="2"/>
  <c r="R126" i="2"/>
  <c r="S126" i="2"/>
  <c r="T126" i="2"/>
  <c r="I130" i="2"/>
  <c r="J130" i="2"/>
  <c r="K130" i="2"/>
  <c r="L130" i="2"/>
  <c r="M130" i="2"/>
  <c r="N130" i="2"/>
  <c r="O130" i="2"/>
  <c r="P130" i="2"/>
  <c r="Q130" i="2"/>
  <c r="R130" i="2"/>
  <c r="S130" i="2"/>
  <c r="T130" i="2"/>
  <c r="I131" i="2"/>
  <c r="J131" i="2"/>
  <c r="K131" i="2"/>
  <c r="L131" i="2"/>
  <c r="M131" i="2"/>
  <c r="N131" i="2"/>
  <c r="O131" i="2"/>
  <c r="P131" i="2"/>
  <c r="Q131" i="2"/>
  <c r="R131" i="2"/>
  <c r="S131" i="2"/>
  <c r="T131" i="2"/>
  <c r="I134" i="2"/>
  <c r="J134" i="2"/>
  <c r="K134" i="2"/>
  <c r="L134" i="2"/>
  <c r="M134" i="2"/>
  <c r="N134" i="2"/>
  <c r="O134" i="2"/>
  <c r="P134" i="2"/>
  <c r="Q134" i="2"/>
  <c r="R134" i="2"/>
  <c r="S134" i="2"/>
  <c r="T134" i="2"/>
  <c r="I135" i="2"/>
  <c r="J135" i="2"/>
  <c r="K135" i="2"/>
  <c r="L135" i="2"/>
  <c r="M135" i="2"/>
  <c r="N135" i="2"/>
  <c r="O135" i="2"/>
  <c r="P135" i="2"/>
  <c r="Q135" i="2"/>
  <c r="R135" i="2"/>
  <c r="S135" i="2"/>
  <c r="T135" i="2"/>
  <c r="I136" i="2"/>
  <c r="J136" i="2"/>
  <c r="K136" i="2"/>
  <c r="L136" i="2"/>
  <c r="M136" i="2"/>
  <c r="N136" i="2"/>
  <c r="O136" i="2"/>
  <c r="P136" i="2"/>
  <c r="Q136" i="2"/>
  <c r="R136" i="2"/>
  <c r="S136" i="2"/>
  <c r="T136" i="2"/>
  <c r="I138" i="2"/>
  <c r="J138" i="2"/>
  <c r="K138" i="2"/>
  <c r="L138" i="2"/>
  <c r="M138" i="2"/>
  <c r="N138" i="2"/>
  <c r="O138" i="2"/>
  <c r="P138" i="2"/>
  <c r="Q138" i="2"/>
  <c r="R138" i="2"/>
  <c r="S138" i="2"/>
  <c r="T138" i="2"/>
  <c r="I139" i="2"/>
  <c r="J139" i="2"/>
  <c r="K139" i="2"/>
  <c r="L139" i="2"/>
  <c r="M139" i="2"/>
  <c r="N139" i="2"/>
  <c r="O139" i="2"/>
  <c r="P139" i="2"/>
  <c r="Q139" i="2"/>
  <c r="R139" i="2"/>
  <c r="S139" i="2"/>
  <c r="T139" i="2"/>
  <c r="I140" i="2"/>
  <c r="J140" i="2"/>
  <c r="K140" i="2"/>
  <c r="L140" i="2"/>
  <c r="M140" i="2"/>
  <c r="N140" i="2"/>
  <c r="O140" i="2"/>
  <c r="P140" i="2"/>
  <c r="Q140" i="2"/>
  <c r="R140" i="2"/>
  <c r="S140" i="2"/>
  <c r="T140" i="2"/>
  <c r="I142" i="2"/>
  <c r="J142" i="2"/>
  <c r="K142" i="2"/>
  <c r="L142" i="2"/>
  <c r="M142" i="2"/>
  <c r="N142" i="2"/>
  <c r="O142" i="2"/>
  <c r="P142" i="2"/>
  <c r="Q142" i="2"/>
  <c r="R142" i="2"/>
  <c r="S142" i="2"/>
  <c r="T142" i="2"/>
  <c r="I147" i="2"/>
  <c r="J147" i="2"/>
  <c r="K147" i="2"/>
  <c r="L147" i="2"/>
  <c r="M147" i="2"/>
  <c r="N147" i="2"/>
  <c r="O147" i="2"/>
  <c r="P147" i="2"/>
  <c r="Q147" i="2"/>
  <c r="R147" i="2"/>
  <c r="S147" i="2"/>
  <c r="T147" i="2"/>
  <c r="I148" i="2"/>
  <c r="J148" i="2"/>
  <c r="K148" i="2"/>
  <c r="L148" i="2"/>
  <c r="M148" i="2"/>
  <c r="N148" i="2"/>
  <c r="O148" i="2"/>
  <c r="P148" i="2"/>
  <c r="Q148" i="2"/>
  <c r="R148" i="2"/>
  <c r="S148" i="2"/>
  <c r="T148" i="2"/>
  <c r="I152" i="2"/>
  <c r="J152" i="2"/>
  <c r="K152" i="2"/>
  <c r="L152" i="2"/>
  <c r="M152" i="2"/>
  <c r="N152" i="2"/>
  <c r="O152" i="2"/>
  <c r="P152" i="2"/>
  <c r="Q152" i="2"/>
  <c r="R152" i="2"/>
  <c r="S152" i="2"/>
  <c r="T152" i="2"/>
  <c r="I159" i="2"/>
  <c r="J159" i="2"/>
  <c r="K159" i="2"/>
  <c r="L159" i="2"/>
  <c r="M159" i="2"/>
  <c r="N159" i="2"/>
  <c r="O159" i="2"/>
  <c r="P159" i="2"/>
  <c r="Q159" i="2"/>
  <c r="R159" i="2"/>
  <c r="S159" i="2"/>
  <c r="T159" i="2"/>
  <c r="I172" i="2"/>
  <c r="J172" i="2"/>
  <c r="K172" i="2"/>
  <c r="L172" i="2"/>
  <c r="M172" i="2"/>
  <c r="N172" i="2"/>
  <c r="O172" i="2"/>
  <c r="P172" i="2"/>
  <c r="Q172" i="2"/>
  <c r="R172" i="2"/>
  <c r="S172" i="2"/>
  <c r="T172" i="2"/>
  <c r="I178" i="2"/>
  <c r="J178" i="2"/>
  <c r="K178" i="2"/>
  <c r="L178" i="2"/>
  <c r="M178" i="2"/>
  <c r="N178" i="2"/>
  <c r="O178" i="2"/>
  <c r="P178" i="2"/>
  <c r="Q178" i="2"/>
  <c r="R178" i="2"/>
  <c r="S178" i="2"/>
  <c r="T178" i="2"/>
  <c r="I179" i="2"/>
  <c r="J179" i="2"/>
  <c r="K179" i="2"/>
  <c r="L179" i="2"/>
  <c r="M179" i="2"/>
  <c r="N179" i="2"/>
  <c r="O179" i="2"/>
  <c r="P179" i="2"/>
  <c r="Q179" i="2"/>
  <c r="R179" i="2"/>
  <c r="S179" i="2"/>
  <c r="T179" i="2"/>
  <c r="I180" i="2"/>
  <c r="J180" i="2"/>
  <c r="K180" i="2"/>
  <c r="L180" i="2"/>
  <c r="M180" i="2"/>
  <c r="N180" i="2"/>
  <c r="O180" i="2"/>
  <c r="P180" i="2"/>
  <c r="Q180" i="2"/>
  <c r="R180" i="2"/>
  <c r="S180" i="2"/>
  <c r="T180" i="2"/>
  <c r="I182" i="2"/>
  <c r="J182" i="2"/>
  <c r="K182" i="2"/>
  <c r="L182" i="2"/>
  <c r="M182" i="2"/>
  <c r="N182" i="2"/>
  <c r="O182" i="2"/>
  <c r="P182" i="2"/>
  <c r="Q182" i="2"/>
  <c r="R182" i="2"/>
  <c r="S182" i="2"/>
  <c r="T182" i="2"/>
  <c r="J183" i="2"/>
  <c r="K183" i="2"/>
  <c r="L183" i="2"/>
  <c r="M183" i="2"/>
  <c r="N183" i="2"/>
  <c r="O183" i="2"/>
  <c r="P183" i="2"/>
  <c r="Q183" i="2"/>
  <c r="R183" i="2"/>
  <c r="S183" i="2"/>
  <c r="T183" i="2"/>
  <c r="I184" i="2"/>
  <c r="J184" i="2"/>
  <c r="K184" i="2"/>
  <c r="L184" i="2"/>
  <c r="M184" i="2"/>
  <c r="N184" i="2"/>
  <c r="O184" i="2"/>
  <c r="P184" i="2"/>
  <c r="Q184" i="2"/>
  <c r="R184" i="2"/>
  <c r="S184" i="2"/>
  <c r="T184" i="2"/>
  <c r="I208" i="2"/>
  <c r="J208" i="2"/>
  <c r="K208" i="2"/>
  <c r="L208" i="2"/>
  <c r="M208" i="2"/>
  <c r="N208" i="2"/>
  <c r="O208" i="2"/>
  <c r="P208" i="2"/>
  <c r="Q208" i="2"/>
  <c r="R208" i="2"/>
  <c r="S208" i="2"/>
  <c r="T208" i="2"/>
  <c r="I209" i="2"/>
  <c r="J209" i="2"/>
  <c r="K209" i="2"/>
  <c r="L209" i="2"/>
  <c r="M209" i="2"/>
  <c r="N209" i="2"/>
  <c r="O209" i="2"/>
  <c r="P209" i="2"/>
  <c r="Q209" i="2"/>
  <c r="R209" i="2"/>
  <c r="S209" i="2"/>
  <c r="T209" i="2"/>
  <c r="I210" i="2"/>
  <c r="J210" i="2"/>
  <c r="K210" i="2"/>
  <c r="L210" i="2"/>
  <c r="M210" i="2"/>
  <c r="N210" i="2"/>
  <c r="O210" i="2"/>
  <c r="P210" i="2"/>
  <c r="Q210" i="2"/>
  <c r="R210" i="2"/>
  <c r="S210" i="2"/>
  <c r="T210" i="2"/>
  <c r="I212" i="2"/>
  <c r="J212" i="2"/>
  <c r="K212" i="2"/>
  <c r="L212" i="2"/>
  <c r="M212" i="2"/>
  <c r="N212" i="2"/>
  <c r="O212" i="2"/>
  <c r="P212" i="2"/>
  <c r="Q212" i="2"/>
  <c r="R212" i="2"/>
  <c r="S212" i="2"/>
  <c r="T212" i="2"/>
  <c r="I226" i="2"/>
  <c r="J226" i="2"/>
  <c r="K226" i="2"/>
  <c r="L226" i="2"/>
  <c r="M226" i="2"/>
  <c r="N226" i="2"/>
  <c r="O226" i="2"/>
  <c r="P226" i="2"/>
  <c r="Q226" i="2"/>
  <c r="R226" i="2"/>
  <c r="S226" i="2"/>
  <c r="T226" i="2"/>
  <c r="I232" i="2"/>
  <c r="J232" i="2"/>
  <c r="K232" i="2"/>
  <c r="L232" i="2"/>
  <c r="M232" i="2"/>
  <c r="N232" i="2"/>
  <c r="O232" i="2"/>
  <c r="P232" i="2"/>
  <c r="Q232" i="2"/>
  <c r="R232" i="2"/>
  <c r="S232" i="2"/>
  <c r="T232" i="2"/>
  <c r="I233" i="2"/>
  <c r="J233" i="2"/>
  <c r="K233" i="2"/>
  <c r="L233" i="2"/>
  <c r="M233" i="2"/>
  <c r="N233" i="2"/>
  <c r="O233" i="2"/>
  <c r="P233" i="2"/>
  <c r="Q233" i="2"/>
  <c r="R233" i="2"/>
  <c r="S233" i="2"/>
  <c r="T233" i="2"/>
  <c r="E5" i="17"/>
  <c r="F5" i="17"/>
  <c r="G5" i="17"/>
  <c r="E6" i="17"/>
  <c r="F6" i="17"/>
  <c r="G6" i="17"/>
  <c r="E9" i="17"/>
  <c r="F9" i="17"/>
  <c r="G9" i="17"/>
  <c r="E10" i="17"/>
  <c r="F10" i="17"/>
  <c r="G10" i="17"/>
  <c r="E12" i="17"/>
  <c r="F12" i="17"/>
  <c r="G12" i="17"/>
  <c r="E13" i="17"/>
  <c r="F13" i="17"/>
  <c r="G13" i="17"/>
  <c r="E14" i="17"/>
  <c r="F14" i="17"/>
  <c r="G14" i="17"/>
  <c r="E16" i="17"/>
  <c r="F16" i="17"/>
  <c r="G16" i="17"/>
  <c r="E17" i="17"/>
  <c r="F17" i="17"/>
  <c r="G17" i="17"/>
  <c r="E18" i="17"/>
  <c r="F18" i="17"/>
  <c r="G18" i="17"/>
  <c r="E20" i="17"/>
  <c r="F20" i="17"/>
  <c r="E11" i="13"/>
  <c r="F11" i="13"/>
  <c r="G11" i="13"/>
  <c r="E12" i="13"/>
  <c r="F12" i="13"/>
  <c r="G12" i="13"/>
  <c r="E16" i="13"/>
  <c r="F16" i="13"/>
  <c r="G16" i="13"/>
  <c r="E17" i="13"/>
  <c r="F17" i="13"/>
  <c r="G17" i="13"/>
  <c r="E18" i="13"/>
  <c r="F18" i="13"/>
  <c r="G18" i="13"/>
  <c r="E21" i="13"/>
  <c r="F21" i="13"/>
  <c r="G21" i="13"/>
  <c r="E22" i="13"/>
  <c r="F22" i="13"/>
  <c r="G22" i="13"/>
  <c r="E23" i="13"/>
  <c r="F23" i="13"/>
  <c r="G23" i="13"/>
  <c r="E24" i="13"/>
  <c r="F24" i="13"/>
  <c r="G24" i="13"/>
  <c r="E25" i="13"/>
  <c r="F25" i="13"/>
  <c r="G25" i="13"/>
  <c r="E26" i="13"/>
  <c r="F26" i="13"/>
  <c r="G26" i="13"/>
  <c r="E5" i="18"/>
  <c r="F5" i="18"/>
  <c r="G5" i="18"/>
  <c r="E6" i="18"/>
  <c r="F6" i="18"/>
  <c r="G6" i="18"/>
  <c r="E7" i="18"/>
  <c r="F7" i="18"/>
  <c r="G7" i="18"/>
  <c r="E9" i="18"/>
  <c r="F9" i="18"/>
  <c r="G9" i="18"/>
  <c r="E10" i="18"/>
  <c r="F10" i="18"/>
  <c r="G10" i="18"/>
  <c r="E11" i="18"/>
  <c r="F11" i="18"/>
  <c r="G11" i="18"/>
  <c r="E12" i="18"/>
  <c r="F12" i="18"/>
  <c r="G12" i="18"/>
  <c r="E14" i="18"/>
  <c r="F14" i="18"/>
  <c r="G14" i="18"/>
  <c r="E21" i="18"/>
  <c r="F21" i="18"/>
  <c r="G21" i="18"/>
  <c r="E24" i="18"/>
  <c r="F24" i="18"/>
  <c r="G24" i="18"/>
  <c r="E3" i="16"/>
  <c r="F3" i="16"/>
  <c r="G3" i="16"/>
  <c r="E6" i="16"/>
  <c r="F6" i="16"/>
  <c r="G6" i="16"/>
  <c r="E7" i="16"/>
  <c r="F7" i="16"/>
  <c r="G7" i="16"/>
  <c r="E13" i="16"/>
  <c r="F13" i="16"/>
  <c r="G13" i="16"/>
  <c r="E15" i="16"/>
  <c r="F15" i="16"/>
  <c r="G15" i="16"/>
  <c r="E16" i="16"/>
  <c r="F16" i="16"/>
  <c r="G16" i="16"/>
  <c r="E17" i="16"/>
  <c r="F17" i="16"/>
  <c r="G17" i="16"/>
  <c r="E3" i="15"/>
  <c r="F3" i="15"/>
  <c r="G3" i="15"/>
  <c r="E6" i="15"/>
  <c r="F6" i="15"/>
  <c r="G6" i="15"/>
  <c r="E7" i="15"/>
  <c r="F7" i="15"/>
  <c r="G7" i="15"/>
  <c r="E13" i="15"/>
  <c r="F13" i="15"/>
  <c r="G13" i="15"/>
  <c r="E14" i="15"/>
  <c r="F14" i="15"/>
  <c r="G14" i="15"/>
  <c r="E16" i="15"/>
  <c r="F16" i="15"/>
  <c r="G16" i="15"/>
  <c r="E17" i="15"/>
  <c r="F17" i="15"/>
  <c r="G17" i="15"/>
  <c r="E21" i="15"/>
  <c r="F21" i="15"/>
  <c r="G21" i="15"/>
  <c r="E24" i="15"/>
  <c r="F24" i="15"/>
  <c r="G24" i="15"/>
  <c r="E25" i="15"/>
  <c r="F25" i="15"/>
  <c r="G25" i="15"/>
  <c r="E26" i="15"/>
  <c r="F26" i="15"/>
  <c r="G26" i="15"/>
  <c r="E27" i="15"/>
  <c r="F27" i="15"/>
  <c r="G2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胡叶倩雯</author>
  </authors>
  <commentList>
    <comment ref="B2" authorId="0" shapeId="0" xr:uid="{00000000-0006-0000-0200-000001000000}">
      <text>
        <r>
          <rPr>
            <b/>
            <sz val="9"/>
            <rFont val="Tahoma"/>
            <family val="2"/>
          </rPr>
          <t>报表类型：财务报表(中国大陆,新准则)\n企业类型：一般企业</t>
        </r>
      </text>
    </comment>
    <comment ref="B55" authorId="0" shapeId="0" xr:uid="{00000000-0006-0000-0200-000002000000}">
      <text>
        <r>
          <rPr>
            <b/>
            <sz val="9"/>
            <rFont val="Tahoma"/>
            <family val="2"/>
          </rPr>
          <t>报表类型：财务报表(中国大陆,新准则)\n企业类型：一般企业</t>
        </r>
      </text>
    </comment>
    <comment ref="B169" authorId="0" shapeId="0" xr:uid="{00000000-0006-0000-0200-000003000000}">
      <text>
        <r>
          <rPr>
            <b/>
            <sz val="9"/>
            <rFont val="Tahoma"/>
            <family val="2"/>
          </rPr>
          <t>报表类型：财务报表(中国大陆,新准则)\n企业类型：一般企业</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刘洋</author>
    <author>Leon刘洋</author>
    <author>苗丰030734</author>
    <author>程子盈041273</author>
    <author>Ziying Cheng</author>
  </authors>
  <commentList>
    <comment ref="D16" authorId="0" shapeId="0" xr:uid="{8343A6C2-7CA3-492A-8153-ADABC9C186EA}">
      <text>
        <r>
          <rPr>
            <b/>
            <sz val="9"/>
            <color indexed="81"/>
            <rFont val="宋体"/>
            <family val="3"/>
            <charset val="134"/>
          </rPr>
          <t>刘洋:</t>
        </r>
        <r>
          <rPr>
            <sz val="9"/>
            <color indexed="81"/>
            <rFont val="宋体"/>
            <family val="3"/>
            <charset val="134"/>
          </rPr>
          <t xml:space="preserve">
20220308纪要：微处理器芯片2021年涨价幅度较小，2022年预计稳定；智能视频2021年有涨，2022年估计会回调；矽成始终价格变化不大</t>
        </r>
      </text>
    </comment>
    <comment ref="B20" authorId="1" shapeId="0" xr:uid="{B48C8DB1-9B23-45FC-B71D-8F53C89BCDCB}">
      <text>
        <r>
          <rPr>
            <b/>
            <sz val="10"/>
            <color rgb="FF000000"/>
            <rFont val="Microsoft YaHei UI"/>
            <family val="2"/>
            <charset val="1"/>
          </rPr>
          <t>Leon刘洋:</t>
        </r>
        <r>
          <rPr>
            <sz val="10"/>
            <color rgb="FF000000"/>
            <rFont val="Microsoft YaHei UI"/>
            <family val="2"/>
            <charset val="1"/>
          </rPr>
          <t xml:space="preserve">
</t>
        </r>
        <r>
          <rPr>
            <sz val="10"/>
            <color rgb="FF000000"/>
            <rFont val="宋体"/>
            <family val="3"/>
            <charset val="134"/>
          </rPr>
          <t>年报子公司北京矽成收入1743.812百万元
北京矽成自2020年5月31日开始纳入合并范围
假设均价为全年均价</t>
        </r>
      </text>
    </comment>
    <comment ref="C20" authorId="2" shapeId="0" xr:uid="{074C7C1D-2DD5-4A28-9599-0EDCC5ED1FC9}">
      <text>
        <r>
          <rPr>
            <b/>
            <sz val="9"/>
            <color indexed="81"/>
            <rFont val="宋体"/>
            <family val="3"/>
            <charset val="134"/>
          </rPr>
          <t>苗丰030734:</t>
        </r>
        <r>
          <rPr>
            <sz val="9"/>
            <color indexed="81"/>
            <rFont val="宋体"/>
            <family val="3"/>
            <charset val="134"/>
          </rPr>
          <t xml:space="preserve">
年报子公司，北京矽成收入4082.639百万元
中国市场占北京矽成20%</t>
        </r>
      </text>
    </comment>
    <comment ref="B23" authorId="2" shapeId="0" xr:uid="{E6A9106C-BA7B-492E-BCFB-BEF70E042996}">
      <text>
        <r>
          <rPr>
            <b/>
            <sz val="9"/>
            <color indexed="81"/>
            <rFont val="宋体"/>
            <family val="3"/>
            <charset val="134"/>
          </rPr>
          <t>苗丰030734:</t>
        </r>
        <r>
          <rPr>
            <sz val="9"/>
            <color indexed="81"/>
            <rFont val="宋体"/>
            <family val="3"/>
            <charset val="134"/>
          </rPr>
          <t xml:space="preserve">
2019-20年为用公告的存储+模拟互联计算得来</t>
        </r>
      </text>
    </comment>
    <comment ref="B30" authorId="2" shapeId="0" xr:uid="{2F533A74-C750-4F97-9286-119697B92E39}">
      <text>
        <r>
          <rPr>
            <b/>
            <sz val="9"/>
            <color indexed="81"/>
            <rFont val="宋体"/>
            <family val="3"/>
            <charset val="134"/>
          </rPr>
          <t>苗丰030734:</t>
        </r>
        <r>
          <rPr>
            <sz val="9"/>
            <color indexed="81"/>
            <rFont val="宋体"/>
            <family val="3"/>
            <charset val="134"/>
          </rPr>
          <t xml:space="preserve">
2020年6月开始并表</t>
        </r>
      </text>
    </comment>
    <comment ref="C40" authorId="2" shapeId="0" xr:uid="{A89EC06D-7956-45AC-9A29-AE6A53FE3652}">
      <text>
        <r>
          <rPr>
            <b/>
            <sz val="9"/>
            <color indexed="81"/>
            <rFont val="宋体"/>
            <family val="3"/>
            <charset val="134"/>
          </rPr>
          <t>苗丰030734:</t>
        </r>
        <r>
          <rPr>
            <sz val="9"/>
            <color indexed="81"/>
            <rFont val="宋体"/>
            <family val="3"/>
            <charset val="134"/>
          </rPr>
          <t xml:space="preserve">
北京矽成以往汽车占50%，去年疫情只占到30%+，今年40%上下</t>
        </r>
      </text>
    </comment>
    <comment ref="B45" authorId="1" shapeId="0" xr:uid="{708FD61C-7674-4957-8B3C-98BB503C727F}">
      <text>
        <r>
          <rPr>
            <b/>
            <sz val="10"/>
            <color rgb="FF000000"/>
            <rFont val="Microsoft YaHei UI"/>
            <family val="2"/>
            <charset val="1"/>
          </rPr>
          <t>Leon刘洋:</t>
        </r>
        <r>
          <rPr>
            <sz val="10"/>
            <color rgb="FF000000"/>
            <rFont val="Microsoft YaHei UI"/>
            <family val="2"/>
            <charset val="1"/>
          </rPr>
          <t xml:space="preserve">
2020年6-12月数据
受存货评估增值影响</t>
        </r>
      </text>
    </comment>
    <comment ref="E45" authorId="3" shapeId="0" xr:uid="{74C8EA19-EDC2-4619-B914-65BC7F01F639}">
      <text>
        <r>
          <rPr>
            <b/>
            <sz val="9"/>
            <color indexed="81"/>
            <rFont val="宋体"/>
            <family val="3"/>
            <charset val="134"/>
          </rPr>
          <t>程子盈041273:</t>
        </r>
        <r>
          <rPr>
            <sz val="9"/>
            <color indexed="81"/>
            <rFont val="宋体"/>
            <family val="3"/>
            <charset val="134"/>
          </rPr>
          <t xml:space="preserve">
23H1 36.06%</t>
        </r>
      </text>
    </comment>
    <comment ref="G45" authorId="4" shapeId="0" xr:uid="{525DE0D6-AE46-456E-91D6-F0831444031A}">
      <text>
        <r>
          <rPr>
            <b/>
            <sz val="9"/>
            <color indexed="81"/>
            <rFont val="宋体"/>
            <family val="3"/>
            <charset val="134"/>
          </rPr>
          <t>Ziying Cheng:</t>
        </r>
        <r>
          <rPr>
            <sz val="9"/>
            <color indexed="81"/>
            <rFont val="宋体"/>
            <family val="3"/>
            <charset val="134"/>
          </rPr>
          <t xml:space="preserve">
31.95%</t>
        </r>
      </text>
    </comment>
    <comment ref="A46" authorId="0" shapeId="0" xr:uid="{BB2FC8BD-003B-4F81-B73C-0F06A60BC2C6}">
      <text>
        <r>
          <rPr>
            <b/>
            <sz val="9"/>
            <color indexed="81"/>
            <rFont val="宋体"/>
            <family val="3"/>
            <charset val="134"/>
          </rPr>
          <t>刘洋:</t>
        </r>
        <r>
          <rPr>
            <sz val="9"/>
            <color indexed="81"/>
            <rFont val="宋体"/>
            <family val="3"/>
            <charset val="134"/>
          </rPr>
          <t xml:space="preserve">
代工：主要力积电，产能有保障；南亚科
制程：25nm占比较高，35nm等
未来也有成长，但占比会下降，增速不如flash、模拟</t>
        </r>
      </text>
    </comment>
    <comment ref="B46" authorId="1" shapeId="0" xr:uid="{C5832C0B-1D99-4F87-B797-FC2221B064E1}">
      <text>
        <r>
          <rPr>
            <b/>
            <sz val="10"/>
            <color rgb="FF000000"/>
            <rFont val="Microsoft YaHei UI"/>
            <family val="2"/>
            <charset val="1"/>
          </rPr>
          <t>Leon刘洋:</t>
        </r>
        <r>
          <rPr>
            <sz val="10"/>
            <color rgb="FF000000"/>
            <rFont val="Microsoft YaHei UI"/>
            <family val="2"/>
            <charset val="1"/>
          </rPr>
          <t xml:space="preserve">
202106纪要：未来维持增长趋势，但不如FLASH、ANALOG快，未来占比将下降
</t>
        </r>
        <r>
          <rPr>
            <sz val="10"/>
            <color rgb="FF000000"/>
            <rFont val="宋体"/>
            <family val="3"/>
            <charset val="134"/>
          </rPr>
          <t>DRAM实际去年是下降的，因为去年车规市场下滑非常多，DRAM市场是下降的，逐季来看，DRAM去年大趋势环比保持增长趋势，全年占收入也到50%以上</t>
        </r>
      </text>
    </comment>
    <comment ref="C47" authorId="1" shapeId="0" xr:uid="{538598DA-5DAD-4FA0-AA3C-4E2C11EF4FB4}">
      <text>
        <r>
          <rPr>
            <b/>
            <sz val="10"/>
            <color rgb="FF000000"/>
            <rFont val="Microsoft YaHei UI"/>
            <family val="2"/>
            <charset val="1"/>
          </rPr>
          <t>Leon</t>
        </r>
        <r>
          <rPr>
            <b/>
            <sz val="10"/>
            <color rgb="FF000000"/>
            <rFont val="Microsoft YaHei UI"/>
            <family val="2"/>
            <charset val="1"/>
          </rPr>
          <t>刘洋</t>
        </r>
        <r>
          <rPr>
            <b/>
            <sz val="10"/>
            <color rgb="FF000000"/>
            <rFont val="Microsoft YaHei UI"/>
            <family val="2"/>
            <charset val="1"/>
          </rPr>
          <t>:</t>
        </r>
        <r>
          <rPr>
            <sz val="10"/>
            <color rgb="FF000000"/>
            <rFont val="Microsoft YaHei UI"/>
            <family val="2"/>
            <charset val="1"/>
          </rPr>
          <t xml:space="preserve">
</t>
        </r>
        <r>
          <rPr>
            <sz val="10"/>
            <color rgb="FF000000"/>
            <rFont val="Microsoft YaHei UI"/>
            <family val="2"/>
            <charset val="1"/>
          </rPr>
          <t>20211126</t>
        </r>
        <r>
          <rPr>
            <sz val="10"/>
            <color rgb="FF000000"/>
            <rFont val="Microsoft YaHei UI"/>
            <family val="2"/>
            <charset val="1"/>
          </rPr>
          <t>纪要：</t>
        </r>
        <r>
          <rPr>
            <sz val="10"/>
            <color rgb="FF000000"/>
            <rFont val="宋体"/>
            <family val="3"/>
            <charset val="134"/>
            <scheme val="minor"/>
          </rPr>
          <t>今年</t>
        </r>
        <r>
          <rPr>
            <sz val="10"/>
            <color rgb="FF000000"/>
            <rFont val="宋体"/>
            <family val="3"/>
            <charset val="134"/>
            <scheme val="minor"/>
          </rPr>
          <t>DRAM</t>
        </r>
        <r>
          <rPr>
            <sz val="10"/>
            <color rgb="FF000000"/>
            <rFont val="宋体"/>
            <family val="3"/>
            <charset val="134"/>
            <scheme val="minor"/>
          </rPr>
          <t>市场销售同比增长</t>
        </r>
        <r>
          <rPr>
            <sz val="10"/>
            <color rgb="FF000000"/>
            <rFont val="宋体"/>
            <family val="3"/>
            <charset val="134"/>
            <scheme val="minor"/>
          </rPr>
          <t>40%</t>
        </r>
        <r>
          <rPr>
            <sz val="10"/>
            <color rgb="FF000000"/>
            <rFont val="宋体"/>
            <family val="3"/>
            <charset val="134"/>
            <scheme val="minor"/>
          </rPr>
          <t>多，主要来自量的增长；</t>
        </r>
        <r>
          <rPr>
            <sz val="10"/>
            <color rgb="FF000000"/>
            <rFont val="宋体"/>
            <family val="3"/>
            <charset val="134"/>
            <scheme val="minor"/>
          </rPr>
          <t>ANALOG</t>
        </r>
        <r>
          <rPr>
            <sz val="10"/>
            <color rgb="FF000000"/>
            <rFont val="宋体"/>
            <family val="3"/>
            <charset val="134"/>
            <scheme val="minor"/>
          </rPr>
          <t>、</t>
        </r>
        <r>
          <rPr>
            <sz val="10"/>
            <color rgb="FF000000"/>
            <rFont val="宋体"/>
            <family val="3"/>
            <charset val="134"/>
            <scheme val="minor"/>
          </rPr>
          <t>FLASH</t>
        </r>
        <r>
          <rPr>
            <sz val="10"/>
            <color rgb="FF000000"/>
            <rFont val="宋体"/>
            <family val="3"/>
            <charset val="134"/>
            <scheme val="minor"/>
          </rPr>
          <t>、</t>
        </r>
        <r>
          <rPr>
            <sz val="10"/>
            <color rgb="FF000000"/>
            <rFont val="宋体"/>
            <family val="3"/>
            <charset val="134"/>
            <scheme val="minor"/>
          </rPr>
          <t>SRAM</t>
        </r>
        <r>
          <rPr>
            <sz val="10"/>
            <color rgb="FF000000"/>
            <rFont val="宋体"/>
            <family val="3"/>
            <charset val="134"/>
            <scheme val="minor"/>
          </rPr>
          <t>都涨的不多。</t>
        </r>
      </text>
    </comment>
    <comment ref="D47" authorId="0" shapeId="0" xr:uid="{D73571E5-6B8F-46EC-8E09-5A5B34591D85}">
      <text>
        <r>
          <rPr>
            <b/>
            <sz val="9"/>
            <color indexed="81"/>
            <rFont val="宋体"/>
            <family val="3"/>
            <charset val="134"/>
          </rPr>
          <t>刘洋:</t>
        </r>
        <r>
          <rPr>
            <sz val="9"/>
            <color indexed="81"/>
            <rFont val="宋体"/>
            <family val="3"/>
            <charset val="134"/>
          </rPr>
          <t xml:space="preserve">
下半年景气度回落</t>
        </r>
      </text>
    </comment>
    <comment ref="C48" authorId="0" shapeId="0" xr:uid="{665A2CD2-4F58-403A-BDE2-B1CE8659B632}">
      <text>
        <r>
          <rPr>
            <sz val="9"/>
            <color indexed="81"/>
            <rFont val="宋体"/>
            <family val="3"/>
            <charset val="134"/>
          </rPr>
          <t>DRAM最大，占issi大概50%，Flash大概20%多，SRAM大概10%多</t>
        </r>
      </text>
    </comment>
    <comment ref="C49" authorId="2" shapeId="0" xr:uid="{131A8B07-C877-42BF-B22F-0BA654CA499F}">
      <text>
        <r>
          <rPr>
            <b/>
            <sz val="9"/>
            <color indexed="81"/>
            <rFont val="宋体"/>
            <family val="3"/>
            <charset val="134"/>
          </rPr>
          <t>苗丰030734:</t>
        </r>
        <r>
          <rPr>
            <sz val="9"/>
            <color indexed="81"/>
            <rFont val="宋体"/>
            <family val="3"/>
            <charset val="134"/>
          </rPr>
          <t xml:space="preserve">
疫情、缺芯等导致采购端对于存储拉货亿元下滑，Q4开始衰退，四季度季度产值环比-5.8%到250亿美元
https://mp.weixin.qq.com/s/RRvEETTGsADx3Gu1xXhXqw</t>
        </r>
      </text>
    </comment>
    <comment ref="D49" authorId="2" shapeId="0" xr:uid="{E256E8B8-2119-4BB1-AC98-CC792C614D5E}">
      <text>
        <r>
          <rPr>
            <b/>
            <sz val="9"/>
            <color indexed="81"/>
            <rFont val="宋体"/>
            <family val="3"/>
            <charset val="134"/>
          </rPr>
          <t>苗丰030734:</t>
        </r>
        <r>
          <rPr>
            <sz val="9"/>
            <color indexed="81"/>
            <rFont val="宋体"/>
            <family val="3"/>
            <charset val="134"/>
          </rPr>
          <t xml:space="preserve">
从2021Q4开始跌价，2022Q1DRAM总产值QoQ-4%，其中仅美光因为车需求好而有+2.4%，其他均下跌。力积电（PSMC）营收计算主要为其自身生产之标准型DRAM产品而不包含DRAM代工业务，第一季营收下跌约23%，主因是大客户对于力积电自家产品需求减少；但若加计代工营收，则逆势成长3%。
https://mp.weixin.qq.com/s/3oQhBSxnxUt1rSOJlnVUkA
另外一季度DRAM价格跌10%左右，二季度预计DRAM价格跌0-5%，三季度预计DRAM价格跌3-8%
https://mp.weixin.qq.com/s/i0-D9ymNCQdBZuI_5v1FFA
https://mp.weixin.qq.com/s/vguBl-y24jSjboLNyoUN0w</t>
        </r>
      </text>
    </comment>
    <comment ref="D52" authorId="0" shapeId="0" xr:uid="{C998B07A-BA46-4C34-8207-61193A53D092}">
      <text>
        <r>
          <rPr>
            <b/>
            <sz val="9"/>
            <color indexed="81"/>
            <rFont val="宋体"/>
            <family val="3"/>
            <charset val="134"/>
          </rPr>
          <t>刘洋:</t>
        </r>
        <r>
          <rPr>
            <sz val="9"/>
            <color indexed="81"/>
            <rFont val="宋体"/>
            <family val="3"/>
            <charset val="134"/>
          </rPr>
          <t xml:space="preserve">
20220622：汽车DRAM规模30~40亿美金规模，单车30多美金价值量，利基价格稳定，当前与2021Q4持平，2021年涨幅也不大
20211027：小容量（8Gb）以下规模约100多亿美金，50%多是高可靠性市场，50-60亿美金，汽车占20%~30%
全球车载DRAM市场现在估计一个车上可能有30多美金，前几年是25美金，预计到2022年能达到40美金，从趋势上肯定是在成长的，未来智能车的发展可能会使得单车存储、芯片容量、数量都会增加，MCU接口决定了只能接什么类型存储，比如只能接DDR3，DDR2和DDR4都不行。域控制器搭配存储是需要越来越大的，这种我们做不了，但是端级，怎么控制电池，雷达、摄像头等，不会未来都大容量，要看需求和经济性
三星（Samsung）、SK海力士（SK hynix）等两大原厂都已逐步减产DDR3，且将陆续结束DDR3相关产品如1/2Gb、4Gb的生产周期（EOL；End OF Life）。美光（Micron）则例外，据TrendForce集邦咨询了解，其DDR3至2026年都尚未有结束产品周期的规划。
而主要专攻DDR3的台厂如南亚科（Nanya Tech）、华邦（Winbond）等，虽然皆有产能扩增计划，不过实际贡献仍要等到2023~2024年，故今年DDR3整体供给量不会有太大变化。
https://mp.weixin.qq.com/s/e6iQvbhoOD6gTChtujZjLw</t>
        </r>
      </text>
    </comment>
    <comment ref="A54" authorId="2" shapeId="0" xr:uid="{CCEB890A-0AAE-4234-8022-6E21775EE729}">
      <text>
        <r>
          <rPr>
            <b/>
            <sz val="9"/>
            <color indexed="81"/>
            <rFont val="宋体"/>
            <family val="3"/>
            <charset val="134"/>
          </rPr>
          <t>苗丰030734:</t>
        </r>
        <r>
          <rPr>
            <sz val="9"/>
            <color indexed="81"/>
            <rFont val="宋体"/>
            <family val="3"/>
            <charset val="134"/>
          </rPr>
          <t xml:space="preserve">
DRAM大概6成来自汽车</t>
        </r>
      </text>
    </comment>
    <comment ref="C59" authorId="0" shapeId="0" xr:uid="{5DA6E8E9-F524-4A8E-BE64-A5B30877B98A}">
      <text>
        <r>
          <rPr>
            <sz val="9"/>
            <color indexed="81"/>
            <rFont val="宋体"/>
            <family val="3"/>
            <charset val="134"/>
          </rPr>
          <t>从毛利率来看，和收购披露的差不多，SRAM大概40%多，DRAM大概30%出头，Flash不到30%，Flash如果加上ip业务的话有30%左右</t>
        </r>
      </text>
    </comment>
    <comment ref="D59" authorId="0" shapeId="0" xr:uid="{FBF27BD7-A2FF-4C96-8D2C-C916118F1B42}">
      <text>
        <r>
          <rPr>
            <b/>
            <sz val="9"/>
            <color indexed="81"/>
            <rFont val="宋体"/>
            <family val="3"/>
            <charset val="134"/>
          </rPr>
          <t>刘洋:</t>
        </r>
        <r>
          <rPr>
            <sz val="9"/>
            <color indexed="81"/>
            <rFont val="宋体"/>
            <family val="3"/>
            <charset val="134"/>
          </rPr>
          <t xml:space="preserve">
22年景气度前高后低</t>
        </r>
      </text>
    </comment>
    <comment ref="A60" authorId="1" shapeId="0" xr:uid="{A17B90C0-9ABB-4617-8BD0-7E7AF7E897A4}">
      <text>
        <r>
          <rPr>
            <b/>
            <sz val="10"/>
            <color rgb="FF000000"/>
            <rFont val="Microsoft YaHei UI"/>
            <family val="2"/>
            <charset val="1"/>
          </rPr>
          <t>Leon刘洋:</t>
        </r>
        <r>
          <rPr>
            <sz val="10"/>
            <color rgb="FF000000"/>
            <rFont val="Microsoft YaHei UI"/>
            <family val="2"/>
            <charset val="1"/>
          </rPr>
          <t xml:space="preserve">
中芯国际代工为主，还</t>
        </r>
        <r>
          <rPr>
            <sz val="10"/>
            <color rgb="FF000000"/>
            <rFont val="宋体"/>
            <family val="3"/>
            <charset val="134"/>
          </rPr>
          <t xml:space="preserve">在格芯、台积电 </t>
        </r>
        <r>
          <rPr>
            <sz val="10"/>
            <color rgb="FF000000"/>
            <rFont val="Microsoft YaHei UI"/>
            <family val="2"/>
            <charset val="1"/>
          </rPr>
          <t xml:space="preserve">
20210106纪要：总体市场 在缓慢萎缩，但北京矽成仍然在持续支持客户 SRAM 产品的研发， 因此北京矽成的 SRAM 业务会长期存在，预期平稳发展</t>
        </r>
      </text>
    </comment>
    <comment ref="C61" authorId="0" shapeId="0" xr:uid="{2C33DB7F-FE42-45F6-B9DF-83FB41469E17}">
      <text>
        <r>
          <rPr>
            <b/>
            <sz val="9"/>
            <color indexed="81"/>
            <rFont val="宋体"/>
            <family val="3"/>
            <charset val="134"/>
          </rPr>
          <t>刘洋:</t>
        </r>
        <r>
          <rPr>
            <sz val="9"/>
            <color indexed="81"/>
            <rFont val="宋体"/>
            <family val="3"/>
            <charset val="134"/>
          </rPr>
          <t xml:space="preserve">
20220625纪要：2021年成长20%+</t>
        </r>
      </text>
    </comment>
    <comment ref="C62" authorId="0" shapeId="0" xr:uid="{B8A1C80A-9967-40CB-A173-8D9018BB0549}">
      <text>
        <r>
          <rPr>
            <sz val="9"/>
            <color indexed="81"/>
            <rFont val="宋体"/>
            <family val="3"/>
            <charset val="134"/>
          </rPr>
          <t>DRAM最大，占issi大概50%，Flash大概20%多，SRAM大概10%多。Flash成长性快，前两年SRAM第二，这两年Flash超过SRAM。</t>
        </r>
      </text>
    </comment>
    <comment ref="C73" authorId="0" shapeId="0" xr:uid="{6B84B858-E4FD-495D-B112-1FAEDB923E02}">
      <text>
        <r>
          <rPr>
            <sz val="9"/>
            <color indexed="81"/>
            <rFont val="宋体"/>
            <family val="3"/>
            <charset val="134"/>
          </rPr>
          <t>从毛利率来看，和收购披露的差不多，SRAM大概40%多，DRAM大概30%出头，Flash不到30%，Flash如果加上ip业务的话有30%左右</t>
        </r>
      </text>
    </comment>
    <comment ref="A74" authorId="2" shapeId="0" xr:uid="{215F5944-34E8-4B79-9C59-DD9219A02EA2}">
      <text>
        <r>
          <rPr>
            <b/>
            <sz val="9"/>
            <color rgb="FF000000"/>
            <rFont val="宋体"/>
            <family val="3"/>
            <charset val="134"/>
          </rPr>
          <t>苗丰</t>
        </r>
        <r>
          <rPr>
            <b/>
            <sz val="9"/>
            <color rgb="FF000000"/>
            <rFont val="宋体"/>
            <family val="3"/>
            <charset val="134"/>
          </rPr>
          <t>030734:</t>
        </r>
        <r>
          <rPr>
            <sz val="9"/>
            <color rgb="FF000000"/>
            <rFont val="宋体"/>
            <family val="3"/>
            <charset val="134"/>
          </rPr>
          <t xml:space="preserve">
</t>
        </r>
        <r>
          <rPr>
            <sz val="9"/>
            <color rgb="FF000000"/>
            <rFont val="宋体"/>
            <family val="3"/>
            <charset val="134"/>
          </rPr>
          <t>主要在武汉新芯代工，</t>
        </r>
        <r>
          <rPr>
            <sz val="9"/>
            <color rgb="FF000000"/>
            <rFont val="宋体"/>
            <family val="3"/>
            <charset val="134"/>
          </rPr>
          <t>50nm</t>
        </r>
        <r>
          <rPr>
            <sz val="9"/>
            <color rgb="FF000000"/>
            <rFont val="宋体"/>
            <family val="3"/>
            <charset val="134"/>
          </rPr>
          <t>，</t>
        </r>
        <r>
          <rPr>
            <sz val="9"/>
            <color rgb="FF000000"/>
            <rFont val="宋体"/>
            <family val="3"/>
            <charset val="134"/>
          </rPr>
          <t xml:space="preserve">65nm
</t>
        </r>
        <r>
          <rPr>
            <sz val="9"/>
            <color rgb="FF000000"/>
            <rFont val="宋体"/>
            <family val="3"/>
            <charset val="134"/>
          </rPr>
          <t>20210106</t>
        </r>
        <r>
          <rPr>
            <sz val="9"/>
            <color rgb="FF000000"/>
            <rFont val="宋体"/>
            <family val="3"/>
            <charset val="134"/>
          </rPr>
          <t>纪要：其中</t>
        </r>
        <r>
          <rPr>
            <sz val="9"/>
            <color rgb="FF000000"/>
            <rFont val="宋体"/>
            <family val="3"/>
            <charset val="134"/>
          </rPr>
          <t>NOR Flash</t>
        </r>
        <r>
          <rPr>
            <sz val="9"/>
            <color rgb="FF000000"/>
            <rFont val="宋体"/>
            <family val="3"/>
            <charset val="134"/>
          </rPr>
          <t>芯片销售占比较大，主要面向汽车电子客户、部分行业客户及</t>
        </r>
        <r>
          <rPr>
            <sz val="9"/>
            <color rgb="FF000000"/>
            <rFont val="宋体"/>
            <family val="3"/>
            <charset val="134"/>
          </rPr>
          <t xml:space="preserve"> </t>
        </r>
        <r>
          <rPr>
            <sz val="9"/>
            <color rgb="FF000000"/>
            <rFont val="宋体"/>
            <family val="3"/>
            <charset val="134"/>
          </rPr>
          <t>高端消费类客户</t>
        </r>
        <r>
          <rPr>
            <sz val="9"/>
            <color rgb="FF000000"/>
            <rFont val="宋体"/>
            <family val="3"/>
            <charset val="134"/>
          </rPr>
          <t xml:space="preserve">
</t>
        </r>
      </text>
    </comment>
    <comment ref="C74" authorId="0" shapeId="0" xr:uid="{BE64D4D1-9421-4454-9C56-631381966F9B}">
      <text>
        <r>
          <rPr>
            <b/>
            <sz val="9"/>
            <color indexed="81"/>
            <rFont val="宋体"/>
            <family val="3"/>
            <charset val="134"/>
          </rPr>
          <t>刘洋:</t>
        </r>
        <r>
          <rPr>
            <sz val="9"/>
            <color indexed="81"/>
            <rFont val="宋体"/>
            <family val="3"/>
            <charset val="134"/>
          </rPr>
          <t xml:space="preserve">
20211027纪要：Nor Flash今年能做到1亿多美金，市场整体30多亿美金，份额还较低 </t>
        </r>
      </text>
    </comment>
    <comment ref="C75" authorId="0" shapeId="0" xr:uid="{AED19113-C924-4C39-B510-F7F89D60084A}">
      <text>
        <r>
          <rPr>
            <b/>
            <sz val="9"/>
            <color indexed="81"/>
            <rFont val="宋体"/>
            <family val="3"/>
            <charset val="134"/>
          </rPr>
          <t>刘洋:</t>
        </r>
        <r>
          <rPr>
            <sz val="9"/>
            <color indexed="81"/>
            <rFont val="宋体"/>
            <family val="3"/>
            <charset val="134"/>
          </rPr>
          <t xml:space="preserve">
20220622：增长70%+</t>
        </r>
      </text>
    </comment>
    <comment ref="E75" authorId="3" shapeId="0" xr:uid="{0B753758-8544-4A3F-B064-9D83B56FB734}">
      <text>
        <r>
          <rPr>
            <b/>
            <sz val="9"/>
            <color indexed="81"/>
            <rFont val="宋体"/>
            <family val="3"/>
            <charset val="134"/>
          </rPr>
          <t>程子盈041273:</t>
        </r>
        <r>
          <rPr>
            <sz val="9"/>
            <color indexed="81"/>
            <rFont val="宋体"/>
            <family val="3"/>
            <charset val="134"/>
          </rPr>
          <t xml:space="preserve">
40%的车，车的量和比例都提升</t>
        </r>
      </text>
    </comment>
    <comment ref="C76" authorId="2" shapeId="0" xr:uid="{9E84A11C-3181-4976-9276-86F2DF685608}">
      <text>
        <r>
          <rPr>
            <b/>
            <sz val="9"/>
            <color indexed="81"/>
            <rFont val="宋体"/>
            <family val="3"/>
            <charset val="134"/>
          </rPr>
          <t>苗丰030734:</t>
        </r>
        <r>
          <rPr>
            <sz val="9"/>
            <color indexed="81"/>
            <rFont val="宋体"/>
            <family val="3"/>
            <charset val="134"/>
          </rPr>
          <t xml:space="preserve">
DRAM最大，占issi大概50%，Flash大概20%多，SRAM大概10%多。
Flash成长性快，前两年SRAM第二，这两年Flash超过SRAM。</t>
        </r>
      </text>
    </comment>
    <comment ref="C79" authorId="2" shapeId="0" xr:uid="{1B991A7D-381D-4C35-9F19-863E3A9936AF}">
      <text>
        <r>
          <rPr>
            <b/>
            <sz val="9"/>
            <color indexed="81"/>
            <rFont val="宋体"/>
            <family val="3"/>
            <charset val="134"/>
          </rPr>
          <t>苗丰030734:</t>
        </r>
        <r>
          <rPr>
            <sz val="9"/>
            <color indexed="81"/>
            <rFont val="宋体"/>
            <family val="3"/>
            <charset val="134"/>
          </rPr>
          <t xml:space="preserve">
NAND市场由于PC需求放缓等自21Q4转跌
https://mp.weixin.qq.com/s/B7XwwYf7bHOSQfQG2_dU8Q</t>
        </r>
      </text>
    </comment>
    <comment ref="D79" authorId="2" shapeId="0" xr:uid="{4F2D4354-7067-42EC-B874-A638187F442D}">
      <text>
        <r>
          <rPr>
            <b/>
            <sz val="9"/>
            <color indexed="81"/>
            <rFont val="宋体"/>
            <family val="3"/>
            <charset val="134"/>
          </rPr>
          <t xml:space="preserve">苗丰030734:
</t>
        </r>
        <r>
          <rPr>
            <sz val="9"/>
            <color indexed="81"/>
            <rFont val="宋体"/>
            <family val="3"/>
            <charset val="134"/>
          </rPr>
          <t>一季度NAND产业收入QoQ-3%，179亿美元
https://mp.weixin.qq.com/s/wPq136-_JIaZTzPYZP5E_g</t>
        </r>
        <r>
          <rPr>
            <b/>
            <sz val="9"/>
            <color indexed="81"/>
            <rFont val="宋体"/>
            <family val="3"/>
            <charset val="134"/>
          </rPr>
          <t xml:space="preserve">
</t>
        </r>
        <r>
          <rPr>
            <sz val="9"/>
            <color indexed="81"/>
            <rFont val="宋体"/>
            <family val="3"/>
            <charset val="134"/>
          </rPr>
          <t xml:space="preserve">
需求弱，一季度跌5-10%
铠侠和西数原料污染，供给下修，二季度预计涨3-8%
三季度需求下行，预计跌0-5%
https://mp.weixin.qq.com/s/vfdNE59H1BMIyRwgdiYKXw
https://mp.weixin.qq.com/s/ii6cy39fnxYTPx2Y3pmZtg
https://mp.weixin.qq.com/s/Cuv_whUwXB_kSqh57EpwtQ</t>
        </r>
      </text>
    </comment>
    <comment ref="A86" authorId="2" shapeId="0" xr:uid="{19309E31-A97B-4EA6-A1FA-29902309E263}">
      <text>
        <r>
          <rPr>
            <b/>
            <sz val="9"/>
            <color indexed="81"/>
            <rFont val="宋体"/>
            <family val="3"/>
            <charset val="134"/>
          </rPr>
          <t>苗丰030734:</t>
        </r>
        <r>
          <rPr>
            <sz val="9"/>
            <color indexed="81"/>
            <rFont val="宋体"/>
            <family val="3"/>
            <charset val="134"/>
          </rPr>
          <t xml:space="preserve">
Flash目前仅有10%来自汽车</t>
        </r>
      </text>
    </comment>
    <comment ref="C91" authorId="0" shapeId="0" xr:uid="{9A3B165C-31D0-40CF-AF7B-2775B0679EFA}">
      <text>
        <r>
          <rPr>
            <sz val="9"/>
            <color indexed="81"/>
            <rFont val="宋体"/>
            <family val="3"/>
            <charset val="134"/>
          </rPr>
          <t>从毛利率来看，和收购披露的差不多，SRAM大概40%多，DRAM大概30%出头，Flash不到30%，Flash如果加上ip业务的话有30%左右</t>
        </r>
      </text>
    </comment>
    <comment ref="A92" authorId="2" shapeId="0" xr:uid="{98BB2542-4E79-4485-A434-7D80F475DEFC}">
      <text>
        <r>
          <rPr>
            <b/>
            <sz val="9"/>
            <color indexed="81"/>
            <rFont val="宋体"/>
            <family val="3"/>
            <charset val="134"/>
          </rPr>
          <t>苗丰030734:</t>
        </r>
        <r>
          <rPr>
            <sz val="9"/>
            <color indexed="81"/>
            <rFont val="宋体"/>
            <family val="3"/>
            <charset val="134"/>
          </rPr>
          <t xml:space="preserve">
0.15um，中芯、华润代工
除消费、工业市场外，目前也在逐渐 向车规产品导入
20210406纪要：公司模拟芯片有较好的增长，互联产品因目前新产品尚未实现 批量销售，原有老产品的销售萎缩，从而互联产品的收入有一定下 降。因此 2020 年互联 芯片收入有一定下降。
20210630纪要：因为汽车市场的导入需要时间，目前来自车规市场的收入 占比在 LED 驱动芯片中还不大，但每年在高速成长，目前的收入主 要来自高端消费市场和家电、办公等市场。汽车围绕车规有很多种类型车灯
20210430纪要：互联芯片是矽成最新的业务线，这几年还在投入期，我们希 望明年开始能够有一定的销售。</t>
        </r>
      </text>
    </comment>
    <comment ref="C92" authorId="2" shapeId="0" xr:uid="{CA4D6C45-B9B6-45B2-A289-D7E0F5AEF16F}">
      <text>
        <r>
          <rPr>
            <b/>
            <sz val="9"/>
            <color indexed="81"/>
            <rFont val="宋体"/>
            <family val="3"/>
            <charset val="134"/>
          </rPr>
          <t>苗丰030734:</t>
        </r>
        <r>
          <rPr>
            <sz val="9"/>
            <color indexed="81"/>
            <rFont val="宋体"/>
            <family val="3"/>
            <charset val="134"/>
          </rPr>
          <t xml:space="preserve">
20211109纪要：互联在模拟及互联里贡献收入很少，2019年有1000多万美金，现在销售都是老产品，这两年有下滑（因为精力在新产品上），2021年估计全年200-300万美金，2022年会有新产品销售
20211124纪要：今年矽成产能最紧缺的产线是ANALOG，在矽成收入占比8-9%</t>
        </r>
      </text>
    </comment>
    <comment ref="D92" authorId="2" shapeId="0" xr:uid="{92A003FE-E3B4-46AA-B808-77B4C55155F9}">
      <text>
        <r>
          <rPr>
            <b/>
            <sz val="9"/>
            <color indexed="81"/>
            <rFont val="宋体"/>
            <family val="3"/>
            <charset val="134"/>
          </rPr>
          <t>苗丰030734:</t>
        </r>
        <r>
          <rPr>
            <sz val="9"/>
            <color indexed="81"/>
            <rFont val="宋体"/>
            <family val="3"/>
            <charset val="134"/>
          </rPr>
          <t xml:space="preserve">
低端车可能几十颗led灯，高端车可能一两百颗都有，如果平均按一百颗来看，有的led灯需要几颗（驱动芯片），大概20-30亿美金市场容量。</t>
        </r>
      </text>
    </comment>
    <comment ref="B101" authorId="0" shapeId="0" xr:uid="{98A98256-CE34-4F83-BE14-BAFA497CDA16}">
      <text>
        <r>
          <rPr>
            <b/>
            <sz val="9"/>
            <color indexed="81"/>
            <rFont val="宋体"/>
            <family val="3"/>
            <charset val="134"/>
          </rPr>
          <t>刘洋:</t>
        </r>
        <r>
          <rPr>
            <sz val="9"/>
            <color indexed="81"/>
            <rFont val="宋体"/>
            <family val="3"/>
            <charset val="134"/>
          </rPr>
          <t xml:space="preserve">
2020年6-12月数据
受存货评估影响</t>
        </r>
      </text>
    </comment>
    <comment ref="E108" authorId="3" shapeId="0" xr:uid="{35A87C9E-593B-46B6-BA2A-E30123203E28}">
      <text>
        <r>
          <rPr>
            <b/>
            <sz val="9"/>
            <color indexed="81"/>
            <rFont val="宋体"/>
            <family val="3"/>
            <charset val="134"/>
          </rPr>
          <t>程子盈041273:</t>
        </r>
        <r>
          <rPr>
            <sz val="9"/>
            <color indexed="81"/>
            <rFont val="宋体"/>
            <family val="3"/>
            <charset val="134"/>
          </rPr>
          <t xml:space="preserve">
27.95%</t>
        </r>
      </text>
    </comment>
    <comment ref="F108" authorId="3" shapeId="0" xr:uid="{C48544C0-D95B-4663-B68D-269148665D7A}">
      <text>
        <r>
          <rPr>
            <b/>
            <sz val="9"/>
            <color indexed="81"/>
            <rFont val="宋体"/>
            <family val="3"/>
            <charset val="134"/>
          </rPr>
          <t>程子盈041273:</t>
        </r>
        <r>
          <rPr>
            <sz val="9"/>
            <color indexed="81"/>
            <rFont val="宋体"/>
            <family val="3"/>
            <charset val="134"/>
          </rPr>
          <t xml:space="preserve">
33.02%</t>
        </r>
      </text>
    </comment>
    <comment ref="G108" authorId="4" shapeId="0" xr:uid="{CBCE3CB7-147B-4073-80EA-74E9C0617D15}">
      <text>
        <r>
          <rPr>
            <b/>
            <sz val="9"/>
            <color indexed="81"/>
            <rFont val="宋体"/>
            <family val="3"/>
            <charset val="134"/>
          </rPr>
          <t>Ziying Cheng:</t>
        </r>
        <r>
          <rPr>
            <sz val="9"/>
            <color indexed="81"/>
            <rFont val="宋体"/>
            <family val="3"/>
            <charset val="134"/>
          </rPr>
          <t xml:space="preserve">
30.86%</t>
        </r>
      </text>
    </comment>
    <comment ref="A109" authorId="1" shapeId="0" xr:uid="{1848A490-240D-43DE-9471-01A1560EAC39}">
      <text>
        <r>
          <rPr>
            <b/>
            <sz val="10"/>
            <color rgb="FF000000"/>
            <rFont val="Microsoft YaHei UI"/>
            <family val="2"/>
            <charset val="1"/>
          </rPr>
          <t>Leon</t>
        </r>
        <r>
          <rPr>
            <b/>
            <sz val="10"/>
            <color rgb="FF000000"/>
            <rFont val="Microsoft YaHei UI"/>
            <family val="2"/>
            <charset val="1"/>
          </rPr>
          <t>刘洋</t>
        </r>
        <r>
          <rPr>
            <b/>
            <sz val="10"/>
            <color rgb="FF000000"/>
            <rFont val="Microsoft YaHei UI"/>
            <family val="2"/>
            <charset val="1"/>
          </rPr>
          <t>:</t>
        </r>
        <r>
          <rPr>
            <sz val="10"/>
            <color rgb="FF000000"/>
            <rFont val="Microsoft YaHei UI"/>
            <family val="2"/>
            <charset val="1"/>
          </rPr>
          <t xml:space="preserve">
</t>
        </r>
        <r>
          <rPr>
            <sz val="10"/>
            <color rgb="FF000000"/>
            <rFont val="Microsoft YaHei UI"/>
            <family val="2"/>
            <charset val="1"/>
          </rPr>
          <t>22nm</t>
        </r>
        <r>
          <rPr>
            <sz val="10"/>
            <color rgb="FF000000"/>
            <rFont val="Microsoft YaHei UI"/>
            <family val="2"/>
            <charset val="1"/>
          </rPr>
          <t>，</t>
        </r>
        <r>
          <rPr>
            <sz val="10"/>
            <color rgb="FF000000"/>
            <rFont val="Microsoft YaHei UI"/>
            <family val="2"/>
            <charset val="1"/>
          </rPr>
          <t>28nm</t>
        </r>
        <r>
          <rPr>
            <sz val="10"/>
            <color rgb="FF000000"/>
            <rFont val="Microsoft YaHei UI"/>
            <family val="2"/>
            <charset val="1"/>
          </rPr>
          <t>，</t>
        </r>
        <r>
          <rPr>
            <sz val="10"/>
            <color rgb="FF000000"/>
            <rFont val="Microsoft YaHei UI"/>
            <family val="2"/>
            <charset val="1"/>
          </rPr>
          <t>28nm</t>
        </r>
        <r>
          <rPr>
            <sz val="10"/>
            <color rgb="FF000000"/>
            <rFont val="Microsoft YaHei UI"/>
            <family val="2"/>
            <charset val="1"/>
          </rPr>
          <t>是</t>
        </r>
        <r>
          <rPr>
            <sz val="10"/>
            <color rgb="FF000000"/>
            <rFont val="Microsoft YaHei UI"/>
            <family val="2"/>
            <charset val="1"/>
          </rPr>
          <t>GF</t>
        </r>
        <r>
          <rPr>
            <sz val="10"/>
            <color rgb="FF000000"/>
            <rFont val="Microsoft YaHei UI"/>
            <family val="2"/>
            <charset val="1"/>
          </rPr>
          <t>做，</t>
        </r>
        <r>
          <rPr>
            <sz val="10"/>
            <color rgb="FF000000"/>
            <rFont val="Microsoft YaHei UI"/>
            <family val="2"/>
            <charset val="1"/>
          </rPr>
          <t>T40</t>
        </r>
        <r>
          <rPr>
            <sz val="10"/>
            <color rgb="FF000000"/>
            <rFont val="Microsoft YaHei UI"/>
            <family val="2"/>
            <charset val="1"/>
          </rPr>
          <t>（</t>
        </r>
        <r>
          <rPr>
            <sz val="10"/>
            <color rgb="FF000000"/>
            <rFont val="Microsoft YaHei UI"/>
            <family val="2"/>
            <charset val="1"/>
          </rPr>
          <t>22nm</t>
        </r>
        <r>
          <rPr>
            <sz val="10"/>
            <color rgb="FF000000"/>
            <rFont val="Microsoft YaHei UI"/>
            <family val="2"/>
            <charset val="1"/>
          </rPr>
          <t>）在台积电，</t>
        </r>
        <r>
          <rPr>
            <sz val="10"/>
            <color rgb="FF000000"/>
            <rFont val="Microsoft YaHei UI"/>
            <family val="2"/>
            <charset val="1"/>
          </rPr>
          <t xml:space="preserve">
</t>
        </r>
        <r>
          <rPr>
            <sz val="10"/>
            <color rgb="FF000000"/>
            <rFont val="Microsoft YaHei UI"/>
            <family val="2"/>
            <charset val="1"/>
          </rPr>
          <t>消费类能做到业内前三，行业类也有涉及，今年有望切入专业安防</t>
        </r>
      </text>
    </comment>
    <comment ref="C109" authorId="0" shapeId="0" xr:uid="{3E676D2E-8E89-4FD4-9881-DF4C13D3AB07}">
      <text>
        <r>
          <rPr>
            <b/>
            <sz val="9"/>
            <color indexed="81"/>
            <rFont val="宋体"/>
            <family val="3"/>
            <charset val="134"/>
          </rPr>
          <t>刘洋:</t>
        </r>
        <r>
          <rPr>
            <sz val="9"/>
            <color indexed="81"/>
            <rFont val="宋体"/>
            <family val="3"/>
            <charset val="134"/>
          </rPr>
          <t xml:space="preserve">
20220622:2021年出货5000万颗以上</t>
        </r>
      </text>
    </comment>
    <comment ref="D109" authorId="2" shapeId="0" xr:uid="{D61DA737-3B8F-470A-A906-E31042293049}">
      <text>
        <r>
          <rPr>
            <b/>
            <sz val="9"/>
            <color indexed="81"/>
            <rFont val="宋体"/>
            <family val="3"/>
            <charset val="134"/>
          </rPr>
          <t>苗丰030734:</t>
        </r>
        <r>
          <rPr>
            <sz val="9"/>
            <color indexed="81"/>
            <rFont val="宋体"/>
            <family val="3"/>
            <charset val="134"/>
          </rPr>
          <t xml:space="preserve">
智能视频芯片，Q2竞争压力大，市场也比较低迷，我们自己预计Q3开始回暖。消费类市场Q3、Q4都会比上半年好，Q4是全年传统旺季
今年消费安防和专业安防需求都不行，所以不一定有增长</t>
        </r>
      </text>
    </comment>
    <comment ref="D112" authorId="2" shapeId="0" xr:uid="{57F3A686-4069-45A7-8521-BD72336268ED}">
      <text>
        <r>
          <rPr>
            <b/>
            <sz val="9"/>
            <color indexed="81"/>
            <rFont val="宋体"/>
            <family val="3"/>
            <charset val="134"/>
          </rPr>
          <t>苗丰030734:</t>
        </r>
        <r>
          <rPr>
            <sz val="9"/>
            <color indexed="81"/>
            <rFont val="宋体"/>
            <family val="3"/>
            <charset val="134"/>
          </rPr>
          <t xml:space="preserve">
20220622：去年Q4大概40%多，去年全年平均44%，Q1低些，Q2、Q3大概48%，Q4回落到45%。2022Q1毛利率降到32%，Q2还会再低些。
有可能恢复到20年水平
安防芯片去年存在一定囤货，因为客户担心海思退出后没货，但是国内很多厂商能做，所以去年囤货多了，从12月开始去库存，今年一季度都在去化过程中，二季度来看行业价格战
</t>
        </r>
      </text>
    </comment>
    <comment ref="A113" authorId="1" shapeId="0" xr:uid="{938AE617-81C7-4751-86B0-5C57C5E97239}">
      <text>
        <r>
          <rPr>
            <b/>
            <sz val="10"/>
            <color rgb="FF000000"/>
            <rFont val="Microsoft YaHei UI"/>
            <family val="2"/>
            <charset val="1"/>
          </rPr>
          <t>Leon</t>
        </r>
        <r>
          <rPr>
            <b/>
            <sz val="10"/>
            <color rgb="FF000000"/>
            <rFont val="Microsoft YaHei UI"/>
            <family val="2"/>
            <charset val="1"/>
          </rPr>
          <t>刘洋</t>
        </r>
        <r>
          <rPr>
            <b/>
            <sz val="10"/>
            <color rgb="FF000000"/>
            <rFont val="Microsoft YaHei UI"/>
            <family val="2"/>
            <charset val="1"/>
          </rPr>
          <t>:</t>
        </r>
        <r>
          <rPr>
            <sz val="10"/>
            <color rgb="FF000000"/>
            <rFont val="Microsoft YaHei UI"/>
            <family val="2"/>
            <charset val="1"/>
          </rPr>
          <t xml:space="preserve">
</t>
        </r>
        <r>
          <rPr>
            <sz val="10"/>
            <color rgb="FF000000"/>
            <rFont val="宋体"/>
            <family val="3"/>
            <charset val="134"/>
            <scheme val="minor"/>
          </rPr>
          <t>目前在台积电、中芯国际、格芯都有，比较多是在台积电</t>
        </r>
        <r>
          <rPr>
            <sz val="10"/>
            <color rgb="FF000000"/>
            <rFont val="宋体"/>
            <family val="3"/>
            <charset val="134"/>
            <scheme val="minor"/>
          </rPr>
          <t xml:space="preserve">
</t>
        </r>
        <r>
          <rPr>
            <sz val="10"/>
            <color rgb="FF000000"/>
            <rFont val="宋体"/>
            <family val="3"/>
            <charset val="134"/>
            <scheme val="minor"/>
          </rPr>
          <t>面向</t>
        </r>
        <r>
          <rPr>
            <sz val="10"/>
            <color rgb="FF000000"/>
            <rFont val="宋体"/>
            <family val="3"/>
            <charset val="134"/>
            <scheme val="minor"/>
          </rPr>
          <t xml:space="preserve"> </t>
        </r>
        <r>
          <rPr>
            <sz val="10"/>
            <color rgb="FF000000"/>
            <rFont val="宋体"/>
            <family val="3"/>
            <charset val="134"/>
            <scheme val="minor"/>
          </rPr>
          <t xml:space="preserve">AIOT </t>
        </r>
        <r>
          <rPr>
            <sz val="10"/>
            <color rgb="FF000000"/>
            <rFont val="宋体"/>
            <family val="3"/>
            <charset val="134"/>
            <scheme val="minor"/>
          </rPr>
          <t>市场，</t>
        </r>
        <r>
          <rPr>
            <sz val="10"/>
            <color rgb="FF000000"/>
            <rFont val="宋体"/>
            <family val="3"/>
            <charset val="134"/>
            <scheme val="minor"/>
          </rPr>
          <t xml:space="preserve"> </t>
        </r>
        <r>
          <rPr>
            <sz val="10"/>
            <color rgb="FF000000"/>
            <rFont val="宋体"/>
            <family val="3"/>
            <charset val="134"/>
            <scheme val="minor"/>
          </rPr>
          <t>碎片化、多样化，跟随市场增速</t>
        </r>
        <r>
          <rPr>
            <sz val="10"/>
            <color rgb="FF000000"/>
            <rFont val="宋体"/>
            <family val="3"/>
            <charset val="134"/>
            <scheme val="minor"/>
          </rPr>
          <t xml:space="preserve">
</t>
        </r>
        <r>
          <rPr>
            <sz val="10"/>
            <color rgb="FF000000"/>
            <rFont val="Microsoft YaHei UI"/>
            <family val="2"/>
            <charset val="1"/>
          </rPr>
          <t>20210908</t>
        </r>
        <r>
          <rPr>
            <sz val="10"/>
            <color rgb="FF000000"/>
            <rFont val="Microsoft YaHei UI"/>
            <family val="2"/>
            <charset val="1"/>
          </rPr>
          <t>纪要：后年会推出高端</t>
        </r>
        <r>
          <rPr>
            <sz val="10"/>
            <color rgb="FF000000"/>
            <rFont val="Microsoft YaHei UI"/>
            <family val="2"/>
            <charset val="1"/>
          </rPr>
          <t>MCU</t>
        </r>
        <r>
          <rPr>
            <sz val="10"/>
            <color rgb="FF000000"/>
            <rFont val="Microsoft YaHei UI"/>
            <family val="2"/>
            <charset val="1"/>
          </rPr>
          <t>市场的芯片</t>
        </r>
      </text>
    </comment>
    <comment ref="C113" authorId="1" shapeId="0" xr:uid="{BEEAF7BB-A73B-49E9-BB55-6D829497D76B}">
      <text>
        <r>
          <rPr>
            <b/>
            <sz val="10"/>
            <color rgb="FF000000"/>
            <rFont val="Microsoft YaHei UI"/>
            <family val="2"/>
            <charset val="1"/>
          </rPr>
          <t>Leon</t>
        </r>
        <r>
          <rPr>
            <b/>
            <sz val="10"/>
            <color rgb="FF000000"/>
            <rFont val="Microsoft YaHei UI"/>
            <family val="2"/>
            <charset val="1"/>
          </rPr>
          <t>刘洋</t>
        </r>
        <r>
          <rPr>
            <b/>
            <sz val="10"/>
            <color rgb="FF000000"/>
            <rFont val="Microsoft YaHei UI"/>
            <family val="2"/>
            <charset val="1"/>
          </rPr>
          <t xml:space="preserve">:
</t>
        </r>
        <r>
          <rPr>
            <sz val="10"/>
            <color rgb="FF000000"/>
            <rFont val="Microsoft YaHei UI"/>
            <family val="2"/>
            <charset val="1"/>
          </rPr>
          <t>20210908</t>
        </r>
        <r>
          <rPr>
            <sz val="10"/>
            <color rgb="FF000000"/>
            <rFont val="Microsoft YaHei UI"/>
            <family val="2"/>
            <charset val="1"/>
          </rPr>
          <t>：全年相比上半年乘以</t>
        </r>
        <r>
          <rPr>
            <sz val="10"/>
            <color rgb="FF000000"/>
            <rFont val="Microsoft YaHei UI"/>
            <family val="2"/>
            <charset val="1"/>
          </rPr>
          <t>2</t>
        </r>
        <r>
          <rPr>
            <sz val="10"/>
            <color rgb="FF000000"/>
            <rFont val="Microsoft YaHei UI"/>
            <family val="2"/>
            <charset val="1"/>
          </rPr>
          <t>问题不大</t>
        </r>
      </text>
    </comment>
    <comment ref="D113" authorId="2" shapeId="0" xr:uid="{AEBBCA2D-3DE5-4230-BC8D-23EFDDD6A304}">
      <text>
        <r>
          <rPr>
            <b/>
            <sz val="9"/>
            <color indexed="81"/>
            <rFont val="宋体"/>
            <family val="3"/>
            <charset val="134"/>
          </rPr>
          <t>苗丰030734:</t>
        </r>
        <r>
          <rPr>
            <sz val="9"/>
            <color indexed="81"/>
            <rFont val="宋体"/>
            <family val="3"/>
            <charset val="134"/>
          </rPr>
          <t xml:space="preserve">
一季度同比环比都有下滑，下游消费类需求比较分散，今年可能不太行，可以先按照持平</t>
        </r>
      </text>
    </comment>
    <comment ref="E113" authorId="2" shapeId="0" xr:uid="{6A70CAB8-1117-444A-BA54-167346E0D357}">
      <text>
        <r>
          <rPr>
            <sz val="9"/>
            <color indexed="81"/>
            <rFont val="宋体"/>
            <family val="3"/>
            <charset val="134"/>
          </rPr>
          <t>同比+20%多，智能</t>
        </r>
      </text>
    </comment>
    <comment ref="A117" authorId="1" shapeId="0" xr:uid="{5C73ECD8-071A-485C-B941-844EA16B60EF}">
      <text>
        <r>
          <rPr>
            <b/>
            <sz val="10"/>
            <color rgb="FF000000"/>
            <rFont val="Microsoft YaHei UI"/>
            <family val="2"/>
            <charset val="1"/>
          </rPr>
          <t>Leon刘洋:</t>
        </r>
        <r>
          <rPr>
            <sz val="10"/>
            <color rgb="FF000000"/>
            <rFont val="Microsoft YaHei UI"/>
            <family val="2"/>
            <charset val="1"/>
          </rPr>
          <t xml:space="preserve">
20210406纪要：主要来自北京矽成的技术授权业务
2017-2018年FLASH P-Fusion收入约5000万元</t>
        </r>
      </text>
    </comment>
    <comment ref="A143" authorId="3" shapeId="0" xr:uid="{7E2520AF-4817-4EEA-89CA-3A8BD340F03A}">
      <text>
        <r>
          <rPr>
            <b/>
            <sz val="9"/>
            <color indexed="81"/>
            <rFont val="宋体"/>
            <family val="3"/>
            <charset val="134"/>
          </rPr>
          <t>程子盈041273:</t>
        </r>
        <r>
          <rPr>
            <sz val="9"/>
            <color indexed="81"/>
            <rFont val="宋体"/>
            <family val="3"/>
            <charset val="134"/>
          </rPr>
          <t xml:space="preserve">
主要的部分智能视频在合肥，微处理器在北京和深圳，不在合肥君正里面。收入上也有些合并抵消</t>
        </r>
      </text>
    </comment>
    <comment ref="B150" authorId="2" shapeId="0" xr:uid="{9FDB85F0-5429-40EC-90A7-AAF89D7E1D1B}">
      <text>
        <r>
          <rPr>
            <b/>
            <sz val="9"/>
            <color rgb="FF000000"/>
            <rFont val="宋体"/>
            <family val="3"/>
            <charset val="134"/>
          </rPr>
          <t>苗丰</t>
        </r>
        <r>
          <rPr>
            <b/>
            <sz val="9"/>
            <color rgb="FF000000"/>
            <rFont val="宋体"/>
            <family val="3"/>
            <charset val="134"/>
          </rPr>
          <t>030734:</t>
        </r>
        <r>
          <rPr>
            <sz val="9"/>
            <color rgb="FF000000"/>
            <rFont val="宋体"/>
            <family val="3"/>
            <charset val="134"/>
          </rPr>
          <t xml:space="preserve">
</t>
        </r>
        <r>
          <rPr>
            <sz val="9"/>
            <color rgb="FF000000"/>
            <rFont val="宋体"/>
            <family val="3"/>
            <charset val="134"/>
          </rPr>
          <t>公司因本次收购产生了较大的存货、固定资产和无形资产等资产评估增值，其折旧与摊销致使营业成本和经营费用同比大幅增长，一定程度上抵消了公司经营净利润的增幅，该部分对公司报告期损益的影响金额合计为</t>
        </r>
        <r>
          <rPr>
            <sz val="9"/>
            <color rgb="FF000000"/>
            <rFont val="宋体"/>
            <family val="3"/>
            <charset val="134"/>
          </rPr>
          <t>12,131.04</t>
        </r>
        <r>
          <rPr>
            <sz val="9"/>
            <color rgb="FF000000"/>
            <rFont val="宋体"/>
            <family val="3"/>
            <charset val="134"/>
          </rPr>
          <t>万元</t>
        </r>
        <r>
          <rPr>
            <sz val="9"/>
            <color rgb="FF000000"/>
            <rFont val="宋体"/>
            <family val="3"/>
            <charset val="134"/>
          </rPr>
          <t xml:space="preserve">
</t>
        </r>
        <r>
          <rPr>
            <sz val="9"/>
            <color rgb="FF000000"/>
            <rFont val="宋体"/>
            <family val="3"/>
            <charset val="134"/>
          </rPr>
          <t>20210519</t>
        </r>
        <r>
          <rPr>
            <sz val="9"/>
            <color rgb="FF000000"/>
            <rFont val="宋体"/>
            <family val="3"/>
            <charset val="134"/>
          </rPr>
          <t>纪要：其中大部分是存货增值</t>
        </r>
      </text>
    </comment>
    <comment ref="C150" authorId="0" shapeId="0" xr:uid="{DDE605D1-CF1B-4F36-9074-4E54E7174F82}">
      <text>
        <r>
          <rPr>
            <b/>
            <sz val="9"/>
            <color indexed="81"/>
            <rFont val="宋体"/>
            <family val="3"/>
            <charset val="134"/>
          </rPr>
          <t>刘洋:</t>
        </r>
        <r>
          <rPr>
            <sz val="9"/>
            <color indexed="81"/>
            <rFont val="宋体"/>
            <family val="3"/>
            <charset val="134"/>
          </rPr>
          <t xml:space="preserve">
公司因收购产生的存货、固定资产和无形资产等资产评估增值，其折旧与摊销等对公司报告期损益的影响金额合计为7,155.44万元；在北京矽成层面，其因收购ISSI形成的无形资产和固定资产增值摊销在报告期内对其利润的影响金额为6,076.06万元，上述金额合计为13,231.50万元，该资产增值摊销与公司经营情况关联关系较小，对公司现金流亦不造成影响</t>
        </r>
      </text>
    </comment>
    <comment ref="D150" authorId="2" shapeId="0" xr:uid="{F732E75A-DBA3-45BF-8E89-29F658CC1715}">
      <text>
        <r>
          <rPr>
            <b/>
            <sz val="9"/>
            <color indexed="81"/>
            <rFont val="宋体"/>
            <family val="3"/>
            <charset val="134"/>
          </rPr>
          <t>苗丰030734:</t>
        </r>
        <r>
          <rPr>
            <sz val="9"/>
            <color indexed="81"/>
            <rFont val="宋体"/>
            <family val="3"/>
            <charset val="134"/>
          </rPr>
          <t xml:space="preserve">
收购资产增值摊销，以后还会持续有，但是会越来越少，22年可能少一两千万，23年因为矽成2015年年收购的很多到时候资产就折旧完了 估计整体会从现在大概2000万美金落到1000万美金以下 估计4000-5000万元</t>
        </r>
      </text>
    </comment>
    <comment ref="E150" authorId="3" shapeId="0" xr:uid="{0FDA953F-AF90-43AF-9E3C-91972277F061}">
      <text>
        <r>
          <rPr>
            <b/>
            <sz val="9"/>
            <color indexed="81"/>
            <rFont val="宋体"/>
            <family val="3"/>
            <charset val="134"/>
          </rPr>
          <t>程子盈041273:</t>
        </r>
        <r>
          <rPr>
            <sz val="9"/>
            <color indexed="81"/>
            <rFont val="宋体"/>
            <family val="3"/>
            <charset val="134"/>
          </rPr>
          <t xml:space="preserve">
公司因收购产生的存货、固定资产和无形资产等资产评估增值，其折旧与摊销等对公司报告期损益的影响金额为4,317万元，该资产增值摊销与公司经营情况关联关系较小，对公司现金流亦不造成影响。</t>
        </r>
      </text>
    </comment>
    <comment ref="D152" authorId="2" shapeId="0" xr:uid="{7D552B8A-4289-4F27-8F00-551B186DB665}">
      <text>
        <r>
          <rPr>
            <b/>
            <sz val="9"/>
            <color indexed="81"/>
            <rFont val="宋体"/>
            <family val="3"/>
            <charset val="134"/>
          </rPr>
          <t>苗丰030734:</t>
        </r>
        <r>
          <rPr>
            <sz val="9"/>
            <color indexed="81"/>
            <rFont val="宋体"/>
            <family val="3"/>
            <charset val="134"/>
          </rPr>
          <t xml:space="preserve">
互联还没有新产品贡献收入，23年都盈利不了</t>
        </r>
      </text>
    </comment>
    <comment ref="B160" authorId="2" shapeId="0" xr:uid="{4C1B42CD-B5D2-4C1E-841E-0614A1BBC2FD}">
      <text>
        <r>
          <rPr>
            <b/>
            <sz val="9"/>
            <color indexed="81"/>
            <rFont val="宋体"/>
            <family val="3"/>
            <charset val="134"/>
          </rPr>
          <t>苗丰030734:</t>
        </r>
        <r>
          <rPr>
            <sz val="9"/>
            <color indexed="81"/>
            <rFont val="宋体"/>
            <family val="3"/>
            <charset val="134"/>
          </rPr>
          <t xml:space="preserve">
年报子公司净利润</t>
        </r>
      </text>
    </comment>
    <comment ref="C160" authorId="2" shapeId="0" xr:uid="{06372540-B433-4AA0-B95A-203DB0F87544}">
      <text>
        <r>
          <rPr>
            <b/>
            <sz val="9"/>
            <color indexed="81"/>
            <rFont val="宋体"/>
            <family val="3"/>
            <charset val="134"/>
          </rPr>
          <t>苗丰030734:</t>
        </r>
        <r>
          <rPr>
            <sz val="9"/>
            <color indexed="81"/>
            <rFont val="宋体"/>
            <family val="3"/>
            <charset val="134"/>
          </rPr>
          <t xml:space="preserve">
年报子公司净利润</t>
        </r>
      </text>
    </comment>
    <comment ref="C165" authorId="2" shapeId="0" xr:uid="{ED9A351A-1825-4BD2-990F-9C63ED5B9A96}">
      <text>
        <r>
          <rPr>
            <b/>
            <sz val="9"/>
            <color indexed="81"/>
            <rFont val="宋体"/>
            <family val="3"/>
            <charset val="134"/>
          </rPr>
          <t>苗丰030734:</t>
        </r>
        <r>
          <rPr>
            <sz val="9"/>
            <color indexed="81"/>
            <rFont val="宋体"/>
            <family val="3"/>
            <charset val="134"/>
          </rPr>
          <t xml:space="preserve">
2021Q1-Q4
1.2/2.3/2.8/2.9</t>
        </r>
      </text>
    </comment>
    <comment ref="D165" authorId="2" shapeId="0" xr:uid="{BF6C36E2-7DC9-4CC3-86DD-49F439FCE335}">
      <text>
        <r>
          <rPr>
            <b/>
            <sz val="9"/>
            <color indexed="81"/>
            <rFont val="宋体"/>
            <family val="3"/>
            <charset val="134"/>
          </rPr>
          <t>苗丰030734:</t>
        </r>
        <r>
          <rPr>
            <sz val="9"/>
            <color indexed="81"/>
            <rFont val="宋体"/>
            <family val="3"/>
            <charset val="134"/>
          </rPr>
          <t xml:space="preserve">
2022Q1 2.3亿，其中矽成1.8亿，君正0.5亿</t>
        </r>
      </text>
    </comment>
    <comment ref="D166" authorId="2" shapeId="0" xr:uid="{DEB80A07-B87A-4742-896D-27620C9EB590}">
      <text>
        <r>
          <rPr>
            <b/>
            <sz val="9"/>
            <color indexed="81"/>
            <rFont val="宋体"/>
            <family val="3"/>
            <charset val="134"/>
          </rPr>
          <t>苗丰030734:</t>
        </r>
        <r>
          <rPr>
            <sz val="9"/>
            <color indexed="81"/>
            <rFont val="宋体"/>
            <family val="3"/>
            <charset val="134"/>
          </rPr>
          <t xml:space="preserve">
矽成今年Q1利润贡献1.8亿人民币左右，估计今年目前来看会比较稳定，正常来说Q2是相比Q1会环比增长的，但Q2由于上海疫情影响，使得目前来看Q2业绩预计和Q1差不太多，Q3、Q4还没法准确预计，保守估计就是按Q1来算全年。</t>
        </r>
      </text>
    </comment>
    <comment ref="D170" authorId="2" shapeId="0" xr:uid="{56432C41-4362-4677-AA68-6558E0DB5D3D}">
      <text>
        <r>
          <rPr>
            <b/>
            <sz val="9"/>
            <color indexed="81"/>
            <rFont val="宋体"/>
            <family val="3"/>
            <charset val="134"/>
          </rPr>
          <t>苗丰030734:</t>
        </r>
        <r>
          <rPr>
            <sz val="9"/>
            <color indexed="81"/>
            <rFont val="宋体"/>
            <family val="3"/>
            <charset val="134"/>
          </rPr>
          <t xml:space="preserve">
君正一季度5000多万利润，二季度可能下滑，量和毛利率都会下降，三四季度有可能恢复一些，今年整体君正估计2亿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Dora zhang</author>
  </authors>
  <commentList>
    <comment ref="B28" authorId="0" shapeId="0" xr:uid="{00000000-0006-0000-0400-000001000000}">
      <text>
        <r>
          <rPr>
            <b/>
            <sz val="9"/>
            <rFont val="宋体"/>
            <family val="3"/>
            <charset val="134"/>
          </rPr>
          <t>Dora zhang:</t>
        </r>
        <r>
          <rPr>
            <sz val="9"/>
            <rFont val="宋体"/>
            <family val="3"/>
            <charset val="134"/>
          </rPr>
          <t xml:space="preserve">
新的年报出来之后，年报披露的分红记录在对应的年报年份</t>
        </r>
      </text>
    </comment>
    <comment ref="B30" authorId="0" shapeId="0" xr:uid="{00000000-0006-0000-0400-000002000000}">
      <text>
        <r>
          <rPr>
            <b/>
            <sz val="9"/>
            <rFont val="宋体"/>
            <family val="3"/>
            <charset val="134"/>
          </rPr>
          <t>Dora zhang:</t>
        </r>
        <r>
          <rPr>
            <sz val="9"/>
            <rFont val="宋体"/>
            <family val="3"/>
            <charset val="134"/>
          </rPr>
          <t xml:space="preserve">
不需要假设得出，通过DPS倒算</t>
        </r>
      </text>
    </comment>
    <comment ref="B156" authorId="0" shapeId="0" xr:uid="{00000000-0006-0000-0400-000003000000}">
      <text>
        <r>
          <rPr>
            <b/>
            <sz val="9"/>
            <rFont val="宋体"/>
            <family val="3"/>
            <charset val="134"/>
          </rPr>
          <t>Dora zhang:</t>
        </r>
        <r>
          <rPr>
            <sz val="9"/>
            <rFont val="宋体"/>
            <family val="3"/>
            <charset val="134"/>
          </rPr>
          <t xml:space="preserve">
按照市场价值折算</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Dora zhang</author>
  </authors>
  <commentList>
    <comment ref="C202" authorId="0" shapeId="0" xr:uid="{00000000-0006-0000-0600-000001000000}">
      <text>
        <r>
          <rPr>
            <b/>
            <sz val="9"/>
            <rFont val="宋体"/>
            <family val="3"/>
            <charset val="134"/>
          </rPr>
          <t>Dora zhang:</t>
        </r>
        <r>
          <rPr>
            <sz val="9"/>
            <rFont val="宋体"/>
            <family val="3"/>
            <charset val="134"/>
          </rPr>
          <t xml:space="preserve">
使用期末的股本作为股本数，股票面值不为1，借壳上市的公司需要特殊调整</t>
        </r>
      </text>
    </comment>
    <comment ref="C203" authorId="0" shapeId="0" xr:uid="{00000000-0006-0000-0600-000002000000}">
      <text>
        <r>
          <rPr>
            <b/>
            <sz val="9"/>
            <rFont val="宋体"/>
            <family val="3"/>
            <charset val="134"/>
          </rPr>
          <t>Dora zhang:</t>
        </r>
        <r>
          <rPr>
            <sz val="9"/>
            <rFont val="宋体"/>
            <family val="3"/>
            <charset val="134"/>
          </rPr>
          <t xml:space="preserve">
注意刷新最新股本</t>
        </r>
      </text>
    </comment>
    <comment ref="C204" authorId="0" shapeId="0" xr:uid="{00000000-0006-0000-0600-000003000000}">
      <text>
        <r>
          <rPr>
            <b/>
            <sz val="9"/>
            <rFont val="宋体"/>
            <family val="3"/>
            <charset val="134"/>
          </rPr>
          <t>Dora zhang:</t>
        </r>
        <r>
          <rPr>
            <sz val="9"/>
            <rFont val="宋体"/>
            <family val="3"/>
            <charset val="134"/>
          </rPr>
          <t xml:space="preserve">
需要考虑中期如果发行股票，按照发行时间进行加权。</t>
        </r>
      </text>
    </comment>
    <comment ref="C205" authorId="0" shapeId="0" xr:uid="{00000000-0006-0000-0600-000004000000}">
      <text>
        <r>
          <rPr>
            <b/>
            <sz val="9"/>
            <rFont val="宋体"/>
            <family val="3"/>
            <charset val="134"/>
          </rPr>
          <t>Dora zhang:</t>
        </r>
        <r>
          <rPr>
            <sz val="9"/>
            <rFont val="宋体"/>
            <family val="3"/>
            <charset val="134"/>
          </rPr>
          <t xml:space="preserve">
包括可转债，认股权证，股权激励等事项</t>
        </r>
      </text>
    </comment>
    <comment ref="C209" authorId="0" shapeId="0" xr:uid="{00000000-0006-0000-0600-000005000000}">
      <text>
        <r>
          <rPr>
            <b/>
            <sz val="9"/>
            <rFont val="宋体"/>
            <family val="3"/>
            <charset val="134"/>
          </rPr>
          <t>Dora zhang:</t>
        </r>
        <r>
          <rPr>
            <sz val="9"/>
            <rFont val="宋体"/>
            <family val="3"/>
            <charset val="134"/>
          </rPr>
          <t xml:space="preserve">
按照期末股本数计算。股票面值不为1，借壳上市的公司需要特殊调整期末股本数</t>
        </r>
      </text>
    </comment>
    <comment ref="C217" authorId="0" shapeId="0" xr:uid="{00000000-0006-0000-0600-000006000000}">
      <text>
        <r>
          <rPr>
            <b/>
            <sz val="9"/>
            <rFont val="宋体"/>
            <family val="3"/>
            <charset val="134"/>
          </rPr>
          <t>Dora zhang:</t>
        </r>
        <r>
          <rPr>
            <sz val="9"/>
            <rFont val="宋体"/>
            <family val="3"/>
            <charset val="134"/>
          </rPr>
          <t xml:space="preserve">
新的年报出来之后，年报披露的分红记录在对应的年报年份</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Dora zhang</author>
  </authors>
  <commentList>
    <comment ref="B15" authorId="0" shapeId="0" xr:uid="{00000000-0006-0000-0A00-000001000000}">
      <text>
        <r>
          <rPr>
            <b/>
            <sz val="9"/>
            <rFont val="宋体"/>
            <family val="3"/>
            <charset val="134"/>
          </rPr>
          <t>Dora zhang:</t>
        </r>
        <r>
          <rPr>
            <sz val="9"/>
            <rFont val="宋体"/>
            <family val="3"/>
            <charset val="134"/>
          </rPr>
          <t xml:space="preserve">
A+H股公司请自行链接15-17行，非A+H股公司，此三行无需填数</t>
        </r>
      </text>
    </comment>
  </commentList>
</comments>
</file>

<file path=xl/sharedStrings.xml><?xml version="1.0" encoding="utf-8"?>
<sst xmlns="http://schemas.openxmlformats.org/spreadsheetml/2006/main" count="2640" uniqueCount="1812">
  <si>
    <t>估值模型插件首页</t>
  </si>
  <si>
    <t>需要填写的数据</t>
  </si>
  <si>
    <t>自动生成的数据</t>
  </si>
  <si>
    <t>需要检查的数据</t>
  </si>
  <si>
    <t>如有数值，说明可能存在未导出的会计科目</t>
  </si>
  <si>
    <t>研究部财务估值系统</t>
  </si>
  <si>
    <t>A股标准估值模型</t>
  </si>
  <si>
    <t>版本号：</t>
  </si>
  <si>
    <t>v3.0.0.2</t>
  </si>
  <si>
    <t>证券代码</t>
  </si>
  <si>
    <t>证券简称</t>
  </si>
  <si>
    <t>预测日期</t>
  </si>
  <si>
    <t>最新收盘价（元）</t>
  </si>
  <si>
    <t>历史数据始于（年）</t>
  </si>
  <si>
    <t>最新股本（千股）</t>
  </si>
  <si>
    <t>历史数据止于（年）</t>
  </si>
  <si>
    <t>分析师姓名</t>
  </si>
  <si>
    <t>预测年份数</t>
  </si>
  <si>
    <t>所属行业</t>
  </si>
  <si>
    <t>货币单位</t>
  </si>
  <si>
    <t>百万元</t>
  </si>
  <si>
    <t>关联模型ID</t>
  </si>
  <si>
    <t>是否A+H股</t>
  </si>
  <si>
    <t>否</t>
  </si>
  <si>
    <t>港股证券简称</t>
  </si>
  <si>
    <t>港股代码</t>
  </si>
  <si>
    <t>H股价格</t>
  </si>
  <si>
    <t>A股评级</t>
  </si>
  <si>
    <t>A股目标价</t>
  </si>
  <si>
    <t>A股评级变动</t>
  </si>
  <si>
    <t>H股评级</t>
  </si>
  <si>
    <t>H股目标价</t>
  </si>
  <si>
    <t>H股评级变动</t>
  </si>
  <si>
    <t>市值（百万元）</t>
  </si>
  <si>
    <t>EV</t>
  </si>
  <si>
    <t>首页</t>
  </si>
  <si>
    <t>设置公司模型的全局参数</t>
  </si>
  <si>
    <t>历史数据（原始）</t>
  </si>
  <si>
    <t>WIND自动导入</t>
  </si>
  <si>
    <t>经营模型</t>
  </si>
  <si>
    <t>分析师手动录入收入成本的分拆预测，汇总数据汇总到前几行</t>
  </si>
  <si>
    <t>假设表</t>
  </si>
  <si>
    <t>历史数据自动生成，预测数据根据所选方法生成</t>
  </si>
  <si>
    <t>关键项目预测</t>
  </si>
  <si>
    <t>折旧信息需分析师手动输入相关数据，其他数据自动生成</t>
  </si>
  <si>
    <t>历史数据及预测表</t>
  </si>
  <si>
    <t>历史数据自动生成，预测数据根据假设表生成</t>
  </si>
  <si>
    <t>估值表</t>
  </si>
  <si>
    <t>自动生成，不可修改</t>
  </si>
  <si>
    <t>非财务信息</t>
  </si>
  <si>
    <t>关键比率</t>
  </si>
  <si>
    <t>输出表-首页用表</t>
  </si>
  <si>
    <t>输出表-利润表</t>
  </si>
  <si>
    <t>输出表-资产负债表</t>
  </si>
  <si>
    <t>输出表-现金流量表</t>
  </si>
  <si>
    <t>输出表-财务指标</t>
  </si>
  <si>
    <t>输出六张图</t>
  </si>
  <si>
    <t>重要说明：</t>
  </si>
  <si>
    <t>发布日期：2021.1.1</t>
  </si>
  <si>
    <t>环境要求：</t>
  </si>
  <si>
    <t>推荐使用专业版Windows+标准版Office2016。家庭版、学生版等可能出现兼容性问题</t>
  </si>
  <si>
    <t>登录说明：</t>
  </si>
  <si>
    <t>使用域用户名和密码，忘记密码请到研报系统重置</t>
  </si>
  <si>
    <t>插件安装：</t>
  </si>
  <si>
    <t>使用模型建模时，必须安装插件</t>
  </si>
  <si>
    <t>关于校验：</t>
  </si>
  <si>
    <t>红色告警的必须处理才能提交，黄色告警可以提交，建议核对后在提交。</t>
  </si>
  <si>
    <t>提交说明：</t>
  </si>
  <si>
    <t>提交后会给财务估值组张惟诚和林小驰。</t>
  </si>
  <si>
    <t>模型审批退回：</t>
  </si>
  <si>
    <t>模型审批退回后，请使用加载模型功能，打开上次提交的模型，另存为本地修改完成后在上传。</t>
  </si>
  <si>
    <t>数据单位：</t>
  </si>
  <si>
    <r>
      <rPr>
        <sz val="10"/>
        <color theme="1"/>
        <rFont val="黑体"/>
        <family val="3"/>
        <charset val="134"/>
      </rPr>
      <t>目前系统所有的数据单位都为</t>
    </r>
    <r>
      <rPr>
        <sz val="10"/>
        <color rgb="FFFF0000"/>
        <rFont val="黑体"/>
        <family val="3"/>
        <charset val="134"/>
      </rPr>
      <t>百万元</t>
    </r>
    <r>
      <rPr>
        <sz val="10"/>
        <color theme="1"/>
        <rFont val="黑体"/>
        <family val="3"/>
        <charset val="134"/>
      </rPr>
      <t>，如自行录入数据，要注意单位处理。</t>
    </r>
  </si>
  <si>
    <t>Overview</t>
  </si>
  <si>
    <t>Operating income (Rmb mn)</t>
  </si>
  <si>
    <t>Growth rate (YoY,%)</t>
  </si>
  <si>
    <t>Net profits(Rmb mn)</t>
  </si>
  <si>
    <t>EPS (Rmb, Basic)</t>
  </si>
  <si>
    <t>Gross margin (%)</t>
  </si>
  <si>
    <t>ROE (%)</t>
  </si>
  <si>
    <t>BVPS (Rmb)</t>
  </si>
  <si>
    <t>PE (x)</t>
  </si>
  <si>
    <t>PB (x)</t>
  </si>
  <si>
    <t>PS (x)</t>
  </si>
  <si>
    <t>EV/EBITDA</t>
  </si>
  <si>
    <t>Income statement (mn)</t>
  </si>
  <si>
    <t>Operating income</t>
  </si>
  <si>
    <t>COGS</t>
  </si>
  <si>
    <t>Gross profit margin</t>
  </si>
  <si>
    <t xml:space="preserve">Taxes and surcharges </t>
  </si>
  <si>
    <t>Selling expenses</t>
  </si>
  <si>
    <t>Selling expenses ratio</t>
  </si>
  <si>
    <t>Administrative expenses</t>
  </si>
  <si>
    <t>Administrative expenses ratio</t>
  </si>
  <si>
    <t>Finance expenses</t>
  </si>
  <si>
    <t>Finance expenses ratio</t>
  </si>
  <si>
    <t>R&amp;D expense</t>
  </si>
  <si>
    <t>R&amp;D ratio</t>
  </si>
  <si>
    <t xml:space="preserve">Investment income </t>
  </si>
  <si>
    <t>EBITDA</t>
  </si>
  <si>
    <t>Operating profit</t>
  </si>
  <si>
    <t>Operating profit margin</t>
  </si>
  <si>
    <t>Non-operating income</t>
  </si>
  <si>
    <t>Non-operating expenses</t>
  </si>
  <si>
    <t>Total profit</t>
  </si>
  <si>
    <t>Income tax</t>
  </si>
  <si>
    <t>tax rate</t>
  </si>
  <si>
    <t>Non-controlling interest</t>
  </si>
  <si>
    <t>Profit attributable to shareholders</t>
  </si>
  <si>
    <t>Net profit margin</t>
  </si>
  <si>
    <t>Balance sheet (mn)</t>
  </si>
  <si>
    <t>Cash and cash equivalent</t>
  </si>
  <si>
    <t>Inventories</t>
  </si>
  <si>
    <t>Account receivable</t>
  </si>
  <si>
    <t>Other current assets</t>
  </si>
  <si>
    <t>Current assets</t>
  </si>
  <si>
    <t>Fixed assets</t>
  </si>
  <si>
    <t>Long-term equity investment</t>
  </si>
  <si>
    <t>Intangible assets</t>
  </si>
  <si>
    <t>Other non-current assets</t>
  </si>
  <si>
    <t>Non-current assets</t>
  </si>
  <si>
    <t>Total asset</t>
  </si>
  <si>
    <t>Short-term loans</t>
  </si>
  <si>
    <t>Account payable</t>
  </si>
  <si>
    <t>Other current liabilities</t>
  </si>
  <si>
    <t>Current liabilities</t>
  </si>
  <si>
    <t>Long-term borrowings</t>
  </si>
  <si>
    <t>Other long-term liabilities</t>
  </si>
  <si>
    <t>Non-current liabilities</t>
  </si>
  <si>
    <t>Total liabilities</t>
  </si>
  <si>
    <t>Share capital</t>
  </si>
  <si>
    <t>Capital reserve</t>
  </si>
  <si>
    <t>Total owner’s equity attributable to parent company</t>
  </si>
  <si>
    <t>Minority interests</t>
  </si>
  <si>
    <t>Total owners’ equity</t>
  </si>
  <si>
    <t>Total owners’ equity and liabilities</t>
  </si>
  <si>
    <t>Cah flow statement (mn)</t>
  </si>
  <si>
    <t>Net profit</t>
  </si>
  <si>
    <t>D&amp;A</t>
  </si>
  <si>
    <t>Change in working capital</t>
  </si>
  <si>
    <t>Other oprating cash flow</t>
  </si>
  <si>
    <t>Net cash flow from operating activities</t>
  </si>
  <si>
    <t>CAPEX</t>
  </si>
  <si>
    <t>Investment income</t>
  </si>
  <si>
    <t>Other investing cash flow</t>
  </si>
  <si>
    <t>Net cash flow from investing activities</t>
  </si>
  <si>
    <t>Change in equity</t>
  </si>
  <si>
    <t>Change in liability</t>
  </si>
  <si>
    <t>Dividends payments</t>
  </si>
  <si>
    <t>Other financing cash flow</t>
  </si>
  <si>
    <t>Net cash flow from financing activities</t>
  </si>
  <si>
    <t>Net increase in cash and cash equivalents</t>
  </si>
  <si>
    <t>Ratio</t>
  </si>
  <si>
    <t>Indicator per share</t>
  </si>
  <si>
    <t>EPS (Basic)</t>
  </si>
  <si>
    <t>BVPS</t>
  </si>
  <si>
    <t>CFO per share</t>
  </si>
  <si>
    <t>EBIT per share</t>
  </si>
  <si>
    <t>Free cash flow per share</t>
  </si>
  <si>
    <t>Free cash flow per shareholder</t>
  </si>
  <si>
    <t>Dividends</t>
  </si>
  <si>
    <t>Profitability</t>
  </si>
  <si>
    <t>ROE(%)</t>
  </si>
  <si>
    <t>ROA(%)</t>
  </si>
  <si>
    <t>ROIC(%)</t>
  </si>
  <si>
    <t>Net profit margin(%)</t>
  </si>
  <si>
    <t>Gross sales margin(%)</t>
  </si>
  <si>
    <t>Cost to sales ratio (%)</t>
  </si>
  <si>
    <t>Period expense ratio(%)</t>
  </si>
  <si>
    <t>EBIT margin(%)</t>
  </si>
  <si>
    <t>EBITDA margin(%)</t>
  </si>
  <si>
    <t>EBIT</t>
  </si>
  <si>
    <t>Capital Structure</t>
  </si>
  <si>
    <t>Asset-liability ratio(%)</t>
  </si>
  <si>
    <t>Long term capital liability ratio (%)</t>
  </si>
  <si>
    <r>
      <rPr>
        <sz val="10"/>
        <color theme="1"/>
        <rFont val="微软雅黑"/>
        <family val="2"/>
        <charset val="134"/>
      </rPr>
      <t>Equity</t>
    </r>
    <r>
      <rPr>
        <sz val="10"/>
        <color theme="1"/>
        <rFont val="MS Gothic"/>
        <family val="3"/>
        <charset val="128"/>
      </rPr>
      <t> </t>
    </r>
    <r>
      <rPr>
        <sz val="10"/>
        <color theme="1"/>
        <rFont val="微软雅黑"/>
        <family val="2"/>
        <charset val="134"/>
      </rPr>
      <t>Multiplier(%)</t>
    </r>
  </si>
  <si>
    <t>Tangible assets / total assets (%)</t>
  </si>
  <si>
    <t>Equity attributable to shareholders of the parent company / total invested capital (%)</t>
  </si>
  <si>
    <t>Interest-bearing debt / total capital invested (%)</t>
  </si>
  <si>
    <t>Solvency</t>
  </si>
  <si>
    <r>
      <rPr>
        <sz val="10"/>
        <color theme="1"/>
        <rFont val="微软雅黑"/>
        <family val="2"/>
        <charset val="134"/>
      </rPr>
      <t>Current</t>
    </r>
    <r>
      <rPr>
        <sz val="10"/>
        <color theme="1"/>
        <rFont val="MS Gothic"/>
        <family val="3"/>
        <charset val="128"/>
      </rPr>
      <t> </t>
    </r>
    <r>
      <rPr>
        <sz val="10"/>
        <color theme="1"/>
        <rFont val="微软雅黑"/>
        <family val="2"/>
        <charset val="134"/>
      </rPr>
      <t>ratio</t>
    </r>
  </si>
  <si>
    <r>
      <rPr>
        <sz val="10"/>
        <color theme="1"/>
        <rFont val="微软雅黑"/>
        <family val="2"/>
        <charset val="134"/>
      </rPr>
      <t>Quick</t>
    </r>
    <r>
      <rPr>
        <sz val="10"/>
        <color theme="1"/>
        <rFont val="MS Gothic"/>
        <family val="3"/>
        <charset val="128"/>
      </rPr>
      <t> </t>
    </r>
    <r>
      <rPr>
        <sz val="10"/>
        <color theme="1"/>
        <rFont val="微软雅黑"/>
        <family val="2"/>
        <charset val="134"/>
      </rPr>
      <t>ratio</t>
    </r>
  </si>
  <si>
    <r>
      <rPr>
        <sz val="10"/>
        <color theme="1"/>
        <rFont val="微软雅黑"/>
        <family val="2"/>
        <charset val="134"/>
      </rPr>
      <t>Super</t>
    </r>
    <r>
      <rPr>
        <sz val="10"/>
        <color theme="1"/>
        <rFont val="MS Gothic"/>
        <family val="3"/>
        <charset val="128"/>
      </rPr>
      <t> </t>
    </r>
    <r>
      <rPr>
        <sz val="10"/>
        <color theme="1"/>
        <rFont val="微软雅黑"/>
        <family val="2"/>
        <charset val="134"/>
      </rPr>
      <t>Quick</t>
    </r>
    <r>
      <rPr>
        <sz val="10"/>
        <color theme="1"/>
        <rFont val="MS Gothic"/>
        <family val="3"/>
        <charset val="128"/>
      </rPr>
      <t> </t>
    </r>
    <r>
      <rPr>
        <sz val="10"/>
        <color theme="1"/>
        <rFont val="微软雅黑"/>
        <family val="2"/>
        <charset val="134"/>
      </rPr>
      <t>Ratio</t>
    </r>
  </si>
  <si>
    <r>
      <rPr>
        <sz val="10"/>
        <color theme="1"/>
        <rFont val="微软雅黑"/>
        <family val="2"/>
        <charset val="134"/>
      </rPr>
      <t>Cash</t>
    </r>
    <r>
      <rPr>
        <sz val="10"/>
        <color theme="1"/>
        <rFont val="MS Gothic"/>
        <family val="3"/>
        <charset val="128"/>
      </rPr>
      <t> </t>
    </r>
    <r>
      <rPr>
        <sz val="10"/>
        <color theme="1"/>
        <rFont val="微软雅黑"/>
        <family val="2"/>
        <charset val="134"/>
      </rPr>
      <t>to</t>
    </r>
    <r>
      <rPr>
        <sz val="10"/>
        <color theme="1"/>
        <rFont val="MS Gothic"/>
        <family val="3"/>
        <charset val="128"/>
      </rPr>
      <t> </t>
    </r>
    <r>
      <rPr>
        <sz val="10"/>
        <color theme="1"/>
        <rFont val="微软雅黑"/>
        <family val="2"/>
        <charset val="134"/>
      </rPr>
      <t>Current</t>
    </r>
    <r>
      <rPr>
        <sz val="10"/>
        <color theme="1"/>
        <rFont val="MS Gothic"/>
        <family val="3"/>
        <charset val="128"/>
      </rPr>
      <t> </t>
    </r>
    <r>
      <rPr>
        <sz val="10"/>
        <color theme="1"/>
        <rFont val="微软雅黑"/>
        <family val="2"/>
        <charset val="134"/>
      </rPr>
      <t>Ratio</t>
    </r>
  </si>
  <si>
    <r>
      <rPr>
        <sz val="10"/>
        <color theme="1"/>
        <rFont val="微软雅黑"/>
        <family val="2"/>
        <charset val="134"/>
      </rPr>
      <t>Oper-cash</t>
    </r>
    <r>
      <rPr>
        <sz val="10"/>
        <color theme="1"/>
        <rFont val="MS Gothic"/>
        <family val="3"/>
        <charset val="128"/>
      </rPr>
      <t> </t>
    </r>
    <r>
      <rPr>
        <sz val="10"/>
        <color theme="1"/>
        <rFont val="微软雅黑"/>
        <family val="2"/>
        <charset val="134"/>
      </rPr>
      <t>into</t>
    </r>
    <r>
      <rPr>
        <sz val="10"/>
        <color theme="1"/>
        <rFont val="MS Gothic"/>
        <family val="3"/>
        <charset val="128"/>
      </rPr>
      <t> </t>
    </r>
    <r>
      <rPr>
        <sz val="10"/>
        <color theme="1"/>
        <rFont val="微软雅黑"/>
        <family val="2"/>
        <charset val="134"/>
      </rPr>
      <t>Due-debt</t>
    </r>
  </si>
  <si>
    <t>Cash flow interest coverage ratio</t>
  </si>
  <si>
    <t>Total tangible assets / liabilities</t>
  </si>
  <si>
    <t>Tangible assets / debt</t>
  </si>
  <si>
    <t>Tangible assets / net debt</t>
  </si>
  <si>
    <t>EBITDA / liabilities</t>
  </si>
  <si>
    <t>Interest earned multiple (EBIT / interest expense)</t>
  </si>
  <si>
    <t>Long term debt to working capital ratio</t>
  </si>
  <si>
    <t>EBITDA / debt</t>
  </si>
  <si>
    <t>Total debt / EBITDA</t>
  </si>
  <si>
    <t>EBITDA / interest expense</t>
  </si>
  <si>
    <t>Operating capacity</t>
  </si>
  <si>
    <t>Operating Business cycle</t>
  </si>
  <si>
    <t>Days sales of inventory</t>
  </si>
  <si>
    <t>Inventory turnover(%)</t>
  </si>
  <si>
    <t>Days sales outstanding</t>
  </si>
  <si>
    <t>Accounts receivable turnover(%)</t>
  </si>
  <si>
    <t>Current assets turnover  (%)</t>
  </si>
  <si>
    <t>Fixed assets turnover(%)</t>
  </si>
  <si>
    <t>Non current assets turnover (%)</t>
  </si>
  <si>
    <t>Total assets turnover (%)</t>
  </si>
  <si>
    <t>Accounts payable turnover rate (%)</t>
  </si>
  <si>
    <t>Days of accounts payable turnover</t>
  </si>
  <si>
    <t>Net operating cycle</t>
  </si>
  <si>
    <t>Working capital turnover (%)</t>
  </si>
  <si>
    <t>Cash flow</t>
  </si>
  <si>
    <t>Capital expenditure / D&amp;A</t>
  </si>
  <si>
    <t>Cash recovery rate of total assets (%)</t>
  </si>
  <si>
    <t>Cash dividend protection multiples</t>
  </si>
  <si>
    <t>财务年报年份</t>
  </si>
  <si>
    <t>季报数据</t>
  </si>
  <si>
    <r>
      <rPr>
        <b/>
        <sz val="11"/>
        <color theme="1"/>
        <rFont val="微软雅黑"/>
        <family val="2"/>
        <charset val="134"/>
      </rPr>
      <t>利润表</t>
    </r>
  </si>
  <si>
    <t>TTL_OPER_INC</t>
  </si>
  <si>
    <t>一、营业总收入</t>
  </si>
  <si>
    <t>OPER_INC</t>
  </si>
  <si>
    <t xml:space="preserve">        营业收入</t>
  </si>
  <si>
    <t>INT_INC</t>
  </si>
  <si>
    <t xml:space="preserve">        利息收入</t>
  </si>
  <si>
    <t>IN_PREM_EARN</t>
  </si>
  <si>
    <t xml:space="preserve">        已赚保费</t>
  </si>
  <si>
    <t>INC_FEE_COMM</t>
  </si>
  <si>
    <t xml:space="preserve">        手续费及佣金收入</t>
  </si>
  <si>
    <t>TTL_OPER_COST</t>
  </si>
  <si>
    <t>二、营业总成本</t>
  </si>
  <si>
    <t>OPER_COST</t>
  </si>
  <si>
    <t xml:space="preserve">        营业成本</t>
  </si>
  <si>
    <t>INT_EXP</t>
  </si>
  <si>
    <t xml:space="preserve">        利息支出</t>
  </si>
  <si>
    <t>EXP_FEE_COMM</t>
  </si>
  <si>
    <t xml:space="preserve">        手续费及佣金支出</t>
  </si>
  <si>
    <t>RFD_PREM</t>
  </si>
  <si>
    <t xml:space="preserve">        退保金</t>
  </si>
  <si>
    <t>COMP_PAY</t>
  </si>
  <si>
    <t xml:space="preserve">        赔付支出净额</t>
  </si>
  <si>
    <t xml:space="preserve">CHG_RSV </t>
  </si>
  <si>
    <t xml:space="preserve">        提取保险合同准备金净额</t>
  </si>
  <si>
    <t>PH_DVD_EXP</t>
  </si>
  <si>
    <t xml:space="preserve">        保单红利支出</t>
  </si>
  <si>
    <t>RIN_PREM_EXP</t>
  </si>
  <si>
    <t xml:space="preserve">        分保费用</t>
  </si>
  <si>
    <t>BIZ_TAX_SUR</t>
  </si>
  <si>
    <t xml:space="preserve">        税金及附加</t>
  </si>
  <si>
    <t>SELL_EXP</t>
  </si>
  <si>
    <t xml:space="preserve">        销售费用</t>
  </si>
  <si>
    <t>ADM_EXP</t>
  </si>
  <si>
    <t xml:space="preserve">        管理费用</t>
  </si>
  <si>
    <t>R_D_EXP</t>
  </si>
  <si>
    <t xml:space="preserve">        研发费用</t>
  </si>
  <si>
    <t>FIN_EXP</t>
  </si>
  <si>
    <t xml:space="preserve">        财务费用</t>
  </si>
  <si>
    <t>FIN_EXP_INT_INC</t>
  </si>
  <si>
    <t xml:space="preserve">        其中：利息收入</t>
  </si>
  <si>
    <t>FIN_EXP_INT_FEE</t>
  </si>
  <si>
    <t xml:space="preserve">                    利息费用</t>
  </si>
  <si>
    <t>三、其他经营收益</t>
  </si>
  <si>
    <t>OTH_INC</t>
  </si>
  <si>
    <t xml:space="preserve">        其他收益</t>
  </si>
  <si>
    <t>AST_IMPR_LOSS</t>
  </si>
  <si>
    <t xml:space="preserve">        资产减值损失</t>
  </si>
  <si>
    <t>CRED_IMPR_LOSS</t>
  </si>
  <si>
    <t xml:space="preserve">        信用减值损失</t>
  </si>
  <si>
    <t>FV_CHG_INC</t>
  </si>
  <si>
    <t xml:space="preserve">        公允价值变动净收益</t>
  </si>
  <si>
    <t>INV_INC</t>
  </si>
  <si>
    <t xml:space="preserve">        投资净收益</t>
  </si>
  <si>
    <t>INV_INC_JV_P</t>
  </si>
  <si>
    <t xml:space="preserve">        其中：对联营企业和合营企业的投资收益</t>
  </si>
  <si>
    <t>NET_EXP_HED_BEN</t>
  </si>
  <si>
    <t xml:space="preserve">        净敞口套期收益</t>
  </si>
  <si>
    <t>AST_DSPL_INC</t>
  </si>
  <si>
    <t xml:space="preserve">        资产处置收益</t>
  </si>
  <si>
    <t>FX_INC</t>
  </si>
  <si>
    <t xml:space="preserve">        汇兑净收益</t>
  </si>
  <si>
    <t xml:space="preserve">        加：营业利润差额(特殊报表科目)</t>
  </si>
  <si>
    <t>OPER_PROF</t>
  </si>
  <si>
    <t>四、营业利润</t>
  </si>
  <si>
    <t>NOPER_INC</t>
  </si>
  <si>
    <t xml:space="preserve">        加：营业外收入</t>
  </si>
  <si>
    <t>NOPER_EXP</t>
  </si>
  <si>
    <t xml:space="preserve">        减：营业外支出</t>
  </si>
  <si>
    <t>LOSS_DSPL_NCUR_AST</t>
  </si>
  <si>
    <t xml:space="preserve">        其中：非流动资产处置净损失</t>
  </si>
  <si>
    <t xml:space="preserve">        加：利润总额差额(特殊报表科目)</t>
  </si>
  <si>
    <t>TTL_PROF</t>
  </si>
  <si>
    <t>五、利润总额</t>
  </si>
  <si>
    <t>INC_TAX_EXP</t>
  </si>
  <si>
    <t xml:space="preserve">        减：所得税</t>
  </si>
  <si>
    <t>NREC_INV_LOSS</t>
  </si>
  <si>
    <t xml:space="preserve">        加：未确认的投资损失</t>
  </si>
  <si>
    <t xml:space="preserve">        加：净利润差额(特殊报表科目)</t>
  </si>
  <si>
    <t>NET_PRO</t>
  </si>
  <si>
    <t>六、净利润</t>
  </si>
  <si>
    <t>MIN_SH_INC</t>
  </si>
  <si>
    <t xml:space="preserve">        减：少数股东损益</t>
  </si>
  <si>
    <t>NET_PROF_PCO_SPCL</t>
  </si>
  <si>
    <t xml:space="preserve">        归属于母公司所有者的净利润</t>
  </si>
  <si>
    <t>OTH_TTL_INC</t>
  </si>
  <si>
    <t xml:space="preserve">        加：其他综合收益</t>
  </si>
  <si>
    <t>TTL_COMP_INC</t>
  </si>
  <si>
    <t>七、综合收益总额</t>
  </si>
  <si>
    <t>PCO_TTL_COMP_INC</t>
  </si>
  <si>
    <t xml:space="preserve">        减：归属于少数股东的综合收益总额</t>
  </si>
  <si>
    <t>MS_TTL_COMP_INC</t>
  </si>
  <si>
    <t xml:space="preserve">        归属于母公司普通股东综合收益总额</t>
  </si>
  <si>
    <t>八、每股收益：</t>
  </si>
  <si>
    <t>EPS_BAS</t>
  </si>
  <si>
    <t xml:space="preserve">        (一) 基本每股收益(元)</t>
  </si>
  <si>
    <t>EPS_DIL</t>
  </si>
  <si>
    <t xml:space="preserve">        (二) 稀释每股收益(元)</t>
  </si>
  <si>
    <r>
      <rPr>
        <b/>
        <sz val="11"/>
        <color theme="1"/>
        <rFont val="微软雅黑"/>
        <family val="2"/>
        <charset val="134"/>
      </rPr>
      <t>资产负债表</t>
    </r>
  </si>
  <si>
    <t>流动资产：</t>
  </si>
  <si>
    <t>MNY_CPTL</t>
  </si>
  <si>
    <t xml:space="preserve">        货币资金</t>
  </si>
  <si>
    <t>BAL_CLR</t>
  </si>
  <si>
    <t xml:space="preserve">        结算备付金</t>
  </si>
  <si>
    <t>LN_TO_OB</t>
  </si>
  <si>
    <t xml:space="preserve">        拆出资金</t>
  </si>
  <si>
    <t>TRD_FIN_AST</t>
  </si>
  <si>
    <t xml:space="preserve">        交易性金融资产</t>
  </si>
  <si>
    <t>DERIV_FIN_AST</t>
  </si>
  <si>
    <t xml:space="preserve">        衍生金融资产</t>
  </si>
  <si>
    <t>ACCT_RCV</t>
  </si>
  <si>
    <t xml:space="preserve">        应收账款</t>
  </si>
  <si>
    <t>NOTE_RCV</t>
  </si>
  <si>
    <t xml:space="preserve">        应收票据</t>
  </si>
  <si>
    <t>ACCT_RCV_FIN</t>
  </si>
  <si>
    <t xml:space="preserve">        应收款项融资</t>
  </si>
  <si>
    <t>PPAY</t>
  </si>
  <si>
    <t xml:space="preserve">        预付款项</t>
  </si>
  <si>
    <t>PREM_RCV</t>
  </si>
  <si>
    <t xml:space="preserve">        应收保费</t>
  </si>
  <si>
    <t>PREM_RCV_RIN</t>
  </si>
  <si>
    <t xml:space="preserve">        应收分保账款</t>
  </si>
  <si>
    <t>RCV_RIN_RSV</t>
  </si>
  <si>
    <t xml:space="preserve">        应收分保合同准备金</t>
  </si>
  <si>
    <t>OTH_RCV_H</t>
  </si>
  <si>
    <t xml:space="preserve">        其他应收款</t>
  </si>
  <si>
    <t>PUR_RESELL_FIN_AST</t>
  </si>
  <si>
    <t xml:space="preserve">        买入返售金融资产</t>
  </si>
  <si>
    <t>INVT</t>
  </si>
  <si>
    <t xml:space="preserve">        存货</t>
  </si>
  <si>
    <t>CONS_BIO_AST</t>
  </si>
  <si>
    <t xml:space="preserve">        其中：消耗性生物资产</t>
  </si>
  <si>
    <t>CONTR_AST</t>
  </si>
  <si>
    <t xml:space="preserve">        合同资产</t>
  </si>
  <si>
    <t>HTS_AST</t>
  </si>
  <si>
    <t xml:space="preserve">        持有待售资产</t>
  </si>
  <si>
    <t>NCUR_AST_ONE_Y</t>
  </si>
  <si>
    <t xml:space="preserve">        一年内到期的非流动资产</t>
  </si>
  <si>
    <t>PPAY_EXP</t>
  </si>
  <si>
    <t xml:space="preserve">        待摊费用</t>
  </si>
  <si>
    <t>OTH_CUR_AST</t>
  </si>
  <si>
    <t xml:space="preserve">        其他流动资产</t>
  </si>
  <si>
    <t xml:space="preserve">        流动资产差额(特殊报表科目)</t>
  </si>
  <si>
    <t>TTL_CUR_AST</t>
  </si>
  <si>
    <t xml:space="preserve">        流动资产合计</t>
  </si>
  <si>
    <t>非流动资产：</t>
  </si>
  <si>
    <t>LN_ADV_CUST</t>
  </si>
  <si>
    <t xml:space="preserve">        发放贷款及垫款</t>
  </si>
  <si>
    <t>DEBT_INV</t>
  </si>
  <si>
    <t xml:space="preserve">        债权投资</t>
  </si>
  <si>
    <t>OTS_DEBT_INV</t>
  </si>
  <si>
    <t xml:space="preserve">        其他债权投资</t>
  </si>
  <si>
    <t>AVAL_SALE_FIN_AST</t>
  </si>
  <si>
    <t xml:space="preserve">        可供出售金融资产</t>
  </si>
  <si>
    <t>HTM_INV</t>
  </si>
  <si>
    <t xml:space="preserve">        持有至到期投资</t>
  </si>
  <si>
    <t>LT_RCV</t>
  </si>
  <si>
    <t xml:space="preserve">        长期应收款</t>
  </si>
  <si>
    <t>LT_EQY_INV</t>
  </si>
  <si>
    <t xml:space="preserve">        长期股权投资</t>
  </si>
  <si>
    <t>OTH_EQY_INV</t>
  </si>
  <si>
    <t xml:space="preserve">        其他权益工具投资</t>
  </si>
  <si>
    <t>OTH_NCUR_FIN_AST</t>
  </si>
  <si>
    <t xml:space="preserve">        其他非流动金融资产</t>
  </si>
  <si>
    <t>INV_PROP</t>
  </si>
  <si>
    <t xml:space="preserve">        投资性房地产</t>
  </si>
  <si>
    <t>FIX_AST_H</t>
  </si>
  <si>
    <t xml:space="preserve">        固定资产</t>
  </si>
  <si>
    <t>CONST_PROG_H</t>
  </si>
  <si>
    <t xml:space="preserve">        在建工程</t>
  </si>
  <si>
    <t>CPTL_BIO_AST</t>
  </si>
  <si>
    <t xml:space="preserve">        生产性生物资产</t>
  </si>
  <si>
    <t>OIL_GAS_AST</t>
  </si>
  <si>
    <t xml:space="preserve">        油气资产</t>
  </si>
  <si>
    <t>RIG_AST</t>
  </si>
  <si>
    <t xml:space="preserve">        使用权资产</t>
  </si>
  <si>
    <t>INTG_AST</t>
  </si>
  <si>
    <t xml:space="preserve">        无形资产</t>
  </si>
  <si>
    <t xml:space="preserve">        开发支出</t>
  </si>
  <si>
    <t>GW</t>
  </si>
  <si>
    <t xml:space="preserve">        商誉</t>
  </si>
  <si>
    <t>LT_PPAY_EXP</t>
  </si>
  <si>
    <t xml:space="preserve">        长期待摊费用</t>
  </si>
  <si>
    <t>DFR_TAX_AST</t>
  </si>
  <si>
    <t xml:space="preserve">        递延所得税资产</t>
  </si>
  <si>
    <t>OTH_NCUR_AST</t>
  </si>
  <si>
    <t xml:space="preserve">        其他非流动资产</t>
  </si>
  <si>
    <t xml:space="preserve">        非流动资产差额(特殊报表科目)</t>
  </si>
  <si>
    <t>TTL_NCUR_AST</t>
  </si>
  <si>
    <t xml:space="preserve">        非流动资产合计</t>
  </si>
  <si>
    <t>AST_SPCL</t>
  </si>
  <si>
    <t xml:space="preserve">        资产差额(特殊报表科目)</t>
  </si>
  <si>
    <t>AST_EQU</t>
  </si>
  <si>
    <t xml:space="preserve">        资产差额(合计平衡项目)</t>
  </si>
  <si>
    <t>TTL_AST</t>
  </si>
  <si>
    <t xml:space="preserve">        资产总计</t>
  </si>
  <si>
    <t>流动负债：</t>
  </si>
  <si>
    <t>ST_LN</t>
  </si>
  <si>
    <t xml:space="preserve">        短期借款</t>
  </si>
  <si>
    <t>BRW_CB</t>
  </si>
  <si>
    <t xml:space="preserve">        向中央银行借款</t>
  </si>
  <si>
    <t>DPST_OB</t>
  </si>
  <si>
    <t xml:space="preserve">        吸收存款及同业存放</t>
  </si>
  <si>
    <t>LN_FM_OB</t>
  </si>
  <si>
    <t xml:space="preserve">        拆入资金</t>
  </si>
  <si>
    <t>TRD_FIN_LIAB</t>
  </si>
  <si>
    <t xml:space="preserve">        交易性金融负债</t>
  </si>
  <si>
    <t>DERIV_FIN_LIAB</t>
  </si>
  <si>
    <t xml:space="preserve">        衍生金融负债</t>
  </si>
  <si>
    <t>ACCT_PAY</t>
  </si>
  <si>
    <t xml:space="preserve">        应付账款</t>
  </si>
  <si>
    <t>NOTE_PAY</t>
  </si>
  <si>
    <t xml:space="preserve">        应付票据</t>
  </si>
  <si>
    <t>ACCT_RCV_ADV</t>
  </si>
  <si>
    <t xml:space="preserve">        预收款项</t>
  </si>
  <si>
    <t>CONTR_LIAB</t>
  </si>
  <si>
    <t xml:space="preserve">        合同负债</t>
  </si>
  <si>
    <t>SELL_REPO_AST</t>
  </si>
  <si>
    <t xml:space="preserve">        卖出回购金融资产款</t>
  </si>
  <si>
    <t>FEE_PAY</t>
  </si>
  <si>
    <t xml:space="preserve">        应付手续费及佣金</t>
  </si>
  <si>
    <t>EMP_COMP_PAY</t>
  </si>
  <si>
    <t xml:space="preserve">        应付职工薪酬</t>
  </si>
  <si>
    <t>TAX_PAY</t>
  </si>
  <si>
    <t xml:space="preserve">        应交税费</t>
  </si>
  <si>
    <t>OTH_PAY_H</t>
  </si>
  <si>
    <t xml:space="preserve">        其他应付款</t>
  </si>
  <si>
    <t>RIN_ACCT_PAY</t>
  </si>
  <si>
    <t xml:space="preserve">        应付分保账款</t>
  </si>
  <si>
    <t>IN_CONTR_RSV</t>
  </si>
  <si>
    <t xml:space="preserve">        保险合同准备金</t>
  </si>
  <si>
    <t>FND_SECU_TRD_AGY</t>
  </si>
  <si>
    <t xml:space="preserve">        代理买卖证券款</t>
  </si>
  <si>
    <t>FND_UW_SECU</t>
  </si>
  <si>
    <t xml:space="preserve">        代理承销证券款</t>
  </si>
  <si>
    <t xml:space="preserve">HTS_LIAB </t>
  </si>
  <si>
    <t xml:space="preserve">        持有待售负债</t>
  </si>
  <si>
    <t>NCUR_LIAB_ONE_Y</t>
  </si>
  <si>
    <t xml:space="preserve">        一年内到期的非流动负债</t>
  </si>
  <si>
    <t>ACCR_EXP</t>
  </si>
  <si>
    <t xml:space="preserve">        预提费用</t>
  </si>
  <si>
    <t>DFR_INC_CUR</t>
  </si>
  <si>
    <t xml:space="preserve">        递延收益-流动负债</t>
  </si>
  <si>
    <t>SHT_BND_PAY</t>
  </si>
  <si>
    <t xml:space="preserve">        应付短期债券</t>
  </si>
  <si>
    <t>OTH_CUR_LIAB</t>
  </si>
  <si>
    <t xml:space="preserve">        其他流动负债</t>
  </si>
  <si>
    <t xml:space="preserve">        流动负债差额(特殊报表科目)</t>
  </si>
  <si>
    <t>TTL_CUR_LIAB</t>
  </si>
  <si>
    <t xml:space="preserve">        流动负债合计</t>
  </si>
  <si>
    <t>非流动负债：</t>
  </si>
  <si>
    <t>LT_LN</t>
  </si>
  <si>
    <t xml:space="preserve">        长期借款</t>
  </si>
  <si>
    <t>BND_PAY</t>
  </si>
  <si>
    <t xml:space="preserve">        应付债券</t>
  </si>
  <si>
    <t>LEAS_LIAB</t>
  </si>
  <si>
    <t xml:space="preserve">        租赁负债</t>
  </si>
  <si>
    <t xml:space="preserve"> LT_PAY_H</t>
  </si>
  <si>
    <t xml:space="preserve">        长期应付款</t>
  </si>
  <si>
    <t xml:space="preserve">LT_EMP_COMP_PAY </t>
  </si>
  <si>
    <t xml:space="preserve">        长期应付职工薪酬</t>
  </si>
  <si>
    <t>EST_LIAB</t>
  </si>
  <si>
    <t xml:space="preserve">        预计负债</t>
  </si>
  <si>
    <t>DFR_TAX_LIAB</t>
  </si>
  <si>
    <t xml:space="preserve">        递延所得税负债</t>
  </si>
  <si>
    <t>DFR_INC_NCUR</t>
  </si>
  <si>
    <t xml:space="preserve">        递延收益-非流动负债</t>
  </si>
  <si>
    <t>OTH_NCUR_LIAB</t>
  </si>
  <si>
    <t xml:space="preserve">        其他非流动负债</t>
  </si>
  <si>
    <t xml:space="preserve">        非流动负债差额(特殊报表科目)</t>
  </si>
  <si>
    <t>TTL_NCUR_LIAB</t>
  </si>
  <si>
    <t xml:space="preserve">        非流动负债合计</t>
  </si>
  <si>
    <t>LIAB_SPCL</t>
  </si>
  <si>
    <t xml:space="preserve">        负债差额(特殊报表科目)</t>
  </si>
  <si>
    <t>TTL_LIAB</t>
  </si>
  <si>
    <t xml:space="preserve">        负债合计</t>
  </si>
  <si>
    <t>所有者权益(或股东权益)：</t>
  </si>
  <si>
    <t>PAY_UP_CPTL</t>
  </si>
  <si>
    <t xml:space="preserve">        实收资本(或股本)</t>
  </si>
  <si>
    <t xml:space="preserve">OTH_EQY </t>
  </si>
  <si>
    <t xml:space="preserve">        其他权益工具</t>
  </si>
  <si>
    <t>CPTL_RSV</t>
  </si>
  <si>
    <t xml:space="preserve">        资本公积金</t>
  </si>
  <si>
    <t>TREAS_STK</t>
  </si>
  <si>
    <t xml:space="preserve">        减：库存股</t>
  </si>
  <si>
    <t xml:space="preserve">OTH_COMP_INC </t>
  </si>
  <si>
    <t xml:space="preserve">        其他综合收益</t>
  </si>
  <si>
    <t>SPCL_RSV</t>
  </si>
  <si>
    <t xml:space="preserve">        专项储备</t>
  </si>
  <si>
    <t>SUR_RSV</t>
  </si>
  <si>
    <t xml:space="preserve">        盈余公积金</t>
  </si>
  <si>
    <t>RSV_ORD_RSK</t>
  </si>
  <si>
    <t xml:space="preserve">        一般风险准备</t>
  </si>
  <si>
    <t>RET_PROF</t>
  </si>
  <si>
    <t xml:space="preserve">        未分配利润</t>
  </si>
  <si>
    <t>FCY_TRSLT_DIFF</t>
  </si>
  <si>
    <t xml:space="preserve">        外币报表折算差额</t>
  </si>
  <si>
    <t>UNCFM_INV_LOSS</t>
  </si>
  <si>
    <t xml:space="preserve">        未确认的投资损失</t>
  </si>
  <si>
    <t>MIN_SHEQY</t>
  </si>
  <si>
    <t xml:space="preserve">        少数股东权益</t>
  </si>
  <si>
    <t xml:space="preserve">        股东权益差额(特殊报表科目)</t>
  </si>
  <si>
    <t>TTL_SHEQY</t>
  </si>
  <si>
    <t xml:space="preserve">        归属于母公司所有者权益合计</t>
  </si>
  <si>
    <t>SHEQY</t>
  </si>
  <si>
    <t xml:space="preserve">        所有者权益合计</t>
  </si>
  <si>
    <t>LIAB_SHEQY_SPCL</t>
  </si>
  <si>
    <t xml:space="preserve">        负债及股东权益差额(特殊报表项目)</t>
  </si>
  <si>
    <t>LIAB_SHEQY_EQU</t>
  </si>
  <si>
    <t xml:space="preserve">        负债及股东权益差额(合计平衡项目)</t>
  </si>
  <si>
    <t>LIAB_SHEQY</t>
  </si>
  <si>
    <t xml:space="preserve">        负债和所有者权益总计</t>
  </si>
  <si>
    <r>
      <rPr>
        <b/>
        <sz val="11"/>
        <color theme="1"/>
        <rFont val="微软雅黑"/>
        <family val="2"/>
        <charset val="134"/>
      </rPr>
      <t>现金流量表</t>
    </r>
  </si>
  <si>
    <t>一、经营活动产生的现金流量：</t>
  </si>
  <si>
    <t>CASH_RCV_SALE</t>
  </si>
  <si>
    <t xml:space="preserve">        销售商品、提供劳务收到的现金</t>
  </si>
  <si>
    <t>TAX_RBT_RCV</t>
  </si>
  <si>
    <t xml:space="preserve">        收到的税费返还</t>
  </si>
  <si>
    <t>OTH_CASH_RCV_OPER</t>
  </si>
  <si>
    <t xml:space="preserve">        收到其他与经营活动有关的现金</t>
  </si>
  <si>
    <t>NET_INCR_PH_DPST_INV</t>
  </si>
  <si>
    <t xml:space="preserve">        保户储金净增加额</t>
  </si>
  <si>
    <t>CUST_DPST_OB_NET_INCR</t>
  </si>
  <si>
    <t xml:space="preserve">        客户存款和同业存放款项净增加额</t>
  </si>
  <si>
    <t>BRW_CB_NET_INCR</t>
  </si>
  <si>
    <t xml:space="preserve">        向中央银行借款净增加额</t>
  </si>
  <si>
    <t>LN_OTH_FIN_NET_INCR</t>
  </si>
  <si>
    <t xml:space="preserve">        向其他金融机构拆入资金净增加额</t>
  </si>
  <si>
    <t>CASH_RCV_INT_FEE</t>
  </si>
  <si>
    <t xml:space="preserve">        收取利息和手续费净增加额</t>
  </si>
  <si>
    <t>CASH_RCV_ORIG_IN</t>
  </si>
  <si>
    <t xml:space="preserve">        收到的原保险合同保费取得的现金</t>
  </si>
  <si>
    <t>NET_CASH_RIN_BIZ</t>
  </si>
  <si>
    <t xml:space="preserve">        收到的再保业务现金净额</t>
  </si>
  <si>
    <t>NET_INCR_DSPL_TRAD_FIN_AST</t>
  </si>
  <si>
    <t xml:space="preserve">        处置交易性金融资产净增加额</t>
  </si>
  <si>
    <t>LN_FM_OB_NET_INCR</t>
  </si>
  <si>
    <t xml:space="preserve">        拆入资金净增加额</t>
  </si>
  <si>
    <t>RBC_NET_INCR</t>
  </si>
  <si>
    <t xml:space="preserve">        回购业务资金净增加额</t>
  </si>
  <si>
    <t>CASH_IN_OPER_SPCL</t>
  </si>
  <si>
    <t xml:space="preserve">        经营活动现金流入差额(特殊报表科目)</t>
  </si>
  <si>
    <t>CASH_IN_OPER_EQU</t>
  </si>
  <si>
    <t xml:space="preserve">        经营活动现金流入差额(合计平衡项目)</t>
  </si>
  <si>
    <t>CF_IN_OPER</t>
  </si>
  <si>
    <t xml:space="preserve">        经营活动现金流入小计</t>
  </si>
  <si>
    <t>CASH_PAY_PUR_GDS_SVC</t>
  </si>
  <si>
    <t xml:space="preserve">        购买商品、接受劳务支付的现金</t>
  </si>
  <si>
    <t>CASH_PAY_EMP</t>
  </si>
  <si>
    <t xml:space="preserve">        支付给职工以及为职工支付的现金</t>
  </si>
  <si>
    <t>CASH_PAY_TAX</t>
  </si>
  <si>
    <t xml:space="preserve">        支付的各项税费</t>
  </si>
  <si>
    <t>OTH_CASH_PAY_OPER</t>
  </si>
  <si>
    <t xml:space="preserve">        支付其他与经营活动有关的现金</t>
  </si>
  <si>
    <t>NET_INCR_LN_ADV_CUST</t>
  </si>
  <si>
    <t xml:space="preserve">        客户贷款及垫款净增加额</t>
  </si>
  <si>
    <t>DPST_CB_OB_NET_INCR</t>
  </si>
  <si>
    <t xml:space="preserve">        存放央行和同业款项净增加额</t>
  </si>
  <si>
    <t>CASH_PAY_INDEM_ORIG</t>
  </si>
  <si>
    <t xml:space="preserve">        支付原保险合同赔付款项的现金</t>
  </si>
  <si>
    <t>CASH_PAY_FEE</t>
  </si>
  <si>
    <t xml:space="preserve">        支付手续费的现金</t>
  </si>
  <si>
    <t>PH_DVD_PAY</t>
  </si>
  <si>
    <t xml:space="preserve">        支付保单红利的现金</t>
  </si>
  <si>
    <t>CASH_OUT_OPER_SPCL</t>
  </si>
  <si>
    <t xml:space="preserve">        经营活动现金流出差额(特殊报表科目)</t>
  </si>
  <si>
    <t>CASH_OUT_OPER_EQU</t>
  </si>
  <si>
    <t xml:space="preserve">        经营活动现金流出差额(合计平衡项目)</t>
  </si>
  <si>
    <t>CF_OUT_OPER</t>
  </si>
  <si>
    <t xml:space="preserve">        经营活动现金流出小计</t>
  </si>
  <si>
    <t>NET_CF_OPER_OPER_EQU</t>
  </si>
  <si>
    <t xml:space="preserve">        经营活动产生的现金流量净额差额(合计平衡项目)</t>
  </si>
  <si>
    <t>NET_CF_OPER</t>
  </si>
  <si>
    <t xml:space="preserve">        经营活动产生的现金流量净额</t>
  </si>
  <si>
    <t>二、投资活动产生的现金流量：</t>
  </si>
  <si>
    <t>CASH_RCV_SALE_INV</t>
  </si>
  <si>
    <t xml:space="preserve">        收回投资收到的现金</t>
  </si>
  <si>
    <t>INV_INC_RCV</t>
  </si>
  <si>
    <t xml:space="preserve">        取得投资收益收到的现金</t>
  </si>
  <si>
    <t>CASH_RCV_DSPL_FILT_AST</t>
  </si>
  <si>
    <t xml:space="preserve">        处置固定资产、无形资产和其他长期资产收回的现金净额</t>
  </si>
  <si>
    <t>CASH_RCV_DSPL_SUB_OTH</t>
  </si>
  <si>
    <t xml:space="preserve">        处置子公司及其他营业单位收到的现金净额</t>
  </si>
  <si>
    <t>OTH_CASH_RCV_INV</t>
  </si>
  <si>
    <t xml:space="preserve">        收到其他与投资活动有关的现金</t>
  </si>
  <si>
    <t>CASH_IN_INV_SPCL</t>
  </si>
  <si>
    <t xml:space="preserve">        投资活动现金流入差额(特殊报表科目)</t>
  </si>
  <si>
    <t>CASH_IN_INV_EQU</t>
  </si>
  <si>
    <t xml:space="preserve">        投资活动现金流入差额(合计平衡项目)</t>
  </si>
  <si>
    <t>CF_IN_INV</t>
  </si>
  <si>
    <t xml:space="preserve">        投资活动现金流入小计</t>
  </si>
  <si>
    <t>PUR_FIX_INTG_AST</t>
  </si>
  <si>
    <t xml:space="preserve">        购建固定资产、无形资产和其他长期资产支付的现金</t>
  </si>
  <si>
    <t>CASH_PAY_INV</t>
  </si>
  <si>
    <t xml:space="preserve">        投资支付的现金</t>
  </si>
  <si>
    <t>SUB_PAY_CASH</t>
  </si>
  <si>
    <t xml:space="preserve">        取得子公司及其他营业单位支付的现金净额</t>
  </si>
  <si>
    <t>OTH_CASH_PAY_INV</t>
  </si>
  <si>
    <t xml:space="preserve">        支付其他与投资活动有关的现金</t>
  </si>
  <si>
    <t>CASH_OUT_INV_SPCL</t>
  </si>
  <si>
    <t xml:space="preserve">        投资活动现金流出差额(特殊报表科目)</t>
  </si>
  <si>
    <t>CASH_OUT_INV_EQU</t>
  </si>
  <si>
    <t xml:space="preserve">        投资活动现金流出差额(合计平衡项目)</t>
  </si>
  <si>
    <t>CF_OUT_INV</t>
  </si>
  <si>
    <t xml:space="preserve">        投资活动现金流出小计</t>
  </si>
  <si>
    <t>NET_CF_INV_AST_EQU</t>
  </si>
  <si>
    <t xml:space="preserve">        投资活动产生的现金流量净额差额(合计平衡项目)</t>
  </si>
  <si>
    <t>NET_CF_INV</t>
  </si>
  <si>
    <t xml:space="preserve">        投资活动产生的现金流量净额</t>
  </si>
  <si>
    <t>三、筹资活动产生的现金流量：</t>
  </si>
  <si>
    <t>CASH_RCV_CPTL</t>
  </si>
  <si>
    <t xml:space="preserve">        吸收投资收到的现金</t>
  </si>
  <si>
    <t>CASH_RCV_SCAI_MSE</t>
  </si>
  <si>
    <t xml:space="preserve">        其中：子公司吸收少数股东投资收到的现金</t>
  </si>
  <si>
    <t>BRW_RCV</t>
  </si>
  <si>
    <t xml:space="preserve">        取得借款收到的现金</t>
  </si>
  <si>
    <t>OTH_CASH_RCV_FIN</t>
  </si>
  <si>
    <t xml:space="preserve">        收到其他与筹资活动有关的现金</t>
  </si>
  <si>
    <t>CASH_RCV_BND_ISS</t>
  </si>
  <si>
    <t xml:space="preserve">        发行债券收到的现金</t>
  </si>
  <si>
    <t>CASH_IN_FIN_SPCL</t>
  </si>
  <si>
    <t xml:space="preserve">        筹资活动现金流入差额(特殊报表科目)</t>
  </si>
  <si>
    <t>CASH_IN_FIN_EQU</t>
  </si>
  <si>
    <t xml:space="preserve">        筹资活动现金流入差额(合计平衡项目)</t>
  </si>
  <si>
    <t>CF_IN_FIN</t>
  </si>
  <si>
    <t xml:space="preserve">        筹资活动现金流入小计</t>
  </si>
  <si>
    <t>CASH_RPAY_BRW</t>
  </si>
  <si>
    <t xml:space="preserve">        偿还债务支付的现金</t>
  </si>
  <si>
    <t>CASH_PAY_DVD_INT</t>
  </si>
  <si>
    <t xml:space="preserve">        分配股利、利润或偿付利息支付的现金</t>
  </si>
  <si>
    <t>SUB_PAY_DVD_PROF</t>
  </si>
  <si>
    <t xml:space="preserve">        其中：子公司支付给少数股东的股利、利润</t>
  </si>
  <si>
    <t>OTH_CASH_PAY_FIN</t>
  </si>
  <si>
    <t xml:space="preserve">        支付其他与筹资活动有关的现金</t>
  </si>
  <si>
    <t>CASH_OUT_FIN_SPCL</t>
  </si>
  <si>
    <t xml:space="preserve">        筹资活动现金流出差额(特殊报表科目)</t>
  </si>
  <si>
    <t>CASH_OUT_FIN_EQU</t>
  </si>
  <si>
    <t xml:space="preserve">        筹资活动现金流出差额(合计平衡项目)</t>
  </si>
  <si>
    <t>CF_OUT_FIN</t>
  </si>
  <si>
    <t xml:space="preserve">        筹资活动现金流出小计</t>
  </si>
  <si>
    <t>NET_CF_FIN_EQU</t>
  </si>
  <si>
    <t xml:space="preserve">        筹资活动产生的现金流量净额差额(合计平衡项目)</t>
  </si>
  <si>
    <t>NET_CF_FIN</t>
  </si>
  <si>
    <t xml:space="preserve">        筹资活动产生的现金流量净额</t>
  </si>
  <si>
    <t>四、现金及现金等价物净增加：</t>
  </si>
  <si>
    <t>EFCT_ER_CHG_CASH</t>
  </si>
  <si>
    <t xml:space="preserve">        汇率变动对现金的影响</t>
  </si>
  <si>
    <t xml:space="preserve">NET_INCR_CASH_ADD_SPCL </t>
  </si>
  <si>
    <t xml:space="preserve">        直接法-现金及现金等价物净增加额差额(特殊报表科目)</t>
  </si>
  <si>
    <t xml:space="preserve">NET_INCR_CASH_ADD_EQU </t>
  </si>
  <si>
    <t xml:space="preserve">        直接法-现金及现金等价物净增加额差额(合计平衡项目)</t>
  </si>
  <si>
    <t>CASH_EQ_NET_INCR</t>
  </si>
  <si>
    <t xml:space="preserve">        现金及现金等价物净增加额</t>
  </si>
  <si>
    <t>CASH_EQ_BGN</t>
  </si>
  <si>
    <t xml:space="preserve">        期初现金及现金等价物余额</t>
  </si>
  <si>
    <t>CASH_EQ_END</t>
  </si>
  <si>
    <t xml:space="preserve">        期末现金及现金等价物余额</t>
  </si>
  <si>
    <t>补充资料：</t>
  </si>
  <si>
    <t>NET_PROF</t>
  </si>
  <si>
    <t xml:space="preserve">        净利润</t>
  </si>
  <si>
    <t>ALOT_PRVS_DVU_AST</t>
  </si>
  <si>
    <t xml:space="preserve">        加：资产减值准备</t>
  </si>
  <si>
    <t>DFA_OGA_CBA</t>
  </si>
  <si>
    <t xml:space="preserve">        固定资产折旧、油气资产折耗、生产性生物资产折旧</t>
  </si>
  <si>
    <t>AMORT_INTG_AST</t>
  </si>
  <si>
    <t xml:space="preserve">        无形资产摊销</t>
  </si>
  <si>
    <t>ROUA</t>
  </si>
  <si>
    <t xml:space="preserve">        使用权资产折旧</t>
  </si>
  <si>
    <t>AMORT_LT_EXP_PPAY</t>
  </si>
  <si>
    <t xml:space="preserve">        长期待摊费用摊销</t>
  </si>
  <si>
    <t xml:space="preserve">PPAD_EXP_REDU </t>
  </si>
  <si>
    <t xml:space="preserve">        待摊费用减少</t>
  </si>
  <si>
    <t>ACCR_EXP_INCR</t>
  </si>
  <si>
    <t xml:space="preserve">        预提费用增加</t>
  </si>
  <si>
    <t xml:space="preserve">DSPL_FILT_AST_LOSS </t>
  </si>
  <si>
    <t xml:space="preserve">        处置固定资产、无形资产和其他长期资产的损失</t>
  </si>
  <si>
    <t>VAL_CHG_LOSS</t>
  </si>
  <si>
    <t xml:space="preserve">        固定资产报废损失</t>
  </si>
  <si>
    <t>FV_CHG_LOSS</t>
  </si>
  <si>
    <t xml:space="preserve">        公允价值变动损失</t>
  </si>
  <si>
    <t>INV_LOSS</t>
  </si>
  <si>
    <t xml:space="preserve">        投资损失</t>
  </si>
  <si>
    <t>DFR_TAX_AST_DECR</t>
  </si>
  <si>
    <t xml:space="preserve">        递延所得税资产减少</t>
  </si>
  <si>
    <t>DFR_TAX_LIAB_INCR</t>
  </si>
  <si>
    <t xml:space="preserve">        递延所得税负债增加</t>
  </si>
  <si>
    <t>INVT_DECR</t>
  </si>
  <si>
    <t xml:space="preserve">        存货的减少</t>
  </si>
  <si>
    <t>DECR_RCV_OPER</t>
  </si>
  <si>
    <t xml:space="preserve">        经营性应收项目的减少</t>
  </si>
  <si>
    <t>INCR_PAY_OPER</t>
  </si>
  <si>
    <t xml:space="preserve">        经营性应付项目的增加</t>
  </si>
  <si>
    <t>OTH</t>
  </si>
  <si>
    <t xml:space="preserve">        其他</t>
  </si>
  <si>
    <t>NET_CF_OPER_SPCL</t>
  </si>
  <si>
    <t xml:space="preserve">        间接法-经营活动现金流量净额差额(特殊报表科目)</t>
  </si>
  <si>
    <t>NET_CF_OPER_EQU</t>
  </si>
  <si>
    <t xml:space="preserve">        间接法-经营活动现金流量净额差额(合计平衡项目)</t>
  </si>
  <si>
    <t>NET_CF_OPER_NOTE</t>
  </si>
  <si>
    <t>DR_CNV_CPTL</t>
  </si>
  <si>
    <t xml:space="preserve">        债务转为资本</t>
  </si>
  <si>
    <t>CPTL_BND_EXPR_ONE_Y</t>
  </si>
  <si>
    <t xml:space="preserve">        一年内到期的可转换公司债券</t>
  </si>
  <si>
    <t>FIN_LS_FIX_AST</t>
  </si>
  <si>
    <t xml:space="preserve">        融资租入固定资产</t>
  </si>
  <si>
    <t>CASH_END_PRD</t>
  </si>
  <si>
    <t xml:space="preserve">        现金的期末余额</t>
  </si>
  <si>
    <t>CASH_BGN_PRD</t>
  </si>
  <si>
    <t xml:space="preserve">        减：现金的期初余额</t>
  </si>
  <si>
    <t>CASH_EQ_END_PRD</t>
  </si>
  <si>
    <t xml:space="preserve">        加：现金等价物的期末余额</t>
  </si>
  <si>
    <t>CASH_EQ_BGN_PRD</t>
  </si>
  <si>
    <t xml:space="preserve">        减：现金等价物的期初余额</t>
  </si>
  <si>
    <t xml:space="preserve">NET_INCR_CASH_SPCL </t>
  </si>
  <si>
    <t xml:space="preserve">        加：间接法-现金净增加额差额(特殊报表科目)</t>
  </si>
  <si>
    <t xml:space="preserve">NET_INCR_CASH_EQU </t>
  </si>
  <si>
    <t xml:space="preserve">        加：间接法-现金净增加额差额(合计平衡项目)</t>
  </si>
  <si>
    <t>CASH_EQ_NET_INCR_NOTE</t>
  </si>
  <si>
    <t xml:space="preserve">        间接法-现金及现金等价物净增加额</t>
  </si>
  <si>
    <t>单位：百万元</t>
  </si>
  <si>
    <r>
      <rPr>
        <b/>
        <sz val="10"/>
        <color theme="1"/>
        <rFont val="微软雅黑"/>
        <family val="2"/>
        <charset val="134"/>
      </rPr>
      <t>历史数据</t>
    </r>
  </si>
  <si>
    <r>
      <rPr>
        <b/>
        <sz val="10"/>
        <color theme="1"/>
        <rFont val="微软雅黑"/>
        <family val="2"/>
        <charset val="134"/>
      </rPr>
      <t>预测数据</t>
    </r>
  </si>
  <si>
    <t>营业收入合计</t>
  </si>
  <si>
    <t>营业成本合计</t>
  </si>
  <si>
    <t>其他业务收入（金融类）</t>
  </si>
  <si>
    <t>其他业务成本（金融类）</t>
  </si>
  <si>
    <t>历史数据</t>
  </si>
  <si>
    <t>预测数据</t>
  </si>
  <si>
    <t>预测值生成方式</t>
  </si>
  <si>
    <t>利润表假设</t>
  </si>
  <si>
    <t>营业收入增长率</t>
  </si>
  <si>
    <t>前三年平均数据</t>
  </si>
  <si>
    <t>其他业务收入（金融类）增长率</t>
  </si>
  <si>
    <t>营业成本/营业收入</t>
  </si>
  <si>
    <t>其他业务成本/其他业务收入（金融类）</t>
  </si>
  <si>
    <t>营业税金及附加/营业收入</t>
  </si>
  <si>
    <t>销售费用/营业收入</t>
  </si>
  <si>
    <t>管理费用/营业收入</t>
  </si>
  <si>
    <t>研发费用/营业收入</t>
  </si>
  <si>
    <t>公允价值变动净收益</t>
  </si>
  <si>
    <t>其他收益</t>
  </si>
  <si>
    <t>净敞口套期收益</t>
  </si>
  <si>
    <t>资产处置收益</t>
  </si>
  <si>
    <t>投资净收益</t>
  </si>
  <si>
    <t>汇兑净收益</t>
  </si>
  <si>
    <t>营业外收入</t>
  </si>
  <si>
    <t>营业外支出</t>
  </si>
  <si>
    <t>实际所得税率</t>
  </si>
  <si>
    <t>未确认的投资损失</t>
  </si>
  <si>
    <t>少数股东损益/净利润</t>
  </si>
  <si>
    <t>其他综合收益</t>
  </si>
  <si>
    <t>少数股东综合收益/综合收益总额</t>
  </si>
  <si>
    <t>DPS-Q1</t>
  </si>
  <si>
    <t>DPS-Q2/年中</t>
  </si>
  <si>
    <t>DPS-Q3</t>
  </si>
  <si>
    <t>DPS-Q4/年末</t>
  </si>
  <si>
    <t>DPS-特殊</t>
  </si>
  <si>
    <t>股利支付率</t>
  </si>
  <si>
    <t>营运资金假设</t>
  </si>
  <si>
    <t>交易性金融资产本期增减</t>
  </si>
  <si>
    <t>默认值0</t>
  </si>
  <si>
    <t>衍生金融资产本期增减</t>
  </si>
  <si>
    <t>应收账款原值/营业收入</t>
  </si>
  <si>
    <t>坏账准备/应收账款</t>
  </si>
  <si>
    <t>应收票据/营业收入</t>
  </si>
  <si>
    <t>应收款项融资/营业收入</t>
  </si>
  <si>
    <t>预付账款/营业成本</t>
  </si>
  <si>
    <t>其他应收款/营业收入</t>
  </si>
  <si>
    <t>其他应收款坏账准备/其他应收款</t>
  </si>
  <si>
    <t>存货/营业成本</t>
  </si>
  <si>
    <t>存货跌价准备/存货</t>
  </si>
  <si>
    <t>合同资产原值/营业成本</t>
  </si>
  <si>
    <t>合同资产减值准备/合同资产</t>
  </si>
  <si>
    <t>划分为持有待售的资产本期增减</t>
  </si>
  <si>
    <t>一年内到期的非流动资产本期增减</t>
  </si>
  <si>
    <t>待摊费用/营业收入</t>
  </si>
  <si>
    <t>其他流动资产本期增减</t>
  </si>
  <si>
    <t>其他金融类流动资产本期增减</t>
  </si>
  <si>
    <t>递延所得税资产本期增减</t>
  </si>
  <si>
    <t>其他非流动资产本期增减</t>
  </si>
  <si>
    <t>其他金融类非流动资产本期增减</t>
  </si>
  <si>
    <t>交易性金融负债本期增减</t>
  </si>
  <si>
    <t>衍生金融负债</t>
  </si>
  <si>
    <t>应付账款/营业成本</t>
  </si>
  <si>
    <t>应付票据/营业成本</t>
  </si>
  <si>
    <t>预收款项/营业收入</t>
  </si>
  <si>
    <t>合同负债/营业收入</t>
  </si>
  <si>
    <t>应付职工薪酬/管理费用</t>
  </si>
  <si>
    <t>应交税费</t>
  </si>
  <si>
    <t>其他应付款本期增减</t>
  </si>
  <si>
    <t>划分为持有待售的负债本期增减</t>
  </si>
  <si>
    <t>一年内到期的非流动负债本期增减</t>
  </si>
  <si>
    <t>预提费用/销售费用和管理费用</t>
  </si>
  <si>
    <t>递延收益-流动负债本期增减</t>
  </si>
  <si>
    <t>应付短期债券本期增减</t>
  </si>
  <si>
    <t>其他流动负债本期增减</t>
  </si>
  <si>
    <t>其他金融类流动负债本期增减</t>
  </si>
  <si>
    <t>预计负债本期增减</t>
  </si>
  <si>
    <t>递延所得税负债本期增减</t>
  </si>
  <si>
    <t>递延收益-非流动负债本期增减</t>
  </si>
  <si>
    <t>其他非流动负债本期增减</t>
  </si>
  <si>
    <t>资本性投资假设</t>
  </si>
  <si>
    <t>可供出售金融资产本期增减</t>
  </si>
  <si>
    <t>持有至到期投资本期增减</t>
  </si>
  <si>
    <t>债权投资本期增减</t>
  </si>
  <si>
    <t>其他债权投资本期增减</t>
  </si>
  <si>
    <t>长期应收款本期增减</t>
  </si>
  <si>
    <t>长期股权投资原值本期增减</t>
  </si>
  <si>
    <t>其他权益工具投资本期增减</t>
  </si>
  <si>
    <t>其他非流动金融资产本期增减</t>
  </si>
  <si>
    <t>投资性房地产本期增减</t>
  </si>
  <si>
    <t>固定资产本期整体增减</t>
  </si>
  <si>
    <t>固定资产中房屋及建筑物本期增减</t>
  </si>
  <si>
    <t>固定资产中机械设备本期增减</t>
  </si>
  <si>
    <t>固定资产中运输设备本期增减</t>
  </si>
  <si>
    <t>固定资产中其他本期增减</t>
  </si>
  <si>
    <t>本期在建工程转入固定资产</t>
  </si>
  <si>
    <t>在建工程本期增减</t>
  </si>
  <si>
    <t>生产性生物资产本期增减</t>
  </si>
  <si>
    <t>油气资产本期增减</t>
  </si>
  <si>
    <t>使用权资产原值本期增减</t>
  </si>
  <si>
    <t>租赁负债本期增减</t>
  </si>
  <si>
    <t>无形资产原值本期增减</t>
  </si>
  <si>
    <t>无形资产本期摊销</t>
  </si>
  <si>
    <t>开发支出本期增减</t>
  </si>
  <si>
    <t>商誉原值本期增减</t>
  </si>
  <si>
    <t>长期待摊费用原值本期增减</t>
  </si>
  <si>
    <t>长期待摊费用本期摊销</t>
  </si>
  <si>
    <t>当年新增长期股权投资减值准备</t>
  </si>
  <si>
    <t>当年新增固定资产减值准备</t>
  </si>
  <si>
    <t>当年新增在建工程减值准备</t>
  </si>
  <si>
    <t>当年新增生产性生物资产减值准备</t>
  </si>
  <si>
    <t>当年新增油气资产减值准备</t>
  </si>
  <si>
    <t>当年新增使用权资产减值准备</t>
  </si>
  <si>
    <t>自定义</t>
  </si>
  <si>
    <t>当年新增长期待摊费用减值准备</t>
  </si>
  <si>
    <t>当年新增无形资产减值准备</t>
  </si>
  <si>
    <t>当年新增商誉减值准备</t>
  </si>
  <si>
    <t>当年新增债权投资减值准备</t>
  </si>
  <si>
    <t>当年新增其他债权投资减值准备</t>
  </si>
  <si>
    <t>债务融资活动假设</t>
  </si>
  <si>
    <t>短期借款利率</t>
  </si>
  <si>
    <t>长期借款利率</t>
  </si>
  <si>
    <t>现金存款利率</t>
  </si>
  <si>
    <t>最低现金余额/营业收入</t>
  </si>
  <si>
    <t>长期借款增减</t>
  </si>
  <si>
    <t>应付债券本期增减</t>
  </si>
  <si>
    <t>长期应付款本期增减</t>
  </si>
  <si>
    <t>长期应付职工薪酬本期增减</t>
  </si>
  <si>
    <t>其他利息费用合计</t>
  </si>
  <si>
    <t>其他利息收入合计</t>
  </si>
  <si>
    <t>财务费用的其他变动（其中包括：利息资本化抵减、租赁产生的利息费用、手续费、汇兑损益等）</t>
  </si>
  <si>
    <t>最低短期借款余额/营业收入</t>
  </si>
  <si>
    <t>股权融资活动假设</t>
  </si>
  <si>
    <t>股票发行数量</t>
  </si>
  <si>
    <t>股票发行价</t>
  </si>
  <si>
    <r>
      <rPr>
        <sz val="10"/>
        <color theme="1"/>
        <rFont val="微软雅黑"/>
        <family val="2"/>
        <charset val="134"/>
      </rPr>
      <t>股票发行费用</t>
    </r>
  </si>
  <si>
    <t>其他权益工具本期增减</t>
  </si>
  <si>
    <t>资本公积转增股本（转股）-每10股转增股数</t>
  </si>
  <si>
    <t>资本公积除新发股票外的增减</t>
  </si>
  <si>
    <t>盈余公积转增股本（送股）-每10股送股数</t>
  </si>
  <si>
    <t>库存股本期增减</t>
  </si>
  <si>
    <t>专项储备本期增减</t>
  </si>
  <si>
    <t>外币报表折算差额</t>
  </si>
  <si>
    <t>发行股份购买资产股票发行数量</t>
  </si>
  <si>
    <t>发行股份购买资产股票发行价</t>
  </si>
  <si>
    <t>发行股份购买资产股票发行费用</t>
  </si>
  <si>
    <t>少数股东权益的其他变动</t>
  </si>
  <si>
    <t>估值假设</t>
  </si>
  <si>
    <t>折现基准年份</t>
  </si>
  <si>
    <t>股票Beta</t>
  </si>
  <si>
    <t>无风险利率</t>
  </si>
  <si>
    <t>股票风险溢价</t>
  </si>
  <si>
    <t>目标资产负债率</t>
  </si>
  <si>
    <t>债务成本</t>
  </si>
  <si>
    <t>永续增长率TV</t>
  </si>
  <si>
    <t>少数股权价值占总股本价值的比例</t>
  </si>
  <si>
    <t>可比PE</t>
  </si>
  <si>
    <t>可比PB</t>
  </si>
  <si>
    <t>可比PS</t>
  </si>
  <si>
    <t>可比PEG</t>
  </si>
  <si>
    <t>预测期增长率(g)</t>
  </si>
  <si>
    <t>可比EV/EBITDA</t>
  </si>
  <si>
    <t>资本性支出预测</t>
  </si>
  <si>
    <t>预测方法</t>
  </si>
  <si>
    <t>方法1</t>
  </si>
  <si>
    <t>固定资产整体预测（整体预测+在建工程转入）</t>
  </si>
  <si>
    <t>方法2</t>
  </si>
  <si>
    <t>固定资产分类别预测</t>
  </si>
  <si>
    <t>整体预测</t>
  </si>
  <si>
    <r>
      <rPr>
        <b/>
        <sz val="10"/>
        <color theme="1"/>
        <rFont val="微软雅黑"/>
        <family val="2"/>
        <charset val="134"/>
      </rPr>
      <t>固定资产</t>
    </r>
  </si>
  <si>
    <t>固定资产-整体预测</t>
  </si>
  <si>
    <t>折旧年限</t>
  </si>
  <si>
    <t>残值率</t>
  </si>
  <si>
    <t>折旧率</t>
  </si>
  <si>
    <t>年份</t>
  </si>
  <si>
    <t>金额</t>
  </si>
  <si>
    <t>期末固定资产（账面原值）</t>
  </si>
  <si>
    <t>新增数</t>
  </si>
  <si>
    <t>固定资产折旧合计</t>
  </si>
  <si>
    <t>分类别预测</t>
  </si>
  <si>
    <t>固定资产-房屋及建筑物</t>
  </si>
  <si>
    <t>房屋建筑物折旧合计</t>
  </si>
  <si>
    <t>固定资产-机械设备</t>
  </si>
  <si>
    <t>机械设备折旧合计</t>
  </si>
  <si>
    <t>固定资产-运输设备</t>
  </si>
  <si>
    <t>运输设备折旧合计</t>
  </si>
  <si>
    <t>固定资产-其他资产</t>
  </si>
  <si>
    <t>其他资产折旧合计</t>
  </si>
  <si>
    <t>固定资产-在建工程转入</t>
  </si>
  <si>
    <t>转入数</t>
  </si>
  <si>
    <t>在建工程转入固定资产折旧合计</t>
  </si>
  <si>
    <t>方法1下的固定资产折旧（整体预测）</t>
  </si>
  <si>
    <t>方法2下的固定资产折旧（分类别预测）</t>
  </si>
  <si>
    <t>当前使用的方法</t>
  </si>
  <si>
    <t>方法1下的固定资产投资本期增加（整体预测）</t>
  </si>
  <si>
    <t>方法2下的固定资产投资本期增加（分类别预测）</t>
  </si>
  <si>
    <t>固定资产期初净值</t>
  </si>
  <si>
    <t>固定资产投资本期增加</t>
  </si>
  <si>
    <t>在建工程本期转入</t>
  </si>
  <si>
    <t>本期折旧增加</t>
  </si>
  <si>
    <t>固定资产期末净值</t>
  </si>
  <si>
    <t>在建工程</t>
  </si>
  <si>
    <t>在建工程期初净值</t>
  </si>
  <si>
    <t>本期增加</t>
  </si>
  <si>
    <t>本期转入固定资产</t>
  </si>
  <si>
    <t>当期新增在建工程减值准备</t>
  </si>
  <si>
    <t>在建工程期末净值</t>
  </si>
  <si>
    <t>使用权资产</t>
  </si>
  <si>
    <t>期末使用权资产（账面原值）</t>
  </si>
  <si>
    <t>使用权资产折旧合计</t>
  </si>
  <si>
    <t>使用权资产期初净值</t>
  </si>
  <si>
    <t>本期新增租赁资产</t>
  </si>
  <si>
    <t>本期使用权资产折旧增加</t>
  </si>
  <si>
    <t>使用权资产期末净值</t>
  </si>
  <si>
    <t>生产性生物资产</t>
  </si>
  <si>
    <t>期末生产性生物资产（账面原值）</t>
  </si>
  <si>
    <t>生产性生物资产折旧合计</t>
  </si>
  <si>
    <t>生产性生物资产期初净值</t>
  </si>
  <si>
    <t>生产性生物资产投资本期增加</t>
  </si>
  <si>
    <t>生产性生物资产期末净值</t>
  </si>
  <si>
    <t>油气资产</t>
  </si>
  <si>
    <t>期末油气资产（账面原值）</t>
  </si>
  <si>
    <t>油气资产折旧合计</t>
  </si>
  <si>
    <t>油气资产期初净值</t>
  </si>
  <si>
    <t>油气资产投资本期增加</t>
  </si>
  <si>
    <t>油气资产期末净值</t>
  </si>
  <si>
    <t>长期待摊费用</t>
  </si>
  <si>
    <t>长期待摊费用期初净值</t>
  </si>
  <si>
    <t>长期待摊费用本期投资增加</t>
  </si>
  <si>
    <t>本期摊销</t>
  </si>
  <si>
    <t>当期新增长期待摊费用减值准备</t>
  </si>
  <si>
    <t>长期待摊费用期末净值</t>
  </si>
  <si>
    <t>无形资产</t>
  </si>
  <si>
    <t>无形资产期初净值</t>
  </si>
  <si>
    <t>无形资产本期投资增加</t>
  </si>
  <si>
    <t>当期新增无形资产减值准备</t>
  </si>
  <si>
    <t>无形资产期末净值</t>
  </si>
  <si>
    <t>折旧和摊销</t>
  </si>
  <si>
    <t>资本性支出</t>
  </si>
  <si>
    <t>新股发行</t>
  </si>
  <si>
    <t>发行数量</t>
  </si>
  <si>
    <t>发行价格</t>
  </si>
  <si>
    <t>合计</t>
  </si>
  <si>
    <t>发行费用</t>
  </si>
  <si>
    <t>总计</t>
  </si>
  <si>
    <t>资本公积转增股本（转股）</t>
  </si>
  <si>
    <t>期初股本数量</t>
  </si>
  <si>
    <t>每10股转增股数</t>
  </si>
  <si>
    <t>资本公积转出金额/股本转入金额</t>
  </si>
  <si>
    <t>盈余公积转增股本（送股）</t>
  </si>
  <si>
    <t>每10股送股数</t>
  </si>
  <si>
    <t>盈余公积转出金额/股本转入金额</t>
  </si>
  <si>
    <t>发行股份购买资产</t>
  </si>
  <si>
    <t>发行股份购买资产筹资金额总计</t>
  </si>
  <si>
    <t>资产减值损失</t>
  </si>
  <si>
    <t>当年新增存货跌价准备</t>
  </si>
  <si>
    <t>资产减值损失总计</t>
  </si>
  <si>
    <t>信用减值损失</t>
  </si>
  <si>
    <t>当年新增坏账准备</t>
  </si>
  <si>
    <t>当年新增其他应收款坏账准备</t>
  </si>
  <si>
    <t>当年新增合同资产减值准备</t>
  </si>
  <si>
    <t>信用减值损失合计</t>
  </si>
  <si>
    <t>营运资金的变动</t>
  </si>
  <si>
    <t>流动资产</t>
  </si>
  <si>
    <t>应收账款原值</t>
  </si>
  <si>
    <t>应收票据</t>
  </si>
  <si>
    <t>应收款项融资</t>
  </si>
  <si>
    <t>预付款项</t>
  </si>
  <si>
    <t>其他应收款原值</t>
  </si>
  <si>
    <t>存货原值</t>
  </si>
  <si>
    <t>合同资产原值</t>
  </si>
  <si>
    <t>持有待售资产</t>
  </si>
  <si>
    <t>一年内到期的非流动资产</t>
  </si>
  <si>
    <t>待摊费用</t>
  </si>
  <si>
    <t>其他流动资产</t>
  </si>
  <si>
    <t>流动负债</t>
  </si>
  <si>
    <t>应付账款</t>
  </si>
  <si>
    <t>应付票据</t>
  </si>
  <si>
    <t>预收款项</t>
  </si>
  <si>
    <t>合同负债</t>
  </si>
  <si>
    <t>应付职工薪酬</t>
  </si>
  <si>
    <t>其他应付款</t>
  </si>
  <si>
    <t>持有待售负债</t>
  </si>
  <si>
    <t>一年内到期的非流动负债</t>
  </si>
  <si>
    <t>预提费用</t>
  </si>
  <si>
    <t>递延收益-流动负债</t>
  </si>
  <si>
    <t>应付短期债券</t>
  </si>
  <si>
    <t>其他流动负债</t>
  </si>
  <si>
    <t>预计负债</t>
  </si>
  <si>
    <t>营运资金</t>
  </si>
  <si>
    <t>营运资金的减少</t>
  </si>
  <si>
    <t>短期借款的增减</t>
  </si>
  <si>
    <t>期初现金余额</t>
  </si>
  <si>
    <t>经营活动现金流量净额</t>
  </si>
  <si>
    <t>投资活动现金流量净额</t>
  </si>
  <si>
    <t>筹资活动现金流量净额（新增短期借款前）</t>
  </si>
  <si>
    <t>新增短期借款前期末现金余额</t>
  </si>
  <si>
    <t>最低现金余额</t>
  </si>
  <si>
    <t>现金剩余（短缺）</t>
  </si>
  <si>
    <t>短期借款期初余额</t>
  </si>
  <si>
    <t>最低短期借款余额</t>
  </si>
  <si>
    <t>短期借款增加（减少）</t>
  </si>
  <si>
    <t>短期借款期末余额</t>
  </si>
  <si>
    <t>债务融资预测</t>
  </si>
  <si>
    <t>短期借款</t>
  </si>
  <si>
    <t>短期借款产生的利息费用</t>
  </si>
  <si>
    <t>长期借款</t>
  </si>
  <si>
    <t>长期借款期初余额</t>
  </si>
  <si>
    <t>长期借款期末余额</t>
  </si>
  <si>
    <t>长期借款产生的利息费用</t>
  </si>
  <si>
    <t>其他利息费用(应付债券利息)</t>
  </si>
  <si>
    <t>利息费用总计</t>
  </si>
  <si>
    <t>现金存款</t>
  </si>
  <si>
    <t>现金存款期初余额</t>
  </si>
  <si>
    <t>现金存款期末余额</t>
  </si>
  <si>
    <t>现金存款产生的利息收入</t>
  </si>
  <si>
    <t>其他利息收入</t>
  </si>
  <si>
    <t>利息收入总计</t>
  </si>
  <si>
    <t>财务费用的其他变动</t>
  </si>
  <si>
    <t>财务费用</t>
  </si>
  <si>
    <t>资产负债表</t>
  </si>
  <si>
    <t>资产</t>
  </si>
  <si>
    <t>货币资金</t>
  </si>
  <si>
    <t>交易性金融资产</t>
  </si>
  <si>
    <t>衍生金融资产</t>
  </si>
  <si>
    <t>应收账款净值</t>
  </si>
  <si>
    <t>其他应收款净值</t>
  </si>
  <si>
    <t>存货净值</t>
  </si>
  <si>
    <t>合同资产</t>
  </si>
  <si>
    <t>其他金融类流动资产</t>
  </si>
  <si>
    <t>流动资产差额</t>
  </si>
  <si>
    <t>流动资产合计</t>
  </si>
  <si>
    <t>非流动资产</t>
  </si>
  <si>
    <t>可供出售金融资产</t>
  </si>
  <si>
    <t>债权投资</t>
  </si>
  <si>
    <t>其他债权投资</t>
  </si>
  <si>
    <t>持有至到期投资</t>
  </si>
  <si>
    <t>长期应收款</t>
  </si>
  <si>
    <t>长期股权投资净值</t>
  </si>
  <si>
    <t>其他权益工具投资</t>
  </si>
  <si>
    <t>其他非流动金融资产</t>
  </si>
  <si>
    <t>投资性房地产</t>
  </si>
  <si>
    <t>固定资产净值</t>
  </si>
  <si>
    <t>无形资产净值</t>
  </si>
  <si>
    <t>开发支出</t>
  </si>
  <si>
    <t>商誉</t>
  </si>
  <si>
    <t>递延所得税资产</t>
  </si>
  <si>
    <t>其他非流动资产</t>
  </si>
  <si>
    <t>发放贷款及垫款</t>
  </si>
  <si>
    <t>非流动资产差额</t>
  </si>
  <si>
    <t>非流动资产合计</t>
  </si>
  <si>
    <t>资产总计</t>
  </si>
  <si>
    <t>交易性金融负债</t>
  </si>
  <si>
    <t>其他金融类流动负债</t>
  </si>
  <si>
    <t>流动负债差额</t>
  </si>
  <si>
    <t>流动负债合计</t>
  </si>
  <si>
    <t>非流动负债</t>
  </si>
  <si>
    <t>应付债券</t>
  </si>
  <si>
    <t>租赁负债</t>
  </si>
  <si>
    <t>长期应付款</t>
  </si>
  <si>
    <t>长期应付职工薪酬</t>
  </si>
  <si>
    <t>递延所得税负债</t>
  </si>
  <si>
    <t>递延收益-非流动负债</t>
  </si>
  <si>
    <t>其他非流动负债</t>
  </si>
  <si>
    <t>非流动负债差额</t>
  </si>
  <si>
    <t>非流动负债合计</t>
  </si>
  <si>
    <t>负债总计</t>
  </si>
  <si>
    <t>所有者权益（股东权益）</t>
  </si>
  <si>
    <t>实收资本（股本）</t>
  </si>
  <si>
    <t>其他权益工具</t>
  </si>
  <si>
    <t>资本公积</t>
  </si>
  <si>
    <t>减：库存股</t>
  </si>
  <si>
    <t>专项储备</t>
  </si>
  <si>
    <t>盈余公积</t>
  </si>
  <si>
    <t>一般风险准备</t>
  </si>
  <si>
    <t>未分配利润</t>
  </si>
  <si>
    <t>留存收益</t>
  </si>
  <si>
    <t>股东权益差额</t>
  </si>
  <si>
    <t>归属于母公司所有者权益合计</t>
  </si>
  <si>
    <t>少数股东权益</t>
  </si>
  <si>
    <t>所有者权益总计</t>
  </si>
  <si>
    <t>负债及所有者权益总计</t>
  </si>
  <si>
    <t>Check</t>
  </si>
  <si>
    <t>利润表</t>
  </si>
  <si>
    <t xml:space="preserve">       营业收入</t>
  </si>
  <si>
    <t xml:space="preserve">       其他业务收入（金融类）</t>
  </si>
  <si>
    <t xml:space="preserve">       其中：营业成本</t>
  </si>
  <si>
    <t xml:space="preserve">                营业税金及附加</t>
  </si>
  <si>
    <t xml:space="preserve">                销售费用</t>
  </si>
  <si>
    <t xml:space="preserve">                管理费用</t>
  </si>
  <si>
    <t xml:space="preserve">                研发费用</t>
  </si>
  <si>
    <t xml:space="preserve">                财务费用</t>
  </si>
  <si>
    <t xml:space="preserve">                其他业务成本（金融类）</t>
  </si>
  <si>
    <t xml:space="preserve">       加：公允价值变动净收益（损失以“-”号填列）</t>
  </si>
  <si>
    <t xml:space="preserve">                资产减值损失</t>
  </si>
  <si>
    <t xml:space="preserve">                信用减值损失</t>
  </si>
  <si>
    <t xml:space="preserve">                其他收益</t>
  </si>
  <si>
    <t xml:space="preserve">                净敞口套期收益</t>
  </si>
  <si>
    <t xml:space="preserve">                资产处置收益</t>
  </si>
  <si>
    <t xml:space="preserve">                投资净收益（损失以“-”号填列）</t>
  </si>
  <si>
    <t xml:space="preserve">                汇兑净收益</t>
  </si>
  <si>
    <t xml:space="preserve">                其他差额</t>
  </si>
  <si>
    <t>三、营业利润（亏损以“-”号填列）</t>
  </si>
  <si>
    <t xml:space="preserve">       加：营业外收入</t>
  </si>
  <si>
    <t xml:space="preserve">       减：营业外支出</t>
  </si>
  <si>
    <t xml:space="preserve">       加：其他差额</t>
  </si>
  <si>
    <t>四、利润总额（亏损总额以“-”号填列）</t>
  </si>
  <si>
    <t xml:space="preserve">       减：所得税费用</t>
  </si>
  <si>
    <t xml:space="preserve">       加：未确认的投资损失</t>
  </si>
  <si>
    <t>五、净利润（净亏损以“-”号填列）</t>
  </si>
  <si>
    <t xml:space="preserve">       减：少数股东损益</t>
  </si>
  <si>
    <t xml:space="preserve">       归属于母公司所有者的净利润</t>
  </si>
  <si>
    <t xml:space="preserve">       加：其他综合收益</t>
  </si>
  <si>
    <t>六、综合收益总额</t>
  </si>
  <si>
    <t xml:space="preserve">       减：归属于少数股东的综合收益总额</t>
  </si>
  <si>
    <t xml:space="preserve">       归属于母公司普通股东综合收益总额</t>
  </si>
  <si>
    <t>七、每股收益</t>
  </si>
  <si>
    <t xml:space="preserve">       （一）基本每股收益</t>
  </si>
  <si>
    <t xml:space="preserve">       （二）稀释每股收益</t>
  </si>
  <si>
    <t>现金流量表</t>
  </si>
  <si>
    <t>净利润</t>
  </si>
  <si>
    <t>加：少数股东损益</t>
  </si>
  <si>
    <t>计提的资产减值准备</t>
  </si>
  <si>
    <t>计提的信用减值损失</t>
  </si>
  <si>
    <t>投资损失</t>
  </si>
  <si>
    <t>公允价值变动损失</t>
  </si>
  <si>
    <t>递延所得税资产减少</t>
  </si>
  <si>
    <t>递延所得税负债增加</t>
  </si>
  <si>
    <t>营运资金减少</t>
  </si>
  <si>
    <t>其他</t>
  </si>
  <si>
    <t>经营活动现金流量小计</t>
  </si>
  <si>
    <t>短期投资</t>
  </si>
  <si>
    <t>资本支出</t>
  </si>
  <si>
    <t>长期投资减少</t>
  </si>
  <si>
    <t>其他长期资产减少</t>
  </si>
  <si>
    <t>公允价值变动收益</t>
  </si>
  <si>
    <t>投资收益</t>
  </si>
  <si>
    <t>投资活动现金流量小计</t>
  </si>
  <si>
    <t>长期借款增加</t>
  </si>
  <si>
    <t>应付债券增加</t>
  </si>
  <si>
    <t>其他长期负债增加</t>
  </si>
  <si>
    <t>普通股增加</t>
  </si>
  <si>
    <t>资本公积增加</t>
  </si>
  <si>
    <t>其他权益事项增加</t>
  </si>
  <si>
    <t>股利</t>
  </si>
  <si>
    <t>货币折算差额减少</t>
  </si>
  <si>
    <t>计入短期借款前融资活动现金流量</t>
  </si>
  <si>
    <t>短期借款增加</t>
  </si>
  <si>
    <t>筹资活动现金流量小计</t>
  </si>
  <si>
    <t>现金净增加/减少</t>
  </si>
  <si>
    <t>现金期初余额</t>
  </si>
  <si>
    <t>现金期末余额</t>
  </si>
  <si>
    <t>财务附注</t>
  </si>
  <si>
    <t>RSV_END</t>
  </si>
  <si>
    <t>坏账准备</t>
  </si>
  <si>
    <t>OTH_RSV_END</t>
  </si>
  <si>
    <t>其他应收款坏账准备</t>
  </si>
  <si>
    <t>INVT_RSV</t>
  </si>
  <si>
    <t>存货跌价准备</t>
  </si>
  <si>
    <t>合同资产减值准备</t>
  </si>
  <si>
    <t>股利、股本和EPS计算</t>
  </si>
  <si>
    <t>期末股本</t>
  </si>
  <si>
    <t>最新股本（百万）</t>
  </si>
  <si>
    <t>加权股本</t>
  </si>
  <si>
    <t>股本摊薄项</t>
  </si>
  <si>
    <t>摊薄后股本</t>
  </si>
  <si>
    <t>EPS-最新股本数重算</t>
  </si>
  <si>
    <t>EPS-基本</t>
  </si>
  <si>
    <t>EPS-加权</t>
  </si>
  <si>
    <t>归母净利润摊薄项</t>
  </si>
  <si>
    <t>EPS-摊薄</t>
  </si>
  <si>
    <t>EPS_DVD_INC_DE_0331</t>
  </si>
  <si>
    <t>EPS_DVD_INC_DE_0630</t>
  </si>
  <si>
    <t>EPS_DVD_INC_DE_0930</t>
  </si>
  <si>
    <t>EPS_DVD_INC_DE_1231</t>
  </si>
  <si>
    <t>EPS_DVD_INC_DE_SP</t>
  </si>
  <si>
    <t>总DPS</t>
  </si>
  <si>
    <t>分红金额-Q1</t>
  </si>
  <si>
    <t>分红金额-Q2/年中</t>
  </si>
  <si>
    <t>分红金额-Q3</t>
  </si>
  <si>
    <t>分红金额-Q4/年末</t>
  </si>
  <si>
    <t>分红金额-特殊</t>
  </si>
  <si>
    <t>总分红金额</t>
  </si>
  <si>
    <t>其他数据</t>
  </si>
  <si>
    <t>毛利</t>
  </si>
  <si>
    <r>
      <rPr>
        <sz val="10"/>
        <color theme="1"/>
        <rFont val="微软雅黑"/>
        <family val="2"/>
        <charset val="134"/>
      </rPr>
      <t>全部投入资本</t>
    </r>
  </si>
  <si>
    <t>TTL_SHR</t>
  </si>
  <si>
    <t>年末股本数</t>
  </si>
  <si>
    <t>固定资产中房屋及建筑物期末原值</t>
  </si>
  <si>
    <t>固定资产中机械设备期末原值</t>
  </si>
  <si>
    <t>固定资产中运输设备期末原值</t>
  </si>
  <si>
    <t>固定资产中其他资产期末原值</t>
  </si>
  <si>
    <t>生产性生物资产期末余额</t>
  </si>
  <si>
    <t>油气资产期末余额</t>
  </si>
  <si>
    <t>使用权资产期末原值</t>
  </si>
  <si>
    <t>长期股权投资原值</t>
  </si>
  <si>
    <t>LT_EQY_INV_LOSS</t>
  </si>
  <si>
    <t>长期股权投资减值准备</t>
  </si>
  <si>
    <t>无形资产原值</t>
  </si>
  <si>
    <t>无形资产本期摊销金额</t>
  </si>
  <si>
    <t>商誉原值</t>
  </si>
  <si>
    <t>长期待摊费用原值</t>
  </si>
  <si>
    <t>长期待摊费用本期摊销金额</t>
  </si>
  <si>
    <t>ADD_LT_EQY_INV_LOSS</t>
  </si>
  <si>
    <t>ADD_FIX_AST_LOSS</t>
  </si>
  <si>
    <t>ADD_LT_DEV_INV_LOSS</t>
  </si>
  <si>
    <t>ADD_LT_OPR_INV_LOSS</t>
  </si>
  <si>
    <t>ADD_LT_OIL_INV_LOSS</t>
  </si>
  <si>
    <t>ADD_INTG_AST_LOSS</t>
  </si>
  <si>
    <t>ADD_GW_LOSS</t>
  </si>
  <si>
    <r>
      <rPr>
        <b/>
        <sz val="10"/>
        <color theme="1"/>
        <rFont val="微软雅黑"/>
        <family val="2"/>
        <charset val="134"/>
      </rPr>
      <t>折现基准年份</t>
    </r>
  </si>
  <si>
    <t>折现率计算</t>
  </si>
  <si>
    <t>目标D/(D+E)</t>
  </si>
  <si>
    <t>估值结果</t>
  </si>
  <si>
    <t>Kd</t>
  </si>
  <si>
    <t>方法</t>
  </si>
  <si>
    <t>WACC</t>
  </si>
  <si>
    <t>T</t>
  </si>
  <si>
    <t>DCF</t>
  </si>
  <si>
    <t>DDM</t>
  </si>
  <si>
    <t>目标E/(D+E)</t>
  </si>
  <si>
    <t>PE</t>
  </si>
  <si>
    <t>Ke</t>
  </si>
  <si>
    <t>PB</t>
  </si>
  <si>
    <t>风险溢价</t>
  </si>
  <si>
    <t>PS</t>
  </si>
  <si>
    <t>股票贝塔</t>
  </si>
  <si>
    <t>PEG</t>
  </si>
  <si>
    <t>TV</t>
  </si>
  <si>
    <t>所得税率</t>
  </si>
  <si>
    <t>EBIT*(1-所得税率)</t>
  </si>
  <si>
    <t>加：折旧和摊销</t>
  </si>
  <si>
    <t>减：运营资金的追加</t>
  </si>
  <si>
    <t xml:space="preserve">      资本性支出</t>
  </si>
  <si>
    <t>FCF</t>
  </si>
  <si>
    <t>FCF现值</t>
  </si>
  <si>
    <t>TV现值</t>
  </si>
  <si>
    <t>企业价值</t>
  </si>
  <si>
    <t>债务总额</t>
  </si>
  <si>
    <t>现金</t>
  </si>
  <si>
    <t>股权价值（含少数股东）</t>
  </si>
  <si>
    <t>股权价值（不含少数股东）</t>
  </si>
  <si>
    <t>总股数</t>
  </si>
  <si>
    <t>每股价值</t>
  </si>
  <si>
    <t>每股股利</t>
  </si>
  <si>
    <t>股利现值</t>
  </si>
  <si>
    <t>预测期EPS</t>
  </si>
  <si>
    <t>预测期股价</t>
  </si>
  <si>
    <t>预测期BV</t>
  </si>
  <si>
    <t>预测期Sales</t>
  </si>
  <si>
    <t>预测期EBITDA</t>
  </si>
  <si>
    <t>SECU_SHT</t>
  </si>
  <si>
    <t>TRD_CODE</t>
  </si>
  <si>
    <t>IS_COMB</t>
  </si>
  <si>
    <t>是否是合并报表</t>
  </si>
  <si>
    <t>END_DT</t>
  </si>
  <si>
    <t>截止日期</t>
  </si>
  <si>
    <t>CURR_NAME</t>
  </si>
  <si>
    <t>计价货币</t>
  </si>
  <si>
    <t>LST_DT</t>
  </si>
  <si>
    <t>上市时间</t>
  </si>
  <si>
    <t>ISS_PRC</t>
  </si>
  <si>
    <t>上市发行价</t>
  </si>
  <si>
    <t>AST_LIAB_RAT</t>
  </si>
  <si>
    <t>资产负债率</t>
  </si>
  <si>
    <t>TMKT_VAL</t>
  </si>
  <si>
    <t>公司市值（总市值）</t>
  </si>
  <si>
    <t>COM_NAME</t>
  </si>
  <si>
    <t>公司名称</t>
  </si>
  <si>
    <t>ENG_NAME</t>
  </si>
  <si>
    <t>英文名称</t>
  </si>
  <si>
    <t>CTRY_NAME</t>
  </si>
  <si>
    <t>国籍</t>
  </si>
  <si>
    <t>FOUND_DT</t>
  </si>
  <si>
    <t>成立日期</t>
  </si>
  <si>
    <t>REG_NUM_BIZ</t>
  </si>
  <si>
    <t>工商登记号</t>
  </si>
  <si>
    <t>REG_CPTL</t>
  </si>
  <si>
    <t>注册资本</t>
  </si>
  <si>
    <t>货币代码</t>
  </si>
  <si>
    <t>LGL_REPR</t>
  </si>
  <si>
    <t>法定代表人</t>
  </si>
  <si>
    <t>SH_CTR_NAME</t>
  </si>
  <si>
    <t>实际控制人</t>
  </si>
  <si>
    <t>SH_NAME</t>
  </si>
  <si>
    <t>第一大股东</t>
  </si>
  <si>
    <t>TTL_CPTL_RAT</t>
  </si>
  <si>
    <t>第一大股东持股比例</t>
  </si>
  <si>
    <t xml:space="preserve">INDU_NAME_CSRC </t>
  </si>
  <si>
    <t>所属证监会2级行业</t>
  </si>
  <si>
    <t>INDU_NAME_ZX</t>
  </si>
  <si>
    <t>所属中信证券2级行业</t>
  </si>
  <si>
    <t>EMP_NUM</t>
  </si>
  <si>
    <t>员工总数</t>
  </si>
  <si>
    <t>GM</t>
  </si>
  <si>
    <t>总经理</t>
  </si>
  <si>
    <t>DIRE_SECR</t>
  </si>
  <si>
    <t>董事会秘书</t>
  </si>
  <si>
    <t>PROV_NAME</t>
  </si>
  <si>
    <t>省份</t>
  </si>
  <si>
    <t>CITY_NAME</t>
  </si>
  <si>
    <t>城市</t>
  </si>
  <si>
    <t>REG_ADDR</t>
  </si>
  <si>
    <t>注册地址</t>
  </si>
  <si>
    <t>OFS_ADDR</t>
  </si>
  <si>
    <t>办公地址</t>
  </si>
  <si>
    <t>POSC</t>
  </si>
  <si>
    <t>邮编</t>
  </si>
  <si>
    <t>TEL</t>
  </si>
  <si>
    <t>电话</t>
  </si>
  <si>
    <t>FAX</t>
  </si>
  <si>
    <t>传真</t>
  </si>
  <si>
    <t>EMAIL</t>
  </si>
  <si>
    <t>电子邮件</t>
  </si>
  <si>
    <t>WEB_SITE</t>
  </si>
  <si>
    <t>公司网站</t>
  </si>
  <si>
    <t>ORG_NAME</t>
  </si>
  <si>
    <t>审计机构</t>
  </si>
  <si>
    <t>ACCT_FIRM</t>
  </si>
  <si>
    <t>经办会计师</t>
  </si>
  <si>
    <t>COUS</t>
  </si>
  <si>
    <t>法律顾问</t>
  </si>
  <si>
    <t>LAWYER</t>
  </si>
  <si>
    <t>经办律师</t>
  </si>
  <si>
    <t>TTL_SHR_PFD</t>
  </si>
  <si>
    <t>总股本（含优先股）</t>
  </si>
  <si>
    <t>TTL_PFD_SHR</t>
  </si>
  <si>
    <t>优先股合计（最新一期）</t>
  </si>
  <si>
    <t>NO_TTL_SHR_LF</t>
  </si>
  <si>
    <t>非流通股合计（最新一期）</t>
  </si>
  <si>
    <t>TTL_SH</t>
  </si>
  <si>
    <t>股东户数合计（最新一期）</t>
  </si>
  <si>
    <t>备注</t>
  </si>
  <si>
    <t>每股指标</t>
  </si>
  <si>
    <t>每股收益-基本</t>
  </si>
  <si>
    <t>每股净资产</t>
  </si>
  <si>
    <t>每股经营活动产生的现金流量净额</t>
  </si>
  <si>
    <t>每股息税前利润</t>
  </si>
  <si>
    <t>COM_FCF_PS</t>
  </si>
  <si>
    <t>每股企业自由现金流量</t>
  </si>
  <si>
    <t>SH_FCF_PS</t>
  </si>
  <si>
    <t>每股股东自由现金流量</t>
  </si>
  <si>
    <t>RET_EARN_PS</t>
  </si>
  <si>
    <t>每股分红金额</t>
  </si>
  <si>
    <t>盈利能力</t>
  </si>
  <si>
    <t>ROE_AVG</t>
  </si>
  <si>
    <t>净资产收益率(%)</t>
  </si>
  <si>
    <t>ROA_EBIT</t>
  </si>
  <si>
    <t>总资产报酬率(%)</t>
  </si>
  <si>
    <t>INV_CPTL_EBIT</t>
  </si>
  <si>
    <t>投入资本回报率(%)</t>
  </si>
  <si>
    <t>SALE_NPM</t>
  </si>
  <si>
    <t>销售净利率(%)</t>
  </si>
  <si>
    <t>SALE_GPM</t>
  </si>
  <si>
    <t>销售毛利率(%)</t>
  </si>
  <si>
    <t>SALE_COST_RAT</t>
  </si>
  <si>
    <t>销售成本率(%)</t>
  </si>
  <si>
    <t>SALE_PRD_COST_RAT</t>
  </si>
  <si>
    <t>销售期间费用率(%)</t>
  </si>
  <si>
    <t>EBIT_TOI</t>
  </si>
  <si>
    <t>息税前利润/营业总收入(%)</t>
  </si>
  <si>
    <t>EBITDA/营业总收入(%)</t>
  </si>
  <si>
    <t>资本结构</t>
  </si>
  <si>
    <t>资产负债率(%)</t>
  </si>
  <si>
    <t>长期资本负债率(%)</t>
  </si>
  <si>
    <t>EQY_MULT</t>
  </si>
  <si>
    <t>权益乘数(%)</t>
  </si>
  <si>
    <t>TG_AST_TA</t>
  </si>
  <si>
    <t>有形资产/总资产(%)</t>
  </si>
  <si>
    <t>EQY_PCO_TIC</t>
  </si>
  <si>
    <t>归属母公司股东的权益/全部投入资本(%)</t>
  </si>
  <si>
    <t>DEBT_TIC</t>
  </si>
  <si>
    <t>带息债务/全部投入资本(%)</t>
  </si>
  <si>
    <t>偿债能力</t>
  </si>
  <si>
    <t>CUR_RAT</t>
  </si>
  <si>
    <t>流动比率</t>
  </si>
  <si>
    <t>QK_RAT</t>
  </si>
  <si>
    <t>速动比率</t>
  </si>
  <si>
    <t>KE_QK_RAT</t>
  </si>
  <si>
    <t>保守速动比率</t>
  </si>
  <si>
    <t>CASH_CUR_RAT</t>
  </si>
  <si>
    <t>现金比率</t>
  </si>
  <si>
    <t>现金到期债务比</t>
  </si>
  <si>
    <t>现金流量利息保障倍数</t>
  </si>
  <si>
    <t>TG_AST_TL</t>
  </si>
  <si>
    <t>有形资产/负债合计</t>
  </si>
  <si>
    <t>NET_TA_IBD</t>
  </si>
  <si>
    <t>有形资产/带息债务</t>
  </si>
  <si>
    <t>NET_TA_ND</t>
  </si>
  <si>
    <t>有形资产/净债务</t>
  </si>
  <si>
    <t>EBITDA_TL</t>
  </si>
  <si>
    <t>EBITDA/负债合计</t>
  </si>
  <si>
    <t>EBIT_FE</t>
  </si>
  <si>
    <t>已获利息倍数（EBIT/利息费用）</t>
  </si>
  <si>
    <t>LT_LIAB_WC</t>
  </si>
  <si>
    <t>长期债务与营运资金比率</t>
  </si>
  <si>
    <t>EBITDA_INT_DEBT</t>
  </si>
  <si>
    <t>EBITDA/带息债务</t>
  </si>
  <si>
    <t>全部债务/EBITDA</t>
  </si>
  <si>
    <t>EBITDA/利息费用</t>
  </si>
  <si>
    <t>营运能力</t>
  </si>
  <si>
    <t>OPER_CY_DS</t>
  </si>
  <si>
    <t>营业周期</t>
  </si>
  <si>
    <t>INVT_DS</t>
  </si>
  <si>
    <t>存货周转天数</t>
  </si>
  <si>
    <t>INVT_TNV</t>
  </si>
  <si>
    <t>存货周转率(%)</t>
  </si>
  <si>
    <t>ACCT_RCV_DS</t>
  </si>
  <si>
    <t>应收账款周转天数</t>
  </si>
  <si>
    <t>ACCT_RCV_TNV</t>
  </si>
  <si>
    <t>应收账款周转率(%)</t>
  </si>
  <si>
    <t>CUR_AST_TNV</t>
  </si>
  <si>
    <t>流动资产周转率(%)</t>
  </si>
  <si>
    <t>FIX_AST_TNV</t>
  </si>
  <si>
    <t>固定资产周转率(%)</t>
  </si>
  <si>
    <t>非流动资产周转率(%)</t>
  </si>
  <si>
    <t>TTL_AST_TNV</t>
  </si>
  <si>
    <t>总资产周转率(%)</t>
  </si>
  <si>
    <t>应付账款周转率(%)</t>
  </si>
  <si>
    <t>应付账款周转天数</t>
  </si>
  <si>
    <t>净营业周期</t>
  </si>
  <si>
    <t>营运资本周转率(%)</t>
  </si>
  <si>
    <t>现金流量</t>
  </si>
  <si>
    <t>CPTL_EXP_DA</t>
  </si>
  <si>
    <t>资本支出/折旧和摊销</t>
  </si>
  <si>
    <t>全部资产现金回收率(%)</t>
  </si>
  <si>
    <t>现金股利保障倍数</t>
  </si>
  <si>
    <t>项目/年度</t>
  </si>
  <si>
    <t>营业收入(百万元)</t>
  </si>
  <si>
    <t>营业收入增长率YoY</t>
  </si>
  <si>
    <t>净利润(百万元)</t>
  </si>
  <si>
    <t>净利润增长率YoY</t>
  </si>
  <si>
    <t>每股收益EPS(基本)(元)</t>
  </si>
  <si>
    <t>毛利率</t>
  </si>
  <si>
    <t>净资产收益率ROE</t>
  </si>
  <si>
    <t>每股净资产（元）</t>
  </si>
  <si>
    <t>PE(H)</t>
  </si>
  <si>
    <t>PB(H)</t>
  </si>
  <si>
    <t>PS(H)</t>
  </si>
  <si>
    <t>收购公司净利润(百万元)</t>
  </si>
  <si>
    <t>备考净利润(百万元)</t>
  </si>
  <si>
    <t>新增股本(百万元)</t>
  </si>
  <si>
    <t>备考股本(百万元)</t>
  </si>
  <si>
    <t>备考每股收益EPS(元)</t>
  </si>
  <si>
    <t>指标名称</t>
  </si>
  <si>
    <t>营业收入</t>
  </si>
  <si>
    <t>营业成本</t>
  </si>
  <si>
    <t>税金及附加</t>
  </si>
  <si>
    <t>销售费用</t>
  </si>
  <si>
    <t>销售费用率</t>
  </si>
  <si>
    <t>管理费用</t>
  </si>
  <si>
    <t>管理费用率</t>
  </si>
  <si>
    <t>财务费用率</t>
  </si>
  <si>
    <t>研发费用</t>
  </si>
  <si>
    <t>研发费用率</t>
  </si>
  <si>
    <t>营业利润</t>
  </si>
  <si>
    <t>营业利润率</t>
  </si>
  <si>
    <t>利润总额</t>
  </si>
  <si>
    <t>所得税</t>
  </si>
  <si>
    <t>少数股东损益</t>
  </si>
  <si>
    <t>归属于母公司股东的净利润</t>
  </si>
  <si>
    <t>净利率</t>
  </si>
  <si>
    <t>存货</t>
  </si>
  <si>
    <t>应收账款</t>
  </si>
  <si>
    <t>固定资产</t>
  </si>
  <si>
    <t>长期股权投资</t>
  </si>
  <si>
    <t>其他长期资产</t>
  </si>
  <si>
    <t>其他长期负债</t>
  </si>
  <si>
    <t>非流动性负债</t>
  </si>
  <si>
    <t>负债合计</t>
  </si>
  <si>
    <t>股本</t>
  </si>
  <si>
    <t>股东权益合计</t>
  </si>
  <si>
    <t>负债股东权益总计</t>
  </si>
  <si>
    <t>税后利润</t>
  </si>
  <si>
    <t>营运资金的变化</t>
  </si>
  <si>
    <t>其他经营现金流</t>
  </si>
  <si>
    <t>经营现金流合计</t>
  </si>
  <si>
    <t>其他投资现金流</t>
  </si>
  <si>
    <t>投资现金流合计</t>
  </si>
  <si>
    <t>权益变化</t>
  </si>
  <si>
    <t>负债变化</t>
  </si>
  <si>
    <t>股利支出</t>
  </si>
  <si>
    <t>其他融资现金流</t>
  </si>
  <si>
    <t>融资现金流合计</t>
  </si>
  <si>
    <t>现金及现金等价物净增加额</t>
  </si>
  <si>
    <t>主要财务指标</t>
  </si>
  <si>
    <t>增长率（%）</t>
  </si>
  <si>
    <t>利润率（%）</t>
  </si>
  <si>
    <t>EBITDA Margin</t>
  </si>
  <si>
    <t>回报率（%）</t>
  </si>
  <si>
    <t>净资产收益率</t>
  </si>
  <si>
    <t>总资产收益率</t>
  </si>
  <si>
    <t>ROIC</t>
  </si>
  <si>
    <t>其他（%）</t>
  </si>
  <si>
    <t>图1：最新年报主营收入分解</t>
  </si>
  <si>
    <t>图2：近年营运表现</t>
  </si>
  <si>
    <t>营业收入（百万元）</t>
  </si>
  <si>
    <t>(百万元)</t>
  </si>
  <si>
    <t>收入</t>
  </si>
  <si>
    <t>成本</t>
  </si>
  <si>
    <t>图3：三费比率</t>
  </si>
  <si>
    <t>图4：近年盈利表现</t>
  </si>
  <si>
    <t>归属母公司股东的净利润（百万元）</t>
  </si>
  <si>
    <t>图5：现金流与盈利能力</t>
  </si>
  <si>
    <t>图6：近年经营效率</t>
  </si>
  <si>
    <t>经营性现金流（百万元）</t>
  </si>
  <si>
    <t>ROE</t>
  </si>
  <si>
    <t>流动比率(左轴)</t>
  </si>
  <si>
    <t>速动比率(左轴）</t>
  </si>
  <si>
    <t>存货周转天数（右轴）</t>
  </si>
  <si>
    <t>应收账款周转天数（右轴）</t>
  </si>
  <si>
    <r>
      <rPr>
        <b/>
        <sz val="12"/>
        <color theme="1"/>
        <rFont val="宋体"/>
        <family val="3"/>
        <charset val="134"/>
      </rPr>
      <t>错误说明</t>
    </r>
  </si>
  <si>
    <r>
      <rPr>
        <b/>
        <sz val="12"/>
        <color theme="1"/>
        <rFont val="宋体"/>
        <family val="3"/>
        <charset val="134"/>
      </rPr>
      <t>错误类别</t>
    </r>
  </si>
  <si>
    <r>
      <rPr>
        <b/>
        <sz val="12"/>
        <color theme="1"/>
        <rFont val="宋体"/>
        <family val="3"/>
        <charset val="134"/>
      </rPr>
      <t>单元格位置</t>
    </r>
  </si>
  <si>
    <t>300223</t>
  </si>
  <si>
    <t>北京君正</t>
  </si>
  <si>
    <t>程子盈</t>
  </si>
  <si>
    <t>Unknown</t>
  </si>
  <si>
    <t>CNY</t>
  </si>
  <si>
    <t>北京君正集成电路股份有限公司</t>
  </si>
  <si>
    <t>Ingenic Semiconductor Co., Ltd.</t>
  </si>
  <si>
    <t>中国</t>
  </si>
  <si>
    <t>911100007776681570</t>
  </si>
  <si>
    <t>刘强</t>
  </si>
  <si>
    <t>张敏</t>
  </si>
  <si>
    <t>北京</t>
  </si>
  <si>
    <t>北京市</t>
  </si>
  <si>
    <t>北京市海淀区西北旺东路10号院东区14号楼一层A101-A113</t>
  </si>
  <si>
    <t>北京市海淀区西北旺东路10号院东区14号楼A座一至三层</t>
  </si>
  <si>
    <t>86-10-56345005</t>
  </si>
  <si>
    <t>86-10-56345001</t>
  </si>
  <si>
    <t>investors@ingenic.com</t>
  </si>
  <si>
    <t>www.ingenic.com.cn</t>
  </si>
  <si>
    <t>信永中和会计师事务所</t>
  </si>
  <si>
    <t>张昆,胡丽娅</t>
  </si>
  <si>
    <t>北京市中伦律师事务所</t>
  </si>
  <si>
    <r>
      <rPr>
        <sz val="11"/>
        <color rgb="FFFF0000"/>
        <rFont val="黑体"/>
        <family val="3"/>
        <charset val="134"/>
      </rPr>
      <t>红色为假设数据</t>
    </r>
    <r>
      <rPr>
        <sz val="11"/>
        <color theme="1"/>
        <rFont val="黑体"/>
        <family val="3"/>
        <charset val="134"/>
      </rPr>
      <t>，</t>
    </r>
    <r>
      <rPr>
        <sz val="11"/>
        <color theme="4"/>
        <rFont val="黑体"/>
        <family val="3"/>
        <charset val="134"/>
      </rPr>
      <t>蓝色为计算数据</t>
    </r>
  </si>
  <si>
    <r>
      <rPr>
        <b/>
        <sz val="11"/>
        <color rgb="FFFF0000"/>
        <rFont val="黑体"/>
        <family val="3"/>
        <charset val="134"/>
      </rPr>
      <t>假设汇率按照</t>
    </r>
    <r>
      <rPr>
        <b/>
        <sz val="11"/>
        <color rgb="FFFF0000"/>
        <rFont val="Arial"/>
        <family val="2"/>
      </rPr>
      <t>6.5</t>
    </r>
    <r>
      <rPr>
        <b/>
        <sz val="11"/>
        <color rgb="FFFF0000"/>
        <rFont val="黑体"/>
        <family val="3"/>
        <charset val="134"/>
      </rPr>
      <t>计算</t>
    </r>
    <phoneticPr fontId="42" type="noConversion"/>
  </si>
  <si>
    <r>
      <rPr>
        <b/>
        <sz val="11"/>
        <color theme="1"/>
        <rFont val="黑体"/>
        <family val="3"/>
        <charset val="134"/>
      </rPr>
      <t>说明</t>
    </r>
    <phoneticPr fontId="42" type="noConversion"/>
  </si>
  <si>
    <t>CAGR</t>
    <phoneticPr fontId="42" type="noConversion"/>
  </si>
  <si>
    <r>
      <rPr>
        <b/>
        <sz val="11"/>
        <color theme="1"/>
        <rFont val="黑体"/>
        <family val="3"/>
        <charset val="134"/>
      </rPr>
      <t>营业收入</t>
    </r>
    <phoneticPr fontId="42" type="noConversion"/>
  </si>
  <si>
    <t>YoY</t>
    <phoneticPr fontId="42" type="noConversion"/>
  </si>
  <si>
    <r>
      <t xml:space="preserve">    </t>
    </r>
    <r>
      <rPr>
        <sz val="11"/>
        <color theme="1"/>
        <rFont val="黑体"/>
        <family val="3"/>
        <charset val="134"/>
      </rPr>
      <t>销量（百万颗）</t>
    </r>
    <phoneticPr fontId="42" type="noConversion"/>
  </si>
  <si>
    <r>
      <t xml:space="preserve">    </t>
    </r>
    <r>
      <rPr>
        <sz val="11"/>
        <color theme="1"/>
        <rFont val="黑体"/>
        <family val="3"/>
        <charset val="134"/>
      </rPr>
      <t>均价（元）</t>
    </r>
    <phoneticPr fontId="42" type="noConversion"/>
  </si>
  <si>
    <r>
      <t xml:space="preserve">        </t>
    </r>
    <r>
      <rPr>
        <sz val="11"/>
        <color theme="1"/>
        <rFont val="黑体"/>
        <family val="3"/>
        <charset val="134"/>
      </rPr>
      <t>毛利率</t>
    </r>
    <phoneticPr fontId="42" type="noConversion"/>
  </si>
  <si>
    <t>营业成本</t>
    <phoneticPr fontId="42" type="noConversion"/>
  </si>
  <si>
    <r>
      <t xml:space="preserve">    1.</t>
    </r>
    <r>
      <rPr>
        <b/>
        <sz val="11"/>
        <color theme="1"/>
        <rFont val="黑体"/>
        <family val="3"/>
        <charset val="134"/>
      </rPr>
      <t>北京矽成（仅芯片）</t>
    </r>
    <phoneticPr fontId="42" type="noConversion"/>
  </si>
  <si>
    <r>
      <rPr>
        <sz val="11"/>
        <color theme="1"/>
        <rFont val="黑体"/>
        <family val="3"/>
        <charset val="134"/>
      </rPr>
      <t>在公司总收入占比</t>
    </r>
    <phoneticPr fontId="42" type="noConversion"/>
  </si>
  <si>
    <r>
      <rPr>
        <sz val="11"/>
        <color theme="1"/>
        <rFont val="黑体"/>
        <family val="3"/>
        <charset val="134"/>
      </rPr>
      <t>收购备考口径</t>
    </r>
    <phoneticPr fontId="42" type="noConversion"/>
  </si>
  <si>
    <r>
      <t xml:space="preserve">        </t>
    </r>
    <r>
      <rPr>
        <sz val="11"/>
        <color theme="1"/>
        <rFont val="黑体"/>
        <family val="3"/>
        <charset val="134"/>
      </rPr>
      <t>销量（百万颗）</t>
    </r>
    <phoneticPr fontId="42" type="noConversion"/>
  </si>
  <si>
    <r>
      <t xml:space="preserve">        </t>
    </r>
    <r>
      <rPr>
        <sz val="11"/>
        <color theme="1"/>
        <rFont val="黑体"/>
        <family val="3"/>
        <charset val="134"/>
      </rPr>
      <t>均价（元）</t>
    </r>
    <phoneticPr fontId="42" type="noConversion"/>
  </si>
  <si>
    <r>
      <t xml:space="preserve">      1.1</t>
    </r>
    <r>
      <rPr>
        <b/>
        <sz val="11"/>
        <color theme="1"/>
        <rFont val="黑体"/>
        <family val="3"/>
        <charset val="134"/>
      </rPr>
      <t>存储芯片</t>
    </r>
    <phoneticPr fontId="42" type="noConversion"/>
  </si>
  <si>
    <r>
      <rPr>
        <sz val="11"/>
        <color theme="1"/>
        <rFont val="黑体"/>
        <family val="3"/>
        <charset val="134"/>
      </rPr>
      <t>在矽成占比</t>
    </r>
    <phoneticPr fontId="42" type="noConversion"/>
  </si>
  <si>
    <r>
      <rPr>
        <sz val="11"/>
        <color theme="1"/>
        <rFont val="黑体"/>
        <family val="3"/>
        <charset val="134"/>
      </rPr>
      <t>全球存储芯片市场规模（亿美元）</t>
    </r>
    <phoneticPr fontId="42" type="noConversion"/>
  </si>
  <si>
    <r>
      <rPr>
        <sz val="11"/>
        <color theme="1"/>
        <rFont val="黑体"/>
        <family val="3"/>
        <charset val="134"/>
      </rPr>
      <t>资料来源：</t>
    </r>
    <r>
      <rPr>
        <sz val="11"/>
        <color theme="1"/>
        <rFont val="Arial"/>
        <family val="2"/>
      </rPr>
      <t>WSTS</t>
    </r>
    <phoneticPr fontId="42" type="noConversion"/>
  </si>
  <si>
    <r>
      <rPr>
        <sz val="11"/>
        <color theme="1"/>
        <rFont val="黑体"/>
        <family val="3"/>
        <charset val="134"/>
      </rPr>
      <t>公司份额</t>
    </r>
    <phoneticPr fontId="42" type="noConversion"/>
  </si>
  <si>
    <r>
      <rPr>
        <sz val="11"/>
        <color theme="1"/>
        <rFont val="黑体"/>
        <family val="3"/>
        <charset val="134"/>
      </rPr>
      <t>根据</t>
    </r>
    <r>
      <rPr>
        <sz val="11"/>
        <color theme="1"/>
        <rFont val="Arial"/>
        <family val="2"/>
      </rPr>
      <t>Trendforce</t>
    </r>
    <r>
      <rPr>
        <sz val="11"/>
        <color theme="1"/>
        <rFont val="黑体"/>
        <family val="3"/>
        <charset val="134"/>
      </rPr>
      <t>，</t>
    </r>
    <r>
      <rPr>
        <sz val="11"/>
        <color theme="1"/>
        <rFont val="Arial"/>
        <family val="2"/>
      </rPr>
      <t>2020Q1-Q3</t>
    </r>
    <r>
      <rPr>
        <sz val="11"/>
        <color theme="1"/>
        <rFont val="黑体"/>
        <family val="3"/>
        <charset val="134"/>
      </rPr>
      <t>，三星、</t>
    </r>
    <r>
      <rPr>
        <sz val="11"/>
        <color theme="1"/>
        <rFont val="Arial"/>
        <family val="2"/>
      </rPr>
      <t>SK</t>
    </r>
    <r>
      <rPr>
        <sz val="11"/>
        <color theme="1"/>
        <rFont val="黑体"/>
        <family val="3"/>
        <charset val="134"/>
      </rPr>
      <t>海力士、美光份额分别为</t>
    </r>
    <r>
      <rPr>
        <sz val="11"/>
        <color theme="1"/>
        <rFont val="Arial"/>
        <family val="2"/>
      </rPr>
      <t>38%/21%/17%</t>
    </r>
    <phoneticPr fontId="42" type="noConversion"/>
  </si>
  <si>
    <r>
      <rPr>
        <sz val="11"/>
        <color theme="1"/>
        <rFont val="黑体"/>
        <family val="3"/>
        <charset val="134"/>
      </rPr>
      <t>全球车载存储市场规模（亿美元）</t>
    </r>
    <phoneticPr fontId="42" type="noConversion"/>
  </si>
  <si>
    <r>
      <rPr>
        <sz val="11"/>
        <color theme="1"/>
        <rFont val="黑体"/>
        <family val="3"/>
        <charset val="134"/>
      </rPr>
      <t>资料来源：</t>
    </r>
    <r>
      <rPr>
        <sz val="11"/>
        <color theme="1"/>
        <rFont val="Arial"/>
        <family val="2"/>
      </rPr>
      <t>IHS</t>
    </r>
    <phoneticPr fontId="42" type="noConversion"/>
  </si>
  <si>
    <r>
      <rPr>
        <sz val="11"/>
        <color theme="1"/>
        <rFont val="黑体"/>
        <family val="3"/>
        <charset val="134"/>
      </rPr>
      <t>无</t>
    </r>
    <phoneticPr fontId="42" type="noConversion"/>
  </si>
  <si>
    <r>
      <t xml:space="preserve">        </t>
    </r>
    <r>
      <rPr>
        <sz val="11"/>
        <color theme="1"/>
        <rFont val="黑体"/>
        <family val="3"/>
        <charset val="134"/>
      </rPr>
      <t>芯片销量（百万颗）</t>
    </r>
    <phoneticPr fontId="42" type="noConversion"/>
  </si>
  <si>
    <r>
      <t xml:space="preserve">        </t>
    </r>
    <r>
      <rPr>
        <sz val="11"/>
        <color theme="1"/>
        <rFont val="黑体"/>
        <family val="3"/>
        <charset val="134"/>
      </rPr>
      <t>芯片均价（元）</t>
    </r>
    <phoneticPr fontId="42" type="noConversion"/>
  </si>
  <si>
    <t xml:space="preserve">        DRAM</t>
  </si>
  <si>
    <r>
      <rPr>
        <sz val="11"/>
        <color theme="1"/>
        <rFont val="黑体"/>
        <family val="3"/>
        <charset val="134"/>
      </rPr>
      <t xml:space="preserve">君正能做的部分：
</t>
    </r>
    <r>
      <rPr>
        <sz val="11"/>
        <color theme="1"/>
        <rFont val="Arial"/>
        <family val="2"/>
      </rPr>
      <t xml:space="preserve">DRAM </t>
    </r>
    <r>
      <rPr>
        <sz val="11"/>
        <color theme="1"/>
        <rFont val="黑体"/>
        <family val="3"/>
        <charset val="134"/>
      </rPr>
      <t>燃油车目前单车</t>
    </r>
    <r>
      <rPr>
        <sz val="11"/>
        <color theme="1"/>
        <rFont val="Arial"/>
        <family val="2"/>
      </rPr>
      <t>4GB</t>
    </r>
    <r>
      <rPr>
        <sz val="11"/>
        <color theme="1"/>
        <rFont val="黑体"/>
        <family val="3"/>
        <charset val="134"/>
      </rPr>
      <t>，自动驾驶、智能座舱，在</t>
    </r>
    <r>
      <rPr>
        <sz val="11"/>
        <color theme="1"/>
        <rFont val="Arial"/>
        <family val="2"/>
      </rPr>
      <t>L2</t>
    </r>
    <r>
      <rPr>
        <sz val="11"/>
        <color theme="1"/>
        <rFont val="黑体"/>
        <family val="3"/>
        <charset val="134"/>
      </rPr>
      <t>大概</t>
    </r>
    <r>
      <rPr>
        <sz val="11"/>
        <color theme="1"/>
        <rFont val="Arial"/>
        <family val="2"/>
      </rPr>
      <t>16GB</t>
    </r>
    <r>
      <rPr>
        <sz val="11"/>
        <color theme="1"/>
        <rFont val="黑体"/>
        <family val="3"/>
        <charset val="134"/>
      </rPr>
      <t>，</t>
    </r>
    <r>
      <rPr>
        <sz val="11"/>
        <color theme="1"/>
        <rFont val="Arial"/>
        <family val="2"/>
      </rPr>
      <t>L3</t>
    </r>
    <r>
      <rPr>
        <sz val="11"/>
        <color theme="1"/>
        <rFont val="黑体"/>
        <family val="3"/>
        <charset val="134"/>
      </rPr>
      <t>大概</t>
    </r>
    <r>
      <rPr>
        <sz val="11"/>
        <color theme="1"/>
        <rFont val="Arial"/>
        <family val="2"/>
      </rPr>
      <t>50GB</t>
    </r>
    <r>
      <rPr>
        <sz val="11"/>
        <color theme="1"/>
        <rFont val="黑体"/>
        <family val="3"/>
        <charset val="134"/>
      </rPr>
      <t>，</t>
    </r>
    <r>
      <rPr>
        <sz val="11"/>
        <color theme="1"/>
        <rFont val="Arial"/>
        <family val="2"/>
      </rPr>
      <t>L4/5</t>
    </r>
    <r>
      <rPr>
        <sz val="11"/>
        <color theme="1"/>
        <rFont val="黑体"/>
        <family val="3"/>
        <charset val="134"/>
      </rPr>
      <t>大概</t>
    </r>
    <r>
      <rPr>
        <sz val="11"/>
        <color theme="1"/>
        <rFont val="Arial"/>
        <family val="2"/>
      </rPr>
      <t>100GB</t>
    </r>
    <r>
      <rPr>
        <sz val="11"/>
        <color theme="1"/>
        <rFont val="黑体"/>
        <family val="3"/>
        <charset val="134"/>
      </rPr>
      <t>，其中一大半是用在主控里面，另外还有摄像头、雷达、仪表盘、</t>
    </r>
    <r>
      <rPr>
        <sz val="11"/>
        <color theme="1"/>
        <rFont val="Arial"/>
        <family val="2"/>
      </rPr>
      <t>hud</t>
    </r>
    <r>
      <rPr>
        <sz val="11"/>
        <color theme="1"/>
        <rFont val="黑体"/>
        <family val="3"/>
        <charset val="134"/>
      </rPr>
      <t>、环视等，每处需要</t>
    </r>
    <r>
      <rPr>
        <sz val="11"/>
        <color theme="1"/>
        <rFont val="Arial"/>
        <family val="2"/>
      </rPr>
      <t>1~4Gb</t>
    </r>
    <r>
      <rPr>
        <sz val="11"/>
        <color theme="1"/>
        <rFont val="黑体"/>
        <family val="3"/>
        <charset val="134"/>
      </rPr>
      <t>不等的内存，对应大概需要</t>
    </r>
    <r>
      <rPr>
        <sz val="11"/>
        <color theme="1"/>
        <rFont val="Arial"/>
        <family val="2"/>
      </rPr>
      <t>4~16GB</t>
    </r>
    <r>
      <rPr>
        <sz val="11"/>
        <color theme="1"/>
        <rFont val="黑体"/>
        <family val="3"/>
        <charset val="134"/>
      </rPr>
      <t>的容量，所以对于君正来说，可触及的空间从现在</t>
    </r>
    <r>
      <rPr>
        <sz val="11"/>
        <color theme="1"/>
        <rFont val="Arial"/>
        <family val="2"/>
      </rPr>
      <t>4GB</t>
    </r>
    <r>
      <rPr>
        <sz val="11"/>
        <color theme="1"/>
        <rFont val="黑体"/>
        <family val="3"/>
        <charset val="134"/>
      </rPr>
      <t>到未来</t>
    </r>
    <r>
      <rPr>
        <sz val="11"/>
        <color theme="1"/>
        <rFont val="Arial"/>
        <family val="2"/>
      </rPr>
      <t>20GB</t>
    </r>
    <r>
      <rPr>
        <sz val="11"/>
        <color theme="1"/>
        <rFont val="黑体"/>
        <family val="3"/>
        <charset val="134"/>
      </rPr>
      <t>（对于三星海力士，可触及的空间可以高达</t>
    </r>
    <r>
      <rPr>
        <sz val="11"/>
        <color theme="1"/>
        <rFont val="Arial"/>
        <family val="2"/>
      </rPr>
      <t>100GB</t>
    </r>
    <r>
      <rPr>
        <sz val="11"/>
        <color theme="1"/>
        <rFont val="黑体"/>
        <family val="3"/>
        <charset val="134"/>
      </rPr>
      <t>），单车价值量从</t>
    </r>
    <r>
      <rPr>
        <sz val="11"/>
        <color theme="1"/>
        <rFont val="Arial"/>
        <family val="2"/>
      </rPr>
      <t>16</t>
    </r>
    <r>
      <rPr>
        <sz val="11"/>
        <color theme="1"/>
        <rFont val="黑体"/>
        <family val="3"/>
        <charset val="134"/>
      </rPr>
      <t>美金到</t>
    </r>
    <r>
      <rPr>
        <sz val="11"/>
        <color theme="1"/>
        <rFont val="Arial"/>
        <family val="2"/>
      </rPr>
      <t>80</t>
    </r>
    <r>
      <rPr>
        <sz val="11"/>
        <color theme="1"/>
        <rFont val="黑体"/>
        <family val="3"/>
        <charset val="134"/>
      </rPr>
      <t>美金，市场空间从</t>
    </r>
    <r>
      <rPr>
        <sz val="11"/>
        <color theme="1"/>
        <rFont val="Arial"/>
        <family val="2"/>
      </rPr>
      <t>14</t>
    </r>
    <r>
      <rPr>
        <sz val="11"/>
        <color theme="1"/>
        <rFont val="黑体"/>
        <family val="3"/>
        <charset val="134"/>
      </rPr>
      <t>亿美金到</t>
    </r>
    <r>
      <rPr>
        <sz val="11"/>
        <color theme="1"/>
        <rFont val="Arial"/>
        <family val="2"/>
      </rPr>
      <t>68</t>
    </r>
    <r>
      <rPr>
        <sz val="11"/>
        <color theme="1"/>
        <rFont val="黑体"/>
        <family val="3"/>
        <charset val="134"/>
      </rPr>
      <t>亿美金。如果做到其中</t>
    </r>
    <r>
      <rPr>
        <sz val="11"/>
        <color theme="1"/>
        <rFont val="Arial"/>
        <family val="2"/>
      </rPr>
      <t>20%</t>
    </r>
    <r>
      <rPr>
        <sz val="11"/>
        <color theme="1"/>
        <rFont val="黑体"/>
        <family val="3"/>
        <charset val="134"/>
      </rPr>
      <t>，就是</t>
    </r>
    <r>
      <rPr>
        <sz val="11"/>
        <color theme="1"/>
        <rFont val="Arial"/>
        <family val="2"/>
      </rPr>
      <t>88</t>
    </r>
    <r>
      <rPr>
        <sz val="11"/>
        <color theme="1"/>
        <rFont val="黑体"/>
        <family val="3"/>
        <charset val="134"/>
      </rPr>
      <t>亿人民币的收入。</t>
    </r>
    <phoneticPr fontId="42" type="noConversion"/>
  </si>
  <si>
    <r>
      <rPr>
        <sz val="11"/>
        <color theme="1"/>
        <rFont val="黑体"/>
        <family val="3"/>
        <charset val="134"/>
      </rPr>
      <t>全球</t>
    </r>
    <r>
      <rPr>
        <sz val="11"/>
        <color theme="1"/>
        <rFont val="Arial"/>
        <family val="2"/>
      </rPr>
      <t>DRAM</t>
    </r>
    <r>
      <rPr>
        <sz val="11"/>
        <color theme="1"/>
        <rFont val="黑体"/>
        <family val="3"/>
        <charset val="134"/>
      </rPr>
      <t>芯片市场规模（亿美元）</t>
    </r>
    <phoneticPr fontId="42" type="noConversion"/>
  </si>
  <si>
    <r>
      <rPr>
        <sz val="11"/>
        <color theme="1"/>
        <rFont val="黑体"/>
        <family val="3"/>
        <charset val="134"/>
      </rPr>
      <t>资料来源：</t>
    </r>
    <r>
      <rPr>
        <sz val="11"/>
        <color theme="1"/>
        <rFont val="Arial"/>
        <family val="2"/>
      </rPr>
      <t>Trendforce</t>
    </r>
    <phoneticPr fontId="42" type="noConversion"/>
  </si>
  <si>
    <r>
      <rPr>
        <sz val="11"/>
        <color theme="1"/>
        <rFont val="黑体"/>
        <family val="3"/>
        <charset val="134"/>
      </rPr>
      <t>根据</t>
    </r>
    <r>
      <rPr>
        <sz val="11"/>
        <color theme="1"/>
        <rFont val="Arial"/>
        <family val="2"/>
      </rPr>
      <t>IHS</t>
    </r>
    <r>
      <rPr>
        <sz val="11"/>
        <color theme="1"/>
        <rFont val="黑体"/>
        <family val="3"/>
        <charset val="134"/>
      </rPr>
      <t>数据，</t>
    </r>
    <r>
      <rPr>
        <sz val="11"/>
        <color theme="1"/>
        <rFont val="Arial"/>
        <family val="2"/>
      </rPr>
      <t>2019H1</t>
    </r>
    <r>
      <rPr>
        <sz val="11"/>
        <color theme="1"/>
        <rFont val="黑体"/>
        <family val="3"/>
        <charset val="134"/>
      </rPr>
      <t>全球</t>
    </r>
    <r>
      <rPr>
        <sz val="11"/>
        <color theme="1"/>
        <rFont val="Arial"/>
        <family val="2"/>
      </rPr>
      <t>DRAM</t>
    </r>
    <r>
      <rPr>
        <sz val="11"/>
        <color theme="1"/>
        <rFont val="黑体"/>
        <family val="3"/>
        <charset val="134"/>
      </rPr>
      <t>市场中三大巨头三星、</t>
    </r>
    <r>
      <rPr>
        <sz val="11"/>
        <color theme="1"/>
        <rFont val="Arial"/>
        <family val="2"/>
      </rPr>
      <t>SK</t>
    </r>
    <r>
      <rPr>
        <sz val="11"/>
        <color theme="1"/>
        <rFont val="黑体"/>
        <family val="3"/>
        <charset val="134"/>
      </rPr>
      <t>海力士、美光市场份额绝对领先，分别为</t>
    </r>
    <r>
      <rPr>
        <sz val="11"/>
        <color theme="1"/>
        <rFont val="Arial"/>
        <family val="2"/>
      </rPr>
      <t>41.5%/29.0%/24.8%</t>
    </r>
    <r>
      <rPr>
        <sz val="11"/>
        <color theme="1"/>
        <rFont val="黑体"/>
        <family val="3"/>
        <charset val="134"/>
      </rPr>
      <t>，</t>
    </r>
    <r>
      <rPr>
        <sz val="11"/>
        <color theme="1"/>
        <rFont val="Arial"/>
        <family val="2"/>
      </rPr>
      <t>CR3</t>
    </r>
    <r>
      <rPr>
        <sz val="11"/>
        <color theme="1"/>
        <rFont val="黑体"/>
        <family val="3"/>
        <charset val="134"/>
      </rPr>
      <t>达</t>
    </r>
    <r>
      <rPr>
        <sz val="11"/>
        <color theme="1"/>
        <rFont val="Arial"/>
        <family val="2"/>
      </rPr>
      <t>95.3%</t>
    </r>
    <r>
      <rPr>
        <sz val="11"/>
        <color theme="1"/>
        <rFont val="黑体"/>
        <family val="3"/>
        <charset val="134"/>
      </rPr>
      <t>，北京矽成收入位居第</t>
    </r>
    <r>
      <rPr>
        <sz val="11"/>
        <color theme="1"/>
        <rFont val="Arial"/>
        <family val="2"/>
      </rPr>
      <t>7</t>
    </r>
    <r>
      <rPr>
        <sz val="11"/>
        <color theme="1"/>
        <rFont val="黑体"/>
        <family val="3"/>
        <charset val="134"/>
      </rPr>
      <t>名，占比约为</t>
    </r>
    <r>
      <rPr>
        <sz val="11"/>
        <color theme="1"/>
        <rFont val="Arial"/>
        <family val="2"/>
      </rPr>
      <t>0.4%</t>
    </r>
    <r>
      <rPr>
        <sz val="11"/>
        <color theme="1"/>
        <rFont val="黑体"/>
        <family val="3"/>
        <charset val="134"/>
      </rPr>
      <t>，</t>
    </r>
    <r>
      <rPr>
        <sz val="11"/>
        <color theme="1"/>
        <rFont val="Arial"/>
        <family val="2"/>
      </rPr>
      <t>2020</t>
    </r>
    <r>
      <rPr>
        <sz val="11"/>
        <color theme="1"/>
        <rFont val="黑体"/>
        <family val="3"/>
        <charset val="134"/>
      </rPr>
      <t>、</t>
    </r>
    <r>
      <rPr>
        <sz val="11"/>
        <color theme="1"/>
        <rFont val="Arial"/>
        <family val="2"/>
      </rPr>
      <t>2021</t>
    </r>
    <r>
      <rPr>
        <sz val="11"/>
        <color theme="1"/>
        <rFont val="黑体"/>
        <family val="3"/>
        <charset val="134"/>
      </rPr>
      <t>年均维持相同排名地位</t>
    </r>
    <phoneticPr fontId="42" type="noConversion"/>
  </si>
  <si>
    <r>
      <rPr>
        <sz val="11"/>
        <color theme="1"/>
        <rFont val="黑体"/>
        <family val="3"/>
        <charset val="134"/>
      </rPr>
      <t>全球车载</t>
    </r>
    <r>
      <rPr>
        <sz val="11"/>
        <color theme="1"/>
        <rFont val="Arial"/>
        <family val="2"/>
      </rPr>
      <t>DRAM</t>
    </r>
    <r>
      <rPr>
        <sz val="11"/>
        <color theme="1"/>
        <rFont val="黑体"/>
        <family val="3"/>
        <charset val="134"/>
      </rPr>
      <t>市场规模（亿美元）</t>
    </r>
    <phoneticPr fontId="42" type="noConversion"/>
  </si>
  <si>
    <r>
      <rPr>
        <sz val="11"/>
        <color theme="1"/>
        <rFont val="黑体"/>
        <family val="3"/>
        <charset val="134"/>
      </rPr>
      <t>根据</t>
    </r>
    <r>
      <rPr>
        <sz val="11"/>
        <color theme="1"/>
        <rFont val="Arial"/>
        <family val="2"/>
      </rPr>
      <t>IC Insights</t>
    </r>
    <r>
      <rPr>
        <sz val="11"/>
        <color theme="1"/>
        <rFont val="黑体"/>
        <family val="3"/>
        <charset val="134"/>
      </rPr>
      <t>数据，美光</t>
    </r>
    <r>
      <rPr>
        <sz val="11"/>
        <color theme="1"/>
        <rFont val="Arial"/>
        <family val="2"/>
      </rPr>
      <t>45.0%</t>
    </r>
    <r>
      <rPr>
        <sz val="11"/>
        <color theme="1"/>
        <rFont val="黑体"/>
        <family val="3"/>
        <charset val="134"/>
      </rPr>
      <t>，矽成</t>
    </r>
    <r>
      <rPr>
        <sz val="11"/>
        <color theme="1"/>
        <rFont val="Arial"/>
        <family val="2"/>
      </rPr>
      <t>15.0%</t>
    </r>
    <r>
      <rPr>
        <sz val="11"/>
        <color theme="1"/>
        <rFont val="黑体"/>
        <family val="3"/>
        <charset val="134"/>
      </rPr>
      <t>，三星</t>
    </r>
    <r>
      <rPr>
        <sz val="11"/>
        <color theme="1"/>
        <rFont val="Arial"/>
        <family val="2"/>
      </rPr>
      <t>10.8%</t>
    </r>
    <r>
      <rPr>
        <sz val="11"/>
        <color theme="1"/>
        <rFont val="黑体"/>
        <family val="3"/>
        <charset val="134"/>
      </rPr>
      <t>，南亚科</t>
    </r>
    <r>
      <rPr>
        <sz val="11"/>
        <color theme="1"/>
        <rFont val="Arial"/>
        <family val="2"/>
      </rPr>
      <t>9.5%</t>
    </r>
    <r>
      <rPr>
        <sz val="11"/>
        <color theme="1"/>
        <rFont val="黑体"/>
        <family val="3"/>
        <charset val="134"/>
      </rPr>
      <t>，华邦电</t>
    </r>
    <r>
      <rPr>
        <sz val="11"/>
        <color theme="1"/>
        <rFont val="Arial"/>
        <family val="2"/>
      </rPr>
      <t>8.5%</t>
    </r>
    <phoneticPr fontId="42" type="noConversion"/>
  </si>
  <si>
    <r>
      <t>DRAM 4Gb</t>
    </r>
    <r>
      <rPr>
        <sz val="11"/>
        <color theme="1"/>
        <rFont val="黑体"/>
        <family val="3"/>
        <charset val="134"/>
      </rPr>
      <t>一般</t>
    </r>
    <r>
      <rPr>
        <sz val="11"/>
        <color theme="1"/>
        <rFont val="Arial"/>
        <family val="2"/>
      </rPr>
      <t>2</t>
    </r>
    <r>
      <rPr>
        <sz val="11"/>
        <color theme="1"/>
        <rFont val="黑体"/>
        <family val="3"/>
        <charset val="134"/>
      </rPr>
      <t>美金，</t>
    </r>
    <r>
      <rPr>
        <sz val="11"/>
        <color theme="1"/>
        <rFont val="Arial"/>
        <family val="2"/>
      </rPr>
      <t>8Gb</t>
    </r>
    <r>
      <rPr>
        <sz val="11"/>
        <color theme="1"/>
        <rFont val="黑体"/>
        <family val="3"/>
        <charset val="134"/>
      </rPr>
      <t>一般</t>
    </r>
    <r>
      <rPr>
        <sz val="11"/>
        <color theme="1"/>
        <rFont val="Arial"/>
        <family val="2"/>
      </rPr>
      <t>3</t>
    </r>
    <r>
      <rPr>
        <sz val="11"/>
        <color theme="1"/>
        <rFont val="黑体"/>
        <family val="3"/>
        <charset val="134"/>
      </rPr>
      <t>美金，公司均价大概</t>
    </r>
    <r>
      <rPr>
        <sz val="11"/>
        <color theme="1"/>
        <rFont val="Arial"/>
        <family val="2"/>
      </rPr>
      <t>2</t>
    </r>
    <r>
      <rPr>
        <sz val="11"/>
        <color theme="1"/>
        <rFont val="黑体"/>
        <family val="3"/>
        <charset val="134"/>
      </rPr>
      <t>美金，基本对应产品容量在</t>
    </r>
    <r>
      <rPr>
        <sz val="11"/>
        <color theme="1"/>
        <rFont val="Arial"/>
        <family val="2"/>
      </rPr>
      <t>4Gb</t>
    </r>
    <r>
      <rPr>
        <sz val="11"/>
        <color theme="1"/>
        <rFont val="黑体"/>
        <family val="3"/>
        <charset val="134"/>
      </rPr>
      <t>或以下</t>
    </r>
    <phoneticPr fontId="42" type="noConversion"/>
  </si>
  <si>
    <r>
      <rPr>
        <sz val="11"/>
        <color theme="1"/>
        <rFont val="黑体"/>
        <family val="3"/>
        <charset val="134"/>
      </rPr>
      <t>公司产品涵盖</t>
    </r>
    <r>
      <rPr>
        <sz val="11"/>
        <color theme="1"/>
        <rFont val="Arial"/>
        <family val="2"/>
      </rPr>
      <t>16M</t>
    </r>
    <r>
      <rPr>
        <sz val="11"/>
        <color theme="1"/>
        <rFont val="黑体"/>
        <family val="3"/>
        <charset val="134"/>
      </rPr>
      <t>、</t>
    </r>
    <r>
      <rPr>
        <sz val="11"/>
        <color theme="1"/>
        <rFont val="Arial"/>
        <family val="2"/>
      </rPr>
      <t>32M</t>
    </r>
    <r>
      <rPr>
        <sz val="11"/>
        <color theme="1"/>
        <rFont val="黑体"/>
        <family val="3"/>
        <charset val="134"/>
      </rPr>
      <t>、</t>
    </r>
    <r>
      <rPr>
        <sz val="11"/>
        <color theme="1"/>
        <rFont val="Arial"/>
        <family val="2"/>
      </rPr>
      <t>64M</t>
    </r>
    <r>
      <rPr>
        <sz val="11"/>
        <color theme="1"/>
        <rFont val="黑体"/>
        <family val="3"/>
        <charset val="134"/>
      </rPr>
      <t>、</t>
    </r>
    <r>
      <rPr>
        <sz val="11"/>
        <color theme="1"/>
        <rFont val="Arial"/>
        <family val="2"/>
      </rPr>
      <t>128M</t>
    </r>
    <r>
      <rPr>
        <sz val="11"/>
        <color theme="1"/>
        <rFont val="黑体"/>
        <family val="3"/>
        <charset val="134"/>
      </rPr>
      <t>到</t>
    </r>
    <r>
      <rPr>
        <sz val="11"/>
        <color theme="1"/>
        <rFont val="Arial"/>
        <family val="2"/>
      </rPr>
      <t>1G</t>
    </r>
    <r>
      <rPr>
        <sz val="11"/>
        <color theme="1"/>
        <rFont val="黑体"/>
        <family val="3"/>
        <charset val="134"/>
      </rPr>
      <t>、</t>
    </r>
    <r>
      <rPr>
        <sz val="11"/>
        <color theme="1"/>
        <rFont val="Arial"/>
        <family val="2"/>
      </rPr>
      <t>2G</t>
    </r>
    <r>
      <rPr>
        <sz val="11"/>
        <color theme="1"/>
        <rFont val="黑体"/>
        <family val="3"/>
        <charset val="134"/>
      </rPr>
      <t>、</t>
    </r>
    <r>
      <rPr>
        <sz val="11"/>
        <color theme="1"/>
        <rFont val="Arial"/>
        <family val="2"/>
      </rPr>
      <t>4G</t>
    </r>
    <r>
      <rPr>
        <sz val="11"/>
        <color theme="1"/>
        <rFont val="黑体"/>
        <family val="3"/>
        <charset val="134"/>
      </rPr>
      <t>、</t>
    </r>
    <r>
      <rPr>
        <sz val="11"/>
        <color theme="1"/>
        <rFont val="Arial"/>
        <family val="2"/>
      </rPr>
      <t>8G</t>
    </r>
    <r>
      <rPr>
        <sz val="11"/>
        <color theme="1"/>
        <rFont val="黑体"/>
        <family val="3"/>
        <charset val="134"/>
      </rPr>
      <t>、</t>
    </r>
    <r>
      <rPr>
        <sz val="11"/>
        <color theme="1"/>
        <rFont val="Arial"/>
        <family val="2"/>
      </rPr>
      <t>16G</t>
    </r>
    <r>
      <rPr>
        <sz val="11"/>
        <color theme="1"/>
        <rFont val="黑体"/>
        <family val="3"/>
        <charset val="134"/>
      </rPr>
      <t>等不同容量、不同界面、不同功耗规格产品，具备在极端环境下稳定工作以及节能降耗等特点。公司加强对于高速</t>
    </r>
    <r>
      <rPr>
        <sz val="11"/>
        <color theme="1"/>
        <rFont val="Arial"/>
        <family val="2"/>
      </rPr>
      <t>DRAM</t>
    </r>
    <r>
      <rPr>
        <sz val="11"/>
        <color theme="1"/>
        <rFont val="黑体"/>
        <family val="3"/>
        <charset val="134"/>
      </rPr>
      <t>及不同容量的低功耗</t>
    </r>
    <r>
      <rPr>
        <sz val="11"/>
        <color theme="1"/>
        <rFont val="Arial"/>
        <family val="2"/>
      </rPr>
      <t>DDR4</t>
    </r>
    <r>
      <rPr>
        <sz val="11"/>
        <color theme="1"/>
        <rFont val="黑体"/>
        <family val="3"/>
        <charset val="134"/>
      </rPr>
      <t>、</t>
    </r>
    <r>
      <rPr>
        <sz val="11"/>
        <color theme="1"/>
        <rFont val="Arial"/>
        <family val="2"/>
      </rPr>
      <t>LPDDR4</t>
    </r>
    <r>
      <rPr>
        <sz val="11"/>
        <color theme="1"/>
        <rFont val="黑体"/>
        <family val="3"/>
        <charset val="134"/>
      </rPr>
      <t>、</t>
    </r>
    <r>
      <rPr>
        <sz val="11"/>
        <color theme="1"/>
        <rFont val="Arial"/>
        <family val="2"/>
      </rPr>
      <t>LPDDR2</t>
    </r>
    <r>
      <rPr>
        <sz val="11"/>
        <color theme="1"/>
        <rFont val="黑体"/>
        <family val="3"/>
        <charset val="134"/>
      </rPr>
      <t>等产品的研发，目前最高支持</t>
    </r>
    <r>
      <rPr>
        <sz val="11"/>
        <color theme="1"/>
        <rFont val="Arial"/>
        <family val="2"/>
      </rPr>
      <t>25nm DDR4 8/16Gb</t>
    </r>
    <r>
      <rPr>
        <sz val="11"/>
        <color theme="1"/>
        <rFont val="黑体"/>
        <family val="3"/>
        <charset val="134"/>
      </rPr>
      <t>、</t>
    </r>
    <r>
      <rPr>
        <sz val="11"/>
        <color theme="1"/>
        <rFont val="Arial"/>
        <family val="2"/>
      </rPr>
      <t>LPDDR4 4Gb</t>
    </r>
    <r>
      <rPr>
        <sz val="11"/>
        <color theme="1"/>
        <rFont val="黑体"/>
        <family val="3"/>
        <charset val="134"/>
      </rPr>
      <t>型产品，</t>
    </r>
    <r>
      <rPr>
        <sz val="11"/>
        <color theme="1"/>
        <rFont val="Arial"/>
        <family val="2"/>
      </rPr>
      <t>2022</t>
    </r>
    <r>
      <rPr>
        <sz val="11"/>
        <color theme="1"/>
        <rFont val="黑体"/>
        <family val="3"/>
        <charset val="134"/>
      </rPr>
      <t>年有望推出</t>
    </r>
    <r>
      <rPr>
        <sz val="11"/>
        <color theme="1"/>
        <rFont val="Arial"/>
        <family val="2"/>
      </rPr>
      <t>LPDDR4 8Gb</t>
    </r>
    <r>
      <rPr>
        <sz val="11"/>
        <color theme="1"/>
        <rFont val="黑体"/>
        <family val="3"/>
        <charset val="134"/>
      </rPr>
      <t>型产品。</t>
    </r>
    <phoneticPr fontId="42" type="noConversion"/>
  </si>
  <si>
    <t xml:space="preserve">        SRAM</t>
    <phoneticPr fontId="42" type="noConversion"/>
  </si>
  <si>
    <r>
      <rPr>
        <sz val="11"/>
        <color theme="1"/>
        <rFont val="黑体"/>
        <family val="3"/>
        <charset val="134"/>
      </rPr>
      <t>全球</t>
    </r>
    <r>
      <rPr>
        <sz val="11"/>
        <color theme="1"/>
        <rFont val="Arial"/>
        <family val="2"/>
      </rPr>
      <t>SRAM</t>
    </r>
    <r>
      <rPr>
        <sz val="11"/>
        <color theme="1"/>
        <rFont val="黑体"/>
        <family val="3"/>
        <charset val="134"/>
      </rPr>
      <t>芯片市场规模（亿美元）</t>
    </r>
    <phoneticPr fontId="42" type="noConversion"/>
  </si>
  <si>
    <r>
      <rPr>
        <sz val="11"/>
        <color theme="1"/>
        <rFont val="黑体"/>
        <family val="3"/>
        <charset val="134"/>
      </rPr>
      <t>资料来源：</t>
    </r>
    <r>
      <rPr>
        <sz val="11"/>
        <color theme="1"/>
        <rFont val="Arial"/>
        <family val="2"/>
      </rPr>
      <t>GIR</t>
    </r>
    <phoneticPr fontId="42" type="noConversion"/>
  </si>
  <si>
    <r>
      <rPr>
        <sz val="11"/>
        <color theme="1"/>
        <rFont val="黑体"/>
        <family val="3"/>
        <charset val="134"/>
      </rPr>
      <t>根据</t>
    </r>
    <r>
      <rPr>
        <sz val="11"/>
        <color theme="1"/>
        <rFont val="Arial"/>
        <family val="2"/>
      </rPr>
      <t>IHS</t>
    </r>
    <r>
      <rPr>
        <sz val="11"/>
        <color theme="1"/>
        <rFont val="黑体"/>
        <family val="3"/>
        <charset val="134"/>
      </rPr>
      <t>统计，</t>
    </r>
    <r>
      <rPr>
        <sz val="11"/>
        <color theme="1"/>
        <rFont val="Arial"/>
        <family val="2"/>
      </rPr>
      <t>2019H1</t>
    </r>
    <r>
      <rPr>
        <sz val="11"/>
        <color theme="1"/>
        <rFont val="黑体"/>
        <family val="3"/>
        <charset val="134"/>
      </rPr>
      <t>全球</t>
    </r>
    <r>
      <rPr>
        <sz val="11"/>
        <color theme="1"/>
        <rFont val="Arial"/>
        <family val="2"/>
      </rPr>
      <t>SRAM</t>
    </r>
    <r>
      <rPr>
        <sz val="11"/>
        <color theme="1"/>
        <rFont val="黑体"/>
        <family val="3"/>
        <charset val="134"/>
      </rPr>
      <t>市场中赛普拉斯</t>
    </r>
    <r>
      <rPr>
        <sz val="11"/>
        <color theme="1"/>
        <rFont val="Arial"/>
        <family val="2"/>
      </rPr>
      <t>/</t>
    </r>
    <r>
      <rPr>
        <sz val="11"/>
        <color theme="1"/>
        <rFont val="黑体"/>
        <family val="3"/>
        <charset val="134"/>
      </rPr>
      <t>北京矽成分别占比</t>
    </r>
    <r>
      <rPr>
        <sz val="11"/>
        <color theme="1"/>
        <rFont val="Arial"/>
        <family val="2"/>
      </rPr>
      <t>33.9%/21.8%</t>
    </r>
    <r>
      <rPr>
        <sz val="11"/>
        <color theme="1"/>
        <rFont val="黑体"/>
        <family val="3"/>
        <charset val="134"/>
      </rPr>
      <t>，</t>
    </r>
    <r>
      <rPr>
        <sz val="11"/>
        <color theme="1"/>
        <rFont val="Arial"/>
        <family val="2"/>
      </rPr>
      <t>2020</t>
    </r>
    <r>
      <rPr>
        <sz val="11"/>
        <color theme="1"/>
        <rFont val="黑体"/>
        <family val="3"/>
        <charset val="134"/>
      </rPr>
      <t>、</t>
    </r>
    <r>
      <rPr>
        <sz val="11"/>
        <color theme="1"/>
        <rFont val="Arial"/>
        <family val="2"/>
      </rPr>
      <t>2021</t>
    </r>
    <r>
      <rPr>
        <sz val="11"/>
        <color theme="1"/>
        <rFont val="黑体"/>
        <family val="3"/>
        <charset val="134"/>
      </rPr>
      <t>年仍维持全球第</t>
    </r>
    <r>
      <rPr>
        <sz val="11"/>
        <color theme="1"/>
        <rFont val="Arial"/>
        <family val="2"/>
      </rPr>
      <t>2</t>
    </r>
    <r>
      <rPr>
        <sz val="11"/>
        <color theme="1"/>
        <rFont val="黑体"/>
        <family val="3"/>
        <charset val="134"/>
      </rPr>
      <t>名的领先地位</t>
    </r>
    <phoneticPr fontId="42" type="noConversion"/>
  </si>
  <si>
    <r>
      <rPr>
        <sz val="11"/>
        <color theme="1"/>
        <rFont val="黑体"/>
        <family val="3"/>
        <charset val="134"/>
      </rPr>
      <t>全球车载</t>
    </r>
    <r>
      <rPr>
        <sz val="11"/>
        <color theme="1"/>
        <rFont val="Arial"/>
        <family val="2"/>
      </rPr>
      <t>SRAM</t>
    </r>
    <r>
      <rPr>
        <sz val="11"/>
        <color theme="1"/>
        <rFont val="黑体"/>
        <family val="3"/>
        <charset val="134"/>
      </rPr>
      <t>市场规模（亿美元）</t>
    </r>
    <phoneticPr fontId="42" type="noConversion"/>
  </si>
  <si>
    <r>
      <rPr>
        <sz val="11"/>
        <color theme="1"/>
        <rFont val="黑体"/>
        <family val="3"/>
        <charset val="134"/>
      </rPr>
      <t>根据</t>
    </r>
    <r>
      <rPr>
        <sz val="11"/>
        <color theme="1"/>
        <rFont val="Arial"/>
        <family val="2"/>
      </rPr>
      <t>IHS</t>
    </r>
    <r>
      <rPr>
        <sz val="11"/>
        <color theme="1"/>
        <rFont val="黑体"/>
        <family val="3"/>
        <charset val="134"/>
      </rPr>
      <t>数据，公司在全球</t>
    </r>
    <r>
      <rPr>
        <sz val="11"/>
        <color theme="1"/>
        <rFont val="Arial"/>
        <family val="2"/>
      </rPr>
      <t>SRAM</t>
    </r>
    <r>
      <rPr>
        <sz val="11"/>
        <color theme="1"/>
        <rFont val="黑体"/>
        <family val="3"/>
        <charset val="134"/>
      </rPr>
      <t>市场中长年位居前</t>
    </r>
    <r>
      <rPr>
        <sz val="11"/>
        <color theme="1"/>
        <rFont val="Arial"/>
        <family val="2"/>
      </rPr>
      <t>2</t>
    </r>
    <r>
      <rPr>
        <sz val="11"/>
        <color theme="1"/>
        <rFont val="黑体"/>
        <family val="3"/>
        <charset val="134"/>
      </rPr>
      <t>名，</t>
    </r>
    <r>
      <rPr>
        <sz val="11"/>
        <color theme="1"/>
        <rFont val="Arial"/>
        <family val="2"/>
      </rPr>
      <t>2019H1</t>
    </r>
    <r>
      <rPr>
        <sz val="11"/>
        <color theme="1"/>
        <rFont val="黑体"/>
        <family val="3"/>
        <charset val="134"/>
      </rPr>
      <t>份额约</t>
    </r>
    <r>
      <rPr>
        <sz val="11"/>
        <color theme="1"/>
        <rFont val="Arial"/>
        <family val="2"/>
      </rPr>
      <t>21.80%</t>
    </r>
    <phoneticPr fontId="42" type="noConversion"/>
  </si>
  <si>
    <r>
      <t xml:space="preserve">        FLASH</t>
    </r>
    <r>
      <rPr>
        <b/>
        <sz val="11"/>
        <color theme="1"/>
        <rFont val="黑体"/>
        <family val="3"/>
        <charset val="134"/>
      </rPr>
      <t>（剔除</t>
    </r>
    <r>
      <rPr>
        <b/>
        <sz val="11"/>
        <color theme="1"/>
        <rFont val="Arial"/>
        <family val="2"/>
      </rPr>
      <t>P-fusion</t>
    </r>
    <r>
      <rPr>
        <b/>
        <sz val="11"/>
        <color theme="1"/>
        <rFont val="黑体"/>
        <family val="3"/>
        <charset val="134"/>
      </rPr>
      <t>）</t>
    </r>
    <phoneticPr fontId="42" type="noConversion"/>
  </si>
  <si>
    <r>
      <rPr>
        <sz val="11"/>
        <color theme="1"/>
        <rFont val="黑体"/>
        <family val="3"/>
        <charset val="134"/>
      </rPr>
      <t xml:space="preserve">君正能做的部分：
</t>
    </r>
    <r>
      <rPr>
        <sz val="11"/>
        <color theme="1"/>
        <rFont val="Arial"/>
        <family val="2"/>
      </rPr>
      <t>NOR</t>
    </r>
    <r>
      <rPr>
        <sz val="11"/>
        <color theme="1"/>
        <rFont val="黑体"/>
        <family val="3"/>
        <charset val="134"/>
      </rPr>
      <t>目前单车</t>
    </r>
    <r>
      <rPr>
        <sz val="11"/>
        <color theme="1"/>
        <rFont val="Arial"/>
        <family val="2"/>
      </rPr>
      <t>10</t>
    </r>
    <r>
      <rPr>
        <sz val="11"/>
        <color theme="1"/>
        <rFont val="黑体"/>
        <family val="3"/>
        <charset val="134"/>
      </rPr>
      <t>美金，未来自动驾驶、传感器、仪表盘等都需要</t>
    </r>
    <r>
      <rPr>
        <sz val="11"/>
        <color theme="1"/>
        <rFont val="Arial"/>
        <family val="2"/>
      </rPr>
      <t>NOR</t>
    </r>
    <r>
      <rPr>
        <sz val="11"/>
        <color theme="1"/>
        <rFont val="黑体"/>
        <family val="3"/>
        <charset val="134"/>
      </rPr>
      <t>来做快速启动，单车价值量可以提升到</t>
    </r>
    <r>
      <rPr>
        <sz val="11"/>
        <color theme="1"/>
        <rFont val="Arial"/>
        <family val="2"/>
      </rPr>
      <t>30</t>
    </r>
    <r>
      <rPr>
        <sz val="11"/>
        <color theme="1"/>
        <rFont val="黑体"/>
        <family val="3"/>
        <charset val="134"/>
      </rPr>
      <t>美金，都是君正可以做的，对应市场空间</t>
    </r>
    <r>
      <rPr>
        <sz val="11"/>
        <color theme="1"/>
        <rFont val="Arial"/>
        <family val="2"/>
      </rPr>
      <t>25</t>
    </r>
    <r>
      <rPr>
        <sz val="11"/>
        <color theme="1"/>
        <rFont val="黑体"/>
        <family val="3"/>
        <charset val="134"/>
      </rPr>
      <t>亿美金。如果做到其中</t>
    </r>
    <r>
      <rPr>
        <sz val="11"/>
        <color theme="1"/>
        <rFont val="Arial"/>
        <family val="2"/>
      </rPr>
      <t>20%</t>
    </r>
    <r>
      <rPr>
        <sz val="11"/>
        <color theme="1"/>
        <rFont val="黑体"/>
        <family val="3"/>
        <charset val="134"/>
      </rPr>
      <t>，就是</t>
    </r>
    <r>
      <rPr>
        <sz val="11"/>
        <color theme="1"/>
        <rFont val="Arial"/>
        <family val="2"/>
      </rPr>
      <t>33</t>
    </r>
    <r>
      <rPr>
        <sz val="11"/>
        <color theme="1"/>
        <rFont val="黑体"/>
        <family val="3"/>
        <charset val="134"/>
      </rPr>
      <t>亿人民币的收入。</t>
    </r>
    <phoneticPr fontId="42" type="noConversion"/>
  </si>
  <si>
    <r>
      <rPr>
        <sz val="11"/>
        <color theme="1"/>
        <rFont val="黑体"/>
        <family val="3"/>
        <charset val="134"/>
      </rPr>
      <t>全球</t>
    </r>
    <r>
      <rPr>
        <sz val="11"/>
        <color theme="1"/>
        <rFont val="Arial"/>
        <family val="2"/>
      </rPr>
      <t>NOR</t>
    </r>
    <r>
      <rPr>
        <sz val="11"/>
        <color theme="1"/>
        <rFont val="黑体"/>
        <family val="3"/>
        <charset val="134"/>
      </rPr>
      <t>芯片市场规模（亿美元）</t>
    </r>
    <phoneticPr fontId="42" type="noConversion"/>
  </si>
  <si>
    <r>
      <rPr>
        <sz val="11"/>
        <color theme="1"/>
        <rFont val="黑体"/>
        <family val="3"/>
        <charset val="134"/>
      </rPr>
      <t>资料来源：</t>
    </r>
    <r>
      <rPr>
        <sz val="11"/>
        <color theme="1"/>
        <rFont val="Arial"/>
        <family val="2"/>
      </rPr>
      <t>CINNO Research</t>
    </r>
    <r>
      <rPr>
        <sz val="11"/>
        <color theme="1"/>
        <rFont val="黑体"/>
        <family val="3"/>
        <charset val="134"/>
      </rPr>
      <t>，</t>
    </r>
    <r>
      <rPr>
        <sz val="11"/>
        <color theme="1"/>
        <rFont val="Arial"/>
        <family val="2"/>
      </rPr>
      <t>IC Insights</t>
    </r>
    <r>
      <rPr>
        <sz val="11"/>
        <color theme="1"/>
        <rFont val="黑体"/>
        <family val="3"/>
        <charset val="134"/>
      </rPr>
      <t>，</t>
    </r>
    <r>
      <rPr>
        <sz val="11"/>
        <color theme="1"/>
        <rFont val="Arial"/>
        <family val="2"/>
      </rPr>
      <t>Maia Research</t>
    </r>
    <phoneticPr fontId="42" type="noConversion"/>
  </si>
  <si>
    <r>
      <rPr>
        <sz val="11"/>
        <color theme="1"/>
        <rFont val="黑体"/>
        <family val="3"/>
        <charset val="134"/>
      </rPr>
      <t>全球</t>
    </r>
    <r>
      <rPr>
        <sz val="11"/>
        <color theme="1"/>
        <rFont val="Arial"/>
        <family val="2"/>
      </rPr>
      <t>NAND</t>
    </r>
    <r>
      <rPr>
        <sz val="11"/>
        <color theme="1"/>
        <rFont val="黑体"/>
        <family val="3"/>
        <charset val="134"/>
      </rPr>
      <t>芯片市场规模（亿美元）</t>
    </r>
    <phoneticPr fontId="42" type="noConversion"/>
  </si>
  <si>
    <r>
      <rPr>
        <sz val="11"/>
        <color theme="1"/>
        <rFont val="黑体"/>
        <family val="3"/>
        <charset val="134"/>
      </rPr>
      <t>资料来源：</t>
    </r>
    <r>
      <rPr>
        <sz val="11"/>
        <color theme="1"/>
        <rFont val="Arial"/>
        <family val="2"/>
      </rPr>
      <t>CFM</t>
    </r>
    <r>
      <rPr>
        <sz val="11"/>
        <color theme="1"/>
        <rFont val="黑体"/>
        <family val="3"/>
        <charset val="134"/>
      </rPr>
      <t>闪存市场，</t>
    </r>
    <r>
      <rPr>
        <sz val="11"/>
        <color theme="1"/>
        <rFont val="Arial"/>
        <family val="2"/>
      </rPr>
      <t>Yole</t>
    </r>
    <r>
      <rPr>
        <sz val="11"/>
        <color theme="1"/>
        <rFont val="黑体"/>
        <family val="3"/>
        <charset val="134"/>
      </rPr>
      <t>（</t>
    </r>
    <r>
      <rPr>
        <sz val="11"/>
        <color theme="1"/>
        <rFont val="Arial"/>
        <family val="2"/>
      </rPr>
      <t>2021Q2</t>
    </r>
    <r>
      <rPr>
        <sz val="11"/>
        <color theme="1"/>
        <rFont val="黑体"/>
        <family val="3"/>
        <charset val="134"/>
      </rPr>
      <t>预测）</t>
    </r>
    <phoneticPr fontId="42" type="noConversion"/>
  </si>
  <si>
    <r>
      <rPr>
        <sz val="11"/>
        <color theme="1"/>
        <rFont val="黑体"/>
        <family val="3"/>
        <charset val="134"/>
      </rPr>
      <t>根据</t>
    </r>
    <r>
      <rPr>
        <sz val="11"/>
        <color theme="1"/>
        <rFont val="Arial"/>
        <family val="2"/>
      </rPr>
      <t>CFM</t>
    </r>
    <r>
      <rPr>
        <sz val="11"/>
        <color theme="1"/>
        <rFont val="黑体"/>
        <family val="3"/>
        <charset val="134"/>
      </rPr>
      <t>闪存市场统计，</t>
    </r>
    <r>
      <rPr>
        <sz val="11"/>
        <color theme="1"/>
        <rFont val="Arial"/>
        <family val="2"/>
      </rPr>
      <t>2021Q4</t>
    </r>
    <r>
      <rPr>
        <sz val="11"/>
        <color theme="1"/>
        <rFont val="黑体"/>
        <family val="3"/>
        <charset val="134"/>
      </rPr>
      <t>全球</t>
    </r>
    <r>
      <rPr>
        <sz val="11"/>
        <color theme="1"/>
        <rFont val="Arial"/>
        <family val="2"/>
      </rPr>
      <t>NAND Flash</t>
    </r>
    <r>
      <rPr>
        <sz val="11"/>
        <color theme="1"/>
        <rFont val="黑体"/>
        <family val="3"/>
        <charset val="134"/>
      </rPr>
      <t>市场中三星、铠侠份额分别为</t>
    </r>
    <r>
      <rPr>
        <sz val="11"/>
        <color theme="1"/>
        <rFont val="Arial"/>
        <family val="2"/>
      </rPr>
      <t>34%/19%</t>
    </r>
    <r>
      <rPr>
        <sz val="11"/>
        <color theme="1"/>
        <rFont val="黑体"/>
        <family val="3"/>
        <charset val="134"/>
      </rPr>
      <t>，</t>
    </r>
    <r>
      <rPr>
        <sz val="11"/>
        <color theme="1"/>
        <rFont val="Arial"/>
        <family val="2"/>
      </rPr>
      <t>CR2</t>
    </r>
    <r>
      <rPr>
        <sz val="11"/>
        <color theme="1"/>
        <rFont val="黑体"/>
        <family val="3"/>
        <charset val="134"/>
      </rPr>
      <t>达</t>
    </r>
    <r>
      <rPr>
        <sz val="11"/>
        <color theme="1"/>
        <rFont val="Arial"/>
        <family val="2"/>
      </rPr>
      <t>53%</t>
    </r>
    <r>
      <rPr>
        <sz val="11"/>
        <color theme="1"/>
        <rFont val="黑体"/>
        <family val="3"/>
        <charset val="134"/>
      </rPr>
      <t>，</t>
    </r>
    <r>
      <rPr>
        <sz val="11"/>
        <color theme="1"/>
        <rFont val="Arial"/>
        <family val="2"/>
      </rPr>
      <t>SK</t>
    </r>
    <r>
      <rPr>
        <sz val="11"/>
        <color theme="1"/>
        <rFont val="黑体"/>
        <family val="3"/>
        <charset val="134"/>
      </rPr>
      <t>海力士、西部数据、美光、英特尔次之，</t>
    </r>
    <r>
      <rPr>
        <sz val="11"/>
        <color theme="1"/>
        <rFont val="Arial"/>
        <family val="2"/>
      </rPr>
      <t>CR6</t>
    </r>
    <r>
      <rPr>
        <sz val="11"/>
        <color theme="1"/>
        <rFont val="黑体"/>
        <family val="3"/>
        <charset val="134"/>
      </rPr>
      <t>达</t>
    </r>
    <r>
      <rPr>
        <sz val="11"/>
        <color theme="1"/>
        <rFont val="Arial"/>
        <family val="2"/>
      </rPr>
      <t>97%</t>
    </r>
    <r>
      <rPr>
        <sz val="11"/>
        <color theme="1"/>
        <rFont val="黑体"/>
        <family val="3"/>
        <charset val="134"/>
      </rPr>
      <t>。</t>
    </r>
    <phoneticPr fontId="42" type="noConversion"/>
  </si>
  <si>
    <r>
      <rPr>
        <b/>
        <sz val="11"/>
        <color theme="1"/>
        <rFont val="黑体"/>
        <family val="3"/>
        <charset val="134"/>
      </rPr>
      <t>根据</t>
    </r>
    <r>
      <rPr>
        <b/>
        <sz val="11"/>
        <color theme="1"/>
        <rFont val="Arial"/>
        <family val="2"/>
      </rPr>
      <t>CINNO Research</t>
    </r>
    <r>
      <rPr>
        <b/>
        <sz val="11"/>
        <color theme="1"/>
        <rFont val="黑体"/>
        <family val="3"/>
        <charset val="134"/>
      </rPr>
      <t>数据，近年来美国厂商赛普拉斯、美光等逐步退出</t>
    </r>
    <r>
      <rPr>
        <b/>
        <sz val="11"/>
        <color theme="1"/>
        <rFont val="Arial"/>
        <family val="2"/>
      </rPr>
      <t>NOR Flash</t>
    </r>
    <r>
      <rPr>
        <b/>
        <sz val="11"/>
        <color theme="1"/>
        <rFont val="黑体"/>
        <family val="3"/>
        <charset val="134"/>
      </rPr>
      <t>市场，中国大陆</t>
    </r>
    <r>
      <rPr>
        <b/>
        <sz val="11"/>
        <color theme="1"/>
        <rFont val="Arial"/>
        <family val="2"/>
      </rPr>
      <t>/</t>
    </r>
    <r>
      <rPr>
        <b/>
        <sz val="11"/>
        <color theme="1"/>
        <rFont val="黑体"/>
        <family val="3"/>
        <charset val="134"/>
      </rPr>
      <t>中国台湾厂商华邦、旺宏、兆易创新等逐步承接产能，</t>
    </r>
    <r>
      <rPr>
        <b/>
        <sz val="11"/>
        <color theme="1"/>
        <rFont val="Arial"/>
        <family val="2"/>
      </rPr>
      <t>2020</t>
    </r>
    <r>
      <rPr>
        <b/>
        <sz val="11"/>
        <color theme="1"/>
        <rFont val="黑体"/>
        <family val="3"/>
        <charset val="134"/>
      </rPr>
      <t>年全球</t>
    </r>
    <r>
      <rPr>
        <b/>
        <sz val="11"/>
        <color theme="1"/>
        <rFont val="Arial"/>
        <family val="2"/>
      </rPr>
      <t>NOR Flash</t>
    </r>
    <r>
      <rPr>
        <b/>
        <sz val="11"/>
        <color theme="1"/>
        <rFont val="黑体"/>
        <family val="3"/>
        <charset val="134"/>
      </rPr>
      <t>市场中旺宏、华邦、赛普莱斯、兆易创新、美光占比分别为</t>
    </r>
    <r>
      <rPr>
        <b/>
        <sz val="11"/>
        <color theme="1"/>
        <rFont val="Arial"/>
        <family val="2"/>
      </rPr>
      <t>25.4%/22.5%/15.6%/10.9%/4.0%</t>
    </r>
    <r>
      <rPr>
        <b/>
        <sz val="11"/>
        <color theme="1"/>
        <rFont val="黑体"/>
        <family val="3"/>
        <charset val="134"/>
      </rPr>
      <t>，</t>
    </r>
    <r>
      <rPr>
        <b/>
        <sz val="11"/>
        <color theme="1"/>
        <rFont val="Arial"/>
        <family val="2"/>
      </rPr>
      <t>CR5</t>
    </r>
    <r>
      <rPr>
        <b/>
        <sz val="11"/>
        <color theme="1"/>
        <rFont val="黑体"/>
        <family val="3"/>
        <charset val="134"/>
      </rPr>
      <t>合计为</t>
    </r>
    <r>
      <rPr>
        <b/>
        <sz val="11"/>
        <color theme="1"/>
        <rFont val="Arial"/>
        <family val="2"/>
      </rPr>
      <t>88.4%</t>
    </r>
    <r>
      <rPr>
        <b/>
        <sz val="11"/>
        <color theme="1"/>
        <rFont val="黑体"/>
        <family val="3"/>
        <charset val="134"/>
      </rPr>
      <t>。根据</t>
    </r>
    <r>
      <rPr>
        <b/>
        <sz val="11"/>
        <color theme="1"/>
        <rFont val="Arial"/>
        <family val="2"/>
      </rPr>
      <t>Omdia</t>
    </r>
    <r>
      <rPr>
        <b/>
        <sz val="11"/>
        <color theme="1"/>
        <rFont val="黑体"/>
        <family val="3"/>
        <charset val="134"/>
      </rPr>
      <t>统计，</t>
    </r>
    <r>
      <rPr>
        <b/>
        <sz val="11"/>
        <color theme="1"/>
        <rFont val="Arial"/>
        <family val="2"/>
      </rPr>
      <t>2020</t>
    </r>
    <r>
      <rPr>
        <b/>
        <sz val="11"/>
        <color theme="1"/>
        <rFont val="黑体"/>
        <family val="3"/>
        <charset val="134"/>
      </rPr>
      <t>、</t>
    </r>
    <r>
      <rPr>
        <b/>
        <sz val="11"/>
        <color theme="1"/>
        <rFont val="Arial"/>
        <family val="2"/>
      </rPr>
      <t>2021</t>
    </r>
    <r>
      <rPr>
        <b/>
        <sz val="11"/>
        <color theme="1"/>
        <rFont val="黑体"/>
        <family val="3"/>
        <charset val="134"/>
      </rPr>
      <t>年公司</t>
    </r>
    <r>
      <rPr>
        <b/>
        <sz val="11"/>
        <color theme="1"/>
        <rFont val="Arial"/>
        <family val="2"/>
      </rPr>
      <t>NOR Flash</t>
    </r>
    <r>
      <rPr>
        <b/>
        <sz val="11"/>
        <color theme="1"/>
        <rFont val="黑体"/>
        <family val="3"/>
        <charset val="134"/>
      </rPr>
      <t>产品收入在全球均位居第</t>
    </r>
    <r>
      <rPr>
        <b/>
        <sz val="11"/>
        <color theme="1"/>
        <rFont val="Arial"/>
        <family val="2"/>
      </rPr>
      <t>6</t>
    </r>
    <r>
      <rPr>
        <b/>
        <sz val="11"/>
        <color theme="1"/>
        <rFont val="黑体"/>
        <family val="3"/>
        <charset val="134"/>
      </rPr>
      <t>位</t>
    </r>
    <phoneticPr fontId="42" type="noConversion"/>
  </si>
  <si>
    <r>
      <rPr>
        <sz val="11"/>
        <color theme="1"/>
        <rFont val="黑体"/>
        <family val="3"/>
        <charset val="134"/>
      </rPr>
      <t>全球车载</t>
    </r>
    <r>
      <rPr>
        <sz val="11"/>
        <color theme="1"/>
        <rFont val="Arial"/>
        <family val="2"/>
      </rPr>
      <t>NOR</t>
    </r>
    <r>
      <rPr>
        <sz val="11"/>
        <color theme="1"/>
        <rFont val="黑体"/>
        <family val="3"/>
        <charset val="134"/>
      </rPr>
      <t>市场规模（亿美元）</t>
    </r>
    <phoneticPr fontId="42" type="noConversion"/>
  </si>
  <si>
    <r>
      <rPr>
        <sz val="11"/>
        <color theme="1"/>
        <rFont val="黑体"/>
        <family val="3"/>
        <charset val="134"/>
      </rPr>
      <t>全球车载</t>
    </r>
    <r>
      <rPr>
        <sz val="11"/>
        <color theme="1"/>
        <rFont val="Arial"/>
        <family val="2"/>
      </rPr>
      <t>NAND</t>
    </r>
    <r>
      <rPr>
        <sz val="11"/>
        <color theme="1"/>
        <rFont val="黑体"/>
        <family val="3"/>
        <charset val="134"/>
      </rPr>
      <t>市场规模（亿美元）</t>
    </r>
    <phoneticPr fontId="42" type="noConversion"/>
  </si>
  <si>
    <r>
      <t>NOR</t>
    </r>
    <r>
      <rPr>
        <sz val="11"/>
        <color theme="1"/>
        <rFont val="黑体"/>
        <family val="3"/>
        <charset val="134"/>
      </rPr>
      <t>一般</t>
    </r>
    <r>
      <rPr>
        <sz val="11"/>
        <color theme="1"/>
        <rFont val="Arial"/>
        <family val="2"/>
      </rPr>
      <t>512Kb</t>
    </r>
    <r>
      <rPr>
        <sz val="11"/>
        <color theme="1"/>
        <rFont val="黑体"/>
        <family val="3"/>
        <charset val="134"/>
      </rPr>
      <t>在</t>
    </r>
    <r>
      <rPr>
        <sz val="11"/>
        <color theme="1"/>
        <rFont val="Arial"/>
        <family val="2"/>
      </rPr>
      <t>0.4</t>
    </r>
    <r>
      <rPr>
        <sz val="11"/>
        <color theme="1"/>
        <rFont val="黑体"/>
        <family val="3"/>
        <charset val="134"/>
      </rPr>
      <t>美金，公司均价在</t>
    </r>
    <r>
      <rPr>
        <sz val="11"/>
        <color theme="1"/>
        <rFont val="Arial"/>
        <family val="2"/>
      </rPr>
      <t>0.3</t>
    </r>
    <r>
      <rPr>
        <sz val="11"/>
        <color theme="1"/>
        <rFont val="黑体"/>
        <family val="3"/>
        <charset val="134"/>
      </rPr>
      <t>美金左右</t>
    </r>
    <phoneticPr fontId="42" type="noConversion"/>
  </si>
  <si>
    <r>
      <t>NOR Flash</t>
    </r>
    <r>
      <rPr>
        <sz val="11"/>
        <color theme="1"/>
        <rFont val="黑体"/>
        <family val="3"/>
        <charset val="134"/>
      </rPr>
      <t>包含串口型和并口型结构，具备</t>
    </r>
    <r>
      <rPr>
        <sz val="11"/>
        <color theme="1"/>
        <rFont val="Arial"/>
        <family val="2"/>
      </rPr>
      <t>256Kb~1Gb</t>
    </r>
    <r>
      <rPr>
        <sz val="11"/>
        <color theme="1"/>
        <rFont val="黑体"/>
        <family val="3"/>
        <charset val="134"/>
      </rPr>
      <t>等规格，最新制程为</t>
    </r>
    <r>
      <rPr>
        <sz val="11"/>
        <color theme="1"/>
        <rFont val="Arial"/>
        <family val="2"/>
      </rPr>
      <t>50nm</t>
    </r>
    <phoneticPr fontId="42" type="noConversion"/>
  </si>
  <si>
    <r>
      <t xml:space="preserve">      1.2 </t>
    </r>
    <r>
      <rPr>
        <b/>
        <sz val="11"/>
        <color theme="1"/>
        <rFont val="黑体"/>
        <family val="3"/>
        <charset val="134"/>
      </rPr>
      <t>模拟与互联芯片</t>
    </r>
    <phoneticPr fontId="42" type="noConversion"/>
  </si>
  <si>
    <r>
      <t xml:space="preserve">    2 </t>
    </r>
    <r>
      <rPr>
        <b/>
        <sz val="11"/>
        <color theme="1"/>
        <rFont val="黑体"/>
        <family val="3"/>
        <charset val="134"/>
      </rPr>
      <t>北京君正（仅芯片）</t>
    </r>
    <phoneticPr fontId="42" type="noConversion"/>
  </si>
  <si>
    <r>
      <t xml:space="preserve">      1.2.1 </t>
    </r>
    <r>
      <rPr>
        <b/>
        <sz val="11"/>
        <color theme="1"/>
        <rFont val="黑体"/>
        <family val="3"/>
        <charset val="134"/>
      </rPr>
      <t>智能视频芯片</t>
    </r>
    <phoneticPr fontId="42" type="noConversion"/>
  </si>
  <si>
    <r>
      <rPr>
        <sz val="11"/>
        <color theme="1"/>
        <rFont val="黑体"/>
        <family val="3"/>
        <charset val="134"/>
      </rPr>
      <t>在君正占比</t>
    </r>
    <phoneticPr fontId="42" type="noConversion"/>
  </si>
  <si>
    <r>
      <t xml:space="preserve">      1.2.2 </t>
    </r>
    <r>
      <rPr>
        <b/>
        <sz val="11"/>
        <color theme="1"/>
        <rFont val="黑体"/>
        <family val="3"/>
        <charset val="134"/>
      </rPr>
      <t>微处理器芯片</t>
    </r>
    <phoneticPr fontId="42" type="noConversion"/>
  </si>
  <si>
    <r>
      <t xml:space="preserve">  2. </t>
    </r>
    <r>
      <rPr>
        <b/>
        <sz val="11"/>
        <color theme="1"/>
        <rFont val="黑体"/>
        <family val="3"/>
        <charset val="134"/>
      </rPr>
      <t>技术服务（矽成技术授权）</t>
    </r>
    <phoneticPr fontId="42" type="noConversion"/>
  </si>
  <si>
    <r>
      <t xml:space="preserve">  3. </t>
    </r>
    <r>
      <rPr>
        <b/>
        <sz val="11"/>
        <color theme="1"/>
        <rFont val="黑体"/>
        <family val="3"/>
        <charset val="134"/>
      </rPr>
      <t>其他主营业务</t>
    </r>
    <phoneticPr fontId="42" type="noConversion"/>
  </si>
  <si>
    <r>
      <t xml:space="preserve">  4. </t>
    </r>
    <r>
      <rPr>
        <b/>
        <sz val="11"/>
        <color theme="1"/>
        <rFont val="黑体"/>
        <family val="3"/>
        <charset val="134"/>
      </rPr>
      <t>其他业务（房租收入）</t>
    </r>
    <phoneticPr fontId="42" type="noConversion"/>
  </si>
  <si>
    <r>
      <rPr>
        <b/>
        <sz val="11"/>
        <color theme="1"/>
        <rFont val="黑体"/>
        <family val="3"/>
        <charset val="134"/>
      </rPr>
      <t>北京矽成</t>
    </r>
    <phoneticPr fontId="42" type="noConversion"/>
  </si>
  <si>
    <r>
      <t xml:space="preserve">    </t>
    </r>
    <r>
      <rPr>
        <sz val="11"/>
        <color theme="1"/>
        <rFont val="黑体"/>
        <family val="3"/>
        <charset val="134"/>
      </rPr>
      <t>存储芯片</t>
    </r>
    <phoneticPr fontId="42" type="noConversion"/>
  </si>
  <si>
    <t xml:space="preserve">        FLASH</t>
    <phoneticPr fontId="42" type="noConversion"/>
  </si>
  <si>
    <r>
      <t xml:space="preserve">    </t>
    </r>
    <r>
      <rPr>
        <sz val="11"/>
        <color theme="1"/>
        <rFont val="黑体"/>
        <family val="3"/>
        <charset val="134"/>
      </rPr>
      <t>模拟与互联芯片</t>
    </r>
  </si>
  <si>
    <r>
      <rPr>
        <b/>
        <sz val="11"/>
        <color theme="1"/>
        <rFont val="黑体"/>
        <family val="3"/>
        <charset val="134"/>
      </rPr>
      <t>北京君正</t>
    </r>
    <r>
      <rPr>
        <b/>
        <sz val="11"/>
        <color theme="1"/>
        <rFont val="Arial"/>
        <family val="2"/>
      </rPr>
      <t>+</t>
    </r>
    <r>
      <rPr>
        <b/>
        <sz val="11"/>
        <color theme="1"/>
        <rFont val="黑体"/>
        <family val="3"/>
        <charset val="134"/>
      </rPr>
      <t>其他</t>
    </r>
    <phoneticPr fontId="42" type="noConversion"/>
  </si>
  <si>
    <r>
      <t xml:space="preserve">    </t>
    </r>
    <r>
      <rPr>
        <sz val="11"/>
        <color theme="1"/>
        <rFont val="黑体"/>
        <family val="3"/>
        <charset val="134"/>
      </rPr>
      <t>智能视频芯片</t>
    </r>
    <phoneticPr fontId="42" type="noConversion"/>
  </si>
  <si>
    <r>
      <t xml:space="preserve">    </t>
    </r>
    <r>
      <rPr>
        <sz val="11"/>
        <color theme="1"/>
        <rFont val="黑体"/>
        <family val="3"/>
        <charset val="134"/>
      </rPr>
      <t>微处理器芯片</t>
    </r>
    <phoneticPr fontId="42" type="noConversion"/>
  </si>
  <si>
    <r>
      <t xml:space="preserve">    </t>
    </r>
    <r>
      <rPr>
        <sz val="11"/>
        <color theme="1"/>
        <rFont val="黑体"/>
        <family val="3"/>
        <charset val="134"/>
      </rPr>
      <t>其他三项业务</t>
    </r>
    <phoneticPr fontId="42" type="noConversion"/>
  </si>
  <si>
    <r>
      <rPr>
        <b/>
        <sz val="11"/>
        <color theme="1"/>
        <rFont val="黑体"/>
        <family val="3"/>
        <charset val="134"/>
      </rPr>
      <t>营收占比</t>
    </r>
    <phoneticPr fontId="42" type="noConversion"/>
  </si>
  <si>
    <r>
      <rPr>
        <b/>
        <sz val="11"/>
        <color theme="1"/>
        <rFont val="黑体"/>
        <family val="3"/>
        <charset val="134"/>
      </rPr>
      <t>净利润</t>
    </r>
    <phoneticPr fontId="42" type="noConversion"/>
  </si>
  <si>
    <r>
      <t xml:space="preserve">    </t>
    </r>
    <r>
      <rPr>
        <sz val="11"/>
        <color theme="1"/>
        <rFont val="黑体"/>
        <family val="3"/>
        <charset val="134"/>
      </rPr>
      <t>收购产生折旧摊销影响</t>
    </r>
    <phoneticPr fontId="42" type="noConversion"/>
  </si>
  <si>
    <r>
      <t xml:space="preserve">    </t>
    </r>
    <r>
      <rPr>
        <sz val="11"/>
        <color theme="1"/>
        <rFont val="黑体"/>
        <family val="3"/>
        <charset val="134"/>
      </rPr>
      <t>股权激励费用</t>
    </r>
    <phoneticPr fontId="42" type="noConversion"/>
  </si>
  <si>
    <r>
      <t xml:space="preserve">    </t>
    </r>
    <r>
      <rPr>
        <sz val="11"/>
        <color theme="1"/>
        <rFont val="黑体"/>
        <family val="3"/>
        <charset val="134"/>
      </rPr>
      <t>互联亏损</t>
    </r>
    <phoneticPr fontId="42" type="noConversion"/>
  </si>
  <si>
    <r>
      <rPr>
        <b/>
        <sz val="11"/>
        <color theme="1"/>
        <rFont val="黑体"/>
        <family val="3"/>
        <charset val="134"/>
      </rPr>
      <t>净利润（仅加回收购影响）</t>
    </r>
    <phoneticPr fontId="42" type="noConversion"/>
  </si>
  <si>
    <r>
      <rPr>
        <b/>
        <sz val="11"/>
        <color theme="1"/>
        <rFont val="黑体"/>
        <family val="3"/>
        <charset val="134"/>
      </rPr>
      <t>净利润（加回收购影响、互联亏损）</t>
    </r>
    <phoneticPr fontId="42" type="noConversion"/>
  </si>
  <si>
    <r>
      <rPr>
        <b/>
        <sz val="11"/>
        <color theme="1"/>
        <rFont val="黑体"/>
        <family val="3"/>
        <charset val="134"/>
      </rPr>
      <t>净利润（加回回购影响、股份支付影响）</t>
    </r>
    <phoneticPr fontId="42" type="noConversion"/>
  </si>
  <si>
    <r>
      <rPr>
        <sz val="11"/>
        <color theme="1"/>
        <rFont val="黑体"/>
        <family val="3"/>
        <charset val="134"/>
      </rPr>
      <t>净利润率</t>
    </r>
    <r>
      <rPr>
        <sz val="11"/>
        <color theme="1"/>
        <rFont val="Arial"/>
        <family val="2"/>
      </rPr>
      <t>(</t>
    </r>
    <r>
      <rPr>
        <sz val="11"/>
        <color theme="1"/>
        <rFont val="黑体"/>
        <family val="3"/>
        <charset val="134"/>
      </rPr>
      <t>还原）</t>
    </r>
    <phoneticPr fontId="42" type="noConversion"/>
  </si>
  <si>
    <r>
      <rPr>
        <sz val="11"/>
        <color theme="1"/>
        <rFont val="黑体"/>
        <family val="3"/>
        <charset val="134"/>
      </rPr>
      <t>测算费用率</t>
    </r>
    <phoneticPr fontId="42" type="noConversion"/>
  </si>
  <si>
    <r>
      <rPr>
        <b/>
        <sz val="11"/>
        <color theme="1"/>
        <rFont val="黑体"/>
        <family val="3"/>
        <charset val="134"/>
      </rPr>
      <t>净利润贡献年报拆分</t>
    </r>
    <phoneticPr fontId="42" type="noConversion"/>
  </si>
  <si>
    <t>占比</t>
    <phoneticPr fontId="42" type="noConversion"/>
  </si>
  <si>
    <r>
      <rPr>
        <b/>
        <sz val="11"/>
        <color theme="1"/>
        <rFont val="黑体"/>
        <family val="3"/>
        <charset val="134"/>
      </rPr>
      <t>净利润贡献测算</t>
    </r>
    <phoneticPr fontId="42" type="noConversion"/>
  </si>
  <si>
    <r>
      <t xml:space="preserve">    </t>
    </r>
    <r>
      <rPr>
        <sz val="11"/>
        <color theme="1"/>
        <rFont val="黑体"/>
        <family val="3"/>
        <charset val="134"/>
      </rPr>
      <t>模拟与互联芯片</t>
    </r>
    <phoneticPr fontId="42" type="noConversion"/>
  </si>
  <si>
    <r>
      <rPr>
        <b/>
        <sz val="11"/>
        <color theme="1"/>
        <rFont val="黑体"/>
        <family val="3"/>
        <charset val="134"/>
      </rPr>
      <t>北京君正</t>
    </r>
    <phoneticPr fontId="42" type="noConversion"/>
  </si>
  <si>
    <r>
      <rPr>
        <b/>
        <sz val="11"/>
        <color theme="1"/>
        <rFont val="黑体"/>
        <family val="3"/>
        <charset val="134"/>
      </rPr>
      <t>其他</t>
    </r>
    <phoneticPr fontId="42" type="noConversion"/>
  </si>
  <si>
    <r>
      <rPr>
        <b/>
        <sz val="11"/>
        <color theme="1"/>
        <rFont val="黑体"/>
        <family val="3"/>
        <charset val="134"/>
      </rPr>
      <t>净利润占比</t>
    </r>
    <phoneticPr fontId="42" type="noConversion"/>
  </si>
  <si>
    <t>DRAM</t>
    <phoneticPr fontId="42" type="noConversion"/>
  </si>
  <si>
    <t>FLASH</t>
    <phoneticPr fontId="42" type="noConversion"/>
  </si>
  <si>
    <t>SRAM</t>
    <phoneticPr fontId="42" type="noConversion"/>
  </si>
  <si>
    <r>
      <rPr>
        <b/>
        <sz val="11"/>
        <color theme="1"/>
        <rFont val="黑体"/>
        <family val="3"/>
        <charset val="134"/>
      </rPr>
      <t>存储芯片</t>
    </r>
    <r>
      <rPr>
        <b/>
        <sz val="11"/>
        <color theme="1"/>
        <rFont val="Arial"/>
        <family val="2"/>
      </rPr>
      <t>YoY</t>
    </r>
    <phoneticPr fontId="42" type="noConversion"/>
  </si>
  <si>
    <r>
      <rPr>
        <sz val="11"/>
        <color theme="1"/>
        <rFont val="黑体"/>
        <family val="3"/>
        <charset val="134"/>
      </rPr>
      <t>模拟与互联芯片</t>
    </r>
    <phoneticPr fontId="42" type="noConversion"/>
  </si>
  <si>
    <r>
      <rPr>
        <sz val="11"/>
        <color theme="1"/>
        <rFont val="黑体"/>
        <family val="3"/>
        <charset val="134"/>
      </rPr>
      <t>智能视频芯片</t>
    </r>
    <phoneticPr fontId="42" type="noConversion"/>
  </si>
  <si>
    <r>
      <rPr>
        <sz val="11"/>
        <color theme="1"/>
        <rFont val="黑体"/>
        <family val="3"/>
        <charset val="134"/>
      </rPr>
      <t>微处理器芯片</t>
    </r>
    <phoneticPr fontId="42" type="noConversion"/>
  </si>
  <si>
    <r>
      <t xml:space="preserve">        </t>
    </r>
    <r>
      <rPr>
        <b/>
        <sz val="11"/>
        <color theme="1"/>
        <rFont val="黑体"/>
        <family val="3"/>
        <charset val="134"/>
      </rPr>
      <t>毛利率</t>
    </r>
    <phoneticPr fontId="42" type="noConversion"/>
  </si>
  <si>
    <r>
      <rPr>
        <b/>
        <sz val="10"/>
        <color rgb="FFFF0000"/>
        <rFont val="黑体"/>
        <family val="3"/>
        <charset val="134"/>
      </rPr>
      <t>单位：百万元</t>
    </r>
    <phoneticPr fontId="42" type="noConversion"/>
  </si>
  <si>
    <r>
      <rPr>
        <b/>
        <sz val="10"/>
        <color theme="1"/>
        <rFont val="黑体"/>
        <family val="3"/>
        <charset val="134"/>
      </rPr>
      <t>历史数据</t>
    </r>
    <phoneticPr fontId="42" type="noConversion"/>
  </si>
  <si>
    <r>
      <rPr>
        <b/>
        <sz val="10"/>
        <color theme="1"/>
        <rFont val="黑体"/>
        <family val="3"/>
        <charset val="134"/>
      </rPr>
      <t>预测数据</t>
    </r>
    <phoneticPr fontId="42" type="noConversion"/>
  </si>
  <si>
    <r>
      <rPr>
        <sz val="10"/>
        <color theme="1"/>
        <rFont val="黑体"/>
        <family val="3"/>
        <charset val="134"/>
      </rPr>
      <t>营业收入合计</t>
    </r>
    <phoneticPr fontId="42" type="noConversion"/>
  </si>
  <si>
    <r>
      <rPr>
        <sz val="10"/>
        <color theme="1"/>
        <rFont val="黑体"/>
        <family val="3"/>
        <charset val="134"/>
      </rPr>
      <t>营业成本合计</t>
    </r>
    <phoneticPr fontId="42" type="noConversion"/>
  </si>
  <si>
    <r>
      <rPr>
        <sz val="10"/>
        <color theme="1"/>
        <rFont val="黑体"/>
        <family val="3"/>
        <charset val="134"/>
      </rPr>
      <t>其他业务收入（金融类）</t>
    </r>
    <phoneticPr fontId="42" type="noConversion"/>
  </si>
  <si>
    <r>
      <rPr>
        <sz val="10"/>
        <color theme="1"/>
        <rFont val="黑体"/>
        <family val="3"/>
        <charset val="134"/>
      </rPr>
      <t>其他业务成本（金融类）</t>
    </r>
    <phoneticPr fontId="42" type="noConversion"/>
  </si>
  <si>
    <t xml:space="preserve">    存储毛利率</t>
    <phoneticPr fontId="42" type="noConversion"/>
  </si>
  <si>
    <t>在存储占比</t>
    <phoneticPr fontId="42" type="noConversion"/>
  </si>
  <si>
    <t>保持上一年数据</t>
    <phoneticPr fontId="35" type="noConversion"/>
  </si>
  <si>
    <t>请输入评级</t>
  </si>
  <si>
    <t>严重错误</t>
  </si>
  <si>
    <t>首页$C$25</t>
  </si>
  <si>
    <t>请输入评级变动</t>
  </si>
  <si>
    <t>首页$C$26</t>
  </si>
  <si>
    <t>财务附注信息为空,请确认</t>
  </si>
  <si>
    <t>警告提醒</t>
  </si>
  <si>
    <t>历史数据及预测表$D$190</t>
  </si>
  <si>
    <t>历史数据及预测表$E$190</t>
  </si>
  <si>
    <t>历史数据及预测表$F$190</t>
  </si>
  <si>
    <t>历史数据及预测表$G$190</t>
  </si>
  <si>
    <t>历史数据及预测表$H$190</t>
  </si>
  <si>
    <t>历史数据及预测表$D$199</t>
  </si>
  <si>
    <t>历史数据及预测表$E$199</t>
  </si>
  <si>
    <t>历史数据及预测表$F$199</t>
  </si>
  <si>
    <t>历史数据及预测表$G$199</t>
  </si>
  <si>
    <t>历史数据及预测表$H$199</t>
  </si>
  <si>
    <t>历史数据及预测表$D$245</t>
  </si>
  <si>
    <t>历史数据及预测表$E$245</t>
  </si>
  <si>
    <t>历史数据及预测表$F$245</t>
  </si>
  <si>
    <t>历史数据及预测表$G$245</t>
  </si>
  <si>
    <t>历史数据及预测表$H$245</t>
  </si>
  <si>
    <t>历史数据及预测表$F$249</t>
  </si>
  <si>
    <t>历史数据及预测表$G$249</t>
  </si>
  <si>
    <t>历史数据及预测表$H$249</t>
  </si>
  <si>
    <t>历史数据及预测表$D$252</t>
  </si>
  <si>
    <t>历史数据及预测表$E$252</t>
  </si>
  <si>
    <t>历史数据及预测表$F$252</t>
  </si>
  <si>
    <t>历史数据及预测表$G$252</t>
  </si>
  <si>
    <t>历史数据及预测表$H$252</t>
  </si>
  <si>
    <t>历史数据及预测表$D$253</t>
  </si>
  <si>
    <t>历史数据及预测表$E$253</t>
  </si>
  <si>
    <t>历史数据及预测表$F$253</t>
  </si>
  <si>
    <t>历史数据及预测表$G$253</t>
  </si>
  <si>
    <t>历史数据及预测表$H$253</t>
  </si>
  <si>
    <t>历史数据及预测表$D$254</t>
  </si>
  <si>
    <t>历史数据及预测表$E$254</t>
  </si>
  <si>
    <t>历史数据及预测表$F$254</t>
  </si>
  <si>
    <t>历史数据及预测表$G$254</t>
  </si>
  <si>
    <t>历史数据及预测表$H$254</t>
  </si>
  <si>
    <t>历史数据及预测表$D$255</t>
  </si>
  <si>
    <t>历史数据及预测表$E$255</t>
  </si>
  <si>
    <t>历史数据及预测表$F$255</t>
  </si>
  <si>
    <t>历史数据及预测表$G$255</t>
  </si>
  <si>
    <t>历史数据及预测表$H$255</t>
  </si>
  <si>
    <t>历史数据及预测表$D$256</t>
  </si>
  <si>
    <t>历史数据及预测表$E$256</t>
  </si>
  <si>
    <t>历史数据及预测表$F$256</t>
  </si>
  <si>
    <t>历史数据及预测表$G$256</t>
  </si>
  <si>
    <t>历史数据及预测表$H$256</t>
  </si>
  <si>
    <t>历史数据及预测表$D$257</t>
  </si>
  <si>
    <t>历史数据及预测表$E$257</t>
  </si>
  <si>
    <t>历史数据及预测表$F$257</t>
  </si>
  <si>
    <t>历史数据及预测表$G$257</t>
  </si>
  <si>
    <t>历史数据及预测表$H$257</t>
  </si>
  <si>
    <t>历史数据及预测表$D$259</t>
  </si>
  <si>
    <t>历史数据及预测表$E$259</t>
  </si>
  <si>
    <t>历史数据及预测表$F$259</t>
  </si>
  <si>
    <t>历史数据及预测表$G$259</t>
  </si>
  <si>
    <t>历史数据及预测表$H$259</t>
  </si>
  <si>
    <t>历史数据及预测表$D$260</t>
  </si>
  <si>
    <t>历史数据及预测表$E$260</t>
  </si>
  <si>
    <t>历史数据及预测表$F$260</t>
  </si>
  <si>
    <t>历史数据及预测表$G$260</t>
  </si>
  <si>
    <t>历史数据及预测表$H$260</t>
  </si>
  <si>
    <t>历史数据及预测表$D$261</t>
  </si>
  <si>
    <t>历史数据及预测表$E$261</t>
  </si>
  <si>
    <t>历史数据及预测表$F$261</t>
  </si>
  <si>
    <t>历史数据及预测表$G$261</t>
  </si>
  <si>
    <t>历史数据及预测表$H$261</t>
  </si>
  <si>
    <t>历史数据及预测表$D$262</t>
  </si>
  <si>
    <t>历史数据及预测表$E$262</t>
  </si>
  <si>
    <t>历史数据及预测表$F$262</t>
  </si>
  <si>
    <t>历史数据及预测表$G$262</t>
  </si>
  <si>
    <t>历史数据及预测表$H$262</t>
  </si>
  <si>
    <t>估值假设数据不能为空</t>
  </si>
  <si>
    <t>假设表$I$148</t>
  </si>
  <si>
    <t>假设表$I$149</t>
  </si>
  <si>
    <t>假设表$I$150</t>
  </si>
  <si>
    <t>假设表$I$151</t>
  </si>
  <si>
    <t>假设表$I$152</t>
  </si>
  <si>
    <t>假设表$I$153</t>
  </si>
  <si>
    <t>假设表$I$154</t>
  </si>
  <si>
    <t>假设表$I$155</t>
  </si>
  <si>
    <t>假设表$I$156</t>
  </si>
  <si>
    <t>可比PE必须大于0</t>
  </si>
  <si>
    <t>假设表$I$157</t>
  </si>
  <si>
    <t>假设表$J$157</t>
  </si>
  <si>
    <t>假设表$K$157</t>
  </si>
  <si>
    <t>假设表$L$157</t>
  </si>
  <si>
    <t>假设表$M$157</t>
  </si>
  <si>
    <t>假设表$N$157</t>
  </si>
  <si>
    <t>假设表$O$157</t>
  </si>
  <si>
    <t>假设表$P$157</t>
  </si>
  <si>
    <t>假设表$Q$157</t>
  </si>
  <si>
    <t>假设表$R$157</t>
  </si>
  <si>
    <t>假设表$S$157</t>
  </si>
  <si>
    <t>假设表$T$157</t>
  </si>
  <si>
    <t>可比PEG必须大于0</t>
  </si>
  <si>
    <t>假设表$I$160</t>
  </si>
  <si>
    <t>假设表$J$160</t>
  </si>
  <si>
    <t>假设表$K$160</t>
  </si>
  <si>
    <t>假设表$L$160</t>
  </si>
  <si>
    <t>假设表$M$160</t>
  </si>
  <si>
    <t>假设表$N$160</t>
  </si>
  <si>
    <t>假设表$O$160</t>
  </si>
  <si>
    <t>假设表$P$160</t>
  </si>
  <si>
    <t>假设表$Q$160</t>
  </si>
  <si>
    <t>假设表$R$160</t>
  </si>
  <si>
    <t>假设表$S$160</t>
  </si>
  <si>
    <t>假设表$T$160</t>
  </si>
  <si>
    <t>预测增长率该值不能为空</t>
  </si>
  <si>
    <t>假设表$L$161</t>
  </si>
  <si>
    <t>假设表$M$161</t>
  </si>
  <si>
    <t>假设表$N$161</t>
  </si>
  <si>
    <t>假设表$O$161</t>
  </si>
  <si>
    <t>假设表$P$161</t>
  </si>
  <si>
    <t>假设表$Q$161</t>
  </si>
  <si>
    <t>假设表$R$161</t>
  </si>
  <si>
    <t>假设表$S$161</t>
  </si>
  <si>
    <t>假设表$T$161</t>
  </si>
  <si>
    <t>可比EV/EBITDA必须大于0</t>
  </si>
  <si>
    <t>假设表$I$162</t>
  </si>
  <si>
    <t>假设表$J$162</t>
  </si>
  <si>
    <t>假设表$K$162</t>
  </si>
  <si>
    <t>假设表$L$162</t>
  </si>
  <si>
    <t>假设表$M$162</t>
  </si>
  <si>
    <t>假设表$N$162</t>
  </si>
  <si>
    <t>假设表$O$162</t>
  </si>
  <si>
    <t>假设表$P$162</t>
  </si>
  <si>
    <t>假设表$Q$162</t>
  </si>
  <si>
    <t>假设表$R$162</t>
  </si>
  <si>
    <t>假设表$S$162</t>
  </si>
  <si>
    <t>假设表$T$162</t>
  </si>
  <si>
    <t>买入</t>
  </si>
  <si>
    <t>维持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</si>
</sst>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1" formatCode="_ * #,##0_ ;_ * \-#,##0_ ;_ * &quot;-&quot;_ ;_ @_ "/>
    <numFmt numFmtId="43" formatCode="_ * #,##0.00_ ;_ * \-#,##0.00_ ;_ * &quot;-&quot;??_ ;_ @_ "/>
    <numFmt numFmtId="176" formatCode="#,##0.0_ "/>
    <numFmt numFmtId="177" formatCode="_ * #,##0.0_ ;_ * \-#,##0.0_ ;_ * &quot;-&quot;?_ ;_ @_ "/>
    <numFmt numFmtId="178" formatCode="#,##0.00_ ;[Red]\-#,##0.00\ "/>
    <numFmt numFmtId="179" formatCode="#,##0.0_);\(#,##0.0\)"/>
    <numFmt numFmtId="180" formatCode="0.00_ "/>
    <numFmt numFmtId="181" formatCode="#,##0.00_);[Red]\(#,##0.00\)"/>
    <numFmt numFmtId="182" formatCode="0.00_);[Red]\(0.00\)"/>
    <numFmt numFmtId="183" formatCode="0_);[Red]\(0\)"/>
    <numFmt numFmtId="184" formatCode="yyyy/mm/dd"/>
    <numFmt numFmtId="185" formatCode="#,##0_ "/>
    <numFmt numFmtId="186" formatCode="0_ "/>
    <numFmt numFmtId="187" formatCode="0.0%"/>
    <numFmt numFmtId="188" formatCode="#,##0_);[Red]\(#,##0\)"/>
    <numFmt numFmtId="189" formatCode="#,##0.00_ "/>
    <numFmt numFmtId="190" formatCode="_ * #,##0_ ;_ * \-#,##0_ ;_ * &quot;-&quot;??_ ;_ @_ "/>
    <numFmt numFmtId="191" formatCode="_ * #,##0.0_ ;_ * \-#,##0.0_ ;_ * &quot;-&quot;??_ ;_ @_ "/>
    <numFmt numFmtId="192" formatCode="0.0000_ "/>
    <numFmt numFmtId="193" formatCode="_(* #,##0.00_);_(* \(#,##0.00\);_(* &quot;-&quot;??_);_(@_)"/>
  </numFmts>
  <fonts count="69">
    <font>
      <sz val="11"/>
      <color theme="1"/>
      <name val="宋体"/>
      <charset val="134"/>
      <scheme val="minor"/>
    </font>
    <font>
      <sz val="9"/>
      <color theme="1"/>
      <name val="Arial"/>
      <family val="2"/>
    </font>
    <font>
      <b/>
      <sz val="12"/>
      <color theme="1"/>
      <name val="Arial"/>
      <family val="2"/>
    </font>
    <font>
      <sz val="9"/>
      <name val="微软雅黑"/>
      <family val="2"/>
      <charset val="134"/>
    </font>
    <font>
      <sz val="9"/>
      <color indexed="8"/>
      <name val="微软雅黑"/>
      <family val="2"/>
      <charset val="134"/>
    </font>
    <font>
      <b/>
      <sz val="9"/>
      <color indexed="8"/>
      <name val="微软雅黑"/>
      <family val="2"/>
      <charset val="134"/>
    </font>
    <font>
      <sz val="10"/>
      <color theme="1"/>
      <name val="微软雅黑"/>
      <family val="2"/>
      <charset val="134"/>
    </font>
    <font>
      <sz val="10"/>
      <name val="微软雅黑"/>
      <family val="2"/>
      <charset val="134"/>
    </font>
    <font>
      <b/>
      <sz val="10"/>
      <name val="微软雅黑"/>
      <family val="2"/>
      <charset val="134"/>
    </font>
    <font>
      <sz val="10"/>
      <color rgb="FFFF0000"/>
      <name val="微软雅黑"/>
      <family val="2"/>
      <charset val="134"/>
    </font>
    <font>
      <sz val="10"/>
      <color theme="0"/>
      <name val="微软雅黑"/>
      <family val="2"/>
      <charset val="134"/>
    </font>
    <font>
      <b/>
      <sz val="10"/>
      <color theme="1"/>
      <name val="微软雅黑"/>
      <family val="2"/>
      <charset val="134"/>
    </font>
    <font>
      <b/>
      <sz val="10"/>
      <color indexed="10"/>
      <name val="微软雅黑"/>
      <family val="2"/>
      <charset val="134"/>
    </font>
    <font>
      <b/>
      <sz val="11"/>
      <color theme="1"/>
      <name val="微软雅黑"/>
      <family val="2"/>
      <charset val="134"/>
    </font>
    <font>
      <i/>
      <sz val="10"/>
      <color theme="1"/>
      <name val="微软雅黑"/>
      <family val="2"/>
      <charset val="134"/>
    </font>
    <font>
      <b/>
      <sz val="10"/>
      <color rgb="FFFF0000"/>
      <name val="微软雅黑"/>
      <family val="2"/>
      <charset val="134"/>
    </font>
    <font>
      <sz val="11"/>
      <color theme="1"/>
      <name val="微软雅黑"/>
      <family val="2"/>
      <charset val="134"/>
    </font>
    <font>
      <sz val="10"/>
      <color rgb="FF333333"/>
      <name val="微软雅黑"/>
      <family val="2"/>
      <charset val="134"/>
    </font>
    <font>
      <sz val="11"/>
      <color theme="0"/>
      <name val="微软雅黑"/>
      <family val="2"/>
      <charset val="134"/>
    </font>
    <font>
      <b/>
      <sz val="11"/>
      <name val="微软雅黑"/>
      <family val="2"/>
      <charset val="134"/>
    </font>
    <font>
      <sz val="11"/>
      <name val="微软雅黑"/>
      <family val="2"/>
      <charset val="134"/>
    </font>
    <font>
      <b/>
      <i/>
      <sz val="10"/>
      <color theme="1"/>
      <name val="微软雅黑"/>
      <family val="2"/>
      <charset val="134"/>
    </font>
    <font>
      <b/>
      <i/>
      <sz val="10"/>
      <name val="微软雅黑"/>
      <family val="2"/>
      <charset val="134"/>
    </font>
    <font>
      <sz val="10"/>
      <color theme="1"/>
      <name val="黑体"/>
      <family val="3"/>
      <charset val="134"/>
    </font>
    <font>
      <b/>
      <sz val="10"/>
      <color theme="1"/>
      <name val="黑体"/>
      <family val="3"/>
      <charset val="134"/>
    </font>
    <font>
      <b/>
      <sz val="10"/>
      <name val="黑体"/>
      <family val="3"/>
      <charset val="134"/>
    </font>
    <font>
      <sz val="10"/>
      <color rgb="FFFF0000"/>
      <name val="黑体"/>
      <family val="3"/>
      <charset val="134"/>
    </font>
    <font>
      <sz val="11"/>
      <color theme="1"/>
      <name val="宋体"/>
      <family val="3"/>
      <charset val="134"/>
      <scheme val="minor"/>
    </font>
    <font>
      <sz val="9"/>
      <name val="Times New Roman"/>
      <family val="1"/>
    </font>
    <font>
      <sz val="12"/>
      <name val="宋体"/>
      <family val="3"/>
      <charset val="134"/>
    </font>
    <font>
      <b/>
      <sz val="12"/>
      <color theme="1"/>
      <name val="宋体"/>
      <family val="3"/>
      <charset val="134"/>
    </font>
    <font>
      <sz val="10"/>
      <color theme="1"/>
      <name val="MS Gothic"/>
      <family val="3"/>
      <charset val="128"/>
    </font>
    <font>
      <b/>
      <sz val="9"/>
      <name val="Tahoma"/>
      <family val="2"/>
    </font>
    <font>
      <sz val="9"/>
      <name val="宋体"/>
      <family val="3"/>
      <charset val="134"/>
    </font>
    <font>
      <b/>
      <sz val="9"/>
      <name val="宋体"/>
      <family val="3"/>
      <charset val="134"/>
    </font>
    <font>
      <sz val="9"/>
      <name val="宋体"/>
      <family val="3"/>
      <charset val="134"/>
      <scheme val="minor"/>
    </font>
    <font>
      <sz val="11"/>
      <color theme="1"/>
      <name val="Arial"/>
      <family val="2"/>
    </font>
    <font>
      <sz val="11"/>
      <color rgb="FFFF0000"/>
      <name val="黑体"/>
      <family val="3"/>
      <charset val="134"/>
    </font>
    <font>
      <sz val="11"/>
      <color theme="1"/>
      <name val="黑体"/>
      <family val="3"/>
      <charset val="134"/>
    </font>
    <font>
      <sz val="11"/>
      <color theme="4"/>
      <name val="黑体"/>
      <family val="3"/>
      <charset val="134"/>
    </font>
    <font>
      <b/>
      <sz val="11"/>
      <color rgb="FFFF0000"/>
      <name val="Arial"/>
      <family val="2"/>
    </font>
    <font>
      <b/>
      <sz val="11"/>
      <color rgb="FFFF0000"/>
      <name val="黑体"/>
      <family val="3"/>
      <charset val="134"/>
    </font>
    <font>
      <sz val="9"/>
      <name val="宋体"/>
      <family val="2"/>
      <charset val="134"/>
      <scheme val="minor"/>
    </font>
    <font>
      <sz val="11"/>
      <color theme="1"/>
      <name val="宋体"/>
      <family val="2"/>
      <charset val="134"/>
      <scheme val="minor"/>
    </font>
    <font>
      <b/>
      <sz val="11"/>
      <color theme="1"/>
      <name val="Arial"/>
      <family val="2"/>
    </font>
    <font>
      <sz val="11"/>
      <color theme="0"/>
      <name val="Arial"/>
      <family val="2"/>
    </font>
    <font>
      <b/>
      <sz val="11"/>
      <color theme="1"/>
      <name val="黑体"/>
      <family val="3"/>
      <charset val="134"/>
    </font>
    <font>
      <b/>
      <sz val="11"/>
      <name val="Arial"/>
      <family val="2"/>
    </font>
    <font>
      <b/>
      <sz val="11"/>
      <color theme="4"/>
      <name val="Arial"/>
      <family val="2"/>
    </font>
    <font>
      <sz val="11"/>
      <color theme="4"/>
      <name val="Arial"/>
      <family val="2"/>
    </font>
    <font>
      <sz val="11"/>
      <name val="Arial"/>
      <family val="2"/>
    </font>
    <font>
      <b/>
      <sz val="11"/>
      <color theme="0" tint="-0.499984740745262"/>
      <name val="Arial"/>
      <family val="2"/>
    </font>
    <font>
      <sz val="11"/>
      <color theme="0" tint="-0.499984740745262"/>
      <name val="Arial"/>
      <family val="2"/>
    </font>
    <font>
      <sz val="11"/>
      <color rgb="FFFF0000"/>
      <name val="Arial"/>
      <family val="2"/>
    </font>
    <font>
      <i/>
      <sz val="11"/>
      <color theme="4"/>
      <name val="Arial"/>
      <family val="2"/>
    </font>
    <font>
      <b/>
      <sz val="11"/>
      <color theme="1"/>
      <name val="宋体"/>
      <family val="3"/>
      <charset val="134"/>
    </font>
    <font>
      <sz val="10"/>
      <color theme="1"/>
      <name val="Arial"/>
      <family val="2"/>
    </font>
    <font>
      <b/>
      <sz val="9"/>
      <color indexed="81"/>
      <name val="宋体"/>
      <family val="3"/>
      <charset val="134"/>
    </font>
    <font>
      <sz val="9"/>
      <color indexed="81"/>
      <name val="宋体"/>
      <family val="3"/>
      <charset val="134"/>
    </font>
    <font>
      <b/>
      <sz val="10"/>
      <color rgb="FF000000"/>
      <name val="Microsoft YaHei UI"/>
      <family val="2"/>
      <charset val="1"/>
    </font>
    <font>
      <sz val="10"/>
      <color rgb="FF000000"/>
      <name val="Microsoft YaHei UI"/>
      <family val="2"/>
      <charset val="1"/>
    </font>
    <font>
      <sz val="10"/>
      <color rgb="FF000000"/>
      <name val="宋体"/>
      <family val="3"/>
      <charset val="134"/>
    </font>
    <font>
      <sz val="10"/>
      <color rgb="FF000000"/>
      <name val="宋体"/>
      <family val="3"/>
      <charset val="134"/>
      <scheme val="minor"/>
    </font>
    <font>
      <b/>
      <sz val="9"/>
      <color rgb="FF000000"/>
      <name val="宋体"/>
      <family val="3"/>
      <charset val="134"/>
    </font>
    <font>
      <sz val="9"/>
      <color rgb="FF000000"/>
      <name val="宋体"/>
      <family val="3"/>
      <charset val="134"/>
    </font>
    <font>
      <b/>
      <sz val="10"/>
      <color rgb="FFFF0000"/>
      <name val="Arial"/>
      <family val="2"/>
    </font>
    <font>
      <b/>
      <sz val="10"/>
      <color rgb="FFFF0000"/>
      <name val="黑体"/>
      <family val="3"/>
      <charset val="134"/>
    </font>
    <font>
      <sz val="10"/>
      <color theme="0"/>
      <name val="Arial"/>
      <family val="2"/>
    </font>
    <font>
      <b/>
      <sz val="11"/>
      <name val="黑体"/>
      <family val="3"/>
      <charset val="134"/>
    </font>
  </fonts>
  <fills count="26">
    <fill>
      <patternFill patternType="none"/>
    </fill>
    <fill>
      <patternFill patternType="gray125"/>
    </fill>
    <fill>
      <patternFill patternType="solid">
        <fgColor theme="6" tint="0.79985961485641044"/>
        <bgColor indexed="64"/>
      </patternFill>
    </fill>
    <fill>
      <patternFill patternType="solid">
        <fgColor theme="3" tint="0.39982299264503923"/>
        <bgColor indexed="64"/>
      </patternFill>
    </fill>
    <fill>
      <patternFill patternType="solid">
        <fgColor rgb="FFFFFF00"/>
        <bgColor indexed="64"/>
      </patternFill>
    </fill>
    <fill>
      <patternFill patternType="solid">
        <fgColor indexed="9"/>
        <bgColor indexed="64"/>
      </patternFill>
    </fill>
    <fill>
      <patternFill patternType="solid">
        <fgColor theme="0" tint="-0.1498764000366222"/>
        <bgColor indexed="64"/>
      </patternFill>
    </fill>
    <fill>
      <patternFill patternType="solid">
        <fgColor theme="0"/>
        <bgColor indexed="64"/>
      </patternFill>
    </fill>
    <fill>
      <patternFill patternType="solid">
        <fgColor theme="0" tint="-0.499984740745262"/>
        <bgColor indexed="64"/>
      </patternFill>
    </fill>
    <fill>
      <patternFill patternType="solid">
        <fgColor theme="3"/>
        <bgColor indexed="64"/>
      </patternFill>
    </fill>
    <fill>
      <patternFill patternType="solid">
        <fgColor rgb="FFFFFF99"/>
        <bgColor indexed="64"/>
      </patternFill>
    </fill>
    <fill>
      <patternFill patternType="solid">
        <fgColor rgb="FFD9D9D9"/>
        <bgColor indexed="64"/>
      </patternFill>
    </fill>
    <fill>
      <patternFill patternType="solid">
        <fgColor theme="5" tint="0.79985961485641044"/>
        <bgColor indexed="64"/>
      </patternFill>
    </fill>
    <fill>
      <patternFill patternType="solid">
        <fgColor theme="8" tint="0.79985961485641044"/>
        <bgColor indexed="64"/>
      </patternFill>
    </fill>
    <fill>
      <patternFill patternType="solid">
        <fgColor rgb="FFF2DCDB"/>
        <bgColor indexed="64"/>
      </patternFill>
    </fill>
    <fill>
      <patternFill patternType="solid">
        <fgColor theme="9" tint="0.79985961485641044"/>
        <bgColor indexed="64"/>
      </patternFill>
    </fill>
    <fill>
      <patternFill patternType="solid">
        <fgColor theme="4" tint="0.59999389629810485"/>
        <bgColor indexed="64"/>
      </patternFill>
    </fill>
    <fill>
      <patternFill patternType="solid">
        <fgColor rgb="FF1F497D"/>
        <bgColor indexed="64"/>
      </patternFill>
    </fill>
    <fill>
      <patternFill patternType="solid">
        <fgColor theme="8" tint="0.39985351115451523"/>
        <bgColor indexed="64"/>
      </patternFill>
    </fill>
    <fill>
      <patternFill patternType="solid">
        <fgColor rgb="FFFF0000"/>
        <bgColor indexed="64"/>
      </patternFill>
    </fill>
    <fill>
      <patternFill patternType="solid">
        <fgColor rgb="FFFDE9D9"/>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210C"/>
        <bgColor indexed="64"/>
      </patternFill>
    </fill>
    <fill>
      <patternFill patternType="solid">
        <fgColor rgb="FFFFFF0C"/>
        <bgColor indexed="64"/>
      </patternFill>
    </fill>
  </fills>
  <borders count="50">
    <border>
      <left/>
      <right/>
      <top/>
      <bottom/>
      <diagonal/>
    </border>
    <border>
      <left style="medium">
        <color auto="1"/>
      </left>
      <right style="medium">
        <color auto="1"/>
      </right>
      <top style="medium">
        <color auto="1"/>
      </top>
      <bottom style="medium">
        <color auto="1"/>
      </bottom>
      <diagonal/>
    </border>
    <border>
      <left/>
      <right/>
      <top style="medium">
        <color indexed="56"/>
      </top>
      <bottom style="medium">
        <color auto="1"/>
      </bottom>
      <diagonal/>
    </border>
    <border>
      <left/>
      <right/>
      <top/>
      <bottom style="medium">
        <color auto="1"/>
      </bottom>
      <diagonal/>
    </border>
    <border>
      <left/>
      <right/>
      <top style="medium">
        <color auto="1"/>
      </top>
      <bottom style="medium">
        <color auto="1"/>
      </bottom>
      <diagonal/>
    </border>
    <border>
      <left/>
      <right/>
      <top style="medium">
        <color theme="0" tint="-0.1498458815271462"/>
      </top>
      <bottom/>
      <diagonal/>
    </border>
    <border>
      <left style="medium">
        <color theme="0" tint="-0.1498458815271462"/>
      </left>
      <right style="medium">
        <color theme="0" tint="-0.1498458815271462"/>
      </right>
      <top style="medium">
        <color theme="0" tint="-0.1498458815271462"/>
      </top>
      <bottom/>
      <diagonal/>
    </border>
    <border>
      <left style="medium">
        <color theme="0" tint="-0.1498458815271462"/>
      </left>
      <right style="medium">
        <color theme="0" tint="-0.1498458815271462"/>
      </right>
      <top/>
      <bottom/>
      <diagonal/>
    </border>
    <border>
      <left/>
      <right style="medium">
        <color theme="0" tint="-0.1498458815271462"/>
      </right>
      <top/>
      <bottom style="medium">
        <color theme="0" tint="-0.1498458815271462"/>
      </bottom>
      <diagonal/>
    </border>
    <border>
      <left style="medium">
        <color theme="0" tint="-0.1498458815271462"/>
      </left>
      <right style="medium">
        <color theme="0" tint="-0.1498458815271462"/>
      </right>
      <top/>
      <bottom style="medium">
        <color theme="0" tint="-0.1498458815271462"/>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ck">
        <color auto="1"/>
      </right>
      <top/>
      <bottom/>
      <diagonal/>
    </border>
    <border>
      <left style="thick">
        <color auto="1"/>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style="medium">
        <color theme="0" tint="-0.1498458815271462"/>
      </right>
      <top/>
      <bottom/>
      <diagonal/>
    </border>
    <border>
      <left/>
      <right style="medium">
        <color auto="1"/>
      </right>
      <top style="medium">
        <color theme="0" tint="-0.1498458815271462"/>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medium">
        <color theme="0" tint="-0.1498458815271462"/>
      </left>
      <right/>
      <top/>
      <bottom/>
      <diagonal/>
    </border>
    <border>
      <left style="medium">
        <color theme="0" tint="-0.1498458815271462"/>
      </left>
      <right/>
      <top/>
      <bottom style="medium">
        <color theme="0" tint="-0.1498458815271462"/>
      </bottom>
      <diagonal/>
    </border>
    <border>
      <left/>
      <right/>
      <top/>
      <bottom style="medium">
        <color theme="0" tint="-0.1498458815271462"/>
      </bottom>
      <diagonal/>
    </border>
    <border>
      <left style="medium">
        <color theme="0" tint="-0.1498458815271462"/>
      </left>
      <right/>
      <top style="medium">
        <color theme="0" tint="-0.1498458815271462"/>
      </top>
      <bottom/>
      <diagonal/>
    </border>
    <border>
      <left/>
      <right style="medium">
        <color theme="0" tint="-0.1498458815271462"/>
      </right>
      <top style="medium">
        <color theme="0" tint="-0.1498458815271462"/>
      </top>
      <bottom/>
      <diagonal/>
    </border>
    <border>
      <left/>
      <right style="medium">
        <color theme="0" tint="-0.1498764000366222"/>
      </right>
      <top/>
      <bottom/>
      <diagonal/>
    </border>
    <border>
      <left/>
      <right/>
      <top/>
      <bottom style="thin">
        <color theme="0"/>
      </bottom>
      <diagonal/>
    </border>
    <border>
      <left/>
      <right style="medium">
        <color theme="0" tint="-0.14981536301767021"/>
      </right>
      <top/>
      <bottom/>
      <diagonal/>
    </border>
    <border>
      <left style="medium">
        <color theme="0" tint="-0.14981536301767021"/>
      </left>
      <right/>
      <top/>
      <bottom/>
      <diagonal/>
    </border>
    <border>
      <left style="medium">
        <color theme="0" tint="-0.14996795556505021"/>
      </left>
      <right/>
      <top/>
      <bottom/>
      <diagonal/>
    </border>
    <border>
      <left/>
      <right/>
      <top style="medium">
        <color theme="0" tint="-0.14996795556505021"/>
      </top>
      <bottom/>
      <diagonal/>
    </border>
    <border>
      <left/>
      <right style="medium">
        <color theme="0" tint="-0.14996795556505021"/>
      </right>
      <top/>
      <bottom/>
      <diagonal/>
    </border>
    <border>
      <left style="medium">
        <color theme="0" tint="-0.14996795556505021"/>
      </left>
      <right/>
      <top/>
      <bottom style="medium">
        <color theme="0" tint="-0.14996795556505021"/>
      </bottom>
      <diagonal/>
    </border>
    <border>
      <left/>
      <right/>
      <top/>
      <bottom style="medium">
        <color theme="0" tint="-0.14996795556505021"/>
      </bottom>
      <diagonal/>
    </border>
    <border>
      <left/>
      <right style="medium">
        <color theme="0" tint="-0.14996795556505021"/>
      </right>
      <top/>
      <bottom style="medium">
        <color theme="0" tint="-0.14996795556505021"/>
      </bottom>
      <diagonal/>
    </border>
  </borders>
  <cellStyleXfs count="13">
    <xf numFmtId="0" fontId="0" fillId="0" borderId="0">
      <alignment vertical="center"/>
    </xf>
    <xf numFmtId="43" fontId="27" fillId="0" borderId="0" applyFont="0" applyFill="0" applyBorder="0" applyAlignment="0" applyProtection="0">
      <alignment vertical="center"/>
    </xf>
    <xf numFmtId="9" fontId="27" fillId="0" borderId="0" applyFont="0" applyFill="0" applyBorder="0" applyAlignment="0" applyProtection="0">
      <alignment vertical="center"/>
    </xf>
    <xf numFmtId="0" fontId="27" fillId="0" borderId="0">
      <alignment vertical="center"/>
    </xf>
    <xf numFmtId="179" fontId="28" fillId="0" borderId="0"/>
    <xf numFmtId="0" fontId="29" fillId="0" borderId="0">
      <alignment vertical="center"/>
    </xf>
    <xf numFmtId="0" fontId="29" fillId="0" borderId="0">
      <alignment vertical="center"/>
    </xf>
    <xf numFmtId="43" fontId="29" fillId="0" borderId="0" applyFont="0" applyFill="0" applyBorder="0" applyAlignment="0" applyProtection="0">
      <alignment vertical="center"/>
    </xf>
    <xf numFmtId="0" fontId="27" fillId="0" borderId="0"/>
    <xf numFmtId="43" fontId="27" fillId="0" borderId="0" applyFont="0" applyFill="0" applyBorder="0" applyAlignment="0" applyProtection="0">
      <alignment vertical="center"/>
    </xf>
    <xf numFmtId="0" fontId="43" fillId="0" borderId="0">
      <alignment vertical="center"/>
    </xf>
    <xf numFmtId="43" fontId="43" fillId="0" borderId="0" applyFont="0" applyFill="0" applyBorder="0" applyAlignment="0" applyProtection="0">
      <alignment vertical="center"/>
    </xf>
    <xf numFmtId="9" fontId="43" fillId="0" borderId="0" applyFont="0" applyFill="0" applyBorder="0" applyAlignment="0" applyProtection="0">
      <alignment vertical="center"/>
    </xf>
  </cellStyleXfs>
  <cellXfs count="465">
    <xf numFmtId="0" fontId="0" fillId="0" borderId="0" xfId="0">
      <alignment vertical="center"/>
    </xf>
    <xf numFmtId="0" fontId="1" fillId="2" borderId="1" xfId="0" applyFont="1" applyFill="1" applyBorder="1">
      <alignment vertical="center"/>
    </xf>
    <xf numFmtId="0" fontId="1" fillId="0" borderId="0" xfId="0" applyFont="1">
      <alignment vertical="center"/>
    </xf>
    <xf numFmtId="0" fontId="2" fillId="3" borderId="1" xfId="0" applyFont="1" applyFill="1" applyBorder="1">
      <alignment vertical="center"/>
    </xf>
    <xf numFmtId="0" fontId="3" fillId="0" borderId="0" xfId="0" applyFont="1" applyAlignment="1">
      <alignment horizontal="center"/>
    </xf>
    <xf numFmtId="178" fontId="4" fillId="4" borderId="0" xfId="0" applyNumberFormat="1" applyFont="1" applyFill="1" applyAlignment="1">
      <alignment horizontal="left" vertical="center"/>
    </xf>
    <xf numFmtId="0" fontId="3" fillId="4" borderId="0" xfId="0" applyFont="1" applyFill="1" applyAlignment="1">
      <alignment horizontal="center"/>
    </xf>
    <xf numFmtId="38" fontId="3" fillId="4" borderId="0" xfId="0" applyNumberFormat="1" applyFont="1" applyFill="1" applyAlignment="1">
      <alignment horizontal="center"/>
    </xf>
    <xf numFmtId="178" fontId="4" fillId="0" borderId="0" xfId="0" applyNumberFormat="1" applyFont="1" applyAlignment="1">
      <alignment horizontal="left" vertical="center"/>
    </xf>
    <xf numFmtId="38" fontId="3" fillId="0" borderId="0" xfId="0" applyNumberFormat="1" applyFont="1" applyAlignment="1">
      <alignment horizontal="center"/>
    </xf>
    <xf numFmtId="0" fontId="5" fillId="0" borderId="0" xfId="0" applyFont="1" applyAlignment="1">
      <alignment horizontal="center" vertical="center"/>
    </xf>
    <xf numFmtId="0" fontId="3" fillId="0" borderId="0" xfId="0" applyFont="1" applyAlignment="1">
      <alignment horizontal="center" vertical="center" wrapText="1"/>
    </xf>
    <xf numFmtId="180" fontId="3" fillId="5" borderId="0" xfId="0" applyNumberFormat="1" applyFont="1" applyFill="1" applyAlignment="1">
      <alignment horizontal="center" vertical="center" wrapText="1"/>
    </xf>
    <xf numFmtId="49" fontId="5" fillId="0" borderId="0" xfId="0" applyNumberFormat="1" applyFont="1" applyAlignment="1">
      <alignment horizontal="center" vertical="center"/>
    </xf>
    <xf numFmtId="183" fontId="3" fillId="0" borderId="0" xfId="0" applyNumberFormat="1" applyFont="1" applyAlignment="1">
      <alignment horizontal="center"/>
    </xf>
    <xf numFmtId="180" fontId="3" fillId="5" borderId="0" xfId="0" applyNumberFormat="1" applyFont="1" applyFill="1" applyAlignment="1">
      <alignment horizontal="center" vertical="center"/>
    </xf>
    <xf numFmtId="10" fontId="3" fillId="5" borderId="0" xfId="0" applyNumberFormat="1" applyFont="1" applyFill="1" applyAlignment="1">
      <alignment horizontal="center" vertical="center"/>
    </xf>
    <xf numFmtId="184" fontId="5" fillId="0" borderId="0" xfId="0" applyNumberFormat="1" applyFont="1" applyAlignment="1">
      <alignment horizontal="center" vertical="center"/>
    </xf>
    <xf numFmtId="180" fontId="3" fillId="0" borderId="0" xfId="0" applyNumberFormat="1" applyFont="1" applyAlignment="1">
      <alignment horizontal="center" vertical="center"/>
    </xf>
    <xf numFmtId="38" fontId="3" fillId="0" borderId="0" xfId="0" applyNumberFormat="1" applyFont="1" applyAlignment="1">
      <alignment horizontal="center" vertical="center"/>
    </xf>
    <xf numFmtId="178" fontId="4" fillId="0" borderId="0" xfId="0" applyNumberFormat="1" applyFont="1" applyAlignment="1">
      <alignment horizontal="center" vertical="center"/>
    </xf>
    <xf numFmtId="180" fontId="3" fillId="0" borderId="0" xfId="0" applyNumberFormat="1" applyFont="1" applyAlignment="1">
      <alignment horizontal="center" vertical="center" wrapText="1"/>
    </xf>
    <xf numFmtId="10" fontId="3" fillId="0" borderId="0" xfId="2" applyNumberFormat="1" applyFont="1" applyFill="1" applyBorder="1" applyAlignment="1">
      <alignment horizontal="center" vertical="center"/>
    </xf>
    <xf numFmtId="0" fontId="3" fillId="4" borderId="0" xfId="0" applyFont="1" applyFill="1" applyAlignment="1">
      <alignment horizontal="left"/>
    </xf>
    <xf numFmtId="186" fontId="6" fillId="0" borderId="0" xfId="0" applyNumberFormat="1" applyFont="1">
      <alignment vertical="center"/>
    </xf>
    <xf numFmtId="0" fontId="7" fillId="0" borderId="0" xfId="0" applyFont="1">
      <alignment vertical="center"/>
    </xf>
    <xf numFmtId="0" fontId="6" fillId="0" borderId="0" xfId="0" applyFont="1">
      <alignment vertical="center"/>
    </xf>
    <xf numFmtId="0" fontId="8" fillId="0" borderId="2" xfId="6" applyFont="1" applyBorder="1" applyAlignment="1">
      <alignment horizontal="justify" vertical="center" wrapText="1"/>
    </xf>
    <xf numFmtId="0" fontId="8" fillId="0" borderId="3" xfId="6" applyFont="1" applyBorder="1" applyAlignment="1">
      <alignment horizontal="justify" vertical="center" wrapText="1"/>
    </xf>
    <xf numFmtId="0" fontId="7" fillId="0" borderId="3" xfId="0" applyFont="1" applyBorder="1">
      <alignment vertical="center"/>
    </xf>
    <xf numFmtId="0" fontId="7" fillId="0" borderId="4" xfId="0" applyFont="1" applyBorder="1">
      <alignment vertical="center"/>
    </xf>
    <xf numFmtId="0" fontId="8" fillId="0" borderId="4" xfId="6" applyFont="1" applyBorder="1" applyAlignment="1">
      <alignment horizontal="center" vertical="center" wrapText="1"/>
    </xf>
    <xf numFmtId="0" fontId="8" fillId="0" borderId="0" xfId="6" applyFont="1" applyAlignment="1">
      <alignment horizontal="left" vertical="center" wrapText="1"/>
    </xf>
    <xf numFmtId="10" fontId="7" fillId="0" borderId="0" xfId="6" applyNumberFormat="1" applyFont="1">
      <alignment vertical="center"/>
    </xf>
    <xf numFmtId="0" fontId="7" fillId="0" borderId="0" xfId="6" applyFont="1" applyAlignment="1">
      <alignment horizontal="left" vertical="center" wrapText="1"/>
    </xf>
    <xf numFmtId="187" fontId="7" fillId="0" borderId="0" xfId="6" applyNumberFormat="1" applyFont="1" applyAlignment="1">
      <alignment horizontal="center" vertical="center" wrapText="1"/>
    </xf>
    <xf numFmtId="10" fontId="8" fillId="0" borderId="0" xfId="6" applyNumberFormat="1" applyFont="1" applyAlignment="1">
      <alignment horizontal="center" vertical="center" wrapText="1"/>
    </xf>
    <xf numFmtId="0" fontId="7" fillId="0" borderId="3" xfId="6" applyFont="1" applyBorder="1" applyAlignment="1">
      <alignment horizontal="left" vertical="center" wrapText="1"/>
    </xf>
    <xf numFmtId="187" fontId="7" fillId="0" borderId="3" xfId="6" applyNumberFormat="1" applyFont="1" applyBorder="1" applyAlignment="1">
      <alignment horizontal="center" vertical="center" wrapText="1"/>
    </xf>
    <xf numFmtId="0" fontId="7" fillId="0" borderId="3" xfId="6" applyFont="1" applyBorder="1">
      <alignment vertical="center"/>
    </xf>
    <xf numFmtId="0" fontId="8" fillId="0" borderId="4" xfId="6" applyFont="1" applyBorder="1" applyAlignment="1">
      <alignment horizontal="justify" vertical="center" wrapText="1"/>
    </xf>
    <xf numFmtId="0" fontId="7" fillId="0" borderId="0" xfId="6" applyFont="1" applyAlignment="1">
      <alignment horizontal="justify" vertical="center" wrapText="1"/>
    </xf>
    <xf numFmtId="185" fontId="7" fillId="0" borderId="0" xfId="1" applyNumberFormat="1" applyFont="1" applyFill="1" applyAlignment="1">
      <alignment horizontal="center" vertical="center" wrapText="1"/>
    </xf>
    <xf numFmtId="0" fontId="8" fillId="0" borderId="0" xfId="6" applyFont="1" applyAlignment="1">
      <alignment horizontal="justify" vertical="center" wrapText="1"/>
    </xf>
    <xf numFmtId="185" fontId="8" fillId="0" borderId="0" xfId="1" applyNumberFormat="1" applyFont="1" applyFill="1" applyAlignment="1">
      <alignment horizontal="center" vertical="center" wrapText="1"/>
    </xf>
    <xf numFmtId="185" fontId="8" fillId="0" borderId="3" xfId="1" applyNumberFormat="1" applyFont="1" applyFill="1" applyBorder="1" applyAlignment="1">
      <alignment horizontal="center" vertical="center" wrapText="1"/>
    </xf>
    <xf numFmtId="185" fontId="7" fillId="0" borderId="0" xfId="0" applyNumberFormat="1" applyFont="1">
      <alignment vertical="center"/>
    </xf>
    <xf numFmtId="186" fontId="7" fillId="0" borderId="0" xfId="6" applyNumberFormat="1" applyFont="1">
      <alignment vertical="center"/>
    </xf>
    <xf numFmtId="0" fontId="7" fillId="0" borderId="0" xfId="6" applyFont="1">
      <alignment vertical="center"/>
    </xf>
    <xf numFmtId="188" fontId="8" fillId="0" borderId="0" xfId="1" applyNumberFormat="1" applyFont="1" applyFill="1" applyAlignment="1">
      <alignment horizontal="center" vertical="center" wrapText="1"/>
    </xf>
    <xf numFmtId="188" fontId="7" fillId="0" borderId="0" xfId="1" applyNumberFormat="1" applyFont="1" applyFill="1" applyAlignment="1">
      <alignment horizontal="center" vertical="center" wrapText="1"/>
    </xf>
    <xf numFmtId="183" fontId="7" fillId="0" borderId="0" xfId="6" applyNumberFormat="1" applyFont="1" applyAlignment="1">
      <alignment horizontal="center" vertical="center" wrapText="1"/>
    </xf>
    <xf numFmtId="10" fontId="7" fillId="0" borderId="0" xfId="6" applyNumberFormat="1" applyFont="1" applyAlignment="1">
      <alignment horizontal="center" vertical="center" wrapText="1"/>
    </xf>
    <xf numFmtId="0" fontId="7" fillId="0" borderId="3" xfId="6" applyFont="1" applyBorder="1" applyAlignment="1">
      <alignment horizontal="justify" vertical="center" wrapText="1"/>
    </xf>
    <xf numFmtId="187" fontId="7" fillId="0" borderId="3" xfId="2" applyNumberFormat="1" applyFont="1" applyFill="1" applyBorder="1" applyAlignment="1">
      <alignment horizontal="center" vertical="center" wrapText="1"/>
    </xf>
    <xf numFmtId="0" fontId="8" fillId="0" borderId="3" xfId="6" applyFont="1" applyBorder="1">
      <alignment vertical="center"/>
    </xf>
    <xf numFmtId="0" fontId="8" fillId="0" borderId="4" xfId="5" applyFont="1" applyBorder="1" applyAlignment="1">
      <alignment horizontal="center" vertical="center" wrapText="1"/>
    </xf>
    <xf numFmtId="0" fontId="7" fillId="0" borderId="0" xfId="5" applyFont="1" applyAlignment="1">
      <alignment vertical="center" wrapText="1"/>
    </xf>
    <xf numFmtId="41" fontId="7" fillId="0" borderId="0" xfId="1" applyNumberFormat="1" applyFont="1" applyFill="1" applyAlignment="1">
      <alignment horizontal="center" vertical="center"/>
    </xf>
    <xf numFmtId="188" fontId="7" fillId="0" borderId="0" xfId="1" applyNumberFormat="1" applyFont="1" applyFill="1" applyAlignment="1">
      <alignment horizontal="left" vertical="center" wrapText="1"/>
    </xf>
    <xf numFmtId="187" fontId="7" fillId="0" borderId="0" xfId="2" applyNumberFormat="1" applyFont="1" applyFill="1" applyAlignment="1">
      <alignment horizontal="center" vertical="center" wrapText="1"/>
    </xf>
    <xf numFmtId="43" fontId="7" fillId="0" borderId="0" xfId="1" applyFont="1" applyFill="1" applyAlignment="1">
      <alignment horizontal="center" vertical="center"/>
    </xf>
    <xf numFmtId="187" fontId="7" fillId="0" borderId="0" xfId="1" applyNumberFormat="1" applyFont="1" applyFill="1" applyAlignment="1">
      <alignment horizontal="center" vertical="center"/>
    </xf>
    <xf numFmtId="43" fontId="7" fillId="0" borderId="0" xfId="1" applyFont="1" applyFill="1" applyAlignment="1">
      <alignment horizontal="center" vertical="center" wrapText="1"/>
    </xf>
    <xf numFmtId="177" fontId="7" fillId="0" borderId="0" xfId="1" applyNumberFormat="1" applyFont="1" applyFill="1" applyBorder="1" applyAlignment="1">
      <alignment horizontal="center" vertical="center"/>
    </xf>
    <xf numFmtId="188" fontId="7" fillId="0" borderId="0" xfId="1" applyNumberFormat="1" applyFont="1" applyFill="1" applyBorder="1" applyAlignment="1">
      <alignment horizontal="left" vertical="center" wrapText="1"/>
    </xf>
    <xf numFmtId="177" fontId="7" fillId="0" borderId="0" xfId="1" applyNumberFormat="1" applyFont="1" applyFill="1" applyBorder="1" applyAlignment="1">
      <alignment horizontal="center" vertical="center" wrapText="1"/>
    </xf>
    <xf numFmtId="186" fontId="6" fillId="6" borderId="0" xfId="1" applyNumberFormat="1" applyFont="1" applyFill="1">
      <alignment vertical="center"/>
    </xf>
    <xf numFmtId="188" fontId="7" fillId="0" borderId="3" xfId="1" applyNumberFormat="1" applyFont="1" applyFill="1" applyBorder="1" applyAlignment="1">
      <alignment horizontal="left" vertical="center" wrapText="1"/>
    </xf>
    <xf numFmtId="177" fontId="7" fillId="0" borderId="3" xfId="1" applyNumberFormat="1" applyFont="1" applyFill="1" applyBorder="1" applyAlignment="1">
      <alignment horizontal="center" vertical="center" wrapText="1"/>
    </xf>
    <xf numFmtId="0" fontId="7" fillId="7" borderId="0" xfId="5" applyFont="1" applyFill="1" applyAlignment="1">
      <alignment vertical="center" wrapText="1"/>
    </xf>
    <xf numFmtId="43" fontId="7" fillId="7" borderId="0" xfId="1" applyFont="1" applyFill="1" applyBorder="1" applyAlignment="1">
      <alignment horizontal="center" vertical="center"/>
    </xf>
    <xf numFmtId="43" fontId="7" fillId="0" borderId="0" xfId="1" applyFont="1" applyFill="1" applyBorder="1" applyAlignment="1">
      <alignment horizontal="center" vertical="center" wrapText="1"/>
    </xf>
    <xf numFmtId="43" fontId="7" fillId="0" borderId="0" xfId="1" applyFont="1" applyFill="1" applyBorder="1" applyAlignment="1">
      <alignment horizontal="center" vertical="center"/>
    </xf>
    <xf numFmtId="0" fontId="7" fillId="7" borderId="3" xfId="5" applyFont="1" applyFill="1" applyBorder="1" applyAlignment="1">
      <alignment vertical="center" wrapText="1"/>
    </xf>
    <xf numFmtId="43" fontId="7" fillId="7" borderId="3" xfId="1" applyFont="1" applyFill="1" applyBorder="1" applyAlignment="1">
      <alignment horizontal="center" vertical="center"/>
    </xf>
    <xf numFmtId="43" fontId="7" fillId="0" borderId="3" xfId="1" applyFont="1" applyFill="1" applyBorder="1" applyAlignment="1">
      <alignment horizontal="center" vertical="center" wrapText="1"/>
    </xf>
    <xf numFmtId="0" fontId="6" fillId="0" borderId="0" xfId="0" applyFont="1" applyAlignment="1">
      <alignment horizontal="center" vertical="center"/>
    </xf>
    <xf numFmtId="0" fontId="6" fillId="8" borderId="0" xfId="0" applyFont="1" applyFill="1" applyAlignment="1">
      <alignment horizontal="center" vertical="center"/>
    </xf>
    <xf numFmtId="0" fontId="6" fillId="0" borderId="0" xfId="8" applyFont="1" applyAlignment="1">
      <alignment vertical="center"/>
    </xf>
    <xf numFmtId="0" fontId="9" fillId="0" borderId="0" xfId="0" applyFont="1" applyAlignment="1">
      <alignment vertical="center" wrapText="1"/>
    </xf>
    <xf numFmtId="43" fontId="6" fillId="0" borderId="0" xfId="1" applyFont="1">
      <alignment vertical="center"/>
    </xf>
    <xf numFmtId="43" fontId="9" fillId="0" borderId="0" xfId="1" applyFont="1" applyAlignment="1">
      <alignment vertical="center" wrapText="1"/>
    </xf>
    <xf numFmtId="187" fontId="6" fillId="0" borderId="0" xfId="2" applyNumberFormat="1" applyFont="1">
      <alignment vertical="center"/>
    </xf>
    <xf numFmtId="43" fontId="7" fillId="0" borderId="0" xfId="1" applyFont="1">
      <alignment vertical="center"/>
    </xf>
    <xf numFmtId="0" fontId="10" fillId="9" borderId="5" xfId="0" applyFont="1" applyFill="1" applyBorder="1" applyAlignment="1">
      <alignment horizontal="center" vertical="center"/>
    </xf>
    <xf numFmtId="0" fontId="6" fillId="0" borderId="0" xfId="0" applyFont="1" applyAlignment="1">
      <alignment horizontal="left" vertical="center"/>
    </xf>
    <xf numFmtId="0" fontId="11" fillId="0" borderId="0" xfId="0" applyFont="1" applyAlignment="1" applyProtection="1">
      <protection locked="0"/>
    </xf>
    <xf numFmtId="0" fontId="6" fillId="7" borderId="0" xfId="0" applyFont="1" applyFill="1">
      <alignment vertical="center"/>
    </xf>
    <xf numFmtId="0" fontId="6" fillId="7" borderId="6" xfId="0" applyFont="1" applyFill="1" applyBorder="1" applyAlignment="1">
      <alignment horizontal="left" vertical="center"/>
    </xf>
    <xf numFmtId="0" fontId="6" fillId="7" borderId="7" xfId="0" applyFont="1" applyFill="1" applyBorder="1" applyAlignment="1">
      <alignment horizontal="left" vertical="center"/>
    </xf>
    <xf numFmtId="14" fontId="6" fillId="7" borderId="7" xfId="0" applyNumberFormat="1" applyFont="1" applyFill="1" applyBorder="1" applyAlignment="1">
      <alignment horizontal="left" vertical="center"/>
    </xf>
    <xf numFmtId="49" fontId="6" fillId="7" borderId="7" xfId="0" applyNumberFormat="1" applyFont="1" applyFill="1" applyBorder="1" applyAlignment="1">
      <alignment horizontal="left" vertical="center"/>
    </xf>
    <xf numFmtId="0" fontId="6" fillId="7" borderId="8" xfId="0" applyFont="1" applyFill="1" applyBorder="1">
      <alignment vertical="center"/>
    </xf>
    <xf numFmtId="0" fontId="6" fillId="7" borderId="9" xfId="0" applyFont="1" applyFill="1" applyBorder="1" applyAlignment="1">
      <alignment horizontal="left" vertical="center"/>
    </xf>
    <xf numFmtId="0" fontId="8" fillId="5" borderId="10" xfId="0" applyFont="1" applyFill="1" applyBorder="1">
      <alignment vertical="center"/>
    </xf>
    <xf numFmtId="0" fontId="12" fillId="0" borderId="11" xfId="0" applyFont="1" applyBorder="1" applyAlignment="1">
      <alignment horizontal="center" vertical="center"/>
    </xf>
    <xf numFmtId="0" fontId="11" fillId="0" borderId="12" xfId="0" applyFont="1" applyBorder="1">
      <alignment vertical="center"/>
    </xf>
    <xf numFmtId="0" fontId="11" fillId="0" borderId="13" xfId="0" applyFont="1" applyBorder="1">
      <alignment vertical="center"/>
    </xf>
    <xf numFmtId="0" fontId="6" fillId="0" borderId="13" xfId="0" applyFont="1" applyBorder="1">
      <alignment vertical="center"/>
    </xf>
    <xf numFmtId="0" fontId="7" fillId="5" borderId="0" xfId="0" applyFont="1" applyFill="1">
      <alignment vertical="center"/>
    </xf>
    <xf numFmtId="0" fontId="6" fillId="0" borderId="14" xfId="0" applyFont="1" applyBorder="1">
      <alignment vertical="center"/>
    </xf>
    <xf numFmtId="10" fontId="6" fillId="6" borderId="0" xfId="2" applyNumberFormat="1" applyFont="1" applyFill="1" applyBorder="1">
      <alignment vertical="center"/>
    </xf>
    <xf numFmtId="0" fontId="8" fillId="5" borderId="0" xfId="0" applyFont="1" applyFill="1">
      <alignment vertical="center"/>
    </xf>
    <xf numFmtId="0" fontId="8" fillId="5" borderId="15" xfId="0" applyFont="1" applyFill="1" applyBorder="1" applyAlignment="1">
      <alignment horizontal="center" vertical="center"/>
    </xf>
    <xf numFmtId="0" fontId="8" fillId="5" borderId="16" xfId="0" applyFont="1" applyFill="1" applyBorder="1" applyAlignment="1">
      <alignment horizontal="center" vertical="center"/>
    </xf>
    <xf numFmtId="0" fontId="7" fillId="0" borderId="17" xfId="0" applyFont="1" applyBorder="1">
      <alignment vertical="center"/>
    </xf>
    <xf numFmtId="182" fontId="12" fillId="0" borderId="18" xfId="0" applyNumberFormat="1" applyFont="1" applyBorder="1">
      <alignment vertical="center"/>
    </xf>
    <xf numFmtId="10" fontId="9" fillId="0" borderId="14" xfId="2" applyNumberFormat="1" applyFont="1" applyFill="1" applyBorder="1">
      <alignment vertical="center"/>
    </xf>
    <xf numFmtId="0" fontId="7" fillId="5" borderId="17" xfId="0" applyFont="1" applyFill="1" applyBorder="1">
      <alignment vertical="center"/>
    </xf>
    <xf numFmtId="182" fontId="12" fillId="5" borderId="18" xfId="0" applyNumberFormat="1" applyFont="1" applyFill="1" applyBorder="1">
      <alignment vertical="center"/>
    </xf>
    <xf numFmtId="10" fontId="6" fillId="10" borderId="0" xfId="2" applyNumberFormat="1" applyFont="1" applyFill="1" applyBorder="1">
      <alignment vertical="center"/>
    </xf>
    <xf numFmtId="0" fontId="6" fillId="0" borderId="19" xfId="0" applyFont="1" applyBorder="1">
      <alignment vertical="center"/>
    </xf>
    <xf numFmtId="0" fontId="6" fillId="0" borderId="3" xfId="0" applyFont="1" applyBorder="1">
      <alignment vertical="center"/>
    </xf>
    <xf numFmtId="0" fontId="7" fillId="5" borderId="20" xfId="0" applyFont="1" applyFill="1" applyBorder="1">
      <alignment vertical="center"/>
    </xf>
    <xf numFmtId="182" fontId="12" fillId="5" borderId="21" xfId="0" applyNumberFormat="1" applyFont="1" applyFill="1" applyBorder="1">
      <alignment vertical="center"/>
    </xf>
    <xf numFmtId="9" fontId="6" fillId="0" borderId="0" xfId="2" applyFont="1">
      <alignment vertical="center"/>
    </xf>
    <xf numFmtId="0" fontId="11" fillId="0" borderId="22" xfId="0" applyFont="1" applyBorder="1">
      <alignment vertical="center"/>
    </xf>
    <xf numFmtId="0" fontId="6" fillId="0" borderId="23" xfId="0" applyFont="1" applyBorder="1">
      <alignment vertical="center"/>
    </xf>
    <xf numFmtId="43" fontId="6" fillId="0" borderId="0" xfId="1" applyFont="1" applyBorder="1">
      <alignment vertical="center"/>
    </xf>
    <xf numFmtId="9" fontId="6" fillId="0" borderId="0" xfId="2" applyFont="1" applyBorder="1">
      <alignment vertical="center"/>
    </xf>
    <xf numFmtId="0" fontId="11" fillId="0" borderId="14" xfId="0" applyFont="1" applyBorder="1" applyAlignment="1">
      <alignment horizontal="center" vertical="center"/>
    </xf>
    <xf numFmtId="43" fontId="6" fillId="10" borderId="0" xfId="1" applyFont="1" applyFill="1" applyBorder="1">
      <alignment vertical="center"/>
    </xf>
    <xf numFmtId="190" fontId="6" fillId="0" borderId="0" xfId="1" applyNumberFormat="1" applyFont="1" applyBorder="1">
      <alignment vertical="center"/>
    </xf>
    <xf numFmtId="43" fontId="6" fillId="10" borderId="3" xfId="1" applyFont="1" applyFill="1" applyBorder="1">
      <alignment vertical="center"/>
    </xf>
    <xf numFmtId="0" fontId="6" fillId="0" borderId="24" xfId="0" applyFont="1" applyBorder="1">
      <alignment vertical="center"/>
    </xf>
    <xf numFmtId="0" fontId="6" fillId="0" borderId="18" xfId="0" applyFont="1" applyBorder="1" applyAlignment="1">
      <alignment horizontal="center" vertical="center"/>
    </xf>
    <xf numFmtId="191" fontId="6" fillId="0" borderId="0" xfId="1" applyNumberFormat="1" applyFont="1" applyBorder="1">
      <alignment vertical="center"/>
    </xf>
    <xf numFmtId="191" fontId="6" fillId="0" borderId="18" xfId="1" applyNumberFormat="1" applyFont="1" applyBorder="1">
      <alignment vertical="center"/>
    </xf>
    <xf numFmtId="43" fontId="6" fillId="0" borderId="18" xfId="1" applyFont="1" applyBorder="1">
      <alignment vertical="center"/>
    </xf>
    <xf numFmtId="0" fontId="6" fillId="0" borderId="16" xfId="0" applyFont="1" applyBorder="1">
      <alignment vertical="center"/>
    </xf>
    <xf numFmtId="0" fontId="6" fillId="0" borderId="18" xfId="0" applyFont="1" applyBorder="1">
      <alignment vertical="center"/>
    </xf>
    <xf numFmtId="189" fontId="6" fillId="0" borderId="0" xfId="0" applyNumberFormat="1" applyFont="1">
      <alignment vertical="center"/>
    </xf>
    <xf numFmtId="9" fontId="6" fillId="0" borderId="0" xfId="0" applyNumberFormat="1" applyFont="1">
      <alignment vertical="center"/>
    </xf>
    <xf numFmtId="10" fontId="6" fillId="6" borderId="18" xfId="2" applyNumberFormat="1" applyFont="1" applyFill="1" applyBorder="1">
      <alignment vertical="center"/>
    </xf>
    <xf numFmtId="0" fontId="6" fillId="6" borderId="21" xfId="0" applyFont="1" applyFill="1" applyBorder="1">
      <alignment vertical="center"/>
    </xf>
    <xf numFmtId="9" fontId="6" fillId="0" borderId="18" xfId="2" applyFont="1" applyBorder="1">
      <alignment vertical="center"/>
    </xf>
    <xf numFmtId="43" fontId="6" fillId="10" borderId="18" xfId="1" applyFont="1" applyFill="1" applyBorder="1">
      <alignment vertical="center"/>
    </xf>
    <xf numFmtId="190" fontId="6" fillId="0" borderId="18" xfId="1" applyNumberFormat="1" applyFont="1" applyBorder="1">
      <alignment vertical="center"/>
    </xf>
    <xf numFmtId="43" fontId="6" fillId="10" borderId="21" xfId="1" applyFont="1" applyFill="1" applyBorder="1">
      <alignment vertical="center"/>
    </xf>
    <xf numFmtId="0" fontId="6" fillId="0" borderId="0" xfId="0" applyFont="1" applyProtection="1">
      <alignment vertical="center"/>
      <protection locked="0"/>
    </xf>
    <xf numFmtId="0" fontId="13" fillId="4" borderId="0" xfId="0" applyFont="1" applyFill="1" applyProtection="1">
      <alignment vertical="center"/>
      <protection locked="0"/>
    </xf>
    <xf numFmtId="0" fontId="6" fillId="4" borderId="0" xfId="0" applyFont="1" applyFill="1" applyProtection="1">
      <alignment vertical="center"/>
      <protection locked="0"/>
    </xf>
    <xf numFmtId="0" fontId="6" fillId="8" borderId="0" xfId="0" applyFont="1" applyFill="1" applyAlignment="1" applyProtection="1">
      <alignment horizontal="center" vertical="center"/>
      <protection locked="0"/>
    </xf>
    <xf numFmtId="0" fontId="14" fillId="0" borderId="0" xfId="0" applyFont="1" applyProtection="1">
      <alignment vertical="center"/>
      <protection locked="0"/>
    </xf>
    <xf numFmtId="43" fontId="6" fillId="6" borderId="0" xfId="1" applyFont="1" applyFill="1" applyProtection="1">
      <alignment vertical="center"/>
    </xf>
    <xf numFmtId="43" fontId="6" fillId="6" borderId="25" xfId="1" applyFont="1" applyFill="1" applyBorder="1" applyProtection="1">
      <alignment vertical="center"/>
    </xf>
    <xf numFmtId="43" fontId="6" fillId="11" borderId="0" xfId="1" applyFont="1" applyFill="1" applyProtection="1">
      <alignment vertical="center"/>
    </xf>
    <xf numFmtId="0" fontId="11" fillId="0" borderId="0" xfId="0" applyFont="1" applyProtection="1">
      <alignment vertical="center"/>
      <protection locked="0"/>
    </xf>
    <xf numFmtId="43" fontId="6" fillId="10" borderId="0" xfId="1" applyFont="1" applyFill="1" applyProtection="1">
      <alignment vertical="center"/>
      <protection locked="0"/>
    </xf>
    <xf numFmtId="43" fontId="6" fillId="10" borderId="25" xfId="1" applyFont="1" applyFill="1" applyBorder="1" applyProtection="1">
      <alignment vertical="center"/>
      <protection locked="0"/>
    </xf>
    <xf numFmtId="43" fontId="6" fillId="0" borderId="0" xfId="1" applyFont="1" applyProtection="1">
      <alignment vertical="center"/>
      <protection locked="0"/>
    </xf>
    <xf numFmtId="43" fontId="6" fillId="0" borderId="0" xfId="1" applyFont="1" applyBorder="1" applyProtection="1">
      <alignment vertical="center"/>
      <protection locked="0"/>
    </xf>
    <xf numFmtId="43" fontId="6" fillId="11" borderId="0" xfId="1" applyFont="1" applyFill="1" applyBorder="1" applyProtection="1">
      <alignment vertical="center"/>
    </xf>
    <xf numFmtId="0" fontId="11" fillId="0" borderId="0" xfId="0" applyFont="1" applyAlignment="1" applyProtection="1">
      <alignment horizontal="center" vertical="center"/>
      <protection locked="0"/>
    </xf>
    <xf numFmtId="43" fontId="6" fillId="6" borderId="0" xfId="1" applyFont="1" applyFill="1" applyBorder="1" applyProtection="1">
      <alignment vertical="center"/>
    </xf>
    <xf numFmtId="43" fontId="6" fillId="11" borderId="18" xfId="1" applyFont="1" applyFill="1" applyBorder="1" applyProtection="1">
      <alignment vertical="center"/>
    </xf>
    <xf numFmtId="43" fontId="6" fillId="0" borderId="26" xfId="1" applyFont="1" applyBorder="1" applyProtection="1">
      <alignment vertical="center"/>
      <protection locked="0"/>
    </xf>
    <xf numFmtId="43" fontId="6" fillId="0" borderId="26" xfId="1" applyFont="1" applyFill="1" applyBorder="1" applyProtection="1">
      <alignment vertical="center"/>
      <protection locked="0"/>
    </xf>
    <xf numFmtId="43" fontId="6" fillId="0" borderId="0" xfId="1" applyFont="1" applyFill="1" applyBorder="1" applyProtection="1">
      <alignment vertical="center"/>
      <protection locked="0"/>
    </xf>
    <xf numFmtId="43" fontId="6" fillId="10" borderId="26" xfId="1" applyFont="1" applyFill="1" applyBorder="1" applyProtection="1">
      <alignment vertical="center"/>
      <protection locked="0"/>
    </xf>
    <xf numFmtId="43" fontId="6" fillId="10" borderId="0" xfId="1" applyFont="1" applyFill="1" applyBorder="1" applyProtection="1">
      <alignment vertical="center"/>
      <protection locked="0"/>
    </xf>
    <xf numFmtId="43" fontId="6" fillId="4" borderId="0" xfId="1" applyFont="1" applyFill="1" applyProtection="1">
      <alignment vertical="center"/>
    </xf>
    <xf numFmtId="43" fontId="6" fillId="4" borderId="25" xfId="1" applyFont="1" applyFill="1" applyBorder="1" applyProtection="1">
      <alignment vertical="center"/>
    </xf>
    <xf numFmtId="0" fontId="15" fillId="0" borderId="0" xfId="0" applyFont="1" applyAlignment="1" applyProtection="1">
      <alignment horizontal="center" vertical="center"/>
      <protection locked="0"/>
    </xf>
    <xf numFmtId="43" fontId="9" fillId="0" borderId="0" xfId="1" applyFont="1" applyAlignment="1" applyProtection="1">
      <alignment horizontal="center" vertical="center"/>
      <protection locked="0"/>
    </xf>
    <xf numFmtId="43" fontId="9" fillId="0" borderId="0" xfId="1" applyFont="1" applyBorder="1" applyAlignment="1" applyProtection="1">
      <alignment horizontal="center" vertical="center"/>
      <protection locked="0"/>
    </xf>
    <xf numFmtId="0" fontId="16" fillId="4" borderId="0" xfId="0" applyFont="1" applyFill="1" applyProtection="1">
      <alignment vertical="center"/>
      <protection locked="0"/>
    </xf>
    <xf numFmtId="0" fontId="7" fillId="0" borderId="0" xfId="0" applyFont="1" applyProtection="1">
      <alignment vertical="center"/>
      <protection locked="0"/>
    </xf>
    <xf numFmtId="43" fontId="6" fillId="0" borderId="25" xfId="1" applyFont="1" applyBorder="1" applyProtection="1">
      <alignment vertical="center"/>
      <protection locked="0"/>
    </xf>
    <xf numFmtId="43" fontId="6" fillId="6" borderId="25" xfId="1" applyFont="1" applyFill="1" applyBorder="1" applyProtection="1">
      <alignment vertical="center"/>
      <protection locked="0"/>
    </xf>
    <xf numFmtId="0" fontId="11" fillId="4" borderId="0" xfId="0" applyFont="1" applyFill="1" applyProtection="1">
      <alignment vertical="center"/>
      <protection locked="0"/>
    </xf>
    <xf numFmtId="43" fontId="6" fillId="12" borderId="0" xfId="1" applyFont="1" applyFill="1" applyProtection="1">
      <alignment vertical="center"/>
      <protection locked="0"/>
    </xf>
    <xf numFmtId="43" fontId="6" fillId="12" borderId="25" xfId="1" applyFont="1" applyFill="1" applyBorder="1" applyProtection="1">
      <alignment vertical="center"/>
      <protection locked="0"/>
    </xf>
    <xf numFmtId="0" fontId="6" fillId="0" borderId="27" xfId="0" applyFont="1" applyBorder="1" applyProtection="1">
      <alignment vertical="center"/>
      <protection locked="0"/>
    </xf>
    <xf numFmtId="43" fontId="6" fillId="13" borderId="0" xfId="1" applyFont="1" applyFill="1" applyProtection="1">
      <alignment vertical="center"/>
      <protection locked="0"/>
    </xf>
    <xf numFmtId="43" fontId="6" fillId="13" borderId="0" xfId="1" applyFont="1" applyFill="1" applyBorder="1" applyProtection="1">
      <alignment vertical="center"/>
      <protection locked="0"/>
    </xf>
    <xf numFmtId="181" fontId="6" fillId="0" borderId="0" xfId="1" applyNumberFormat="1" applyFont="1" applyBorder="1" applyProtection="1">
      <alignment vertical="center"/>
      <protection locked="0"/>
    </xf>
    <xf numFmtId="43" fontId="6" fillId="0" borderId="28" xfId="1" applyFont="1" applyBorder="1" applyProtection="1">
      <alignment vertical="center"/>
      <protection locked="0"/>
    </xf>
    <xf numFmtId="43" fontId="6" fillId="13" borderId="25" xfId="1" applyFont="1" applyFill="1" applyBorder="1" applyProtection="1">
      <alignment vertical="center"/>
      <protection locked="0"/>
    </xf>
    <xf numFmtId="43" fontId="6" fillId="6" borderId="0" xfId="1" applyFont="1" applyFill="1" applyProtection="1">
      <alignment vertical="center"/>
      <protection locked="0"/>
    </xf>
    <xf numFmtId="43" fontId="6" fillId="12" borderId="0" xfId="1" applyFont="1" applyFill="1" applyBorder="1" applyProtection="1">
      <alignment vertical="center"/>
      <protection locked="0"/>
    </xf>
    <xf numFmtId="43" fontId="6" fillId="13" borderId="29" xfId="1" applyFont="1" applyFill="1" applyBorder="1" applyProtection="1">
      <alignment vertical="center"/>
      <protection locked="0"/>
    </xf>
    <xf numFmtId="43" fontId="6" fillId="0" borderId="26" xfId="0" applyNumberFormat="1" applyFont="1" applyBorder="1" applyProtection="1">
      <alignment vertical="center"/>
      <protection locked="0"/>
    </xf>
    <xf numFmtId="43" fontId="6" fillId="0" borderId="0" xfId="0" applyNumberFormat="1" applyFont="1" applyProtection="1">
      <alignment vertical="center"/>
      <protection locked="0"/>
    </xf>
    <xf numFmtId="43" fontId="6" fillId="14" borderId="0" xfId="1" applyFont="1" applyFill="1" applyProtection="1">
      <alignment vertical="center"/>
      <protection locked="0"/>
    </xf>
    <xf numFmtId="43" fontId="6" fillId="14" borderId="25" xfId="1" applyFont="1" applyFill="1" applyBorder="1" applyProtection="1">
      <alignment vertical="center"/>
      <protection locked="0"/>
    </xf>
    <xf numFmtId="0" fontId="11" fillId="0" borderId="0" xfId="0" applyFont="1">
      <alignment vertical="center"/>
    </xf>
    <xf numFmtId="0" fontId="6" fillId="15" borderId="0" xfId="0" applyFont="1" applyFill="1">
      <alignment vertical="center"/>
    </xf>
    <xf numFmtId="0" fontId="15" fillId="0" borderId="0" xfId="0" applyFont="1">
      <alignment vertical="center"/>
    </xf>
    <xf numFmtId="9" fontId="6" fillId="15" borderId="0" xfId="2" applyFont="1" applyFill="1" applyBorder="1">
      <alignment vertical="center"/>
    </xf>
    <xf numFmtId="43" fontId="6" fillId="6" borderId="0" xfId="1" applyFont="1" applyFill="1" applyBorder="1">
      <alignment vertical="center"/>
    </xf>
    <xf numFmtId="43" fontId="6" fillId="0" borderId="3" xfId="1" applyFont="1" applyBorder="1">
      <alignment vertical="center"/>
    </xf>
    <xf numFmtId="0" fontId="10" fillId="9" borderId="0" xfId="0" applyFont="1" applyFill="1" applyAlignment="1">
      <alignment horizontal="center" vertical="center"/>
    </xf>
    <xf numFmtId="0" fontId="6" fillId="0" borderId="22" xfId="0" applyFont="1" applyBorder="1">
      <alignment vertical="center"/>
    </xf>
    <xf numFmtId="10" fontId="6" fillId="13" borderId="0" xfId="2" applyNumberFormat="1" applyFont="1" applyFill="1" applyBorder="1" applyAlignment="1">
      <alignment horizontal="right" vertical="center"/>
    </xf>
    <xf numFmtId="0" fontId="10" fillId="9" borderId="30" xfId="0" applyFont="1" applyFill="1" applyBorder="1" applyAlignment="1">
      <alignment horizontal="center" vertical="center"/>
    </xf>
    <xf numFmtId="0" fontId="10" fillId="9" borderId="18" xfId="0" applyFont="1" applyFill="1" applyBorder="1" applyAlignment="1">
      <alignment horizontal="center" vertical="center"/>
    </xf>
    <xf numFmtId="0" fontId="11" fillId="0" borderId="0" xfId="0" applyFont="1" applyAlignment="1">
      <alignment horizontal="center" vertical="center"/>
    </xf>
    <xf numFmtId="43" fontId="6" fillId="0" borderId="0" xfId="0" applyNumberFormat="1" applyFont="1">
      <alignment vertical="center"/>
    </xf>
    <xf numFmtId="0" fontId="6" fillId="8" borderId="23" xfId="0" applyFont="1" applyFill="1" applyBorder="1">
      <alignment vertical="center"/>
    </xf>
    <xf numFmtId="0" fontId="10" fillId="9" borderId="23" xfId="0" applyFont="1" applyFill="1" applyBorder="1" applyAlignment="1">
      <alignment horizontal="center" vertical="center"/>
    </xf>
    <xf numFmtId="0" fontId="11" fillId="0" borderId="14" xfId="0" applyFont="1" applyBorder="1">
      <alignment vertical="center"/>
    </xf>
    <xf numFmtId="0" fontId="11" fillId="0" borderId="19" xfId="0" applyFont="1" applyBorder="1">
      <alignment vertical="center"/>
    </xf>
    <xf numFmtId="43" fontId="6" fillId="0" borderId="0" xfId="1" applyFont="1" applyFill="1" applyBorder="1">
      <alignment vertical="center"/>
    </xf>
    <xf numFmtId="43" fontId="6" fillId="0" borderId="23" xfId="1" applyFont="1" applyFill="1" applyBorder="1">
      <alignment vertical="center"/>
    </xf>
    <xf numFmtId="0" fontId="6" fillId="8" borderId="0" xfId="0" applyFont="1" applyFill="1">
      <alignment vertical="center"/>
    </xf>
    <xf numFmtId="43" fontId="6" fillId="0" borderId="3" xfId="1" applyFont="1" applyFill="1" applyBorder="1">
      <alignment vertical="center"/>
    </xf>
    <xf numFmtId="0" fontId="10" fillId="9" borderId="24" xfId="0" applyFont="1" applyFill="1" applyBorder="1" applyAlignment="1">
      <alignment horizontal="center" vertical="center"/>
    </xf>
    <xf numFmtId="43" fontId="6" fillId="0" borderId="18" xfId="1" applyFont="1" applyFill="1" applyBorder="1">
      <alignment vertical="center"/>
    </xf>
    <xf numFmtId="43" fontId="6" fillId="0" borderId="21" xfId="1" applyFont="1" applyFill="1" applyBorder="1">
      <alignment vertical="center"/>
    </xf>
    <xf numFmtId="0" fontId="6" fillId="0" borderId="4" xfId="0" applyFont="1" applyBorder="1">
      <alignment vertical="center"/>
    </xf>
    <xf numFmtId="43" fontId="6" fillId="0" borderId="4" xfId="1" applyFont="1" applyBorder="1">
      <alignment vertical="center"/>
    </xf>
    <xf numFmtId="43" fontId="6" fillId="10" borderId="4" xfId="1" applyFont="1" applyFill="1" applyBorder="1">
      <alignment vertical="center"/>
    </xf>
    <xf numFmtId="43" fontId="6" fillId="0" borderId="11" xfId="1" applyFont="1" applyBorder="1">
      <alignment vertical="center"/>
    </xf>
    <xf numFmtId="43" fontId="6" fillId="10" borderId="11" xfId="1" applyFont="1" applyFill="1" applyBorder="1">
      <alignment vertical="center"/>
    </xf>
    <xf numFmtId="187" fontId="6" fillId="10" borderId="0" xfId="2" applyNumberFormat="1" applyFont="1" applyFill="1">
      <alignment vertical="center"/>
    </xf>
    <xf numFmtId="187" fontId="6" fillId="10" borderId="0" xfId="2" applyNumberFormat="1" applyFont="1" applyFill="1" applyBorder="1">
      <alignment vertical="center"/>
    </xf>
    <xf numFmtId="43" fontId="6" fillId="10" borderId="0" xfId="1" applyFont="1" applyFill="1">
      <alignment vertical="center"/>
    </xf>
    <xf numFmtId="187" fontId="6" fillId="13" borderId="0" xfId="2" applyNumberFormat="1" applyFont="1" applyFill="1">
      <alignment vertical="center"/>
    </xf>
    <xf numFmtId="10" fontId="6" fillId="6" borderId="27" xfId="2" applyNumberFormat="1" applyFont="1" applyFill="1" applyBorder="1">
      <alignment vertical="center"/>
    </xf>
    <xf numFmtId="10" fontId="6" fillId="15" borderId="27" xfId="2" applyNumberFormat="1" applyFont="1" applyFill="1" applyBorder="1">
      <alignment vertical="center"/>
    </xf>
    <xf numFmtId="43" fontId="6" fillId="15" borderId="27" xfId="1" applyFont="1" applyFill="1" applyBorder="1">
      <alignment vertical="center"/>
    </xf>
    <xf numFmtId="187" fontId="6" fillId="13" borderId="27" xfId="2" applyNumberFormat="1" applyFont="1" applyFill="1" applyBorder="1">
      <alignment vertical="center"/>
    </xf>
    <xf numFmtId="187" fontId="6" fillId="0" borderId="0" xfId="2" applyNumberFormat="1" applyFont="1" applyBorder="1">
      <alignment vertical="center"/>
    </xf>
    <xf numFmtId="10" fontId="6" fillId="0" borderId="0" xfId="2" applyNumberFormat="1" applyFont="1">
      <alignment vertical="center"/>
    </xf>
    <xf numFmtId="10" fontId="6" fillId="0" borderId="0" xfId="2" applyNumberFormat="1" applyFont="1" applyBorder="1">
      <alignment vertical="center"/>
    </xf>
    <xf numFmtId="10" fontId="6" fillId="10" borderId="0" xfId="2" applyNumberFormat="1" applyFont="1" applyFill="1">
      <alignment vertical="center"/>
    </xf>
    <xf numFmtId="43" fontId="6" fillId="15" borderId="31" xfId="1" applyFont="1" applyFill="1" applyBorder="1">
      <alignment vertical="center"/>
    </xf>
    <xf numFmtId="43" fontId="6" fillId="15" borderId="32" xfId="1" applyFont="1" applyFill="1" applyBorder="1">
      <alignment vertical="center"/>
    </xf>
    <xf numFmtId="43" fontId="6" fillId="15" borderId="33" xfId="1" applyFont="1" applyFill="1" applyBorder="1">
      <alignment vertical="center"/>
    </xf>
    <xf numFmtId="0" fontId="6" fillId="0" borderId="34" xfId="0" applyFont="1" applyBorder="1">
      <alignment vertical="center"/>
    </xf>
    <xf numFmtId="9" fontId="6" fillId="15" borderId="27" xfId="2" applyFont="1" applyFill="1" applyBorder="1">
      <alignment vertical="center"/>
    </xf>
    <xf numFmtId="0" fontId="6" fillId="15" borderId="27" xfId="1" applyNumberFormat="1" applyFont="1" applyFill="1" applyBorder="1">
      <alignment vertical="center"/>
    </xf>
    <xf numFmtId="187" fontId="6" fillId="15" borderId="27" xfId="2" applyNumberFormat="1" applyFont="1" applyFill="1" applyBorder="1">
      <alignment vertical="center"/>
    </xf>
    <xf numFmtId="43" fontId="17" fillId="0" borderId="27" xfId="1" applyFont="1" applyBorder="1">
      <alignment vertical="center"/>
    </xf>
    <xf numFmtId="0" fontId="6" fillId="0" borderId="27" xfId="0" applyFont="1" applyBorder="1">
      <alignment vertical="center"/>
    </xf>
    <xf numFmtId="0" fontId="6" fillId="16" borderId="5" xfId="0" applyFont="1" applyFill="1" applyBorder="1">
      <alignment vertical="center"/>
    </xf>
    <xf numFmtId="0" fontId="6" fillId="0" borderId="35" xfId="0" applyFont="1" applyBorder="1">
      <alignment vertical="center"/>
    </xf>
    <xf numFmtId="0" fontId="6" fillId="0" borderId="35" xfId="0" applyFont="1" applyBorder="1" applyAlignment="1">
      <alignment horizontal="center" vertical="center" wrapText="1"/>
    </xf>
    <xf numFmtId="43" fontId="6" fillId="15" borderId="0" xfId="1" applyFont="1" applyFill="1" applyBorder="1">
      <alignment vertical="center"/>
    </xf>
    <xf numFmtId="0" fontId="6" fillId="0" borderId="36" xfId="0" applyFont="1" applyBorder="1" applyAlignment="1">
      <alignment horizontal="center" vertical="center" wrapText="1"/>
    </xf>
    <xf numFmtId="43" fontId="6" fillId="6" borderId="37" xfId="1" applyFont="1" applyFill="1" applyBorder="1">
      <alignment vertical="center"/>
    </xf>
    <xf numFmtId="43" fontId="6" fillId="15" borderId="37" xfId="1" applyFont="1" applyFill="1" applyBorder="1">
      <alignment vertical="center"/>
    </xf>
    <xf numFmtId="0" fontId="10" fillId="9" borderId="29" xfId="0" applyFont="1" applyFill="1" applyBorder="1" applyAlignment="1">
      <alignment horizontal="center" vertical="center"/>
    </xf>
    <xf numFmtId="43" fontId="6" fillId="15" borderId="29" xfId="1" applyFont="1" applyFill="1" applyBorder="1">
      <alignment vertical="center"/>
    </xf>
    <xf numFmtId="43" fontId="6" fillId="0" borderId="29" xfId="1" applyFont="1" applyBorder="1">
      <alignment vertical="center"/>
    </xf>
    <xf numFmtId="43" fontId="6" fillId="15" borderId="8" xfId="1" applyFont="1" applyFill="1" applyBorder="1">
      <alignment vertical="center"/>
    </xf>
    <xf numFmtId="0" fontId="18" fillId="17" borderId="0" xfId="0" applyFont="1" applyFill="1">
      <alignment vertical="center"/>
    </xf>
    <xf numFmtId="0" fontId="16" fillId="0" borderId="0" xfId="0" applyFont="1">
      <alignment vertical="center"/>
    </xf>
    <xf numFmtId="0" fontId="19" fillId="0" borderId="38" xfId="0" applyFont="1" applyBorder="1">
      <alignment vertical="center"/>
    </xf>
    <xf numFmtId="0" fontId="18" fillId="17" borderId="5" xfId="0" applyFont="1" applyFill="1" applyBorder="1" applyAlignment="1">
      <alignment horizontal="center" vertical="center"/>
    </xf>
    <xf numFmtId="0" fontId="18" fillId="17" borderId="39" xfId="0" applyFont="1" applyFill="1" applyBorder="1" applyAlignment="1">
      <alignment horizontal="center" vertical="center"/>
    </xf>
    <xf numFmtId="0" fontId="18" fillId="0" borderId="35" xfId="0" applyFont="1" applyBorder="1">
      <alignment vertical="center"/>
    </xf>
    <xf numFmtId="0" fontId="13" fillId="0" borderId="35" xfId="0" applyFont="1" applyBorder="1">
      <alignment vertical="center"/>
    </xf>
    <xf numFmtId="0" fontId="16" fillId="0" borderId="29" xfId="0" applyFont="1" applyBorder="1">
      <alignment vertical="center"/>
    </xf>
    <xf numFmtId="43" fontId="16" fillId="13" borderId="0" xfId="1" applyFont="1" applyFill="1" applyBorder="1">
      <alignment vertical="center"/>
    </xf>
    <xf numFmtId="43" fontId="16" fillId="13" borderId="29" xfId="1" applyFont="1" applyFill="1" applyBorder="1">
      <alignment vertical="center"/>
    </xf>
    <xf numFmtId="0" fontId="16" fillId="0" borderId="35" xfId="0" applyFont="1" applyBorder="1">
      <alignment vertical="center"/>
    </xf>
    <xf numFmtId="43" fontId="16" fillId="18" borderId="0" xfId="1" applyFont="1" applyFill="1" applyBorder="1">
      <alignment vertical="center"/>
    </xf>
    <xf numFmtId="43" fontId="16" fillId="0" borderId="0" xfId="1" applyFont="1" applyBorder="1">
      <alignment vertical="center"/>
    </xf>
    <xf numFmtId="43" fontId="16" fillId="0" borderId="29" xfId="1" applyFont="1" applyBorder="1">
      <alignment vertical="center"/>
    </xf>
    <xf numFmtId="0" fontId="16" fillId="19" borderId="0" xfId="0" applyFont="1" applyFill="1">
      <alignment vertical="center"/>
    </xf>
    <xf numFmtId="0" fontId="19" fillId="0" borderId="0" xfId="0" applyFont="1" applyAlignment="1">
      <alignment horizontal="right" vertical="center"/>
    </xf>
    <xf numFmtId="0" fontId="16" fillId="4" borderId="0" xfId="0" applyFont="1" applyFill="1">
      <alignment vertical="center"/>
    </xf>
    <xf numFmtId="0" fontId="13" fillId="0" borderId="0" xfId="0" applyFont="1">
      <alignment vertical="center"/>
    </xf>
    <xf numFmtId="0" fontId="13" fillId="0" borderId="29" xfId="0" applyFont="1" applyBorder="1">
      <alignment vertical="center"/>
    </xf>
    <xf numFmtId="0" fontId="16" fillId="0" borderId="0" xfId="8" applyFont="1" applyAlignment="1">
      <alignment vertical="center"/>
    </xf>
    <xf numFmtId="0" fontId="16" fillId="0" borderId="36" xfId="0" applyFont="1" applyBorder="1">
      <alignment vertical="center"/>
    </xf>
    <xf numFmtId="43" fontId="16" fillId="13" borderId="37" xfId="1" applyFont="1" applyFill="1" applyBorder="1">
      <alignment vertical="center"/>
    </xf>
    <xf numFmtId="43" fontId="16" fillId="13" borderId="8" xfId="1" applyFont="1" applyFill="1" applyBorder="1">
      <alignment vertical="center"/>
    </xf>
    <xf numFmtId="0" fontId="20" fillId="0" borderId="0" xfId="0" applyFont="1">
      <alignment vertical="center"/>
    </xf>
    <xf numFmtId="0" fontId="20" fillId="0" borderId="0" xfId="0" applyFont="1" applyAlignment="1">
      <alignment horizontal="right" vertical="center"/>
    </xf>
    <xf numFmtId="0" fontId="20" fillId="0" borderId="0" xfId="0" applyFont="1" applyAlignment="1">
      <alignment horizontal="center" vertical="center"/>
    </xf>
    <xf numFmtId="0" fontId="8" fillId="20" borderId="0" xfId="0" applyFont="1" applyFill="1">
      <alignment vertical="center"/>
    </xf>
    <xf numFmtId="0" fontId="20" fillId="20" borderId="0" xfId="0" applyFont="1" applyFill="1" applyAlignment="1">
      <alignment horizontal="right" vertical="center"/>
    </xf>
    <xf numFmtId="177" fontId="20" fillId="0" borderId="0" xfId="1" applyNumberFormat="1" applyFont="1" applyAlignment="1">
      <alignment horizontal="right" vertical="center"/>
    </xf>
    <xf numFmtId="187" fontId="20" fillId="0" borderId="0" xfId="2" applyNumberFormat="1" applyFont="1" applyAlignment="1">
      <alignment horizontal="right" vertical="center"/>
    </xf>
    <xf numFmtId="177" fontId="20" fillId="0" borderId="0" xfId="0" applyNumberFormat="1" applyFont="1" applyAlignment="1">
      <alignment horizontal="right" vertical="center"/>
    </xf>
    <xf numFmtId="187" fontId="20" fillId="0" borderId="0" xfId="0" applyNumberFormat="1" applyFont="1" applyAlignment="1">
      <alignment horizontal="right" vertical="center"/>
    </xf>
    <xf numFmtId="0" fontId="8" fillId="20" borderId="0" xfId="6" applyFont="1" applyFill="1" applyAlignment="1">
      <alignment horizontal="justify" vertical="center" wrapText="1"/>
    </xf>
    <xf numFmtId="187" fontId="20" fillId="0" borderId="0" xfId="1" applyNumberFormat="1" applyFont="1" applyAlignment="1">
      <alignment horizontal="right" vertical="center"/>
    </xf>
    <xf numFmtId="176" fontId="20" fillId="0" borderId="0" xfId="0" applyNumberFormat="1" applyFont="1" applyAlignment="1">
      <alignment horizontal="right" vertical="center"/>
    </xf>
    <xf numFmtId="0" fontId="8" fillId="0" borderId="0" xfId="0" applyFont="1">
      <alignment vertical="center"/>
    </xf>
    <xf numFmtId="0" fontId="8" fillId="15" borderId="0" xfId="0" applyFont="1" applyFill="1">
      <alignment vertical="center"/>
    </xf>
    <xf numFmtId="0" fontId="20" fillId="15" borderId="0" xfId="0" applyFont="1" applyFill="1" applyAlignment="1">
      <alignment horizontal="right" vertical="center"/>
    </xf>
    <xf numFmtId="0" fontId="21" fillId="0" borderId="0" xfId="0" applyFont="1">
      <alignment vertical="center"/>
    </xf>
    <xf numFmtId="0" fontId="22" fillId="0" borderId="0" xfId="0" applyFont="1">
      <alignment vertical="center"/>
    </xf>
    <xf numFmtId="0" fontId="23" fillId="5" borderId="0" xfId="0" applyFont="1" applyFill="1">
      <alignment vertical="center"/>
    </xf>
    <xf numFmtId="0" fontId="23" fillId="7" borderId="0" xfId="0" applyFont="1" applyFill="1">
      <alignment vertical="center"/>
    </xf>
    <xf numFmtId="0" fontId="23" fillId="0" borderId="0" xfId="0" applyFont="1">
      <alignment vertical="center"/>
    </xf>
    <xf numFmtId="0" fontId="24" fillId="16" borderId="38" xfId="0" applyFont="1" applyFill="1" applyBorder="1">
      <alignment vertical="center"/>
    </xf>
    <xf numFmtId="0" fontId="23" fillId="16" borderId="5" xfId="0" applyFont="1" applyFill="1" applyBorder="1">
      <alignment vertical="center"/>
    </xf>
    <xf numFmtId="0" fontId="23" fillId="16" borderId="39" xfId="0" applyFont="1" applyFill="1" applyBorder="1">
      <alignment vertical="center"/>
    </xf>
    <xf numFmtId="0" fontId="23" fillId="5" borderId="35" xfId="0" applyFont="1" applyFill="1" applyBorder="1">
      <alignment vertical="center"/>
    </xf>
    <xf numFmtId="0" fontId="23" fillId="5" borderId="29" xfId="0" applyFont="1" applyFill="1" applyBorder="1">
      <alignment vertical="center"/>
    </xf>
    <xf numFmtId="0" fontId="23" fillId="15" borderId="0" xfId="0" applyFont="1" applyFill="1">
      <alignment vertical="center"/>
    </xf>
    <xf numFmtId="0" fontId="23" fillId="13" borderId="29" xfId="0" applyFont="1" applyFill="1" applyBorder="1">
      <alignment vertical="center"/>
    </xf>
    <xf numFmtId="0" fontId="23" fillId="18" borderId="0" xfId="0" applyFont="1" applyFill="1" applyAlignment="1">
      <alignment vertical="center" wrapText="1"/>
    </xf>
    <xf numFmtId="49" fontId="23" fillId="13" borderId="0" xfId="0" applyNumberFormat="1" applyFont="1" applyFill="1" applyAlignment="1">
      <alignment horizontal="left" vertical="center"/>
    </xf>
    <xf numFmtId="0" fontId="23" fillId="13" borderId="29" xfId="0" applyFont="1" applyFill="1" applyBorder="1" applyAlignment="1">
      <alignment horizontal="left" vertical="center"/>
    </xf>
    <xf numFmtId="0" fontId="23" fillId="13" borderId="0" xfId="0" applyFont="1" applyFill="1" applyAlignment="1">
      <alignment horizontal="left" vertical="center"/>
    </xf>
    <xf numFmtId="0" fontId="23" fillId="13" borderId="29" xfId="0" applyFont="1" applyFill="1" applyBorder="1" applyAlignment="1" applyProtection="1">
      <alignment horizontal="left" vertical="center"/>
      <protection locked="0"/>
    </xf>
    <xf numFmtId="192" fontId="23" fillId="13" borderId="29" xfId="0" applyNumberFormat="1" applyFont="1" applyFill="1" applyBorder="1" applyAlignment="1">
      <alignment horizontal="left" vertical="center"/>
    </xf>
    <xf numFmtId="0" fontId="23" fillId="13" borderId="40" xfId="0" applyFont="1" applyFill="1" applyBorder="1" applyAlignment="1">
      <alignment horizontal="left" vertical="center"/>
    </xf>
    <xf numFmtId="0" fontId="23" fillId="0" borderId="41" xfId="0" applyFont="1" applyBorder="1">
      <alignment vertical="center"/>
    </xf>
    <xf numFmtId="0" fontId="23" fillId="15" borderId="40" xfId="0" applyFont="1" applyFill="1" applyBorder="1">
      <alignment vertical="center"/>
    </xf>
    <xf numFmtId="0" fontId="23" fillId="5" borderId="40" xfId="0" applyFont="1" applyFill="1" applyBorder="1">
      <alignment vertical="center"/>
    </xf>
    <xf numFmtId="43" fontId="23" fillId="13" borderId="40" xfId="0" applyNumberFormat="1" applyFont="1" applyFill="1" applyBorder="1" applyAlignment="1">
      <alignment horizontal="left" vertical="center"/>
    </xf>
    <xf numFmtId="0" fontId="23" fillId="5" borderId="42" xfId="0" applyFont="1" applyFill="1" applyBorder="1">
      <alignment vertical="center"/>
    </xf>
    <xf numFmtId="0" fontId="25" fillId="5" borderId="43" xfId="0" applyFont="1" applyFill="1" applyBorder="1">
      <alignment vertical="center"/>
    </xf>
    <xf numFmtId="0" fontId="26" fillId="5" borderId="0" xfId="0" applyFont="1" applyFill="1">
      <alignment vertical="center"/>
    </xf>
    <xf numFmtId="0" fontId="23" fillId="5" borderId="36" xfId="0" applyFont="1" applyFill="1" applyBorder="1">
      <alignment vertical="center"/>
    </xf>
    <xf numFmtId="0" fontId="23" fillId="5" borderId="37" xfId="0" applyFont="1" applyFill="1" applyBorder="1">
      <alignment vertical="center"/>
    </xf>
    <xf numFmtId="0" fontId="23" fillId="5" borderId="8" xfId="0" applyFont="1" applyFill="1" applyBorder="1">
      <alignment vertical="center"/>
    </xf>
    <xf numFmtId="14" fontId="23" fillId="13" borderId="0" xfId="0" applyNumberFormat="1" applyFont="1" applyFill="1" applyAlignment="1">
      <alignment horizontal="left" vertical="center"/>
    </xf>
    <xf numFmtId="11" fontId="6" fillId="0" borderId="0" xfId="1" applyNumberFormat="1" applyFont="1">
      <alignment vertical="center"/>
    </xf>
    <xf numFmtId="0" fontId="65" fillId="0" borderId="0" xfId="10" applyFont="1">
      <alignment vertical="center"/>
    </xf>
    <xf numFmtId="0" fontId="56" fillId="0" borderId="0" xfId="10" applyFont="1">
      <alignment vertical="center"/>
    </xf>
    <xf numFmtId="0" fontId="56" fillId="21" borderId="45" xfId="10" applyFont="1" applyFill="1" applyBorder="1">
      <alignment vertical="center"/>
    </xf>
    <xf numFmtId="0" fontId="56" fillId="0" borderId="44" xfId="10" applyFont="1" applyBorder="1">
      <alignment vertical="center"/>
    </xf>
    <xf numFmtId="0" fontId="67" fillId="9" borderId="0" xfId="10" applyFont="1" applyFill="1" applyAlignment="1">
      <alignment horizontal="center" vertical="center"/>
    </xf>
    <xf numFmtId="0" fontId="67" fillId="9" borderId="46" xfId="10" applyFont="1" applyFill="1" applyBorder="1" applyAlignment="1">
      <alignment horizontal="center" vertical="center"/>
    </xf>
    <xf numFmtId="0" fontId="56" fillId="0" borderId="44" xfId="10" applyFont="1" applyBorder="1" applyAlignment="1">
      <alignment horizontal="center" vertical="center" wrapText="1"/>
    </xf>
    <xf numFmtId="43" fontId="56" fillId="22" borderId="0" xfId="11" applyFont="1" applyFill="1" applyBorder="1">
      <alignment vertical="center"/>
    </xf>
    <xf numFmtId="43" fontId="56" fillId="23" borderId="0" xfId="11" applyFont="1" applyFill="1" applyBorder="1">
      <alignment vertical="center"/>
    </xf>
    <xf numFmtId="43" fontId="56" fillId="0" borderId="0" xfId="11" applyFont="1" applyBorder="1">
      <alignment vertical="center"/>
    </xf>
    <xf numFmtId="43" fontId="56" fillId="0" borderId="46" xfId="11" applyFont="1" applyBorder="1">
      <alignment vertical="center"/>
    </xf>
    <xf numFmtId="43" fontId="56" fillId="23" borderId="46" xfId="11" applyFont="1" applyFill="1" applyBorder="1">
      <alignment vertical="center"/>
    </xf>
    <xf numFmtId="0" fontId="56" fillId="0" borderId="47" xfId="10" applyFont="1" applyBorder="1" applyAlignment="1">
      <alignment horizontal="center" vertical="center" wrapText="1"/>
    </xf>
    <xf numFmtId="43" fontId="56" fillId="22" borderId="48" xfId="11" applyFont="1" applyFill="1" applyBorder="1">
      <alignment vertical="center"/>
    </xf>
    <xf numFmtId="43" fontId="56" fillId="23" borderId="48" xfId="11" applyFont="1" applyFill="1" applyBorder="1">
      <alignment vertical="center"/>
    </xf>
    <xf numFmtId="43" fontId="56" fillId="23" borderId="49" xfId="11" applyFont="1" applyFill="1" applyBorder="1">
      <alignment vertical="center"/>
    </xf>
    <xf numFmtId="0" fontId="36" fillId="0" borderId="0" xfId="10" applyFont="1">
      <alignment vertical="center"/>
    </xf>
    <xf numFmtId="0" fontId="40" fillId="0" borderId="0" xfId="10" applyFont="1">
      <alignment vertical="center"/>
    </xf>
    <xf numFmtId="187" fontId="36" fillId="0" borderId="0" xfId="10" applyNumberFormat="1" applyFont="1">
      <alignment vertical="center"/>
    </xf>
    <xf numFmtId="9" fontId="44" fillId="0" borderId="0" xfId="12" applyFont="1">
      <alignment vertical="center"/>
    </xf>
    <xf numFmtId="0" fontId="36" fillId="8" borderId="0" xfId="10" applyFont="1" applyFill="1" applyAlignment="1">
      <alignment horizontal="center" vertical="center"/>
    </xf>
    <xf numFmtId="0" fontId="45" fillId="9" borderId="0" xfId="10" applyFont="1" applyFill="1" applyAlignment="1">
      <alignment horizontal="center" vertical="center"/>
    </xf>
    <xf numFmtId="0" fontId="44" fillId="0" borderId="0" xfId="10" applyFont="1">
      <alignment vertical="center"/>
    </xf>
    <xf numFmtId="0" fontId="44" fillId="0" borderId="44" xfId="10" applyFont="1" applyBorder="1" applyAlignment="1">
      <alignment horizontal="left" vertical="center" wrapText="1"/>
    </xf>
    <xf numFmtId="43" fontId="47" fillId="22" borderId="0" xfId="11" applyFont="1" applyFill="1" applyAlignment="1">
      <alignment vertical="center"/>
    </xf>
    <xf numFmtId="193" fontId="48" fillId="23" borderId="0" xfId="10" applyNumberFormat="1" applyFont="1" applyFill="1">
      <alignment vertical="center"/>
    </xf>
    <xf numFmtId="0" fontId="36" fillId="0" borderId="44" xfId="10" applyFont="1" applyBorder="1" applyAlignment="1">
      <alignment horizontal="right" vertical="center" wrapText="1"/>
    </xf>
    <xf numFmtId="187" fontId="49" fillId="22" borderId="0" xfId="12" applyNumberFormat="1" applyFont="1" applyFill="1" applyAlignment="1">
      <alignment vertical="center"/>
    </xf>
    <xf numFmtId="187" fontId="49" fillId="23" borderId="0" xfId="12" applyNumberFormat="1" applyFont="1" applyFill="1" applyAlignment="1">
      <alignment vertical="center"/>
    </xf>
    <xf numFmtId="0" fontId="36" fillId="0" borderId="44" xfId="10" applyFont="1" applyBorder="1" applyAlignment="1">
      <alignment horizontal="left" vertical="center" wrapText="1"/>
    </xf>
    <xf numFmtId="43" fontId="50" fillId="22" borderId="0" xfId="11" applyFont="1" applyFill="1" applyAlignment="1">
      <alignment vertical="center"/>
    </xf>
    <xf numFmtId="43" fontId="49" fillId="22" borderId="0" xfId="11" applyFont="1" applyFill="1" applyAlignment="1">
      <alignment vertical="center"/>
    </xf>
    <xf numFmtId="43" fontId="49" fillId="23" borderId="0" xfId="11" applyFont="1" applyFill="1" applyAlignment="1">
      <alignment vertical="center"/>
    </xf>
    <xf numFmtId="10" fontId="48" fillId="22" borderId="0" xfId="12" applyNumberFormat="1" applyFont="1" applyFill="1" applyAlignment="1">
      <alignment vertical="center"/>
    </xf>
    <xf numFmtId="10" fontId="48" fillId="23" borderId="0" xfId="12" applyNumberFormat="1" applyFont="1" applyFill="1" applyAlignment="1">
      <alignment vertical="center"/>
    </xf>
    <xf numFmtId="187" fontId="44" fillId="0" borderId="0" xfId="10" applyNumberFormat="1" applyFont="1">
      <alignment vertical="center"/>
    </xf>
    <xf numFmtId="0" fontId="46" fillId="0" borderId="44" xfId="10" applyFont="1" applyBorder="1" applyAlignment="1">
      <alignment horizontal="left" vertical="center" wrapText="1"/>
    </xf>
    <xf numFmtId="43" fontId="48" fillId="22" borderId="0" xfId="11" applyFont="1" applyFill="1" applyAlignment="1">
      <alignment vertical="center"/>
    </xf>
    <xf numFmtId="43" fontId="48" fillId="23" borderId="0" xfId="11" applyFont="1" applyFill="1" applyAlignment="1">
      <alignment vertical="center"/>
    </xf>
    <xf numFmtId="0" fontId="36" fillId="0" borderId="0" xfId="10" applyFont="1" applyAlignment="1">
      <alignment horizontal="right" vertical="center"/>
    </xf>
    <xf numFmtId="43" fontId="51" fillId="22" borderId="0" xfId="11" applyFont="1" applyFill="1" applyAlignment="1">
      <alignment vertical="center"/>
    </xf>
    <xf numFmtId="43" fontId="52" fillId="22" borderId="0" xfId="11" applyFont="1" applyFill="1" applyAlignment="1">
      <alignment vertical="center"/>
    </xf>
    <xf numFmtId="182" fontId="49" fillId="22" borderId="0" xfId="12" applyNumberFormat="1" applyFont="1" applyFill="1" applyAlignment="1">
      <alignment vertical="center"/>
    </xf>
    <xf numFmtId="43" fontId="52" fillId="22" borderId="0" xfId="11" applyFont="1" applyFill="1" applyAlignment="1">
      <alignment horizontal="right" vertical="center"/>
    </xf>
    <xf numFmtId="182" fontId="50" fillId="22" borderId="0" xfId="12" applyNumberFormat="1" applyFont="1" applyFill="1" applyAlignment="1">
      <alignment vertical="center"/>
    </xf>
    <xf numFmtId="187" fontId="53" fillId="22" borderId="0" xfId="12" applyNumberFormat="1" applyFont="1" applyFill="1" applyAlignment="1">
      <alignment vertical="center"/>
    </xf>
    <xf numFmtId="187" fontId="53" fillId="23" borderId="0" xfId="12" applyNumberFormat="1" applyFont="1" applyFill="1" applyAlignment="1">
      <alignment vertical="center"/>
    </xf>
    <xf numFmtId="182" fontId="50" fillId="23" borderId="0" xfId="12" applyNumberFormat="1" applyFont="1" applyFill="1" applyAlignment="1">
      <alignment vertical="center"/>
    </xf>
    <xf numFmtId="10" fontId="47" fillId="22" borderId="0" xfId="12" applyNumberFormat="1" applyFont="1" applyFill="1" applyAlignment="1">
      <alignment vertical="center"/>
    </xf>
    <xf numFmtId="10" fontId="47" fillId="22" borderId="0" xfId="11" applyNumberFormat="1" applyFont="1" applyFill="1" applyAlignment="1">
      <alignment vertical="center"/>
    </xf>
    <xf numFmtId="10" fontId="47" fillId="23" borderId="0" xfId="12" applyNumberFormat="1" applyFont="1" applyFill="1" applyAlignment="1">
      <alignment vertical="center"/>
    </xf>
    <xf numFmtId="182" fontId="49" fillId="23" borderId="0" xfId="12" applyNumberFormat="1" applyFont="1" applyFill="1" applyAlignment="1">
      <alignment vertical="center"/>
    </xf>
    <xf numFmtId="187" fontId="53" fillId="22" borderId="0" xfId="10" applyNumberFormat="1" applyFont="1" applyFill="1">
      <alignment vertical="center"/>
    </xf>
    <xf numFmtId="187" fontId="53" fillId="23" borderId="0" xfId="10" applyNumberFormat="1" applyFont="1" applyFill="1">
      <alignment vertical="center"/>
    </xf>
    <xf numFmtId="10" fontId="53" fillId="22" borderId="0" xfId="12" applyNumberFormat="1" applyFont="1" applyFill="1" applyAlignment="1">
      <alignment vertical="center"/>
    </xf>
    <xf numFmtId="10" fontId="53" fillId="22" borderId="0" xfId="10" applyNumberFormat="1" applyFont="1" applyFill="1">
      <alignment vertical="center"/>
    </xf>
    <xf numFmtId="10" fontId="53" fillId="23" borderId="0" xfId="10" applyNumberFormat="1" applyFont="1" applyFill="1">
      <alignment vertical="center"/>
    </xf>
    <xf numFmtId="187" fontId="50" fillId="22" borderId="0" xfId="12" applyNumberFormat="1" applyFont="1" applyFill="1" applyAlignment="1">
      <alignment vertical="center"/>
    </xf>
    <xf numFmtId="187" fontId="50" fillId="23" borderId="0" xfId="12" applyNumberFormat="1" applyFont="1" applyFill="1" applyAlignment="1">
      <alignment vertical="center"/>
    </xf>
    <xf numFmtId="187" fontId="49" fillId="22" borderId="0" xfId="11" applyNumberFormat="1" applyFont="1" applyFill="1" applyAlignment="1">
      <alignment vertical="center"/>
    </xf>
    <xf numFmtId="187" fontId="49" fillId="23" borderId="0" xfId="11" applyNumberFormat="1" applyFont="1" applyFill="1" applyAlignment="1">
      <alignment vertical="center"/>
    </xf>
    <xf numFmtId="10" fontId="50" fillId="22" borderId="0" xfId="12" applyNumberFormat="1" applyFont="1" applyFill="1" applyAlignment="1">
      <alignment vertical="center"/>
    </xf>
    <xf numFmtId="10" fontId="50" fillId="22" borderId="0" xfId="11" applyNumberFormat="1" applyFont="1" applyFill="1" applyAlignment="1">
      <alignment vertical="center"/>
    </xf>
    <xf numFmtId="187" fontId="50" fillId="22" borderId="0" xfId="11" applyNumberFormat="1" applyFont="1" applyFill="1" applyAlignment="1">
      <alignment vertical="center"/>
    </xf>
    <xf numFmtId="43" fontId="54" fillId="22" borderId="0" xfId="11" applyFont="1" applyFill="1" applyAlignment="1">
      <alignment vertical="center"/>
    </xf>
    <xf numFmtId="10" fontId="36" fillId="22" borderId="0" xfId="12" applyNumberFormat="1" applyFont="1" applyFill="1" applyAlignment="1">
      <alignment vertical="center"/>
    </xf>
    <xf numFmtId="10" fontId="53" fillId="4" borderId="0" xfId="12" applyNumberFormat="1" applyFont="1" applyFill="1" applyAlignment="1">
      <alignment vertical="center"/>
    </xf>
    <xf numFmtId="10" fontId="53" fillId="23" borderId="0" xfId="12" applyNumberFormat="1" applyFont="1" applyFill="1" applyAlignment="1">
      <alignment vertical="center"/>
    </xf>
    <xf numFmtId="182" fontId="50" fillId="23" borderId="0" xfId="10" applyNumberFormat="1" applyFont="1" applyFill="1">
      <alignment vertical="center"/>
    </xf>
    <xf numFmtId="182" fontId="53" fillId="23" borderId="0" xfId="10" applyNumberFormat="1" applyFont="1" applyFill="1">
      <alignment vertical="center"/>
    </xf>
    <xf numFmtId="182" fontId="36" fillId="0" borderId="0" xfId="10" applyNumberFormat="1" applyFont="1">
      <alignment vertical="center"/>
    </xf>
    <xf numFmtId="10" fontId="49" fillId="23" borderId="0" xfId="12" applyNumberFormat="1" applyFont="1" applyFill="1" applyAlignment="1">
      <alignment vertical="center"/>
    </xf>
    <xf numFmtId="10" fontId="49" fillId="22" borderId="0" xfId="11" applyNumberFormat="1" applyFont="1" applyFill="1" applyAlignment="1">
      <alignment vertical="center"/>
    </xf>
    <xf numFmtId="0" fontId="44" fillId="0" borderId="0" xfId="10" applyFont="1" applyAlignment="1">
      <alignment horizontal="left" vertical="center" wrapText="1"/>
    </xf>
    <xf numFmtId="0" fontId="53" fillId="22" borderId="0" xfId="10" applyFont="1" applyFill="1">
      <alignment vertical="center"/>
    </xf>
    <xf numFmtId="0" fontId="53" fillId="23" borderId="0" xfId="10" applyFont="1" applyFill="1">
      <alignment vertical="center"/>
    </xf>
    <xf numFmtId="0" fontId="46" fillId="10" borderId="44" xfId="10" applyFont="1" applyFill="1" applyBorder="1" applyAlignment="1">
      <alignment horizontal="left" vertical="center" wrapText="1"/>
    </xf>
    <xf numFmtId="187" fontId="47" fillId="10" borderId="0" xfId="12" applyNumberFormat="1" applyFont="1" applyFill="1" applyAlignment="1">
      <alignment vertical="center"/>
    </xf>
    <xf numFmtId="182" fontId="48" fillId="10" borderId="0" xfId="12" applyNumberFormat="1" applyFont="1" applyFill="1" applyAlignment="1">
      <alignment vertical="center"/>
    </xf>
    <xf numFmtId="0" fontId="44" fillId="10" borderId="0" xfId="10" applyFont="1" applyFill="1">
      <alignment vertical="center"/>
    </xf>
    <xf numFmtId="43" fontId="36" fillId="0" borderId="0" xfId="10" applyNumberFormat="1" applyFont="1">
      <alignment vertical="center"/>
    </xf>
    <xf numFmtId="43" fontId="48" fillId="22" borderId="0" xfId="10" applyNumberFormat="1" applyFont="1" applyFill="1">
      <alignment vertical="center"/>
    </xf>
    <xf numFmtId="43" fontId="49" fillId="22" borderId="0" xfId="10" applyNumberFormat="1" applyFont="1" applyFill="1">
      <alignment vertical="center"/>
    </xf>
    <xf numFmtId="193" fontId="36" fillId="22" borderId="0" xfId="10" applyNumberFormat="1" applyFont="1" applyFill="1">
      <alignment vertical="center"/>
    </xf>
    <xf numFmtId="193" fontId="36" fillId="23" borderId="0" xfId="10" applyNumberFormat="1" applyFont="1" applyFill="1">
      <alignment vertical="center"/>
    </xf>
    <xf numFmtId="0" fontId="44" fillId="10" borderId="44" xfId="10" applyFont="1" applyFill="1" applyBorder="1" applyAlignment="1">
      <alignment horizontal="left" vertical="center" wrapText="1"/>
    </xf>
    <xf numFmtId="187" fontId="50" fillId="10" borderId="0" xfId="12" applyNumberFormat="1" applyFont="1" applyFill="1" applyAlignment="1">
      <alignment vertical="center"/>
    </xf>
    <xf numFmtId="0" fontId="36" fillId="10" borderId="0" xfId="10" applyFont="1" applyFill="1">
      <alignment vertical="center"/>
    </xf>
    <xf numFmtId="187" fontId="51" fillId="22" borderId="0" xfId="12" applyNumberFormat="1" applyFont="1" applyFill="1" applyAlignment="1">
      <alignment vertical="center"/>
    </xf>
    <xf numFmtId="187" fontId="47" fillId="22" borderId="0" xfId="12" applyNumberFormat="1" applyFont="1" applyFill="1" applyAlignment="1">
      <alignment vertical="center"/>
    </xf>
    <xf numFmtId="0" fontId="36" fillId="0" borderId="0" xfId="10" applyFont="1" applyAlignment="1">
      <alignment horizontal="left" vertical="center" wrapText="1"/>
    </xf>
    <xf numFmtId="43" fontId="36" fillId="22" borderId="0" xfId="11" applyFont="1" applyFill="1" applyAlignment="1">
      <alignment vertical="center"/>
    </xf>
    <xf numFmtId="0" fontId="36" fillId="22" borderId="0" xfId="10" applyFont="1" applyFill="1">
      <alignment vertical="center"/>
    </xf>
    <xf numFmtId="0" fontId="36" fillId="23" borderId="0" xfId="10" applyFont="1" applyFill="1">
      <alignment vertical="center"/>
    </xf>
    <xf numFmtId="193" fontId="47" fillId="10" borderId="0" xfId="10" applyNumberFormat="1" applyFont="1" applyFill="1">
      <alignment vertical="center"/>
    </xf>
    <xf numFmtId="10" fontId="44" fillId="10" borderId="0" xfId="12" applyNumberFormat="1" applyFont="1" applyFill="1">
      <alignment vertical="center"/>
    </xf>
    <xf numFmtId="43" fontId="53" fillId="22" borderId="0" xfId="11" applyFont="1" applyFill="1" applyAlignment="1">
      <alignment vertical="center"/>
    </xf>
    <xf numFmtId="10" fontId="49" fillId="22" borderId="0" xfId="12" applyNumberFormat="1" applyFont="1" applyFill="1">
      <alignment vertical="center"/>
    </xf>
    <xf numFmtId="10" fontId="49" fillId="22" borderId="0" xfId="10" applyNumberFormat="1" applyFont="1" applyFill="1">
      <alignment vertical="center"/>
    </xf>
    <xf numFmtId="9" fontId="36" fillId="10" borderId="0" xfId="12" applyFont="1" applyFill="1">
      <alignment vertical="center"/>
    </xf>
    <xf numFmtId="43" fontId="44" fillId="22" borderId="0" xfId="11" applyFont="1" applyFill="1">
      <alignment vertical="center"/>
    </xf>
    <xf numFmtId="0" fontId="55" fillId="0" borderId="0" xfId="10" applyFont="1" applyAlignment="1">
      <alignment horizontal="right" vertical="center"/>
    </xf>
    <xf numFmtId="9" fontId="50" fillId="22" borderId="0" xfId="12" applyFont="1" applyFill="1">
      <alignment vertical="center"/>
    </xf>
    <xf numFmtId="193" fontId="48" fillId="22" borderId="0" xfId="10" applyNumberFormat="1" applyFont="1" applyFill="1">
      <alignment vertical="center"/>
    </xf>
    <xf numFmtId="187" fontId="54" fillId="22" borderId="0" xfId="12" applyNumberFormat="1" applyFont="1" applyFill="1">
      <alignment vertical="center"/>
    </xf>
    <xf numFmtId="187" fontId="54" fillId="23" borderId="0" xfId="12" applyNumberFormat="1" applyFont="1" applyFill="1">
      <alignment vertical="center"/>
    </xf>
    <xf numFmtId="193" fontId="49" fillId="22" borderId="0" xfId="10" applyNumberFormat="1" applyFont="1" applyFill="1">
      <alignment vertical="center"/>
    </xf>
    <xf numFmtId="193" fontId="49" fillId="23" borderId="0" xfId="10" applyNumberFormat="1" applyFont="1" applyFill="1">
      <alignment vertical="center"/>
    </xf>
    <xf numFmtId="0" fontId="49" fillId="22" borderId="0" xfId="10" applyFont="1" applyFill="1">
      <alignment vertical="center"/>
    </xf>
    <xf numFmtId="10" fontId="48" fillId="22" borderId="0" xfId="12" applyNumberFormat="1" applyFont="1" applyFill="1">
      <alignment vertical="center"/>
    </xf>
    <xf numFmtId="0" fontId="48" fillId="22" borderId="0" xfId="10" applyFont="1" applyFill="1">
      <alignment vertical="center"/>
    </xf>
    <xf numFmtId="0" fontId="48" fillId="23" borderId="0" xfId="10" applyFont="1" applyFill="1">
      <alignment vertical="center"/>
    </xf>
    <xf numFmtId="10" fontId="48" fillId="23" borderId="0" xfId="12" applyNumberFormat="1" applyFont="1" applyFill="1">
      <alignment vertical="center"/>
    </xf>
    <xf numFmtId="10" fontId="49" fillId="23" borderId="0" xfId="12" applyNumberFormat="1" applyFont="1" applyFill="1">
      <alignment vertical="center"/>
    </xf>
    <xf numFmtId="193" fontId="36" fillId="0" borderId="0" xfId="10" applyNumberFormat="1" applyFont="1">
      <alignment vertical="center"/>
    </xf>
    <xf numFmtId="10" fontId="36" fillId="0" borderId="0" xfId="12" applyNumberFormat="1" applyFont="1">
      <alignment vertical="center"/>
    </xf>
    <xf numFmtId="1" fontId="36" fillId="0" borderId="0" xfId="10" applyNumberFormat="1" applyFont="1">
      <alignment vertical="center"/>
    </xf>
    <xf numFmtId="9" fontId="36" fillId="0" borderId="0" xfId="12" applyFont="1">
      <alignment vertical="center"/>
    </xf>
    <xf numFmtId="0" fontId="6" fillId="16" borderId="5" xfId="0" applyFont="1" applyFill="1" applyBorder="1" applyAlignment="1">
      <alignment horizontal="center" vertical="center"/>
    </xf>
    <xf numFmtId="0" fontId="56" fillId="21" borderId="45" xfId="10" applyFont="1" applyFill="1" applyBorder="1" applyAlignment="1">
      <alignment horizontal="center" vertical="center"/>
    </xf>
    <xf numFmtId="0" fontId="6" fillId="0" borderId="0" xfId="0" applyFont="1" applyAlignment="1">
      <alignment horizontal="center" vertical="center"/>
    </xf>
    <xf numFmtId="0" fontId="11" fillId="0" borderId="10" xfId="0" applyFont="1" applyBorder="1" applyAlignment="1">
      <alignment horizontal="center" vertical="center"/>
    </xf>
    <xf numFmtId="0" fontId="11" fillId="0" borderId="4" xfId="0" applyFont="1" applyBorder="1" applyAlignment="1">
      <alignment horizontal="center" vertical="center"/>
    </xf>
    <xf numFmtId="0" fontId="11" fillId="0" borderId="14"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3"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6" fillId="0" borderId="14" xfId="0" applyFont="1" applyBorder="1" applyAlignment="1">
      <alignment horizontal="left" vertical="center"/>
    </xf>
    <xf numFmtId="0" fontId="6" fillId="0" borderId="0" xfId="0" applyFont="1" applyAlignment="1">
      <alignment horizontal="left" vertical="center"/>
    </xf>
    <xf numFmtId="0" fontId="11" fillId="0" borderId="0" xfId="0" applyFont="1" applyAlignment="1">
      <alignment horizontal="left" vertical="center"/>
    </xf>
    <xf numFmtId="0" fontId="6" fillId="0" borderId="0" xfId="0" applyFont="1" applyAlignment="1" applyProtection="1">
      <alignment horizontal="center" vertical="center"/>
      <protection locked="0"/>
    </xf>
    <xf numFmtId="189" fontId="6" fillId="0" borderId="0" xfId="0" applyNumberFormat="1" applyFont="1" applyAlignment="1">
      <alignment horizontal="center" vertical="center"/>
    </xf>
    <xf numFmtId="189" fontId="6" fillId="0" borderId="18" xfId="0" applyNumberFormat="1" applyFont="1" applyBorder="1" applyAlignment="1">
      <alignment horizontal="center" vertical="center"/>
    </xf>
    <xf numFmtId="189" fontId="6" fillId="0" borderId="3" xfId="0" applyNumberFormat="1" applyFont="1" applyBorder="1" applyAlignment="1">
      <alignment horizontal="center" vertical="center"/>
    </xf>
    <xf numFmtId="189" fontId="6" fillId="0" borderId="21" xfId="0" applyNumberFormat="1" applyFont="1" applyBorder="1" applyAlignment="1">
      <alignment horizontal="center" vertical="center"/>
    </xf>
    <xf numFmtId="189" fontId="6" fillId="10" borderId="0" xfId="0" applyNumberFormat="1" applyFont="1" applyFill="1" applyAlignment="1">
      <alignment horizontal="center" vertical="center"/>
    </xf>
    <xf numFmtId="189" fontId="6" fillId="10" borderId="18" xfId="0" applyNumberFormat="1" applyFont="1" applyFill="1" applyBorder="1" applyAlignment="1">
      <alignment horizontal="center" vertical="center"/>
    </xf>
    <xf numFmtId="0" fontId="56" fillId="21" borderId="0" xfId="10" applyFont="1" applyFill="1" applyBorder="1" applyAlignment="1">
      <alignment horizontal="center" vertical="center"/>
    </xf>
    <xf numFmtId="10" fontId="40" fillId="22" borderId="0" xfId="11" applyNumberFormat="1" applyFont="1" applyFill="1" applyAlignment="1">
      <alignment horizontal="right" vertical="center"/>
    </xf>
    <xf numFmtId="10" fontId="40" fillId="23" borderId="0" xfId="10" applyNumberFormat="1" applyFont="1" applyFill="1">
      <alignment vertical="center"/>
    </xf>
    <xf numFmtId="9" fontId="47" fillId="0" borderId="0" xfId="12" applyFont="1">
      <alignment vertical="center"/>
    </xf>
    <xf numFmtId="0" fontId="47" fillId="0" borderId="0" xfId="10" applyFont="1">
      <alignment vertical="center"/>
    </xf>
    <xf numFmtId="0" fontId="68" fillId="4" borderId="0" xfId="10" applyFont="1" applyFill="1">
      <alignment vertical="center"/>
    </xf>
    <xf numFmtId="0" fontId="38" fillId="0" borderId="0" xfId="10" applyFont="1" applyAlignment="1">
      <alignment horizontal="right" vertical="center"/>
    </xf>
    <xf numFmtId="0" fontId="0" fillId="24" borderId="0" xfId="0" applyFill="1">
      <alignment vertical="center"/>
    </xf>
    <xf numFmtId="0" fontId="0" fillId="25" borderId="0" xfId="0" applyFill="1">
      <alignment vertical="center"/>
    </xf>
  </cellXfs>
  <cellStyles count="13">
    <cellStyle name="Normal_VALUE2_1.XLS" xfId="4" xr:uid="{00000000-0005-0000-0000-000032000000}"/>
    <cellStyle name="百分比" xfId="2" builtinId="5"/>
    <cellStyle name="百分比 2" xfId="12" xr:uid="{2754102D-2643-48F5-9C83-5A4858E38246}"/>
    <cellStyle name="常规" xfId="0" builtinId="0"/>
    <cellStyle name="常规 2" xfId="5" xr:uid="{00000000-0005-0000-0000-000033000000}"/>
    <cellStyle name="常规 2 2" xfId="3" xr:uid="{00000000-0005-0000-0000-00002C000000}"/>
    <cellStyle name="常规 3" xfId="6" xr:uid="{00000000-0005-0000-0000-000034000000}"/>
    <cellStyle name="常规 4" xfId="8" xr:uid="{00000000-0005-0000-0000-000036000000}"/>
    <cellStyle name="常规 5" xfId="10" xr:uid="{A8912102-6952-49CC-B36F-D41B59B67D04}"/>
    <cellStyle name="千位分隔" xfId="1" builtinId="3"/>
    <cellStyle name="千位分隔 2" xfId="7" xr:uid="{00000000-0005-0000-0000-000035000000}"/>
    <cellStyle name="千位分隔 3" xfId="9" xr:uid="{00000000-0005-0000-0000-000037000000}"/>
    <cellStyle name="千位分隔 4" xfId="11" xr:uid="{AA88493A-A1F2-4B09-86B3-216F6B42BADF}"/>
  </cellStyles>
  <dxfs count="9">
    <dxf>
      <fill>
        <patternFill patternType="mediumGray">
          <fgColor rgb="FFFF0000"/>
          <bgColor rgb="FFFF0000"/>
        </patternFill>
      </fill>
    </dxf>
    <dxf>
      <fill>
        <patternFill patternType="mediumGray">
          <fgColor rgb="FFFFFF00"/>
        </patternFill>
      </fill>
    </dxf>
    <dxf>
      <fill>
        <patternFill patternType="solid">
          <fgColor rgb="FFDCE6F1"/>
          <bgColor rgb="FFDCE6F1"/>
        </patternFill>
      </fill>
    </dxf>
    <dxf>
      <fill>
        <patternFill patternType="solid">
          <fgColor rgb="FFDCE6F1"/>
          <bgColor rgb="FFDCE6F1"/>
        </patternFill>
      </fill>
    </dxf>
    <dxf>
      <font>
        <b/>
        <color rgb="FF000000"/>
      </font>
    </dxf>
    <dxf>
      <font>
        <b/>
        <color rgb="FF000000"/>
      </font>
    </dxf>
    <dxf>
      <font>
        <b/>
        <color rgb="FF000000"/>
      </font>
      <border>
        <top style="double">
          <color rgb="FF4F81BD"/>
        </top>
      </border>
    </dxf>
    <dxf>
      <font>
        <b/>
        <color rgb="FF000000"/>
      </font>
      <border>
        <bottom style="medium">
          <color rgb="FF4F81BD"/>
        </bottom>
      </border>
    </dxf>
    <dxf>
      <font>
        <color rgb="FF000000"/>
      </font>
      <border>
        <left style="thin">
          <color rgb="FF4F81BD"/>
        </left>
        <right style="thin">
          <color rgb="FF4F81BD"/>
        </right>
        <top style="thin">
          <color rgb="FF4F81BD"/>
        </top>
        <bottom style="thin">
          <color rgb="FF4F81BD"/>
        </bottom>
        <vertical style="thin">
          <color rgb="FF4F81BD"/>
        </vertical>
        <horizontal style="thin">
          <color rgb="FF4F81BD"/>
        </horizontal>
      </border>
    </dxf>
  </dxfs>
  <tableStyles count="1" defaultTableStyle="TableStyleMedium9" defaultPivotStyle="PivotStyleLight16">
    <tableStyle name="TableStyleLight16 2" pivot="0" count="7" xr9:uid="{00000000-0011-0000-FFFF-FFFF00000000}">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s>
  <colors>
    <mruColors>
      <color rgb="FFFDE9D9"/>
      <color rgb="FFF2DCDB"/>
      <color rgb="FFFFFF99"/>
      <color rgb="FFD9D9D9"/>
      <color rgb="FF1F497D"/>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27874564459901"/>
          <c:y val="0.252632228187264"/>
          <c:w val="0.68292682926829296"/>
          <c:h val="0.63087116769978202"/>
        </c:manualLayout>
      </c:layout>
      <c:barChart>
        <c:barDir val="col"/>
        <c:grouping val="clustered"/>
        <c:varyColors val="0"/>
        <c:ser>
          <c:idx val="0"/>
          <c:order val="0"/>
          <c:tx>
            <c:strRef>
              <c:f>六张图!$G$20</c:f>
              <c:strCache>
                <c:ptCount val="1"/>
                <c:pt idx="0">
                  <c:v>归属母公司股东的净利润（百万元）</c:v>
                </c:pt>
              </c:strCache>
            </c:strRef>
          </c:tx>
          <c:spPr>
            <a:solidFill>
              <a:srgbClr val="FF7F7F"/>
            </a:solidFill>
            <a:ln w="25400">
              <a:noFill/>
            </a:ln>
          </c:spPr>
          <c:invertIfNegative val="0"/>
          <c:cat>
            <c:numRef>
              <c:f>六张图!$F$21:$F$23</c:f>
              <c:numCache>
                <c:formatCode>0_);[Red]\(0\)</c:formatCode>
                <c:ptCount val="3"/>
                <c:pt idx="0">
                  <c:v>2023</c:v>
                </c:pt>
                <c:pt idx="1">
                  <c:v>2024</c:v>
                </c:pt>
                <c:pt idx="2">
                  <c:v>2025</c:v>
                </c:pt>
              </c:numCache>
            </c:numRef>
          </c:cat>
          <c:val>
            <c:numRef>
              <c:f>六张图!$G$21:$G$23</c:f>
              <c:numCache>
                <c:formatCode>0.00_ </c:formatCode>
                <c:ptCount val="3"/>
                <c:pt idx="0">
                  <c:v>537.25438806999966</c:v>
                </c:pt>
                <c:pt idx="1">
                  <c:v>366.20209673999989</c:v>
                </c:pt>
                <c:pt idx="2">
                  <c:v>376.22602306000039</c:v>
                </c:pt>
              </c:numCache>
            </c:numRef>
          </c:val>
          <c:extLst>
            <c:ext xmlns:c16="http://schemas.microsoft.com/office/drawing/2014/chart" uri="{C3380CC4-5D6E-409C-BE32-E72D297353CC}">
              <c16:uniqueId val="{00000000-2007-4C45-B5FD-315A48AE78A7}"/>
            </c:ext>
          </c:extLst>
        </c:ser>
        <c:dLbls>
          <c:showLegendKey val="0"/>
          <c:showVal val="0"/>
          <c:showCatName val="0"/>
          <c:showSerName val="0"/>
          <c:showPercent val="0"/>
          <c:showBubbleSize val="0"/>
        </c:dLbls>
        <c:gapWidth val="80"/>
        <c:axId val="176883200"/>
        <c:axId val="176884736"/>
      </c:barChart>
      <c:lineChart>
        <c:grouping val="standard"/>
        <c:varyColors val="0"/>
        <c:ser>
          <c:idx val="1"/>
          <c:order val="1"/>
          <c:tx>
            <c:strRef>
              <c:f>六张图!$H$20</c:f>
              <c:strCache>
                <c:ptCount val="1"/>
                <c:pt idx="0">
                  <c:v>净利率</c:v>
                </c:pt>
              </c:strCache>
            </c:strRef>
          </c:tx>
          <c:spPr>
            <a:ln w="12700" cap="rnd" cmpd="sng" algn="ctr">
              <a:solidFill>
                <a:srgbClr val="003365"/>
              </a:solidFill>
              <a:prstDash val="solid"/>
              <a:round/>
            </a:ln>
          </c:spPr>
          <c:marker>
            <c:symbol val="none"/>
          </c:marker>
          <c:dPt>
            <c:idx val="0"/>
            <c:bubble3D val="0"/>
            <c:spPr>
              <a:ln w="16510" cap="rnd" cmpd="sng" algn="ctr">
                <a:solidFill>
                  <a:srgbClr val="003365"/>
                </a:solidFill>
                <a:prstDash val="solid"/>
                <a:round/>
              </a:ln>
            </c:spPr>
            <c:extLst>
              <c:ext xmlns:c16="http://schemas.microsoft.com/office/drawing/2014/chart" uri="{C3380CC4-5D6E-409C-BE32-E72D297353CC}">
                <c16:uniqueId val="{00000002-2007-4C45-B5FD-315A48AE78A7}"/>
              </c:ext>
            </c:extLst>
          </c:dPt>
          <c:dPt>
            <c:idx val="1"/>
            <c:bubble3D val="0"/>
            <c:spPr>
              <a:ln w="16510" cap="rnd" cmpd="sng" algn="ctr">
                <a:solidFill>
                  <a:srgbClr val="003365"/>
                </a:solidFill>
                <a:prstDash val="solid"/>
                <a:round/>
              </a:ln>
            </c:spPr>
            <c:extLst>
              <c:ext xmlns:c16="http://schemas.microsoft.com/office/drawing/2014/chart" uri="{C3380CC4-5D6E-409C-BE32-E72D297353CC}">
                <c16:uniqueId val="{00000004-2007-4C45-B5FD-315A48AE78A7}"/>
              </c:ext>
            </c:extLst>
          </c:dPt>
          <c:dPt>
            <c:idx val="2"/>
            <c:bubble3D val="0"/>
            <c:spPr>
              <a:ln w="16510" cap="rnd" cmpd="sng" algn="ctr">
                <a:solidFill>
                  <a:srgbClr val="003365"/>
                </a:solidFill>
                <a:prstDash val="solid"/>
                <a:round/>
              </a:ln>
            </c:spPr>
            <c:extLst>
              <c:ext xmlns:c16="http://schemas.microsoft.com/office/drawing/2014/chart" uri="{C3380CC4-5D6E-409C-BE32-E72D297353CC}">
                <c16:uniqueId val="{00000006-2007-4C45-B5FD-315A48AE78A7}"/>
              </c:ext>
            </c:extLst>
          </c:dPt>
          <c:val>
            <c:numRef>
              <c:f>六张图!$H$21:$H$23</c:f>
              <c:numCache>
                <c:formatCode>0.00%</c:formatCode>
                <c:ptCount val="3"/>
                <c:pt idx="0">
                  <c:v>0.11382300000000001</c:v>
                </c:pt>
                <c:pt idx="1">
                  <c:v>8.6454000000000003E-2</c:v>
                </c:pt>
                <c:pt idx="2">
                  <c:v>7.9386999999999999E-2</c:v>
                </c:pt>
              </c:numCache>
            </c:numRef>
          </c:val>
          <c:smooth val="0"/>
          <c:extLst>
            <c:ext xmlns:c16="http://schemas.microsoft.com/office/drawing/2014/chart" uri="{C3380CC4-5D6E-409C-BE32-E72D297353CC}">
              <c16:uniqueId val="{00000007-2007-4C45-B5FD-315A48AE78A7}"/>
            </c:ext>
          </c:extLst>
        </c:ser>
        <c:dLbls>
          <c:showLegendKey val="0"/>
          <c:showVal val="0"/>
          <c:showCatName val="0"/>
          <c:showSerName val="0"/>
          <c:showPercent val="0"/>
          <c:showBubbleSize val="0"/>
        </c:dLbls>
        <c:marker val="1"/>
        <c:smooth val="0"/>
        <c:axId val="176894720"/>
        <c:axId val="176896256"/>
      </c:lineChart>
      <c:catAx>
        <c:axId val="176883200"/>
        <c:scaling>
          <c:orientation val="minMax"/>
        </c:scaling>
        <c:delete val="0"/>
        <c:axPos val="b"/>
        <c:numFmt formatCode="0_);[Red]\(0\)" sourceLinked="1"/>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76884736"/>
        <c:crosses val="autoZero"/>
        <c:auto val="1"/>
        <c:lblAlgn val="ctr"/>
        <c:lblOffset val="0"/>
        <c:tickLblSkip val="1"/>
        <c:noMultiLvlLbl val="0"/>
      </c:catAx>
      <c:valAx>
        <c:axId val="176884736"/>
        <c:scaling>
          <c:orientation val="minMax"/>
        </c:scaling>
        <c:delete val="0"/>
        <c:axPos val="l"/>
        <c:majorGridlines>
          <c:spPr>
            <a:ln w="9525" cap="flat" cmpd="sng" algn="ctr">
              <a:noFill/>
              <a:prstDash val="solid"/>
              <a:round/>
            </a:ln>
          </c:spPr>
        </c:majorGridlines>
        <c:numFmt formatCode="0_ "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76883200"/>
        <c:crosses val="autoZero"/>
        <c:crossBetween val="between"/>
      </c:valAx>
      <c:catAx>
        <c:axId val="176894720"/>
        <c:scaling>
          <c:orientation val="minMax"/>
        </c:scaling>
        <c:delete val="1"/>
        <c:axPos val="b"/>
        <c:numFmt formatCode="0_);[Red]\(0\)" sourceLinked="1"/>
        <c:majorTickMark val="out"/>
        <c:minorTickMark val="none"/>
        <c:tickLblPos val="nextTo"/>
        <c:crossAx val="176896256"/>
        <c:crosses val="autoZero"/>
        <c:auto val="1"/>
        <c:lblAlgn val="ctr"/>
        <c:lblOffset val="100"/>
        <c:noMultiLvlLbl val="0"/>
      </c:catAx>
      <c:valAx>
        <c:axId val="176896256"/>
        <c:scaling>
          <c:orientation val="minMax"/>
        </c:scaling>
        <c:delete val="0"/>
        <c:axPos val="r"/>
        <c:numFmt formatCode="0%"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76894720"/>
        <c:crosses val="max"/>
        <c:crossBetween val="between"/>
      </c:valAx>
      <c:spPr>
        <a:noFill/>
        <a:ln w="25400">
          <a:noFill/>
        </a:ln>
      </c:spPr>
    </c:plotArea>
    <c:legend>
      <c:legendPos val="t"/>
      <c:overlay val="0"/>
      <c:spPr>
        <a:noFill/>
        <a:ln w="25400">
          <a:noFill/>
        </a:ln>
        <a:effectLst/>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宋体" panose="02010600030101010101" pitchFamily="7" charset="-122"/>
              <a:cs typeface="Arial" panose="020B0604020202020204"/>
            </a:defRPr>
          </a:pPr>
          <a:endParaRPr lang="zh-CN"/>
        </a:p>
      </c:txPr>
    </c:legend>
    <c:plotVisOnly val="1"/>
    <c:dispBlanksAs val="gap"/>
    <c:showDLblsOverMax val="0"/>
  </c:chart>
  <c:spPr>
    <a:noFill/>
    <a:ln w="3175" cap="flat" cmpd="sng" algn="ctr">
      <a:solidFill>
        <a:srgbClr val="FFFFFF"/>
      </a:solidFill>
      <a:prstDash val="solid"/>
      <a:round/>
    </a:ln>
  </c:spPr>
  <c:txPr>
    <a:bodyPr/>
    <a:lstStyle/>
    <a:p>
      <a:pPr>
        <a:defRPr lang="zh-CN" sz="800" b="0" i="0" u="none" strike="noStrike" baseline="0">
          <a:solidFill>
            <a:srgbClr val="004889"/>
          </a:solidFill>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18466898954699"/>
          <c:y val="0.252632228187264"/>
          <c:w val="0.66202090592334495"/>
          <c:h val="0.531580313477368"/>
        </c:manualLayout>
      </c:layout>
      <c:barChart>
        <c:barDir val="col"/>
        <c:grouping val="clustered"/>
        <c:varyColors val="0"/>
        <c:ser>
          <c:idx val="0"/>
          <c:order val="0"/>
          <c:tx>
            <c:strRef>
              <c:f>六张图!$G$4</c:f>
              <c:strCache>
                <c:ptCount val="1"/>
                <c:pt idx="0">
                  <c:v>营业收入（百万元）</c:v>
                </c:pt>
              </c:strCache>
            </c:strRef>
          </c:tx>
          <c:spPr>
            <a:solidFill>
              <a:srgbClr val="FF7F7F"/>
            </a:solidFill>
            <a:ln w="25400">
              <a:noFill/>
            </a:ln>
          </c:spPr>
          <c:invertIfNegative val="0"/>
          <c:cat>
            <c:numRef>
              <c:f>六张图!$F$5:$F$7</c:f>
              <c:numCache>
                <c:formatCode>0_);[Red]\(0\)</c:formatCode>
                <c:ptCount val="3"/>
                <c:pt idx="0">
                  <c:v>2023</c:v>
                </c:pt>
                <c:pt idx="1">
                  <c:v>2024</c:v>
                </c:pt>
                <c:pt idx="2">
                  <c:v>2025</c:v>
                </c:pt>
              </c:numCache>
            </c:numRef>
          </c:cat>
          <c:val>
            <c:numRef>
              <c:f>六张图!$G$5:$G$7</c:f>
              <c:numCache>
                <c:formatCode>0.00_ </c:formatCode>
                <c:ptCount val="3"/>
                <c:pt idx="0">
                  <c:v>4530.9256563700001</c:v>
                </c:pt>
                <c:pt idx="1">
                  <c:v>4212.6258813499999</c:v>
                </c:pt>
                <c:pt idx="2">
                  <c:v>4741.0075979599997</c:v>
                </c:pt>
              </c:numCache>
            </c:numRef>
          </c:val>
          <c:extLst>
            <c:ext xmlns:c16="http://schemas.microsoft.com/office/drawing/2014/chart" uri="{C3380CC4-5D6E-409C-BE32-E72D297353CC}">
              <c16:uniqueId val="{00000000-F852-4DA9-B1F6-94B48B3CF4C9}"/>
            </c:ext>
          </c:extLst>
        </c:ser>
        <c:dLbls>
          <c:showLegendKey val="0"/>
          <c:showVal val="0"/>
          <c:showCatName val="0"/>
          <c:showSerName val="0"/>
          <c:showPercent val="0"/>
          <c:showBubbleSize val="0"/>
        </c:dLbls>
        <c:gapWidth val="80"/>
        <c:axId val="181474432"/>
        <c:axId val="181475968"/>
      </c:barChart>
      <c:lineChart>
        <c:grouping val="standard"/>
        <c:varyColors val="0"/>
        <c:ser>
          <c:idx val="1"/>
          <c:order val="1"/>
          <c:tx>
            <c:strRef>
              <c:f>六张图!$H$4</c:f>
              <c:strCache>
                <c:ptCount val="1"/>
                <c:pt idx="0">
                  <c:v>毛利率</c:v>
                </c:pt>
              </c:strCache>
            </c:strRef>
          </c:tx>
          <c:spPr>
            <a:ln w="12700" cap="rnd" cmpd="sng" algn="ctr">
              <a:solidFill>
                <a:srgbClr val="003365"/>
              </a:solidFill>
              <a:prstDash val="solid"/>
              <a:round/>
            </a:ln>
          </c:spPr>
          <c:marker>
            <c:symbol val="none"/>
          </c:marker>
          <c:dPt>
            <c:idx val="0"/>
            <c:bubble3D val="0"/>
            <c:spPr>
              <a:ln w="16510" cap="rnd" cmpd="sng" algn="ctr">
                <a:solidFill>
                  <a:srgbClr val="003365"/>
                </a:solidFill>
                <a:prstDash val="solid"/>
                <a:round/>
              </a:ln>
            </c:spPr>
            <c:extLst>
              <c:ext xmlns:c16="http://schemas.microsoft.com/office/drawing/2014/chart" uri="{C3380CC4-5D6E-409C-BE32-E72D297353CC}">
                <c16:uniqueId val="{00000002-F852-4DA9-B1F6-94B48B3CF4C9}"/>
              </c:ext>
            </c:extLst>
          </c:dPt>
          <c:dPt>
            <c:idx val="1"/>
            <c:bubble3D val="0"/>
            <c:spPr>
              <a:ln w="16510" cap="rnd" cmpd="sng" algn="ctr">
                <a:solidFill>
                  <a:srgbClr val="003365"/>
                </a:solidFill>
                <a:prstDash val="solid"/>
                <a:round/>
              </a:ln>
            </c:spPr>
            <c:extLst>
              <c:ext xmlns:c16="http://schemas.microsoft.com/office/drawing/2014/chart" uri="{C3380CC4-5D6E-409C-BE32-E72D297353CC}">
                <c16:uniqueId val="{00000004-F852-4DA9-B1F6-94B48B3CF4C9}"/>
              </c:ext>
            </c:extLst>
          </c:dPt>
          <c:dPt>
            <c:idx val="2"/>
            <c:bubble3D val="0"/>
            <c:spPr>
              <a:ln w="16510" cap="rnd" cmpd="sng" algn="ctr">
                <a:solidFill>
                  <a:srgbClr val="003365"/>
                </a:solidFill>
                <a:prstDash val="solid"/>
                <a:round/>
              </a:ln>
            </c:spPr>
            <c:extLst>
              <c:ext xmlns:c16="http://schemas.microsoft.com/office/drawing/2014/chart" uri="{C3380CC4-5D6E-409C-BE32-E72D297353CC}">
                <c16:uniqueId val="{00000006-F852-4DA9-B1F6-94B48B3CF4C9}"/>
              </c:ext>
            </c:extLst>
          </c:dPt>
          <c:cat>
            <c:numRef>
              <c:f>六张图!$F$5:$F$7</c:f>
              <c:numCache>
                <c:formatCode>0_);[Red]\(0\)</c:formatCode>
                <c:ptCount val="3"/>
                <c:pt idx="0">
                  <c:v>2023</c:v>
                </c:pt>
                <c:pt idx="1">
                  <c:v>2024</c:v>
                </c:pt>
                <c:pt idx="2">
                  <c:v>2025</c:v>
                </c:pt>
              </c:numCache>
            </c:numRef>
          </c:cat>
          <c:val>
            <c:numRef>
              <c:f>六张图!$H$5:$H$7</c:f>
              <c:numCache>
                <c:formatCode>0.00%</c:formatCode>
                <c:ptCount val="3"/>
                <c:pt idx="0">
                  <c:v>0.37098935087288348</c:v>
                </c:pt>
                <c:pt idx="1">
                  <c:v>0.36729198274881131</c:v>
                </c:pt>
                <c:pt idx="2">
                  <c:v>0.34086455881559097</c:v>
                </c:pt>
              </c:numCache>
            </c:numRef>
          </c:val>
          <c:smooth val="0"/>
          <c:extLst>
            <c:ext xmlns:c16="http://schemas.microsoft.com/office/drawing/2014/chart" uri="{C3380CC4-5D6E-409C-BE32-E72D297353CC}">
              <c16:uniqueId val="{00000007-F852-4DA9-B1F6-94B48B3CF4C9}"/>
            </c:ext>
          </c:extLst>
        </c:ser>
        <c:dLbls>
          <c:showLegendKey val="0"/>
          <c:showVal val="0"/>
          <c:showCatName val="0"/>
          <c:showSerName val="0"/>
          <c:showPercent val="0"/>
          <c:showBubbleSize val="0"/>
        </c:dLbls>
        <c:marker val="1"/>
        <c:smooth val="0"/>
        <c:axId val="181481856"/>
        <c:axId val="181483392"/>
      </c:lineChart>
      <c:catAx>
        <c:axId val="181474432"/>
        <c:scaling>
          <c:orientation val="minMax"/>
        </c:scaling>
        <c:delete val="0"/>
        <c:axPos val="b"/>
        <c:numFmt formatCode="0_);[Red]\(0\)" sourceLinked="1"/>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1475968"/>
        <c:crosses val="autoZero"/>
        <c:auto val="1"/>
        <c:lblAlgn val="ctr"/>
        <c:lblOffset val="0"/>
        <c:tickLblSkip val="1"/>
        <c:noMultiLvlLbl val="0"/>
      </c:catAx>
      <c:valAx>
        <c:axId val="181475968"/>
        <c:scaling>
          <c:orientation val="minMax"/>
        </c:scaling>
        <c:delete val="0"/>
        <c:axPos val="l"/>
        <c:majorGridlines>
          <c:spPr>
            <a:ln w="9525" cap="flat" cmpd="sng" algn="ctr">
              <a:noFill/>
              <a:prstDash val="solid"/>
              <a:round/>
            </a:ln>
          </c:spPr>
        </c:majorGridlines>
        <c:numFmt formatCode="0_ "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1474432"/>
        <c:crosses val="autoZero"/>
        <c:crossBetween val="between"/>
      </c:valAx>
      <c:catAx>
        <c:axId val="181481856"/>
        <c:scaling>
          <c:orientation val="minMax"/>
        </c:scaling>
        <c:delete val="1"/>
        <c:axPos val="b"/>
        <c:numFmt formatCode="0_);[Red]\(0\)" sourceLinked="1"/>
        <c:majorTickMark val="out"/>
        <c:minorTickMark val="none"/>
        <c:tickLblPos val="nextTo"/>
        <c:crossAx val="181483392"/>
        <c:crosses val="autoZero"/>
        <c:auto val="1"/>
        <c:lblAlgn val="ctr"/>
        <c:lblOffset val="100"/>
        <c:noMultiLvlLbl val="0"/>
      </c:catAx>
      <c:valAx>
        <c:axId val="181483392"/>
        <c:scaling>
          <c:orientation val="minMax"/>
        </c:scaling>
        <c:delete val="0"/>
        <c:axPos val="r"/>
        <c:numFmt formatCode="0%"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1481856"/>
        <c:crosses val="max"/>
        <c:crossBetween val="between"/>
      </c:valAx>
      <c:spPr>
        <a:noFill/>
        <a:ln w="25400">
          <a:noFill/>
        </a:ln>
      </c:spPr>
    </c:plotArea>
    <c:legend>
      <c:legendPos val="t"/>
      <c:overlay val="0"/>
      <c:spPr>
        <a:noFill/>
        <a:ln w="25400">
          <a:noFill/>
        </a:ln>
        <a:effectLst/>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宋体" panose="02010600030101010101" pitchFamily="7" charset="-122"/>
              <a:cs typeface="Arial" panose="020B0604020202020204"/>
            </a:defRPr>
          </a:pPr>
          <a:endParaRPr lang="zh-CN"/>
        </a:p>
      </c:txPr>
    </c:legend>
    <c:plotVisOnly val="1"/>
    <c:dispBlanksAs val="gap"/>
    <c:showDLblsOverMax val="0"/>
  </c:chart>
  <c:spPr>
    <a:noFill/>
    <a:ln w="3175" cap="flat" cmpd="sng" algn="ctr">
      <a:solidFill>
        <a:srgbClr val="FFFFFF"/>
      </a:solidFill>
      <a:prstDash val="solid"/>
      <a:round/>
    </a:ln>
  </c:spPr>
  <c:txPr>
    <a:bodyPr/>
    <a:lstStyle/>
    <a:p>
      <a:pPr>
        <a:defRPr lang="zh-CN" sz="800" b="0" i="0" u="none" strike="noStrike" baseline="0">
          <a:solidFill>
            <a:srgbClr val="004889"/>
          </a:solidFill>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8096028964807"/>
          <c:y val="0.30102641425141002"/>
          <c:w val="0.67196549201841604"/>
          <c:h val="0.55870944323448901"/>
        </c:manualLayout>
      </c:layout>
      <c:lineChart>
        <c:grouping val="standard"/>
        <c:varyColors val="0"/>
        <c:ser>
          <c:idx val="0"/>
          <c:order val="0"/>
          <c:tx>
            <c:strRef>
              <c:f>六张图!$B$20</c:f>
              <c:strCache>
                <c:ptCount val="1"/>
                <c:pt idx="0">
                  <c:v>管理费用率</c:v>
                </c:pt>
              </c:strCache>
            </c:strRef>
          </c:tx>
          <c:spPr>
            <a:ln w="28575" cap="rnd" cmpd="sng" algn="ctr">
              <a:solidFill>
                <a:srgbClr val="003365"/>
              </a:solidFill>
              <a:prstDash val="solid"/>
              <a:round/>
            </a:ln>
          </c:spPr>
          <c:marker>
            <c:symbol val="none"/>
          </c:marker>
          <c:dPt>
            <c:idx val="0"/>
            <c:bubble3D val="0"/>
            <c:spPr>
              <a:ln w="16510" cap="rnd" cmpd="sng" algn="ctr">
                <a:solidFill>
                  <a:srgbClr val="003365"/>
                </a:solidFill>
                <a:prstDash val="solid"/>
                <a:round/>
              </a:ln>
            </c:spPr>
            <c:extLst>
              <c:ext xmlns:c16="http://schemas.microsoft.com/office/drawing/2014/chart" uri="{C3380CC4-5D6E-409C-BE32-E72D297353CC}">
                <c16:uniqueId val="{00000001-19C8-4969-AB9F-994D8D96FD63}"/>
              </c:ext>
            </c:extLst>
          </c:dPt>
          <c:dPt>
            <c:idx val="1"/>
            <c:bubble3D val="0"/>
            <c:spPr>
              <a:ln w="16510" cap="rnd" cmpd="sng" algn="ctr">
                <a:solidFill>
                  <a:srgbClr val="003365"/>
                </a:solidFill>
                <a:prstDash val="solid"/>
                <a:round/>
              </a:ln>
            </c:spPr>
            <c:extLst>
              <c:ext xmlns:c16="http://schemas.microsoft.com/office/drawing/2014/chart" uri="{C3380CC4-5D6E-409C-BE32-E72D297353CC}">
                <c16:uniqueId val="{00000003-19C8-4969-AB9F-994D8D96FD63}"/>
              </c:ext>
            </c:extLst>
          </c:dPt>
          <c:dPt>
            <c:idx val="2"/>
            <c:bubble3D val="0"/>
            <c:spPr>
              <a:ln w="16510" cap="rnd" cmpd="sng" algn="ctr">
                <a:solidFill>
                  <a:srgbClr val="003365"/>
                </a:solidFill>
                <a:prstDash val="solid"/>
                <a:round/>
              </a:ln>
            </c:spPr>
            <c:extLst>
              <c:ext xmlns:c16="http://schemas.microsoft.com/office/drawing/2014/chart" uri="{C3380CC4-5D6E-409C-BE32-E72D297353CC}">
                <c16:uniqueId val="{00000005-19C8-4969-AB9F-994D8D96FD63}"/>
              </c:ext>
            </c:extLst>
          </c:dPt>
          <c:cat>
            <c:numRef>
              <c:f>六张图!$A$21:$A$23</c:f>
              <c:numCache>
                <c:formatCode>0_);[Red]\(0\)</c:formatCode>
                <c:ptCount val="3"/>
                <c:pt idx="0">
                  <c:v>2023</c:v>
                </c:pt>
                <c:pt idx="1">
                  <c:v>2024</c:v>
                </c:pt>
                <c:pt idx="2">
                  <c:v>2025</c:v>
                </c:pt>
              </c:numCache>
            </c:numRef>
          </c:cat>
          <c:val>
            <c:numRef>
              <c:f>六张图!$B$21:$B$23</c:f>
              <c:numCache>
                <c:formatCode>0.00%</c:formatCode>
                <c:ptCount val="3"/>
                <c:pt idx="0">
                  <c:v>3.9472981446640402E-2</c:v>
                </c:pt>
                <c:pt idx="1">
                  <c:v>5.1076968641479766E-2</c:v>
                </c:pt>
                <c:pt idx="2">
                  <c:v>5.6558451407118446E-2</c:v>
                </c:pt>
              </c:numCache>
            </c:numRef>
          </c:val>
          <c:smooth val="0"/>
          <c:extLst>
            <c:ext xmlns:c16="http://schemas.microsoft.com/office/drawing/2014/chart" uri="{C3380CC4-5D6E-409C-BE32-E72D297353CC}">
              <c16:uniqueId val="{00000006-19C8-4969-AB9F-994D8D96FD63}"/>
            </c:ext>
          </c:extLst>
        </c:ser>
        <c:ser>
          <c:idx val="1"/>
          <c:order val="1"/>
          <c:tx>
            <c:strRef>
              <c:f>六张图!$C$20</c:f>
              <c:strCache>
                <c:ptCount val="1"/>
                <c:pt idx="0">
                  <c:v>销售费用率</c:v>
                </c:pt>
              </c:strCache>
            </c:strRef>
          </c:tx>
          <c:spPr>
            <a:ln w="28575" cap="rnd" cmpd="sng" algn="ctr">
              <a:solidFill>
                <a:srgbClr val="FF7F7F"/>
              </a:solidFill>
              <a:prstDash val="solid"/>
              <a:round/>
            </a:ln>
          </c:spPr>
          <c:marker>
            <c:symbol val="none"/>
          </c:marker>
          <c:dPt>
            <c:idx val="0"/>
            <c:bubble3D val="0"/>
            <c:spPr>
              <a:ln w="16510" cap="rnd" cmpd="sng" algn="ctr">
                <a:solidFill>
                  <a:srgbClr val="FF7F7F"/>
                </a:solidFill>
                <a:prstDash val="solid"/>
                <a:round/>
              </a:ln>
            </c:spPr>
            <c:extLst>
              <c:ext xmlns:c16="http://schemas.microsoft.com/office/drawing/2014/chart" uri="{C3380CC4-5D6E-409C-BE32-E72D297353CC}">
                <c16:uniqueId val="{00000008-19C8-4969-AB9F-994D8D96FD63}"/>
              </c:ext>
            </c:extLst>
          </c:dPt>
          <c:dPt>
            <c:idx val="1"/>
            <c:bubble3D val="0"/>
            <c:spPr>
              <a:ln w="16510" cap="rnd" cmpd="sng" algn="ctr">
                <a:solidFill>
                  <a:srgbClr val="FF7F7F"/>
                </a:solidFill>
                <a:prstDash val="solid"/>
                <a:round/>
              </a:ln>
            </c:spPr>
            <c:extLst>
              <c:ext xmlns:c16="http://schemas.microsoft.com/office/drawing/2014/chart" uri="{C3380CC4-5D6E-409C-BE32-E72D297353CC}">
                <c16:uniqueId val="{0000000A-19C8-4969-AB9F-994D8D96FD63}"/>
              </c:ext>
            </c:extLst>
          </c:dPt>
          <c:dPt>
            <c:idx val="2"/>
            <c:bubble3D val="0"/>
            <c:spPr>
              <a:ln w="16510" cap="rnd" cmpd="sng" algn="ctr">
                <a:solidFill>
                  <a:srgbClr val="FF7F7F"/>
                </a:solidFill>
                <a:prstDash val="solid"/>
                <a:round/>
              </a:ln>
            </c:spPr>
            <c:extLst>
              <c:ext xmlns:c16="http://schemas.microsoft.com/office/drawing/2014/chart" uri="{C3380CC4-5D6E-409C-BE32-E72D297353CC}">
                <c16:uniqueId val="{0000000C-19C8-4969-AB9F-994D8D96FD63}"/>
              </c:ext>
            </c:extLst>
          </c:dPt>
          <c:cat>
            <c:numRef>
              <c:f>六张图!$A$21:$A$23</c:f>
              <c:numCache>
                <c:formatCode>0_);[Red]\(0\)</c:formatCode>
                <c:ptCount val="3"/>
                <c:pt idx="0">
                  <c:v>2023</c:v>
                </c:pt>
                <c:pt idx="1">
                  <c:v>2024</c:v>
                </c:pt>
                <c:pt idx="2">
                  <c:v>2025</c:v>
                </c:pt>
              </c:numCache>
            </c:numRef>
          </c:cat>
          <c:val>
            <c:numRef>
              <c:f>六张图!$C$21:$C$23</c:f>
              <c:numCache>
                <c:formatCode>0.00%</c:formatCode>
                <c:ptCount val="3"/>
                <c:pt idx="0">
                  <c:v>6.9096808236050689E-2</c:v>
                </c:pt>
                <c:pt idx="1">
                  <c:v>6.9932226356543087E-2</c:v>
                </c:pt>
                <c:pt idx="2">
                  <c:v>6.7461123470382259E-2</c:v>
                </c:pt>
              </c:numCache>
            </c:numRef>
          </c:val>
          <c:smooth val="0"/>
          <c:extLst>
            <c:ext xmlns:c16="http://schemas.microsoft.com/office/drawing/2014/chart" uri="{C3380CC4-5D6E-409C-BE32-E72D297353CC}">
              <c16:uniqueId val="{0000000D-19C8-4969-AB9F-994D8D96FD63}"/>
            </c:ext>
          </c:extLst>
        </c:ser>
        <c:ser>
          <c:idx val="2"/>
          <c:order val="2"/>
          <c:tx>
            <c:strRef>
              <c:f>六张图!$D$20</c:f>
              <c:strCache>
                <c:ptCount val="1"/>
                <c:pt idx="0">
                  <c:v>财务费用率</c:v>
                </c:pt>
              </c:strCache>
            </c:strRef>
          </c:tx>
          <c:spPr>
            <a:ln w="12700" cap="rnd" cmpd="sng" algn="ctr">
              <a:solidFill>
                <a:srgbClr val="7F99B2"/>
              </a:solidFill>
              <a:prstDash val="sysDash"/>
              <a:round/>
            </a:ln>
          </c:spPr>
          <c:marker>
            <c:symbol val="none"/>
          </c:marker>
          <c:dPt>
            <c:idx val="0"/>
            <c:bubble3D val="0"/>
            <c:spPr>
              <a:ln w="16510" cap="rnd" cmpd="sng" algn="ctr">
                <a:solidFill>
                  <a:srgbClr val="7F99B2"/>
                </a:solidFill>
                <a:prstDash val="sysDash"/>
                <a:round/>
              </a:ln>
            </c:spPr>
            <c:extLst>
              <c:ext xmlns:c16="http://schemas.microsoft.com/office/drawing/2014/chart" uri="{C3380CC4-5D6E-409C-BE32-E72D297353CC}">
                <c16:uniqueId val="{0000000F-19C8-4969-AB9F-994D8D96FD63}"/>
              </c:ext>
            </c:extLst>
          </c:dPt>
          <c:dPt>
            <c:idx val="1"/>
            <c:bubble3D val="0"/>
            <c:spPr>
              <a:ln w="16510" cap="rnd" cmpd="sng" algn="ctr">
                <a:solidFill>
                  <a:srgbClr val="7F99B2"/>
                </a:solidFill>
                <a:prstDash val="sysDash"/>
                <a:round/>
              </a:ln>
            </c:spPr>
            <c:extLst>
              <c:ext xmlns:c16="http://schemas.microsoft.com/office/drawing/2014/chart" uri="{C3380CC4-5D6E-409C-BE32-E72D297353CC}">
                <c16:uniqueId val="{00000011-19C8-4969-AB9F-994D8D96FD63}"/>
              </c:ext>
            </c:extLst>
          </c:dPt>
          <c:dPt>
            <c:idx val="2"/>
            <c:bubble3D val="0"/>
            <c:spPr>
              <a:ln w="16510" cap="rnd" cmpd="sng" algn="ctr">
                <a:solidFill>
                  <a:srgbClr val="7F99B2"/>
                </a:solidFill>
                <a:prstDash val="sysDash"/>
                <a:round/>
              </a:ln>
            </c:spPr>
            <c:extLst>
              <c:ext xmlns:c16="http://schemas.microsoft.com/office/drawing/2014/chart" uri="{C3380CC4-5D6E-409C-BE32-E72D297353CC}">
                <c16:uniqueId val="{00000013-19C8-4969-AB9F-994D8D96FD63}"/>
              </c:ext>
            </c:extLst>
          </c:dPt>
          <c:cat>
            <c:numRef>
              <c:f>六张图!$A$21:$A$23</c:f>
              <c:numCache>
                <c:formatCode>0_);[Red]\(0\)</c:formatCode>
                <c:ptCount val="3"/>
                <c:pt idx="0">
                  <c:v>2023</c:v>
                </c:pt>
                <c:pt idx="1">
                  <c:v>2024</c:v>
                </c:pt>
                <c:pt idx="2">
                  <c:v>2025</c:v>
                </c:pt>
              </c:numCache>
            </c:numRef>
          </c:cat>
          <c:val>
            <c:numRef>
              <c:f>六张图!$D$21:$D$23</c:f>
              <c:numCache>
                <c:formatCode>0.00%</c:formatCode>
                <c:ptCount val="3"/>
                <c:pt idx="0">
                  <c:v>-2.0459795178866182E-2</c:v>
                </c:pt>
                <c:pt idx="1">
                  <c:v>-1.7744626891967145E-2</c:v>
                </c:pt>
                <c:pt idx="2">
                  <c:v>-2.191312616640876E-2</c:v>
                </c:pt>
              </c:numCache>
            </c:numRef>
          </c:val>
          <c:smooth val="0"/>
          <c:extLst>
            <c:ext xmlns:c16="http://schemas.microsoft.com/office/drawing/2014/chart" uri="{C3380CC4-5D6E-409C-BE32-E72D297353CC}">
              <c16:uniqueId val="{00000014-19C8-4969-AB9F-994D8D96FD63}"/>
            </c:ext>
          </c:extLst>
        </c:ser>
        <c:dLbls>
          <c:showLegendKey val="0"/>
          <c:showVal val="0"/>
          <c:showCatName val="0"/>
          <c:showSerName val="0"/>
          <c:showPercent val="0"/>
          <c:showBubbleSize val="0"/>
        </c:dLbls>
        <c:smooth val="0"/>
        <c:axId val="181529216"/>
        <c:axId val="182264192"/>
      </c:lineChart>
      <c:catAx>
        <c:axId val="181529216"/>
        <c:scaling>
          <c:orientation val="minMax"/>
        </c:scaling>
        <c:delete val="0"/>
        <c:axPos val="b"/>
        <c:numFmt formatCode="0_);[Red]\(0\)" sourceLinked="1"/>
        <c:majorTickMark val="in"/>
        <c:minorTickMark val="none"/>
        <c:tickLblPos val="low"/>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2264192"/>
        <c:crosses val="autoZero"/>
        <c:auto val="1"/>
        <c:lblAlgn val="ctr"/>
        <c:lblOffset val="0"/>
        <c:tickLblSkip val="1"/>
        <c:noMultiLvlLbl val="0"/>
      </c:catAx>
      <c:valAx>
        <c:axId val="182264192"/>
        <c:scaling>
          <c:orientation val="minMax"/>
        </c:scaling>
        <c:delete val="0"/>
        <c:axPos val="l"/>
        <c:majorGridlines>
          <c:spPr>
            <a:ln w="9525" cap="flat" cmpd="sng" algn="ctr">
              <a:noFill/>
              <a:prstDash val="solid"/>
              <a:round/>
            </a:ln>
          </c:spPr>
        </c:majorGridlines>
        <c:numFmt formatCode="0%"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1529216"/>
        <c:crosses val="autoZero"/>
        <c:crossBetween val="between"/>
      </c:valAx>
      <c:spPr>
        <a:noFill/>
        <a:ln w="25400">
          <a:noFill/>
        </a:ln>
      </c:spPr>
    </c:plotArea>
    <c:legend>
      <c:legendPos val="t"/>
      <c:overlay val="0"/>
      <c:spPr>
        <a:noFill/>
        <a:ln w="25400">
          <a:noFill/>
        </a:ln>
        <a:effectLst/>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宋体" panose="02010600030101010101" pitchFamily="7" charset="-122"/>
              <a:cs typeface="Arial" panose="020B0604020202020204"/>
            </a:defRPr>
          </a:pPr>
          <a:endParaRPr lang="zh-CN"/>
        </a:p>
      </c:txPr>
    </c:legend>
    <c:plotVisOnly val="1"/>
    <c:dispBlanksAs val="gap"/>
    <c:showDLblsOverMax val="0"/>
  </c:chart>
  <c:spPr>
    <a:noFill/>
    <a:ln w="3175" cap="flat" cmpd="sng" algn="ctr">
      <a:solidFill>
        <a:srgbClr val="FFFFFF"/>
      </a:solidFill>
      <a:prstDash val="solid"/>
      <a:round/>
    </a:ln>
  </c:spPr>
  <c:txPr>
    <a:bodyPr/>
    <a:lstStyle/>
    <a:p>
      <a:pPr algn="just">
        <a:defRPr lang="zh-CN" sz="800" b="0" i="0" u="none" strike="noStrike" baseline="0">
          <a:solidFill>
            <a:srgbClr val="004889"/>
          </a:solidFill>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316032515729"/>
          <c:y val="0.25789539960783198"/>
          <c:w val="0.70065902012717796"/>
          <c:h val="0.52631714205680002"/>
        </c:manualLayout>
      </c:layout>
      <c:barChart>
        <c:barDir val="col"/>
        <c:grouping val="clustered"/>
        <c:varyColors val="0"/>
        <c:ser>
          <c:idx val="0"/>
          <c:order val="0"/>
          <c:tx>
            <c:strRef>
              <c:f>六张图!$B$39</c:f>
              <c:strCache>
                <c:ptCount val="1"/>
                <c:pt idx="0">
                  <c:v>经营性现金流（百万元）</c:v>
                </c:pt>
              </c:strCache>
            </c:strRef>
          </c:tx>
          <c:spPr>
            <a:solidFill>
              <a:srgbClr val="FF7F7F"/>
            </a:solidFill>
            <a:ln w="25400">
              <a:noFill/>
            </a:ln>
          </c:spPr>
          <c:invertIfNegative val="0"/>
          <c:cat>
            <c:numRef>
              <c:f>六张图!$A$40:$A$42</c:f>
              <c:numCache>
                <c:formatCode>0_);[Red]\(0\)</c:formatCode>
                <c:ptCount val="3"/>
                <c:pt idx="0">
                  <c:v>2023</c:v>
                </c:pt>
                <c:pt idx="1">
                  <c:v>2024</c:v>
                </c:pt>
                <c:pt idx="2">
                  <c:v>2025</c:v>
                </c:pt>
              </c:numCache>
            </c:numRef>
          </c:cat>
          <c:val>
            <c:numRef>
              <c:f>六张图!$B$40:$B$42</c:f>
              <c:numCache>
                <c:formatCode>0.00_ </c:formatCode>
                <c:ptCount val="3"/>
                <c:pt idx="0">
                  <c:v>558.15174382000009</c:v>
                </c:pt>
                <c:pt idx="1">
                  <c:v>363.45492915</c:v>
                </c:pt>
                <c:pt idx="2">
                  <c:v>622.60277807</c:v>
                </c:pt>
              </c:numCache>
            </c:numRef>
          </c:val>
          <c:extLst>
            <c:ext xmlns:c16="http://schemas.microsoft.com/office/drawing/2014/chart" uri="{C3380CC4-5D6E-409C-BE32-E72D297353CC}">
              <c16:uniqueId val="{00000000-65B9-494F-B9A0-B70ABC855254}"/>
            </c:ext>
          </c:extLst>
        </c:ser>
        <c:dLbls>
          <c:showLegendKey val="0"/>
          <c:showVal val="0"/>
          <c:showCatName val="0"/>
          <c:showSerName val="0"/>
          <c:showPercent val="0"/>
          <c:showBubbleSize val="0"/>
        </c:dLbls>
        <c:gapWidth val="80"/>
        <c:axId val="182287360"/>
        <c:axId val="182289152"/>
      </c:barChart>
      <c:lineChart>
        <c:grouping val="standard"/>
        <c:varyColors val="0"/>
        <c:ser>
          <c:idx val="1"/>
          <c:order val="1"/>
          <c:tx>
            <c:strRef>
              <c:f>六张图!$C$39</c:f>
              <c:strCache>
                <c:ptCount val="1"/>
                <c:pt idx="0">
                  <c:v>ROE</c:v>
                </c:pt>
              </c:strCache>
            </c:strRef>
          </c:tx>
          <c:spPr>
            <a:ln w="12700" cap="rnd" cmpd="sng" algn="ctr">
              <a:solidFill>
                <a:srgbClr val="003365"/>
              </a:solidFill>
              <a:prstDash val="solid"/>
              <a:round/>
            </a:ln>
          </c:spPr>
          <c:marker>
            <c:symbol val="none"/>
          </c:marker>
          <c:dPt>
            <c:idx val="0"/>
            <c:bubble3D val="0"/>
            <c:spPr>
              <a:ln w="16510" cap="rnd" cmpd="sng" algn="ctr">
                <a:solidFill>
                  <a:srgbClr val="003365"/>
                </a:solidFill>
                <a:prstDash val="solid"/>
                <a:round/>
              </a:ln>
            </c:spPr>
            <c:extLst>
              <c:ext xmlns:c16="http://schemas.microsoft.com/office/drawing/2014/chart" uri="{C3380CC4-5D6E-409C-BE32-E72D297353CC}">
                <c16:uniqueId val="{00000002-65B9-494F-B9A0-B70ABC855254}"/>
              </c:ext>
            </c:extLst>
          </c:dPt>
          <c:dPt>
            <c:idx val="1"/>
            <c:bubble3D val="0"/>
            <c:spPr>
              <a:ln w="16510" cap="rnd" cmpd="sng" algn="ctr">
                <a:solidFill>
                  <a:srgbClr val="003365"/>
                </a:solidFill>
                <a:prstDash val="solid"/>
                <a:round/>
              </a:ln>
            </c:spPr>
            <c:extLst>
              <c:ext xmlns:c16="http://schemas.microsoft.com/office/drawing/2014/chart" uri="{C3380CC4-5D6E-409C-BE32-E72D297353CC}">
                <c16:uniqueId val="{00000004-65B9-494F-B9A0-B70ABC855254}"/>
              </c:ext>
            </c:extLst>
          </c:dPt>
          <c:dPt>
            <c:idx val="2"/>
            <c:bubble3D val="0"/>
            <c:spPr>
              <a:ln w="16510" cap="rnd" cmpd="sng" algn="ctr">
                <a:solidFill>
                  <a:srgbClr val="003365"/>
                </a:solidFill>
                <a:prstDash val="solid"/>
                <a:round/>
              </a:ln>
            </c:spPr>
            <c:extLst>
              <c:ext xmlns:c16="http://schemas.microsoft.com/office/drawing/2014/chart" uri="{C3380CC4-5D6E-409C-BE32-E72D297353CC}">
                <c16:uniqueId val="{00000006-65B9-494F-B9A0-B70ABC855254}"/>
              </c:ext>
            </c:extLst>
          </c:dPt>
          <c:cat>
            <c:numRef>
              <c:f>六张图!$A$40:$A$42</c:f>
              <c:numCache>
                <c:formatCode>0_);[Red]\(0\)</c:formatCode>
                <c:ptCount val="3"/>
                <c:pt idx="0">
                  <c:v>2023</c:v>
                </c:pt>
                <c:pt idx="1">
                  <c:v>2024</c:v>
                </c:pt>
                <c:pt idx="2">
                  <c:v>2025</c:v>
                </c:pt>
              </c:numCache>
            </c:numRef>
          </c:cat>
          <c:val>
            <c:numRef>
              <c:f>六张图!$C$40:$C$42</c:f>
              <c:numCache>
                <c:formatCode>0.00%</c:formatCode>
                <c:ptCount val="3"/>
                <c:pt idx="0">
                  <c:v>4.6689000000000001E-2</c:v>
                </c:pt>
                <c:pt idx="1">
                  <c:v>3.0714999999999999E-2</c:v>
                </c:pt>
                <c:pt idx="2">
                  <c:v>3.0709E-2</c:v>
                </c:pt>
              </c:numCache>
            </c:numRef>
          </c:val>
          <c:smooth val="0"/>
          <c:extLst>
            <c:ext xmlns:c16="http://schemas.microsoft.com/office/drawing/2014/chart" uri="{C3380CC4-5D6E-409C-BE32-E72D297353CC}">
              <c16:uniqueId val="{00000007-65B9-494F-B9A0-B70ABC855254}"/>
            </c:ext>
          </c:extLst>
        </c:ser>
        <c:dLbls>
          <c:showLegendKey val="0"/>
          <c:showVal val="0"/>
          <c:showCatName val="0"/>
          <c:showSerName val="0"/>
          <c:showPercent val="0"/>
          <c:showBubbleSize val="0"/>
        </c:dLbls>
        <c:marker val="1"/>
        <c:smooth val="0"/>
        <c:axId val="182290688"/>
        <c:axId val="182300672"/>
      </c:lineChart>
      <c:catAx>
        <c:axId val="182287360"/>
        <c:scaling>
          <c:orientation val="minMax"/>
        </c:scaling>
        <c:delete val="0"/>
        <c:axPos val="b"/>
        <c:numFmt formatCode="0_);[Red]\(0\)" sourceLinked="1"/>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2289152"/>
        <c:crosses val="autoZero"/>
        <c:auto val="1"/>
        <c:lblAlgn val="ctr"/>
        <c:lblOffset val="0"/>
        <c:tickLblSkip val="1"/>
        <c:noMultiLvlLbl val="0"/>
      </c:catAx>
      <c:valAx>
        <c:axId val="182289152"/>
        <c:scaling>
          <c:orientation val="minMax"/>
        </c:scaling>
        <c:delete val="0"/>
        <c:axPos val="l"/>
        <c:majorGridlines>
          <c:spPr>
            <a:ln w="9525" cap="flat" cmpd="sng" algn="ctr">
              <a:noFill/>
              <a:prstDash val="solid"/>
              <a:round/>
            </a:ln>
          </c:spPr>
        </c:majorGridlines>
        <c:numFmt formatCode="0_ "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2287360"/>
        <c:crosses val="autoZero"/>
        <c:crossBetween val="between"/>
      </c:valAx>
      <c:catAx>
        <c:axId val="182290688"/>
        <c:scaling>
          <c:orientation val="minMax"/>
        </c:scaling>
        <c:delete val="1"/>
        <c:axPos val="b"/>
        <c:numFmt formatCode="0_);[Red]\(0\)" sourceLinked="1"/>
        <c:majorTickMark val="out"/>
        <c:minorTickMark val="none"/>
        <c:tickLblPos val="nextTo"/>
        <c:crossAx val="182300672"/>
        <c:crosses val="autoZero"/>
        <c:auto val="1"/>
        <c:lblAlgn val="ctr"/>
        <c:lblOffset val="100"/>
        <c:noMultiLvlLbl val="0"/>
      </c:catAx>
      <c:valAx>
        <c:axId val="182300672"/>
        <c:scaling>
          <c:orientation val="minMax"/>
        </c:scaling>
        <c:delete val="0"/>
        <c:axPos val="r"/>
        <c:numFmt formatCode="0%"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2290688"/>
        <c:crosses val="max"/>
        <c:crossBetween val="between"/>
      </c:valAx>
      <c:spPr>
        <a:noFill/>
        <a:ln w="25400">
          <a:noFill/>
        </a:ln>
      </c:spPr>
    </c:plotArea>
    <c:legend>
      <c:legendPos val="t"/>
      <c:overlay val="0"/>
      <c:spPr>
        <a:noFill/>
        <a:ln w="25400">
          <a:noFill/>
        </a:ln>
        <a:effectLst/>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宋体" panose="02010600030101010101" pitchFamily="7" charset="-122"/>
              <a:cs typeface="Arial" panose="020B0604020202020204"/>
            </a:defRPr>
          </a:pPr>
          <a:endParaRPr lang="zh-CN"/>
        </a:p>
      </c:txPr>
    </c:legend>
    <c:plotVisOnly val="1"/>
    <c:dispBlanksAs val="gap"/>
    <c:showDLblsOverMax val="0"/>
  </c:chart>
  <c:spPr>
    <a:noFill/>
    <a:ln w="3175" cap="flat" cmpd="sng" algn="ctr">
      <a:solidFill>
        <a:srgbClr val="FFFFFF"/>
      </a:solidFill>
      <a:prstDash val="solid"/>
      <a:round/>
    </a:ln>
  </c:spPr>
  <c:txPr>
    <a:bodyPr/>
    <a:lstStyle/>
    <a:p>
      <a:pPr>
        <a:defRPr lang="zh-CN" sz="800" b="0" i="0" u="none" strike="noStrike" baseline="0">
          <a:solidFill>
            <a:srgbClr val="004889"/>
          </a:solidFill>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8096028964807"/>
          <c:y val="0.47833137879041698"/>
          <c:w val="0.61185620240092897"/>
          <c:h val="0.35303568436924099"/>
        </c:manualLayout>
      </c:layout>
      <c:barChart>
        <c:barDir val="col"/>
        <c:grouping val="clustered"/>
        <c:varyColors val="0"/>
        <c:ser>
          <c:idx val="0"/>
          <c:order val="0"/>
          <c:tx>
            <c:strRef>
              <c:f>六张图!$G$39</c:f>
              <c:strCache>
                <c:ptCount val="1"/>
                <c:pt idx="0">
                  <c:v>流动比率(左轴)</c:v>
                </c:pt>
              </c:strCache>
            </c:strRef>
          </c:tx>
          <c:spPr>
            <a:solidFill>
              <a:srgbClr val="FF7F7F"/>
            </a:solidFill>
            <a:ln w="25400">
              <a:noFill/>
            </a:ln>
          </c:spPr>
          <c:invertIfNegative val="0"/>
          <c:cat>
            <c:numRef>
              <c:f>六张图!$F$40:$F$42</c:f>
              <c:numCache>
                <c:formatCode>0_);[Red]\(0\)</c:formatCode>
                <c:ptCount val="3"/>
                <c:pt idx="0">
                  <c:v>2023</c:v>
                </c:pt>
                <c:pt idx="1">
                  <c:v>2024</c:v>
                </c:pt>
                <c:pt idx="2">
                  <c:v>2025</c:v>
                </c:pt>
              </c:numCache>
            </c:numRef>
          </c:cat>
          <c:val>
            <c:numRef>
              <c:f>六张图!$G$40:$G$42</c:f>
              <c:numCache>
                <c:formatCode>0.00_ </c:formatCode>
                <c:ptCount val="3"/>
                <c:pt idx="0">
                  <c:v>9.6648999999999994</c:v>
                </c:pt>
                <c:pt idx="1">
                  <c:v>10.904199999999999</c:v>
                </c:pt>
                <c:pt idx="2">
                  <c:v>8.6936</c:v>
                </c:pt>
              </c:numCache>
            </c:numRef>
          </c:val>
          <c:extLst>
            <c:ext xmlns:c16="http://schemas.microsoft.com/office/drawing/2014/chart" uri="{C3380CC4-5D6E-409C-BE32-E72D297353CC}">
              <c16:uniqueId val="{00000000-A4B1-4F97-9316-E4B056880B6E}"/>
            </c:ext>
          </c:extLst>
        </c:ser>
        <c:ser>
          <c:idx val="1"/>
          <c:order val="1"/>
          <c:tx>
            <c:strRef>
              <c:f>六张图!$H$39</c:f>
              <c:strCache>
                <c:ptCount val="1"/>
                <c:pt idx="0">
                  <c:v>速动比率(左轴）</c:v>
                </c:pt>
              </c:strCache>
            </c:strRef>
          </c:tx>
          <c:spPr>
            <a:solidFill>
              <a:srgbClr val="7F99B2"/>
            </a:solidFill>
            <a:ln w="25400">
              <a:noFill/>
            </a:ln>
          </c:spPr>
          <c:invertIfNegative val="0"/>
          <c:cat>
            <c:numRef>
              <c:f>六张图!$F$40:$F$42</c:f>
              <c:numCache>
                <c:formatCode>0_);[Red]\(0\)</c:formatCode>
                <c:ptCount val="3"/>
                <c:pt idx="0">
                  <c:v>2023</c:v>
                </c:pt>
                <c:pt idx="1">
                  <c:v>2024</c:v>
                </c:pt>
                <c:pt idx="2">
                  <c:v>2025</c:v>
                </c:pt>
              </c:numCache>
            </c:numRef>
          </c:cat>
          <c:val>
            <c:numRef>
              <c:f>六张图!$H$40:$H$42</c:f>
              <c:numCache>
                <c:formatCode>0.00_ </c:formatCode>
                <c:ptCount val="3"/>
                <c:pt idx="0">
                  <c:v>6.5998999999999999</c:v>
                </c:pt>
                <c:pt idx="1">
                  <c:v>7.2840999999999996</c:v>
                </c:pt>
                <c:pt idx="2">
                  <c:v>5.7187999999999999</c:v>
                </c:pt>
              </c:numCache>
            </c:numRef>
          </c:val>
          <c:extLst>
            <c:ext xmlns:c16="http://schemas.microsoft.com/office/drawing/2014/chart" uri="{C3380CC4-5D6E-409C-BE32-E72D297353CC}">
              <c16:uniqueId val="{00000001-A4B1-4F97-9316-E4B056880B6E}"/>
            </c:ext>
          </c:extLst>
        </c:ser>
        <c:dLbls>
          <c:showLegendKey val="0"/>
          <c:showVal val="0"/>
          <c:showCatName val="0"/>
          <c:showSerName val="0"/>
          <c:showPercent val="0"/>
          <c:showBubbleSize val="0"/>
        </c:dLbls>
        <c:gapWidth val="80"/>
        <c:axId val="182332416"/>
        <c:axId val="182346496"/>
      </c:barChart>
      <c:lineChart>
        <c:grouping val="standard"/>
        <c:varyColors val="0"/>
        <c:ser>
          <c:idx val="2"/>
          <c:order val="2"/>
          <c:tx>
            <c:strRef>
              <c:f>六张图!$I$39</c:f>
              <c:strCache>
                <c:ptCount val="1"/>
                <c:pt idx="0">
                  <c:v>存货周转天数（右轴）</c:v>
                </c:pt>
              </c:strCache>
            </c:strRef>
          </c:tx>
          <c:spPr>
            <a:ln w="12700" cap="rnd" cmpd="sng" algn="ctr">
              <a:solidFill>
                <a:srgbClr val="003365"/>
              </a:solidFill>
              <a:prstDash val="solid"/>
              <a:round/>
            </a:ln>
          </c:spPr>
          <c:marker>
            <c:symbol val="none"/>
          </c:marker>
          <c:dPt>
            <c:idx val="0"/>
            <c:bubble3D val="0"/>
            <c:spPr>
              <a:ln w="16510" cap="rnd" cmpd="sng" algn="ctr">
                <a:solidFill>
                  <a:srgbClr val="003365"/>
                </a:solidFill>
                <a:prstDash val="solid"/>
                <a:round/>
              </a:ln>
            </c:spPr>
            <c:extLst>
              <c:ext xmlns:c16="http://schemas.microsoft.com/office/drawing/2014/chart" uri="{C3380CC4-5D6E-409C-BE32-E72D297353CC}">
                <c16:uniqueId val="{00000003-A4B1-4F97-9316-E4B056880B6E}"/>
              </c:ext>
            </c:extLst>
          </c:dPt>
          <c:dPt>
            <c:idx val="1"/>
            <c:bubble3D val="0"/>
            <c:spPr>
              <a:ln w="16510" cap="rnd" cmpd="sng" algn="ctr">
                <a:solidFill>
                  <a:srgbClr val="003365"/>
                </a:solidFill>
                <a:prstDash val="solid"/>
                <a:round/>
              </a:ln>
            </c:spPr>
            <c:extLst>
              <c:ext xmlns:c16="http://schemas.microsoft.com/office/drawing/2014/chart" uri="{C3380CC4-5D6E-409C-BE32-E72D297353CC}">
                <c16:uniqueId val="{00000005-A4B1-4F97-9316-E4B056880B6E}"/>
              </c:ext>
            </c:extLst>
          </c:dPt>
          <c:dPt>
            <c:idx val="2"/>
            <c:bubble3D val="0"/>
            <c:spPr>
              <a:ln w="16510" cap="rnd" cmpd="sng" algn="ctr">
                <a:solidFill>
                  <a:srgbClr val="003365"/>
                </a:solidFill>
                <a:prstDash val="solid"/>
                <a:round/>
              </a:ln>
            </c:spPr>
            <c:extLst>
              <c:ext xmlns:c16="http://schemas.microsoft.com/office/drawing/2014/chart" uri="{C3380CC4-5D6E-409C-BE32-E72D297353CC}">
                <c16:uniqueId val="{00000007-A4B1-4F97-9316-E4B056880B6E}"/>
              </c:ext>
            </c:extLst>
          </c:dPt>
          <c:val>
            <c:numRef>
              <c:f>六张图!$I$40:$I$42</c:f>
              <c:numCache>
                <c:formatCode>0.00_ </c:formatCode>
                <c:ptCount val="3"/>
                <c:pt idx="0">
                  <c:v>289.97179999999997</c:v>
                </c:pt>
                <c:pt idx="1">
                  <c:v>333.5804</c:v>
                </c:pt>
                <c:pt idx="2">
                  <c:v>325.262</c:v>
                </c:pt>
              </c:numCache>
            </c:numRef>
          </c:val>
          <c:smooth val="0"/>
          <c:extLst>
            <c:ext xmlns:c16="http://schemas.microsoft.com/office/drawing/2014/chart" uri="{C3380CC4-5D6E-409C-BE32-E72D297353CC}">
              <c16:uniqueId val="{00000008-A4B1-4F97-9316-E4B056880B6E}"/>
            </c:ext>
          </c:extLst>
        </c:ser>
        <c:ser>
          <c:idx val="3"/>
          <c:order val="3"/>
          <c:tx>
            <c:strRef>
              <c:f>六张图!$J$39</c:f>
              <c:strCache>
                <c:ptCount val="1"/>
                <c:pt idx="0">
                  <c:v>应收账款周转天数（右轴）</c:v>
                </c:pt>
              </c:strCache>
            </c:strRef>
          </c:tx>
          <c:spPr>
            <a:ln w="12700" cap="rnd" cmpd="sng" algn="ctr">
              <a:solidFill>
                <a:srgbClr val="FF7F7F"/>
              </a:solidFill>
              <a:prstDash val="solid"/>
              <a:round/>
            </a:ln>
          </c:spPr>
          <c:marker>
            <c:symbol val="none"/>
          </c:marker>
          <c:dPt>
            <c:idx val="0"/>
            <c:bubble3D val="0"/>
            <c:spPr>
              <a:ln w="16510" cap="rnd" cmpd="sng" algn="ctr">
                <a:solidFill>
                  <a:srgbClr val="FF7F7F"/>
                </a:solidFill>
                <a:prstDash val="solid"/>
                <a:round/>
              </a:ln>
            </c:spPr>
            <c:extLst>
              <c:ext xmlns:c16="http://schemas.microsoft.com/office/drawing/2014/chart" uri="{C3380CC4-5D6E-409C-BE32-E72D297353CC}">
                <c16:uniqueId val="{0000000A-A4B1-4F97-9316-E4B056880B6E}"/>
              </c:ext>
            </c:extLst>
          </c:dPt>
          <c:dPt>
            <c:idx val="1"/>
            <c:bubble3D val="0"/>
            <c:spPr>
              <a:ln w="16510" cap="rnd" cmpd="sng" algn="ctr">
                <a:solidFill>
                  <a:srgbClr val="FF7F7F"/>
                </a:solidFill>
                <a:prstDash val="solid"/>
                <a:round/>
              </a:ln>
            </c:spPr>
            <c:extLst>
              <c:ext xmlns:c16="http://schemas.microsoft.com/office/drawing/2014/chart" uri="{C3380CC4-5D6E-409C-BE32-E72D297353CC}">
                <c16:uniqueId val="{0000000C-A4B1-4F97-9316-E4B056880B6E}"/>
              </c:ext>
            </c:extLst>
          </c:dPt>
          <c:dPt>
            <c:idx val="2"/>
            <c:bubble3D val="0"/>
            <c:spPr>
              <a:ln w="16510" cap="rnd" cmpd="sng" algn="ctr">
                <a:solidFill>
                  <a:srgbClr val="FF7F7F"/>
                </a:solidFill>
                <a:prstDash val="solid"/>
                <a:round/>
              </a:ln>
            </c:spPr>
            <c:extLst>
              <c:ext xmlns:c16="http://schemas.microsoft.com/office/drawing/2014/chart" uri="{C3380CC4-5D6E-409C-BE32-E72D297353CC}">
                <c16:uniqueId val="{0000000E-A4B1-4F97-9316-E4B056880B6E}"/>
              </c:ext>
            </c:extLst>
          </c:dPt>
          <c:val>
            <c:numRef>
              <c:f>六张图!$J$40:$J$42</c:f>
              <c:numCache>
                <c:formatCode>0.00_ </c:formatCode>
                <c:ptCount val="3"/>
                <c:pt idx="0">
                  <c:v>36.856900000000003</c:v>
                </c:pt>
                <c:pt idx="1">
                  <c:v>34.1096</c:v>
                </c:pt>
                <c:pt idx="2">
                  <c:v>32.8078</c:v>
                </c:pt>
              </c:numCache>
            </c:numRef>
          </c:val>
          <c:smooth val="0"/>
          <c:extLst>
            <c:ext xmlns:c16="http://schemas.microsoft.com/office/drawing/2014/chart" uri="{C3380CC4-5D6E-409C-BE32-E72D297353CC}">
              <c16:uniqueId val="{0000000F-A4B1-4F97-9316-E4B056880B6E}"/>
            </c:ext>
          </c:extLst>
        </c:ser>
        <c:dLbls>
          <c:showLegendKey val="0"/>
          <c:showVal val="0"/>
          <c:showCatName val="0"/>
          <c:showSerName val="0"/>
          <c:showPercent val="0"/>
          <c:showBubbleSize val="0"/>
        </c:dLbls>
        <c:marker val="1"/>
        <c:smooth val="0"/>
        <c:axId val="182348032"/>
        <c:axId val="182353920"/>
      </c:lineChart>
      <c:catAx>
        <c:axId val="182332416"/>
        <c:scaling>
          <c:orientation val="minMax"/>
        </c:scaling>
        <c:delete val="0"/>
        <c:axPos val="b"/>
        <c:numFmt formatCode="0_);[Red]\(0\)" sourceLinked="1"/>
        <c:majorTickMark val="in"/>
        <c:minorTickMark val="none"/>
        <c:tickLblPos val="low"/>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2346496"/>
        <c:crosses val="autoZero"/>
        <c:auto val="1"/>
        <c:lblAlgn val="ctr"/>
        <c:lblOffset val="0"/>
        <c:tickLblSkip val="1"/>
        <c:noMultiLvlLbl val="0"/>
      </c:catAx>
      <c:valAx>
        <c:axId val="182346496"/>
        <c:scaling>
          <c:orientation val="minMax"/>
          <c:max val="3"/>
        </c:scaling>
        <c:delete val="0"/>
        <c:axPos val="l"/>
        <c:majorGridlines>
          <c:spPr>
            <a:ln w="9525" cap="flat" cmpd="sng" algn="ctr">
              <a:noFill/>
              <a:prstDash val="solid"/>
              <a:round/>
            </a:ln>
          </c:spPr>
        </c:majorGridlines>
        <c:numFmt formatCode="0.00_ " sourceLinked="1"/>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2332416"/>
        <c:crosses val="autoZero"/>
        <c:crossBetween val="between"/>
      </c:valAx>
      <c:catAx>
        <c:axId val="182348032"/>
        <c:scaling>
          <c:orientation val="minMax"/>
        </c:scaling>
        <c:delete val="1"/>
        <c:axPos val="b"/>
        <c:numFmt formatCode="0_);[Red]\(0\)" sourceLinked="1"/>
        <c:majorTickMark val="out"/>
        <c:minorTickMark val="none"/>
        <c:tickLblPos val="nextTo"/>
        <c:crossAx val="182353920"/>
        <c:crosses val="autoZero"/>
        <c:auto val="1"/>
        <c:lblAlgn val="ctr"/>
        <c:lblOffset val="100"/>
        <c:noMultiLvlLbl val="0"/>
      </c:catAx>
      <c:valAx>
        <c:axId val="182353920"/>
        <c:scaling>
          <c:orientation val="minMax"/>
        </c:scaling>
        <c:delete val="0"/>
        <c:axPos val="r"/>
        <c:numFmt formatCode="0_ " sourceLinked="0"/>
        <c:majorTickMark val="in"/>
        <c:minorTickMark val="none"/>
        <c:tickLblPos val="nextTo"/>
        <c:spPr>
          <a:ln w="12700" cap="flat" cmpd="sng" algn="ctr">
            <a:solidFill>
              <a:srgbClr val="004889"/>
            </a:solidFill>
            <a:prstDash val="solid"/>
            <a:round/>
          </a:ln>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Arial" panose="020B0604020202020204"/>
                <a:cs typeface="Arial" panose="020B0604020202020204"/>
              </a:defRPr>
            </a:pPr>
            <a:endParaRPr lang="zh-CN"/>
          </a:p>
        </c:txPr>
        <c:crossAx val="182348032"/>
        <c:crosses val="max"/>
        <c:crossBetween val="between"/>
      </c:valAx>
      <c:spPr>
        <a:noFill/>
        <a:ln w="25400">
          <a:noFill/>
        </a:ln>
      </c:spPr>
    </c:plotArea>
    <c:legend>
      <c:legendPos val="t"/>
      <c:overlay val="0"/>
      <c:spPr>
        <a:noFill/>
        <a:ln w="25400">
          <a:noFill/>
        </a:ln>
        <a:effectLst/>
      </c:spPr>
      <c:txPr>
        <a:bodyPr rot="0" spcFirstLastPara="0" vertOverflow="ellipsis" vert="horz" wrap="square" anchor="ctr" anchorCtr="1"/>
        <a:lstStyle/>
        <a:p>
          <a:pPr>
            <a:defRPr lang="zh-CN" sz="800" b="0" i="0" u="none" strike="noStrike" kern="1200" baseline="0">
              <a:solidFill>
                <a:srgbClr val="004889"/>
              </a:solidFill>
              <a:latin typeface="Arial" panose="020B0604020202020204"/>
              <a:ea typeface="宋体" panose="02010600030101010101" pitchFamily="7" charset="-122"/>
              <a:cs typeface="Arial" panose="020B0604020202020204"/>
            </a:defRPr>
          </a:pPr>
          <a:endParaRPr lang="zh-CN"/>
        </a:p>
      </c:txPr>
    </c:legend>
    <c:plotVisOnly val="1"/>
    <c:dispBlanksAs val="gap"/>
    <c:showDLblsOverMax val="0"/>
  </c:chart>
  <c:spPr>
    <a:noFill/>
    <a:ln w="3175" cap="flat" cmpd="sng" algn="ctr">
      <a:solidFill>
        <a:srgbClr val="FFFFFF"/>
      </a:solidFill>
      <a:prstDash val="solid"/>
      <a:round/>
    </a:ln>
  </c:spPr>
  <c:txPr>
    <a:bodyPr/>
    <a:lstStyle/>
    <a:p>
      <a:pPr>
        <a:defRPr lang="zh-CN" sz="800" b="0" i="0" u="none" strike="noStrike" baseline="0">
          <a:solidFill>
            <a:srgbClr val="004889"/>
          </a:solidFill>
          <a:latin typeface="Arial" panose="020B0604020202020204"/>
          <a:ea typeface="Arial" panose="020B0604020202020204"/>
          <a:cs typeface="Arial" panose="020B0604020202020204"/>
        </a:defRPr>
      </a:pPr>
      <a:endParaRPr lang="zh-CN"/>
    </a:p>
  </c:txPr>
  <c:printSettings>
    <c:headerFooter/>
    <c:pageMargins b="0.75" l="0.7" r="0.7" t="0.75" header="0.3" footer="0.3"/>
    <c:pageSetup/>
  </c:printSettings>
</c:chartSpace>
</file>

<file path=xl/ctrlProps/ctrlProp1.xml><?xml version="1.0" encoding="utf-8"?>
<formControlPr xmlns="http://schemas.microsoft.com/office/spreadsheetml/2009/9/main" objectType="Label"/>
</file>

<file path=xl/ctrlProps/ctrlProp2.xml><?xml version="1.0" encoding="utf-8"?>
<formControlPr xmlns="http://schemas.microsoft.com/office/spreadsheetml/2009/9/main" objectType="Label"/>
</file>

<file path=xl/ctrlProps/ctrlProp3.xml><?xml version="1.0" encoding="utf-8"?>
<formControlPr xmlns="http://schemas.microsoft.com/office/spreadsheetml/2009/9/main" objectType="Label"/>
</file>

<file path=xl/ctrlProps/ctrlProp4.xml><?xml version="1.0" encoding="utf-8"?>
<formControlPr xmlns="http://schemas.microsoft.com/office/spreadsheetml/2009/9/main" objectType="Label"/>
</file>

<file path=xl/ctrlProps/ctrlProp5.xml><?xml version="1.0" encoding="utf-8"?>
<formControlPr xmlns="http://schemas.microsoft.com/office/spreadsheetml/2009/9/main" objectType="Label"/>
</file>

<file path=xl/ctrlProps/ctrlProp6.xml><?xml version="1.0" encoding="utf-8"?>
<formControlPr xmlns="http://schemas.microsoft.com/office/spreadsheetml/2009/9/main" objectType="Label"/>
</file>

<file path=xl/ctrlProps/ctrlProp7.xml><?xml version="1.0" encoding="utf-8"?>
<formControlPr xmlns="http://schemas.microsoft.com/office/spreadsheetml/2009/9/main" objectType="Label"/>
</file>

<file path=xl/ctrlProps/ctrlProp8.xml><?xml version="1.0" encoding="utf-8"?>
<formControlPr xmlns="http://schemas.microsoft.com/office/spreadsheetml/2009/9/main" objectType="Label"/>
</file>

<file path=xl/ctrlProps/ctrlProp9.xml><?xml version="1.0" encoding="utf-8"?>
<formControlPr xmlns="http://schemas.microsoft.com/office/spreadsheetml/2009/9/main" objectType="Label"/>
</file>

<file path=xl/ctrlProps/ctrlProp10.xml><?xml version="1.0" encoding="utf-8"?>
<formControlPr xmlns="http://schemas.microsoft.com/office/spreadsheetml/2009/9/main" objectType="Label"/>
</file>

<file path=xl/ctrlProps/ctrlProp11.xml><?xml version="1.0" encoding="utf-8"?>
<formControlPr xmlns="http://schemas.microsoft.com/office/spreadsheetml/2009/9/main" objectType="Label"/>
</file>

<file path=xl/ctrlProps/ctrlProp12.xml><?xml version="1.0" encoding="utf-8"?>
<formControlPr xmlns="http://schemas.microsoft.com/office/spreadsheetml/2009/9/main" objectType="Label"/>
</file>

<file path=xl/ctrlProps/ctrlProp13.xml><?xml version="1.0" encoding="utf-8"?>
<formControlPr xmlns="http://schemas.microsoft.com/office/spreadsheetml/2009/9/main" objectType="Label"/>
</file>

<file path=xl/ctrlProps/ctrlProp14.xml><?xml version="1.0" encoding="utf-8"?>
<formControlPr xmlns="http://schemas.microsoft.com/office/spreadsheetml/2009/9/main" objectType="Label"/>
</file>

<file path=xl/ctrlProps/ctrlProp15.xml><?xml version="1.0" encoding="utf-8"?>
<formControlPr xmlns="http://schemas.microsoft.com/office/spreadsheetml/2009/9/main" objectType="Label"/>
</file>

<file path=xl/ctrlProps/ctrlProp16.xml><?xml version="1.0" encoding="utf-8"?>
<formControlPr xmlns="http://schemas.microsoft.com/office/spreadsheetml/2009/9/main" objectType="Label"/>
</file>

<file path=xl/ctrlProps/ctrlProp17.xml><?xml version="1.0" encoding="utf-8"?>
<formControlPr xmlns="http://schemas.microsoft.com/office/spreadsheetml/2009/9/main" objectType="Label"/>
</file>

<file path=xl/ctrlProps/ctrlProp18.xml><?xml version="1.0" encoding="utf-8"?>
<formControlPr xmlns="http://schemas.microsoft.com/office/spreadsheetml/2009/9/main" objectType="Label"/>
</file>

<file path=xl/ctrlProps/ctrlProp19.xml><?xml version="1.0" encoding="utf-8"?>
<formControlPr xmlns="http://schemas.microsoft.com/office/spreadsheetml/2009/9/main" objectType="Label"/>
</file>

<file path=xl/ctrlProps/ctrlProp20.xml><?xml version="1.0" encoding="utf-8"?>
<formControlPr xmlns="http://schemas.microsoft.com/office/spreadsheetml/2009/9/main" objectType="Label"/>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21</xdr:row>
          <xdr:rowOff>0</xdr:rowOff>
        </xdr:from>
        <xdr:to>
          <xdr:col>6</xdr:col>
          <xdr:colOff>0</xdr:colOff>
          <xdr:row>22</xdr:row>
          <xdr:rowOff>0</xdr:rowOff>
        </xdr:to>
        <xdr:sp macro="" textlink="">
          <xdr:nvSpPr>
            <xdr:cNvPr id="1028" name="lbl_1"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22</xdr:row>
          <xdr:rowOff>0</xdr:rowOff>
        </xdr:from>
        <xdr:to>
          <xdr:col>6</xdr:col>
          <xdr:colOff>0</xdr:colOff>
          <xdr:row>23</xdr:row>
          <xdr:rowOff>0</xdr:rowOff>
        </xdr:to>
        <xdr:sp macro="" textlink="">
          <xdr:nvSpPr>
            <xdr:cNvPr id="1029" name="lbl_2"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27</xdr:row>
          <xdr:rowOff>0</xdr:rowOff>
        </xdr:from>
        <xdr:to>
          <xdr:col>6</xdr:col>
          <xdr:colOff>0</xdr:colOff>
          <xdr:row>28</xdr:row>
          <xdr:rowOff>0</xdr:rowOff>
        </xdr:to>
        <xdr:sp macro="" textlink="">
          <xdr:nvSpPr>
            <xdr:cNvPr id="1030" name="lbl_5"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29</xdr:row>
          <xdr:rowOff>0</xdr:rowOff>
        </xdr:from>
        <xdr:to>
          <xdr:col>6</xdr:col>
          <xdr:colOff>0</xdr:colOff>
          <xdr:row>30</xdr:row>
          <xdr:rowOff>0</xdr:rowOff>
        </xdr:to>
        <xdr:sp macro="" textlink="">
          <xdr:nvSpPr>
            <xdr:cNvPr id="1031" name="lbl_6"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30</xdr:row>
          <xdr:rowOff>0</xdr:rowOff>
        </xdr:from>
        <xdr:to>
          <xdr:col>6</xdr:col>
          <xdr:colOff>0</xdr:colOff>
          <xdr:row>31</xdr:row>
          <xdr:rowOff>0</xdr:rowOff>
        </xdr:to>
        <xdr:sp macro="" textlink="">
          <xdr:nvSpPr>
            <xdr:cNvPr id="1033" name="lbl_8"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32</xdr:row>
          <xdr:rowOff>0</xdr:rowOff>
        </xdr:from>
        <xdr:to>
          <xdr:col>6</xdr:col>
          <xdr:colOff>0</xdr:colOff>
          <xdr:row>33</xdr:row>
          <xdr:rowOff>0</xdr:rowOff>
        </xdr:to>
        <xdr:sp macro="" textlink="">
          <xdr:nvSpPr>
            <xdr:cNvPr id="1034" name="lbl_9"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34</xdr:row>
          <xdr:rowOff>0</xdr:rowOff>
        </xdr:from>
        <xdr:to>
          <xdr:col>6</xdr:col>
          <xdr:colOff>0</xdr:colOff>
          <xdr:row>35</xdr:row>
          <xdr:rowOff>0</xdr:rowOff>
        </xdr:to>
        <xdr:sp macro="" textlink="">
          <xdr:nvSpPr>
            <xdr:cNvPr id="1035" name="lbl_10"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35</xdr:row>
          <xdr:rowOff>0</xdr:rowOff>
        </xdr:from>
        <xdr:to>
          <xdr:col>6</xdr:col>
          <xdr:colOff>0</xdr:colOff>
          <xdr:row>36</xdr:row>
          <xdr:rowOff>0</xdr:rowOff>
        </xdr:to>
        <xdr:sp macro="" textlink="">
          <xdr:nvSpPr>
            <xdr:cNvPr id="1036" name="lbl_11"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36</xdr:row>
          <xdr:rowOff>0</xdr:rowOff>
        </xdr:from>
        <xdr:to>
          <xdr:col>6</xdr:col>
          <xdr:colOff>0</xdr:colOff>
          <xdr:row>37</xdr:row>
          <xdr:rowOff>0</xdr:rowOff>
        </xdr:to>
        <xdr:sp macro="" textlink="">
          <xdr:nvSpPr>
            <xdr:cNvPr id="1037" name="lbl_12"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38</xdr:row>
          <xdr:rowOff>0</xdr:rowOff>
        </xdr:from>
        <xdr:to>
          <xdr:col>6</xdr:col>
          <xdr:colOff>0</xdr:colOff>
          <xdr:row>39</xdr:row>
          <xdr:rowOff>0</xdr:rowOff>
        </xdr:to>
        <xdr:sp macro="" textlink="">
          <xdr:nvSpPr>
            <xdr:cNvPr id="1038" name="lbl_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39</xdr:row>
          <xdr:rowOff>0</xdr:rowOff>
        </xdr:from>
        <xdr:to>
          <xdr:col>6</xdr:col>
          <xdr:colOff>0</xdr:colOff>
          <xdr:row>40</xdr:row>
          <xdr:rowOff>0</xdr:rowOff>
        </xdr:to>
        <xdr:sp macro="" textlink="">
          <xdr:nvSpPr>
            <xdr:cNvPr id="1039" name="lbl_21"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40</xdr:row>
          <xdr:rowOff>0</xdr:rowOff>
        </xdr:from>
        <xdr:to>
          <xdr:col>6</xdr:col>
          <xdr:colOff>0</xdr:colOff>
          <xdr:row>41</xdr:row>
          <xdr:rowOff>0</xdr:rowOff>
        </xdr:to>
        <xdr:sp macro="" textlink="">
          <xdr:nvSpPr>
            <xdr:cNvPr id="1040" name="lbl_15"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41</xdr:row>
          <xdr:rowOff>0</xdr:rowOff>
        </xdr:from>
        <xdr:to>
          <xdr:col>6</xdr:col>
          <xdr:colOff>0</xdr:colOff>
          <xdr:row>42</xdr:row>
          <xdr:rowOff>0</xdr:rowOff>
        </xdr:to>
        <xdr:sp macro="" textlink="">
          <xdr:nvSpPr>
            <xdr:cNvPr id="1041" name="lbl_16"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42</xdr:row>
          <xdr:rowOff>0</xdr:rowOff>
        </xdr:from>
        <xdr:to>
          <xdr:col>6</xdr:col>
          <xdr:colOff>0</xdr:colOff>
          <xdr:row>43</xdr:row>
          <xdr:rowOff>0</xdr:rowOff>
        </xdr:to>
        <xdr:sp macro="" textlink="">
          <xdr:nvSpPr>
            <xdr:cNvPr id="1042" name="lbl_17"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43</xdr:row>
          <xdr:rowOff>0</xdr:rowOff>
        </xdr:from>
        <xdr:to>
          <xdr:col>6</xdr:col>
          <xdr:colOff>0</xdr:colOff>
          <xdr:row>44</xdr:row>
          <xdr:rowOff>0</xdr:rowOff>
        </xdr:to>
        <xdr:sp macro="" textlink="">
          <xdr:nvSpPr>
            <xdr:cNvPr id="1043" name="lbl_18"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44</xdr:row>
          <xdr:rowOff>0</xdr:rowOff>
        </xdr:from>
        <xdr:to>
          <xdr:col>6</xdr:col>
          <xdr:colOff>0</xdr:colOff>
          <xdr:row>45</xdr:row>
          <xdr:rowOff>0</xdr:rowOff>
        </xdr:to>
        <xdr:sp macro="" textlink="">
          <xdr:nvSpPr>
            <xdr:cNvPr id="1044" name="lbl_19"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45</xdr:row>
          <xdr:rowOff>0</xdr:rowOff>
        </xdr:from>
        <xdr:to>
          <xdr:col>6</xdr:col>
          <xdr:colOff>0</xdr:colOff>
          <xdr:row>46</xdr:row>
          <xdr:rowOff>0</xdr:rowOff>
        </xdr:to>
        <xdr:sp macro="" textlink="">
          <xdr:nvSpPr>
            <xdr:cNvPr id="1045" name="lbl_3"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46</xdr:row>
          <xdr:rowOff>0</xdr:rowOff>
        </xdr:from>
        <xdr:to>
          <xdr:col>6</xdr:col>
          <xdr:colOff>0</xdr:colOff>
          <xdr:row>47</xdr:row>
          <xdr:rowOff>0</xdr:rowOff>
        </xdr:to>
        <xdr:sp macro="" textlink="">
          <xdr:nvSpPr>
            <xdr:cNvPr id="1046" name="lbl_4"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47</xdr:row>
          <xdr:rowOff>0</xdr:rowOff>
        </xdr:from>
        <xdr:to>
          <xdr:col>6</xdr:col>
          <xdr:colOff>0</xdr:colOff>
          <xdr:row>48</xdr:row>
          <xdr:rowOff>0</xdr:rowOff>
        </xdr:to>
        <xdr:sp macro="" textlink="">
          <xdr:nvSpPr>
            <xdr:cNvPr id="1047" name="lbl_20"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31</xdr:row>
          <xdr:rowOff>0</xdr:rowOff>
        </xdr:from>
        <xdr:to>
          <xdr:col>6</xdr:col>
          <xdr:colOff>0</xdr:colOff>
          <xdr:row>32</xdr:row>
          <xdr:rowOff>0</xdr:rowOff>
        </xdr:to>
        <xdr:sp macro="" textlink="">
          <xdr:nvSpPr>
            <xdr:cNvPr id="1049" name="lbl_7"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twoCellAnchor editAs="oneCell">
    <xdr:from>
      <xdr:col>1</xdr:col>
      <xdr:colOff>0</xdr:colOff>
      <xdr:row>0</xdr:row>
      <xdr:rowOff>0</xdr:rowOff>
    </xdr:from>
    <xdr:to>
      <xdr:col>6</xdr:col>
      <xdr:colOff>6350</xdr:colOff>
      <xdr:row>7</xdr:row>
      <xdr:rowOff>10199</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401320" y="0"/>
          <a:ext cx="7016115" cy="1076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85725</xdr:colOff>
      <xdr:row>4</xdr:row>
      <xdr:rowOff>28575</xdr:rowOff>
    </xdr:from>
    <xdr:to>
      <xdr:col>5</xdr:col>
      <xdr:colOff>628650</xdr:colOff>
      <xdr:row>4</xdr:row>
      <xdr:rowOff>95250</xdr:rowOff>
    </xdr:to>
    <xdr:sp macro="" textlink="">
      <xdr:nvSpPr>
        <xdr:cNvPr id="2" name="右箭头 1">
          <a:extLst>
            <a:ext uri="{FF2B5EF4-FFF2-40B4-BE49-F238E27FC236}">
              <a16:creationId xmlns:a16="http://schemas.microsoft.com/office/drawing/2014/main" id="{00000000-0008-0000-0700-000002000000}"/>
            </a:ext>
          </a:extLst>
        </xdr:cNvPr>
        <xdr:cNvSpPr/>
      </xdr:nvSpPr>
      <xdr:spPr>
        <a:xfrm rot="20050675">
          <a:off x="4490720" y="885825"/>
          <a:ext cx="542925" cy="66675"/>
        </a:xfrm>
        <a:prstGeom prst="rightArrow">
          <a:avLst/>
        </a:prstGeom>
        <a:solidFill>
          <a:schemeClr val="accent6">
            <a:lumMod val="40000"/>
            <a:lumOff val="60000"/>
          </a:schemeClr>
        </a:solidFill>
        <a:ln>
          <a:solidFill>
            <a:schemeClr val="accent6">
              <a:lumMod val="40000"/>
              <a:lumOff val="60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5</xdr:col>
      <xdr:colOff>104775</xdr:colOff>
      <xdr:row>5</xdr:row>
      <xdr:rowOff>152400</xdr:rowOff>
    </xdr:from>
    <xdr:to>
      <xdr:col>5</xdr:col>
      <xdr:colOff>647700</xdr:colOff>
      <xdr:row>6</xdr:row>
      <xdr:rowOff>57150</xdr:rowOff>
    </xdr:to>
    <xdr:sp macro="" textlink="">
      <xdr:nvSpPr>
        <xdr:cNvPr id="3" name="右箭头 2">
          <a:extLst>
            <a:ext uri="{FF2B5EF4-FFF2-40B4-BE49-F238E27FC236}">
              <a16:creationId xmlns:a16="http://schemas.microsoft.com/office/drawing/2014/main" id="{00000000-0008-0000-0700-000003000000}"/>
            </a:ext>
          </a:extLst>
        </xdr:cNvPr>
        <xdr:cNvSpPr/>
      </xdr:nvSpPr>
      <xdr:spPr>
        <a:xfrm rot="2082658">
          <a:off x="4509770" y="1219200"/>
          <a:ext cx="542925" cy="114300"/>
        </a:xfrm>
        <a:prstGeom prst="rightArrow">
          <a:avLst/>
        </a:prstGeom>
        <a:solidFill>
          <a:schemeClr val="accent6">
            <a:lumMod val="40000"/>
            <a:lumOff val="60000"/>
          </a:schemeClr>
        </a:solidFill>
        <a:ln>
          <a:solidFill>
            <a:schemeClr val="accent6">
              <a:lumMod val="40000"/>
              <a:lumOff val="60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8</xdr:col>
      <xdr:colOff>95250</xdr:colOff>
      <xdr:row>7</xdr:row>
      <xdr:rowOff>104777</xdr:rowOff>
    </xdr:from>
    <xdr:to>
      <xdr:col>8</xdr:col>
      <xdr:colOff>638175</xdr:colOff>
      <xdr:row>8</xdr:row>
      <xdr:rowOff>9527</xdr:rowOff>
    </xdr:to>
    <xdr:sp macro="" textlink="">
      <xdr:nvSpPr>
        <xdr:cNvPr id="4" name="右箭头 3">
          <a:extLst>
            <a:ext uri="{FF2B5EF4-FFF2-40B4-BE49-F238E27FC236}">
              <a16:creationId xmlns:a16="http://schemas.microsoft.com/office/drawing/2014/main" id="{00000000-0008-0000-0700-000004000000}"/>
            </a:ext>
          </a:extLst>
        </xdr:cNvPr>
        <xdr:cNvSpPr/>
      </xdr:nvSpPr>
      <xdr:spPr>
        <a:xfrm rot="20975000">
          <a:off x="7346315" y="1590675"/>
          <a:ext cx="542925" cy="114300"/>
        </a:xfrm>
        <a:prstGeom prst="rightArrow">
          <a:avLst/>
        </a:prstGeom>
        <a:solidFill>
          <a:schemeClr val="accent6">
            <a:lumMod val="40000"/>
            <a:lumOff val="60000"/>
          </a:schemeClr>
        </a:solidFill>
        <a:ln>
          <a:solidFill>
            <a:schemeClr val="accent6">
              <a:lumMod val="40000"/>
              <a:lumOff val="60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twoCellAnchor>
    <xdr:from>
      <xdr:col>8</xdr:col>
      <xdr:colOff>85725</xdr:colOff>
      <xdr:row>8</xdr:row>
      <xdr:rowOff>104776</xdr:rowOff>
    </xdr:from>
    <xdr:to>
      <xdr:col>8</xdr:col>
      <xdr:colOff>628650</xdr:colOff>
      <xdr:row>9</xdr:row>
      <xdr:rowOff>9526</xdr:rowOff>
    </xdr:to>
    <xdr:sp macro="" textlink="">
      <xdr:nvSpPr>
        <xdr:cNvPr id="5" name="右箭头 4">
          <a:extLst>
            <a:ext uri="{FF2B5EF4-FFF2-40B4-BE49-F238E27FC236}">
              <a16:creationId xmlns:a16="http://schemas.microsoft.com/office/drawing/2014/main" id="{00000000-0008-0000-0700-000005000000}"/>
            </a:ext>
          </a:extLst>
        </xdr:cNvPr>
        <xdr:cNvSpPr/>
      </xdr:nvSpPr>
      <xdr:spPr>
        <a:xfrm rot="1438221">
          <a:off x="7336790" y="1800225"/>
          <a:ext cx="542925" cy="114300"/>
        </a:xfrm>
        <a:prstGeom prst="rightArrow">
          <a:avLst/>
        </a:prstGeom>
        <a:solidFill>
          <a:schemeClr val="accent6">
            <a:lumMod val="40000"/>
            <a:lumOff val="60000"/>
          </a:schemeClr>
        </a:solidFill>
        <a:ln>
          <a:solidFill>
            <a:schemeClr val="accent6">
              <a:lumMod val="40000"/>
              <a:lumOff val="60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38100</xdr:colOff>
      <xdr:row>24</xdr:row>
      <xdr:rowOff>0</xdr:rowOff>
    </xdr:from>
    <xdr:to>
      <xdr:col>8</xdr:col>
      <xdr:colOff>171450</xdr:colOff>
      <xdr:row>33</xdr:row>
      <xdr:rowOff>161925</xdr:rowOff>
    </xdr:to>
    <xdr:graphicFrame macro="">
      <xdr:nvGraphicFramePr>
        <xdr:cNvPr id="16" name="六张图 Chart 1CHT889">
          <a:extLst>
            <a:ext uri="{FF2B5EF4-FFF2-40B4-BE49-F238E27FC236}">
              <a16:creationId xmlns:a16="http://schemas.microsoft.com/office/drawing/2014/main" id="{00000000-0008-0000-0F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600075</xdr:colOff>
      <xdr:row>6</xdr:row>
      <xdr:rowOff>133349</xdr:rowOff>
    </xdr:from>
    <xdr:to>
      <xdr:col>8</xdr:col>
      <xdr:colOff>133350</xdr:colOff>
      <xdr:row>16</xdr:row>
      <xdr:rowOff>114299</xdr:rowOff>
    </xdr:to>
    <xdr:graphicFrame macro="">
      <xdr:nvGraphicFramePr>
        <xdr:cNvPr id="17" name="六张图 Chart 6CHT889">
          <a:extLst>
            <a:ext uri="{FF2B5EF4-FFF2-40B4-BE49-F238E27FC236}">
              <a16:creationId xmlns:a16="http://schemas.microsoft.com/office/drawing/2014/main" id="{00000000-0008-0000-0F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104774</xdr:colOff>
      <xdr:row>24</xdr:row>
      <xdr:rowOff>152399</xdr:rowOff>
    </xdr:from>
    <xdr:to>
      <xdr:col>4</xdr:col>
      <xdr:colOff>180974</xdr:colOff>
      <xdr:row>34</xdr:row>
      <xdr:rowOff>133349</xdr:rowOff>
    </xdr:to>
    <xdr:graphicFrame macro="">
      <xdr:nvGraphicFramePr>
        <xdr:cNvPr id="18" name="六张图 Chart 3CHT889">
          <a:extLst>
            <a:ext uri="{FF2B5EF4-FFF2-40B4-BE49-F238E27FC236}">
              <a16:creationId xmlns:a16="http://schemas.microsoft.com/office/drawing/2014/main" id="{00000000-0008-0000-0F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42</xdr:row>
      <xdr:rowOff>0</xdr:rowOff>
    </xdr:from>
    <xdr:to>
      <xdr:col>4</xdr:col>
      <xdr:colOff>76200</xdr:colOff>
      <xdr:row>51</xdr:row>
      <xdr:rowOff>161925</xdr:rowOff>
    </xdr:to>
    <xdr:graphicFrame macro="">
      <xdr:nvGraphicFramePr>
        <xdr:cNvPr id="19" name="六张图 Chart 2CHT889">
          <a:extLst>
            <a:ext uri="{FF2B5EF4-FFF2-40B4-BE49-F238E27FC236}">
              <a16:creationId xmlns:a16="http://schemas.microsoft.com/office/drawing/2014/main" id="{00000000-0008-0000-0F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47625</xdr:colOff>
      <xdr:row>42</xdr:row>
      <xdr:rowOff>28575</xdr:rowOff>
    </xdr:from>
    <xdr:to>
      <xdr:col>8</xdr:col>
      <xdr:colOff>180975</xdr:colOff>
      <xdr:row>52</xdr:row>
      <xdr:rowOff>9525</xdr:rowOff>
    </xdr:to>
    <xdr:graphicFrame macro="">
      <xdr:nvGraphicFramePr>
        <xdr:cNvPr id="20" name="六张图 六张图 Chart 3CHT889CHT889">
          <a:extLst>
            <a:ext uri="{FF2B5EF4-FFF2-40B4-BE49-F238E27FC236}">
              <a16:creationId xmlns:a16="http://schemas.microsoft.com/office/drawing/2014/main" id="{00000000-0008-0000-0F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023385\AppData\Local\Temp\notes142542\WindEvaluator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22362;&#26524;&#20113;&#21516;&#27493;\&#25105;&#30340;&#22362;&#26524;&#20113;\&#20844;&#21496;&#28857;&#35780;\&#21271;&#20140;&#21531;&#27491;\&#21271;&#20140;&#21531;&#27491;&#27169;&#22411;20260127V1.xlsx" TargetMode="External"/><Relationship Id="rId1" Type="http://schemas.openxmlformats.org/officeDocument/2006/relationships/externalLinkPath" Target="&#21271;&#20140;&#21531;&#27491;&#27169;&#22411;20260127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首页"/>
      <sheetName val="说明"/>
      <sheetName val="历史报表(简化)"/>
      <sheetName val="历史报表(原始)"/>
      <sheetName val="基本假设"/>
      <sheetName val="收入"/>
      <sheetName val="投资"/>
      <sheetName val="筹资"/>
      <sheetName val="预测IS"/>
      <sheetName val="预测BS"/>
      <sheetName val="预测CS"/>
      <sheetName val="财务分析"/>
      <sheetName val="预测合理性检验"/>
      <sheetName val="绝对估值"/>
      <sheetName val="敏感分析"/>
      <sheetName val="估值(可比公司)"/>
      <sheetName val="相对估值"/>
      <sheetName val="杜邦分析"/>
      <sheetName val="历史报表(单季)"/>
      <sheetName val="输出报告"/>
      <sheetName val="创建预测sheet"/>
      <sheetName val="WindEvaluator2"/>
      <sheetName val="假设表"/>
      <sheetName val="Model"/>
    </sheetNames>
    <sheetDataSet>
      <sheetData sheetId="0">
        <row r="11">
          <cell r="C11" t="str">
            <v>合并报表</v>
          </cell>
        </row>
      </sheetData>
      <sheetData sheetId="1" refreshError="1"/>
      <sheetData sheetId="2" refreshError="1"/>
      <sheetData sheetId="3" refreshError="1"/>
      <sheetData sheetId="4" refreshError="1"/>
      <sheetData sheetId="5" refreshError="1"/>
      <sheetData sheetId="6">
        <row r="66">
          <cell r="C66">
            <v>1</v>
          </cell>
        </row>
      </sheetData>
      <sheetData sheetId="7">
        <row r="6">
          <cell r="B6">
            <v>2.2499999999999999E-2</v>
          </cell>
        </row>
        <row r="7">
          <cell r="B7">
            <v>5.3100000000000001E-2</v>
          </cell>
        </row>
        <row r="8">
          <cell r="B8">
            <v>5.7599999999999998E-2</v>
          </cell>
        </row>
        <row r="9">
          <cell r="B9">
            <v>0.01</v>
          </cell>
        </row>
        <row r="18">
          <cell r="B18">
            <v>2</v>
          </cell>
        </row>
        <row r="22">
          <cell r="E22">
            <v>1</v>
          </cell>
        </row>
        <row r="23">
          <cell r="E23">
            <v>0.7</v>
          </cell>
        </row>
        <row r="24">
          <cell r="E24">
            <v>0</v>
          </cell>
        </row>
      </sheetData>
      <sheetData sheetId="8" refreshError="1"/>
      <sheetData sheetId="9" refreshError="1"/>
      <sheetData sheetId="10" refreshError="1"/>
      <sheetData sheetId="11" refreshError="1"/>
      <sheetData sheetId="12" refreshError="1"/>
      <sheetData sheetId="13">
        <row r="5">
          <cell r="C5">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首页"/>
      <sheetName val="Financials at a glance"/>
      <sheetName val="历史数据"/>
      <sheetName val="经营模型"/>
      <sheetName val="经营模型核心假设"/>
      <sheetName val="季度模型"/>
      <sheetName val="季度"/>
      <sheetName val="假设表"/>
      <sheetName val="输出表-首页用表"/>
      <sheetName val="输出表-利润表"/>
      <sheetName val="关键项目预测"/>
      <sheetName val="历史数据及预测表"/>
      <sheetName val="估值表"/>
      <sheetName val="非财务信息"/>
      <sheetName val="关键比率"/>
      <sheetName val="输出表-资产负债表"/>
      <sheetName val="输出表-现金流量表"/>
      <sheetName val="输出表-财务指标"/>
      <sheetName val="六张图"/>
      <sheetName val="校验警告"/>
    </sheetNames>
    <sheetDataSet>
      <sheetData sheetId="0"/>
      <sheetData sheetId="1"/>
      <sheetData sheetId="2"/>
      <sheetData sheetId="3"/>
      <sheetData sheetId="4"/>
      <sheetData sheetId="5"/>
      <sheetData sheetId="6"/>
      <sheetData sheetId="7"/>
      <sheetData sheetId="8"/>
      <sheetData sheetId="9"/>
      <sheetData sheetId="10"/>
      <sheetData sheetId="11">
        <row r="4">
          <cell r="J4">
            <v>2026</v>
          </cell>
          <cell r="K4">
            <v>2027</v>
          </cell>
          <cell r="L4">
            <v>2028</v>
          </cell>
          <cell r="M4">
            <v>2029</v>
          </cell>
        </row>
        <row r="136">
          <cell r="E136">
            <v>926.18117071000029</v>
          </cell>
          <cell r="F136">
            <v>789.24356003999958</v>
          </cell>
          <cell r="G136">
            <v>537.25438806999966</v>
          </cell>
          <cell r="H136">
            <v>366.20209673999989</v>
          </cell>
          <cell r="I136">
            <v>404.4187784225457</v>
          </cell>
          <cell r="J136">
            <v>1567.6789232514591</v>
          </cell>
          <cell r="K136">
            <v>1797.7431795212178</v>
          </cell>
          <cell r="L136">
            <v>1801.273545365721</v>
          </cell>
          <cell r="M136">
            <v>2831.2380728397038</v>
          </cell>
        </row>
      </sheetData>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ctrlProp" Target="../ctrlProps/ctrlProp1.x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8:P52"/>
  <sheetViews>
    <sheetView workbookViewId="0">
      <selection activeCell="E30" sqref="E30"/>
    </sheetView>
  </sheetViews>
  <sheetFormatPr defaultColWidth="9" defaultRowHeight="12.75"/>
  <cols>
    <col min="1" max="1" width="5.265625" style="288" customWidth="1"/>
    <col min="2" max="2" width="21.06640625" style="288" customWidth="1"/>
    <col min="3" max="3" width="20.59765625" style="288" customWidth="1"/>
    <col min="4" max="4" width="9" style="288"/>
    <col min="5" max="6" width="20.59765625" style="288" customWidth="1"/>
    <col min="7" max="16" width="9" style="289"/>
    <col min="17" max="16384" width="9" style="290"/>
  </cols>
  <sheetData>
    <row r="8" spans="2:6" ht="3.75" customHeight="1"/>
    <row r="9" spans="2:6" ht="18" customHeight="1">
      <c r="B9" s="291" t="s">
        <v>0</v>
      </c>
      <c r="C9" s="292"/>
      <c r="D9" s="292"/>
      <c r="E9" s="292"/>
      <c r="F9" s="293"/>
    </row>
    <row r="10" spans="2:6">
      <c r="B10" s="294"/>
      <c r="F10" s="295"/>
    </row>
    <row r="11" spans="2:6">
      <c r="B11" s="294" t="s">
        <v>1</v>
      </c>
      <c r="C11" s="296"/>
      <c r="E11" s="288" t="s">
        <v>2</v>
      </c>
      <c r="F11" s="297"/>
    </row>
    <row r="12" spans="2:6">
      <c r="B12" s="294"/>
      <c r="F12" s="295"/>
    </row>
    <row r="13" spans="2:6" ht="25.5" customHeight="1">
      <c r="B13" s="294" t="s">
        <v>3</v>
      </c>
      <c r="C13" s="298" t="s">
        <v>4</v>
      </c>
      <c r="F13" s="295"/>
    </row>
    <row r="14" spans="2:6">
      <c r="B14" s="294"/>
      <c r="F14" s="295"/>
    </row>
    <row r="15" spans="2:6">
      <c r="B15" s="294" t="s">
        <v>5</v>
      </c>
      <c r="C15" s="288" t="s">
        <v>6</v>
      </c>
      <c r="E15" s="288" t="s">
        <v>7</v>
      </c>
      <c r="F15" s="295" t="s">
        <v>8</v>
      </c>
    </row>
    <row r="16" spans="2:6">
      <c r="B16" s="294"/>
      <c r="F16" s="295"/>
    </row>
    <row r="17" spans="1:6">
      <c r="B17" s="294" t="s">
        <v>9</v>
      </c>
      <c r="C17" s="299" t="s">
        <v>1550</v>
      </c>
      <c r="E17" s="288" t="s">
        <v>10</v>
      </c>
      <c r="F17" s="300" t="s">
        <v>1551</v>
      </c>
    </row>
    <row r="18" spans="1:6">
      <c r="B18" s="294" t="s">
        <v>11</v>
      </c>
      <c r="C18" s="315">
        <v>46140</v>
      </c>
      <c r="E18" s="288" t="s">
        <v>12</v>
      </c>
      <c r="F18" s="302">
        <v>124.02</v>
      </c>
    </row>
    <row r="19" spans="1:6">
      <c r="B19" s="294" t="s">
        <v>13</v>
      </c>
      <c r="C19" s="301">
        <v>2021</v>
      </c>
      <c r="E19" s="288" t="s">
        <v>14</v>
      </c>
      <c r="F19" s="303">
        <v>482540.723</v>
      </c>
    </row>
    <row r="20" spans="1:6">
      <c r="B20" s="294" t="s">
        <v>15</v>
      </c>
      <c r="C20" s="301">
        <v>2025</v>
      </c>
      <c r="E20" s="288" t="s">
        <v>16</v>
      </c>
      <c r="F20" s="300" t="s">
        <v>1552</v>
      </c>
    </row>
    <row r="21" spans="1:6">
      <c r="B21" s="294" t="s">
        <v>17</v>
      </c>
      <c r="C21" s="301">
        <v>10</v>
      </c>
      <c r="E21" s="288" t="s">
        <v>18</v>
      </c>
      <c r="F21" s="300" t="s">
        <v>1553</v>
      </c>
    </row>
    <row r="22" spans="1:6">
      <c r="B22" s="294" t="s">
        <v>19</v>
      </c>
      <c r="C22" s="301" t="s">
        <v>20</v>
      </c>
      <c r="E22" s="288" t="s">
        <v>21</v>
      </c>
      <c r="F22" s="304">
        <v>0</v>
      </c>
    </row>
    <row r="23" spans="1:6">
      <c r="B23" s="294" t="s">
        <v>22</v>
      </c>
      <c r="C23" s="296" t="s">
        <v>23</v>
      </c>
      <c r="E23" s="305" t="s">
        <v>24</v>
      </c>
      <c r="F23" s="304"/>
    </row>
    <row r="24" spans="1:6">
      <c r="B24" s="294" t="s">
        <v>25</v>
      </c>
      <c r="C24" s="301"/>
      <c r="E24" s="290" t="s">
        <v>26</v>
      </c>
      <c r="F24" s="304"/>
    </row>
    <row r="25" spans="1:6">
      <c r="B25" s="294" t="s">
        <v>27</v>
      </c>
      <c r="C25" s="296" t="s">
        <v>1810</v>
      </c>
      <c r="E25" s="288" t="s">
        <v>28</v>
      </c>
      <c r="F25" s="306"/>
    </row>
    <row r="26" spans="1:6">
      <c r="B26" s="294" t="s">
        <v>29</v>
      </c>
      <c r="C26" s="296" t="s">
        <v>1811</v>
      </c>
      <c r="E26" s="288" t="s">
        <v>30</v>
      </c>
      <c r="F26" s="306"/>
    </row>
    <row r="27" spans="1:6">
      <c r="A27" s="307"/>
      <c r="B27" s="290" t="s">
        <v>31</v>
      </c>
      <c r="C27" s="296"/>
      <c r="E27" s="290" t="s">
        <v>32</v>
      </c>
      <c r="F27" s="306"/>
    </row>
    <row r="28" spans="1:6">
      <c r="A28" s="307"/>
      <c r="B28" s="288" t="s">
        <v>33</v>
      </c>
      <c r="C28" s="301">
        <v>59844.700466000002</v>
      </c>
      <c r="E28" s="288" t="s">
        <v>34</v>
      </c>
      <c r="F28" s="308">
        <f>C28+历史数据及预测表!H51+历史数据及预测表!H62+历史数据及预测表!H72+历史数据及预测表!H71</f>
        <v>59853.114682880005</v>
      </c>
    </row>
    <row r="29" spans="1:6">
      <c r="A29" s="307"/>
      <c r="F29" s="307"/>
    </row>
    <row r="30" spans="1:6">
      <c r="A30" s="307"/>
      <c r="B30" s="288" t="s">
        <v>35</v>
      </c>
      <c r="C30" s="288" t="s">
        <v>36</v>
      </c>
      <c r="F30" s="307"/>
    </row>
    <row r="31" spans="1:6">
      <c r="A31" s="307"/>
      <c r="B31" s="288" t="s">
        <v>37</v>
      </c>
      <c r="C31" s="288" t="s">
        <v>38</v>
      </c>
      <c r="F31" s="307"/>
    </row>
    <row r="32" spans="1:6">
      <c r="A32" s="307"/>
      <c r="B32" s="288" t="s">
        <v>39</v>
      </c>
      <c r="C32" s="288" t="s">
        <v>40</v>
      </c>
      <c r="F32" s="307"/>
    </row>
    <row r="33" spans="1:6">
      <c r="A33" s="307"/>
      <c r="B33" s="288" t="s">
        <v>41</v>
      </c>
      <c r="C33" s="288" t="s">
        <v>42</v>
      </c>
      <c r="F33" s="295"/>
    </row>
    <row r="34" spans="1:6">
      <c r="A34" s="307"/>
      <c r="B34" s="288" t="s">
        <v>43</v>
      </c>
      <c r="C34" s="288" t="s">
        <v>44</v>
      </c>
      <c r="F34" s="295"/>
    </row>
    <row r="35" spans="1:6">
      <c r="A35" s="307"/>
      <c r="B35" s="288" t="s">
        <v>45</v>
      </c>
      <c r="C35" s="288" t="s">
        <v>46</v>
      </c>
      <c r="F35" s="295"/>
    </row>
    <row r="36" spans="1:6">
      <c r="B36" s="294" t="s">
        <v>47</v>
      </c>
      <c r="C36" s="288" t="s">
        <v>48</v>
      </c>
      <c r="F36" s="295"/>
    </row>
    <row r="37" spans="1:6">
      <c r="B37" s="294" t="s">
        <v>49</v>
      </c>
      <c r="C37" s="288" t="s">
        <v>48</v>
      </c>
      <c r="F37" s="295"/>
    </row>
    <row r="38" spans="1:6">
      <c r="B38" s="294" t="s">
        <v>50</v>
      </c>
      <c r="C38" s="288" t="s">
        <v>48</v>
      </c>
      <c r="F38" s="295"/>
    </row>
    <row r="39" spans="1:6">
      <c r="B39" s="294" t="s">
        <v>51</v>
      </c>
      <c r="C39" s="288" t="s">
        <v>48</v>
      </c>
      <c r="F39" s="295"/>
    </row>
    <row r="40" spans="1:6">
      <c r="B40" s="294" t="s">
        <v>52</v>
      </c>
      <c r="C40" s="288" t="s">
        <v>48</v>
      </c>
      <c r="F40" s="295"/>
    </row>
    <row r="41" spans="1:6">
      <c r="B41" s="294" t="s">
        <v>53</v>
      </c>
      <c r="C41" s="288" t="s">
        <v>48</v>
      </c>
      <c r="F41" s="295"/>
    </row>
    <row r="42" spans="1:6">
      <c r="B42" s="294" t="s">
        <v>54</v>
      </c>
      <c r="C42" s="288" t="s">
        <v>48</v>
      </c>
      <c r="F42" s="295"/>
    </row>
    <row r="43" spans="1:6">
      <c r="B43" s="294" t="s">
        <v>55</v>
      </c>
      <c r="C43" s="288" t="s">
        <v>48</v>
      </c>
      <c r="F43" s="295"/>
    </row>
    <row r="44" spans="1:6">
      <c r="B44" s="294" t="s">
        <v>56</v>
      </c>
      <c r="C44" s="288" t="s">
        <v>48</v>
      </c>
      <c r="F44" s="309"/>
    </row>
    <row r="45" spans="1:6">
      <c r="B45" s="310" t="s">
        <v>57</v>
      </c>
      <c r="C45" s="288" t="s">
        <v>58</v>
      </c>
      <c r="F45" s="309"/>
    </row>
    <row r="46" spans="1:6">
      <c r="B46" s="294" t="s">
        <v>59</v>
      </c>
      <c r="C46" s="311" t="s">
        <v>60</v>
      </c>
      <c r="F46" s="295"/>
    </row>
    <row r="47" spans="1:6">
      <c r="B47" s="294" t="s">
        <v>61</v>
      </c>
      <c r="C47" s="288" t="s">
        <v>62</v>
      </c>
      <c r="F47" s="295"/>
    </row>
    <row r="48" spans="1:6">
      <c r="B48" s="294" t="s">
        <v>63</v>
      </c>
      <c r="C48" s="288" t="s">
        <v>64</v>
      </c>
      <c r="F48" s="295"/>
    </row>
    <row r="49" spans="2:6">
      <c r="B49" s="294" t="s">
        <v>65</v>
      </c>
      <c r="C49" s="288" t="s">
        <v>66</v>
      </c>
      <c r="F49" s="295"/>
    </row>
    <row r="50" spans="2:6">
      <c r="B50" s="294" t="s">
        <v>67</v>
      </c>
      <c r="C50" s="288" t="s">
        <v>68</v>
      </c>
      <c r="F50" s="295"/>
    </row>
    <row r="51" spans="2:6">
      <c r="B51" s="294" t="s">
        <v>69</v>
      </c>
      <c r="C51" s="288" t="s">
        <v>70</v>
      </c>
      <c r="F51" s="295"/>
    </row>
    <row r="52" spans="2:6">
      <c r="B52" s="312" t="s">
        <v>71</v>
      </c>
      <c r="C52" s="313" t="s">
        <v>72</v>
      </c>
      <c r="D52" s="313"/>
      <c r="E52" s="313"/>
      <c r="F52" s="314"/>
    </row>
  </sheetData>
  <sheetProtection algorithmName="SHA-512" hashValue="5wI+CCKLctI/vYWK4BB78z3/DT5NkzXmobh3tQFZ7Dt3QIMEIHGanUpa0DO6yhDtCkhqm97d6sbieG8qtLzfdA==" saltValue="qqR3/Uzu4L6Fwbyj7bigVQ==" spinCount="100000" sheet="1" objects="1" scenarios="1"/>
  <protectedRanges>
    <protectedRange sqref="C23" name="是否AH"/>
    <protectedRange sqref="C27" name="H股目标价"/>
    <protectedRange sqref="C26" name="A股评级变动"/>
    <protectedRange sqref="C25" name="A股评级"/>
    <protectedRange sqref="F25" name="A股目标价"/>
    <protectedRange sqref="F26" name="H股评级"/>
    <protectedRange sqref="F27" name="H股评级变动"/>
  </protectedRanges>
  <phoneticPr fontId="35" type="noConversion"/>
  <dataValidations count="10">
    <dataValidation type="whole" operator="lessThanOrEqual" allowBlank="1" showInputMessage="1" showErrorMessage="1" errorTitle="历史数据年份不能超过今天" error="历史数据年份不能超过今天" sqref="C20" xr:uid="{00000000-0002-0000-0000-000000000000}">
      <formula1>YEAR(TODAY())</formula1>
    </dataValidation>
    <dataValidation type="list" showInputMessage="1" showErrorMessage="1" errorTitle="请输入评级变动" error="请输入评级变动" sqref="C26" xr:uid="{00000000-0002-0000-0000-000001000000}">
      <formula1>"首次,上调,下调,维持"</formula1>
    </dataValidation>
    <dataValidation allowBlank="1" showInputMessage="1" showErrorMessage="1" errorTitle="证券代码不能为空" error="证券代码不能为空" sqref="C17" xr:uid="{00000000-0002-0000-0000-000002000000}"/>
    <dataValidation allowBlank="1" showInputMessage="1" showErrorMessage="1" errorTitle="历史数据起始年份为空" error="历史数据起始年份为空" sqref="C19 C28" xr:uid="{00000000-0002-0000-0000-000003000000}"/>
    <dataValidation type="list" showInputMessage="1" showErrorMessage="1" errorTitle="请选择是否为A+H" error="请选择是否为A+H" sqref="C23" xr:uid="{00000000-0002-0000-0000-000004000000}">
      <formula1>"是,否"</formula1>
    </dataValidation>
    <dataValidation type="list" allowBlank="1" showDropDown="1" showInputMessage="1" showErrorMessage="1" sqref="C22" xr:uid="{00000000-0002-0000-0000-000005000000}">
      <formula1>"元,千元,万元,百万元,亿元"</formula1>
    </dataValidation>
    <dataValidation type="list" showInputMessage="1" showErrorMessage="1" errorTitle="请输入评级" error="请输入评级" sqref="C25" xr:uid="{00000000-0002-0000-0000-000006000000}">
      <formula1>"无评级,买入,增持,持有,卖出,中性"</formula1>
    </dataValidation>
    <dataValidation type="decimal" operator="greaterThanOrEqual" showInputMessage="1" showErrorMessage="1" errorTitle="请输入目标价，且目标价应大于等于0" error="请输入目标价，且目标价应大于等于0" sqref="F25" xr:uid="{00000000-0002-0000-0000-000007000000}">
      <formula1>0</formula1>
    </dataValidation>
    <dataValidation type="list" allowBlank="1" showInputMessage="1" showErrorMessage="1" sqref="F26" xr:uid="{00000000-0002-0000-0000-000008000000}">
      <formula1>"无评级,买入,增持,持有,卖出,中性"</formula1>
    </dataValidation>
    <dataValidation type="list" allowBlank="1" showInputMessage="1" showErrorMessage="1" sqref="F27" xr:uid="{00000000-0002-0000-0000-000009000000}">
      <formula1>"首次,上调,下调,维持"</formula1>
    </dataValidation>
  </dataValidations>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8" r:id="rId3" name="lbl_1">
              <controlPr defaultSize="0" autoPict="0">
                <anchor moveWithCells="1" sizeWithCells="1">
                  <from>
                    <xdr:col>6</xdr:col>
                    <xdr:colOff>0</xdr:colOff>
                    <xdr:row>21</xdr:row>
                    <xdr:rowOff>0</xdr:rowOff>
                  </from>
                  <to>
                    <xdr:col>6</xdr:col>
                    <xdr:colOff>0</xdr:colOff>
                    <xdr:row>22</xdr:row>
                    <xdr:rowOff>0</xdr:rowOff>
                  </to>
                </anchor>
              </controlPr>
            </control>
          </mc:Choice>
        </mc:AlternateContent>
        <mc:AlternateContent xmlns:mc="http://schemas.openxmlformats.org/markup-compatibility/2006">
          <mc:Choice Requires="x14">
            <control shapeId="1029" r:id="rId4" name="lbl_2">
              <controlPr defaultSize="0" autoPict="0">
                <anchor moveWithCells="1" sizeWithCells="1">
                  <from>
                    <xdr:col>6</xdr:col>
                    <xdr:colOff>0</xdr:colOff>
                    <xdr:row>22</xdr:row>
                    <xdr:rowOff>0</xdr:rowOff>
                  </from>
                  <to>
                    <xdr:col>6</xdr:col>
                    <xdr:colOff>0</xdr:colOff>
                    <xdr:row>23</xdr:row>
                    <xdr:rowOff>0</xdr:rowOff>
                  </to>
                </anchor>
              </controlPr>
            </control>
          </mc:Choice>
        </mc:AlternateContent>
        <mc:AlternateContent xmlns:mc="http://schemas.openxmlformats.org/markup-compatibility/2006">
          <mc:Choice Requires="x14">
            <control shapeId="1030" r:id="rId5" name="lbl_5">
              <controlPr defaultSize="0" autoPict="0">
                <anchor moveWithCells="1" sizeWithCells="1">
                  <from>
                    <xdr:col>6</xdr:col>
                    <xdr:colOff>0</xdr:colOff>
                    <xdr:row>27</xdr:row>
                    <xdr:rowOff>0</xdr:rowOff>
                  </from>
                  <to>
                    <xdr:col>6</xdr:col>
                    <xdr:colOff>0</xdr:colOff>
                    <xdr:row>28</xdr:row>
                    <xdr:rowOff>0</xdr:rowOff>
                  </to>
                </anchor>
              </controlPr>
            </control>
          </mc:Choice>
        </mc:AlternateContent>
        <mc:AlternateContent xmlns:mc="http://schemas.openxmlformats.org/markup-compatibility/2006">
          <mc:Choice Requires="x14">
            <control shapeId="1031" r:id="rId6" name="lbl_6">
              <controlPr defaultSize="0" autoPict="0">
                <anchor moveWithCells="1" sizeWithCells="1">
                  <from>
                    <xdr:col>6</xdr:col>
                    <xdr:colOff>0</xdr:colOff>
                    <xdr:row>29</xdr:row>
                    <xdr:rowOff>0</xdr:rowOff>
                  </from>
                  <to>
                    <xdr:col>6</xdr:col>
                    <xdr:colOff>0</xdr:colOff>
                    <xdr:row>30</xdr:row>
                    <xdr:rowOff>0</xdr:rowOff>
                  </to>
                </anchor>
              </controlPr>
            </control>
          </mc:Choice>
        </mc:AlternateContent>
        <mc:AlternateContent xmlns:mc="http://schemas.openxmlformats.org/markup-compatibility/2006">
          <mc:Choice Requires="x14">
            <control shapeId="1033" r:id="rId7" name="lbl_8">
              <controlPr defaultSize="0" autoPict="0">
                <anchor moveWithCells="1" sizeWithCells="1">
                  <from>
                    <xdr:col>6</xdr:col>
                    <xdr:colOff>0</xdr:colOff>
                    <xdr:row>30</xdr:row>
                    <xdr:rowOff>0</xdr:rowOff>
                  </from>
                  <to>
                    <xdr:col>6</xdr:col>
                    <xdr:colOff>0</xdr:colOff>
                    <xdr:row>31</xdr:row>
                    <xdr:rowOff>0</xdr:rowOff>
                  </to>
                </anchor>
              </controlPr>
            </control>
          </mc:Choice>
        </mc:AlternateContent>
        <mc:AlternateContent xmlns:mc="http://schemas.openxmlformats.org/markup-compatibility/2006">
          <mc:Choice Requires="x14">
            <control shapeId="1034" r:id="rId8" name="lbl_9">
              <controlPr defaultSize="0" autoPict="0">
                <anchor moveWithCells="1" sizeWithCells="1">
                  <from>
                    <xdr:col>6</xdr:col>
                    <xdr:colOff>0</xdr:colOff>
                    <xdr:row>32</xdr:row>
                    <xdr:rowOff>0</xdr:rowOff>
                  </from>
                  <to>
                    <xdr:col>6</xdr:col>
                    <xdr:colOff>0</xdr:colOff>
                    <xdr:row>33</xdr:row>
                    <xdr:rowOff>0</xdr:rowOff>
                  </to>
                </anchor>
              </controlPr>
            </control>
          </mc:Choice>
        </mc:AlternateContent>
        <mc:AlternateContent xmlns:mc="http://schemas.openxmlformats.org/markup-compatibility/2006">
          <mc:Choice Requires="x14">
            <control shapeId="1035" r:id="rId9" name="lbl_10">
              <controlPr defaultSize="0" autoPict="0">
                <anchor moveWithCells="1" sizeWithCells="1">
                  <from>
                    <xdr:col>6</xdr:col>
                    <xdr:colOff>0</xdr:colOff>
                    <xdr:row>34</xdr:row>
                    <xdr:rowOff>0</xdr:rowOff>
                  </from>
                  <to>
                    <xdr:col>6</xdr:col>
                    <xdr:colOff>0</xdr:colOff>
                    <xdr:row>35</xdr:row>
                    <xdr:rowOff>0</xdr:rowOff>
                  </to>
                </anchor>
              </controlPr>
            </control>
          </mc:Choice>
        </mc:AlternateContent>
        <mc:AlternateContent xmlns:mc="http://schemas.openxmlformats.org/markup-compatibility/2006">
          <mc:Choice Requires="x14">
            <control shapeId="1036" r:id="rId10" name="lbl_11">
              <controlPr defaultSize="0" autoPict="0">
                <anchor moveWithCells="1" sizeWithCells="1">
                  <from>
                    <xdr:col>6</xdr:col>
                    <xdr:colOff>0</xdr:colOff>
                    <xdr:row>35</xdr:row>
                    <xdr:rowOff>0</xdr:rowOff>
                  </from>
                  <to>
                    <xdr:col>6</xdr:col>
                    <xdr:colOff>0</xdr:colOff>
                    <xdr:row>36</xdr:row>
                    <xdr:rowOff>0</xdr:rowOff>
                  </to>
                </anchor>
              </controlPr>
            </control>
          </mc:Choice>
        </mc:AlternateContent>
        <mc:AlternateContent xmlns:mc="http://schemas.openxmlformats.org/markup-compatibility/2006">
          <mc:Choice Requires="x14">
            <control shapeId="1037" r:id="rId11" name="lbl_12">
              <controlPr defaultSize="0" autoPict="0">
                <anchor moveWithCells="1" sizeWithCells="1">
                  <from>
                    <xdr:col>6</xdr:col>
                    <xdr:colOff>0</xdr:colOff>
                    <xdr:row>36</xdr:row>
                    <xdr:rowOff>0</xdr:rowOff>
                  </from>
                  <to>
                    <xdr:col>6</xdr:col>
                    <xdr:colOff>0</xdr:colOff>
                    <xdr:row>37</xdr:row>
                    <xdr:rowOff>0</xdr:rowOff>
                  </to>
                </anchor>
              </controlPr>
            </control>
          </mc:Choice>
        </mc:AlternateContent>
        <mc:AlternateContent xmlns:mc="http://schemas.openxmlformats.org/markup-compatibility/2006">
          <mc:Choice Requires="x14">
            <control shapeId="1038" r:id="rId12" name="lbl_14">
              <controlPr defaultSize="0" autoPict="0">
                <anchor moveWithCells="1" sizeWithCells="1">
                  <from>
                    <xdr:col>6</xdr:col>
                    <xdr:colOff>0</xdr:colOff>
                    <xdr:row>38</xdr:row>
                    <xdr:rowOff>0</xdr:rowOff>
                  </from>
                  <to>
                    <xdr:col>6</xdr:col>
                    <xdr:colOff>0</xdr:colOff>
                    <xdr:row>39</xdr:row>
                    <xdr:rowOff>0</xdr:rowOff>
                  </to>
                </anchor>
              </controlPr>
            </control>
          </mc:Choice>
        </mc:AlternateContent>
        <mc:AlternateContent xmlns:mc="http://schemas.openxmlformats.org/markup-compatibility/2006">
          <mc:Choice Requires="x14">
            <control shapeId="1039" r:id="rId13" name="lbl_21">
              <controlPr defaultSize="0" autoPict="0">
                <anchor moveWithCells="1" sizeWithCells="1">
                  <from>
                    <xdr:col>6</xdr:col>
                    <xdr:colOff>0</xdr:colOff>
                    <xdr:row>39</xdr:row>
                    <xdr:rowOff>0</xdr:rowOff>
                  </from>
                  <to>
                    <xdr:col>6</xdr:col>
                    <xdr:colOff>0</xdr:colOff>
                    <xdr:row>40</xdr:row>
                    <xdr:rowOff>0</xdr:rowOff>
                  </to>
                </anchor>
              </controlPr>
            </control>
          </mc:Choice>
        </mc:AlternateContent>
        <mc:AlternateContent xmlns:mc="http://schemas.openxmlformats.org/markup-compatibility/2006">
          <mc:Choice Requires="x14">
            <control shapeId="1040" r:id="rId14" name="lbl_15">
              <controlPr defaultSize="0" autoPict="0">
                <anchor moveWithCells="1" sizeWithCells="1">
                  <from>
                    <xdr:col>6</xdr:col>
                    <xdr:colOff>0</xdr:colOff>
                    <xdr:row>40</xdr:row>
                    <xdr:rowOff>0</xdr:rowOff>
                  </from>
                  <to>
                    <xdr:col>6</xdr:col>
                    <xdr:colOff>0</xdr:colOff>
                    <xdr:row>41</xdr:row>
                    <xdr:rowOff>0</xdr:rowOff>
                  </to>
                </anchor>
              </controlPr>
            </control>
          </mc:Choice>
        </mc:AlternateContent>
        <mc:AlternateContent xmlns:mc="http://schemas.openxmlformats.org/markup-compatibility/2006">
          <mc:Choice Requires="x14">
            <control shapeId="1041" r:id="rId15" name="lbl_16">
              <controlPr defaultSize="0" autoPict="0">
                <anchor moveWithCells="1" sizeWithCells="1">
                  <from>
                    <xdr:col>6</xdr:col>
                    <xdr:colOff>0</xdr:colOff>
                    <xdr:row>41</xdr:row>
                    <xdr:rowOff>0</xdr:rowOff>
                  </from>
                  <to>
                    <xdr:col>6</xdr:col>
                    <xdr:colOff>0</xdr:colOff>
                    <xdr:row>42</xdr:row>
                    <xdr:rowOff>0</xdr:rowOff>
                  </to>
                </anchor>
              </controlPr>
            </control>
          </mc:Choice>
        </mc:AlternateContent>
        <mc:AlternateContent xmlns:mc="http://schemas.openxmlformats.org/markup-compatibility/2006">
          <mc:Choice Requires="x14">
            <control shapeId="1042" r:id="rId16" name="lbl_17">
              <controlPr defaultSize="0" autoPict="0">
                <anchor moveWithCells="1" sizeWithCells="1">
                  <from>
                    <xdr:col>6</xdr:col>
                    <xdr:colOff>0</xdr:colOff>
                    <xdr:row>42</xdr:row>
                    <xdr:rowOff>0</xdr:rowOff>
                  </from>
                  <to>
                    <xdr:col>6</xdr:col>
                    <xdr:colOff>0</xdr:colOff>
                    <xdr:row>43</xdr:row>
                    <xdr:rowOff>0</xdr:rowOff>
                  </to>
                </anchor>
              </controlPr>
            </control>
          </mc:Choice>
        </mc:AlternateContent>
        <mc:AlternateContent xmlns:mc="http://schemas.openxmlformats.org/markup-compatibility/2006">
          <mc:Choice Requires="x14">
            <control shapeId="1043" r:id="rId17" name="lbl_18">
              <controlPr defaultSize="0" autoPict="0">
                <anchor moveWithCells="1" sizeWithCells="1">
                  <from>
                    <xdr:col>6</xdr:col>
                    <xdr:colOff>0</xdr:colOff>
                    <xdr:row>43</xdr:row>
                    <xdr:rowOff>0</xdr:rowOff>
                  </from>
                  <to>
                    <xdr:col>6</xdr:col>
                    <xdr:colOff>0</xdr:colOff>
                    <xdr:row>44</xdr:row>
                    <xdr:rowOff>0</xdr:rowOff>
                  </to>
                </anchor>
              </controlPr>
            </control>
          </mc:Choice>
        </mc:AlternateContent>
        <mc:AlternateContent xmlns:mc="http://schemas.openxmlformats.org/markup-compatibility/2006">
          <mc:Choice Requires="x14">
            <control shapeId="1044" r:id="rId18" name="lbl_19">
              <controlPr defaultSize="0" autoPict="0">
                <anchor moveWithCells="1" sizeWithCells="1">
                  <from>
                    <xdr:col>6</xdr:col>
                    <xdr:colOff>0</xdr:colOff>
                    <xdr:row>44</xdr:row>
                    <xdr:rowOff>0</xdr:rowOff>
                  </from>
                  <to>
                    <xdr:col>6</xdr:col>
                    <xdr:colOff>0</xdr:colOff>
                    <xdr:row>45</xdr:row>
                    <xdr:rowOff>0</xdr:rowOff>
                  </to>
                </anchor>
              </controlPr>
            </control>
          </mc:Choice>
        </mc:AlternateContent>
        <mc:AlternateContent xmlns:mc="http://schemas.openxmlformats.org/markup-compatibility/2006">
          <mc:Choice Requires="x14">
            <control shapeId="1045" r:id="rId19" name="lbl_3">
              <controlPr defaultSize="0" autoPict="0">
                <anchor moveWithCells="1" sizeWithCells="1">
                  <from>
                    <xdr:col>6</xdr:col>
                    <xdr:colOff>0</xdr:colOff>
                    <xdr:row>45</xdr:row>
                    <xdr:rowOff>0</xdr:rowOff>
                  </from>
                  <to>
                    <xdr:col>6</xdr:col>
                    <xdr:colOff>0</xdr:colOff>
                    <xdr:row>46</xdr:row>
                    <xdr:rowOff>0</xdr:rowOff>
                  </to>
                </anchor>
              </controlPr>
            </control>
          </mc:Choice>
        </mc:AlternateContent>
        <mc:AlternateContent xmlns:mc="http://schemas.openxmlformats.org/markup-compatibility/2006">
          <mc:Choice Requires="x14">
            <control shapeId="1046" r:id="rId20" name="lbl_4">
              <controlPr defaultSize="0" autoPict="0">
                <anchor moveWithCells="1" sizeWithCells="1">
                  <from>
                    <xdr:col>6</xdr:col>
                    <xdr:colOff>0</xdr:colOff>
                    <xdr:row>46</xdr:row>
                    <xdr:rowOff>0</xdr:rowOff>
                  </from>
                  <to>
                    <xdr:col>6</xdr:col>
                    <xdr:colOff>0</xdr:colOff>
                    <xdr:row>47</xdr:row>
                    <xdr:rowOff>0</xdr:rowOff>
                  </to>
                </anchor>
              </controlPr>
            </control>
          </mc:Choice>
        </mc:AlternateContent>
        <mc:AlternateContent xmlns:mc="http://schemas.openxmlformats.org/markup-compatibility/2006">
          <mc:Choice Requires="x14">
            <control shapeId="1047" r:id="rId21" name="lbl_20">
              <controlPr defaultSize="0" autoPict="0">
                <anchor moveWithCells="1" sizeWithCells="1">
                  <from>
                    <xdr:col>6</xdr:col>
                    <xdr:colOff>0</xdr:colOff>
                    <xdr:row>47</xdr:row>
                    <xdr:rowOff>0</xdr:rowOff>
                  </from>
                  <to>
                    <xdr:col>6</xdr:col>
                    <xdr:colOff>0</xdr:colOff>
                    <xdr:row>48</xdr:row>
                    <xdr:rowOff>0</xdr:rowOff>
                  </to>
                </anchor>
              </controlPr>
            </control>
          </mc:Choice>
        </mc:AlternateContent>
        <mc:AlternateContent xmlns:mc="http://schemas.openxmlformats.org/markup-compatibility/2006">
          <mc:Choice Requires="x14">
            <control shapeId="1049" r:id="rId22" name="lbl_7">
              <controlPr defaultSize="0" autoPict="0">
                <anchor moveWithCells="1" sizeWithCells="1">
                  <from>
                    <xdr:col>6</xdr:col>
                    <xdr:colOff>0</xdr:colOff>
                    <xdr:row>31</xdr:row>
                    <xdr:rowOff>0</xdr:rowOff>
                  </from>
                  <to>
                    <xdr:col>6</xdr:col>
                    <xdr:colOff>0</xdr:colOff>
                    <xdr:row>32</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B1:G143"/>
  <sheetViews>
    <sheetView workbookViewId="0">
      <selection activeCell="C7" sqref="C7"/>
    </sheetView>
  </sheetViews>
  <sheetFormatPr defaultColWidth="9.06640625" defaultRowHeight="15"/>
  <cols>
    <col min="1" max="1" width="9.06640625" style="271"/>
    <col min="2" max="2" width="41" style="25" customWidth="1"/>
    <col min="3" max="7" width="14.59765625" style="272" customWidth="1"/>
    <col min="8" max="16384" width="9.06640625" style="271"/>
  </cols>
  <sheetData>
    <row r="1" spans="2:7">
      <c r="C1" s="273">
        <f>历史数据及预测表!G4</f>
        <v>2024</v>
      </c>
      <c r="D1" s="273">
        <f>历史数据及预测表!H4</f>
        <v>2025</v>
      </c>
      <c r="E1" s="273">
        <f>历史数据及预测表!I4</f>
        <v>2026</v>
      </c>
      <c r="F1" s="273">
        <f>历史数据及预测表!J4</f>
        <v>2027</v>
      </c>
      <c r="G1" s="273">
        <f>历史数据及预测表!K4</f>
        <v>2028</v>
      </c>
    </row>
    <row r="2" spans="2:7">
      <c r="B2" s="274" t="s">
        <v>73</v>
      </c>
      <c r="C2" s="275"/>
      <c r="D2" s="275"/>
      <c r="E2" s="275"/>
      <c r="F2" s="275"/>
      <c r="G2" s="275"/>
    </row>
    <row r="3" spans="2:7">
      <c r="B3" s="25" t="s">
        <v>74</v>
      </c>
      <c r="C3" s="276">
        <f>'输出表-首页用表'!C3</f>
        <v>4212.6258813499999</v>
      </c>
      <c r="D3" s="276">
        <f>'输出表-首页用表'!D3</f>
        <v>4741.0075979599997</v>
      </c>
      <c r="E3" s="276">
        <f>'输出表-首页用表'!E3</f>
        <v>8307.8437835022596</v>
      </c>
      <c r="F3" s="276">
        <f>'输出表-首页用表'!F3</f>
        <v>10593.133938520314</v>
      </c>
      <c r="G3" s="276">
        <f>'输出表-首页用表'!G3</f>
        <v>12526.556098275489</v>
      </c>
    </row>
    <row r="4" spans="2:7">
      <c r="B4" s="25" t="s">
        <v>75</v>
      </c>
      <c r="C4" s="277">
        <f>'输出表-首页用表'!C4</f>
        <v>-7.0250496070820456E-2</v>
      </c>
      <c r="D4" s="277">
        <f>'输出表-首页用表'!D4</f>
        <v>0.12542811336492843</v>
      </c>
      <c r="E4" s="277">
        <f>'输出表-首页用表'!E4</f>
        <v>0.75233715868268769</v>
      </c>
      <c r="F4" s="277">
        <f>'输出表-首页用表'!F4</f>
        <v>0.27507620684396961</v>
      </c>
      <c r="G4" s="277">
        <f>'输出表-首页用表'!G4</f>
        <v>0.18251654052296851</v>
      </c>
    </row>
    <row r="5" spans="2:7">
      <c r="B5" s="25" t="s">
        <v>76</v>
      </c>
      <c r="C5" s="278">
        <f>'输出表-首页用表'!C5</f>
        <v>366.20209673999989</v>
      </c>
      <c r="D5" s="278">
        <f>'输出表-首页用表'!D5</f>
        <v>376.22602306000039</v>
      </c>
      <c r="E5" s="278">
        <f ca="1">'输出表-首页用表'!E5</f>
        <v>2509.6072795496216</v>
      </c>
      <c r="F5" s="278">
        <f ca="1">'输出表-首页用表'!F5</f>
        <v>2865.0559779469113</v>
      </c>
      <c r="G5" s="278">
        <f ca="1">'输出表-首页用表'!G5</f>
        <v>2754.3684258832914</v>
      </c>
    </row>
    <row r="6" spans="2:7">
      <c r="B6" s="25" t="s">
        <v>75</v>
      </c>
      <c r="C6" s="279">
        <f>'输出表-首页用表'!C6</f>
        <v>-0.31838230664709455</v>
      </c>
      <c r="D6" s="279">
        <f>'输出表-首页用表'!D6</f>
        <v>2.7372662279204318E-2</v>
      </c>
      <c r="E6" s="279">
        <f ca="1">'输出表-首页用表'!E6</f>
        <v>5.6704776536666905</v>
      </c>
      <c r="F6" s="279">
        <f ca="1">'输出表-首页用表'!F6</f>
        <v>0.14163518782153006</v>
      </c>
      <c r="G6" s="279">
        <f ca="1">'输出表-首页用表'!G6</f>
        <v>-3.8633643780649041E-2</v>
      </c>
    </row>
    <row r="7" spans="2:7">
      <c r="B7" s="25" t="s">
        <v>77</v>
      </c>
      <c r="C7" s="278">
        <f>'输出表-首页用表'!C7</f>
        <v>0.76039999999999996</v>
      </c>
      <c r="D7" s="278">
        <f>'输出表-首页用表'!D7</f>
        <v>0.78029999999999999</v>
      </c>
      <c r="E7" s="278">
        <f ca="1">'输出表-首页用表'!E7</f>
        <v>5.2008196612861246</v>
      </c>
      <c r="F7" s="278">
        <f ca="1">'输出表-首页用表'!F7</f>
        <v>5.9374387308382905</v>
      </c>
      <c r="G7" s="278">
        <f ca="1">'输出表-首页用表'!G7</f>
        <v>5.7080538379416552</v>
      </c>
    </row>
    <row r="8" spans="2:7">
      <c r="B8" s="25" t="s">
        <v>78</v>
      </c>
      <c r="C8" s="279">
        <f>'输出表-首页用表'!C8</f>
        <v>0.36729198274881125</v>
      </c>
      <c r="D8" s="279">
        <f>'输出表-首页用表'!D8</f>
        <v>0.34086455881559097</v>
      </c>
      <c r="E8" s="279">
        <f>'输出表-首页用表'!E8</f>
        <v>0.49659152464527356</v>
      </c>
      <c r="F8" s="279">
        <f>'输出表-首页用表'!F8</f>
        <v>0.466127937612137</v>
      </c>
      <c r="G8" s="279">
        <f>'输出表-首页用表'!G8</f>
        <v>0.40944851302474683</v>
      </c>
    </row>
    <row r="9" spans="2:7">
      <c r="B9" s="25" t="s">
        <v>79</v>
      </c>
      <c r="C9" s="279">
        <f>'输出表-首页用表'!C9</f>
        <v>3.0380316391517892E-2</v>
      </c>
      <c r="D9" s="279">
        <f>'输出表-首页用表'!D9</f>
        <v>3.0221729217827106E-2</v>
      </c>
      <c r="E9" s="279">
        <f ca="1">'输出表-首页用表'!E9</f>
        <v>0.16872113496388833</v>
      </c>
      <c r="F9" s="279">
        <f ca="1">'输出表-首页用表'!F9</f>
        <v>0.16186462997271528</v>
      </c>
      <c r="G9" s="279">
        <f ca="1">'输出表-首页用表'!G9</f>
        <v>0.13486911196471865</v>
      </c>
    </row>
    <row r="10" spans="2:7">
      <c r="B10" s="25" t="s">
        <v>80</v>
      </c>
      <c r="C10" s="278">
        <f>'输出表-首页用表'!C10</f>
        <v>24.980122486719115</v>
      </c>
      <c r="D10" s="278">
        <f>'输出表-首页用表'!D10</f>
        <v>25.798565085231161</v>
      </c>
      <c r="E10" s="278">
        <f ca="1">'输出表-首页用表'!E10</f>
        <v>30.824944737357683</v>
      </c>
      <c r="F10" s="278">
        <f ca="1">'输出表-首页用表'!F10</f>
        <v>36.681508071523318</v>
      </c>
      <c r="G10" s="278">
        <f ca="1">'输出表-首页用表'!G10</f>
        <v>42.322914081579071</v>
      </c>
    </row>
    <row r="11" spans="2:7">
      <c r="B11" s="25" t="s">
        <v>81</v>
      </c>
      <c r="C11" s="278">
        <f>'输出表-首页用表'!C11</f>
        <v>163.09836927932668</v>
      </c>
      <c r="D11" s="278">
        <f>'输出表-首页用表'!D11</f>
        <v>158.93886966551327</v>
      </c>
      <c r="E11" s="278">
        <f ca="1">'输出表-首页用表'!E11</f>
        <v>23.846241184477211</v>
      </c>
      <c r="F11" s="278">
        <f ca="1">'输出表-首页用表'!F11</f>
        <v>20.887794488868764</v>
      </c>
      <c r="G11" s="278">
        <f ca="1">'输出表-首页用表'!G11</f>
        <v>21.727195208922918</v>
      </c>
    </row>
    <row r="12" spans="2:7">
      <c r="B12" s="25" t="s">
        <v>82</v>
      </c>
      <c r="C12" s="278">
        <f>'输出表-首页用表'!C12</f>
        <v>4.9647474733535129</v>
      </c>
      <c r="D12" s="278">
        <f>'输出表-首页用表'!D12</f>
        <v>4.8072441079677493</v>
      </c>
      <c r="E12" s="278">
        <f ca="1">'输出表-首页用表'!E12</f>
        <v>4.0233648772676114</v>
      </c>
      <c r="F12" s="278">
        <f ca="1">'输出表-首页用表'!F12</f>
        <v>3.380995125886864</v>
      </c>
      <c r="G12" s="278">
        <f ca="1">'输出表-首页用表'!G12</f>
        <v>2.9303275233115231</v>
      </c>
    </row>
    <row r="13" spans="2:7">
      <c r="B13" s="25" t="s">
        <v>83</v>
      </c>
      <c r="C13" s="278">
        <f>'输出表-首页用表'!C13</f>
        <v>14.206032567810615</v>
      </c>
      <c r="D13" s="278">
        <f>'输出表-首页用表'!D13</f>
        <v>12.622780965845841</v>
      </c>
      <c r="E13" s="278">
        <f>'输出表-首页用表'!E13</f>
        <v>7.2033974188705594</v>
      </c>
      <c r="F13" s="278">
        <f>'输出表-首页用表'!F13</f>
        <v>5.649385801575102</v>
      </c>
      <c r="G13" s="278">
        <f>'输出表-首页用表'!G13</f>
        <v>4.7774264528060293</v>
      </c>
    </row>
    <row r="14" spans="2:7">
      <c r="B14" s="25" t="s">
        <v>84</v>
      </c>
      <c r="C14" s="278">
        <f>'输出表-首页用表'!C14</f>
        <v>113.29725819155735</v>
      </c>
      <c r="D14" s="278">
        <f>'输出表-首页用表'!D14</f>
        <v>120.83313407040932</v>
      </c>
      <c r="E14" s="278">
        <f ca="1">'输出表-首页用表'!E14</f>
        <v>22.014455434580363</v>
      </c>
      <c r="F14" s="278">
        <f ca="1">'输出表-首页用表'!F14</f>
        <v>18.951601056162868</v>
      </c>
      <c r="G14" s="278">
        <f ca="1">'输出表-首页用表'!G14</f>
        <v>19.850601744630726</v>
      </c>
    </row>
    <row r="15" spans="2:7">
      <c r="B15" s="280" t="s">
        <v>85</v>
      </c>
      <c r="C15" s="275"/>
      <c r="D15" s="275"/>
      <c r="E15" s="275"/>
      <c r="F15" s="275"/>
      <c r="G15" s="275"/>
    </row>
    <row r="16" spans="2:7">
      <c r="B16" s="43" t="s">
        <v>86</v>
      </c>
      <c r="C16" s="276">
        <f>'输出表-利润表'!C3</f>
        <v>4212.6258813499999</v>
      </c>
      <c r="D16" s="276">
        <f>'输出表-利润表'!D3</f>
        <v>4741.0075979599997</v>
      </c>
      <c r="E16" s="276">
        <f>'输出表-利润表'!E3</f>
        <v>8307.8437835022596</v>
      </c>
      <c r="F16" s="276">
        <f>'输出表-利润表'!F3</f>
        <v>10593.133938520314</v>
      </c>
      <c r="G16" s="276">
        <f>'输出表-利润表'!G3</f>
        <v>12526.556098275489</v>
      </c>
    </row>
    <row r="17" spans="2:7">
      <c r="B17" s="41" t="s">
        <v>87</v>
      </c>
      <c r="C17" s="276">
        <f>'输出表-利润表'!C4</f>
        <v>2665.3621688099997</v>
      </c>
      <c r="D17" s="276">
        <f>'输出表-利润表'!D4</f>
        <v>3124.9661347399997</v>
      </c>
      <c r="E17" s="276">
        <f>'输出表-利润表'!E4</f>
        <v>4182.2389725381145</v>
      </c>
      <c r="F17" s="276">
        <f>'输出表-利润表'!F4</f>
        <v>5655.3782629087054</v>
      </c>
      <c r="G17" s="276">
        <f>'输出表-利润表'!G4</f>
        <v>7397.5763305155151</v>
      </c>
    </row>
    <row r="18" spans="2:7">
      <c r="B18" s="41" t="s">
        <v>88</v>
      </c>
      <c r="C18" s="281">
        <f>'输出表-利润表'!C5</f>
        <v>0.36729198274881125</v>
      </c>
      <c r="D18" s="281">
        <f>'输出表-利润表'!D5</f>
        <v>0.34086455881559097</v>
      </c>
      <c r="E18" s="281">
        <f>'输出表-利润表'!E5</f>
        <v>0.49659152464527356</v>
      </c>
      <c r="F18" s="281">
        <f>'输出表-利润表'!F5</f>
        <v>0.466127937612137</v>
      </c>
      <c r="G18" s="281">
        <f>'输出表-利润表'!G5</f>
        <v>0.40944851302474683</v>
      </c>
    </row>
    <row r="19" spans="2:7">
      <c r="B19" s="41" t="s">
        <v>89</v>
      </c>
      <c r="C19" s="276">
        <f>'输出表-利润表'!C6</f>
        <v>8.6082333900000005</v>
      </c>
      <c r="D19" s="276">
        <f>'输出表-利润表'!D6</f>
        <v>13.12712582</v>
      </c>
      <c r="E19" s="276">
        <f>'输出表-利润表'!E6</f>
        <v>19.482823461630471</v>
      </c>
      <c r="F19" s="276">
        <f>'输出表-利润表'!F6</f>
        <v>25.273083547301191</v>
      </c>
      <c r="G19" s="276">
        <f>'输出表-利润表'!G6</f>
        <v>31.315378545374799</v>
      </c>
    </row>
    <row r="20" spans="2:7">
      <c r="B20" s="41" t="s">
        <v>90</v>
      </c>
      <c r="C20" s="276">
        <f>'输出表-利润表'!C7</f>
        <v>294.59830669000002</v>
      </c>
      <c r="D20" s="276">
        <f>'输出表-利润表'!D7</f>
        <v>319.83369893999998</v>
      </c>
      <c r="E20" s="276">
        <f>'输出表-利润表'!E7</f>
        <v>383.80043872799996</v>
      </c>
      <c r="F20" s="276">
        <f>'输出表-利润表'!F7</f>
        <v>452.88451769903992</v>
      </c>
      <c r="G20" s="276">
        <f>'输出表-利润表'!G7</f>
        <v>525.34604053088628</v>
      </c>
    </row>
    <row r="21" spans="2:7">
      <c r="B21" s="41" t="s">
        <v>91</v>
      </c>
      <c r="C21" s="281">
        <f>'输出表-利润表'!C8</f>
        <v>6.9932226356543087E-2</v>
      </c>
      <c r="D21" s="281">
        <f>'输出表-利润表'!D8</f>
        <v>6.7461123470382259E-2</v>
      </c>
      <c r="E21" s="281">
        <f>'输出表-利润表'!E8</f>
        <v>4.6197358632350791E-2</v>
      </c>
      <c r="F21" s="281">
        <f>'输出表-利润表'!F8</f>
        <v>4.275264717008765E-2</v>
      </c>
      <c r="G21" s="281">
        <f>'输出表-利润表'!G8</f>
        <v>4.1938585227204617E-2</v>
      </c>
    </row>
    <row r="22" spans="2:7">
      <c r="B22" s="41" t="s">
        <v>92</v>
      </c>
      <c r="C22" s="276">
        <f>'输出表-利润表'!C9</f>
        <v>215.16816004</v>
      </c>
      <c r="D22" s="276">
        <f>'输出表-利润表'!D9</f>
        <v>268.14404784999999</v>
      </c>
      <c r="E22" s="276">
        <f>'输出表-利润表'!E9</f>
        <v>321.77285741999998</v>
      </c>
      <c r="F22" s="276">
        <f>'输出表-利润表'!F9</f>
        <v>379.69197175559998</v>
      </c>
      <c r="G22" s="276">
        <f>'输出表-利润表'!G9</f>
        <v>440.44268723649594</v>
      </c>
    </row>
    <row r="23" spans="2:7">
      <c r="B23" s="41" t="s">
        <v>93</v>
      </c>
      <c r="C23" s="281">
        <f>'输出表-利润表'!C10</f>
        <v>5.1076968641479766E-2</v>
      </c>
      <c r="D23" s="281">
        <f>'输出表-利润表'!D10</f>
        <v>5.6558451407118446E-2</v>
      </c>
      <c r="E23" s="281">
        <f>'输出表-利润表'!E10</f>
        <v>3.8731211828871584E-2</v>
      </c>
      <c r="F23" s="281">
        <f>'输出表-利润表'!F10</f>
        <v>3.5843214478286554E-2</v>
      </c>
      <c r="G23" s="281">
        <f>'输出表-利润表'!G10</f>
        <v>3.5160716463572217E-2</v>
      </c>
    </row>
    <row r="24" spans="2:7">
      <c r="B24" s="41" t="s">
        <v>94</v>
      </c>
      <c r="C24" s="276">
        <f>'输出表-利润表'!C11</f>
        <v>-74.7514745</v>
      </c>
      <c r="D24" s="276">
        <f>'输出表-利润表'!D11</f>
        <v>-103.89029765000001</v>
      </c>
      <c r="E24" s="276">
        <f ca="1">'输出表-利润表'!E11</f>
        <v>-86.408107227553955</v>
      </c>
      <c r="F24" s="276">
        <f ca="1">'输出表-利润表'!F11</f>
        <v>-93.430081083268988</v>
      </c>
      <c r="G24" s="276">
        <f ca="1">'输出表-利润表'!G11</f>
        <v>-116.31471281255079</v>
      </c>
    </row>
    <row r="25" spans="2:7">
      <c r="B25" s="41" t="s">
        <v>95</v>
      </c>
      <c r="C25" s="281">
        <f>'输出表-利润表'!C12</f>
        <v>-1.7744626891967145E-2</v>
      </c>
      <c r="D25" s="281">
        <f>'输出表-利润表'!D12</f>
        <v>-2.191312616640876E-2</v>
      </c>
      <c r="E25" s="281">
        <f ca="1">'输出表-利润表'!E12</f>
        <v>-1.0400786230374652E-2</v>
      </c>
      <c r="F25" s="281">
        <f ca="1">'输出表-利润表'!F12</f>
        <v>-8.8198715909297409E-3</v>
      </c>
      <c r="G25" s="281">
        <f ca="1">'输出表-利润表'!G12</f>
        <v>-9.2854501987632218E-3</v>
      </c>
    </row>
    <row r="26" spans="2:7">
      <c r="B26" s="41" t="s">
        <v>96</v>
      </c>
      <c r="C26" s="276">
        <f>'输出表-利润表'!C13</f>
        <v>681.33896140000002</v>
      </c>
      <c r="D26" s="276">
        <f>'输出表-利润表'!D13</f>
        <v>712.02656216999992</v>
      </c>
      <c r="E26" s="276">
        <f>'输出表-利润表'!E13</f>
        <v>854.43187460399986</v>
      </c>
      <c r="F26" s="276">
        <f>'输出表-利润表'!F13</f>
        <v>1025.3182495247997</v>
      </c>
      <c r="G26" s="276">
        <f>'输出表-利润表'!G13</f>
        <v>1230.3818994297596</v>
      </c>
    </row>
    <row r="27" spans="2:7">
      <c r="B27" s="41" t="s">
        <v>97</v>
      </c>
      <c r="C27" s="281">
        <f>'输出表-利润表'!C14</f>
        <v>0.16173735351539326</v>
      </c>
      <c r="D27" s="281">
        <f>'输出表-利润表'!D14</f>
        <v>0.15018464903460113</v>
      </c>
      <c r="E27" s="281">
        <f>'输出表-利润表'!E14</f>
        <v>0.10284640598331099</v>
      </c>
      <c r="F27" s="281">
        <f>'输出表-利润表'!F14</f>
        <v>9.6790832200883109E-2</v>
      </c>
      <c r="G27" s="281">
        <f>'输出表-利润表'!G14</f>
        <v>9.8221880760917549E-2</v>
      </c>
    </row>
    <row r="28" spans="2:7">
      <c r="B28" s="41" t="s">
        <v>98</v>
      </c>
      <c r="C28" s="276">
        <f>'输出表-利润表'!C15</f>
        <v>25.237234609999998</v>
      </c>
      <c r="D28" s="276">
        <f>'输出表-利润表'!D15</f>
        <v>33.204846250000003</v>
      </c>
      <c r="E28" s="276">
        <f>'输出表-利润表'!E15</f>
        <v>26.542433823333329</v>
      </c>
      <c r="F28" s="276">
        <f>'输出表-利润表'!F15</f>
        <v>28.328171561111109</v>
      </c>
      <c r="G28" s="276">
        <f>'输出表-利润表'!G15</f>
        <v>29.358483878148146</v>
      </c>
    </row>
    <row r="29" spans="2:7">
      <c r="B29" s="41" t="s">
        <v>99</v>
      </c>
      <c r="C29" s="276">
        <f>'输出表-利润表'!C16</f>
        <v>528.28387586999986</v>
      </c>
      <c r="D29" s="276">
        <f>'输出表-利润表'!D16</f>
        <v>495.33693836000043</v>
      </c>
      <c r="E29" s="276">
        <f ca="1">'输出表-利润表'!E16</f>
        <v>2718.8096866962505</v>
      </c>
      <c r="F29" s="276">
        <f ca="1">'输出表-利润表'!F16</f>
        <v>3158.2088766804418</v>
      </c>
      <c r="G29" s="276">
        <f ca="1">'输出表-利润表'!G16</f>
        <v>3015.1788571885145</v>
      </c>
    </row>
    <row r="30" spans="2:7">
      <c r="B30" s="43" t="s">
        <v>100</v>
      </c>
      <c r="C30" s="276">
        <f>'输出表-利润表'!C17</f>
        <v>408.52661777999981</v>
      </c>
      <c r="D30" s="276">
        <f>'输出表-利润表'!D17</f>
        <v>414.51116393000041</v>
      </c>
      <c r="E30" s="276">
        <f ca="1">'输出表-利润表'!E17</f>
        <v>2701.0217502695727</v>
      </c>
      <c r="F30" s="276">
        <f ca="1">'输出表-利润表'!F17</f>
        <v>3146.2300678047923</v>
      </c>
      <c r="G30" s="276">
        <f ca="1">'输出表-利润表'!G17</f>
        <v>3005.9587886708068</v>
      </c>
    </row>
    <row r="31" spans="2:7">
      <c r="B31" s="43" t="s">
        <v>101</v>
      </c>
      <c r="C31" s="276">
        <f>'输出表-利润表'!C18</f>
        <v>9.6976714592343832E-2</v>
      </c>
      <c r="D31" s="276">
        <f>'输出表-利润表'!D18</f>
        <v>8.7431027131945477E-2</v>
      </c>
      <c r="E31" s="276">
        <f ca="1">'输出表-利润表'!E18</f>
        <v>0.32511706053419898</v>
      </c>
      <c r="F31" s="276">
        <f ca="1">'输出表-利润表'!F18</f>
        <v>0.29700654084661454</v>
      </c>
      <c r="G31" s="276">
        <f ca="1">'输出表-利润表'!G18</f>
        <v>0.23996689633510943</v>
      </c>
    </row>
    <row r="32" spans="2:7">
      <c r="B32" s="41" t="s">
        <v>102</v>
      </c>
      <c r="C32" s="276">
        <f>'输出表-利润表'!C19</f>
        <v>3.0506707099999999</v>
      </c>
      <c r="D32" s="276">
        <f>'输出表-利润表'!D19</f>
        <v>1.1196703100000001</v>
      </c>
      <c r="E32" s="276">
        <f>'输出表-利润表'!E19</f>
        <v>1.7702863033333334</v>
      </c>
      <c r="F32" s="276">
        <f>'输出表-利润表'!F19</f>
        <v>1.9802091077777779</v>
      </c>
      <c r="G32" s="276">
        <f>'输出表-利润表'!G19</f>
        <v>1.6233885737037037</v>
      </c>
    </row>
    <row r="33" spans="2:7">
      <c r="B33" s="41" t="s">
        <v>103</v>
      </c>
      <c r="C33" s="276">
        <f>'输出表-利润表'!C20</f>
        <v>1.6124723000000001</v>
      </c>
      <c r="D33" s="276">
        <f>'输出表-利润表'!D20</f>
        <v>1.9513033899999999</v>
      </c>
      <c r="E33" s="276">
        <f>'输出表-利润表'!E20</f>
        <v>1.3361453666666667</v>
      </c>
      <c r="F33" s="276">
        <f>'输出表-利润表'!F20</f>
        <v>1.633307018888889</v>
      </c>
      <c r="G33" s="276">
        <f>'输出表-利润表'!G20</f>
        <v>1.6402519251851853</v>
      </c>
    </row>
    <row r="34" spans="2:7">
      <c r="B34" s="43" t="s">
        <v>104</v>
      </c>
      <c r="C34" s="276">
        <f>'输出表-利润表'!C21</f>
        <v>409.96481618999985</v>
      </c>
      <c r="D34" s="276">
        <f>'输出表-利润表'!D21</f>
        <v>413.67953085000039</v>
      </c>
      <c r="E34" s="276">
        <f ca="1">'输出表-利润表'!E21</f>
        <v>2701.4558912062394</v>
      </c>
      <c r="F34" s="276">
        <f ca="1">'输出表-利润表'!F21</f>
        <v>3146.5769698936811</v>
      </c>
      <c r="G34" s="276">
        <f ca="1">'输出表-利润表'!G21</f>
        <v>3005.9419253193255</v>
      </c>
    </row>
    <row r="35" spans="2:7">
      <c r="B35" s="41" t="s">
        <v>105</v>
      </c>
      <c r="C35" s="276">
        <f>'输出表-利润表'!C22</f>
        <v>45.767036439999998</v>
      </c>
      <c r="D35" s="276">
        <f>'输出表-利润表'!D22</f>
        <v>38.348772150000002</v>
      </c>
      <c r="E35" s="276">
        <f ca="1">'输出表-利润表'!E22</f>
        <v>232.69480182523296</v>
      </c>
      <c r="F35" s="276">
        <f ca="1">'输出表-利润表'!F22</f>
        <v>304.66726726784935</v>
      </c>
      <c r="G35" s="276">
        <f ca="1">'输出表-利润表'!G22</f>
        <v>276.20943156882373</v>
      </c>
    </row>
    <row r="36" spans="2:7">
      <c r="B36" s="41" t="s">
        <v>106</v>
      </c>
      <c r="C36" s="281">
        <f>'输出表-利润表'!C23</f>
        <v>0.11163649813985277</v>
      </c>
      <c r="D36" s="281">
        <f>'输出表-利润表'!D23</f>
        <v>9.2701642914754731E-2</v>
      </c>
      <c r="E36" s="281">
        <f ca="1">'输出表-利润表'!E23</f>
        <v>8.6136813331914641E-2</v>
      </c>
      <c r="F36" s="281">
        <f ca="1">'输出表-利润表'!F23</f>
        <v>9.6824984795507385E-2</v>
      </c>
      <c r="G36" s="281">
        <f ca="1">'输出表-利润表'!G23</f>
        <v>9.1887813680725586E-2</v>
      </c>
    </row>
    <row r="37" spans="2:7">
      <c r="B37" s="41" t="s">
        <v>107</v>
      </c>
      <c r="C37" s="276">
        <f>'输出表-利润表'!C24</f>
        <v>-2.00431699</v>
      </c>
      <c r="D37" s="276">
        <f>'输出表-利润表'!D24</f>
        <v>-0.89526435999999998</v>
      </c>
      <c r="E37" s="276">
        <f ca="1">'输出表-利润表'!E24</f>
        <v>-40.846190168615124</v>
      </c>
      <c r="F37" s="276">
        <f ca="1">'输出表-利润表'!F24</f>
        <v>-23.146275321079351</v>
      </c>
      <c r="G37" s="276">
        <f ca="1">'输出表-利润表'!G24</f>
        <v>-24.635932132789662</v>
      </c>
    </row>
    <row r="38" spans="2:7">
      <c r="B38" s="43" t="s">
        <v>108</v>
      </c>
      <c r="C38" s="276">
        <f>'输出表-利润表'!C25</f>
        <v>366.20209673999989</v>
      </c>
      <c r="D38" s="276">
        <f>'输出表-利润表'!D25</f>
        <v>376.22602306000039</v>
      </c>
      <c r="E38" s="276">
        <f ca="1">'输出表-利润表'!E25</f>
        <v>2509.6072795496216</v>
      </c>
      <c r="F38" s="276">
        <f ca="1">'输出表-利润表'!F25</f>
        <v>2865.0559779469113</v>
      </c>
      <c r="G38" s="276">
        <f ca="1">'输出表-利润表'!G25</f>
        <v>2754.3684258832914</v>
      </c>
    </row>
    <row r="39" spans="2:7">
      <c r="B39" s="41" t="s">
        <v>109</v>
      </c>
      <c r="C39" s="278">
        <f>'输出表-利润表'!C26</f>
        <v>8.6929650781769605E-2</v>
      </c>
      <c r="D39" s="278">
        <f>'输出表-利润表'!D26</f>
        <v>7.9355709790865148E-2</v>
      </c>
      <c r="E39" s="278">
        <f ca="1">'输出表-利润表'!E26</f>
        <v>0.30207684989614358</v>
      </c>
      <c r="F39" s="278">
        <f ca="1">'输出表-利润表'!F26</f>
        <v>0.27046349027350375</v>
      </c>
      <c r="G39" s="278">
        <f ca="1">'输出表-利润表'!G26</f>
        <v>0.21988233671523499</v>
      </c>
    </row>
    <row r="40" spans="2:7">
      <c r="B40" s="274" t="s">
        <v>110</v>
      </c>
      <c r="C40" s="275"/>
      <c r="D40" s="275"/>
      <c r="E40" s="275"/>
      <c r="F40" s="275"/>
      <c r="G40" s="275"/>
    </row>
    <row r="41" spans="2:7">
      <c r="B41" s="25" t="s">
        <v>111</v>
      </c>
      <c r="C41" s="282">
        <f>'输出表-资产负债表'!C3</f>
        <v>3716.6476340500003</v>
      </c>
      <c r="D41" s="282">
        <f>'输出表-资产负债表'!D3</f>
        <v>4091.6442333</v>
      </c>
      <c r="E41" s="282">
        <f ca="1">'输出表-资产负债表'!E3</f>
        <v>7233.5472004936573</v>
      </c>
      <c r="F41" s="282">
        <f ca="1">'输出表-资产负债表'!F3</f>
        <v>9237.1611718196982</v>
      </c>
      <c r="G41" s="282">
        <f ca="1">'输出表-资产负债表'!G3</f>
        <v>10880.218522936822</v>
      </c>
    </row>
    <row r="42" spans="2:7">
      <c r="B42" s="25" t="s">
        <v>112</v>
      </c>
      <c r="C42" s="282">
        <f>'输出表-资产负债表'!C4</f>
        <v>2672.0205025</v>
      </c>
      <c r="D42" s="282">
        <f>'输出表-资产负债表'!D4</f>
        <v>2974.6471224800002</v>
      </c>
      <c r="E42" s="282">
        <f>'输出表-资产负债表'!E4</f>
        <v>3145.0437073486623</v>
      </c>
      <c r="F42" s="282">
        <f>'输出表-资产负债表'!F4</f>
        <v>4252.8444537073474</v>
      </c>
      <c r="G42" s="282">
        <f>'输出表-资产负债表'!G4</f>
        <v>5562.9774005476684</v>
      </c>
    </row>
    <row r="43" spans="2:7">
      <c r="B43" s="25" t="s">
        <v>113</v>
      </c>
      <c r="C43" s="282">
        <f>'输出表-资产负债表'!C5</f>
        <v>388.72856144000002</v>
      </c>
      <c r="D43" s="282">
        <f>'输出表-资产负债表'!D5</f>
        <v>466.53246032999999</v>
      </c>
      <c r="E43" s="282">
        <f>'输出表-资产负债表'!E5</f>
        <v>774.57337006420619</v>
      </c>
      <c r="F43" s="282">
        <f>'输出表-资产负债表'!F5</f>
        <v>1002.5153220471476</v>
      </c>
      <c r="G43" s="282">
        <f>'输出表-资产负债表'!G5</f>
        <v>1195.3501793154217</v>
      </c>
    </row>
    <row r="44" spans="2:7">
      <c r="B44" s="25" t="s">
        <v>114</v>
      </c>
      <c r="C44" s="282">
        <f>'输出表-资产负债表'!C6</f>
        <v>1271.0587929599997</v>
      </c>
      <c r="D44" s="282">
        <f>'输出表-资产负债表'!D6</f>
        <v>1160.5333915899992</v>
      </c>
      <c r="E44" s="282">
        <f ca="1">'输出表-资产负债表'!E6</f>
        <v>1516.266430296173</v>
      </c>
      <c r="F44" s="282">
        <f ca="1">'输出表-资产负债表'!F6</f>
        <v>1625.1699925139255</v>
      </c>
      <c r="G44" s="282">
        <f ca="1">'输出表-资产负债表'!G6</f>
        <v>1657.7298281298426</v>
      </c>
    </row>
    <row r="45" spans="2:7">
      <c r="B45" s="25" t="s">
        <v>115</v>
      </c>
      <c r="C45" s="282">
        <f>'输出表-资产负债表'!C7</f>
        <v>8048.4554909500002</v>
      </c>
      <c r="D45" s="282">
        <f>'输出表-资产负债表'!D7</f>
        <v>8693.357207699999</v>
      </c>
      <c r="E45" s="282">
        <f ca="1">'输出表-资产负债表'!E7</f>
        <v>12669.430708202699</v>
      </c>
      <c r="F45" s="282">
        <f ca="1">'输出表-资产负债表'!F7</f>
        <v>16117.69094008812</v>
      </c>
      <c r="G45" s="282">
        <f ca="1">'输出表-资产负债表'!G7</f>
        <v>19296.275930929754</v>
      </c>
    </row>
    <row r="46" spans="2:7">
      <c r="B46" s="25" t="s">
        <v>116</v>
      </c>
      <c r="C46" s="282">
        <f>'输出表-资产负债表'!C8</f>
        <v>467.43574782000002</v>
      </c>
      <c r="D46" s="282">
        <f>'输出表-资产负债表'!D8</f>
        <v>462.27065841000001</v>
      </c>
      <c r="E46" s="282">
        <f>'输出表-资产负债表'!E8</f>
        <v>599.35494586105006</v>
      </c>
      <c r="F46" s="282">
        <f>'输出表-资产负债表'!F8</f>
        <v>717.43923331209999</v>
      </c>
      <c r="G46" s="282">
        <f>'输出表-资产负债表'!G8</f>
        <v>816.52352076314992</v>
      </c>
    </row>
    <row r="47" spans="2:7">
      <c r="B47" s="25" t="s">
        <v>117</v>
      </c>
      <c r="C47" s="282">
        <f>'输出表-资产负债表'!C9</f>
        <v>0.58587464</v>
      </c>
      <c r="D47" s="282">
        <f>'输出表-资产负债表'!D9</f>
        <v>0.84342956999999996</v>
      </c>
      <c r="E47" s="282">
        <f>'输出表-资产负债表'!E9</f>
        <v>0.84342956999999996</v>
      </c>
      <c r="F47" s="282">
        <f>'输出表-资产负债表'!F9</f>
        <v>0.84342956999999996</v>
      </c>
      <c r="G47" s="282">
        <f>'输出表-资产负债表'!G9</f>
        <v>0.84342956999999996</v>
      </c>
    </row>
    <row r="48" spans="2:7">
      <c r="B48" s="25" t="s">
        <v>118</v>
      </c>
      <c r="C48" s="282">
        <f>'输出表-资产负债表'!C10</f>
        <v>554.23945508999998</v>
      </c>
      <c r="D48" s="282">
        <f>'输出表-资产负债表'!D10</f>
        <v>467.16110524999999</v>
      </c>
      <c r="E48" s="282">
        <f>'输出表-资产负债表'!E10</f>
        <v>467.16110524999999</v>
      </c>
      <c r="F48" s="282">
        <f>'输出表-资产负债表'!F10</f>
        <v>467.16110524999999</v>
      </c>
      <c r="G48" s="282">
        <f>'输出表-资产负债表'!G10</f>
        <v>467.16110524999999</v>
      </c>
    </row>
    <row r="49" spans="2:7">
      <c r="B49" s="25" t="s">
        <v>119</v>
      </c>
      <c r="C49" s="282">
        <f>'输出表-资产负债表'!C11</f>
        <v>3856.2285317700007</v>
      </c>
      <c r="D49" s="282">
        <f>'输出表-资产负债表'!D11</f>
        <v>3949.572892539999</v>
      </c>
      <c r="E49" s="282">
        <f>'输出表-资产负债表'!E11</f>
        <v>4057.0897759533323</v>
      </c>
      <c r="F49" s="282">
        <f>'输出表-资产负债表'!F11</f>
        <v>4166.3802348577774</v>
      </c>
      <c r="G49" s="282">
        <f>'输出表-资产负债表'!G11</f>
        <v>4272.1974612570375</v>
      </c>
    </row>
    <row r="50" spans="2:7">
      <c r="B50" s="25" t="s">
        <v>120</v>
      </c>
      <c r="C50" s="282">
        <f>'输出表-资产负债表'!C12</f>
        <v>4878.4896093200005</v>
      </c>
      <c r="D50" s="282">
        <f>'输出表-资产负债表'!D12</f>
        <v>4879.8480857699988</v>
      </c>
      <c r="E50" s="282">
        <f>'输出表-资产负债表'!E12</f>
        <v>5124.4492566343824</v>
      </c>
      <c r="F50" s="282">
        <f>'输出表-资产负债表'!F12</f>
        <v>5351.824002989878</v>
      </c>
      <c r="G50" s="282">
        <f>'输出表-资产负债表'!G12</f>
        <v>5556.7255168401871</v>
      </c>
    </row>
    <row r="51" spans="2:7">
      <c r="B51" s="283" t="s">
        <v>121</v>
      </c>
      <c r="C51" s="282">
        <f>'输出表-资产负债表'!C13</f>
        <v>12926.945100270001</v>
      </c>
      <c r="D51" s="282">
        <f>'输出表-资产负债表'!D13</f>
        <v>13573.205293469997</v>
      </c>
      <c r="E51" s="282">
        <f ca="1">'输出表-资产负债表'!E13</f>
        <v>17793.87996483708</v>
      </c>
      <c r="F51" s="282">
        <f ca="1">'输出表-资产负债表'!F13</f>
        <v>21469.514943077997</v>
      </c>
      <c r="G51" s="282">
        <f ca="1">'输出表-资产负债表'!G13</f>
        <v>24853.001447769941</v>
      </c>
    </row>
    <row r="52" spans="2:7">
      <c r="B52" s="25" t="s">
        <v>122</v>
      </c>
      <c r="C52" s="282">
        <f>'输出表-资产负债表'!C14</f>
        <v>0</v>
      </c>
      <c r="D52" s="282">
        <f>'输出表-资产负债表'!D14</f>
        <v>0</v>
      </c>
      <c r="E52" s="282">
        <f ca="1">'输出表-资产负债表'!E14</f>
        <v>1659.5216758337519</v>
      </c>
      <c r="F52" s="282">
        <f ca="1">'输出表-资产负债表'!F14</f>
        <v>2155.596194260941</v>
      </c>
      <c r="G52" s="282">
        <f ca="1">'输出表-资产负债表'!G14</f>
        <v>2408.5978852943172</v>
      </c>
    </row>
    <row r="53" spans="2:7">
      <c r="B53" s="25" t="s">
        <v>123</v>
      </c>
      <c r="C53" s="282">
        <f>'输出表-资产负债表'!C15</f>
        <v>433.74422769</v>
      </c>
      <c r="D53" s="282">
        <f>'输出表-资产负债表'!D15</f>
        <v>599.03346753999995</v>
      </c>
      <c r="E53" s="282">
        <f>'输出表-资产负债表'!E15</f>
        <v>700.79790912156454</v>
      </c>
      <c r="F53" s="282">
        <f>'输出表-资产负债表'!F15</f>
        <v>984.02022237316396</v>
      </c>
      <c r="G53" s="282">
        <f>'输出表-资产负债表'!G15</f>
        <v>1314.9322050533181</v>
      </c>
    </row>
    <row r="54" spans="2:7">
      <c r="B54" s="25" t="s">
        <v>124</v>
      </c>
      <c r="C54" s="282">
        <f>'输出表-资产负债表'!C16</f>
        <v>304.36568013999999</v>
      </c>
      <c r="D54" s="282">
        <f>'输出表-资产负债表'!D16</f>
        <v>400.94405887000005</v>
      </c>
      <c r="E54" s="282">
        <f ca="1">'输出表-资产负债表'!E16</f>
        <v>475.74593158076141</v>
      </c>
      <c r="F54" s="282">
        <f ca="1">'输出表-资产负债表'!F16</f>
        <v>569.20004790038593</v>
      </c>
      <c r="G54" s="282">
        <f ca="1">'输出表-资产负债表'!G16</f>
        <v>671.20067618274152</v>
      </c>
    </row>
    <row r="55" spans="2:7">
      <c r="B55" s="25" t="s">
        <v>125</v>
      </c>
      <c r="C55" s="282">
        <f>'输出表-资产负债表'!C17</f>
        <v>738.10990783</v>
      </c>
      <c r="D55" s="282">
        <f>'输出表-资产负债表'!D17</f>
        <v>999.97752641</v>
      </c>
      <c r="E55" s="282">
        <f ca="1">'输出表-资产负债表'!E17</f>
        <v>2836.0655165360781</v>
      </c>
      <c r="F55" s="282">
        <f ca="1">'输出表-资产负债表'!F17</f>
        <v>3708.8164645344909</v>
      </c>
      <c r="G55" s="282">
        <f ca="1">'输出表-资产负债表'!G17</f>
        <v>4394.730766530377</v>
      </c>
    </row>
    <row r="56" spans="2:7">
      <c r="B56" s="25" t="s">
        <v>126</v>
      </c>
      <c r="C56" s="282">
        <f>'输出表-资产负债表'!C18</f>
        <v>0</v>
      </c>
      <c r="D56" s="282">
        <f>'输出表-资产负债表'!D18</f>
        <v>0</v>
      </c>
      <c r="E56" s="282">
        <f>'输出表-资产负债表'!E18</f>
        <v>0</v>
      </c>
      <c r="F56" s="282">
        <f>'输出表-资产负债表'!F18</f>
        <v>0</v>
      </c>
      <c r="G56" s="282">
        <f>'输出表-资产负债表'!G18</f>
        <v>0</v>
      </c>
    </row>
    <row r="57" spans="2:7">
      <c r="B57" s="25" t="s">
        <v>127</v>
      </c>
      <c r="C57" s="282">
        <f>'输出表-资产负债表'!C19</f>
        <v>105.92149437</v>
      </c>
      <c r="D57" s="282">
        <f>'输出表-资产负债表'!D19</f>
        <v>84.311683509999995</v>
      </c>
      <c r="E57" s="282">
        <f>'输出表-资产负债表'!E19</f>
        <v>84.311683509999995</v>
      </c>
      <c r="F57" s="282">
        <f>'输出表-资产负债表'!F19</f>
        <v>84.311683509999995</v>
      </c>
      <c r="G57" s="282">
        <f>'输出表-资产负债表'!G19</f>
        <v>84.311683509999995</v>
      </c>
    </row>
    <row r="58" spans="2:7">
      <c r="B58" s="25" t="s">
        <v>128</v>
      </c>
      <c r="C58" s="282">
        <f>'输出表-资产负债表'!C20</f>
        <v>105.92149437</v>
      </c>
      <c r="D58" s="282">
        <f>'输出表-资产负债表'!D20</f>
        <v>84.311683509999995</v>
      </c>
      <c r="E58" s="282">
        <f>'输出表-资产负债表'!E20</f>
        <v>84.311683509999995</v>
      </c>
      <c r="F58" s="282">
        <f>'输出表-资产负债表'!F20</f>
        <v>84.311683509999995</v>
      </c>
      <c r="G58" s="282">
        <f>'输出表-资产负债表'!G20</f>
        <v>84.311683509999995</v>
      </c>
    </row>
    <row r="59" spans="2:7">
      <c r="B59" s="283" t="s">
        <v>129</v>
      </c>
      <c r="C59" s="282">
        <f>'输出表-资产负债表'!C21</f>
        <v>844.0314022</v>
      </c>
      <c r="D59" s="282">
        <f>'输出表-资产负债表'!D21</f>
        <v>1084.2892099200001</v>
      </c>
      <c r="E59" s="282">
        <f ca="1">'输出表-资产负债表'!E21</f>
        <v>2920.3772000460781</v>
      </c>
      <c r="F59" s="282">
        <f ca="1">'输出表-资产负债表'!F21</f>
        <v>3793.1281480444909</v>
      </c>
      <c r="G59" s="282">
        <f ca="1">'输出表-资产负债表'!G21</f>
        <v>4479.0424500403769</v>
      </c>
    </row>
    <row r="60" spans="2:7">
      <c r="B60" s="25" t="s">
        <v>130</v>
      </c>
      <c r="C60" s="282">
        <f>'输出表-资产负债表'!C22</f>
        <v>481.56991099999999</v>
      </c>
      <c r="D60" s="282">
        <f>'输出表-资产负债表'!D22</f>
        <v>482.54072300000001</v>
      </c>
      <c r="E60" s="282">
        <f>'输出表-资产负债表'!E22</f>
        <v>482.54072300000001</v>
      </c>
      <c r="F60" s="282">
        <f>'输出表-资产负债表'!F22</f>
        <v>482.54072300000001</v>
      </c>
      <c r="G60" s="282">
        <f>'输出表-资产负债表'!G22</f>
        <v>482.54072300000001</v>
      </c>
    </row>
    <row r="61" spans="2:7">
      <c r="B61" s="25" t="s">
        <v>131</v>
      </c>
      <c r="C61" s="282">
        <f>'输出表-资产负债表'!C23</f>
        <v>8896.5786341900002</v>
      </c>
      <c r="D61" s="282">
        <f>'输出表-资产负债表'!D23</f>
        <v>9008.2714704200007</v>
      </c>
      <c r="E61" s="282">
        <f>'输出表-资产负债表'!E23</f>
        <v>9008.2714704200007</v>
      </c>
      <c r="F61" s="282">
        <f>'输出表-资产负债表'!F23</f>
        <v>9008.2714704200007</v>
      </c>
      <c r="G61" s="282">
        <f>'输出表-资产负债表'!G23</f>
        <v>9008.2714704200007</v>
      </c>
    </row>
    <row r="62" spans="2:7">
      <c r="B62" s="283" t="s">
        <v>132</v>
      </c>
      <c r="C62" s="282">
        <f>'输出表-资产负债表'!C24</f>
        <v>12053.92636537</v>
      </c>
      <c r="D62" s="282">
        <f>'输出表-资产负债表'!D24</f>
        <v>12448.858248590001</v>
      </c>
      <c r="E62" s="282">
        <f ca="1">'输出表-资产负债表'!E24</f>
        <v>14874.291119999622</v>
      </c>
      <c r="F62" s="282">
        <f ca="1">'输出表-资产负债表'!F24</f>
        <v>17700.321425563197</v>
      </c>
      <c r="G62" s="282">
        <f ca="1">'输出表-资产负债表'!G24</f>
        <v>20422.529560392046</v>
      </c>
    </row>
    <row r="63" spans="2:7">
      <c r="B63" s="25" t="s">
        <v>133</v>
      </c>
      <c r="C63" s="282">
        <f>'输出表-资产负债表'!C25</f>
        <v>28.9873327</v>
      </c>
      <c r="D63" s="282">
        <f>'输出表-资产负债表'!D25</f>
        <v>40.057834960000001</v>
      </c>
      <c r="E63" s="282">
        <f ca="1">'输出表-资产负债表'!E25</f>
        <v>-0.78835520861512265</v>
      </c>
      <c r="F63" s="282">
        <f ca="1">'输出表-资产负债表'!F25</f>
        <v>-23.934630529694473</v>
      </c>
      <c r="G63" s="282">
        <f ca="1">'输出表-资产负债表'!G25</f>
        <v>-48.570562662484136</v>
      </c>
    </row>
    <row r="64" spans="2:7">
      <c r="B64" s="283" t="s">
        <v>134</v>
      </c>
      <c r="C64" s="282">
        <f>'输出表-资产负债表'!C26</f>
        <v>12082.91369807</v>
      </c>
      <c r="D64" s="282">
        <f>'输出表-资产负债表'!D26</f>
        <v>12488.916083550001</v>
      </c>
      <c r="E64" s="282">
        <f ca="1">'输出表-资产负债表'!E26</f>
        <v>14873.502764791006</v>
      </c>
      <c r="F64" s="282">
        <f ca="1">'输出表-资产负债表'!F26</f>
        <v>17676.386795033504</v>
      </c>
      <c r="G64" s="282">
        <f ca="1">'输出表-资产负债表'!G26</f>
        <v>20373.958997729562</v>
      </c>
    </row>
    <row r="65" spans="2:7">
      <c r="B65" s="283" t="s">
        <v>135</v>
      </c>
      <c r="C65" s="282">
        <f>'输出表-资产负债表'!C27</f>
        <v>12926.945100270001</v>
      </c>
      <c r="D65" s="282">
        <f>'输出表-资产负债表'!D27</f>
        <v>13573.20529347</v>
      </c>
      <c r="E65" s="282">
        <f ca="1">'输出表-资产负债表'!E27</f>
        <v>17793.879964837084</v>
      </c>
      <c r="F65" s="282">
        <f ca="1">'输出表-资产负债表'!F27</f>
        <v>21469.514943077997</v>
      </c>
      <c r="G65" s="282">
        <f ca="1">'输出表-资产负债表'!G27</f>
        <v>24853.001447769937</v>
      </c>
    </row>
    <row r="66" spans="2:7">
      <c r="B66" s="284" t="s">
        <v>136</v>
      </c>
      <c r="C66" s="285"/>
      <c r="D66" s="285"/>
      <c r="E66" s="285"/>
      <c r="F66" s="285"/>
      <c r="G66" s="285"/>
    </row>
    <row r="67" spans="2:7">
      <c r="B67" s="25" t="s">
        <v>137</v>
      </c>
      <c r="C67" s="276">
        <f>'输出表-现金流量表'!C3</f>
        <v>364.19777974999988</v>
      </c>
      <c r="D67" s="276">
        <f>'输出表-现金流量表'!D3</f>
        <v>375.33075870000039</v>
      </c>
      <c r="E67" s="276">
        <f ca="1">'输出表-现金流量表'!E3</f>
        <v>2468.7610893810065</v>
      </c>
      <c r="F67" s="276">
        <f ca="1">'输出表-现金流量表'!F3</f>
        <v>2841.9097026258319</v>
      </c>
      <c r="G67" s="276">
        <f ca="1">'输出表-现金流量表'!G3</f>
        <v>2729.7324937505018</v>
      </c>
    </row>
    <row r="68" spans="2:7">
      <c r="B68" s="25" t="s">
        <v>138</v>
      </c>
      <c r="C68" s="276">
        <f>'输出表-现金流量表'!C4</f>
        <v>191.06621719</v>
      </c>
      <c r="D68" s="276">
        <f>'输出表-现金流量表'!D4</f>
        <v>184.65244079999999</v>
      </c>
      <c r="E68" s="276">
        <f>'输出表-现金流量表'!E4</f>
        <v>62.915712548950005</v>
      </c>
      <c r="F68" s="276">
        <f>'输出表-现金流量表'!F4</f>
        <v>81.915712548950012</v>
      </c>
      <c r="G68" s="276">
        <f>'输出表-现金流量表'!G4</f>
        <v>100.91571254895001</v>
      </c>
    </row>
    <row r="69" spans="2:7">
      <c r="B69" s="25" t="s">
        <v>139</v>
      </c>
      <c r="C69" s="276">
        <f>'输出表-现金流量表'!C5</f>
        <v>-301.69008917999997</v>
      </c>
      <c r="D69" s="276">
        <f>'输出表-现金流量表'!D5</f>
        <v>21.204509679999973</v>
      </c>
      <c r="E69" s="276">
        <f>'输出表-现金流量表'!E5</f>
        <v>-654.32808969854705</v>
      </c>
      <c r="F69" s="276">
        <f>'输出表-现金流量表'!F5</f>
        <v>-1138.6805169259414</v>
      </c>
      <c r="G69" s="276">
        <f>'输出表-现金流量表'!G5</f>
        <v>-1186.240536007128</v>
      </c>
    </row>
    <row r="70" spans="2:7">
      <c r="B70" s="25" t="s">
        <v>140</v>
      </c>
      <c r="C70" s="276">
        <f>'输出表-现金流量表'!C6</f>
        <v>109.88102139000011</v>
      </c>
      <c r="D70" s="276">
        <f>'输出表-现金流量表'!D6</f>
        <v>41.415068889999588</v>
      </c>
      <c r="E70" s="276">
        <f ca="1">'输出表-现金流量表'!E6</f>
        <v>-118.81831310905818</v>
      </c>
      <c r="F70" s="276">
        <f ca="1">'输出表-现金流量表'!F6</f>
        <v>-53.659736913258257</v>
      </c>
      <c r="G70" s="276">
        <f ca="1">'输出表-现金流量表'!G6</f>
        <v>-64.623090387794036</v>
      </c>
    </row>
    <row r="71" spans="2:7">
      <c r="B71" s="283" t="s">
        <v>141</v>
      </c>
      <c r="C71" s="276">
        <f>'输出表-现金流量表'!C7</f>
        <v>363.45492915</v>
      </c>
      <c r="D71" s="276">
        <f>'输出表-现金流量表'!D7</f>
        <v>622.60277807</v>
      </c>
      <c r="E71" s="276">
        <f ca="1">'输出表-现金流量表'!E7</f>
        <v>1758.5303991223514</v>
      </c>
      <c r="F71" s="276">
        <f ca="1">'输出表-现金流量表'!F7</f>
        <v>1731.4851613355822</v>
      </c>
      <c r="G71" s="276">
        <f ca="1">'输出表-现金流量表'!G7</f>
        <v>1579.7845799045299</v>
      </c>
    </row>
    <row r="72" spans="2:7">
      <c r="B72" s="25" t="s">
        <v>142</v>
      </c>
      <c r="C72" s="276">
        <f>'输出表-现金流量表'!C8</f>
        <v>-113.1074109</v>
      </c>
      <c r="D72" s="276">
        <f>'输出表-现金流量表'!D8</f>
        <v>-96.866344699999999</v>
      </c>
      <c r="E72" s="276">
        <f>'输出表-现金流量表'!E8</f>
        <v>-200</v>
      </c>
      <c r="F72" s="276">
        <f>'输出表-现金流量表'!F8</f>
        <v>-200</v>
      </c>
      <c r="G72" s="276">
        <f>'输出表-现金流量表'!G8</f>
        <v>-200</v>
      </c>
    </row>
    <row r="73" spans="2:7">
      <c r="B73" s="25" t="s">
        <v>143</v>
      </c>
      <c r="C73" s="276">
        <f>'输出表-现金流量表'!C9</f>
        <v>25.237234609999998</v>
      </c>
      <c r="D73" s="276">
        <f>'输出表-现金流量表'!D9</f>
        <v>33.204846250000003</v>
      </c>
      <c r="E73" s="276">
        <f>'输出表-现金流量表'!E9</f>
        <v>26.542433823333329</v>
      </c>
      <c r="F73" s="276">
        <f>'输出表-现金流量表'!F9</f>
        <v>28.328171561111109</v>
      </c>
      <c r="G73" s="276">
        <f>'输出表-现金流量表'!G9</f>
        <v>29.358483878148146</v>
      </c>
    </row>
    <row r="74" spans="2:7">
      <c r="B74" s="25" t="s">
        <v>144</v>
      </c>
      <c r="C74" s="276">
        <f>'输出表-现金流量表'!C10</f>
        <v>-325.33439890999995</v>
      </c>
      <c r="D74" s="276">
        <f>'输出表-现金流量表'!D10</f>
        <v>-169.99562908000001</v>
      </c>
      <c r="E74" s="276">
        <f>'输出表-现金流量表'!E10</f>
        <v>-104.92524067333333</v>
      </c>
      <c r="F74" s="276">
        <f>'输出表-现金流量表'!F10</f>
        <v>-106.67828869777776</v>
      </c>
      <c r="G74" s="276">
        <f>'输出表-现金流量表'!G10</f>
        <v>-103.24182545703701</v>
      </c>
    </row>
    <row r="75" spans="2:7">
      <c r="B75" s="283" t="s">
        <v>145</v>
      </c>
      <c r="C75" s="276">
        <f>'输出表-现金流量表'!C11</f>
        <v>-413.20457519999997</v>
      </c>
      <c r="D75" s="276">
        <f>'输出表-现金流量表'!D11</f>
        <v>-233.65712753</v>
      </c>
      <c r="E75" s="276">
        <f>'输出表-现金流量表'!E11</f>
        <v>-278.38280685000001</v>
      </c>
      <c r="F75" s="276">
        <f>'输出表-现金流量表'!F11</f>
        <v>-278.35011713666665</v>
      </c>
      <c r="G75" s="276">
        <f>'输出表-现金流量表'!G11</f>
        <v>-273.88334157888886</v>
      </c>
    </row>
    <row r="76" spans="2:7">
      <c r="B76" s="25" t="s">
        <v>146</v>
      </c>
      <c r="C76" s="276">
        <f>'输出表-现金流量表'!C12</f>
        <v>0</v>
      </c>
      <c r="D76" s="276">
        <f>'输出表-现金流量表'!D12</f>
        <v>69.936391680000014</v>
      </c>
      <c r="E76" s="276">
        <f>'输出表-现金流量表'!E12</f>
        <v>0</v>
      </c>
      <c r="F76" s="276">
        <f>'输出表-现金流量表'!F12</f>
        <v>0</v>
      </c>
      <c r="G76" s="276">
        <f>'输出表-现金流量表'!G12</f>
        <v>0</v>
      </c>
    </row>
    <row r="77" spans="2:7">
      <c r="B77" s="25" t="s">
        <v>147</v>
      </c>
      <c r="C77" s="276">
        <f>'输出表-现金流量表'!C13</f>
        <v>0</v>
      </c>
      <c r="D77" s="276">
        <f>'输出表-现金流量表'!D13</f>
        <v>0</v>
      </c>
      <c r="E77" s="276">
        <f ca="1">'输出表-现金流量表'!E13</f>
        <v>1659.5216758337519</v>
      </c>
      <c r="F77" s="276">
        <f ca="1">'输出表-现金流量表'!F13</f>
        <v>496.0745184271891</v>
      </c>
      <c r="G77" s="276">
        <f ca="1">'输出表-现金流量表'!G13</f>
        <v>253.00169103337612</v>
      </c>
    </row>
    <row r="78" spans="2:7">
      <c r="B78" s="25" t="s">
        <v>148</v>
      </c>
      <c r="C78" s="276">
        <f>'输出表-现金流量表'!C14</f>
        <v>-96.31398068</v>
      </c>
      <c r="D78" s="276">
        <f>'输出表-现金流量表'!D14</f>
        <v>-48.156238760000001</v>
      </c>
      <c r="E78" s="276">
        <f>'输出表-现金流量表'!E14</f>
        <v>-72.381108449999999</v>
      </c>
      <c r="F78" s="276">
        <f>'输出表-现金流量表'!F14</f>
        <v>0</v>
      </c>
      <c r="G78" s="276">
        <f>'输出表-现金流量表'!G14</f>
        <v>0</v>
      </c>
    </row>
    <row r="79" spans="2:7">
      <c r="B79" s="25" t="s">
        <v>149</v>
      </c>
      <c r="C79" s="276">
        <f>'输出表-现金流量表'!C15</f>
        <v>-10.492278200000001</v>
      </c>
      <c r="D79" s="276">
        <f>'输出表-现金流量表'!D15</f>
        <v>-29.02809349000001</v>
      </c>
      <c r="E79" s="276">
        <f ca="1">'输出表-现金流量表'!E15</f>
        <v>74.614807537554043</v>
      </c>
      <c r="F79" s="276">
        <f ca="1">'输出表-现金流量表'!F15</f>
        <v>54.40440869993563</v>
      </c>
      <c r="G79" s="276">
        <f ca="1">'输出表-现金流量表'!G15</f>
        <v>84.154421758106366</v>
      </c>
    </row>
    <row r="80" spans="2:7">
      <c r="B80" s="283" t="s">
        <v>150</v>
      </c>
      <c r="C80" s="276">
        <f>'输出表-现金流量表'!C16</f>
        <v>-106.80625888</v>
      </c>
      <c r="D80" s="276">
        <f>'输出表-现金流量表'!D16</f>
        <v>-7.2479405699999999</v>
      </c>
      <c r="E80" s="276">
        <f ca="1">'输出表-现金流量表'!E16</f>
        <v>1661.7553749213059</v>
      </c>
      <c r="F80" s="276">
        <f ca="1">'输出表-现金流量表'!F16</f>
        <v>550.47892712712473</v>
      </c>
      <c r="G80" s="276">
        <f ca="1">'输出表-现金流量表'!G16</f>
        <v>337.15611279148249</v>
      </c>
    </row>
    <row r="81" spans="2:7">
      <c r="B81" s="283" t="s">
        <v>151</v>
      </c>
      <c r="C81" s="276">
        <f>'输出表-现金流量表'!C17</f>
        <v>-156.55590492999997</v>
      </c>
      <c r="D81" s="276">
        <f>'输出表-现金流量表'!D17</f>
        <v>381.69770996999995</v>
      </c>
      <c r="E81" s="276">
        <f ca="1">'输出表-现金流量表'!E17</f>
        <v>3141.9029671936573</v>
      </c>
      <c r="F81" s="276">
        <f ca="1">'输出表-现金流量表'!F17</f>
        <v>2003.6139713260404</v>
      </c>
      <c r="G81" s="276">
        <f ca="1">'输出表-现金流量表'!G17</f>
        <v>1643.0573511171235</v>
      </c>
    </row>
    <row r="82" spans="2:7">
      <c r="B82" s="274" t="s">
        <v>152</v>
      </c>
      <c r="C82" s="275"/>
      <c r="D82" s="275"/>
      <c r="E82" s="275"/>
      <c r="F82" s="275"/>
      <c r="G82" s="275"/>
    </row>
    <row r="83" spans="2:7">
      <c r="B83" s="286" t="s">
        <v>153</v>
      </c>
    </row>
    <row r="84" spans="2:7">
      <c r="B84" s="26" t="s">
        <v>154</v>
      </c>
      <c r="C84" s="278">
        <f>关键比率!H5</f>
        <v>0.76039999999999996</v>
      </c>
      <c r="D84" s="278">
        <f>关键比率!I5</f>
        <v>0.78029999999999999</v>
      </c>
      <c r="E84" s="278">
        <f ca="1">关键比率!J5</f>
        <v>5.2008196612861246</v>
      </c>
      <c r="F84" s="278">
        <f ca="1">关键比率!K5</f>
        <v>5.9374387308382905</v>
      </c>
      <c r="G84" s="278">
        <f ca="1">关键比率!L5</f>
        <v>5.7080538379416552</v>
      </c>
    </row>
    <row r="85" spans="2:7">
      <c r="B85" s="26" t="s">
        <v>155</v>
      </c>
      <c r="C85" s="278">
        <f>关键比率!H6</f>
        <v>24.980122486719115</v>
      </c>
      <c r="D85" s="278">
        <f>关键比率!I6</f>
        <v>25.798565085231161</v>
      </c>
      <c r="E85" s="278">
        <f ca="1">关键比率!J6</f>
        <v>30.824944737357683</v>
      </c>
      <c r="F85" s="278">
        <f ca="1">关键比率!K6</f>
        <v>36.681508071523318</v>
      </c>
      <c r="G85" s="278">
        <f ca="1">关键比率!L6</f>
        <v>42.322914081579071</v>
      </c>
    </row>
    <row r="86" spans="2:7">
      <c r="B86" s="26" t="s">
        <v>156</v>
      </c>
      <c r="C86" s="278">
        <f>关键比率!H7</f>
        <v>0.75321089356016901</v>
      </c>
      <c r="D86" s="278">
        <f>关键比率!I7</f>
        <v>1.2902595540521873</v>
      </c>
      <c r="E86" s="278">
        <f ca="1">关键比率!J7</f>
        <v>3.6443150086678826</v>
      </c>
      <c r="F86" s="278">
        <f ca="1">关键比率!K7</f>
        <v>3.5882674327894648</v>
      </c>
      <c r="G86" s="278">
        <f ca="1">关键比率!L7</f>
        <v>3.2738886162454102</v>
      </c>
    </row>
    <row r="87" spans="2:7">
      <c r="B87" s="26" t="s">
        <v>157</v>
      </c>
      <c r="C87" s="278">
        <f>关键比率!H8</f>
        <v>0.69883772002389088</v>
      </c>
      <c r="D87" s="278">
        <f>关键比率!I8</f>
        <v>0.64385135337064681</v>
      </c>
      <c r="E87" s="278">
        <f ca="1">关键比率!J8</f>
        <v>5.5039789339133156</v>
      </c>
      <c r="F87" s="278">
        <f ca="1">关键比率!K8</f>
        <v>6.3751990609329185</v>
      </c>
      <c r="G87" s="278">
        <f ca="1">关键比率!L8</f>
        <v>6.039413889301037</v>
      </c>
    </row>
    <row r="88" spans="2:7">
      <c r="B88" s="26" t="s">
        <v>158</v>
      </c>
      <c r="C88" s="278">
        <f>关键比率!H9</f>
        <v>-0.53959999999999997</v>
      </c>
      <c r="D88" s="278">
        <f>关键比率!I9</f>
        <v>-5.1400000000000001E-2</v>
      </c>
      <c r="E88" s="278">
        <f ca="1">关键比率!J9</f>
        <v>2.820804519601428</v>
      </c>
      <c r="F88" s="278">
        <f ca="1">关键比率!K9</f>
        <v>3.306941378515361</v>
      </c>
      <c r="G88" s="278">
        <f ca="1">关键比率!L9</f>
        <v>5.8531044147564515</v>
      </c>
    </row>
    <row r="89" spans="2:7">
      <c r="B89" s="26" t="s">
        <v>159</v>
      </c>
      <c r="C89" s="278">
        <f>关键比率!H10</f>
        <v>-0.55920000000000003</v>
      </c>
      <c r="D89" s="278">
        <f>关键比率!I10</f>
        <v>-5.1400000000000001E-2</v>
      </c>
      <c r="E89" s="278">
        <f ca="1">关键比率!J10</f>
        <v>6.3942392041066309</v>
      </c>
      <c r="F89" s="278">
        <f ca="1">关键比率!K10</f>
        <v>4.4802041773934587</v>
      </c>
      <c r="G89" s="278">
        <f ca="1">关键比率!L10</f>
        <v>6.5582008126884226</v>
      </c>
    </row>
    <row r="90" spans="2:7">
      <c r="B90" s="26" t="s">
        <v>160</v>
      </c>
      <c r="C90" s="278">
        <f>关键比率!H11</f>
        <v>-1.3129999999999999E-3</v>
      </c>
      <c r="D90" s="278">
        <f>关键比率!I11</f>
        <v>9.9099999999999991E-4</v>
      </c>
      <c r="E90" s="278">
        <f ca="1">关键比率!J11</f>
        <v>0</v>
      </c>
      <c r="F90" s="278">
        <f ca="1">关键比率!K11</f>
        <v>0</v>
      </c>
      <c r="G90" s="278">
        <f ca="1">关键比率!L11</f>
        <v>0</v>
      </c>
    </row>
    <row r="91" spans="2:7">
      <c r="B91" s="287" t="s">
        <v>161</v>
      </c>
    </row>
    <row r="92" spans="2:7">
      <c r="B92" s="26" t="s">
        <v>162</v>
      </c>
      <c r="C92" s="278">
        <f>关键比率!H13</f>
        <v>3.0714999999999999</v>
      </c>
      <c r="D92" s="278">
        <f>关键比率!I13</f>
        <v>3.0709</v>
      </c>
      <c r="E92" s="278">
        <f ca="1">关键比率!J13</f>
        <v>16.872113496388831</v>
      </c>
      <c r="F92" s="278">
        <f ca="1">关键比率!K13</f>
        <v>16.186462997271526</v>
      </c>
      <c r="G92" s="278">
        <f ca="1">关键比率!L13</f>
        <v>13.486911196471866</v>
      </c>
    </row>
    <row r="93" spans="2:7">
      <c r="B93" s="26" t="s">
        <v>163</v>
      </c>
      <c r="C93" s="278">
        <f>关键比率!H14</f>
        <v>3.2027000000000001</v>
      </c>
      <c r="D93" s="278">
        <f>关键比率!I14</f>
        <v>2.3380000000000001</v>
      </c>
      <c r="E93" s="278">
        <f ca="1">关键比率!J14</f>
        <v>14.103766488865372</v>
      </c>
      <c r="F93" s="278">
        <f ca="1">关键比率!K14</f>
        <v>13.344763426388617</v>
      </c>
      <c r="G93" s="278">
        <f ca="1">关键比率!L14</f>
        <v>11.082638978924781</v>
      </c>
    </row>
    <row r="94" spans="2:7">
      <c r="B94" s="26" t="s">
        <v>164</v>
      </c>
      <c r="C94" s="278">
        <f>关键比率!H15</f>
        <v>3.0714999999999999</v>
      </c>
      <c r="D94" s="278">
        <f>关键比率!I15</f>
        <v>3.0697999999999999</v>
      </c>
      <c r="E94" s="278">
        <f ca="1">关键比率!J15</f>
        <v>17.307935134795173</v>
      </c>
      <c r="F94" s="278">
        <f ca="1">关键比率!K15</f>
        <v>15.739229789869311</v>
      </c>
      <c r="G94" s="278">
        <f ca="1">关键比率!L15</f>
        <v>12.899852871334231</v>
      </c>
    </row>
    <row r="95" spans="2:7">
      <c r="B95" s="26" t="s">
        <v>165</v>
      </c>
      <c r="C95" s="278">
        <f>关键比率!H16</f>
        <v>8.6454000000000004</v>
      </c>
      <c r="D95" s="278">
        <f>关键比率!I16</f>
        <v>7.9386999999999999</v>
      </c>
      <c r="E95" s="278">
        <f ca="1">关键比率!J16</f>
        <v>30.207684989614357</v>
      </c>
      <c r="F95" s="278">
        <f ca="1">关键比率!K16</f>
        <v>27.046349027350374</v>
      </c>
      <c r="G95" s="278">
        <f ca="1">关键比率!L16</f>
        <v>21.988233671523499</v>
      </c>
    </row>
    <row r="96" spans="2:7">
      <c r="B96" s="26" t="s">
        <v>166</v>
      </c>
      <c r="C96" s="278">
        <f>关键比率!H17</f>
        <v>34.969299999999997</v>
      </c>
      <c r="D96" s="278">
        <f>关键比率!I17</f>
        <v>33.903399999999998</v>
      </c>
      <c r="E96" s="278">
        <f>关键比率!J17</f>
        <v>49.659152464527359</v>
      </c>
      <c r="F96" s="278">
        <f>关键比率!K17</f>
        <v>46.612793761213702</v>
      </c>
      <c r="G96" s="278">
        <f>关键比率!L17</f>
        <v>40.944851302474682</v>
      </c>
    </row>
    <row r="97" spans="2:7">
      <c r="B97" s="26" t="s">
        <v>167</v>
      </c>
      <c r="C97" s="278">
        <f>关键比率!H18</f>
        <v>65.030699999999996</v>
      </c>
      <c r="D97" s="278">
        <f>关键比率!I18</f>
        <v>66.096599999999995</v>
      </c>
      <c r="E97" s="278">
        <f>关键比率!J18</f>
        <v>50.340847535472641</v>
      </c>
      <c r="F97" s="278">
        <f>关键比率!K18</f>
        <v>53.387206238786298</v>
      </c>
      <c r="G97" s="278">
        <f>关键比率!L18</f>
        <v>59.055148697525318</v>
      </c>
    </row>
    <row r="98" spans="2:7">
      <c r="B98" s="26" t="s">
        <v>168</v>
      </c>
      <c r="C98" s="278">
        <f>关键比率!H19</f>
        <v>7.1976000000000004</v>
      </c>
      <c r="D98" s="278">
        <f>关键比率!I19</f>
        <v>6.7648000000000001</v>
      </c>
      <c r="E98" s="278">
        <f ca="1">关键比率!J19</f>
        <v>7.4527784230847729</v>
      </c>
      <c r="F98" s="278">
        <f ca="1">关键比率!K19</f>
        <v>6.9775990057444464</v>
      </c>
      <c r="G98" s="278">
        <f ca="1">关键比率!L19</f>
        <v>6.7813851492013608</v>
      </c>
    </row>
    <row r="99" spans="2:7">
      <c r="B99" s="26" t="s">
        <v>169</v>
      </c>
      <c r="C99" s="278">
        <f>关键比率!H20</f>
        <v>9.7575000000000003</v>
      </c>
      <c r="D99" s="278">
        <f>关键比率!I20</f>
        <v>6.5523999999999996</v>
      </c>
      <c r="E99" s="278">
        <f ca="1">关键比率!J20</f>
        <v>31.968511245016217</v>
      </c>
      <c r="F99" s="278">
        <f ca="1">关键比率!K20</f>
        <v>29.040444329180261</v>
      </c>
      <c r="G99" s="278">
        <f ca="1">关键比率!L20</f>
        <v>23.264679627633381</v>
      </c>
    </row>
    <row r="100" spans="2:7">
      <c r="B100" s="26" t="s">
        <v>170</v>
      </c>
      <c r="C100" s="278">
        <f>关键比率!H21</f>
        <v>12.540488777054733</v>
      </c>
      <c r="D100" s="278">
        <f>关键比率!I21</f>
        <v>10.44792542777485</v>
      </c>
      <c r="E100" s="278">
        <f ca="1">关键比率!J21</f>
        <v>32.725816199087312</v>
      </c>
      <c r="F100" s="278">
        <f ca="1">关键比率!K21</f>
        <v>29.813734962758261</v>
      </c>
      <c r="G100" s="278">
        <f ca="1">关键比率!L21</f>
        <v>24.070293810472055</v>
      </c>
    </row>
    <row r="101" spans="2:7">
      <c r="B101" s="26" t="s">
        <v>171</v>
      </c>
      <c r="C101" s="278">
        <f>关键比率!H22</f>
        <v>337.21765867999989</v>
      </c>
      <c r="D101" s="278">
        <f>关键比率!I22</f>
        <v>310.68449756000041</v>
      </c>
      <c r="E101" s="278">
        <f ca="1">关键比率!J22</f>
        <v>2655.8939741473005</v>
      </c>
      <c r="F101" s="278">
        <f ca="1">关键比率!K22</f>
        <v>3076.2931641314917</v>
      </c>
      <c r="G101" s="278">
        <f ca="1">关键比率!L22</f>
        <v>2914.2631446395644</v>
      </c>
    </row>
    <row r="102" spans="2:7">
      <c r="B102" s="26" t="s">
        <v>99</v>
      </c>
      <c r="C102" s="278">
        <f>关键比率!H23</f>
        <v>528.28387586999986</v>
      </c>
      <c r="D102" s="278">
        <f>关键比率!I23</f>
        <v>495.33693836000043</v>
      </c>
      <c r="E102" s="278">
        <f ca="1">关键比率!J23</f>
        <v>2718.8096866962505</v>
      </c>
      <c r="F102" s="278">
        <f ca="1">关键比率!K23</f>
        <v>3158.2088766804418</v>
      </c>
      <c r="G102" s="278">
        <f ca="1">关键比率!L23</f>
        <v>3015.1788571885145</v>
      </c>
    </row>
    <row r="103" spans="2:7">
      <c r="B103" s="287" t="s">
        <v>172</v>
      </c>
    </row>
    <row r="104" spans="2:7">
      <c r="B104" s="26" t="s">
        <v>173</v>
      </c>
      <c r="C104" s="278">
        <f>关键比率!H25</f>
        <v>6.5292000000000003</v>
      </c>
      <c r="D104" s="278">
        <f>关键比率!I25</f>
        <v>7.9885000000000002</v>
      </c>
      <c r="E104" s="278">
        <f ca="1">关键比率!J25</f>
        <v>16.412256381503678</v>
      </c>
      <c r="F104" s="278">
        <f ca="1">关键比率!K25</f>
        <v>17.667507431356462</v>
      </c>
      <c r="G104" s="278">
        <f ca="1">关键比率!L25</f>
        <v>18.02213893341354</v>
      </c>
    </row>
    <row r="105" spans="2:7">
      <c r="B105" s="26" t="s">
        <v>174</v>
      </c>
      <c r="C105" s="278">
        <f>关键比率!H26</f>
        <v>0</v>
      </c>
      <c r="D105" s="278">
        <f>关键比率!I26</f>
        <v>0</v>
      </c>
      <c r="E105" s="278">
        <f ca="1">关键比率!J26</f>
        <v>0.56363341294294267</v>
      </c>
      <c r="F105" s="278">
        <f ca="1">关键比率!K26</f>
        <v>0.47407041232122271</v>
      </c>
      <c r="G105" s="278">
        <f ca="1">关键比率!L26</f>
        <v>0.41113929984253955</v>
      </c>
    </row>
    <row r="106" spans="2:7">
      <c r="B106" s="26" t="s">
        <v>175</v>
      </c>
      <c r="C106" s="278">
        <f>关键比率!H27</f>
        <v>1.0699000000000001</v>
      </c>
      <c r="D106" s="278">
        <f>关键比率!I27</f>
        <v>1.0868</v>
      </c>
      <c r="E106" s="278">
        <f ca="1">关键比率!J27</f>
        <v>1.1963476422621362</v>
      </c>
      <c r="F106" s="278">
        <f ca="1">关键比率!K27</f>
        <v>1.2145873018070772</v>
      </c>
      <c r="G106" s="278">
        <f ca="1">关键比率!L27</f>
        <v>1.219841536470134</v>
      </c>
    </row>
    <row r="107" spans="2:7">
      <c r="B107" s="26" t="s">
        <v>176</v>
      </c>
      <c r="C107" s="278">
        <f>关键比率!H28</f>
        <v>65.340400000000002</v>
      </c>
      <c r="D107" s="278">
        <f>关键比率!I28</f>
        <v>65.138499999999993</v>
      </c>
      <c r="E107" s="278">
        <f ca="1">关键比率!J28</f>
        <v>79.516945246385589</v>
      </c>
      <c r="F107" s="278">
        <f ca="1">关键比率!K28</f>
        <v>83.023695758133073</v>
      </c>
      <c r="G107" s="278">
        <f ca="1">关键比率!L28</f>
        <v>85.334849057770271</v>
      </c>
    </row>
    <row r="108" spans="2:7">
      <c r="B108" s="26" t="s">
        <v>177</v>
      </c>
      <c r="C108" s="278">
        <f>关键比率!H29</f>
        <v>100</v>
      </c>
      <c r="D108" s="278">
        <f>关键比率!I29</f>
        <v>99.932500000000005</v>
      </c>
      <c r="E108" s="278">
        <f ca="1">关键比率!J29</f>
        <v>89.917101902713142</v>
      </c>
      <c r="F108" s="278">
        <f ca="1">关键比率!K29</f>
        <v>89.106049833790976</v>
      </c>
      <c r="G108" s="278">
        <f ca="1">关键比率!L29</f>
        <v>89.417422915558063</v>
      </c>
    </row>
    <row r="109" spans="2:7">
      <c r="B109" s="26" t="s">
        <v>178</v>
      </c>
      <c r="C109" s="278">
        <f>关键比率!H30</f>
        <v>0</v>
      </c>
      <c r="D109" s="278">
        <f>关键比率!I30</f>
        <v>6.7500000000000004E-2</v>
      </c>
      <c r="E109" s="278">
        <f ca="1">关键比率!J30</f>
        <v>10.082898097286874</v>
      </c>
      <c r="F109" s="278">
        <f ca="1">关键比率!K30</f>
        <v>10.893950166209015</v>
      </c>
      <c r="G109" s="278">
        <f ca="1">关键比率!L30</f>
        <v>10.582577084441938</v>
      </c>
    </row>
    <row r="110" spans="2:7">
      <c r="B110" s="287" t="s">
        <v>179</v>
      </c>
    </row>
    <row r="111" spans="2:7">
      <c r="B111" s="26" t="s">
        <v>180</v>
      </c>
      <c r="C111" s="278">
        <f>关键比率!H32</f>
        <v>10.904199999999999</v>
      </c>
      <c r="D111" s="278">
        <f>关键比率!I32</f>
        <v>8.6936</v>
      </c>
      <c r="E111" s="278">
        <f ca="1">关键比率!J32</f>
        <v>4.4672560046063126</v>
      </c>
      <c r="F111" s="278">
        <f ca="1">关键比率!K32</f>
        <v>4.3457774452344378</v>
      </c>
      <c r="G111" s="278">
        <f ca="1">关键比率!L32</f>
        <v>4.3907754436033608</v>
      </c>
    </row>
    <row r="112" spans="2:7">
      <c r="B112" s="26" t="s">
        <v>181</v>
      </c>
      <c r="C112" s="278">
        <f>关键比率!H33</f>
        <v>7.2840999999999996</v>
      </c>
      <c r="D112" s="278">
        <f>关键比率!I33</f>
        <v>5.7187999999999999</v>
      </c>
      <c r="E112" s="278">
        <f ca="1">关键比率!J33</f>
        <v>3.3583099351269428</v>
      </c>
      <c r="F112" s="278">
        <f ca="1">关键比率!K33</f>
        <v>3.1990923788864212</v>
      </c>
      <c r="G112" s="278">
        <f ca="1">关键比率!L33</f>
        <v>3.1249465006987158</v>
      </c>
    </row>
    <row r="113" spans="2:7">
      <c r="B113" s="26" t="s">
        <v>182</v>
      </c>
      <c r="C113" s="278">
        <f>关键比率!H34</f>
        <v>7.2775999999999996</v>
      </c>
      <c r="D113" s="278">
        <f>关键比率!I34</f>
        <v>5.617</v>
      </c>
      <c r="E113" s="278">
        <f ca="1">关键比率!J34</f>
        <v>3.270730682996271</v>
      </c>
      <c r="F113" s="278">
        <f ca="1">关键比率!K34</f>
        <v>3.1117379896405528</v>
      </c>
      <c r="G113" s="278">
        <f ca="1">关键比率!L34</f>
        <v>3.0317617123142071</v>
      </c>
    </row>
    <row r="114" spans="2:7">
      <c r="B114" s="26" t="s">
        <v>183</v>
      </c>
      <c r="C114" s="278">
        <f>关键比率!H35</f>
        <v>0.4924</v>
      </c>
      <c r="D114" s="278">
        <f>关键比率!I35</f>
        <v>0.62260000000000004</v>
      </c>
      <c r="E114" s="278">
        <f ca="1">关键比率!J35</f>
        <v>2.8677940336009837</v>
      </c>
      <c r="F114" s="278">
        <f ca="1">关键比率!K35</f>
        <v>2.7331807425585346</v>
      </c>
      <c r="G114" s="278">
        <f ca="1">关键比率!L35</f>
        <v>2.6804652470137613</v>
      </c>
    </row>
    <row r="115" spans="2:7">
      <c r="B115" s="26" t="s">
        <v>184</v>
      </c>
      <c r="C115" s="278">
        <f>关键比率!H36</f>
        <v>0</v>
      </c>
      <c r="D115" s="278">
        <f>关键比率!I36</f>
        <v>0</v>
      </c>
      <c r="E115" s="278">
        <f ca="1">关键比率!J36</f>
        <v>1.0543153407779966</v>
      </c>
      <c r="F115" s="278">
        <f ca="1">关键比率!K36</f>
        <v>0.80012792564278079</v>
      </c>
      <c r="G115" s="278">
        <f ca="1">关键比率!L36</f>
        <v>0.65361053777238987</v>
      </c>
    </row>
    <row r="116" spans="2:7">
      <c r="B116" s="26" t="s">
        <v>185</v>
      </c>
      <c r="C116" s="278">
        <f>关键比率!H37</f>
        <v>0</v>
      </c>
      <c r="D116" s="278">
        <f>关键比率!I37</f>
        <v>0</v>
      </c>
      <c r="E116" s="278">
        <f ca="1">关键比率!J37</f>
        <v>46.072217406674987</v>
      </c>
      <c r="F116" s="278">
        <f ca="1">关键比率!K37</f>
        <v>19.732539360431641</v>
      </c>
      <c r="G116" s="278">
        <f ca="1">关键比率!L37</f>
        <v>15.048940707950468</v>
      </c>
    </row>
    <row r="117" spans="2:7">
      <c r="B117" s="26" t="s">
        <v>186</v>
      </c>
      <c r="C117" s="278">
        <f>关键比率!H38</f>
        <v>10.007300000000001</v>
      </c>
      <c r="D117" s="278">
        <f>关键比率!I38</f>
        <v>8.1540999999999997</v>
      </c>
      <c r="E117" s="278">
        <f ca="1">关键比率!J38</f>
        <v>4.8449733783101143</v>
      </c>
      <c r="F117" s="278">
        <f ca="1">关键比率!K38</f>
        <v>4.6992308383457546</v>
      </c>
      <c r="G117" s="278">
        <f ca="1">关键比率!L38</f>
        <v>4.73500117677803</v>
      </c>
    </row>
    <row r="118" spans="2:7">
      <c r="B118" s="26" t="s">
        <v>187</v>
      </c>
      <c r="C118" s="278">
        <f>关键比率!H39</f>
        <v>0</v>
      </c>
      <c r="D118" s="278">
        <f>关键比率!I39</f>
        <v>1050.7671</v>
      </c>
      <c r="E118" s="278">
        <f ca="1">关键比率!J39</f>
        <v>8.4830297439227369</v>
      </c>
      <c r="F118" s="278">
        <f ca="1">关键比率!K39</f>
        <v>8.2369219091187968</v>
      </c>
      <c r="G118" s="278">
        <f ca="1">关键比率!L39</f>
        <v>8.7745821598084728</v>
      </c>
    </row>
    <row r="119" spans="2:7">
      <c r="B119" s="26" t="s">
        <v>188</v>
      </c>
      <c r="C119" s="278">
        <f>关键比率!H40</f>
        <v>-2.2755000000000001</v>
      </c>
      <c r="D119" s="278">
        <f>关键比率!I40</f>
        <v>-2.1677</v>
      </c>
      <c r="E119" s="278">
        <f ca="1">关键比率!J40</f>
        <v>-2.5422454078078811</v>
      </c>
      <c r="F119" s="278">
        <f ca="1">关键比率!K40</f>
        <v>-2.5200628927888822</v>
      </c>
      <c r="G119" s="278">
        <f ca="1">关键比率!L40</f>
        <v>-2.5059380827283602</v>
      </c>
    </row>
    <row r="120" spans="2:7">
      <c r="B120" s="26" t="s">
        <v>189</v>
      </c>
      <c r="C120" s="278">
        <f>关键比率!H41</f>
        <v>0</v>
      </c>
      <c r="D120" s="278">
        <f>关键比率!I41</f>
        <v>0.44619999999999999</v>
      </c>
      <c r="E120" s="278">
        <f ca="1">关键比率!J41</f>
        <v>0.93097894568323325</v>
      </c>
      <c r="F120" s="278">
        <f ca="1">关键比率!K41</f>
        <v>0.83261328207659546</v>
      </c>
      <c r="G120" s="278">
        <f ca="1">关键比率!L41</f>
        <v>0.67317487851925439</v>
      </c>
    </row>
    <row r="121" spans="2:7">
      <c r="B121" s="26" t="s">
        <v>190</v>
      </c>
      <c r="C121" s="278">
        <f>关键比率!H42</f>
        <v>0</v>
      </c>
      <c r="D121" s="278">
        <f>关键比率!I42</f>
        <v>0</v>
      </c>
      <c r="E121" s="278">
        <f ca="1">关键比率!J42</f>
        <v>69.582490383482394</v>
      </c>
      <c r="F121" s="278">
        <f ca="1">关键比率!K42</f>
        <v>35.058386465540423</v>
      </c>
      <c r="G121" s="278">
        <f ca="1">关键比率!L42</f>
        <v>27.761109855684527</v>
      </c>
    </row>
    <row r="122" spans="2:7">
      <c r="B122" s="26" t="s">
        <v>191</v>
      </c>
      <c r="C122" s="278">
        <f>关键比率!H43</f>
        <v>1.4500000000000001E-2</v>
      </c>
      <c r="D122" s="278">
        <f>关键比率!I43</f>
        <v>1.0999999999999999E-2</v>
      </c>
      <c r="E122" s="278">
        <f>关键比率!J43</f>
        <v>2.3742237863135951E-2</v>
      </c>
      <c r="F122" s="278">
        <f>关键比率!K43</f>
        <v>1.7977645594815413E-2</v>
      </c>
      <c r="G122" s="278">
        <f>关键比率!L43</f>
        <v>1.4348367112400942E-2</v>
      </c>
    </row>
    <row r="123" spans="2:7">
      <c r="B123" s="26" t="s">
        <v>192</v>
      </c>
      <c r="C123" s="278">
        <f>关键比率!H44</f>
        <v>0</v>
      </c>
      <c r="D123" s="278">
        <f>关键比率!I44</f>
        <v>57.500500000000002</v>
      </c>
      <c r="E123" s="278">
        <f ca="1">关键比率!J44</f>
        <v>1.6300444750743472</v>
      </c>
      <c r="F123" s="278">
        <f ca="1">关键比率!K44</f>
        <v>1.4594240676574772</v>
      </c>
      <c r="G123" s="278">
        <f ca="1">关键比率!L44</f>
        <v>1.2474819031630389</v>
      </c>
    </row>
    <row r="124" spans="2:7">
      <c r="B124" s="26" t="s">
        <v>193</v>
      </c>
      <c r="C124" s="278">
        <f>关键比率!H45</f>
        <v>0</v>
      </c>
      <c r="D124" s="278">
        <f>关键比率!I45</f>
        <v>0</v>
      </c>
      <c r="E124" s="278">
        <f ca="1">关键比率!J45</f>
        <v>0.61348019351090977</v>
      </c>
      <c r="F124" s="278">
        <f ca="1">关键比率!K45</f>
        <v>0.68520180128665464</v>
      </c>
      <c r="G124" s="278">
        <f ca="1">关键比率!L45</f>
        <v>0.80161483502442887</v>
      </c>
    </row>
    <row r="125" spans="2:7">
      <c r="B125" s="26" t="s">
        <v>194</v>
      </c>
      <c r="C125" s="278">
        <f>关键比率!H46</f>
        <v>0</v>
      </c>
      <c r="D125" s="278">
        <f>关键比率!I46</f>
        <v>0</v>
      </c>
      <c r="E125" s="278">
        <f ca="1">关键比率!J46</f>
        <v>71.230836291120809</v>
      </c>
      <c r="F125" s="278">
        <f ca="1">关键比率!K46</f>
        <v>35.991923210875939</v>
      </c>
      <c r="G125" s="278">
        <f ca="1">关键比率!L46</f>
        <v>28.722427363126901</v>
      </c>
    </row>
    <row r="126" spans="2:7">
      <c r="B126" s="287" t="s">
        <v>195</v>
      </c>
    </row>
    <row r="127" spans="2:7">
      <c r="B127" s="25" t="s">
        <v>196</v>
      </c>
      <c r="C127" s="278">
        <f>关键比率!H48</f>
        <v>367.69</v>
      </c>
      <c r="D127" s="278">
        <f>关键比率!I48</f>
        <v>358.06979999999999</v>
      </c>
      <c r="E127" s="278">
        <f>关键比率!J48</f>
        <v>290.27641228312547</v>
      </c>
      <c r="F127" s="278">
        <f>关键比率!K48</f>
        <v>265.65733361503175</v>
      </c>
      <c r="G127" s="278">
        <f>关键比率!L48</f>
        <v>270.42362762977064</v>
      </c>
    </row>
    <row r="128" spans="2:7">
      <c r="B128" s="25" t="s">
        <v>197</v>
      </c>
      <c r="C128" s="278">
        <f>关键比率!H49</f>
        <v>333.5804</v>
      </c>
      <c r="D128" s="278">
        <f>关键比率!I49</f>
        <v>325.262</v>
      </c>
      <c r="E128" s="278">
        <f>关键比率!J49</f>
        <v>263.38627625112838</v>
      </c>
      <c r="F128" s="278">
        <f>关键比率!K49</f>
        <v>235.46079626956652</v>
      </c>
      <c r="G128" s="278">
        <f>关键比率!L49</f>
        <v>238.84146034121105</v>
      </c>
    </row>
    <row r="129" spans="2:7">
      <c r="B129" s="25" t="s">
        <v>198</v>
      </c>
      <c r="C129" s="278">
        <f>关键比率!H50</f>
        <v>1.0791999999999999</v>
      </c>
      <c r="D129" s="278">
        <f>关键比率!I50</f>
        <v>1.1068</v>
      </c>
      <c r="E129" s="278">
        <f>关键比率!J50</f>
        <v>1.3668138109699923</v>
      </c>
      <c r="F129" s="278">
        <f>关键比率!K50</f>
        <v>1.5289169394800448</v>
      </c>
      <c r="G129" s="278">
        <f>关键比率!L50</f>
        <v>1.5072759959083351</v>
      </c>
    </row>
    <row r="130" spans="2:7">
      <c r="B130" s="25" t="s">
        <v>199</v>
      </c>
      <c r="C130" s="278">
        <f>关键比率!H51</f>
        <v>34.1096</v>
      </c>
      <c r="D130" s="278">
        <f>关键比率!I51</f>
        <v>32.8078</v>
      </c>
      <c r="E130" s="278">
        <f>关键比率!J51</f>
        <v>26.890136031997088</v>
      </c>
      <c r="F130" s="278">
        <f>关键比率!K51</f>
        <v>30.196537345465213</v>
      </c>
      <c r="G130" s="278">
        <f>关键比率!L51</f>
        <v>31.582167288559567</v>
      </c>
    </row>
    <row r="131" spans="2:7">
      <c r="B131" s="25" t="s">
        <v>200</v>
      </c>
      <c r="C131" s="278">
        <f>关键比率!H52</f>
        <v>10.5542</v>
      </c>
      <c r="D131" s="278">
        <f>关键比率!I52</f>
        <v>10.973000000000001</v>
      </c>
      <c r="E131" s="278">
        <f>关键比率!J52</f>
        <v>13.387808807349622</v>
      </c>
      <c r="F131" s="278">
        <f>关键比率!K52</f>
        <v>11.921896735423648</v>
      </c>
      <c r="G131" s="278">
        <f>关键比率!L52</f>
        <v>11.398837727340126</v>
      </c>
    </row>
    <row r="132" spans="2:7">
      <c r="B132" s="25" t="s">
        <v>201</v>
      </c>
      <c r="C132" s="278">
        <f>关键比率!H53</f>
        <v>0.53900000000000003</v>
      </c>
      <c r="D132" s="278">
        <f>关键比率!I53</f>
        <v>0.56479999999999997</v>
      </c>
      <c r="E132" s="278">
        <f ca="1">关键比率!J53</f>
        <v>0.77778647770198639</v>
      </c>
      <c r="F132" s="278">
        <f ca="1">关键比率!K53</f>
        <v>0.73596339835172508</v>
      </c>
      <c r="G132" s="278">
        <f ca="1">关键比率!L53</f>
        <v>0.70743591893553093</v>
      </c>
    </row>
    <row r="133" spans="2:7">
      <c r="B133" s="25" t="s">
        <v>202</v>
      </c>
      <c r="C133" s="278">
        <f>关键比率!H54</f>
        <v>9.1165000000000003</v>
      </c>
      <c r="D133" s="278">
        <f>关键比率!I54</f>
        <v>10.0517</v>
      </c>
      <c r="E133" s="278">
        <f>关键比率!J54</f>
        <v>15.65117448199965</v>
      </c>
      <c r="F133" s="278">
        <f>关键比率!K54</f>
        <v>16.089278197101422</v>
      </c>
      <c r="G133" s="278">
        <f>关键比率!L54</f>
        <v>16.332281947519814</v>
      </c>
    </row>
    <row r="134" spans="2:7">
      <c r="B134" s="25" t="s">
        <v>203</v>
      </c>
      <c r="C134" s="278">
        <f>关键比率!H55</f>
        <v>0</v>
      </c>
      <c r="D134" s="278">
        <f>关键比率!I55</f>
        <v>0</v>
      </c>
      <c r="E134" s="278">
        <f>关键比率!J55</f>
        <v>1.6608550304254741</v>
      </c>
      <c r="F134" s="278">
        <f>关键比率!K55</f>
        <v>2.022309589679459</v>
      </c>
      <c r="G134" s="278">
        <f>关键比率!L55</f>
        <v>2.2966492612980556</v>
      </c>
    </row>
    <row r="135" spans="2:7">
      <c r="B135" s="25" t="s">
        <v>204</v>
      </c>
      <c r="C135" s="278">
        <f>关键比率!H56</f>
        <v>0.32819999999999999</v>
      </c>
      <c r="D135" s="278">
        <f>关键比率!I56</f>
        <v>0.35680000000000001</v>
      </c>
      <c r="E135" s="278">
        <f ca="1">关键比率!J56</f>
        <v>0.52971729538064483</v>
      </c>
      <c r="F135" s="278">
        <f ca="1">关键比率!K56</f>
        <v>0.53959337766713866</v>
      </c>
      <c r="G135" s="278">
        <f ca="1">关键比率!L56</f>
        <v>0.54084091600647122</v>
      </c>
    </row>
    <row r="136" spans="2:7">
      <c r="B136" s="25" t="s">
        <v>205</v>
      </c>
      <c r="C136" s="278">
        <f>关键比率!H57</f>
        <v>0</v>
      </c>
      <c r="D136" s="278">
        <f>关键比率!I57</f>
        <v>0</v>
      </c>
      <c r="E136" s="278">
        <f>关键比率!J57</f>
        <v>6.4350484957204399</v>
      </c>
      <c r="F136" s="278">
        <f>关键比率!K57</f>
        <v>6.7133397453307264</v>
      </c>
      <c r="G136" s="278">
        <f>关键比率!L57</f>
        <v>6.4356062720241569</v>
      </c>
    </row>
    <row r="137" spans="2:7">
      <c r="B137" s="25" t="s">
        <v>206</v>
      </c>
      <c r="C137" s="278">
        <f>关键比率!H58</f>
        <v>0</v>
      </c>
      <c r="D137" s="278">
        <f>关键比率!I58</f>
        <v>0</v>
      </c>
      <c r="E137" s="278">
        <f>关键比率!J58</f>
        <v>55.943634339261649</v>
      </c>
      <c r="F137" s="278">
        <f>关键比率!K58</f>
        <v>53.624576389179147</v>
      </c>
      <c r="G137" s="278">
        <f>关键比率!L58</f>
        <v>55.93878568440936</v>
      </c>
    </row>
    <row r="138" spans="2:7">
      <c r="B138" s="25" t="s">
        <v>207</v>
      </c>
      <c r="C138" s="278">
        <f>关键比率!H59</f>
        <v>0</v>
      </c>
      <c r="D138" s="278">
        <f>关键比率!I59</f>
        <v>0</v>
      </c>
      <c r="E138" s="278">
        <f>关键比率!J59</f>
        <v>234.33277794386382</v>
      </c>
      <c r="F138" s="278">
        <f>关键比率!K59</f>
        <v>212.03275722585261</v>
      </c>
      <c r="G138" s="278">
        <f>关键比率!L59</f>
        <v>214.48484194536127</v>
      </c>
    </row>
    <row r="139" spans="2:7">
      <c r="B139" s="25" t="s">
        <v>208</v>
      </c>
      <c r="C139" s="278">
        <f>关键比率!H60</f>
        <v>0</v>
      </c>
      <c r="D139" s="278">
        <f>关键比率!I60</f>
        <v>0</v>
      </c>
      <c r="E139" s="278">
        <f>关键比率!J60</f>
        <v>2.576904851831054</v>
      </c>
      <c r="F139" s="278">
        <f>关键比率!K60</f>
        <v>2.5708579311786948</v>
      </c>
      <c r="G139" s="278">
        <f>关键比率!L60</f>
        <v>2.3711393466779831</v>
      </c>
    </row>
    <row r="140" spans="2:7">
      <c r="B140" s="287" t="s">
        <v>209</v>
      </c>
    </row>
    <row r="141" spans="2:7">
      <c r="B141" s="26" t="s">
        <v>210</v>
      </c>
      <c r="C141" s="278">
        <f>关键比率!H62</f>
        <v>0</v>
      </c>
      <c r="D141" s="278">
        <f>关键比率!I62</f>
        <v>0.55659999999999998</v>
      </c>
      <c r="E141" s="278">
        <f>关键比率!J62</f>
        <v>-3.1788561536896682</v>
      </c>
      <c r="F141" s="278">
        <f>关键比率!K62</f>
        <v>-2.4415340326861821</v>
      </c>
      <c r="G141" s="278">
        <f>关键比率!L62</f>
        <v>-1.9818519331465685</v>
      </c>
    </row>
    <row r="142" spans="2:7">
      <c r="B142" s="26" t="s">
        <v>211</v>
      </c>
      <c r="C142" s="278">
        <f>关键比率!H63</f>
        <v>0</v>
      </c>
      <c r="D142" s="278">
        <f>关键比率!I63</f>
        <v>0</v>
      </c>
      <c r="E142" s="278">
        <f ca="1">关键比率!J63</f>
        <v>9.8827821846467781E-2</v>
      </c>
      <c r="F142" s="278">
        <f ca="1">关键比率!K63</f>
        <v>8.0648545899907803E-2</v>
      </c>
      <c r="G142" s="278">
        <f ca="1">关键比率!L63</f>
        <v>6.3565142553286408E-2</v>
      </c>
    </row>
    <row r="143" spans="2:7">
      <c r="B143" s="26" t="s">
        <v>212</v>
      </c>
      <c r="C143" s="278">
        <f>关键比率!H64</f>
        <v>0</v>
      </c>
      <c r="D143" s="278">
        <f>关键比率!I64</f>
        <v>0</v>
      </c>
      <c r="E143" s="278" t="e">
        <f ca="1">关键比率!J64</f>
        <v>#DIV/0!</v>
      </c>
      <c r="F143" s="278" t="e">
        <f ca="1">关键比率!K64</f>
        <v>#DIV/0!</v>
      </c>
      <c r="G143" s="278" t="e">
        <f ca="1">关键比率!L64</f>
        <v>#DIV/0!</v>
      </c>
    </row>
  </sheetData>
  <sheetProtection formatColumns="0" formatRows="0"/>
  <phoneticPr fontId="3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77"/>
  <sheetViews>
    <sheetView showGridLines="0" workbookViewId="0">
      <pane ySplit="1" topLeftCell="A2" activePane="bottomLeft" state="frozen"/>
      <selection pane="bottomLeft" activeCell="D18" sqref="D18"/>
    </sheetView>
  </sheetViews>
  <sheetFormatPr defaultColWidth="9" defaultRowHeight="15"/>
  <cols>
    <col min="1" max="1" width="12.265625" style="249" hidden="1" customWidth="1"/>
    <col min="2" max="2" width="39.9296875" style="249" customWidth="1"/>
    <col min="3" max="3" width="15.73046875" style="249" customWidth="1"/>
    <col min="4" max="4" width="15.33203125" style="249" customWidth="1"/>
    <col min="5" max="5" width="15.265625" style="249" customWidth="1"/>
    <col min="6" max="7" width="15" style="249" customWidth="1"/>
    <col min="8" max="8" width="9.59765625" style="249" customWidth="1"/>
    <col min="9" max="9" width="10.59765625" style="249" customWidth="1"/>
    <col min="10" max="16" width="12.265625" style="249" customWidth="1"/>
    <col min="17" max="16384" width="9" style="249"/>
  </cols>
  <sheetData>
    <row r="1" spans="1:9" s="248" customFormat="1" ht="18.75" customHeight="1">
      <c r="B1" s="250" t="s">
        <v>213</v>
      </c>
      <c r="C1" s="251">
        <f>首页!C19</f>
        <v>2021</v>
      </c>
      <c r="D1" s="251">
        <f>C1+1</f>
        <v>2022</v>
      </c>
      <c r="E1" s="251">
        <f t="shared" ref="E1:G1" si="0">D1+1</f>
        <v>2023</v>
      </c>
      <c r="F1" s="251">
        <f t="shared" si="0"/>
        <v>2024</v>
      </c>
      <c r="G1" s="252">
        <f t="shared" si="0"/>
        <v>2025</v>
      </c>
      <c r="H1" s="253"/>
      <c r="I1" s="263" t="s">
        <v>214</v>
      </c>
    </row>
    <row r="2" spans="1:9" ht="15.75">
      <c r="B2" s="254" t="s">
        <v>215</v>
      </c>
      <c r="G2" s="255"/>
    </row>
    <row r="3" spans="1:9" ht="15.75">
      <c r="A3" s="249" t="s">
        <v>216</v>
      </c>
      <c r="B3" s="254" t="s">
        <v>217</v>
      </c>
      <c r="C3" s="256">
        <f>5274059129.97/1000000</f>
        <v>5274.05912997</v>
      </c>
      <c r="D3" s="256">
        <f>5411867514.79/1000000</f>
        <v>5411.8675147900003</v>
      </c>
      <c r="E3" s="256">
        <f>4530925656.37/1000000</f>
        <v>4530.9256563700001</v>
      </c>
      <c r="F3" s="256">
        <f>4212625881.35/1000000</f>
        <v>4212.6258813499999</v>
      </c>
      <c r="G3" s="257">
        <f>4741007597.96/1000000</f>
        <v>4741.0075979599997</v>
      </c>
    </row>
    <row r="4" spans="1:9">
      <c r="A4" s="249" t="s">
        <v>218</v>
      </c>
      <c r="B4" s="258" t="s">
        <v>219</v>
      </c>
      <c r="C4" s="256">
        <f>5274059129.97/1000000</f>
        <v>5274.05912997</v>
      </c>
      <c r="D4" s="256">
        <f>5411867514.79/1000000</f>
        <v>5411.8675147900003</v>
      </c>
      <c r="E4" s="256">
        <f>4530925656.37/1000000</f>
        <v>4530.9256563700001</v>
      </c>
      <c r="F4" s="256">
        <f>4212625881.35/1000000</f>
        <v>4212.6258813499999</v>
      </c>
      <c r="G4" s="257">
        <f>4741007597.96/1000000</f>
        <v>4741.0075979599997</v>
      </c>
    </row>
    <row r="5" spans="1:9">
      <c r="A5" s="249" t="s">
        <v>220</v>
      </c>
      <c r="B5" s="258" t="s">
        <v>221</v>
      </c>
      <c r="C5" s="256">
        <f t="shared" ref="C5:G7" si="1">0/1000000</f>
        <v>0</v>
      </c>
      <c r="D5" s="256">
        <f t="shared" si="1"/>
        <v>0</v>
      </c>
      <c r="E5" s="256">
        <f t="shared" si="1"/>
        <v>0</v>
      </c>
      <c r="F5" s="256">
        <f t="shared" si="1"/>
        <v>0</v>
      </c>
      <c r="G5" s="257">
        <f t="shared" si="1"/>
        <v>0</v>
      </c>
    </row>
    <row r="6" spans="1:9">
      <c r="A6" s="249" t="s">
        <v>222</v>
      </c>
      <c r="B6" s="258" t="s">
        <v>223</v>
      </c>
      <c r="C6" s="256">
        <f t="shared" si="1"/>
        <v>0</v>
      </c>
      <c r="D6" s="256">
        <f t="shared" si="1"/>
        <v>0</v>
      </c>
      <c r="E6" s="256">
        <f t="shared" si="1"/>
        <v>0</v>
      </c>
      <c r="F6" s="256">
        <f t="shared" si="1"/>
        <v>0</v>
      </c>
      <c r="G6" s="257">
        <f t="shared" si="1"/>
        <v>0</v>
      </c>
    </row>
    <row r="7" spans="1:9">
      <c r="A7" s="249" t="s">
        <v>224</v>
      </c>
      <c r="B7" s="258" t="s">
        <v>225</v>
      </c>
      <c r="C7" s="256">
        <f t="shared" si="1"/>
        <v>0</v>
      </c>
      <c r="D7" s="256">
        <f t="shared" si="1"/>
        <v>0</v>
      </c>
      <c r="E7" s="256">
        <f t="shared" si="1"/>
        <v>0</v>
      </c>
      <c r="F7" s="256">
        <f t="shared" si="1"/>
        <v>0</v>
      </c>
      <c r="G7" s="257">
        <f t="shared" si="1"/>
        <v>0</v>
      </c>
    </row>
    <row r="8" spans="1:9" ht="15.75">
      <c r="A8" s="249" t="s">
        <v>226</v>
      </c>
      <c r="B8" s="254" t="s">
        <v>227</v>
      </c>
      <c r="C8" s="256">
        <f>4374370170.65/1000000</f>
        <v>4374.3701706499996</v>
      </c>
      <c r="D8" s="256">
        <f>4641432866.3/1000000</f>
        <v>4641.4328663000006</v>
      </c>
      <c r="E8" s="256">
        <f>4040530925.21/1000000</f>
        <v>4040.5309252100001</v>
      </c>
      <c r="F8" s="256">
        <f>3864463078.61/1000000</f>
        <v>3864.4630786100001</v>
      </c>
      <c r="G8" s="257">
        <f>4407680380.74/1000000</f>
        <v>4407.6803807400001</v>
      </c>
    </row>
    <row r="9" spans="1:9">
      <c r="A9" s="249" t="s">
        <v>228</v>
      </c>
      <c r="B9" s="258" t="s">
        <v>229</v>
      </c>
      <c r="C9" s="256">
        <f>3324947550.35/1000000</f>
        <v>3324.9475503499998</v>
      </c>
      <c r="D9" s="256">
        <f>3325137649.79/1000000</f>
        <v>3325.1376497900001</v>
      </c>
      <c r="E9" s="256">
        <f>2850000488.26/1000000</f>
        <v>2850.0004882600001</v>
      </c>
      <c r="F9" s="256">
        <f>2665362168.81/1000000</f>
        <v>2665.3621688099997</v>
      </c>
      <c r="G9" s="257">
        <f>3124966134.74/1000000</f>
        <v>3124.9661347399997</v>
      </c>
    </row>
    <row r="10" spans="1:9">
      <c r="A10" s="249" t="s">
        <v>230</v>
      </c>
      <c r="B10" s="258" t="s">
        <v>231</v>
      </c>
      <c r="C10" s="256">
        <f t="shared" ref="C10:G16" si="2">0/1000000</f>
        <v>0</v>
      </c>
      <c r="D10" s="256">
        <f t="shared" si="2"/>
        <v>0</v>
      </c>
      <c r="E10" s="256">
        <f t="shared" si="2"/>
        <v>0</v>
      </c>
      <c r="F10" s="256">
        <f t="shared" si="2"/>
        <v>0</v>
      </c>
      <c r="G10" s="257">
        <f t="shared" si="2"/>
        <v>0</v>
      </c>
    </row>
    <row r="11" spans="1:9">
      <c r="A11" s="249" t="s">
        <v>232</v>
      </c>
      <c r="B11" s="258" t="s">
        <v>233</v>
      </c>
      <c r="C11" s="256">
        <f t="shared" si="2"/>
        <v>0</v>
      </c>
      <c r="D11" s="256">
        <f t="shared" si="2"/>
        <v>0</v>
      </c>
      <c r="E11" s="256">
        <f t="shared" si="2"/>
        <v>0</v>
      </c>
      <c r="F11" s="256">
        <f t="shared" si="2"/>
        <v>0</v>
      </c>
      <c r="G11" s="257">
        <f t="shared" si="2"/>
        <v>0</v>
      </c>
    </row>
    <row r="12" spans="1:9">
      <c r="A12" s="249" t="s">
        <v>234</v>
      </c>
      <c r="B12" s="258" t="s">
        <v>235</v>
      </c>
      <c r="C12" s="256">
        <f t="shared" si="2"/>
        <v>0</v>
      </c>
      <c r="D12" s="256">
        <f t="shared" si="2"/>
        <v>0</v>
      </c>
      <c r="E12" s="256">
        <f t="shared" si="2"/>
        <v>0</v>
      </c>
      <c r="F12" s="256">
        <f t="shared" si="2"/>
        <v>0</v>
      </c>
      <c r="G12" s="257">
        <f t="shared" si="2"/>
        <v>0</v>
      </c>
    </row>
    <row r="13" spans="1:9">
      <c r="A13" s="249" t="s">
        <v>236</v>
      </c>
      <c r="B13" s="258" t="s">
        <v>237</v>
      </c>
      <c r="C13" s="256">
        <f t="shared" si="2"/>
        <v>0</v>
      </c>
      <c r="D13" s="256">
        <f t="shared" si="2"/>
        <v>0</v>
      </c>
      <c r="E13" s="256">
        <f t="shared" si="2"/>
        <v>0</v>
      </c>
      <c r="F13" s="256">
        <f t="shared" si="2"/>
        <v>0</v>
      </c>
      <c r="G13" s="257">
        <f t="shared" si="2"/>
        <v>0</v>
      </c>
    </row>
    <row r="14" spans="1:9">
      <c r="A14" s="249" t="s">
        <v>238</v>
      </c>
      <c r="B14" s="258" t="s">
        <v>239</v>
      </c>
      <c r="C14" s="256">
        <f t="shared" si="2"/>
        <v>0</v>
      </c>
      <c r="D14" s="256">
        <f t="shared" si="2"/>
        <v>0</v>
      </c>
      <c r="E14" s="256">
        <f t="shared" si="2"/>
        <v>0</v>
      </c>
      <c r="F14" s="256">
        <f t="shared" si="2"/>
        <v>0</v>
      </c>
      <c r="G14" s="257">
        <f t="shared" si="2"/>
        <v>0</v>
      </c>
    </row>
    <row r="15" spans="1:9">
      <c r="A15" s="249" t="s">
        <v>240</v>
      </c>
      <c r="B15" s="258" t="s">
        <v>241</v>
      </c>
      <c r="C15" s="256">
        <f t="shared" si="2"/>
        <v>0</v>
      </c>
      <c r="D15" s="256">
        <f t="shared" si="2"/>
        <v>0</v>
      </c>
      <c r="E15" s="256">
        <f t="shared" si="2"/>
        <v>0</v>
      </c>
      <c r="F15" s="256">
        <f t="shared" si="2"/>
        <v>0</v>
      </c>
      <c r="G15" s="257">
        <f t="shared" si="2"/>
        <v>0</v>
      </c>
    </row>
    <row r="16" spans="1:9">
      <c r="A16" s="249" t="s">
        <v>242</v>
      </c>
      <c r="B16" s="258" t="s">
        <v>243</v>
      </c>
      <c r="C16" s="256">
        <f t="shared" si="2"/>
        <v>0</v>
      </c>
      <c r="D16" s="256">
        <f t="shared" si="2"/>
        <v>0</v>
      </c>
      <c r="E16" s="256">
        <f t="shared" si="2"/>
        <v>0</v>
      </c>
      <c r="F16" s="256">
        <f t="shared" si="2"/>
        <v>0</v>
      </c>
      <c r="G16" s="257">
        <f t="shared" si="2"/>
        <v>0</v>
      </c>
    </row>
    <row r="17" spans="1:7">
      <c r="A17" s="249" t="s">
        <v>244</v>
      </c>
      <c r="B17" s="258" t="s">
        <v>245</v>
      </c>
      <c r="C17" s="256">
        <f>11305142.21/1000000</f>
        <v>11.305142210000001</v>
      </c>
      <c r="D17" s="256">
        <f>6657646.68/1000000</f>
        <v>6.65764668</v>
      </c>
      <c r="E17" s="256">
        <f>10072483.48/1000000</f>
        <v>10.072483480000001</v>
      </c>
      <c r="F17" s="256">
        <f>8608233.39/1000000</f>
        <v>8.6082333900000005</v>
      </c>
      <c r="G17" s="257">
        <f>13127125.82/1000000</f>
        <v>13.12712582</v>
      </c>
    </row>
    <row r="18" spans="1:7">
      <c r="A18" s="249" t="s">
        <v>246</v>
      </c>
      <c r="B18" s="258" t="s">
        <v>247</v>
      </c>
      <c r="C18" s="256">
        <f>258623991.98/1000000</f>
        <v>258.62399197999997</v>
      </c>
      <c r="D18" s="256">
        <f>291342196.16/1000000</f>
        <v>291.34219616000001</v>
      </c>
      <c r="E18" s="256">
        <f>313072501.21/1000000</f>
        <v>313.07250120999998</v>
      </c>
      <c r="F18" s="256">
        <f>294598306.69/1000000</f>
        <v>294.59830669000002</v>
      </c>
      <c r="G18" s="257">
        <f>319833698.94/1000000</f>
        <v>319.83369893999998</v>
      </c>
    </row>
    <row r="19" spans="1:7">
      <c r="A19" s="249" t="s">
        <v>248</v>
      </c>
      <c r="B19" s="258" t="s">
        <v>249</v>
      </c>
      <c r="C19" s="256">
        <f>159620351.63/1000000</f>
        <v>159.62035162999999</v>
      </c>
      <c r="D19" s="256">
        <f>166115463.65/1000000</f>
        <v>166.11546365000001</v>
      </c>
      <c r="E19" s="256">
        <f>178849144.37/1000000</f>
        <v>178.84914437</v>
      </c>
      <c r="F19" s="256">
        <f>215168160.04/1000000</f>
        <v>215.16816004</v>
      </c>
      <c r="G19" s="257">
        <f>268144047.85/1000000</f>
        <v>268.14404784999999</v>
      </c>
    </row>
    <row r="20" spans="1:7">
      <c r="A20" s="249" t="s">
        <v>250</v>
      </c>
      <c r="B20" s="258" t="s">
        <v>251</v>
      </c>
      <c r="C20" s="256">
        <f>521200919.41/1000000</f>
        <v>521.20091940999998</v>
      </c>
      <c r="D20" s="256">
        <f>641629834.65/1000000</f>
        <v>641.62983465000002</v>
      </c>
      <c r="E20" s="256">
        <f>708345090/1000000</f>
        <v>708.34509000000003</v>
      </c>
      <c r="F20" s="256">
        <f>681338961.4/1000000</f>
        <v>681.33896140000002</v>
      </c>
      <c r="G20" s="257">
        <f>712026562.17/1000000</f>
        <v>712.02656216999992</v>
      </c>
    </row>
    <row r="21" spans="1:7">
      <c r="A21" s="249" t="s">
        <v>252</v>
      </c>
      <c r="B21" s="258" t="s">
        <v>253</v>
      </c>
      <c r="C21" s="256">
        <f>-19706705.54/1000000</f>
        <v>-19.706705539999998</v>
      </c>
      <c r="D21" s="256">
        <f>-67663031.77/1000000</f>
        <v>-67.663031769999989</v>
      </c>
      <c r="E21" s="256">
        <f>-92701810.9/1000000</f>
        <v>-92.701810900000012</v>
      </c>
      <c r="F21" s="256">
        <f>-74751474.5/1000000</f>
        <v>-74.7514745</v>
      </c>
      <c r="G21" s="257">
        <f>-103890297.65/1000000</f>
        <v>-103.89029765000001</v>
      </c>
    </row>
    <row r="22" spans="1:7">
      <c r="A22" s="249" t="s">
        <v>254</v>
      </c>
      <c r="B22" s="258" t="s">
        <v>255</v>
      </c>
      <c r="C22" s="256">
        <f>19310772.45/1000000</f>
        <v>19.310772449999998</v>
      </c>
      <c r="D22" s="256">
        <f>40733965.84/1000000</f>
        <v>40.733965840000003</v>
      </c>
      <c r="E22" s="256">
        <f>67904103.32/1000000</f>
        <v>67.90410331999999</v>
      </c>
      <c r="F22" s="256">
        <f>98688849.07/1000000</f>
        <v>98.688849069999989</v>
      </c>
      <c r="G22" s="257">
        <f>90984362.54/1000000</f>
        <v>90.984362540000006</v>
      </c>
    </row>
    <row r="23" spans="1:7">
      <c r="A23" s="249" t="s">
        <v>256</v>
      </c>
      <c r="B23" s="258" t="s">
        <v>257</v>
      </c>
      <c r="C23" s="256">
        <f>800531.45/1000000</f>
        <v>0.80053144999999992</v>
      </c>
      <c r="D23" s="256">
        <f>117139.83/1000000</f>
        <v>0.11713983</v>
      </c>
      <c r="E23" s="256">
        <f>141686.73/1000000</f>
        <v>0.14168673000000001</v>
      </c>
      <c r="F23" s="256">
        <f>1083250.58/1000000</f>
        <v>1.0832505800000001</v>
      </c>
      <c r="G23" s="257">
        <f>865703.21/1000000</f>
        <v>0.86570320999999995</v>
      </c>
    </row>
    <row r="24" spans="1:7" ht="15.75">
      <c r="B24" s="254" t="s">
        <v>258</v>
      </c>
      <c r="C24" s="256">
        <v>0</v>
      </c>
      <c r="D24" s="256">
        <v>0</v>
      </c>
      <c r="E24" s="256">
        <v>0</v>
      </c>
      <c r="F24" s="256">
        <v>0</v>
      </c>
      <c r="G24" s="257">
        <v>0</v>
      </c>
    </row>
    <row r="25" spans="1:7">
      <c r="A25" s="249" t="s">
        <v>259</v>
      </c>
      <c r="B25" s="258" t="s">
        <v>260</v>
      </c>
      <c r="C25" s="256">
        <f>21504855.59/1000000</f>
        <v>21.504855589999998</v>
      </c>
      <c r="D25" s="256">
        <f>27308135.8/1000000</f>
        <v>27.308135800000002</v>
      </c>
      <c r="E25" s="256">
        <f>30369928.17/1000000</f>
        <v>30.369928170000001</v>
      </c>
      <c r="F25" s="256">
        <f>32395579.86/1000000</f>
        <v>32.395579859999998</v>
      </c>
      <c r="G25" s="257">
        <f>21326596.17/1000000</f>
        <v>21.326596170000002</v>
      </c>
    </row>
    <row r="26" spans="1:7">
      <c r="A26" s="249" t="s">
        <v>261</v>
      </c>
      <c r="B26" s="258" t="s">
        <v>262</v>
      </c>
      <c r="C26" s="256">
        <f>-118383667.51/1000000</f>
        <v>-118.38366751000001</v>
      </c>
      <c r="D26" s="256">
        <f>-278084891.46/1000000</f>
        <v>-278.08489145999999</v>
      </c>
      <c r="E26" s="256">
        <f>-72893028.79/1000000</f>
        <v>-72.893028790000002</v>
      </c>
      <c r="F26" s="256">
        <f>-74138722.78/1000000</f>
        <v>-74.138722779999995</v>
      </c>
      <c r="G26" s="257">
        <f>-73473108.87/1000000</f>
        <v>-73.473108870000004</v>
      </c>
    </row>
    <row r="27" spans="1:7">
      <c r="A27" s="249" t="s">
        <v>263</v>
      </c>
      <c r="B27" s="258" t="s">
        <v>264</v>
      </c>
      <c r="C27" s="256">
        <f>4746.9/1000000</f>
        <v>4.7468999999999992E-3</v>
      </c>
      <c r="D27" s="256">
        <f>-128215.68/1000000</f>
        <v>-0.12821568</v>
      </c>
      <c r="E27" s="256">
        <f>0/1000000</f>
        <v>0</v>
      </c>
      <c r="F27" s="256">
        <f>0/1000000</f>
        <v>0</v>
      </c>
      <c r="G27" s="257">
        <f>0/1000000</f>
        <v>0</v>
      </c>
    </row>
    <row r="28" spans="1:7">
      <c r="A28" s="249" t="s">
        <v>265</v>
      </c>
      <c r="B28" s="258" t="s">
        <v>266</v>
      </c>
      <c r="C28" s="256">
        <f>6362.95/1000000</f>
        <v>6.36295E-3</v>
      </c>
      <c r="D28" s="256">
        <f>755968.21/1000000</f>
        <v>0.75596820999999992</v>
      </c>
      <c r="E28" s="256">
        <f>2530060.34/1000000</f>
        <v>2.5300603399999999</v>
      </c>
      <c r="F28" s="256">
        <f>2722478/1000000</f>
        <v>2.7224780000000002</v>
      </c>
      <c r="G28" s="257">
        <f>2522389.88/1000000</f>
        <v>2.52238988</v>
      </c>
    </row>
    <row r="29" spans="1:7">
      <c r="A29" s="249" t="s">
        <v>267</v>
      </c>
      <c r="B29" s="258" t="s">
        <v>268</v>
      </c>
      <c r="C29" s="256">
        <f>11269117.96/1000000</f>
        <v>11.269117960000001</v>
      </c>
      <c r="D29" s="256">
        <f>14865805.07/1000000</f>
        <v>14.86580507</v>
      </c>
      <c r="E29" s="256">
        <f>21185220.61/1000000</f>
        <v>21.185220609999998</v>
      </c>
      <c r="F29" s="256">
        <f>25237234.61/1000000</f>
        <v>25.237234609999998</v>
      </c>
      <c r="G29" s="257">
        <f>33204846.25/1000000</f>
        <v>33.204846250000003</v>
      </c>
    </row>
    <row r="30" spans="1:7">
      <c r="A30" s="249" t="s">
        <v>269</v>
      </c>
      <c r="B30" s="258" t="s">
        <v>270</v>
      </c>
      <c r="C30" s="256">
        <f>-25.12/1000000</f>
        <v>-2.512E-5</v>
      </c>
      <c r="D30" s="256">
        <f>-53480.47/1000000</f>
        <v>-5.3480470000000002E-2</v>
      </c>
      <c r="E30" s="256">
        <f>-908757.11/1000000</f>
        <v>-0.90875711000000003</v>
      </c>
      <c r="F30" s="256">
        <f>-355196.02/1000000</f>
        <v>-0.35519602</v>
      </c>
      <c r="G30" s="257">
        <f>257554.93/1000000</f>
        <v>0.25755493000000002</v>
      </c>
    </row>
    <row r="31" spans="1:7">
      <c r="A31" s="249" t="s">
        <v>271</v>
      </c>
      <c r="B31" s="258" t="s">
        <v>272</v>
      </c>
      <c r="C31" s="256">
        <f>0/1000000</f>
        <v>0</v>
      </c>
      <c r="D31" s="256">
        <f>0/1000000</f>
        <v>0</v>
      </c>
      <c r="E31" s="256">
        <f>0/1000000</f>
        <v>0</v>
      </c>
      <c r="F31" s="256">
        <f>0/1000000</f>
        <v>0</v>
      </c>
      <c r="G31" s="257">
        <f>0/1000000</f>
        <v>0</v>
      </c>
    </row>
    <row r="32" spans="1:7">
      <c r="A32" s="249" t="s">
        <v>273</v>
      </c>
      <c r="B32" s="258" t="s">
        <v>274</v>
      </c>
      <c r="C32" s="256">
        <f>2058.6/1000000</f>
        <v>2.0585999999999998E-3</v>
      </c>
      <c r="D32" s="256">
        <f>364632.44/1000000</f>
        <v>0.36463244</v>
      </c>
      <c r="E32" s="256">
        <f>29120.05/1000000</f>
        <v>2.9120049999999998E-2</v>
      </c>
      <c r="F32" s="256">
        <f>8522.57/1000000</f>
        <v>8.5225700000000001E-3</v>
      </c>
      <c r="G32" s="257">
        <f>24130114.41/1000000</f>
        <v>24.130114410000001</v>
      </c>
    </row>
    <row r="33" spans="1:7">
      <c r="A33" s="249" t="s">
        <v>275</v>
      </c>
      <c r="B33" s="258" t="s">
        <v>276</v>
      </c>
      <c r="C33" s="256">
        <f>0/1000000</f>
        <v>0</v>
      </c>
      <c r="D33" s="256">
        <f>0/1000000</f>
        <v>0</v>
      </c>
      <c r="E33" s="256">
        <f>0/1000000</f>
        <v>0</v>
      </c>
      <c r="F33" s="256">
        <f>0/1000000</f>
        <v>0</v>
      </c>
      <c r="G33" s="257">
        <f>0/1000000</f>
        <v>0</v>
      </c>
    </row>
    <row r="34" spans="1:7">
      <c r="B34" s="258" t="s">
        <v>277</v>
      </c>
      <c r="C34" s="259">
        <f>C35-(C4+C5+C6+C7-C9-C10-C11-C12-C13-C14-C15-C16-C17-C18-C19-C20-C21+C26+C27+C25+C28+C29+C31+C32+C33)</f>
        <v>0</v>
      </c>
      <c r="D34" s="259">
        <f t="shared" ref="D34:G34" si="3">D35-(D4+D5+D6+D7-D9-D10-D11-D12-D13-D14-D15-D16-D17-D18-D19-D20-D21+D26+D27+D25+D28+D29+D31+D32+D33)</f>
        <v>0</v>
      </c>
      <c r="E34" s="259">
        <f t="shared" si="3"/>
        <v>0</v>
      </c>
      <c r="F34" s="259">
        <f t="shared" si="3"/>
        <v>0</v>
      </c>
      <c r="G34" s="259">
        <f t="shared" si="3"/>
        <v>0</v>
      </c>
    </row>
    <row r="35" spans="1:7" ht="15.75">
      <c r="A35" s="249" t="s">
        <v>278</v>
      </c>
      <c r="B35" s="254" t="s">
        <v>279</v>
      </c>
      <c r="C35" s="256">
        <f>932471354.42/1000000</f>
        <v>932.47135442000001</v>
      </c>
      <c r="D35" s="256">
        <f>813729190.01/1000000</f>
        <v>813.72919001000002</v>
      </c>
      <c r="E35" s="256">
        <f>544509060.33/1000000</f>
        <v>544.50906033000001</v>
      </c>
      <c r="F35" s="256">
        <f>408526617.78/1000000</f>
        <v>408.52661777999998</v>
      </c>
      <c r="G35" s="257">
        <f>414511163.93/1000000</f>
        <v>414.51116393000001</v>
      </c>
    </row>
    <row r="36" spans="1:7">
      <c r="A36" s="249" t="s">
        <v>280</v>
      </c>
      <c r="B36" s="258" t="s">
        <v>281</v>
      </c>
      <c r="C36" s="256">
        <f>1609327.87/1000000</f>
        <v>1.6093278700000002</v>
      </c>
      <c r="D36" s="256">
        <f>1458929.36/1000000</f>
        <v>1.4589293600000002</v>
      </c>
      <c r="E36" s="256">
        <f>1140517.89/1000000</f>
        <v>1.1405178899999999</v>
      </c>
      <c r="F36" s="256">
        <f>3050670.71/1000000</f>
        <v>3.0506707099999999</v>
      </c>
      <c r="G36" s="257">
        <f>1119670.31/1000000</f>
        <v>1.1196703100000001</v>
      </c>
    </row>
    <row r="37" spans="1:7">
      <c r="A37" s="249" t="s">
        <v>282</v>
      </c>
      <c r="B37" s="258" t="s">
        <v>283</v>
      </c>
      <c r="C37" s="256">
        <f>65686.68/1000000</f>
        <v>6.5686679999999997E-2</v>
      </c>
      <c r="D37" s="256">
        <f>192701.11/1000000</f>
        <v>0.19270110999999998</v>
      </c>
      <c r="E37" s="256">
        <f>444660.41/1000000</f>
        <v>0.44466040999999995</v>
      </c>
      <c r="F37" s="256">
        <f>1612472.3/1000000</f>
        <v>1.6124723000000001</v>
      </c>
      <c r="G37" s="257">
        <f>1951303.39/1000000</f>
        <v>1.9513033899999999</v>
      </c>
    </row>
    <row r="38" spans="1:7">
      <c r="A38" s="249" t="s">
        <v>284</v>
      </c>
      <c r="B38" s="258" t="s">
        <v>285</v>
      </c>
      <c r="C38" s="256">
        <f>0/1000000</f>
        <v>0</v>
      </c>
      <c r="D38" s="256">
        <f>0/1000000</f>
        <v>0</v>
      </c>
      <c r="E38" s="256">
        <f>0/1000000</f>
        <v>0</v>
      </c>
      <c r="F38" s="256">
        <f>0/1000000</f>
        <v>0</v>
      </c>
      <c r="G38" s="257">
        <f>0/1000000</f>
        <v>0</v>
      </c>
    </row>
    <row r="39" spans="1:7">
      <c r="B39" s="258" t="s">
        <v>286</v>
      </c>
      <c r="C39" s="259">
        <f>C40-(C35+C36-C37)</f>
        <v>0</v>
      </c>
      <c r="D39" s="259">
        <f t="shared" ref="D39:G39" si="4">D40-(D35+D36-D37)</f>
        <v>0</v>
      </c>
      <c r="E39" s="259">
        <f t="shared" si="4"/>
        <v>0</v>
      </c>
      <c r="F39" s="259">
        <f t="shared" si="4"/>
        <v>0</v>
      </c>
      <c r="G39" s="259">
        <f t="shared" si="4"/>
        <v>0</v>
      </c>
    </row>
    <row r="40" spans="1:7" ht="15.75">
      <c r="A40" s="249" t="s">
        <v>287</v>
      </c>
      <c r="B40" s="254" t="s">
        <v>288</v>
      </c>
      <c r="C40" s="256">
        <f>934014995.61/1000000</f>
        <v>934.01499561000003</v>
      </c>
      <c r="D40" s="256">
        <f>814995418.26/1000000</f>
        <v>814.99541825999995</v>
      </c>
      <c r="E40" s="256">
        <f>545204917.81/1000000</f>
        <v>545.20491780999998</v>
      </c>
      <c r="F40" s="256">
        <f>409964816.19/1000000</f>
        <v>409.96481619000002</v>
      </c>
      <c r="G40" s="257">
        <f>413679530.85/1000000</f>
        <v>413.67953085000005</v>
      </c>
    </row>
    <row r="41" spans="1:7">
      <c r="A41" s="249" t="s">
        <v>289</v>
      </c>
      <c r="B41" s="258" t="s">
        <v>290</v>
      </c>
      <c r="C41" s="256">
        <f>12644002.49/1000000</f>
        <v>12.64400249</v>
      </c>
      <c r="D41" s="256">
        <f>36058611.32/1000000</f>
        <v>36.058611319999997</v>
      </c>
      <c r="E41" s="256">
        <f>29480483.3/1000000</f>
        <v>29.4804833</v>
      </c>
      <c r="F41" s="256">
        <f>45767036.44/1000000</f>
        <v>45.767036439999998</v>
      </c>
      <c r="G41" s="257">
        <f>38348772.15/1000000</f>
        <v>38.348772150000002</v>
      </c>
    </row>
    <row r="42" spans="1:7">
      <c r="A42" s="249" t="s">
        <v>291</v>
      </c>
      <c r="B42" s="258" t="s">
        <v>292</v>
      </c>
      <c r="C42" s="256">
        <f>0/1000000</f>
        <v>0</v>
      </c>
      <c r="D42" s="256">
        <f>0/1000000</f>
        <v>0</v>
      </c>
      <c r="E42" s="256">
        <f>0/1000000</f>
        <v>0</v>
      </c>
      <c r="F42" s="256">
        <f>0/1000000</f>
        <v>0</v>
      </c>
      <c r="G42" s="257">
        <f>0/1000000</f>
        <v>0</v>
      </c>
    </row>
    <row r="43" spans="1:7">
      <c r="B43" s="258" t="s">
        <v>293</v>
      </c>
      <c r="C43" s="259">
        <f>C44-(C40-C41+C42)</f>
        <v>0</v>
      </c>
      <c r="D43" s="259">
        <f t="shared" ref="D43:G43" si="5">D44-(D40-D41+D42)</f>
        <v>0</v>
      </c>
      <c r="E43" s="259">
        <f t="shared" si="5"/>
        <v>0</v>
      </c>
      <c r="F43" s="259">
        <f t="shared" si="5"/>
        <v>0</v>
      </c>
      <c r="G43" s="259">
        <f t="shared" si="5"/>
        <v>0</v>
      </c>
    </row>
    <row r="44" spans="1:7" ht="15.75">
      <c r="A44" s="249" t="s">
        <v>294</v>
      </c>
      <c r="B44" s="254" t="s">
        <v>295</v>
      </c>
      <c r="C44" s="256">
        <f>921370993.12/1000000</f>
        <v>921.37099311999998</v>
      </c>
      <c r="D44" s="256">
        <f>778936806.94/1000000</f>
        <v>778.93680694000011</v>
      </c>
      <c r="E44" s="256">
        <f>515724434.51/1000000</f>
        <v>515.72443451000004</v>
      </c>
      <c r="F44" s="256">
        <f>364197779.75/1000000</f>
        <v>364.19777975</v>
      </c>
      <c r="G44" s="257">
        <f>375330758.7/1000000</f>
        <v>375.33075869999999</v>
      </c>
    </row>
    <row r="45" spans="1:7">
      <c r="A45" s="249" t="s">
        <v>296</v>
      </c>
      <c r="B45" s="258" t="s">
        <v>297</v>
      </c>
      <c r="C45" s="256">
        <f>-4810177.59/1000000</f>
        <v>-4.8101775899999994</v>
      </c>
      <c r="D45" s="256">
        <f>-10306753.1/1000000</f>
        <v>-10.3067531</v>
      </c>
      <c r="E45" s="256">
        <f>-21529953.56/1000000</f>
        <v>-21.529953559999999</v>
      </c>
      <c r="F45" s="256">
        <f>-2004316.99/1000000</f>
        <v>-2.00431699</v>
      </c>
      <c r="G45" s="257">
        <f>-895264.36/1000000</f>
        <v>-0.89526435999999998</v>
      </c>
    </row>
    <row r="46" spans="1:7" ht="15.75">
      <c r="A46" s="249" t="s">
        <v>298</v>
      </c>
      <c r="B46" s="254" t="s">
        <v>299</v>
      </c>
      <c r="C46" s="256">
        <f>926181170.71/1000000</f>
        <v>926.18117071000006</v>
      </c>
      <c r="D46" s="256">
        <f>789243560.04/1000000</f>
        <v>789.24356003999992</v>
      </c>
      <c r="E46" s="256">
        <f>537254388.07/1000000</f>
        <v>537.25438807</v>
      </c>
      <c r="F46" s="256">
        <f>366202096.74/1000000</f>
        <v>366.20209674</v>
      </c>
      <c r="G46" s="257">
        <f>376226023.06/1000000</f>
        <v>376.22602305999999</v>
      </c>
    </row>
    <row r="47" spans="1:7">
      <c r="A47" s="249" t="s">
        <v>300</v>
      </c>
      <c r="B47" s="258" t="s">
        <v>301</v>
      </c>
      <c r="C47" s="256">
        <f>-39835858.7/1000000</f>
        <v>-39.835858700000003</v>
      </c>
      <c r="D47" s="256">
        <f>224784081.29/1000000</f>
        <v>224.78408128999999</v>
      </c>
      <c r="E47" s="256">
        <f>69903818.39/1000000</f>
        <v>69.903818389999998</v>
      </c>
      <c r="F47" s="256">
        <f>-59621816.37/1000000</f>
        <v>-59.621816369999998</v>
      </c>
      <c r="G47" s="257">
        <f>-45661901.09/1000000</f>
        <v>-45.661901090000001</v>
      </c>
    </row>
    <row r="48" spans="1:7" ht="15.75">
      <c r="A48" s="249" t="s">
        <v>302</v>
      </c>
      <c r="B48" s="254" t="s">
        <v>303</v>
      </c>
      <c r="C48" s="256">
        <f>881535134.42/1000000</f>
        <v>881.53513441999996</v>
      </c>
      <c r="D48" s="256">
        <f>1003720888.23/1000000</f>
        <v>1003.72088823</v>
      </c>
      <c r="E48" s="256">
        <f>585628252.9/1000000</f>
        <v>585.62825290000001</v>
      </c>
      <c r="F48" s="256">
        <f>304575963.38/1000000</f>
        <v>304.57596338000002</v>
      </c>
      <c r="G48" s="257">
        <f>329668857.61/1000000</f>
        <v>329.66885761000003</v>
      </c>
    </row>
    <row r="49" spans="1:7">
      <c r="A49" s="249" t="s">
        <v>304</v>
      </c>
      <c r="B49" s="258" t="s">
        <v>305</v>
      </c>
      <c r="C49" s="256">
        <f>-4722158.38/1000000</f>
        <v>-4.7221583799999998</v>
      </c>
      <c r="D49" s="256">
        <f>-10069512.76/1000000</f>
        <v>-10.06951276</v>
      </c>
      <c r="E49" s="256">
        <f>-21109596.32/1000000</f>
        <v>-21.109596320000001</v>
      </c>
      <c r="F49" s="256">
        <f>-2784013.5/1000000</f>
        <v>-2.7840134999999999</v>
      </c>
      <c r="G49" s="257">
        <f>-755620.19/1000000</f>
        <v>-0.75562018999999991</v>
      </c>
    </row>
    <row r="50" spans="1:7">
      <c r="A50" s="249" t="s">
        <v>306</v>
      </c>
      <c r="B50" s="258" t="s">
        <v>307</v>
      </c>
      <c r="C50" s="256">
        <f>886257292.8/1000000</f>
        <v>886.25729279999996</v>
      </c>
      <c r="D50" s="256">
        <f>1013790400.99/1000000</f>
        <v>1013.79040099</v>
      </c>
      <c r="E50" s="256">
        <f>606737849.22/1000000</f>
        <v>606.73784922000004</v>
      </c>
      <c r="F50" s="256">
        <f>307359976.88/1000000</f>
        <v>307.35997687999998</v>
      </c>
      <c r="G50" s="257">
        <f>330424477.8/1000000</f>
        <v>330.42447780000003</v>
      </c>
    </row>
    <row r="51" spans="1:7" ht="15.75">
      <c r="B51" s="254" t="s">
        <v>308</v>
      </c>
      <c r="C51" s="256">
        <v>0</v>
      </c>
      <c r="D51" s="256">
        <v>0</v>
      </c>
      <c r="E51" s="256">
        <v>0</v>
      </c>
      <c r="F51" s="256">
        <v>0</v>
      </c>
      <c r="G51" s="257">
        <v>0</v>
      </c>
    </row>
    <row r="52" spans="1:7">
      <c r="A52" s="249" t="s">
        <v>309</v>
      </c>
      <c r="B52" s="258" t="s">
        <v>310</v>
      </c>
      <c r="C52" s="256">
        <v>1.9704999999999999</v>
      </c>
      <c r="D52" s="256">
        <v>1.6389</v>
      </c>
      <c r="E52" s="256">
        <v>1.1155999999999999</v>
      </c>
      <c r="F52" s="256">
        <v>0.76039999999999996</v>
      </c>
      <c r="G52" s="256">
        <v>0.78029999999999999</v>
      </c>
    </row>
    <row r="53" spans="1:7">
      <c r="A53" s="249" t="s">
        <v>311</v>
      </c>
      <c r="B53" s="258" t="s">
        <v>312</v>
      </c>
      <c r="C53" s="256">
        <v>1.9704999999999999</v>
      </c>
      <c r="D53" s="256">
        <v>1.6389</v>
      </c>
      <c r="E53" s="256">
        <v>1.1155999999999999</v>
      </c>
      <c r="F53" s="256">
        <v>0.75919999999999999</v>
      </c>
      <c r="G53" s="257">
        <v>0.77810000000000001</v>
      </c>
    </row>
    <row r="54" spans="1:7">
      <c r="B54" s="258"/>
      <c r="C54" s="260"/>
      <c r="D54" s="260"/>
      <c r="E54" s="260"/>
      <c r="F54" s="260"/>
      <c r="G54" s="261"/>
    </row>
    <row r="55" spans="1:7" ht="15.75">
      <c r="B55" s="254" t="s">
        <v>313</v>
      </c>
      <c r="G55" s="255"/>
    </row>
    <row r="56" spans="1:7" ht="15.75">
      <c r="B56" s="254" t="s">
        <v>314</v>
      </c>
      <c r="C56" s="260"/>
      <c r="D56" s="260"/>
      <c r="E56" s="260"/>
      <c r="F56" s="260"/>
      <c r="G56" s="261"/>
    </row>
    <row r="57" spans="1:7">
      <c r="A57" s="249" t="s">
        <v>315</v>
      </c>
      <c r="B57" s="258" t="s">
        <v>316</v>
      </c>
      <c r="C57" s="256">
        <f>2918515815.85/1000000</f>
        <v>2918.5158158499999</v>
      </c>
      <c r="D57" s="256">
        <f>3400750573.3/1000000</f>
        <v>3400.7505733000003</v>
      </c>
      <c r="E57" s="256">
        <f>3927271066.93/1000000</f>
        <v>3927.27106693</v>
      </c>
      <c r="F57" s="256">
        <f>3716647634.05/1000000</f>
        <v>3716.6476340500003</v>
      </c>
      <c r="G57" s="257">
        <f>4091644233.3/1000000</f>
        <v>4091.6442333</v>
      </c>
    </row>
    <row r="58" spans="1:7">
      <c r="A58" s="249" t="s">
        <v>317</v>
      </c>
      <c r="B58" s="258" t="s">
        <v>318</v>
      </c>
      <c r="C58" s="256">
        <f t="shared" ref="C58:G59" si="6">0/1000000</f>
        <v>0</v>
      </c>
      <c r="D58" s="256">
        <f t="shared" si="6"/>
        <v>0</v>
      </c>
      <c r="E58" s="256">
        <f t="shared" si="6"/>
        <v>0</v>
      </c>
      <c r="F58" s="256">
        <f t="shared" si="6"/>
        <v>0</v>
      </c>
      <c r="G58" s="257">
        <f t="shared" si="6"/>
        <v>0</v>
      </c>
    </row>
    <row r="59" spans="1:7">
      <c r="A59" s="249" t="s">
        <v>319</v>
      </c>
      <c r="B59" s="258" t="s">
        <v>320</v>
      </c>
      <c r="C59" s="256">
        <f t="shared" si="6"/>
        <v>0</v>
      </c>
      <c r="D59" s="256">
        <f t="shared" si="6"/>
        <v>0</v>
      </c>
      <c r="E59" s="256">
        <f t="shared" si="6"/>
        <v>0</v>
      </c>
      <c r="F59" s="256">
        <f t="shared" si="6"/>
        <v>0</v>
      </c>
      <c r="G59" s="257">
        <f t="shared" si="6"/>
        <v>0</v>
      </c>
    </row>
    <row r="60" spans="1:7">
      <c r="A60" s="249" t="s">
        <v>321</v>
      </c>
      <c r="B60" s="258" t="s">
        <v>322</v>
      </c>
      <c r="C60" s="256">
        <f>962223278.55/1000000</f>
        <v>962.22327854999992</v>
      </c>
      <c r="D60" s="256">
        <f>350606803.1/1000000</f>
        <v>350.60680310000004</v>
      </c>
      <c r="E60" s="256">
        <f>393865132/1000000</f>
        <v>393.86513200000002</v>
      </c>
      <c r="F60" s="256">
        <f>757737081.95/1000000</f>
        <v>757.73708195000006</v>
      </c>
      <c r="G60" s="257">
        <f>899704566.73/1000000</f>
        <v>899.70456673000001</v>
      </c>
    </row>
    <row r="61" spans="1:7">
      <c r="A61" s="249" t="s">
        <v>323</v>
      </c>
      <c r="B61" s="258" t="s">
        <v>324</v>
      </c>
      <c r="C61" s="256">
        <f>0/1000000</f>
        <v>0</v>
      </c>
      <c r="D61" s="256">
        <f>0/1000000</f>
        <v>0</v>
      </c>
      <c r="E61" s="256">
        <f>0/1000000</f>
        <v>0</v>
      </c>
      <c r="F61" s="256">
        <f>0/1000000</f>
        <v>0</v>
      </c>
      <c r="G61" s="257">
        <f>0/1000000</f>
        <v>0</v>
      </c>
    </row>
    <row r="62" spans="1:7">
      <c r="A62" s="262" t="s">
        <v>325</v>
      </c>
      <c r="B62" s="258" t="s">
        <v>326</v>
      </c>
      <c r="C62" s="256">
        <f>658228909.43/1000000</f>
        <v>658.22890942999993</v>
      </c>
      <c r="D62" s="256">
        <f>515980742.71/1000000</f>
        <v>515.98074270999996</v>
      </c>
      <c r="E62" s="256">
        <f>403348797.21/1000000</f>
        <v>403.34879720999999</v>
      </c>
      <c r="F62" s="256">
        <f>388728561.44/1000000</f>
        <v>388.72856144000002</v>
      </c>
      <c r="G62" s="257">
        <f>466532460.33/1000000</f>
        <v>466.53246032999999</v>
      </c>
    </row>
    <row r="63" spans="1:7">
      <c r="A63" s="262" t="s">
        <v>327</v>
      </c>
      <c r="B63" s="258" t="s">
        <v>328</v>
      </c>
      <c r="C63" s="256">
        <f>2702368.75/1000000</f>
        <v>2.7023687500000002</v>
      </c>
      <c r="D63" s="256">
        <f>4441972.61/1000000</f>
        <v>4.4419726100000005</v>
      </c>
      <c r="E63" s="256">
        <f>3983684.21/1000000</f>
        <v>3.9836842099999998</v>
      </c>
      <c r="F63" s="256">
        <f>2222831.71/1000000</f>
        <v>2.2228317099999999</v>
      </c>
      <c r="G63" s="257">
        <f>4248796.06/1000000</f>
        <v>4.2487960599999992</v>
      </c>
    </row>
    <row r="64" spans="1:7">
      <c r="A64" s="262" t="s">
        <v>329</v>
      </c>
      <c r="B64" s="258" t="s">
        <v>330</v>
      </c>
      <c r="C64" s="256">
        <f>0/1000000</f>
        <v>0</v>
      </c>
      <c r="D64" s="256">
        <f>0/1000000</f>
        <v>0</v>
      </c>
      <c r="E64" s="256">
        <f>0/1000000</f>
        <v>0</v>
      </c>
      <c r="F64" s="256">
        <f>0/1000000</f>
        <v>0</v>
      </c>
      <c r="G64" s="257">
        <f>0/1000000</f>
        <v>0</v>
      </c>
    </row>
    <row r="65" spans="1:7">
      <c r="A65" s="249" t="s">
        <v>331</v>
      </c>
      <c r="B65" s="258" t="s">
        <v>332</v>
      </c>
      <c r="C65" s="256">
        <f>29270318.65/1000000</f>
        <v>29.27031865</v>
      </c>
      <c r="D65" s="256">
        <f>54214687.7/1000000</f>
        <v>54.214687700000006</v>
      </c>
      <c r="E65" s="256">
        <f>69007065.53/1000000</f>
        <v>69.007065530000006</v>
      </c>
      <c r="F65" s="256">
        <f>89784502.68/1000000</f>
        <v>89.784502680000003</v>
      </c>
      <c r="G65" s="257">
        <f>157536178.01/1000000</f>
        <v>157.53617800999999</v>
      </c>
    </row>
    <row r="66" spans="1:7">
      <c r="A66" s="249" t="s">
        <v>333</v>
      </c>
      <c r="B66" s="258" t="s">
        <v>334</v>
      </c>
      <c r="C66" s="256">
        <f t="shared" ref="C66:G68" si="7">0/1000000</f>
        <v>0</v>
      </c>
      <c r="D66" s="256">
        <f t="shared" si="7"/>
        <v>0</v>
      </c>
      <c r="E66" s="256">
        <f t="shared" si="7"/>
        <v>0</v>
      </c>
      <c r="F66" s="256">
        <f t="shared" si="7"/>
        <v>0</v>
      </c>
      <c r="G66" s="257">
        <f t="shared" si="7"/>
        <v>0</v>
      </c>
    </row>
    <row r="67" spans="1:7">
      <c r="A67" s="249" t="s">
        <v>335</v>
      </c>
      <c r="B67" s="258" t="s">
        <v>336</v>
      </c>
      <c r="C67" s="256">
        <f t="shared" si="7"/>
        <v>0</v>
      </c>
      <c r="D67" s="256">
        <f t="shared" si="7"/>
        <v>0</v>
      </c>
      <c r="E67" s="256">
        <f t="shared" si="7"/>
        <v>0</v>
      </c>
      <c r="F67" s="256">
        <f t="shared" si="7"/>
        <v>0</v>
      </c>
      <c r="G67" s="257">
        <f t="shared" si="7"/>
        <v>0</v>
      </c>
    </row>
    <row r="68" spans="1:7">
      <c r="A68" s="249" t="s">
        <v>337</v>
      </c>
      <c r="B68" s="258" t="s">
        <v>338</v>
      </c>
      <c r="C68" s="256">
        <f t="shared" si="7"/>
        <v>0</v>
      </c>
      <c r="D68" s="256">
        <f t="shared" si="7"/>
        <v>0</v>
      </c>
      <c r="E68" s="256">
        <f t="shared" si="7"/>
        <v>0</v>
      </c>
      <c r="F68" s="256">
        <f t="shared" si="7"/>
        <v>0</v>
      </c>
      <c r="G68" s="257">
        <f t="shared" si="7"/>
        <v>0</v>
      </c>
    </row>
    <row r="69" spans="1:7">
      <c r="A69" s="264" t="s">
        <v>339</v>
      </c>
      <c r="B69" s="258" t="s">
        <v>340</v>
      </c>
      <c r="C69" s="256">
        <f>94215122.4/1000000</f>
        <v>94.215122400000013</v>
      </c>
      <c r="D69" s="256">
        <f>101897452.84/1000000</f>
        <v>101.89745284</v>
      </c>
      <c r="E69" s="256">
        <f>284038530.38/1000000</f>
        <v>284.03853038</v>
      </c>
      <c r="F69" s="256">
        <f>284817717.83/1000000</f>
        <v>284.81771782999999</v>
      </c>
      <c r="G69" s="257">
        <f>1657225.2/1000000</f>
        <v>1.6572251999999998</v>
      </c>
    </row>
    <row r="70" spans="1:7">
      <c r="A70" s="249" t="s">
        <v>341</v>
      </c>
      <c r="B70" s="258" t="s">
        <v>342</v>
      </c>
      <c r="C70" s="256">
        <f>0/1000000</f>
        <v>0</v>
      </c>
      <c r="D70" s="256">
        <f>0/1000000</f>
        <v>0</v>
      </c>
      <c r="E70" s="256">
        <f>0/1000000</f>
        <v>0</v>
      </c>
      <c r="F70" s="256">
        <f>0/1000000</f>
        <v>0</v>
      </c>
      <c r="G70" s="257">
        <f>0/1000000</f>
        <v>0</v>
      </c>
    </row>
    <row r="71" spans="1:7">
      <c r="A71" s="249" t="s">
        <v>343</v>
      </c>
      <c r="B71" s="258" t="s">
        <v>344</v>
      </c>
      <c r="C71" s="256">
        <f>1419402116.56/1000000</f>
        <v>1419.40211656</v>
      </c>
      <c r="D71" s="256">
        <f>2303836726.95/1000000</f>
        <v>2303.83672695</v>
      </c>
      <c r="E71" s="256">
        <f>2404780777.28/1000000</f>
        <v>2404.7807772800002</v>
      </c>
      <c r="F71" s="256">
        <f>2672020502.5/1000000</f>
        <v>2672.0205025</v>
      </c>
      <c r="G71" s="257">
        <f>2974647122.48/1000000</f>
        <v>2974.6471224800002</v>
      </c>
    </row>
    <row r="72" spans="1:7">
      <c r="A72" s="249" t="s">
        <v>345</v>
      </c>
      <c r="B72" s="258" t="s">
        <v>346</v>
      </c>
      <c r="C72" s="256">
        <f t="shared" ref="C72:G74" si="8">0/1000000</f>
        <v>0</v>
      </c>
      <c r="D72" s="256">
        <f t="shared" si="8"/>
        <v>0</v>
      </c>
      <c r="E72" s="256">
        <f t="shared" si="8"/>
        <v>0</v>
      </c>
      <c r="F72" s="256">
        <f t="shared" si="8"/>
        <v>0</v>
      </c>
      <c r="G72" s="257">
        <f t="shared" si="8"/>
        <v>0</v>
      </c>
    </row>
    <row r="73" spans="1:7">
      <c r="A73" s="249" t="s">
        <v>347</v>
      </c>
      <c r="B73" s="258" t="s">
        <v>348</v>
      </c>
      <c r="C73" s="256">
        <f t="shared" si="8"/>
        <v>0</v>
      </c>
      <c r="D73" s="256">
        <f t="shared" si="8"/>
        <v>0</v>
      </c>
      <c r="E73" s="256">
        <f t="shared" si="8"/>
        <v>0</v>
      </c>
      <c r="F73" s="256">
        <f t="shared" si="8"/>
        <v>0</v>
      </c>
      <c r="G73" s="257">
        <f t="shared" si="8"/>
        <v>0</v>
      </c>
    </row>
    <row r="74" spans="1:7">
      <c r="A74" s="249" t="s">
        <v>349</v>
      </c>
      <c r="B74" s="258" t="s">
        <v>350</v>
      </c>
      <c r="C74" s="256">
        <f t="shared" si="8"/>
        <v>0</v>
      </c>
      <c r="D74" s="256">
        <f t="shared" si="8"/>
        <v>0</v>
      </c>
      <c r="E74" s="256">
        <f t="shared" si="8"/>
        <v>0</v>
      </c>
      <c r="F74" s="256">
        <f t="shared" si="8"/>
        <v>0</v>
      </c>
      <c r="G74" s="257">
        <f t="shared" si="8"/>
        <v>0</v>
      </c>
    </row>
    <row r="75" spans="1:7">
      <c r="A75" s="249" t="s">
        <v>351</v>
      </c>
      <c r="B75" s="258" t="s">
        <v>352</v>
      </c>
      <c r="C75" s="256">
        <f t="shared" ref="C75:E76" si="9">0/1000000</f>
        <v>0</v>
      </c>
      <c r="D75" s="256">
        <f t="shared" si="9"/>
        <v>0</v>
      </c>
      <c r="E75" s="256">
        <f t="shared" si="9"/>
        <v>0</v>
      </c>
      <c r="F75" s="256">
        <f>43804254.99/1000000</f>
        <v>43.804254990000004</v>
      </c>
      <c r="G75" s="257">
        <f>0/1000000</f>
        <v>0</v>
      </c>
    </row>
    <row r="76" spans="1:7">
      <c r="A76" s="249" t="s">
        <v>353</v>
      </c>
      <c r="B76" s="258" t="s">
        <v>354</v>
      </c>
      <c r="C76" s="256">
        <f t="shared" si="9"/>
        <v>0</v>
      </c>
      <c r="D76" s="256">
        <f t="shared" si="9"/>
        <v>0</v>
      </c>
      <c r="E76" s="256">
        <f t="shared" si="9"/>
        <v>0</v>
      </c>
      <c r="F76" s="256">
        <f>0/1000000</f>
        <v>0</v>
      </c>
      <c r="G76" s="257">
        <f>0/1000000</f>
        <v>0</v>
      </c>
    </row>
    <row r="77" spans="1:7">
      <c r="A77" s="249" t="s">
        <v>355</v>
      </c>
      <c r="B77" s="258" t="s">
        <v>356</v>
      </c>
      <c r="C77" s="256">
        <f>45749647.72/1000000</f>
        <v>45.749647719999999</v>
      </c>
      <c r="D77" s="256">
        <f>63361565.1/1000000</f>
        <v>63.3615651</v>
      </c>
      <c r="E77" s="256">
        <f>96716587.31/1000000</f>
        <v>96.716587310000008</v>
      </c>
      <c r="F77" s="256">
        <f>92692403.8/1000000</f>
        <v>92.692403799999994</v>
      </c>
      <c r="G77" s="257">
        <f>97386625.59/1000000</f>
        <v>97.386625590000008</v>
      </c>
    </row>
    <row r="78" spans="1:7">
      <c r="B78" s="258" t="s">
        <v>357</v>
      </c>
      <c r="C78" s="259">
        <f>C79-SUM(C57:C77)</f>
        <v>0</v>
      </c>
      <c r="D78" s="259">
        <f t="shared" ref="D78:G78" si="10">D79-SUM(D57:D77)</f>
        <v>0</v>
      </c>
      <c r="E78" s="259">
        <f t="shared" si="10"/>
        <v>0</v>
      </c>
      <c r="F78" s="259">
        <f t="shared" si="10"/>
        <v>0</v>
      </c>
      <c r="G78" s="259">
        <f t="shared" si="10"/>
        <v>0</v>
      </c>
    </row>
    <row r="79" spans="1:7" ht="15.75">
      <c r="A79" s="249" t="s">
        <v>358</v>
      </c>
      <c r="B79" s="254" t="s">
        <v>359</v>
      </c>
      <c r="C79" s="256">
        <f>6130307577.91/1000000</f>
        <v>6130.30757791</v>
      </c>
      <c r="D79" s="256">
        <f>6795090524.31/1000000</f>
        <v>6795.0905243100005</v>
      </c>
      <c r="E79" s="256">
        <f>7583011640.85/1000000</f>
        <v>7583.0116408500007</v>
      </c>
      <c r="F79" s="256">
        <f>8048455490.95/1000000</f>
        <v>8048.4554909500002</v>
      </c>
      <c r="G79" s="257">
        <f>8693357207.7/1000000</f>
        <v>8693.3572077000008</v>
      </c>
    </row>
    <row r="80" spans="1:7" ht="15.75">
      <c r="B80" s="254" t="s">
        <v>360</v>
      </c>
      <c r="C80" s="256">
        <v>0</v>
      </c>
      <c r="D80" s="256">
        <v>0</v>
      </c>
      <c r="E80" s="256">
        <v>0</v>
      </c>
      <c r="F80" s="256">
        <v>0</v>
      </c>
      <c r="G80" s="257">
        <v>0</v>
      </c>
    </row>
    <row r="81" spans="1:7">
      <c r="A81" s="249" t="s">
        <v>361</v>
      </c>
      <c r="B81" s="258" t="s">
        <v>362</v>
      </c>
      <c r="C81" s="256">
        <f t="shared" ref="C81:G85" si="11">0/1000000</f>
        <v>0</v>
      </c>
      <c r="D81" s="256">
        <f t="shared" si="11"/>
        <v>0</v>
      </c>
      <c r="E81" s="256">
        <f t="shared" si="11"/>
        <v>0</v>
      </c>
      <c r="F81" s="256">
        <f t="shared" si="11"/>
        <v>0</v>
      </c>
      <c r="G81" s="257">
        <f t="shared" si="11"/>
        <v>0</v>
      </c>
    </row>
    <row r="82" spans="1:7">
      <c r="A82" s="249" t="s">
        <v>363</v>
      </c>
      <c r="B82" s="258" t="s">
        <v>364</v>
      </c>
      <c r="C82" s="256">
        <f t="shared" si="11"/>
        <v>0</v>
      </c>
      <c r="D82" s="256">
        <f t="shared" si="11"/>
        <v>0</v>
      </c>
      <c r="E82" s="256">
        <f t="shared" si="11"/>
        <v>0</v>
      </c>
      <c r="F82" s="256">
        <f t="shared" si="11"/>
        <v>0</v>
      </c>
      <c r="G82" s="257">
        <f t="shared" si="11"/>
        <v>0</v>
      </c>
    </row>
    <row r="83" spans="1:7">
      <c r="A83" s="249" t="s">
        <v>365</v>
      </c>
      <c r="B83" s="258" t="s">
        <v>366</v>
      </c>
      <c r="C83" s="256">
        <f t="shared" si="11"/>
        <v>0</v>
      </c>
      <c r="D83" s="256">
        <f t="shared" si="11"/>
        <v>0</v>
      </c>
      <c r="E83" s="256">
        <f t="shared" si="11"/>
        <v>0</v>
      </c>
      <c r="F83" s="256">
        <f t="shared" si="11"/>
        <v>0</v>
      </c>
      <c r="G83" s="257">
        <f t="shared" si="11"/>
        <v>0</v>
      </c>
    </row>
    <row r="84" spans="1:7">
      <c r="A84" s="249" t="s">
        <v>367</v>
      </c>
      <c r="B84" s="258" t="s">
        <v>368</v>
      </c>
      <c r="C84" s="256">
        <f t="shared" si="11"/>
        <v>0</v>
      </c>
      <c r="D84" s="256">
        <f t="shared" si="11"/>
        <v>0</v>
      </c>
      <c r="E84" s="256">
        <f t="shared" si="11"/>
        <v>0</v>
      </c>
      <c r="F84" s="256">
        <f t="shared" si="11"/>
        <v>0</v>
      </c>
      <c r="G84" s="257">
        <f t="shared" si="11"/>
        <v>0</v>
      </c>
    </row>
    <row r="85" spans="1:7">
      <c r="A85" s="249" t="s">
        <v>369</v>
      </c>
      <c r="B85" s="258" t="s">
        <v>370</v>
      </c>
      <c r="C85" s="256">
        <f t="shared" si="11"/>
        <v>0</v>
      </c>
      <c r="D85" s="256">
        <f t="shared" si="11"/>
        <v>0</v>
      </c>
      <c r="E85" s="256">
        <f t="shared" si="11"/>
        <v>0</v>
      </c>
      <c r="F85" s="256">
        <f t="shared" si="11"/>
        <v>0</v>
      </c>
      <c r="G85" s="257">
        <f t="shared" si="11"/>
        <v>0</v>
      </c>
    </row>
    <row r="86" spans="1:7">
      <c r="A86" s="249" t="s">
        <v>371</v>
      </c>
      <c r="B86" s="258" t="s">
        <v>372</v>
      </c>
      <c r="C86" s="256">
        <f>522284758.37/1000000</f>
        <v>522.28475836999996</v>
      </c>
      <c r="D86" s="256">
        <f>393131221.93/1000000</f>
        <v>393.13122192999998</v>
      </c>
      <c r="E86" s="256">
        <f>222039309.05/1000000</f>
        <v>222.03930905000001</v>
      </c>
      <c r="F86" s="256">
        <f>0/1000000</f>
        <v>0</v>
      </c>
      <c r="G86" s="257">
        <f>0/1000000</f>
        <v>0</v>
      </c>
    </row>
    <row r="87" spans="1:7">
      <c r="A87" s="249" t="s">
        <v>373</v>
      </c>
      <c r="B87" s="258" t="s">
        <v>374</v>
      </c>
      <c r="C87" s="256">
        <f>1903308.24/1000000</f>
        <v>1.9033082400000001</v>
      </c>
      <c r="D87" s="256">
        <f>1849827.77/1000000</f>
        <v>1.8498277700000001</v>
      </c>
      <c r="E87" s="256">
        <f>941070.66/1000000</f>
        <v>0.94107066000000006</v>
      </c>
      <c r="F87" s="256">
        <f>585874.64/1000000</f>
        <v>0.58587464</v>
      </c>
      <c r="G87" s="257">
        <f>843429.57/1000000</f>
        <v>0.84342956999999996</v>
      </c>
    </row>
    <row r="88" spans="1:7">
      <c r="A88" s="249" t="s">
        <v>375</v>
      </c>
      <c r="B88" s="258" t="s">
        <v>376</v>
      </c>
      <c r="C88" s="256">
        <f>153490097.14/1000000</f>
        <v>153.49009713999999</v>
      </c>
      <c r="D88" s="256">
        <f>325616710.73/1000000</f>
        <v>325.61671073000002</v>
      </c>
      <c r="E88" s="256">
        <f>427812867.67/1000000</f>
        <v>427.81286767</v>
      </c>
      <c r="F88" s="256">
        <f>547523024.09/1000000</f>
        <v>547.52302409000004</v>
      </c>
      <c r="G88" s="257">
        <f>648167360.97/1000000</f>
        <v>648.16736097</v>
      </c>
    </row>
    <row r="89" spans="1:7">
      <c r="A89" s="249" t="s">
        <v>377</v>
      </c>
      <c r="B89" s="258" t="s">
        <v>378</v>
      </c>
      <c r="C89" s="256">
        <f>0/1000000</f>
        <v>0</v>
      </c>
      <c r="D89" s="256">
        <f>0/1000000</f>
        <v>0</v>
      </c>
      <c r="E89" s="256">
        <f>0/1000000</f>
        <v>0</v>
      </c>
      <c r="F89" s="256">
        <f>0/1000000</f>
        <v>0</v>
      </c>
      <c r="G89" s="257">
        <f>0/1000000</f>
        <v>0</v>
      </c>
    </row>
    <row r="90" spans="1:7">
      <c r="A90" s="249" t="s">
        <v>379</v>
      </c>
      <c r="B90" s="258" t="s">
        <v>380</v>
      </c>
      <c r="C90" s="256">
        <f>29402909.36/1000000</f>
        <v>29.402909359999999</v>
      </c>
      <c r="D90" s="256">
        <f>28665983.96/1000000</f>
        <v>28.665983960000002</v>
      </c>
      <c r="E90" s="256">
        <f>79583366.31/1000000</f>
        <v>79.583366310000002</v>
      </c>
      <c r="F90" s="256">
        <f>83488206.28/1000000</f>
        <v>83.48820628</v>
      </c>
      <c r="G90" s="257">
        <f>83174293.84/1000000</f>
        <v>83.174293840000004</v>
      </c>
    </row>
    <row r="91" spans="1:7">
      <c r="A91" s="264" t="s">
        <v>381</v>
      </c>
      <c r="B91" s="258" t="s">
        <v>382</v>
      </c>
      <c r="C91" s="256">
        <f>378439328.06/1000000</f>
        <v>378.43932805999998</v>
      </c>
      <c r="D91" s="256">
        <f>367426474.25/1000000</f>
        <v>367.42647425000001</v>
      </c>
      <c r="E91" s="256">
        <f>451352120.3/1000000</f>
        <v>451.35212030000002</v>
      </c>
      <c r="F91" s="256">
        <f>467435747.82/1000000</f>
        <v>467.43574782000002</v>
      </c>
      <c r="G91" s="257">
        <f>462270658.41/1000000</f>
        <v>462.27065841000001</v>
      </c>
    </row>
    <row r="92" spans="1:7">
      <c r="A92" s="264" t="s">
        <v>383</v>
      </c>
      <c r="B92" s="258" t="s">
        <v>384</v>
      </c>
      <c r="C92" s="256">
        <f>111591235.93/1000000</f>
        <v>111.59123593000001</v>
      </c>
      <c r="D92" s="256">
        <f>133476198.16/1000000</f>
        <v>133.47619816</v>
      </c>
      <c r="E92" s="256">
        <f>4067220.6/1000000</f>
        <v>4.0672205999999997</v>
      </c>
      <c r="F92" s="256">
        <f>1326662.35/1000000</f>
        <v>1.3266623500000001</v>
      </c>
      <c r="G92" s="257">
        <f>9680007.14/1000000</f>
        <v>9.6800071400000007</v>
      </c>
    </row>
    <row r="93" spans="1:7">
      <c r="A93" s="249" t="s">
        <v>385</v>
      </c>
      <c r="B93" s="258" t="s">
        <v>386</v>
      </c>
      <c r="C93" s="256">
        <f t="shared" ref="C93:G94" si="12">0/1000000</f>
        <v>0</v>
      </c>
      <c r="D93" s="256">
        <f t="shared" si="12"/>
        <v>0</v>
      </c>
      <c r="E93" s="256">
        <f t="shared" si="12"/>
        <v>0</v>
      </c>
      <c r="F93" s="256">
        <f t="shared" si="12"/>
        <v>0</v>
      </c>
      <c r="G93" s="257">
        <f t="shared" si="12"/>
        <v>0</v>
      </c>
    </row>
    <row r="94" spans="1:7">
      <c r="A94" s="249" t="s">
        <v>387</v>
      </c>
      <c r="B94" s="258" t="s">
        <v>388</v>
      </c>
      <c r="C94" s="256">
        <f t="shared" si="12"/>
        <v>0</v>
      </c>
      <c r="D94" s="256">
        <f t="shared" si="12"/>
        <v>0</v>
      </c>
      <c r="E94" s="256">
        <f t="shared" si="12"/>
        <v>0</v>
      </c>
      <c r="F94" s="256">
        <f t="shared" si="12"/>
        <v>0</v>
      </c>
      <c r="G94" s="257">
        <f t="shared" si="12"/>
        <v>0</v>
      </c>
    </row>
    <row r="95" spans="1:7">
      <c r="A95" s="262" t="s">
        <v>389</v>
      </c>
      <c r="B95" s="258" t="s">
        <v>390</v>
      </c>
      <c r="C95" s="256">
        <f>14418877.21/1000000</f>
        <v>14.418877210000002</v>
      </c>
      <c r="D95" s="256">
        <f>14735645.63/1000000</f>
        <v>14.73564563</v>
      </c>
      <c r="E95" s="256">
        <f>31789417.65/1000000</f>
        <v>31.789417649999997</v>
      </c>
      <c r="F95" s="256">
        <f>22866891.48/1000000</f>
        <v>22.86689148</v>
      </c>
      <c r="G95" s="257">
        <f>16938198.79/1000000</f>
        <v>16.938198789999998</v>
      </c>
    </row>
    <row r="96" spans="1:7">
      <c r="A96" s="249" t="s">
        <v>391</v>
      </c>
      <c r="B96" s="258" t="s">
        <v>392</v>
      </c>
      <c r="C96" s="256">
        <f>778579462.07/1000000</f>
        <v>778.57946207000009</v>
      </c>
      <c r="D96" s="256">
        <f>720851735.36/1000000</f>
        <v>720.85173536000002</v>
      </c>
      <c r="E96" s="256">
        <f>644585228.69/1000000</f>
        <v>644.58522869000001</v>
      </c>
      <c r="F96" s="256">
        <f>554239455.09/1000000</f>
        <v>554.23945508999998</v>
      </c>
      <c r="G96" s="257">
        <f>467161105.25/1000000</f>
        <v>467.16110524999999</v>
      </c>
    </row>
    <row r="97" spans="1:7">
      <c r="A97" s="249" t="s">
        <v>250</v>
      </c>
      <c r="B97" s="258" t="s">
        <v>393</v>
      </c>
      <c r="C97" s="256">
        <f>98804344.04/1000000</f>
        <v>98.804344040000004</v>
      </c>
      <c r="D97" s="256">
        <f>82689957.55/1000000</f>
        <v>82.689957550000003</v>
      </c>
      <c r="E97" s="256">
        <f>46655253.52/1000000</f>
        <v>46.655253520000002</v>
      </c>
      <c r="F97" s="256">
        <f>55854248.99/1000000</f>
        <v>55.854248990000002</v>
      </c>
      <c r="G97" s="257">
        <f>37254586.98/1000000</f>
        <v>37.254586979999999</v>
      </c>
    </row>
    <row r="98" spans="1:7">
      <c r="A98" s="249" t="s">
        <v>394</v>
      </c>
      <c r="B98" s="258" t="s">
        <v>395</v>
      </c>
      <c r="C98" s="256">
        <f>3007784304.89/1000000</f>
        <v>3007.7843048899999</v>
      </c>
      <c r="D98" s="256">
        <f>3007784304.89/1000000</f>
        <v>3007.7843048899999</v>
      </c>
      <c r="E98" s="256">
        <f>3007784304.89/1000000</f>
        <v>3007.7843048899999</v>
      </c>
      <c r="F98" s="256">
        <f>3007784304.89/1000000</f>
        <v>3007.7843048899999</v>
      </c>
      <c r="G98" s="257">
        <f>3007784304.89/1000000</f>
        <v>3007.7843048899999</v>
      </c>
    </row>
    <row r="99" spans="1:7">
      <c r="A99" s="249" t="s">
        <v>396</v>
      </c>
      <c r="B99" s="258" t="s">
        <v>397</v>
      </c>
      <c r="C99" s="256">
        <f>5231924.91/1000000</f>
        <v>5.23192491</v>
      </c>
      <c r="D99" s="256">
        <f>3123706.24/1000000</f>
        <v>3.1237062400000002</v>
      </c>
      <c r="E99" s="256">
        <f>0/1000000</f>
        <v>0</v>
      </c>
      <c r="F99" s="256">
        <f>0/1000000</f>
        <v>0</v>
      </c>
      <c r="G99" s="257">
        <f>0/1000000</f>
        <v>0</v>
      </c>
    </row>
    <row r="100" spans="1:7">
      <c r="A100" s="249" t="s">
        <v>398</v>
      </c>
      <c r="B100" s="258" t="s">
        <v>399</v>
      </c>
      <c r="C100" s="256">
        <f>90376920.35/1000000</f>
        <v>90.376920349999992</v>
      </c>
      <c r="D100" s="256">
        <f>119256755.39/1000000</f>
        <v>119.25675539</v>
      </c>
      <c r="E100" s="256">
        <f>134871756.1/1000000</f>
        <v>134.8717561</v>
      </c>
      <c r="F100" s="256">
        <f>129085624.04/1000000</f>
        <v>129.08562404</v>
      </c>
      <c r="G100" s="257">
        <f>132530178.87/1000000</f>
        <v>132.53017887000001</v>
      </c>
    </row>
    <row r="101" spans="1:7">
      <c r="A101" s="249" t="s">
        <v>400</v>
      </c>
      <c r="B101" s="258" t="s">
        <v>401</v>
      </c>
      <c r="C101" s="256">
        <f>12411177.68/1000000</f>
        <v>12.41117768</v>
      </c>
      <c r="D101" s="256">
        <f>428137584.4/1000000</f>
        <v>428.13758439999998</v>
      </c>
      <c r="E101" s="256">
        <f>107533383.12/1000000</f>
        <v>107.53338312000001</v>
      </c>
      <c r="F101" s="256">
        <f>8299569.65/1000000</f>
        <v>8.2995696500000005</v>
      </c>
      <c r="G101" s="257">
        <f>14043961.06/1000000</f>
        <v>14.043961060000001</v>
      </c>
    </row>
    <row r="102" spans="1:7">
      <c r="B102" s="258" t="s">
        <v>402</v>
      </c>
      <c r="C102" s="259">
        <f>C103-SUM(C81:C101)</f>
        <v>0</v>
      </c>
      <c r="D102" s="259">
        <f t="shared" ref="D102:G102" si="13">D103-SUM(D81:D101)</f>
        <v>0</v>
      </c>
      <c r="E102" s="259">
        <f t="shared" si="13"/>
        <v>0</v>
      </c>
      <c r="F102" s="259">
        <f t="shared" si="13"/>
        <v>0</v>
      </c>
      <c r="G102" s="259">
        <f t="shared" si="13"/>
        <v>0</v>
      </c>
    </row>
    <row r="103" spans="1:7" ht="15.75">
      <c r="A103" s="249" t="s">
        <v>403</v>
      </c>
      <c r="B103" s="254" t="s">
        <v>404</v>
      </c>
      <c r="C103" s="256">
        <f>5204718648.25/1000000</f>
        <v>5204.7186482500001</v>
      </c>
      <c r="D103" s="256">
        <f>5626746106.26/1000000</f>
        <v>5626.7461062600005</v>
      </c>
      <c r="E103" s="256">
        <f>5159015298.56/1000000</f>
        <v>5159.0152985600007</v>
      </c>
      <c r="F103" s="256">
        <f>4878489609.32/1000000</f>
        <v>4878.4896093199995</v>
      </c>
      <c r="G103" s="257">
        <f>4879848085.77/1000000</f>
        <v>4879.8480857700006</v>
      </c>
    </row>
    <row r="104" spans="1:7">
      <c r="A104" s="249" t="s">
        <v>405</v>
      </c>
      <c r="B104" s="258" t="s">
        <v>406</v>
      </c>
      <c r="C104" s="256">
        <f t="shared" ref="C104:G105" si="14">0/1000000</f>
        <v>0</v>
      </c>
      <c r="D104" s="256">
        <f t="shared" si="14"/>
        <v>0</v>
      </c>
      <c r="E104" s="256">
        <f t="shared" si="14"/>
        <v>0</v>
      </c>
      <c r="F104" s="256">
        <f t="shared" si="14"/>
        <v>0</v>
      </c>
      <c r="G104" s="257">
        <f t="shared" si="14"/>
        <v>0</v>
      </c>
    </row>
    <row r="105" spans="1:7">
      <c r="A105" s="249" t="s">
        <v>407</v>
      </c>
      <c r="B105" s="258" t="s">
        <v>408</v>
      </c>
      <c r="C105" s="256">
        <f t="shared" si="14"/>
        <v>0</v>
      </c>
      <c r="D105" s="256">
        <f t="shared" si="14"/>
        <v>0</v>
      </c>
      <c r="E105" s="256">
        <f t="shared" si="14"/>
        <v>0</v>
      </c>
      <c r="F105" s="256">
        <f t="shared" si="14"/>
        <v>0</v>
      </c>
      <c r="G105" s="257">
        <f t="shared" si="14"/>
        <v>0</v>
      </c>
    </row>
    <row r="106" spans="1:7" ht="15.75">
      <c r="A106" s="249" t="s">
        <v>409</v>
      </c>
      <c r="B106" s="254" t="s">
        <v>410</v>
      </c>
      <c r="C106" s="256">
        <f>11335026226.16/1000000</f>
        <v>11335.02622616</v>
      </c>
      <c r="D106" s="256">
        <f>12421836630.57/1000000</f>
        <v>12421.83663057</v>
      </c>
      <c r="E106" s="256">
        <f>12742026939.41/1000000</f>
        <v>12742.02693941</v>
      </c>
      <c r="F106" s="256">
        <f>12926945100.27/1000000</f>
        <v>12926.945100270001</v>
      </c>
      <c r="G106" s="257">
        <f>13573205293.47/1000000</f>
        <v>13573.205293469999</v>
      </c>
    </row>
    <row r="107" spans="1:7" ht="15.75">
      <c r="B107" s="254" t="s">
        <v>411</v>
      </c>
      <c r="C107" s="256">
        <v>0</v>
      </c>
      <c r="D107" s="256">
        <v>0</v>
      </c>
      <c r="E107" s="256">
        <v>0</v>
      </c>
      <c r="F107" s="256">
        <v>0</v>
      </c>
      <c r="G107" s="257">
        <v>0</v>
      </c>
    </row>
    <row r="108" spans="1:7">
      <c r="A108" s="249" t="s">
        <v>412</v>
      </c>
      <c r="B108" s="258" t="s">
        <v>413</v>
      </c>
      <c r="C108" s="256">
        <f t="shared" ref="C108:G113" si="15">0/1000000</f>
        <v>0</v>
      </c>
      <c r="D108" s="256">
        <f t="shared" si="15"/>
        <v>0</v>
      </c>
      <c r="E108" s="256">
        <f t="shared" si="15"/>
        <v>0</v>
      </c>
      <c r="F108" s="256">
        <f t="shared" si="15"/>
        <v>0</v>
      </c>
      <c r="G108" s="257">
        <f t="shared" si="15"/>
        <v>0</v>
      </c>
    </row>
    <row r="109" spans="1:7">
      <c r="A109" s="249" t="s">
        <v>414</v>
      </c>
      <c r="B109" s="258" t="s">
        <v>415</v>
      </c>
      <c r="C109" s="256">
        <f t="shared" si="15"/>
        <v>0</v>
      </c>
      <c r="D109" s="256">
        <f t="shared" si="15"/>
        <v>0</v>
      </c>
      <c r="E109" s="256">
        <f t="shared" si="15"/>
        <v>0</v>
      </c>
      <c r="F109" s="256">
        <f t="shared" si="15"/>
        <v>0</v>
      </c>
      <c r="G109" s="257">
        <f t="shared" si="15"/>
        <v>0</v>
      </c>
    </row>
    <row r="110" spans="1:7">
      <c r="A110" s="249" t="s">
        <v>416</v>
      </c>
      <c r="B110" s="258" t="s">
        <v>417</v>
      </c>
      <c r="C110" s="256">
        <f t="shared" si="15"/>
        <v>0</v>
      </c>
      <c r="D110" s="256">
        <f t="shared" si="15"/>
        <v>0</v>
      </c>
      <c r="E110" s="256">
        <f t="shared" si="15"/>
        <v>0</v>
      </c>
      <c r="F110" s="256">
        <f t="shared" si="15"/>
        <v>0</v>
      </c>
      <c r="G110" s="257">
        <f t="shared" si="15"/>
        <v>0</v>
      </c>
    </row>
    <row r="111" spans="1:7">
      <c r="A111" s="249" t="s">
        <v>418</v>
      </c>
      <c r="B111" s="258" t="s">
        <v>419</v>
      </c>
      <c r="C111" s="256">
        <f t="shared" si="15"/>
        <v>0</v>
      </c>
      <c r="D111" s="256">
        <f t="shared" si="15"/>
        <v>0</v>
      </c>
      <c r="E111" s="256">
        <f t="shared" si="15"/>
        <v>0</v>
      </c>
      <c r="F111" s="256">
        <f t="shared" si="15"/>
        <v>0</v>
      </c>
      <c r="G111" s="257">
        <f t="shared" si="15"/>
        <v>0</v>
      </c>
    </row>
    <row r="112" spans="1:7">
      <c r="A112" s="249" t="s">
        <v>420</v>
      </c>
      <c r="B112" s="258" t="s">
        <v>421</v>
      </c>
      <c r="C112" s="256">
        <f t="shared" si="15"/>
        <v>0</v>
      </c>
      <c r="D112" s="256">
        <f t="shared" si="15"/>
        <v>0</v>
      </c>
      <c r="E112" s="256">
        <f t="shared" si="15"/>
        <v>0</v>
      </c>
      <c r="F112" s="256">
        <f t="shared" si="15"/>
        <v>0</v>
      </c>
      <c r="G112" s="257">
        <f t="shared" si="15"/>
        <v>0</v>
      </c>
    </row>
    <row r="113" spans="1:7">
      <c r="A113" s="249" t="s">
        <v>422</v>
      </c>
      <c r="B113" s="258" t="s">
        <v>423</v>
      </c>
      <c r="C113" s="256">
        <f t="shared" si="15"/>
        <v>0</v>
      </c>
      <c r="D113" s="256">
        <f t="shared" si="15"/>
        <v>0</v>
      </c>
      <c r="E113" s="256">
        <f t="shared" si="15"/>
        <v>0</v>
      </c>
      <c r="F113" s="256">
        <f t="shared" si="15"/>
        <v>0</v>
      </c>
      <c r="G113" s="257">
        <f t="shared" si="15"/>
        <v>0</v>
      </c>
    </row>
    <row r="114" spans="1:7">
      <c r="A114" s="262" t="s">
        <v>424</v>
      </c>
      <c r="B114" s="258" t="s">
        <v>425</v>
      </c>
      <c r="C114" s="256">
        <f>658688644.34/1000000</f>
        <v>658.68864434</v>
      </c>
      <c r="D114" s="256">
        <f>659802548.93/1000000</f>
        <v>659.80254892999994</v>
      </c>
      <c r="E114" s="256">
        <f>422567473.12/1000000</f>
        <v>422.56747311999999</v>
      </c>
      <c r="F114" s="256">
        <f>433744227.69/1000000</f>
        <v>433.74422769</v>
      </c>
      <c r="G114" s="257">
        <f>599033467.54/1000000</f>
        <v>599.03346753999995</v>
      </c>
    </row>
    <row r="115" spans="1:7">
      <c r="A115" s="262" t="s">
        <v>426</v>
      </c>
      <c r="B115" s="258" t="s">
        <v>427</v>
      </c>
      <c r="C115" s="256">
        <f t="shared" ref="C115:G116" si="16">0/1000000</f>
        <v>0</v>
      </c>
      <c r="D115" s="256">
        <f t="shared" si="16"/>
        <v>0</v>
      </c>
      <c r="E115" s="256">
        <f t="shared" si="16"/>
        <v>0</v>
      </c>
      <c r="F115" s="256">
        <f t="shared" si="16"/>
        <v>0</v>
      </c>
      <c r="G115" s="257">
        <f t="shared" si="16"/>
        <v>0</v>
      </c>
    </row>
    <row r="116" spans="1:7">
      <c r="A116" s="249" t="s">
        <v>428</v>
      </c>
      <c r="B116" s="258" t="s">
        <v>429</v>
      </c>
      <c r="C116" s="256">
        <f t="shared" si="16"/>
        <v>0</v>
      </c>
      <c r="D116" s="256">
        <f t="shared" si="16"/>
        <v>0</v>
      </c>
      <c r="E116" s="256">
        <f t="shared" si="16"/>
        <v>0</v>
      </c>
      <c r="F116" s="256">
        <f t="shared" si="16"/>
        <v>0</v>
      </c>
      <c r="G116" s="257">
        <f t="shared" si="16"/>
        <v>0</v>
      </c>
    </row>
    <row r="117" spans="1:7">
      <c r="A117" s="249" t="s">
        <v>430</v>
      </c>
      <c r="B117" s="258" t="s">
        <v>431</v>
      </c>
      <c r="C117" s="256">
        <f>36103210.07/1000000</f>
        <v>36.103210070000003</v>
      </c>
      <c r="D117" s="256">
        <f>127356184.17/1000000</f>
        <v>127.35618417000001</v>
      </c>
      <c r="E117" s="256">
        <f>74879324.67/1000000</f>
        <v>74.879324670000003</v>
      </c>
      <c r="F117" s="256">
        <f>65719040.68/1000000</f>
        <v>65.719040680000006</v>
      </c>
      <c r="G117" s="257">
        <f>109613681.38/1000000</f>
        <v>109.61368137999999</v>
      </c>
    </row>
    <row r="118" spans="1:7">
      <c r="A118" s="249" t="s">
        <v>432</v>
      </c>
      <c r="B118" s="258" t="s">
        <v>433</v>
      </c>
      <c r="C118" s="256">
        <f t="shared" ref="C118:G119" si="17">0/1000000</f>
        <v>0</v>
      </c>
      <c r="D118" s="256">
        <f t="shared" si="17"/>
        <v>0</v>
      </c>
      <c r="E118" s="256">
        <f t="shared" si="17"/>
        <v>0</v>
      </c>
      <c r="F118" s="256">
        <f t="shared" si="17"/>
        <v>0</v>
      </c>
      <c r="G118" s="257">
        <f t="shared" si="17"/>
        <v>0</v>
      </c>
    </row>
    <row r="119" spans="1:7">
      <c r="A119" s="249" t="s">
        <v>434</v>
      </c>
      <c r="B119" s="258" t="s">
        <v>435</v>
      </c>
      <c r="C119" s="256">
        <f t="shared" si="17"/>
        <v>0</v>
      </c>
      <c r="D119" s="256">
        <f t="shared" si="17"/>
        <v>0</v>
      </c>
      <c r="E119" s="256">
        <f t="shared" si="17"/>
        <v>0</v>
      </c>
      <c r="F119" s="256">
        <f t="shared" si="17"/>
        <v>0</v>
      </c>
      <c r="G119" s="257">
        <f t="shared" si="17"/>
        <v>0</v>
      </c>
    </row>
    <row r="120" spans="1:7">
      <c r="A120" s="249" t="s">
        <v>436</v>
      </c>
      <c r="B120" s="258" t="s">
        <v>437</v>
      </c>
      <c r="C120" s="256">
        <f>112946436.64/1000000</f>
        <v>112.94643664</v>
      </c>
      <c r="D120" s="256">
        <f>190249303.82/1000000</f>
        <v>190.24930381999999</v>
      </c>
      <c r="E120" s="256">
        <f>220711410.18/1000000</f>
        <v>220.71141018</v>
      </c>
      <c r="F120" s="256">
        <f>191618842.85/1000000</f>
        <v>191.61884284999999</v>
      </c>
      <c r="G120" s="257">
        <f>208277895.92/1000000</f>
        <v>208.27789591999999</v>
      </c>
    </row>
    <row r="121" spans="1:7">
      <c r="A121" s="249" t="s">
        <v>438</v>
      </c>
      <c r="B121" s="258" t="s">
        <v>439</v>
      </c>
      <c r="C121" s="256">
        <f>28257337.74/1000000</f>
        <v>28.257337739999997</v>
      </c>
      <c r="D121" s="256">
        <f>11014878.57/1000000</f>
        <v>11.01487857</v>
      </c>
      <c r="E121" s="256">
        <f>24874943.71/1000000</f>
        <v>24.87494371</v>
      </c>
      <c r="F121" s="256">
        <f>12895499.02/1000000</f>
        <v>12.895499019999999</v>
      </c>
      <c r="G121" s="257">
        <f>34237408.67/1000000</f>
        <v>34.237408670000001</v>
      </c>
    </row>
    <row r="122" spans="1:7">
      <c r="A122" s="264" t="s">
        <v>440</v>
      </c>
      <c r="B122" s="258" t="s">
        <v>441</v>
      </c>
      <c r="C122" s="256">
        <f>36014622.52/1000000</f>
        <v>36.014622520000003</v>
      </c>
      <c r="D122" s="256">
        <f>51580677.5/1000000</f>
        <v>51.5806775</v>
      </c>
      <c r="E122" s="256">
        <f>26727264.58/1000000</f>
        <v>26.72726458</v>
      </c>
      <c r="F122" s="256">
        <f>20993833.88/1000000</f>
        <v>20.99383388</v>
      </c>
      <c r="G122" s="257">
        <f>32188814.49/1000000</f>
        <v>32.188814489999999</v>
      </c>
    </row>
    <row r="123" spans="1:7">
      <c r="A123" s="249" t="s">
        <v>442</v>
      </c>
      <c r="B123" s="258" t="s">
        <v>443</v>
      </c>
      <c r="C123" s="256">
        <f t="shared" ref="C123:G127" si="18">0/1000000</f>
        <v>0</v>
      </c>
      <c r="D123" s="256">
        <f t="shared" si="18"/>
        <v>0</v>
      </c>
      <c r="E123" s="256">
        <f t="shared" si="18"/>
        <v>0</v>
      </c>
      <c r="F123" s="256">
        <f t="shared" si="18"/>
        <v>0</v>
      </c>
      <c r="G123" s="257">
        <f t="shared" si="18"/>
        <v>0</v>
      </c>
    </row>
    <row r="124" spans="1:7">
      <c r="A124" s="249" t="s">
        <v>444</v>
      </c>
      <c r="B124" s="258" t="s">
        <v>445</v>
      </c>
      <c r="C124" s="256">
        <f t="shared" si="18"/>
        <v>0</v>
      </c>
      <c r="D124" s="256">
        <f t="shared" si="18"/>
        <v>0</v>
      </c>
      <c r="E124" s="256">
        <f t="shared" si="18"/>
        <v>0</v>
      </c>
      <c r="F124" s="256">
        <f t="shared" si="18"/>
        <v>0</v>
      </c>
      <c r="G124" s="257">
        <f t="shared" si="18"/>
        <v>0</v>
      </c>
    </row>
    <row r="125" spans="1:7">
      <c r="A125" s="249" t="s">
        <v>446</v>
      </c>
      <c r="B125" s="258" t="s">
        <v>447</v>
      </c>
      <c r="C125" s="256">
        <f t="shared" si="18"/>
        <v>0</v>
      </c>
      <c r="D125" s="256">
        <f t="shared" si="18"/>
        <v>0</v>
      </c>
      <c r="E125" s="256">
        <f t="shared" si="18"/>
        <v>0</v>
      </c>
      <c r="F125" s="256">
        <f t="shared" si="18"/>
        <v>0</v>
      </c>
      <c r="G125" s="257">
        <f t="shared" si="18"/>
        <v>0</v>
      </c>
    </row>
    <row r="126" spans="1:7">
      <c r="A126" s="249" t="s">
        <v>448</v>
      </c>
      <c r="B126" s="258" t="s">
        <v>449</v>
      </c>
      <c r="C126" s="256">
        <f t="shared" si="18"/>
        <v>0</v>
      </c>
      <c r="D126" s="256">
        <f t="shared" si="18"/>
        <v>0</v>
      </c>
      <c r="E126" s="256">
        <f t="shared" si="18"/>
        <v>0</v>
      </c>
      <c r="F126" s="256">
        <f t="shared" si="18"/>
        <v>0</v>
      </c>
      <c r="G126" s="257">
        <f t="shared" si="18"/>
        <v>0</v>
      </c>
    </row>
    <row r="127" spans="1:7">
      <c r="A127" s="249" t="s">
        <v>450</v>
      </c>
      <c r="B127" s="258" t="s">
        <v>451</v>
      </c>
      <c r="C127" s="256">
        <f t="shared" si="18"/>
        <v>0</v>
      </c>
      <c r="D127" s="256">
        <f t="shared" si="18"/>
        <v>0</v>
      </c>
      <c r="E127" s="256">
        <f t="shared" si="18"/>
        <v>0</v>
      </c>
      <c r="F127" s="256">
        <f t="shared" si="18"/>
        <v>0</v>
      </c>
      <c r="G127" s="257">
        <f t="shared" si="18"/>
        <v>0</v>
      </c>
    </row>
    <row r="128" spans="1:7">
      <c r="A128" s="249" t="s">
        <v>452</v>
      </c>
      <c r="B128" s="258" t="s">
        <v>453</v>
      </c>
      <c r="C128" s="256">
        <f>9313344.07/1000000</f>
        <v>9.3133440699999994</v>
      </c>
      <c r="D128" s="256">
        <f>8390267.55/1000000</f>
        <v>8.3902675500000008</v>
      </c>
      <c r="E128" s="256">
        <f>12561818.72/1000000</f>
        <v>12.561818720000002</v>
      </c>
      <c r="F128" s="256">
        <f>10061763.58/1000000</f>
        <v>10.061763580000001</v>
      </c>
      <c r="G128" s="257">
        <f>8414216.88/1000000</f>
        <v>8.4142168800000015</v>
      </c>
    </row>
    <row r="129" spans="1:7">
      <c r="A129" s="249" t="s">
        <v>454</v>
      </c>
      <c r="B129" s="258" t="s">
        <v>455</v>
      </c>
      <c r="C129" s="256">
        <f t="shared" ref="C129:G131" si="19">0/1000000</f>
        <v>0</v>
      </c>
      <c r="D129" s="256">
        <f t="shared" si="19"/>
        <v>0</v>
      </c>
      <c r="E129" s="256">
        <f t="shared" si="19"/>
        <v>0</v>
      </c>
      <c r="F129" s="256">
        <f t="shared" si="19"/>
        <v>0</v>
      </c>
      <c r="G129" s="257">
        <f t="shared" si="19"/>
        <v>0</v>
      </c>
    </row>
    <row r="130" spans="1:7">
      <c r="A130" s="249" t="s">
        <v>456</v>
      </c>
      <c r="B130" s="258" t="s">
        <v>457</v>
      </c>
      <c r="C130" s="256">
        <f t="shared" si="19"/>
        <v>0</v>
      </c>
      <c r="D130" s="256">
        <f t="shared" si="19"/>
        <v>0</v>
      </c>
      <c r="E130" s="256">
        <f t="shared" si="19"/>
        <v>0</v>
      </c>
      <c r="F130" s="256">
        <f t="shared" si="19"/>
        <v>0</v>
      </c>
      <c r="G130" s="257">
        <f t="shared" si="19"/>
        <v>0</v>
      </c>
    </row>
    <row r="131" spans="1:7">
      <c r="A131" s="249" t="s">
        <v>458</v>
      </c>
      <c r="B131" s="258" t="s">
        <v>459</v>
      </c>
      <c r="C131" s="256">
        <f t="shared" si="19"/>
        <v>0</v>
      </c>
      <c r="D131" s="256">
        <f t="shared" si="19"/>
        <v>0</v>
      </c>
      <c r="E131" s="256">
        <f t="shared" si="19"/>
        <v>0</v>
      </c>
      <c r="F131" s="256">
        <f t="shared" si="19"/>
        <v>0</v>
      </c>
      <c r="G131" s="257">
        <f t="shared" si="19"/>
        <v>0</v>
      </c>
    </row>
    <row r="132" spans="1:7">
      <c r="A132" s="249" t="s">
        <v>460</v>
      </c>
      <c r="B132" s="258" t="s">
        <v>461</v>
      </c>
      <c r="C132" s="256">
        <f>3451868.62/1000000</f>
        <v>3.4518686199999999</v>
      </c>
      <c r="D132" s="256">
        <f>2327195.8/1000000</f>
        <v>2.3271957999999997</v>
      </c>
      <c r="E132" s="256">
        <f>2274216.35/1000000</f>
        <v>2.2742163500000001</v>
      </c>
      <c r="F132" s="256">
        <f>3076700.13/1000000</f>
        <v>3.0767001299999999</v>
      </c>
      <c r="G132" s="257">
        <f>8212041.53/1000000</f>
        <v>8.2120415300000005</v>
      </c>
    </row>
    <row r="133" spans="1:7">
      <c r="B133" s="258" t="s">
        <v>462</v>
      </c>
      <c r="C133" s="259">
        <f>C134-SUM(C108:C132)</f>
        <v>0</v>
      </c>
      <c r="D133" s="259">
        <f t="shared" ref="D133:G133" si="20">D134-SUM(D108:D132)</f>
        <v>0</v>
      </c>
      <c r="E133" s="259">
        <f t="shared" si="20"/>
        <v>0</v>
      </c>
      <c r="F133" s="259">
        <f t="shared" si="20"/>
        <v>0</v>
      </c>
      <c r="G133" s="259">
        <f t="shared" si="20"/>
        <v>0</v>
      </c>
    </row>
    <row r="134" spans="1:7" ht="15.75">
      <c r="A134" s="249" t="s">
        <v>463</v>
      </c>
      <c r="B134" s="254" t="s">
        <v>464</v>
      </c>
      <c r="C134" s="256">
        <f>884775464/1000000</f>
        <v>884.77546400000006</v>
      </c>
      <c r="D134" s="256">
        <f>1050721056.34/1000000</f>
        <v>1050.7210563400001</v>
      </c>
      <c r="E134" s="256">
        <f>784596451.33/1000000</f>
        <v>784.59645133000004</v>
      </c>
      <c r="F134" s="256">
        <f>738109907.83/1000000</f>
        <v>738.10990783</v>
      </c>
      <c r="G134" s="257">
        <f>999977526.41/1000000</f>
        <v>999.97752641</v>
      </c>
    </row>
    <row r="135" spans="1:7" ht="15.75">
      <c r="B135" s="254" t="s">
        <v>465</v>
      </c>
      <c r="C135" s="256">
        <v>0</v>
      </c>
      <c r="D135" s="256">
        <v>0</v>
      </c>
      <c r="E135" s="256">
        <v>0</v>
      </c>
      <c r="F135" s="256">
        <v>0</v>
      </c>
      <c r="G135" s="257">
        <v>0</v>
      </c>
    </row>
    <row r="136" spans="1:7">
      <c r="A136" s="249" t="s">
        <v>466</v>
      </c>
      <c r="B136" s="258" t="s">
        <v>467</v>
      </c>
      <c r="C136" s="256">
        <f t="shared" ref="C136:G137" si="21">0/1000000</f>
        <v>0</v>
      </c>
      <c r="D136" s="256">
        <f t="shared" si="21"/>
        <v>0</v>
      </c>
      <c r="E136" s="256">
        <f t="shared" si="21"/>
        <v>0</v>
      </c>
      <c r="F136" s="256">
        <f t="shared" si="21"/>
        <v>0</v>
      </c>
      <c r="G136" s="257">
        <f t="shared" si="21"/>
        <v>0</v>
      </c>
    </row>
    <row r="137" spans="1:7">
      <c r="A137" s="249" t="s">
        <v>468</v>
      </c>
      <c r="B137" s="258" t="s">
        <v>469</v>
      </c>
      <c r="C137" s="256">
        <f t="shared" si="21"/>
        <v>0</v>
      </c>
      <c r="D137" s="256">
        <f t="shared" si="21"/>
        <v>0</v>
      </c>
      <c r="E137" s="256">
        <f t="shared" si="21"/>
        <v>0</v>
      </c>
      <c r="F137" s="256">
        <f t="shared" si="21"/>
        <v>0</v>
      </c>
      <c r="G137" s="257">
        <f t="shared" si="21"/>
        <v>0</v>
      </c>
    </row>
    <row r="138" spans="1:7">
      <c r="A138" s="262" t="s">
        <v>470</v>
      </c>
      <c r="B138" s="258" t="s">
        <v>471</v>
      </c>
      <c r="C138" s="256">
        <f>5470208.36/1000000</f>
        <v>5.47020836</v>
      </c>
      <c r="D138" s="256">
        <f>6514261.55/1000000</f>
        <v>6.5142615499999996</v>
      </c>
      <c r="E138" s="256">
        <f>19700470.75/1000000</f>
        <v>19.700470750000001</v>
      </c>
      <c r="F138" s="256">
        <f>13622589.63/1000000</f>
        <v>13.62258963</v>
      </c>
      <c r="G138" s="257">
        <f>9343397.89/1000000</f>
        <v>9.3433978900000003</v>
      </c>
    </row>
    <row r="139" spans="1:7">
      <c r="A139" s="264" t="s">
        <v>472</v>
      </c>
      <c r="B139" s="258" t="s">
        <v>473</v>
      </c>
      <c r="C139" s="256">
        <f>0/1000000</f>
        <v>0</v>
      </c>
      <c r="D139" s="256">
        <f>0/1000000</f>
        <v>0</v>
      </c>
      <c r="E139" s="256">
        <f>0/1000000</f>
        <v>0</v>
      </c>
      <c r="F139" s="256">
        <f>0/1000000</f>
        <v>0</v>
      </c>
      <c r="G139" s="257">
        <f>0/1000000</f>
        <v>0</v>
      </c>
    </row>
    <row r="140" spans="1:7">
      <c r="A140" s="249" t="s">
        <v>474</v>
      </c>
      <c r="B140" s="258" t="s">
        <v>475</v>
      </c>
      <c r="C140" s="256">
        <f>955615.42/1000000</f>
        <v>0.95561541999999999</v>
      </c>
      <c r="D140" s="256">
        <f>0/1000000</f>
        <v>0</v>
      </c>
      <c r="E140" s="256">
        <f>0/1000000</f>
        <v>0</v>
      </c>
      <c r="F140" s="256">
        <f>0/1000000</f>
        <v>0</v>
      </c>
      <c r="G140" s="257">
        <f>0/1000000</f>
        <v>0</v>
      </c>
    </row>
    <row r="141" spans="1:7">
      <c r="A141" s="249" t="s">
        <v>476</v>
      </c>
      <c r="B141" s="258" t="s">
        <v>477</v>
      </c>
      <c r="C141" s="256">
        <f>19769235/1000000</f>
        <v>19.769234999999998</v>
      </c>
      <c r="D141" s="256">
        <f>21595246.65/1000000</f>
        <v>21.59524665</v>
      </c>
      <c r="E141" s="256">
        <f>10867971.11/1000000</f>
        <v>10.867971109999999</v>
      </c>
      <c r="F141" s="256">
        <f>11527167.29/1000000</f>
        <v>11.52716729</v>
      </c>
      <c r="G141" s="257">
        <f>9256346.21/1000000</f>
        <v>9.2563462100000002</v>
      </c>
    </row>
    <row r="142" spans="1:7">
      <c r="A142" s="249" t="s">
        <v>478</v>
      </c>
      <c r="B142" s="258" t="s">
        <v>479</v>
      </c>
      <c r="C142" s="256">
        <f>90892208.45/1000000</f>
        <v>90.892208449999998</v>
      </c>
      <c r="D142" s="256">
        <f>68938075.91/1000000</f>
        <v>68.938075909999995</v>
      </c>
      <c r="E142" s="256">
        <f>78971182.48/1000000</f>
        <v>78.97118248000001</v>
      </c>
      <c r="F142" s="256">
        <f>68645053.26/1000000</f>
        <v>68.645053260000012</v>
      </c>
      <c r="G142" s="257">
        <f>62389350.55/1000000</f>
        <v>62.389350549999996</v>
      </c>
    </row>
    <row r="143" spans="1:7">
      <c r="A143" s="249" t="s">
        <v>480</v>
      </c>
      <c r="B143" s="258" t="s">
        <v>481</v>
      </c>
      <c r="C143" s="256">
        <f>10365784.2/1000000</f>
        <v>10.365784199999998</v>
      </c>
      <c r="D143" s="256">
        <f>15047674.25/1000000</f>
        <v>15.04767425</v>
      </c>
      <c r="E143" s="256">
        <f>18367887.85/1000000</f>
        <v>18.367887850000002</v>
      </c>
      <c r="F143" s="256">
        <f>12126684.19/1000000</f>
        <v>12.126684189999999</v>
      </c>
      <c r="G143" s="257">
        <f>3322588.86/1000000</f>
        <v>3.3225888599999998</v>
      </c>
    </row>
    <row r="144" spans="1:7">
      <c r="A144" s="249" t="s">
        <v>482</v>
      </c>
      <c r="B144" s="258" t="s">
        <v>483</v>
      </c>
      <c r="C144" s="256">
        <f>0/1000000</f>
        <v>0</v>
      </c>
      <c r="D144" s="256">
        <f>0/1000000</f>
        <v>0</v>
      </c>
      <c r="E144" s="256">
        <f>0/1000000</f>
        <v>0</v>
      </c>
      <c r="F144" s="256">
        <f>0/1000000</f>
        <v>0</v>
      </c>
      <c r="G144" s="257">
        <f>0/1000000</f>
        <v>0</v>
      </c>
    </row>
    <row r="145" spans="1:7">
      <c r="B145" s="258" t="s">
        <v>484</v>
      </c>
      <c r="C145" s="259">
        <f>C146-SUM(C136:C144)</f>
        <v>0</v>
      </c>
      <c r="D145" s="259">
        <f t="shared" ref="D145:G145" si="22">D146-SUM(D136:D144)</f>
        <v>0</v>
      </c>
      <c r="E145" s="259">
        <f t="shared" si="22"/>
        <v>0</v>
      </c>
      <c r="F145" s="259">
        <f t="shared" si="22"/>
        <v>0</v>
      </c>
      <c r="G145" s="259">
        <f t="shared" si="22"/>
        <v>0</v>
      </c>
    </row>
    <row r="146" spans="1:7" ht="15.75">
      <c r="A146" s="249" t="s">
        <v>485</v>
      </c>
      <c r="B146" s="254" t="s">
        <v>486</v>
      </c>
      <c r="C146" s="256">
        <f>127453051.43/1000000</f>
        <v>127.45305143</v>
      </c>
      <c r="D146" s="256">
        <f>112095258.36/1000000</f>
        <v>112.09525836</v>
      </c>
      <c r="E146" s="256">
        <f>127907512.19/1000000</f>
        <v>127.90751218999999</v>
      </c>
      <c r="F146" s="256">
        <f>105921494.37/1000000</f>
        <v>105.92149437</v>
      </c>
      <c r="G146" s="257">
        <f>84311683.51/1000000</f>
        <v>84.311683510000009</v>
      </c>
    </row>
    <row r="147" spans="1:7">
      <c r="A147" s="249" t="s">
        <v>487</v>
      </c>
      <c r="B147" s="258" t="s">
        <v>488</v>
      </c>
      <c r="C147" s="256">
        <f>0/1000000</f>
        <v>0</v>
      </c>
      <c r="D147" s="256">
        <f>0/1000000</f>
        <v>0</v>
      </c>
      <c r="E147" s="256">
        <f>0/1000000</f>
        <v>0</v>
      </c>
      <c r="F147" s="256">
        <f>0/1000000</f>
        <v>0</v>
      </c>
      <c r="G147" s="257">
        <f>0/1000000</f>
        <v>0</v>
      </c>
    </row>
    <row r="148" spans="1:7" ht="15.75">
      <c r="A148" s="249" t="s">
        <v>489</v>
      </c>
      <c r="B148" s="254" t="s">
        <v>490</v>
      </c>
      <c r="C148" s="256">
        <f>1012228515.43/1000000</f>
        <v>1012.2285154299999</v>
      </c>
      <c r="D148" s="256">
        <f>1162816314.7/1000000</f>
        <v>1162.8163147</v>
      </c>
      <c r="E148" s="256">
        <f>912503963.52/1000000</f>
        <v>912.50396351999996</v>
      </c>
      <c r="F148" s="256">
        <f>844031402.2/1000000</f>
        <v>844.0314022</v>
      </c>
      <c r="G148" s="257">
        <f>1084289209.92/1000000</f>
        <v>1084.2892099200001</v>
      </c>
    </row>
    <row r="149" spans="1:7" ht="15.75">
      <c r="B149" s="254" t="s">
        <v>491</v>
      </c>
      <c r="C149" s="256">
        <v>0</v>
      </c>
      <c r="D149" s="256">
        <v>0</v>
      </c>
      <c r="E149" s="256">
        <v>0</v>
      </c>
      <c r="F149" s="256">
        <v>0</v>
      </c>
      <c r="G149" s="257">
        <v>0</v>
      </c>
    </row>
    <row r="150" spans="1:7">
      <c r="A150" s="249" t="s">
        <v>492</v>
      </c>
      <c r="B150" s="258" t="s">
        <v>493</v>
      </c>
      <c r="C150" s="256">
        <f>481569911/1000000</f>
        <v>481.56991099999999</v>
      </c>
      <c r="D150" s="256">
        <f>481569911/1000000</f>
        <v>481.56991099999999</v>
      </c>
      <c r="E150" s="256">
        <f>481569911/1000000</f>
        <v>481.56991099999999</v>
      </c>
      <c r="F150" s="256">
        <f>481569911/1000000</f>
        <v>481.56991099999999</v>
      </c>
      <c r="G150" s="257">
        <f>482540723/1000000</f>
        <v>482.54072300000001</v>
      </c>
    </row>
    <row r="151" spans="1:7">
      <c r="A151" s="249" t="s">
        <v>494</v>
      </c>
      <c r="B151" s="258" t="s">
        <v>495</v>
      </c>
      <c r="C151" s="256">
        <f>0/1000000</f>
        <v>0</v>
      </c>
      <c r="D151" s="256">
        <f>0/1000000</f>
        <v>0</v>
      </c>
      <c r="E151" s="256">
        <f>0/1000000</f>
        <v>0</v>
      </c>
      <c r="F151" s="256">
        <f>0/1000000</f>
        <v>0</v>
      </c>
      <c r="G151" s="257">
        <f>0/1000000</f>
        <v>0</v>
      </c>
    </row>
    <row r="152" spans="1:7">
      <c r="A152" s="249" t="s">
        <v>496</v>
      </c>
      <c r="B152" s="258" t="s">
        <v>497</v>
      </c>
      <c r="C152" s="256">
        <f>8844922177.21/1000000</f>
        <v>8844.9221772099991</v>
      </c>
      <c r="D152" s="256">
        <f>8844922177.21/1000000</f>
        <v>8844.9221772099991</v>
      </c>
      <c r="E152" s="256">
        <f>8844922177.21/1000000</f>
        <v>8844.9221772099991</v>
      </c>
      <c r="F152" s="256">
        <f>8896578634.19/1000000</f>
        <v>8896.5786341900002</v>
      </c>
      <c r="G152" s="257">
        <f>9008271470.42/1000000</f>
        <v>9008.2714704200007</v>
      </c>
    </row>
    <row r="153" spans="1:7">
      <c r="A153" s="249" t="s">
        <v>498</v>
      </c>
      <c r="B153" s="258" t="s">
        <v>499</v>
      </c>
      <c r="C153" s="256">
        <f>0/1000000</f>
        <v>0</v>
      </c>
      <c r="D153" s="256">
        <f>0/1000000</f>
        <v>0</v>
      </c>
      <c r="E153" s="256">
        <f>0/1000000</f>
        <v>0</v>
      </c>
      <c r="F153" s="256">
        <f>0/1000000</f>
        <v>0</v>
      </c>
      <c r="G153" s="257">
        <f>0/1000000</f>
        <v>0</v>
      </c>
    </row>
    <row r="154" spans="1:7">
      <c r="A154" s="249" t="s">
        <v>500</v>
      </c>
      <c r="B154" s="258" t="s">
        <v>501</v>
      </c>
      <c r="C154" s="256">
        <f>-282785008.42/1000000</f>
        <v>-282.78500842</v>
      </c>
      <c r="D154" s="256">
        <f>-61342017.43/1000000</f>
        <v>-61.342017429999999</v>
      </c>
      <c r="E154" s="256">
        <f>8132012.01/1000000</f>
        <v>8.1320120100000004</v>
      </c>
      <c r="F154" s="256">
        <f>-52561855.17/1000000</f>
        <v>-52.561855170000001</v>
      </c>
      <c r="G154" s="257">
        <f>-98708591.78/1000000</f>
        <v>-98.708591780000006</v>
      </c>
    </row>
    <row r="155" spans="1:7">
      <c r="A155" s="249" t="s">
        <v>502</v>
      </c>
      <c r="B155" s="258" t="s">
        <v>503</v>
      </c>
      <c r="C155" s="256">
        <f>0/1000000</f>
        <v>0</v>
      </c>
      <c r="D155" s="256">
        <f>0/1000000</f>
        <v>0</v>
      </c>
      <c r="E155" s="256">
        <f>0/1000000</f>
        <v>0</v>
      </c>
      <c r="F155" s="256">
        <f>0/1000000</f>
        <v>0</v>
      </c>
      <c r="G155" s="257">
        <f>0/1000000</f>
        <v>0</v>
      </c>
    </row>
    <row r="156" spans="1:7">
      <c r="A156" s="249" t="s">
        <v>504</v>
      </c>
      <c r="B156" s="258" t="s">
        <v>505</v>
      </c>
      <c r="C156" s="256">
        <f>50709773.22/1000000</f>
        <v>50.709773219999995</v>
      </c>
      <c r="D156" s="256">
        <f>51837645.57/1000000</f>
        <v>51.837645569999999</v>
      </c>
      <c r="E156" s="256">
        <f>53541050.16/1000000</f>
        <v>53.541050159999998</v>
      </c>
      <c r="F156" s="256">
        <f>77414809.92/1000000</f>
        <v>77.414809919999996</v>
      </c>
      <c r="G156" s="257">
        <f>100667061.3/1000000</f>
        <v>100.6670613</v>
      </c>
    </row>
    <row r="157" spans="1:7">
      <c r="A157" s="249" t="s">
        <v>506</v>
      </c>
      <c r="B157" s="258" t="s">
        <v>507</v>
      </c>
      <c r="C157" s="256">
        <f>0/1000000</f>
        <v>0</v>
      </c>
      <c r="D157" s="256">
        <f>0/1000000</f>
        <v>0</v>
      </c>
      <c r="E157" s="256">
        <f>0/1000000</f>
        <v>0</v>
      </c>
      <c r="F157" s="256">
        <f>0/1000000</f>
        <v>0</v>
      </c>
      <c r="G157" s="257">
        <f>0/1000000</f>
        <v>0</v>
      </c>
    </row>
    <row r="158" spans="1:7">
      <c r="A158" s="249" t="s">
        <v>508</v>
      </c>
      <c r="B158" s="258" t="s">
        <v>509</v>
      </c>
      <c r="C158" s="256">
        <f>1206302686.46/1000000</f>
        <v>1206.3026864600001</v>
      </c>
      <c r="D158" s="256">
        <f>1906023941.02/1000000</f>
        <v>1906.0239410199999</v>
      </c>
      <c r="E158" s="256">
        <f>2403058763.33/1000000</f>
        <v>2403.0587633300001</v>
      </c>
      <c r="F158" s="256">
        <f>2650924865.43/1000000</f>
        <v>2650.92486543</v>
      </c>
      <c r="G158" s="257">
        <f>2956087585.65/1000000</f>
        <v>2956.0875856500002</v>
      </c>
    </row>
    <row r="159" spans="1:7">
      <c r="A159" s="249" t="s">
        <v>510</v>
      </c>
      <c r="B159" s="258" t="s">
        <v>511</v>
      </c>
      <c r="C159" s="256">
        <f t="shared" ref="C159:G160" si="23">0/1000000</f>
        <v>0</v>
      </c>
      <c r="D159" s="256">
        <f t="shared" si="23"/>
        <v>0</v>
      </c>
      <c r="E159" s="256">
        <f t="shared" si="23"/>
        <v>0</v>
      </c>
      <c r="F159" s="256">
        <f t="shared" si="23"/>
        <v>0</v>
      </c>
      <c r="G159" s="257">
        <f t="shared" si="23"/>
        <v>0</v>
      </c>
    </row>
    <row r="160" spans="1:7">
      <c r="A160" s="249" t="s">
        <v>512</v>
      </c>
      <c r="B160" s="258" t="s">
        <v>513</v>
      </c>
      <c r="C160" s="256">
        <f t="shared" si="23"/>
        <v>0</v>
      </c>
      <c r="D160" s="256">
        <f t="shared" si="23"/>
        <v>0</v>
      </c>
      <c r="E160" s="256">
        <f t="shared" si="23"/>
        <v>0</v>
      </c>
      <c r="F160" s="256">
        <f t="shared" si="23"/>
        <v>0</v>
      </c>
      <c r="G160" s="257">
        <f t="shared" si="23"/>
        <v>0</v>
      </c>
    </row>
    <row r="161" spans="1:7">
      <c r="A161" s="249" t="s">
        <v>514</v>
      </c>
      <c r="B161" s="258" t="s">
        <v>515</v>
      </c>
      <c r="C161" s="256">
        <f>22078171.26/1000000</f>
        <v>22.078171260000001</v>
      </c>
      <c r="D161" s="256">
        <f>36008658.5/1000000</f>
        <v>36.008658500000003</v>
      </c>
      <c r="E161" s="256">
        <f>38299062.18/1000000</f>
        <v>38.29906218</v>
      </c>
      <c r="F161" s="256">
        <f>28987332.7/1000000</f>
        <v>28.9873327</v>
      </c>
      <c r="G161" s="257">
        <f>40057834.96/1000000</f>
        <v>40.057834960000001</v>
      </c>
    </row>
    <row r="162" spans="1:7">
      <c r="B162" s="258" t="s">
        <v>516</v>
      </c>
      <c r="C162" s="259">
        <f t="shared" ref="C162:G162" si="24">C163-SUM(C150:C160)+2*C153</f>
        <v>0</v>
      </c>
      <c r="D162" s="259">
        <f t="shared" si="24"/>
        <v>3.637978807091713E-12</v>
      </c>
      <c r="E162" s="259">
        <f t="shared" si="24"/>
        <v>-1.8189894035458565E-12</v>
      </c>
      <c r="F162" s="259">
        <f t="shared" si="24"/>
        <v>0</v>
      </c>
      <c r="G162" s="259">
        <f t="shared" si="24"/>
        <v>-1.8189894035458565E-12</v>
      </c>
    </row>
    <row r="163" spans="1:7" ht="15.75">
      <c r="A163" s="249" t="s">
        <v>517</v>
      </c>
      <c r="B163" s="254" t="s">
        <v>518</v>
      </c>
      <c r="C163" s="256">
        <f>10300719539.47/1000000</f>
        <v>10300.719539469999</v>
      </c>
      <c r="D163" s="256">
        <f>11223011657.37/1000000</f>
        <v>11223.011657370002</v>
      </c>
      <c r="E163" s="256">
        <f>11791223913.71/1000000</f>
        <v>11791.223913709999</v>
      </c>
      <c r="F163" s="256">
        <f>12053926365.37/1000000</f>
        <v>12053.92636537</v>
      </c>
      <c r="G163" s="257">
        <f>12448858248.59/1000000</f>
        <v>12448.858248590001</v>
      </c>
    </row>
    <row r="164" spans="1:7" ht="15.75">
      <c r="A164" s="249" t="s">
        <v>519</v>
      </c>
      <c r="B164" s="254" t="s">
        <v>520</v>
      </c>
      <c r="C164" s="256">
        <f>10322797710.73/1000000</f>
        <v>10322.797710729999</v>
      </c>
      <c r="D164" s="256">
        <f>11259020315.87/1000000</f>
        <v>11259.020315870001</v>
      </c>
      <c r="E164" s="256">
        <f>11829522975.89/1000000</f>
        <v>11829.522975889999</v>
      </c>
      <c r="F164" s="256">
        <f>12082913698.07/1000000</f>
        <v>12082.91369807</v>
      </c>
      <c r="G164" s="257">
        <f>12488916083.55/1000000</f>
        <v>12488.916083549999</v>
      </c>
    </row>
    <row r="165" spans="1:7">
      <c r="A165" s="249" t="s">
        <v>521</v>
      </c>
      <c r="B165" s="258" t="s">
        <v>522</v>
      </c>
      <c r="C165" s="256">
        <f t="shared" ref="C165:G166" si="25">0/1000000</f>
        <v>0</v>
      </c>
      <c r="D165" s="256">
        <f t="shared" si="25"/>
        <v>0</v>
      </c>
      <c r="E165" s="256">
        <f t="shared" si="25"/>
        <v>0</v>
      </c>
      <c r="F165" s="256">
        <f t="shared" si="25"/>
        <v>0</v>
      </c>
      <c r="G165" s="257">
        <f t="shared" si="25"/>
        <v>0</v>
      </c>
    </row>
    <row r="166" spans="1:7">
      <c r="A166" s="249" t="s">
        <v>523</v>
      </c>
      <c r="B166" s="258" t="s">
        <v>524</v>
      </c>
      <c r="C166" s="256">
        <f t="shared" si="25"/>
        <v>0</v>
      </c>
      <c r="D166" s="256">
        <f t="shared" si="25"/>
        <v>0</v>
      </c>
      <c r="E166" s="256">
        <f t="shared" si="25"/>
        <v>0</v>
      </c>
      <c r="F166" s="256">
        <f t="shared" si="25"/>
        <v>0</v>
      </c>
      <c r="G166" s="257">
        <f t="shared" si="25"/>
        <v>0</v>
      </c>
    </row>
    <row r="167" spans="1:7" ht="15.75">
      <c r="A167" s="249" t="s">
        <v>525</v>
      </c>
      <c r="B167" s="254" t="s">
        <v>526</v>
      </c>
      <c r="C167" s="256">
        <f>11335026226.16/1000000</f>
        <v>11335.02622616</v>
      </c>
      <c r="D167" s="256">
        <f>12421836630.57/1000000</f>
        <v>12421.83663057</v>
      </c>
      <c r="E167" s="256">
        <f>12742026939.41/1000000</f>
        <v>12742.02693941</v>
      </c>
      <c r="F167" s="256">
        <f>12926945100.27/1000000</f>
        <v>12926.945100270001</v>
      </c>
      <c r="G167" s="257">
        <f>13573205293.47/1000000</f>
        <v>13573.205293469999</v>
      </c>
    </row>
    <row r="168" spans="1:7">
      <c r="B168" s="258"/>
      <c r="C168" s="260"/>
      <c r="D168" s="260"/>
      <c r="E168" s="260"/>
      <c r="F168" s="260"/>
      <c r="G168" s="261"/>
    </row>
    <row r="169" spans="1:7" ht="15.75">
      <c r="B169" s="254" t="s">
        <v>527</v>
      </c>
      <c r="C169" s="265"/>
      <c r="D169" s="265"/>
      <c r="E169" s="265"/>
      <c r="F169" s="265"/>
      <c r="G169" s="266"/>
    </row>
    <row r="170" spans="1:7" ht="15.75">
      <c r="B170" s="254" t="s">
        <v>528</v>
      </c>
      <c r="C170" s="260"/>
      <c r="D170" s="260"/>
      <c r="E170" s="260"/>
      <c r="F170" s="260"/>
      <c r="G170" s="261"/>
    </row>
    <row r="171" spans="1:7">
      <c r="A171" s="267" t="s">
        <v>529</v>
      </c>
      <c r="B171" s="258" t="s">
        <v>530</v>
      </c>
      <c r="C171" s="256">
        <f>5157423481.09/1000000</f>
        <v>5157.4234810899998</v>
      </c>
      <c r="D171" s="256">
        <f>5680110167.67/1000000</f>
        <v>5680.11016767</v>
      </c>
      <c r="E171" s="256">
        <f>4682277210.29/1000000</f>
        <v>4682.2772102899999</v>
      </c>
      <c r="F171" s="256">
        <f>4298980627.47/1000000</f>
        <v>4298.9806274700004</v>
      </c>
      <c r="G171" s="257">
        <f>4811250157.33/1000000</f>
        <v>4811.2501573299996</v>
      </c>
    </row>
    <row r="172" spans="1:7">
      <c r="A172" s="267" t="s">
        <v>531</v>
      </c>
      <c r="B172" s="258" t="s">
        <v>532</v>
      </c>
      <c r="C172" s="256">
        <f>42739226.5/1000000</f>
        <v>42.739226500000001</v>
      </c>
      <c r="D172" s="256">
        <f>67540971.45/1000000</f>
        <v>67.540971450000001</v>
      </c>
      <c r="E172" s="256">
        <f>26335440.29/1000000</f>
        <v>26.335440289999998</v>
      </c>
      <c r="F172" s="256">
        <f>59203786.76/1000000</f>
        <v>59.20378676</v>
      </c>
      <c r="G172" s="257">
        <f>32410247.47/1000000</f>
        <v>32.410247470000002</v>
      </c>
    </row>
    <row r="173" spans="1:7">
      <c r="A173" s="267" t="s">
        <v>533</v>
      </c>
      <c r="B173" s="258" t="s">
        <v>534</v>
      </c>
      <c r="C173" s="256">
        <f>32016865.41/1000000</f>
        <v>32.016865410000001</v>
      </c>
      <c r="D173" s="256">
        <f>125822672.46/1000000</f>
        <v>125.82267245999999</v>
      </c>
      <c r="E173" s="256">
        <f>101638461.13/1000000</f>
        <v>101.63846113</v>
      </c>
      <c r="F173" s="256">
        <f>126677758.48/1000000</f>
        <v>126.67775848000001</v>
      </c>
      <c r="G173" s="257">
        <f>382664822.12/1000000</f>
        <v>382.66482212</v>
      </c>
    </row>
    <row r="174" spans="1:7">
      <c r="A174" s="267" t="s">
        <v>535</v>
      </c>
      <c r="B174" s="258" t="s">
        <v>536</v>
      </c>
      <c r="C174" s="256">
        <f t="shared" ref="C174:G185" si="26">0/1000000</f>
        <v>0</v>
      </c>
      <c r="D174" s="256">
        <f t="shared" si="26"/>
        <v>0</v>
      </c>
      <c r="E174" s="256">
        <f t="shared" si="26"/>
        <v>0</v>
      </c>
      <c r="F174" s="256">
        <f t="shared" si="26"/>
        <v>0</v>
      </c>
      <c r="G174" s="257">
        <f t="shared" si="26"/>
        <v>0</v>
      </c>
    </row>
    <row r="175" spans="1:7">
      <c r="A175" s="267" t="s">
        <v>537</v>
      </c>
      <c r="B175" s="258" t="s">
        <v>538</v>
      </c>
      <c r="C175" s="256">
        <f t="shared" si="26"/>
        <v>0</v>
      </c>
      <c r="D175" s="256">
        <f t="shared" si="26"/>
        <v>0</v>
      </c>
      <c r="E175" s="256">
        <f t="shared" si="26"/>
        <v>0</v>
      </c>
      <c r="F175" s="256">
        <f t="shared" si="26"/>
        <v>0</v>
      </c>
      <c r="G175" s="257">
        <f t="shared" si="26"/>
        <v>0</v>
      </c>
    </row>
    <row r="176" spans="1:7">
      <c r="A176" s="267" t="s">
        <v>539</v>
      </c>
      <c r="B176" s="258" t="s">
        <v>540</v>
      </c>
      <c r="C176" s="256">
        <f t="shared" si="26"/>
        <v>0</v>
      </c>
      <c r="D176" s="256">
        <f t="shared" si="26"/>
        <v>0</v>
      </c>
      <c r="E176" s="256">
        <f t="shared" si="26"/>
        <v>0</v>
      </c>
      <c r="F176" s="256">
        <f t="shared" si="26"/>
        <v>0</v>
      </c>
      <c r="G176" s="257">
        <f t="shared" si="26"/>
        <v>0</v>
      </c>
    </row>
    <row r="177" spans="1:7">
      <c r="A177" s="267" t="s">
        <v>541</v>
      </c>
      <c r="B177" s="258" t="s">
        <v>542</v>
      </c>
      <c r="C177" s="256">
        <f t="shared" si="26"/>
        <v>0</v>
      </c>
      <c r="D177" s="256">
        <f t="shared" si="26"/>
        <v>0</v>
      </c>
      <c r="E177" s="256">
        <f t="shared" si="26"/>
        <v>0</v>
      </c>
      <c r="F177" s="256">
        <f t="shared" si="26"/>
        <v>0</v>
      </c>
      <c r="G177" s="257">
        <f t="shared" si="26"/>
        <v>0</v>
      </c>
    </row>
    <row r="178" spans="1:7">
      <c r="A178" s="267" t="s">
        <v>543</v>
      </c>
      <c r="B178" s="258" t="s">
        <v>544</v>
      </c>
      <c r="C178" s="256">
        <f t="shared" si="26"/>
        <v>0</v>
      </c>
      <c r="D178" s="256">
        <f t="shared" si="26"/>
        <v>0</v>
      </c>
      <c r="E178" s="256">
        <f t="shared" si="26"/>
        <v>0</v>
      </c>
      <c r="F178" s="256">
        <f t="shared" si="26"/>
        <v>0</v>
      </c>
      <c r="G178" s="257">
        <f t="shared" si="26"/>
        <v>0</v>
      </c>
    </row>
    <row r="179" spans="1:7">
      <c r="A179" s="267" t="s">
        <v>545</v>
      </c>
      <c r="B179" s="258" t="s">
        <v>546</v>
      </c>
      <c r="C179" s="256">
        <f t="shared" si="26"/>
        <v>0</v>
      </c>
      <c r="D179" s="256">
        <f t="shared" si="26"/>
        <v>0</v>
      </c>
      <c r="E179" s="256">
        <f t="shared" si="26"/>
        <v>0</v>
      </c>
      <c r="F179" s="256">
        <f t="shared" si="26"/>
        <v>0</v>
      </c>
      <c r="G179" s="257">
        <f t="shared" si="26"/>
        <v>0</v>
      </c>
    </row>
    <row r="180" spans="1:7">
      <c r="A180" s="267" t="s">
        <v>547</v>
      </c>
      <c r="B180" s="258" t="s">
        <v>548</v>
      </c>
      <c r="C180" s="256">
        <f t="shared" si="26"/>
        <v>0</v>
      </c>
      <c r="D180" s="256">
        <f t="shared" si="26"/>
        <v>0</v>
      </c>
      <c r="E180" s="256">
        <f t="shared" si="26"/>
        <v>0</v>
      </c>
      <c r="F180" s="256">
        <f t="shared" si="26"/>
        <v>0</v>
      </c>
      <c r="G180" s="257">
        <f t="shared" si="26"/>
        <v>0</v>
      </c>
    </row>
    <row r="181" spans="1:7">
      <c r="A181" s="267" t="s">
        <v>549</v>
      </c>
      <c r="B181" s="258" t="s">
        <v>550</v>
      </c>
      <c r="C181" s="256">
        <f t="shared" si="26"/>
        <v>0</v>
      </c>
      <c r="D181" s="256">
        <f t="shared" si="26"/>
        <v>0</v>
      </c>
      <c r="E181" s="256">
        <f t="shared" si="26"/>
        <v>0</v>
      </c>
      <c r="F181" s="256">
        <f t="shared" si="26"/>
        <v>0</v>
      </c>
      <c r="G181" s="257">
        <f t="shared" si="26"/>
        <v>0</v>
      </c>
    </row>
    <row r="182" spans="1:7">
      <c r="A182" s="267" t="s">
        <v>551</v>
      </c>
      <c r="B182" s="258" t="s">
        <v>552</v>
      </c>
      <c r="C182" s="256">
        <f t="shared" si="26"/>
        <v>0</v>
      </c>
      <c r="D182" s="256">
        <f t="shared" si="26"/>
        <v>0</v>
      </c>
      <c r="E182" s="256">
        <f t="shared" si="26"/>
        <v>0</v>
      </c>
      <c r="F182" s="256">
        <f t="shared" si="26"/>
        <v>0</v>
      </c>
      <c r="G182" s="257">
        <f t="shared" si="26"/>
        <v>0</v>
      </c>
    </row>
    <row r="183" spans="1:7">
      <c r="A183" s="267" t="s">
        <v>553</v>
      </c>
      <c r="B183" s="258" t="s">
        <v>554</v>
      </c>
      <c r="C183" s="256">
        <f t="shared" si="26"/>
        <v>0</v>
      </c>
      <c r="D183" s="256">
        <f t="shared" si="26"/>
        <v>0</v>
      </c>
      <c r="E183" s="256">
        <f t="shared" si="26"/>
        <v>0</v>
      </c>
      <c r="F183" s="256">
        <f t="shared" si="26"/>
        <v>0</v>
      </c>
      <c r="G183" s="257">
        <f t="shared" si="26"/>
        <v>0</v>
      </c>
    </row>
    <row r="184" spans="1:7">
      <c r="A184" s="267" t="s">
        <v>555</v>
      </c>
      <c r="B184" s="258" t="s">
        <v>556</v>
      </c>
      <c r="C184" s="256">
        <f t="shared" si="26"/>
        <v>0</v>
      </c>
      <c r="D184" s="256">
        <f t="shared" si="26"/>
        <v>0</v>
      </c>
      <c r="E184" s="256">
        <f t="shared" si="26"/>
        <v>0</v>
      </c>
      <c r="F184" s="256">
        <f t="shared" si="26"/>
        <v>0</v>
      </c>
      <c r="G184" s="257">
        <f t="shared" si="26"/>
        <v>0</v>
      </c>
    </row>
    <row r="185" spans="1:7">
      <c r="A185" s="267" t="s">
        <v>557</v>
      </c>
      <c r="B185" s="258" t="s">
        <v>558</v>
      </c>
      <c r="C185" s="256">
        <f t="shared" si="26"/>
        <v>0</v>
      </c>
      <c r="D185" s="256">
        <f t="shared" si="26"/>
        <v>0</v>
      </c>
      <c r="E185" s="256">
        <f t="shared" si="26"/>
        <v>0</v>
      </c>
      <c r="F185" s="256">
        <f t="shared" si="26"/>
        <v>0</v>
      </c>
      <c r="G185" s="257">
        <f t="shared" si="26"/>
        <v>0</v>
      </c>
    </row>
    <row r="186" spans="1:7">
      <c r="A186" s="267" t="s">
        <v>559</v>
      </c>
      <c r="B186" s="258" t="s">
        <v>560</v>
      </c>
      <c r="C186" s="256">
        <f>5232179573/1000000</f>
        <v>5232.1795730000003</v>
      </c>
      <c r="D186" s="256">
        <f>5873473811.58/1000000</f>
        <v>5873.4738115800001</v>
      </c>
      <c r="E186" s="256">
        <f>4810251111.71/1000000</f>
        <v>4810.2511117100003</v>
      </c>
      <c r="F186" s="256">
        <f>4484862172.71/1000000</f>
        <v>4484.8621727099999</v>
      </c>
      <c r="G186" s="257">
        <f>5226325226.92/1000000</f>
        <v>5226.3252269200002</v>
      </c>
    </row>
    <row r="187" spans="1:7">
      <c r="A187" s="267" t="s">
        <v>561</v>
      </c>
      <c r="B187" s="258" t="s">
        <v>562</v>
      </c>
      <c r="C187" s="256">
        <f>3104907093.96/1000000</f>
        <v>3104.9070939600001</v>
      </c>
      <c r="D187" s="256">
        <f>4847517775.23/1000000</f>
        <v>4847.5177752299996</v>
      </c>
      <c r="E187" s="256">
        <f>2987277081.9/1000000</f>
        <v>2987.2770819000002</v>
      </c>
      <c r="F187" s="256">
        <f>2957097972.01/1000000</f>
        <v>2957.0979720100004</v>
      </c>
      <c r="G187" s="257">
        <f>3444139764.24/1000000</f>
        <v>3444.1397642399997</v>
      </c>
    </row>
    <row r="188" spans="1:7">
      <c r="A188" s="267" t="s">
        <v>563</v>
      </c>
      <c r="B188" s="258" t="s">
        <v>564</v>
      </c>
      <c r="C188" s="256">
        <f>474747650.37/1000000</f>
        <v>474.74765037000003</v>
      </c>
      <c r="D188" s="256">
        <f>531746252.66/1000000</f>
        <v>531.74625265999998</v>
      </c>
      <c r="E188" s="256">
        <f>712630812.68/1000000</f>
        <v>712.63081267999996</v>
      </c>
      <c r="F188" s="256">
        <f>645484668.16/1000000</f>
        <v>645.48466815999996</v>
      </c>
      <c r="G188" s="257">
        <f>654416780.48/1000000</f>
        <v>654.41678048000006</v>
      </c>
    </row>
    <row r="189" spans="1:7">
      <c r="A189" s="267" t="s">
        <v>565</v>
      </c>
      <c r="B189" s="258" t="s">
        <v>566</v>
      </c>
      <c r="C189" s="256">
        <f>69481394.18/1000000</f>
        <v>69.481394180000009</v>
      </c>
      <c r="D189" s="256">
        <f>115345910.34/1000000</f>
        <v>115.34591034</v>
      </c>
      <c r="E189" s="256">
        <f>97202964.51/1000000</f>
        <v>97.202964510000001</v>
      </c>
      <c r="F189" s="256">
        <f>74864251.38/1000000</f>
        <v>74.864251379999999</v>
      </c>
      <c r="G189" s="257">
        <f>56036033.1/1000000</f>
        <v>56.036033100000004</v>
      </c>
    </row>
    <row r="190" spans="1:7">
      <c r="A190" s="267" t="s">
        <v>567</v>
      </c>
      <c r="B190" s="258" t="s">
        <v>568</v>
      </c>
      <c r="C190" s="256">
        <f>499804228.43/1000000</f>
        <v>499.80422843000002</v>
      </c>
      <c r="D190" s="256">
        <f>454373190.96/1000000</f>
        <v>454.37319095999999</v>
      </c>
      <c r="E190" s="256">
        <f>454988508.8/1000000</f>
        <v>454.98850880000003</v>
      </c>
      <c r="F190" s="256">
        <f>443960352.01/1000000</f>
        <v>443.96035201000001</v>
      </c>
      <c r="G190" s="257">
        <f>449129871.03/1000000</f>
        <v>449.12987102999995</v>
      </c>
    </row>
    <row r="191" spans="1:7">
      <c r="A191" s="267" t="s">
        <v>569</v>
      </c>
      <c r="B191" s="258" t="s">
        <v>570</v>
      </c>
      <c r="C191" s="256">
        <f t="shared" ref="C191:G197" si="27">0/1000000</f>
        <v>0</v>
      </c>
      <c r="D191" s="256">
        <f t="shared" si="27"/>
        <v>0</v>
      </c>
      <c r="E191" s="256">
        <f t="shared" si="27"/>
        <v>0</v>
      </c>
      <c r="F191" s="256">
        <f t="shared" si="27"/>
        <v>0</v>
      </c>
      <c r="G191" s="257">
        <f t="shared" si="27"/>
        <v>0</v>
      </c>
    </row>
    <row r="192" spans="1:7">
      <c r="A192" s="267" t="s">
        <v>571</v>
      </c>
      <c r="B192" s="258" t="s">
        <v>572</v>
      </c>
      <c r="C192" s="256">
        <f t="shared" si="27"/>
        <v>0</v>
      </c>
      <c r="D192" s="256">
        <f t="shared" si="27"/>
        <v>0</v>
      </c>
      <c r="E192" s="256">
        <f t="shared" si="27"/>
        <v>0</v>
      </c>
      <c r="F192" s="256">
        <f t="shared" si="27"/>
        <v>0</v>
      </c>
      <c r="G192" s="257">
        <f t="shared" si="27"/>
        <v>0</v>
      </c>
    </row>
    <row r="193" spans="1:7">
      <c r="A193" s="267" t="s">
        <v>573</v>
      </c>
      <c r="B193" s="258" t="s">
        <v>574</v>
      </c>
      <c r="C193" s="256">
        <f t="shared" si="27"/>
        <v>0</v>
      </c>
      <c r="D193" s="256">
        <f t="shared" si="27"/>
        <v>0</v>
      </c>
      <c r="E193" s="256">
        <f t="shared" si="27"/>
        <v>0</v>
      </c>
      <c r="F193" s="256">
        <f t="shared" si="27"/>
        <v>0</v>
      </c>
      <c r="G193" s="257">
        <f t="shared" si="27"/>
        <v>0</v>
      </c>
    </row>
    <row r="194" spans="1:7">
      <c r="A194" s="267" t="s">
        <v>575</v>
      </c>
      <c r="B194" s="258" t="s">
        <v>576</v>
      </c>
      <c r="C194" s="256">
        <f t="shared" si="27"/>
        <v>0</v>
      </c>
      <c r="D194" s="256">
        <f t="shared" si="27"/>
        <v>0</v>
      </c>
      <c r="E194" s="256">
        <f t="shared" si="27"/>
        <v>0</v>
      </c>
      <c r="F194" s="256">
        <f t="shared" si="27"/>
        <v>0</v>
      </c>
      <c r="G194" s="257">
        <f t="shared" si="27"/>
        <v>0</v>
      </c>
    </row>
    <row r="195" spans="1:7">
      <c r="A195" s="267" t="s">
        <v>577</v>
      </c>
      <c r="B195" s="258" t="s">
        <v>578</v>
      </c>
      <c r="C195" s="256">
        <f t="shared" si="27"/>
        <v>0</v>
      </c>
      <c r="D195" s="256">
        <f t="shared" si="27"/>
        <v>0</v>
      </c>
      <c r="E195" s="256">
        <f t="shared" si="27"/>
        <v>0</v>
      </c>
      <c r="F195" s="256">
        <f t="shared" si="27"/>
        <v>0</v>
      </c>
      <c r="G195" s="257">
        <f t="shared" si="27"/>
        <v>0</v>
      </c>
    </row>
    <row r="196" spans="1:7">
      <c r="A196" s="267" t="s">
        <v>579</v>
      </c>
      <c r="B196" s="258" t="s">
        <v>580</v>
      </c>
      <c r="C196" s="256">
        <f t="shared" si="27"/>
        <v>0</v>
      </c>
      <c r="D196" s="256">
        <f t="shared" si="27"/>
        <v>0</v>
      </c>
      <c r="E196" s="256">
        <f t="shared" si="27"/>
        <v>0</v>
      </c>
      <c r="F196" s="256">
        <f t="shared" si="27"/>
        <v>0</v>
      </c>
      <c r="G196" s="257">
        <f t="shared" si="27"/>
        <v>0</v>
      </c>
    </row>
    <row r="197" spans="1:7">
      <c r="A197" s="267" t="s">
        <v>581</v>
      </c>
      <c r="B197" s="258" t="s">
        <v>582</v>
      </c>
      <c r="C197" s="256">
        <f t="shared" si="27"/>
        <v>0</v>
      </c>
      <c r="D197" s="256">
        <f t="shared" si="27"/>
        <v>0</v>
      </c>
      <c r="E197" s="256">
        <f t="shared" si="27"/>
        <v>0</v>
      </c>
      <c r="F197" s="256">
        <f t="shared" si="27"/>
        <v>0</v>
      </c>
      <c r="G197" s="257">
        <f t="shared" si="27"/>
        <v>0</v>
      </c>
    </row>
    <row r="198" spans="1:7">
      <c r="A198" s="267" t="s">
        <v>583</v>
      </c>
      <c r="B198" s="258" t="s">
        <v>584</v>
      </c>
      <c r="C198" s="256">
        <f>4148940366.94/1000000</f>
        <v>4148.9403669399999</v>
      </c>
      <c r="D198" s="256">
        <f>5948983129.19/1000000</f>
        <v>5948.98312919</v>
      </c>
      <c r="E198" s="256">
        <f>4252099367.89/1000000</f>
        <v>4252.0993678899995</v>
      </c>
      <c r="F198" s="256">
        <f>4121407243.56/1000000</f>
        <v>4121.4072435600001</v>
      </c>
      <c r="G198" s="257">
        <f>4603722448.85/1000000</f>
        <v>4603.7224488500005</v>
      </c>
    </row>
    <row r="199" spans="1:7">
      <c r="A199" s="267" t="s">
        <v>585</v>
      </c>
      <c r="B199" s="258" t="s">
        <v>586</v>
      </c>
      <c r="C199" s="256">
        <f>0/1000000</f>
        <v>0</v>
      </c>
      <c r="D199" s="256">
        <f>0/1000000</f>
        <v>0</v>
      </c>
      <c r="E199" s="256">
        <f>0/1000000</f>
        <v>0</v>
      </c>
      <c r="F199" s="256">
        <f>0/1000000</f>
        <v>0</v>
      </c>
      <c r="G199" s="257">
        <f>0/1000000</f>
        <v>0</v>
      </c>
    </row>
    <row r="200" spans="1:7" ht="15.75">
      <c r="A200" s="267" t="s">
        <v>587</v>
      </c>
      <c r="B200" s="254" t="s">
        <v>588</v>
      </c>
      <c r="C200" s="256">
        <f>1083239206.06/1000000</f>
        <v>1083.23920606</v>
      </c>
      <c r="D200" s="256">
        <f>-75509317.61/1000000</f>
        <v>-75.509317609999997</v>
      </c>
      <c r="E200" s="256">
        <f>558151743.82/1000000</f>
        <v>558.15174382000009</v>
      </c>
      <c r="F200" s="256">
        <f>363454929.15/1000000</f>
        <v>363.45492915</v>
      </c>
      <c r="G200" s="257">
        <f>622602778.07/1000000</f>
        <v>622.60277807</v>
      </c>
    </row>
    <row r="201" spans="1:7" ht="15.75">
      <c r="A201" s="267"/>
      <c r="B201" s="254" t="s">
        <v>589</v>
      </c>
      <c r="C201" s="256">
        <v>0</v>
      </c>
      <c r="D201" s="256">
        <v>0</v>
      </c>
      <c r="E201" s="256">
        <v>0</v>
      </c>
      <c r="F201" s="256">
        <v>0</v>
      </c>
      <c r="G201" s="257">
        <v>0</v>
      </c>
    </row>
    <row r="202" spans="1:7">
      <c r="A202" s="267" t="s">
        <v>590</v>
      </c>
      <c r="B202" s="258" t="s">
        <v>591</v>
      </c>
      <c r="C202" s="256">
        <f>3076712199.26/1000000</f>
        <v>3076.71219926</v>
      </c>
      <c r="D202" s="256">
        <f>3962817699.18/1000000</f>
        <v>3962.8176991799996</v>
      </c>
      <c r="E202" s="256">
        <f>3060935778.7/1000000</f>
        <v>3060.9357786999999</v>
      </c>
      <c r="F202" s="256">
        <f>2377014925.75/1000000</f>
        <v>2377.0149257500002</v>
      </c>
      <c r="G202" s="257">
        <f>4096016498.85/1000000</f>
        <v>4096.0164988500001</v>
      </c>
    </row>
    <row r="203" spans="1:7">
      <c r="A203" s="267" t="s">
        <v>592</v>
      </c>
      <c r="B203" s="258" t="s">
        <v>593</v>
      </c>
      <c r="C203" s="256">
        <f>68408170.64/1000000</f>
        <v>68.408170639999994</v>
      </c>
      <c r="D203" s="256">
        <f>33945112.13/1000000</f>
        <v>33.945112130000005</v>
      </c>
      <c r="E203" s="256">
        <f>29414393.4/1000000</f>
        <v>29.414393399999998</v>
      </c>
      <c r="F203" s="256">
        <f>30612859.33/1000000</f>
        <v>30.612859329999999</v>
      </c>
      <c r="G203" s="257">
        <f>34988695.82/1000000</f>
        <v>34.988695820000004</v>
      </c>
    </row>
    <row r="204" spans="1:7">
      <c r="A204" s="267" t="s">
        <v>594</v>
      </c>
      <c r="B204" s="258" t="s">
        <v>595</v>
      </c>
      <c r="C204" s="256">
        <f>0/1000000</f>
        <v>0</v>
      </c>
      <c r="D204" s="256">
        <f>16253361.74/1000000</f>
        <v>16.253361739999999</v>
      </c>
      <c r="E204" s="256">
        <f>105869/1000000</f>
        <v>0.105869</v>
      </c>
      <c r="F204" s="256">
        <f>8522.57/1000000</f>
        <v>8.5225700000000001E-3</v>
      </c>
      <c r="G204" s="257">
        <f>28647058.41/1000000</f>
        <v>28.64705841</v>
      </c>
    </row>
    <row r="205" spans="1:7">
      <c r="A205" s="267" t="s">
        <v>596</v>
      </c>
      <c r="B205" s="258" t="s">
        <v>597</v>
      </c>
      <c r="C205" s="256">
        <f>0/1000000</f>
        <v>0</v>
      </c>
      <c r="D205" s="256">
        <f t="shared" ref="D205:G208" si="28">0/1000000</f>
        <v>0</v>
      </c>
      <c r="E205" s="256">
        <f t="shared" si="28"/>
        <v>0</v>
      </c>
      <c r="F205" s="256">
        <f t="shared" si="28"/>
        <v>0</v>
      </c>
      <c r="G205" s="257">
        <f t="shared" si="28"/>
        <v>0</v>
      </c>
    </row>
    <row r="206" spans="1:7">
      <c r="A206" s="267" t="s">
        <v>598</v>
      </c>
      <c r="B206" s="258" t="s">
        <v>599</v>
      </c>
      <c r="C206" s="256">
        <f>0/1000000</f>
        <v>0</v>
      </c>
      <c r="D206" s="256">
        <f t="shared" si="28"/>
        <v>0</v>
      </c>
      <c r="E206" s="256">
        <f t="shared" si="28"/>
        <v>0</v>
      </c>
      <c r="F206" s="256">
        <f t="shared" si="28"/>
        <v>0</v>
      </c>
      <c r="G206" s="257">
        <f t="shared" si="28"/>
        <v>0</v>
      </c>
    </row>
    <row r="207" spans="1:7">
      <c r="A207" s="267" t="s">
        <v>600</v>
      </c>
      <c r="B207" s="258" t="s">
        <v>601</v>
      </c>
      <c r="C207" s="256">
        <f>0/1000000</f>
        <v>0</v>
      </c>
      <c r="D207" s="256">
        <f t="shared" si="28"/>
        <v>0</v>
      </c>
      <c r="E207" s="256">
        <f t="shared" si="28"/>
        <v>0</v>
      </c>
      <c r="F207" s="256">
        <f t="shared" si="28"/>
        <v>0</v>
      </c>
      <c r="G207" s="257">
        <f t="shared" si="28"/>
        <v>0</v>
      </c>
    </row>
    <row r="208" spans="1:7">
      <c r="A208" s="267" t="s">
        <v>602</v>
      </c>
      <c r="B208" s="258" t="s">
        <v>603</v>
      </c>
      <c r="C208" s="256">
        <f>0/1000000</f>
        <v>0</v>
      </c>
      <c r="D208" s="256">
        <f t="shared" si="28"/>
        <v>0</v>
      </c>
      <c r="E208" s="256">
        <f t="shared" si="28"/>
        <v>0</v>
      </c>
      <c r="F208" s="256">
        <f t="shared" si="28"/>
        <v>0</v>
      </c>
      <c r="G208" s="257">
        <f t="shared" si="28"/>
        <v>0</v>
      </c>
    </row>
    <row r="209" spans="1:7">
      <c r="A209" s="267" t="s">
        <v>604</v>
      </c>
      <c r="B209" s="258" t="s">
        <v>605</v>
      </c>
      <c r="C209" s="256">
        <f>3145120369.9/1000000</f>
        <v>3145.1203699000002</v>
      </c>
      <c r="D209" s="256">
        <f>4013016173.05/1000000</f>
        <v>4013.0161730500004</v>
      </c>
      <c r="E209" s="256">
        <f>3090456041.1/1000000</f>
        <v>3090.4560410999998</v>
      </c>
      <c r="F209" s="256">
        <f>2407636307.65/1000000</f>
        <v>2407.6363076500002</v>
      </c>
      <c r="G209" s="257">
        <f>4159652253.08/1000000</f>
        <v>4159.6522530800003</v>
      </c>
    </row>
    <row r="210" spans="1:7">
      <c r="A210" s="267" t="s">
        <v>606</v>
      </c>
      <c r="B210" s="258" t="s">
        <v>607</v>
      </c>
      <c r="C210" s="256">
        <f>222736436.57/1000000</f>
        <v>222.73643657</v>
      </c>
      <c r="D210" s="256">
        <f>139279358.63/1000000</f>
        <v>139.27935862999999</v>
      </c>
      <c r="E210" s="256">
        <f>104024935.82/1000000</f>
        <v>104.02493582</v>
      </c>
      <c r="F210" s="256">
        <f>113107410.9/1000000</f>
        <v>113.1074109</v>
      </c>
      <c r="G210" s="257">
        <f>96866344.7/1000000</f>
        <v>96.866344699999999</v>
      </c>
    </row>
    <row r="211" spans="1:7">
      <c r="A211" s="267" t="s">
        <v>608</v>
      </c>
      <c r="B211" s="258" t="s">
        <v>609</v>
      </c>
      <c r="C211" s="256">
        <f>3612000000/1000000</f>
        <v>3612</v>
      </c>
      <c r="D211" s="256">
        <f>3406749998.33/1000000</f>
        <v>3406.7499983299999</v>
      </c>
      <c r="E211" s="256">
        <f>3000643943.07/1000000</f>
        <v>3000.6439430700002</v>
      </c>
      <c r="F211" s="256">
        <f>2707733471.95/1000000</f>
        <v>2707.73347195</v>
      </c>
      <c r="G211" s="257">
        <f>4296443035.91/1000000</f>
        <v>4296.4430359099997</v>
      </c>
    </row>
    <row r="212" spans="1:7">
      <c r="A212" s="267" t="s">
        <v>610</v>
      </c>
      <c r="B212" s="258" t="s">
        <v>611</v>
      </c>
      <c r="C212" s="256">
        <f t="shared" ref="C212:G215" si="29">0/1000000</f>
        <v>0</v>
      </c>
      <c r="D212" s="256">
        <f t="shared" si="29"/>
        <v>0</v>
      </c>
      <c r="E212" s="256">
        <f t="shared" si="29"/>
        <v>0</v>
      </c>
      <c r="F212" s="256">
        <f t="shared" si="29"/>
        <v>0</v>
      </c>
      <c r="G212" s="257">
        <f t="shared" si="29"/>
        <v>0</v>
      </c>
    </row>
    <row r="213" spans="1:7">
      <c r="A213" s="267" t="s">
        <v>612</v>
      </c>
      <c r="B213" s="258" t="s">
        <v>613</v>
      </c>
      <c r="C213" s="256">
        <f t="shared" si="29"/>
        <v>0</v>
      </c>
      <c r="D213" s="256">
        <f t="shared" si="29"/>
        <v>0</v>
      </c>
      <c r="E213" s="256">
        <f t="shared" si="29"/>
        <v>0</v>
      </c>
      <c r="F213" s="256">
        <f t="shared" si="29"/>
        <v>0</v>
      </c>
      <c r="G213" s="257">
        <f t="shared" si="29"/>
        <v>0</v>
      </c>
    </row>
    <row r="214" spans="1:7">
      <c r="A214" s="267" t="s">
        <v>614</v>
      </c>
      <c r="B214" s="258" t="s">
        <v>615</v>
      </c>
      <c r="C214" s="256">
        <f t="shared" si="29"/>
        <v>0</v>
      </c>
      <c r="D214" s="256">
        <f t="shared" si="29"/>
        <v>0</v>
      </c>
      <c r="E214" s="256">
        <f t="shared" si="29"/>
        <v>0</v>
      </c>
      <c r="F214" s="256">
        <f t="shared" si="29"/>
        <v>0</v>
      </c>
      <c r="G214" s="257">
        <f t="shared" si="29"/>
        <v>0</v>
      </c>
    </row>
    <row r="215" spans="1:7">
      <c r="A215" s="267" t="s">
        <v>616</v>
      </c>
      <c r="B215" s="258" t="s">
        <v>617</v>
      </c>
      <c r="C215" s="256">
        <f t="shared" si="29"/>
        <v>0</v>
      </c>
      <c r="D215" s="256">
        <f t="shared" si="29"/>
        <v>0</v>
      </c>
      <c r="E215" s="256">
        <f t="shared" si="29"/>
        <v>0</v>
      </c>
      <c r="F215" s="256">
        <f t="shared" si="29"/>
        <v>0</v>
      </c>
      <c r="G215" s="257">
        <f t="shared" si="29"/>
        <v>0</v>
      </c>
    </row>
    <row r="216" spans="1:7">
      <c r="A216" s="267" t="s">
        <v>618</v>
      </c>
      <c r="B216" s="258" t="s">
        <v>619</v>
      </c>
      <c r="C216" s="256">
        <f>3834736436.57/1000000</f>
        <v>3834.73643657</v>
      </c>
      <c r="D216" s="256">
        <f>3546029356.96/1000000</f>
        <v>3546.0293569599999</v>
      </c>
      <c r="E216" s="256">
        <f>3104668878.89/1000000</f>
        <v>3104.6688788900001</v>
      </c>
      <c r="F216" s="256">
        <f>2820840882.85/1000000</f>
        <v>2820.8408828500001</v>
      </c>
      <c r="G216" s="257">
        <f>4393309380.61/1000000</f>
        <v>4393.3093806099996</v>
      </c>
    </row>
    <row r="217" spans="1:7">
      <c r="A217" s="267" t="s">
        <v>620</v>
      </c>
      <c r="B217" s="258" t="s">
        <v>621</v>
      </c>
      <c r="C217" s="256">
        <f>0/1000000</f>
        <v>0</v>
      </c>
      <c r="D217" s="256">
        <f>0/1000000</f>
        <v>0</v>
      </c>
      <c r="E217" s="256">
        <f>0/1000000</f>
        <v>0</v>
      </c>
      <c r="F217" s="256">
        <f>0/1000000</f>
        <v>0</v>
      </c>
      <c r="G217" s="257">
        <f>0/1000000</f>
        <v>0</v>
      </c>
    </row>
    <row r="218" spans="1:7" ht="15.75">
      <c r="A218" s="267" t="s">
        <v>622</v>
      </c>
      <c r="B218" s="254" t="s">
        <v>623</v>
      </c>
      <c r="C218" s="256">
        <f>-689616066.67/1000000</f>
        <v>-689.61606667000001</v>
      </c>
      <c r="D218" s="256">
        <f>466986816.09/1000000</f>
        <v>466.98681608999999</v>
      </c>
      <c r="E218" s="256">
        <f>-14212837.79/1000000</f>
        <v>-14.212837789999998</v>
      </c>
      <c r="F218" s="256">
        <f>-413204575.2/1000000</f>
        <v>-413.20457519999997</v>
      </c>
      <c r="G218" s="257">
        <f>-233657127.53/1000000</f>
        <v>-233.65712753</v>
      </c>
    </row>
    <row r="219" spans="1:7" ht="15.75">
      <c r="A219" s="267"/>
      <c r="B219" s="254" t="s">
        <v>624</v>
      </c>
      <c r="C219" s="256">
        <v>0</v>
      </c>
      <c r="D219" s="256">
        <v>0</v>
      </c>
      <c r="E219" s="256">
        <v>0</v>
      </c>
      <c r="F219" s="256">
        <v>0</v>
      </c>
      <c r="G219" s="257">
        <v>0</v>
      </c>
    </row>
    <row r="220" spans="1:7">
      <c r="A220" s="267" t="s">
        <v>625</v>
      </c>
      <c r="B220" s="258" t="s">
        <v>626</v>
      </c>
      <c r="C220" s="256">
        <f>1279343246.7/1000000</f>
        <v>1279.3432467</v>
      </c>
      <c r="D220" s="256">
        <f>24000000/1000000</f>
        <v>24</v>
      </c>
      <c r="E220" s="256">
        <f>23400000/1000000</f>
        <v>23.4</v>
      </c>
      <c r="F220" s="256">
        <f t="shared" ref="F220:F228" si="30">0/1000000</f>
        <v>0</v>
      </c>
      <c r="G220" s="257">
        <f>69936391.68/1000000</f>
        <v>69.936391680000014</v>
      </c>
    </row>
    <row r="221" spans="1:7">
      <c r="A221" s="267" t="s">
        <v>627</v>
      </c>
      <c r="B221" s="258" t="s">
        <v>628</v>
      </c>
      <c r="C221" s="256">
        <f t="shared" ref="C221:C226" si="31">0/1000000</f>
        <v>0</v>
      </c>
      <c r="D221" s="256">
        <f>24000000/1000000</f>
        <v>24</v>
      </c>
      <c r="E221" s="256">
        <f>23400000/1000000</f>
        <v>23.4</v>
      </c>
      <c r="F221" s="256">
        <f t="shared" si="30"/>
        <v>0</v>
      </c>
      <c r="G221" s="257">
        <f>39948009/1000000</f>
        <v>39.948008999999999</v>
      </c>
    </row>
    <row r="222" spans="1:7">
      <c r="A222" s="267" t="s">
        <v>629</v>
      </c>
      <c r="B222" s="258" t="s">
        <v>630</v>
      </c>
      <c r="C222" s="256">
        <f t="shared" si="31"/>
        <v>0</v>
      </c>
      <c r="D222" s="256">
        <f t="shared" ref="D222:E226" si="32">0/1000000</f>
        <v>0</v>
      </c>
      <c r="E222" s="256">
        <f t="shared" si="32"/>
        <v>0</v>
      </c>
      <c r="F222" s="256">
        <f t="shared" si="30"/>
        <v>0</v>
      </c>
      <c r="G222" s="257">
        <f>0/1000000</f>
        <v>0</v>
      </c>
    </row>
    <row r="223" spans="1:7">
      <c r="A223" s="267" t="s">
        <v>631</v>
      </c>
      <c r="B223" s="258" t="s">
        <v>632</v>
      </c>
      <c r="C223" s="256">
        <f t="shared" si="31"/>
        <v>0</v>
      </c>
      <c r="D223" s="256">
        <f t="shared" si="32"/>
        <v>0</v>
      </c>
      <c r="E223" s="256">
        <f t="shared" si="32"/>
        <v>0</v>
      </c>
      <c r="F223" s="256">
        <f t="shared" si="30"/>
        <v>0</v>
      </c>
      <c r="G223" s="257">
        <f>0/1000000</f>
        <v>0</v>
      </c>
    </row>
    <row r="224" spans="1:7">
      <c r="A224" s="267" t="s">
        <v>633</v>
      </c>
      <c r="B224" s="258" t="s">
        <v>634</v>
      </c>
      <c r="C224" s="256">
        <f t="shared" si="31"/>
        <v>0</v>
      </c>
      <c r="D224" s="256">
        <f t="shared" si="32"/>
        <v>0</v>
      </c>
      <c r="E224" s="256">
        <f t="shared" si="32"/>
        <v>0</v>
      </c>
      <c r="F224" s="256">
        <f t="shared" si="30"/>
        <v>0</v>
      </c>
      <c r="G224" s="257">
        <f>0/1000000</f>
        <v>0</v>
      </c>
    </row>
    <row r="225" spans="1:7">
      <c r="A225" s="267" t="s">
        <v>635</v>
      </c>
      <c r="B225" s="258" t="s">
        <v>636</v>
      </c>
      <c r="C225" s="256">
        <f t="shared" si="31"/>
        <v>0</v>
      </c>
      <c r="D225" s="256">
        <f t="shared" si="32"/>
        <v>0</v>
      </c>
      <c r="E225" s="256">
        <f t="shared" si="32"/>
        <v>0</v>
      </c>
      <c r="F225" s="256">
        <f t="shared" si="30"/>
        <v>0</v>
      </c>
      <c r="G225" s="257">
        <f>0/1000000</f>
        <v>0</v>
      </c>
    </row>
    <row r="226" spans="1:7">
      <c r="A226" s="267" t="s">
        <v>637</v>
      </c>
      <c r="B226" s="258" t="s">
        <v>638</v>
      </c>
      <c r="C226" s="256">
        <f t="shared" si="31"/>
        <v>0</v>
      </c>
      <c r="D226" s="256">
        <f t="shared" si="32"/>
        <v>0</v>
      </c>
      <c r="E226" s="256">
        <f t="shared" si="32"/>
        <v>0</v>
      </c>
      <c r="F226" s="256">
        <f t="shared" si="30"/>
        <v>0</v>
      </c>
      <c r="G226" s="257">
        <f>0/1000000</f>
        <v>0</v>
      </c>
    </row>
    <row r="227" spans="1:7">
      <c r="A227" s="267" t="s">
        <v>639</v>
      </c>
      <c r="B227" s="258" t="s">
        <v>640</v>
      </c>
      <c r="C227" s="256">
        <f>1279343246.7/1000000</f>
        <v>1279.3432467</v>
      </c>
      <c r="D227" s="256">
        <f>24000000/1000000</f>
        <v>24</v>
      </c>
      <c r="E227" s="256">
        <f>23400000/1000000</f>
        <v>23.4</v>
      </c>
      <c r="F227" s="256">
        <f t="shared" si="30"/>
        <v>0</v>
      </c>
      <c r="G227" s="257">
        <f>69936391.68/1000000</f>
        <v>69.936391680000014</v>
      </c>
    </row>
    <row r="228" spans="1:7">
      <c r="A228" s="267" t="s">
        <v>641</v>
      </c>
      <c r="B228" s="258" t="s">
        <v>642</v>
      </c>
      <c r="C228" s="256">
        <f>0/1000000</f>
        <v>0</v>
      </c>
      <c r="D228" s="256">
        <f>0/1000000</f>
        <v>0</v>
      </c>
      <c r="E228" s="256">
        <f>0/1000000</f>
        <v>0</v>
      </c>
      <c r="F228" s="256">
        <f t="shared" si="30"/>
        <v>0</v>
      </c>
      <c r="G228" s="257">
        <f>0/1000000</f>
        <v>0</v>
      </c>
    </row>
    <row r="229" spans="1:7">
      <c r="A229" s="267" t="s">
        <v>643</v>
      </c>
      <c r="B229" s="258" t="s">
        <v>644</v>
      </c>
      <c r="C229" s="256">
        <f>60967059.4/1000000</f>
        <v>60.967059399999997</v>
      </c>
      <c r="D229" s="256">
        <f>91498281.77/1000000</f>
        <v>91.498281769999991</v>
      </c>
      <c r="E229" s="256">
        <f>38525589.54/1000000</f>
        <v>38.525589539999999</v>
      </c>
      <c r="F229" s="256">
        <f>96313980.68/1000000</f>
        <v>96.31398068</v>
      </c>
      <c r="G229" s="257">
        <f>48156238.76/1000000</f>
        <v>48.156238760000001</v>
      </c>
    </row>
    <row r="230" spans="1:7">
      <c r="A230" s="267" t="s">
        <v>645</v>
      </c>
      <c r="B230" s="258" t="s">
        <v>646</v>
      </c>
      <c r="C230" s="256">
        <f>0/1000000</f>
        <v>0</v>
      </c>
      <c r="D230" s="256">
        <f>0/1000000</f>
        <v>0</v>
      </c>
      <c r="E230" s="256">
        <f>0/1000000</f>
        <v>0</v>
      </c>
      <c r="F230" s="256">
        <f>0/1000000</f>
        <v>0</v>
      </c>
      <c r="G230" s="257">
        <f>0/1000000</f>
        <v>0</v>
      </c>
    </row>
    <row r="231" spans="1:7">
      <c r="A231" s="267" t="s">
        <v>647</v>
      </c>
      <c r="B231" s="258" t="s">
        <v>648</v>
      </c>
      <c r="C231" s="256">
        <f>12408446.2/1000000</f>
        <v>12.408446199999998</v>
      </c>
      <c r="D231" s="256">
        <f>10120254.22/1000000</f>
        <v>10.120254220000001</v>
      </c>
      <c r="E231" s="256">
        <f>17644373.32/1000000</f>
        <v>17.64437332</v>
      </c>
      <c r="F231" s="256">
        <f>10492278.2/1000000</f>
        <v>10.492278199999999</v>
      </c>
      <c r="G231" s="257">
        <f>29028093.49/1000000</f>
        <v>29.02809349</v>
      </c>
    </row>
    <row r="232" spans="1:7">
      <c r="A232" s="267" t="s">
        <v>649</v>
      </c>
      <c r="B232" s="258" t="s">
        <v>650</v>
      </c>
      <c r="C232" s="256">
        <f t="shared" ref="C232:G233" si="33">0/1000000</f>
        <v>0</v>
      </c>
      <c r="D232" s="256">
        <f t="shared" si="33"/>
        <v>0</v>
      </c>
      <c r="E232" s="256">
        <f t="shared" si="33"/>
        <v>0</v>
      </c>
      <c r="F232" s="256">
        <f t="shared" si="33"/>
        <v>0</v>
      </c>
      <c r="G232" s="257">
        <f t="shared" si="33"/>
        <v>0</v>
      </c>
    </row>
    <row r="233" spans="1:7">
      <c r="A233" s="267" t="s">
        <v>651</v>
      </c>
      <c r="B233" s="258" t="s">
        <v>652</v>
      </c>
      <c r="C233" s="256">
        <f t="shared" si="33"/>
        <v>0</v>
      </c>
      <c r="D233" s="256">
        <f t="shared" si="33"/>
        <v>0</v>
      </c>
      <c r="E233" s="256">
        <f t="shared" si="33"/>
        <v>0</v>
      </c>
      <c r="F233" s="256">
        <f t="shared" si="33"/>
        <v>0</v>
      </c>
      <c r="G233" s="257">
        <f t="shared" si="33"/>
        <v>0</v>
      </c>
    </row>
    <row r="234" spans="1:7">
      <c r="A234" s="267" t="s">
        <v>653</v>
      </c>
      <c r="B234" s="258" t="s">
        <v>654</v>
      </c>
      <c r="C234" s="256">
        <f>73375505.6/1000000</f>
        <v>73.375505599999997</v>
      </c>
      <c r="D234" s="256">
        <f>101618535.99/1000000</f>
        <v>101.61853599</v>
      </c>
      <c r="E234" s="256">
        <f>56169962.86/1000000</f>
        <v>56.169962859999998</v>
      </c>
      <c r="F234" s="256">
        <f>106806258.88/1000000</f>
        <v>106.80625888</v>
      </c>
      <c r="G234" s="257">
        <f>77184332.25/1000000</f>
        <v>77.184332249999997</v>
      </c>
    </row>
    <row r="235" spans="1:7">
      <c r="A235" s="267" t="s">
        <v>655</v>
      </c>
      <c r="B235" s="258" t="s">
        <v>656</v>
      </c>
      <c r="C235" s="256">
        <f>0/1000000</f>
        <v>0</v>
      </c>
      <c r="D235" s="256">
        <f>0/1000000</f>
        <v>0</v>
      </c>
      <c r="E235" s="256">
        <f>0/1000000</f>
        <v>0</v>
      </c>
      <c r="F235" s="256">
        <f>0/1000000</f>
        <v>0</v>
      </c>
      <c r="G235" s="257">
        <f>0/1000000</f>
        <v>0</v>
      </c>
    </row>
    <row r="236" spans="1:7" ht="15.75">
      <c r="A236" s="267" t="s">
        <v>657</v>
      </c>
      <c r="B236" s="254" t="s">
        <v>658</v>
      </c>
      <c r="C236" s="256">
        <f>1205967741.1/1000000</f>
        <v>1205.9677411</v>
      </c>
      <c r="D236" s="256">
        <f>-77618535.99/1000000</f>
        <v>-77.618535989999998</v>
      </c>
      <c r="E236" s="256">
        <f>-32769962.86/1000000</f>
        <v>-32.76996286</v>
      </c>
      <c r="F236" s="256">
        <f>-106806258.88/1000000</f>
        <v>-106.80625888</v>
      </c>
      <c r="G236" s="257">
        <f>-7247940.57/1000000</f>
        <v>-7.2479405699999999</v>
      </c>
    </row>
    <row r="237" spans="1:7" ht="15.75">
      <c r="A237" s="267"/>
      <c r="B237" s="254" t="s">
        <v>659</v>
      </c>
      <c r="C237" s="256">
        <v>0</v>
      </c>
      <c r="D237" s="256">
        <v>0</v>
      </c>
      <c r="E237" s="256">
        <v>0</v>
      </c>
      <c r="F237" s="256">
        <v>0</v>
      </c>
      <c r="G237" s="257">
        <v>0</v>
      </c>
    </row>
    <row r="238" spans="1:7">
      <c r="A238" s="267" t="s">
        <v>660</v>
      </c>
      <c r="B238" s="258" t="s">
        <v>661</v>
      </c>
      <c r="C238" s="256">
        <f>-94924514.18/1000000</f>
        <v>-94.924514180000003</v>
      </c>
      <c r="D238" s="256">
        <f>225653421.76/1000000</f>
        <v>225.65342175999999</v>
      </c>
      <c r="E238" s="256">
        <f>15411663.88/1000000</f>
        <v>15.411663880000001</v>
      </c>
      <c r="F238" s="256">
        <f>-56222253.08/1000000</f>
        <v>-56.222253080000002</v>
      </c>
      <c r="G238" s="257">
        <f>-6417094.04/1000000</f>
        <v>-6.4170940400000003</v>
      </c>
    </row>
    <row r="239" spans="1:7">
      <c r="A239" s="267" t="s">
        <v>662</v>
      </c>
      <c r="B239" s="258" t="s">
        <v>663</v>
      </c>
      <c r="C239" s="256">
        <f t="shared" ref="C239:G240" si="34">0/1000000</f>
        <v>0</v>
      </c>
      <c r="D239" s="256">
        <f t="shared" si="34"/>
        <v>0</v>
      </c>
      <c r="E239" s="256">
        <f t="shared" si="34"/>
        <v>0</v>
      </c>
      <c r="F239" s="256">
        <f t="shared" si="34"/>
        <v>0</v>
      </c>
      <c r="G239" s="257">
        <f t="shared" si="34"/>
        <v>0</v>
      </c>
    </row>
    <row r="240" spans="1:7">
      <c r="A240" s="267" t="s">
        <v>664</v>
      </c>
      <c r="B240" s="258" t="s">
        <v>665</v>
      </c>
      <c r="C240" s="256">
        <f t="shared" si="34"/>
        <v>0</v>
      </c>
      <c r="D240" s="256">
        <f t="shared" si="34"/>
        <v>0</v>
      </c>
      <c r="E240" s="256">
        <f t="shared" si="34"/>
        <v>0</v>
      </c>
      <c r="F240" s="256">
        <f t="shared" si="34"/>
        <v>0</v>
      </c>
      <c r="G240" s="257">
        <f t="shared" si="34"/>
        <v>0</v>
      </c>
    </row>
    <row r="241" spans="1:7" ht="15.75">
      <c r="A241" s="267" t="s">
        <v>666</v>
      </c>
      <c r="B241" s="254" t="s">
        <v>667</v>
      </c>
      <c r="C241" s="256">
        <f>1504666366.31/1000000</f>
        <v>1504.6663663099998</v>
      </c>
      <c r="D241" s="256">
        <f>539512384.25/1000000</f>
        <v>539.51238424999997</v>
      </c>
      <c r="E241" s="256">
        <f>526580607.05/1000000</f>
        <v>526.58060705000003</v>
      </c>
      <c r="F241" s="256">
        <f>-212778158.01/1000000</f>
        <v>-212.77815801</v>
      </c>
      <c r="G241" s="257">
        <f>375280615.93/1000000</f>
        <v>375.28061593000001</v>
      </c>
    </row>
    <row r="242" spans="1:7">
      <c r="A242" s="267" t="s">
        <v>668</v>
      </c>
      <c r="B242" s="258" t="s">
        <v>669</v>
      </c>
      <c r="C242" s="256">
        <f>1353886772.88/1000000</f>
        <v>1353.8867728800001</v>
      </c>
      <c r="D242" s="256">
        <f>2858553139.19/1000000</f>
        <v>2858.5531391899999</v>
      </c>
      <c r="E242" s="256">
        <f>3398065523.44/1000000</f>
        <v>3398.0655234400001</v>
      </c>
      <c r="F242" s="256">
        <f>3924646130.49/1000000</f>
        <v>3924.6461304899999</v>
      </c>
      <c r="G242" s="257">
        <f>3711867972.48/1000000</f>
        <v>3711.8679724799999</v>
      </c>
    </row>
    <row r="243" spans="1:7">
      <c r="A243" s="267" t="s">
        <v>670</v>
      </c>
      <c r="B243" s="258" t="s">
        <v>671</v>
      </c>
      <c r="C243" s="256">
        <f>2858553139.19/1000000</f>
        <v>2858.5531391899999</v>
      </c>
      <c r="D243" s="256">
        <f>3398065523.44/1000000</f>
        <v>3398.0655234400001</v>
      </c>
      <c r="E243" s="256">
        <f>3924646130.49/1000000</f>
        <v>3924.6461304899999</v>
      </c>
      <c r="F243" s="256">
        <f>3711867972.48/1000000</f>
        <v>3711.8679724799999</v>
      </c>
      <c r="G243" s="257">
        <f>4087148588.41/1000000</f>
        <v>4087.1485884099998</v>
      </c>
    </row>
    <row r="244" spans="1:7" ht="15.75">
      <c r="A244" s="267"/>
      <c r="B244" s="254" t="s">
        <v>672</v>
      </c>
      <c r="C244" s="256">
        <v>0</v>
      </c>
      <c r="D244" s="256">
        <v>0</v>
      </c>
      <c r="E244" s="256">
        <v>0</v>
      </c>
      <c r="F244" s="256">
        <v>0</v>
      </c>
      <c r="G244" s="257">
        <v>0</v>
      </c>
    </row>
    <row r="245" spans="1:7">
      <c r="A245" s="267" t="s">
        <v>673</v>
      </c>
      <c r="B245" s="258" t="s">
        <v>674</v>
      </c>
      <c r="C245" s="256">
        <f>921370993.12/1000000</f>
        <v>921.37099311999998</v>
      </c>
      <c r="D245" s="256">
        <f>778936806.94/1000000</f>
        <v>778.93680694000011</v>
      </c>
      <c r="E245" s="256">
        <f>515724434.51/1000000</f>
        <v>515.72443451000004</v>
      </c>
      <c r="F245" s="256">
        <f>364197779.75/1000000</f>
        <v>364.19777975</v>
      </c>
      <c r="G245" s="257">
        <f>375330758.7/1000000</f>
        <v>375.33075869999999</v>
      </c>
    </row>
    <row r="246" spans="1:7">
      <c r="A246" s="267" t="s">
        <v>675</v>
      </c>
      <c r="B246" s="258" t="s">
        <v>676</v>
      </c>
      <c r="C246" s="256">
        <f>118383667.51/1000000</f>
        <v>118.38366751000001</v>
      </c>
      <c r="D246" s="256">
        <f>278084891.46/1000000</f>
        <v>278.08489145999999</v>
      </c>
      <c r="E246" s="256">
        <f>72893028.79/1000000</f>
        <v>72.893028790000002</v>
      </c>
      <c r="F246" s="256">
        <f>74138722.78/1000000</f>
        <v>74.138722779999995</v>
      </c>
      <c r="G246" s="257">
        <f>73473108.87/1000000</f>
        <v>73.473108870000004</v>
      </c>
    </row>
    <row r="247" spans="1:7">
      <c r="A247" s="267" t="s">
        <v>677</v>
      </c>
      <c r="B247" s="258" t="s">
        <v>678</v>
      </c>
      <c r="C247" s="256">
        <f>77723303.59/1000000</f>
        <v>77.72330359</v>
      </c>
      <c r="D247" s="256">
        <f>84545608.03/1000000</f>
        <v>84.545608029999997</v>
      </c>
      <c r="E247" s="256">
        <f>79226514.86/1000000</f>
        <v>79.226514859999995</v>
      </c>
      <c r="F247" s="256">
        <f>70019810.04/1000000</f>
        <v>70.01981004000001</v>
      </c>
      <c r="G247" s="257">
        <f>69798903/1000000</f>
        <v>69.798902999999996</v>
      </c>
    </row>
    <row r="248" spans="1:7">
      <c r="A248" s="267" t="s">
        <v>679</v>
      </c>
      <c r="B248" s="258" t="s">
        <v>680</v>
      </c>
      <c r="C248" s="256">
        <f>147364490.1/1000000</f>
        <v>147.36449009999998</v>
      </c>
      <c r="D248" s="256">
        <f>156084936/1000000</f>
        <v>156.084936</v>
      </c>
      <c r="E248" s="256">
        <f>139266897.43/1000000</f>
        <v>139.26689743</v>
      </c>
      <c r="F248" s="256">
        <f>109347796.01/1000000</f>
        <v>109.34779601000001</v>
      </c>
      <c r="G248" s="257">
        <f>104233944.71/1000000</f>
        <v>104.23394470999999</v>
      </c>
    </row>
    <row r="249" spans="1:7">
      <c r="A249" s="267" t="s">
        <v>681</v>
      </c>
      <c r="B249" s="258" t="s">
        <v>682</v>
      </c>
      <c r="C249" s="256">
        <f>12151311.62/1000000</f>
        <v>12.15131162</v>
      </c>
      <c r="D249" s="256">
        <f>8180436.38/1000000</f>
        <v>8.1804363799999997</v>
      </c>
      <c r="E249" s="256">
        <f>13509702.9/1000000</f>
        <v>13.509702900000001</v>
      </c>
      <c r="F249" s="256">
        <f>11698611.14/1000000</f>
        <v>11.698611140000001</v>
      </c>
      <c r="G249" s="257">
        <f>10619593.09/1000000</f>
        <v>10.61959309</v>
      </c>
    </row>
    <row r="250" spans="1:7">
      <c r="A250" s="267" t="s">
        <v>683</v>
      </c>
      <c r="B250" s="258" t="s">
        <v>684</v>
      </c>
      <c r="C250" s="256">
        <f>906147.34/1000000</f>
        <v>0.90614733999999997</v>
      </c>
      <c r="D250" s="256">
        <f>2108218.67/1000000</f>
        <v>2.1082186699999999</v>
      </c>
      <c r="E250" s="256">
        <f>3123706.24/1000000</f>
        <v>3.1237062400000002</v>
      </c>
      <c r="F250" s="256">
        <f t="shared" ref="F250:G252" si="35">0/1000000</f>
        <v>0</v>
      </c>
      <c r="G250" s="257">
        <f t="shared" si="35"/>
        <v>0</v>
      </c>
    </row>
    <row r="251" spans="1:7">
      <c r="A251" s="267" t="s">
        <v>685</v>
      </c>
      <c r="B251" s="258" t="s">
        <v>686</v>
      </c>
      <c r="C251" s="256">
        <f t="shared" ref="C251:E252" si="36">0/1000000</f>
        <v>0</v>
      </c>
      <c r="D251" s="256">
        <f t="shared" si="36"/>
        <v>0</v>
      </c>
      <c r="E251" s="256">
        <f t="shared" si="36"/>
        <v>0</v>
      </c>
      <c r="F251" s="256">
        <f t="shared" si="35"/>
        <v>0</v>
      </c>
      <c r="G251" s="257">
        <f t="shared" si="35"/>
        <v>0</v>
      </c>
    </row>
    <row r="252" spans="1:7">
      <c r="A252" s="267" t="s">
        <v>687</v>
      </c>
      <c r="B252" s="258" t="s">
        <v>688</v>
      </c>
      <c r="C252" s="256">
        <f t="shared" si="36"/>
        <v>0</v>
      </c>
      <c r="D252" s="256">
        <f t="shared" si="36"/>
        <v>0</v>
      </c>
      <c r="E252" s="256">
        <f t="shared" si="36"/>
        <v>0</v>
      </c>
      <c r="F252" s="256">
        <f t="shared" si="35"/>
        <v>0</v>
      </c>
      <c r="G252" s="257">
        <f t="shared" si="35"/>
        <v>0</v>
      </c>
    </row>
    <row r="253" spans="1:7">
      <c r="A253" s="267" t="s">
        <v>689</v>
      </c>
      <c r="B253" s="258" t="s">
        <v>690</v>
      </c>
      <c r="C253" s="256">
        <f>-2058.6/1000000</f>
        <v>-2.0585999999999998E-3</v>
      </c>
      <c r="D253" s="256">
        <f>-364632.44/1000000</f>
        <v>-0.36463244</v>
      </c>
      <c r="E253" s="256">
        <f>-29120.05/1000000</f>
        <v>-2.9120049999999998E-2</v>
      </c>
      <c r="F253" s="256">
        <f>-8522.57/1000000</f>
        <v>-8.5225700000000001E-3</v>
      </c>
      <c r="G253" s="257">
        <f>-24130114.41/1000000</f>
        <v>-24.130114410000001</v>
      </c>
    </row>
    <row r="254" spans="1:7">
      <c r="A254" s="267" t="s">
        <v>691</v>
      </c>
      <c r="B254" s="258" t="s">
        <v>692</v>
      </c>
      <c r="C254" s="256">
        <f>8570.01/1000000</f>
        <v>8.5700099999999994E-3</v>
      </c>
      <c r="D254" s="256">
        <f>0/1000000</f>
        <v>0</v>
      </c>
      <c r="E254" s="256">
        <f>283609.34/1000000</f>
        <v>0.28360934000000004</v>
      </c>
      <c r="F254" s="256">
        <f>37879.75/1000000</f>
        <v>3.7879749999999997E-2</v>
      </c>
      <c r="G254" s="257">
        <f>213860.68/1000000</f>
        <v>0.21386068</v>
      </c>
    </row>
    <row r="255" spans="1:7">
      <c r="A255" s="267" t="s">
        <v>693</v>
      </c>
      <c r="B255" s="258" t="s">
        <v>694</v>
      </c>
      <c r="C255" s="256">
        <f>-6362.95/1000000</f>
        <v>-6.36295E-3</v>
      </c>
      <c r="D255" s="256">
        <f>-755968.21/1000000</f>
        <v>-0.75596820999999992</v>
      </c>
      <c r="E255" s="256">
        <f>-2530060.34/1000000</f>
        <v>-2.5300603399999999</v>
      </c>
      <c r="F255" s="256">
        <f>-2722478/1000000</f>
        <v>-2.7224780000000002</v>
      </c>
      <c r="G255" s="257">
        <f>-2522389.88/1000000</f>
        <v>-2.52238988</v>
      </c>
    </row>
    <row r="256" spans="1:7">
      <c r="A256" s="267" t="s">
        <v>252</v>
      </c>
      <c r="B256" s="258" t="s">
        <v>253</v>
      </c>
      <c r="C256" s="256">
        <f>-6684252.03/1000000</f>
        <v>-6.6842520300000006</v>
      </c>
      <c r="D256" s="256">
        <f>-40255142.88/1000000</f>
        <v>-40.255142880000001</v>
      </c>
      <c r="E256" s="256">
        <f>-32871886.84/1000000</f>
        <v>-32.871886840000002</v>
      </c>
      <c r="F256" s="256">
        <f>19238810.53/1000000</f>
        <v>19.238810530000002</v>
      </c>
      <c r="G256" s="257">
        <f>-16917710.01/1000000</f>
        <v>-16.91771001</v>
      </c>
    </row>
    <row r="257" spans="1:7">
      <c r="A257" s="267" t="s">
        <v>695</v>
      </c>
      <c r="B257" s="258" t="s">
        <v>696</v>
      </c>
      <c r="C257" s="256">
        <f>-11269117.96/1000000</f>
        <v>-11.269117960000001</v>
      </c>
      <c r="D257" s="256">
        <f>-14865805.07/1000000</f>
        <v>-14.86580507</v>
      </c>
      <c r="E257" s="256">
        <f>-21185220.61/1000000</f>
        <v>-21.185220609999998</v>
      </c>
      <c r="F257" s="256">
        <f>-25237234.61/1000000</f>
        <v>-25.237234609999998</v>
      </c>
      <c r="G257" s="257">
        <f>-33204846.25/1000000</f>
        <v>-33.204846250000003</v>
      </c>
    </row>
    <row r="258" spans="1:7">
      <c r="A258" s="267" t="s">
        <v>697</v>
      </c>
      <c r="B258" s="258" t="s">
        <v>698</v>
      </c>
      <c r="C258" s="256">
        <f>3030241.6/1000000</f>
        <v>3.0302416000000001</v>
      </c>
      <c r="D258" s="256">
        <f>-28879835.04/1000000</f>
        <v>-28.87983504</v>
      </c>
      <c r="E258" s="256">
        <f>-15406963.79/1000000</f>
        <v>-15.406963789999999</v>
      </c>
      <c r="F258" s="256">
        <f>7776477.42/1000000</f>
        <v>7.77647742</v>
      </c>
      <c r="G258" s="257">
        <f>-3403540.53/1000000</f>
        <v>-3.4035405299999999</v>
      </c>
    </row>
    <row r="259" spans="1:7">
      <c r="A259" s="267" t="s">
        <v>699</v>
      </c>
      <c r="B259" s="258" t="s">
        <v>700</v>
      </c>
      <c r="C259" s="256">
        <f>-14641400.36/1000000</f>
        <v>-14.641400359999999</v>
      </c>
      <c r="D259" s="256">
        <f>-21196778.02/1000000</f>
        <v>-21.19677802</v>
      </c>
      <c r="E259" s="256">
        <f>9706601.37/1000000</f>
        <v>9.7066013699999996</v>
      </c>
      <c r="F259" s="256">
        <f>-8471374.91/1000000</f>
        <v>-8.4713749099999998</v>
      </c>
      <c r="G259" s="257">
        <f>-6646678.58/1000000</f>
        <v>-6.6466785799999997</v>
      </c>
    </row>
    <row r="260" spans="1:7">
      <c r="A260" s="267" t="s">
        <v>701</v>
      </c>
      <c r="B260" s="258" t="s">
        <v>702</v>
      </c>
      <c r="C260" s="256">
        <f>-167148457.5/1000000</f>
        <v>-167.14845750000001</v>
      </c>
      <c r="D260" s="256">
        <f>-1115142717.27/1000000</f>
        <v>-1115.14271727</v>
      </c>
      <c r="E260" s="256">
        <f>-164072185.68/1000000</f>
        <v>-164.07218568000002</v>
      </c>
      <c r="F260" s="256">
        <f>-134985950.53/1000000</f>
        <v>-134.98595053</v>
      </c>
      <c r="G260" s="257">
        <f>-193829266.91/1000000</f>
        <v>-193.82926691</v>
      </c>
    </row>
    <row r="261" spans="1:7">
      <c r="A261" s="267" t="s">
        <v>703</v>
      </c>
      <c r="B261" s="258" t="s">
        <v>704</v>
      </c>
      <c r="C261" s="256">
        <f>-296541359.99/1000000</f>
        <v>-296.54135998999999</v>
      </c>
      <c r="D261" s="256">
        <f>-319466165.67/1000000</f>
        <v>-319.46616567000001</v>
      </c>
      <c r="E261" s="256">
        <f>-117227822.94/1000000</f>
        <v>-117.22782294</v>
      </c>
      <c r="F261" s="256">
        <f>-159463333.9/1000000</f>
        <v>-159.46333390000001</v>
      </c>
      <c r="G261" s="257">
        <f>198636407.6/1000000</f>
        <v>198.63640759999998</v>
      </c>
    </row>
    <row r="262" spans="1:7">
      <c r="A262" s="267" t="s">
        <v>705</v>
      </c>
      <c r="B262" s="258" t="s">
        <v>706</v>
      </c>
      <c r="C262" s="256">
        <f>298598237.46/1000000</f>
        <v>298.59823745999995</v>
      </c>
      <c r="D262" s="256">
        <f>157348613.83/1000000</f>
        <v>157.34861383000001</v>
      </c>
      <c r="E262" s="256">
        <f>77740508.63/1000000</f>
        <v>77.740508629999994</v>
      </c>
      <c r="F262" s="256">
        <f>-7240804.75/1000000</f>
        <v>-7.2408047499999997</v>
      </c>
      <c r="G262" s="257">
        <f>16397368.99/1000000</f>
        <v>16.39736899</v>
      </c>
    </row>
    <row r="263" spans="1:7">
      <c r="A263" s="267" t="s">
        <v>291</v>
      </c>
      <c r="B263" s="258" t="s">
        <v>513</v>
      </c>
      <c r="C263" s="256">
        <f t="shared" ref="C263:G266" si="37">0/1000000</f>
        <v>0</v>
      </c>
      <c r="D263" s="256">
        <f t="shared" si="37"/>
        <v>0</v>
      </c>
      <c r="E263" s="256">
        <f t="shared" si="37"/>
        <v>0</v>
      </c>
      <c r="F263" s="256">
        <f t="shared" si="37"/>
        <v>0</v>
      </c>
      <c r="G263" s="257">
        <f t="shared" si="37"/>
        <v>0</v>
      </c>
    </row>
    <row r="264" spans="1:7">
      <c r="A264" s="267" t="s">
        <v>707</v>
      </c>
      <c r="B264" s="258" t="s">
        <v>708</v>
      </c>
      <c r="C264" s="256">
        <f t="shared" si="37"/>
        <v>0</v>
      </c>
      <c r="D264" s="256">
        <f t="shared" si="37"/>
        <v>0</v>
      </c>
      <c r="E264" s="256">
        <f t="shared" si="37"/>
        <v>0</v>
      </c>
      <c r="F264" s="256">
        <f t="shared" si="37"/>
        <v>0</v>
      </c>
      <c r="G264" s="257">
        <f t="shared" si="37"/>
        <v>0</v>
      </c>
    </row>
    <row r="265" spans="1:7">
      <c r="A265" s="267" t="s">
        <v>709</v>
      </c>
      <c r="B265" s="258" t="s">
        <v>710</v>
      </c>
      <c r="C265" s="256">
        <f t="shared" si="37"/>
        <v>0</v>
      </c>
      <c r="D265" s="256">
        <f t="shared" si="37"/>
        <v>0</v>
      </c>
      <c r="E265" s="256">
        <f t="shared" si="37"/>
        <v>0</v>
      </c>
      <c r="F265" s="256">
        <f t="shared" si="37"/>
        <v>0</v>
      </c>
      <c r="G265" s="257">
        <f t="shared" si="37"/>
        <v>0</v>
      </c>
    </row>
    <row r="266" spans="1:7">
      <c r="A266" s="267" t="s">
        <v>711</v>
      </c>
      <c r="B266" s="258" t="s">
        <v>712</v>
      </c>
      <c r="C266" s="256">
        <f t="shared" si="37"/>
        <v>0</v>
      </c>
      <c r="D266" s="256">
        <f t="shared" si="37"/>
        <v>0</v>
      </c>
      <c r="E266" s="256">
        <f t="shared" si="37"/>
        <v>0</v>
      </c>
      <c r="F266" s="256">
        <f t="shared" si="37"/>
        <v>0</v>
      </c>
      <c r="G266" s="257">
        <f t="shared" si="37"/>
        <v>0</v>
      </c>
    </row>
    <row r="267" spans="1:7">
      <c r="A267" s="267" t="s">
        <v>713</v>
      </c>
      <c r="B267" s="258" t="s">
        <v>588</v>
      </c>
      <c r="C267" s="256">
        <f>1083239206.06/1000000</f>
        <v>1083.23920606</v>
      </c>
      <c r="D267" s="256">
        <f>-75509317.61/1000000</f>
        <v>-75.509317609999997</v>
      </c>
      <c r="E267" s="256">
        <f>558151743.82/1000000</f>
        <v>558.15174382000009</v>
      </c>
      <c r="F267" s="256">
        <f>363454929.15/1000000</f>
        <v>363.45492915</v>
      </c>
      <c r="G267" s="257">
        <f>622602778.07/1000000</f>
        <v>622.60277807</v>
      </c>
    </row>
    <row r="268" spans="1:7">
      <c r="A268" s="267" t="s">
        <v>714</v>
      </c>
      <c r="B268" s="258" t="s">
        <v>715</v>
      </c>
      <c r="C268" s="256">
        <f t="shared" ref="C268:G270" si="38">0/1000000</f>
        <v>0</v>
      </c>
      <c r="D268" s="256">
        <f t="shared" si="38"/>
        <v>0</v>
      </c>
      <c r="E268" s="256">
        <f t="shared" si="38"/>
        <v>0</v>
      </c>
      <c r="F268" s="256">
        <f t="shared" si="38"/>
        <v>0</v>
      </c>
      <c r="G268" s="257">
        <f t="shared" si="38"/>
        <v>0</v>
      </c>
    </row>
    <row r="269" spans="1:7">
      <c r="A269" s="267" t="s">
        <v>716</v>
      </c>
      <c r="B269" s="258" t="s">
        <v>717</v>
      </c>
      <c r="C269" s="256">
        <f t="shared" si="38"/>
        <v>0</v>
      </c>
      <c r="D269" s="256">
        <f t="shared" si="38"/>
        <v>0</v>
      </c>
      <c r="E269" s="256">
        <f t="shared" si="38"/>
        <v>0</v>
      </c>
      <c r="F269" s="256">
        <f t="shared" si="38"/>
        <v>0</v>
      </c>
      <c r="G269" s="257">
        <f t="shared" si="38"/>
        <v>0</v>
      </c>
    </row>
    <row r="270" spans="1:7">
      <c r="A270" s="267" t="s">
        <v>718</v>
      </c>
      <c r="B270" s="258" t="s">
        <v>719</v>
      </c>
      <c r="C270" s="256">
        <f t="shared" si="38"/>
        <v>0</v>
      </c>
      <c r="D270" s="256">
        <f t="shared" si="38"/>
        <v>0</v>
      </c>
      <c r="E270" s="256">
        <f t="shared" si="38"/>
        <v>0</v>
      </c>
      <c r="F270" s="256">
        <f t="shared" si="38"/>
        <v>0</v>
      </c>
      <c r="G270" s="257">
        <f t="shared" si="38"/>
        <v>0</v>
      </c>
    </row>
    <row r="271" spans="1:7">
      <c r="A271" s="267" t="s">
        <v>720</v>
      </c>
      <c r="B271" s="258" t="s">
        <v>721</v>
      </c>
      <c r="C271" s="256">
        <f>2858553139.19/1000000</f>
        <v>2858.5531391899999</v>
      </c>
      <c r="D271" s="256">
        <f>3398065523.44/1000000</f>
        <v>3398.0655234400001</v>
      </c>
      <c r="E271" s="256">
        <f>3924646130.49/1000000</f>
        <v>3924.6461304899999</v>
      </c>
      <c r="F271" s="256">
        <f>3711867972.48/1000000</f>
        <v>3711.8679724799999</v>
      </c>
      <c r="G271" s="257">
        <f>4087148588.41/1000000</f>
        <v>4087.1485884099998</v>
      </c>
    </row>
    <row r="272" spans="1:7">
      <c r="A272" s="267" t="s">
        <v>722</v>
      </c>
      <c r="B272" s="258" t="s">
        <v>723</v>
      </c>
      <c r="C272" s="256">
        <f>1353886772.88/1000000</f>
        <v>1353.8867728800001</v>
      </c>
      <c r="D272" s="256">
        <f>2858553139.19/1000000</f>
        <v>2858.5531391899999</v>
      </c>
      <c r="E272" s="256">
        <f>3398065523.44/1000000</f>
        <v>3398.0655234400001</v>
      </c>
      <c r="F272" s="256">
        <f>3924646130.49/1000000</f>
        <v>3924.6461304899999</v>
      </c>
      <c r="G272" s="257">
        <f>3711867972.48/1000000</f>
        <v>3711.8679724799999</v>
      </c>
    </row>
    <row r="273" spans="1:7">
      <c r="A273" s="267" t="s">
        <v>724</v>
      </c>
      <c r="B273" s="258" t="s">
        <v>725</v>
      </c>
      <c r="C273" s="256">
        <f t="shared" ref="C273:G276" si="39">0/1000000</f>
        <v>0</v>
      </c>
      <c r="D273" s="256">
        <f t="shared" si="39"/>
        <v>0</v>
      </c>
      <c r="E273" s="256">
        <f t="shared" si="39"/>
        <v>0</v>
      </c>
      <c r="F273" s="256">
        <f t="shared" si="39"/>
        <v>0</v>
      </c>
      <c r="G273" s="257">
        <f t="shared" si="39"/>
        <v>0</v>
      </c>
    </row>
    <row r="274" spans="1:7">
      <c r="A274" s="267" t="s">
        <v>726</v>
      </c>
      <c r="B274" s="258" t="s">
        <v>727</v>
      </c>
      <c r="C274" s="256">
        <f t="shared" si="39"/>
        <v>0</v>
      </c>
      <c r="D274" s="256">
        <f t="shared" si="39"/>
        <v>0</v>
      </c>
      <c r="E274" s="256">
        <f t="shared" si="39"/>
        <v>0</v>
      </c>
      <c r="F274" s="256">
        <f t="shared" si="39"/>
        <v>0</v>
      </c>
      <c r="G274" s="257">
        <f t="shared" si="39"/>
        <v>0</v>
      </c>
    </row>
    <row r="275" spans="1:7">
      <c r="A275" s="267" t="s">
        <v>728</v>
      </c>
      <c r="B275" s="258" t="s">
        <v>729</v>
      </c>
      <c r="C275" s="256">
        <f t="shared" si="39"/>
        <v>0</v>
      </c>
      <c r="D275" s="256">
        <f t="shared" si="39"/>
        <v>0</v>
      </c>
      <c r="E275" s="256">
        <f t="shared" si="39"/>
        <v>0</v>
      </c>
      <c r="F275" s="256">
        <f t="shared" si="39"/>
        <v>0</v>
      </c>
      <c r="G275" s="257">
        <f t="shared" si="39"/>
        <v>0</v>
      </c>
    </row>
    <row r="276" spans="1:7">
      <c r="A276" s="267" t="s">
        <v>730</v>
      </c>
      <c r="B276" s="258" t="s">
        <v>731</v>
      </c>
      <c r="C276" s="256">
        <f t="shared" si="39"/>
        <v>0</v>
      </c>
      <c r="D276" s="256">
        <f t="shared" si="39"/>
        <v>0</v>
      </c>
      <c r="E276" s="256">
        <f t="shared" si="39"/>
        <v>0</v>
      </c>
      <c r="F276" s="256">
        <f t="shared" si="39"/>
        <v>0</v>
      </c>
      <c r="G276" s="257">
        <f t="shared" si="39"/>
        <v>0</v>
      </c>
    </row>
    <row r="277" spans="1:7">
      <c r="A277" s="267" t="s">
        <v>732</v>
      </c>
      <c r="B277" s="268" t="s">
        <v>733</v>
      </c>
      <c r="C277" s="269">
        <v>0</v>
      </c>
      <c r="D277" s="269">
        <v>0</v>
      </c>
      <c r="E277" s="269">
        <v>0</v>
      </c>
      <c r="F277" s="269">
        <v>0</v>
      </c>
      <c r="G277" s="270">
        <v>0</v>
      </c>
    </row>
  </sheetData>
  <sheetProtection algorithmName="SHA-512" hashValue="3i3ByVlCAMP4qIRIH1UysZQ7YTKy3dXunLZZEE1HJWNPvysEbBerPeECPL5SHcOlZrVd/dZq4L/58mJ/m9cqfA==" saltValue="zgPFSgSG5ZmN0uBEl+x1mA==" spinCount="100000" sheet="1" objects="1" scenarios="1"/>
  <phoneticPr fontId="35" type="noConversion"/>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K8"/>
  <sheetViews>
    <sheetView workbookViewId="0">
      <selection activeCell="K12" sqref="K12"/>
    </sheetView>
  </sheetViews>
  <sheetFormatPr defaultColWidth="9" defaultRowHeight="13.9"/>
  <cols>
    <col min="1" max="1" width="9" style="26"/>
    <col min="2" max="2" width="19" style="26" customWidth="1"/>
    <col min="3" max="3" width="12.06640625" style="26" customWidth="1"/>
    <col min="4" max="4" width="12.265625" style="26" customWidth="1"/>
    <col min="5" max="6" width="11.59765625" style="26" customWidth="1"/>
    <col min="7" max="7" width="13.46484375" style="26" customWidth="1"/>
    <col min="8" max="8" width="12.59765625" style="26" customWidth="1"/>
    <col min="9" max="9" width="13.06640625" style="26" customWidth="1"/>
    <col min="10" max="10" width="14.06640625" style="26" customWidth="1"/>
    <col min="11" max="11" width="11.06640625" style="26" customWidth="1"/>
    <col min="12" max="16384" width="9" style="26"/>
  </cols>
  <sheetData>
    <row r="1" spans="2:11" ht="13.5" customHeight="1">
      <c r="B1" s="189"/>
      <c r="C1" s="189"/>
      <c r="K1" s="189" t="s">
        <v>734</v>
      </c>
    </row>
    <row r="2" spans="2:11" ht="17.25" customHeight="1">
      <c r="B2" s="237"/>
      <c r="C2" s="435" t="s">
        <v>735</v>
      </c>
      <c r="D2" s="435"/>
      <c r="E2" s="435"/>
      <c r="F2" s="435"/>
      <c r="G2" s="435"/>
      <c r="H2" s="435" t="s">
        <v>736</v>
      </c>
      <c r="I2" s="435"/>
      <c r="J2" s="435"/>
      <c r="K2" s="435"/>
    </row>
    <row r="3" spans="2:11" ht="17.25" customHeight="1">
      <c r="B3" s="238"/>
      <c r="C3" s="78">
        <f>历史数据!C1</f>
        <v>2021</v>
      </c>
      <c r="D3" s="78">
        <f>历史数据!D1</f>
        <v>2022</v>
      </c>
      <c r="E3" s="78">
        <f>历史数据!E1</f>
        <v>2023</v>
      </c>
      <c r="F3" s="78">
        <f>历史数据!F1</f>
        <v>2024</v>
      </c>
      <c r="G3" s="78">
        <f>历史数据!G1</f>
        <v>2025</v>
      </c>
      <c r="H3" s="193">
        <f>历史数据及预测表!I4</f>
        <v>2026</v>
      </c>
      <c r="I3" s="193">
        <f>历史数据及预测表!J4</f>
        <v>2027</v>
      </c>
      <c r="J3" s="193">
        <f>历史数据及预测表!K4</f>
        <v>2028</v>
      </c>
      <c r="K3" s="244">
        <f>历史数据及预测表!L4</f>
        <v>2029</v>
      </c>
    </row>
    <row r="4" spans="2:11" ht="16.5" customHeight="1">
      <c r="B4" s="239" t="s">
        <v>737</v>
      </c>
      <c r="C4" s="191">
        <f>历史数据及预测表!D107</f>
        <v>5274.05912997</v>
      </c>
      <c r="D4" s="191">
        <f>历史数据及预测表!E107</f>
        <v>5411.8675147900003</v>
      </c>
      <c r="E4" s="191">
        <f>历史数据及预测表!F107</f>
        <v>4530.9256563700001</v>
      </c>
      <c r="F4" s="191">
        <f>历史数据及预测表!G107</f>
        <v>4212.6258813499999</v>
      </c>
      <c r="G4" s="191">
        <f>历史数据及预测表!H107</f>
        <v>4741.0075979599997</v>
      </c>
      <c r="H4" s="240">
        <f>经营模型拆分!H4</f>
        <v>8307.8437835022596</v>
      </c>
      <c r="I4" s="240">
        <f>经营模型拆分!I4</f>
        <v>10593.133938520314</v>
      </c>
      <c r="J4" s="240">
        <f>经营模型拆分!J4</f>
        <v>12526.556098275491</v>
      </c>
      <c r="K4" s="240">
        <f>经营模型拆分!K4</f>
        <v>14734.016383748149</v>
      </c>
    </row>
    <row r="5" spans="2:11">
      <c r="B5" s="239" t="s">
        <v>738</v>
      </c>
      <c r="C5" s="191">
        <f>历史数据及预测表!D110</f>
        <v>3324.9475503499998</v>
      </c>
      <c r="D5" s="191">
        <f>历史数据及预测表!E110</f>
        <v>3325.1376497900001</v>
      </c>
      <c r="E5" s="191">
        <f>历史数据及预测表!F110</f>
        <v>2850.0004882600001</v>
      </c>
      <c r="F5" s="191">
        <f>历史数据及预测表!G110</f>
        <v>2665.3621688099997</v>
      </c>
      <c r="G5" s="191">
        <f>历史数据及预测表!H110</f>
        <v>3124.9661347399997</v>
      </c>
      <c r="H5" s="240">
        <f>经营模型拆分!H5</f>
        <v>4182.2389725381145</v>
      </c>
      <c r="I5" s="240">
        <f>经营模型拆分!I5</f>
        <v>5655.3782629087063</v>
      </c>
      <c r="J5" s="240">
        <f>经营模型拆分!J5</f>
        <v>7397.5763305155169</v>
      </c>
      <c r="K5" s="240">
        <f>经营模型拆分!K5</f>
        <v>8874.2542713596049</v>
      </c>
    </row>
    <row r="6" spans="2:11">
      <c r="B6" s="239"/>
      <c r="C6" s="119"/>
      <c r="D6" s="119"/>
      <c r="E6" s="119"/>
      <c r="F6" s="119"/>
      <c r="G6" s="119"/>
      <c r="H6" s="119"/>
      <c r="I6" s="119"/>
      <c r="J6" s="119"/>
      <c r="K6" s="246"/>
    </row>
    <row r="7" spans="2:11" ht="15.75" customHeight="1">
      <c r="B7" s="239" t="s">
        <v>739</v>
      </c>
      <c r="C7" s="191">
        <f>历史数据及预测表!D108</f>
        <v>0</v>
      </c>
      <c r="D7" s="191">
        <f>历史数据及预测表!E108</f>
        <v>0</v>
      </c>
      <c r="E7" s="191">
        <f>历史数据及预测表!F108</f>
        <v>0</v>
      </c>
      <c r="F7" s="191">
        <f>历史数据及预测表!G108</f>
        <v>0</v>
      </c>
      <c r="G7" s="191">
        <f>历史数据及预测表!H108</f>
        <v>0</v>
      </c>
      <c r="H7" s="240">
        <v>1</v>
      </c>
      <c r="I7" s="240">
        <v>1</v>
      </c>
      <c r="J7" s="240">
        <v>1</v>
      </c>
      <c r="K7" s="245">
        <v>1</v>
      </c>
    </row>
    <row r="8" spans="2:11" ht="27.75">
      <c r="B8" s="241" t="s">
        <v>740</v>
      </c>
      <c r="C8" s="242">
        <f>历史数据及预测表!D116</f>
        <v>0</v>
      </c>
      <c r="D8" s="242">
        <f>历史数据及预测表!E116</f>
        <v>0</v>
      </c>
      <c r="E8" s="242">
        <f>历史数据及预测表!F116</f>
        <v>0</v>
      </c>
      <c r="F8" s="242">
        <f>历史数据及预测表!G116</f>
        <v>0</v>
      </c>
      <c r="G8" s="242">
        <f>历史数据及预测表!H116</f>
        <v>0</v>
      </c>
      <c r="H8" s="243">
        <v>0</v>
      </c>
      <c r="I8" s="243">
        <v>0</v>
      </c>
      <c r="J8" s="243">
        <v>0</v>
      </c>
      <c r="K8" s="247">
        <v>0</v>
      </c>
    </row>
  </sheetData>
  <mergeCells count="2">
    <mergeCell ref="C2:G2"/>
    <mergeCell ref="H2:K2"/>
  </mergeCells>
  <phoneticPr fontId="35" type="noConversion"/>
  <dataValidations count="1">
    <dataValidation type="decimal" operator="notEqual" showInputMessage="1" showErrorMessage="1" errorTitle="请添加或更新经营模型的收入成本数据" error="请添加或更新经营模型的收入成本数据" sqref="H4:K5" xr:uid="{00000000-0002-0000-0300-000000000000}">
      <formula1>1</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05A3-911A-406C-AA5F-1555C4D0AF78}">
  <sheetPr>
    <tabColor theme="9" tint="0.79998168889431442"/>
  </sheetPr>
  <dimension ref="A1:N1031"/>
  <sheetViews>
    <sheetView zoomScale="83" zoomScaleNormal="83" workbookViewId="0">
      <pane xSplit="1" ySplit="11" topLeftCell="B54" activePane="bottomRight" state="frozen"/>
      <selection pane="topRight" activeCell="C1" sqref="C1"/>
      <selection pane="bottomLeft" activeCell="A12" sqref="A12"/>
      <selection pane="bottomRight" activeCell="H31" sqref="H31"/>
    </sheetView>
  </sheetViews>
  <sheetFormatPr defaultColWidth="9" defaultRowHeight="12.75"/>
  <cols>
    <col min="1" max="1" width="34.59765625" style="318" customWidth="1"/>
    <col min="2" max="13" width="15.59765625" style="318" customWidth="1"/>
    <col min="14" max="14" width="9.06640625" style="318" bestFit="1" customWidth="1"/>
    <col min="15" max="16384" width="9" style="318"/>
  </cols>
  <sheetData>
    <row r="1" spans="1:14" ht="13.5" customHeight="1" thickBot="1">
      <c r="A1" s="317"/>
      <c r="B1" s="317"/>
      <c r="J1" s="317" t="s">
        <v>1666</v>
      </c>
      <c r="K1" s="317"/>
      <c r="L1" s="317"/>
      <c r="M1" s="317"/>
    </row>
    <row r="2" spans="1:14" ht="17.25" customHeight="1">
      <c r="A2" s="319"/>
      <c r="B2" s="436" t="s">
        <v>1667</v>
      </c>
      <c r="C2" s="436"/>
      <c r="D2" s="436"/>
      <c r="E2" s="436"/>
      <c r="F2" s="436"/>
      <c r="G2" s="436" t="s">
        <v>1668</v>
      </c>
      <c r="H2" s="436"/>
      <c r="I2" s="436"/>
      <c r="J2" s="436"/>
      <c r="K2" s="456"/>
      <c r="L2" s="317"/>
      <c r="M2" s="317"/>
    </row>
    <row r="3" spans="1:14" ht="17.25" customHeight="1">
      <c r="A3" s="320"/>
      <c r="B3" s="337">
        <v>2020</v>
      </c>
      <c r="C3" s="337">
        <v>2021</v>
      </c>
      <c r="D3" s="337">
        <v>2022</v>
      </c>
      <c r="E3" s="337">
        <v>2023</v>
      </c>
      <c r="F3" s="337">
        <v>2024</v>
      </c>
      <c r="G3" s="337">
        <v>2025</v>
      </c>
      <c r="H3" s="321">
        <f>[2]历史数据及预测表!J4</f>
        <v>2026</v>
      </c>
      <c r="I3" s="321">
        <f>[2]历史数据及预测表!K4</f>
        <v>2027</v>
      </c>
      <c r="J3" s="322">
        <f>[2]历史数据及预测表!L4</f>
        <v>2028</v>
      </c>
      <c r="K3" s="321">
        <f>[2]历史数据及预测表!M4</f>
        <v>2029</v>
      </c>
      <c r="L3" s="317"/>
      <c r="M3" s="317"/>
    </row>
    <row r="4" spans="1:14" ht="16.5" customHeight="1">
      <c r="A4" s="323" t="s">
        <v>1669</v>
      </c>
      <c r="B4" s="324">
        <v>2169.8011083400002</v>
      </c>
      <c r="C4" s="324">
        <v>5274.05912997</v>
      </c>
      <c r="D4" s="324">
        <v>5411.8675147900003</v>
      </c>
      <c r="E4" s="324">
        <v>4530.9256563700001</v>
      </c>
      <c r="F4" s="324">
        <f>经营模型!F4</f>
        <v>4212.6258813499999</v>
      </c>
      <c r="G4" s="324">
        <f>经营模型!G4</f>
        <v>4741.0075979599997</v>
      </c>
      <c r="H4" s="325">
        <f t="shared" ref="H4:I4" si="0">H12</f>
        <v>8307.8437835022596</v>
      </c>
      <c r="I4" s="325">
        <f t="shared" si="0"/>
        <v>10593.133938520314</v>
      </c>
      <c r="J4" s="325">
        <f t="shared" ref="J4:K4" si="1">J12</f>
        <v>12526.556098275491</v>
      </c>
      <c r="K4" s="325">
        <f t="shared" ref="K4" si="2">K12</f>
        <v>14734.016383748149</v>
      </c>
      <c r="L4" s="317"/>
      <c r="M4" s="317"/>
    </row>
    <row r="5" spans="1:14" ht="13.15">
      <c r="A5" s="323" t="s">
        <v>1670</v>
      </c>
      <c r="B5" s="324">
        <v>1581.2152979800001</v>
      </c>
      <c r="C5" s="324">
        <v>3324.9475503499998</v>
      </c>
      <c r="D5" s="324">
        <v>3325.1376497900001</v>
      </c>
      <c r="E5" s="324">
        <v>2850.0004882600001</v>
      </c>
      <c r="F5" s="324">
        <f>经营模型!F5</f>
        <v>2665.3621688099997</v>
      </c>
      <c r="G5" s="324">
        <f>经营模型!G5</f>
        <v>3124.9661347399997</v>
      </c>
      <c r="H5" s="325">
        <f t="shared" ref="H5:I5" si="3">H19</f>
        <v>4182.2389725381145</v>
      </c>
      <c r="I5" s="325">
        <f t="shared" si="3"/>
        <v>5655.3782629087063</v>
      </c>
      <c r="J5" s="325">
        <f t="shared" ref="J5:K5" si="4">J19</f>
        <v>7397.5763305155169</v>
      </c>
      <c r="K5" s="325">
        <f>K19</f>
        <v>8874.2542713596049</v>
      </c>
      <c r="L5" s="317"/>
      <c r="M5" s="317"/>
    </row>
    <row r="6" spans="1:14" hidden="1">
      <c r="A6" s="323"/>
      <c r="B6" s="326"/>
      <c r="C6" s="326"/>
      <c r="D6" s="326"/>
      <c r="E6" s="326"/>
      <c r="F6" s="326"/>
      <c r="G6" s="326"/>
      <c r="H6" s="326"/>
      <c r="I6" s="326"/>
      <c r="J6" s="327"/>
      <c r="K6" s="326"/>
      <c r="L6" s="326"/>
      <c r="M6" s="326"/>
    </row>
    <row r="7" spans="1:14" ht="15.75" hidden="1" customHeight="1">
      <c r="A7" s="323" t="s">
        <v>1671</v>
      </c>
      <c r="B7" s="324"/>
      <c r="C7" s="324"/>
      <c r="D7" s="324"/>
      <c r="E7" s="324"/>
      <c r="F7" s="324"/>
      <c r="G7" s="324"/>
      <c r="H7" s="325">
        <v>1</v>
      </c>
      <c r="I7" s="325">
        <v>1</v>
      </c>
      <c r="J7" s="328">
        <v>1</v>
      </c>
      <c r="K7" s="325"/>
      <c r="L7" s="325"/>
      <c r="M7" s="325"/>
    </row>
    <row r="8" spans="1:14" ht="13.15" hidden="1" thickBot="1">
      <c r="A8" s="329" t="s">
        <v>1672</v>
      </c>
      <c r="B8" s="330"/>
      <c r="C8" s="330"/>
      <c r="D8" s="330"/>
      <c r="E8" s="330"/>
      <c r="F8" s="330"/>
      <c r="G8" s="330"/>
      <c r="H8" s="331">
        <v>0</v>
      </c>
      <c r="I8" s="331">
        <v>0</v>
      </c>
      <c r="J8" s="332">
        <v>0</v>
      </c>
      <c r="K8" s="325"/>
      <c r="L8" s="325"/>
      <c r="M8" s="325"/>
    </row>
    <row r="9" spans="1:14" hidden="1"/>
    <row r="10" spans="1:14" s="333" customFormat="1" ht="15" customHeight="1">
      <c r="A10" s="333" t="s">
        <v>1572</v>
      </c>
      <c r="B10" s="334" t="s">
        <v>1573</v>
      </c>
      <c r="G10" s="335">
        <f>G18</f>
        <v>0.34086455881559097</v>
      </c>
      <c r="H10" s="335">
        <f t="shared" ref="H10:J10" si="5">H18</f>
        <v>0.49659152464527356</v>
      </c>
      <c r="I10" s="335">
        <f t="shared" si="5"/>
        <v>0.466127937612137</v>
      </c>
      <c r="J10" s="335">
        <f t="shared" si="5"/>
        <v>0.40944851302474683</v>
      </c>
      <c r="K10" s="335"/>
      <c r="L10" s="335"/>
      <c r="M10" s="335"/>
      <c r="N10" s="336"/>
    </row>
    <row r="11" spans="1:14" s="333" customFormat="1" ht="15" customHeight="1">
      <c r="B11" s="337">
        <v>2020</v>
      </c>
      <c r="C11" s="337">
        <v>2021</v>
      </c>
      <c r="D11" s="337">
        <v>2022</v>
      </c>
      <c r="E11" s="337">
        <v>2023</v>
      </c>
      <c r="F11" s="337">
        <v>2024</v>
      </c>
      <c r="G11" s="337">
        <v>2025</v>
      </c>
      <c r="H11" s="338">
        <v>2026</v>
      </c>
      <c r="I11" s="338">
        <v>2027</v>
      </c>
      <c r="J11" s="338">
        <v>2028</v>
      </c>
      <c r="K11" s="338">
        <v>2029</v>
      </c>
      <c r="L11" s="335"/>
      <c r="M11" s="339" t="s">
        <v>1574</v>
      </c>
      <c r="N11" s="336" t="s">
        <v>1575</v>
      </c>
    </row>
    <row r="12" spans="1:14" s="333" customFormat="1" ht="15" customHeight="1">
      <c r="A12" s="340" t="s">
        <v>1576</v>
      </c>
      <c r="B12" s="341">
        <v>2169.8011083400002</v>
      </c>
      <c r="C12" s="341">
        <v>5274.05912997</v>
      </c>
      <c r="D12" s="341">
        <v>5411.8675147900003</v>
      </c>
      <c r="E12" s="341">
        <v>4530.9256563700001</v>
      </c>
      <c r="F12" s="341">
        <v>4212.6258813499999</v>
      </c>
      <c r="G12" s="341">
        <f>G4</f>
        <v>4741.0075979599997</v>
      </c>
      <c r="H12" s="342">
        <f>H20+H103+H117+H119+H121</f>
        <v>8307.8437835022596</v>
      </c>
      <c r="I12" s="342">
        <f>I20+I103+I117+I119+I121</f>
        <v>10593.133938520314</v>
      </c>
      <c r="J12" s="342">
        <f>J20+J103+J117+J119+J121</f>
        <v>12526.556098275491</v>
      </c>
      <c r="K12" s="342">
        <f>K20+K103+K117+K119+K121</f>
        <v>14734.016383748149</v>
      </c>
      <c r="L12" s="335"/>
      <c r="N12" s="336">
        <f>(I12/E12)^(1/4)-1</f>
        <v>0.23654345134293542</v>
      </c>
    </row>
    <row r="13" spans="1:14" s="333" customFormat="1" ht="15" customHeight="1">
      <c r="A13" s="343" t="s">
        <v>1577</v>
      </c>
      <c r="B13" s="344" t="e">
        <f>B12/#REF!-1</f>
        <v>#REF!</v>
      </c>
      <c r="C13" s="344">
        <f t="shared" ref="C13:K13" si="6">C12/B12-1</f>
        <v>1.4306647783053732</v>
      </c>
      <c r="D13" s="344">
        <f t="shared" si="6"/>
        <v>2.6129472845099588E-2</v>
      </c>
      <c r="E13" s="344">
        <f t="shared" si="6"/>
        <v>-0.16277964233464493</v>
      </c>
      <c r="F13" s="344">
        <f t="shared" si="6"/>
        <v>-7.0250496070820456E-2</v>
      </c>
      <c r="G13" s="344">
        <f t="shared" si="6"/>
        <v>0.12542811336492843</v>
      </c>
      <c r="H13" s="345">
        <f t="shared" si="6"/>
        <v>0.75233715868268769</v>
      </c>
      <c r="I13" s="345">
        <f t="shared" si="6"/>
        <v>0.27507620684396961</v>
      </c>
      <c r="J13" s="345">
        <f t="shared" si="6"/>
        <v>0.18251654052296851</v>
      </c>
      <c r="K13" s="345">
        <f t="shared" si="6"/>
        <v>0.17622244040215929</v>
      </c>
      <c r="L13" s="335"/>
      <c r="N13" s="336"/>
    </row>
    <row r="14" spans="1:14" s="333" customFormat="1" ht="15" customHeight="1">
      <c r="A14" s="346" t="s">
        <v>1578</v>
      </c>
      <c r="B14" s="347">
        <v>21.236903000000002</v>
      </c>
      <c r="C14" s="347">
        <v>414.08087</v>
      </c>
      <c r="D14" s="347">
        <v>994.315337</v>
      </c>
      <c r="E14" s="348"/>
      <c r="F14" s="348"/>
      <c r="G14" s="348"/>
      <c r="H14" s="349"/>
      <c r="I14" s="349"/>
      <c r="J14" s="349"/>
      <c r="K14" s="349"/>
      <c r="L14" s="335"/>
      <c r="N14" s="336"/>
    </row>
    <row r="15" spans="1:14" s="333" customFormat="1" ht="15" customHeight="1">
      <c r="A15" s="343" t="s">
        <v>1577</v>
      </c>
      <c r="B15" s="344" t="e">
        <f>B14/#REF!-1</f>
        <v>#REF!</v>
      </c>
      <c r="C15" s="344">
        <f>C14/B14-1</f>
        <v>18.498175887510527</v>
      </c>
      <c r="D15" s="344">
        <f>D14/C14-1</f>
        <v>1.4012588096619871</v>
      </c>
      <c r="E15" s="344"/>
      <c r="F15" s="344"/>
      <c r="G15" s="344"/>
      <c r="H15" s="345"/>
      <c r="I15" s="345"/>
      <c r="J15" s="345"/>
      <c r="K15" s="345"/>
      <c r="L15" s="335"/>
      <c r="N15" s="336"/>
    </row>
    <row r="16" spans="1:14" s="333" customFormat="1" ht="15" customHeight="1">
      <c r="A16" s="346" t="s">
        <v>1579</v>
      </c>
      <c r="B16" s="348" t="e">
        <f>#REF!/B14</f>
        <v>#REF!</v>
      </c>
      <c r="C16" s="348" t="e">
        <f>#REF!/C14</f>
        <v>#REF!</v>
      </c>
      <c r="D16" s="348" t="e">
        <f>#REF!/D14</f>
        <v>#REF!</v>
      </c>
      <c r="E16" s="348"/>
      <c r="F16" s="348"/>
      <c r="G16" s="348"/>
      <c r="H16" s="349"/>
      <c r="I16" s="349"/>
      <c r="J16" s="349"/>
      <c r="K16" s="349"/>
      <c r="L16" s="335"/>
      <c r="N16" s="336"/>
    </row>
    <row r="17" spans="1:14" s="333" customFormat="1" ht="15" customHeight="1">
      <c r="A17" s="343" t="s">
        <v>1577</v>
      </c>
      <c r="B17" s="344" t="e">
        <f>B16/#REF!-1</f>
        <v>#REF!</v>
      </c>
      <c r="C17" s="344" t="e">
        <f>C16/B16-1</f>
        <v>#REF!</v>
      </c>
      <c r="D17" s="344" t="e">
        <f>D16/C16-1</f>
        <v>#REF!</v>
      </c>
      <c r="E17" s="344"/>
      <c r="F17" s="344"/>
      <c r="G17" s="344"/>
      <c r="H17" s="345"/>
      <c r="I17" s="345"/>
      <c r="J17" s="345"/>
      <c r="K17" s="345"/>
      <c r="L17" s="335"/>
      <c r="N17" s="336"/>
    </row>
    <row r="18" spans="1:14" s="339" customFormat="1" ht="15" customHeight="1">
      <c r="A18" s="339" t="s">
        <v>1665</v>
      </c>
      <c r="B18" s="350">
        <v>0.27126256323571329</v>
      </c>
      <c r="C18" s="350">
        <v>0.36956574273961296</v>
      </c>
      <c r="D18" s="350">
        <v>0.38558406304241777</v>
      </c>
      <c r="E18" s="350">
        <v>0.37098935087288354</v>
      </c>
      <c r="F18" s="350">
        <v>0.36729198274881125</v>
      </c>
      <c r="G18" s="350">
        <f>1-G5/G4</f>
        <v>0.34086455881559097</v>
      </c>
      <c r="H18" s="351">
        <f>1-H5/H4</f>
        <v>0.49659152464527356</v>
      </c>
      <c r="I18" s="351">
        <f>1-I5/I4</f>
        <v>0.466127937612137</v>
      </c>
      <c r="J18" s="351">
        <f>1-J5/J4</f>
        <v>0.40944851302474683</v>
      </c>
      <c r="K18" s="351">
        <f>1-K5/K4</f>
        <v>0.39770297248019582</v>
      </c>
      <c r="L18" s="352"/>
      <c r="N18" s="336"/>
    </row>
    <row r="19" spans="1:14" s="333" customFormat="1" ht="15" customHeight="1">
      <c r="A19" s="353" t="s">
        <v>1581</v>
      </c>
      <c r="B19" s="341">
        <f>B12*(1-B18)</f>
        <v>1581.2152979800001</v>
      </c>
      <c r="C19" s="341">
        <f t="shared" ref="C19:G19" si="7">C12*(1-C18)</f>
        <v>3324.9475503499998</v>
      </c>
      <c r="D19" s="341">
        <f t="shared" si="7"/>
        <v>3325.1376497900001</v>
      </c>
      <c r="E19" s="341">
        <f t="shared" si="7"/>
        <v>2850.0004882600001</v>
      </c>
      <c r="F19" s="341">
        <f t="shared" si="7"/>
        <v>2665.3621688099997</v>
      </c>
      <c r="G19" s="341">
        <f t="shared" si="7"/>
        <v>3124.9661347399997</v>
      </c>
      <c r="H19" s="342">
        <f t="shared" ref="H19:K19" si="8">H124</f>
        <v>4182.2389725381145</v>
      </c>
      <c r="I19" s="342">
        <f t="shared" si="8"/>
        <v>5655.3782629087063</v>
      </c>
      <c r="J19" s="342">
        <f t="shared" si="8"/>
        <v>7397.5763305155169</v>
      </c>
      <c r="K19" s="342">
        <f>K124</f>
        <v>8874.2542713596049</v>
      </c>
      <c r="L19" s="335"/>
      <c r="N19" s="336">
        <f>(I19/E19)^(1/4)-1</f>
        <v>0.18687281062897076</v>
      </c>
    </row>
    <row r="20" spans="1:14" s="333" customFormat="1" ht="15" customHeight="1">
      <c r="A20" s="340" t="s">
        <v>1582</v>
      </c>
      <c r="B20" s="354">
        <f>B30+B92</f>
        <v>1712.9355700000001</v>
      </c>
      <c r="C20" s="354">
        <f>C30+C92</f>
        <v>4007.0977199999998</v>
      </c>
      <c r="D20" s="354">
        <f>D30+D92</f>
        <v>4533.2250000000004</v>
      </c>
      <c r="E20" s="354">
        <f>E30+E92</f>
        <v>3320.48</v>
      </c>
      <c r="F20" s="354">
        <f>F30+F92</f>
        <v>3061.0099999999998</v>
      </c>
      <c r="G20" s="354">
        <f>G30+G92</f>
        <v>3416.89</v>
      </c>
      <c r="H20" s="355">
        <f>H30+H92</f>
        <v>6093.89694406946</v>
      </c>
      <c r="I20" s="355">
        <f>I30+I92</f>
        <v>7941.3757312009539</v>
      </c>
      <c r="J20" s="355">
        <f>J30+J92</f>
        <v>9351.8242494922579</v>
      </c>
      <c r="K20" s="355">
        <f>K30+K92</f>
        <v>10934.116165208272</v>
      </c>
      <c r="L20" s="335"/>
      <c r="M20" s="336"/>
    </row>
    <row r="21" spans="1:14" s="333" customFormat="1" ht="15" customHeight="1">
      <c r="A21" s="343" t="s">
        <v>1577</v>
      </c>
      <c r="B21" s="341"/>
      <c r="C21" s="344">
        <f t="shared" ref="C21:K21" si="9">C20/B20-1</f>
        <v>1.3393160783041007</v>
      </c>
      <c r="D21" s="344">
        <f>D20/C20-1</f>
        <v>0.13129883940040288</v>
      </c>
      <c r="E21" s="344">
        <f t="shared" ref="E21:F21" si="10">E20/D20-1</f>
        <v>-0.26752367244070174</v>
      </c>
      <c r="F21" s="344">
        <f t="shared" si="10"/>
        <v>-7.8142316773478604E-2</v>
      </c>
      <c r="G21" s="344">
        <f t="shared" si="9"/>
        <v>0.11626227944371315</v>
      </c>
      <c r="H21" s="345">
        <f t="shared" si="9"/>
        <v>0.78346301580368705</v>
      </c>
      <c r="I21" s="345">
        <f t="shared" si="9"/>
        <v>0.30316869551419767</v>
      </c>
      <c r="J21" s="345">
        <f t="shared" si="9"/>
        <v>0.17760757909360447</v>
      </c>
      <c r="K21" s="345">
        <f t="shared" si="9"/>
        <v>0.16919607057435049</v>
      </c>
      <c r="L21" s="335"/>
      <c r="M21" s="336"/>
    </row>
    <row r="22" spans="1:14" s="333" customFormat="1" ht="15" customHeight="1">
      <c r="A22" s="356" t="s">
        <v>1583</v>
      </c>
      <c r="B22" s="354"/>
      <c r="C22" s="344">
        <f t="shared" ref="C22" si="11">C20/D12</f>
        <v>0.74042790387034985</v>
      </c>
      <c r="D22" s="344">
        <f>D20/D12</f>
        <v>0.83764522830819987</v>
      </c>
      <c r="E22" s="344">
        <f t="shared" ref="E22:J22" si="12">E20/E12</f>
        <v>0.73284804294499029</v>
      </c>
      <c r="F22" s="344">
        <f t="shared" si="12"/>
        <v>0.72662754448516387</v>
      </c>
      <c r="G22" s="344">
        <f t="shared" si="12"/>
        <v>0.72070966548761661</v>
      </c>
      <c r="H22" s="345">
        <f t="shared" si="12"/>
        <v>0.73351125789952121</v>
      </c>
      <c r="I22" s="345">
        <f t="shared" si="12"/>
        <v>0.74967198350276243</v>
      </c>
      <c r="J22" s="345">
        <f t="shared" si="12"/>
        <v>0.74655988255061645</v>
      </c>
      <c r="K22" s="345">
        <f t="shared" ref="K22" si="13">K20/K12</f>
        <v>0.74210017692587704</v>
      </c>
      <c r="M22" s="336"/>
    </row>
    <row r="23" spans="1:14" s="333" customFormat="1" ht="15" customHeight="1">
      <c r="A23" s="343" t="s">
        <v>1584</v>
      </c>
      <c r="B23" s="357">
        <f>B32+B94</f>
        <v>2805.2748000000001</v>
      </c>
      <c r="C23" s="344"/>
      <c r="D23" s="344"/>
      <c r="E23" s="344"/>
      <c r="F23" s="344"/>
      <c r="G23" s="344"/>
      <c r="H23" s="345"/>
      <c r="I23" s="345"/>
      <c r="J23" s="345"/>
      <c r="K23" s="345"/>
      <c r="M23" s="336"/>
    </row>
    <row r="24" spans="1:14" s="333" customFormat="1" ht="15" customHeight="1">
      <c r="A24" s="356" t="s">
        <v>1577</v>
      </c>
      <c r="B24" s="344" t="e">
        <f>B23/#REF!-1</f>
        <v>#REF!</v>
      </c>
      <c r="C24" s="344"/>
      <c r="D24" s="344"/>
      <c r="E24" s="344"/>
      <c r="F24" s="344"/>
      <c r="G24" s="344"/>
      <c r="H24" s="345"/>
      <c r="I24" s="345"/>
      <c r="J24" s="345"/>
      <c r="K24" s="345"/>
      <c r="M24" s="336"/>
    </row>
    <row r="25" spans="1:14" s="333" customFormat="1" ht="15" hidden="1" customHeight="1">
      <c r="A25" s="346" t="s">
        <v>1585</v>
      </c>
      <c r="B25" s="358"/>
      <c r="C25" s="359"/>
      <c r="D25" s="348"/>
      <c r="E25" s="349"/>
      <c r="F25" s="349"/>
      <c r="G25" s="348"/>
      <c r="H25" s="349"/>
      <c r="I25" s="349"/>
      <c r="J25" s="349"/>
      <c r="K25" s="349"/>
      <c r="M25" s="336"/>
    </row>
    <row r="26" spans="1:14" s="333" customFormat="1" ht="15" hidden="1" customHeight="1">
      <c r="A26" s="343" t="s">
        <v>1577</v>
      </c>
      <c r="B26" s="341"/>
      <c r="C26" s="344"/>
      <c r="D26" s="344"/>
      <c r="E26" s="345"/>
      <c r="F26" s="345"/>
      <c r="G26" s="344"/>
      <c r="H26" s="345"/>
      <c r="I26" s="345"/>
      <c r="J26" s="345"/>
      <c r="K26" s="345"/>
      <c r="M26" s="336"/>
    </row>
    <row r="27" spans="1:14" s="333" customFormat="1" ht="15" hidden="1" customHeight="1">
      <c r="A27" s="346" t="s">
        <v>1586</v>
      </c>
      <c r="B27" s="359"/>
      <c r="C27" s="359"/>
      <c r="D27" s="348"/>
      <c r="E27" s="349"/>
      <c r="F27" s="349"/>
      <c r="G27" s="348"/>
      <c r="H27" s="349"/>
      <c r="I27" s="349"/>
      <c r="J27" s="349"/>
      <c r="K27" s="349"/>
      <c r="M27" s="336"/>
    </row>
    <row r="28" spans="1:14" s="333" customFormat="1" ht="15" hidden="1" customHeight="1">
      <c r="A28" s="343" t="s">
        <v>1577</v>
      </c>
      <c r="B28" s="341"/>
      <c r="C28" s="344"/>
      <c r="D28" s="344"/>
      <c r="E28" s="345"/>
      <c r="F28" s="345"/>
      <c r="G28" s="344"/>
      <c r="H28" s="345"/>
      <c r="I28" s="345"/>
      <c r="J28" s="345"/>
      <c r="K28" s="345"/>
      <c r="M28" s="336"/>
    </row>
    <row r="29" spans="1:14" s="333" customFormat="1" ht="15" customHeight="1">
      <c r="A29" s="333" t="s">
        <v>1580</v>
      </c>
      <c r="B29" s="344"/>
      <c r="C29" s="344">
        <f>(C30*C45+C92*C101)/C20</f>
        <v>0.32895246438187686</v>
      </c>
      <c r="D29" s="344">
        <f>(D30*D45+D92*D101)/D20</f>
        <v>0.3855439118949533</v>
      </c>
      <c r="E29" s="344">
        <f>(E30*E45+E92*E101)/E20</f>
        <v>0.38307714547294369</v>
      </c>
      <c r="F29" s="344">
        <f>(F30*F45+F92*F101)/F20</f>
        <v>0.36870510060404899</v>
      </c>
      <c r="G29" s="344">
        <f>1-G125/G20</f>
        <v>0.34783677554735448</v>
      </c>
      <c r="H29" s="345">
        <f>1-H125/H20</f>
        <v>0.47979316365565039</v>
      </c>
      <c r="I29" s="345">
        <f>1-I125/I20</f>
        <v>0.47294298404421287</v>
      </c>
      <c r="J29" s="345">
        <f>1-J125/J20</f>
        <v>0.41101902548789948</v>
      </c>
      <c r="K29" s="345">
        <f>1-K125/K20</f>
        <v>0.39571636638695418</v>
      </c>
      <c r="M29" s="336"/>
    </row>
    <row r="30" spans="1:14" s="339" customFormat="1" ht="15" customHeight="1">
      <c r="A30" s="340" t="s">
        <v>1587</v>
      </c>
      <c r="B30" s="341">
        <v>1525.45856</v>
      </c>
      <c r="C30" s="341">
        <v>3594.4400099999998</v>
      </c>
      <c r="D30" s="341">
        <v>4054.5030999999999</v>
      </c>
      <c r="E30" s="341">
        <v>2911.56</v>
      </c>
      <c r="F30" s="341">
        <v>2589.4899999999998</v>
      </c>
      <c r="G30" s="341">
        <v>2911.25</v>
      </c>
      <c r="H30" s="355">
        <f>H46+H60+H74</f>
        <v>5487.12894406946</v>
      </c>
      <c r="I30" s="355">
        <f>I46+I60+I74</f>
        <v>7213.2541312009544</v>
      </c>
      <c r="J30" s="355">
        <f>J46+J60+J74</f>
        <v>8478.0783294922585</v>
      </c>
      <c r="K30" s="355">
        <f>K46+K60+K74</f>
        <v>9885.6210612082723</v>
      </c>
      <c r="L30" s="333"/>
      <c r="M30" s="336">
        <f>(H30/D30)^(1/4)-1</f>
        <v>7.8578806271963453E-2</v>
      </c>
    </row>
    <row r="31" spans="1:14" s="333" customFormat="1" ht="15" customHeight="1">
      <c r="A31" s="343" t="s">
        <v>1577</v>
      </c>
      <c r="B31" s="360"/>
      <c r="C31" s="344">
        <f t="shared" ref="C31:K31" si="14">C30/B30-1</f>
        <v>1.356301314406076</v>
      </c>
      <c r="D31" s="344">
        <f t="shared" si="14"/>
        <v>0.1279929804698563</v>
      </c>
      <c r="E31" s="344">
        <f t="shared" si="14"/>
        <v>-0.28189474068967912</v>
      </c>
      <c r="F31" s="344">
        <f t="shared" si="14"/>
        <v>-0.1106176757477092</v>
      </c>
      <c r="G31" s="344">
        <f t="shared" si="14"/>
        <v>0.12425612765448024</v>
      </c>
      <c r="H31" s="345">
        <f t="shared" si="14"/>
        <v>0.88480169826344701</v>
      </c>
      <c r="I31" s="345">
        <f t="shared" si="14"/>
        <v>0.31457711395630805</v>
      </c>
      <c r="J31" s="345">
        <f t="shared" si="14"/>
        <v>0.17534723930220375</v>
      </c>
      <c r="K31" s="345">
        <f t="shared" si="14"/>
        <v>0.16602143516646528</v>
      </c>
      <c r="M31" s="336"/>
    </row>
    <row r="32" spans="1:14" s="339" customFormat="1" ht="13.9">
      <c r="A32" s="343" t="s">
        <v>1584</v>
      </c>
      <c r="B32" s="357">
        <v>2526.2536</v>
      </c>
      <c r="C32" s="341"/>
      <c r="D32" s="354"/>
      <c r="E32" s="354"/>
      <c r="F32" s="354"/>
      <c r="G32" s="354"/>
      <c r="H32" s="355"/>
      <c r="I32" s="355"/>
      <c r="J32" s="355"/>
      <c r="K32" s="355"/>
      <c r="L32" s="333"/>
      <c r="M32" s="336"/>
    </row>
    <row r="33" spans="1:13" s="333" customFormat="1" ht="13.9">
      <c r="A33" s="356" t="s">
        <v>1577</v>
      </c>
      <c r="B33" s="344" t="e">
        <f>B32/#REF!-1</f>
        <v>#REF!</v>
      </c>
      <c r="C33" s="344"/>
      <c r="D33" s="344"/>
      <c r="E33" s="344"/>
      <c r="F33" s="344"/>
      <c r="G33" s="344"/>
      <c r="H33" s="345"/>
      <c r="I33" s="345"/>
      <c r="J33" s="345"/>
      <c r="K33" s="345"/>
      <c r="M33" s="336"/>
    </row>
    <row r="34" spans="1:13" s="333" customFormat="1" ht="13.9">
      <c r="A34" s="356" t="s">
        <v>1588</v>
      </c>
      <c r="B34" s="344">
        <f>B32/B23</f>
        <v>0.90053694561402675</v>
      </c>
      <c r="C34" s="344">
        <f t="shared" ref="C34:J34" si="15">C30/C20</f>
        <v>0.89701830630674018</v>
      </c>
      <c r="D34" s="344">
        <f>D30/D20</f>
        <v>0.89439705728261876</v>
      </c>
      <c r="E34" s="344">
        <f t="shared" ref="E34:F34" si="16">E30/E20</f>
        <v>0.87684913024622946</v>
      </c>
      <c r="F34" s="344">
        <f t="shared" si="16"/>
        <v>0.84595934021777131</v>
      </c>
      <c r="G34" s="345">
        <f t="shared" si="15"/>
        <v>0.8520174778819336</v>
      </c>
      <c r="H34" s="345">
        <f t="shared" si="15"/>
        <v>0.90043021640027854</v>
      </c>
      <c r="I34" s="345">
        <f t="shared" si="15"/>
        <v>0.90831291395277081</v>
      </c>
      <c r="J34" s="345">
        <f t="shared" si="15"/>
        <v>0.90656946744401901</v>
      </c>
      <c r="K34" s="345">
        <f t="shared" ref="K34" si="17">K30/K20</f>
        <v>0.90410792347933433</v>
      </c>
      <c r="M34" s="336"/>
    </row>
    <row r="35" spans="1:13" s="333" customFormat="1" ht="13.9">
      <c r="A35" s="343" t="s">
        <v>1589</v>
      </c>
      <c r="B35" s="361">
        <v>1174.82</v>
      </c>
      <c r="C35" s="361">
        <v>1538.38</v>
      </c>
      <c r="D35" s="361">
        <v>1826.61</v>
      </c>
      <c r="E35" s="361">
        <f t="shared" ref="E35:K35" si="18">D35*(1+E36)</f>
        <v>1278.627</v>
      </c>
      <c r="F35" s="348">
        <f t="shared" si="18"/>
        <v>1342.55835</v>
      </c>
      <c r="G35" s="349">
        <f t="shared" si="18"/>
        <v>1409.6862675</v>
      </c>
      <c r="H35" s="349">
        <f t="shared" si="18"/>
        <v>1480.170580875</v>
      </c>
      <c r="I35" s="349">
        <f t="shared" si="18"/>
        <v>1554.1791099187501</v>
      </c>
      <c r="J35" s="349">
        <f t="shared" si="18"/>
        <v>1631.8880654146876</v>
      </c>
      <c r="K35" s="349">
        <f t="shared" si="18"/>
        <v>1713.482468685422</v>
      </c>
      <c r="L35" s="333" t="s">
        <v>1590</v>
      </c>
      <c r="M35" s="336"/>
    </row>
    <row r="36" spans="1:13" s="333" customFormat="1" ht="13.9">
      <c r="A36" s="343" t="s">
        <v>1577</v>
      </c>
      <c r="B36" s="344" t="e">
        <f>B35/#REF!-1</f>
        <v>#REF!</v>
      </c>
      <c r="C36" s="344">
        <f>C35/B35-1</f>
        <v>0.30946017262218906</v>
      </c>
      <c r="D36" s="344">
        <f>D35/C35-1</f>
        <v>0.1873594300497925</v>
      </c>
      <c r="E36" s="344">
        <v>-0.3</v>
      </c>
      <c r="F36" s="362">
        <v>0.05</v>
      </c>
      <c r="G36" s="363">
        <v>0.05</v>
      </c>
      <c r="H36" s="363">
        <v>0.05</v>
      </c>
      <c r="I36" s="363">
        <v>0.05</v>
      </c>
      <c r="J36" s="363">
        <v>0.05</v>
      </c>
      <c r="K36" s="363">
        <v>0.05</v>
      </c>
      <c r="M36" s="336"/>
    </row>
    <row r="37" spans="1:13" s="333" customFormat="1" ht="13.9">
      <c r="A37" s="343" t="s">
        <v>1591</v>
      </c>
      <c r="B37" s="344">
        <f>B32/100/6.5/B35</f>
        <v>3.3082038099453539E-3</v>
      </c>
      <c r="C37" s="344">
        <f t="shared" ref="C37:J37" si="19">C30/100/6.5/C35</f>
        <v>3.5946305254178465E-3</v>
      </c>
      <c r="D37" s="344">
        <f t="shared" si="19"/>
        <v>3.4149036066391174E-3</v>
      </c>
      <c r="E37" s="344">
        <f t="shared" si="19"/>
        <v>3.5032289142361899E-3</v>
      </c>
      <c r="F37" s="344">
        <f t="shared" si="19"/>
        <v>2.9673427372678206E-3</v>
      </c>
      <c r="G37" s="345">
        <f t="shared" si="19"/>
        <v>3.1771935764041588E-3</v>
      </c>
      <c r="H37" s="345">
        <f t="shared" si="19"/>
        <v>5.7032189033507348E-3</v>
      </c>
      <c r="I37" s="345">
        <f t="shared" si="19"/>
        <v>7.1403057583122563E-3</v>
      </c>
      <c r="J37" s="345">
        <f t="shared" si="19"/>
        <v>7.9927034864818482E-3</v>
      </c>
      <c r="K37" s="345">
        <f t="shared" ref="K37" si="20">K30/100/6.5/K35</f>
        <v>8.8758700858738802E-3</v>
      </c>
      <c r="L37" s="333" t="s">
        <v>1592</v>
      </c>
      <c r="M37" s="336"/>
    </row>
    <row r="38" spans="1:13" s="333" customFormat="1" ht="13.9" hidden="1">
      <c r="A38" s="343" t="s">
        <v>1593</v>
      </c>
      <c r="B38" s="348" t="e">
        <f>#REF!*(1+B39)</f>
        <v>#REF!</v>
      </c>
      <c r="C38" s="348" t="e">
        <f t="shared" ref="C38:K38" si="21">B38*(1+C39)</f>
        <v>#REF!</v>
      </c>
      <c r="D38" s="348" t="e">
        <f>C38*(1+D39)</f>
        <v>#REF!</v>
      </c>
      <c r="E38" s="348" t="e">
        <f>D38*(1+E39)</f>
        <v>#REF!</v>
      </c>
      <c r="F38" s="348" t="e">
        <f t="shared" si="21"/>
        <v>#REF!</v>
      </c>
      <c r="G38" s="364">
        <v>83</v>
      </c>
      <c r="H38" s="349" t="e">
        <f t="shared" si="21"/>
        <v>#REF!</v>
      </c>
      <c r="I38" s="349" t="e">
        <f t="shared" si="21"/>
        <v>#REF!</v>
      </c>
      <c r="J38" s="349" t="e">
        <f t="shared" si="21"/>
        <v>#REF!</v>
      </c>
      <c r="K38" s="349" t="e">
        <f t="shared" si="21"/>
        <v>#REF!</v>
      </c>
      <c r="L38" s="333" t="s">
        <v>1594</v>
      </c>
      <c r="M38" s="336"/>
    </row>
    <row r="39" spans="1:13" s="333" customFormat="1" ht="13.9" hidden="1">
      <c r="A39" s="343" t="s">
        <v>1577</v>
      </c>
      <c r="B39" s="344" t="e">
        <f>POWER($G38/#REF!,1/6)-1</f>
        <v>#REF!</v>
      </c>
      <c r="C39" s="344" t="e">
        <f>POWER($G38/#REF!,1/6)-1</f>
        <v>#REF!</v>
      </c>
      <c r="D39" s="344" t="e">
        <f>POWER($G38/#REF!,1/6)-1</f>
        <v>#REF!</v>
      </c>
      <c r="E39" s="344" t="e">
        <f>POWER($G38/#REF!,1/6)-1</f>
        <v>#REF!</v>
      </c>
      <c r="F39" s="344" t="e">
        <f>POWER($G38/#REF!,1/6)-1</f>
        <v>#REF!</v>
      </c>
      <c r="G39" s="345" t="e">
        <f>POWER($G38/#REF!,1/6)-1</f>
        <v>#REF!</v>
      </c>
      <c r="H39" s="345" t="e">
        <f>POWER($G38/#REF!,1/6)-1</f>
        <v>#REF!</v>
      </c>
      <c r="I39" s="345" t="e">
        <f>POWER($G38/#REF!,1/6)-1</f>
        <v>#REF!</v>
      </c>
      <c r="J39" s="345" t="e">
        <f>POWER($G38/#REF!,1/6)-1</f>
        <v>#REF!</v>
      </c>
      <c r="K39" s="345" t="e">
        <f>POWER($G38/#REF!,1/6)-1</f>
        <v>#REF!</v>
      </c>
      <c r="M39" s="336"/>
    </row>
    <row r="40" spans="1:13" s="333" customFormat="1" ht="13.9" hidden="1">
      <c r="A40" s="343" t="s">
        <v>1591</v>
      </c>
      <c r="B40" s="344" t="e">
        <f>B32*35%/100/6.5/B38</f>
        <v>#REF!</v>
      </c>
      <c r="C40" s="344" t="e">
        <f t="shared" ref="C40:J40" si="22">C30*40%/100/6.5/C38</f>
        <v>#REF!</v>
      </c>
      <c r="D40" s="344" t="e">
        <f t="shared" si="22"/>
        <v>#REF!</v>
      </c>
      <c r="E40" s="344" t="e">
        <f t="shared" si="22"/>
        <v>#REF!</v>
      </c>
      <c r="F40" s="344" t="e">
        <f t="shared" si="22"/>
        <v>#REF!</v>
      </c>
      <c r="G40" s="345">
        <f t="shared" si="22"/>
        <v>2.1584800741427247E-2</v>
      </c>
      <c r="H40" s="345" t="e">
        <f t="shared" si="22"/>
        <v>#REF!</v>
      </c>
      <c r="I40" s="345" t="e">
        <f t="shared" si="22"/>
        <v>#REF!</v>
      </c>
      <c r="J40" s="345" t="e">
        <f t="shared" si="22"/>
        <v>#REF!</v>
      </c>
      <c r="K40" s="345" t="e">
        <f t="shared" ref="K40" si="23">K30*40%/100/6.5/K38</f>
        <v>#REF!</v>
      </c>
      <c r="L40" s="333" t="s">
        <v>1595</v>
      </c>
      <c r="M40" s="336"/>
    </row>
    <row r="41" spans="1:13" s="333" customFormat="1" ht="13.9" hidden="1">
      <c r="A41" s="333" t="s">
        <v>1596</v>
      </c>
      <c r="B41" s="348"/>
      <c r="C41" s="348"/>
      <c r="D41" s="348"/>
      <c r="E41" s="348"/>
      <c r="F41" s="348"/>
      <c r="G41" s="349"/>
      <c r="H41" s="349"/>
      <c r="I41" s="349"/>
      <c r="J41" s="349"/>
      <c r="K41" s="349"/>
      <c r="M41" s="336"/>
    </row>
    <row r="42" spans="1:13" s="333" customFormat="1" ht="15" hidden="1" customHeight="1">
      <c r="A42" s="343" t="s">
        <v>1577</v>
      </c>
      <c r="B42" s="344"/>
      <c r="C42" s="344"/>
      <c r="D42" s="344"/>
      <c r="E42" s="344"/>
      <c r="F42" s="344"/>
      <c r="G42" s="345"/>
      <c r="H42" s="345"/>
      <c r="I42" s="345"/>
      <c r="J42" s="345"/>
      <c r="K42" s="345"/>
      <c r="M42" s="336"/>
    </row>
    <row r="43" spans="1:13" s="333" customFormat="1" ht="13.9" hidden="1">
      <c r="A43" s="333" t="s">
        <v>1597</v>
      </c>
      <c r="B43" s="359"/>
      <c r="C43" s="359"/>
      <c r="D43" s="348"/>
      <c r="E43" s="348"/>
      <c r="F43" s="348"/>
      <c r="G43" s="349"/>
      <c r="H43" s="349"/>
      <c r="I43" s="349"/>
      <c r="J43" s="349"/>
      <c r="K43" s="349"/>
      <c r="M43" s="336"/>
    </row>
    <row r="44" spans="1:13" s="333" customFormat="1" ht="13.9" hidden="1">
      <c r="A44" s="343" t="s">
        <v>1577</v>
      </c>
      <c r="B44" s="344"/>
      <c r="C44" s="344"/>
      <c r="D44" s="344"/>
      <c r="E44" s="344"/>
      <c r="F44" s="344"/>
      <c r="G44" s="345"/>
      <c r="H44" s="345"/>
      <c r="I44" s="345"/>
      <c r="J44" s="345"/>
      <c r="K44" s="345"/>
      <c r="M44" s="336"/>
    </row>
    <row r="45" spans="1:13" s="460" customFormat="1" ht="13.9">
      <c r="A45" s="461" t="s">
        <v>1673</v>
      </c>
      <c r="B45" s="365">
        <v>0.20730000000000001</v>
      </c>
      <c r="C45" s="366">
        <v>0.30399999999999999</v>
      </c>
      <c r="D45" s="365">
        <f>1-D126/D30</f>
        <v>0.36850145705894266</v>
      </c>
      <c r="E45" s="365">
        <f>1-E126/E30</f>
        <v>0.36477352347195313</v>
      </c>
      <c r="F45" s="365">
        <f>1-F126/F30</f>
        <v>0.34550432710688206</v>
      </c>
      <c r="G45" s="365">
        <f>1-G126/G30</f>
        <v>0.31951223701159293</v>
      </c>
      <c r="H45" s="367">
        <f>(H46*H59+H60*H73+H74*H91)/H30</f>
        <v>0.47424127996829618</v>
      </c>
      <c r="I45" s="367">
        <f>(I46*I59+I60*I73+I74*I91)/I30</f>
        <v>0.46819294624910079</v>
      </c>
      <c r="J45" s="367">
        <f>(J46*J59+J60*J73+J74*J91)/J30</f>
        <v>0.39978750837554539</v>
      </c>
      <c r="K45" s="367">
        <f>(K46*K59+K60*K73+K74*K91)/K30</f>
        <v>0.3825345156419408</v>
      </c>
      <c r="M45" s="459"/>
    </row>
    <row r="46" spans="1:13" s="339" customFormat="1" ht="13.9">
      <c r="A46" s="340" t="s">
        <v>1598</v>
      </c>
      <c r="B46" s="357">
        <f>C46/(1+C47)</f>
        <v>1431.1063285714285</v>
      </c>
      <c r="C46" s="354">
        <f>C20*C48</f>
        <v>2003.5488599999999</v>
      </c>
      <c r="D46" s="354">
        <f t="shared" ref="D46:K46" si="24">C46*(1+D47)</f>
        <v>2264.0102117999995</v>
      </c>
      <c r="E46" s="354">
        <f t="shared" si="24"/>
        <v>1584.8071482599996</v>
      </c>
      <c r="F46" s="354">
        <f t="shared" si="24"/>
        <v>1426.3264334339997</v>
      </c>
      <c r="G46" s="354">
        <f t="shared" si="24"/>
        <v>1640.2753984490996</v>
      </c>
      <c r="H46" s="355">
        <f t="shared" si="24"/>
        <v>3608.6058765880193</v>
      </c>
      <c r="I46" s="355">
        <f t="shared" si="24"/>
        <v>5052.0482272232266</v>
      </c>
      <c r="J46" s="355">
        <f t="shared" si="24"/>
        <v>6062.4578726678719</v>
      </c>
      <c r="K46" s="355">
        <f t="shared" si="24"/>
        <v>7274.9494472014458</v>
      </c>
      <c r="L46" s="333" t="s">
        <v>1599</v>
      </c>
      <c r="M46" s="336">
        <f>(H46/D46)^(1/4)-1</f>
        <v>0.12360915123990024</v>
      </c>
    </row>
    <row r="47" spans="1:13" s="333" customFormat="1" ht="13.9">
      <c r="A47" s="356" t="s">
        <v>1577</v>
      </c>
      <c r="B47" s="344" t="e">
        <f>B46/#REF!-1</f>
        <v>#REF!</v>
      </c>
      <c r="C47" s="362">
        <v>0.4</v>
      </c>
      <c r="D47" s="362">
        <v>0.13</v>
      </c>
      <c r="E47" s="362">
        <v>-0.3</v>
      </c>
      <c r="F47" s="362">
        <v>-0.1</v>
      </c>
      <c r="G47" s="362">
        <v>0.15</v>
      </c>
      <c r="H47" s="363">
        <v>1.2</v>
      </c>
      <c r="I47" s="363">
        <v>0.4</v>
      </c>
      <c r="J47" s="363">
        <v>0.2</v>
      </c>
      <c r="K47" s="363">
        <v>0.2</v>
      </c>
      <c r="M47" s="336"/>
    </row>
    <row r="48" spans="1:13" s="333" customFormat="1" ht="13.9">
      <c r="A48" s="356" t="s">
        <v>1588</v>
      </c>
      <c r="B48" s="344">
        <f>B46/B23</f>
        <v>0.51014835643603562</v>
      </c>
      <c r="C48" s="362">
        <v>0.5</v>
      </c>
      <c r="D48" s="344">
        <f t="shared" ref="D48:J48" si="25">D46/D20</f>
        <v>0.49942595212017921</v>
      </c>
      <c r="E48" s="344">
        <f t="shared" si="25"/>
        <v>0.47728254597528058</v>
      </c>
      <c r="F48" s="344">
        <f t="shared" si="25"/>
        <v>0.46596595026935544</v>
      </c>
      <c r="G48" s="344">
        <f t="shared" si="25"/>
        <v>0.48004922559669749</v>
      </c>
      <c r="H48" s="345">
        <f t="shared" si="25"/>
        <v>0.59216719772392779</v>
      </c>
      <c r="I48" s="345">
        <f t="shared" si="25"/>
        <v>0.63616788806178526</v>
      </c>
      <c r="J48" s="345">
        <f t="shared" si="25"/>
        <v>0.64826473540678686</v>
      </c>
      <c r="K48" s="345">
        <f t="shared" ref="K48" si="26">K46/K20</f>
        <v>0.66534407877885149</v>
      </c>
      <c r="M48" s="336"/>
    </row>
    <row r="49" spans="1:13" s="333" customFormat="1" ht="13.9">
      <c r="A49" s="343" t="s">
        <v>1600</v>
      </c>
      <c r="B49" s="361">
        <v>677</v>
      </c>
      <c r="C49" s="361">
        <v>961</v>
      </c>
      <c r="D49" s="361">
        <v>900</v>
      </c>
      <c r="E49" s="364">
        <f>D49*(1+E50)</f>
        <v>477</v>
      </c>
      <c r="F49" s="364">
        <f t="shared" ref="F49:K49" si="27">E49*(1+F50)</f>
        <v>715.5</v>
      </c>
      <c r="G49" s="364">
        <f t="shared" si="27"/>
        <v>858.6</v>
      </c>
      <c r="H49" s="364">
        <f t="shared" si="27"/>
        <v>901.53000000000009</v>
      </c>
      <c r="I49" s="364">
        <f t="shared" ca="1" si="27"/>
        <v>902.13914189189188</v>
      </c>
      <c r="J49" s="364">
        <f t="shared" ca="1" si="27"/>
        <v>1849.3852408783782</v>
      </c>
      <c r="K49" s="364">
        <f t="shared" ca="1" si="27"/>
        <v>1850.6348255005933</v>
      </c>
      <c r="L49" s="333" t="s">
        <v>1601</v>
      </c>
      <c r="M49" s="336">
        <f>(H49/D49)^(1/4)-1</f>
        <v>4.2472933086612485E-4</v>
      </c>
    </row>
    <row r="50" spans="1:13" s="333" customFormat="1" ht="13.9">
      <c r="A50" s="343" t="s">
        <v>1577</v>
      </c>
      <c r="B50" s="344" t="e">
        <f>B49/#REF!-1</f>
        <v>#REF!</v>
      </c>
      <c r="C50" s="344">
        <f>C49/B49-1</f>
        <v>0.41949778434268836</v>
      </c>
      <c r="D50" s="344">
        <f>D49/C49-1</f>
        <v>-6.347554630593133E-2</v>
      </c>
      <c r="E50" s="345">
        <v>-0.47</v>
      </c>
      <c r="F50" s="345">
        <v>0.5</v>
      </c>
      <c r="G50" s="345">
        <v>0.2</v>
      </c>
      <c r="H50" s="345">
        <v>0.05</v>
      </c>
      <c r="I50" s="345">
        <f t="shared" ref="I50:K50" ca="1" si="28">I49/H49-1</f>
        <v>6.7567567567561326E-4</v>
      </c>
      <c r="J50" s="345">
        <v>1.05</v>
      </c>
      <c r="K50" s="345">
        <f t="shared" ca="1" si="28"/>
        <v>6.7567567567561326E-4</v>
      </c>
      <c r="M50" s="336"/>
    </row>
    <row r="51" spans="1:13" s="333" customFormat="1" ht="13.9">
      <c r="A51" s="343" t="s">
        <v>1591</v>
      </c>
      <c r="B51" s="344">
        <f t="shared" ref="B51:J51" si="29">B46/100/6.5/B49</f>
        <v>3.2521448212053821E-3</v>
      </c>
      <c r="C51" s="344">
        <f t="shared" si="29"/>
        <v>3.2074743616425194E-3</v>
      </c>
      <c r="D51" s="344">
        <f t="shared" si="29"/>
        <v>3.8701029261538453E-3</v>
      </c>
      <c r="E51" s="345">
        <f t="shared" si="29"/>
        <v>5.111456694920173E-3</v>
      </c>
      <c r="F51" s="345">
        <f t="shared" si="29"/>
        <v>3.0668740169521036E-3</v>
      </c>
      <c r="G51" s="345">
        <f t="shared" si="29"/>
        <v>2.9390875995790994E-3</v>
      </c>
      <c r="H51" s="345">
        <f t="shared" si="29"/>
        <v>6.1580883038800183E-3</v>
      </c>
      <c r="I51" s="345">
        <f t="shared" ca="1" si="29"/>
        <v>8.6155023400671139E-3</v>
      </c>
      <c r="J51" s="345">
        <f t="shared" ca="1" si="29"/>
        <v>5.0432208819905068E-3</v>
      </c>
      <c r="K51" s="345">
        <f t="shared" ref="K51" ca="1" si="30">K46/100/6.5/K49</f>
        <v>6.0477787214146799E-3</v>
      </c>
      <c r="L51" s="333" t="s">
        <v>1602</v>
      </c>
      <c r="M51" s="336"/>
    </row>
    <row r="52" spans="1:13" s="333" customFormat="1" ht="13.9">
      <c r="A52" s="343" t="s">
        <v>1603</v>
      </c>
      <c r="B52" s="347">
        <v>15</v>
      </c>
      <c r="C52" s="348">
        <f t="shared" ref="C52:K52" si="31">B52*(1+C53)</f>
        <v>18.250930256796174</v>
      </c>
      <c r="D52" s="348">
        <f>C52*(1+D53)</f>
        <v>22.206430349229201</v>
      </c>
      <c r="E52" s="349">
        <f t="shared" si="31"/>
        <v>27.019200770412269</v>
      </c>
      <c r="F52" s="349">
        <f t="shared" si="31"/>
        <v>32.875036590344514</v>
      </c>
      <c r="G52" s="364">
        <v>40</v>
      </c>
      <c r="H52" s="349">
        <f t="shared" si="31"/>
        <v>48.669147351456459</v>
      </c>
      <c r="I52" s="349">
        <f t="shared" si="31"/>
        <v>59.217147597944532</v>
      </c>
      <c r="J52" s="349">
        <f t="shared" si="31"/>
        <v>72.051202054432707</v>
      </c>
      <c r="K52" s="349">
        <f t="shared" si="31"/>
        <v>87.666764240918695</v>
      </c>
      <c r="L52" s="333" t="s">
        <v>1594</v>
      </c>
      <c r="M52" s="336">
        <f>(H52/D52)^(1/4)-1</f>
        <v>0.21672868378641152</v>
      </c>
    </row>
    <row r="53" spans="1:13" s="333" customFormat="1" ht="13.9">
      <c r="A53" s="343" t="s">
        <v>1577</v>
      </c>
      <c r="B53" s="344"/>
      <c r="C53" s="344">
        <f t="shared" ref="C53:J53" si="32">POWER($G52/$B52,1/5)-1</f>
        <v>0.21672868378641152</v>
      </c>
      <c r="D53" s="344">
        <f>POWER($G52/$B52,1/5)-1</f>
        <v>0.21672868378641152</v>
      </c>
      <c r="E53" s="345">
        <f t="shared" si="32"/>
        <v>0.21672868378641152</v>
      </c>
      <c r="F53" s="345">
        <f t="shared" si="32"/>
        <v>0.21672868378641152</v>
      </c>
      <c r="G53" s="345">
        <f t="shared" si="32"/>
        <v>0.21672868378641152</v>
      </c>
      <c r="H53" s="345">
        <f t="shared" si="32"/>
        <v>0.21672868378641152</v>
      </c>
      <c r="I53" s="345">
        <f t="shared" si="32"/>
        <v>0.21672868378641152</v>
      </c>
      <c r="J53" s="345">
        <f t="shared" si="32"/>
        <v>0.21672868378641152</v>
      </c>
      <c r="K53" s="345">
        <f t="shared" ref="K53" si="33">POWER($G52/$B52,1/5)-1</f>
        <v>0.21672868378641152</v>
      </c>
      <c r="M53" s="336"/>
    </row>
    <row r="54" spans="1:13" s="333" customFormat="1" ht="13.9">
      <c r="A54" s="343" t="s">
        <v>1591</v>
      </c>
      <c r="B54" s="344"/>
      <c r="C54" s="344">
        <f>C46/100/6.5/C52</f>
        <v>0.16888908226421287</v>
      </c>
      <c r="D54" s="344">
        <f t="shared" ref="D54:J54" si="34">D46/100/6.5/D52</f>
        <v>0.15685063194586613</v>
      </c>
      <c r="E54" s="345">
        <f t="shared" si="34"/>
        <v>9.0238229627682659E-2</v>
      </c>
      <c r="F54" s="345">
        <f t="shared" si="34"/>
        <v>6.6748164769304508E-2</v>
      </c>
      <c r="G54" s="345">
        <f t="shared" si="34"/>
        <v>6.3087515324965371E-2</v>
      </c>
      <c r="H54" s="345">
        <f t="shared" si="34"/>
        <v>0.11407024060861866</v>
      </c>
      <c r="I54" s="345">
        <f t="shared" si="34"/>
        <v>0.1312522166857209</v>
      </c>
      <c r="J54" s="345">
        <f t="shared" si="34"/>
        <v>0.12944764278320706</v>
      </c>
      <c r="K54" s="345">
        <f t="shared" ref="K54" si="35">K46/100/6.5/K52</f>
        <v>0.12766787979095337</v>
      </c>
      <c r="L54" s="333" t="s">
        <v>1604</v>
      </c>
      <c r="M54" s="336"/>
    </row>
    <row r="55" spans="1:13" s="333" customFormat="1" ht="13.9">
      <c r="A55" s="333" t="s">
        <v>1596</v>
      </c>
      <c r="B55" s="348"/>
      <c r="C55" s="348"/>
      <c r="D55" s="359"/>
      <c r="E55" s="368"/>
      <c r="F55" s="368"/>
      <c r="G55" s="368"/>
      <c r="H55" s="368"/>
      <c r="I55" s="368"/>
      <c r="J55" s="368"/>
      <c r="K55" s="368"/>
      <c r="M55" s="336"/>
    </row>
    <row r="56" spans="1:13" s="333" customFormat="1" ht="15" customHeight="1">
      <c r="A56" s="343" t="s">
        <v>1577</v>
      </c>
      <c r="B56" s="344"/>
      <c r="C56" s="344"/>
      <c r="D56" s="369"/>
      <c r="E56" s="370"/>
      <c r="F56" s="370"/>
      <c r="G56" s="370"/>
      <c r="H56" s="370"/>
      <c r="I56" s="370"/>
      <c r="J56" s="370"/>
      <c r="K56" s="370"/>
      <c r="M56" s="336"/>
    </row>
    <row r="57" spans="1:13" s="333" customFormat="1" ht="13.9">
      <c r="A57" s="333" t="s">
        <v>1597</v>
      </c>
      <c r="B57" s="348"/>
      <c r="C57" s="348"/>
      <c r="D57" s="359"/>
      <c r="E57" s="368"/>
      <c r="F57" s="368"/>
      <c r="G57" s="368"/>
      <c r="H57" s="368"/>
      <c r="I57" s="368"/>
      <c r="J57" s="368"/>
      <c r="K57" s="368"/>
      <c r="L57" s="333" t="s">
        <v>1605</v>
      </c>
      <c r="M57" s="336"/>
    </row>
    <row r="58" spans="1:13" s="333" customFormat="1" ht="13.9">
      <c r="A58" s="343" t="s">
        <v>1577</v>
      </c>
      <c r="B58" s="362"/>
      <c r="C58" s="362"/>
      <c r="D58" s="369"/>
      <c r="E58" s="370"/>
      <c r="F58" s="370"/>
      <c r="G58" s="370"/>
      <c r="H58" s="370"/>
      <c r="I58" s="370"/>
      <c r="J58" s="370"/>
      <c r="K58" s="370"/>
      <c r="L58" s="333" t="s">
        <v>1606</v>
      </c>
      <c r="M58" s="336"/>
    </row>
    <row r="59" spans="1:13" s="333" customFormat="1" ht="13.9">
      <c r="A59" s="333" t="s">
        <v>1580</v>
      </c>
      <c r="B59" s="371">
        <v>0.3</v>
      </c>
      <c r="C59" s="371">
        <v>0.3</v>
      </c>
      <c r="D59" s="372">
        <v>0.36</v>
      </c>
      <c r="E59" s="373">
        <v>0.35</v>
      </c>
      <c r="F59" s="373">
        <v>0.32500000000000001</v>
      </c>
      <c r="G59" s="373">
        <v>0.3</v>
      </c>
      <c r="H59" s="373">
        <v>0.5</v>
      </c>
      <c r="I59" s="373">
        <v>0.49</v>
      </c>
      <c r="J59" s="373">
        <v>0.4</v>
      </c>
      <c r="K59" s="373">
        <v>0.38</v>
      </c>
      <c r="M59" s="336"/>
    </row>
    <row r="60" spans="1:13" s="339" customFormat="1" ht="15" customHeight="1">
      <c r="A60" s="340" t="s">
        <v>1607</v>
      </c>
      <c r="B60" s="357">
        <f>B23*B62</f>
        <v>476.89671600000008</v>
      </c>
      <c r="C60" s="354">
        <f>C20*C62</f>
        <v>480.85172639999996</v>
      </c>
      <c r="D60" s="354">
        <f>D62*D20</f>
        <v>453.32250000000005</v>
      </c>
      <c r="E60" s="355">
        <f t="shared" ref="E60:K60" si="36">D60*(1+E61)</f>
        <v>407.99025000000006</v>
      </c>
      <c r="F60" s="355">
        <f t="shared" si="36"/>
        <v>387.59073750000005</v>
      </c>
      <c r="G60" s="355">
        <f t="shared" si="36"/>
        <v>387.59073750000005</v>
      </c>
      <c r="H60" s="355">
        <f t="shared" si="36"/>
        <v>465.10888500000004</v>
      </c>
      <c r="I60" s="355">
        <f t="shared" si="36"/>
        <v>465.10888500000004</v>
      </c>
      <c r="J60" s="355">
        <f t="shared" si="36"/>
        <v>465.10888500000004</v>
      </c>
      <c r="K60" s="355">
        <f t="shared" si="36"/>
        <v>465.10888500000004</v>
      </c>
      <c r="L60" s="333"/>
      <c r="M60" s="336">
        <f>(H60/D60)^(1/4)-1</f>
        <v>6.4375693345553042E-3</v>
      </c>
    </row>
    <row r="61" spans="1:13" s="333" customFormat="1" ht="13.9">
      <c r="A61" s="356" t="s">
        <v>1577</v>
      </c>
      <c r="B61" s="344" t="e">
        <f>B60/#REF!-1</f>
        <v>#REF!</v>
      </c>
      <c r="C61" s="344">
        <f>C60/B60-1</f>
        <v>8.2932221323996913E-3</v>
      </c>
      <c r="D61" s="344">
        <f>D60/C60-1</f>
        <v>-5.7250967166330824E-2</v>
      </c>
      <c r="E61" s="363">
        <v>-0.1</v>
      </c>
      <c r="F61" s="363">
        <v>-0.05</v>
      </c>
      <c r="G61" s="363">
        <v>0</v>
      </c>
      <c r="H61" s="363">
        <v>0.2</v>
      </c>
      <c r="I61" s="363">
        <v>0</v>
      </c>
      <c r="J61" s="363">
        <v>0</v>
      </c>
      <c r="K61" s="363">
        <v>0</v>
      </c>
      <c r="M61" s="336"/>
    </row>
    <row r="62" spans="1:13" s="333" customFormat="1" ht="13.9">
      <c r="A62" s="462" t="s">
        <v>1674</v>
      </c>
      <c r="B62" s="362">
        <v>0.17</v>
      </c>
      <c r="C62" s="362">
        <v>0.12</v>
      </c>
      <c r="D62" s="362">
        <v>0.1</v>
      </c>
      <c r="E62" s="345">
        <f>E60/E$30</f>
        <v>0.14012771503936036</v>
      </c>
      <c r="F62" s="345">
        <f>F60/F$30</f>
        <v>0.14967840675190872</v>
      </c>
      <c r="G62" s="345">
        <f>G60/G$30</f>
        <v>0.13313550450837272</v>
      </c>
      <c r="H62" s="345">
        <f t="shared" ref="H62:K62" si="37">H60/H$30</f>
        <v>8.4763614950710067E-2</v>
      </c>
      <c r="I62" s="345">
        <f t="shared" si="37"/>
        <v>6.4479758586096392E-2</v>
      </c>
      <c r="J62" s="345">
        <f t="shared" si="37"/>
        <v>5.4860177852102343E-2</v>
      </c>
      <c r="K62" s="345">
        <f t="shared" ref="K62" si="38">K60/K$30</f>
        <v>4.7049030315870918E-2</v>
      </c>
      <c r="M62" s="336"/>
    </row>
    <row r="63" spans="1:13" s="333" customFormat="1" ht="13.9">
      <c r="A63" s="343" t="s">
        <v>1608</v>
      </c>
      <c r="B63" s="362"/>
      <c r="C63" s="361">
        <v>3.92</v>
      </c>
      <c r="D63" s="348">
        <f>C63*(1+D64)</f>
        <v>3.8376799999999998</v>
      </c>
      <c r="E63" s="349">
        <f t="shared" ref="E63:K63" si="39">D63*(1+E64)</f>
        <v>3.7570887199999996</v>
      </c>
      <c r="F63" s="349">
        <f t="shared" si="39"/>
        <v>3.6781898568799996</v>
      </c>
      <c r="G63" s="349">
        <f t="shared" si="39"/>
        <v>3.6009478698855193</v>
      </c>
      <c r="H63" s="349">
        <f t="shared" si="39"/>
        <v>3.5253279646179232</v>
      </c>
      <c r="I63" s="349">
        <f t="shared" si="39"/>
        <v>6.9766240419788703</v>
      </c>
      <c r="J63" s="349">
        <f t="shared" si="39"/>
        <v>20.783363021055056</v>
      </c>
      <c r="K63" s="349">
        <f t="shared" si="39"/>
        <v>82.697001460778068</v>
      </c>
      <c r="L63" s="333" t="s">
        <v>1609</v>
      </c>
      <c r="M63" s="336"/>
    </row>
    <row r="64" spans="1:13" s="333" customFormat="1" ht="13.9">
      <c r="A64" s="343" t="s">
        <v>1577</v>
      </c>
      <c r="B64" s="362"/>
      <c r="C64" s="362"/>
      <c r="D64" s="374">
        <v>-2.1000000000000001E-2</v>
      </c>
      <c r="E64" s="375">
        <v>-2.1000000000000001E-2</v>
      </c>
      <c r="F64" s="375">
        <v>-2.1000000000000001E-2</v>
      </c>
      <c r="G64" s="375">
        <v>-2.1000000000000001E-2</v>
      </c>
      <c r="H64" s="375">
        <v>-2.1000000000000001E-2</v>
      </c>
      <c r="I64" s="375">
        <v>0.97899999999999998</v>
      </c>
      <c r="J64" s="375">
        <v>1.9790000000000001</v>
      </c>
      <c r="K64" s="375">
        <v>2.9790000000000001</v>
      </c>
      <c r="M64" s="336"/>
    </row>
    <row r="65" spans="1:13" s="333" customFormat="1" ht="13.9">
      <c r="A65" s="343" t="s">
        <v>1591</v>
      </c>
      <c r="B65" s="362"/>
      <c r="C65" s="344">
        <f>C60/100/6.5/C63</f>
        <v>0.18871731805337522</v>
      </c>
      <c r="D65" s="344">
        <f>D60/100/6.5/D63</f>
        <v>0.18172938618363982</v>
      </c>
      <c r="E65" s="345">
        <f>E60/100/6.5/E63</f>
        <v>0.16706480854471484</v>
      </c>
      <c r="F65" s="345">
        <f>F60/100/6.5/F63</f>
        <v>0.16211600420580097</v>
      </c>
      <c r="G65" s="345">
        <f>G60/100/6.5/G63</f>
        <v>0.16559346701307556</v>
      </c>
      <c r="H65" s="345">
        <f>H60/100/6.5/H63</f>
        <v>0.20297462759518964</v>
      </c>
      <c r="I65" s="345">
        <f>I60/100/6.5/I63</f>
        <v>0.10256423829974211</v>
      </c>
      <c r="J65" s="345">
        <f>J60/100/6.5/J63</f>
        <v>3.44290830143478E-2</v>
      </c>
      <c r="K65" s="345">
        <f>K60/100/6.5/K63</f>
        <v>8.652697415015783E-3</v>
      </c>
      <c r="L65" s="333" t="s">
        <v>1610</v>
      </c>
      <c r="M65" s="336"/>
    </row>
    <row r="66" spans="1:13" s="333" customFormat="1" ht="13.9" hidden="1">
      <c r="A66" s="343" t="s">
        <v>1611</v>
      </c>
      <c r="B66" s="348" t="e">
        <f>#REF!*(1+B67)</f>
        <v>#REF!</v>
      </c>
      <c r="C66" s="348" t="e">
        <f t="shared" ref="C66:J66" si="40">B66*(1+C67)</f>
        <v>#REF!</v>
      </c>
      <c r="D66" s="348" t="e">
        <f t="shared" si="40"/>
        <v>#REF!</v>
      </c>
      <c r="E66" s="349" t="e">
        <f t="shared" si="40"/>
        <v>#REF!</v>
      </c>
      <c r="F66" s="349" t="e">
        <f t="shared" si="40"/>
        <v>#REF!</v>
      </c>
      <c r="G66" s="364">
        <v>1.2</v>
      </c>
      <c r="H66" s="349" t="e">
        <f t="shared" si="40"/>
        <v>#REF!</v>
      </c>
      <c r="I66" s="349" t="e">
        <f t="shared" si="40"/>
        <v>#REF!</v>
      </c>
      <c r="J66" s="349" t="e">
        <f t="shared" si="40"/>
        <v>#REF!</v>
      </c>
      <c r="K66" s="349"/>
      <c r="L66" s="333" t="s">
        <v>1594</v>
      </c>
      <c r="M66" s="336"/>
    </row>
    <row r="67" spans="1:13" s="333" customFormat="1" ht="13.9" hidden="1">
      <c r="A67" s="343" t="s">
        <v>1577</v>
      </c>
      <c r="B67" s="344" t="e">
        <f>POWER($G66/#REF!,1/6)-1</f>
        <v>#REF!</v>
      </c>
      <c r="C67" s="344" t="e">
        <f>POWER($G66/#REF!,1/6)-1</f>
        <v>#REF!</v>
      </c>
      <c r="D67" s="344" t="e">
        <f>POWER($G66/#REF!,1/6)-1</f>
        <v>#REF!</v>
      </c>
      <c r="E67" s="345" t="e">
        <f>POWER($G66/#REF!,1/6)-1</f>
        <v>#REF!</v>
      </c>
      <c r="F67" s="345" t="e">
        <f>POWER($G66/#REF!,1/6)-1</f>
        <v>#REF!</v>
      </c>
      <c r="G67" s="345" t="e">
        <f>POWER($G66/#REF!,1/6)-1</f>
        <v>#REF!</v>
      </c>
      <c r="H67" s="345" t="e">
        <f>POWER($G66/#REF!,1/6)-1</f>
        <v>#REF!</v>
      </c>
      <c r="I67" s="345" t="e">
        <f>POWER($G66/#REF!,1/6)-1</f>
        <v>#REF!</v>
      </c>
      <c r="J67" s="345" t="e">
        <f>POWER($G66/#REF!,1/6)-1</f>
        <v>#REF!</v>
      </c>
      <c r="K67" s="345"/>
      <c r="M67" s="336"/>
    </row>
    <row r="68" spans="1:13" s="333" customFormat="1" ht="13.9" hidden="1">
      <c r="A68" s="343" t="s">
        <v>1591</v>
      </c>
      <c r="B68" s="344" t="e">
        <f>B60*50%/100/6.5/B66</f>
        <v>#REF!</v>
      </c>
      <c r="C68" s="344" t="e">
        <f>C60*50%/100/6.5/C66</f>
        <v>#REF!</v>
      </c>
      <c r="D68" s="344" t="e">
        <f>D60*50%/100/6.5/D66</f>
        <v>#REF!</v>
      </c>
      <c r="E68" s="345" t="e">
        <f>E60*50%/100/6.5/E66</f>
        <v>#REF!</v>
      </c>
      <c r="F68" s="345" t="e">
        <f>F60*50%/100/6.5/F66</f>
        <v>#REF!</v>
      </c>
      <c r="G68" s="345">
        <f>G60*50%/100/6.5/G66</f>
        <v>0.24845560096153851</v>
      </c>
      <c r="H68" s="345" t="e">
        <f>H60*50%/100/6.5/H66</f>
        <v>#REF!</v>
      </c>
      <c r="I68" s="345" t="e">
        <f>I60*50%/100/6.5/I66</f>
        <v>#REF!</v>
      </c>
      <c r="J68" s="345" t="e">
        <f>J60*50%/100/6.5/J66</f>
        <v>#REF!</v>
      </c>
      <c r="K68" s="345"/>
      <c r="L68" s="333" t="s">
        <v>1612</v>
      </c>
      <c r="M68" s="336"/>
    </row>
    <row r="69" spans="1:13" s="333" customFormat="1" ht="13.9">
      <c r="A69" s="333" t="s">
        <v>1596</v>
      </c>
      <c r="B69" s="348"/>
      <c r="C69" s="348"/>
      <c r="D69" s="359"/>
      <c r="E69" s="368"/>
      <c r="F69" s="368"/>
      <c r="G69" s="368"/>
      <c r="H69" s="368"/>
      <c r="I69" s="368"/>
      <c r="J69" s="368"/>
      <c r="K69" s="368"/>
      <c r="M69" s="336"/>
    </row>
    <row r="70" spans="1:13" s="333" customFormat="1" ht="15" customHeight="1">
      <c r="A70" s="343" t="s">
        <v>1577</v>
      </c>
      <c r="B70" s="344"/>
      <c r="C70" s="344"/>
      <c r="D70" s="369"/>
      <c r="E70" s="370"/>
      <c r="F70" s="370"/>
      <c r="G70" s="370"/>
      <c r="H70" s="370"/>
      <c r="I70" s="370"/>
      <c r="J70" s="370"/>
      <c r="K70" s="370"/>
      <c r="M70" s="336"/>
    </row>
    <row r="71" spans="1:13" s="333" customFormat="1" ht="13.9">
      <c r="A71" s="333" t="s">
        <v>1597</v>
      </c>
      <c r="B71" s="348"/>
      <c r="C71" s="348"/>
      <c r="D71" s="359"/>
      <c r="E71" s="368"/>
      <c r="F71" s="368"/>
      <c r="G71" s="368"/>
      <c r="H71" s="368"/>
      <c r="I71" s="368"/>
      <c r="J71" s="368"/>
      <c r="K71" s="368"/>
      <c r="M71" s="336"/>
    </row>
    <row r="72" spans="1:13" s="333" customFormat="1" ht="13.9">
      <c r="A72" s="343" t="s">
        <v>1577</v>
      </c>
      <c r="B72" s="362"/>
      <c r="C72" s="362"/>
      <c r="D72" s="369"/>
      <c r="E72" s="370"/>
      <c r="F72" s="370"/>
      <c r="G72" s="370"/>
      <c r="H72" s="370"/>
      <c r="I72" s="370"/>
      <c r="J72" s="370"/>
      <c r="K72" s="370"/>
      <c r="M72" s="336"/>
    </row>
    <row r="73" spans="1:13" s="333" customFormat="1" ht="13.9">
      <c r="A73" s="333" t="s">
        <v>1580</v>
      </c>
      <c r="B73" s="371">
        <v>0.4</v>
      </c>
      <c r="C73" s="371">
        <v>0.4</v>
      </c>
      <c r="D73" s="372">
        <v>0.45</v>
      </c>
      <c r="E73" s="373">
        <v>0.45</v>
      </c>
      <c r="F73" s="373">
        <f>E73</f>
        <v>0.45</v>
      </c>
      <c r="G73" s="373">
        <f t="shared" ref="G73:K73" si="41">F73</f>
        <v>0.45</v>
      </c>
      <c r="H73" s="373">
        <v>0.5</v>
      </c>
      <c r="I73" s="373">
        <v>0.48</v>
      </c>
      <c r="J73" s="373">
        <f t="shared" si="41"/>
        <v>0.48</v>
      </c>
      <c r="K73" s="373">
        <f t="shared" si="41"/>
        <v>0.48</v>
      </c>
      <c r="M73" s="336"/>
    </row>
    <row r="74" spans="1:13" s="339" customFormat="1" ht="14.25">
      <c r="A74" s="340" t="s">
        <v>1613</v>
      </c>
      <c r="B74" s="357">
        <f>B32-B46-B60</f>
        <v>618.25055542857137</v>
      </c>
      <c r="C74" s="354">
        <f>C30-C46-C60</f>
        <v>1110.0394236</v>
      </c>
      <c r="D74" s="354">
        <f>D30-D46-D60</f>
        <v>1337.1703882000004</v>
      </c>
      <c r="E74" s="354">
        <f>E30-E46-E60</f>
        <v>918.76260174000026</v>
      </c>
      <c r="F74" s="354">
        <f>F30-F46-F60</f>
        <v>775.57282906600005</v>
      </c>
      <c r="G74" s="354">
        <f>G30-G46-G60</f>
        <v>883.38386405090034</v>
      </c>
      <c r="H74" s="355">
        <f>G74*(1+H75)</f>
        <v>1413.4141824814405</v>
      </c>
      <c r="I74" s="355">
        <f>H74*(1+I75)</f>
        <v>1696.0970189777286</v>
      </c>
      <c r="J74" s="355">
        <f>I74*(1+J75)</f>
        <v>1950.5115718243876</v>
      </c>
      <c r="K74" s="355">
        <f>J74*(1+K75)</f>
        <v>2145.5627290068264</v>
      </c>
      <c r="L74" s="333" t="s">
        <v>1614</v>
      </c>
      <c r="M74" s="336">
        <f>(H74/D74)^(1/4)-1</f>
        <v>1.3959651755727664E-2</v>
      </c>
    </row>
    <row r="75" spans="1:13" s="333" customFormat="1" ht="13.9">
      <c r="A75" s="356" t="s">
        <v>1577</v>
      </c>
      <c r="B75" s="344" t="e">
        <f>B74/#REF!-1</f>
        <v>#REF!</v>
      </c>
      <c r="C75" s="344">
        <f>C74/B74-1</f>
        <v>0.7954523677387082</v>
      </c>
      <c r="D75" s="344">
        <f>D74/C74-1</f>
        <v>0.20461522336151416</v>
      </c>
      <c r="E75" s="344">
        <f>E74/D74-1</f>
        <v>-0.31290536355896248</v>
      </c>
      <c r="F75" s="344">
        <f>F74/E74-1</f>
        <v>-0.15585067611896697</v>
      </c>
      <c r="G75" s="344">
        <f>G74/F74-1</f>
        <v>0.13900826710849845</v>
      </c>
      <c r="H75" s="363">
        <v>0.6</v>
      </c>
      <c r="I75" s="363">
        <v>0.2</v>
      </c>
      <c r="J75" s="363">
        <v>0.15</v>
      </c>
      <c r="K75" s="363">
        <v>0.1</v>
      </c>
      <c r="M75" s="336"/>
    </row>
    <row r="76" spans="1:13" s="333" customFormat="1" ht="13.9">
      <c r="A76" s="462" t="s">
        <v>1674</v>
      </c>
      <c r="B76" s="344">
        <f>B74/B30</f>
        <v>0.40528833207279741</v>
      </c>
      <c r="C76" s="344">
        <f>C74/C30</f>
        <v>0.30882124072506084</v>
      </c>
      <c r="D76" s="344">
        <f>D74/D30</f>
        <v>0.32979883236493279</v>
      </c>
      <c r="E76" s="344">
        <f>E74/E30</f>
        <v>0.31555681550096865</v>
      </c>
      <c r="F76" s="344">
        <f t="shared" ref="F76:K76" si="42">F74/F30</f>
        <v>0.29950794521932894</v>
      </c>
      <c r="G76" s="344">
        <f t="shared" si="42"/>
        <v>0.3034379953803007</v>
      </c>
      <c r="H76" s="345">
        <f t="shared" si="42"/>
        <v>0.25758720031703863</v>
      </c>
      <c r="I76" s="345">
        <f t="shared" si="42"/>
        <v>0.23513617961153696</v>
      </c>
      <c r="J76" s="345">
        <f t="shared" si="42"/>
        <v>0.23006529263114289</v>
      </c>
      <c r="K76" s="345">
        <f t="shared" ref="K76" si="43">K74/K30</f>
        <v>0.21703873896462955</v>
      </c>
      <c r="M76" s="336"/>
    </row>
    <row r="77" spans="1:13" s="333" customFormat="1" ht="13.9">
      <c r="A77" s="343" t="s">
        <v>1615</v>
      </c>
      <c r="B77" s="361">
        <v>26.24</v>
      </c>
      <c r="C77" s="361">
        <v>28.84</v>
      </c>
      <c r="D77" s="361">
        <v>34.099699999999999</v>
      </c>
      <c r="E77" s="364">
        <v>36.289499999999997</v>
      </c>
      <c r="F77" s="364">
        <v>38.979500000000002</v>
      </c>
      <c r="G77" s="364">
        <v>41.676699999999997</v>
      </c>
      <c r="H77" s="364">
        <v>44.373899999999999</v>
      </c>
      <c r="I77" s="364">
        <v>45.373899999999999</v>
      </c>
      <c r="J77" s="364">
        <v>46.373899999999999</v>
      </c>
      <c r="K77" s="364">
        <v>47.373899999999999</v>
      </c>
      <c r="L77" s="333" t="s">
        <v>1616</v>
      </c>
      <c r="M77" s="336">
        <f>(H77/D77)^(1/4)-1</f>
        <v>6.805658147065885E-2</v>
      </c>
    </row>
    <row r="78" spans="1:13" s="333" customFormat="1" ht="13.9">
      <c r="A78" s="343" t="s">
        <v>1577</v>
      </c>
      <c r="B78" s="344" t="e">
        <f>B77/#REF!-1</f>
        <v>#REF!</v>
      </c>
      <c r="C78" s="344">
        <f>C77/B77-1</f>
        <v>9.9085365853658569E-2</v>
      </c>
      <c r="D78" s="344">
        <f t="shared" ref="D78:K78" si="44">D77/C77-1</f>
        <v>0.18237517337031894</v>
      </c>
      <c r="E78" s="345">
        <f t="shared" si="44"/>
        <v>6.4217573761645941E-2</v>
      </c>
      <c r="F78" s="345">
        <f t="shared" si="44"/>
        <v>7.4126124636602952E-2</v>
      </c>
      <c r="G78" s="345">
        <f t="shared" si="44"/>
        <v>6.9195346271758051E-2</v>
      </c>
      <c r="H78" s="345">
        <f t="shared" si="44"/>
        <v>6.4717216094364538E-2</v>
      </c>
      <c r="I78" s="345">
        <f t="shared" si="44"/>
        <v>2.2535769900775104E-2</v>
      </c>
      <c r="J78" s="345">
        <f t="shared" si="44"/>
        <v>2.2039101774368186E-2</v>
      </c>
      <c r="K78" s="345">
        <f t="shared" si="44"/>
        <v>2.1563853805696809E-2</v>
      </c>
      <c r="M78" s="336"/>
    </row>
    <row r="79" spans="1:13" s="333" customFormat="1" ht="13.9">
      <c r="A79" s="343" t="s">
        <v>1617</v>
      </c>
      <c r="B79" s="361">
        <v>565.83333333333348</v>
      </c>
      <c r="C79" s="361">
        <v>679</v>
      </c>
      <c r="D79" s="361">
        <v>720</v>
      </c>
      <c r="E79" s="364">
        <v>740</v>
      </c>
      <c r="F79" s="364">
        <v>830</v>
      </c>
      <c r="G79" s="364">
        <v>950</v>
      </c>
      <c r="H79" s="364">
        <v>1070</v>
      </c>
      <c r="I79" s="364">
        <v>1071</v>
      </c>
      <c r="J79" s="364">
        <v>1072</v>
      </c>
      <c r="K79" s="364">
        <v>1073</v>
      </c>
      <c r="L79" s="333" t="s">
        <v>1618</v>
      </c>
      <c r="M79" s="336">
        <f>(H79/D79)^(1/4)-1</f>
        <v>0.10411121263242751</v>
      </c>
    </row>
    <row r="80" spans="1:13" s="333" customFormat="1" ht="13.9">
      <c r="A80" s="343" t="s">
        <v>1577</v>
      </c>
      <c r="B80" s="344" t="e">
        <f>B79/#REF!-1</f>
        <v>#REF!</v>
      </c>
      <c r="C80" s="344">
        <f>C79/B79-1</f>
        <v>0.19999999999999973</v>
      </c>
      <c r="D80" s="344">
        <f t="shared" ref="D80:K80" si="45">D79/C79-1</f>
        <v>6.0382916053019153E-2</v>
      </c>
      <c r="E80" s="345">
        <f t="shared" si="45"/>
        <v>2.7777777777777679E-2</v>
      </c>
      <c r="F80" s="345">
        <f t="shared" si="45"/>
        <v>0.12162162162162171</v>
      </c>
      <c r="G80" s="345">
        <f t="shared" si="45"/>
        <v>0.14457831325301207</v>
      </c>
      <c r="H80" s="345">
        <f t="shared" si="45"/>
        <v>0.12631578947368416</v>
      </c>
      <c r="I80" s="345">
        <f t="shared" si="45"/>
        <v>9.3457943925234765E-4</v>
      </c>
      <c r="J80" s="345">
        <f t="shared" si="45"/>
        <v>9.3370681605975392E-4</v>
      </c>
      <c r="K80" s="345">
        <f t="shared" si="45"/>
        <v>9.3283582089553896E-4</v>
      </c>
      <c r="M80" s="336"/>
    </row>
    <row r="81" spans="1:13" s="333" customFormat="1" ht="13.9">
      <c r="A81" s="343" t="s">
        <v>1591</v>
      </c>
      <c r="B81" s="344">
        <f t="shared" ref="B81:J81" si="46">B74/100/6.5/B77</f>
        <v>3.6248273653176094E-2</v>
      </c>
      <c r="C81" s="344">
        <f t="shared" si="46"/>
        <v>5.9214735068814674E-2</v>
      </c>
      <c r="D81" s="344">
        <f t="shared" si="46"/>
        <v>6.032854284980177E-2</v>
      </c>
      <c r="E81" s="345">
        <f t="shared" si="46"/>
        <v>3.8950135046055927E-2</v>
      </c>
      <c r="F81" s="345">
        <f t="shared" si="46"/>
        <v>3.0610679146573103E-2</v>
      </c>
      <c r="G81" s="345">
        <f t="shared" si="46"/>
        <v>3.260939802191265E-2</v>
      </c>
      <c r="H81" s="345">
        <f t="shared" si="46"/>
        <v>4.9003656601375012E-2</v>
      </c>
      <c r="I81" s="345">
        <f t="shared" si="46"/>
        <v>5.750839203146535E-2</v>
      </c>
      <c r="J81" s="345">
        <f t="shared" si="46"/>
        <v>6.4708532894062851E-2</v>
      </c>
      <c r="K81" s="345">
        <f t="shared" ref="K81" si="47">K74/100/6.5/K77</f>
        <v>6.9676884042343554E-2</v>
      </c>
      <c r="L81" s="333" t="s">
        <v>1619</v>
      </c>
      <c r="M81" s="333" t="s">
        <v>1620</v>
      </c>
    </row>
    <row r="82" spans="1:13" s="333" customFormat="1" ht="13.9">
      <c r="A82" s="343" t="s">
        <v>1621</v>
      </c>
      <c r="B82" s="347">
        <v>4.2</v>
      </c>
      <c r="C82" s="348">
        <f t="shared" ref="C82:K82" si="48">B82*(1+C83)</f>
        <v>5.0155604218321468</v>
      </c>
      <c r="D82" s="348">
        <f t="shared" si="48"/>
        <v>5.9894872250116808</v>
      </c>
      <c r="E82" s="349">
        <f t="shared" si="48"/>
        <v>7.1525321601994847</v>
      </c>
      <c r="F82" s="349">
        <f t="shared" si="48"/>
        <v>8.5414183853757422</v>
      </c>
      <c r="G82" s="364">
        <v>10.199999999999999</v>
      </c>
      <c r="H82" s="349">
        <f t="shared" si="48"/>
        <v>12.180646738735211</v>
      </c>
      <c r="I82" s="349">
        <f t="shared" si="48"/>
        <v>14.545897546456937</v>
      </c>
      <c r="J82" s="349">
        <f t="shared" si="48"/>
        <v>17.370435246198745</v>
      </c>
      <c r="K82" s="349">
        <f t="shared" si="48"/>
        <v>20.743444650198228</v>
      </c>
      <c r="L82" s="333" t="s">
        <v>1594</v>
      </c>
      <c r="M82" s="336">
        <f>(H82/D82)^(1/4)-1</f>
        <v>0.19418105281717768</v>
      </c>
    </row>
    <row r="83" spans="1:13" s="333" customFormat="1" ht="13.9">
      <c r="A83" s="343" t="s">
        <v>1577</v>
      </c>
      <c r="B83" s="344"/>
      <c r="C83" s="344">
        <f t="shared" ref="C83:J83" si="49">POWER($G82/$B82,1/5)-1</f>
        <v>0.19418105281717768</v>
      </c>
      <c r="D83" s="344">
        <f t="shared" si="49"/>
        <v>0.19418105281717768</v>
      </c>
      <c r="E83" s="345">
        <f t="shared" si="49"/>
        <v>0.19418105281717768</v>
      </c>
      <c r="F83" s="345">
        <f t="shared" si="49"/>
        <v>0.19418105281717768</v>
      </c>
      <c r="G83" s="345">
        <f t="shared" si="49"/>
        <v>0.19418105281717768</v>
      </c>
      <c r="H83" s="345">
        <f t="shared" si="49"/>
        <v>0.19418105281717768</v>
      </c>
      <c r="I83" s="345">
        <f t="shared" si="49"/>
        <v>0.19418105281717768</v>
      </c>
      <c r="J83" s="345">
        <f t="shared" si="49"/>
        <v>0.19418105281717768</v>
      </c>
      <c r="K83" s="345">
        <f t="shared" ref="K83" si="50">POWER($G82/$B82,1/5)-1</f>
        <v>0.19418105281717768</v>
      </c>
      <c r="M83" s="336"/>
    </row>
    <row r="84" spans="1:13" s="333" customFormat="1" ht="13.9" hidden="1">
      <c r="A84" s="343" t="s">
        <v>1622</v>
      </c>
      <c r="B84" s="348" t="e">
        <f>#REF!*(1+B85)</f>
        <v>#REF!</v>
      </c>
      <c r="C84" s="348" t="e">
        <f t="shared" ref="C84:K84" si="51">B84*(1+C85)</f>
        <v>#REF!</v>
      </c>
      <c r="D84" s="348" t="e">
        <f t="shared" si="51"/>
        <v>#REF!</v>
      </c>
      <c r="E84" s="349" t="e">
        <f t="shared" si="51"/>
        <v>#REF!</v>
      </c>
      <c r="F84" s="349" t="e">
        <f t="shared" si="51"/>
        <v>#REF!</v>
      </c>
      <c r="G84" s="364">
        <v>29</v>
      </c>
      <c r="H84" s="349" t="e">
        <f t="shared" si="51"/>
        <v>#REF!</v>
      </c>
      <c r="I84" s="349" t="e">
        <f t="shared" si="51"/>
        <v>#REF!</v>
      </c>
      <c r="J84" s="349" t="e">
        <f t="shared" si="51"/>
        <v>#REF!</v>
      </c>
      <c r="K84" s="349" t="e">
        <f t="shared" si="51"/>
        <v>#REF!</v>
      </c>
      <c r="L84" s="333" t="s">
        <v>1594</v>
      </c>
      <c r="M84" s="336" t="e">
        <f>(H84/D84)^(1/4)-1</f>
        <v>#REF!</v>
      </c>
    </row>
    <row r="85" spans="1:13" s="333" customFormat="1" ht="13.9" hidden="1">
      <c r="A85" s="343" t="s">
        <v>1577</v>
      </c>
      <c r="B85" s="344" t="e">
        <f>POWER($G84/#REF!,1/6)-1</f>
        <v>#REF!</v>
      </c>
      <c r="C85" s="344" t="e">
        <f>POWER($G84/#REF!,1/6)-1</f>
        <v>#REF!</v>
      </c>
      <c r="D85" s="344" t="e">
        <f>POWER($G84/#REF!,1/6)-1</f>
        <v>#REF!</v>
      </c>
      <c r="E85" s="345" t="e">
        <f>POWER($G84/#REF!,1/6)-1</f>
        <v>#REF!</v>
      </c>
      <c r="F85" s="345" t="e">
        <f>POWER($G84/#REF!,1/6)-1</f>
        <v>#REF!</v>
      </c>
      <c r="G85" s="345" t="e">
        <f>POWER($G84/#REF!,1/6)-1</f>
        <v>#REF!</v>
      </c>
      <c r="H85" s="345" t="e">
        <f>POWER($G84/#REF!,1/6)-1</f>
        <v>#REF!</v>
      </c>
      <c r="I85" s="345" t="e">
        <f>POWER($G84/#REF!,1/6)-1</f>
        <v>#REF!</v>
      </c>
      <c r="J85" s="345" t="e">
        <f>POWER($G84/#REF!,1/6)-1</f>
        <v>#REF!</v>
      </c>
      <c r="K85" s="345" t="e">
        <f>POWER($G84/#REF!,1/6)-1</f>
        <v>#REF!</v>
      </c>
      <c r="M85" s="336"/>
    </row>
    <row r="86" spans="1:13" s="333" customFormat="1" ht="13.9">
      <c r="A86" s="343" t="s">
        <v>1591</v>
      </c>
      <c r="B86" s="376">
        <f t="shared" ref="B86:C86" si="52">B74*10%/100/6.5/B82</f>
        <v>2.2646540491889064E-2</v>
      </c>
      <c r="C86" s="376">
        <f t="shared" si="52"/>
        <v>3.4049095529802946E-2</v>
      </c>
      <c r="D86" s="376">
        <f>D74*40%/100/6.5/D82</f>
        <v>0.13738639955852805</v>
      </c>
      <c r="E86" s="377">
        <f t="shared" ref="E86:J86" si="53">E74*40%/100/6.5/E82</f>
        <v>7.9047861322132082E-2</v>
      </c>
      <c r="F86" s="377">
        <f t="shared" si="53"/>
        <v>5.5877790500780261E-2</v>
      </c>
      <c r="G86" s="377">
        <f t="shared" si="53"/>
        <v>5.3296160727052809E-2</v>
      </c>
      <c r="H86" s="377">
        <f t="shared" si="53"/>
        <v>7.1407812879057175E-2</v>
      </c>
      <c r="I86" s="377">
        <f t="shared" si="53"/>
        <v>7.175576538642936E-2</v>
      </c>
      <c r="J86" s="377">
        <f t="shared" si="53"/>
        <v>6.9101021155647965E-2</v>
      </c>
      <c r="K86" s="377">
        <f t="shared" ref="K86" si="54">K74*40%/100/6.5/K82</f>
        <v>6.3651255470764556E-2</v>
      </c>
      <c r="L86" s="333" t="s">
        <v>1595</v>
      </c>
      <c r="M86" s="336"/>
    </row>
    <row r="87" spans="1:13" s="333" customFormat="1" ht="13.9">
      <c r="A87" s="333" t="s">
        <v>1596</v>
      </c>
      <c r="B87" s="348"/>
      <c r="C87" s="348"/>
      <c r="D87" s="359"/>
      <c r="E87" s="368"/>
      <c r="F87" s="368"/>
      <c r="G87" s="368"/>
      <c r="H87" s="368"/>
      <c r="I87" s="368"/>
      <c r="J87" s="368"/>
      <c r="K87" s="368"/>
      <c r="M87" s="336"/>
    </row>
    <row r="88" spans="1:13" s="333" customFormat="1" ht="15" customHeight="1">
      <c r="A88" s="343" t="s">
        <v>1577</v>
      </c>
      <c r="B88" s="344"/>
      <c r="C88" s="344"/>
      <c r="D88" s="369"/>
      <c r="E88" s="370"/>
      <c r="F88" s="370"/>
      <c r="G88" s="370"/>
      <c r="H88" s="370"/>
      <c r="I88" s="370"/>
      <c r="J88" s="370"/>
      <c r="K88" s="370"/>
      <c r="M88" s="336"/>
    </row>
    <row r="89" spans="1:13" s="333" customFormat="1" ht="13.9">
      <c r="A89" s="333" t="s">
        <v>1597</v>
      </c>
      <c r="B89" s="348"/>
      <c r="C89" s="348"/>
      <c r="D89" s="359"/>
      <c r="E89" s="368"/>
      <c r="F89" s="368"/>
      <c r="G89" s="368"/>
      <c r="H89" s="368"/>
      <c r="I89" s="368"/>
      <c r="J89" s="368"/>
      <c r="K89" s="368"/>
      <c r="L89" s="333" t="s">
        <v>1623</v>
      </c>
      <c r="M89" s="336"/>
    </row>
    <row r="90" spans="1:13" s="333" customFormat="1" ht="13.9">
      <c r="A90" s="343" t="s">
        <v>1577</v>
      </c>
      <c r="B90" s="362"/>
      <c r="C90" s="362"/>
      <c r="D90" s="369"/>
      <c r="E90" s="370"/>
      <c r="F90" s="370"/>
      <c r="G90" s="370"/>
      <c r="H90" s="370"/>
      <c r="I90" s="370"/>
      <c r="J90" s="370"/>
      <c r="K90" s="370"/>
      <c r="L90" s="333" t="s">
        <v>1624</v>
      </c>
      <c r="M90" s="336"/>
    </row>
    <row r="91" spans="1:13" s="339" customFormat="1" ht="13.9">
      <c r="A91" s="339" t="s">
        <v>1665</v>
      </c>
      <c r="B91" s="457">
        <v>0.3</v>
      </c>
      <c r="C91" s="350">
        <f>(C30*C45-C46*C59-C60*C73)/C74</f>
        <v>0.26963404012203229</v>
      </c>
      <c r="D91" s="350">
        <f>(D30*D45-D46*D59-D60*D73)/D74</f>
        <v>0.35526624201683016</v>
      </c>
      <c r="E91" s="350">
        <f>(E30*E45-E46*E59-E60*E73)/E74</f>
        <v>0.35241082407556124</v>
      </c>
      <c r="F91" s="350">
        <f>(F30*F45-F46*F59-F60*F73)/F74</f>
        <v>0.33099158149737679</v>
      </c>
      <c r="G91" s="350">
        <f>(G30*G45-G46*G59-G60*G73)/G74</f>
        <v>0.29849033848220347</v>
      </c>
      <c r="H91" s="458">
        <v>0.4</v>
      </c>
      <c r="I91" s="458">
        <v>0.4</v>
      </c>
      <c r="J91" s="458">
        <v>0.38</v>
      </c>
      <c r="K91" s="458">
        <v>0.37</v>
      </c>
      <c r="M91" s="336"/>
    </row>
    <row r="92" spans="1:13" s="339" customFormat="1" ht="15" customHeight="1">
      <c r="A92" s="340" t="s">
        <v>1625</v>
      </c>
      <c r="B92" s="341">
        <v>187.47701000000001</v>
      </c>
      <c r="C92" s="341">
        <v>412.65771000000001</v>
      </c>
      <c r="D92" s="341">
        <v>478.72190000000001</v>
      </c>
      <c r="E92" s="341">
        <v>408.92</v>
      </c>
      <c r="F92" s="341">
        <v>471.52</v>
      </c>
      <c r="G92" s="341">
        <v>505.64</v>
      </c>
      <c r="H92" s="355">
        <f>G92*(1+H93)</f>
        <v>606.76799999999992</v>
      </c>
      <c r="I92" s="355">
        <f>H92*(1+I93)</f>
        <v>728.12159999999983</v>
      </c>
      <c r="J92" s="355">
        <f>I92*(1+J93)</f>
        <v>873.74591999999973</v>
      </c>
      <c r="K92" s="355">
        <f>J92*(1+K93)</f>
        <v>1048.4951039999996</v>
      </c>
      <c r="L92" s="333"/>
      <c r="M92" s="336">
        <f>(H92/D92)^(1/4)-1</f>
        <v>6.1047541196226573E-2</v>
      </c>
    </row>
    <row r="93" spans="1:13" s="333" customFormat="1" ht="15" customHeight="1">
      <c r="A93" s="343" t="s">
        <v>1577</v>
      </c>
      <c r="B93" s="360"/>
      <c r="C93" s="344">
        <f>C92/B92-1</f>
        <v>1.2011110055574279</v>
      </c>
      <c r="D93" s="344">
        <f>D92/C92-1</f>
        <v>0.16009440366448024</v>
      </c>
      <c r="E93" s="344">
        <f>E92/D92-1</f>
        <v>-0.14580887149720956</v>
      </c>
      <c r="F93" s="344">
        <f>F92/E92-1</f>
        <v>0.15308617822556969</v>
      </c>
      <c r="G93" s="344">
        <f>G92/F92-1</f>
        <v>7.2361723786901866E-2</v>
      </c>
      <c r="H93" s="363">
        <v>0.2</v>
      </c>
      <c r="I93" s="363">
        <v>0.2</v>
      </c>
      <c r="J93" s="363">
        <v>0.2</v>
      </c>
      <c r="K93" s="363">
        <v>0.2</v>
      </c>
      <c r="M93" s="336"/>
    </row>
    <row r="94" spans="1:13" s="333" customFormat="1" ht="15" customHeight="1">
      <c r="A94" s="343" t="s">
        <v>1584</v>
      </c>
      <c r="B94" s="357">
        <v>279.02120000000002</v>
      </c>
      <c r="C94" s="344"/>
      <c r="D94" s="344"/>
      <c r="E94" s="344"/>
      <c r="F94" s="344"/>
      <c r="G94" s="344"/>
      <c r="H94" s="345"/>
      <c r="I94" s="345"/>
      <c r="J94" s="345"/>
      <c r="K94" s="345"/>
      <c r="M94" s="336"/>
    </row>
    <row r="95" spans="1:13" s="333" customFormat="1" ht="15" customHeight="1">
      <c r="A95" s="356" t="s">
        <v>1577</v>
      </c>
      <c r="B95" s="360"/>
      <c r="C95" s="344"/>
      <c r="D95" s="344"/>
      <c r="E95" s="344"/>
      <c r="F95" s="344"/>
      <c r="G95" s="344"/>
      <c r="H95" s="345"/>
      <c r="I95" s="345"/>
      <c r="J95" s="345"/>
      <c r="K95" s="345"/>
      <c r="M95" s="336"/>
    </row>
    <row r="96" spans="1:13" s="333" customFormat="1" ht="15" customHeight="1">
      <c r="A96" s="356" t="s">
        <v>1588</v>
      </c>
      <c r="B96" s="344">
        <f>B94/B23</f>
        <v>9.9463054385973165E-2</v>
      </c>
      <c r="C96" s="344">
        <f>C92/C20</f>
        <v>0.10298169369325988</v>
      </c>
      <c r="D96" s="344">
        <f>D92/D20</f>
        <v>0.1056029427173811</v>
      </c>
      <c r="E96" s="344">
        <f>E92/E20</f>
        <v>0.12315086975377054</v>
      </c>
      <c r="F96" s="344">
        <f>F92/F20</f>
        <v>0.15404065978222875</v>
      </c>
      <c r="G96" s="344">
        <f>G92/G20</f>
        <v>0.14798252211806642</v>
      </c>
      <c r="H96" s="345">
        <f>H92/H20</f>
        <v>9.9569783599721434E-2</v>
      </c>
      <c r="I96" s="345">
        <f>I92/I20</f>
        <v>9.1687086047229235E-2</v>
      </c>
      <c r="J96" s="345">
        <f>J92/J20</f>
        <v>9.3430532555981077E-2</v>
      </c>
      <c r="K96" s="345">
        <f>K92/K20</f>
        <v>9.5892076520665726E-2</v>
      </c>
      <c r="M96" s="336"/>
    </row>
    <row r="97" spans="1:13" s="333" customFormat="1" ht="15" customHeight="1">
      <c r="A97" s="333" t="s">
        <v>1596</v>
      </c>
      <c r="B97" s="348"/>
      <c r="C97" s="348"/>
      <c r="D97" s="359"/>
      <c r="E97" s="359"/>
      <c r="F97" s="359"/>
      <c r="G97" s="359"/>
      <c r="H97" s="368"/>
      <c r="I97" s="368"/>
      <c r="J97" s="368"/>
      <c r="K97" s="368"/>
      <c r="M97" s="336"/>
    </row>
    <row r="98" spans="1:13" s="333" customFormat="1" ht="15" customHeight="1">
      <c r="A98" s="343" t="s">
        <v>1577</v>
      </c>
      <c r="B98" s="344"/>
      <c r="C98" s="344"/>
      <c r="D98" s="344"/>
      <c r="E98" s="344"/>
      <c r="F98" s="344"/>
      <c r="G98" s="344"/>
      <c r="H98" s="345"/>
      <c r="I98" s="345"/>
      <c r="J98" s="345"/>
      <c r="K98" s="345"/>
      <c r="M98" s="336"/>
    </row>
    <row r="99" spans="1:13" s="333" customFormat="1" ht="15" customHeight="1">
      <c r="A99" s="333" t="s">
        <v>1597</v>
      </c>
      <c r="B99" s="348"/>
      <c r="C99" s="348"/>
      <c r="D99" s="359"/>
      <c r="E99" s="359"/>
      <c r="F99" s="359"/>
      <c r="G99" s="359"/>
      <c r="H99" s="368"/>
      <c r="I99" s="368"/>
      <c r="J99" s="368"/>
      <c r="K99" s="368"/>
      <c r="M99" s="336"/>
    </row>
    <row r="100" spans="1:13" s="333" customFormat="1" ht="15" customHeight="1">
      <c r="A100" s="343" t="s">
        <v>1577</v>
      </c>
      <c r="B100" s="344"/>
      <c r="C100" s="344"/>
      <c r="D100" s="344"/>
      <c r="E100" s="344"/>
      <c r="F100" s="344"/>
      <c r="G100" s="344"/>
      <c r="H100" s="345"/>
      <c r="I100" s="345"/>
      <c r="J100" s="345"/>
      <c r="K100" s="345"/>
      <c r="M100" s="336"/>
    </row>
    <row r="101" spans="1:13" s="333" customFormat="1" ht="15" customHeight="1">
      <c r="A101" s="333" t="s">
        <v>1580</v>
      </c>
      <c r="B101" s="378">
        <v>0.48829999999999996</v>
      </c>
      <c r="C101" s="379">
        <v>0.54630000000000001</v>
      </c>
      <c r="D101" s="380">
        <f>1-D130/D92</f>
        <v>0.52988384279056377</v>
      </c>
      <c r="E101" s="380">
        <f>1-E130/E92</f>
        <v>0.51340115426000199</v>
      </c>
      <c r="F101" s="380">
        <f>1-F130/F92</f>
        <v>0.49611893450967082</v>
      </c>
      <c r="G101" s="380">
        <f>1-G130/G92</f>
        <v>0.51091685784352503</v>
      </c>
      <c r="H101" s="363">
        <v>0.53</v>
      </c>
      <c r="I101" s="363">
        <v>0.52</v>
      </c>
      <c r="J101" s="363">
        <f t="shared" ref="I101:K101" si="55">I101</f>
        <v>0.52</v>
      </c>
      <c r="K101" s="363">
        <f t="shared" si="55"/>
        <v>0.52</v>
      </c>
      <c r="M101" s="336"/>
    </row>
    <row r="102" spans="1:13" s="333" customFormat="1" ht="15" customHeight="1">
      <c r="B102" s="378"/>
      <c r="C102" s="379"/>
      <c r="D102" s="376"/>
      <c r="E102" s="381"/>
      <c r="F102" s="362"/>
      <c r="G102" s="362"/>
      <c r="H102" s="363"/>
      <c r="I102" s="363"/>
      <c r="J102" s="363"/>
      <c r="K102" s="363"/>
      <c r="M102" s="336"/>
    </row>
    <row r="103" spans="1:13" s="333" customFormat="1" ht="15" customHeight="1">
      <c r="A103" s="340" t="s">
        <v>1626</v>
      </c>
      <c r="B103" s="341">
        <f t="shared" ref="B103:D103" si="56">B109+B113</f>
        <v>415.04386</v>
      </c>
      <c r="C103" s="341">
        <f t="shared" si="56"/>
        <v>1177.6315099999999</v>
      </c>
      <c r="D103" s="341">
        <f t="shared" si="56"/>
        <v>770.20360000000005</v>
      </c>
      <c r="E103" s="341">
        <v>1108.3699999999999</v>
      </c>
      <c r="F103" s="341">
        <v>1090.0999999999999</v>
      </c>
      <c r="G103" s="341">
        <v>1293.4100000000001</v>
      </c>
      <c r="H103" s="355">
        <f t="shared" ref="H103:J103" si="57">H109+H113</f>
        <v>2129.0568394328002</v>
      </c>
      <c r="I103" s="355">
        <f t="shared" si="57"/>
        <v>2554.8682073193604</v>
      </c>
      <c r="J103" s="355">
        <f t="shared" si="57"/>
        <v>3065.8418487832323</v>
      </c>
      <c r="K103" s="355">
        <f t="shared" ref="K103" si="58">K109+K113</f>
        <v>3679.0102185398782</v>
      </c>
      <c r="M103" s="336"/>
    </row>
    <row r="104" spans="1:13" s="333" customFormat="1" ht="15" customHeight="1">
      <c r="A104" s="356" t="s">
        <v>1583</v>
      </c>
      <c r="B104" s="344">
        <f>B103/C4</f>
        <v>7.8695336887958031E-2</v>
      </c>
      <c r="C104" s="344">
        <f>C103/D4</f>
        <v>0.21760168865584217</v>
      </c>
      <c r="D104" s="344">
        <f>D103/E4</f>
        <v>0.16998813452548611</v>
      </c>
      <c r="E104" s="344">
        <f>E103/F4</f>
        <v>0.26310667769168383</v>
      </c>
      <c r="F104" s="344">
        <f>F103/G4</f>
        <v>0.22993002594407511</v>
      </c>
      <c r="G104" s="344">
        <f>G103/H4</f>
        <v>0.15568540209776904</v>
      </c>
      <c r="H104" s="344">
        <f>H103/I4</f>
        <v>0.20098460491383105</v>
      </c>
      <c r="I104" s="344">
        <f>I103/J4</f>
        <v>0.2039561542115382</v>
      </c>
      <c r="J104" s="344">
        <f>J103/K4</f>
        <v>0.20807916653091985</v>
      </c>
      <c r="K104" s="344" t="e">
        <f>K103/M4</f>
        <v>#DIV/0!</v>
      </c>
      <c r="M104" s="336"/>
    </row>
    <row r="105" spans="1:13" s="333" customFormat="1" ht="15" customHeight="1">
      <c r="A105" s="343" t="s">
        <v>1577</v>
      </c>
      <c r="B105" s="344" t="e">
        <f>B103/#REF!-1</f>
        <v>#REF!</v>
      </c>
      <c r="C105" s="344">
        <f t="shared" ref="C105:K105" si="59">C103/B103-1</f>
        <v>1.8373664171299873</v>
      </c>
      <c r="D105" s="344">
        <f t="shared" si="59"/>
        <v>-0.34597232371949682</v>
      </c>
      <c r="E105" s="344">
        <f t="shared" si="59"/>
        <v>0.43906104827346937</v>
      </c>
      <c r="F105" s="344">
        <f t="shared" si="59"/>
        <v>-1.6483665202053466E-2</v>
      </c>
      <c r="G105" s="344">
        <f t="shared" si="59"/>
        <v>0.18650582515365577</v>
      </c>
      <c r="H105" s="345">
        <f t="shared" si="59"/>
        <v>0.64608039170317233</v>
      </c>
      <c r="I105" s="345">
        <f t="shared" si="59"/>
        <v>0.20000000000000018</v>
      </c>
      <c r="J105" s="345">
        <f t="shared" si="59"/>
        <v>0.19999999999999996</v>
      </c>
      <c r="K105" s="345">
        <f t="shared" si="59"/>
        <v>0.19999999999999973</v>
      </c>
      <c r="M105" s="336"/>
    </row>
    <row r="106" spans="1:13" s="333" customFormat="1" ht="15" customHeight="1">
      <c r="A106" s="346" t="s">
        <v>1585</v>
      </c>
      <c r="B106" s="348"/>
      <c r="C106" s="348"/>
      <c r="D106" s="348"/>
      <c r="E106" s="348"/>
      <c r="F106" s="348"/>
      <c r="G106" s="348"/>
      <c r="H106" s="349"/>
      <c r="I106" s="349"/>
      <c r="J106" s="349"/>
      <c r="K106" s="349"/>
      <c r="M106" s="336"/>
    </row>
    <row r="107" spans="1:13" s="333" customFormat="1" ht="15" customHeight="1">
      <c r="A107" s="346" t="s">
        <v>1586</v>
      </c>
      <c r="B107" s="348"/>
      <c r="C107" s="348"/>
      <c r="D107" s="348"/>
      <c r="E107" s="348"/>
      <c r="F107" s="348"/>
      <c r="G107" s="348"/>
      <c r="H107" s="349"/>
      <c r="I107" s="349"/>
      <c r="J107" s="349"/>
      <c r="K107" s="349"/>
      <c r="M107" s="336"/>
    </row>
    <row r="108" spans="1:13" s="333" customFormat="1" ht="15" customHeight="1">
      <c r="A108" s="333" t="s">
        <v>1580</v>
      </c>
      <c r="B108" s="344">
        <f t="shared" ref="B108:J108" si="60">(B109*B112+B113*B116)/B103</f>
        <v>0.34214885144909757</v>
      </c>
      <c r="C108" s="344">
        <f t="shared" si="60"/>
        <v>0.46220761365327262</v>
      </c>
      <c r="D108" s="344">
        <f t="shared" si="60"/>
        <v>0.30469800452763401</v>
      </c>
      <c r="E108" s="344">
        <f t="shared" si="60"/>
        <v>0.27826463184676598</v>
      </c>
      <c r="F108" s="344">
        <f t="shared" si="60"/>
        <v>0.32965644837721308</v>
      </c>
      <c r="G108" s="344">
        <f t="shared" si="60"/>
        <v>0.30611222196513094</v>
      </c>
      <c r="H108" s="345">
        <f t="shared" si="60"/>
        <v>0.52659430993690348</v>
      </c>
      <c r="I108" s="345">
        <f t="shared" si="60"/>
        <v>0.4265943099369035</v>
      </c>
      <c r="J108" s="345">
        <f t="shared" si="60"/>
        <v>0.38545907991587125</v>
      </c>
      <c r="K108" s="345">
        <f t="shared" ref="K108" si="61">(K109*K112+K113*K116)/K103</f>
        <v>0.38545907991587125</v>
      </c>
      <c r="M108" s="336"/>
    </row>
    <row r="109" spans="1:13" s="339" customFormat="1" ht="15" customHeight="1">
      <c r="A109" s="340" t="s">
        <v>1627</v>
      </c>
      <c r="B109" s="341">
        <v>291.31634000000003</v>
      </c>
      <c r="C109" s="341">
        <v>978.94241999999997</v>
      </c>
      <c r="D109" s="341">
        <v>642.96199999999999</v>
      </c>
      <c r="E109" s="355">
        <f t="shared" ref="E109:K109" si="62">D109*(1+E110)</f>
        <v>938.72451999999998</v>
      </c>
      <c r="F109" s="355">
        <f t="shared" si="62"/>
        <v>919.95002959999999</v>
      </c>
      <c r="G109" s="355">
        <f t="shared" si="62"/>
        <v>1094.740535224</v>
      </c>
      <c r="H109" s="355">
        <f t="shared" si="62"/>
        <v>1751.5848563584002</v>
      </c>
      <c r="I109" s="355">
        <f t="shared" si="62"/>
        <v>2101.9018276300803</v>
      </c>
      <c r="J109" s="355">
        <f t="shared" si="62"/>
        <v>2522.2821931560961</v>
      </c>
      <c r="K109" s="355">
        <f t="shared" si="62"/>
        <v>3026.7386317873152</v>
      </c>
      <c r="L109" s="333"/>
      <c r="M109" s="336">
        <f>(H109/D109)^(1/4)-1</f>
        <v>0.28472882659871424</v>
      </c>
    </row>
    <row r="110" spans="1:13" s="333" customFormat="1" ht="15" customHeight="1">
      <c r="A110" s="343" t="s">
        <v>1577</v>
      </c>
      <c r="B110" s="344" t="e">
        <f>B109/#REF!-1</f>
        <v>#REF!</v>
      </c>
      <c r="C110" s="344">
        <f>C109/B109-1</f>
        <v>2.3604102674089611</v>
      </c>
      <c r="D110" s="344">
        <f>D109/C109-1</f>
        <v>-0.34320754023510391</v>
      </c>
      <c r="E110" s="363">
        <v>0.46</v>
      </c>
      <c r="F110" s="363">
        <v>-0.02</v>
      </c>
      <c r="G110" s="363">
        <v>0.19</v>
      </c>
      <c r="H110" s="363">
        <v>0.6</v>
      </c>
      <c r="I110" s="363">
        <v>0.2</v>
      </c>
      <c r="J110" s="363">
        <v>0.2</v>
      </c>
      <c r="K110" s="363">
        <v>0.2</v>
      </c>
      <c r="M110" s="336"/>
    </row>
    <row r="111" spans="1:13" s="333" customFormat="1" ht="15" customHeight="1">
      <c r="A111" s="356" t="s">
        <v>1628</v>
      </c>
      <c r="B111" s="344">
        <f t="shared" ref="B111:J111" si="63">B109/B103</f>
        <v>0.70189290355963829</v>
      </c>
      <c r="C111" s="344">
        <f t="shared" si="63"/>
        <v>0.83128076285934305</v>
      </c>
      <c r="D111" s="344">
        <f t="shared" si="63"/>
        <v>0.83479485164701894</v>
      </c>
      <c r="E111" s="345">
        <f t="shared" si="63"/>
        <v>0.84694147261293617</v>
      </c>
      <c r="F111" s="345">
        <f t="shared" si="63"/>
        <v>0.84391342959361537</v>
      </c>
      <c r="G111" s="345">
        <f t="shared" si="63"/>
        <v>0.84639869432275916</v>
      </c>
      <c r="H111" s="345">
        <f t="shared" si="63"/>
        <v>0.82270460042064353</v>
      </c>
      <c r="I111" s="345">
        <f t="shared" si="63"/>
        <v>0.82270460042064353</v>
      </c>
      <c r="J111" s="345">
        <f t="shared" si="63"/>
        <v>0.82270460042064353</v>
      </c>
      <c r="K111" s="345">
        <f t="shared" ref="K111" si="64">K109/K103</f>
        <v>0.82270460042064364</v>
      </c>
      <c r="M111" s="336"/>
    </row>
    <row r="112" spans="1:13" s="333" customFormat="1" ht="15" customHeight="1">
      <c r="A112" s="333" t="s">
        <v>1580</v>
      </c>
      <c r="B112" s="382">
        <v>0.25251728069905044</v>
      </c>
      <c r="C112" s="382">
        <v>0.4418348221134395</v>
      </c>
      <c r="D112" s="344">
        <f>1-D132/D109</f>
        <v>0.26250027217782701</v>
      </c>
      <c r="E112" s="383">
        <v>0.24</v>
      </c>
      <c r="F112" s="384">
        <v>0.3</v>
      </c>
      <c r="G112" s="384">
        <v>0.28000000000000003</v>
      </c>
      <c r="H112" s="384">
        <v>0.5</v>
      </c>
      <c r="I112" s="384">
        <v>0.4</v>
      </c>
      <c r="J112" s="384">
        <v>0.35</v>
      </c>
      <c r="K112" s="384">
        <v>0.35</v>
      </c>
      <c r="M112" s="336"/>
    </row>
    <row r="113" spans="1:14" s="339" customFormat="1" ht="15" customHeight="1">
      <c r="A113" s="340" t="s">
        <v>1629</v>
      </c>
      <c r="B113" s="341">
        <v>123.72752</v>
      </c>
      <c r="C113" s="341">
        <v>198.68908999999999</v>
      </c>
      <c r="D113" s="341">
        <v>127.24160000000001</v>
      </c>
      <c r="E113" s="355">
        <f>E103-E109</f>
        <v>169.64547999999991</v>
      </c>
      <c r="F113" s="355">
        <f>F103-F109</f>
        <v>170.14997039999992</v>
      </c>
      <c r="G113" s="355">
        <f>G103-G109</f>
        <v>198.66946477600004</v>
      </c>
      <c r="H113" s="355">
        <f>G113*(1+H114)</f>
        <v>377.47198307440004</v>
      </c>
      <c r="I113" s="355">
        <f>H113*(1+I114)</f>
        <v>452.96637968928002</v>
      </c>
      <c r="J113" s="355">
        <f>I113*(1+J114)</f>
        <v>543.55965562713595</v>
      </c>
      <c r="K113" s="355">
        <f>J113*(1+K114)</f>
        <v>652.27158675256317</v>
      </c>
      <c r="L113" s="333"/>
      <c r="M113" s="336">
        <f>(H113/D113)^(1/4)-1</f>
        <v>0.31239298492256573</v>
      </c>
    </row>
    <row r="114" spans="1:14" s="333" customFormat="1" ht="15" customHeight="1">
      <c r="A114" s="343" t="s">
        <v>1577</v>
      </c>
      <c r="B114" s="344" t="e">
        <f>B113/#REF!-1</f>
        <v>#REF!</v>
      </c>
      <c r="C114" s="344">
        <f>C113/B113-1</f>
        <v>0.60586011907455983</v>
      </c>
      <c r="D114" s="344">
        <f>D113/C113-1</f>
        <v>-0.3595944296689868</v>
      </c>
      <c r="E114" s="344">
        <f>E113/D113-1</f>
        <v>0.33325484747126644</v>
      </c>
      <c r="F114" s="344">
        <f>F113/E113-1</f>
        <v>2.9737921694112934E-3</v>
      </c>
      <c r="G114" s="344">
        <f>G113/F113-1</f>
        <v>0.1676138662202209</v>
      </c>
      <c r="H114" s="363">
        <v>0.9</v>
      </c>
      <c r="I114" s="363">
        <v>0.2</v>
      </c>
      <c r="J114" s="363">
        <v>0.2</v>
      </c>
      <c r="K114" s="363">
        <v>0.2</v>
      </c>
      <c r="M114" s="336"/>
    </row>
    <row r="115" spans="1:14" s="333" customFormat="1" ht="15" customHeight="1">
      <c r="A115" s="356" t="s">
        <v>1628</v>
      </c>
      <c r="B115" s="344">
        <f t="shared" ref="B115:J115" si="65">B113/B103</f>
        <v>0.29810709644036176</v>
      </c>
      <c r="C115" s="344">
        <f t="shared" si="65"/>
        <v>0.16871923714065701</v>
      </c>
      <c r="D115" s="344">
        <f t="shared" si="65"/>
        <v>0.16520514835298095</v>
      </c>
      <c r="E115" s="345">
        <f t="shared" si="65"/>
        <v>0.15305852738706383</v>
      </c>
      <c r="F115" s="345">
        <f t="shared" si="65"/>
        <v>0.15608657040638468</v>
      </c>
      <c r="G115" s="345">
        <f t="shared" si="65"/>
        <v>0.15360130567724081</v>
      </c>
      <c r="H115" s="345">
        <f t="shared" si="65"/>
        <v>0.17729539957935644</v>
      </c>
      <c r="I115" s="345">
        <f t="shared" si="65"/>
        <v>0.17729539957935642</v>
      </c>
      <c r="J115" s="345">
        <f t="shared" si="65"/>
        <v>0.17729539957935642</v>
      </c>
      <c r="K115" s="345">
        <f t="shared" ref="K115" si="66">K113/K103</f>
        <v>0.17729539957935644</v>
      </c>
      <c r="M115" s="336"/>
    </row>
    <row r="116" spans="1:14" s="333" customFormat="1" ht="15" customHeight="1">
      <c r="A116" s="333" t="s">
        <v>1580</v>
      </c>
      <c r="B116" s="378">
        <v>0.5531863081067171</v>
      </c>
      <c r="C116" s="378">
        <v>0.56258448815684847</v>
      </c>
      <c r="D116" s="378">
        <f>1-D133/D113</f>
        <v>0.51792652717350307</v>
      </c>
      <c r="E116" s="383">
        <v>0.49</v>
      </c>
      <c r="F116" s="384">
        <v>0.49</v>
      </c>
      <c r="G116" s="384">
        <v>0.45</v>
      </c>
      <c r="H116" s="384">
        <v>0.65</v>
      </c>
      <c r="I116" s="384">
        <v>0.55000000000000004</v>
      </c>
      <c r="J116" s="384">
        <f t="shared" ref="J116:K116" si="67">I116</f>
        <v>0.55000000000000004</v>
      </c>
      <c r="K116" s="384">
        <f t="shared" si="67"/>
        <v>0.55000000000000004</v>
      </c>
    </row>
    <row r="117" spans="1:14" s="333" customFormat="1" ht="15" customHeight="1">
      <c r="A117" s="340" t="s">
        <v>1630</v>
      </c>
      <c r="B117" s="347">
        <v>31.356850000000001</v>
      </c>
      <c r="C117" s="347">
        <v>76.259569999999997</v>
      </c>
      <c r="D117" s="347">
        <v>95.480099999999993</v>
      </c>
      <c r="E117" s="385">
        <v>89.7</v>
      </c>
      <c r="F117" s="385">
        <v>52.89</v>
      </c>
      <c r="G117" s="386">
        <f t="shared" ref="G117:K117" si="68">F117+10</f>
        <v>62.89</v>
      </c>
      <c r="H117" s="386">
        <f t="shared" si="68"/>
        <v>72.89</v>
      </c>
      <c r="I117" s="386">
        <f t="shared" si="68"/>
        <v>82.89</v>
      </c>
      <c r="J117" s="386">
        <f t="shared" si="68"/>
        <v>92.89</v>
      </c>
      <c r="K117" s="386">
        <f t="shared" si="68"/>
        <v>102.89</v>
      </c>
      <c r="N117" s="387"/>
    </row>
    <row r="118" spans="1:14" s="333" customFormat="1" ht="15" customHeight="1">
      <c r="A118" s="333" t="s">
        <v>1580</v>
      </c>
      <c r="B118" s="379">
        <v>0.92949999999999999</v>
      </c>
      <c r="C118" s="371">
        <v>0.97</v>
      </c>
      <c r="D118" s="371">
        <v>0.96</v>
      </c>
      <c r="E118" s="388">
        <v>0.98899999999999999</v>
      </c>
      <c r="F118" s="388">
        <v>0.98550000000000004</v>
      </c>
      <c r="G118" s="384">
        <v>0.95</v>
      </c>
      <c r="H118" s="384">
        <v>0.95</v>
      </c>
      <c r="I118" s="384">
        <v>0.95</v>
      </c>
      <c r="J118" s="384">
        <v>0.95</v>
      </c>
      <c r="K118" s="384">
        <v>0.95</v>
      </c>
    </row>
    <row r="119" spans="1:14" s="333" customFormat="1" ht="15" customHeight="1">
      <c r="A119" s="340" t="s">
        <v>1631</v>
      </c>
      <c r="B119" s="347">
        <v>0.64622999999999997</v>
      </c>
      <c r="C119" s="347">
        <v>1.2559899999999999</v>
      </c>
      <c r="D119" s="347">
        <v>1.4903</v>
      </c>
      <c r="E119" s="385">
        <v>1.4</v>
      </c>
      <c r="F119" s="385">
        <v>0.96</v>
      </c>
      <c r="G119" s="386">
        <v>2</v>
      </c>
      <c r="H119" s="386">
        <v>2</v>
      </c>
      <c r="I119" s="386">
        <v>3</v>
      </c>
      <c r="J119" s="386">
        <v>4</v>
      </c>
      <c r="K119" s="386">
        <v>5</v>
      </c>
    </row>
    <row r="120" spans="1:14" s="333" customFormat="1" ht="15" customHeight="1">
      <c r="A120" s="333" t="s">
        <v>1580</v>
      </c>
      <c r="B120" s="379">
        <v>0.85460000000000003</v>
      </c>
      <c r="C120" s="371">
        <v>0.97</v>
      </c>
      <c r="D120" s="371">
        <v>0.97</v>
      </c>
      <c r="E120" s="388">
        <v>0.72889999999999999</v>
      </c>
      <c r="F120" s="388">
        <v>0.85540000000000005</v>
      </c>
      <c r="G120" s="384">
        <v>0.95</v>
      </c>
      <c r="H120" s="384">
        <v>0.95</v>
      </c>
      <c r="I120" s="384">
        <v>0.95</v>
      </c>
      <c r="J120" s="384">
        <v>0.95</v>
      </c>
      <c r="K120" s="384">
        <v>0.95</v>
      </c>
    </row>
    <row r="121" spans="1:14" s="333" customFormat="1" ht="15" customHeight="1">
      <c r="A121" s="340" t="s">
        <v>1632</v>
      </c>
      <c r="B121" s="347">
        <v>9.8186</v>
      </c>
      <c r="C121" s="347">
        <v>11.81434</v>
      </c>
      <c r="D121" s="347">
        <v>11.468500000000001</v>
      </c>
      <c r="E121" s="385">
        <v>10.98</v>
      </c>
      <c r="F121" s="385">
        <v>7.66</v>
      </c>
      <c r="G121" s="386">
        <v>10</v>
      </c>
      <c r="H121" s="386">
        <v>10</v>
      </c>
      <c r="I121" s="386">
        <v>11</v>
      </c>
      <c r="J121" s="386">
        <v>12</v>
      </c>
      <c r="K121" s="386">
        <v>13</v>
      </c>
    </row>
    <row r="122" spans="1:14" s="333" customFormat="1" ht="15" customHeight="1">
      <c r="A122" s="333" t="s">
        <v>1580</v>
      </c>
      <c r="B122" s="379">
        <v>0.92879999999999996</v>
      </c>
      <c r="C122" s="389">
        <f>1-(C134-C117*(1-C118)-C119*(1-C120))/C121</f>
        <v>41.171460151561547</v>
      </c>
      <c r="D122" s="389">
        <f>1-(D134-D117*(1-D118)-D119*(1-D120))/D121</f>
        <v>58.504777799189114</v>
      </c>
      <c r="E122" s="388">
        <v>0.85499999999999998</v>
      </c>
      <c r="F122" s="388">
        <v>0.76</v>
      </c>
      <c r="G122" s="384">
        <v>0.95</v>
      </c>
      <c r="H122" s="384">
        <v>0.95</v>
      </c>
      <c r="I122" s="384">
        <v>0.95</v>
      </c>
      <c r="J122" s="384">
        <v>0.95</v>
      </c>
      <c r="K122" s="384">
        <v>0.95</v>
      </c>
    </row>
    <row r="123" spans="1:14" s="333" customFormat="1" ht="15" customHeight="1">
      <c r="A123" s="390"/>
      <c r="B123" s="347"/>
      <c r="C123" s="347"/>
      <c r="D123" s="391"/>
      <c r="E123" s="392"/>
      <c r="F123" s="392"/>
      <c r="G123" s="392"/>
      <c r="H123" s="392"/>
      <c r="I123" s="392"/>
      <c r="J123" s="392"/>
      <c r="K123" s="392"/>
    </row>
    <row r="124" spans="1:14" s="396" customFormat="1" ht="15" customHeight="1">
      <c r="A124" s="393" t="s">
        <v>1581</v>
      </c>
      <c r="B124" s="394"/>
      <c r="C124" s="395">
        <f>E5</f>
        <v>2850.0004882600001</v>
      </c>
      <c r="D124" s="395">
        <f>F5</f>
        <v>2665.3621688099997</v>
      </c>
      <c r="E124" s="395">
        <f>E125+E131</f>
        <v>2851.3881700000002</v>
      </c>
      <c r="F124" s="395">
        <f>F125+F131</f>
        <v>2665.885626624</v>
      </c>
      <c r="G124" s="395">
        <f t="shared" ref="G124:J124" si="69">G125+G131</f>
        <v>3129.5958909880801</v>
      </c>
      <c r="H124" s="395">
        <f t="shared" si="69"/>
        <v>4182.2389725381145</v>
      </c>
      <c r="I124" s="395">
        <f t="shared" si="69"/>
        <v>5655.3782629087063</v>
      </c>
      <c r="J124" s="395">
        <f t="shared" si="69"/>
        <v>7397.5763305155169</v>
      </c>
      <c r="K124" s="395">
        <f t="shared" ref="K124" si="70">K125+K131</f>
        <v>8874.2542713596049</v>
      </c>
    </row>
    <row r="125" spans="1:14" s="333" customFormat="1" ht="13.9">
      <c r="A125" s="339" t="s">
        <v>1633</v>
      </c>
      <c r="B125" s="354"/>
      <c r="C125" s="354">
        <f>C20*(1-C29)</f>
        <v>2688.9530499869998</v>
      </c>
      <c r="D125" s="354">
        <f>D126+D130</f>
        <v>2785.4677000000001</v>
      </c>
      <c r="E125" s="355">
        <f>E126+E130</f>
        <v>2048.48</v>
      </c>
      <c r="F125" s="355">
        <f>F126+F130</f>
        <v>1932.3999999999999</v>
      </c>
      <c r="G125" s="355">
        <f t="shared" ref="G125:J125" si="71">G126+G130</f>
        <v>2228.37</v>
      </c>
      <c r="H125" s="355">
        <f t="shared" si="71"/>
        <v>3170.0868502828739</v>
      </c>
      <c r="I125" s="355">
        <f t="shared" si="71"/>
        <v>4185.5577954704822</v>
      </c>
      <c r="J125" s="355">
        <f t="shared" si="71"/>
        <v>5508.0465599318431</v>
      </c>
      <c r="K125" s="355">
        <f t="shared" ref="K125" si="72">K126+K130</f>
        <v>6607.307446659197</v>
      </c>
    </row>
    <row r="126" spans="1:14" s="333" customFormat="1" ht="13.9">
      <c r="A126" s="346" t="s">
        <v>1634</v>
      </c>
      <c r="B126" s="348">
        <f>B30*(1-B45)</f>
        <v>1209.231000512</v>
      </c>
      <c r="C126" s="348">
        <f>C30*(1-C45)</f>
        <v>2501.7302469599995</v>
      </c>
      <c r="D126" s="347">
        <v>2560.4128000000001</v>
      </c>
      <c r="E126" s="347">
        <v>1849.5</v>
      </c>
      <c r="F126" s="347">
        <v>1694.81</v>
      </c>
      <c r="G126" s="347">
        <v>1981.07</v>
      </c>
      <c r="H126" s="349">
        <f t="shared" ref="H126:J126" si="73">H127+H128+H129</f>
        <v>2884.9058902828738</v>
      </c>
      <c r="I126" s="349">
        <f t="shared" si="73"/>
        <v>3836.0594274704827</v>
      </c>
      <c r="J126" s="349">
        <f t="shared" si="73"/>
        <v>5088.6485183318437</v>
      </c>
      <c r="K126" s="349">
        <f t="shared" ref="K126" si="74">K127+K128+K129</f>
        <v>6104.0297967391971</v>
      </c>
      <c r="L126" s="397"/>
    </row>
    <row r="127" spans="1:14" s="333" customFormat="1" ht="13.5">
      <c r="A127" s="346" t="s">
        <v>1598</v>
      </c>
      <c r="B127" s="348"/>
      <c r="C127" s="348">
        <f>C46*(1-C59)</f>
        <v>1402.4842019999999</v>
      </c>
      <c r="D127" s="348">
        <f>D46*(1-D59)</f>
        <v>1448.9665355519996</v>
      </c>
      <c r="E127" s="348">
        <f>E46*(1-E59)</f>
        <v>1030.1246463689997</v>
      </c>
      <c r="F127" s="348">
        <f>F46*(1-F59)</f>
        <v>962.7703425679498</v>
      </c>
      <c r="G127" s="349">
        <f>G46*(1-G59)</f>
        <v>1148.1927789143697</v>
      </c>
      <c r="H127" s="349">
        <f>H46*(1-H59)</f>
        <v>1804.3029382940097</v>
      </c>
      <c r="I127" s="349">
        <f>I46*(1-I59)</f>
        <v>2576.5445958838454</v>
      </c>
      <c r="J127" s="349">
        <f>J46*(1-J59)</f>
        <v>3637.4747236007229</v>
      </c>
      <c r="K127" s="349">
        <f>K46*(1-K59)</f>
        <v>4510.4686572648961</v>
      </c>
    </row>
    <row r="128" spans="1:14" s="333" customFormat="1" ht="13.5">
      <c r="A128" s="346" t="s">
        <v>1607</v>
      </c>
      <c r="B128" s="348"/>
      <c r="C128" s="348">
        <f>C60*(1-C73)</f>
        <v>288.51103583999998</v>
      </c>
      <c r="D128" s="348">
        <f>D60*(1-D73)</f>
        <v>249.32737500000005</v>
      </c>
      <c r="E128" s="348">
        <f>E60*(1-E73)</f>
        <v>224.39463750000004</v>
      </c>
      <c r="F128" s="348">
        <f>F60*(1-F73)</f>
        <v>213.17490562500004</v>
      </c>
      <c r="G128" s="349">
        <f>G60*(1-G73)</f>
        <v>213.17490562500004</v>
      </c>
      <c r="H128" s="349">
        <f>H60*(1-H73)</f>
        <v>232.55444250000002</v>
      </c>
      <c r="I128" s="349">
        <f>I60*(1-I73)</f>
        <v>241.85662020000004</v>
      </c>
      <c r="J128" s="349">
        <f>J60*(1-J73)</f>
        <v>241.85662020000004</v>
      </c>
      <c r="K128" s="349">
        <f>K60*(1-K73)</f>
        <v>241.85662020000004</v>
      </c>
    </row>
    <row r="129" spans="1:11" s="333" customFormat="1" ht="13.5">
      <c r="A129" s="346" t="s">
        <v>1635</v>
      </c>
      <c r="B129" s="348"/>
      <c r="C129" s="348">
        <f>C74*(1-C91)</f>
        <v>810.73500911999997</v>
      </c>
      <c r="D129" s="348">
        <f>D74*(1-D91)</f>
        <v>862.11888944800023</v>
      </c>
      <c r="E129" s="348">
        <f>E74*(1-E91)</f>
        <v>594.98071613100012</v>
      </c>
      <c r="F129" s="348">
        <f t="shared" ref="F129:J129" si="75">F74*(1-F91)</f>
        <v>518.86475180705008</v>
      </c>
      <c r="G129" s="349">
        <f t="shared" si="75"/>
        <v>619.70231546063019</v>
      </c>
      <c r="H129" s="349">
        <f t="shared" si="75"/>
        <v>848.04850948886428</v>
      </c>
      <c r="I129" s="349">
        <f t="shared" si="75"/>
        <v>1017.658211386637</v>
      </c>
      <c r="J129" s="349">
        <f t="shared" si="75"/>
        <v>1209.3171745311204</v>
      </c>
      <c r="K129" s="349">
        <f t="shared" ref="K129" si="76">K74*(1-K91)</f>
        <v>1351.7045192743008</v>
      </c>
    </row>
    <row r="130" spans="1:11" s="333" customFormat="1" ht="13.9">
      <c r="A130" s="346" t="s">
        <v>1636</v>
      </c>
      <c r="B130" s="348">
        <f>B92*(1-B101)</f>
        <v>95.931986017000014</v>
      </c>
      <c r="C130" s="348">
        <f>C92*(1-C101)</f>
        <v>187.222803027</v>
      </c>
      <c r="D130" s="347">
        <v>225.0549</v>
      </c>
      <c r="E130" s="347">
        <v>198.98</v>
      </c>
      <c r="F130" s="347">
        <v>237.59</v>
      </c>
      <c r="G130" s="347">
        <v>247.3</v>
      </c>
      <c r="H130" s="349">
        <f t="shared" ref="H130:J130" si="77">H92*(1-H101)</f>
        <v>285.18095999999997</v>
      </c>
      <c r="I130" s="349">
        <f t="shared" si="77"/>
        <v>349.49836799999991</v>
      </c>
      <c r="J130" s="349">
        <f t="shared" si="77"/>
        <v>419.39804159999983</v>
      </c>
      <c r="K130" s="349">
        <f t="shared" ref="K130" si="78">K92*(1-K101)</f>
        <v>503.27764991999982</v>
      </c>
    </row>
    <row r="131" spans="1:11" s="333" customFormat="1" ht="13.9">
      <c r="A131" s="339" t="s">
        <v>1637</v>
      </c>
      <c r="B131" s="348"/>
      <c r="C131" s="354">
        <f>E5-C125</f>
        <v>161.04743827300035</v>
      </c>
      <c r="D131" s="398">
        <f>D124-D125</f>
        <v>-120.10553119000042</v>
      </c>
      <c r="E131" s="355">
        <f>E132+E133+E134</f>
        <v>802.90816999999993</v>
      </c>
      <c r="F131" s="355">
        <f>F132+F133+F134</f>
        <v>733.48562662399991</v>
      </c>
      <c r="G131" s="355">
        <f t="shared" ref="G131:J131" si="79">G132+G133+G134</f>
        <v>901.2258909880801</v>
      </c>
      <c r="H131" s="355">
        <f t="shared" si="79"/>
        <v>1012.1521222552401</v>
      </c>
      <c r="I131" s="355">
        <f t="shared" si="79"/>
        <v>1469.8204674382239</v>
      </c>
      <c r="J131" s="355">
        <f t="shared" si="79"/>
        <v>1889.5297705836738</v>
      </c>
      <c r="K131" s="355">
        <f t="shared" ref="K131" si="80">K132+K133+K134</f>
        <v>2266.9468247004083</v>
      </c>
    </row>
    <row r="132" spans="1:11" s="333" customFormat="1" ht="13.9">
      <c r="A132" s="346" t="s">
        <v>1638</v>
      </c>
      <c r="B132" s="348">
        <f>B109*(1-B112)</f>
        <v>217.75393</v>
      </c>
      <c r="C132" s="348">
        <f>C109*(1-C112)</f>
        <v>546.41156999999998</v>
      </c>
      <c r="D132" s="347">
        <v>474.18430000000001</v>
      </c>
      <c r="E132" s="349">
        <f>E109*(1-E112)</f>
        <v>713.43063519999998</v>
      </c>
      <c r="F132" s="349">
        <f t="shared" ref="F132:J132" si="81">F109*(1-F112)</f>
        <v>643.96502071999998</v>
      </c>
      <c r="G132" s="349">
        <f t="shared" si="81"/>
        <v>788.21318536128001</v>
      </c>
      <c r="H132" s="349">
        <f t="shared" si="81"/>
        <v>875.7924281792001</v>
      </c>
      <c r="I132" s="349">
        <f t="shared" si="81"/>
        <v>1261.1410965780481</v>
      </c>
      <c r="J132" s="349">
        <f t="shared" si="81"/>
        <v>1639.4834255514625</v>
      </c>
      <c r="K132" s="349">
        <f t="shared" ref="K132" si="82">K109*(1-K112)</f>
        <v>1967.380110661755</v>
      </c>
    </row>
    <row r="133" spans="1:11" s="333" customFormat="1" ht="13.9">
      <c r="A133" s="346" t="s">
        <v>1639</v>
      </c>
      <c r="B133" s="348">
        <f>B113*(1-B116)</f>
        <v>55.283149999999999</v>
      </c>
      <c r="C133" s="348">
        <f>C113*(1-C116)</f>
        <v>86.909689999999998</v>
      </c>
      <c r="D133" s="347">
        <v>61.339799999999997</v>
      </c>
      <c r="E133" s="349">
        <f>E113*(1-E116)</f>
        <v>86.519194799999951</v>
      </c>
      <c r="F133" s="349">
        <f>F113*(1-F116)</f>
        <v>86.776484903999958</v>
      </c>
      <c r="G133" s="349">
        <f t="shared" ref="G133:J133" si="83">G113*(1-G116)</f>
        <v>109.26820562680003</v>
      </c>
      <c r="H133" s="349">
        <f t="shared" si="83"/>
        <v>132.11519407604001</v>
      </c>
      <c r="I133" s="349">
        <f t="shared" si="83"/>
        <v>203.83487086017598</v>
      </c>
      <c r="J133" s="349">
        <f t="shared" si="83"/>
        <v>244.60184503221114</v>
      </c>
      <c r="K133" s="349">
        <f t="shared" ref="K133" si="84">K113*(1-K116)</f>
        <v>293.52221403865337</v>
      </c>
    </row>
    <row r="134" spans="1:11" s="333" customFormat="1" ht="13.9">
      <c r="A134" s="346" t="s">
        <v>1640</v>
      </c>
      <c r="B134" s="348">
        <f>B117+B119+B121-B117*B118-B119*B120-B121*B122</f>
        <v>3.0037040869999991</v>
      </c>
      <c r="C134" s="348">
        <f>C131-C132-C133</f>
        <v>-472.27382172699964</v>
      </c>
      <c r="D134" s="399">
        <f>D131-D132-D133</f>
        <v>-655.6296311900004</v>
      </c>
      <c r="E134" s="349">
        <f>E117+E119+E121-E117*E118-E119*E120-E121*E122</f>
        <v>2.9583400000000086</v>
      </c>
      <c r="F134" s="349">
        <f t="shared" ref="F134:J134" si="85">F117+F119+F121-F117*F118-F119*F120-F121*F122</f>
        <v>2.7441210000000051</v>
      </c>
      <c r="G134" s="349">
        <f t="shared" si="85"/>
        <v>3.7445000000000004</v>
      </c>
      <c r="H134" s="349">
        <f t="shared" si="85"/>
        <v>4.2445000000000075</v>
      </c>
      <c r="I134" s="349">
        <f t="shared" si="85"/>
        <v>4.8445000000000089</v>
      </c>
      <c r="J134" s="349">
        <f t="shared" si="85"/>
        <v>5.4445000000000086</v>
      </c>
      <c r="K134" s="349">
        <f t="shared" ref="K134" si="86">K117+K119+K121-K117*K118-K119*K120-K121*K122</f>
        <v>6.0445000000000082</v>
      </c>
    </row>
    <row r="135" spans="1:11" s="333" customFormat="1" ht="15" customHeight="1">
      <c r="A135" s="346"/>
      <c r="B135" s="347"/>
      <c r="C135" s="347"/>
      <c r="D135" s="400"/>
      <c r="E135" s="401"/>
      <c r="F135" s="401"/>
      <c r="G135" s="401"/>
      <c r="H135" s="401"/>
      <c r="I135" s="401"/>
      <c r="J135" s="401"/>
      <c r="K135" s="401"/>
    </row>
    <row r="136" spans="1:11" s="404" customFormat="1" ht="15" customHeight="1">
      <c r="A136" s="402" t="s">
        <v>1641</v>
      </c>
      <c r="B136" s="403">
        <f>C12/C$12</f>
        <v>1</v>
      </c>
      <c r="C136" s="403">
        <f>D12/D$12</f>
        <v>1</v>
      </c>
      <c r="D136" s="403">
        <f>E12/E$12</f>
        <v>1</v>
      </c>
      <c r="E136" s="403">
        <f>F12/F$12</f>
        <v>1</v>
      </c>
      <c r="F136" s="403">
        <f>G12/G$12</f>
        <v>1</v>
      </c>
      <c r="G136" s="403">
        <f>H12/H$12</f>
        <v>1</v>
      </c>
      <c r="H136" s="403">
        <f>I12/I$12</f>
        <v>1</v>
      </c>
      <c r="I136" s="403">
        <f t="shared" ref="I136:K136" si="87">J12/J$12</f>
        <v>1</v>
      </c>
      <c r="J136" s="403">
        <f t="shared" si="87"/>
        <v>1</v>
      </c>
      <c r="K136" s="403" t="e">
        <f t="shared" si="87"/>
        <v>#DIV/0!</v>
      </c>
    </row>
    <row r="137" spans="1:11" s="339" customFormat="1" ht="15" customHeight="1">
      <c r="A137" s="339" t="s">
        <v>1633</v>
      </c>
      <c r="B137" s="405"/>
      <c r="C137" s="374">
        <f>C22</f>
        <v>0.74042790387034985</v>
      </c>
      <c r="D137" s="374">
        <f>D22</f>
        <v>0.83764522830819987</v>
      </c>
      <c r="E137" s="374">
        <f>E22</f>
        <v>0.73284804294499029</v>
      </c>
      <c r="F137" s="374">
        <f>F22</f>
        <v>0.72662754448516387</v>
      </c>
      <c r="G137" s="374">
        <f>G22</f>
        <v>0.72070966548761661</v>
      </c>
      <c r="H137" s="374">
        <f>H22</f>
        <v>0.73351125789952121</v>
      </c>
      <c r="I137" s="374">
        <f>I22</f>
        <v>0.74967198350276243</v>
      </c>
      <c r="J137" s="374">
        <f>J22</f>
        <v>0.74655988255061645</v>
      </c>
      <c r="K137" s="374">
        <f>K22</f>
        <v>0.74210017692587704</v>
      </c>
    </row>
    <row r="138" spans="1:11" s="333" customFormat="1" ht="15" customHeight="1">
      <c r="A138" s="346" t="s">
        <v>1634</v>
      </c>
      <c r="B138" s="374">
        <f>B30/B$12</f>
        <v>0.70304073222962249</v>
      </c>
      <c r="C138" s="374">
        <f>C30/C$12</f>
        <v>0.68153198919869629</v>
      </c>
      <c r="D138" s="374">
        <f>D30/D$12</f>
        <v>0.74918742724568144</v>
      </c>
      <c r="E138" s="374">
        <f>E30/E$12</f>
        <v>0.64259716905896613</v>
      </c>
      <c r="F138" s="374">
        <f>F30/F$12</f>
        <v>0.61469735811672843</v>
      </c>
      <c r="G138" s="374">
        <f>G30/G$12</f>
        <v>0.61405723147389113</v>
      </c>
      <c r="H138" s="374">
        <f>H30/H$12</f>
        <v>0.66047570068250638</v>
      </c>
      <c r="I138" s="374">
        <f>I30/I$12</f>
        <v>0.68093674384414771</v>
      </c>
      <c r="J138" s="374">
        <f>J30/J$12</f>
        <v>0.67680839513898161</v>
      </c>
      <c r="K138" s="374">
        <f>K30/K$12</f>
        <v>0.67093864997410124</v>
      </c>
    </row>
    <row r="139" spans="1:11" s="333" customFormat="1" ht="15" customHeight="1">
      <c r="A139" s="346" t="s">
        <v>1598</v>
      </c>
      <c r="B139" s="380"/>
      <c r="C139" s="380">
        <f>C46/C12</f>
        <v>0.37988744733914209</v>
      </c>
      <c r="D139" s="380">
        <f>D46/D12</f>
        <v>0.41834176568674764</v>
      </c>
      <c r="E139" s="380">
        <f>E46/E12</f>
        <v>0.34977557974978668</v>
      </c>
      <c r="F139" s="380">
        <f>F46/F12</f>
        <v>0.33858369425791773</v>
      </c>
      <c r="G139" s="380">
        <f>G46/G12</f>
        <v>0.34597611679738521</v>
      </c>
      <c r="H139" s="380">
        <f>H46/H12</f>
        <v>0.43436130608931278</v>
      </c>
      <c r="I139" s="380">
        <f>I46/I12</f>
        <v>0.47691724248404194</v>
      </c>
      <c r="J139" s="380">
        <f>J46/J12</f>
        <v>0.48396844472699724</v>
      </c>
      <c r="K139" s="380">
        <f>K46/K12</f>
        <v>0.49375195857837034</v>
      </c>
    </row>
    <row r="140" spans="1:11" s="333" customFormat="1" ht="15" customHeight="1">
      <c r="A140" s="346" t="s">
        <v>1607</v>
      </c>
      <c r="B140" s="380"/>
      <c r="C140" s="380">
        <f>C60/C12</f>
        <v>9.1172987361394092E-2</v>
      </c>
      <c r="D140" s="380">
        <f>D60/D12</f>
        <v>8.376452283081999E-2</v>
      </c>
      <c r="E140" s="380">
        <f>E60/E12</f>
        <v>9.0045672990994488E-2</v>
      </c>
      <c r="F140" s="380">
        <f>F60/F12</f>
        <v>9.2006921197519381E-2</v>
      </c>
      <c r="G140" s="380">
        <f>G60/G12</f>
        <v>8.1752819309291097E-2</v>
      </c>
      <c r="H140" s="380">
        <f>H60/H12</f>
        <v>5.5984307976952412E-2</v>
      </c>
      <c r="I140" s="380">
        <f>I60/I12</f>
        <v>4.3906636855473205E-2</v>
      </c>
      <c r="J140" s="380">
        <f>J60/J12</f>
        <v>3.7129828929120492E-2</v>
      </c>
      <c r="K140" s="380">
        <f>K60/K12</f>
        <v>3.1567012882720999E-2</v>
      </c>
    </row>
    <row r="141" spans="1:11" s="333" customFormat="1" ht="15" customHeight="1">
      <c r="A141" s="346" t="s">
        <v>1635</v>
      </c>
      <c r="B141" s="380"/>
      <c r="C141" s="380">
        <f>C74/C12</f>
        <v>0.21047155449816016</v>
      </c>
      <c r="D141" s="380">
        <f>D74/D12</f>
        <v>0.24708113872811377</v>
      </c>
      <c r="E141" s="380">
        <f>E74/E12</f>
        <v>0.20277591631818492</v>
      </c>
      <c r="F141" s="380">
        <f>F74/F12</f>
        <v>0.18410674266129134</v>
      </c>
      <c r="G141" s="380">
        <f>G74/G12</f>
        <v>0.18632829536721479</v>
      </c>
      <c r="H141" s="380">
        <f>H74/H12</f>
        <v>0.17013008661624121</v>
      </c>
      <c r="I141" s="380">
        <f>I74/I12</f>
        <v>0.16011286450463263</v>
      </c>
      <c r="J141" s="380">
        <f>J74/J12</f>
        <v>0.15571012148286401</v>
      </c>
      <c r="K141" s="380">
        <f>K74/K12</f>
        <v>0.14561967851300991</v>
      </c>
    </row>
    <row r="142" spans="1:11" s="333" customFormat="1" ht="15" customHeight="1">
      <c r="A142" s="346" t="s">
        <v>1636</v>
      </c>
      <c r="B142" s="374">
        <f>B92/B$12</f>
        <v>8.6402854749866323E-2</v>
      </c>
      <c r="C142" s="374">
        <f t="shared" ref="C142:J142" si="88">C92/C$12</f>
        <v>7.8242905479587843E-2</v>
      </c>
      <c r="D142" s="374">
        <f t="shared" si="88"/>
        <v>8.8457801062518451E-2</v>
      </c>
      <c r="E142" s="374">
        <f t="shared" si="88"/>
        <v>9.0250873886024138E-2</v>
      </c>
      <c r="F142" s="374">
        <f t="shared" si="88"/>
        <v>0.11193018636843541</v>
      </c>
      <c r="G142" s="374">
        <f t="shared" si="88"/>
        <v>0.10665243401372548</v>
      </c>
      <c r="H142" s="374">
        <f t="shared" si="88"/>
        <v>7.3035557217014796E-2</v>
      </c>
      <c r="I142" s="374">
        <f t="shared" si="88"/>
        <v>6.8735239658614791E-2</v>
      </c>
      <c r="J142" s="374">
        <f t="shared" si="88"/>
        <v>6.9751487411634783E-2</v>
      </c>
      <c r="K142" s="374">
        <f t="shared" ref="K142" si="89">K92/K$12</f>
        <v>7.1161526951775772E-2</v>
      </c>
    </row>
    <row r="143" spans="1:11" s="339" customFormat="1" ht="15" customHeight="1">
      <c r="A143" s="339" t="s">
        <v>1637</v>
      </c>
      <c r="B143" s="406"/>
      <c r="C143" s="374">
        <f>1-C137</f>
        <v>0.25957209612965015</v>
      </c>
      <c r="D143" s="374">
        <f t="shared" ref="D143:J143" si="90">1-D137</f>
        <v>0.16235477169180013</v>
      </c>
      <c r="E143" s="374">
        <f t="shared" si="90"/>
        <v>0.26715195705500971</v>
      </c>
      <c r="F143" s="374">
        <f t="shared" si="90"/>
        <v>0.27337245551483613</v>
      </c>
      <c r="G143" s="374">
        <f t="shared" si="90"/>
        <v>0.27929033451238339</v>
      </c>
      <c r="H143" s="374">
        <f t="shared" si="90"/>
        <v>0.26648874210047879</v>
      </c>
      <c r="I143" s="374">
        <f t="shared" si="90"/>
        <v>0.25032801649723757</v>
      </c>
      <c r="J143" s="374">
        <f t="shared" si="90"/>
        <v>0.25344011744938355</v>
      </c>
      <c r="K143" s="374">
        <f t="shared" ref="K143" si="91">1-K137</f>
        <v>0.25789982307412296</v>
      </c>
    </row>
    <row r="144" spans="1:11" s="333" customFormat="1" ht="15" customHeight="1">
      <c r="A144" s="346" t="s">
        <v>1638</v>
      </c>
      <c r="B144" s="374">
        <f t="shared" ref="B144:J144" si="92">B109/B$12</f>
        <v>0.13425946686093765</v>
      </c>
      <c r="C144" s="374">
        <f t="shared" si="92"/>
        <v>0.18561460838334751</v>
      </c>
      <c r="D144" s="374">
        <f t="shared" si="92"/>
        <v>0.11880593866033493</v>
      </c>
      <c r="E144" s="374">
        <f t="shared" si="92"/>
        <v>0.20718162053271677</v>
      </c>
      <c r="F144" s="374">
        <f t="shared" si="92"/>
        <v>0.21837923791732203</v>
      </c>
      <c r="G144" s="374">
        <f t="shared" si="92"/>
        <v>0.23090883374560592</v>
      </c>
      <c r="H144" s="374">
        <f t="shared" si="92"/>
        <v>0.21083507369706475</v>
      </c>
      <c r="I144" s="374">
        <f t="shared" si="92"/>
        <v>0.19842115089160114</v>
      </c>
      <c r="J144" s="374">
        <f t="shared" si="92"/>
        <v>0.20135479962472164</v>
      </c>
      <c r="K144" s="374">
        <f t="shared" ref="K144" si="93">K109/K$12</f>
        <v>0.20542522506801711</v>
      </c>
    </row>
    <row r="145" spans="1:12" s="333" customFormat="1" ht="15" customHeight="1">
      <c r="A145" s="346" t="s">
        <v>1639</v>
      </c>
      <c r="B145" s="374">
        <f t="shared" ref="B145:J145" si="94">B113/B$12</f>
        <v>5.7022516729497555E-2</v>
      </c>
      <c r="C145" s="374">
        <f t="shared" si="94"/>
        <v>3.7672897687275303E-2</v>
      </c>
      <c r="D145" s="374">
        <f t="shared" si="94"/>
        <v>2.3511588125959035E-2</v>
      </c>
      <c r="E145" s="374">
        <f t="shared" si="94"/>
        <v>3.7441682531580804E-2</v>
      </c>
      <c r="F145" s="374">
        <f t="shared" si="94"/>
        <v>4.039047738686749E-2</v>
      </c>
      <c r="G145" s="374">
        <f t="shared" si="94"/>
        <v>4.1904481414770392E-2</v>
      </c>
      <c r="H145" s="374">
        <f t="shared" si="94"/>
        <v>4.5435613970496773E-2</v>
      </c>
      <c r="I145" s="374">
        <f t="shared" si="94"/>
        <v>4.2760375004996111E-2</v>
      </c>
      <c r="J145" s="374">
        <f t="shared" si="94"/>
        <v>4.3392585429124199E-2</v>
      </c>
      <c r="K145" s="374">
        <f t="shared" ref="K145" si="95">K113/K$12</f>
        <v>4.4269774769086653E-2</v>
      </c>
    </row>
    <row r="146" spans="1:12" s="333" customFormat="1" ht="15" customHeight="1">
      <c r="A146" s="346" t="s">
        <v>1640</v>
      </c>
      <c r="B146" s="374">
        <f t="shared" ref="B146:J146" si="96">1-B138-B142-B144-B145</f>
        <v>1.9274429430075998E-2</v>
      </c>
      <c r="C146" s="374">
        <f t="shared" si="96"/>
        <v>1.6937599251093061E-2</v>
      </c>
      <c r="D146" s="374">
        <f t="shared" si="96"/>
        <v>2.0037244905506166E-2</v>
      </c>
      <c r="E146" s="374">
        <f t="shared" si="96"/>
        <v>2.252865399071214E-2</v>
      </c>
      <c r="F146" s="374">
        <f t="shared" si="96"/>
        <v>1.4602740210646614E-2</v>
      </c>
      <c r="G146" s="374">
        <f t="shared" si="96"/>
        <v>6.4770193520070768E-3</v>
      </c>
      <c r="H146" s="374">
        <f t="shared" si="96"/>
        <v>1.0218054432917269E-2</v>
      </c>
      <c r="I146" s="374">
        <f t="shared" si="96"/>
        <v>9.1464906006402599E-3</v>
      </c>
      <c r="J146" s="374">
        <f t="shared" si="96"/>
        <v>8.6927323955377708E-3</v>
      </c>
      <c r="K146" s="374">
        <f t="shared" ref="K146" si="97">1-K138-K142-K144-K145</f>
        <v>8.2048232370191959E-3</v>
      </c>
    </row>
    <row r="147" spans="1:12" s="333" customFormat="1" ht="15" customHeight="1">
      <c r="A147" s="407"/>
      <c r="B147" s="374"/>
      <c r="C147" s="374"/>
      <c r="D147" s="374"/>
      <c r="E147" s="375"/>
      <c r="F147" s="375"/>
      <c r="G147" s="375"/>
      <c r="H147" s="375"/>
      <c r="I147" s="375"/>
      <c r="J147" s="375"/>
      <c r="K147" s="375"/>
    </row>
    <row r="148" spans="1:12" s="333" customFormat="1" ht="15" customHeight="1">
      <c r="B148" s="408"/>
      <c r="C148" s="408"/>
      <c r="D148" s="409"/>
      <c r="E148" s="410"/>
      <c r="F148" s="410"/>
      <c r="G148" s="410"/>
      <c r="H148" s="410"/>
      <c r="I148" s="410"/>
      <c r="J148" s="410"/>
      <c r="K148" s="410"/>
    </row>
    <row r="149" spans="1:12" s="404" customFormat="1" ht="15" customHeight="1">
      <c r="A149" s="396" t="s">
        <v>1642</v>
      </c>
      <c r="B149" s="411">
        <f>[2]历史数据及预测表!E136</f>
        <v>926.18117071000029</v>
      </c>
      <c r="C149" s="411">
        <f>[2]历史数据及预测表!F136</f>
        <v>789.24356003999958</v>
      </c>
      <c r="D149" s="411">
        <f>[2]历史数据及预测表!G136</f>
        <v>537.25438806999966</v>
      </c>
      <c r="E149" s="411">
        <f>[2]历史数据及预测表!H136</f>
        <v>366.20209673999989</v>
      </c>
      <c r="F149" s="411">
        <f>[2]历史数据及预测表!I136</f>
        <v>404.4187784225457</v>
      </c>
      <c r="G149" s="411">
        <f>[2]历史数据及预测表!J136</f>
        <v>1567.6789232514591</v>
      </c>
      <c r="H149" s="411">
        <f>[2]历史数据及预测表!K136</f>
        <v>1797.7431795212178</v>
      </c>
      <c r="I149" s="411">
        <f>[2]历史数据及预测表!L136</f>
        <v>1801.273545365721</v>
      </c>
      <c r="J149" s="411">
        <f>[2]历史数据及预测表!M136</f>
        <v>2831.2380728397038</v>
      </c>
      <c r="K149" s="411"/>
      <c r="L149" s="412">
        <f>(G149/C149)^(1/4)-1</f>
        <v>0.18716618607944402</v>
      </c>
    </row>
    <row r="150" spans="1:12" s="333" customFormat="1" ht="15" customHeight="1">
      <c r="A150" s="333" t="s">
        <v>1643</v>
      </c>
      <c r="B150" s="408">
        <v>121.3104</v>
      </c>
      <c r="C150" s="408">
        <v>132.315</v>
      </c>
      <c r="D150" s="391">
        <v>115</v>
      </c>
      <c r="E150" s="392">
        <v>43.17</v>
      </c>
      <c r="F150" s="392">
        <v>36.86</v>
      </c>
      <c r="G150" s="392">
        <v>40</v>
      </c>
      <c r="H150" s="392">
        <v>40</v>
      </c>
      <c r="I150" s="392">
        <v>40</v>
      </c>
      <c r="J150" s="392">
        <v>40</v>
      </c>
      <c r="K150" s="392"/>
    </row>
    <row r="151" spans="1:12" s="333" customFormat="1" ht="15" customHeight="1">
      <c r="A151" s="333" t="s">
        <v>1644</v>
      </c>
      <c r="B151" s="408"/>
      <c r="C151" s="408"/>
      <c r="D151" s="391"/>
      <c r="E151" s="392"/>
      <c r="F151" s="392"/>
      <c r="G151" s="392"/>
      <c r="H151" s="392"/>
      <c r="I151" s="392"/>
      <c r="J151" s="392"/>
      <c r="K151" s="392"/>
    </row>
    <row r="152" spans="1:12" s="333" customFormat="1" ht="15" customHeight="1">
      <c r="A152" s="333" t="s">
        <v>1645</v>
      </c>
      <c r="B152" s="413">
        <f>100/12*7</f>
        <v>58.333333333333336</v>
      </c>
      <c r="C152" s="408">
        <v>105.4872</v>
      </c>
      <c r="D152" s="391">
        <v>100</v>
      </c>
      <c r="E152" s="392">
        <v>50</v>
      </c>
      <c r="F152" s="392">
        <v>0</v>
      </c>
      <c r="G152" s="392">
        <v>0</v>
      </c>
      <c r="H152" s="392">
        <v>0</v>
      </c>
      <c r="I152" s="392"/>
      <c r="J152" s="392">
        <v>0</v>
      </c>
      <c r="K152" s="392"/>
    </row>
    <row r="153" spans="1:12" s="333" customFormat="1" ht="15" customHeight="1">
      <c r="A153" s="339" t="s">
        <v>1646</v>
      </c>
      <c r="B153" s="354">
        <f t="shared" ref="B153:G153" si="98">B149+B150</f>
        <v>1047.4915707100004</v>
      </c>
      <c r="C153" s="354">
        <f t="shared" si="98"/>
        <v>921.55856003999952</v>
      </c>
      <c r="D153" s="354">
        <f>D149+D150</f>
        <v>652.25438806999966</v>
      </c>
      <c r="E153" s="355">
        <f t="shared" si="98"/>
        <v>409.3720967399999</v>
      </c>
      <c r="F153" s="355">
        <f t="shared" si="98"/>
        <v>441.27877842254571</v>
      </c>
      <c r="G153" s="355">
        <f t="shared" si="98"/>
        <v>1607.6789232514591</v>
      </c>
      <c r="H153" s="355">
        <f>H149+H150</f>
        <v>1837.7431795212178</v>
      </c>
      <c r="I153" s="355">
        <f t="shared" ref="I153" si="99">I149+I150</f>
        <v>1841.273545365721</v>
      </c>
      <c r="J153" s="355">
        <f>J149+J150</f>
        <v>2871.2380728397038</v>
      </c>
      <c r="K153" s="355"/>
    </row>
    <row r="154" spans="1:12" s="333" customFormat="1" ht="15" customHeight="1">
      <c r="A154" s="339" t="s">
        <v>1647</v>
      </c>
      <c r="B154" s="354">
        <f t="shared" ref="B154:J154" si="100">B149+B150+B152</f>
        <v>1105.8249040433336</v>
      </c>
      <c r="C154" s="354">
        <f t="shared" si="100"/>
        <v>1027.0457600399995</v>
      </c>
      <c r="D154" s="354">
        <f t="shared" si="100"/>
        <v>752.25438806999966</v>
      </c>
      <c r="E154" s="355">
        <f t="shared" si="100"/>
        <v>459.3720967399999</v>
      </c>
      <c r="F154" s="355">
        <f t="shared" si="100"/>
        <v>441.27877842254571</v>
      </c>
      <c r="G154" s="355">
        <f t="shared" si="100"/>
        <v>1607.6789232514591</v>
      </c>
      <c r="H154" s="355">
        <f t="shared" si="100"/>
        <v>1837.7431795212178</v>
      </c>
      <c r="I154" s="355">
        <f t="shared" si="100"/>
        <v>1841.273545365721</v>
      </c>
      <c r="J154" s="355">
        <f t="shared" si="100"/>
        <v>2871.2380728397038</v>
      </c>
      <c r="K154" s="355"/>
    </row>
    <row r="155" spans="1:12" s="333" customFormat="1" ht="15" customHeight="1">
      <c r="A155" s="339" t="s">
        <v>1648</v>
      </c>
      <c r="B155" s="408"/>
      <c r="C155" s="408"/>
      <c r="D155" s="409"/>
      <c r="E155" s="410"/>
      <c r="F155" s="410"/>
      <c r="G155" s="410"/>
      <c r="H155" s="410"/>
      <c r="I155" s="410"/>
      <c r="J155" s="410"/>
      <c r="K155" s="410"/>
    </row>
    <row r="156" spans="1:12" s="333" customFormat="1" ht="13.5">
      <c r="A156" s="333" t="s">
        <v>1649</v>
      </c>
      <c r="B156" s="414">
        <f>B154/C4</f>
        <v>0.20967245091346251</v>
      </c>
      <c r="C156" s="414">
        <f>C154/D4</f>
        <v>0.18977658954754598</v>
      </c>
      <c r="D156" s="414">
        <f>D154/E4</f>
        <v>0.16602664557349556</v>
      </c>
      <c r="E156" s="414">
        <f>E154/F4</f>
        <v>0.10904649728657774</v>
      </c>
      <c r="F156" s="414">
        <f>F154/G4</f>
        <v>9.3077003000885894E-2</v>
      </c>
      <c r="G156" s="414">
        <f>G154/H4</f>
        <v>0.19351337906039984</v>
      </c>
      <c r="H156" s="414">
        <f>H154/I4</f>
        <v>0.17348437112066953</v>
      </c>
      <c r="I156" s="414">
        <f>I154/J4</f>
        <v>0.14698960599547437</v>
      </c>
      <c r="J156" s="414" t="e">
        <f>J154/L4</f>
        <v>#DIV/0!</v>
      </c>
      <c r="K156" s="414"/>
    </row>
    <row r="157" spans="1:12" s="333" customFormat="1" ht="13.5">
      <c r="A157" s="333" t="s">
        <v>1650</v>
      </c>
      <c r="B157" s="415">
        <f>B18-B156</f>
        <v>6.1590112322250784E-2</v>
      </c>
      <c r="C157" s="415">
        <f>C18-C156</f>
        <v>0.17978915319206698</v>
      </c>
      <c r="D157" s="415">
        <f>D18-D156</f>
        <v>0.21955741746892221</v>
      </c>
      <c r="E157" s="415">
        <f>E18-E156</f>
        <v>0.26194285358630581</v>
      </c>
      <c r="F157" s="415">
        <f>F18-F156</f>
        <v>0.27421497974792536</v>
      </c>
      <c r="G157" s="415">
        <f>G18-G156</f>
        <v>0.14735117975519113</v>
      </c>
      <c r="H157" s="415">
        <f>H18-H156</f>
        <v>0.32310715352460406</v>
      </c>
      <c r="I157" s="415">
        <f>I18-I156</f>
        <v>0.31913833161666261</v>
      </c>
      <c r="J157" s="415" t="e">
        <f>J18-J156</f>
        <v>#DIV/0!</v>
      </c>
      <c r="K157" s="415"/>
    </row>
    <row r="158" spans="1:12" s="333" customFormat="1" ht="13.5">
      <c r="B158" s="409"/>
      <c r="C158" s="409"/>
      <c r="D158" s="409"/>
      <c r="E158" s="410"/>
      <c r="F158" s="410"/>
      <c r="G158" s="410"/>
      <c r="H158" s="410"/>
      <c r="I158" s="410"/>
      <c r="J158" s="410"/>
      <c r="K158" s="410"/>
    </row>
    <row r="159" spans="1:12" s="404" customFormat="1" ht="13.9">
      <c r="A159" s="396" t="s">
        <v>1651</v>
      </c>
      <c r="B159" s="416"/>
      <c r="C159" s="416"/>
    </row>
    <row r="160" spans="1:12" s="333" customFormat="1" ht="13.9">
      <c r="A160" s="339" t="s">
        <v>1633</v>
      </c>
      <c r="B160" s="417">
        <v>117.87661900000001</v>
      </c>
      <c r="C160" s="417">
        <v>607.77745900000002</v>
      </c>
      <c r="D160" s="417">
        <v>838.11</v>
      </c>
      <c r="E160" s="417">
        <f>450.95133695</f>
        <v>450.95133694999998</v>
      </c>
      <c r="F160" s="410"/>
      <c r="G160" s="410"/>
      <c r="H160" s="410"/>
      <c r="I160" s="410"/>
      <c r="J160" s="410"/>
      <c r="K160" s="410"/>
    </row>
    <row r="161" spans="1:11" s="333" customFormat="1" ht="13.5">
      <c r="A161" s="418" t="s">
        <v>1652</v>
      </c>
      <c r="B161" s="419">
        <f>B160/B153</f>
        <v>0.1125322840737535</v>
      </c>
      <c r="C161" s="419">
        <f>C160/C153</f>
        <v>0.65951040482291212</v>
      </c>
      <c r="D161" s="419">
        <f>D160/D153</f>
        <v>1.2849434443514305</v>
      </c>
      <c r="E161" s="419">
        <f>E160/E153</f>
        <v>1.101568329989056</v>
      </c>
      <c r="F161" s="410"/>
      <c r="G161" s="410"/>
      <c r="H161" s="410"/>
      <c r="I161" s="410"/>
      <c r="J161" s="410"/>
      <c r="K161" s="410"/>
    </row>
    <row r="162" spans="1:11" s="333" customFormat="1" ht="13.9">
      <c r="A162" s="339" t="s">
        <v>1637</v>
      </c>
      <c r="B162" s="417">
        <f>B153-B160</f>
        <v>929.61495171000035</v>
      </c>
      <c r="C162" s="417">
        <f>C153-C160</f>
        <v>313.7811010399995</v>
      </c>
      <c r="D162" s="417">
        <f>D153-D160</f>
        <v>-185.85561193000035</v>
      </c>
      <c r="E162" s="417">
        <f>E153-E160</f>
        <v>-41.57924021000008</v>
      </c>
      <c r="F162" s="410"/>
      <c r="G162" s="410"/>
      <c r="H162" s="410"/>
      <c r="I162" s="410"/>
      <c r="J162" s="410"/>
      <c r="K162" s="410"/>
    </row>
    <row r="163" spans="1:11" s="333" customFormat="1" ht="13.5">
      <c r="A163" s="418" t="s">
        <v>1652</v>
      </c>
      <c r="B163" s="419">
        <f>B162/B153</f>
        <v>0.88746771592624651</v>
      </c>
      <c r="C163" s="419">
        <f>C162/C153</f>
        <v>0.34048959517708793</v>
      </c>
      <c r="D163" s="419">
        <f>D162/D153</f>
        <v>-0.2849434443514306</v>
      </c>
      <c r="E163" s="419">
        <f>E162/E153</f>
        <v>-0.10156832998905603</v>
      </c>
      <c r="F163" s="410"/>
      <c r="G163" s="410"/>
      <c r="H163" s="410"/>
      <c r="I163" s="410"/>
      <c r="J163" s="410"/>
      <c r="K163" s="410"/>
    </row>
    <row r="164" spans="1:11" s="333" customFormat="1" ht="13.9">
      <c r="A164" s="339"/>
      <c r="B164" s="417"/>
      <c r="C164" s="417"/>
      <c r="D164" s="409"/>
      <c r="E164" s="410"/>
      <c r="F164" s="410"/>
      <c r="G164" s="410"/>
      <c r="H164" s="410"/>
      <c r="I164" s="410"/>
      <c r="J164" s="410"/>
      <c r="K164" s="410"/>
    </row>
    <row r="165" spans="1:11" s="404" customFormat="1" ht="15" customHeight="1">
      <c r="A165" s="396" t="s">
        <v>1653</v>
      </c>
      <c r="B165" s="396"/>
      <c r="C165" s="396"/>
      <c r="D165" s="412"/>
      <c r="E165" s="396"/>
      <c r="F165" s="396"/>
      <c r="G165" s="396"/>
      <c r="H165" s="396"/>
      <c r="I165" s="396"/>
      <c r="J165" s="396"/>
      <c r="K165" s="396"/>
    </row>
    <row r="166" spans="1:11" s="339" customFormat="1" ht="13.9">
      <c r="A166" s="339" t="s">
        <v>1633</v>
      </c>
      <c r="B166" s="420">
        <f t="shared" ref="B166:J166" si="101">B168+B169</f>
        <v>243.939355980588</v>
      </c>
      <c r="C166" s="420">
        <f>C168+C169</f>
        <v>492.2247641763376</v>
      </c>
      <c r="D166" s="420">
        <f t="shared" si="101"/>
        <v>652.45412619444505</v>
      </c>
      <c r="E166" s="342">
        <f>E168+E169</f>
        <v>352.2239935237431</v>
      </c>
      <c r="F166" s="342">
        <f t="shared" si="101"/>
        <v>289.23520484180301</v>
      </c>
      <c r="G166" s="342">
        <f t="shared" si="101"/>
        <v>685.03722740628484</v>
      </c>
      <c r="H166" s="342">
        <f t="shared" si="101"/>
        <v>954.82839831601962</v>
      </c>
      <c r="I166" s="342">
        <f t="shared" si="101"/>
        <v>1221.4205341339461</v>
      </c>
      <c r="J166" s="342" t="e">
        <f t="shared" si="101"/>
        <v>#DIV/0!</v>
      </c>
      <c r="K166" s="342"/>
    </row>
    <row r="167" spans="1:11" s="339" customFormat="1" ht="13.9">
      <c r="B167" s="420"/>
      <c r="C167" s="420"/>
      <c r="D167" s="421">
        <f>D166/C166-1</f>
        <v>0.32552072483843153</v>
      </c>
      <c r="E167" s="422">
        <f t="shared" ref="E167:J167" si="102">E166/D166-1</f>
        <v>-0.46015515975329591</v>
      </c>
      <c r="F167" s="422">
        <f t="shared" si="102"/>
        <v>-0.17883162373972139</v>
      </c>
      <c r="G167" s="422">
        <f t="shared" si="102"/>
        <v>1.3684434534204279</v>
      </c>
      <c r="H167" s="422">
        <f t="shared" si="102"/>
        <v>0.39383432040800015</v>
      </c>
      <c r="I167" s="422">
        <f t="shared" si="102"/>
        <v>0.27920423846641018</v>
      </c>
      <c r="J167" s="422" t="e">
        <f t="shared" si="102"/>
        <v>#DIV/0!</v>
      </c>
      <c r="K167" s="422"/>
    </row>
    <row r="168" spans="1:11" s="333" customFormat="1" ht="13.5">
      <c r="A168" s="333" t="s">
        <v>1634</v>
      </c>
      <c r="B168" s="423">
        <f>B30*(B45-B$157)</f>
        <v>222.27439543466107</v>
      </c>
      <c r="C168" s="423">
        <f>C30*(C45-C$157)</f>
        <v>446.46843744241517</v>
      </c>
      <c r="D168" s="423">
        <f>D30*(D45-D$157)</f>
        <v>603.89407024426066</v>
      </c>
      <c r="E168" s="424">
        <f>E30*(E45-E$157)</f>
        <v>299.39766521225528</v>
      </c>
      <c r="F168" s="424">
        <f>F30*(F45-F$157)</f>
        <v>184.60305209254477</v>
      </c>
      <c r="G168" s="424">
        <f>G30*(G45-G$157)</f>
        <v>501.2038779376997</v>
      </c>
      <c r="H168" s="424">
        <f>H30*(H45-H$157)</f>
        <v>829.29243964583657</v>
      </c>
      <c r="I168" s="424">
        <f>I30*(I45-I$157)</f>
        <v>1075.168814772001</v>
      </c>
      <c r="J168" s="424" t="e">
        <f>J30*(J45-J$157)</f>
        <v>#DIV/0!</v>
      </c>
      <c r="K168" s="424"/>
    </row>
    <row r="169" spans="1:11" s="333" customFormat="1" ht="13.5">
      <c r="A169" s="333" t="s">
        <v>1654</v>
      </c>
      <c r="B169" s="423">
        <f t="shared" ref="B169:J169" si="103">B92*(B101-B$157)-B152</f>
        <v>21.664960545926924</v>
      </c>
      <c r="C169" s="423">
        <f t="shared" si="103"/>
        <v>45.756326733922435</v>
      </c>
      <c r="D169" s="423">
        <f t="shared" si="103"/>
        <v>48.560055950184363</v>
      </c>
      <c r="E169" s="424">
        <f t="shared" si="103"/>
        <v>52.826328311487842</v>
      </c>
      <c r="F169" s="424">
        <f t="shared" si="103"/>
        <v>104.63215274925821</v>
      </c>
      <c r="G169" s="424">
        <f t="shared" si="103"/>
        <v>183.83334946858514</v>
      </c>
      <c r="H169" s="424">
        <f t="shared" si="103"/>
        <v>125.53595867018304</v>
      </c>
      <c r="I169" s="424">
        <f t="shared" si="103"/>
        <v>146.25171936194502</v>
      </c>
      <c r="J169" s="424" t="e">
        <f t="shared" si="103"/>
        <v>#DIV/0!</v>
      </c>
      <c r="K169" s="424"/>
    </row>
    <row r="170" spans="1:11" s="339" customFormat="1" ht="13.9">
      <c r="A170" s="339" t="s">
        <v>1655</v>
      </c>
      <c r="B170" s="420">
        <f t="shared" ref="B170:J170" si="104">B172+B173</f>
        <v>116.44418204393949</v>
      </c>
      <c r="C170" s="420">
        <f t="shared" si="104"/>
        <v>332.58487804480478</v>
      </c>
      <c r="D170" s="420">
        <f t="shared" si="104"/>
        <v>65.575586658733243</v>
      </c>
      <c r="E170" s="342">
        <f t="shared" si="104"/>
        <v>18.090569370546195</v>
      </c>
      <c r="F170" s="342">
        <f t="shared" si="104"/>
        <v>60.43674495278654</v>
      </c>
      <c r="G170" s="342">
        <f t="shared" si="104"/>
        <v>205.3431196047583</v>
      </c>
      <c r="H170" s="342">
        <f t="shared" si="104"/>
        <v>433.23572209633801</v>
      </c>
      <c r="I170" s="342">
        <f t="shared" si="104"/>
        <v>274.53586269678186</v>
      </c>
      <c r="J170" s="342" t="e">
        <f t="shared" si="104"/>
        <v>#DIV/0!</v>
      </c>
      <c r="K170" s="342"/>
    </row>
    <row r="171" spans="1:11" s="339" customFormat="1" ht="13.9">
      <c r="B171" s="420"/>
      <c r="C171" s="420"/>
      <c r="D171" s="421">
        <f>D170/C170-1</f>
        <v>-0.80283052240908226</v>
      </c>
      <c r="E171" s="422">
        <f t="shared" ref="E171:J171" si="105">E170/D170-1</f>
        <v>-0.72412645784333329</v>
      </c>
      <c r="F171" s="422">
        <f t="shared" si="105"/>
        <v>2.3407873303968771</v>
      </c>
      <c r="G171" s="422">
        <f t="shared" si="105"/>
        <v>2.3976535262640843</v>
      </c>
      <c r="H171" s="422">
        <f t="shared" si="105"/>
        <v>1.1098136763979447</v>
      </c>
      <c r="I171" s="422">
        <f t="shared" si="105"/>
        <v>-0.3663129592168447</v>
      </c>
      <c r="J171" s="422" t="e">
        <f t="shared" si="105"/>
        <v>#DIV/0!</v>
      </c>
      <c r="K171" s="422"/>
    </row>
    <row r="172" spans="1:11" s="333" customFormat="1" ht="13.5">
      <c r="A172" s="333" t="s">
        <v>1638</v>
      </c>
      <c r="B172" s="423">
        <f t="shared" ref="B172:J172" si="106">B109*(B112-B$157)</f>
        <v>55.620203898093024</v>
      </c>
      <c r="C172" s="423">
        <f t="shared" si="106"/>
        <v>256.52762128440719</v>
      </c>
      <c r="D172" s="423">
        <f t="shared" si="106"/>
        <v>27.610623749346846</v>
      </c>
      <c r="E172" s="424">
        <f t="shared" si="106"/>
        <v>-20.598294700235211</v>
      </c>
      <c r="F172" s="424">
        <f t="shared" si="106"/>
        <v>23.720930144132655</v>
      </c>
      <c r="G172" s="424">
        <f t="shared" si="106"/>
        <v>145.21604047163427</v>
      </c>
      <c r="H172" s="424">
        <f t="shared" si="106"/>
        <v>309.84283108443492</v>
      </c>
      <c r="I172" s="424">
        <f t="shared" si="106"/>
        <v>169.96328856015438</v>
      </c>
      <c r="J172" s="424" t="e">
        <f t="shared" si="106"/>
        <v>#DIV/0!</v>
      </c>
      <c r="K172" s="424"/>
    </row>
    <row r="173" spans="1:11" s="333" customFormat="1" ht="13.5">
      <c r="A173" s="333" t="s">
        <v>1639</v>
      </c>
      <c r="B173" s="423">
        <f t="shared" ref="B173:J173" si="107">B113*(B116-B$157)</f>
        <v>60.823978145846475</v>
      </c>
      <c r="C173" s="423">
        <f t="shared" si="107"/>
        <v>76.057256760397607</v>
      </c>
      <c r="D173" s="423">
        <f t="shared" si="107"/>
        <v>37.964962909386401</v>
      </c>
      <c r="E173" s="424">
        <f t="shared" si="107"/>
        <v>38.688864070781406</v>
      </c>
      <c r="F173" s="424">
        <f t="shared" si="107"/>
        <v>36.715814808653882</v>
      </c>
      <c r="G173" s="424">
        <f t="shared" si="107"/>
        <v>60.127079133124028</v>
      </c>
      <c r="H173" s="424">
        <f t="shared" si="107"/>
        <v>123.39289101190312</v>
      </c>
      <c r="I173" s="424">
        <f t="shared" si="107"/>
        <v>104.57257413662748</v>
      </c>
      <c r="J173" s="424" t="e">
        <f t="shared" si="107"/>
        <v>#DIV/0!</v>
      </c>
      <c r="K173" s="424"/>
    </row>
    <row r="174" spans="1:11" s="333" customFormat="1" ht="13.9">
      <c r="A174" s="339" t="s">
        <v>1656</v>
      </c>
      <c r="B174" s="420">
        <f t="shared" ref="B174:J174" si="108">B153-B166-B170</f>
        <v>687.10803268547284</v>
      </c>
      <c r="C174" s="420">
        <f t="shared" si="108"/>
        <v>96.748917818857137</v>
      </c>
      <c r="D174" s="420">
        <f t="shared" si="108"/>
        <v>-65.775324783178633</v>
      </c>
      <c r="E174" s="342">
        <f t="shared" si="108"/>
        <v>39.057533845710608</v>
      </c>
      <c r="F174" s="342">
        <f t="shared" si="108"/>
        <v>91.606828627956162</v>
      </c>
      <c r="G174" s="342">
        <f t="shared" si="108"/>
        <v>717.29857624041597</v>
      </c>
      <c r="H174" s="342">
        <f t="shared" si="108"/>
        <v>449.6790591088602</v>
      </c>
      <c r="I174" s="342">
        <f t="shared" si="108"/>
        <v>345.31714853499301</v>
      </c>
      <c r="J174" s="342" t="e">
        <f t="shared" si="108"/>
        <v>#DIV/0!</v>
      </c>
      <c r="K174" s="342"/>
    </row>
    <row r="175" spans="1:11" s="333" customFormat="1" ht="13.5">
      <c r="B175" s="423"/>
      <c r="C175" s="425"/>
      <c r="D175" s="423"/>
      <c r="E175" s="424"/>
      <c r="F175" s="424"/>
      <c r="G175" s="424"/>
      <c r="H175" s="424"/>
      <c r="I175" s="424"/>
      <c r="J175" s="424"/>
      <c r="K175" s="424"/>
    </row>
    <row r="176" spans="1:11" s="339" customFormat="1" ht="13.9">
      <c r="A176" s="339" t="s">
        <v>1657</v>
      </c>
      <c r="B176" s="426"/>
      <c r="C176" s="426"/>
      <c r="D176" s="427"/>
      <c r="E176" s="428"/>
      <c r="F176" s="428"/>
      <c r="G176" s="428"/>
      <c r="H176" s="428"/>
      <c r="I176" s="428"/>
      <c r="J176" s="428"/>
      <c r="K176" s="428"/>
    </row>
    <row r="177" spans="1:11" s="339" customFormat="1" ht="13.9">
      <c r="A177" s="339" t="s">
        <v>1633</v>
      </c>
      <c r="B177" s="426">
        <f t="shared" ref="B177:J177" si="109">B178+B179</f>
        <v>0.23287954080169204</v>
      </c>
      <c r="C177" s="426">
        <f t="shared" si="109"/>
        <v>0.53412206833060394</v>
      </c>
      <c r="D177" s="426">
        <f t="shared" si="109"/>
        <v>1.0003062273372147</v>
      </c>
      <c r="E177" s="429">
        <f t="shared" si="109"/>
        <v>0.86040058990011559</v>
      </c>
      <c r="F177" s="429">
        <f t="shared" si="109"/>
        <v>0.655447800766087</v>
      </c>
      <c r="G177" s="429">
        <f t="shared" si="109"/>
        <v>0.42610325824314943</v>
      </c>
      <c r="H177" s="429">
        <f t="shared" si="109"/>
        <v>0.51956574180554349</v>
      </c>
      <c r="I177" s="429">
        <f t="shared" si="109"/>
        <v>0.663356369404277</v>
      </c>
      <c r="J177" s="429" t="e">
        <f t="shared" si="109"/>
        <v>#DIV/0!</v>
      </c>
      <c r="K177" s="429"/>
    </row>
    <row r="178" spans="1:11" s="333" customFormat="1" ht="13.5">
      <c r="A178" s="333" t="s">
        <v>1634</v>
      </c>
      <c r="B178" s="414">
        <f t="shared" ref="B178:J179" si="110">B168/B$153</f>
        <v>0.2121968344661726</v>
      </c>
      <c r="C178" s="414">
        <f t="shared" si="110"/>
        <v>0.48447104373165017</v>
      </c>
      <c r="D178" s="414">
        <f t="shared" si="110"/>
        <v>0.92585666158745872</v>
      </c>
      <c r="E178" s="430">
        <f t="shared" si="110"/>
        <v>0.73135826207131183</v>
      </c>
      <c r="F178" s="430">
        <f t="shared" si="110"/>
        <v>0.41833657342972985</v>
      </c>
      <c r="G178" s="430">
        <f t="shared" si="110"/>
        <v>0.3117562037350326</v>
      </c>
      <c r="H178" s="430">
        <f t="shared" si="110"/>
        <v>0.45125589303609326</v>
      </c>
      <c r="I178" s="430">
        <f t="shared" si="110"/>
        <v>0.58392671609174007</v>
      </c>
      <c r="J178" s="430" t="e">
        <f t="shared" si="110"/>
        <v>#DIV/0!</v>
      </c>
      <c r="K178" s="430"/>
    </row>
    <row r="179" spans="1:11" s="333" customFormat="1" ht="13.5">
      <c r="A179" s="333" t="s">
        <v>1654</v>
      </c>
      <c r="B179" s="414">
        <f t="shared" si="110"/>
        <v>2.068270633551943E-2</v>
      </c>
      <c r="C179" s="414">
        <f t="shared" si="110"/>
        <v>4.9651024598953777E-2</v>
      </c>
      <c r="D179" s="414">
        <f t="shared" si="110"/>
        <v>7.4449565749756086E-2</v>
      </c>
      <c r="E179" s="430">
        <f t="shared" si="110"/>
        <v>0.12904232782880379</v>
      </c>
      <c r="F179" s="430">
        <f t="shared" si="110"/>
        <v>0.23711122733635714</v>
      </c>
      <c r="G179" s="430">
        <f t="shared" si="110"/>
        <v>0.11434705450811682</v>
      </c>
      <c r="H179" s="430">
        <f t="shared" si="110"/>
        <v>6.8309848769450246E-2</v>
      </c>
      <c r="I179" s="430">
        <f t="shared" si="110"/>
        <v>7.9429653312536957E-2</v>
      </c>
      <c r="J179" s="430" t="e">
        <f t="shared" si="110"/>
        <v>#DIV/0!</v>
      </c>
      <c r="K179" s="430"/>
    </row>
    <row r="180" spans="1:11" s="333" customFormat="1" ht="13.9">
      <c r="A180" s="339" t="s">
        <v>1655</v>
      </c>
      <c r="B180" s="426">
        <f t="shared" ref="B180:J180" si="111">B181+B182</f>
        <v>0.11116479148850092</v>
      </c>
      <c r="C180" s="426">
        <f t="shared" si="111"/>
        <v>0.36089391653024117</v>
      </c>
      <c r="D180" s="426">
        <f t="shared" si="111"/>
        <v>0.10053682713085205</v>
      </c>
      <c r="E180" s="429">
        <f t="shared" si="111"/>
        <v>4.4191017205639845E-2</v>
      </c>
      <c r="F180" s="429">
        <f t="shared" si="111"/>
        <v>0.1369581949280041</v>
      </c>
      <c r="G180" s="429">
        <f t="shared" si="111"/>
        <v>0.12772644875474326</v>
      </c>
      <c r="H180" s="429">
        <f t="shared" si="111"/>
        <v>0.23574334375122413</v>
      </c>
      <c r="I180" s="429">
        <f t="shared" si="111"/>
        <v>0.14910107375830051</v>
      </c>
      <c r="J180" s="429" t="e">
        <f t="shared" si="111"/>
        <v>#DIV/0!</v>
      </c>
      <c r="K180" s="429"/>
    </row>
    <row r="181" spans="1:11" s="333" customFormat="1" ht="13.5">
      <c r="A181" s="333" t="s">
        <v>1638</v>
      </c>
      <c r="B181" s="414">
        <f t="shared" ref="B181:J183" si="112">B172/B$153</f>
        <v>5.3098473967091775E-2</v>
      </c>
      <c r="C181" s="414">
        <f t="shared" si="112"/>
        <v>0.2783628001602772</v>
      </c>
      <c r="D181" s="414">
        <f t="shared" si="112"/>
        <v>4.2331066305350308E-2</v>
      </c>
      <c r="E181" s="430">
        <f t="shared" si="112"/>
        <v>-5.0316801912655966E-2</v>
      </c>
      <c r="F181" s="430">
        <f t="shared" si="112"/>
        <v>5.3754976001630247E-2</v>
      </c>
      <c r="G181" s="430">
        <f t="shared" si="112"/>
        <v>9.0326518791414706E-2</v>
      </c>
      <c r="H181" s="430">
        <f t="shared" si="112"/>
        <v>0.16859963597588071</v>
      </c>
      <c r="I181" s="430">
        <f t="shared" si="112"/>
        <v>9.2307462401734347E-2</v>
      </c>
      <c r="J181" s="430" t="e">
        <f t="shared" si="112"/>
        <v>#DIV/0!</v>
      </c>
      <c r="K181" s="430"/>
    </row>
    <row r="182" spans="1:11" s="333" customFormat="1" ht="13.5">
      <c r="A182" s="333" t="s">
        <v>1639</v>
      </c>
      <c r="B182" s="414">
        <f t="shared" si="112"/>
        <v>5.8066317521409137E-2</v>
      </c>
      <c r="C182" s="414">
        <f t="shared" si="112"/>
        <v>8.253111636996395E-2</v>
      </c>
      <c r="D182" s="414">
        <f t="shared" si="112"/>
        <v>5.8205760825501746E-2</v>
      </c>
      <c r="E182" s="430">
        <f t="shared" si="112"/>
        <v>9.4507819118295811E-2</v>
      </c>
      <c r="F182" s="430">
        <f t="shared" si="112"/>
        <v>8.3203218926373834E-2</v>
      </c>
      <c r="G182" s="430">
        <f t="shared" si="112"/>
        <v>3.7399929963328554E-2</v>
      </c>
      <c r="H182" s="430">
        <f t="shared" si="112"/>
        <v>6.7143707775343411E-2</v>
      </c>
      <c r="I182" s="430">
        <f t="shared" si="112"/>
        <v>5.6793611356566173E-2</v>
      </c>
      <c r="J182" s="430" t="e">
        <f t="shared" si="112"/>
        <v>#DIV/0!</v>
      </c>
      <c r="K182" s="430"/>
    </row>
    <row r="183" spans="1:11" s="339" customFormat="1" ht="13.9">
      <c r="A183" s="339" t="s">
        <v>1656</v>
      </c>
      <c r="B183" s="426">
        <f t="shared" si="112"/>
        <v>0.65595566770980707</v>
      </c>
      <c r="C183" s="426">
        <f t="shared" si="112"/>
        <v>0.10498401513915494</v>
      </c>
      <c r="D183" s="426">
        <f t="shared" si="112"/>
        <v>-0.10084305446806692</v>
      </c>
      <c r="E183" s="429">
        <f t="shared" si="112"/>
        <v>9.5408392894244576E-2</v>
      </c>
      <c r="F183" s="429">
        <f t="shared" si="112"/>
        <v>0.20759400430590888</v>
      </c>
      <c r="G183" s="429">
        <f t="shared" si="112"/>
        <v>0.44617029300210737</v>
      </c>
      <c r="H183" s="429">
        <f t="shared" si="112"/>
        <v>0.2446909144432324</v>
      </c>
      <c r="I183" s="429">
        <f t="shared" si="112"/>
        <v>0.18754255683742241</v>
      </c>
      <c r="J183" s="429" t="e">
        <f t="shared" si="112"/>
        <v>#DIV/0!</v>
      </c>
      <c r="K183" s="429"/>
    </row>
    <row r="184" spans="1:11" s="333" customFormat="1" ht="13.5"/>
    <row r="185" spans="1:11" s="333" customFormat="1" ht="13.5"/>
    <row r="199" spans="1:6" s="333" customFormat="1" ht="13.5">
      <c r="B199" s="333">
        <v>2021</v>
      </c>
      <c r="C199" s="333">
        <v>2022</v>
      </c>
      <c r="D199" s="333">
        <v>2023</v>
      </c>
      <c r="E199" s="333">
        <v>2024</v>
      </c>
      <c r="F199" s="333">
        <v>2025</v>
      </c>
    </row>
    <row r="200" spans="1:6" s="333" customFormat="1" ht="13.5">
      <c r="A200" s="333" t="s">
        <v>1658</v>
      </c>
      <c r="B200" s="431">
        <f>C46</f>
        <v>2003.5488599999999</v>
      </c>
      <c r="C200" s="431">
        <f>D46</f>
        <v>2264.0102117999995</v>
      </c>
      <c r="D200" s="431">
        <f>E46</f>
        <v>1584.8071482599996</v>
      </c>
      <c r="E200" s="431">
        <f>F46</f>
        <v>1426.3264334339997</v>
      </c>
      <c r="F200" s="431">
        <f>G46</f>
        <v>1640.2753984490996</v>
      </c>
    </row>
    <row r="201" spans="1:6" s="333" customFormat="1" ht="13.5">
      <c r="A201" s="333" t="s">
        <v>1659</v>
      </c>
      <c r="B201" s="431">
        <f t="shared" ref="B201:F201" si="113">C74</f>
        <v>1110.0394236</v>
      </c>
      <c r="C201" s="431">
        <f t="shared" si="113"/>
        <v>1337.1703882000004</v>
      </c>
      <c r="D201" s="431">
        <f t="shared" si="113"/>
        <v>918.76260174000026</v>
      </c>
      <c r="E201" s="431">
        <f t="shared" si="113"/>
        <v>775.57282906600005</v>
      </c>
      <c r="F201" s="431">
        <f t="shared" si="113"/>
        <v>883.38386405090034</v>
      </c>
    </row>
    <row r="202" spans="1:6" s="333" customFormat="1" ht="13.5">
      <c r="A202" s="333" t="s">
        <v>1660</v>
      </c>
      <c r="B202" s="431">
        <f>C60</f>
        <v>480.85172639999996</v>
      </c>
      <c r="C202" s="431">
        <f>D60</f>
        <v>453.32250000000005</v>
      </c>
      <c r="D202" s="431">
        <f>E60</f>
        <v>407.99025000000006</v>
      </c>
      <c r="E202" s="431">
        <f>F60</f>
        <v>387.59073750000005</v>
      </c>
      <c r="F202" s="431">
        <f>G60</f>
        <v>387.59073750000005</v>
      </c>
    </row>
    <row r="203" spans="1:6" s="333" customFormat="1" ht="13.9">
      <c r="A203" s="339" t="s">
        <v>1661</v>
      </c>
      <c r="B203" s="432" t="e">
        <f>B205/#REF!-1</f>
        <v>#REF!</v>
      </c>
      <c r="C203" s="432">
        <f t="shared" ref="C203:F203" si="114">C205/B205-1</f>
        <v>0.12799298046985608</v>
      </c>
      <c r="D203" s="432">
        <f t="shared" si="114"/>
        <v>-0.28189474068967924</v>
      </c>
      <c r="E203" s="432">
        <f t="shared" si="114"/>
        <v>-0.11061767574770909</v>
      </c>
      <c r="F203" s="432">
        <f t="shared" si="114"/>
        <v>0.12425612765448024</v>
      </c>
    </row>
    <row r="204" spans="1:6" s="333" customFormat="1" ht="13.5"/>
    <row r="205" spans="1:6" s="333" customFormat="1" ht="13.5">
      <c r="B205" s="431">
        <f t="shared" ref="B205:F205" si="115">SUM(B200:B202)</f>
        <v>3594.4400100000003</v>
      </c>
      <c r="C205" s="431">
        <f t="shared" si="115"/>
        <v>4054.5030999999999</v>
      </c>
      <c r="D205" s="431">
        <f t="shared" si="115"/>
        <v>2911.5599999999995</v>
      </c>
      <c r="E205" s="431">
        <f t="shared" si="115"/>
        <v>2589.4899999999998</v>
      </c>
      <c r="F205" s="431">
        <f t="shared" si="115"/>
        <v>2911.25</v>
      </c>
    </row>
    <row r="206" spans="1:6" s="333" customFormat="1" ht="13.5"/>
    <row r="207" spans="1:6" s="333" customFormat="1" ht="13.5"/>
    <row r="208" spans="1:6" s="333" customFormat="1" ht="13.5">
      <c r="B208" s="333">
        <f t="shared" ref="B208:F208" si="116">B199</f>
        <v>2021</v>
      </c>
      <c r="C208" s="333">
        <f t="shared" si="116"/>
        <v>2022</v>
      </c>
      <c r="D208" s="333">
        <f t="shared" si="116"/>
        <v>2023</v>
      </c>
      <c r="E208" s="333">
        <f t="shared" si="116"/>
        <v>2024</v>
      </c>
      <c r="F208" s="333">
        <f t="shared" si="116"/>
        <v>2025</v>
      </c>
    </row>
    <row r="209" spans="1:6" s="333" customFormat="1" ht="13.5">
      <c r="A209" s="333" t="s">
        <v>1662</v>
      </c>
      <c r="B209" s="433">
        <v>412.65771000000001</v>
      </c>
      <c r="C209" s="433">
        <v>495.18925200000001</v>
      </c>
      <c r="D209" s="433">
        <v>718.02441539999995</v>
      </c>
      <c r="E209" s="433">
        <v>1005.2341815599999</v>
      </c>
      <c r="F209" s="433">
        <v>1357.066145106</v>
      </c>
    </row>
    <row r="210" spans="1:6" s="333" customFormat="1" ht="13.5">
      <c r="A210" s="333" t="s">
        <v>1577</v>
      </c>
      <c r="B210" s="434" t="e">
        <f>B209/#REF!-1</f>
        <v>#REF!</v>
      </c>
      <c r="C210" s="434">
        <f t="shared" ref="C210:F210" si="117">C209/B209-1</f>
        <v>0.19999999999999996</v>
      </c>
      <c r="D210" s="434">
        <f t="shared" si="117"/>
        <v>0.44999999999999996</v>
      </c>
      <c r="E210" s="434">
        <f t="shared" si="117"/>
        <v>0.39999999999999991</v>
      </c>
      <c r="F210" s="434">
        <f t="shared" si="117"/>
        <v>0.35000000000000009</v>
      </c>
    </row>
    <row r="211" spans="1:6" s="333" customFormat="1" ht="13.5"/>
    <row r="212" spans="1:6" s="333" customFormat="1" ht="13.5"/>
    <row r="213" spans="1:6" s="333" customFormat="1" ht="13.5"/>
    <row r="214" spans="1:6" s="333" customFormat="1" ht="13.5"/>
    <row r="215" spans="1:6" s="333" customFormat="1" ht="13.5"/>
    <row r="216" spans="1:6" s="333" customFormat="1" ht="13.5"/>
    <row r="217" spans="1:6" s="333" customFormat="1" ht="13.5">
      <c r="B217" s="333">
        <f t="shared" ref="B217:F217" si="118">B199</f>
        <v>2021</v>
      </c>
      <c r="C217" s="333">
        <f t="shared" si="118"/>
        <v>2022</v>
      </c>
      <c r="D217" s="333">
        <f t="shared" si="118"/>
        <v>2023</v>
      </c>
      <c r="E217" s="333">
        <f t="shared" si="118"/>
        <v>2024</v>
      </c>
      <c r="F217" s="333">
        <f t="shared" si="118"/>
        <v>2025</v>
      </c>
    </row>
    <row r="218" spans="1:6" s="333" customFormat="1" ht="13.5">
      <c r="A218" s="333" t="s">
        <v>1663</v>
      </c>
      <c r="B218" s="433">
        <v>978.94241999999997</v>
      </c>
      <c r="C218" s="433">
        <v>587.365452</v>
      </c>
      <c r="D218" s="433">
        <v>822.31163279999998</v>
      </c>
      <c r="E218" s="433">
        <v>1110.1207042800002</v>
      </c>
      <c r="F218" s="433">
        <v>1498.6629507780003</v>
      </c>
    </row>
    <row r="219" spans="1:6" s="333" customFormat="1" ht="13.5">
      <c r="A219" s="333" t="s">
        <v>1577</v>
      </c>
      <c r="B219" s="434" t="e">
        <f>B218/#REF!-1</f>
        <v>#REF!</v>
      </c>
      <c r="C219" s="434">
        <f t="shared" ref="C219:F219" si="119">C218/B218-1</f>
        <v>-0.4</v>
      </c>
      <c r="D219" s="434">
        <f t="shared" si="119"/>
        <v>0.39999999999999991</v>
      </c>
      <c r="E219" s="434">
        <f t="shared" si="119"/>
        <v>0.35000000000000031</v>
      </c>
      <c r="F219" s="434">
        <f t="shared" si="119"/>
        <v>0.35000000000000009</v>
      </c>
    </row>
    <row r="220" spans="1:6" s="333" customFormat="1" ht="13.5">
      <c r="B220" s="333">
        <f t="shared" ref="B220:F220" si="120">B199</f>
        <v>2021</v>
      </c>
      <c r="C220" s="333">
        <f t="shared" si="120"/>
        <v>2022</v>
      </c>
      <c r="D220" s="333">
        <f t="shared" si="120"/>
        <v>2023</v>
      </c>
      <c r="E220" s="333">
        <f t="shared" si="120"/>
        <v>2024</v>
      </c>
      <c r="F220" s="333">
        <f t="shared" si="120"/>
        <v>2025</v>
      </c>
    </row>
    <row r="221" spans="1:6" s="333" customFormat="1" ht="13.5">
      <c r="A221" s="333" t="s">
        <v>1664</v>
      </c>
      <c r="B221" s="433">
        <v>198.68908999999999</v>
      </c>
      <c r="C221" s="433">
        <v>139.08236299999999</v>
      </c>
      <c r="D221" s="433">
        <v>187.76119004999998</v>
      </c>
      <c r="E221" s="433">
        <v>244.08954706499998</v>
      </c>
      <c r="F221" s="433">
        <v>317.3164111845</v>
      </c>
    </row>
    <row r="222" spans="1:6" s="333" customFormat="1" ht="13.5">
      <c r="A222" s="333" t="s">
        <v>1577</v>
      </c>
      <c r="B222" s="434" t="e">
        <f>B221/#REF!-1</f>
        <v>#REF!</v>
      </c>
      <c r="C222" s="434">
        <f t="shared" ref="C222:F222" si="121">C221/B221-1</f>
        <v>-0.30000000000000004</v>
      </c>
      <c r="D222" s="434">
        <f t="shared" si="121"/>
        <v>0.35000000000000009</v>
      </c>
      <c r="E222" s="434">
        <f t="shared" si="121"/>
        <v>0.30000000000000004</v>
      </c>
      <c r="F222" s="434">
        <f t="shared" si="121"/>
        <v>0.30000000000000004</v>
      </c>
    </row>
    <row r="223" spans="1:6" s="333" customFormat="1" ht="13.5"/>
    <row r="224" spans="1:6" s="333" customFormat="1" ht="13.5"/>
    <row r="225" s="333" customFormat="1" ht="13.5"/>
    <row r="226" s="333" customFormat="1" ht="13.5"/>
    <row r="227" s="333" customFormat="1" ht="13.5"/>
    <row r="228" s="333" customFormat="1" ht="13.5"/>
    <row r="229" s="333" customFormat="1" ht="13.5"/>
    <row r="230" s="333" customFormat="1" ht="13.5"/>
    <row r="231" s="333" customFormat="1" ht="13.5"/>
    <row r="232" s="333" customFormat="1" ht="13.5"/>
    <row r="233" s="333" customFormat="1" ht="13.5"/>
    <row r="234" s="333" customFormat="1" ht="13.5"/>
    <row r="235" s="333" customFormat="1" ht="13.5"/>
    <row r="236" s="333" customFormat="1" ht="13.5"/>
    <row r="237" s="333" customFormat="1" ht="13.5"/>
    <row r="238" s="333" customFormat="1" ht="13.5"/>
    <row r="239" s="333" customFormat="1" ht="13.5"/>
    <row r="240" s="333" customFormat="1" ht="13.5"/>
    <row r="241" s="333" customFormat="1" ht="13.5"/>
    <row r="242" s="333" customFormat="1" ht="13.5"/>
    <row r="243" s="333" customFormat="1" ht="13.5"/>
    <row r="244" s="333" customFormat="1" ht="13.5"/>
    <row r="245" s="333" customFormat="1" ht="13.5"/>
    <row r="246" s="333" customFormat="1" ht="13.5"/>
    <row r="247" s="333" customFormat="1" ht="13.5"/>
    <row r="248" s="333" customFormat="1" ht="13.5"/>
    <row r="249" s="333" customFormat="1" ht="13.5"/>
    <row r="250" s="333" customFormat="1" ht="13.5"/>
    <row r="251" s="333" customFormat="1" ht="13.5"/>
    <row r="252" s="333" customFormat="1" ht="13.5"/>
    <row r="253" s="333" customFormat="1" ht="13.5"/>
    <row r="254" s="333" customFormat="1" ht="13.5"/>
    <row r="255" s="333" customFormat="1" ht="13.5"/>
    <row r="256" s="333" customFormat="1" ht="13.5"/>
    <row r="257" s="333" customFormat="1" ht="13.5"/>
    <row r="258" s="333" customFormat="1" ht="13.5"/>
    <row r="259" s="333" customFormat="1" ht="13.5"/>
    <row r="260" s="333" customFormat="1" ht="13.5"/>
    <row r="261" s="333" customFormat="1" ht="13.5"/>
    <row r="262" s="333" customFormat="1" ht="13.5"/>
    <row r="263" s="333" customFormat="1" ht="13.5"/>
    <row r="264" s="333" customFormat="1" ht="13.5"/>
    <row r="265" s="333" customFormat="1" ht="13.5"/>
    <row r="266" s="333" customFormat="1" ht="13.5"/>
    <row r="267" s="333" customFormat="1" ht="13.5"/>
    <row r="268" s="333" customFormat="1" ht="13.5"/>
    <row r="269" s="333" customFormat="1" ht="13.5"/>
    <row r="270" s="333" customFormat="1" ht="13.5"/>
    <row r="271" s="333" customFormat="1" ht="13.5"/>
    <row r="272" s="333" customFormat="1" ht="13.5"/>
    <row r="273" s="333" customFormat="1" ht="13.5"/>
    <row r="274" s="333" customFormat="1" ht="13.5"/>
    <row r="275" s="333" customFormat="1" ht="13.5"/>
    <row r="276" s="333" customFormat="1" ht="13.5"/>
    <row r="277" s="333" customFormat="1" ht="13.5"/>
    <row r="278" s="333" customFormat="1" ht="13.5"/>
    <row r="279" s="333" customFormat="1" ht="13.5"/>
    <row r="280" s="333" customFormat="1" ht="13.5"/>
    <row r="281" s="333" customFormat="1" ht="13.5"/>
    <row r="282" s="333" customFormat="1" ht="13.5"/>
    <row r="283" s="333" customFormat="1" ht="13.5"/>
    <row r="284" s="333" customFormat="1" ht="13.5"/>
    <row r="285" s="333" customFormat="1" ht="13.5"/>
    <row r="286" s="333" customFormat="1" ht="13.5"/>
    <row r="287" s="333" customFormat="1" ht="13.5"/>
    <row r="288" s="333" customFormat="1" ht="13.5"/>
    <row r="289" s="333" customFormat="1" ht="13.5"/>
    <row r="290" s="333" customFormat="1" ht="13.5"/>
    <row r="291" s="333" customFormat="1" ht="13.5"/>
    <row r="292" s="333" customFormat="1" ht="13.5"/>
    <row r="293" s="333" customFormat="1" ht="13.5"/>
    <row r="294" s="333" customFormat="1" ht="13.5"/>
    <row r="295" s="333" customFormat="1" ht="13.5"/>
    <row r="296" s="333" customFormat="1" ht="13.5"/>
    <row r="297" s="333" customFormat="1" ht="13.5"/>
    <row r="298" s="333" customFormat="1" ht="13.5"/>
    <row r="299" s="333" customFormat="1" ht="13.5"/>
    <row r="300" s="333" customFormat="1" ht="13.5"/>
    <row r="301" s="333" customFormat="1" ht="13.5"/>
    <row r="302" s="333" customFormat="1" ht="13.5"/>
    <row r="303" s="333" customFormat="1" ht="13.5"/>
    <row r="304" s="333" customFormat="1" ht="13.5"/>
    <row r="305" s="333" customFormat="1" ht="13.5"/>
    <row r="306" s="333" customFormat="1" ht="13.5"/>
    <row r="307" s="333" customFormat="1" ht="13.5"/>
    <row r="308" s="333" customFormat="1" ht="13.5"/>
    <row r="309" s="333" customFormat="1" ht="13.5"/>
    <row r="310" s="333" customFormat="1" ht="13.5"/>
    <row r="311" s="333" customFormat="1" ht="13.5"/>
    <row r="312" s="333" customFormat="1" ht="13.5"/>
    <row r="313" s="333" customFormat="1" ht="13.5"/>
    <row r="314" s="333" customFormat="1" ht="13.5"/>
    <row r="315" s="333" customFormat="1" ht="13.5"/>
    <row r="316" s="333" customFormat="1" ht="13.5"/>
    <row r="317" s="333" customFormat="1" ht="13.5"/>
    <row r="318" s="333" customFormat="1" ht="13.5"/>
    <row r="319" s="333" customFormat="1" ht="13.5"/>
    <row r="320" s="333" customFormat="1" ht="13.5"/>
    <row r="321" s="333" customFormat="1" ht="13.5"/>
    <row r="322" s="333" customFormat="1" ht="13.5"/>
    <row r="323" s="333" customFormat="1" ht="13.5"/>
    <row r="324" s="333" customFormat="1" ht="13.5"/>
    <row r="325" s="333" customFormat="1" ht="13.5"/>
    <row r="326" s="333" customFormat="1" ht="13.5"/>
    <row r="327" s="333" customFormat="1" ht="13.5"/>
    <row r="328" s="333" customFormat="1" ht="13.5"/>
    <row r="329" s="333" customFormat="1" ht="13.5"/>
    <row r="330" s="333" customFormat="1" ht="13.5"/>
    <row r="331" s="333" customFormat="1" ht="13.5"/>
    <row r="332" s="333" customFormat="1" ht="13.5"/>
    <row r="333" s="333" customFormat="1" ht="13.5"/>
    <row r="334" s="333" customFormat="1" ht="13.5"/>
    <row r="335" s="333" customFormat="1" ht="13.5"/>
    <row r="336" s="333" customFormat="1" ht="13.5"/>
    <row r="337" s="333" customFormat="1" ht="13.5"/>
    <row r="338" s="333" customFormat="1" ht="13.5"/>
    <row r="339" s="333" customFormat="1" ht="13.5"/>
    <row r="340" s="333" customFormat="1" ht="13.5"/>
    <row r="341" s="333" customFormat="1" ht="13.5"/>
    <row r="342" s="333" customFormat="1" ht="13.5"/>
    <row r="343" s="333" customFormat="1" ht="13.5"/>
    <row r="344" s="333" customFormat="1" ht="13.5"/>
    <row r="345" s="333" customFormat="1" ht="13.5"/>
    <row r="346" s="333" customFormat="1" ht="13.5"/>
    <row r="347" s="333" customFormat="1" ht="13.5"/>
    <row r="348" s="333" customFormat="1" ht="13.5"/>
    <row r="349" s="333" customFormat="1" ht="13.5"/>
    <row r="350" s="333" customFormat="1" ht="13.5"/>
    <row r="351" s="333" customFormat="1" ht="13.5"/>
    <row r="352" s="333" customFormat="1" ht="13.5"/>
    <row r="353" s="333" customFormat="1" ht="13.5"/>
    <row r="354" s="333" customFormat="1" ht="13.5"/>
    <row r="355" s="333" customFormat="1" ht="13.5"/>
    <row r="356" s="333" customFormat="1" ht="13.5"/>
    <row r="357" s="333" customFormat="1" ht="13.5"/>
    <row r="358" s="333" customFormat="1" ht="13.5"/>
    <row r="359" s="333" customFormat="1" ht="13.5"/>
    <row r="360" s="333" customFormat="1" ht="13.5"/>
    <row r="361" s="333" customFormat="1" ht="13.5"/>
    <row r="362" s="333" customFormat="1" ht="13.5"/>
    <row r="363" s="333" customFormat="1" ht="13.5"/>
    <row r="364" s="333" customFormat="1" ht="13.5"/>
    <row r="365" s="333" customFormat="1" ht="13.5"/>
    <row r="366" s="333" customFormat="1" ht="13.5"/>
    <row r="367" s="333" customFormat="1" ht="13.5"/>
    <row r="368" s="333" customFormat="1" ht="13.5"/>
    <row r="369" s="333" customFormat="1" ht="13.5"/>
    <row r="370" s="333" customFormat="1" ht="13.5"/>
    <row r="371" s="333" customFormat="1" ht="13.5"/>
    <row r="372" s="333" customFormat="1" ht="13.5"/>
    <row r="373" s="333" customFormat="1" ht="13.5"/>
    <row r="374" s="333" customFormat="1" ht="13.5"/>
    <row r="375" s="333" customFormat="1" ht="13.5"/>
    <row r="376" s="333" customFormat="1" ht="13.5"/>
    <row r="377" s="333" customFormat="1" ht="13.5"/>
    <row r="378" s="333" customFormat="1" ht="13.5"/>
    <row r="379" s="333" customFormat="1" ht="13.5"/>
    <row r="380" s="333" customFormat="1" ht="13.5"/>
    <row r="381" s="333" customFormat="1" ht="13.5"/>
    <row r="382" s="333" customFormat="1" ht="13.5"/>
    <row r="383" s="333" customFormat="1" ht="13.5"/>
    <row r="384" s="333" customFormat="1" ht="13.5"/>
    <row r="385" s="333" customFormat="1" ht="13.5"/>
    <row r="386" s="333" customFormat="1" ht="13.5"/>
    <row r="387" s="333" customFormat="1" ht="13.5"/>
    <row r="388" s="333" customFormat="1" ht="13.5"/>
    <row r="389" s="333" customFormat="1" ht="13.5"/>
    <row r="390" s="333" customFormat="1" ht="13.5"/>
    <row r="391" s="333" customFormat="1" ht="13.5"/>
    <row r="392" s="333" customFormat="1" ht="13.5"/>
    <row r="393" s="333" customFormat="1" ht="13.5"/>
    <row r="394" s="333" customFormat="1" ht="13.5"/>
    <row r="395" s="333" customFormat="1" ht="13.5"/>
    <row r="396" s="333" customFormat="1" ht="13.5"/>
    <row r="397" s="333" customFormat="1" ht="13.5"/>
    <row r="398" s="333" customFormat="1" ht="13.5"/>
    <row r="399" s="333" customFormat="1" ht="13.5"/>
    <row r="400" s="333" customFormat="1" ht="13.5"/>
    <row r="401" s="333" customFormat="1" ht="13.5"/>
    <row r="402" s="333" customFormat="1" ht="13.5"/>
    <row r="403" s="333" customFormat="1" ht="13.5"/>
    <row r="404" s="333" customFormat="1" ht="13.5"/>
    <row r="405" s="333" customFormat="1" ht="13.5"/>
    <row r="406" s="333" customFormat="1" ht="13.5"/>
    <row r="407" s="333" customFormat="1" ht="13.5"/>
    <row r="408" s="333" customFormat="1" ht="13.5"/>
    <row r="409" s="333" customFormat="1" ht="13.5"/>
    <row r="410" s="333" customFormat="1" ht="13.5"/>
    <row r="411" s="333" customFormat="1" ht="13.5"/>
    <row r="412" s="333" customFormat="1" ht="13.5"/>
    <row r="413" s="333" customFormat="1" ht="13.5"/>
    <row r="414" s="333" customFormat="1" ht="13.5"/>
    <row r="415" s="333" customFormat="1" ht="13.5"/>
    <row r="416" s="333" customFormat="1" ht="13.5"/>
    <row r="417" s="333" customFormat="1" ht="13.5"/>
    <row r="418" s="333" customFormat="1" ht="13.5"/>
    <row r="419" s="333" customFormat="1" ht="13.5"/>
    <row r="420" s="333" customFormat="1" ht="13.5"/>
    <row r="421" s="333" customFormat="1" ht="13.5"/>
    <row r="422" s="333" customFormat="1" ht="13.5"/>
    <row r="423" s="333" customFormat="1" ht="13.5"/>
    <row r="424" s="333" customFormat="1" ht="13.5"/>
    <row r="425" s="333" customFormat="1" ht="13.5"/>
    <row r="426" s="333" customFormat="1" ht="13.5"/>
    <row r="427" s="333" customFormat="1" ht="13.5"/>
    <row r="428" s="333" customFormat="1" ht="13.5"/>
    <row r="429" s="333" customFormat="1" ht="13.5"/>
    <row r="430" s="333" customFormat="1" ht="13.5"/>
    <row r="431" s="333" customFormat="1" ht="13.5"/>
    <row r="432" s="333" customFormat="1" ht="13.5"/>
    <row r="433" s="333" customFormat="1" ht="13.5"/>
    <row r="434" s="333" customFormat="1" ht="13.5"/>
    <row r="435" s="333" customFormat="1" ht="13.5"/>
    <row r="436" s="333" customFormat="1" ht="13.5"/>
    <row r="437" s="333" customFormat="1" ht="13.5"/>
    <row r="438" s="333" customFormat="1" ht="13.5"/>
    <row r="439" s="333" customFormat="1" ht="13.5"/>
    <row r="440" s="333" customFormat="1" ht="13.5"/>
    <row r="441" s="333" customFormat="1" ht="13.5"/>
    <row r="442" s="333" customFormat="1" ht="13.5"/>
    <row r="443" s="333" customFormat="1" ht="13.5"/>
    <row r="444" s="333" customFormat="1" ht="13.5"/>
    <row r="445" s="333" customFormat="1" ht="13.5"/>
    <row r="446" s="333" customFormat="1" ht="13.5"/>
    <row r="447" s="333" customFormat="1" ht="13.5"/>
    <row r="448" s="333" customFormat="1" ht="13.5"/>
    <row r="449" s="333" customFormat="1" ht="13.5"/>
    <row r="450" s="333" customFormat="1" ht="13.5"/>
    <row r="451" s="333" customFormat="1" ht="13.5"/>
    <row r="452" s="333" customFormat="1" ht="13.5"/>
    <row r="453" s="333" customFormat="1" ht="13.5"/>
    <row r="454" s="333" customFormat="1" ht="13.5"/>
    <row r="455" s="333" customFormat="1" ht="13.5"/>
    <row r="456" s="333" customFormat="1" ht="13.5"/>
    <row r="457" s="333" customFormat="1" ht="13.5"/>
    <row r="458" s="333" customFormat="1" ht="13.5"/>
    <row r="459" s="333" customFormat="1" ht="13.5"/>
    <row r="460" s="333" customFormat="1" ht="13.5"/>
    <row r="461" s="333" customFormat="1" ht="13.5"/>
    <row r="462" s="333" customFormat="1" ht="13.5"/>
    <row r="463" s="333" customFormat="1" ht="13.5"/>
    <row r="464" s="333" customFormat="1" ht="13.5"/>
    <row r="465" s="333" customFormat="1" ht="13.5"/>
    <row r="466" s="333" customFormat="1" ht="13.5"/>
    <row r="467" s="333" customFormat="1" ht="13.5"/>
    <row r="468" s="333" customFormat="1" ht="13.5"/>
    <row r="469" s="333" customFormat="1" ht="13.5"/>
    <row r="470" s="333" customFormat="1" ht="13.5"/>
    <row r="471" s="333" customFormat="1" ht="13.5"/>
    <row r="472" s="333" customFormat="1" ht="13.5"/>
    <row r="473" s="333" customFormat="1" ht="13.5"/>
    <row r="474" s="333" customFormat="1" ht="13.5"/>
    <row r="475" s="333" customFormat="1" ht="13.5"/>
    <row r="476" s="333" customFormat="1" ht="13.5"/>
    <row r="477" s="333" customFormat="1" ht="13.5"/>
    <row r="478" s="333" customFormat="1" ht="13.5"/>
    <row r="479" s="333" customFormat="1" ht="13.5"/>
    <row r="480" s="333" customFormat="1" ht="13.5"/>
    <row r="481" s="333" customFormat="1" ht="13.5"/>
    <row r="482" s="333" customFormat="1" ht="13.5"/>
    <row r="483" s="333" customFormat="1" ht="13.5"/>
    <row r="484" s="333" customFormat="1" ht="13.5"/>
    <row r="485" s="333" customFormat="1" ht="13.5"/>
    <row r="486" s="333" customFormat="1" ht="13.5"/>
    <row r="487" s="333" customFormat="1" ht="13.5"/>
    <row r="488" s="333" customFormat="1" ht="13.5"/>
    <row r="489" s="333" customFormat="1" ht="13.5"/>
    <row r="490" s="333" customFormat="1" ht="13.5"/>
    <row r="491" s="333" customFormat="1" ht="13.5"/>
    <row r="492" s="333" customFormat="1" ht="13.5"/>
    <row r="493" s="333" customFormat="1" ht="13.5"/>
    <row r="494" s="333" customFormat="1" ht="13.5"/>
    <row r="495" s="333" customFormat="1" ht="13.5"/>
    <row r="496" s="333" customFormat="1" ht="13.5"/>
    <row r="497" s="333" customFormat="1" ht="13.5"/>
    <row r="498" s="333" customFormat="1" ht="13.5"/>
    <row r="499" s="333" customFormat="1" ht="13.5"/>
    <row r="500" s="333" customFormat="1" ht="13.5"/>
    <row r="501" s="333" customFormat="1" ht="13.5"/>
    <row r="502" s="333" customFormat="1" ht="13.5"/>
    <row r="503" s="333" customFormat="1" ht="13.5"/>
    <row r="504" s="333" customFormat="1" ht="13.5"/>
    <row r="505" s="333" customFormat="1" ht="13.5"/>
    <row r="506" s="333" customFormat="1" ht="13.5"/>
    <row r="507" s="333" customFormat="1" ht="13.5"/>
    <row r="508" s="333" customFormat="1" ht="13.5"/>
    <row r="509" s="333" customFormat="1" ht="13.5"/>
    <row r="510" s="333" customFormat="1" ht="13.5"/>
    <row r="511" s="333" customFormat="1" ht="13.5"/>
    <row r="512" s="333" customFormat="1" ht="13.5"/>
    <row r="513" s="333" customFormat="1" ht="13.5"/>
    <row r="514" s="333" customFormat="1" ht="13.5"/>
    <row r="515" s="333" customFormat="1" ht="13.5"/>
    <row r="516" s="333" customFormat="1" ht="13.5"/>
    <row r="517" s="333" customFormat="1" ht="13.5"/>
    <row r="518" s="333" customFormat="1" ht="13.5"/>
    <row r="519" s="333" customFormat="1" ht="13.5"/>
    <row r="520" s="333" customFormat="1" ht="13.5"/>
    <row r="521" s="333" customFormat="1" ht="13.5"/>
    <row r="522" s="333" customFormat="1" ht="13.5"/>
    <row r="523" s="333" customFormat="1" ht="13.5"/>
    <row r="524" s="333" customFormat="1" ht="13.5"/>
    <row r="525" s="333" customFormat="1" ht="13.5"/>
    <row r="526" s="333" customFormat="1" ht="13.5"/>
    <row r="527" s="333" customFormat="1" ht="13.5"/>
    <row r="528" s="333" customFormat="1" ht="13.5"/>
    <row r="529" s="333" customFormat="1" ht="13.5"/>
    <row r="530" s="333" customFormat="1" ht="13.5"/>
    <row r="531" s="333" customFormat="1" ht="13.5"/>
    <row r="532" s="333" customFormat="1" ht="13.5"/>
    <row r="533" s="333" customFormat="1" ht="13.5"/>
    <row r="534" s="333" customFormat="1" ht="13.5"/>
    <row r="535" s="333" customFormat="1" ht="13.5"/>
    <row r="536" s="333" customFormat="1" ht="13.5"/>
    <row r="537" s="333" customFormat="1" ht="13.5"/>
    <row r="538" s="333" customFormat="1" ht="13.5"/>
    <row r="539" s="333" customFormat="1" ht="13.5"/>
    <row r="540" s="333" customFormat="1" ht="13.5"/>
    <row r="541" s="333" customFormat="1" ht="13.5"/>
    <row r="542" s="333" customFormat="1" ht="13.5"/>
    <row r="543" s="333" customFormat="1" ht="13.5"/>
    <row r="544" s="333" customFormat="1" ht="13.5"/>
    <row r="545" s="333" customFormat="1" ht="13.5"/>
    <row r="546" s="333" customFormat="1" ht="13.5"/>
    <row r="547" s="333" customFormat="1" ht="13.5"/>
    <row r="548" s="333" customFormat="1" ht="13.5"/>
    <row r="549" s="333" customFormat="1" ht="13.5"/>
    <row r="550" s="333" customFormat="1" ht="13.5"/>
    <row r="551" s="333" customFormat="1" ht="13.5"/>
    <row r="552" s="333" customFormat="1" ht="13.5"/>
    <row r="553" s="333" customFormat="1" ht="13.5"/>
    <row r="554" s="333" customFormat="1" ht="13.5"/>
    <row r="555" s="333" customFormat="1" ht="13.5"/>
    <row r="556" s="333" customFormat="1" ht="13.5"/>
    <row r="557" s="333" customFormat="1" ht="13.5"/>
    <row r="558" s="333" customFormat="1" ht="13.5"/>
    <row r="559" s="333" customFormat="1" ht="13.5"/>
    <row r="560" s="333" customFormat="1" ht="13.5"/>
    <row r="561" s="333" customFormat="1" ht="13.5"/>
    <row r="562" s="333" customFormat="1" ht="13.5"/>
    <row r="563" s="333" customFormat="1" ht="13.5"/>
    <row r="564" s="333" customFormat="1" ht="13.5"/>
    <row r="565" s="333" customFormat="1" ht="13.5"/>
    <row r="566" s="333" customFormat="1" ht="13.5"/>
    <row r="567" s="333" customFormat="1" ht="13.5"/>
    <row r="568" s="333" customFormat="1" ht="13.5"/>
    <row r="569" s="333" customFormat="1" ht="13.5"/>
    <row r="570" s="333" customFormat="1" ht="13.5"/>
    <row r="571" s="333" customFormat="1" ht="13.5"/>
    <row r="572" s="333" customFormat="1" ht="13.5"/>
    <row r="573" s="333" customFormat="1" ht="13.5"/>
    <row r="574" s="333" customFormat="1" ht="13.5"/>
    <row r="575" s="333" customFormat="1" ht="13.5"/>
    <row r="576" s="333" customFormat="1" ht="13.5"/>
    <row r="577" s="333" customFormat="1" ht="13.5"/>
    <row r="578" s="333" customFormat="1" ht="13.5"/>
    <row r="579" s="333" customFormat="1" ht="13.5"/>
    <row r="580" s="333" customFormat="1" ht="13.5"/>
    <row r="581" s="333" customFormat="1" ht="13.5"/>
    <row r="582" s="333" customFormat="1" ht="13.5"/>
    <row r="583" s="333" customFormat="1" ht="13.5"/>
    <row r="584" s="333" customFormat="1" ht="13.5"/>
    <row r="585" s="333" customFormat="1" ht="13.5"/>
    <row r="586" s="333" customFormat="1" ht="13.5"/>
    <row r="587" s="333" customFormat="1" ht="13.5"/>
    <row r="588" s="333" customFormat="1" ht="13.5"/>
    <row r="589" s="333" customFormat="1" ht="13.5"/>
    <row r="590" s="333" customFormat="1" ht="13.5"/>
    <row r="591" s="333" customFormat="1" ht="13.5"/>
    <row r="592" s="333" customFormat="1" ht="13.5"/>
    <row r="593" s="333" customFormat="1" ht="13.5"/>
    <row r="594" s="333" customFormat="1" ht="13.5"/>
    <row r="595" s="333" customFormat="1" ht="13.5"/>
    <row r="596" s="333" customFormat="1" ht="13.5"/>
    <row r="597" s="333" customFormat="1" ht="13.5"/>
    <row r="598" s="333" customFormat="1" ht="13.5"/>
    <row r="599" s="333" customFormat="1" ht="13.5"/>
    <row r="600" s="333" customFormat="1" ht="13.5"/>
    <row r="601" s="333" customFormat="1" ht="13.5"/>
    <row r="602" s="333" customFormat="1" ht="13.5"/>
    <row r="603" s="333" customFormat="1" ht="13.5"/>
    <row r="604" s="333" customFormat="1" ht="13.5"/>
    <row r="605" s="333" customFormat="1" ht="13.5"/>
    <row r="606" s="333" customFormat="1" ht="13.5"/>
    <row r="607" s="333" customFormat="1" ht="13.5"/>
    <row r="608" s="333" customFormat="1" ht="13.5"/>
    <row r="609" s="333" customFormat="1" ht="13.5"/>
    <row r="610" s="333" customFormat="1" ht="13.5"/>
    <row r="611" s="333" customFormat="1" ht="13.5"/>
    <row r="612" s="333" customFormat="1" ht="13.5"/>
    <row r="613" s="333" customFormat="1" ht="13.5"/>
    <row r="614" s="333" customFormat="1" ht="13.5"/>
    <row r="615" s="333" customFormat="1" ht="13.5"/>
    <row r="616" s="333" customFormat="1" ht="13.5"/>
    <row r="617" s="333" customFormat="1" ht="13.5"/>
    <row r="618" s="333" customFormat="1" ht="13.5"/>
    <row r="619" s="333" customFormat="1" ht="13.5"/>
    <row r="620" s="333" customFormat="1" ht="13.5"/>
    <row r="621" s="333" customFormat="1" ht="13.5"/>
    <row r="622" s="333" customFormat="1" ht="13.5"/>
    <row r="623" s="333" customFormat="1" ht="13.5"/>
    <row r="624" s="333" customFormat="1" ht="13.5"/>
    <row r="625" s="333" customFormat="1" ht="13.5"/>
    <row r="626" s="333" customFormat="1" ht="13.5"/>
    <row r="627" s="333" customFormat="1" ht="13.5"/>
    <row r="628" s="333" customFormat="1" ht="13.5"/>
    <row r="629" s="333" customFormat="1" ht="13.5"/>
    <row r="630" s="333" customFormat="1" ht="13.5"/>
    <row r="631" s="333" customFormat="1" ht="13.5"/>
    <row r="632" s="333" customFormat="1" ht="13.5"/>
    <row r="633" s="333" customFormat="1" ht="13.5"/>
    <row r="634" s="333" customFormat="1" ht="13.5"/>
    <row r="635" s="333" customFormat="1" ht="13.5"/>
    <row r="636" s="333" customFormat="1" ht="13.5"/>
    <row r="637" s="333" customFormat="1" ht="13.5"/>
    <row r="638" s="333" customFormat="1" ht="13.5"/>
    <row r="639" s="333" customFormat="1" ht="13.5"/>
    <row r="640" s="333" customFormat="1" ht="13.5"/>
    <row r="641" s="333" customFormat="1" ht="13.5"/>
    <row r="642" s="333" customFormat="1" ht="13.5"/>
    <row r="643" s="333" customFormat="1" ht="13.5"/>
    <row r="644" s="333" customFormat="1" ht="13.5"/>
    <row r="645" s="333" customFormat="1" ht="13.5"/>
    <row r="646" s="333" customFormat="1" ht="13.5"/>
    <row r="647" s="333" customFormat="1" ht="13.5"/>
    <row r="648" s="333" customFormat="1" ht="13.5"/>
    <row r="649" s="333" customFormat="1" ht="13.5"/>
    <row r="650" s="333" customFormat="1" ht="13.5"/>
    <row r="651" s="333" customFormat="1" ht="13.5"/>
    <row r="652" s="333" customFormat="1" ht="13.5"/>
    <row r="653" s="333" customFormat="1" ht="13.5"/>
    <row r="654" s="333" customFormat="1" ht="13.5"/>
    <row r="655" s="333" customFormat="1" ht="13.5"/>
    <row r="656" s="333" customFormat="1" ht="13.5"/>
    <row r="657" s="333" customFormat="1" ht="13.5"/>
    <row r="658" s="333" customFormat="1" ht="13.5"/>
    <row r="659" s="333" customFormat="1" ht="13.5"/>
    <row r="660" s="333" customFormat="1" ht="13.5"/>
    <row r="661" s="333" customFormat="1" ht="13.5"/>
    <row r="662" s="333" customFormat="1" ht="13.5"/>
    <row r="663" s="333" customFormat="1" ht="13.5"/>
    <row r="664" s="333" customFormat="1" ht="13.5"/>
    <row r="665" s="333" customFormat="1" ht="13.5"/>
    <row r="666" s="333" customFormat="1" ht="13.5"/>
    <row r="667" s="333" customFormat="1" ht="13.5"/>
    <row r="668" s="333" customFormat="1" ht="13.5"/>
    <row r="669" s="333" customFormat="1" ht="13.5"/>
    <row r="670" s="333" customFormat="1" ht="13.5"/>
    <row r="671" s="333" customFormat="1" ht="13.5"/>
    <row r="672" s="333" customFormat="1" ht="13.5"/>
    <row r="673" s="333" customFormat="1" ht="13.5"/>
    <row r="674" s="333" customFormat="1" ht="13.5"/>
    <row r="675" s="333" customFormat="1" ht="13.5"/>
    <row r="676" s="333" customFormat="1" ht="13.5"/>
    <row r="677" s="333" customFormat="1" ht="13.5"/>
    <row r="678" s="333" customFormat="1" ht="13.5"/>
    <row r="679" s="333" customFormat="1" ht="13.5"/>
    <row r="680" s="333" customFormat="1" ht="13.5"/>
    <row r="681" s="333" customFormat="1" ht="13.5"/>
    <row r="682" s="333" customFormat="1" ht="13.5"/>
    <row r="683" s="333" customFormat="1" ht="13.5"/>
    <row r="684" s="333" customFormat="1" ht="13.5"/>
    <row r="685" s="333" customFormat="1" ht="13.5"/>
    <row r="686" s="333" customFormat="1" ht="13.5"/>
    <row r="687" s="333" customFormat="1" ht="13.5"/>
    <row r="688" s="333" customFormat="1" ht="13.5"/>
    <row r="689" s="333" customFormat="1" ht="13.5"/>
    <row r="690" s="333" customFormat="1" ht="13.5"/>
    <row r="691" s="333" customFormat="1" ht="13.5"/>
    <row r="692" s="333" customFormat="1" ht="13.5"/>
    <row r="693" s="333" customFormat="1" ht="13.5"/>
    <row r="694" s="333" customFormat="1" ht="13.5"/>
    <row r="695" s="333" customFormat="1" ht="13.5"/>
    <row r="696" s="333" customFormat="1" ht="13.5"/>
    <row r="697" s="333" customFormat="1" ht="13.5"/>
    <row r="698" s="333" customFormat="1" ht="13.5"/>
    <row r="699" s="333" customFormat="1" ht="13.5"/>
    <row r="700" s="333" customFormat="1" ht="13.5"/>
    <row r="701" s="333" customFormat="1" ht="13.5"/>
    <row r="702" s="333" customFormat="1" ht="13.5"/>
    <row r="703" s="333" customFormat="1" ht="13.5"/>
    <row r="704" s="333" customFormat="1" ht="13.5"/>
    <row r="705" s="333" customFormat="1" ht="13.5"/>
    <row r="706" s="333" customFormat="1" ht="13.5"/>
    <row r="707" s="333" customFormat="1" ht="13.5"/>
    <row r="708" s="333" customFormat="1" ht="13.5"/>
    <row r="709" s="333" customFormat="1" ht="13.5"/>
    <row r="710" s="333" customFormat="1" ht="13.5"/>
    <row r="711" s="333" customFormat="1" ht="13.5"/>
    <row r="712" s="333" customFormat="1" ht="13.5"/>
    <row r="713" s="333" customFormat="1" ht="13.5"/>
    <row r="714" s="333" customFormat="1" ht="13.5"/>
    <row r="715" s="333" customFormat="1" ht="13.5"/>
    <row r="716" s="333" customFormat="1" ht="13.5"/>
    <row r="717" s="333" customFormat="1" ht="13.5"/>
    <row r="718" s="333" customFormat="1" ht="13.5"/>
    <row r="719" s="333" customFormat="1" ht="13.5"/>
    <row r="720" s="333" customFormat="1" ht="13.5"/>
    <row r="721" s="333" customFormat="1" ht="13.5"/>
    <row r="722" s="333" customFormat="1" ht="13.5"/>
    <row r="723" s="333" customFormat="1" ht="13.5"/>
    <row r="724" s="333" customFormat="1" ht="13.5"/>
    <row r="725" s="333" customFormat="1" ht="13.5"/>
    <row r="726" s="333" customFormat="1" ht="13.5"/>
    <row r="727" s="333" customFormat="1" ht="13.5"/>
    <row r="728" s="333" customFormat="1" ht="13.5"/>
    <row r="729" s="333" customFormat="1" ht="13.5"/>
    <row r="730" s="333" customFormat="1" ht="13.5"/>
    <row r="731" s="333" customFormat="1" ht="13.5"/>
    <row r="732" s="333" customFormat="1" ht="13.5"/>
    <row r="733" s="333" customFormat="1" ht="13.5"/>
    <row r="734" s="333" customFormat="1" ht="13.5"/>
    <row r="735" s="333" customFormat="1" ht="13.5"/>
    <row r="736" s="333" customFormat="1" ht="13.5"/>
    <row r="737" s="333" customFormat="1" ht="13.5"/>
    <row r="738" s="333" customFormat="1" ht="13.5"/>
    <row r="739" s="333" customFormat="1" ht="13.5"/>
    <row r="740" s="333" customFormat="1" ht="13.5"/>
    <row r="741" s="333" customFormat="1" ht="13.5"/>
    <row r="742" s="333" customFormat="1" ht="13.5"/>
    <row r="743" s="333" customFormat="1" ht="13.5"/>
    <row r="744" s="333" customFormat="1" ht="13.5"/>
    <row r="745" s="333" customFormat="1" ht="13.5"/>
    <row r="746" s="333" customFormat="1" ht="13.5"/>
    <row r="747" s="333" customFormat="1" ht="13.5"/>
    <row r="748" s="333" customFormat="1" ht="13.5"/>
    <row r="749" s="333" customFormat="1" ht="13.5"/>
    <row r="750" s="333" customFormat="1" ht="13.5"/>
    <row r="751" s="333" customFormat="1" ht="13.5"/>
    <row r="752" s="333" customFormat="1" ht="13.5"/>
    <row r="753" s="333" customFormat="1" ht="13.5"/>
    <row r="754" s="333" customFormat="1" ht="13.5"/>
    <row r="755" s="333" customFormat="1" ht="13.5"/>
    <row r="756" s="333" customFormat="1" ht="13.5"/>
    <row r="757" s="333" customFormat="1" ht="13.5"/>
    <row r="758" s="333" customFormat="1" ht="13.5"/>
    <row r="759" s="333" customFormat="1" ht="13.5"/>
    <row r="760" s="333" customFormat="1" ht="13.5"/>
    <row r="761" s="333" customFormat="1" ht="13.5"/>
    <row r="762" s="333" customFormat="1" ht="13.5"/>
    <row r="763" s="333" customFormat="1" ht="13.5"/>
    <row r="764" s="333" customFormat="1" ht="13.5"/>
    <row r="765" s="333" customFormat="1" ht="13.5"/>
    <row r="766" s="333" customFormat="1" ht="13.5"/>
    <row r="767" s="333" customFormat="1" ht="13.5"/>
    <row r="768" s="333" customFormat="1" ht="13.5"/>
    <row r="769" s="333" customFormat="1" ht="13.5"/>
    <row r="770" s="333" customFormat="1" ht="13.5"/>
    <row r="771" s="333" customFormat="1" ht="13.5"/>
    <row r="772" s="333" customFormat="1" ht="13.5"/>
    <row r="773" s="333" customFormat="1" ht="13.5"/>
    <row r="774" s="333" customFormat="1" ht="13.5"/>
    <row r="775" s="333" customFormat="1" ht="13.5"/>
    <row r="776" s="333" customFormat="1" ht="13.5"/>
    <row r="777" s="333" customFormat="1" ht="13.5"/>
    <row r="778" s="333" customFormat="1" ht="13.5"/>
    <row r="779" s="333" customFormat="1" ht="13.5"/>
    <row r="780" s="333" customFormat="1" ht="13.5"/>
    <row r="781" s="333" customFormat="1" ht="13.5"/>
    <row r="782" s="333" customFormat="1" ht="13.5"/>
    <row r="783" s="333" customFormat="1" ht="13.5"/>
    <row r="784" s="333" customFormat="1" ht="13.5"/>
    <row r="785" s="333" customFormat="1" ht="13.5"/>
    <row r="786" s="333" customFormat="1" ht="13.5"/>
    <row r="787" s="333" customFormat="1" ht="13.5"/>
    <row r="788" s="333" customFormat="1" ht="13.5"/>
    <row r="789" s="333" customFormat="1" ht="13.5"/>
    <row r="790" s="333" customFormat="1" ht="13.5"/>
    <row r="791" s="333" customFormat="1" ht="13.5"/>
    <row r="792" s="333" customFormat="1" ht="13.5"/>
    <row r="793" s="333" customFormat="1" ht="13.5"/>
    <row r="794" s="333" customFormat="1" ht="13.5"/>
    <row r="795" s="333" customFormat="1" ht="13.5"/>
    <row r="796" s="333" customFormat="1" ht="13.5"/>
    <row r="797" s="333" customFormat="1" ht="13.5"/>
    <row r="798" s="333" customFormat="1" ht="13.5"/>
    <row r="799" s="333" customFormat="1" ht="13.5"/>
    <row r="800" s="333" customFormat="1" ht="13.5"/>
    <row r="801" s="333" customFormat="1" ht="13.5"/>
    <row r="802" s="333" customFormat="1" ht="13.5"/>
    <row r="803" s="333" customFormat="1" ht="13.5"/>
    <row r="804" s="333" customFormat="1" ht="13.5"/>
    <row r="805" s="333" customFormat="1" ht="13.5"/>
    <row r="806" s="333" customFormat="1" ht="13.5"/>
    <row r="807" s="333" customFormat="1" ht="13.5"/>
    <row r="808" s="333" customFormat="1" ht="13.5"/>
    <row r="809" s="333" customFormat="1" ht="13.5"/>
    <row r="810" s="333" customFormat="1" ht="13.5"/>
    <row r="811" s="333" customFormat="1" ht="13.5"/>
    <row r="812" s="333" customFormat="1" ht="13.5"/>
    <row r="813" s="333" customFormat="1" ht="13.5"/>
    <row r="814" s="333" customFormat="1" ht="13.5"/>
    <row r="815" s="333" customFormat="1" ht="13.5"/>
    <row r="816" s="333" customFormat="1" ht="13.5"/>
    <row r="817" s="333" customFormat="1" ht="13.5"/>
    <row r="818" s="333" customFormat="1" ht="13.5"/>
    <row r="819" s="333" customFormat="1" ht="13.5"/>
    <row r="820" s="333" customFormat="1" ht="13.5"/>
    <row r="821" s="333" customFormat="1" ht="13.5"/>
    <row r="822" s="333" customFormat="1" ht="13.5"/>
    <row r="823" s="333" customFormat="1" ht="13.5"/>
    <row r="824" s="333" customFormat="1" ht="13.5"/>
    <row r="825" s="333" customFormat="1" ht="13.5"/>
    <row r="826" s="333" customFormat="1" ht="13.5"/>
    <row r="827" s="333" customFormat="1" ht="13.5"/>
    <row r="828" s="333" customFormat="1" ht="13.5"/>
    <row r="829" s="333" customFormat="1" ht="13.5"/>
    <row r="830" s="333" customFormat="1" ht="13.5"/>
    <row r="831" s="333" customFormat="1" ht="13.5"/>
    <row r="832" s="333" customFormat="1" ht="13.5"/>
    <row r="833" s="333" customFormat="1" ht="13.5"/>
    <row r="834" s="333" customFormat="1" ht="13.5"/>
    <row r="835" s="333" customFormat="1" ht="13.5"/>
    <row r="836" s="333" customFormat="1" ht="13.5"/>
    <row r="837" s="333" customFormat="1" ht="13.5"/>
    <row r="838" s="333" customFormat="1" ht="13.5"/>
    <row r="839" s="333" customFormat="1" ht="13.5"/>
    <row r="840" s="333" customFormat="1" ht="13.5"/>
    <row r="841" s="333" customFormat="1" ht="13.5"/>
    <row r="842" s="333" customFormat="1" ht="13.5"/>
    <row r="843" s="333" customFormat="1" ht="13.5"/>
    <row r="844" s="333" customFormat="1" ht="13.5"/>
    <row r="845" s="333" customFormat="1" ht="13.5"/>
    <row r="846" s="333" customFormat="1" ht="13.5"/>
    <row r="847" s="333" customFormat="1" ht="13.5"/>
    <row r="848" s="333" customFormat="1" ht="13.5"/>
    <row r="849" s="333" customFormat="1" ht="13.5"/>
    <row r="850" s="333" customFormat="1" ht="13.5"/>
    <row r="851" s="333" customFormat="1" ht="13.5"/>
    <row r="852" s="333" customFormat="1" ht="13.5"/>
    <row r="853" s="333" customFormat="1" ht="13.5"/>
    <row r="854" s="333" customFormat="1" ht="13.5"/>
    <row r="855" s="333" customFormat="1" ht="13.5"/>
    <row r="856" s="333" customFormat="1" ht="13.5"/>
    <row r="857" s="333" customFormat="1" ht="13.5"/>
    <row r="858" s="333" customFormat="1" ht="13.5"/>
    <row r="859" s="333" customFormat="1" ht="13.5"/>
    <row r="860" s="333" customFormat="1" ht="13.5"/>
    <row r="861" s="333" customFormat="1" ht="13.5"/>
    <row r="862" s="333" customFormat="1" ht="13.5"/>
    <row r="863" s="333" customFormat="1" ht="13.5"/>
    <row r="864" s="333" customFormat="1" ht="13.5"/>
    <row r="865" s="333" customFormat="1" ht="13.5"/>
    <row r="866" s="333" customFormat="1" ht="13.5"/>
    <row r="867" s="333" customFormat="1" ht="13.5"/>
    <row r="868" s="333" customFormat="1" ht="13.5"/>
    <row r="869" s="333" customFormat="1" ht="13.5"/>
    <row r="870" s="333" customFormat="1" ht="13.5"/>
    <row r="871" s="333" customFormat="1" ht="13.5"/>
    <row r="872" s="333" customFormat="1" ht="13.5"/>
    <row r="873" s="333" customFormat="1" ht="13.5"/>
    <row r="874" s="333" customFormat="1" ht="13.5"/>
    <row r="875" s="333" customFormat="1" ht="13.5"/>
    <row r="876" s="333" customFormat="1" ht="13.5"/>
    <row r="877" s="333" customFormat="1" ht="13.5"/>
    <row r="878" s="333" customFormat="1" ht="13.5"/>
    <row r="879" s="333" customFormat="1" ht="13.5"/>
    <row r="880" s="333" customFormat="1" ht="13.5"/>
    <row r="881" s="333" customFormat="1" ht="13.5"/>
    <row r="882" s="333" customFormat="1" ht="13.5"/>
    <row r="883" s="333" customFormat="1" ht="13.5"/>
    <row r="884" s="333" customFormat="1" ht="13.5"/>
    <row r="885" s="333" customFormat="1" ht="13.5"/>
    <row r="886" s="333" customFormat="1" ht="13.5"/>
    <row r="887" s="333" customFormat="1" ht="13.5"/>
    <row r="888" s="333" customFormat="1" ht="13.5"/>
    <row r="889" s="333" customFormat="1" ht="13.5"/>
    <row r="890" s="333" customFormat="1" ht="13.5"/>
    <row r="891" s="333" customFormat="1" ht="13.5"/>
    <row r="892" s="333" customFormat="1" ht="13.5"/>
    <row r="893" s="333" customFormat="1" ht="13.5"/>
    <row r="894" s="333" customFormat="1" ht="13.5"/>
    <row r="895" s="333" customFormat="1" ht="13.5"/>
    <row r="896" s="333" customFormat="1" ht="13.5"/>
    <row r="897" s="333" customFormat="1" ht="13.5"/>
    <row r="898" s="333" customFormat="1" ht="13.5"/>
    <row r="899" s="333" customFormat="1" ht="13.5"/>
    <row r="900" s="333" customFormat="1" ht="13.5"/>
    <row r="901" s="333" customFormat="1" ht="13.5"/>
    <row r="902" s="333" customFormat="1" ht="13.5"/>
    <row r="903" s="333" customFormat="1" ht="13.5"/>
    <row r="904" s="333" customFormat="1" ht="13.5"/>
    <row r="905" s="333" customFormat="1" ht="13.5"/>
    <row r="906" s="333" customFormat="1" ht="13.5"/>
    <row r="907" s="333" customFormat="1" ht="13.5"/>
    <row r="908" s="333" customFormat="1" ht="13.5"/>
    <row r="909" s="333" customFormat="1" ht="13.5"/>
    <row r="910" s="333" customFormat="1" ht="13.5"/>
    <row r="911" s="333" customFormat="1" ht="13.5"/>
    <row r="912" s="333" customFormat="1" ht="13.5"/>
    <row r="913" s="333" customFormat="1" ht="13.5"/>
    <row r="914" s="333" customFormat="1" ht="13.5"/>
    <row r="915" s="333" customFormat="1" ht="13.5"/>
    <row r="916" s="333" customFormat="1" ht="13.5"/>
    <row r="917" s="333" customFormat="1" ht="13.5"/>
    <row r="918" s="333" customFormat="1" ht="13.5"/>
    <row r="919" s="333" customFormat="1" ht="13.5"/>
    <row r="920" s="333" customFormat="1" ht="13.5"/>
    <row r="921" s="333" customFormat="1" ht="13.5"/>
    <row r="922" s="333" customFormat="1" ht="13.5"/>
    <row r="923" s="333" customFormat="1" ht="13.5"/>
    <row r="924" s="333" customFormat="1" ht="13.5"/>
    <row r="925" s="333" customFormat="1" ht="13.5"/>
    <row r="926" s="333" customFormat="1" ht="13.5"/>
    <row r="927" s="333" customFormat="1" ht="13.5"/>
    <row r="928" s="333" customFormat="1" ht="13.5"/>
    <row r="929" s="333" customFormat="1" ht="13.5"/>
    <row r="930" s="333" customFormat="1" ht="13.5"/>
    <row r="931" s="333" customFormat="1" ht="13.5"/>
    <row r="932" s="333" customFormat="1" ht="13.5"/>
    <row r="933" s="333" customFormat="1" ht="13.5"/>
    <row r="934" s="333" customFormat="1" ht="13.5"/>
    <row r="935" s="333" customFormat="1" ht="13.5"/>
    <row r="936" s="333" customFormat="1" ht="13.5"/>
    <row r="937" s="333" customFormat="1" ht="13.5"/>
    <row r="938" s="333" customFormat="1" ht="13.5"/>
    <row r="939" s="333" customFormat="1" ht="13.5"/>
    <row r="940" s="333" customFormat="1" ht="13.5"/>
    <row r="941" s="333" customFormat="1" ht="13.5"/>
    <row r="942" s="333" customFormat="1" ht="13.5"/>
    <row r="943" s="333" customFormat="1" ht="13.5"/>
    <row r="944" s="333" customFormat="1" ht="13.5"/>
    <row r="945" s="333" customFormat="1" ht="13.5"/>
    <row r="946" s="333" customFormat="1" ht="13.5"/>
    <row r="947" s="333" customFormat="1" ht="13.5"/>
    <row r="948" s="333" customFormat="1" ht="13.5"/>
    <row r="949" s="333" customFormat="1" ht="13.5"/>
    <row r="950" s="333" customFormat="1" ht="13.5"/>
    <row r="951" s="333" customFormat="1" ht="13.5"/>
    <row r="952" s="333" customFormat="1" ht="13.5"/>
    <row r="953" s="333" customFormat="1" ht="13.5"/>
    <row r="954" s="333" customFormat="1" ht="13.5"/>
    <row r="955" s="333" customFormat="1" ht="13.5"/>
    <row r="956" s="333" customFormat="1" ht="13.5"/>
    <row r="957" s="333" customFormat="1" ht="13.5"/>
    <row r="958" s="333" customFormat="1" ht="13.5"/>
    <row r="959" s="333" customFormat="1" ht="13.5"/>
    <row r="960" s="333" customFormat="1" ht="13.5"/>
    <row r="961" s="333" customFormat="1" ht="13.5"/>
    <row r="962" s="333" customFormat="1" ht="13.5"/>
    <row r="963" s="333" customFormat="1" ht="13.5"/>
    <row r="964" s="333" customFormat="1" ht="13.5"/>
    <row r="965" s="333" customFormat="1" ht="13.5"/>
    <row r="966" s="333" customFormat="1" ht="13.5"/>
    <row r="967" s="333" customFormat="1" ht="13.5"/>
    <row r="968" s="333" customFormat="1" ht="13.5"/>
    <row r="969" s="333" customFormat="1" ht="13.5"/>
    <row r="970" s="333" customFormat="1" ht="13.5"/>
    <row r="971" s="333" customFormat="1" ht="13.5"/>
    <row r="972" s="333" customFormat="1" ht="13.5"/>
    <row r="973" s="333" customFormat="1" ht="13.5"/>
    <row r="974" s="333" customFormat="1" ht="13.5"/>
    <row r="975" s="333" customFormat="1" ht="13.5"/>
    <row r="976" s="333" customFormat="1" ht="13.5"/>
    <row r="977" s="333" customFormat="1" ht="13.5"/>
    <row r="978" s="333" customFormat="1" ht="13.5"/>
    <row r="979" s="333" customFormat="1" ht="13.5"/>
    <row r="980" s="333" customFormat="1" ht="13.5"/>
    <row r="981" s="333" customFormat="1" ht="13.5"/>
    <row r="982" s="333" customFormat="1" ht="13.5"/>
    <row r="983" s="333" customFormat="1" ht="13.5"/>
    <row r="984" s="333" customFormat="1" ht="13.5"/>
    <row r="985" s="333" customFormat="1" ht="13.5"/>
    <row r="986" s="333" customFormat="1" ht="13.5"/>
    <row r="987" s="333" customFormat="1" ht="13.5"/>
    <row r="988" s="333" customFormat="1" ht="13.5"/>
    <row r="989" s="333" customFormat="1" ht="13.5"/>
    <row r="990" s="333" customFormat="1" ht="13.5"/>
    <row r="991" s="333" customFormat="1" ht="13.5"/>
    <row r="992" s="333" customFormat="1" ht="13.5"/>
    <row r="993" s="333" customFormat="1" ht="13.5"/>
    <row r="994" s="333" customFormat="1" ht="13.5"/>
    <row r="995" s="333" customFormat="1" ht="13.5"/>
    <row r="996" s="333" customFormat="1" ht="13.5"/>
    <row r="997" s="333" customFormat="1" ht="13.5"/>
    <row r="998" s="333" customFormat="1" ht="13.5"/>
    <row r="999" s="333" customFormat="1" ht="13.5"/>
    <row r="1000" s="333" customFormat="1" ht="13.5"/>
    <row r="1001" s="333" customFormat="1" ht="13.5"/>
    <row r="1002" s="333" customFormat="1" ht="13.5"/>
    <row r="1003" s="333" customFormat="1" ht="13.5"/>
    <row r="1004" s="333" customFormat="1" ht="13.5"/>
    <row r="1005" s="333" customFormat="1" ht="13.5"/>
    <row r="1006" s="333" customFormat="1" ht="13.5"/>
    <row r="1007" s="333" customFormat="1" ht="13.5"/>
    <row r="1008" s="333" customFormat="1" ht="13.5"/>
    <row r="1009" s="333" customFormat="1" ht="13.5"/>
    <row r="1010" s="333" customFormat="1" ht="13.5"/>
    <row r="1011" s="333" customFormat="1" ht="13.5"/>
    <row r="1012" s="333" customFormat="1" ht="13.5"/>
    <row r="1013" s="333" customFormat="1" ht="13.5"/>
    <row r="1014" s="333" customFormat="1" ht="13.5"/>
    <row r="1015" s="333" customFormat="1" ht="13.5"/>
    <row r="1016" s="333" customFormat="1" ht="13.5"/>
    <row r="1017" s="333" customFormat="1" ht="13.5"/>
    <row r="1018" s="333" customFormat="1" ht="13.5"/>
    <row r="1019" s="333" customFormat="1" ht="13.5"/>
    <row r="1020" s="333" customFormat="1" ht="13.5"/>
    <row r="1021" s="333" customFormat="1" ht="13.5"/>
    <row r="1022" s="333" customFormat="1" ht="13.5"/>
    <row r="1023" s="333" customFormat="1" ht="13.5"/>
    <row r="1024" s="333" customFormat="1" ht="13.5"/>
    <row r="1025" s="333" customFormat="1" ht="13.5"/>
    <row r="1026" s="333" customFormat="1" ht="13.5"/>
    <row r="1027" s="333" customFormat="1" ht="13.5"/>
    <row r="1028" s="333" customFormat="1" ht="13.5"/>
    <row r="1029" s="333" customFormat="1" ht="13.5"/>
    <row r="1030" s="333" customFormat="1" ht="13.5"/>
    <row r="1031" s="333" customFormat="1" ht="13.5"/>
  </sheetData>
  <dataConsolidate/>
  <mergeCells count="2">
    <mergeCell ref="B2:F2"/>
    <mergeCell ref="G2:J2"/>
  </mergeCells>
  <phoneticPr fontId="35" type="noConversion"/>
  <dataValidations count="1">
    <dataValidation type="decimal" operator="notEqual" showInputMessage="1" showErrorMessage="1" errorTitle="请添加或更新经营模型的收入成本数据" error="请添加或更新经营模型的收入成本数据" sqref="F4:K5" xr:uid="{B513113A-2E5C-480E-9375-4EB4C6BB9DFE}">
      <formula1>1</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162"/>
  <sheetViews>
    <sheetView workbookViewId="0">
      <pane xSplit="2" ySplit="2" topLeftCell="C150" activePane="bottomRight" state="frozenSplit"/>
      <selection pane="topRight"/>
      <selection pane="bottomLeft"/>
      <selection pane="bottomRight" activeCell="D179" sqref="D179"/>
    </sheetView>
  </sheetViews>
  <sheetFormatPr defaultColWidth="9" defaultRowHeight="13.9"/>
  <cols>
    <col min="1" max="1" width="2.73046875" style="26" hidden="1" customWidth="1"/>
    <col min="2" max="2" width="30.73046875" style="26" customWidth="1"/>
    <col min="3" max="3" width="16.46484375" style="26" customWidth="1"/>
    <col min="4" max="4" width="9.06640625" style="26" customWidth="1"/>
    <col min="5" max="7" width="9.265625" style="26" customWidth="1"/>
    <col min="8" max="8" width="9.33203125" style="26" customWidth="1"/>
    <col min="9" max="17" width="9.265625" style="26" customWidth="1"/>
    <col min="18" max="16384" width="9" style="26"/>
  </cols>
  <sheetData>
    <row r="1" spans="1:20">
      <c r="D1" s="437" t="s">
        <v>741</v>
      </c>
      <c r="E1" s="437"/>
      <c r="F1" s="437"/>
      <c r="G1" s="437"/>
      <c r="H1" s="437"/>
      <c r="I1" s="437" t="s">
        <v>742</v>
      </c>
      <c r="J1" s="437"/>
      <c r="K1" s="437"/>
      <c r="L1" s="437"/>
      <c r="M1" s="437"/>
      <c r="N1" s="437"/>
      <c r="O1" s="437"/>
      <c r="P1" s="437"/>
      <c r="Q1" s="437"/>
      <c r="R1" s="437"/>
    </row>
    <row r="2" spans="1:20">
      <c r="C2" s="26" t="s">
        <v>743</v>
      </c>
      <c r="D2" s="78">
        <f>历史数据!C1</f>
        <v>2021</v>
      </c>
      <c r="E2" s="78">
        <f>历史数据!D1</f>
        <v>2022</v>
      </c>
      <c r="F2" s="78">
        <f>历史数据!E1</f>
        <v>2023</v>
      </c>
      <c r="G2" s="78">
        <f>历史数据!F1</f>
        <v>2024</v>
      </c>
      <c r="H2" s="78">
        <f>历史数据!G1</f>
        <v>2025</v>
      </c>
      <c r="I2" s="85">
        <f>H2+1</f>
        <v>2026</v>
      </c>
      <c r="J2" s="85">
        <f t="shared" ref="J2:R2" si="0">I2+1</f>
        <v>2027</v>
      </c>
      <c r="K2" s="85">
        <f t="shared" si="0"/>
        <v>2028</v>
      </c>
      <c r="L2" s="85">
        <f t="shared" si="0"/>
        <v>2029</v>
      </c>
      <c r="M2" s="85">
        <f t="shared" si="0"/>
        <v>2030</v>
      </c>
      <c r="N2" s="85">
        <f t="shared" si="0"/>
        <v>2031</v>
      </c>
      <c r="O2" s="85">
        <f t="shared" si="0"/>
        <v>2032</v>
      </c>
      <c r="P2" s="85">
        <f t="shared" si="0"/>
        <v>2033</v>
      </c>
      <c r="Q2" s="85">
        <f t="shared" si="0"/>
        <v>2034</v>
      </c>
      <c r="R2" s="85">
        <f t="shared" si="0"/>
        <v>2035</v>
      </c>
      <c r="S2" s="85">
        <f t="shared" ref="S2" si="1">R2+1</f>
        <v>2036</v>
      </c>
      <c r="T2" s="85">
        <f t="shared" ref="T2" si="2">S2+1</f>
        <v>2037</v>
      </c>
    </row>
    <row r="3" spans="1:20" ht="21.75" customHeight="1">
      <c r="A3" s="187" t="s">
        <v>744</v>
      </c>
    </row>
    <row r="4" spans="1:20">
      <c r="B4" s="26" t="s">
        <v>745</v>
      </c>
      <c r="C4" s="26" t="s">
        <v>746</v>
      </c>
      <c r="D4" s="83"/>
      <c r="E4" s="216">
        <f>历史数据及预测表!E107/历史数据及预测表!D107-1</f>
        <v>2.6129472845099588E-2</v>
      </c>
      <c r="F4" s="216">
        <f>历史数据及预测表!F107/历史数据及预测表!E107-1</f>
        <v>-0.16277964233464493</v>
      </c>
      <c r="G4" s="216">
        <f>历史数据及预测表!G107/历史数据及预测表!F107-1</f>
        <v>-7.0250496070820456E-2</v>
      </c>
      <c r="H4" s="217">
        <f>历史数据及预测表!H107/历史数据及预测表!G107-1</f>
        <v>0.12542811336492843</v>
      </c>
      <c r="I4" s="220">
        <f>经营模型!H4/经营模型!G4-1</f>
        <v>0.75233715868268769</v>
      </c>
      <c r="J4" s="220">
        <f>经营模型!I4/经营模型!H4-1</f>
        <v>0.27507620684396961</v>
      </c>
      <c r="K4" s="220">
        <f>经营模型!J4/经营模型!I4-1</f>
        <v>0.18251654052296851</v>
      </c>
      <c r="L4" s="220">
        <f>经营模型!K4/经营模型!J4-1</f>
        <v>0.17622244040215929</v>
      </c>
      <c r="M4" s="221">
        <f>IF(ISERR(AVERAGE($J$4:$L$4)),0,AVERAGE($J$4:$L$4))</f>
        <v>0.21127172925636581</v>
      </c>
      <c r="N4" s="221">
        <f>IF(ISERR(AVERAGE($K$4:$M$4)),0,AVERAGE($K$4:$M$4))</f>
        <v>0.19000357006049787</v>
      </c>
      <c r="O4" s="221">
        <f>IF(ISERR(AVERAGE($L$4:$N$4)),0,AVERAGE($L$4:$N$4))</f>
        <v>0.19249924657300765</v>
      </c>
      <c r="P4" s="221">
        <f>IF(ISERR(AVERAGE($M$4:$O$4)),0,AVERAGE($M$4:$O$4))</f>
        <v>0.1979248486299571</v>
      </c>
      <c r="Q4" s="221">
        <f>IF(ISERR(AVERAGE($N$4:$P$4)),0,AVERAGE($N$4:$P$4))</f>
        <v>0.19347588842115418</v>
      </c>
      <c r="R4" s="221">
        <f>IF(ISERR(AVERAGE($O$4:$Q$4)),0,AVERAGE($O$4:$Q$4))</f>
        <v>0.1946333278747063</v>
      </c>
      <c r="S4" s="221">
        <f t="shared" ref="S4:T4" si="3">IF(ISERR(AVERAGE($O$4:$Q$4)),0,AVERAGE($O$4:$Q$4))</f>
        <v>0.1946333278747063</v>
      </c>
      <c r="T4" s="221">
        <f t="shared" si="3"/>
        <v>0.1946333278747063</v>
      </c>
    </row>
    <row r="5" spans="1:20">
      <c r="B5" s="26" t="s">
        <v>747</v>
      </c>
      <c r="C5" s="26" t="s">
        <v>746</v>
      </c>
      <c r="D5" s="83"/>
      <c r="E5" s="216">
        <f>IF(历史数据及预测表!E108=历史数据及预测表!D108,0%,历史数据及预测表!E108/历史数据及预测表!D108-1)</f>
        <v>0</v>
      </c>
      <c r="F5" s="216">
        <f>IF(历史数据及预测表!F108=历史数据及预测表!E108,0%,历史数据及预测表!F108/历史数据及预测表!E108-1)</f>
        <v>0</v>
      </c>
      <c r="G5" s="216">
        <f>IF(历史数据及预测表!G108=历史数据及预测表!F108,0%,历史数据及预测表!G108/历史数据及预测表!F108-1)</f>
        <v>0</v>
      </c>
      <c r="H5" s="217">
        <f>IF(历史数据及预测表!H108=历史数据及预测表!G108,0%,历史数据及预测表!H108/历史数据及预测表!G108-1)</f>
        <v>0</v>
      </c>
      <c r="I5" s="220">
        <f>IF(经营模型!G7=0,0%,经营模型!H7/经营模型!G7-1)</f>
        <v>0</v>
      </c>
      <c r="J5" s="220">
        <f>IF(经营模型!H7=0,0%,经营模型!I7/经营模型!H7-1)</f>
        <v>0</v>
      </c>
      <c r="K5" s="220">
        <f>IF(经营模型!I7=0,0%,经营模型!J7/经营模型!I7-1)</f>
        <v>0</v>
      </c>
      <c r="L5" s="220">
        <f>IF(经营模型!J7=0,0%,经营模型!K7/经营模型!J7-1)</f>
        <v>0</v>
      </c>
      <c r="M5" s="221">
        <f>IF(ISERR(AVERAGE($J$5:$L$5)),0,AVERAGE($J$5:$L$5))</f>
        <v>0</v>
      </c>
      <c r="N5" s="221">
        <f>IF(ISERR(AVERAGE($K$5:$M$5)),0,AVERAGE($K$5:$M$5))</f>
        <v>0</v>
      </c>
      <c r="O5" s="221">
        <f>IF(ISERR(AVERAGE($L$5:$N$5)),0,AVERAGE($L$5:$N$5))</f>
        <v>0</v>
      </c>
      <c r="P5" s="221">
        <f>IF(ISERR(AVERAGE($M$5:$O$5)),0,AVERAGE($M$5:$O$5))</f>
        <v>0</v>
      </c>
      <c r="Q5" s="221">
        <f>IF(ISERR(AVERAGE($N$5:$P$5)),0,AVERAGE($N$5:$P$5))</f>
        <v>0</v>
      </c>
      <c r="R5" s="221">
        <f>IF(ISERR(AVERAGE($O$5:$Q$5)),0,AVERAGE($O$5:$Q$5))</f>
        <v>0</v>
      </c>
      <c r="S5" s="221">
        <f t="shared" ref="S5:T5" si="4">IF(ISERR(AVERAGE($O$5:$Q$5)),0,AVERAGE($O$5:$Q$5))</f>
        <v>0</v>
      </c>
      <c r="T5" s="221">
        <f t="shared" si="4"/>
        <v>0</v>
      </c>
    </row>
    <row r="6" spans="1:20">
      <c r="B6" s="26" t="s">
        <v>748</v>
      </c>
      <c r="C6" s="26" t="s">
        <v>746</v>
      </c>
      <c r="D6" s="216">
        <f>历史数据及预测表!D110/历史数据及预测表!D107</f>
        <v>0.63043425726038704</v>
      </c>
      <c r="E6" s="216">
        <f>历史数据及预测表!E110/历史数据及预测表!E107</f>
        <v>0.61441593695758223</v>
      </c>
      <c r="F6" s="216">
        <f>历史数据及预测表!F110/历史数据及预测表!F107</f>
        <v>0.62901064912711646</v>
      </c>
      <c r="G6" s="216">
        <f>历史数据及预测表!G110/历史数据及预测表!G107</f>
        <v>0.63270801725118875</v>
      </c>
      <c r="H6" s="217">
        <f>历史数据及预测表!H110/历史数据及预测表!H107</f>
        <v>0.65913544118440903</v>
      </c>
      <c r="I6" s="220">
        <f>经营模型!H5/经营模型!H4</f>
        <v>0.50340847535472644</v>
      </c>
      <c r="J6" s="220">
        <f>经营模型!I5/经营模型!I4</f>
        <v>0.533872062387863</v>
      </c>
      <c r="K6" s="220">
        <f>经营模型!J5/经营模型!J4</f>
        <v>0.59055148697525317</v>
      </c>
      <c r="L6" s="220">
        <f>经营模型!K5/经营模型!K4</f>
        <v>0.60229702751980418</v>
      </c>
      <c r="M6" s="221">
        <f>IF(ISERR(AVERAGE($J$6:$L$6)),0,AVERAGE($J$6:$L$6))</f>
        <v>0.57557352562764008</v>
      </c>
      <c r="N6" s="221">
        <f>IF(ISERR(AVERAGE($K$6:$M$6)),0,AVERAGE($K$6:$M$6))</f>
        <v>0.58947401337423244</v>
      </c>
      <c r="O6" s="221">
        <f>IF(ISERR(AVERAGE($L$6:$N$6)),0,AVERAGE($L$6:$N$6))</f>
        <v>0.58911485550722553</v>
      </c>
      <c r="P6" s="221">
        <f>IF(ISERR(AVERAGE($M$6:$O$6)),0,AVERAGE($M$6:$O$6))</f>
        <v>0.58472079816969924</v>
      </c>
      <c r="Q6" s="221">
        <f>IF(ISERR(AVERAGE($N$6:$P$6)),0,AVERAGE($N$6:$P$6))</f>
        <v>0.58776988901705229</v>
      </c>
      <c r="R6" s="221">
        <f>IF(ISERR(AVERAGE($O$6:$Q$6)),0,AVERAGE($O$6:$Q$6))</f>
        <v>0.5872018475646591</v>
      </c>
      <c r="S6" s="221">
        <f t="shared" ref="S6:T6" si="5">IF(ISERR(AVERAGE($O$6:$Q$6)),0,AVERAGE($O$6:$Q$6))</f>
        <v>0.5872018475646591</v>
      </c>
      <c r="T6" s="221">
        <f t="shared" si="5"/>
        <v>0.5872018475646591</v>
      </c>
    </row>
    <row r="7" spans="1:20">
      <c r="B7" s="26" t="s">
        <v>749</v>
      </c>
      <c r="C7" s="26" t="s">
        <v>746</v>
      </c>
      <c r="D7" s="216">
        <f>IF(历史数据及预测表!D108=历史数据及预测表!D116,0%,历史数据及预测表!D116/历史数据及预测表!D108)</f>
        <v>0</v>
      </c>
      <c r="E7" s="216">
        <f>IF(历史数据及预测表!E108=历史数据及预测表!E116,0%,历史数据及预测表!E116/历史数据及预测表!E108)</f>
        <v>0</v>
      </c>
      <c r="F7" s="216">
        <f>IF(历史数据及预测表!F108=历史数据及预测表!F116,0%,历史数据及预测表!F116/历史数据及预测表!F108)</f>
        <v>0</v>
      </c>
      <c r="G7" s="216">
        <f>IF(历史数据及预测表!G108=历史数据及预测表!G116,0%,历史数据及预测表!G116/历史数据及预测表!G108)</f>
        <v>0</v>
      </c>
      <c r="H7" s="217">
        <f>IF(历史数据及预测表!H108=历史数据及预测表!H116,0%,历史数据及预测表!H116/历史数据及预测表!H108)</f>
        <v>0</v>
      </c>
      <c r="I7" s="220">
        <f>IF(经营模型!G8=0,0%,经营模型!H8/经营模型!H7)</f>
        <v>0</v>
      </c>
      <c r="J7" s="220">
        <f>IF(经营模型!H8=0,0%,经营模型!I8/经营模型!I7)</f>
        <v>0</v>
      </c>
      <c r="K7" s="220">
        <f>IF(经营模型!I8=0,0%,经营模型!J8/经营模型!J7)</f>
        <v>0</v>
      </c>
      <c r="L7" s="220">
        <f>IF(经营模型!J8=0,0%,经营模型!K8/经营模型!K7)</f>
        <v>0</v>
      </c>
      <c r="M7" s="221">
        <f>IF(ISERR(AVERAGE($J$7:$L$7)),0,AVERAGE($J$7:$L$7))</f>
        <v>0</v>
      </c>
      <c r="N7" s="221">
        <f>IF(ISERR(AVERAGE($K$7:$M$7)),0,AVERAGE($K$7:$M$7))</f>
        <v>0</v>
      </c>
      <c r="O7" s="221">
        <f>IF(ISERR(AVERAGE($L$7:$N$7)),0,AVERAGE($L$7:$N$7))</f>
        <v>0</v>
      </c>
      <c r="P7" s="221">
        <f>IF(ISERR(AVERAGE($M$7:$O$7)),0,AVERAGE($M$7:$O$7))</f>
        <v>0</v>
      </c>
      <c r="Q7" s="221">
        <f>IF(ISERR(AVERAGE($N$7:$P$7)),0,AVERAGE($N$7:$P$7))</f>
        <v>0</v>
      </c>
      <c r="R7" s="221">
        <f>IF(ISERR(AVERAGE($O$7:$Q$7)),0,AVERAGE($O$7:$Q$7))</f>
        <v>0</v>
      </c>
      <c r="S7" s="221">
        <f t="shared" ref="S7:T7" si="6">IF(ISERR(AVERAGE($O$7:$Q$7)),0,AVERAGE($O$7:$Q$7))</f>
        <v>0</v>
      </c>
      <c r="T7" s="221">
        <f t="shared" si="6"/>
        <v>0</v>
      </c>
    </row>
    <row r="8" spans="1:20">
      <c r="B8" s="26" t="s">
        <v>750</v>
      </c>
      <c r="C8" s="26" t="s">
        <v>746</v>
      </c>
      <c r="D8" s="216">
        <f>历史数据及预测表!D111/历史数据及预测表!D107</f>
        <v>2.1435372511768385E-3</v>
      </c>
      <c r="E8" s="216">
        <f>历史数据及预测表!E111/历史数据及预测表!E107</f>
        <v>1.2301939509430768E-3</v>
      </c>
      <c r="F8" s="216">
        <f>历史数据及预测表!F111/历史数据及预测表!F107</f>
        <v>2.2230520304033592E-3</v>
      </c>
      <c r="G8" s="216">
        <f>历史数据及预测表!G111/历史数据及预测表!G107</f>
        <v>2.0434364770225838E-3</v>
      </c>
      <c r="H8" s="217">
        <f>历史数据及预测表!H111/历史数据及预测表!H107</f>
        <v>2.768847243705842E-3</v>
      </c>
      <c r="I8" s="221">
        <f>IF(ISERR(AVERAGE($F$8:$H$8)),0,AVERAGE($F$8:$H$8))</f>
        <v>2.3451119170439286E-3</v>
      </c>
      <c r="J8" s="221">
        <f>IF(ISERR(AVERAGE($G$8:$I$8)),0,AVERAGE($G$8:$I$8))</f>
        <v>2.3857985459241181E-3</v>
      </c>
      <c r="K8" s="221">
        <f>IF(ISERR(AVERAGE($H$8:$J$8)),0,AVERAGE($H$8:$J$8))</f>
        <v>2.4999192355579631E-3</v>
      </c>
      <c r="L8" s="221">
        <f>IF(ISERR(AVERAGE($I$8:$K$8)),0,AVERAGE($I$8:$K$8))</f>
        <v>2.4102765661753369E-3</v>
      </c>
      <c r="M8" s="221">
        <f>IF(ISERR(AVERAGE($J$8:$L$8)),0,AVERAGE($J$8:$L$8))</f>
        <v>2.431998115885806E-3</v>
      </c>
      <c r="N8" s="221">
        <f>IF(ISERR(AVERAGE($K$8:$M$8)),0,AVERAGE($K$8:$M$8))</f>
        <v>2.447397972539702E-3</v>
      </c>
      <c r="O8" s="221">
        <f>IF(ISERR(AVERAGE($L$8:$N$8)),0,AVERAGE($L$8:$N$8))</f>
        <v>2.429890884866948E-3</v>
      </c>
      <c r="P8" s="221">
        <f>IF(ISERR(AVERAGE($M$8:$O$8)),0,AVERAGE($M$8:$O$8))</f>
        <v>2.4364289910974849E-3</v>
      </c>
      <c r="Q8" s="221">
        <f>IF(ISERR(AVERAGE($N$8:$P$8)),0,AVERAGE($N$8:$P$8))</f>
        <v>2.4379059495013779E-3</v>
      </c>
      <c r="R8" s="221">
        <f>IF(ISERR(AVERAGE($O$8:$Q$8)),0,AVERAGE($O$8:$Q$8))</f>
        <v>2.4347419418219371E-3</v>
      </c>
      <c r="S8" s="221">
        <f t="shared" ref="S8:T8" si="7">IF(ISERR(AVERAGE($O$8:$Q$8)),0,AVERAGE($O$8:$Q$8))</f>
        <v>2.4347419418219371E-3</v>
      </c>
      <c r="T8" s="221">
        <f t="shared" si="7"/>
        <v>2.4347419418219371E-3</v>
      </c>
    </row>
    <row r="9" spans="1:20">
      <c r="B9" s="26" t="s">
        <v>751</v>
      </c>
      <c r="C9" s="26" t="s">
        <v>1675</v>
      </c>
      <c r="D9" s="216">
        <f>历史数据及预测表!D112/历史数据及预测表!D107</f>
        <v>4.9036991358394399E-2</v>
      </c>
      <c r="E9" s="216">
        <f>历史数据及预测表!E112/历史数据及预测表!E107</f>
        <v>5.3833948329998084E-2</v>
      </c>
      <c r="F9" s="216">
        <f>历史数据及预测表!F112/历史数据及预测表!F107</f>
        <v>6.9096808236050689E-2</v>
      </c>
      <c r="G9" s="216">
        <f>历史数据及预测表!G112/历史数据及预测表!G107</f>
        <v>6.9932226356543087E-2</v>
      </c>
      <c r="H9" s="217">
        <f>历史数据及预测表!H112/历史数据及预测表!H107</f>
        <v>6.7461123470382259E-2</v>
      </c>
      <c r="I9" s="221">
        <f>历史数据及预测表!H112*(1+20%)/历史数据及预测表!I$106</f>
        <v>4.6197358632350791E-2</v>
      </c>
      <c r="J9" s="221">
        <f>历史数据及预测表!I112*(1+18%)/历史数据及预测表!J$106</f>
        <v>4.275264717008765E-2</v>
      </c>
      <c r="K9" s="221">
        <f>历史数据及预测表!J112*(1+16%)/历史数据及预测表!K$106</f>
        <v>4.1938585227204617E-2</v>
      </c>
      <c r="L9" s="221">
        <f>$K$9</f>
        <v>4.1938585227204617E-2</v>
      </c>
      <c r="M9" s="221">
        <f>$L$9</f>
        <v>4.1938585227204617E-2</v>
      </c>
      <c r="N9" s="221">
        <f>$M$9</f>
        <v>4.1938585227204617E-2</v>
      </c>
      <c r="O9" s="221">
        <f>$N$9</f>
        <v>4.1938585227204617E-2</v>
      </c>
      <c r="P9" s="221">
        <f>$O$9</f>
        <v>4.1938585227204617E-2</v>
      </c>
      <c r="Q9" s="221">
        <f>$P$9</f>
        <v>4.1938585227204617E-2</v>
      </c>
      <c r="R9" s="221">
        <f>$Q$9</f>
        <v>4.1938585227204617E-2</v>
      </c>
      <c r="S9" s="221">
        <f>$R$9</f>
        <v>4.1938585227204617E-2</v>
      </c>
      <c r="T9" s="221">
        <f>$S$9</f>
        <v>4.1938585227204617E-2</v>
      </c>
    </row>
    <row r="10" spans="1:20">
      <c r="B10" s="26" t="s">
        <v>752</v>
      </c>
      <c r="C10" s="26" t="s">
        <v>1675</v>
      </c>
      <c r="D10" s="216">
        <f>历史数据及预测表!D113/历史数据及预测表!D107</f>
        <v>3.0265180517782316E-2</v>
      </c>
      <c r="E10" s="216">
        <f>历史数据及预测表!E113/历史数据及预测表!E107</f>
        <v>3.0694665602220655E-2</v>
      </c>
      <c r="F10" s="216">
        <f>历史数据及预测表!F113/历史数据及预测表!F107</f>
        <v>3.9472981446640402E-2</v>
      </c>
      <c r="G10" s="216">
        <f>历史数据及预测表!G113/历史数据及预测表!G107</f>
        <v>5.1076968641479766E-2</v>
      </c>
      <c r="H10" s="217">
        <f>历史数据及预测表!H113/历史数据及预测表!H107</f>
        <v>5.6558451407118446E-2</v>
      </c>
      <c r="I10" s="221">
        <f>历史数据及预测表!H113*(1+20%)/历史数据及预测表!I$106</f>
        <v>3.8731211828871584E-2</v>
      </c>
      <c r="J10" s="221">
        <f>历史数据及预测表!I113*(1+18%)/历史数据及预测表!J$106</f>
        <v>3.5843214478286554E-2</v>
      </c>
      <c r="K10" s="221">
        <f>历史数据及预测表!J113*(1+16%)/历史数据及预测表!K$106</f>
        <v>3.5160716463572217E-2</v>
      </c>
      <c r="L10" s="221">
        <f>$K$10</f>
        <v>3.5160716463572217E-2</v>
      </c>
      <c r="M10" s="221">
        <f>$L$10</f>
        <v>3.5160716463572217E-2</v>
      </c>
      <c r="N10" s="221">
        <f>$M$10</f>
        <v>3.5160716463572217E-2</v>
      </c>
      <c r="O10" s="221">
        <f>$N$10</f>
        <v>3.5160716463572217E-2</v>
      </c>
      <c r="P10" s="221">
        <f>$O$10</f>
        <v>3.5160716463572217E-2</v>
      </c>
      <c r="Q10" s="221">
        <f>$P$10</f>
        <v>3.5160716463572217E-2</v>
      </c>
      <c r="R10" s="221">
        <f>$Q$10</f>
        <v>3.5160716463572217E-2</v>
      </c>
      <c r="S10" s="221">
        <f>$R$10</f>
        <v>3.5160716463572217E-2</v>
      </c>
      <c r="T10" s="221">
        <f>$S$10</f>
        <v>3.5160716463572217E-2</v>
      </c>
    </row>
    <row r="11" spans="1:20">
      <c r="B11" s="26" t="s">
        <v>753</v>
      </c>
      <c r="C11" s="26" t="s">
        <v>1675</v>
      </c>
      <c r="D11" s="216">
        <f>历史数据及预测表!D114/历史数据及预测表!D107</f>
        <v>9.8823488050837363E-2</v>
      </c>
      <c r="E11" s="216">
        <f>历史数据及预测表!E114/历史数据及预测表!E107</f>
        <v>0.11855978234805283</v>
      </c>
      <c r="F11" s="216">
        <f>历史数据及预测表!F114/历史数据及预测表!F107</f>
        <v>0.15633562404718385</v>
      </c>
      <c r="G11" s="216">
        <f>历史数据及预测表!G114/历史数据及预测表!G107</f>
        <v>0.16173735351539326</v>
      </c>
      <c r="H11" s="216">
        <f>历史数据及预测表!H114/历史数据及预测表!H107</f>
        <v>0.15018464903460113</v>
      </c>
      <c r="I11" s="221">
        <f>历史数据及预测表!H114*(1+20%)/历史数据及预测表!I$106</f>
        <v>0.10284640598331099</v>
      </c>
      <c r="J11" s="221">
        <f>历史数据及预测表!I114*(1+20%)/历史数据及预测表!J$106</f>
        <v>9.6790832200883109E-2</v>
      </c>
      <c r="K11" s="221">
        <f>历史数据及预测表!J114*(1+20%)/历史数据及预测表!K$106</f>
        <v>9.8221880760917549E-2</v>
      </c>
      <c r="L11" s="221">
        <f>$K$11</f>
        <v>9.8221880760917549E-2</v>
      </c>
      <c r="M11" s="221">
        <f>$L$11</f>
        <v>9.8221880760917549E-2</v>
      </c>
      <c r="N11" s="221">
        <f>$M$11</f>
        <v>9.8221880760917549E-2</v>
      </c>
      <c r="O11" s="221">
        <f>$N$11</f>
        <v>9.8221880760917549E-2</v>
      </c>
      <c r="P11" s="221">
        <f>$O$11</f>
        <v>9.8221880760917549E-2</v>
      </c>
      <c r="Q11" s="221">
        <f>$P$11</f>
        <v>9.8221880760917549E-2</v>
      </c>
      <c r="R11" s="221">
        <f>$Q$11</f>
        <v>9.8221880760917549E-2</v>
      </c>
      <c r="S11" s="221">
        <f>$R$11</f>
        <v>9.8221880760917549E-2</v>
      </c>
      <c r="T11" s="221">
        <f>$S$11</f>
        <v>9.8221880760917549E-2</v>
      </c>
    </row>
    <row r="12" spans="1:20">
      <c r="B12" s="26" t="s">
        <v>754</v>
      </c>
      <c r="C12" s="26" t="s">
        <v>746</v>
      </c>
      <c r="D12" s="218">
        <f>历史数据及预测表!D117</f>
        <v>6.36295E-3</v>
      </c>
      <c r="E12" s="218">
        <f>历史数据及预测表!E117</f>
        <v>0.75596820999999992</v>
      </c>
      <c r="F12" s="218">
        <f>历史数据及预测表!F117</f>
        <v>2.5300603399999999</v>
      </c>
      <c r="G12" s="218">
        <f>历史数据及预测表!G117</f>
        <v>2.7224780000000002</v>
      </c>
      <c r="H12" s="122">
        <f>历史数据及预测表!H117</f>
        <v>2.52238988</v>
      </c>
      <c r="I12" s="222">
        <f>IF(ISERR(AVERAGE($F$12:$H$12)),0,AVERAGE($F$12:$H$12))</f>
        <v>2.5916427399999997</v>
      </c>
      <c r="J12" s="222">
        <f>IF(ISERR(AVERAGE($G$12:$I$12)),0,AVERAGE($G$12:$I$12))</f>
        <v>2.6121702066666668</v>
      </c>
      <c r="K12" s="222">
        <f>IF(ISERR(AVERAGE($H$12:$J$12)),0,AVERAGE($H$12:$J$12))</f>
        <v>2.5754009422222222</v>
      </c>
      <c r="L12" s="222">
        <f>IF(ISERR(AVERAGE($I$12:$K$12)),0,AVERAGE($I$12:$K$12))</f>
        <v>2.5930712962962961</v>
      </c>
      <c r="M12" s="222">
        <f>IF(ISERR(AVERAGE($J$12:$L$12)),0,AVERAGE($J$12:$L$12))</f>
        <v>2.593547481728395</v>
      </c>
      <c r="N12" s="222">
        <f>IF(ISERR(AVERAGE($K$12:$M$12)),0,AVERAGE($K$12:$M$12))</f>
        <v>2.5873399067489711</v>
      </c>
      <c r="O12" s="222">
        <f>IF(ISERR(AVERAGE($L$12:$N$12)),0,AVERAGE($L$12:$N$12))</f>
        <v>2.5913195615912206</v>
      </c>
      <c r="P12" s="222">
        <f>IF(ISERR(AVERAGE($M$12:$O$12)),0,AVERAGE($M$12:$O$12))</f>
        <v>2.5907356500228622</v>
      </c>
      <c r="Q12" s="222">
        <f>IF(ISERR(AVERAGE($N$12:$P$12)),0,AVERAGE($N$12:$P$12))</f>
        <v>2.5897983727876848</v>
      </c>
      <c r="R12" s="222">
        <f>IF(ISERR(AVERAGE($O$12:$Q$12)),0,AVERAGE($O$12:$Q$12))</f>
        <v>2.5906178614672561</v>
      </c>
      <c r="S12" s="222">
        <f t="shared" ref="S12:T12" si="8">IF(ISERR(AVERAGE($O$12:$Q$12)),0,AVERAGE($O$12:$Q$12))</f>
        <v>2.5906178614672561</v>
      </c>
      <c r="T12" s="222">
        <f t="shared" si="8"/>
        <v>2.5906178614672561</v>
      </c>
    </row>
    <row r="13" spans="1:20">
      <c r="B13" s="26" t="s">
        <v>755</v>
      </c>
      <c r="C13" s="26" t="s">
        <v>746</v>
      </c>
      <c r="D13" s="218">
        <f>历史数据及预测表!D120</f>
        <v>21.504855589999998</v>
      </c>
      <c r="E13" s="218">
        <f>历史数据及预测表!E120</f>
        <v>27.308135800000002</v>
      </c>
      <c r="F13" s="218">
        <f>历史数据及预测表!F120</f>
        <v>30.369928170000001</v>
      </c>
      <c r="G13" s="218">
        <f>历史数据及预测表!G120</f>
        <v>32.395579859999998</v>
      </c>
      <c r="H13" s="218">
        <f>历史数据及预测表!H120</f>
        <v>21.326596170000002</v>
      </c>
      <c r="I13" s="222">
        <f>IF(ISERR(AVERAGE($F$13:$H$13)),0,AVERAGE($F$13:$H$13))</f>
        <v>28.030701399999998</v>
      </c>
      <c r="J13" s="222">
        <f>IF(ISERR(AVERAGE($G$13:$I$13)),0,AVERAGE($G$13:$I$13))</f>
        <v>27.250959143333333</v>
      </c>
      <c r="K13" s="222">
        <f>IF(ISERR(AVERAGE($H$13:$J$13)),0,AVERAGE($H$13:$J$13))</f>
        <v>25.536085571111112</v>
      </c>
      <c r="L13" s="222">
        <f>IF(ISERR(AVERAGE($I$13:$K$13)),0,AVERAGE($I$13:$K$13))</f>
        <v>26.939248704814815</v>
      </c>
      <c r="M13" s="222">
        <f>IF(ISERR(AVERAGE($J$13:$L$13)),0,AVERAGE($J$13:$L$13))</f>
        <v>26.575431139753089</v>
      </c>
      <c r="N13" s="222">
        <f>IF(ISERR(AVERAGE($K$13:$M$13)),0,AVERAGE($K$13:$M$13))</f>
        <v>26.350255138559675</v>
      </c>
      <c r="O13" s="222">
        <f>IF(ISERR(AVERAGE($L$13:$N$13)),0,AVERAGE($L$13:$N$13))</f>
        <v>26.62164499437586</v>
      </c>
      <c r="P13" s="222">
        <f>IF(ISERR(AVERAGE($M$13:$O$13)),0,AVERAGE($M$13:$O$13))</f>
        <v>26.515777090896208</v>
      </c>
      <c r="Q13" s="222">
        <f>IF(ISERR(AVERAGE($N$13:$P$13)),0,AVERAGE($N$13:$P$13))</f>
        <v>26.495892407943913</v>
      </c>
      <c r="R13" s="222">
        <f>IF(ISERR(AVERAGE($O$13:$Q$13)),0,AVERAGE($O$13:$Q$13))</f>
        <v>26.544438164405324</v>
      </c>
      <c r="S13" s="222">
        <f t="shared" ref="S13:T13" si="9">IF(ISERR(AVERAGE($O$13:$Q$13)),0,AVERAGE($O$13:$Q$13))</f>
        <v>26.544438164405324</v>
      </c>
      <c r="T13" s="222">
        <f t="shared" si="9"/>
        <v>26.544438164405324</v>
      </c>
    </row>
    <row r="14" spans="1:20">
      <c r="B14" s="26" t="s">
        <v>756</v>
      </c>
      <c r="C14" s="26" t="s">
        <v>746</v>
      </c>
      <c r="D14" s="218">
        <f>历史数据及预测表!D121</f>
        <v>0</v>
      </c>
      <c r="E14" s="218">
        <f>历史数据及预测表!E121</f>
        <v>0</v>
      </c>
      <c r="F14" s="218">
        <f>历史数据及预测表!F121</f>
        <v>0</v>
      </c>
      <c r="G14" s="218">
        <f>历史数据及预测表!G121</f>
        <v>0</v>
      </c>
      <c r="H14" s="218">
        <f>历史数据及预测表!H121</f>
        <v>0</v>
      </c>
      <c r="I14" s="222">
        <f>IF(ISERR(AVERAGE($F$14:$H$14)),0,AVERAGE($F$14:$H$14))</f>
        <v>0</v>
      </c>
      <c r="J14" s="222">
        <f>IF(ISERR(AVERAGE($G$14:$I$14)),0,AVERAGE($G$14:$I$14))</f>
        <v>0</v>
      </c>
      <c r="K14" s="222">
        <f>IF(ISERR(AVERAGE($H$14:$J$14)),0,AVERAGE($H$14:$J$14))</f>
        <v>0</v>
      </c>
      <c r="L14" s="222">
        <f>IF(ISERR(AVERAGE($I$14:$K$14)),0,AVERAGE($I$14:$K$14))</f>
        <v>0</v>
      </c>
      <c r="M14" s="222">
        <f>IF(ISERR(AVERAGE($J$14:$L$14)),0,AVERAGE($J$14:$L$14))</f>
        <v>0</v>
      </c>
      <c r="N14" s="222">
        <f>IF(ISERR(AVERAGE($K$14:$M$14)),0,AVERAGE($K$14:$M$14))</f>
        <v>0</v>
      </c>
      <c r="O14" s="222">
        <f>IF(ISERR(AVERAGE($L$14:$N$14)),0,AVERAGE($L$14:$N$14))</f>
        <v>0</v>
      </c>
      <c r="P14" s="222">
        <f>IF(ISERR(AVERAGE($M$14:$O$14)),0,AVERAGE($M$14:$O$14))</f>
        <v>0</v>
      </c>
      <c r="Q14" s="222">
        <f>IF(ISERR(AVERAGE($N$14:$P$14)),0,AVERAGE($N$14:$P$14))</f>
        <v>0</v>
      </c>
      <c r="R14" s="222">
        <f>IF(ISERR(AVERAGE($O$14:$Q$14)),0,AVERAGE($O$14:$Q$14))</f>
        <v>0</v>
      </c>
      <c r="S14" s="222">
        <f t="shared" ref="S14:T14" si="10">IF(ISERR(AVERAGE($O$14:$Q$14)),0,AVERAGE($O$14:$Q$14))</f>
        <v>0</v>
      </c>
      <c r="T14" s="222">
        <f t="shared" si="10"/>
        <v>0</v>
      </c>
    </row>
    <row r="15" spans="1:20">
      <c r="B15" s="26" t="s">
        <v>757</v>
      </c>
      <c r="C15" s="26" t="s">
        <v>746</v>
      </c>
      <c r="D15" s="218">
        <f>历史数据及预测表!D122</f>
        <v>2.0585999999999998E-3</v>
      </c>
      <c r="E15" s="218">
        <f>历史数据及预测表!E122</f>
        <v>0.36463244</v>
      </c>
      <c r="F15" s="218">
        <f>历史数据及预测表!F122</f>
        <v>2.9120049999999998E-2</v>
      </c>
      <c r="G15" s="218">
        <f>历史数据及预测表!G122</f>
        <v>8.5225700000000001E-3</v>
      </c>
      <c r="H15" s="218">
        <f>历史数据及预测表!H122</f>
        <v>24.130114410000001</v>
      </c>
      <c r="I15" s="222">
        <f>IF(ISERR(AVERAGE($F$15:$H$15)),0,AVERAGE($F$15:$H$15))</f>
        <v>8.0559190100000002</v>
      </c>
      <c r="J15" s="222">
        <f>IF(ISERR(AVERAGE($G$15:$I$15)),0,AVERAGE($G$15:$I$15))</f>
        <v>10.731518663333333</v>
      </c>
      <c r="K15" s="222">
        <f>IF(ISERR(AVERAGE($H$15:$J$15)),0,AVERAGE($H$15:$J$15))</f>
        <v>14.305850694444445</v>
      </c>
      <c r="L15" s="222">
        <f>IF(ISERR(AVERAGE($I$15:$K$15)),0,AVERAGE($I$15:$K$15))</f>
        <v>11.031096122592592</v>
      </c>
      <c r="M15" s="222">
        <f>IF(ISERR(AVERAGE($J$15:$L$15)),0,AVERAGE($J$15:$L$15))</f>
        <v>12.022821826790123</v>
      </c>
      <c r="N15" s="222">
        <f>IF(ISERR(AVERAGE($K$15:$M$15)),0,AVERAGE($K$15:$M$15))</f>
        <v>12.453256214609054</v>
      </c>
      <c r="O15" s="222">
        <f>IF(ISERR(AVERAGE($L$15:$N$15)),0,AVERAGE($L$15:$N$15))</f>
        <v>11.835724721330591</v>
      </c>
      <c r="P15" s="222">
        <f>IF(ISERR(AVERAGE($M$15:$O$15)),0,AVERAGE($M$15:$O$15))</f>
        <v>12.103934254243256</v>
      </c>
      <c r="Q15" s="222">
        <f>IF(ISERR(AVERAGE($N$15:$P$15)),0,AVERAGE($N$15:$P$15))</f>
        <v>12.130971730060969</v>
      </c>
      <c r="R15" s="222">
        <f>IF(ISERR(AVERAGE($O$15:$Q$15)),0,AVERAGE($O$15:$Q$15))</f>
        <v>12.023543568544939</v>
      </c>
      <c r="S15" s="222">
        <f t="shared" ref="S15:T15" si="11">IF(ISERR(AVERAGE($O$15:$Q$15)),0,AVERAGE($O$15:$Q$15))</f>
        <v>12.023543568544939</v>
      </c>
      <c r="T15" s="222">
        <f t="shared" si="11"/>
        <v>12.023543568544939</v>
      </c>
    </row>
    <row r="16" spans="1:20">
      <c r="B16" s="26" t="s">
        <v>758</v>
      </c>
      <c r="C16" s="26" t="s">
        <v>746</v>
      </c>
      <c r="D16" s="218">
        <f>历史数据及预测表!D123</f>
        <v>11.269117960000001</v>
      </c>
      <c r="E16" s="218">
        <f>历史数据及预测表!E123</f>
        <v>14.86580507</v>
      </c>
      <c r="F16" s="218">
        <f>历史数据及预测表!F123</f>
        <v>21.185220609999998</v>
      </c>
      <c r="G16" s="218">
        <f>历史数据及预测表!G123</f>
        <v>25.237234609999998</v>
      </c>
      <c r="H16" s="122">
        <f>历史数据及预测表!H123</f>
        <v>33.204846250000003</v>
      </c>
      <c r="I16" s="222">
        <f>IF(ISERR(AVERAGE($F$16:$H$16)),0,AVERAGE($F$16:$H$16))</f>
        <v>26.542433823333329</v>
      </c>
      <c r="J16" s="222">
        <f>IF(ISERR(AVERAGE($G$16:$I$16)),0,AVERAGE($G$16:$I$16))</f>
        <v>28.328171561111109</v>
      </c>
      <c r="K16" s="222">
        <f>IF(ISERR(AVERAGE($H$16:$J$16)),0,AVERAGE($H$16:$J$16))</f>
        <v>29.358483878148146</v>
      </c>
      <c r="L16" s="222">
        <f>IF(ISERR(AVERAGE($I$16:$K$16)),0,AVERAGE($I$16:$K$16))</f>
        <v>28.076363087530861</v>
      </c>
      <c r="M16" s="222">
        <f>IF(ISERR(AVERAGE($J$16:$L$16)),0,AVERAGE($J$16:$L$16))</f>
        <v>28.587672842263373</v>
      </c>
      <c r="N16" s="222">
        <f>IF(ISERR(AVERAGE($K$16:$M$16)),0,AVERAGE($K$16:$M$16))</f>
        <v>28.674173269314128</v>
      </c>
      <c r="O16" s="222">
        <f>IF(ISERR(AVERAGE($L$16:$N$16)),0,AVERAGE($L$16:$N$16))</f>
        <v>28.446069733036122</v>
      </c>
      <c r="P16" s="222">
        <f>IF(ISERR(AVERAGE($M$16:$O$16)),0,AVERAGE($M$16:$O$16))</f>
        <v>28.569305281537876</v>
      </c>
      <c r="Q16" s="222">
        <f>IF(ISERR(AVERAGE($N$16:$P$16)),0,AVERAGE($N$16:$P$16))</f>
        <v>28.563182761296044</v>
      </c>
      <c r="R16" s="222">
        <f>IF(ISERR(AVERAGE($O$16:$Q$16)),0,AVERAGE($O$16:$Q$16))</f>
        <v>28.526185925290012</v>
      </c>
      <c r="S16" s="222">
        <f t="shared" ref="S16:T16" si="12">IF(ISERR(AVERAGE($O$16:$Q$16)),0,AVERAGE($O$16:$Q$16))</f>
        <v>28.526185925290012</v>
      </c>
      <c r="T16" s="222">
        <f t="shared" si="12"/>
        <v>28.526185925290012</v>
      </c>
    </row>
    <row r="17" spans="1:20">
      <c r="B17" s="26" t="s">
        <v>759</v>
      </c>
      <c r="C17" s="26" t="s">
        <v>746</v>
      </c>
      <c r="D17" s="218">
        <f>历史数据及预测表!D124</f>
        <v>0</v>
      </c>
      <c r="E17" s="218">
        <f>历史数据及预测表!E124</f>
        <v>0</v>
      </c>
      <c r="F17" s="218">
        <f>历史数据及预测表!F124</f>
        <v>0</v>
      </c>
      <c r="G17" s="218">
        <f>历史数据及预测表!G124</f>
        <v>0</v>
      </c>
      <c r="H17" s="122">
        <f>历史数据及预测表!H124</f>
        <v>0</v>
      </c>
      <c r="I17" s="222">
        <f>IF(ISERR(AVERAGE($F$17:$H$17)),0,AVERAGE($F$17:$H$17))</f>
        <v>0</v>
      </c>
      <c r="J17" s="222">
        <f>IF(ISERR(AVERAGE($G$17:$I$17)),0,AVERAGE($G$17:$I$17))</f>
        <v>0</v>
      </c>
      <c r="K17" s="222">
        <f>IF(ISERR(AVERAGE($H$17:$J$17)),0,AVERAGE($H$17:$J$17))</f>
        <v>0</v>
      </c>
      <c r="L17" s="222">
        <f>IF(ISERR(AVERAGE($I$17:$K$17)),0,AVERAGE($I$17:$K$17))</f>
        <v>0</v>
      </c>
      <c r="M17" s="222">
        <f>IF(ISERR(AVERAGE($J$17:$L$17)),0,AVERAGE($J$17:$L$17))</f>
        <v>0</v>
      </c>
      <c r="N17" s="222">
        <f>IF(ISERR(AVERAGE($K$17:$M$17)),0,AVERAGE($K$17:$M$17))</f>
        <v>0</v>
      </c>
      <c r="O17" s="222">
        <f>IF(ISERR(AVERAGE($L$17:$N$17)),0,AVERAGE($L$17:$N$17))</f>
        <v>0</v>
      </c>
      <c r="P17" s="222">
        <f>IF(ISERR(AVERAGE($M$17:$O$17)),0,AVERAGE($M$17:$O$17))</f>
        <v>0</v>
      </c>
      <c r="Q17" s="222">
        <f>IF(ISERR(AVERAGE($N$17:$P$17)),0,AVERAGE($N$17:$P$17))</f>
        <v>0</v>
      </c>
      <c r="R17" s="222">
        <f>IF(ISERR(AVERAGE($O$17:$Q$17)),0,AVERAGE($O$17:$Q$17))</f>
        <v>0</v>
      </c>
      <c r="S17" s="222">
        <f t="shared" ref="S17:T17" si="13">IF(ISERR(AVERAGE($O$17:$Q$17)),0,AVERAGE($O$17:$Q$17))</f>
        <v>0</v>
      </c>
      <c r="T17" s="222">
        <f t="shared" si="13"/>
        <v>0</v>
      </c>
    </row>
    <row r="18" spans="1:20">
      <c r="B18" s="26" t="s">
        <v>760</v>
      </c>
      <c r="C18" s="26" t="s">
        <v>746</v>
      </c>
      <c r="D18" s="218">
        <f>历史数据及预测表!D127</f>
        <v>1.6093278700000002</v>
      </c>
      <c r="E18" s="218">
        <f>历史数据及预测表!E127</f>
        <v>1.4589293600000002</v>
      </c>
      <c r="F18" s="218">
        <f>历史数据及预测表!F127</f>
        <v>1.1405178899999999</v>
      </c>
      <c r="G18" s="218">
        <f>历史数据及预测表!G127</f>
        <v>3.0506707099999999</v>
      </c>
      <c r="H18" s="122">
        <f>历史数据及预测表!H127</f>
        <v>1.1196703100000001</v>
      </c>
      <c r="I18" s="222">
        <f>IF(ISERR(AVERAGE($F$18:$H$18)),0,AVERAGE($F$18:$H$18))</f>
        <v>1.7702863033333334</v>
      </c>
      <c r="J18" s="222">
        <f>IF(ISERR(AVERAGE($G$18:$I$18)),0,AVERAGE($G$18:$I$18))</f>
        <v>1.9802091077777779</v>
      </c>
      <c r="K18" s="222">
        <f>IF(ISERR(AVERAGE($H$18:$J$18)),0,AVERAGE($H$18:$J$18))</f>
        <v>1.6233885737037037</v>
      </c>
      <c r="L18" s="222">
        <f>IF(ISERR(AVERAGE($I$18:$K$18)),0,AVERAGE($I$18:$K$18))</f>
        <v>1.7912946616049383</v>
      </c>
      <c r="M18" s="222">
        <f>IF(ISERR(AVERAGE($J$18:$L$18)),0,AVERAGE($J$18:$L$18))</f>
        <v>1.7982974476954734</v>
      </c>
      <c r="N18" s="222">
        <f>IF(ISERR(AVERAGE($K$18:$M$18)),0,AVERAGE($K$18:$M$18))</f>
        <v>1.7376602276680384</v>
      </c>
      <c r="O18" s="222">
        <f>IF(ISERR(AVERAGE($L$18:$N$18)),0,AVERAGE($L$18:$N$18))</f>
        <v>1.7757507789894833</v>
      </c>
      <c r="P18" s="222">
        <f>IF(ISERR(AVERAGE($M$18:$O$18)),0,AVERAGE($M$18:$O$18))</f>
        <v>1.7705694847843316</v>
      </c>
      <c r="Q18" s="222">
        <f>IF(ISERR(AVERAGE($N$18:$P$18)),0,AVERAGE($N$18:$P$18))</f>
        <v>1.7613268304806178</v>
      </c>
      <c r="R18" s="222">
        <f>IF(ISERR(AVERAGE($O$18:$Q$18)),0,AVERAGE($O$18:$Q$18))</f>
        <v>1.7692156980848111</v>
      </c>
      <c r="S18" s="222">
        <f t="shared" ref="S18:T18" si="14">IF(ISERR(AVERAGE($O$18:$Q$18)),0,AVERAGE($O$18:$Q$18))</f>
        <v>1.7692156980848111</v>
      </c>
      <c r="T18" s="222">
        <f t="shared" si="14"/>
        <v>1.7692156980848111</v>
      </c>
    </row>
    <row r="19" spans="1:20">
      <c r="B19" s="26" t="s">
        <v>761</v>
      </c>
      <c r="C19" s="26" t="s">
        <v>746</v>
      </c>
      <c r="D19" s="218">
        <f>历史数据及预测表!D128</f>
        <v>6.5686679999999997E-2</v>
      </c>
      <c r="E19" s="218">
        <f>历史数据及预测表!E128</f>
        <v>0.19270110999999998</v>
      </c>
      <c r="F19" s="218">
        <f>历史数据及预测表!F128</f>
        <v>0.44466040999999995</v>
      </c>
      <c r="G19" s="218">
        <f>历史数据及预测表!G128</f>
        <v>1.6124723000000001</v>
      </c>
      <c r="H19" s="122">
        <f>历史数据及预测表!H128</f>
        <v>1.9513033899999999</v>
      </c>
      <c r="I19" s="222">
        <f>IF(ISERR(AVERAGE($F$19:$H$19)),0,AVERAGE($F$19:$H$19))</f>
        <v>1.3361453666666667</v>
      </c>
      <c r="J19" s="222">
        <f>IF(ISERR(AVERAGE($G$19:$I$19)),0,AVERAGE($G$19:$I$19))</f>
        <v>1.633307018888889</v>
      </c>
      <c r="K19" s="222">
        <f>IF(ISERR(AVERAGE($H$19:$J$19)),0,AVERAGE($H$19:$J$19))</f>
        <v>1.6402519251851853</v>
      </c>
      <c r="L19" s="222">
        <f>IF(ISERR(AVERAGE($I$19:$K$19)),0,AVERAGE($I$19:$K$19))</f>
        <v>1.5365681035802472</v>
      </c>
      <c r="M19" s="222">
        <f>IF(ISERR(AVERAGE($J$19:$L$19)),0,AVERAGE($J$19:$L$19))</f>
        <v>1.6033756825514407</v>
      </c>
      <c r="N19" s="222">
        <f>IF(ISERR(AVERAGE($K$19:$M$19)),0,AVERAGE($K$19:$M$19))</f>
        <v>1.5933985704389577</v>
      </c>
      <c r="O19" s="222">
        <f>IF(ISERR(AVERAGE($L$19:$N$19)),0,AVERAGE($L$19:$N$19))</f>
        <v>1.5777807855235484</v>
      </c>
      <c r="P19" s="222">
        <f>IF(ISERR(AVERAGE($M$19:$O$19)),0,AVERAGE($M$19:$O$19))</f>
        <v>1.5915183461713156</v>
      </c>
      <c r="Q19" s="222">
        <f>IF(ISERR(AVERAGE($N$19:$P$19)),0,AVERAGE($N$19:$P$19))</f>
        <v>1.5875659007112739</v>
      </c>
      <c r="R19" s="222">
        <f>IF(ISERR(AVERAGE($O$19:$Q$19)),0,AVERAGE($O$19:$Q$19))</f>
        <v>1.5856216774687126</v>
      </c>
      <c r="S19" s="222">
        <f t="shared" ref="S19:T19" si="15">IF(ISERR(AVERAGE($O$19:$Q$19)),0,AVERAGE($O$19:$Q$19))</f>
        <v>1.5856216774687126</v>
      </c>
      <c r="T19" s="222">
        <f t="shared" si="15"/>
        <v>1.5856216774687126</v>
      </c>
    </row>
    <row r="20" spans="1:20">
      <c r="B20" s="26" t="s">
        <v>762</v>
      </c>
      <c r="C20" s="26" t="s">
        <v>746</v>
      </c>
      <c r="D20" s="216">
        <f>历史数据及预测表!D131/历史数据及预测表!D130</f>
        <v>1.3537258555192968E-2</v>
      </c>
      <c r="E20" s="216">
        <f>历史数据及预测表!E131/历史数据及预测表!E130</f>
        <v>4.4243943600302052E-2</v>
      </c>
      <c r="F20" s="216">
        <f>历史数据及预测表!F131/历史数据及预测表!F130</f>
        <v>5.4072298941136396E-2</v>
      </c>
      <c r="G20" s="216">
        <f>历史数据及预测表!G131/历史数据及预测表!G130</f>
        <v>0.11163649813985277</v>
      </c>
      <c r="H20" s="217">
        <f>历史数据及预测表!H131/历史数据及预测表!H130</f>
        <v>9.2701642914754731E-2</v>
      </c>
      <c r="I20" s="221">
        <f>IF(ISERR(AVERAGE($F$20:$H$20)),0,AVERAGE($F$20:$H$20))</f>
        <v>8.6136813331914641E-2</v>
      </c>
      <c r="J20" s="221">
        <f>IF(ISERR(AVERAGE($G$20:$I$20)),0,AVERAGE($G$20:$I$20))</f>
        <v>9.6824984795507385E-2</v>
      </c>
      <c r="K20" s="221">
        <f>IF(ISERR(AVERAGE($H$20:$J$20)),0,AVERAGE($H$20:$J$20))</f>
        <v>9.1887813680725586E-2</v>
      </c>
      <c r="L20" s="221">
        <f>IF(ISERR(AVERAGE($I$20:$K$20)),0,AVERAGE($I$20:$K$20))</f>
        <v>9.1616537269382528E-2</v>
      </c>
      <c r="M20" s="221">
        <f>IF(ISERR(AVERAGE($J$20:$L$20)),0,AVERAGE($J$20:$L$20))</f>
        <v>9.3443111915205157E-2</v>
      </c>
      <c r="N20" s="221">
        <f>IF(ISERR(AVERAGE($K$20:$M$20)),0,AVERAGE($K$20:$M$20))</f>
        <v>9.2315820955104419E-2</v>
      </c>
      <c r="O20" s="221">
        <f>IF(ISERR(AVERAGE($L$20:$N$20)),0,AVERAGE($L$20:$N$20))</f>
        <v>9.2458490046564035E-2</v>
      </c>
      <c r="P20" s="221">
        <f>IF(ISERR(AVERAGE($M$20:$O$20)),0,AVERAGE($M$20:$O$20))</f>
        <v>9.2739140972291204E-2</v>
      </c>
      <c r="Q20" s="221">
        <f>IF(ISERR(AVERAGE($N$20:$P$20)),0,AVERAGE($N$20:$P$20))</f>
        <v>9.2504483991319886E-2</v>
      </c>
      <c r="R20" s="221">
        <f>IF(ISERR(AVERAGE($O$20:$Q$20)),0,AVERAGE($O$20:$Q$20))</f>
        <v>9.2567371670058365E-2</v>
      </c>
      <c r="S20" s="221">
        <f t="shared" ref="S20:T20" si="16">IF(ISERR(AVERAGE($O$20:$Q$20)),0,AVERAGE($O$20:$Q$20))</f>
        <v>9.2567371670058365E-2</v>
      </c>
      <c r="T20" s="221">
        <f t="shared" si="16"/>
        <v>9.2567371670058365E-2</v>
      </c>
    </row>
    <row r="21" spans="1:20">
      <c r="B21" s="26" t="s">
        <v>763</v>
      </c>
      <c r="C21" s="26" t="s">
        <v>746</v>
      </c>
      <c r="D21" s="218">
        <f>历史数据及预测表!D132</f>
        <v>0</v>
      </c>
      <c r="E21" s="218">
        <f>历史数据及预测表!E132</f>
        <v>0</v>
      </c>
      <c r="F21" s="218">
        <f>历史数据及预测表!F132</f>
        <v>0</v>
      </c>
      <c r="G21" s="218">
        <f>历史数据及预测表!G132</f>
        <v>0</v>
      </c>
      <c r="H21" s="122">
        <f>历史数据及预测表!H132</f>
        <v>0</v>
      </c>
      <c r="I21" s="222">
        <f>IF(ISERR(AVERAGE($F$21:$H$21)),0,AVERAGE($F$21:$H$21))</f>
        <v>0</v>
      </c>
      <c r="J21" s="222">
        <f>IF(ISERR(AVERAGE($G$21:$I$21)),0,AVERAGE($G$21:$I$21))</f>
        <v>0</v>
      </c>
      <c r="K21" s="222">
        <f>IF(ISERR(AVERAGE($H$21:$J$21)),0,AVERAGE($H$21:$J$21))</f>
        <v>0</v>
      </c>
      <c r="L21" s="222">
        <f>IF(ISERR(AVERAGE($I$21:$K$21)),0,AVERAGE($I$21:$K$21))</f>
        <v>0</v>
      </c>
      <c r="M21" s="222">
        <f>IF(ISERR(AVERAGE($J$21:$L$21)),0,AVERAGE($J$21:$L$21))</f>
        <v>0</v>
      </c>
      <c r="N21" s="222">
        <f>IF(ISERR(AVERAGE($K$21:$M$21)),0,AVERAGE($K$21:$M$21))</f>
        <v>0</v>
      </c>
      <c r="O21" s="222">
        <f>IF(ISERR(AVERAGE($L$21:$N$21)),0,AVERAGE($L$21:$N$21))</f>
        <v>0</v>
      </c>
      <c r="P21" s="222">
        <f>IF(ISERR(AVERAGE($M$21:$O$21)),0,AVERAGE($M$21:$O$21))</f>
        <v>0</v>
      </c>
      <c r="Q21" s="222">
        <f>IF(ISERR(AVERAGE($N$21:$P$21)),0,AVERAGE($N$21:$P$21))</f>
        <v>0</v>
      </c>
      <c r="R21" s="222">
        <f>IF(ISERR(AVERAGE($O$21:$Q$21)),0,AVERAGE($O$21:$Q$21))</f>
        <v>0</v>
      </c>
      <c r="S21" s="222">
        <f t="shared" ref="S21:T21" si="17">IF(ISERR(AVERAGE($O$21:$Q$21)),0,AVERAGE($O$21:$Q$21))</f>
        <v>0</v>
      </c>
      <c r="T21" s="222">
        <f t="shared" si="17"/>
        <v>0</v>
      </c>
    </row>
    <row r="22" spans="1:20">
      <c r="B22" s="26" t="s">
        <v>764</v>
      </c>
      <c r="C22" s="26" t="s">
        <v>746</v>
      </c>
      <c r="D22" s="216">
        <f>历史数据及预测表!D135/历史数据及预测表!D134</f>
        <v>-5.2206740020233275E-3</v>
      </c>
      <c r="E22" s="216">
        <f>历史数据及预测表!E135/历史数据及预测表!E134</f>
        <v>-1.3231821898992528E-2</v>
      </c>
      <c r="F22" s="216">
        <f>历史数据及预测表!F135/历史数据及预测表!F134</f>
        <v>-4.1747010843990837E-2</v>
      </c>
      <c r="G22" s="216">
        <f>历史数据及预测表!G135/历史数据及预测表!G134</f>
        <v>-5.5033750929943739E-3</v>
      </c>
      <c r="H22" s="217">
        <f>历史数据及预测表!H135/历史数据及预测表!H134</f>
        <v>-2.385267765159581E-3</v>
      </c>
      <c r="I22" s="221">
        <f>IF(ISERR(AVERAGE($F$22:$H$22)),0,AVERAGE($F$22:$H$22))</f>
        <v>-1.6545217900714931E-2</v>
      </c>
      <c r="J22" s="221">
        <f>IF(ISERR(AVERAGE($G$22:$I$22)),0,AVERAGE($G$22:$I$22))</f>
        <v>-8.1446202529562948E-3</v>
      </c>
      <c r="K22" s="221">
        <f>IF(ISERR(AVERAGE($H$22:$J$22)),0,AVERAGE($H$22:$J$22))</f>
        <v>-9.0250353062769351E-3</v>
      </c>
      <c r="L22" s="221">
        <f>IF(ISERR(AVERAGE($I$22:$K$22)),0,AVERAGE($I$22:$K$22))</f>
        <v>-1.1238291153316054E-2</v>
      </c>
      <c r="M22" s="221">
        <f>IF(ISERR(AVERAGE($J$22:$L$22)),0,AVERAGE($J$22:$L$22))</f>
        <v>-9.4693155708497605E-3</v>
      </c>
      <c r="N22" s="221">
        <f>IF(ISERR(AVERAGE($K$22:$M$22)),0,AVERAGE($K$22:$M$22))</f>
        <v>-9.9108806768142491E-3</v>
      </c>
      <c r="O22" s="221">
        <f>IF(ISERR(AVERAGE($L$22:$N$22)),0,AVERAGE($L$22:$N$22))</f>
        <v>-1.0206162466993353E-2</v>
      </c>
      <c r="P22" s="221">
        <f>IF(ISERR(AVERAGE($M$22:$O$22)),0,AVERAGE($M$22:$O$22))</f>
        <v>-9.8621195715524537E-3</v>
      </c>
      <c r="Q22" s="221">
        <f>IF(ISERR(AVERAGE($N$22:$P$22)),0,AVERAGE($N$22:$P$22))</f>
        <v>-9.993054238453352E-3</v>
      </c>
      <c r="R22" s="221">
        <f>IF(ISERR(AVERAGE($O$22:$Q$22)),0,AVERAGE($O$22:$Q$22))</f>
        <v>-1.0020445425666385E-2</v>
      </c>
      <c r="S22" s="221">
        <f t="shared" ref="S22:T22" si="18">IF(ISERR(AVERAGE($O$22:$Q$22)),0,AVERAGE($O$22:$Q$22))</f>
        <v>-1.0020445425666385E-2</v>
      </c>
      <c r="T22" s="221">
        <f t="shared" si="18"/>
        <v>-1.0020445425666385E-2</v>
      </c>
    </row>
    <row r="23" spans="1:20">
      <c r="B23" s="26" t="s">
        <v>765</v>
      </c>
      <c r="C23" s="26" t="s">
        <v>746</v>
      </c>
      <c r="D23" s="218">
        <f>历史数据及预测表!D137</f>
        <v>-39.835858700000003</v>
      </c>
      <c r="E23" s="218">
        <f>历史数据及预测表!E137</f>
        <v>224.78408128999999</v>
      </c>
      <c r="F23" s="218">
        <f>历史数据及预测表!F137</f>
        <v>69.903818389999998</v>
      </c>
      <c r="G23" s="218">
        <f>历史数据及预测表!G137</f>
        <v>-59.621816369999998</v>
      </c>
      <c r="H23" s="122">
        <f>历史数据及预测表!H137</f>
        <v>-45.661901090000001</v>
      </c>
      <c r="I23" s="222">
        <f>IF(ISERR(AVERAGE($F$23:$H$23)),0,AVERAGE($F$23:$H$23))</f>
        <v>-11.79329969</v>
      </c>
      <c r="J23" s="222">
        <f>IF(ISERR(AVERAGE($G$23:$I$23)),0,AVERAGE($G$23:$I$23))</f>
        <v>-39.02567238333333</v>
      </c>
      <c r="K23" s="222">
        <f>IF(ISERR(AVERAGE($H$23:$J$23)),0,AVERAGE($H$23:$J$23))</f>
        <v>-32.160291054444443</v>
      </c>
      <c r="L23" s="222">
        <f>IF(ISERR(AVERAGE($I$23:$K$23)),0,AVERAGE($I$23:$K$23))</f>
        <v>-27.659754375925925</v>
      </c>
      <c r="M23" s="222">
        <f>IF(ISERR(AVERAGE($J$23:$L$23)),0,AVERAGE($J$23:$L$23))</f>
        <v>-32.9485726045679</v>
      </c>
      <c r="N23" s="222">
        <f>IF(ISERR(AVERAGE($K$23:$M$23)),0,AVERAGE($K$23:$M$23))</f>
        <v>-30.922872678312757</v>
      </c>
      <c r="O23" s="222">
        <f>IF(ISERR(AVERAGE($L$23:$N$23)),0,AVERAGE($L$23:$N$23))</f>
        <v>-30.510399886268861</v>
      </c>
      <c r="P23" s="222">
        <f>IF(ISERR(AVERAGE($M$23:$O$23)),0,AVERAGE($M$23:$O$23))</f>
        <v>-31.460615056383173</v>
      </c>
      <c r="Q23" s="222">
        <f>IF(ISERR(AVERAGE($N$23:$P$23)),0,AVERAGE($N$23:$P$23))</f>
        <v>-30.964629206988263</v>
      </c>
      <c r="R23" s="222">
        <f>IF(ISERR(AVERAGE($O$23:$Q$23)),0,AVERAGE($O$23:$Q$23))</f>
        <v>-30.9785480498801</v>
      </c>
      <c r="S23" s="222">
        <f t="shared" ref="S23:T23" si="19">IF(ISERR(AVERAGE($O$23:$Q$23)),0,AVERAGE($O$23:$Q$23))</f>
        <v>-30.9785480498801</v>
      </c>
      <c r="T23" s="222">
        <f t="shared" si="19"/>
        <v>-30.9785480498801</v>
      </c>
    </row>
    <row r="24" spans="1:20">
      <c r="B24" s="26" t="s">
        <v>766</v>
      </c>
      <c r="C24" s="26" t="s">
        <v>746</v>
      </c>
      <c r="D24" s="216">
        <f>历史数据及预测表!D139/历史数据及预测表!D138</f>
        <v>-5.3567443833159433E-3</v>
      </c>
      <c r="E24" s="216">
        <f>历史数据及预测表!E139/历史数据及预测表!E138</f>
        <v>-1.0032184124171178E-2</v>
      </c>
      <c r="F24" s="216">
        <f>历史数据及预测表!F139/历史数据及预测表!F138</f>
        <v>-3.6046068842250013E-2</v>
      </c>
      <c r="G24" s="216">
        <f>历史数据及预测表!G139/历史数据及预测表!G138</f>
        <v>-9.1406211741225409E-3</v>
      </c>
      <c r="H24" s="217">
        <f>历史数据及预测表!H139/历史数据及预测表!H138</f>
        <v>-2.292058144278531E-3</v>
      </c>
      <c r="I24" s="221">
        <f>IF(ISERR(AVERAGE($F$24:$H$24)),0,AVERAGE($F$24:$H$24))</f>
        <v>-1.5826249386883696E-2</v>
      </c>
      <c r="J24" s="221">
        <f>IF(ISERR(AVERAGE($G$24:$I$24)),0,AVERAGE($G$24:$I$24))</f>
        <v>-9.0863095684282566E-3</v>
      </c>
      <c r="K24" s="221">
        <f>IF(ISERR(AVERAGE($H$24:$J$24)),0,AVERAGE($H$24:$J$24))</f>
        <v>-9.0682056998634946E-3</v>
      </c>
      <c r="L24" s="221">
        <f>IF(ISERR(AVERAGE($I$24:$K$24)),0,AVERAGE($I$24:$K$24))</f>
        <v>-1.1326921551725148E-2</v>
      </c>
      <c r="M24" s="221">
        <f>IF(ISERR(AVERAGE($J$24:$L$24)),0,AVERAGE($J$24:$L$24))</f>
        <v>-9.8271456066722999E-3</v>
      </c>
      <c r="N24" s="221">
        <f>IF(ISERR(AVERAGE($K$24:$M$24)),0,AVERAGE($K$24:$M$24))</f>
        <v>-1.0074090952753648E-2</v>
      </c>
      <c r="O24" s="221">
        <f>IF(ISERR(AVERAGE($L$24:$N$24)),0,AVERAGE($L$24:$N$24))</f>
        <v>-1.0409386037050364E-2</v>
      </c>
      <c r="P24" s="221">
        <f>IF(ISERR(AVERAGE($M$24:$O$24)),0,AVERAGE($M$24:$O$24))</f>
        <v>-1.0103540865492103E-2</v>
      </c>
      <c r="Q24" s="221">
        <f>IF(ISERR(AVERAGE($N$24:$P$24)),0,AVERAGE($N$24:$P$24))</f>
        <v>-1.0195672618432038E-2</v>
      </c>
      <c r="R24" s="221">
        <f>IF(ISERR(AVERAGE($O$24:$Q$24)),0,AVERAGE($O$24:$Q$24))</f>
        <v>-1.0236199840324834E-2</v>
      </c>
      <c r="S24" s="221">
        <f t="shared" ref="S24:T24" si="20">IF(ISERR(AVERAGE($O$24:$Q$24)),0,AVERAGE($O$24:$Q$24))</f>
        <v>-1.0236199840324834E-2</v>
      </c>
      <c r="T24" s="221">
        <f t="shared" si="20"/>
        <v>-1.0236199840324834E-2</v>
      </c>
    </row>
    <row r="25" spans="1:20">
      <c r="B25" s="140" t="s">
        <v>767</v>
      </c>
      <c r="D25" s="218">
        <f>历史数据及预测表!D214</f>
        <v>0</v>
      </c>
      <c r="E25" s="218">
        <f>历史数据及预测表!E214</f>
        <v>0</v>
      </c>
      <c r="F25" s="218">
        <f>历史数据及预测表!F214</f>
        <v>0</v>
      </c>
      <c r="G25" s="218">
        <f>历史数据及预测表!G214</f>
        <v>0</v>
      </c>
      <c r="H25" s="218">
        <f>历史数据及预测表!H214</f>
        <v>0</v>
      </c>
      <c r="I25" s="222"/>
      <c r="J25" s="222"/>
      <c r="K25" s="222"/>
      <c r="L25" s="222"/>
      <c r="M25" s="222"/>
      <c r="N25" s="222"/>
      <c r="O25" s="222"/>
      <c r="P25" s="222"/>
      <c r="Q25" s="222"/>
      <c r="R25" s="222"/>
      <c r="S25" s="222"/>
      <c r="T25" s="222"/>
    </row>
    <row r="26" spans="1:20">
      <c r="B26" s="140" t="s">
        <v>768</v>
      </c>
      <c r="D26" s="218">
        <f>历史数据及预测表!D215</f>
        <v>0</v>
      </c>
      <c r="E26" s="218">
        <f>历史数据及预测表!E215</f>
        <v>0</v>
      </c>
      <c r="F26" s="218">
        <f>历史数据及预测表!F215</f>
        <v>0</v>
      </c>
      <c r="G26" s="218">
        <f>历史数据及预测表!G215</f>
        <v>0</v>
      </c>
      <c r="H26" s="218">
        <f>历史数据及预测表!H215</f>
        <v>0</v>
      </c>
      <c r="I26" s="222"/>
      <c r="J26" s="222"/>
      <c r="K26" s="222"/>
      <c r="L26" s="222"/>
      <c r="M26" s="222"/>
      <c r="N26" s="222"/>
      <c r="O26" s="222"/>
      <c r="P26" s="222"/>
      <c r="Q26" s="222"/>
      <c r="R26" s="222"/>
      <c r="S26" s="222"/>
      <c r="T26" s="222"/>
    </row>
    <row r="27" spans="1:20">
      <c r="B27" s="140" t="s">
        <v>769</v>
      </c>
      <c r="D27" s="218">
        <f>历史数据及预测表!D216</f>
        <v>0</v>
      </c>
      <c r="E27" s="218">
        <f>历史数据及预测表!E216</f>
        <v>0</v>
      </c>
      <c r="F27" s="218">
        <f>历史数据及预测表!F216</f>
        <v>0</v>
      </c>
      <c r="G27" s="218">
        <f>历史数据及预测表!G216</f>
        <v>0</v>
      </c>
      <c r="H27" s="218">
        <f>历史数据及预测表!H216</f>
        <v>0</v>
      </c>
      <c r="I27" s="222"/>
      <c r="J27" s="222"/>
      <c r="K27" s="222"/>
      <c r="L27" s="222"/>
      <c r="M27" s="222"/>
      <c r="N27" s="222"/>
      <c r="O27" s="222"/>
      <c r="P27" s="222"/>
      <c r="Q27" s="222"/>
      <c r="R27" s="222"/>
      <c r="S27" s="222"/>
      <c r="T27" s="222"/>
    </row>
    <row r="28" spans="1:20">
      <c r="B28" s="140" t="s">
        <v>770</v>
      </c>
      <c r="D28" s="218">
        <f>历史数据及预测表!D217</f>
        <v>0.19</v>
      </c>
      <c r="E28" s="218">
        <f>历史数据及预测表!E217</f>
        <v>0.08</v>
      </c>
      <c r="F28" s="218">
        <f>历史数据及预测表!F217</f>
        <v>0.2</v>
      </c>
      <c r="G28" s="218">
        <f>历史数据及预测表!G217</f>
        <v>9.98E-2</v>
      </c>
      <c r="H28" s="218">
        <f>历史数据及预测表!H217</f>
        <v>0.15</v>
      </c>
      <c r="I28" s="222"/>
      <c r="J28" s="222"/>
      <c r="K28" s="222"/>
      <c r="L28" s="222"/>
      <c r="M28" s="222"/>
      <c r="N28" s="222"/>
      <c r="O28" s="222"/>
      <c r="P28" s="222"/>
      <c r="Q28" s="222"/>
      <c r="R28" s="222"/>
      <c r="S28" s="222"/>
      <c r="T28" s="222"/>
    </row>
    <row r="29" spans="1:20">
      <c r="B29" s="140" t="s">
        <v>771</v>
      </c>
      <c r="D29" s="218">
        <f>历史数据及预测表!D218</f>
        <v>0</v>
      </c>
      <c r="E29" s="218">
        <f>历史数据及预测表!E218</f>
        <v>0</v>
      </c>
      <c r="F29" s="218">
        <f>历史数据及预测表!F218</f>
        <v>0</v>
      </c>
      <c r="G29" s="218">
        <f>历史数据及预测表!G218</f>
        <v>0</v>
      </c>
      <c r="H29" s="218">
        <f>历史数据及预测表!H218</f>
        <v>0</v>
      </c>
      <c r="I29" s="222"/>
      <c r="J29" s="222"/>
      <c r="K29" s="222"/>
      <c r="L29" s="222"/>
      <c r="M29" s="222"/>
      <c r="N29" s="222"/>
      <c r="O29" s="222"/>
      <c r="P29" s="222"/>
      <c r="Q29" s="222"/>
      <c r="R29" s="222"/>
      <c r="S29" s="222"/>
      <c r="T29" s="222"/>
    </row>
    <row r="30" spans="1:20">
      <c r="B30" s="26" t="s">
        <v>772</v>
      </c>
      <c r="D30" s="219">
        <f>历史数据及预测表!D226</f>
        <v>9.8790912602831724E-2</v>
      </c>
      <c r="E30" s="219">
        <f>历史数据及预测表!E226</f>
        <v>4.8813312937323793E-2</v>
      </c>
      <c r="F30" s="219">
        <f>历史数据及预测表!F226</f>
        <v>0.17927072228482405</v>
      </c>
      <c r="G30" s="219">
        <f>历史数据及预测表!G226</f>
        <v>0.13124085729067422</v>
      </c>
      <c r="H30" s="219">
        <f>历史数据及预测表!H226</f>
        <v>0.19238729915941163</v>
      </c>
      <c r="I30" s="223">
        <v>0.2</v>
      </c>
      <c r="J30" s="223">
        <v>0.2</v>
      </c>
      <c r="K30" s="223">
        <v>0.2</v>
      </c>
      <c r="L30" s="223">
        <v>0.2</v>
      </c>
      <c r="M30" s="223">
        <v>0.2</v>
      </c>
      <c r="N30" s="223">
        <v>0.2</v>
      </c>
      <c r="O30" s="223">
        <v>0.2</v>
      </c>
      <c r="P30" s="223">
        <v>0.2</v>
      </c>
      <c r="Q30" s="223">
        <v>0.2</v>
      </c>
      <c r="R30" s="223">
        <v>0.2</v>
      </c>
      <c r="S30" s="223">
        <v>0.2</v>
      </c>
      <c r="T30" s="223">
        <v>0.2</v>
      </c>
    </row>
    <row r="32" spans="1:20" ht="14.65">
      <c r="A32" s="187" t="s">
        <v>773</v>
      </c>
    </row>
    <row r="33" spans="2:20">
      <c r="B33" s="26" t="s">
        <v>774</v>
      </c>
      <c r="C33" s="26" t="s">
        <v>775</v>
      </c>
      <c r="D33" s="81"/>
      <c r="E33" s="218">
        <f>历史数据及预测表!E8-历史数据及预测表!D8</f>
        <v>-611.61647544999983</v>
      </c>
      <c r="F33" s="218">
        <f>历史数据及预测表!F8-历史数据及预测表!E8</f>
        <v>43.258328899999981</v>
      </c>
      <c r="G33" s="218">
        <f>历史数据及预测表!G8-历史数据及预测表!F8</f>
        <v>363.87194995000004</v>
      </c>
      <c r="H33" s="122">
        <f>历史数据及预测表!H8-历史数据及预测表!G8</f>
        <v>141.96748477999995</v>
      </c>
      <c r="I33" s="222">
        <v>0</v>
      </c>
      <c r="J33" s="222">
        <v>0</v>
      </c>
      <c r="K33" s="222">
        <v>0</v>
      </c>
      <c r="L33" s="222">
        <v>0</v>
      </c>
      <c r="M33" s="222">
        <v>0</v>
      </c>
      <c r="N33" s="222">
        <v>0</v>
      </c>
      <c r="O33" s="222">
        <v>0</v>
      </c>
      <c r="P33" s="222">
        <v>0</v>
      </c>
      <c r="Q33" s="222">
        <v>0</v>
      </c>
      <c r="R33" s="222">
        <v>0</v>
      </c>
      <c r="S33" s="222">
        <v>0</v>
      </c>
      <c r="T33" s="222">
        <v>0</v>
      </c>
    </row>
    <row r="34" spans="2:20">
      <c r="B34" s="26" t="s">
        <v>776</v>
      </c>
      <c r="C34" s="26" t="s">
        <v>775</v>
      </c>
      <c r="D34" s="81"/>
      <c r="E34" s="218">
        <f>历史数据及预测表!E9-历史数据及预测表!D9</f>
        <v>0</v>
      </c>
      <c r="F34" s="218">
        <f>历史数据及预测表!F9-历史数据及预测表!E9</f>
        <v>0</v>
      </c>
      <c r="G34" s="218">
        <f>历史数据及预测表!G9-历史数据及预测表!F9</f>
        <v>0</v>
      </c>
      <c r="H34" s="218">
        <f>历史数据及预测表!H9-历史数据及预测表!G9</f>
        <v>0</v>
      </c>
      <c r="I34" s="222">
        <v>0</v>
      </c>
      <c r="J34" s="222">
        <v>0</v>
      </c>
      <c r="K34" s="222">
        <v>0</v>
      </c>
      <c r="L34" s="222">
        <v>0</v>
      </c>
      <c r="M34" s="222">
        <v>0</v>
      </c>
      <c r="N34" s="222">
        <v>0</v>
      </c>
      <c r="O34" s="222">
        <v>0</v>
      </c>
      <c r="P34" s="222">
        <v>0</v>
      </c>
      <c r="Q34" s="222">
        <v>0</v>
      </c>
      <c r="R34" s="222">
        <v>0</v>
      </c>
      <c r="S34" s="222">
        <v>0</v>
      </c>
      <c r="T34" s="222">
        <v>0</v>
      </c>
    </row>
    <row r="35" spans="2:20">
      <c r="B35" s="26" t="s">
        <v>777</v>
      </c>
      <c r="C35" s="26" t="s">
        <v>746</v>
      </c>
      <c r="D35" s="216">
        <f>历史数据及预测表!D189/历史数据及预测表!D107</f>
        <v>0.124804992361499</v>
      </c>
      <c r="E35" s="216">
        <f>历史数据及预测表!E189/历史数据及预测表!E107</f>
        <v>9.5342456425602629E-2</v>
      </c>
      <c r="F35" s="216">
        <f>历史数据及预测表!F189/历史数据及预测表!F107</f>
        <v>8.9021279049885632E-2</v>
      </c>
      <c r="G35" s="216">
        <f>历史数据及预测表!G189/历史数据及预测表!G107</f>
        <v>9.2277019699510091E-2</v>
      </c>
      <c r="H35" s="217">
        <f>历史数据及预测表!H189/历史数据及预测表!H107</f>
        <v>9.8403651690147781E-2</v>
      </c>
      <c r="I35" s="221">
        <f>IF(ISERR(AVERAGE($F$35:$H$35)),0,AVERAGE($F$35:$H$35))</f>
        <v>9.3233983479847835E-2</v>
      </c>
      <c r="J35" s="221">
        <f>IF(ISERR(AVERAGE($G$35:$I$35)),0,AVERAGE($G$35:$I$35))</f>
        <v>9.4638218289835249E-2</v>
      </c>
      <c r="K35" s="221">
        <f>IF(ISERR(AVERAGE($H$35:$J$35)),0,AVERAGE($H$35:$J$35))</f>
        <v>9.5425284486610293E-2</v>
      </c>
      <c r="L35" s="221">
        <f>IF(ISERR(AVERAGE($I$35:$K$35)),0,AVERAGE($I$35:$K$35))</f>
        <v>9.4432495418764459E-2</v>
      </c>
      <c r="M35" s="221">
        <f>IF(ISERR(AVERAGE($J$35:$L$35)),0,AVERAGE($J$35:$L$35))</f>
        <v>9.4831999398403324E-2</v>
      </c>
      <c r="N35" s="221">
        <f>IF(ISERR(AVERAGE($K$35:$M$35)),0,AVERAGE($K$35:$M$35))</f>
        <v>9.4896593101259363E-2</v>
      </c>
      <c r="O35" s="221">
        <f>IF(ISERR(AVERAGE($L$35:$N$35)),0,AVERAGE($L$35:$N$35))</f>
        <v>9.4720362639475711E-2</v>
      </c>
      <c r="P35" s="221">
        <f>IF(ISERR(AVERAGE($M$35:$O$35)),0,AVERAGE($M$35:$O$35))</f>
        <v>9.4816318379712786E-2</v>
      </c>
      <c r="Q35" s="221">
        <f>IF(ISERR(AVERAGE($N$35:$P$35)),0,AVERAGE($N$35:$P$35))</f>
        <v>9.4811091373482606E-2</v>
      </c>
      <c r="R35" s="221">
        <f>IF(ISERR(AVERAGE($O$35:$Q$35)),0,AVERAGE($O$35:$Q$35))</f>
        <v>9.4782590797557034E-2</v>
      </c>
      <c r="S35" s="221">
        <f t="shared" ref="S35:T35" si="21">IF(ISERR(AVERAGE($O$35:$Q$35)),0,AVERAGE($O$35:$Q$35))</f>
        <v>9.4782590797557034E-2</v>
      </c>
      <c r="T35" s="221">
        <f t="shared" si="21"/>
        <v>9.4782590797557034E-2</v>
      </c>
    </row>
    <row r="36" spans="2:20">
      <c r="B36" s="26" t="s">
        <v>778</v>
      </c>
      <c r="C36" s="26" t="s">
        <v>746</v>
      </c>
      <c r="D36" s="216">
        <f>历史数据及预测表!D190/历史数据及预测表!D189</f>
        <v>0</v>
      </c>
      <c r="E36" s="216">
        <f>历史数据及预测表!E190/历史数据及预测表!E189</f>
        <v>0</v>
      </c>
      <c r="F36" s="216">
        <f>历史数据及预测表!F190/历史数据及预测表!F189</f>
        <v>0</v>
      </c>
      <c r="G36" s="216">
        <f>历史数据及预测表!G190/历史数据及预测表!G189</f>
        <v>0</v>
      </c>
      <c r="H36" s="217">
        <f>历史数据及预测表!H190/历史数据及预测表!H189</f>
        <v>0</v>
      </c>
      <c r="I36" s="221">
        <f>IF(ISERR(AVERAGE($F$36:$H$36)),0,AVERAGE($F$36:$H$36))</f>
        <v>0</v>
      </c>
      <c r="J36" s="221">
        <f>IF(ISERR(AVERAGE($G$36:$I$36)),0,AVERAGE($G$36:$I$36))</f>
        <v>0</v>
      </c>
      <c r="K36" s="221">
        <f>IF(ISERR(AVERAGE($H$36:$J$36)),0,AVERAGE($H$36:$J$36))</f>
        <v>0</v>
      </c>
      <c r="L36" s="221">
        <f>IF(ISERR(AVERAGE($I$36:$K$36)),0,AVERAGE($I$36:$K$36))</f>
        <v>0</v>
      </c>
      <c r="M36" s="221">
        <f>IF(ISERR(AVERAGE($J$36:$L$36)),0,AVERAGE($J$36:$L$36))</f>
        <v>0</v>
      </c>
      <c r="N36" s="221">
        <f>IF(ISERR(AVERAGE($K$36:$M$36)),0,AVERAGE($K$36:$M$36))</f>
        <v>0</v>
      </c>
      <c r="O36" s="221">
        <f>IF(ISERR(AVERAGE($L$36:$N$36)),0,AVERAGE($L$36:$N$36))</f>
        <v>0</v>
      </c>
      <c r="P36" s="221">
        <f>IF(ISERR(AVERAGE($M$36:$O$36)),0,AVERAGE($M$36:$O$36))</f>
        <v>0</v>
      </c>
      <c r="Q36" s="221">
        <f>IF(ISERR(AVERAGE($N$36:$P$36)),0,AVERAGE($N$36:$P$36))</f>
        <v>0</v>
      </c>
      <c r="R36" s="221">
        <f>IF(ISERR(AVERAGE($O$36:$Q$36)),0,AVERAGE($O$36:$Q$36))</f>
        <v>0</v>
      </c>
      <c r="S36" s="221">
        <f t="shared" ref="S36:T36" si="22">IF(ISERR(AVERAGE($O$36:$Q$36)),0,AVERAGE($O$36:$Q$36))</f>
        <v>0</v>
      </c>
      <c r="T36" s="221">
        <f t="shared" si="22"/>
        <v>0</v>
      </c>
    </row>
    <row r="37" spans="2:20">
      <c r="B37" s="26" t="s">
        <v>779</v>
      </c>
      <c r="C37" s="26" t="s">
        <v>746</v>
      </c>
      <c r="D37" s="216">
        <f>历史数据及预测表!D11/历史数据及预测表!D107</f>
        <v>5.1238878507138996E-4</v>
      </c>
      <c r="E37" s="216">
        <f>历史数据及预测表!E11/历史数据及预测表!E107</f>
        <v>8.2078369395788232E-4</v>
      </c>
      <c r="F37" s="216">
        <f>历史数据及预测表!F11/历史数据及预测表!F107</f>
        <v>8.7922082861795865E-4</v>
      </c>
      <c r="G37" s="216">
        <f>历史数据及预测表!G11/历史数据及预测表!G107</f>
        <v>5.2765941543512042E-4</v>
      </c>
      <c r="H37" s="216">
        <f>历史数据及预测表!H11/历史数据及预测表!H107</f>
        <v>8.9617997276110809E-4</v>
      </c>
      <c r="I37" s="221">
        <f>IF(ISERR(AVERAGE($F$37:$H$37)),0,AVERAGE($F$37:$H$37))</f>
        <v>7.6768673893806239E-4</v>
      </c>
      <c r="J37" s="221">
        <f>IF(ISERR(AVERAGE($G$37:$I$37)),0,AVERAGE($G$37:$I$37))</f>
        <v>7.305087090447637E-4</v>
      </c>
      <c r="K37" s="221">
        <f>IF(ISERR(AVERAGE($H$37:$J$37)),0,AVERAGE($H$37:$J$37))</f>
        <v>7.9812514024797806E-4</v>
      </c>
      <c r="L37" s="221">
        <f>IF(ISERR(AVERAGE($I$37:$K$37)),0,AVERAGE($I$37:$K$37))</f>
        <v>7.6544019607693468E-4</v>
      </c>
      <c r="M37" s="221">
        <f>IF(ISERR(AVERAGE($J$37:$L$37)),0,AVERAGE($J$37:$L$37))</f>
        <v>7.6469134845655881E-4</v>
      </c>
      <c r="N37" s="221">
        <f>IF(ISERR(AVERAGE($K$37:$M$37)),0,AVERAGE($K$37:$M$37))</f>
        <v>7.7608556159382378E-4</v>
      </c>
      <c r="O37" s="221">
        <f>IF(ISERR(AVERAGE($L$37:$N$37)),0,AVERAGE($L$37:$N$37))</f>
        <v>7.6873903537577235E-4</v>
      </c>
      <c r="P37" s="221">
        <f>IF(ISERR(AVERAGE($M$37:$O$37)),0,AVERAGE($M$37:$O$37))</f>
        <v>7.6983864847538495E-4</v>
      </c>
      <c r="Q37" s="221">
        <f>IF(ISERR(AVERAGE($N$37:$P$37)),0,AVERAGE($N$37:$P$37))</f>
        <v>7.7155441514832699E-4</v>
      </c>
      <c r="R37" s="221">
        <f>IF(ISERR(AVERAGE($O$37:$Q$37)),0,AVERAGE($O$37:$Q$37))</f>
        <v>7.7004403299982813E-4</v>
      </c>
      <c r="S37" s="221">
        <f t="shared" ref="S37:T37" si="23">IF(ISERR(AVERAGE($O$37:$Q$37)),0,AVERAGE($O$37:$Q$37))</f>
        <v>7.7004403299982813E-4</v>
      </c>
      <c r="T37" s="221">
        <f t="shared" si="23"/>
        <v>7.7004403299982813E-4</v>
      </c>
    </row>
    <row r="38" spans="2:20">
      <c r="B38" s="26" t="s">
        <v>780</v>
      </c>
      <c r="C38" s="26" t="s">
        <v>746</v>
      </c>
      <c r="D38" s="216">
        <f>历史数据及预测表!D12/历史数据及预测表!D107</f>
        <v>0</v>
      </c>
      <c r="E38" s="216">
        <f>历史数据及预测表!E12/历史数据及预测表!E107</f>
        <v>0</v>
      </c>
      <c r="F38" s="216">
        <f>历史数据及预测表!F12/历史数据及预测表!F107</f>
        <v>0</v>
      </c>
      <c r="G38" s="216">
        <f>历史数据及预测表!G12/历史数据及预测表!G107</f>
        <v>0</v>
      </c>
      <c r="H38" s="216">
        <f>历史数据及预测表!H12/历史数据及预测表!H107</f>
        <v>0</v>
      </c>
      <c r="I38" s="221">
        <f>IF(ISERR(AVERAGE($F$38:$H$38)),0,AVERAGE($F$38:$H$38))</f>
        <v>0</v>
      </c>
      <c r="J38" s="221">
        <f>IF(ISERR(AVERAGE($G$38:$I$38)),0,AVERAGE($G$38:$I$38))</f>
        <v>0</v>
      </c>
      <c r="K38" s="221">
        <f>IF(ISERR(AVERAGE($H$38:$J$38)),0,AVERAGE($H$38:$J$38))</f>
        <v>0</v>
      </c>
      <c r="L38" s="221">
        <f>IF(ISERR(AVERAGE($I$38:$K$38)),0,AVERAGE($I$38:$K$38))</f>
        <v>0</v>
      </c>
      <c r="M38" s="221">
        <f>IF(ISERR(AVERAGE($J$38:$L$38)),0,AVERAGE($J$38:$L$38))</f>
        <v>0</v>
      </c>
      <c r="N38" s="221">
        <f>IF(ISERR(AVERAGE($K$38:$M$38)),0,AVERAGE($K$38:$M$38))</f>
        <v>0</v>
      </c>
      <c r="O38" s="221">
        <f>IF(ISERR(AVERAGE($L$38:$N$38)),0,AVERAGE($L$38:$N$38))</f>
        <v>0</v>
      </c>
      <c r="P38" s="221">
        <f>IF(ISERR(AVERAGE($M$38:$O$38)),0,AVERAGE($M$38:$O$38))</f>
        <v>0</v>
      </c>
      <c r="Q38" s="221">
        <f>IF(ISERR(AVERAGE($N$38:$P$38)),0,AVERAGE($N$38:$P$38))</f>
        <v>0</v>
      </c>
      <c r="R38" s="221">
        <f>IF(ISERR(AVERAGE($O$38:$Q$38)),0,AVERAGE($O$38:$Q$38))</f>
        <v>0</v>
      </c>
      <c r="S38" s="221">
        <f t="shared" ref="S38:T38" si="24">IF(ISERR(AVERAGE($O$38:$Q$38)),0,AVERAGE($O$38:$Q$38))</f>
        <v>0</v>
      </c>
      <c r="T38" s="221">
        <f t="shared" si="24"/>
        <v>0</v>
      </c>
    </row>
    <row r="39" spans="2:20">
      <c r="B39" s="26" t="s">
        <v>781</v>
      </c>
      <c r="C39" s="26" t="s">
        <v>746</v>
      </c>
      <c r="D39" s="216">
        <f>历史数据及预测表!D13/历史数据及预测表!D110</f>
        <v>8.8032422186385666E-3</v>
      </c>
      <c r="E39" s="216">
        <f>历史数据及预测表!E13/历史数据及预测表!E110</f>
        <v>1.6304494252568445E-2</v>
      </c>
      <c r="F39" s="216">
        <f>历史数据及预测表!F13/历史数据及预测表!F110</f>
        <v>2.4213001300968418E-2</v>
      </c>
      <c r="G39" s="216">
        <f>历史数据及预测表!G13/历史数据及预测表!G110</f>
        <v>3.368566708519239E-2</v>
      </c>
      <c r="H39" s="217">
        <f>历史数据及预测表!H13/历史数据及预测表!H110</f>
        <v>5.0412123273491781E-2</v>
      </c>
      <c r="I39" s="221">
        <f>IF(ISERR(AVERAGE($F$39:$H$39)),0,AVERAGE($F$39:$H$39))</f>
        <v>3.6103597219884202E-2</v>
      </c>
      <c r="J39" s="221">
        <f>IF(ISERR(AVERAGE($G$39:$I$39)),0,AVERAGE($G$39:$I$39))</f>
        <v>4.0067129192856127E-2</v>
      </c>
      <c r="K39" s="221">
        <f>IF(ISERR(AVERAGE($H$39:$J$39)),0,AVERAGE($H$39:$J$39))</f>
        <v>4.2194283228744044E-2</v>
      </c>
      <c r="L39" s="221">
        <f>IF(ISERR(AVERAGE($I$39:$K$39)),0,AVERAGE($I$39:$K$39))</f>
        <v>3.9455003213828131E-2</v>
      </c>
      <c r="M39" s="221">
        <f>IF(ISERR(AVERAGE($J$39:$L$39)),0,AVERAGE($J$39:$L$39))</f>
        <v>4.0572138545142772E-2</v>
      </c>
      <c r="N39" s="221">
        <f>IF(ISERR(AVERAGE($K$39:$M$39)),0,AVERAGE($K$39:$M$39))</f>
        <v>4.0740474995904982E-2</v>
      </c>
      <c r="O39" s="221">
        <f>IF(ISERR(AVERAGE($L$39:$N$39)),0,AVERAGE($L$39:$N$39))</f>
        <v>4.0255872251625295E-2</v>
      </c>
      <c r="P39" s="221">
        <f>IF(ISERR(AVERAGE($M$39:$O$39)),0,AVERAGE($M$39:$O$39))</f>
        <v>4.0522828597557681E-2</v>
      </c>
      <c r="Q39" s="221">
        <f>IF(ISERR(AVERAGE($N$39:$P$39)),0,AVERAGE($N$39:$P$39))</f>
        <v>4.0506391948362648E-2</v>
      </c>
      <c r="R39" s="221">
        <f>IF(ISERR(AVERAGE($O$39:$Q$39)),0,AVERAGE($O$39:$Q$39))</f>
        <v>4.0428364265848539E-2</v>
      </c>
      <c r="S39" s="221">
        <f t="shared" ref="S39:T39" si="25">IF(ISERR(AVERAGE($O$39:$Q$39)),0,AVERAGE($O$39:$Q$39))</f>
        <v>4.0428364265848539E-2</v>
      </c>
      <c r="T39" s="221">
        <f t="shared" si="25"/>
        <v>4.0428364265848539E-2</v>
      </c>
    </row>
    <row r="40" spans="2:20">
      <c r="B40" s="26" t="s">
        <v>782</v>
      </c>
      <c r="C40" s="26" t="s">
        <v>746</v>
      </c>
      <c r="D40" s="216">
        <f>历史数据及预测表!D192/历史数据及预测表!D107</f>
        <v>1.7863872982504071E-2</v>
      </c>
      <c r="E40" s="216">
        <f>历史数据及预测表!E192/历史数据及预测表!E107</f>
        <v>1.8828519464219363E-2</v>
      </c>
      <c r="F40" s="216">
        <f>历史数据及预测表!F192/历史数据及预测表!F107</f>
        <v>6.2688852548412929E-2</v>
      </c>
      <c r="G40" s="216">
        <f>历史数据及预测表!G192/历史数据及预测表!G107</f>
        <v>6.7610494226638007E-2</v>
      </c>
      <c r="H40" s="217">
        <f>历史数据及预测表!H192/历史数据及预测表!H107</f>
        <v>3.4955126431627837E-4</v>
      </c>
      <c r="I40" s="221">
        <f>IF(ISERR(AVERAGE($F$40:$H$40)),0,AVERAGE($F$40:$H$40))</f>
        <v>4.354963267978907E-2</v>
      </c>
      <c r="J40" s="221">
        <f>IF(ISERR(AVERAGE($G$40:$I$40)),0,AVERAGE($G$40:$I$40))</f>
        <v>3.7169892723581122E-2</v>
      </c>
      <c r="K40" s="221">
        <f>IF(ISERR(AVERAGE($H$40:$J$40)),0,AVERAGE($H$40:$J$40))</f>
        <v>2.7023025555895492E-2</v>
      </c>
      <c r="L40" s="221">
        <f>IF(ISERR(AVERAGE($I$40:$K$40)),0,AVERAGE($I$40:$K$40))</f>
        <v>3.5914183653088558E-2</v>
      </c>
      <c r="M40" s="221">
        <f>IF(ISERR(AVERAGE($J$40:$L$40)),0,AVERAGE($J$40:$L$40))</f>
        <v>3.3369033977521723E-2</v>
      </c>
      <c r="N40" s="221">
        <f>IF(ISERR(AVERAGE($K$40:$M$40)),0,AVERAGE($K$40:$M$40))</f>
        <v>3.2102081062168587E-2</v>
      </c>
      <c r="O40" s="221">
        <f>IF(ISERR(AVERAGE($L$40:$N$40)),0,AVERAGE($L$40:$N$40))</f>
        <v>3.3795099564259627E-2</v>
      </c>
      <c r="P40" s="221">
        <f>IF(ISERR(AVERAGE($M$40:$O$40)),0,AVERAGE($M$40:$O$40))</f>
        <v>3.3088738201316643E-2</v>
      </c>
      <c r="Q40" s="221">
        <f>IF(ISERR(AVERAGE($N$40:$P$40)),0,AVERAGE($N$40:$P$40))</f>
        <v>3.2995306275914953E-2</v>
      </c>
      <c r="R40" s="221">
        <f>IF(ISERR(AVERAGE($O$40:$Q$40)),0,AVERAGE($O$40:$Q$40))</f>
        <v>3.3293048013830408E-2</v>
      </c>
      <c r="S40" s="221">
        <f t="shared" ref="S40:T40" si="26">IF(ISERR(AVERAGE($O$40:$Q$40)),0,AVERAGE($O$40:$Q$40))</f>
        <v>3.3293048013830408E-2</v>
      </c>
      <c r="T40" s="221">
        <f t="shared" si="26"/>
        <v>3.3293048013830408E-2</v>
      </c>
    </row>
    <row r="41" spans="2:20">
      <c r="B41" s="26" t="s">
        <v>783</v>
      </c>
      <c r="C41" s="26" t="s">
        <v>746</v>
      </c>
      <c r="D41" s="216">
        <f>历史数据及预测表!D193/历史数据及预测表!D192</f>
        <v>0</v>
      </c>
      <c r="E41" s="216">
        <f>历史数据及预测表!E193/历史数据及预测表!E192</f>
        <v>0</v>
      </c>
      <c r="F41" s="216">
        <f>历史数据及预测表!F193/历史数据及预测表!F192</f>
        <v>0</v>
      </c>
      <c r="G41" s="216">
        <f>历史数据及预测表!G193/历史数据及预测表!G192</f>
        <v>0</v>
      </c>
      <c r="H41" s="217">
        <f>历史数据及预测表!H193/历史数据及预测表!H192</f>
        <v>0</v>
      </c>
      <c r="I41" s="221">
        <f>IF(ISERR(AVERAGE($F$41:$H$41)),0,AVERAGE($F$41:$H$41))</f>
        <v>0</v>
      </c>
      <c r="J41" s="221">
        <f>IF(ISERR(AVERAGE($G$41:$I$41)),0,AVERAGE($G$41:$I$41))</f>
        <v>0</v>
      </c>
      <c r="K41" s="221">
        <f>IF(ISERR(AVERAGE($H$41:$J$41)),0,AVERAGE($H$41:$J$41))</f>
        <v>0</v>
      </c>
      <c r="L41" s="221">
        <f>IF(ISERR(AVERAGE($I$41:$K$41)),0,AVERAGE($I$41:$K$41))</f>
        <v>0</v>
      </c>
      <c r="M41" s="221">
        <f>IF(ISERR(AVERAGE($J$41:$L$41)),0,AVERAGE($J$41:$L$41))</f>
        <v>0</v>
      </c>
      <c r="N41" s="221">
        <f>IF(ISERR(AVERAGE($K$41:$M$41)),0,AVERAGE($K$41:$M$41))</f>
        <v>0</v>
      </c>
      <c r="O41" s="221">
        <f>IF(ISERR(AVERAGE($L$41:$N$41)),0,AVERAGE($L$41:$N$41))</f>
        <v>0</v>
      </c>
      <c r="P41" s="221">
        <f>IF(ISERR(AVERAGE($M$41:$O$41)),0,AVERAGE($M$41:$O$41))</f>
        <v>0</v>
      </c>
      <c r="Q41" s="221">
        <f>IF(ISERR(AVERAGE($N$41:$P$41)),0,AVERAGE($N$41:$P$41))</f>
        <v>0</v>
      </c>
      <c r="R41" s="221">
        <f>IF(ISERR(AVERAGE($O$41:$Q$41)),0,AVERAGE($O$41:$Q$41))</f>
        <v>0</v>
      </c>
      <c r="S41" s="221">
        <f t="shared" ref="S41:T41" si="27">IF(ISERR(AVERAGE($O$41:$Q$41)),0,AVERAGE($O$41:$Q$41))</f>
        <v>0</v>
      </c>
      <c r="T41" s="221">
        <f t="shared" si="27"/>
        <v>0</v>
      </c>
    </row>
    <row r="42" spans="2:20">
      <c r="B42" s="26" t="s">
        <v>784</v>
      </c>
      <c r="C42" s="26" t="s">
        <v>1675</v>
      </c>
      <c r="D42" s="216">
        <f>历史数据及预测表!D195/历史数据及预测表!D110</f>
        <v>0.47209921202358979</v>
      </c>
      <c r="E42" s="216">
        <f>历史数据及预测表!E195/历史数据及预测表!E110</f>
        <v>0.80743960659179403</v>
      </c>
      <c r="F42" s="216">
        <f>历史数据及预测表!F195/历史数据及预测表!F110</f>
        <v>0.94461347339053536</v>
      </c>
      <c r="G42" s="216">
        <f>历史数据及预测表!G195/历史数据及预测表!G110</f>
        <v>1.0958703236206306</v>
      </c>
      <c r="H42" s="217">
        <f>历史数据及预测表!H195/历史数据及预测表!H110</f>
        <v>1.0171856543157287</v>
      </c>
      <c r="I42" s="221">
        <v>0.8</v>
      </c>
      <c r="J42" s="221">
        <f>$I$42</f>
        <v>0.8</v>
      </c>
      <c r="K42" s="221">
        <f>$J$42</f>
        <v>0.8</v>
      </c>
      <c r="L42" s="221">
        <f>$K$42</f>
        <v>0.8</v>
      </c>
      <c r="M42" s="221">
        <f>$L$42</f>
        <v>0.8</v>
      </c>
      <c r="N42" s="221">
        <f>$M$42</f>
        <v>0.8</v>
      </c>
      <c r="O42" s="221">
        <f>$N$42</f>
        <v>0.8</v>
      </c>
      <c r="P42" s="221">
        <f>$O$42</f>
        <v>0.8</v>
      </c>
      <c r="Q42" s="221">
        <f>$P$42</f>
        <v>0.8</v>
      </c>
      <c r="R42" s="221">
        <f>$Q$42</f>
        <v>0.8</v>
      </c>
      <c r="S42" s="221">
        <f>$R$42</f>
        <v>0.8</v>
      </c>
      <c r="T42" s="221">
        <f>$S$42</f>
        <v>0.8</v>
      </c>
    </row>
    <row r="43" spans="2:20">
      <c r="B43" s="26" t="s">
        <v>785</v>
      </c>
      <c r="C43" s="26" t="s">
        <v>1675</v>
      </c>
      <c r="D43" s="216">
        <f>历史数据及预测表!D196/历史数据及预测表!D195</f>
        <v>9.5752380625348563E-2</v>
      </c>
      <c r="E43" s="216">
        <f>历史数据及预测表!E196/历史数据及预测表!E195</f>
        <v>0.14191162112732977</v>
      </c>
      <c r="F43" s="216">
        <f>历史数据及预测表!F196/历史数据及预测表!F195</f>
        <v>0.10674301385378729</v>
      </c>
      <c r="G43" s="216">
        <f>历史数据及预测表!G196/历史数据及预测表!G195</f>
        <v>8.5203718394789532E-2</v>
      </c>
      <c r="H43" s="217">
        <f>历史数据及预测表!H196/历史数据及预测表!H195</f>
        <v>6.4185194948667312E-2</v>
      </c>
      <c r="I43" s="221">
        <v>0.06</v>
      </c>
      <c r="J43" s="221">
        <f>$I$43</f>
        <v>0.06</v>
      </c>
      <c r="K43" s="221">
        <f>$J$43</f>
        <v>0.06</v>
      </c>
      <c r="L43" s="221">
        <f>$K$43</f>
        <v>0.06</v>
      </c>
      <c r="M43" s="221">
        <f>$L$43</f>
        <v>0.06</v>
      </c>
      <c r="N43" s="221">
        <f>$M$43</f>
        <v>0.06</v>
      </c>
      <c r="O43" s="221">
        <f>$N$43</f>
        <v>0.06</v>
      </c>
      <c r="P43" s="221">
        <f>$O$43</f>
        <v>0.06</v>
      </c>
      <c r="Q43" s="221">
        <f>$P$43</f>
        <v>0.06</v>
      </c>
      <c r="R43" s="221">
        <f>$Q$43</f>
        <v>0.06</v>
      </c>
      <c r="S43" s="221">
        <f>$R$43</f>
        <v>0.06</v>
      </c>
      <c r="T43" s="221">
        <f>$S$43</f>
        <v>0.06</v>
      </c>
    </row>
    <row r="44" spans="2:20">
      <c r="B44" s="26" t="s">
        <v>786</v>
      </c>
      <c r="C44" s="26" t="s">
        <v>746</v>
      </c>
      <c r="D44" s="216">
        <f>历史数据及预测表!D198/历史数据及预测表!D110</f>
        <v>0</v>
      </c>
      <c r="E44" s="216">
        <f>历史数据及预测表!E198/历史数据及预测表!E110</f>
        <v>0</v>
      </c>
      <c r="F44" s="216">
        <f>历史数据及预测表!F198/历史数据及预测表!F110</f>
        <v>0</v>
      </c>
      <c r="G44" s="216">
        <f>历史数据及预测表!G198/历史数据及预测表!G110</f>
        <v>0</v>
      </c>
      <c r="H44" s="216">
        <f>历史数据及预测表!H198/历史数据及预测表!H110</f>
        <v>0</v>
      </c>
      <c r="I44" s="221">
        <f>IF(ISERR(AVERAGE($F$44:$H$44)),0,AVERAGE($F$44:$H$44))</f>
        <v>0</v>
      </c>
      <c r="J44" s="221">
        <f>IF(ISERR(AVERAGE($G$44:$I$44)),0,AVERAGE($G$44:$I$44))</f>
        <v>0</v>
      </c>
      <c r="K44" s="221">
        <f>IF(ISERR(AVERAGE($H$44:$J$44)),0,AVERAGE($H$44:$J$44))</f>
        <v>0</v>
      </c>
      <c r="L44" s="221">
        <f>IF(ISERR(AVERAGE($I$44:$K$44)),0,AVERAGE($I$44:$K$44))</f>
        <v>0</v>
      </c>
      <c r="M44" s="221">
        <f>IF(ISERR(AVERAGE($J$44:$L$44)),0,AVERAGE($J$44:$L$44))</f>
        <v>0</v>
      </c>
      <c r="N44" s="221">
        <f>IF(ISERR(AVERAGE($K$44:$M$44)),0,AVERAGE($K$44:$M$44))</f>
        <v>0</v>
      </c>
      <c r="O44" s="221">
        <f>IF(ISERR(AVERAGE($L$44:$N$44)),0,AVERAGE($L$44:$N$44))</f>
        <v>0</v>
      </c>
      <c r="P44" s="221">
        <f>IF(ISERR(AVERAGE($M$44:$O$44)),0,AVERAGE($M$44:$O$44))</f>
        <v>0</v>
      </c>
      <c r="Q44" s="221">
        <f>IF(ISERR(AVERAGE($N$44:$P$44)),0,AVERAGE($N$44:$P$44))</f>
        <v>0</v>
      </c>
      <c r="R44" s="221">
        <f>IF(ISERR(AVERAGE($O$44:$Q$44)),0,AVERAGE($O$44:$Q$44))</f>
        <v>0</v>
      </c>
      <c r="S44" s="221">
        <f t="shared" ref="S44:T44" si="28">IF(ISERR(AVERAGE($O$44:$Q$44)),0,AVERAGE($O$44:$Q$44))</f>
        <v>0</v>
      </c>
      <c r="T44" s="221">
        <f t="shared" si="28"/>
        <v>0</v>
      </c>
    </row>
    <row r="45" spans="2:20">
      <c r="B45" s="26" t="s">
        <v>787</v>
      </c>
      <c r="C45" s="26" t="s">
        <v>746</v>
      </c>
      <c r="D45" s="216" t="e">
        <f>历史数据及预测表!D199/历史数据及预测表!D198</f>
        <v>#DIV/0!</v>
      </c>
      <c r="E45" s="216" t="e">
        <f>历史数据及预测表!E199/历史数据及预测表!E198</f>
        <v>#DIV/0!</v>
      </c>
      <c r="F45" s="216" t="e">
        <f>历史数据及预测表!F199/历史数据及预测表!F198</f>
        <v>#DIV/0!</v>
      </c>
      <c r="G45" s="216" t="e">
        <f>历史数据及预测表!G199/历史数据及预测表!G198</f>
        <v>#DIV/0!</v>
      </c>
      <c r="H45" s="216" t="e">
        <f>历史数据及预测表!H199/历史数据及预测表!H198</f>
        <v>#DIV/0!</v>
      </c>
      <c r="I45" s="221">
        <f>IF(ISERR(AVERAGE($F$45:$H$45)),0,AVERAGE($F$45:$H$45))</f>
        <v>0</v>
      </c>
      <c r="J45" s="221">
        <f>IF(ISERR(AVERAGE($G$45:$I$45)),0,AVERAGE($G$45:$I$45))</f>
        <v>0</v>
      </c>
      <c r="K45" s="221">
        <f>IF(ISERR(AVERAGE($H$45:$J$45)),0,AVERAGE($H$45:$J$45))</f>
        <v>0</v>
      </c>
      <c r="L45" s="221">
        <f>IF(ISERR(AVERAGE($I$45:$K$45)),0,AVERAGE($I$45:$K$45))</f>
        <v>0</v>
      </c>
      <c r="M45" s="221">
        <f>IF(ISERR(AVERAGE($J$45:$L$45)),0,AVERAGE($J$45:$L$45))</f>
        <v>0</v>
      </c>
      <c r="N45" s="221">
        <f>IF(ISERR(AVERAGE($K$45:$M$45)),0,AVERAGE($K$45:$M$45))</f>
        <v>0</v>
      </c>
      <c r="O45" s="221">
        <f>IF(ISERR(AVERAGE($L$45:$N$45)),0,AVERAGE($L$45:$N$45))</f>
        <v>0</v>
      </c>
      <c r="P45" s="221">
        <f>IF(ISERR(AVERAGE($M$45:$O$45)),0,AVERAGE($M$45:$O$45))</f>
        <v>0</v>
      </c>
      <c r="Q45" s="221">
        <f>IF(ISERR(AVERAGE($N$45:$P$45)),0,AVERAGE($N$45:$P$45))</f>
        <v>0</v>
      </c>
      <c r="R45" s="221">
        <f>IF(ISERR(AVERAGE($O$45:$Q$45)),0,AVERAGE($O$45:$Q$45))</f>
        <v>0</v>
      </c>
      <c r="S45" s="221">
        <f t="shared" ref="S45:T45" si="29">IF(ISERR(AVERAGE($O$45:$Q$45)),0,AVERAGE($O$45:$Q$45))</f>
        <v>0</v>
      </c>
      <c r="T45" s="221">
        <f t="shared" si="29"/>
        <v>0</v>
      </c>
    </row>
    <row r="46" spans="2:20">
      <c r="B46" s="26" t="s">
        <v>788</v>
      </c>
      <c r="C46" s="26" t="s">
        <v>775</v>
      </c>
      <c r="D46" s="81"/>
      <c r="E46" s="218">
        <f>历史数据及预测表!E17-历史数据及预测表!D17</f>
        <v>0</v>
      </c>
      <c r="F46" s="218">
        <f>历史数据及预测表!F17-历史数据及预测表!E17</f>
        <v>0</v>
      </c>
      <c r="G46" s="218">
        <f>历史数据及预测表!G17-历史数据及预测表!F17</f>
        <v>0</v>
      </c>
      <c r="H46" s="122">
        <f>历史数据及预测表!H17-历史数据及预测表!G17</f>
        <v>0</v>
      </c>
      <c r="I46" s="222">
        <v>0</v>
      </c>
      <c r="J46" s="222">
        <v>0</v>
      </c>
      <c r="K46" s="222">
        <v>0</v>
      </c>
      <c r="L46" s="222">
        <v>0</v>
      </c>
      <c r="M46" s="222">
        <v>0</v>
      </c>
      <c r="N46" s="222">
        <v>0</v>
      </c>
      <c r="O46" s="222">
        <v>0</v>
      </c>
      <c r="P46" s="222">
        <v>0</v>
      </c>
      <c r="Q46" s="222">
        <v>0</v>
      </c>
      <c r="R46" s="222">
        <v>0</v>
      </c>
      <c r="S46" s="222">
        <v>0</v>
      </c>
      <c r="T46" s="222">
        <v>0</v>
      </c>
    </row>
    <row r="47" spans="2:20">
      <c r="B47" s="26" t="s">
        <v>789</v>
      </c>
      <c r="C47" s="26" t="s">
        <v>775</v>
      </c>
      <c r="D47" s="81"/>
      <c r="E47" s="218">
        <f>历史数据及预测表!E18-历史数据及预测表!D18</f>
        <v>0</v>
      </c>
      <c r="F47" s="218">
        <f>历史数据及预测表!F18-历史数据及预测表!E18</f>
        <v>0</v>
      </c>
      <c r="G47" s="218">
        <f>历史数据及预测表!G18-历史数据及预测表!F18</f>
        <v>43.804254990000004</v>
      </c>
      <c r="H47" s="122">
        <f>历史数据及预测表!H18-历史数据及预测表!G18</f>
        <v>-43.804254990000004</v>
      </c>
      <c r="I47" s="222">
        <v>0</v>
      </c>
      <c r="J47" s="222">
        <v>0</v>
      </c>
      <c r="K47" s="222">
        <v>0</v>
      </c>
      <c r="L47" s="222">
        <v>0</v>
      </c>
      <c r="M47" s="222">
        <v>0</v>
      </c>
      <c r="N47" s="222">
        <v>0</v>
      </c>
      <c r="O47" s="222">
        <v>0</v>
      </c>
      <c r="P47" s="222">
        <v>0</v>
      </c>
      <c r="Q47" s="222">
        <v>0</v>
      </c>
      <c r="R47" s="222">
        <v>0</v>
      </c>
      <c r="S47" s="222">
        <v>0</v>
      </c>
      <c r="T47" s="222">
        <v>0</v>
      </c>
    </row>
    <row r="48" spans="2:20">
      <c r="B48" s="26" t="s">
        <v>790</v>
      </c>
      <c r="C48" s="26" t="s">
        <v>746</v>
      </c>
      <c r="D48" s="216">
        <f>历史数据及预测表!D19/历史数据及预测表!D107</f>
        <v>0</v>
      </c>
      <c r="E48" s="216">
        <f>历史数据及预测表!E19/历史数据及预测表!E107</f>
        <v>0</v>
      </c>
      <c r="F48" s="216">
        <f>历史数据及预测表!F19/历史数据及预测表!F107</f>
        <v>0</v>
      </c>
      <c r="G48" s="216">
        <f>历史数据及预测表!G19/历史数据及预测表!G107</f>
        <v>0</v>
      </c>
      <c r="H48" s="217">
        <f>历史数据及预测表!H19/历史数据及预测表!H107</f>
        <v>0</v>
      </c>
      <c r="I48" s="221">
        <f>IF(ISERR(AVERAGE($F$48:$H$48)),0,AVERAGE($F$48:$H$48))</f>
        <v>0</v>
      </c>
      <c r="J48" s="221">
        <f>IF(ISERR(AVERAGE($G$48:$I$48)),0,AVERAGE($G$48:$I$48))</f>
        <v>0</v>
      </c>
      <c r="K48" s="221">
        <f>IF(ISERR(AVERAGE($H$48:$J$48)),0,AVERAGE($H$48:$J$48))</f>
        <v>0</v>
      </c>
      <c r="L48" s="221">
        <f>IF(ISERR(AVERAGE($I$48:$K$48)),0,AVERAGE($I$48:$K$48))</f>
        <v>0</v>
      </c>
      <c r="M48" s="221">
        <f>IF(ISERR(AVERAGE($J$48:$L$48)),0,AVERAGE($J$48:$L$48))</f>
        <v>0</v>
      </c>
      <c r="N48" s="221">
        <f>IF(ISERR(AVERAGE($K$48:$M$48)),0,AVERAGE($K$48:$M$48))</f>
        <v>0</v>
      </c>
      <c r="O48" s="221">
        <f>IF(ISERR(AVERAGE($L$48:$N$48)),0,AVERAGE($L$48:$N$48))</f>
        <v>0</v>
      </c>
      <c r="P48" s="221">
        <f>IF(ISERR(AVERAGE($M$48:$O$48)),0,AVERAGE($M$48:$O$48))</f>
        <v>0</v>
      </c>
      <c r="Q48" s="221">
        <f>IF(ISERR(AVERAGE($N$48:$P$48)),0,AVERAGE($N$48:$P$48))</f>
        <v>0</v>
      </c>
      <c r="R48" s="221">
        <f>IF(ISERR(AVERAGE($O$48:$Q$48)),0,AVERAGE($O$48:$Q$48))</f>
        <v>0</v>
      </c>
      <c r="S48" s="221">
        <f t="shared" ref="S48:T48" si="30">IF(ISERR(AVERAGE($O$48:$Q$48)),0,AVERAGE($O$48:$Q$48))</f>
        <v>0</v>
      </c>
      <c r="T48" s="221">
        <f t="shared" si="30"/>
        <v>0</v>
      </c>
    </row>
    <row r="49" spans="2:20">
      <c r="B49" s="26" t="s">
        <v>791</v>
      </c>
      <c r="C49" s="26" t="s">
        <v>775</v>
      </c>
      <c r="D49" s="81"/>
      <c r="E49" s="218">
        <f>历史数据及预测表!E20-历史数据及预测表!D20</f>
        <v>17.611917380000001</v>
      </c>
      <c r="F49" s="218">
        <f>历史数据及预测表!F20-历史数据及预测表!E20</f>
        <v>33.355022210000008</v>
      </c>
      <c r="G49" s="218">
        <f>历史数据及预测表!G20-历史数据及预测表!F20</f>
        <v>-4.0241835100000145</v>
      </c>
      <c r="H49" s="122">
        <f>历史数据及预测表!H20-历史数据及预测表!G20</f>
        <v>4.6942217900000145</v>
      </c>
      <c r="I49" s="222">
        <v>0</v>
      </c>
      <c r="J49" s="222">
        <v>0</v>
      </c>
      <c r="K49" s="222">
        <v>0</v>
      </c>
      <c r="L49" s="222">
        <v>0</v>
      </c>
      <c r="M49" s="222">
        <v>0</v>
      </c>
      <c r="N49" s="222">
        <v>0</v>
      </c>
      <c r="O49" s="222">
        <v>0</v>
      </c>
      <c r="P49" s="222">
        <v>0</v>
      </c>
      <c r="Q49" s="222">
        <v>0</v>
      </c>
      <c r="R49" s="222">
        <v>0</v>
      </c>
      <c r="S49" s="222">
        <v>0</v>
      </c>
      <c r="T49" s="222">
        <v>0</v>
      </c>
    </row>
    <row r="50" spans="2:20">
      <c r="B50" s="26" t="s">
        <v>792</v>
      </c>
      <c r="C50" s="26" t="s">
        <v>775</v>
      </c>
      <c r="D50" s="81"/>
      <c r="E50" s="218">
        <f>历史数据及预测表!E21-历史数据及预测表!D21</f>
        <v>0</v>
      </c>
      <c r="F50" s="218">
        <f>历史数据及预测表!F21-历史数据及预测表!E21</f>
        <v>0</v>
      </c>
      <c r="G50" s="218">
        <f>历史数据及预测表!G21-历史数据及预测表!F21</f>
        <v>0</v>
      </c>
      <c r="H50" s="122">
        <f>历史数据及预测表!H21-历史数据及预测表!G21</f>
        <v>0</v>
      </c>
      <c r="I50" s="222">
        <v>0</v>
      </c>
      <c r="J50" s="222">
        <v>0</v>
      </c>
      <c r="K50" s="222">
        <v>0</v>
      </c>
      <c r="L50" s="222">
        <v>0</v>
      </c>
      <c r="M50" s="222">
        <v>0</v>
      </c>
      <c r="N50" s="222">
        <v>0</v>
      </c>
      <c r="O50" s="222">
        <v>0</v>
      </c>
      <c r="P50" s="222">
        <v>0</v>
      </c>
      <c r="Q50" s="222">
        <v>0</v>
      </c>
      <c r="R50" s="222">
        <v>0</v>
      </c>
      <c r="S50" s="222">
        <v>0</v>
      </c>
      <c r="T50" s="222">
        <v>0</v>
      </c>
    </row>
    <row r="51" spans="2:20">
      <c r="B51" s="26" t="s">
        <v>793</v>
      </c>
      <c r="C51" s="26" t="s">
        <v>775</v>
      </c>
      <c r="D51" s="81"/>
      <c r="E51" s="218">
        <f>历史数据及预测表!E43-历史数据及预测表!D43</f>
        <v>28.879835040000003</v>
      </c>
      <c r="F51" s="218">
        <f>历史数据及预测表!F43-历史数据及预测表!E43</f>
        <v>15.615000710000004</v>
      </c>
      <c r="G51" s="218">
        <f>历史数据及预测表!G43-历史数据及预测表!F43</f>
        <v>-5.7861320599999999</v>
      </c>
      <c r="H51" s="122">
        <f>历史数据及预测表!H43-历史数据及预测表!G43</f>
        <v>3.4445548300000155</v>
      </c>
      <c r="I51" s="222">
        <v>0</v>
      </c>
      <c r="J51" s="222">
        <v>0</v>
      </c>
      <c r="K51" s="222">
        <v>0</v>
      </c>
      <c r="L51" s="222">
        <v>0</v>
      </c>
      <c r="M51" s="222">
        <v>0</v>
      </c>
      <c r="N51" s="222">
        <v>0</v>
      </c>
      <c r="O51" s="222">
        <v>0</v>
      </c>
      <c r="P51" s="222">
        <v>0</v>
      </c>
      <c r="Q51" s="222">
        <v>0</v>
      </c>
      <c r="R51" s="222">
        <v>0</v>
      </c>
      <c r="S51" s="222">
        <v>0</v>
      </c>
      <c r="T51" s="222">
        <v>0</v>
      </c>
    </row>
    <row r="52" spans="2:20">
      <c r="B52" s="26" t="s">
        <v>794</v>
      </c>
      <c r="C52" s="26" t="s">
        <v>775</v>
      </c>
      <c r="D52" s="81"/>
      <c r="E52" s="218">
        <f>历史数据及预测表!E44-历史数据及预测表!D44</f>
        <v>415.72640672</v>
      </c>
      <c r="F52" s="218">
        <f>历史数据及预测表!F44-历史数据及预测表!E44</f>
        <v>-320.60420127999998</v>
      </c>
      <c r="G52" s="218">
        <f>历史数据及预测表!G44-历史数据及预测表!F44</f>
        <v>-99.233813470000015</v>
      </c>
      <c r="H52" s="122">
        <f>历史数据及预测表!H44-历史数据及预测表!G44</f>
        <v>5.7443914100000004</v>
      </c>
      <c r="I52" s="222">
        <v>0</v>
      </c>
      <c r="J52" s="222">
        <v>0</v>
      </c>
      <c r="K52" s="222">
        <v>0</v>
      </c>
      <c r="L52" s="222">
        <v>0</v>
      </c>
      <c r="M52" s="222">
        <v>0</v>
      </c>
      <c r="N52" s="222">
        <v>0</v>
      </c>
      <c r="O52" s="222">
        <v>0</v>
      </c>
      <c r="P52" s="222">
        <v>0</v>
      </c>
      <c r="Q52" s="222">
        <v>0</v>
      </c>
      <c r="R52" s="222">
        <v>0</v>
      </c>
      <c r="S52" s="222">
        <v>0</v>
      </c>
      <c r="T52" s="222">
        <v>0</v>
      </c>
    </row>
    <row r="53" spans="2:20">
      <c r="B53" s="26" t="s">
        <v>795</v>
      </c>
      <c r="C53" s="26" t="s">
        <v>775</v>
      </c>
      <c r="D53" s="81"/>
      <c r="E53" s="218">
        <f>历史数据及预测表!E45-历史数据及预测表!D45</f>
        <v>0</v>
      </c>
      <c r="F53" s="218">
        <f>历史数据及预测表!F45-历史数据及预测表!E45</f>
        <v>0</v>
      </c>
      <c r="G53" s="218">
        <f>历史数据及预测表!G45-历史数据及预测表!F45</f>
        <v>0</v>
      </c>
      <c r="H53" s="122">
        <f>历史数据及预测表!H45-历史数据及预测表!G45</f>
        <v>0</v>
      </c>
      <c r="I53" s="222">
        <v>0</v>
      </c>
      <c r="J53" s="222">
        <v>0</v>
      </c>
      <c r="K53" s="222">
        <v>0</v>
      </c>
      <c r="L53" s="222">
        <v>0</v>
      </c>
      <c r="M53" s="222">
        <v>0</v>
      </c>
      <c r="N53" s="222">
        <v>0</v>
      </c>
      <c r="O53" s="222">
        <v>0</v>
      </c>
      <c r="P53" s="222">
        <v>0</v>
      </c>
      <c r="Q53" s="222">
        <v>0</v>
      </c>
      <c r="R53" s="222">
        <v>0</v>
      </c>
      <c r="S53" s="222">
        <v>0</v>
      </c>
      <c r="T53" s="222">
        <v>0</v>
      </c>
    </row>
    <row r="54" spans="2:20">
      <c r="D54" s="81"/>
      <c r="E54" s="81"/>
      <c r="F54" s="81"/>
      <c r="G54" s="81"/>
      <c r="H54" s="119"/>
      <c r="I54" s="119"/>
      <c r="J54" s="81"/>
      <c r="K54" s="81"/>
      <c r="L54" s="81"/>
      <c r="M54" s="81"/>
      <c r="N54" s="81"/>
      <c r="O54" s="81"/>
      <c r="P54" s="81"/>
      <c r="Q54" s="81"/>
    </row>
    <row r="55" spans="2:20">
      <c r="B55" s="26" t="s">
        <v>796</v>
      </c>
      <c r="C55" s="26" t="s">
        <v>775</v>
      </c>
      <c r="D55" s="81"/>
      <c r="E55" s="218">
        <f>历史数据及预测表!E52-历史数据及预测表!D52</f>
        <v>0</v>
      </c>
      <c r="F55" s="218">
        <f>历史数据及预测表!F52-历史数据及预测表!E52</f>
        <v>0</v>
      </c>
      <c r="G55" s="218">
        <f>历史数据及预测表!G52-历史数据及预测表!F52</f>
        <v>0</v>
      </c>
      <c r="H55" s="122">
        <f>历史数据及预测表!H52-历史数据及预测表!G52</f>
        <v>0</v>
      </c>
      <c r="I55" s="222">
        <v>0</v>
      </c>
      <c r="J55" s="222">
        <v>0</v>
      </c>
      <c r="K55" s="222">
        <v>0</v>
      </c>
      <c r="L55" s="222">
        <v>0</v>
      </c>
      <c r="M55" s="222">
        <v>0</v>
      </c>
      <c r="N55" s="222">
        <v>0</v>
      </c>
      <c r="O55" s="222">
        <v>0</v>
      </c>
      <c r="P55" s="222">
        <v>0</v>
      </c>
      <c r="Q55" s="222">
        <v>0</v>
      </c>
      <c r="R55" s="222">
        <v>0</v>
      </c>
      <c r="S55" s="222">
        <v>0</v>
      </c>
      <c r="T55" s="222">
        <v>0</v>
      </c>
    </row>
    <row r="56" spans="2:20">
      <c r="B56" s="26" t="s">
        <v>797</v>
      </c>
      <c r="C56" s="26" t="s">
        <v>746</v>
      </c>
      <c r="D56" s="218">
        <f>历史数据及预测表!D53</f>
        <v>0</v>
      </c>
      <c r="E56" s="218">
        <f>历史数据及预测表!E53</f>
        <v>0</v>
      </c>
      <c r="F56" s="218">
        <f>历史数据及预测表!F53</f>
        <v>0</v>
      </c>
      <c r="G56" s="218">
        <f>历史数据及预测表!G53</f>
        <v>0</v>
      </c>
      <c r="H56" s="218">
        <f>历史数据及预测表!H53</f>
        <v>0</v>
      </c>
      <c r="I56" s="222">
        <f>IF(ISERR(AVERAGE($F$56:$H$56)),0,AVERAGE($F$56:$H$56))</f>
        <v>0</v>
      </c>
      <c r="J56" s="222">
        <f>IF(ISERR(AVERAGE($G$56:$I$56)),0,AVERAGE($G$56:$I$56))</f>
        <v>0</v>
      </c>
      <c r="K56" s="222">
        <f>IF(ISERR(AVERAGE($H$56:$J$56)),0,AVERAGE($H$56:$J$56))</f>
        <v>0</v>
      </c>
      <c r="L56" s="222">
        <f>IF(ISERR(AVERAGE($I$56:$K$56)),0,AVERAGE($I$56:$K$56))</f>
        <v>0</v>
      </c>
      <c r="M56" s="222">
        <f>IF(ISERR(AVERAGE($J$56:$L$56)),0,AVERAGE($J$56:$L$56))</f>
        <v>0</v>
      </c>
      <c r="N56" s="222">
        <f>IF(ISERR(AVERAGE($K$56:$M$56)),0,AVERAGE($K$56:$M$56))</f>
        <v>0</v>
      </c>
      <c r="O56" s="222">
        <f>IF(ISERR(AVERAGE($L$56:$N$56)),0,AVERAGE($L$56:$N$56))</f>
        <v>0</v>
      </c>
      <c r="P56" s="222">
        <f>IF(ISERR(AVERAGE($M$56:$O$56)),0,AVERAGE($M$56:$O$56))</f>
        <v>0</v>
      </c>
      <c r="Q56" s="222">
        <f>IF(ISERR(AVERAGE($N$56:$P$56)),0,AVERAGE($N$56:$P$56))</f>
        <v>0</v>
      </c>
      <c r="R56" s="222">
        <f>IF(ISERR(AVERAGE($O$56:$Q$56)),0,AVERAGE($O$56:$Q$56))</f>
        <v>0</v>
      </c>
      <c r="S56" s="222">
        <f t="shared" ref="S56:T56" si="31">IF(ISERR(AVERAGE($O$56:$Q$56)),0,AVERAGE($O$56:$Q$56))</f>
        <v>0</v>
      </c>
      <c r="T56" s="222">
        <f t="shared" si="31"/>
        <v>0</v>
      </c>
    </row>
    <row r="57" spans="2:20">
      <c r="B57" s="26" t="s">
        <v>798</v>
      </c>
      <c r="C57" s="26" t="s">
        <v>746</v>
      </c>
      <c r="D57" s="216">
        <f>历史数据及预测表!D54/历史数据及预测表!D110</f>
        <v>0.19810497289518547</v>
      </c>
      <c r="E57" s="216">
        <f>历史数据及预测表!E54/历史数据及预测表!E110</f>
        <v>0.19842864218618736</v>
      </c>
      <c r="F57" s="216">
        <f>历史数据及预测表!F54/历史数据及预测表!F110</f>
        <v>0.14826926341264893</v>
      </c>
      <c r="G57" s="216">
        <f>历史数据及预测表!G54/历史数据及预测表!G110</f>
        <v>0.16273369254117279</v>
      </c>
      <c r="H57" s="217">
        <f>历史数据及预测表!H54/历史数据及预测表!H110</f>
        <v>0.19169278696514264</v>
      </c>
      <c r="I57" s="221">
        <f>IF(ISERR(AVERAGE($F$57:$H$57)),0,AVERAGE($F$57:$H$57))</f>
        <v>0.16756524763965477</v>
      </c>
      <c r="J57" s="221">
        <f>IF(ISERR(AVERAGE($G$57:$I$57)),0,AVERAGE($G$57:$I$57))</f>
        <v>0.17399724238199007</v>
      </c>
      <c r="K57" s="221">
        <f>IF(ISERR(AVERAGE($H$57:$J$57)),0,AVERAGE($H$57:$J$57))</f>
        <v>0.17775175899559584</v>
      </c>
      <c r="L57" s="221">
        <f>IF(ISERR(AVERAGE($I$57:$K$57)),0,AVERAGE($I$57:$K$57))</f>
        <v>0.17310474967241354</v>
      </c>
      <c r="M57" s="221">
        <f>IF(ISERR(AVERAGE($J$57:$L$57)),0,AVERAGE($J$57:$L$57))</f>
        <v>0.17495125034999981</v>
      </c>
      <c r="N57" s="221">
        <f>IF(ISERR(AVERAGE($K$57:$M$57)),0,AVERAGE($K$57:$M$57))</f>
        <v>0.17526925300600307</v>
      </c>
      <c r="O57" s="221">
        <f>IF(ISERR(AVERAGE($L$57:$N$57)),0,AVERAGE($L$57:$N$57))</f>
        <v>0.17444175100947212</v>
      </c>
      <c r="P57" s="221">
        <f>IF(ISERR(AVERAGE($M$57:$O$57)),0,AVERAGE($M$57:$O$57))</f>
        <v>0.17488741812182498</v>
      </c>
      <c r="Q57" s="221">
        <f>IF(ISERR(AVERAGE($N$57:$P$57)),0,AVERAGE($N$57:$P$57))</f>
        <v>0.17486614071243337</v>
      </c>
      <c r="R57" s="221">
        <f>IF(ISERR(AVERAGE($O$57:$Q$57)),0,AVERAGE($O$57:$Q$57))</f>
        <v>0.17473176994791015</v>
      </c>
      <c r="S57" s="221">
        <f t="shared" ref="S57:T57" si="32">IF(ISERR(AVERAGE($O$57:$Q$57)),0,AVERAGE($O$57:$Q$57))</f>
        <v>0.17473176994791015</v>
      </c>
      <c r="T57" s="221">
        <f t="shared" si="32"/>
        <v>0.17473176994791015</v>
      </c>
    </row>
    <row r="58" spans="2:20">
      <c r="B58" s="26" t="s">
        <v>799</v>
      </c>
      <c r="C58" s="26" t="s">
        <v>775</v>
      </c>
      <c r="D58" s="216">
        <f>历史数据及预测表!D55/历史数据及预测表!D110</f>
        <v>0</v>
      </c>
      <c r="E58" s="216">
        <f>历史数据及预测表!E55/历史数据及预测表!E110</f>
        <v>0</v>
      </c>
      <c r="F58" s="216">
        <f>历史数据及预测表!F55/历史数据及预测表!F110</f>
        <v>0</v>
      </c>
      <c r="G58" s="216">
        <f>历史数据及预测表!G55/历史数据及预测表!G110</f>
        <v>0</v>
      </c>
      <c r="H58" s="216">
        <f>历史数据及预测表!H55/历史数据及预测表!H110</f>
        <v>0</v>
      </c>
      <c r="I58" s="221">
        <v>0</v>
      </c>
      <c r="J58" s="221">
        <v>0</v>
      </c>
      <c r="K58" s="221">
        <v>0</v>
      </c>
      <c r="L58" s="221">
        <v>0</v>
      </c>
      <c r="M58" s="221">
        <v>0</v>
      </c>
      <c r="N58" s="221">
        <v>0</v>
      </c>
      <c r="O58" s="221">
        <v>0</v>
      </c>
      <c r="P58" s="221">
        <v>0</v>
      </c>
      <c r="Q58" s="221">
        <v>0</v>
      </c>
      <c r="R58" s="221">
        <v>0</v>
      </c>
      <c r="S58" s="221">
        <v>0</v>
      </c>
      <c r="T58" s="221">
        <v>0</v>
      </c>
    </row>
    <row r="59" spans="2:20">
      <c r="B59" s="26" t="s">
        <v>800</v>
      </c>
      <c r="C59" s="26" t="s">
        <v>746</v>
      </c>
      <c r="D59" s="216">
        <f>历史数据及预测表!D56/历史数据及预测表!D107</f>
        <v>0</v>
      </c>
      <c r="E59" s="216">
        <f>历史数据及预测表!E56/历史数据及预测表!E107</f>
        <v>0</v>
      </c>
      <c r="F59" s="216">
        <f>历史数据及预测表!F56/历史数据及预测表!F107</f>
        <v>0</v>
      </c>
      <c r="G59" s="216">
        <f>历史数据及预测表!G56/历史数据及预测表!G107</f>
        <v>0</v>
      </c>
      <c r="H59" s="217">
        <f>历史数据及预测表!H56/历史数据及预测表!H107</f>
        <v>0</v>
      </c>
      <c r="I59" s="221">
        <f>IF(ISERR(AVERAGE($F$59:$H$59)),0,AVERAGE($F$59:$H$59))</f>
        <v>0</v>
      </c>
      <c r="J59" s="221">
        <f>IF(ISERR(AVERAGE($G$59:$I$59)),0,AVERAGE($G$59:$I$59))</f>
        <v>0</v>
      </c>
      <c r="K59" s="221">
        <f>IF(ISERR(AVERAGE($H$59:$J$59)),0,AVERAGE($H$59:$J$59))</f>
        <v>0</v>
      </c>
      <c r="L59" s="221">
        <f>IF(ISERR(AVERAGE($I$59:$K$59)),0,AVERAGE($I$59:$K$59))</f>
        <v>0</v>
      </c>
      <c r="M59" s="221">
        <f>IF(ISERR(AVERAGE($J$59:$L$59)),0,AVERAGE($J$59:$L$59))</f>
        <v>0</v>
      </c>
      <c r="N59" s="221">
        <f>IF(ISERR(AVERAGE($K$59:$M$59)),0,AVERAGE($K$59:$M$59))</f>
        <v>0</v>
      </c>
      <c r="O59" s="221">
        <f>IF(ISERR(AVERAGE($L$59:$N$59)),0,AVERAGE($L$59:$N$59))</f>
        <v>0</v>
      </c>
      <c r="P59" s="221">
        <f>IF(ISERR(AVERAGE($M$59:$O$59)),0,AVERAGE($M$59:$O$59))</f>
        <v>0</v>
      </c>
      <c r="Q59" s="221">
        <f>IF(ISERR(AVERAGE($N$59:$P$59)),0,AVERAGE($N$59:$P$59))</f>
        <v>0</v>
      </c>
      <c r="R59" s="221">
        <f>IF(ISERR(AVERAGE($O$59:$Q$59)),0,AVERAGE($O$59:$Q$59))</f>
        <v>0</v>
      </c>
      <c r="S59" s="221">
        <f t="shared" ref="S59:T59" si="33">IF(ISERR(AVERAGE($O$59:$Q$59)),0,AVERAGE($O$59:$Q$59))</f>
        <v>0</v>
      </c>
      <c r="T59" s="221">
        <f t="shared" si="33"/>
        <v>0</v>
      </c>
    </row>
    <row r="60" spans="2:20">
      <c r="B60" s="26" t="s">
        <v>801</v>
      </c>
      <c r="C60" s="26" t="s">
        <v>746</v>
      </c>
      <c r="D60" s="216">
        <f>历史数据及预测表!D57/历史数据及预测表!D107</f>
        <v>6.8454314182490716E-3</v>
      </c>
      <c r="E60" s="216">
        <f>历史数据及预测表!E57/历史数据及预测表!E107</f>
        <v>2.3532760885581636E-2</v>
      </c>
      <c r="F60" s="216">
        <f>历史数据及预测表!F57/历史数据及预测表!F107</f>
        <v>1.6526275279914963E-2</v>
      </c>
      <c r="G60" s="216">
        <f>历史数据及预测表!G57/历史数据及预测表!G107</f>
        <v>1.5600493025252777E-2</v>
      </c>
      <c r="H60" s="216">
        <f>历史数据及预测表!H57/历史数据及预测表!H107</f>
        <v>2.3120334467965308E-2</v>
      </c>
      <c r="I60" s="221">
        <f>IF(ISERR(AVERAGE($F$60:$H$60)),0,AVERAGE($F$60:$H$60))</f>
        <v>1.8415700924377682E-2</v>
      </c>
      <c r="J60" s="221">
        <f>IF(ISERR(AVERAGE($G$60:$I$60)),0,AVERAGE($G$60:$I$60))</f>
        <v>1.9045509472531922E-2</v>
      </c>
      <c r="K60" s="221">
        <f>IF(ISERR(AVERAGE($H$60:$J$60)),0,AVERAGE($H$60:$J$60))</f>
        <v>2.0193848288291637E-2</v>
      </c>
      <c r="L60" s="221">
        <f>IF(ISERR(AVERAGE($I$60:$K$60)),0,AVERAGE($I$60:$K$60))</f>
        <v>1.9218352895067081E-2</v>
      </c>
      <c r="M60" s="221">
        <f>IF(ISERR(AVERAGE($J$60:$L$60)),0,AVERAGE($J$60:$L$60))</f>
        <v>1.9485903551963547E-2</v>
      </c>
      <c r="N60" s="221">
        <f>IF(ISERR(AVERAGE($K$60:$M$60)),0,AVERAGE($K$60:$M$60))</f>
        <v>1.9632701578440756E-2</v>
      </c>
      <c r="O60" s="221">
        <f>IF(ISERR(AVERAGE($L$60:$N$60)),0,AVERAGE($L$60:$N$60))</f>
        <v>1.9445652675157129E-2</v>
      </c>
      <c r="P60" s="221">
        <f>IF(ISERR(AVERAGE($M$60:$O$60)),0,AVERAGE($M$60:$O$60))</f>
        <v>1.9521419268520478E-2</v>
      </c>
      <c r="Q60" s="221">
        <f>IF(ISERR(AVERAGE($N$60:$P$60)),0,AVERAGE($N$60:$P$60))</f>
        <v>1.9533257840706125E-2</v>
      </c>
      <c r="R60" s="221">
        <f>IF(ISERR(AVERAGE($O$60:$Q$60)),0,AVERAGE($O$60:$Q$60))</f>
        <v>1.9500109928127909E-2</v>
      </c>
      <c r="S60" s="221">
        <f t="shared" ref="S60:T60" si="34">IF(ISERR(AVERAGE($O$60:$Q$60)),0,AVERAGE($O$60:$Q$60))</f>
        <v>1.9500109928127909E-2</v>
      </c>
      <c r="T60" s="221">
        <f t="shared" si="34"/>
        <v>1.9500109928127909E-2</v>
      </c>
    </row>
    <row r="61" spans="2:20">
      <c r="B61" s="26" t="s">
        <v>802</v>
      </c>
      <c r="C61" s="26" t="s">
        <v>1675</v>
      </c>
      <c r="D61" s="216">
        <f>历史数据及预测表!D58/历史数据及预测表!D113</f>
        <v>0.70759421017822255</v>
      </c>
      <c r="E61" s="216">
        <f>历史数据及预测表!E58/历史数据及预测表!E113</f>
        <v>1.1452835253245852</v>
      </c>
      <c r="F61" s="216">
        <f>历史数据及预测表!F58/历史数据及预测表!F113</f>
        <v>1.2340646691794961</v>
      </c>
      <c r="G61" s="216">
        <f>历史数据及预测表!G58/历史数据及预测表!G113</f>
        <v>0.89055389428611476</v>
      </c>
      <c r="H61" s="217">
        <f>历史数据及预测表!H58/历史数据及预测表!H113</f>
        <v>0.7767388371660251</v>
      </c>
      <c r="I61" s="221">
        <f>$H$61</f>
        <v>0.7767388371660251</v>
      </c>
      <c r="J61" s="221">
        <f>$I$61</f>
        <v>0.7767388371660251</v>
      </c>
      <c r="K61" s="221">
        <f>$J$61</f>
        <v>0.7767388371660251</v>
      </c>
      <c r="L61" s="221">
        <f>$K$61</f>
        <v>0.7767388371660251</v>
      </c>
      <c r="M61" s="221">
        <f>$L$61</f>
        <v>0.7767388371660251</v>
      </c>
      <c r="N61" s="221">
        <f>$M$61</f>
        <v>0.7767388371660251</v>
      </c>
      <c r="O61" s="221">
        <f>$N$61</f>
        <v>0.7767388371660251</v>
      </c>
      <c r="P61" s="221">
        <f>$O$61</f>
        <v>0.7767388371660251</v>
      </c>
      <c r="Q61" s="221">
        <f>$P$61</f>
        <v>0.7767388371660251</v>
      </c>
      <c r="R61" s="221">
        <f>$Q$61</f>
        <v>0.7767388371660251</v>
      </c>
      <c r="S61" s="221">
        <f>$R$61</f>
        <v>0.7767388371660251</v>
      </c>
      <c r="T61" s="221">
        <f>$S$61</f>
        <v>0.7767388371660251</v>
      </c>
    </row>
    <row r="62" spans="2:20">
      <c r="B62" s="26" t="s">
        <v>803</v>
      </c>
      <c r="C62" s="26" t="s">
        <v>746</v>
      </c>
      <c r="D62" s="218">
        <f>历史数据及预测表!D59</f>
        <v>28.257337739999997</v>
      </c>
      <c r="E62" s="218">
        <f>历史数据及预测表!E59</f>
        <v>11.01487857</v>
      </c>
      <c r="F62" s="218">
        <f>历史数据及预测表!F59</f>
        <v>24.87494371</v>
      </c>
      <c r="G62" s="218">
        <f>历史数据及预测表!G59</f>
        <v>12.895499019999999</v>
      </c>
      <c r="H62" s="122">
        <f>历史数据及预测表!H59</f>
        <v>34.237408670000001</v>
      </c>
      <c r="I62" s="222">
        <f>IF(ISERR(AVERAGE($F$62:$H$62)),0,AVERAGE($F$62:$H$62))</f>
        <v>24.002617133333331</v>
      </c>
      <c r="J62" s="222">
        <f>IF(ISERR(AVERAGE($G$62:$I$62)),0,AVERAGE($G$62:$I$62))</f>
        <v>23.711841607777774</v>
      </c>
      <c r="K62" s="222">
        <f>IF(ISERR(AVERAGE($H$62:$J$62)),0,AVERAGE($H$62:$J$62))</f>
        <v>27.317289137037037</v>
      </c>
      <c r="L62" s="222">
        <f>IF(ISERR(AVERAGE($I$62:$K$62)),0,AVERAGE($I$62:$K$62))</f>
        <v>25.010582626049381</v>
      </c>
      <c r="M62" s="222">
        <f>IF(ISERR(AVERAGE($J$62:$L$62)),0,AVERAGE($J$62:$L$62))</f>
        <v>25.346571123621398</v>
      </c>
      <c r="N62" s="222">
        <f>IF(ISERR(AVERAGE($K$62:$M$62)),0,AVERAGE($K$62:$M$62))</f>
        <v>25.891480962235942</v>
      </c>
      <c r="O62" s="222">
        <f>IF(ISERR(AVERAGE($L$62:$N$62)),0,AVERAGE($L$62:$N$62))</f>
        <v>25.416211570635571</v>
      </c>
      <c r="P62" s="222">
        <f>IF(ISERR(AVERAGE($M$62:$O$62)),0,AVERAGE($M$62:$O$62))</f>
        <v>25.551421218830971</v>
      </c>
      <c r="Q62" s="222">
        <f>IF(ISERR(AVERAGE($N$62:$P$62)),0,AVERAGE($N$62:$P$62))</f>
        <v>25.619704583900827</v>
      </c>
      <c r="R62" s="222">
        <f>IF(ISERR(AVERAGE($O$62:$Q$62)),0,AVERAGE($O$62:$Q$62))</f>
        <v>25.529112457789125</v>
      </c>
      <c r="S62" s="222">
        <f t="shared" ref="S62:T62" si="35">IF(ISERR(AVERAGE($O$62:$Q$62)),0,AVERAGE($O$62:$Q$62))</f>
        <v>25.529112457789125</v>
      </c>
      <c r="T62" s="222">
        <f t="shared" si="35"/>
        <v>25.529112457789125</v>
      </c>
    </row>
    <row r="63" spans="2:20">
      <c r="B63" s="26" t="s">
        <v>804</v>
      </c>
      <c r="C63" s="26" t="s">
        <v>775</v>
      </c>
      <c r="D63" s="81"/>
      <c r="E63" s="218">
        <f>历史数据及预测表!E60-历史数据及预测表!D60</f>
        <v>15.566054979999997</v>
      </c>
      <c r="F63" s="218">
        <f>历史数据及预测表!F60-历史数据及预测表!E60</f>
        <v>-24.85341292</v>
      </c>
      <c r="G63" s="218">
        <f>历史数据及预测表!G60-历史数据及预测表!F60</f>
        <v>-5.7334306999999995</v>
      </c>
      <c r="H63" s="122">
        <f>历史数据及预测表!H60-历史数据及预测表!G60</f>
        <v>11.194980609999998</v>
      </c>
      <c r="I63" s="222">
        <v>0</v>
      </c>
      <c r="J63" s="222">
        <v>0</v>
      </c>
      <c r="K63" s="222">
        <v>0</v>
      </c>
      <c r="L63" s="222">
        <v>0</v>
      </c>
      <c r="M63" s="222">
        <v>0</v>
      </c>
      <c r="N63" s="222">
        <v>0</v>
      </c>
      <c r="O63" s="222">
        <v>0</v>
      </c>
      <c r="P63" s="222">
        <v>0</v>
      </c>
      <c r="Q63" s="222">
        <v>0</v>
      </c>
      <c r="R63" s="222">
        <v>0</v>
      </c>
      <c r="S63" s="222">
        <v>0</v>
      </c>
      <c r="T63" s="222">
        <v>0</v>
      </c>
    </row>
    <row r="64" spans="2:20">
      <c r="B64" s="26" t="s">
        <v>805</v>
      </c>
      <c r="C64" s="26" t="s">
        <v>775</v>
      </c>
      <c r="D64" s="81"/>
      <c r="E64" s="218">
        <f>历史数据及预测表!E61-历史数据及预测表!D61</f>
        <v>0</v>
      </c>
      <c r="F64" s="218">
        <f>历史数据及预测表!F61-历史数据及预测表!E61</f>
        <v>0</v>
      </c>
      <c r="G64" s="218">
        <f>历史数据及预测表!G61-历史数据及预测表!F61</f>
        <v>0</v>
      </c>
      <c r="H64" s="122">
        <f>历史数据及预测表!H61-历史数据及预测表!G61</f>
        <v>0</v>
      </c>
      <c r="I64" s="222">
        <v>0</v>
      </c>
      <c r="J64" s="222">
        <v>0</v>
      </c>
      <c r="K64" s="222">
        <v>0</v>
      </c>
      <c r="L64" s="222">
        <v>0</v>
      </c>
      <c r="M64" s="222">
        <v>0</v>
      </c>
      <c r="N64" s="222">
        <v>0</v>
      </c>
      <c r="O64" s="222">
        <v>0</v>
      </c>
      <c r="P64" s="222">
        <v>0</v>
      </c>
      <c r="Q64" s="222">
        <v>0</v>
      </c>
      <c r="R64" s="222">
        <v>0</v>
      </c>
      <c r="S64" s="222">
        <v>0</v>
      </c>
      <c r="T64" s="222">
        <v>0</v>
      </c>
    </row>
    <row r="65" spans="1:20">
      <c r="B65" s="26" t="s">
        <v>806</v>
      </c>
      <c r="C65" s="26" t="s">
        <v>775</v>
      </c>
      <c r="D65" s="81"/>
      <c r="E65" s="218">
        <f>历史数据及预测表!E62-历史数据及预测表!D62</f>
        <v>-0.92307651999999862</v>
      </c>
      <c r="F65" s="218">
        <f>历史数据及预测表!F62-历史数据及预测表!E62</f>
        <v>4.1715511700000008</v>
      </c>
      <c r="G65" s="218">
        <f>历史数据及预测表!G62-历史数据及预测表!F62</f>
        <v>-2.5000551400000006</v>
      </c>
      <c r="H65" s="122">
        <f>历史数据及预测表!H62-历史数据及预测表!G62</f>
        <v>-1.6475466999999995</v>
      </c>
      <c r="I65" s="222">
        <v>0</v>
      </c>
      <c r="J65" s="222">
        <v>0</v>
      </c>
      <c r="K65" s="222">
        <v>0</v>
      </c>
      <c r="L65" s="222">
        <v>0</v>
      </c>
      <c r="M65" s="222">
        <v>0</v>
      </c>
      <c r="N65" s="222">
        <v>0</v>
      </c>
      <c r="O65" s="222">
        <v>0</v>
      </c>
      <c r="P65" s="222">
        <v>0</v>
      </c>
      <c r="Q65" s="222">
        <v>0</v>
      </c>
      <c r="R65" s="222">
        <v>0</v>
      </c>
      <c r="S65" s="222">
        <v>0</v>
      </c>
      <c r="T65" s="222">
        <v>0</v>
      </c>
    </row>
    <row r="66" spans="1:20">
      <c r="B66" s="26" t="s">
        <v>807</v>
      </c>
      <c r="C66" s="26" t="s">
        <v>746</v>
      </c>
      <c r="D66" s="216">
        <f>历史数据及预测表!D63/(历史数据及预测表!D112+历史数据及预测表!D113)</f>
        <v>0</v>
      </c>
      <c r="E66" s="216">
        <f>历史数据及预测表!E63/(历史数据及预测表!E112+历史数据及预测表!E113)</f>
        <v>0</v>
      </c>
      <c r="F66" s="216">
        <f>历史数据及预测表!F63/(历史数据及预测表!F112+历史数据及预测表!F113)</f>
        <v>0</v>
      </c>
      <c r="G66" s="216">
        <f>历史数据及预测表!G63/(历史数据及预测表!G112+历史数据及预测表!G113)</f>
        <v>0</v>
      </c>
      <c r="H66" s="217">
        <f>历史数据及预测表!H63/(历史数据及预测表!H112+历史数据及预测表!H113)</f>
        <v>0</v>
      </c>
      <c r="I66" s="221">
        <f>IF(ISERR(AVERAGE($F$66:$H$66)),0,AVERAGE($F$66:$H$66))</f>
        <v>0</v>
      </c>
      <c r="J66" s="221">
        <f>IF(ISERR(AVERAGE($G$66:$I$66)),0,AVERAGE($G$66:$I$66))</f>
        <v>0</v>
      </c>
      <c r="K66" s="221">
        <f>IF(ISERR(AVERAGE($H$66:$J$66)),0,AVERAGE($H$66:$J$66))</f>
        <v>0</v>
      </c>
      <c r="L66" s="221">
        <f>IF(ISERR(AVERAGE($I$66:$K$66)),0,AVERAGE($I$66:$K$66))</f>
        <v>0</v>
      </c>
      <c r="M66" s="221">
        <f>IF(ISERR(AVERAGE($J$66:$L$66)),0,AVERAGE($J$66:$L$66))</f>
        <v>0</v>
      </c>
      <c r="N66" s="221">
        <f>IF(ISERR(AVERAGE($K$66:$M$66)),0,AVERAGE($K$66:$M$66))</f>
        <v>0</v>
      </c>
      <c r="O66" s="221">
        <f>IF(ISERR(AVERAGE($L$66:$N$66)),0,AVERAGE($L$66:$N$66))</f>
        <v>0</v>
      </c>
      <c r="P66" s="221">
        <f>IF(ISERR(AVERAGE($M$66:$O$66)),0,AVERAGE($M$66:$O$66))</f>
        <v>0</v>
      </c>
      <c r="Q66" s="221">
        <f>IF(ISERR(AVERAGE($N$66:$P$66)),0,AVERAGE($N$66:$P$66))</f>
        <v>0</v>
      </c>
      <c r="R66" s="221">
        <f>IF(ISERR(AVERAGE($O$66:$Q$66)),0,AVERAGE($O$66:$Q$66))</f>
        <v>0</v>
      </c>
      <c r="S66" s="221">
        <f t="shared" ref="S66:T66" si="36">IF(ISERR(AVERAGE($O$66:$Q$66)),0,AVERAGE($O$66:$Q$66))</f>
        <v>0</v>
      </c>
      <c r="T66" s="221">
        <f t="shared" si="36"/>
        <v>0</v>
      </c>
    </row>
    <row r="67" spans="1:20">
      <c r="B67" s="26" t="s">
        <v>808</v>
      </c>
      <c r="C67" s="26" t="s">
        <v>775</v>
      </c>
      <c r="D67" s="81"/>
      <c r="E67" s="218">
        <f>历史数据及预测表!E64-历史数据及预测表!D64</f>
        <v>0</v>
      </c>
      <c r="F67" s="218">
        <f>历史数据及预测表!F64-历史数据及预测表!E64</f>
        <v>0</v>
      </c>
      <c r="G67" s="218">
        <f>历史数据及预测表!G64-历史数据及预测表!F64</f>
        <v>0</v>
      </c>
      <c r="H67" s="122">
        <f>历史数据及预测表!H64-历史数据及预测表!G64</f>
        <v>0</v>
      </c>
      <c r="I67" s="222">
        <v>0</v>
      </c>
      <c r="J67" s="222">
        <v>0</v>
      </c>
      <c r="K67" s="222">
        <v>0</v>
      </c>
      <c r="L67" s="222">
        <v>0</v>
      </c>
      <c r="M67" s="222">
        <v>0</v>
      </c>
      <c r="N67" s="222">
        <v>0</v>
      </c>
      <c r="O67" s="222">
        <v>0</v>
      </c>
      <c r="P67" s="222">
        <v>0</v>
      </c>
      <c r="Q67" s="222">
        <v>0</v>
      </c>
      <c r="R67" s="222">
        <v>0</v>
      </c>
      <c r="S67" s="222">
        <v>0</v>
      </c>
      <c r="T67" s="222">
        <v>0</v>
      </c>
    </row>
    <row r="68" spans="1:20">
      <c r="B68" s="26" t="s">
        <v>809</v>
      </c>
      <c r="C68" s="26" t="s">
        <v>775</v>
      </c>
      <c r="D68" s="81"/>
      <c r="E68" s="218">
        <f>历史数据及预测表!E65-历史数据及预测表!D65</f>
        <v>0</v>
      </c>
      <c r="F68" s="218">
        <f>历史数据及预测表!F65-历史数据及预测表!E65</f>
        <v>0</v>
      </c>
      <c r="G68" s="218">
        <f>历史数据及预测表!G65-历史数据及预测表!F65</f>
        <v>0</v>
      </c>
      <c r="H68" s="122">
        <f>历史数据及预测表!H65-历史数据及预测表!G65</f>
        <v>0</v>
      </c>
      <c r="I68" s="222">
        <v>0</v>
      </c>
      <c r="J68" s="222">
        <v>0</v>
      </c>
      <c r="K68" s="222">
        <v>0</v>
      </c>
      <c r="L68" s="222">
        <v>0</v>
      </c>
      <c r="M68" s="222">
        <v>0</v>
      </c>
      <c r="N68" s="222">
        <v>0</v>
      </c>
      <c r="O68" s="222">
        <v>0</v>
      </c>
      <c r="P68" s="222">
        <v>0</v>
      </c>
      <c r="Q68" s="222">
        <v>0</v>
      </c>
      <c r="R68" s="222">
        <v>0</v>
      </c>
      <c r="S68" s="222">
        <v>0</v>
      </c>
      <c r="T68" s="222">
        <v>0</v>
      </c>
    </row>
    <row r="69" spans="1:20">
      <c r="B69" s="26" t="s">
        <v>810</v>
      </c>
      <c r="C69" s="26" t="s">
        <v>775</v>
      </c>
      <c r="D69" s="81"/>
      <c r="E69" s="218">
        <f>历史数据及预测表!E66-历史数据及预测表!D66</f>
        <v>-1.1246728200000002</v>
      </c>
      <c r="F69" s="218">
        <f>历史数据及预测表!F66-历史数据及预测表!E66</f>
        <v>-5.2979449999999595E-2</v>
      </c>
      <c r="G69" s="218">
        <f>历史数据及预测表!G66-历史数据及预测表!F66</f>
        <v>0.80248377999999976</v>
      </c>
      <c r="H69" s="122">
        <f>历史数据及预测表!H66-历史数据及预测表!G66</f>
        <v>5.1353414000000006</v>
      </c>
      <c r="I69" s="222">
        <v>0</v>
      </c>
      <c r="J69" s="222">
        <v>0</v>
      </c>
      <c r="K69" s="222">
        <v>0</v>
      </c>
      <c r="L69" s="222">
        <v>0</v>
      </c>
      <c r="M69" s="222">
        <v>0</v>
      </c>
      <c r="N69" s="222">
        <v>0</v>
      </c>
      <c r="O69" s="222">
        <v>0</v>
      </c>
      <c r="P69" s="222">
        <v>0</v>
      </c>
      <c r="Q69" s="222">
        <v>0</v>
      </c>
      <c r="R69" s="222">
        <v>0</v>
      </c>
      <c r="S69" s="222">
        <v>0</v>
      </c>
      <c r="T69" s="222">
        <v>0</v>
      </c>
    </row>
    <row r="70" spans="1:20">
      <c r="B70" s="26" t="s">
        <v>811</v>
      </c>
      <c r="C70" s="26" t="s">
        <v>775</v>
      </c>
      <c r="D70" s="81"/>
      <c r="E70" s="218">
        <f>历史数据及预测表!E67-历史数据及预测表!D67</f>
        <v>0</v>
      </c>
      <c r="F70" s="218">
        <f>历史数据及预测表!F67-历史数据及预测表!E67</f>
        <v>0</v>
      </c>
      <c r="G70" s="218">
        <f>历史数据及预测表!G67-历史数据及预测表!F67</f>
        <v>0</v>
      </c>
      <c r="H70" s="122">
        <f>历史数据及预测表!H67-历史数据及预测表!G67</f>
        <v>0</v>
      </c>
      <c r="I70" s="222">
        <v>0</v>
      </c>
      <c r="J70" s="222">
        <v>0</v>
      </c>
      <c r="K70" s="222">
        <v>0</v>
      </c>
      <c r="L70" s="222">
        <v>0</v>
      </c>
      <c r="M70" s="222">
        <v>0</v>
      </c>
      <c r="N70" s="222">
        <v>0</v>
      </c>
      <c r="O70" s="222">
        <v>0</v>
      </c>
      <c r="P70" s="222">
        <v>0</v>
      </c>
      <c r="Q70" s="222">
        <v>0</v>
      </c>
      <c r="R70" s="222">
        <v>0</v>
      </c>
      <c r="S70" s="222">
        <v>0</v>
      </c>
      <c r="T70" s="222">
        <v>0</v>
      </c>
    </row>
    <row r="71" spans="1:20">
      <c r="B71" s="26" t="s">
        <v>812</v>
      </c>
      <c r="C71" s="26" t="s">
        <v>775</v>
      </c>
      <c r="D71" s="81"/>
      <c r="E71" s="218">
        <f>历史数据及预测表!E76-历史数据及预测表!D76</f>
        <v>1.8260116500000017</v>
      </c>
      <c r="F71" s="218">
        <f>历史数据及预测表!F76-历史数据及预测表!E76</f>
        <v>-10.727275540000001</v>
      </c>
      <c r="G71" s="218">
        <f>历史数据及预测表!G76-历史数据及预测表!F76</f>
        <v>0.65919618000000035</v>
      </c>
      <c r="H71" s="122">
        <f>历史数据及预测表!H76-历史数据及预测表!G76</f>
        <v>-2.2708210799999993</v>
      </c>
      <c r="I71" s="222">
        <v>0</v>
      </c>
      <c r="J71" s="222">
        <v>0</v>
      </c>
      <c r="K71" s="222">
        <v>0</v>
      </c>
      <c r="L71" s="222">
        <v>0</v>
      </c>
      <c r="M71" s="222">
        <v>0</v>
      </c>
      <c r="N71" s="222">
        <v>0</v>
      </c>
      <c r="O71" s="222">
        <v>0</v>
      </c>
      <c r="P71" s="222">
        <v>0</v>
      </c>
      <c r="Q71" s="222">
        <v>0</v>
      </c>
      <c r="R71" s="222">
        <v>0</v>
      </c>
      <c r="S71" s="222">
        <v>0</v>
      </c>
      <c r="T71" s="222">
        <v>0</v>
      </c>
    </row>
    <row r="72" spans="1:20">
      <c r="B72" s="26" t="s">
        <v>813</v>
      </c>
      <c r="C72" s="26" t="s">
        <v>775</v>
      </c>
      <c r="D72" s="81"/>
      <c r="E72" s="218">
        <f>历史数据及预测表!E77-历史数据及预测表!D77</f>
        <v>-21.954132540000003</v>
      </c>
      <c r="F72" s="218">
        <f>历史数据及预测表!F77-历史数据及预测表!E77</f>
        <v>10.033106570000015</v>
      </c>
      <c r="G72" s="218">
        <f>历史数据及预测表!G77-历史数据及预测表!F77</f>
        <v>-10.326129219999999</v>
      </c>
      <c r="H72" s="122">
        <f>历史数据及预测表!H77-历史数据及预测表!G77</f>
        <v>-6.2557027100000155</v>
      </c>
      <c r="I72" s="222">
        <v>0</v>
      </c>
      <c r="J72" s="222">
        <v>0</v>
      </c>
      <c r="K72" s="222">
        <v>0</v>
      </c>
      <c r="L72" s="222">
        <v>0</v>
      </c>
      <c r="M72" s="222">
        <v>0</v>
      </c>
      <c r="N72" s="222">
        <v>0</v>
      </c>
      <c r="O72" s="222">
        <v>0</v>
      </c>
      <c r="P72" s="222">
        <v>0</v>
      </c>
      <c r="Q72" s="222">
        <v>0</v>
      </c>
      <c r="R72" s="222">
        <v>0</v>
      </c>
      <c r="S72" s="222">
        <v>0</v>
      </c>
      <c r="T72" s="222">
        <v>0</v>
      </c>
    </row>
    <row r="73" spans="1:20">
      <c r="B73" s="26" t="s">
        <v>814</v>
      </c>
      <c r="C73" s="26" t="s">
        <v>775</v>
      </c>
      <c r="D73" s="81"/>
      <c r="E73" s="218">
        <f>历史数据及预测表!E78-历史数据及预测表!D78</f>
        <v>4.6818900500000016</v>
      </c>
      <c r="F73" s="218">
        <f>历史数据及预测表!F78-历史数据及预测表!E78</f>
        <v>3.3202136000000024</v>
      </c>
      <c r="G73" s="218">
        <f>历史数据及预测表!G78-历史数据及预测表!F78</f>
        <v>-6.2412036600000036</v>
      </c>
      <c r="H73" s="122">
        <f>历史数据及预测表!H78-历史数据及预测表!G78</f>
        <v>-8.8040953299999991</v>
      </c>
      <c r="I73" s="222">
        <v>0</v>
      </c>
      <c r="J73" s="222">
        <v>0</v>
      </c>
      <c r="K73" s="222">
        <v>0</v>
      </c>
      <c r="L73" s="222">
        <v>0</v>
      </c>
      <c r="M73" s="222">
        <v>0</v>
      </c>
      <c r="N73" s="222">
        <v>0</v>
      </c>
      <c r="O73" s="222">
        <v>0</v>
      </c>
      <c r="P73" s="222">
        <v>0</v>
      </c>
      <c r="Q73" s="222">
        <v>0</v>
      </c>
      <c r="R73" s="222">
        <v>0</v>
      </c>
      <c r="S73" s="222">
        <v>0</v>
      </c>
      <c r="T73" s="222">
        <v>0</v>
      </c>
    </row>
    <row r="74" spans="1:20">
      <c r="B74" s="26" t="s">
        <v>815</v>
      </c>
      <c r="C74" s="26" t="s">
        <v>775</v>
      </c>
      <c r="D74" s="81"/>
      <c r="E74" s="218">
        <f>历史数据及预测表!E79-历史数据及预测表!D79</f>
        <v>0</v>
      </c>
      <c r="F74" s="218">
        <f>历史数据及预测表!F79-历史数据及预测表!E79</f>
        <v>0</v>
      </c>
      <c r="G74" s="218">
        <f>历史数据及预测表!G79-历史数据及预测表!F79</f>
        <v>0</v>
      </c>
      <c r="H74" s="122">
        <f>历史数据及预测表!H79-历史数据及预测表!G79</f>
        <v>0</v>
      </c>
      <c r="I74" s="222">
        <v>0</v>
      </c>
      <c r="J74" s="222">
        <v>0</v>
      </c>
      <c r="K74" s="222">
        <v>0</v>
      </c>
      <c r="L74" s="222">
        <v>0</v>
      </c>
      <c r="M74" s="222">
        <v>0</v>
      </c>
      <c r="N74" s="222">
        <v>0</v>
      </c>
      <c r="O74" s="222">
        <v>0</v>
      </c>
      <c r="P74" s="222">
        <v>0</v>
      </c>
      <c r="Q74" s="222">
        <v>0</v>
      </c>
      <c r="R74" s="222">
        <v>0</v>
      </c>
      <c r="S74" s="222">
        <v>0</v>
      </c>
      <c r="T74" s="222">
        <v>0</v>
      </c>
    </row>
    <row r="76" spans="1:20" ht="14.65">
      <c r="A76" s="187" t="s">
        <v>816</v>
      </c>
    </row>
    <row r="77" spans="1:20" ht="14.65">
      <c r="A77" s="187"/>
      <c r="B77" s="26" t="s">
        <v>817</v>
      </c>
      <c r="C77" s="26" t="s">
        <v>775</v>
      </c>
      <c r="D77" s="81"/>
      <c r="E77" s="218">
        <f>历史数据及预测表!E25-历史数据及预测表!D25</f>
        <v>0</v>
      </c>
      <c r="F77" s="218">
        <f>历史数据及预测表!F25-历史数据及预测表!E25</f>
        <v>0</v>
      </c>
      <c r="G77" s="218">
        <f>历史数据及预测表!G25-历史数据及预测表!F25</f>
        <v>0</v>
      </c>
      <c r="H77" s="122">
        <f>历史数据及预测表!H25-历史数据及预测表!G25</f>
        <v>0</v>
      </c>
      <c r="I77" s="222">
        <v>0</v>
      </c>
      <c r="J77" s="222">
        <v>0</v>
      </c>
      <c r="K77" s="222">
        <v>0</v>
      </c>
      <c r="L77" s="222">
        <v>0</v>
      </c>
      <c r="M77" s="222">
        <v>0</v>
      </c>
      <c r="N77" s="222">
        <v>0</v>
      </c>
      <c r="O77" s="222">
        <v>0</v>
      </c>
      <c r="P77" s="222">
        <v>0</v>
      </c>
      <c r="Q77" s="222">
        <v>0</v>
      </c>
      <c r="R77" s="222">
        <v>0</v>
      </c>
      <c r="S77" s="222">
        <v>0</v>
      </c>
      <c r="T77" s="222">
        <v>0</v>
      </c>
    </row>
    <row r="78" spans="1:20" ht="14.65">
      <c r="A78" s="187"/>
      <c r="B78" s="26" t="s">
        <v>818</v>
      </c>
      <c r="C78" s="26" t="s">
        <v>775</v>
      </c>
      <c r="D78" s="81"/>
      <c r="E78" s="218">
        <f>历史数据及预测表!E28-历史数据及预测表!D28</f>
        <v>0</v>
      </c>
      <c r="F78" s="218">
        <f>历史数据及预测表!F28-历史数据及预测表!E28</f>
        <v>0</v>
      </c>
      <c r="G78" s="218">
        <f>历史数据及预测表!G28-历史数据及预测表!F28</f>
        <v>0</v>
      </c>
      <c r="H78" s="122">
        <f>历史数据及预测表!H28-历史数据及预测表!G28</f>
        <v>0</v>
      </c>
      <c r="I78" s="222">
        <v>0</v>
      </c>
      <c r="J78" s="222">
        <v>0</v>
      </c>
      <c r="K78" s="222">
        <v>0</v>
      </c>
      <c r="L78" s="222">
        <v>0</v>
      </c>
      <c r="M78" s="222">
        <v>0</v>
      </c>
      <c r="N78" s="222">
        <v>0</v>
      </c>
      <c r="O78" s="222">
        <v>0</v>
      </c>
      <c r="P78" s="222">
        <v>0</v>
      </c>
      <c r="Q78" s="222">
        <v>0</v>
      </c>
      <c r="R78" s="222">
        <v>0</v>
      </c>
      <c r="S78" s="222">
        <v>0</v>
      </c>
      <c r="T78" s="222">
        <v>0</v>
      </c>
    </row>
    <row r="79" spans="1:20" ht="14.65">
      <c r="A79" s="187"/>
      <c r="B79" s="26" t="s">
        <v>819</v>
      </c>
      <c r="C79" s="26" t="s">
        <v>746</v>
      </c>
      <c r="D79" s="81"/>
      <c r="E79" s="218">
        <f>历史数据及预测表!E26-历史数据及预测表!D26</f>
        <v>0</v>
      </c>
      <c r="F79" s="218">
        <f>历史数据及预测表!F26-历史数据及预测表!E26</f>
        <v>0</v>
      </c>
      <c r="G79" s="218">
        <f>历史数据及预测表!G26-历史数据及预测表!F26</f>
        <v>0</v>
      </c>
      <c r="H79" s="218">
        <f>历史数据及预测表!H26-历史数据及预测表!G26</f>
        <v>0</v>
      </c>
      <c r="I79" s="222">
        <f>IF(ISERR(AVERAGE($F$79:$H$79)),0,AVERAGE($F$79:$H$79))</f>
        <v>0</v>
      </c>
      <c r="J79" s="222">
        <f>IF(ISERR(AVERAGE($G$79:$I$79)),0,AVERAGE($G$79:$I$79))</f>
        <v>0</v>
      </c>
      <c r="K79" s="222">
        <f>IF(ISERR(AVERAGE($H$79:$J$79)),0,AVERAGE($H$79:$J$79))</f>
        <v>0</v>
      </c>
      <c r="L79" s="222">
        <f>IF(ISERR(AVERAGE($I$79:$K$79)),0,AVERAGE($I$79:$K$79))</f>
        <v>0</v>
      </c>
      <c r="M79" s="222">
        <f>IF(ISERR(AVERAGE($J$79:$L$79)),0,AVERAGE($J$79:$L$79))</f>
        <v>0</v>
      </c>
      <c r="N79" s="222">
        <f>IF(ISERR(AVERAGE($K$79:$M$79)),0,AVERAGE($K$79:$M$79))</f>
        <v>0</v>
      </c>
      <c r="O79" s="222">
        <f>IF(ISERR(AVERAGE($L$79:$N$79)),0,AVERAGE($L$79:$N$79))</f>
        <v>0</v>
      </c>
      <c r="P79" s="222">
        <f>IF(ISERR(AVERAGE($M$79:$O$79)),0,AVERAGE($M$79:$O$79))</f>
        <v>0</v>
      </c>
      <c r="Q79" s="222">
        <f>IF(ISERR(AVERAGE($N$79:$P$79)),0,AVERAGE($N$79:$P$79))</f>
        <v>0</v>
      </c>
      <c r="R79" s="222">
        <f>IF(ISERR(AVERAGE($O$79:$Q$79)),0,AVERAGE($O$79:$Q$79))</f>
        <v>0</v>
      </c>
      <c r="S79" s="222">
        <f t="shared" ref="S79:T79" si="37">IF(ISERR(AVERAGE($O$79:$Q$79)),0,AVERAGE($O$79:$Q$79))</f>
        <v>0</v>
      </c>
      <c r="T79" s="222">
        <f t="shared" si="37"/>
        <v>0</v>
      </c>
    </row>
    <row r="80" spans="1:20" ht="14.65">
      <c r="A80" s="187"/>
      <c r="B80" s="26" t="s">
        <v>820</v>
      </c>
      <c r="C80" s="26" t="s">
        <v>746</v>
      </c>
      <c r="D80" s="81"/>
      <c r="E80" s="218">
        <f>历史数据及预测表!E27-历史数据及预测表!D27</f>
        <v>0</v>
      </c>
      <c r="F80" s="218">
        <f>历史数据及预测表!F27-历史数据及预测表!E27</f>
        <v>0</v>
      </c>
      <c r="G80" s="218">
        <f>历史数据及预测表!G27-历史数据及预测表!F27</f>
        <v>0</v>
      </c>
      <c r="H80" s="218">
        <f>历史数据及预测表!H27-历史数据及预测表!G27</f>
        <v>0</v>
      </c>
      <c r="I80" s="222">
        <f>IF(ISERR(AVERAGE($F$80:$H$80)),0,AVERAGE($F$80:$H$80))</f>
        <v>0</v>
      </c>
      <c r="J80" s="222">
        <f>IF(ISERR(AVERAGE($G$80:$I$80)),0,AVERAGE($G$80:$I$80))</f>
        <v>0</v>
      </c>
      <c r="K80" s="222">
        <f>IF(ISERR(AVERAGE($H$80:$J$80)),0,AVERAGE($H$80:$J$80))</f>
        <v>0</v>
      </c>
      <c r="L80" s="222">
        <f>IF(ISERR(AVERAGE($I$80:$K$80)),0,AVERAGE($I$80:$K$80))</f>
        <v>0</v>
      </c>
      <c r="M80" s="222">
        <f>IF(ISERR(AVERAGE($J$80:$L$80)),0,AVERAGE($J$80:$L$80))</f>
        <v>0</v>
      </c>
      <c r="N80" s="222">
        <f>IF(ISERR(AVERAGE($K$80:$M$80)),0,AVERAGE($K$80:$M$80))</f>
        <v>0</v>
      </c>
      <c r="O80" s="222">
        <f>IF(ISERR(AVERAGE($L$80:$N$80)),0,AVERAGE($L$80:$N$80))</f>
        <v>0</v>
      </c>
      <c r="P80" s="222">
        <f>IF(ISERR(AVERAGE($M$80:$O$80)),0,AVERAGE($M$80:$O$80))</f>
        <v>0</v>
      </c>
      <c r="Q80" s="222">
        <f>IF(ISERR(AVERAGE($N$80:$P$80)),0,AVERAGE($N$80:$P$80))</f>
        <v>0</v>
      </c>
      <c r="R80" s="222">
        <f>IF(ISERR(AVERAGE($O$80:$Q$80)),0,AVERAGE($O$80:$Q$80))</f>
        <v>0</v>
      </c>
      <c r="S80" s="222">
        <f t="shared" ref="S80:T80" si="38">IF(ISERR(AVERAGE($O$80:$Q$80)),0,AVERAGE($O$80:$Q$80))</f>
        <v>0</v>
      </c>
      <c r="T80" s="222">
        <f t="shared" si="38"/>
        <v>0</v>
      </c>
    </row>
    <row r="81" spans="1:20" ht="14.65">
      <c r="A81" s="187"/>
      <c r="B81" s="26" t="s">
        <v>821</v>
      </c>
      <c r="C81" s="26" t="s">
        <v>775</v>
      </c>
      <c r="D81" s="81"/>
      <c r="E81" s="218">
        <f>历史数据及预测表!E29-历史数据及预测表!D29</f>
        <v>-129.15353643999998</v>
      </c>
      <c r="F81" s="218">
        <f>历史数据及预测表!F29-历史数据及预测表!E29</f>
        <v>-171.09191287999997</v>
      </c>
      <c r="G81" s="218">
        <f>历史数据及预测表!G29-历史数据及预测表!F29</f>
        <v>-222.03930905000001</v>
      </c>
      <c r="H81" s="122">
        <f>历史数据及预测表!H29-历史数据及预测表!G29</f>
        <v>0</v>
      </c>
      <c r="I81" s="222">
        <v>0</v>
      </c>
      <c r="J81" s="222">
        <v>0</v>
      </c>
      <c r="K81" s="222">
        <v>0</v>
      </c>
      <c r="L81" s="222">
        <v>0</v>
      </c>
      <c r="M81" s="222">
        <v>0</v>
      </c>
      <c r="N81" s="222">
        <v>0</v>
      </c>
      <c r="O81" s="222">
        <v>0</v>
      </c>
      <c r="P81" s="222">
        <v>0</v>
      </c>
      <c r="Q81" s="222">
        <v>0</v>
      </c>
      <c r="R81" s="222">
        <v>0</v>
      </c>
      <c r="S81" s="222">
        <v>0</v>
      </c>
      <c r="T81" s="222">
        <v>0</v>
      </c>
    </row>
    <row r="82" spans="1:20" ht="14.65">
      <c r="A82" s="187"/>
      <c r="B82" s="26" t="s">
        <v>822</v>
      </c>
      <c r="C82" s="26" t="s">
        <v>775</v>
      </c>
      <c r="D82" s="81"/>
      <c r="E82" s="218">
        <f>历史数据及预测表!E244-历史数据及预测表!D244</f>
        <v>-5.3480470000000002E-2</v>
      </c>
      <c r="F82" s="218">
        <f>历史数据及预测表!F244-历史数据及预测表!E244</f>
        <v>-0.90875711000000003</v>
      </c>
      <c r="G82" s="218">
        <f>历史数据及预测表!G244-历史数据及预测表!F244</f>
        <v>-0.35519602000000006</v>
      </c>
      <c r="H82" s="122">
        <f>历史数据及预测表!H244-历史数据及预测表!G244</f>
        <v>0.25755492999999996</v>
      </c>
      <c r="I82" s="222">
        <v>0</v>
      </c>
      <c r="J82" s="222">
        <v>0</v>
      </c>
      <c r="K82" s="222">
        <v>0</v>
      </c>
      <c r="L82" s="222">
        <v>0</v>
      </c>
      <c r="M82" s="222">
        <v>0</v>
      </c>
      <c r="N82" s="222">
        <v>0</v>
      </c>
      <c r="O82" s="222">
        <v>0</v>
      </c>
      <c r="P82" s="222">
        <v>0</v>
      </c>
      <c r="Q82" s="222">
        <v>0</v>
      </c>
      <c r="R82" s="222">
        <v>0</v>
      </c>
      <c r="S82" s="222">
        <v>0</v>
      </c>
      <c r="T82" s="222">
        <v>0</v>
      </c>
    </row>
    <row r="83" spans="1:20" ht="14.65">
      <c r="A83" s="187"/>
      <c r="B83" s="26" t="s">
        <v>823</v>
      </c>
      <c r="C83" s="26" t="s">
        <v>746</v>
      </c>
      <c r="D83" s="81"/>
      <c r="E83" s="218">
        <f>历史数据及预测表!E31-历史数据及预测表!D31</f>
        <v>172.12661359000003</v>
      </c>
      <c r="F83" s="218">
        <f>历史数据及预测表!F31-历史数据及预测表!E31</f>
        <v>102.19615693999998</v>
      </c>
      <c r="G83" s="218">
        <f>历史数据及预测表!G31-历史数据及预测表!F31</f>
        <v>119.71015642000003</v>
      </c>
      <c r="H83" s="218">
        <f>历史数据及预测表!H31-历史数据及预测表!G31</f>
        <v>100.64433687999997</v>
      </c>
      <c r="I83" s="222">
        <f>IF(ISERR(AVERAGE($F$83:$H$83)),0,AVERAGE($F$83:$H$83))</f>
        <v>107.51688341333333</v>
      </c>
      <c r="J83" s="222">
        <f>IF(ISERR(AVERAGE($G$83:$I$83)),0,AVERAGE($G$83:$I$83))</f>
        <v>109.29045890444445</v>
      </c>
      <c r="K83" s="222">
        <f>IF(ISERR(AVERAGE($H$83:$J$83)),0,AVERAGE($H$83:$J$83))</f>
        <v>105.81722639925925</v>
      </c>
      <c r="L83" s="222">
        <f>IF(ISERR(AVERAGE($I$83:$K$83)),0,AVERAGE($I$83:$K$83))</f>
        <v>107.54152290567902</v>
      </c>
      <c r="M83" s="222">
        <f>IF(ISERR(AVERAGE($J$83:$L$83)),0,AVERAGE($J$83:$L$83))</f>
        <v>107.54973606979424</v>
      </c>
      <c r="N83" s="222">
        <f>IF(ISERR(AVERAGE($K$83:$M$83)),0,AVERAGE($K$83:$M$83))</f>
        <v>106.96949512491084</v>
      </c>
      <c r="O83" s="222">
        <f>IF(ISERR(AVERAGE($L$83:$N$83)),0,AVERAGE($L$83:$N$83))</f>
        <v>107.35358470012802</v>
      </c>
      <c r="P83" s="222">
        <f>IF(ISERR(AVERAGE($M$83:$O$83)),0,AVERAGE($M$83:$O$83))</f>
        <v>107.29093863161103</v>
      </c>
      <c r="Q83" s="222">
        <f>IF(ISERR(AVERAGE($N$83:$P$83)),0,AVERAGE($N$83:$P$83))</f>
        <v>107.2046728188833</v>
      </c>
      <c r="R83" s="222">
        <f>IF(ISERR(AVERAGE($O$83:$Q$83)),0,AVERAGE($O$83:$Q$83))</f>
        <v>107.28306538354077</v>
      </c>
      <c r="S83" s="222">
        <f t="shared" ref="S83:T83" si="39">IF(ISERR(AVERAGE($O$83:$Q$83)),0,AVERAGE($O$83:$Q$83))</f>
        <v>107.28306538354077</v>
      </c>
      <c r="T83" s="222">
        <f t="shared" si="39"/>
        <v>107.28306538354077</v>
      </c>
    </row>
    <row r="84" spans="1:20" ht="14.65">
      <c r="A84" s="187"/>
      <c r="B84" s="26" t="s">
        <v>824</v>
      </c>
      <c r="C84" s="26" t="s">
        <v>746</v>
      </c>
      <c r="D84" s="81"/>
      <c r="E84" s="218">
        <f>历史数据及预测表!E32-历史数据及预测表!D32</f>
        <v>0</v>
      </c>
      <c r="F84" s="218">
        <f>历史数据及预测表!F32-历史数据及预测表!E32</f>
        <v>0</v>
      </c>
      <c r="G84" s="218">
        <f>历史数据及预测表!G32-历史数据及预测表!F32</f>
        <v>0</v>
      </c>
      <c r="H84" s="218">
        <f>历史数据及预测表!H32-历史数据及预测表!G32</f>
        <v>0</v>
      </c>
      <c r="I84" s="222">
        <f>IF(ISERR(AVERAGE($F$84:$H$84)),0,AVERAGE($F$84:$H$84))</f>
        <v>0</v>
      </c>
      <c r="J84" s="222">
        <f>IF(ISERR(AVERAGE($G$84:$I$84)),0,AVERAGE($G$84:$I$84))</f>
        <v>0</v>
      </c>
      <c r="K84" s="222">
        <f>IF(ISERR(AVERAGE($H$84:$J$84)),0,AVERAGE($H$84:$J$84))</f>
        <v>0</v>
      </c>
      <c r="L84" s="222">
        <f>IF(ISERR(AVERAGE($I$84:$K$84)),0,AVERAGE($I$84:$K$84))</f>
        <v>0</v>
      </c>
      <c r="M84" s="222">
        <f>IF(ISERR(AVERAGE($J$84:$L$84)),0,AVERAGE($J$84:$L$84))</f>
        <v>0</v>
      </c>
      <c r="N84" s="222">
        <f>IF(ISERR(AVERAGE($K$84:$M$84)),0,AVERAGE($K$84:$M$84))</f>
        <v>0</v>
      </c>
      <c r="O84" s="222">
        <f>IF(ISERR(AVERAGE($L$84:$N$84)),0,AVERAGE($L$84:$N$84))</f>
        <v>0</v>
      </c>
      <c r="P84" s="222">
        <f>IF(ISERR(AVERAGE($M$84:$O$84)),0,AVERAGE($M$84:$O$84))</f>
        <v>0</v>
      </c>
      <c r="Q84" s="222">
        <f>IF(ISERR(AVERAGE($N$84:$P$84)),0,AVERAGE($N$84:$P$84))</f>
        <v>0</v>
      </c>
      <c r="R84" s="222">
        <f>IF(ISERR(AVERAGE($O$84:$Q$84)),0,AVERAGE($O$84:$Q$84))</f>
        <v>0</v>
      </c>
      <c r="S84" s="222">
        <f t="shared" ref="S84:T84" si="40">IF(ISERR(AVERAGE($O$84:$Q$84)),0,AVERAGE($O$84:$Q$84))</f>
        <v>0</v>
      </c>
      <c r="T84" s="222">
        <f t="shared" si="40"/>
        <v>0</v>
      </c>
    </row>
    <row r="85" spans="1:20" ht="14.65">
      <c r="A85" s="187"/>
      <c r="B85" s="26" t="s">
        <v>825</v>
      </c>
      <c r="C85" s="26" t="s">
        <v>775</v>
      </c>
      <c r="D85" s="81"/>
      <c r="E85" s="218">
        <f>历史数据及预测表!E33-历史数据及预测表!D33</f>
        <v>-0.73692539999999696</v>
      </c>
      <c r="F85" s="218">
        <f>历史数据及预测表!F33-历史数据及预测表!E33</f>
        <v>50.917382349999997</v>
      </c>
      <c r="G85" s="218">
        <f>历史数据及预测表!G33-历史数据及预测表!F33</f>
        <v>3.9048399699999976</v>
      </c>
      <c r="H85" s="122">
        <f>历史数据及预测表!H33-历史数据及预测表!G33</f>
        <v>-0.31391243999999574</v>
      </c>
      <c r="I85" s="222">
        <v>0</v>
      </c>
      <c r="J85" s="222">
        <v>0</v>
      </c>
      <c r="K85" s="222">
        <v>0</v>
      </c>
      <c r="L85" s="222">
        <v>0</v>
      </c>
      <c r="M85" s="222">
        <v>0</v>
      </c>
      <c r="N85" s="222">
        <v>0</v>
      </c>
      <c r="O85" s="222">
        <v>0</v>
      </c>
      <c r="P85" s="222">
        <v>0</v>
      </c>
      <c r="Q85" s="222">
        <v>0</v>
      </c>
      <c r="R85" s="222">
        <v>0</v>
      </c>
      <c r="S85" s="222">
        <v>0</v>
      </c>
      <c r="T85" s="222">
        <v>0</v>
      </c>
    </row>
    <row r="86" spans="1:20" ht="14.65">
      <c r="A86" s="187"/>
      <c r="B86" s="26" t="s">
        <v>826</v>
      </c>
      <c r="C86" s="26" t="s">
        <v>1675</v>
      </c>
      <c r="D86" s="81"/>
      <c r="E86" s="81"/>
      <c r="F86" s="81"/>
      <c r="G86" s="81"/>
      <c r="H86" s="122">
        <f>历史数据及预测表!H34</f>
        <v>462.27065841000001</v>
      </c>
      <c r="I86" s="222">
        <v>200</v>
      </c>
      <c r="J86" s="222">
        <f>$I$86</f>
        <v>200</v>
      </c>
      <c r="K86" s="222">
        <f>$J$86</f>
        <v>200</v>
      </c>
      <c r="L86" s="222">
        <f>$K$86</f>
        <v>200</v>
      </c>
      <c r="M86" s="222">
        <f>$L$86</f>
        <v>200</v>
      </c>
      <c r="N86" s="222">
        <f>$M$86</f>
        <v>200</v>
      </c>
      <c r="O86" s="222">
        <f>$N$86</f>
        <v>200</v>
      </c>
      <c r="P86" s="222">
        <f>$O$86</f>
        <v>200</v>
      </c>
      <c r="Q86" s="222">
        <f>$P$86</f>
        <v>200</v>
      </c>
      <c r="R86" s="222">
        <f>$Q$86</f>
        <v>200</v>
      </c>
      <c r="S86" s="222">
        <f>$R$86</f>
        <v>200</v>
      </c>
      <c r="T86" s="222">
        <f>$S$86</f>
        <v>200</v>
      </c>
    </row>
    <row r="87" spans="1:20">
      <c r="B87" s="26" t="s">
        <v>827</v>
      </c>
      <c r="C87" s="26" t="s">
        <v>775</v>
      </c>
      <c r="D87" s="81"/>
      <c r="E87" s="81"/>
      <c r="F87" s="81"/>
      <c r="G87" s="81"/>
      <c r="H87" s="122">
        <f>历史数据及预测表!H235</f>
        <v>0</v>
      </c>
      <c r="I87" s="222">
        <v>0</v>
      </c>
      <c r="J87" s="222">
        <v>0</v>
      </c>
      <c r="K87" s="222">
        <v>0</v>
      </c>
      <c r="L87" s="222">
        <v>0</v>
      </c>
      <c r="M87" s="222">
        <v>0</v>
      </c>
      <c r="N87" s="222">
        <v>0</v>
      </c>
      <c r="O87" s="222">
        <v>0</v>
      </c>
      <c r="P87" s="222">
        <v>0</v>
      </c>
      <c r="Q87" s="222">
        <v>0</v>
      </c>
      <c r="R87" s="222">
        <v>0</v>
      </c>
      <c r="S87" s="222">
        <v>0</v>
      </c>
      <c r="T87" s="222">
        <v>0</v>
      </c>
    </row>
    <row r="88" spans="1:20">
      <c r="B88" s="26" t="s">
        <v>828</v>
      </c>
      <c r="C88" s="26" t="s">
        <v>775</v>
      </c>
      <c r="D88" s="81"/>
      <c r="E88" s="81"/>
      <c r="F88" s="81"/>
      <c r="G88" s="81"/>
      <c r="H88" s="122">
        <f>历史数据及预测表!H236</f>
        <v>0</v>
      </c>
      <c r="I88" s="222">
        <v>0</v>
      </c>
      <c r="J88" s="222">
        <v>0</v>
      </c>
      <c r="K88" s="222">
        <v>0</v>
      </c>
      <c r="L88" s="222">
        <v>0</v>
      </c>
      <c r="M88" s="222">
        <v>0</v>
      </c>
      <c r="N88" s="222">
        <v>0</v>
      </c>
      <c r="O88" s="222">
        <v>0</v>
      </c>
      <c r="P88" s="222">
        <v>0</v>
      </c>
      <c r="Q88" s="222">
        <v>0</v>
      </c>
      <c r="R88" s="222">
        <v>0</v>
      </c>
      <c r="S88" s="222">
        <v>0</v>
      </c>
      <c r="T88" s="222">
        <v>0</v>
      </c>
    </row>
    <row r="89" spans="1:20">
      <c r="B89" s="26" t="s">
        <v>829</v>
      </c>
      <c r="C89" s="26" t="s">
        <v>775</v>
      </c>
      <c r="D89" s="81"/>
      <c r="E89" s="81"/>
      <c r="F89" s="81"/>
      <c r="G89" s="81"/>
      <c r="H89" s="122">
        <f>历史数据及预测表!H237</f>
        <v>0</v>
      </c>
      <c r="I89" s="222">
        <v>0</v>
      </c>
      <c r="J89" s="222">
        <v>0</v>
      </c>
      <c r="K89" s="222">
        <v>0</v>
      </c>
      <c r="L89" s="222">
        <v>0</v>
      </c>
      <c r="M89" s="222">
        <v>0</v>
      </c>
      <c r="N89" s="222">
        <v>0</v>
      </c>
      <c r="O89" s="222">
        <v>0</v>
      </c>
      <c r="P89" s="222">
        <v>0</v>
      </c>
      <c r="Q89" s="222">
        <v>0</v>
      </c>
      <c r="R89" s="222">
        <v>0</v>
      </c>
      <c r="S89" s="222">
        <v>0</v>
      </c>
      <c r="T89" s="222">
        <v>0</v>
      </c>
    </row>
    <row r="90" spans="1:20">
      <c r="B90" s="26" t="s">
        <v>830</v>
      </c>
      <c r="C90" s="26" t="s">
        <v>775</v>
      </c>
      <c r="D90" s="81"/>
      <c r="E90" s="81"/>
      <c r="F90" s="81"/>
      <c r="G90" s="81"/>
      <c r="H90" s="122">
        <f>历史数据及预测表!H238</f>
        <v>462.27065841000001</v>
      </c>
      <c r="I90" s="222">
        <v>0</v>
      </c>
      <c r="J90" s="222">
        <v>0</v>
      </c>
      <c r="K90" s="222">
        <v>0</v>
      </c>
      <c r="L90" s="222">
        <v>0</v>
      </c>
      <c r="M90" s="222">
        <v>0</v>
      </c>
      <c r="N90" s="222">
        <v>0</v>
      </c>
      <c r="O90" s="222">
        <v>0</v>
      </c>
      <c r="P90" s="222">
        <v>0</v>
      </c>
      <c r="Q90" s="222">
        <v>0</v>
      </c>
      <c r="R90" s="222">
        <v>0</v>
      </c>
      <c r="S90" s="222">
        <v>0</v>
      </c>
      <c r="T90" s="222">
        <v>0</v>
      </c>
    </row>
    <row r="91" spans="1:20">
      <c r="B91" s="26" t="s">
        <v>831</v>
      </c>
      <c r="C91" s="26" t="s">
        <v>746</v>
      </c>
      <c r="D91" s="81"/>
      <c r="E91" s="81"/>
      <c r="F91" s="81"/>
      <c r="G91" s="81"/>
      <c r="H91" s="122">
        <f>历史数据及预测表!H239</f>
        <v>0</v>
      </c>
      <c r="I91" s="222">
        <f>IF(ISERR(AVERAGE($F$91:$H$91)),0,AVERAGE($F$91:$H$91))</f>
        <v>0</v>
      </c>
      <c r="J91" s="222">
        <f>IF(ISERR(AVERAGE($G$91:$I$91)),0,AVERAGE($G$91:$I$91))</f>
        <v>0</v>
      </c>
      <c r="K91" s="222">
        <f>IF(ISERR(AVERAGE($H$91:$J$91)),0,AVERAGE($H$91:$J$91))</f>
        <v>0</v>
      </c>
      <c r="L91" s="222">
        <f>IF(ISERR(AVERAGE($I$91:$K$91)),0,AVERAGE($I$91:$K$91))</f>
        <v>0</v>
      </c>
      <c r="M91" s="222">
        <f>IF(ISERR(AVERAGE($J$91:$L$91)),0,AVERAGE($J$91:$L$91))</f>
        <v>0</v>
      </c>
      <c r="N91" s="222">
        <f>IF(ISERR(AVERAGE($K$91:$M$91)),0,AVERAGE($K$91:$M$91))</f>
        <v>0</v>
      </c>
      <c r="O91" s="222">
        <f>IF(ISERR(AVERAGE($L$91:$N$91)),0,AVERAGE($L$91:$N$91))</f>
        <v>0</v>
      </c>
      <c r="P91" s="222">
        <f>IF(ISERR(AVERAGE($M$91:$O$91)),0,AVERAGE($M$91:$O$91))</f>
        <v>0</v>
      </c>
      <c r="Q91" s="222">
        <f>IF(ISERR(AVERAGE($N$91:$P$91)),0,AVERAGE($N$91:$P$91))</f>
        <v>0</v>
      </c>
      <c r="R91" s="222">
        <f>IF(ISERR(AVERAGE($O$91:$Q$91)),0,AVERAGE($O$91:$Q$91))</f>
        <v>0</v>
      </c>
      <c r="S91" s="222">
        <f t="shared" ref="S91:T91" si="41">IF(ISERR(AVERAGE($O$91:$Q$91)),0,AVERAGE($O$91:$Q$91))</f>
        <v>0</v>
      </c>
      <c r="T91" s="222">
        <f t="shared" si="41"/>
        <v>0</v>
      </c>
    </row>
    <row r="92" spans="1:20">
      <c r="B92" s="26" t="s">
        <v>832</v>
      </c>
      <c r="C92" s="26" t="s">
        <v>775</v>
      </c>
      <c r="D92" s="81"/>
      <c r="E92" s="218">
        <f>历史数据及预测表!E35-历史数据及预测表!D35</f>
        <v>21.884962229999985</v>
      </c>
      <c r="F92" s="218">
        <f>历史数据及预测表!F35-历史数据及预测表!E35</f>
        <v>-129.40897755999998</v>
      </c>
      <c r="G92" s="218">
        <f>历史数据及预测表!G35-历史数据及预测表!F35</f>
        <v>-2.7405582499999994</v>
      </c>
      <c r="H92" s="122">
        <f>历史数据及预测表!H35-历史数据及预测表!G35</f>
        <v>8.3533447900000013</v>
      </c>
      <c r="I92" s="222">
        <v>0</v>
      </c>
      <c r="J92" s="222">
        <v>0</v>
      </c>
      <c r="K92" s="222">
        <v>0</v>
      </c>
      <c r="L92" s="222">
        <v>0</v>
      </c>
      <c r="M92" s="222">
        <v>0</v>
      </c>
      <c r="N92" s="222">
        <v>0</v>
      </c>
      <c r="O92" s="222">
        <v>0</v>
      </c>
      <c r="P92" s="222">
        <v>0</v>
      </c>
      <c r="Q92" s="222">
        <v>0</v>
      </c>
      <c r="R92" s="222">
        <v>0</v>
      </c>
      <c r="S92" s="222">
        <v>0</v>
      </c>
      <c r="T92" s="222">
        <v>0</v>
      </c>
    </row>
    <row r="93" spans="1:20">
      <c r="B93" s="26" t="s">
        <v>833</v>
      </c>
      <c r="C93" s="26" t="s">
        <v>775</v>
      </c>
      <c r="D93" s="81"/>
      <c r="E93" s="81"/>
      <c r="F93" s="81"/>
      <c r="G93" s="81"/>
      <c r="H93" s="122">
        <f>历史数据及预测表!H240</f>
        <v>0</v>
      </c>
      <c r="I93" s="222">
        <v>0</v>
      </c>
      <c r="J93" s="222">
        <v>0</v>
      </c>
      <c r="K93" s="222">
        <v>0</v>
      </c>
      <c r="L93" s="222">
        <v>0</v>
      </c>
      <c r="M93" s="222">
        <v>0</v>
      </c>
      <c r="N93" s="222">
        <v>0</v>
      </c>
      <c r="O93" s="222">
        <v>0</v>
      </c>
      <c r="P93" s="222">
        <v>0</v>
      </c>
      <c r="Q93" s="222">
        <v>0</v>
      </c>
      <c r="R93" s="222">
        <v>0</v>
      </c>
      <c r="S93" s="222">
        <v>0</v>
      </c>
      <c r="T93" s="222">
        <v>0</v>
      </c>
    </row>
    <row r="94" spans="1:20">
      <c r="B94" s="26" t="s">
        <v>834</v>
      </c>
      <c r="C94" s="26" t="s">
        <v>775</v>
      </c>
      <c r="D94" s="81"/>
      <c r="E94" s="81"/>
      <c r="F94" s="81"/>
      <c r="G94" s="81"/>
      <c r="H94" s="122">
        <f>历史数据及预测表!H241</f>
        <v>0</v>
      </c>
      <c r="I94" s="222">
        <v>0</v>
      </c>
      <c r="J94" s="222">
        <v>0</v>
      </c>
      <c r="K94" s="222">
        <v>0</v>
      </c>
      <c r="L94" s="222">
        <v>0</v>
      </c>
      <c r="M94" s="222">
        <v>0</v>
      </c>
      <c r="N94" s="222">
        <v>0</v>
      </c>
      <c r="O94" s="222">
        <v>0</v>
      </c>
      <c r="P94" s="222">
        <v>0</v>
      </c>
      <c r="Q94" s="222">
        <v>0</v>
      </c>
      <c r="R94" s="222">
        <v>0</v>
      </c>
      <c r="S94" s="222">
        <v>0</v>
      </c>
      <c r="T94" s="222">
        <v>0</v>
      </c>
    </row>
    <row r="95" spans="1:20">
      <c r="B95" s="26" t="s">
        <v>835</v>
      </c>
      <c r="D95" s="81"/>
      <c r="E95" s="81"/>
      <c r="F95" s="81"/>
      <c r="G95" s="81"/>
      <c r="H95" s="122">
        <f>历史数据及预测表!H39</f>
        <v>16.938198789999998</v>
      </c>
      <c r="I95" s="222"/>
      <c r="J95" s="222"/>
      <c r="K95" s="222"/>
      <c r="L95" s="222"/>
      <c r="M95" s="222"/>
      <c r="N95" s="222"/>
      <c r="O95" s="222"/>
      <c r="P95" s="222"/>
      <c r="Q95" s="222"/>
      <c r="R95" s="222"/>
      <c r="S95" s="222"/>
      <c r="T95" s="222"/>
    </row>
    <row r="96" spans="1:20">
      <c r="B96" s="26" t="s">
        <v>836</v>
      </c>
      <c r="D96" s="81"/>
      <c r="E96" s="218">
        <f>历史数据及预测表!E73-历史数据及预测表!D73</f>
        <v>1.0440531899999996</v>
      </c>
      <c r="F96" s="218">
        <f>历史数据及预测表!F73-历史数据及预测表!E73</f>
        <v>13.1862092</v>
      </c>
      <c r="G96" s="218">
        <f>历史数据及预测表!G73-历史数据及预测表!F73</f>
        <v>-6.0778811200000007</v>
      </c>
      <c r="H96" s="218">
        <f>历史数据及预测表!H73-历史数据及预测表!G73</f>
        <v>-4.2791917399999999</v>
      </c>
      <c r="I96" s="222"/>
      <c r="J96" s="222"/>
      <c r="K96" s="222"/>
      <c r="L96" s="222"/>
      <c r="M96" s="222"/>
      <c r="N96" s="222"/>
      <c r="O96" s="222"/>
      <c r="P96" s="222"/>
      <c r="Q96" s="222"/>
      <c r="R96" s="222"/>
      <c r="S96" s="222"/>
      <c r="T96" s="222"/>
    </row>
    <row r="97" spans="2:20">
      <c r="B97" s="26" t="s">
        <v>837</v>
      </c>
      <c r="C97" s="26" t="s">
        <v>775</v>
      </c>
      <c r="D97" s="81"/>
      <c r="E97" s="218">
        <f>历史数据及预测表!E246-历史数据及预测表!D246</f>
        <v>-57.72772671000007</v>
      </c>
      <c r="F97" s="218">
        <f>历史数据及预测表!F246-历史数据及预测表!E246</f>
        <v>-76.266506670000012</v>
      </c>
      <c r="G97" s="218">
        <f>历史数据及预测表!G246-历史数据及预测表!F246</f>
        <v>-90.34577360000003</v>
      </c>
      <c r="H97" s="122">
        <f>历史数据及预测表!H246-历史数据及预测表!G246</f>
        <v>-87.078349839999987</v>
      </c>
      <c r="I97" s="222">
        <v>0</v>
      </c>
      <c r="J97" s="222">
        <v>0</v>
      </c>
      <c r="K97" s="222">
        <v>0</v>
      </c>
      <c r="L97" s="222">
        <v>0</v>
      </c>
      <c r="M97" s="222">
        <v>0</v>
      </c>
      <c r="N97" s="222">
        <v>0</v>
      </c>
      <c r="O97" s="222">
        <v>0</v>
      </c>
      <c r="P97" s="222">
        <v>0</v>
      </c>
      <c r="Q97" s="222">
        <v>0</v>
      </c>
      <c r="R97" s="222">
        <v>0</v>
      </c>
      <c r="S97" s="222">
        <v>0</v>
      </c>
      <c r="T97" s="222">
        <v>0</v>
      </c>
    </row>
    <row r="98" spans="2:20">
      <c r="B98" s="26" t="s">
        <v>838</v>
      </c>
      <c r="C98" s="26" t="s">
        <v>746</v>
      </c>
      <c r="D98" s="218">
        <f>历史数据及预测表!D247</f>
        <v>0</v>
      </c>
      <c r="E98" s="218">
        <f>历史数据及预测表!E247</f>
        <v>0</v>
      </c>
      <c r="F98" s="218">
        <f>历史数据及预测表!F247</f>
        <v>0</v>
      </c>
      <c r="G98" s="218">
        <f>历史数据及预测表!G247</f>
        <v>0</v>
      </c>
      <c r="H98" s="122">
        <f>历史数据及预测表!H247</f>
        <v>0</v>
      </c>
      <c r="I98" s="222">
        <f>IF(ISERR(AVERAGE($F$98:$H$98)),0,AVERAGE($F$98:$H$98))</f>
        <v>0</v>
      </c>
      <c r="J98" s="222">
        <f>IF(ISERR(AVERAGE($G$98:$I$98)),0,AVERAGE($G$98:$I$98))</f>
        <v>0</v>
      </c>
      <c r="K98" s="222">
        <f>IF(ISERR(AVERAGE($H$98:$J$98)),0,AVERAGE($H$98:$J$98))</f>
        <v>0</v>
      </c>
      <c r="L98" s="222">
        <f>IF(ISERR(AVERAGE($I$98:$K$98)),0,AVERAGE($I$98:$K$98))</f>
        <v>0</v>
      </c>
      <c r="M98" s="222">
        <f>IF(ISERR(AVERAGE($J$98:$L$98)),0,AVERAGE($J$98:$L$98))</f>
        <v>0</v>
      </c>
      <c r="N98" s="222">
        <f>IF(ISERR(AVERAGE($K$98:$M$98)),0,AVERAGE($K$98:$M$98))</f>
        <v>0</v>
      </c>
      <c r="O98" s="222">
        <f>IF(ISERR(AVERAGE($L$98:$N$98)),0,AVERAGE($L$98:$N$98))</f>
        <v>0</v>
      </c>
      <c r="P98" s="222">
        <f>IF(ISERR(AVERAGE($M$98:$O$98)),0,AVERAGE($M$98:$O$98))</f>
        <v>0</v>
      </c>
      <c r="Q98" s="222">
        <f>IF(ISERR(AVERAGE($N$98:$P$98)),0,AVERAGE($N$98:$P$98))</f>
        <v>0</v>
      </c>
      <c r="R98" s="222">
        <f>IF(ISERR(AVERAGE($O$98:$Q$98)),0,AVERAGE($O$98:$Q$98))</f>
        <v>0</v>
      </c>
      <c r="S98" s="222">
        <f t="shared" ref="S98:T98" si="42">IF(ISERR(AVERAGE($O$98:$Q$98)),0,AVERAGE($O$98:$Q$98))</f>
        <v>0</v>
      </c>
      <c r="T98" s="222">
        <f t="shared" si="42"/>
        <v>0</v>
      </c>
    </row>
    <row r="99" spans="2:20">
      <c r="B99" s="26" t="s">
        <v>839</v>
      </c>
      <c r="C99" s="26" t="s">
        <v>775</v>
      </c>
      <c r="D99" s="81"/>
      <c r="E99" s="218">
        <f>历史数据及预测表!E40-历史数据及预测表!D40</f>
        <v>-16.114386490000001</v>
      </c>
      <c r="F99" s="218">
        <f>历史数据及预测表!F40-历史数据及预测表!E40</f>
        <v>-36.03470403</v>
      </c>
      <c r="G99" s="218">
        <f>历史数据及预测表!G40-历史数据及预测表!F40</f>
        <v>9.1989954699999998</v>
      </c>
      <c r="H99" s="122">
        <f>历史数据及预测表!H40-历史数据及预测表!G40</f>
        <v>-18.599662010000003</v>
      </c>
      <c r="I99" s="222">
        <v>0</v>
      </c>
      <c r="J99" s="222">
        <v>0</v>
      </c>
      <c r="K99" s="222">
        <v>0</v>
      </c>
      <c r="L99" s="222">
        <v>0</v>
      </c>
      <c r="M99" s="222">
        <v>0</v>
      </c>
      <c r="N99" s="222">
        <v>0</v>
      </c>
      <c r="O99" s="222">
        <v>0</v>
      </c>
      <c r="P99" s="222">
        <v>0</v>
      </c>
      <c r="Q99" s="222">
        <v>0</v>
      </c>
      <c r="R99" s="222">
        <v>0</v>
      </c>
      <c r="S99" s="222">
        <v>0</v>
      </c>
      <c r="T99" s="222">
        <v>0</v>
      </c>
    </row>
    <row r="100" spans="2:20">
      <c r="B100" s="26" t="s">
        <v>840</v>
      </c>
      <c r="C100" s="26" t="s">
        <v>775</v>
      </c>
      <c r="D100" s="81"/>
      <c r="E100" s="218">
        <f>历史数据及预测表!E248-历史数据及预测表!D248</f>
        <v>0</v>
      </c>
      <c r="F100" s="218">
        <f>历史数据及预测表!F248-历史数据及预测表!E248</f>
        <v>0</v>
      </c>
      <c r="G100" s="218">
        <f>历史数据及预测表!G248-历史数据及预测表!F248</f>
        <v>0</v>
      </c>
      <c r="H100" s="122">
        <f>历史数据及预测表!H248-历史数据及预测表!G248</f>
        <v>0</v>
      </c>
      <c r="I100" s="222">
        <v>0</v>
      </c>
      <c r="J100" s="222">
        <v>0</v>
      </c>
      <c r="K100" s="222">
        <v>0</v>
      </c>
      <c r="L100" s="222">
        <v>0</v>
      </c>
      <c r="M100" s="222">
        <v>0</v>
      </c>
      <c r="N100" s="222">
        <v>0</v>
      </c>
      <c r="O100" s="222">
        <v>0</v>
      </c>
      <c r="P100" s="222">
        <v>0</v>
      </c>
      <c r="Q100" s="222">
        <v>0</v>
      </c>
      <c r="R100" s="222">
        <v>0</v>
      </c>
      <c r="S100" s="222">
        <v>0</v>
      </c>
      <c r="T100" s="222">
        <v>0</v>
      </c>
    </row>
    <row r="101" spans="2:20">
      <c r="B101" s="26" t="s">
        <v>841</v>
      </c>
      <c r="C101" s="26" t="s">
        <v>775</v>
      </c>
      <c r="D101" s="81"/>
      <c r="E101" s="218">
        <f>历史数据及预测表!E249-历史数据及预测表!D249</f>
        <v>-2.1082186699999999</v>
      </c>
      <c r="F101" s="218">
        <f>历史数据及预测表!F249-历史数据及预测表!E249</f>
        <v>-3.1237062400000002</v>
      </c>
      <c r="G101" s="218">
        <f>历史数据及预测表!G249-历史数据及预测表!F249</f>
        <v>0</v>
      </c>
      <c r="H101" s="122">
        <f>历史数据及预测表!H249-历史数据及预测表!G249</f>
        <v>0</v>
      </c>
      <c r="I101" s="222">
        <v>0</v>
      </c>
      <c r="J101" s="222">
        <v>0</v>
      </c>
      <c r="K101" s="222">
        <v>0</v>
      </c>
      <c r="L101" s="222">
        <v>0</v>
      </c>
      <c r="M101" s="222">
        <v>0</v>
      </c>
      <c r="N101" s="222">
        <v>0</v>
      </c>
      <c r="O101" s="222">
        <v>0</v>
      </c>
      <c r="P101" s="222">
        <v>0</v>
      </c>
      <c r="Q101" s="222">
        <v>0</v>
      </c>
      <c r="R101" s="222">
        <v>0</v>
      </c>
      <c r="S101" s="222">
        <v>0</v>
      </c>
      <c r="T101" s="222">
        <v>0</v>
      </c>
    </row>
    <row r="102" spans="2:20">
      <c r="B102" s="26" t="s">
        <v>842</v>
      </c>
      <c r="C102" s="26" t="s">
        <v>746</v>
      </c>
      <c r="D102" s="218">
        <f>历史数据及预测表!D250</f>
        <v>0</v>
      </c>
      <c r="E102" s="218">
        <f>历史数据及预测表!E250</f>
        <v>0</v>
      </c>
      <c r="F102" s="218">
        <f>历史数据及预测表!F250</f>
        <v>0</v>
      </c>
      <c r="G102" s="218">
        <f>历史数据及预测表!G250</f>
        <v>0</v>
      </c>
      <c r="H102" s="122">
        <f>历史数据及预测表!H250</f>
        <v>0</v>
      </c>
      <c r="I102" s="222">
        <f>IF(ISERR(AVERAGE($F$102:$H$102)),0,AVERAGE($F$102:$H$102))</f>
        <v>0</v>
      </c>
      <c r="J102" s="222">
        <f>IF(ISERR(AVERAGE($G$102:$I$102)),0,AVERAGE($G$102:$I$102))</f>
        <v>0</v>
      </c>
      <c r="K102" s="222">
        <f>IF(ISERR(AVERAGE($H$102:$J$102)),0,AVERAGE($H$102:$J$102))</f>
        <v>0</v>
      </c>
      <c r="L102" s="222">
        <f>IF(ISERR(AVERAGE($I$102:$K$102)),0,AVERAGE($I$102:$K$102))</f>
        <v>0</v>
      </c>
      <c r="M102" s="222">
        <f>IF(ISERR(AVERAGE($J$102:$L$102)),0,AVERAGE($J$102:$L$102))</f>
        <v>0</v>
      </c>
      <c r="N102" s="222">
        <f>IF(ISERR(AVERAGE($K$102:$M$102)),0,AVERAGE($K$102:$M$102))</f>
        <v>0</v>
      </c>
      <c r="O102" s="222">
        <f>IF(ISERR(AVERAGE($L$102:$N$102)),0,AVERAGE($L$102:$N$102))</f>
        <v>0</v>
      </c>
      <c r="P102" s="222">
        <f>IF(ISERR(AVERAGE($M$102:$O$102)),0,AVERAGE($M$102:$O$102))</f>
        <v>0</v>
      </c>
      <c r="Q102" s="222">
        <f>IF(ISERR(AVERAGE($N$102:$P$102)),0,AVERAGE($N$102:$P$102))</f>
        <v>0</v>
      </c>
      <c r="R102" s="222">
        <f>IF(ISERR(AVERAGE($O$102:$Q$102)),0,AVERAGE($O$102:$Q$102))</f>
        <v>0</v>
      </c>
      <c r="S102" s="222">
        <f t="shared" ref="S102:T102" si="43">IF(ISERR(AVERAGE($O$102:$Q$102)),0,AVERAGE($O$102:$Q$102))</f>
        <v>0</v>
      </c>
      <c r="T102" s="222">
        <f t="shared" si="43"/>
        <v>0</v>
      </c>
    </row>
    <row r="104" spans="2:20">
      <c r="B104" s="26" t="s">
        <v>843</v>
      </c>
      <c r="C104" s="26" t="s">
        <v>746</v>
      </c>
      <c r="D104" s="218">
        <f>历史数据及预测表!D252</f>
        <v>0</v>
      </c>
      <c r="E104" s="218">
        <f>历史数据及预测表!E252</f>
        <v>0</v>
      </c>
      <c r="F104" s="218">
        <f>历史数据及预测表!F252</f>
        <v>0</v>
      </c>
      <c r="G104" s="218">
        <f>历史数据及预测表!G252</f>
        <v>0</v>
      </c>
      <c r="H104" s="122">
        <f>历史数据及预测表!H252</f>
        <v>0</v>
      </c>
      <c r="I104" s="222">
        <f>IF(ISERR(AVERAGE($F$104:$H$104)),0,AVERAGE($F$104:$H$104))</f>
        <v>0</v>
      </c>
      <c r="J104" s="222">
        <f>IF(ISERR(AVERAGE($G$104:$I$104)),0,AVERAGE($G$104:$I$104))</f>
        <v>0</v>
      </c>
      <c r="K104" s="222">
        <f>IF(ISERR(AVERAGE($H$104:$J$104)),0,AVERAGE($H$104:$J$104))</f>
        <v>0</v>
      </c>
      <c r="L104" s="222">
        <f>IF(ISERR(AVERAGE($I$104:$K$104)),0,AVERAGE($I$104:$K$104))</f>
        <v>0</v>
      </c>
      <c r="M104" s="222">
        <f>IF(ISERR(AVERAGE($J$104:$L$104)),0,AVERAGE($J$104:$L$104))</f>
        <v>0</v>
      </c>
      <c r="N104" s="222">
        <f>IF(ISERR(AVERAGE($K$104:$M$104)),0,AVERAGE($K$104:$M$104))</f>
        <v>0</v>
      </c>
      <c r="O104" s="222">
        <f>IF(ISERR(AVERAGE($L$104:$N$104)),0,AVERAGE($L$104:$N$104))</f>
        <v>0</v>
      </c>
      <c r="P104" s="222">
        <f>IF(ISERR(AVERAGE($M$104:$O$104)),0,AVERAGE($M$104:$O$104))</f>
        <v>0</v>
      </c>
      <c r="Q104" s="222">
        <f>IF(ISERR(AVERAGE($N$104:$P$104)),0,AVERAGE($N$104:$P$104))</f>
        <v>0</v>
      </c>
      <c r="R104" s="222">
        <f>IF(ISERR(AVERAGE($O$104:$Q$104)),0,AVERAGE($O$104:$Q$104))</f>
        <v>0</v>
      </c>
      <c r="S104" s="222">
        <f t="shared" ref="S104:T104" si="44">IF(ISERR(AVERAGE($O$104:$Q$104)),0,AVERAGE($O$104:$Q$104))</f>
        <v>0</v>
      </c>
      <c r="T104" s="222">
        <f t="shared" si="44"/>
        <v>0</v>
      </c>
    </row>
    <row r="105" spans="2:20">
      <c r="B105" s="26" t="s">
        <v>844</v>
      </c>
      <c r="C105" s="26" t="s">
        <v>746</v>
      </c>
      <c r="D105" s="218">
        <f>历史数据及预测表!D253</f>
        <v>0</v>
      </c>
      <c r="E105" s="218">
        <f>历史数据及预测表!E253</f>
        <v>0</v>
      </c>
      <c r="F105" s="218">
        <f>历史数据及预测表!F253</f>
        <v>0</v>
      </c>
      <c r="G105" s="218">
        <f>历史数据及预测表!G253</f>
        <v>0</v>
      </c>
      <c r="H105" s="122">
        <f>历史数据及预测表!H253</f>
        <v>0</v>
      </c>
      <c r="I105" s="222">
        <f>IF(ISERR(AVERAGE($F$105:$H$105)),0,AVERAGE($F$105:$H$105))</f>
        <v>0</v>
      </c>
      <c r="J105" s="222">
        <f>IF(ISERR(AVERAGE($G$105:$I$105)),0,AVERAGE($G$105:$I$105))</f>
        <v>0</v>
      </c>
      <c r="K105" s="222">
        <f>IF(ISERR(AVERAGE($H$105:$J$105)),0,AVERAGE($H$105:$J$105))</f>
        <v>0</v>
      </c>
      <c r="L105" s="222">
        <f>IF(ISERR(AVERAGE($I$105:$K$105)),0,AVERAGE($I$105:$K$105))</f>
        <v>0</v>
      </c>
      <c r="M105" s="222">
        <f>IF(ISERR(AVERAGE($J$105:$L$105)),0,AVERAGE($J$105:$L$105))</f>
        <v>0</v>
      </c>
      <c r="N105" s="222">
        <f>IF(ISERR(AVERAGE($K$105:$M$105)),0,AVERAGE($K$105:$M$105))</f>
        <v>0</v>
      </c>
      <c r="O105" s="222">
        <f>IF(ISERR(AVERAGE($L$105:$N$105)),0,AVERAGE($L$105:$N$105))</f>
        <v>0</v>
      </c>
      <c r="P105" s="222">
        <f>IF(ISERR(AVERAGE($M$105:$O$105)),0,AVERAGE($M$105:$O$105))</f>
        <v>0</v>
      </c>
      <c r="Q105" s="222">
        <f>IF(ISERR(AVERAGE($N$105:$P$105)),0,AVERAGE($N$105:$P$105))</f>
        <v>0</v>
      </c>
      <c r="R105" s="222">
        <f>IF(ISERR(AVERAGE($O$105:$Q$105)),0,AVERAGE($O$105:$Q$105))</f>
        <v>0</v>
      </c>
      <c r="S105" s="222">
        <f t="shared" ref="S105:T105" si="45">IF(ISERR(AVERAGE($O$105:$Q$105)),0,AVERAGE($O$105:$Q$105))</f>
        <v>0</v>
      </c>
      <c r="T105" s="222">
        <f t="shared" si="45"/>
        <v>0</v>
      </c>
    </row>
    <row r="106" spans="2:20">
      <c r="B106" s="26" t="s">
        <v>845</v>
      </c>
      <c r="C106" s="26" t="s">
        <v>746</v>
      </c>
      <c r="D106" s="218">
        <f>历史数据及预测表!D254</f>
        <v>0</v>
      </c>
      <c r="E106" s="218">
        <f>历史数据及预测表!E254</f>
        <v>0</v>
      </c>
      <c r="F106" s="218">
        <f>历史数据及预测表!F254</f>
        <v>0</v>
      </c>
      <c r="G106" s="218">
        <f>历史数据及预测表!G254</f>
        <v>0</v>
      </c>
      <c r="H106" s="122">
        <f>历史数据及预测表!H254</f>
        <v>0</v>
      </c>
      <c r="I106" s="222">
        <f>IF(ISERR(AVERAGE($F$106:$H$106)),0,AVERAGE($F$106:$H$106))</f>
        <v>0</v>
      </c>
      <c r="J106" s="222">
        <f>IF(ISERR(AVERAGE($G$106:$I$106)),0,AVERAGE($G$106:$I$106))</f>
        <v>0</v>
      </c>
      <c r="K106" s="222">
        <f>IF(ISERR(AVERAGE($H$106:$J$106)),0,AVERAGE($H$106:$J$106))</f>
        <v>0</v>
      </c>
      <c r="L106" s="222">
        <f>IF(ISERR(AVERAGE($I$106:$K$106)),0,AVERAGE($I$106:$K$106))</f>
        <v>0</v>
      </c>
      <c r="M106" s="222">
        <f>IF(ISERR(AVERAGE($J$106:$L$106)),0,AVERAGE($J$106:$L$106))</f>
        <v>0</v>
      </c>
      <c r="N106" s="222">
        <f>IF(ISERR(AVERAGE($K$106:$M$106)),0,AVERAGE($K$106:$M$106))</f>
        <v>0</v>
      </c>
      <c r="O106" s="222">
        <f>IF(ISERR(AVERAGE($L$106:$N$106)),0,AVERAGE($L$106:$N$106))</f>
        <v>0</v>
      </c>
      <c r="P106" s="222">
        <f>IF(ISERR(AVERAGE($M$106:$O$106)),0,AVERAGE($M$106:$O$106))</f>
        <v>0</v>
      </c>
      <c r="Q106" s="222">
        <f>IF(ISERR(AVERAGE($N$106:$P$106)),0,AVERAGE($N$106:$P$106))</f>
        <v>0</v>
      </c>
      <c r="R106" s="222">
        <f>IF(ISERR(AVERAGE($O$106:$Q$106)),0,AVERAGE($O$106:$Q$106))</f>
        <v>0</v>
      </c>
      <c r="S106" s="222">
        <f t="shared" ref="S106:T106" si="46">IF(ISERR(AVERAGE($O$106:$Q$106)),0,AVERAGE($O$106:$Q$106))</f>
        <v>0</v>
      </c>
      <c r="T106" s="222">
        <f t="shared" si="46"/>
        <v>0</v>
      </c>
    </row>
    <row r="107" spans="2:20">
      <c r="B107" s="26" t="s">
        <v>846</v>
      </c>
      <c r="C107" s="26" t="s">
        <v>746</v>
      </c>
      <c r="D107" s="218">
        <f>历史数据及预测表!D255</f>
        <v>0</v>
      </c>
      <c r="E107" s="218">
        <f>历史数据及预测表!E255</f>
        <v>0</v>
      </c>
      <c r="F107" s="218">
        <f>历史数据及预测表!F255</f>
        <v>0</v>
      </c>
      <c r="G107" s="218">
        <f>历史数据及预测表!G255</f>
        <v>0</v>
      </c>
      <c r="H107" s="122">
        <f>历史数据及预测表!H255</f>
        <v>0</v>
      </c>
      <c r="I107" s="222">
        <f>IF(ISERR(AVERAGE($F$107:$H$107)),0,AVERAGE($F$107:$H$107))</f>
        <v>0</v>
      </c>
      <c r="J107" s="222">
        <f>IF(ISERR(AVERAGE($G$107:$I$107)),0,AVERAGE($G$107:$I$107))</f>
        <v>0</v>
      </c>
      <c r="K107" s="222">
        <f>IF(ISERR(AVERAGE($H$107:$J$107)),0,AVERAGE($H$107:$J$107))</f>
        <v>0</v>
      </c>
      <c r="L107" s="222">
        <f>IF(ISERR(AVERAGE($I$107:$K$107)),0,AVERAGE($I$107:$K$107))</f>
        <v>0</v>
      </c>
      <c r="M107" s="222">
        <f>IF(ISERR(AVERAGE($J$107:$L$107)),0,AVERAGE($J$107:$L$107))</f>
        <v>0</v>
      </c>
      <c r="N107" s="222">
        <f>IF(ISERR(AVERAGE($K$107:$M$107)),0,AVERAGE($K$107:$M$107))</f>
        <v>0</v>
      </c>
      <c r="O107" s="222">
        <f>IF(ISERR(AVERAGE($L$107:$N$107)),0,AVERAGE($L$107:$N$107))</f>
        <v>0</v>
      </c>
      <c r="P107" s="222">
        <f>IF(ISERR(AVERAGE($M$107:$O$107)),0,AVERAGE($M$107:$O$107))</f>
        <v>0</v>
      </c>
      <c r="Q107" s="222">
        <f>IF(ISERR(AVERAGE($N$107:$P$107)),0,AVERAGE($N$107:$P$107))</f>
        <v>0</v>
      </c>
      <c r="R107" s="222">
        <f>IF(ISERR(AVERAGE($O$107:$Q$107)),0,AVERAGE($O$107:$Q$107))</f>
        <v>0</v>
      </c>
      <c r="S107" s="222">
        <f t="shared" ref="S107:T107" si="47">IF(ISERR(AVERAGE($O$107:$Q$107)),0,AVERAGE($O$107:$Q$107))</f>
        <v>0</v>
      </c>
      <c r="T107" s="222">
        <f t="shared" si="47"/>
        <v>0</v>
      </c>
    </row>
    <row r="108" spans="2:20">
      <c r="B108" s="26" t="s">
        <v>847</v>
      </c>
      <c r="C108" s="26" t="s">
        <v>746</v>
      </c>
      <c r="D108" s="218">
        <f>历史数据及预测表!D256</f>
        <v>0</v>
      </c>
      <c r="E108" s="218">
        <f>历史数据及预测表!E256</f>
        <v>0</v>
      </c>
      <c r="F108" s="218">
        <f>历史数据及预测表!F256</f>
        <v>0</v>
      </c>
      <c r="G108" s="218">
        <f>历史数据及预测表!G256</f>
        <v>0</v>
      </c>
      <c r="H108" s="122">
        <f>历史数据及预测表!H256</f>
        <v>0</v>
      </c>
      <c r="I108" s="222">
        <f>IF(ISERR(AVERAGE($F$108:$H$108)),0,AVERAGE($F$108:$H$108))</f>
        <v>0</v>
      </c>
      <c r="J108" s="222">
        <f>IF(ISERR(AVERAGE($G$108:$I$108)),0,AVERAGE($G$108:$I$108))</f>
        <v>0</v>
      </c>
      <c r="K108" s="222">
        <f>IF(ISERR(AVERAGE($H$108:$J$108)),0,AVERAGE($H$108:$J$108))</f>
        <v>0</v>
      </c>
      <c r="L108" s="222">
        <f>IF(ISERR(AVERAGE($I$108:$K$108)),0,AVERAGE($I$108:$K$108))</f>
        <v>0</v>
      </c>
      <c r="M108" s="222">
        <f>IF(ISERR(AVERAGE($J$108:$L$108)),0,AVERAGE($J$108:$L$108))</f>
        <v>0</v>
      </c>
      <c r="N108" s="222">
        <f>IF(ISERR(AVERAGE($K$108:$M$108)),0,AVERAGE($K$108:$M$108))</f>
        <v>0</v>
      </c>
      <c r="O108" s="222">
        <f>IF(ISERR(AVERAGE($L$108:$N$108)),0,AVERAGE($L$108:$N$108))</f>
        <v>0</v>
      </c>
      <c r="P108" s="222">
        <f>IF(ISERR(AVERAGE($M$108:$O$108)),0,AVERAGE($M$108:$O$108))</f>
        <v>0</v>
      </c>
      <c r="Q108" s="222">
        <f>IF(ISERR(AVERAGE($N$108:$P$108)),0,AVERAGE($N$108:$P$108))</f>
        <v>0</v>
      </c>
      <c r="R108" s="222">
        <f>IF(ISERR(AVERAGE($O$108:$Q$108)),0,AVERAGE($O$108:$Q$108))</f>
        <v>0</v>
      </c>
      <c r="S108" s="222">
        <f t="shared" ref="S108:T108" si="48">IF(ISERR(AVERAGE($O$108:$Q$108)),0,AVERAGE($O$108:$Q$108))</f>
        <v>0</v>
      </c>
      <c r="T108" s="222">
        <f t="shared" si="48"/>
        <v>0</v>
      </c>
    </row>
    <row r="109" spans="2:20">
      <c r="B109" s="26" t="s">
        <v>848</v>
      </c>
      <c r="C109" s="26" t="s">
        <v>849</v>
      </c>
      <c r="D109" s="218">
        <f>历史数据及预测表!D257</f>
        <v>0</v>
      </c>
      <c r="E109" s="218">
        <f>历史数据及预测表!E257</f>
        <v>0</v>
      </c>
      <c r="F109" s="218">
        <f>历史数据及预测表!F257</f>
        <v>0</v>
      </c>
      <c r="G109" s="218">
        <f>历史数据及预测表!G257</f>
        <v>0</v>
      </c>
      <c r="H109" s="218">
        <f>历史数据及预测表!H257</f>
        <v>0</v>
      </c>
      <c r="I109" s="222"/>
      <c r="J109" s="222"/>
      <c r="K109" s="222"/>
      <c r="L109" s="222"/>
      <c r="M109" s="222"/>
      <c r="N109" s="222"/>
      <c r="O109" s="222"/>
      <c r="P109" s="222"/>
      <c r="Q109" s="222"/>
      <c r="R109" s="222"/>
      <c r="S109" s="222"/>
      <c r="T109" s="222"/>
    </row>
    <row r="110" spans="2:20">
      <c r="B110" s="26" t="s">
        <v>850</v>
      </c>
      <c r="C110" s="26" t="s">
        <v>746</v>
      </c>
      <c r="D110" s="218">
        <f>历史数据及预测表!D258</f>
        <v>0</v>
      </c>
      <c r="E110" s="218">
        <f>历史数据及预测表!E258</f>
        <v>0</v>
      </c>
      <c r="F110" s="218">
        <f>历史数据及预测表!F258</f>
        <v>0</v>
      </c>
      <c r="G110" s="218">
        <f>历史数据及预测表!G258</f>
        <v>0</v>
      </c>
      <c r="H110" s="122">
        <f>历史数据及预测表!H258</f>
        <v>0</v>
      </c>
      <c r="I110" s="222">
        <f>IF(ISERR(AVERAGE($F$110:$H$110)),0,AVERAGE($F$110:$H$110))</f>
        <v>0</v>
      </c>
      <c r="J110" s="222">
        <f>IF(ISERR(AVERAGE($G$110:$I$110)),0,AVERAGE($G$110:$I$110))</f>
        <v>0</v>
      </c>
      <c r="K110" s="222">
        <f>IF(ISERR(AVERAGE($H$110:$J$110)),0,AVERAGE($H$110:$J$110))</f>
        <v>0</v>
      </c>
      <c r="L110" s="222">
        <f>IF(ISERR(AVERAGE($I$110:$K$110)),0,AVERAGE($I$110:$K$110))</f>
        <v>0</v>
      </c>
      <c r="M110" s="222">
        <f>IF(ISERR(AVERAGE($J$110:$L$110)),0,AVERAGE($J$110:$L$110))</f>
        <v>0</v>
      </c>
      <c r="N110" s="222">
        <f>IF(ISERR(AVERAGE($K$110:$M$110)),0,AVERAGE($K$110:$M$110))</f>
        <v>0</v>
      </c>
      <c r="O110" s="222">
        <f>IF(ISERR(AVERAGE($L$110:$N$110)),0,AVERAGE($L$110:$N$110))</f>
        <v>0</v>
      </c>
      <c r="P110" s="222">
        <f>IF(ISERR(AVERAGE($M$110:$O$110)),0,AVERAGE($M$110:$O$110))</f>
        <v>0</v>
      </c>
      <c r="Q110" s="222">
        <f>IF(ISERR(AVERAGE($N$110:$P$110)),0,AVERAGE($N$110:$P$110))</f>
        <v>0</v>
      </c>
      <c r="R110" s="222">
        <f>IF(ISERR(AVERAGE($O$110:$Q$110)),0,AVERAGE($O$110:$Q$110))</f>
        <v>0</v>
      </c>
      <c r="S110" s="222">
        <f t="shared" ref="S110:T110" si="49">IF(ISERR(AVERAGE($O$110:$Q$110)),0,AVERAGE($O$110:$Q$110))</f>
        <v>0</v>
      </c>
      <c r="T110" s="222">
        <f t="shared" si="49"/>
        <v>0</v>
      </c>
    </row>
    <row r="111" spans="2:20">
      <c r="B111" s="26" t="s">
        <v>851</v>
      </c>
      <c r="C111" s="26" t="s">
        <v>746</v>
      </c>
      <c r="D111" s="218">
        <f>历史数据及预测表!D259</f>
        <v>0</v>
      </c>
      <c r="E111" s="218">
        <f>历史数据及预测表!E259</f>
        <v>0</v>
      </c>
      <c r="F111" s="218">
        <f>历史数据及预测表!F259</f>
        <v>0</v>
      </c>
      <c r="G111" s="218">
        <f>历史数据及预测表!G259</f>
        <v>0</v>
      </c>
      <c r="H111" s="122">
        <f>历史数据及预测表!H259</f>
        <v>0</v>
      </c>
      <c r="I111" s="222">
        <f>IF(ISERR(AVERAGE($F$111:$H$111)),0,AVERAGE($F$111:$H$111))</f>
        <v>0</v>
      </c>
      <c r="J111" s="222">
        <f>IF(ISERR(AVERAGE($G$111:$I$111)),0,AVERAGE($G$111:$I$111))</f>
        <v>0</v>
      </c>
      <c r="K111" s="222">
        <f>IF(ISERR(AVERAGE($H$111:$J$111)),0,AVERAGE($H$111:$J$111))</f>
        <v>0</v>
      </c>
      <c r="L111" s="222">
        <f>IF(ISERR(AVERAGE($I$111:$K$111)),0,AVERAGE($I$111:$K$111))</f>
        <v>0</v>
      </c>
      <c r="M111" s="222">
        <f>IF(ISERR(AVERAGE($J$111:$L$111)),0,AVERAGE($J$111:$L$111))</f>
        <v>0</v>
      </c>
      <c r="N111" s="222">
        <f>IF(ISERR(AVERAGE($K$111:$M$111)),0,AVERAGE($K$111:$M$111))</f>
        <v>0</v>
      </c>
      <c r="O111" s="222">
        <f>IF(ISERR(AVERAGE($L$111:$N$111)),0,AVERAGE($L$111:$N$111))</f>
        <v>0</v>
      </c>
      <c r="P111" s="222">
        <f>IF(ISERR(AVERAGE($M$111:$O$111)),0,AVERAGE($M$111:$O$111))</f>
        <v>0</v>
      </c>
      <c r="Q111" s="222">
        <f>IF(ISERR(AVERAGE($N$111:$P$111)),0,AVERAGE($N$111:$P$111))</f>
        <v>0</v>
      </c>
      <c r="R111" s="222">
        <f>IF(ISERR(AVERAGE($O$111:$Q$111)),0,AVERAGE($O$111:$Q$111))</f>
        <v>0</v>
      </c>
      <c r="S111" s="222">
        <f t="shared" ref="S111:T111" si="50">IF(ISERR(AVERAGE($O$111:$Q$111)),0,AVERAGE($O$111:$Q$111))</f>
        <v>0</v>
      </c>
      <c r="T111" s="222">
        <f t="shared" si="50"/>
        <v>0</v>
      </c>
    </row>
    <row r="112" spans="2:20">
      <c r="B112" s="26" t="s">
        <v>852</v>
      </c>
      <c r="C112" s="26" t="s">
        <v>746</v>
      </c>
      <c r="D112" s="218">
        <f>历史数据及预测表!D260</f>
        <v>0</v>
      </c>
      <c r="E112" s="218">
        <f>历史数据及预测表!E260</f>
        <v>0</v>
      </c>
      <c r="F112" s="218">
        <f>历史数据及预测表!F260</f>
        <v>0</v>
      </c>
      <c r="G112" s="218">
        <f>历史数据及预测表!G260</f>
        <v>0</v>
      </c>
      <c r="H112" s="122">
        <f>历史数据及预测表!H260</f>
        <v>0</v>
      </c>
      <c r="I112" s="228">
        <f>IF(ISERR(AVERAGE($F$112:$H$112)),0,AVERAGE($F$112:$H$112))</f>
        <v>0</v>
      </c>
      <c r="J112" s="228">
        <f>IF(ISERR(AVERAGE($G$112:$I$112)),0,AVERAGE($G$112:$I$112))</f>
        <v>0</v>
      </c>
      <c r="K112" s="228">
        <f>IF(ISERR(AVERAGE($H$112:$J$112)),0,AVERAGE($H$112:$J$112))</f>
        <v>0</v>
      </c>
      <c r="L112" s="228">
        <f>IF(ISERR(AVERAGE($I$112:$K$112)),0,AVERAGE($I$112:$K$112))</f>
        <v>0</v>
      </c>
      <c r="M112" s="228">
        <f>IF(ISERR(AVERAGE($J$112:$L$112)),0,AVERAGE($J$112:$L$112))</f>
        <v>0</v>
      </c>
      <c r="N112" s="228">
        <f>IF(ISERR(AVERAGE($K$112:$M$112)),0,AVERAGE($K$112:$M$112))</f>
        <v>0</v>
      </c>
      <c r="O112" s="228">
        <f>IF(ISERR(AVERAGE($L$112:$N$112)),0,AVERAGE($L$112:$N$112))</f>
        <v>0</v>
      </c>
      <c r="P112" s="228">
        <f>IF(ISERR(AVERAGE($M$112:$O$112)),0,AVERAGE($M$112:$O$112))</f>
        <v>0</v>
      </c>
      <c r="Q112" s="228">
        <f>IF(ISERR(AVERAGE($N$112:$P$112)),0,AVERAGE($N$112:$P$112))</f>
        <v>0</v>
      </c>
      <c r="R112" s="228">
        <f>IF(ISERR(AVERAGE($O$112:$Q$112)),0,AVERAGE($O$112:$Q$112))</f>
        <v>0</v>
      </c>
      <c r="S112" s="228">
        <f t="shared" ref="S112:T112" si="51">IF(ISERR(AVERAGE($O$112:$Q$112)),0,AVERAGE($O$112:$Q$112))</f>
        <v>0</v>
      </c>
      <c r="T112" s="228">
        <f t="shared" si="51"/>
        <v>0</v>
      </c>
    </row>
    <row r="113" spans="1:20">
      <c r="B113" s="26" t="s">
        <v>853</v>
      </c>
      <c r="C113" s="26" t="s">
        <v>746</v>
      </c>
      <c r="D113" s="218">
        <f>历史数据及预测表!D261</f>
        <v>0</v>
      </c>
      <c r="E113" s="218">
        <f>历史数据及预测表!E261</f>
        <v>0</v>
      </c>
      <c r="F113" s="218">
        <f>历史数据及预测表!F261</f>
        <v>0</v>
      </c>
      <c r="G113" s="218">
        <f>历史数据及预测表!G261</f>
        <v>0</v>
      </c>
      <c r="H113" s="218">
        <f>历史数据及预测表!H261</f>
        <v>0</v>
      </c>
      <c r="I113" s="229">
        <f>IF(ISERR(AVERAGE($F$113:$H$113)),0,AVERAGE($F$113:$H$113))</f>
        <v>0</v>
      </c>
      <c r="J113" s="230">
        <f>IF(ISERR(AVERAGE($G$113:$I$113)),0,AVERAGE($G$113:$I$113))</f>
        <v>0</v>
      </c>
      <c r="K113" s="222">
        <f>IF(ISERR(AVERAGE($H$113:$J$113)),0,AVERAGE($H$113:$J$113))</f>
        <v>0</v>
      </c>
      <c r="L113" s="222">
        <f>IF(ISERR(AVERAGE($I$113:$K$113)),0,AVERAGE($I$113:$K$113))</f>
        <v>0</v>
      </c>
      <c r="M113" s="222">
        <f>IF(ISERR(AVERAGE($J$113:$L$113)),0,AVERAGE($J$113:$L$113))</f>
        <v>0</v>
      </c>
      <c r="N113" s="222">
        <f>IF(ISERR(AVERAGE($K$113:$M$113)),0,AVERAGE($K$113:$M$113))</f>
        <v>0</v>
      </c>
      <c r="O113" s="222">
        <f>IF(ISERR(AVERAGE($L$113:$N$113)),0,AVERAGE($L$113:$N$113))</f>
        <v>0</v>
      </c>
      <c r="P113" s="222">
        <f>IF(ISERR(AVERAGE($M$113:$O$113)),0,AVERAGE($M$113:$O$113))</f>
        <v>0</v>
      </c>
      <c r="Q113" s="222">
        <f>IF(ISERR(AVERAGE($N$113:$P$113)),0,AVERAGE($N$113:$P$113))</f>
        <v>0</v>
      </c>
      <c r="R113" s="222">
        <f>IF(ISERR(AVERAGE($O$113:$Q$113)),0,AVERAGE($O$113:$Q$113))</f>
        <v>0</v>
      </c>
      <c r="S113" s="222">
        <f t="shared" ref="S113:T113" si="52">IF(ISERR(AVERAGE($O$113:$Q$113)),0,AVERAGE($O$113:$Q$113))</f>
        <v>0</v>
      </c>
      <c r="T113" s="222">
        <f t="shared" si="52"/>
        <v>0</v>
      </c>
    </row>
    <row r="114" spans="1:20">
      <c r="B114" s="26" t="s">
        <v>854</v>
      </c>
      <c r="C114" s="26" t="s">
        <v>746</v>
      </c>
      <c r="D114" s="218">
        <f>历史数据及预测表!D262</f>
        <v>0</v>
      </c>
      <c r="E114" s="218">
        <f>历史数据及预测表!E262</f>
        <v>0</v>
      </c>
      <c r="F114" s="218">
        <f>历史数据及预测表!F262</f>
        <v>0</v>
      </c>
      <c r="G114" s="218">
        <f>历史数据及预测表!G262</f>
        <v>0</v>
      </c>
      <c r="H114" s="218">
        <f>历史数据及预测表!H262</f>
        <v>0</v>
      </c>
      <c r="I114" s="229">
        <f>IF(ISERR(AVERAGE($F$114:$H$114)),0,AVERAGE($F$114:$H$114))</f>
        <v>0</v>
      </c>
      <c r="J114" s="230">
        <f>IF(ISERR(AVERAGE($G$114:$I$114)),0,AVERAGE($G$114:$I$114))</f>
        <v>0</v>
      </c>
      <c r="K114" s="222">
        <f>IF(ISERR(AVERAGE($H$114:$J$114)),0,AVERAGE($H$114:$J$114))</f>
        <v>0</v>
      </c>
      <c r="L114" s="222">
        <f>IF(ISERR(AVERAGE($I$114:$K$114)),0,AVERAGE($I$114:$K$114))</f>
        <v>0</v>
      </c>
      <c r="M114" s="222">
        <f>IF(ISERR(AVERAGE($J$114:$L$114)),0,AVERAGE($J$114:$L$114))</f>
        <v>0</v>
      </c>
      <c r="N114" s="222">
        <f>IF(ISERR(AVERAGE($K$114:$M$114)),0,AVERAGE($K$114:$M$114))</f>
        <v>0</v>
      </c>
      <c r="O114" s="222">
        <f>IF(ISERR(AVERAGE($L$114:$N$114)),0,AVERAGE($L$114:$N$114))</f>
        <v>0</v>
      </c>
      <c r="P114" s="222">
        <f>IF(ISERR(AVERAGE($M$114:$O$114)),0,AVERAGE($M$114:$O$114))</f>
        <v>0</v>
      </c>
      <c r="Q114" s="222">
        <f>IF(ISERR(AVERAGE($N$114:$P$114)),0,AVERAGE($N$114:$P$114))</f>
        <v>0</v>
      </c>
      <c r="R114" s="222">
        <f>IF(ISERR(AVERAGE($O$114:$Q$114)),0,AVERAGE($O$114:$Q$114))</f>
        <v>0</v>
      </c>
      <c r="S114" s="222">
        <f t="shared" ref="S114:T114" si="53">IF(ISERR(AVERAGE($O$114:$Q$114)),0,AVERAGE($O$114:$Q$114))</f>
        <v>0</v>
      </c>
      <c r="T114" s="222">
        <f t="shared" si="53"/>
        <v>0</v>
      </c>
    </row>
    <row r="115" spans="1:20">
      <c r="J115" s="231"/>
    </row>
    <row r="116" spans="1:20" ht="14.65">
      <c r="A116" s="187" t="s">
        <v>855</v>
      </c>
    </row>
    <row r="117" spans="1:20">
      <c r="B117" s="26" t="s">
        <v>856</v>
      </c>
      <c r="C117" s="26" t="s">
        <v>746</v>
      </c>
      <c r="D117" s="83">
        <v>4.5999999999999999E-2</v>
      </c>
      <c r="E117" s="83">
        <v>4.5999999999999999E-2</v>
      </c>
      <c r="F117" s="83">
        <v>4.5999999999999999E-2</v>
      </c>
      <c r="G117" s="83">
        <v>4.5999999999999999E-2</v>
      </c>
      <c r="H117" s="224">
        <v>4.5999999999999999E-2</v>
      </c>
      <c r="I117" s="221">
        <f>IF(ISERR(AVERAGE($F$117:$H$117)),0,AVERAGE($F$117:$H$117))</f>
        <v>4.6000000000000006E-2</v>
      </c>
      <c r="J117" s="221">
        <f>IF(ISERR(AVERAGE($G$117:$I$117)),0,AVERAGE($G$117:$I$117))</f>
        <v>4.6000000000000006E-2</v>
      </c>
      <c r="K117" s="221">
        <f>IF(ISERR(AVERAGE($H$117:$J$117)),0,AVERAGE($H$117:$J$117))</f>
        <v>4.6000000000000006E-2</v>
      </c>
      <c r="L117" s="221">
        <f>IF(ISERR(AVERAGE($I$117:$K$117)),0,AVERAGE($I$117:$K$117))</f>
        <v>4.6000000000000006E-2</v>
      </c>
      <c r="M117" s="221">
        <f>IF(ISERR(AVERAGE($J$117:$L$117)),0,AVERAGE($J$117:$L$117))</f>
        <v>4.6000000000000006E-2</v>
      </c>
      <c r="N117" s="221">
        <f>IF(ISERR(AVERAGE($K$117:$M$117)),0,AVERAGE($K$117:$M$117))</f>
        <v>4.6000000000000006E-2</v>
      </c>
      <c r="O117" s="221">
        <f>IF(ISERR(AVERAGE($L$117:$N$117)),0,AVERAGE($L$117:$N$117))</f>
        <v>4.6000000000000006E-2</v>
      </c>
      <c r="P117" s="221">
        <f>IF(ISERR(AVERAGE($M$117:$O$117)),0,AVERAGE($M$117:$O$117))</f>
        <v>4.6000000000000006E-2</v>
      </c>
      <c r="Q117" s="221">
        <f>IF(ISERR(AVERAGE($N$117:$P$117)),0,AVERAGE($N$117:$P$117))</f>
        <v>4.6000000000000006E-2</v>
      </c>
      <c r="R117" s="221">
        <f>IF(ISERR(AVERAGE($O$117:$Q$117)),0,AVERAGE($O$117:$Q$117))</f>
        <v>4.6000000000000006E-2</v>
      </c>
      <c r="S117" s="221">
        <f t="shared" ref="S117:T117" si="54">IF(ISERR(AVERAGE($O$117:$Q$117)),0,AVERAGE($O$117:$Q$117))</f>
        <v>4.6000000000000006E-2</v>
      </c>
      <c r="T117" s="221">
        <f t="shared" si="54"/>
        <v>4.6000000000000006E-2</v>
      </c>
    </row>
    <row r="118" spans="1:20">
      <c r="B118" s="26" t="s">
        <v>857</v>
      </c>
      <c r="C118" s="26" t="s">
        <v>746</v>
      </c>
      <c r="D118" s="225">
        <v>5.1499999999999997E-2</v>
      </c>
      <c r="E118" s="225">
        <v>5.1499999999999997E-2</v>
      </c>
      <c r="F118" s="225">
        <v>5.1499999999999997E-2</v>
      </c>
      <c r="G118" s="225">
        <v>5.1499999999999997E-2</v>
      </c>
      <c r="H118" s="226">
        <v>5.1499999999999997E-2</v>
      </c>
      <c r="I118" s="221">
        <f>IF(ISERR(AVERAGE($F$118:$H$118)),0,AVERAGE($F$118:$H$118))</f>
        <v>5.1499999999999997E-2</v>
      </c>
      <c r="J118" s="221">
        <f>IF(ISERR(AVERAGE($G$118:$I$118)),0,AVERAGE($G$118:$I$118))</f>
        <v>5.1499999999999997E-2</v>
      </c>
      <c r="K118" s="221">
        <f>IF(ISERR(AVERAGE($H$118:$J$118)),0,AVERAGE($H$118:$J$118))</f>
        <v>5.1499999999999997E-2</v>
      </c>
      <c r="L118" s="221">
        <f>IF(ISERR(AVERAGE($I$118:$K$118)),0,AVERAGE($I$118:$K$118))</f>
        <v>5.1499999999999997E-2</v>
      </c>
      <c r="M118" s="221">
        <f>IF(ISERR(AVERAGE($J$118:$L$118)),0,AVERAGE($J$118:$L$118))</f>
        <v>5.1499999999999997E-2</v>
      </c>
      <c r="N118" s="221">
        <f>IF(ISERR(AVERAGE($K$118:$M$118)),0,AVERAGE($K$118:$M$118))</f>
        <v>5.1499999999999997E-2</v>
      </c>
      <c r="O118" s="221">
        <f>IF(ISERR(AVERAGE($L$118:$N$118)),0,AVERAGE($L$118:$N$118))</f>
        <v>5.1499999999999997E-2</v>
      </c>
      <c r="P118" s="221">
        <f>IF(ISERR(AVERAGE($M$118:$O$118)),0,AVERAGE($M$118:$O$118))</f>
        <v>5.1499999999999997E-2</v>
      </c>
      <c r="Q118" s="221">
        <f>IF(ISERR(AVERAGE($N$118:$P$118)),0,AVERAGE($N$118:$P$118))</f>
        <v>5.1499999999999997E-2</v>
      </c>
      <c r="R118" s="221">
        <f>IF(ISERR(AVERAGE($O$118:$Q$118)),0,AVERAGE($O$118:$Q$118))</f>
        <v>5.1499999999999997E-2</v>
      </c>
      <c r="S118" s="221">
        <f t="shared" ref="S118:T118" si="55">IF(ISERR(AVERAGE($O$118:$Q$118)),0,AVERAGE($O$118:$Q$118))</f>
        <v>5.1499999999999997E-2</v>
      </c>
      <c r="T118" s="221">
        <f t="shared" si="55"/>
        <v>5.1499999999999997E-2</v>
      </c>
    </row>
    <row r="119" spans="1:20">
      <c r="B119" s="26" t="s">
        <v>858</v>
      </c>
      <c r="C119" s="26" t="s">
        <v>746</v>
      </c>
      <c r="D119" s="83">
        <v>2.1999999999999999E-2</v>
      </c>
      <c r="E119" s="83">
        <v>2.1999999999999999E-2</v>
      </c>
      <c r="F119" s="83">
        <v>2.1999999999999999E-2</v>
      </c>
      <c r="G119" s="83">
        <v>2.1999999999999999E-2</v>
      </c>
      <c r="H119" s="224">
        <v>2.1999999999999999E-2</v>
      </c>
      <c r="I119" s="221">
        <f>IF(ISERR(AVERAGE($F$119:$H$119)),0,AVERAGE($F$119:$H$119))</f>
        <v>2.2000000000000002E-2</v>
      </c>
      <c r="J119" s="221">
        <f>IF(ISERR(AVERAGE($G$119:$I$119)),0,AVERAGE($G$119:$I$119))</f>
        <v>2.2000000000000002E-2</v>
      </c>
      <c r="K119" s="221">
        <f>IF(ISERR(AVERAGE($H$119:$J$119)),0,AVERAGE($H$119:$J$119))</f>
        <v>2.2000000000000002E-2</v>
      </c>
      <c r="L119" s="221">
        <f>IF(ISERR(AVERAGE($I$119:$K$119)),0,AVERAGE($I$119:$K$119))</f>
        <v>2.2000000000000002E-2</v>
      </c>
      <c r="M119" s="221">
        <f>IF(ISERR(AVERAGE($J$119:$L$119)),0,AVERAGE($J$119:$L$119))</f>
        <v>2.2000000000000002E-2</v>
      </c>
      <c r="N119" s="221">
        <f>IF(ISERR(AVERAGE($K$119:$M$119)),0,AVERAGE($K$119:$M$119))</f>
        <v>2.2000000000000002E-2</v>
      </c>
      <c r="O119" s="221">
        <f>IF(ISERR(AVERAGE($L$119:$N$119)),0,AVERAGE($L$119:$N$119))</f>
        <v>2.2000000000000002E-2</v>
      </c>
      <c r="P119" s="221">
        <f>IF(ISERR(AVERAGE($M$119:$O$119)),0,AVERAGE($M$119:$O$119))</f>
        <v>2.2000000000000002E-2</v>
      </c>
      <c r="Q119" s="221">
        <f>IF(ISERR(AVERAGE($N$119:$P$119)),0,AVERAGE($N$119:$P$119))</f>
        <v>2.2000000000000002E-2</v>
      </c>
      <c r="R119" s="221">
        <f>IF(ISERR(AVERAGE($O$119:$Q$119)),0,AVERAGE($O$119:$Q$119))</f>
        <v>2.2000000000000002E-2</v>
      </c>
      <c r="S119" s="221">
        <f t="shared" ref="S119:T119" si="56">IF(ISERR(AVERAGE($O$119:$Q$119)),0,AVERAGE($O$119:$Q$119))</f>
        <v>2.2000000000000002E-2</v>
      </c>
      <c r="T119" s="221">
        <f t="shared" si="56"/>
        <v>2.2000000000000002E-2</v>
      </c>
    </row>
    <row r="120" spans="1:20">
      <c r="B120" s="26" t="s">
        <v>859</v>
      </c>
      <c r="C120" s="26" t="s">
        <v>746</v>
      </c>
      <c r="D120" s="216">
        <f>历史数据及预测表!D7/历史数据及预测表!D107</f>
        <v>0.55337184205339029</v>
      </c>
      <c r="E120" s="216">
        <f>历史数据及预测表!E7/历史数据及预测表!E107</f>
        <v>0.62838762479054544</v>
      </c>
      <c r="F120" s="216">
        <f>历史数据及预测表!F7/历史数据及预测表!F107</f>
        <v>0.86677014031529609</v>
      </c>
      <c r="G120" s="216">
        <f>历史数据及预测表!G7/历史数据及预测表!G107</f>
        <v>0.88226387501064873</v>
      </c>
      <c r="H120" s="217">
        <f>历史数据及预测表!H7/历史数据及预测表!H107</f>
        <v>0.86303262518722534</v>
      </c>
      <c r="I120" s="221">
        <f>IF(ISERR(AVERAGE($F$120:$H$120)),0,AVERAGE($F$120:$H$120))</f>
        <v>0.87068888017105672</v>
      </c>
      <c r="J120" s="221">
        <f>IF(ISERR(AVERAGE($G$120:$I$120)),0,AVERAGE($G$120:$I$120))</f>
        <v>0.87199512678964364</v>
      </c>
      <c r="K120" s="221">
        <f>IF(ISERR(AVERAGE($H$120:$J$120)),0,AVERAGE($H$120:$J$120))</f>
        <v>0.86857221071597523</v>
      </c>
      <c r="L120" s="221">
        <f>IF(ISERR(AVERAGE($I$120:$K$120)),0,AVERAGE($I$120:$K$120))</f>
        <v>0.87041873922555857</v>
      </c>
      <c r="M120" s="221">
        <f>IF(ISERR(AVERAGE($J$120:$L$120)),0,AVERAGE($J$120:$L$120))</f>
        <v>0.87032869224372578</v>
      </c>
      <c r="N120" s="221">
        <f>IF(ISERR(AVERAGE($K$120:$M$120)),0,AVERAGE($K$120:$M$120))</f>
        <v>0.86977321406175312</v>
      </c>
      <c r="O120" s="221">
        <f>IF(ISERR(AVERAGE($L$120:$N$120)),0,AVERAGE($L$120:$N$120))</f>
        <v>0.8701735485103459</v>
      </c>
      <c r="P120" s="221">
        <f>IF(ISERR(AVERAGE($M$120:$O$120)),0,AVERAGE($M$120:$O$120))</f>
        <v>0.8700918182719416</v>
      </c>
      <c r="Q120" s="221">
        <f>IF(ISERR(AVERAGE($N$120:$P$120)),0,AVERAGE($N$120:$P$120))</f>
        <v>0.87001286028134694</v>
      </c>
      <c r="R120" s="221">
        <f>IF(ISERR(AVERAGE($O$120:$Q$120)),0,AVERAGE($O$120:$Q$120))</f>
        <v>0.87009274235454492</v>
      </c>
      <c r="S120" s="221">
        <f t="shared" ref="S120:T120" si="57">IF(ISERR(AVERAGE($O$120:$Q$120)),0,AVERAGE($O$120:$Q$120))</f>
        <v>0.87009274235454492</v>
      </c>
      <c r="T120" s="221">
        <f t="shared" si="57"/>
        <v>0.87009274235454492</v>
      </c>
    </row>
    <row r="121" spans="1:20">
      <c r="B121" s="26" t="s">
        <v>860</v>
      </c>
      <c r="C121" s="26" t="s">
        <v>775</v>
      </c>
      <c r="D121" s="81"/>
      <c r="E121" s="218">
        <f>历史数据及预测表!E71-历史数据及预测表!D71</f>
        <v>0</v>
      </c>
      <c r="F121" s="218">
        <f>历史数据及预测表!F71-历史数据及预测表!E71</f>
        <v>0</v>
      </c>
      <c r="G121" s="218">
        <f>历史数据及预测表!G71-历史数据及预测表!F71</f>
        <v>0</v>
      </c>
      <c r="H121" s="122">
        <f>历史数据及预测表!H71-历史数据及预测表!G71</f>
        <v>0</v>
      </c>
      <c r="I121" s="222">
        <v>0</v>
      </c>
      <c r="J121" s="222">
        <v>0</v>
      </c>
      <c r="K121" s="222">
        <v>0</v>
      </c>
      <c r="L121" s="222">
        <v>0</v>
      </c>
      <c r="M121" s="222">
        <v>0</v>
      </c>
      <c r="N121" s="222">
        <v>0</v>
      </c>
      <c r="O121" s="222">
        <v>0</v>
      </c>
      <c r="P121" s="222">
        <v>0</v>
      </c>
      <c r="Q121" s="222">
        <v>0</v>
      </c>
      <c r="R121" s="222">
        <v>0</v>
      </c>
      <c r="S121" s="222">
        <v>0</v>
      </c>
      <c r="T121" s="222">
        <v>0</v>
      </c>
    </row>
    <row r="122" spans="1:20">
      <c r="B122" s="26" t="s">
        <v>861</v>
      </c>
      <c r="C122" s="26" t="s">
        <v>775</v>
      </c>
      <c r="D122" s="81"/>
      <c r="E122" s="218">
        <f>历史数据及预测表!E72-历史数据及预测表!D72</f>
        <v>0</v>
      </c>
      <c r="F122" s="218">
        <f>历史数据及预测表!F72-历史数据及预测表!E72</f>
        <v>0</v>
      </c>
      <c r="G122" s="218">
        <f>历史数据及预测表!G72-历史数据及预测表!F72</f>
        <v>0</v>
      </c>
      <c r="H122" s="122">
        <f>历史数据及预测表!H72-历史数据及预测表!G72</f>
        <v>0</v>
      </c>
      <c r="I122" s="222">
        <v>0</v>
      </c>
      <c r="J122" s="222">
        <v>0</v>
      </c>
      <c r="K122" s="222">
        <v>0</v>
      </c>
      <c r="L122" s="222">
        <v>0</v>
      </c>
      <c r="M122" s="222">
        <v>0</v>
      </c>
      <c r="N122" s="222">
        <v>0</v>
      </c>
      <c r="O122" s="222">
        <v>0</v>
      </c>
      <c r="P122" s="222">
        <v>0</v>
      </c>
      <c r="Q122" s="222">
        <v>0</v>
      </c>
      <c r="R122" s="222">
        <v>0</v>
      </c>
      <c r="S122" s="222">
        <v>0</v>
      </c>
      <c r="T122" s="222">
        <v>0</v>
      </c>
    </row>
    <row r="123" spans="1:20">
      <c r="B123" s="26" t="s">
        <v>862</v>
      </c>
      <c r="C123" s="26" t="s">
        <v>775</v>
      </c>
      <c r="D123" s="81"/>
      <c r="E123" s="218">
        <f>历史数据及预测表!E74-历史数据及预测表!D74</f>
        <v>0</v>
      </c>
      <c r="F123" s="218">
        <f>历史数据及预测表!F74-历史数据及预测表!E74</f>
        <v>0</v>
      </c>
      <c r="G123" s="218">
        <f>历史数据及预测表!G74-历史数据及预测表!F74</f>
        <v>0</v>
      </c>
      <c r="H123" s="122">
        <f>历史数据及预测表!H74-历史数据及预测表!G74</f>
        <v>0</v>
      </c>
      <c r="I123" s="222">
        <v>0</v>
      </c>
      <c r="J123" s="222">
        <v>0</v>
      </c>
      <c r="K123" s="222">
        <v>0</v>
      </c>
      <c r="L123" s="222">
        <v>0</v>
      </c>
      <c r="M123" s="222">
        <v>0</v>
      </c>
      <c r="N123" s="222">
        <v>0</v>
      </c>
      <c r="O123" s="222">
        <v>0</v>
      </c>
      <c r="P123" s="222">
        <v>0</v>
      </c>
      <c r="Q123" s="222">
        <v>0</v>
      </c>
      <c r="R123" s="222">
        <v>0</v>
      </c>
      <c r="S123" s="222">
        <v>0</v>
      </c>
      <c r="T123" s="222">
        <v>0</v>
      </c>
    </row>
    <row r="124" spans="1:20">
      <c r="B124" s="26" t="s">
        <v>863</v>
      </c>
      <c r="C124" s="26" t="s">
        <v>775</v>
      </c>
      <c r="D124" s="81"/>
      <c r="E124" s="218">
        <f>历史数据及预测表!E75-历史数据及预测表!D75</f>
        <v>-0.95561541999999999</v>
      </c>
      <c r="F124" s="218">
        <f>历史数据及预测表!F75-历史数据及预测表!E75</f>
        <v>0</v>
      </c>
      <c r="G124" s="218">
        <f>历史数据及预测表!G75-历史数据及预测表!F75</f>
        <v>0</v>
      </c>
      <c r="H124" s="122">
        <f>历史数据及预测表!H75-历史数据及预测表!G75</f>
        <v>0</v>
      </c>
      <c r="I124" s="222">
        <v>0</v>
      </c>
      <c r="J124" s="222">
        <v>0</v>
      </c>
      <c r="K124" s="222">
        <v>0</v>
      </c>
      <c r="L124" s="222">
        <v>0</v>
      </c>
      <c r="M124" s="222">
        <v>0</v>
      </c>
      <c r="N124" s="222">
        <v>0</v>
      </c>
      <c r="O124" s="222">
        <v>0</v>
      </c>
      <c r="P124" s="222">
        <v>0</v>
      </c>
      <c r="Q124" s="222">
        <v>0</v>
      </c>
      <c r="R124" s="222">
        <v>0</v>
      </c>
      <c r="S124" s="222">
        <v>0</v>
      </c>
      <c r="T124" s="222">
        <v>0</v>
      </c>
    </row>
    <row r="125" spans="1:20">
      <c r="B125" s="26" t="s">
        <v>864</v>
      </c>
      <c r="C125" s="26" t="s">
        <v>746</v>
      </c>
      <c r="D125" s="81"/>
      <c r="E125" s="81"/>
      <c r="F125" s="81"/>
      <c r="G125" s="81"/>
      <c r="H125" s="119"/>
      <c r="I125" s="222">
        <f>IF(ISERR(AVERAGE($F$125:$H$125)),0,AVERAGE($F$125:$H$125))</f>
        <v>0</v>
      </c>
      <c r="J125" s="222">
        <f>IF(ISERR(AVERAGE($G$125:$I$125)),0,AVERAGE($G$125:$I$125))</f>
        <v>0</v>
      </c>
      <c r="K125" s="222">
        <f>IF(ISERR(AVERAGE($H$125:$J$125)),0,AVERAGE($H$125:$J$125))</f>
        <v>0</v>
      </c>
      <c r="L125" s="222">
        <f>IF(ISERR(AVERAGE($I$125:$K$125)),0,AVERAGE($I$125:$K$125))</f>
        <v>0</v>
      </c>
      <c r="M125" s="222">
        <f>IF(ISERR(AVERAGE($J$125:$L$125)),0,AVERAGE($J$125:$L$125))</f>
        <v>0</v>
      </c>
      <c r="N125" s="222">
        <f>IF(ISERR(AVERAGE($K$125:$M$125)),0,AVERAGE($K$125:$M$125))</f>
        <v>0</v>
      </c>
      <c r="O125" s="222">
        <f>IF(ISERR(AVERAGE($L$125:$N$125)),0,AVERAGE($L$125:$N$125))</f>
        <v>0</v>
      </c>
      <c r="P125" s="222">
        <f>IF(ISERR(AVERAGE($M$125:$O$125)),0,AVERAGE($M$125:$O$125))</f>
        <v>0</v>
      </c>
      <c r="Q125" s="222">
        <f>IF(ISERR(AVERAGE($N$125:$P$125)),0,AVERAGE($N$125:$P$125))</f>
        <v>0</v>
      </c>
      <c r="R125" s="222">
        <f>IF(ISERR(AVERAGE($O$125:$Q$125)),0,AVERAGE($O$125:$Q$125))</f>
        <v>0</v>
      </c>
      <c r="S125" s="222">
        <f t="shared" ref="S125:T125" si="58">IF(ISERR(AVERAGE($O$125:$Q$125)),0,AVERAGE($O$125:$Q$125))</f>
        <v>0</v>
      </c>
      <c r="T125" s="222">
        <f t="shared" si="58"/>
        <v>0</v>
      </c>
    </row>
    <row r="126" spans="1:20">
      <c r="B126" s="26" t="s">
        <v>865</v>
      </c>
      <c r="C126" s="26" t="s">
        <v>746</v>
      </c>
      <c r="D126" s="81"/>
      <c r="E126" s="81"/>
      <c r="F126" s="81"/>
      <c r="G126" s="81"/>
      <c r="H126" s="119"/>
      <c r="I126" s="222">
        <f>IF(ISERR(AVERAGE($F$126:$H$126)),0,AVERAGE($F$126:$H$126))</f>
        <v>0</v>
      </c>
      <c r="J126" s="222">
        <f>IF(ISERR(AVERAGE($G$126:$I$126)),0,AVERAGE($G$126:$I$126))</f>
        <v>0</v>
      </c>
      <c r="K126" s="222">
        <f>IF(ISERR(AVERAGE($H$126:$J$126)),0,AVERAGE($H$126:$J$126))</f>
        <v>0</v>
      </c>
      <c r="L126" s="222">
        <f>IF(ISERR(AVERAGE($I$126:$K$126)),0,AVERAGE($I$126:$K$126))</f>
        <v>0</v>
      </c>
      <c r="M126" s="222">
        <f>IF(ISERR(AVERAGE($J$126:$L$126)),0,AVERAGE($J$126:$L$126))</f>
        <v>0</v>
      </c>
      <c r="N126" s="222">
        <f>IF(ISERR(AVERAGE($K$126:$M$126)),0,AVERAGE($K$126:$M$126))</f>
        <v>0</v>
      </c>
      <c r="O126" s="222">
        <f>IF(ISERR(AVERAGE($L$126:$N$126)),0,AVERAGE($L$126:$N$126))</f>
        <v>0</v>
      </c>
      <c r="P126" s="222">
        <f>IF(ISERR(AVERAGE($M$126:$O$126)),0,AVERAGE($M$126:$O$126))</f>
        <v>0</v>
      </c>
      <c r="Q126" s="222">
        <f>IF(ISERR(AVERAGE($N$126:$P$126)),0,AVERAGE($N$126:$P$126))</f>
        <v>0</v>
      </c>
      <c r="R126" s="222">
        <f>IF(ISERR(AVERAGE($O$126:$Q$126)),0,AVERAGE($O$126:$Q$126))</f>
        <v>0</v>
      </c>
      <c r="S126" s="222">
        <f t="shared" ref="S126:T126" si="59">IF(ISERR(AVERAGE($O$126:$Q$126)),0,AVERAGE($O$126:$Q$126))</f>
        <v>0</v>
      </c>
      <c r="T126" s="222">
        <f t="shared" si="59"/>
        <v>0</v>
      </c>
    </row>
    <row r="127" spans="1:20">
      <c r="B127" s="26" t="s">
        <v>866</v>
      </c>
      <c r="C127" s="26" t="s">
        <v>746</v>
      </c>
      <c r="D127" s="81"/>
      <c r="E127" s="81"/>
      <c r="F127" s="81"/>
      <c r="G127" s="81"/>
      <c r="H127" s="119"/>
      <c r="I127" s="222">
        <f>IF(ISERR(AVERAGE($F$127:$H$127)),0,AVERAGE($F$127:$H$127))</f>
        <v>0</v>
      </c>
      <c r="J127" s="222">
        <f>IF(ISERR(AVERAGE($G$127:$I$127)),0,AVERAGE($G$127:$I$127))</f>
        <v>0</v>
      </c>
      <c r="K127" s="222">
        <f>IF(ISERR(AVERAGE($H$127:$J$127)),0,AVERAGE($H$127:$J$127))</f>
        <v>0</v>
      </c>
      <c r="L127" s="222">
        <f>IF(ISERR(AVERAGE($I$127:$K$127)),0,AVERAGE($I$127:$K$127))</f>
        <v>0</v>
      </c>
      <c r="M127" s="222">
        <f>IF(ISERR(AVERAGE($J$127:$L$127)),0,AVERAGE($J$127:$L$127))</f>
        <v>0</v>
      </c>
      <c r="N127" s="222">
        <f>IF(ISERR(AVERAGE($K$127:$M$127)),0,AVERAGE($K$127:$M$127))</f>
        <v>0</v>
      </c>
      <c r="O127" s="222">
        <f>IF(ISERR(AVERAGE($L$127:$N$127)),0,AVERAGE($L$127:$N$127))</f>
        <v>0</v>
      </c>
      <c r="P127" s="222">
        <f>IF(ISERR(AVERAGE($M$127:$O$127)),0,AVERAGE($M$127:$O$127))</f>
        <v>0</v>
      </c>
      <c r="Q127" s="222">
        <f>IF(ISERR(AVERAGE($N$127:$P$127)),0,AVERAGE($N$127:$P$127))</f>
        <v>0</v>
      </c>
      <c r="R127" s="222">
        <f>IF(ISERR(AVERAGE($O$127:$Q$127)),0,AVERAGE($O$127:$Q$127))</f>
        <v>0</v>
      </c>
      <c r="S127" s="222">
        <f t="shared" ref="S127:T127" si="60">IF(ISERR(AVERAGE($O$127:$Q$127)),0,AVERAGE($O$127:$Q$127))</f>
        <v>0</v>
      </c>
      <c r="T127" s="222">
        <f t="shared" si="60"/>
        <v>0</v>
      </c>
    </row>
    <row r="128" spans="1:20">
      <c r="B128" s="26" t="s">
        <v>867</v>
      </c>
      <c r="D128" s="227">
        <f>历史数据及预测表!D51/历史数据及预测表!D107</f>
        <v>0</v>
      </c>
      <c r="E128" s="227">
        <f>历史数据及预测表!E51/历史数据及预测表!E107</f>
        <v>0</v>
      </c>
      <c r="F128" s="227">
        <f>历史数据及预测表!F51/历史数据及预测表!F107</f>
        <v>0</v>
      </c>
      <c r="G128" s="227">
        <f>历史数据及预测表!G51/历史数据及预测表!G107</f>
        <v>0</v>
      </c>
      <c r="H128" s="227">
        <f>历史数据及预测表!H51/历史数据及预测表!H107</f>
        <v>0</v>
      </c>
      <c r="I128" s="232"/>
      <c r="J128" s="232"/>
      <c r="K128" s="232"/>
      <c r="L128" s="232"/>
      <c r="M128" s="232"/>
      <c r="N128" s="232"/>
      <c r="O128" s="232"/>
      <c r="P128" s="232"/>
      <c r="Q128" s="232"/>
      <c r="R128" s="232"/>
      <c r="S128" s="232"/>
      <c r="T128" s="232"/>
    </row>
    <row r="130" spans="1:20" ht="14.65">
      <c r="A130" s="187" t="s">
        <v>868</v>
      </c>
    </row>
    <row r="131" spans="1:20">
      <c r="B131" s="26" t="s">
        <v>869</v>
      </c>
      <c r="C131" s="26" t="s">
        <v>746</v>
      </c>
      <c r="D131" s="81"/>
      <c r="E131" s="81"/>
      <c r="F131" s="81"/>
      <c r="G131" s="81"/>
      <c r="H131" s="119"/>
      <c r="I131" s="222">
        <f>IF(ISERR(AVERAGE($F$131:$H$131)),0,AVERAGE($F$131:$H$131))</f>
        <v>0</v>
      </c>
      <c r="J131" s="222">
        <f>IF(ISERR(AVERAGE($G$131:$I$131)),0,AVERAGE($G$131:$I$131))</f>
        <v>0</v>
      </c>
      <c r="K131" s="222">
        <f>IF(ISERR(AVERAGE($H$131:$J$131)),0,AVERAGE($H$131:$J$131))</f>
        <v>0</v>
      </c>
      <c r="L131" s="222">
        <f>IF(ISERR(AVERAGE($I$131:$K$131)),0,AVERAGE($I$131:$K$131))</f>
        <v>0</v>
      </c>
      <c r="M131" s="222">
        <f>IF(ISERR(AVERAGE($J$131:$L$131)),0,AVERAGE($J$131:$L$131))</f>
        <v>0</v>
      </c>
      <c r="N131" s="222">
        <f>IF(ISERR(AVERAGE($K$131:$M$131)),0,AVERAGE($K$131:$M$131))</f>
        <v>0</v>
      </c>
      <c r="O131" s="222">
        <f>IF(ISERR(AVERAGE($L$131:$N$131)),0,AVERAGE($L$131:$N$131))</f>
        <v>0</v>
      </c>
      <c r="P131" s="222">
        <f>IF(ISERR(AVERAGE($M$131:$O$131)),0,AVERAGE($M$131:$O$131))</f>
        <v>0</v>
      </c>
      <c r="Q131" s="222">
        <f>IF(ISERR(AVERAGE($N$131:$P$131)),0,AVERAGE($N$131:$P$131))</f>
        <v>0</v>
      </c>
      <c r="R131" s="222">
        <f>IF(ISERR(AVERAGE($O$131:$Q$131)),0,AVERAGE($O$131:$Q$131))</f>
        <v>0</v>
      </c>
      <c r="S131" s="222">
        <f t="shared" ref="S131:T131" si="61">IF(ISERR(AVERAGE($O$131:$Q$131)),0,AVERAGE($O$131:$Q$131))</f>
        <v>0</v>
      </c>
      <c r="T131" s="222">
        <f t="shared" si="61"/>
        <v>0</v>
      </c>
    </row>
    <row r="132" spans="1:20">
      <c r="B132" s="26" t="s">
        <v>870</v>
      </c>
      <c r="C132" s="26" t="s">
        <v>746</v>
      </c>
      <c r="D132" s="81"/>
      <c r="E132" s="81"/>
      <c r="F132" s="81"/>
      <c r="G132" s="81"/>
      <c r="H132" s="119"/>
      <c r="I132" s="222">
        <f>IF(ISERR(AVERAGE($F$132:$H$132)),0,AVERAGE($F$132:$H$132))</f>
        <v>0</v>
      </c>
      <c r="J132" s="222">
        <f>IF(ISERR(AVERAGE($G$132:$I$132)),0,AVERAGE($G$132:$I$132))</f>
        <v>0</v>
      </c>
      <c r="K132" s="222">
        <f>IF(ISERR(AVERAGE($H$132:$J$132)),0,AVERAGE($H$132:$J$132))</f>
        <v>0</v>
      </c>
      <c r="L132" s="222">
        <f>IF(ISERR(AVERAGE($I$132:$K$132)),0,AVERAGE($I$132:$K$132))</f>
        <v>0</v>
      </c>
      <c r="M132" s="222">
        <f>IF(ISERR(AVERAGE($J$132:$L$132)),0,AVERAGE($J$132:$L$132))</f>
        <v>0</v>
      </c>
      <c r="N132" s="222">
        <f>IF(ISERR(AVERAGE($K$132:$M$132)),0,AVERAGE($K$132:$M$132))</f>
        <v>0</v>
      </c>
      <c r="O132" s="222">
        <f>IF(ISERR(AVERAGE($L$132:$N$132)),0,AVERAGE($L$132:$N$132))</f>
        <v>0</v>
      </c>
      <c r="P132" s="222">
        <f>IF(ISERR(AVERAGE($M$132:$O$132)),0,AVERAGE($M$132:$O$132))</f>
        <v>0</v>
      </c>
      <c r="Q132" s="222">
        <f>IF(ISERR(AVERAGE($N$132:$P$132)),0,AVERAGE($N$132:$P$132))</f>
        <v>0</v>
      </c>
      <c r="R132" s="222">
        <f>IF(ISERR(AVERAGE($O$132:$Q$132)),0,AVERAGE($O$132:$Q$132))</f>
        <v>0</v>
      </c>
      <c r="S132" s="222">
        <f t="shared" ref="S132:T132" si="62">IF(ISERR(AVERAGE($O$132:$Q$132)),0,AVERAGE($O$132:$Q$132))</f>
        <v>0</v>
      </c>
      <c r="T132" s="222">
        <f t="shared" si="62"/>
        <v>0</v>
      </c>
    </row>
    <row r="133" spans="1:20">
      <c r="B133" s="26" t="s">
        <v>871</v>
      </c>
      <c r="C133" s="26" t="s">
        <v>746</v>
      </c>
      <c r="D133" s="83"/>
      <c r="E133" s="83"/>
      <c r="F133" s="83"/>
      <c r="G133" s="83"/>
      <c r="H133" s="224"/>
      <c r="I133" s="222">
        <f>IF(ISERR(AVERAGE($F$133:$H$133)),0,AVERAGE($F$133:$H$133))</f>
        <v>0</v>
      </c>
      <c r="J133" s="222">
        <f>IF(ISERR(AVERAGE($G$133:$I$133)),0,AVERAGE($G$133:$I$133))</f>
        <v>0</v>
      </c>
      <c r="K133" s="222">
        <f>IF(ISERR(AVERAGE($H$133:$J$133)),0,AVERAGE($H$133:$J$133))</f>
        <v>0</v>
      </c>
      <c r="L133" s="222">
        <f>IF(ISERR(AVERAGE($I$133:$K$133)),0,AVERAGE($I$133:$K$133))</f>
        <v>0</v>
      </c>
      <c r="M133" s="222">
        <f>IF(ISERR(AVERAGE($J$133:$L$133)),0,AVERAGE($J$133:$L$133))</f>
        <v>0</v>
      </c>
      <c r="N133" s="222">
        <f>IF(ISERR(AVERAGE($K$133:$M$133)),0,AVERAGE($K$133:$M$133))</f>
        <v>0</v>
      </c>
      <c r="O133" s="222">
        <f>IF(ISERR(AVERAGE($L$133:$N$133)),0,AVERAGE($L$133:$N$133))</f>
        <v>0</v>
      </c>
      <c r="P133" s="222">
        <f>IF(ISERR(AVERAGE($M$133:$O$133)),0,AVERAGE($M$133:$O$133))</f>
        <v>0</v>
      </c>
      <c r="Q133" s="222">
        <f>IF(ISERR(AVERAGE($N$133:$P$133)),0,AVERAGE($N$133:$P$133))</f>
        <v>0</v>
      </c>
      <c r="R133" s="222">
        <f>IF(ISERR(AVERAGE($O$133:$Q$133)),0,AVERAGE($O$133:$Q$133))</f>
        <v>0</v>
      </c>
      <c r="S133" s="222">
        <f t="shared" ref="S133:T133" si="63">IF(ISERR(AVERAGE($O$133:$Q$133)),0,AVERAGE($O$133:$Q$133))</f>
        <v>0</v>
      </c>
      <c r="T133" s="222">
        <f t="shared" si="63"/>
        <v>0</v>
      </c>
    </row>
    <row r="134" spans="1:20">
      <c r="B134" s="26" t="s">
        <v>872</v>
      </c>
      <c r="C134" s="26" t="s">
        <v>775</v>
      </c>
      <c r="D134" s="81"/>
      <c r="E134" s="218">
        <f>历史数据及预测表!E85-历史数据及预测表!D85</f>
        <v>0</v>
      </c>
      <c r="F134" s="218">
        <f>历史数据及预测表!F85-历史数据及预测表!E85</f>
        <v>0</v>
      </c>
      <c r="G134" s="218">
        <f>历史数据及预测表!G85-历史数据及预测表!F85</f>
        <v>0</v>
      </c>
      <c r="H134" s="122">
        <f>历史数据及预测表!H85-历史数据及预测表!G85</f>
        <v>0</v>
      </c>
      <c r="I134" s="222">
        <v>0</v>
      </c>
      <c r="J134" s="222">
        <v>0</v>
      </c>
      <c r="K134" s="222">
        <v>0</v>
      </c>
      <c r="L134" s="222">
        <v>0</v>
      </c>
      <c r="M134" s="222">
        <v>0</v>
      </c>
      <c r="N134" s="222">
        <v>0</v>
      </c>
      <c r="O134" s="222">
        <v>0</v>
      </c>
      <c r="P134" s="222">
        <v>0</v>
      </c>
      <c r="Q134" s="222">
        <v>0</v>
      </c>
      <c r="R134" s="222">
        <v>0</v>
      </c>
      <c r="S134" s="222"/>
      <c r="T134" s="222"/>
    </row>
    <row r="135" spans="1:20">
      <c r="B135" s="26" t="s">
        <v>873</v>
      </c>
      <c r="C135" s="26" t="s">
        <v>746</v>
      </c>
      <c r="D135" s="81"/>
      <c r="E135" s="81"/>
      <c r="F135" s="81"/>
      <c r="G135" s="81"/>
      <c r="H135" s="119"/>
      <c r="I135" s="222">
        <f>IF(ISERR(AVERAGE($F$135:$H$135)),0,AVERAGE($F$135:$H$135))</f>
        <v>0</v>
      </c>
      <c r="J135" s="222">
        <f>IF(ISERR(AVERAGE($G$135:$I$135)),0,AVERAGE($G$135:$I$135))</f>
        <v>0</v>
      </c>
      <c r="K135" s="222">
        <f>IF(ISERR(AVERAGE($H$135:$J$135)),0,AVERAGE($H$135:$J$135))</f>
        <v>0</v>
      </c>
      <c r="L135" s="222">
        <f>IF(ISERR(AVERAGE($I$135:$K$135)),0,AVERAGE($I$135:$K$135))</f>
        <v>0</v>
      </c>
      <c r="M135" s="222">
        <f>IF(ISERR(AVERAGE($J$135:$L$135)),0,AVERAGE($J$135:$L$135))</f>
        <v>0</v>
      </c>
      <c r="N135" s="222">
        <f>IF(ISERR(AVERAGE($K$135:$M$135)),0,AVERAGE($K$135:$M$135))</f>
        <v>0</v>
      </c>
      <c r="O135" s="222">
        <f>IF(ISERR(AVERAGE($L$135:$N$135)),0,AVERAGE($L$135:$N$135))</f>
        <v>0</v>
      </c>
      <c r="P135" s="222">
        <f>IF(ISERR(AVERAGE($M$135:$O$135)),0,AVERAGE($M$135:$O$135))</f>
        <v>0</v>
      </c>
      <c r="Q135" s="222">
        <f>IF(ISERR(AVERAGE($N$135:$P$135)),0,AVERAGE($N$135:$P$135))</f>
        <v>0</v>
      </c>
      <c r="R135" s="222">
        <f>IF(ISERR(AVERAGE($O$135:$Q$135)),0,AVERAGE($O$135:$Q$135))</f>
        <v>0</v>
      </c>
      <c r="S135" s="222"/>
      <c r="T135" s="222"/>
    </row>
    <row r="136" spans="1:20">
      <c r="B136" s="26" t="s">
        <v>874</v>
      </c>
      <c r="C136" s="26" t="s">
        <v>775</v>
      </c>
      <c r="D136" s="81"/>
      <c r="E136" s="81"/>
      <c r="F136" s="81"/>
      <c r="G136" s="81"/>
      <c r="H136" s="119"/>
      <c r="I136" s="222">
        <v>0</v>
      </c>
      <c r="J136" s="222">
        <v>0</v>
      </c>
      <c r="K136" s="222">
        <v>0</v>
      </c>
      <c r="L136" s="222">
        <v>0</v>
      </c>
      <c r="M136" s="222">
        <v>0</v>
      </c>
      <c r="N136" s="222">
        <v>0</v>
      </c>
      <c r="O136" s="222">
        <v>0</v>
      </c>
      <c r="P136" s="222">
        <v>0</v>
      </c>
      <c r="Q136" s="222">
        <v>0</v>
      </c>
      <c r="R136" s="222">
        <v>0</v>
      </c>
      <c r="S136" s="222"/>
      <c r="T136" s="222"/>
    </row>
    <row r="137" spans="1:20">
      <c r="B137" s="26" t="s">
        <v>875</v>
      </c>
      <c r="C137" s="26" t="s">
        <v>746</v>
      </c>
      <c r="D137" s="81"/>
      <c r="E137" s="81"/>
      <c r="F137" s="81"/>
      <c r="G137" s="81"/>
      <c r="H137" s="119"/>
      <c r="I137" s="222">
        <f>IF(ISERR(AVERAGE($F$137:$H$137)),0,AVERAGE($F$137:$H$137))</f>
        <v>0</v>
      </c>
      <c r="J137" s="222">
        <f>IF(ISERR(AVERAGE($G$137:$I$137)),0,AVERAGE($G$137:$I$137))</f>
        <v>0</v>
      </c>
      <c r="K137" s="222">
        <f>IF(ISERR(AVERAGE($H$137:$J$137)),0,AVERAGE($H$137:$J$137))</f>
        <v>0</v>
      </c>
      <c r="L137" s="222">
        <f>IF(ISERR(AVERAGE($I$137:$K$137)),0,AVERAGE($I$137:$K$137))</f>
        <v>0</v>
      </c>
      <c r="M137" s="222">
        <f>IF(ISERR(AVERAGE($J$137:$L$137)),0,AVERAGE($J$137:$L$137))</f>
        <v>0</v>
      </c>
      <c r="N137" s="222">
        <f>IF(ISERR(AVERAGE($K$137:$M$137)),0,AVERAGE($K$137:$M$137))</f>
        <v>0</v>
      </c>
      <c r="O137" s="222">
        <f>IF(ISERR(AVERAGE($L$137:$N$137)),0,AVERAGE($L$137:$N$137))</f>
        <v>0</v>
      </c>
      <c r="P137" s="222">
        <f>IF(ISERR(AVERAGE($M$137:$O$137)),0,AVERAGE($M$137:$O$137))</f>
        <v>0</v>
      </c>
      <c r="Q137" s="222">
        <f>IF(ISERR(AVERAGE($N$137:$P$137)),0,AVERAGE($N$137:$P$137))</f>
        <v>0</v>
      </c>
      <c r="R137" s="222">
        <f>IF(ISERR(AVERAGE($O$137:$Q$137)),0,AVERAGE($O$137:$Q$137))</f>
        <v>0</v>
      </c>
      <c r="S137" s="222">
        <f t="shared" ref="S137:T137" si="64">IF(ISERR(AVERAGE($O$137:$Q$137)),0,AVERAGE($O$137:$Q$137))</f>
        <v>0</v>
      </c>
      <c r="T137" s="222">
        <f t="shared" si="64"/>
        <v>0</v>
      </c>
    </row>
    <row r="138" spans="1:20">
      <c r="B138" s="26" t="s">
        <v>876</v>
      </c>
      <c r="C138" s="26" t="s">
        <v>775</v>
      </c>
      <c r="D138" s="81"/>
      <c r="E138" s="218">
        <f>历史数据及预测表!E87-历史数据及预测表!D87</f>
        <v>0</v>
      </c>
      <c r="F138" s="218">
        <f>历史数据及预测表!F87-历史数据及预测表!E87</f>
        <v>0</v>
      </c>
      <c r="G138" s="218">
        <f>历史数据及预测表!G87-历史数据及预测表!F87</f>
        <v>0</v>
      </c>
      <c r="H138" s="122">
        <f>历史数据及预测表!H87-历史数据及预测表!G87</f>
        <v>0</v>
      </c>
      <c r="I138" s="222">
        <v>0</v>
      </c>
      <c r="J138" s="222">
        <v>0</v>
      </c>
      <c r="K138" s="222">
        <v>0</v>
      </c>
      <c r="L138" s="222">
        <v>0</v>
      </c>
      <c r="M138" s="222">
        <v>0</v>
      </c>
      <c r="N138" s="222">
        <v>0</v>
      </c>
      <c r="O138" s="222">
        <v>0</v>
      </c>
      <c r="P138" s="222">
        <v>0</v>
      </c>
      <c r="Q138" s="222">
        <v>0</v>
      </c>
      <c r="R138" s="222">
        <v>0</v>
      </c>
      <c r="S138" s="222">
        <v>0</v>
      </c>
      <c r="T138" s="222">
        <v>0</v>
      </c>
    </row>
    <row r="139" spans="1:20">
      <c r="B139" s="26" t="s">
        <v>877</v>
      </c>
      <c r="C139" s="26" t="s">
        <v>775</v>
      </c>
      <c r="D139" s="81"/>
      <c r="E139" s="218">
        <f>历史数据及预测表!E89-历史数据及预测表!D89</f>
        <v>0</v>
      </c>
      <c r="F139" s="218">
        <f>历史数据及预测表!F89-历史数据及预测表!E89</f>
        <v>0</v>
      </c>
      <c r="G139" s="218">
        <f>历史数据及预测表!G89-历史数据及预测表!F89</f>
        <v>0</v>
      </c>
      <c r="H139" s="122">
        <f>历史数据及预测表!H89-历史数据及预测表!G89</f>
        <v>0</v>
      </c>
      <c r="I139" s="222">
        <v>0</v>
      </c>
      <c r="J139" s="222">
        <v>0</v>
      </c>
      <c r="K139" s="222">
        <v>0</v>
      </c>
      <c r="L139" s="222">
        <v>0</v>
      </c>
      <c r="M139" s="222">
        <v>0</v>
      </c>
      <c r="N139" s="222">
        <v>0</v>
      </c>
      <c r="O139" s="222">
        <v>0</v>
      </c>
      <c r="P139" s="222">
        <v>0</v>
      </c>
      <c r="Q139" s="222">
        <v>0</v>
      </c>
      <c r="R139" s="222">
        <v>0</v>
      </c>
      <c r="S139" s="222">
        <v>0</v>
      </c>
      <c r="T139" s="222">
        <v>0</v>
      </c>
    </row>
    <row r="140" spans="1:20">
      <c r="B140" s="26" t="s">
        <v>878</v>
      </c>
      <c r="C140" s="26" t="s">
        <v>746</v>
      </c>
      <c r="D140" s="218">
        <f>历史数据及预测表!D94</f>
        <v>0</v>
      </c>
      <c r="E140" s="218">
        <f>历史数据及预测表!E94</f>
        <v>0</v>
      </c>
      <c r="F140" s="218">
        <f>历史数据及预测表!F94</f>
        <v>0</v>
      </c>
      <c r="G140" s="218">
        <f>历史数据及预测表!G94</f>
        <v>0</v>
      </c>
      <c r="H140" s="122">
        <f>历史数据及预测表!H94</f>
        <v>0</v>
      </c>
      <c r="I140" s="222">
        <f>IF(ISERR(AVERAGE($F$140:$H$140)),0,AVERAGE($F$140:$H$140))</f>
        <v>0</v>
      </c>
      <c r="J140" s="222">
        <f>IF(ISERR(AVERAGE($G$140:$I$140)),0,AVERAGE($G$140:$I$140))</f>
        <v>0</v>
      </c>
      <c r="K140" s="222">
        <f>IF(ISERR(AVERAGE($H$140:$J$140)),0,AVERAGE($H$140:$J$140))</f>
        <v>0</v>
      </c>
      <c r="L140" s="222">
        <f>IF(ISERR(AVERAGE($I$140:$K$140)),0,AVERAGE($I$140:$K$140))</f>
        <v>0</v>
      </c>
      <c r="M140" s="222">
        <f>IF(ISERR(AVERAGE($J$140:$L$140)),0,AVERAGE($J$140:$L$140))</f>
        <v>0</v>
      </c>
      <c r="N140" s="222">
        <f>IF(ISERR(AVERAGE($K$140:$M$140)),0,AVERAGE($K$140:$M$140))</f>
        <v>0</v>
      </c>
      <c r="O140" s="222">
        <f>IF(ISERR(AVERAGE($L$140:$N$140)),0,AVERAGE($L$140:$N$140))</f>
        <v>0</v>
      </c>
      <c r="P140" s="222">
        <f>IF(ISERR(AVERAGE($M$140:$O$140)),0,AVERAGE($M$140:$O$140))</f>
        <v>0</v>
      </c>
      <c r="Q140" s="222">
        <f>IF(ISERR(AVERAGE($N$140:$P$140)),0,AVERAGE($N$140:$P$140))</f>
        <v>0</v>
      </c>
      <c r="R140" s="222">
        <f>IF(ISERR(AVERAGE($O$140:$Q$140)),0,AVERAGE($O$140:$Q$140))</f>
        <v>0</v>
      </c>
      <c r="S140" s="222">
        <f t="shared" ref="S140:T140" si="65">IF(ISERR(AVERAGE($O$140:$Q$140)),0,AVERAGE($O$140:$Q$140))</f>
        <v>0</v>
      </c>
      <c r="T140" s="222">
        <f t="shared" si="65"/>
        <v>0</v>
      </c>
    </row>
    <row r="141" spans="1:20">
      <c r="B141" s="26" t="s">
        <v>763</v>
      </c>
      <c r="C141" s="26" t="s">
        <v>746</v>
      </c>
      <c r="D141" s="218">
        <f>历史数据及预测表!D95</f>
        <v>0</v>
      </c>
      <c r="E141" s="218">
        <f>历史数据及预测表!E95</f>
        <v>0</v>
      </c>
      <c r="F141" s="218">
        <f>历史数据及预测表!F95</f>
        <v>0</v>
      </c>
      <c r="G141" s="218">
        <f>历史数据及预测表!G95</f>
        <v>0</v>
      </c>
      <c r="H141" s="122">
        <f>历史数据及预测表!H95</f>
        <v>0</v>
      </c>
      <c r="I141" s="222">
        <f>IF(ISERR(AVERAGE($F$141:$H$141)),0,AVERAGE($F$141:$H$141))</f>
        <v>0</v>
      </c>
      <c r="J141" s="222">
        <f>IF(ISERR(AVERAGE($G$141:$I$141)),0,AVERAGE($G$141:$I$141))</f>
        <v>0</v>
      </c>
      <c r="K141" s="222">
        <f>IF(ISERR(AVERAGE($H$141:$J$141)),0,AVERAGE($H$141:$J$141))</f>
        <v>0</v>
      </c>
      <c r="L141" s="222">
        <f>IF(ISERR(AVERAGE($I$141:$K$141)),0,AVERAGE($I$141:$K$141))</f>
        <v>0</v>
      </c>
      <c r="M141" s="222">
        <f>IF(ISERR(AVERAGE($J$141:$L$141)),0,AVERAGE($J$141:$L$141))</f>
        <v>0</v>
      </c>
      <c r="N141" s="222">
        <f>IF(ISERR(AVERAGE($K$141:$M$141)),0,AVERAGE($K$141:$M$141))</f>
        <v>0</v>
      </c>
      <c r="O141" s="222">
        <f>IF(ISERR(AVERAGE($L$141:$N$141)),0,AVERAGE($L$141:$N$141))</f>
        <v>0</v>
      </c>
      <c r="P141" s="222">
        <f>IF(ISERR(AVERAGE($M$141:$O$141)),0,AVERAGE($M$141:$O$141))</f>
        <v>0</v>
      </c>
      <c r="Q141" s="222">
        <f>IF(ISERR(AVERAGE($N$141:$P$141)),0,AVERAGE($N$141:$P$141))</f>
        <v>0</v>
      </c>
      <c r="R141" s="222">
        <f>IF(ISERR(AVERAGE($O$141:$Q$141)),0,AVERAGE($O$141:$Q$141))</f>
        <v>0</v>
      </c>
      <c r="S141" s="222">
        <f t="shared" ref="S141:T141" si="66">IF(ISERR(AVERAGE($O$141:$Q$141)),0,AVERAGE($O$141:$Q$141))</f>
        <v>0</v>
      </c>
      <c r="T141" s="222">
        <f t="shared" si="66"/>
        <v>0</v>
      </c>
    </row>
    <row r="142" spans="1:20">
      <c r="B142" s="26" t="s">
        <v>879</v>
      </c>
      <c r="C142" s="26" t="s">
        <v>746</v>
      </c>
      <c r="D142" s="81"/>
      <c r="E142" s="81"/>
      <c r="F142" s="81"/>
      <c r="G142" s="81"/>
      <c r="H142" s="119"/>
      <c r="I142" s="222">
        <f>IF(ISERR(AVERAGE($F$142:$H$142)),0,AVERAGE($F$142:$H$142))</f>
        <v>0</v>
      </c>
      <c r="J142" s="222">
        <f>IF(ISERR(AVERAGE($G$142:$I$142)),0,AVERAGE($G$142:$I$142))</f>
        <v>0</v>
      </c>
      <c r="K142" s="222">
        <f>IF(ISERR(AVERAGE($H$142:$J$142)),0,AVERAGE($H$142:$J$142))</f>
        <v>0</v>
      </c>
      <c r="L142" s="222">
        <f>IF(ISERR(AVERAGE($I$142:$K$142)),0,AVERAGE($I$142:$K$142))</f>
        <v>0</v>
      </c>
      <c r="M142" s="222">
        <f>IF(ISERR(AVERAGE($J$142:$L$142)),0,AVERAGE($J$142:$L$142))</f>
        <v>0</v>
      </c>
      <c r="N142" s="222">
        <f>IF(ISERR(AVERAGE($K$142:$M$142)),0,AVERAGE($K$142:$M$142))</f>
        <v>0</v>
      </c>
      <c r="O142" s="222">
        <f>IF(ISERR(AVERAGE($L$142:$N$142)),0,AVERAGE($L$142:$N$142))</f>
        <v>0</v>
      </c>
      <c r="P142" s="222">
        <f>IF(ISERR(AVERAGE($M$142:$O$142)),0,AVERAGE($M$142:$O$142))</f>
        <v>0</v>
      </c>
      <c r="Q142" s="222">
        <f>IF(ISERR(AVERAGE($N$142:$P$142)),0,AVERAGE($N$142:$P$142))</f>
        <v>0</v>
      </c>
      <c r="R142" s="222">
        <f>IF(ISERR(AVERAGE($O$142:$Q$142)),0,AVERAGE($O$142:$Q$142))</f>
        <v>0</v>
      </c>
      <c r="S142" s="222">
        <f t="shared" ref="S142:T142" si="67">IF(ISERR(AVERAGE($O$142:$Q$142)),0,AVERAGE($O$142:$Q$142))</f>
        <v>0</v>
      </c>
      <c r="T142" s="222">
        <f t="shared" si="67"/>
        <v>0</v>
      </c>
    </row>
    <row r="143" spans="1:20">
      <c r="B143" s="26" t="s">
        <v>880</v>
      </c>
      <c r="C143" s="26" t="s">
        <v>746</v>
      </c>
      <c r="D143" s="81"/>
      <c r="E143" s="81"/>
      <c r="F143" s="81"/>
      <c r="G143" s="81"/>
      <c r="H143" s="119"/>
      <c r="I143" s="222">
        <f>IF(ISERR(AVERAGE($F$143:$H$143)),0,AVERAGE($F$143:$H$143))</f>
        <v>0</v>
      </c>
      <c r="J143" s="222">
        <f>IF(ISERR(AVERAGE($G$143:$I$143)),0,AVERAGE($G$143:$I$143))</f>
        <v>0</v>
      </c>
      <c r="K143" s="222">
        <f>IF(ISERR(AVERAGE($H$143:$J$143)),0,AVERAGE($H$143:$J$143))</f>
        <v>0</v>
      </c>
      <c r="L143" s="222">
        <f>IF(ISERR(AVERAGE($I$143:$K$143)),0,AVERAGE($I$143:$K$143))</f>
        <v>0</v>
      </c>
      <c r="M143" s="222">
        <f>IF(ISERR(AVERAGE($J$143:$L$143)),0,AVERAGE($J$143:$L$143))</f>
        <v>0</v>
      </c>
      <c r="N143" s="222">
        <f>IF(ISERR(AVERAGE($K$143:$M$143)),0,AVERAGE($K$143:$M$143))</f>
        <v>0</v>
      </c>
      <c r="O143" s="222">
        <f>IF(ISERR(AVERAGE($L$143:$N$143)),0,AVERAGE($L$143:$N$143))</f>
        <v>0</v>
      </c>
      <c r="P143" s="222">
        <f>IF(ISERR(AVERAGE($M$143:$O$143)),0,AVERAGE($M$143:$O$143))</f>
        <v>0</v>
      </c>
      <c r="Q143" s="222">
        <f>IF(ISERR(AVERAGE($N$143:$P$143)),0,AVERAGE($N$143:$P$143))</f>
        <v>0</v>
      </c>
      <c r="R143" s="222">
        <f>IF(ISERR(AVERAGE($O$143:$Q$143)),0,AVERAGE($O$143:$Q$143))</f>
        <v>0</v>
      </c>
      <c r="S143" s="222">
        <f t="shared" ref="S143:T143" si="68">IF(ISERR(AVERAGE($O$143:$Q$143)),0,AVERAGE($O$143:$Q$143))</f>
        <v>0</v>
      </c>
      <c r="T143" s="222">
        <f t="shared" si="68"/>
        <v>0</v>
      </c>
    </row>
    <row r="144" spans="1:20">
      <c r="B144" s="26" t="s">
        <v>881</v>
      </c>
      <c r="C144" s="26" t="s">
        <v>746</v>
      </c>
      <c r="D144" s="81"/>
      <c r="E144" s="81"/>
      <c r="F144" s="81"/>
      <c r="G144" s="81"/>
      <c r="H144" s="119"/>
      <c r="I144" s="222">
        <f>IF(ISERR(AVERAGE($F$144:$H$144)),0,AVERAGE($F$144:$H$144))</f>
        <v>0</v>
      </c>
      <c r="J144" s="222">
        <f>IF(ISERR(AVERAGE($G$144:$I$144)),0,AVERAGE($G$144:$I$144))</f>
        <v>0</v>
      </c>
      <c r="K144" s="222">
        <f>IF(ISERR(AVERAGE($H$144:$J$144)),0,AVERAGE($H$144:$J$144))</f>
        <v>0</v>
      </c>
      <c r="L144" s="222">
        <f>IF(ISERR(AVERAGE($I$144:$K$144)),0,AVERAGE($I$144:$K$144))</f>
        <v>0</v>
      </c>
      <c r="M144" s="222">
        <f>IF(ISERR(AVERAGE($J$144:$L$144)),0,AVERAGE($J$144:$L$144))</f>
        <v>0</v>
      </c>
      <c r="N144" s="222">
        <f>IF(ISERR(AVERAGE($K$144:$M$144)),0,AVERAGE($K$144:$M$144))</f>
        <v>0</v>
      </c>
      <c r="O144" s="222">
        <f>IF(ISERR(AVERAGE($L$144:$N$144)),0,AVERAGE($L$144:$N$144))</f>
        <v>0</v>
      </c>
      <c r="P144" s="222">
        <f>IF(ISERR(AVERAGE($M$144:$O$144)),0,AVERAGE($M$144:$O$144))</f>
        <v>0</v>
      </c>
      <c r="Q144" s="222">
        <f>IF(ISERR(AVERAGE($N$144:$P$144)),0,AVERAGE($N$144:$P$144))</f>
        <v>0</v>
      </c>
      <c r="R144" s="222">
        <f>IF(ISERR(AVERAGE($O$144:$Q$144)),0,AVERAGE($O$144:$Q$144))</f>
        <v>0</v>
      </c>
      <c r="S144" s="222">
        <f t="shared" ref="S144:T144" si="69">IF(ISERR(AVERAGE($O$144:$Q$144)),0,AVERAGE($O$144:$Q$144))</f>
        <v>0</v>
      </c>
      <c r="T144" s="222">
        <f t="shared" si="69"/>
        <v>0</v>
      </c>
    </row>
    <row r="145" spans="1:20">
      <c r="B145" s="26" t="s">
        <v>882</v>
      </c>
      <c r="C145" s="26" t="s">
        <v>849</v>
      </c>
      <c r="D145" s="81"/>
      <c r="E145" s="81"/>
      <c r="F145" s="81"/>
      <c r="G145" s="81"/>
      <c r="H145" s="119"/>
      <c r="I145" s="222"/>
      <c r="J145" s="222"/>
      <c r="K145" s="222"/>
      <c r="L145" s="222"/>
      <c r="M145" s="222"/>
      <c r="N145" s="222"/>
      <c r="O145" s="222"/>
      <c r="P145" s="222"/>
      <c r="Q145" s="222"/>
      <c r="R145" s="222"/>
      <c r="S145" s="222"/>
      <c r="T145" s="222"/>
    </row>
    <row r="147" spans="1:20" ht="14.65">
      <c r="A147" s="187" t="s">
        <v>883</v>
      </c>
    </row>
    <row r="148" spans="1:20" ht="14.65">
      <c r="A148" s="187"/>
      <c r="B148" s="26" t="s">
        <v>884</v>
      </c>
      <c r="I148" s="233"/>
    </row>
    <row r="149" spans="1:20">
      <c r="B149" s="26" t="s">
        <v>885</v>
      </c>
      <c r="I149" s="233"/>
    </row>
    <row r="150" spans="1:20">
      <c r="B150" s="26" t="s">
        <v>886</v>
      </c>
      <c r="I150" s="221"/>
    </row>
    <row r="151" spans="1:20">
      <c r="B151" s="26" t="s">
        <v>887</v>
      </c>
      <c r="I151" s="221"/>
    </row>
    <row r="152" spans="1:20">
      <c r="B152" s="26" t="s">
        <v>888</v>
      </c>
      <c r="I152" s="232"/>
    </row>
    <row r="153" spans="1:20">
      <c r="B153" s="26" t="s">
        <v>889</v>
      </c>
      <c r="I153" s="221"/>
    </row>
    <row r="154" spans="1:20">
      <c r="B154" s="26" t="s">
        <v>890</v>
      </c>
      <c r="I154" s="234"/>
    </row>
    <row r="155" spans="1:20">
      <c r="B155" s="26" t="s">
        <v>762</v>
      </c>
      <c r="I155" s="232"/>
    </row>
    <row r="156" spans="1:20">
      <c r="B156" s="26" t="s">
        <v>891</v>
      </c>
      <c r="I156" s="232"/>
    </row>
    <row r="157" spans="1:20">
      <c r="B157" s="26" t="s">
        <v>892</v>
      </c>
      <c r="I157" s="222"/>
      <c r="J157" s="222"/>
      <c r="K157" s="222"/>
      <c r="L157" s="222"/>
      <c r="M157" s="222"/>
      <c r="N157" s="222"/>
      <c r="O157" s="222"/>
      <c r="P157" s="222"/>
      <c r="Q157" s="222"/>
      <c r="R157" s="222"/>
      <c r="S157" s="222"/>
      <c r="T157" s="222"/>
    </row>
    <row r="158" spans="1:20">
      <c r="B158" s="26" t="s">
        <v>893</v>
      </c>
      <c r="I158" s="222"/>
      <c r="J158" s="222"/>
      <c r="K158" s="222"/>
      <c r="L158" s="222"/>
      <c r="M158" s="222"/>
      <c r="N158" s="222"/>
      <c r="O158" s="222"/>
      <c r="P158" s="222"/>
      <c r="Q158" s="222"/>
      <c r="R158" s="222"/>
      <c r="S158" s="222"/>
      <c r="T158" s="222"/>
    </row>
    <row r="159" spans="1:20">
      <c r="B159" s="26" t="s">
        <v>894</v>
      </c>
      <c r="I159" s="222"/>
      <c r="J159" s="222"/>
      <c r="K159" s="222"/>
      <c r="L159" s="222"/>
      <c r="M159" s="222"/>
      <c r="N159" s="222"/>
      <c r="O159" s="222"/>
      <c r="P159" s="222"/>
      <c r="Q159" s="222"/>
      <c r="R159" s="222"/>
      <c r="S159" s="222"/>
      <c r="T159" s="222"/>
    </row>
    <row r="160" spans="1:20">
      <c r="B160" s="26" t="s">
        <v>895</v>
      </c>
      <c r="I160" s="222"/>
      <c r="J160" s="222"/>
      <c r="K160" s="222"/>
      <c r="L160" s="222"/>
      <c r="M160" s="222"/>
      <c r="N160" s="222"/>
      <c r="O160" s="222"/>
      <c r="P160" s="222"/>
      <c r="Q160" s="222"/>
      <c r="R160" s="222"/>
      <c r="S160" s="222"/>
      <c r="T160" s="222"/>
    </row>
    <row r="161" spans="2:20">
      <c r="B161" s="26" t="s">
        <v>896</v>
      </c>
      <c r="I161" s="235">
        <f ca="1">GEOMEAN(历史数据及预测表!J142:L142)</f>
        <v>6.0201563424498099</v>
      </c>
      <c r="J161" s="235">
        <f ca="1">GEOMEAN(历史数据及预测表!K142:M142)</f>
        <v>6.842060728580865</v>
      </c>
      <c r="K161" s="235">
        <f ca="1">GEOMEAN(历史数据及预测表!L142:N142)</f>
        <v>8.1940550055153984</v>
      </c>
      <c r="L161" s="236"/>
      <c r="M161" s="236"/>
      <c r="N161" s="236"/>
      <c r="O161" s="236"/>
      <c r="P161" s="236"/>
      <c r="Q161" s="236"/>
      <c r="R161" s="236"/>
      <c r="S161" s="236"/>
      <c r="T161" s="236"/>
    </row>
    <row r="162" spans="2:20">
      <c r="B162" s="26" t="s">
        <v>897</v>
      </c>
      <c r="I162" s="222"/>
      <c r="J162" s="222"/>
      <c r="K162" s="222"/>
      <c r="L162" s="222"/>
      <c r="M162" s="222"/>
      <c r="N162" s="222"/>
      <c r="O162" s="222"/>
      <c r="P162" s="222"/>
      <c r="Q162" s="222"/>
      <c r="R162" s="222"/>
      <c r="S162" s="222"/>
      <c r="T162" s="222"/>
    </row>
  </sheetData>
  <mergeCells count="2">
    <mergeCell ref="D1:H1"/>
    <mergeCell ref="I1:R1"/>
  </mergeCells>
  <phoneticPr fontId="35" type="noConversion"/>
  <dataValidations count="9">
    <dataValidation type="textLength" errorStyle="warning" operator="greaterThan" showInputMessage="1" showErrorMessage="1" errorTitle="估值假设数据不能为空" error="估值假设数据不能为空" promptTitle="必须输入" sqref="I148:I156" xr:uid="{00000000-0002-0000-0400-000000000000}">
      <formula1>0</formula1>
    </dataValidation>
    <dataValidation type="textLength" errorStyle="warning" operator="greaterThan" showInputMessage="1" showErrorMessage="1" errorTitle="可比PE必须大于0" error="可比PE必须大于0" promptTitle="必须输入" sqref="I157:T157" xr:uid="{00000000-0002-0000-0400-000001000000}">
      <formula1>0</formula1>
    </dataValidation>
    <dataValidation type="textLength" errorStyle="warning" operator="greaterThan" allowBlank="1" showInputMessage="1" showErrorMessage="1" errorTitle="可比PB必须大于0" error="可比PB必须大于0" promptTitle="必须输入" sqref="I158:T158" xr:uid="{00000000-0002-0000-0400-000002000000}">
      <formula1>0</formula1>
    </dataValidation>
    <dataValidation type="textLength" errorStyle="warning" operator="greaterThan" showInputMessage="1" showErrorMessage="1" errorTitle="可比PEG必须大于0" error="可比PEG必须大于0" promptTitle="必须输入" sqref="I160:T160" xr:uid="{00000000-0002-0000-0400-000003000000}">
      <formula1>0</formula1>
    </dataValidation>
    <dataValidation type="textLength" errorStyle="warning" operator="greaterThan" allowBlank="1" showInputMessage="1" showErrorMessage="1" errorTitle="可比PS必须大于0" error="可比PS必须大于0" promptTitle="必须输入" sqref="I159:T159" xr:uid="{00000000-0002-0000-0400-000004000000}">
      <formula1>0</formula1>
    </dataValidation>
    <dataValidation showInputMessage="1" showErrorMessage="1" errorTitle="该值不能为空" error="预测值不能为空" promptTitle="必须输入" sqref="I131:T145 I33:T53 I55:T74 I77:T102 I104:T114 I117:T128 I4:T30" xr:uid="{00000000-0002-0000-0400-000005000000}"/>
    <dataValidation type="textLength" errorStyle="warning" operator="greaterThan" showInputMessage="1" showErrorMessage="1" errorTitle="预测增长率该值不能为空" error="预测值不能为空" promptTitle="必须输入" sqref="I161:T161" xr:uid="{00000000-0002-0000-0400-000006000000}">
      <formula1>0</formula1>
    </dataValidation>
    <dataValidation type="textLength" errorStyle="warning" operator="greaterThan" showInputMessage="1" showErrorMessage="1" errorTitle="可比EV/EBITDA必须大于0" error="可比EV/EBITDA必须大于0" promptTitle="必须输入" sqref="I162:T162" xr:uid="{00000000-0002-0000-0400-000007000000}">
      <formula1>0</formula1>
    </dataValidation>
    <dataValidation type="list" showDropDown="1" showInputMessage="1" showErrorMessage="1" sqref="C4:C30 C33:C53 C55:C74 C77:C102 C104:C114 C117:C128 C131:C145" xr:uid="{00000000-0002-0000-0400-000008000000}">
      <formula1>"前三年平均数据,保持上一年数据,自定义,默认值0"</formula1>
    </dataValidation>
  </dataValidation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370"/>
  <sheetViews>
    <sheetView workbookViewId="0">
      <selection activeCell="G7" sqref="G7"/>
    </sheetView>
  </sheetViews>
  <sheetFormatPr defaultColWidth="9" defaultRowHeight="13.9"/>
  <cols>
    <col min="1" max="1" width="3.59765625" style="26" customWidth="1"/>
    <col min="2" max="2" width="16.265625" style="26" customWidth="1"/>
    <col min="3" max="3" width="12.46484375" style="26" customWidth="1"/>
    <col min="4" max="4" width="13.33203125" style="26" customWidth="1"/>
    <col min="5" max="13" width="12.9296875" style="26" customWidth="1"/>
    <col min="14" max="16" width="13" style="26" customWidth="1"/>
    <col min="17" max="16384" width="9" style="26"/>
  </cols>
  <sheetData>
    <row r="1" spans="1:16" ht="14.65">
      <c r="B1" s="187" t="s">
        <v>898</v>
      </c>
    </row>
    <row r="3" spans="1:16">
      <c r="B3" s="26" t="s">
        <v>899</v>
      </c>
      <c r="C3" s="188">
        <v>1</v>
      </c>
      <c r="E3" s="26" t="b">
        <f>IF(C3=1,NOT(ISBLANK(C10)),OR(NOT(ISBLANK(C31)),NOT(ISBLANK(C50)),NOT(ISBLANK(C69)),NOT(ISBLANK(C88))))</f>
        <v>1</v>
      </c>
    </row>
    <row r="4" spans="1:16">
      <c r="B4" s="26" t="s">
        <v>900</v>
      </c>
      <c r="C4" s="26" t="s">
        <v>901</v>
      </c>
    </row>
    <row r="5" spans="1:16">
      <c r="B5" s="26" t="s">
        <v>902</v>
      </c>
      <c r="C5" s="26" t="s">
        <v>903</v>
      </c>
    </row>
    <row r="7" spans="1:16" ht="14.65">
      <c r="A7" s="189" t="s">
        <v>900</v>
      </c>
      <c r="B7" s="189"/>
      <c r="C7" s="189" t="s">
        <v>904</v>
      </c>
    </row>
    <row r="8" spans="1:16" ht="14.65">
      <c r="B8" s="444" t="s">
        <v>905</v>
      </c>
      <c r="C8" s="445"/>
      <c r="D8" s="118"/>
      <c r="E8" s="118"/>
      <c r="F8" s="118"/>
      <c r="G8" s="118"/>
      <c r="H8" s="118"/>
      <c r="I8" s="118"/>
      <c r="J8" s="118"/>
      <c r="K8" s="118"/>
      <c r="L8" s="118"/>
      <c r="M8" s="118"/>
      <c r="N8" s="118"/>
      <c r="O8" s="118"/>
      <c r="P8" s="125"/>
    </row>
    <row r="9" spans="1:16">
      <c r="B9" s="101" t="s">
        <v>906</v>
      </c>
      <c r="P9" s="131"/>
    </row>
    <row r="10" spans="1:16">
      <c r="B10" s="101" t="s">
        <v>907</v>
      </c>
      <c r="C10" s="188">
        <v>10</v>
      </c>
      <c r="E10" s="26" t="s">
        <v>908</v>
      </c>
      <c r="F10" s="190">
        <v>0.05</v>
      </c>
      <c r="H10" s="26" t="s">
        <v>909</v>
      </c>
      <c r="I10" s="195">
        <f>(1-F10)/C10</f>
        <v>9.5000000000000001E-2</v>
      </c>
      <c r="N10" s="119"/>
      <c r="P10" s="131"/>
    </row>
    <row r="11" spans="1:16">
      <c r="B11" s="101"/>
      <c r="E11" s="85">
        <f>假设表!I2</f>
        <v>2026</v>
      </c>
      <c r="F11" s="85">
        <f>假设表!J2</f>
        <v>2027</v>
      </c>
      <c r="G11" s="85">
        <f>假设表!K2</f>
        <v>2028</v>
      </c>
      <c r="H11" s="85">
        <f>假设表!L2</f>
        <v>2029</v>
      </c>
      <c r="I11" s="85">
        <f>假设表!M2</f>
        <v>2030</v>
      </c>
      <c r="J11" s="85">
        <f>假设表!N2</f>
        <v>2031</v>
      </c>
      <c r="K11" s="85">
        <f>假设表!O2</f>
        <v>2032</v>
      </c>
      <c r="L11" s="85">
        <f>假设表!P2</f>
        <v>2033</v>
      </c>
      <c r="M11" s="85">
        <f>假设表!Q2</f>
        <v>2034</v>
      </c>
      <c r="N11" s="85">
        <f>假设表!R2</f>
        <v>2035</v>
      </c>
      <c r="O11" s="193">
        <f>假设表!S2</f>
        <v>2036</v>
      </c>
      <c r="P11" s="196">
        <f>假设表!T2</f>
        <v>2037</v>
      </c>
    </row>
    <row r="12" spans="1:16">
      <c r="B12" s="101" t="s">
        <v>910</v>
      </c>
      <c r="C12" s="26" t="s">
        <v>911</v>
      </c>
      <c r="P12" s="131"/>
    </row>
    <row r="13" spans="1:16">
      <c r="B13" s="101">
        <f t="array" ref="B13:B25">TRANSPOSE(历史数据及预测表!H4:T4)</f>
        <v>2025</v>
      </c>
      <c r="C13" s="26" t="s">
        <v>912</v>
      </c>
      <c r="D13" s="119">
        <f t="array" ref="D13:D25">TRANSPOSE(假设表!H86:T86)</f>
        <v>462.27065841000001</v>
      </c>
      <c r="E13" s="119">
        <f>IF(E$11-$B13&lt;=$C$10,$I$10*$D13,0)</f>
        <v>43.915712548950005</v>
      </c>
      <c r="F13" s="119">
        <f>IF(F$11-$B13&lt;=$C$10,$I$10*$D13,0)</f>
        <v>43.915712548950005</v>
      </c>
      <c r="G13" s="119">
        <f>IF(G$11-$B13&lt;=$C$10,$I$10*$D13,0)</f>
        <v>43.915712548950005</v>
      </c>
      <c r="H13" s="119">
        <f t="shared" ref="H13:P13" si="0">IF(H$11-$B13&lt;=$C$10,$I$10*$D13,0)</f>
        <v>43.915712548950005</v>
      </c>
      <c r="I13" s="119">
        <f t="shared" si="0"/>
        <v>43.915712548950005</v>
      </c>
      <c r="J13" s="119">
        <f t="shared" si="0"/>
        <v>43.915712548950005</v>
      </c>
      <c r="K13" s="119">
        <f t="shared" si="0"/>
        <v>43.915712548950005</v>
      </c>
      <c r="L13" s="119">
        <f t="shared" si="0"/>
        <v>43.915712548950005</v>
      </c>
      <c r="M13" s="119">
        <f t="shared" si="0"/>
        <v>43.915712548950005</v>
      </c>
      <c r="N13" s="119">
        <f t="shared" si="0"/>
        <v>43.915712548950005</v>
      </c>
      <c r="O13" s="119">
        <f t="shared" si="0"/>
        <v>0</v>
      </c>
      <c r="P13" s="129">
        <f t="shared" si="0"/>
        <v>0</v>
      </c>
    </row>
    <row r="14" spans="1:16">
      <c r="B14" s="101">
        <v>2026</v>
      </c>
      <c r="C14" s="26" t="s">
        <v>913</v>
      </c>
      <c r="D14" s="119">
        <v>200</v>
      </c>
      <c r="E14" s="119">
        <f>IF(E$11-$B14&lt;=$C$10-1,$I$10*$D14,0)</f>
        <v>19</v>
      </c>
      <c r="F14" s="119">
        <f t="shared" ref="F14:P25" si="1">IF(F$11-$B14&lt;=$C$10-1,$I$10*$D14,0)</f>
        <v>19</v>
      </c>
      <c r="G14" s="119">
        <f t="shared" si="1"/>
        <v>19</v>
      </c>
      <c r="H14" s="119">
        <f t="shared" si="1"/>
        <v>19</v>
      </c>
      <c r="I14" s="119">
        <f t="shared" si="1"/>
        <v>19</v>
      </c>
      <c r="J14" s="119">
        <f t="shared" si="1"/>
        <v>19</v>
      </c>
      <c r="K14" s="119">
        <f t="shared" si="1"/>
        <v>19</v>
      </c>
      <c r="L14" s="119">
        <f t="shared" si="1"/>
        <v>19</v>
      </c>
      <c r="M14" s="119">
        <f t="shared" si="1"/>
        <v>19</v>
      </c>
      <c r="N14" s="119">
        <f t="shared" si="1"/>
        <v>19</v>
      </c>
      <c r="O14" s="119">
        <f t="shared" si="1"/>
        <v>0</v>
      </c>
      <c r="P14" s="129">
        <f t="shared" si="1"/>
        <v>0</v>
      </c>
    </row>
    <row r="15" spans="1:16">
      <c r="B15" s="101">
        <v>2027</v>
      </c>
      <c r="C15" s="26" t="s">
        <v>913</v>
      </c>
      <c r="D15" s="119">
        <v>200</v>
      </c>
      <c r="E15" s="191"/>
      <c r="F15" s="119">
        <f t="shared" si="1"/>
        <v>19</v>
      </c>
      <c r="G15" s="119">
        <f t="shared" si="1"/>
        <v>19</v>
      </c>
      <c r="H15" s="119">
        <f t="shared" si="1"/>
        <v>19</v>
      </c>
      <c r="I15" s="119">
        <f t="shared" si="1"/>
        <v>19</v>
      </c>
      <c r="J15" s="119">
        <f t="shared" si="1"/>
        <v>19</v>
      </c>
      <c r="K15" s="119">
        <f t="shared" si="1"/>
        <v>19</v>
      </c>
      <c r="L15" s="119">
        <f t="shared" si="1"/>
        <v>19</v>
      </c>
      <c r="M15" s="119">
        <f t="shared" si="1"/>
        <v>19</v>
      </c>
      <c r="N15" s="119">
        <f t="shared" si="1"/>
        <v>19</v>
      </c>
      <c r="O15" s="119">
        <f t="shared" si="1"/>
        <v>19</v>
      </c>
      <c r="P15" s="129">
        <f t="shared" si="1"/>
        <v>0</v>
      </c>
    </row>
    <row r="16" spans="1:16">
      <c r="B16" s="101">
        <v>2028</v>
      </c>
      <c r="C16" s="26" t="s">
        <v>913</v>
      </c>
      <c r="D16" s="119">
        <v>200</v>
      </c>
      <c r="E16" s="191"/>
      <c r="F16" s="191"/>
      <c r="G16" s="119">
        <f t="shared" si="1"/>
        <v>19</v>
      </c>
      <c r="H16" s="119">
        <f t="shared" si="1"/>
        <v>19</v>
      </c>
      <c r="I16" s="119">
        <f t="shared" si="1"/>
        <v>19</v>
      </c>
      <c r="J16" s="119">
        <f t="shared" si="1"/>
        <v>19</v>
      </c>
      <c r="K16" s="119">
        <f t="shared" si="1"/>
        <v>19</v>
      </c>
      <c r="L16" s="119">
        <f t="shared" si="1"/>
        <v>19</v>
      </c>
      <c r="M16" s="119">
        <f t="shared" si="1"/>
        <v>19</v>
      </c>
      <c r="N16" s="119">
        <f t="shared" si="1"/>
        <v>19</v>
      </c>
      <c r="O16" s="119">
        <f t="shared" si="1"/>
        <v>19</v>
      </c>
      <c r="P16" s="129">
        <f t="shared" si="1"/>
        <v>19</v>
      </c>
    </row>
    <row r="17" spans="1:16">
      <c r="B17" s="101">
        <v>2029</v>
      </c>
      <c r="C17" s="26" t="s">
        <v>913</v>
      </c>
      <c r="D17" s="119">
        <v>200</v>
      </c>
      <c r="E17" s="191"/>
      <c r="F17" s="191"/>
      <c r="G17" s="191"/>
      <c r="H17" s="119">
        <f t="shared" si="1"/>
        <v>19</v>
      </c>
      <c r="I17" s="119">
        <f t="shared" si="1"/>
        <v>19</v>
      </c>
      <c r="J17" s="119">
        <f t="shared" si="1"/>
        <v>19</v>
      </c>
      <c r="K17" s="119">
        <f t="shared" si="1"/>
        <v>19</v>
      </c>
      <c r="L17" s="119">
        <f t="shared" si="1"/>
        <v>19</v>
      </c>
      <c r="M17" s="119">
        <f t="shared" si="1"/>
        <v>19</v>
      </c>
      <c r="N17" s="119">
        <f t="shared" si="1"/>
        <v>19</v>
      </c>
      <c r="O17" s="119">
        <f t="shared" si="1"/>
        <v>19</v>
      </c>
      <c r="P17" s="129">
        <f t="shared" si="1"/>
        <v>19</v>
      </c>
    </row>
    <row r="18" spans="1:16">
      <c r="B18" s="101">
        <v>2030</v>
      </c>
      <c r="C18" s="26" t="s">
        <v>913</v>
      </c>
      <c r="D18" s="119">
        <v>200</v>
      </c>
      <c r="E18" s="191"/>
      <c r="F18" s="191"/>
      <c r="G18" s="191"/>
      <c r="H18" s="191"/>
      <c r="I18" s="119">
        <f t="shared" si="1"/>
        <v>19</v>
      </c>
      <c r="J18" s="119">
        <f t="shared" si="1"/>
        <v>19</v>
      </c>
      <c r="K18" s="119">
        <f t="shared" si="1"/>
        <v>19</v>
      </c>
      <c r="L18" s="119">
        <f t="shared" si="1"/>
        <v>19</v>
      </c>
      <c r="M18" s="119">
        <f t="shared" si="1"/>
        <v>19</v>
      </c>
      <c r="N18" s="119">
        <f t="shared" si="1"/>
        <v>19</v>
      </c>
      <c r="O18" s="119">
        <f t="shared" si="1"/>
        <v>19</v>
      </c>
      <c r="P18" s="129">
        <f t="shared" si="1"/>
        <v>19</v>
      </c>
    </row>
    <row r="19" spans="1:16">
      <c r="B19" s="101">
        <v>2031</v>
      </c>
      <c r="C19" s="26" t="s">
        <v>913</v>
      </c>
      <c r="D19" s="119">
        <v>200</v>
      </c>
      <c r="E19" s="191"/>
      <c r="F19" s="191"/>
      <c r="G19" s="191"/>
      <c r="H19" s="191"/>
      <c r="I19" s="191"/>
      <c r="J19" s="119">
        <f t="shared" si="1"/>
        <v>19</v>
      </c>
      <c r="K19" s="119">
        <f t="shared" si="1"/>
        <v>19</v>
      </c>
      <c r="L19" s="119">
        <f t="shared" si="1"/>
        <v>19</v>
      </c>
      <c r="M19" s="119">
        <f t="shared" si="1"/>
        <v>19</v>
      </c>
      <c r="N19" s="119">
        <f t="shared" si="1"/>
        <v>19</v>
      </c>
      <c r="O19" s="119">
        <f t="shared" si="1"/>
        <v>19</v>
      </c>
      <c r="P19" s="129">
        <f t="shared" si="1"/>
        <v>19</v>
      </c>
    </row>
    <row r="20" spans="1:16">
      <c r="B20" s="101">
        <v>2032</v>
      </c>
      <c r="C20" s="26" t="s">
        <v>913</v>
      </c>
      <c r="D20" s="119">
        <v>200</v>
      </c>
      <c r="E20" s="191"/>
      <c r="F20" s="191"/>
      <c r="G20" s="191"/>
      <c r="H20" s="191"/>
      <c r="I20" s="191"/>
      <c r="J20" s="191"/>
      <c r="K20" s="119">
        <f t="shared" si="1"/>
        <v>19</v>
      </c>
      <c r="L20" s="119">
        <f t="shared" si="1"/>
        <v>19</v>
      </c>
      <c r="M20" s="119">
        <f>IF(M$11-$B20&lt;=$C$10-1,$I$10*$D20,0)</f>
        <v>19</v>
      </c>
      <c r="N20" s="119">
        <f t="shared" si="1"/>
        <v>19</v>
      </c>
      <c r="O20" s="119">
        <f t="shared" si="1"/>
        <v>19</v>
      </c>
      <c r="P20" s="129">
        <f t="shared" si="1"/>
        <v>19</v>
      </c>
    </row>
    <row r="21" spans="1:16">
      <c r="B21" s="101">
        <v>2033</v>
      </c>
      <c r="C21" s="26" t="s">
        <v>913</v>
      </c>
      <c r="D21" s="119">
        <v>200</v>
      </c>
      <c r="E21" s="191"/>
      <c r="F21" s="191"/>
      <c r="G21" s="191"/>
      <c r="H21" s="191"/>
      <c r="I21" s="191"/>
      <c r="J21" s="191"/>
      <c r="K21" s="191"/>
      <c r="L21" s="119">
        <f>IF(L$11-$B21&lt;=$C$10-1,$I$10*$D21,0)</f>
        <v>19</v>
      </c>
      <c r="M21" s="119">
        <f t="shared" si="1"/>
        <v>19</v>
      </c>
      <c r="N21" s="119">
        <f t="shared" si="1"/>
        <v>19</v>
      </c>
      <c r="O21" s="119">
        <f t="shared" si="1"/>
        <v>19</v>
      </c>
      <c r="P21" s="129">
        <f t="shared" si="1"/>
        <v>19</v>
      </c>
    </row>
    <row r="22" spans="1:16">
      <c r="B22" s="101">
        <v>2034</v>
      </c>
      <c r="C22" s="26" t="s">
        <v>913</v>
      </c>
      <c r="D22" s="119">
        <v>200</v>
      </c>
      <c r="E22" s="191"/>
      <c r="F22" s="191"/>
      <c r="G22" s="191"/>
      <c r="H22" s="191"/>
      <c r="I22" s="191"/>
      <c r="J22" s="191"/>
      <c r="K22" s="191"/>
      <c r="L22" s="191"/>
      <c r="M22" s="119">
        <f t="shared" si="1"/>
        <v>19</v>
      </c>
      <c r="N22" s="119">
        <f t="shared" si="1"/>
        <v>19</v>
      </c>
      <c r="O22" s="119">
        <f t="shared" si="1"/>
        <v>19</v>
      </c>
      <c r="P22" s="129">
        <f t="shared" si="1"/>
        <v>19</v>
      </c>
    </row>
    <row r="23" spans="1:16">
      <c r="B23" s="101">
        <v>2035</v>
      </c>
      <c r="C23" s="26" t="s">
        <v>913</v>
      </c>
      <c r="D23" s="119">
        <v>200</v>
      </c>
      <c r="E23" s="191"/>
      <c r="F23" s="191"/>
      <c r="G23" s="191"/>
      <c r="H23" s="191"/>
      <c r="I23" s="191"/>
      <c r="J23" s="191"/>
      <c r="K23" s="191"/>
      <c r="L23" s="191"/>
      <c r="M23" s="191"/>
      <c r="N23" s="119">
        <f>IF(N$11-$B23&lt;=$C$10-1,$I$10*$D23,0)</f>
        <v>19</v>
      </c>
      <c r="O23" s="119">
        <f t="shared" si="1"/>
        <v>19</v>
      </c>
      <c r="P23" s="129">
        <f t="shared" si="1"/>
        <v>19</v>
      </c>
    </row>
    <row r="24" spans="1:16">
      <c r="B24" s="101">
        <v>2036</v>
      </c>
      <c r="C24" s="26" t="s">
        <v>913</v>
      </c>
      <c r="D24" s="119">
        <v>200</v>
      </c>
      <c r="E24" s="191"/>
      <c r="F24" s="191"/>
      <c r="G24" s="191"/>
      <c r="H24" s="191"/>
      <c r="I24" s="191"/>
      <c r="J24" s="191"/>
      <c r="K24" s="191"/>
      <c r="L24" s="191"/>
      <c r="M24" s="191"/>
      <c r="N24" s="191"/>
      <c r="O24" s="119">
        <f t="shared" si="1"/>
        <v>19</v>
      </c>
      <c r="P24" s="129">
        <f t="shared" si="1"/>
        <v>19</v>
      </c>
    </row>
    <row r="25" spans="1:16">
      <c r="B25" s="101">
        <v>2037</v>
      </c>
      <c r="C25" s="26" t="s">
        <v>913</v>
      </c>
      <c r="D25" s="119">
        <v>200</v>
      </c>
      <c r="E25" s="191"/>
      <c r="F25" s="191"/>
      <c r="G25" s="191"/>
      <c r="H25" s="191"/>
      <c r="I25" s="191"/>
      <c r="J25" s="191"/>
      <c r="K25" s="191"/>
      <c r="L25" s="191"/>
      <c r="M25" s="191"/>
      <c r="N25" s="191"/>
      <c r="O25" s="191"/>
      <c r="P25" s="129">
        <f t="shared" si="1"/>
        <v>19</v>
      </c>
    </row>
    <row r="26" spans="1:16" ht="14.65">
      <c r="B26" s="442" t="s">
        <v>914</v>
      </c>
      <c r="C26" s="443"/>
      <c r="D26" s="192"/>
      <c r="E26" s="124">
        <f>SUM(E13:E25)</f>
        <v>62.915712548950005</v>
      </c>
      <c r="F26" s="124">
        <f t="shared" ref="F26:P26" si="2">SUM(F13:F25)</f>
        <v>81.915712548950012</v>
      </c>
      <c r="G26" s="124">
        <f t="shared" si="2"/>
        <v>100.91571254895001</v>
      </c>
      <c r="H26" s="124">
        <f t="shared" si="2"/>
        <v>119.91571254895001</v>
      </c>
      <c r="I26" s="124">
        <f t="shared" si="2"/>
        <v>138.91571254895001</v>
      </c>
      <c r="J26" s="124">
        <f t="shared" si="2"/>
        <v>157.91571254895001</v>
      </c>
      <c r="K26" s="124">
        <f t="shared" si="2"/>
        <v>176.91571254895001</v>
      </c>
      <c r="L26" s="124">
        <f t="shared" si="2"/>
        <v>195.91571254895001</v>
      </c>
      <c r="M26" s="124">
        <f t="shared" si="2"/>
        <v>214.91571254895001</v>
      </c>
      <c r="N26" s="124">
        <f t="shared" si="2"/>
        <v>233.91571254895001</v>
      </c>
      <c r="O26" s="124">
        <f t="shared" si="2"/>
        <v>190</v>
      </c>
      <c r="P26" s="139">
        <f t="shared" si="2"/>
        <v>190</v>
      </c>
    </row>
    <row r="28" spans="1:16" ht="14.65">
      <c r="A28" s="189" t="s">
        <v>902</v>
      </c>
      <c r="B28" s="189"/>
      <c r="C28" s="189" t="s">
        <v>915</v>
      </c>
    </row>
    <row r="29" spans="1:16" ht="14.65">
      <c r="B29" s="444" t="s">
        <v>905</v>
      </c>
      <c r="C29" s="445"/>
      <c r="D29" s="118"/>
      <c r="E29" s="118"/>
      <c r="F29" s="118"/>
      <c r="G29" s="118"/>
      <c r="H29" s="118"/>
      <c r="I29" s="118"/>
      <c r="J29" s="118"/>
      <c r="K29" s="118"/>
      <c r="L29" s="118"/>
      <c r="M29" s="118"/>
      <c r="N29" s="118"/>
      <c r="O29" s="118"/>
      <c r="P29" s="125"/>
    </row>
    <row r="30" spans="1:16">
      <c r="B30" s="101" t="s">
        <v>916</v>
      </c>
      <c r="P30" s="131"/>
    </row>
    <row r="31" spans="1:16">
      <c r="B31" s="101" t="s">
        <v>907</v>
      </c>
      <c r="C31" s="188"/>
      <c r="E31" s="26" t="s">
        <v>908</v>
      </c>
      <c r="F31" s="190"/>
      <c r="H31" s="26" t="s">
        <v>909</v>
      </c>
      <c r="I31" s="195" t="e">
        <f>(1-F31)/C31</f>
        <v>#DIV/0!</v>
      </c>
      <c r="N31" s="119"/>
      <c r="P31" s="131"/>
    </row>
    <row r="32" spans="1:16">
      <c r="B32" s="101"/>
      <c r="E32" s="193">
        <f>假设表!I2</f>
        <v>2026</v>
      </c>
      <c r="F32" s="193">
        <f>假设表!J2</f>
        <v>2027</v>
      </c>
      <c r="G32" s="193">
        <f>假设表!K2</f>
        <v>2028</v>
      </c>
      <c r="H32" s="193">
        <f>假设表!L2</f>
        <v>2029</v>
      </c>
      <c r="I32" s="193">
        <f>假设表!M2</f>
        <v>2030</v>
      </c>
      <c r="J32" s="193">
        <f>假设表!N2</f>
        <v>2031</v>
      </c>
      <c r="K32" s="193">
        <f>假设表!O2</f>
        <v>2032</v>
      </c>
      <c r="L32" s="193">
        <f>假设表!P2</f>
        <v>2033</v>
      </c>
      <c r="M32" s="193">
        <f>假设表!Q2</f>
        <v>2034</v>
      </c>
      <c r="N32" s="193">
        <f>假设表!R2</f>
        <v>2035</v>
      </c>
      <c r="O32" s="193">
        <f>假设表!S2</f>
        <v>2036</v>
      </c>
      <c r="P32" s="197">
        <f>假设表!T2</f>
        <v>2037</v>
      </c>
    </row>
    <row r="33" spans="2:16">
      <c r="B33" s="101" t="s">
        <v>910</v>
      </c>
      <c r="C33" s="26" t="s">
        <v>911</v>
      </c>
      <c r="P33" s="131"/>
    </row>
    <row r="34" spans="2:16">
      <c r="B34" s="101">
        <f t="array" ref="B34:B46">TRANSPOSE(假设表!H2:T2)</f>
        <v>2025</v>
      </c>
      <c r="C34" s="26" t="s">
        <v>912</v>
      </c>
      <c r="D34" s="119">
        <f t="array" ref="D34:D46">TRANSPOSE(假设表!H87:T87)</f>
        <v>0</v>
      </c>
      <c r="E34" s="119">
        <f>IF(E$32-$B34&lt;=$C$31,$I$31*$D34,0)</f>
        <v>0</v>
      </c>
      <c r="F34" s="119">
        <f t="shared" ref="F34:P34" si="3">IF(F$32-$B34&lt;=$C$31,$I$31*$D34,0)</f>
        <v>0</v>
      </c>
      <c r="G34" s="119">
        <f t="shared" si="3"/>
        <v>0</v>
      </c>
      <c r="H34" s="119">
        <f t="shared" si="3"/>
        <v>0</v>
      </c>
      <c r="I34" s="119">
        <f t="shared" si="3"/>
        <v>0</v>
      </c>
      <c r="J34" s="119">
        <f t="shared" si="3"/>
        <v>0</v>
      </c>
      <c r="K34" s="119">
        <f t="shared" si="3"/>
        <v>0</v>
      </c>
      <c r="L34" s="119">
        <f t="shared" si="3"/>
        <v>0</v>
      </c>
      <c r="M34" s="119">
        <f t="shared" si="3"/>
        <v>0</v>
      </c>
      <c r="N34" s="119">
        <f t="shared" si="3"/>
        <v>0</v>
      </c>
      <c r="O34" s="119">
        <f t="shared" si="3"/>
        <v>0</v>
      </c>
      <c r="P34" s="129">
        <f t="shared" si="3"/>
        <v>0</v>
      </c>
    </row>
    <row r="35" spans="2:16">
      <c r="B35" s="101">
        <v>2026</v>
      </c>
      <c r="C35" s="26" t="s">
        <v>913</v>
      </c>
      <c r="D35" s="119">
        <v>0</v>
      </c>
      <c r="E35" s="119">
        <f>IF(E$32-$B35&lt;=$C$31-1,$I$31*$D35,0)</f>
        <v>0</v>
      </c>
      <c r="F35" s="119">
        <f t="shared" ref="F35:P46" si="4">IF(F$32-$B35&lt;=$C$31-1,$I$31*$D35,0)</f>
        <v>0</v>
      </c>
      <c r="G35" s="119">
        <f t="shared" si="4"/>
        <v>0</v>
      </c>
      <c r="H35" s="119">
        <f t="shared" si="4"/>
        <v>0</v>
      </c>
      <c r="I35" s="119">
        <f t="shared" si="4"/>
        <v>0</v>
      </c>
      <c r="J35" s="119">
        <f t="shared" si="4"/>
        <v>0</v>
      </c>
      <c r="K35" s="119">
        <f t="shared" si="4"/>
        <v>0</v>
      </c>
      <c r="L35" s="119">
        <f t="shared" si="4"/>
        <v>0</v>
      </c>
      <c r="M35" s="119">
        <f t="shared" si="4"/>
        <v>0</v>
      </c>
      <c r="N35" s="119">
        <f t="shared" si="4"/>
        <v>0</v>
      </c>
      <c r="O35" s="119">
        <f t="shared" si="4"/>
        <v>0</v>
      </c>
      <c r="P35" s="129">
        <f t="shared" si="4"/>
        <v>0</v>
      </c>
    </row>
    <row r="36" spans="2:16">
      <c r="B36" s="101">
        <v>2027</v>
      </c>
      <c r="C36" s="26" t="s">
        <v>913</v>
      </c>
      <c r="D36" s="119">
        <v>0</v>
      </c>
      <c r="E36" s="191"/>
      <c r="F36" s="119">
        <f t="shared" si="4"/>
        <v>0</v>
      </c>
      <c r="G36" s="119">
        <f t="shared" si="4"/>
        <v>0</v>
      </c>
      <c r="H36" s="119">
        <f t="shared" si="4"/>
        <v>0</v>
      </c>
      <c r="I36" s="119">
        <f t="shared" si="4"/>
        <v>0</v>
      </c>
      <c r="J36" s="119">
        <f t="shared" si="4"/>
        <v>0</v>
      </c>
      <c r="K36" s="119">
        <f t="shared" si="4"/>
        <v>0</v>
      </c>
      <c r="L36" s="119">
        <f t="shared" si="4"/>
        <v>0</v>
      </c>
      <c r="M36" s="119">
        <f t="shared" si="4"/>
        <v>0</v>
      </c>
      <c r="N36" s="119">
        <f t="shared" si="4"/>
        <v>0</v>
      </c>
      <c r="O36" s="119">
        <f t="shared" si="4"/>
        <v>0</v>
      </c>
      <c r="P36" s="129">
        <f t="shared" si="4"/>
        <v>0</v>
      </c>
    </row>
    <row r="37" spans="2:16">
      <c r="B37" s="101">
        <v>2028</v>
      </c>
      <c r="C37" s="26" t="s">
        <v>913</v>
      </c>
      <c r="D37" s="119">
        <v>0</v>
      </c>
      <c r="E37" s="191"/>
      <c r="F37" s="191"/>
      <c r="G37" s="119">
        <f t="shared" si="4"/>
        <v>0</v>
      </c>
      <c r="H37" s="119">
        <f t="shared" si="4"/>
        <v>0</v>
      </c>
      <c r="I37" s="119">
        <f t="shared" si="4"/>
        <v>0</v>
      </c>
      <c r="J37" s="119">
        <f t="shared" si="4"/>
        <v>0</v>
      </c>
      <c r="K37" s="119">
        <f t="shared" si="4"/>
        <v>0</v>
      </c>
      <c r="L37" s="119">
        <f t="shared" si="4"/>
        <v>0</v>
      </c>
      <c r="M37" s="119">
        <f t="shared" si="4"/>
        <v>0</v>
      </c>
      <c r="N37" s="119">
        <f t="shared" si="4"/>
        <v>0</v>
      </c>
      <c r="O37" s="119">
        <f t="shared" si="4"/>
        <v>0</v>
      </c>
      <c r="P37" s="129">
        <f t="shared" si="4"/>
        <v>0</v>
      </c>
    </row>
    <row r="38" spans="2:16">
      <c r="B38" s="101">
        <v>2029</v>
      </c>
      <c r="C38" s="26" t="s">
        <v>913</v>
      </c>
      <c r="D38" s="119">
        <v>0</v>
      </c>
      <c r="E38" s="191"/>
      <c r="F38" s="191"/>
      <c r="G38" s="191"/>
      <c r="H38" s="119">
        <f t="shared" si="4"/>
        <v>0</v>
      </c>
      <c r="I38" s="119">
        <f t="shared" si="4"/>
        <v>0</v>
      </c>
      <c r="J38" s="119">
        <f t="shared" si="4"/>
        <v>0</v>
      </c>
      <c r="K38" s="119">
        <f t="shared" si="4"/>
        <v>0</v>
      </c>
      <c r="L38" s="119">
        <f t="shared" si="4"/>
        <v>0</v>
      </c>
      <c r="M38" s="119">
        <f t="shared" si="4"/>
        <v>0</v>
      </c>
      <c r="N38" s="119">
        <f t="shared" si="4"/>
        <v>0</v>
      </c>
      <c r="O38" s="119">
        <f t="shared" si="4"/>
        <v>0</v>
      </c>
      <c r="P38" s="129">
        <f t="shared" si="4"/>
        <v>0</v>
      </c>
    </row>
    <row r="39" spans="2:16">
      <c r="B39" s="101">
        <v>2030</v>
      </c>
      <c r="C39" s="26" t="s">
        <v>913</v>
      </c>
      <c r="D39" s="119">
        <v>0</v>
      </c>
      <c r="E39" s="191"/>
      <c r="F39" s="191"/>
      <c r="G39" s="191"/>
      <c r="H39" s="191"/>
      <c r="I39" s="119">
        <f t="shared" si="4"/>
        <v>0</v>
      </c>
      <c r="J39" s="119">
        <f t="shared" si="4"/>
        <v>0</v>
      </c>
      <c r="K39" s="119">
        <f t="shared" si="4"/>
        <v>0</v>
      </c>
      <c r="L39" s="119">
        <f t="shared" si="4"/>
        <v>0</v>
      </c>
      <c r="M39" s="119">
        <f t="shared" si="4"/>
        <v>0</v>
      </c>
      <c r="N39" s="119">
        <f t="shared" si="4"/>
        <v>0</v>
      </c>
      <c r="O39" s="119">
        <f t="shared" si="4"/>
        <v>0</v>
      </c>
      <c r="P39" s="129">
        <f t="shared" si="4"/>
        <v>0</v>
      </c>
    </row>
    <row r="40" spans="2:16">
      <c r="B40" s="101">
        <v>2031</v>
      </c>
      <c r="C40" s="26" t="s">
        <v>913</v>
      </c>
      <c r="D40" s="119">
        <v>0</v>
      </c>
      <c r="E40" s="191"/>
      <c r="F40" s="191"/>
      <c r="G40" s="191"/>
      <c r="H40" s="191"/>
      <c r="I40" s="191"/>
      <c r="J40" s="119">
        <f t="shared" si="4"/>
        <v>0</v>
      </c>
      <c r="K40" s="119">
        <f t="shared" si="4"/>
        <v>0</v>
      </c>
      <c r="L40" s="119">
        <f t="shared" si="4"/>
        <v>0</v>
      </c>
      <c r="M40" s="119">
        <f t="shared" si="4"/>
        <v>0</v>
      </c>
      <c r="N40" s="119">
        <f t="shared" si="4"/>
        <v>0</v>
      </c>
      <c r="O40" s="119">
        <f t="shared" si="4"/>
        <v>0</v>
      </c>
      <c r="P40" s="129">
        <f t="shared" si="4"/>
        <v>0</v>
      </c>
    </row>
    <row r="41" spans="2:16">
      <c r="B41" s="101">
        <v>2032</v>
      </c>
      <c r="C41" s="26" t="s">
        <v>913</v>
      </c>
      <c r="D41" s="119">
        <v>0</v>
      </c>
      <c r="E41" s="191"/>
      <c r="F41" s="191"/>
      <c r="G41" s="191"/>
      <c r="H41" s="191"/>
      <c r="I41" s="191"/>
      <c r="J41" s="191"/>
      <c r="K41" s="119">
        <f t="shared" si="4"/>
        <v>0</v>
      </c>
      <c r="L41" s="119">
        <f t="shared" si="4"/>
        <v>0</v>
      </c>
      <c r="M41" s="119">
        <f t="shared" si="4"/>
        <v>0</v>
      </c>
      <c r="N41" s="119">
        <f t="shared" si="4"/>
        <v>0</v>
      </c>
      <c r="O41" s="119">
        <f t="shared" si="4"/>
        <v>0</v>
      </c>
      <c r="P41" s="129">
        <f t="shared" si="4"/>
        <v>0</v>
      </c>
    </row>
    <row r="42" spans="2:16">
      <c r="B42" s="101">
        <v>2033</v>
      </c>
      <c r="C42" s="26" t="s">
        <v>913</v>
      </c>
      <c r="D42" s="119">
        <v>0</v>
      </c>
      <c r="E42" s="191"/>
      <c r="F42" s="191"/>
      <c r="G42" s="191"/>
      <c r="H42" s="191"/>
      <c r="I42" s="191"/>
      <c r="J42" s="191"/>
      <c r="K42" s="191"/>
      <c r="L42" s="119">
        <f t="shared" si="4"/>
        <v>0</v>
      </c>
      <c r="M42" s="119">
        <f t="shared" si="4"/>
        <v>0</v>
      </c>
      <c r="N42" s="119">
        <f t="shared" si="4"/>
        <v>0</v>
      </c>
      <c r="O42" s="119">
        <f t="shared" si="4"/>
        <v>0</v>
      </c>
      <c r="P42" s="129">
        <f t="shared" si="4"/>
        <v>0</v>
      </c>
    </row>
    <row r="43" spans="2:16">
      <c r="B43" s="101">
        <v>2034</v>
      </c>
      <c r="C43" s="26" t="s">
        <v>913</v>
      </c>
      <c r="D43" s="119">
        <v>0</v>
      </c>
      <c r="E43" s="191"/>
      <c r="F43" s="191"/>
      <c r="G43" s="191"/>
      <c r="H43" s="191"/>
      <c r="I43" s="191"/>
      <c r="J43" s="191"/>
      <c r="K43" s="191"/>
      <c r="L43" s="191"/>
      <c r="M43" s="119">
        <f t="shared" si="4"/>
        <v>0</v>
      </c>
      <c r="N43" s="119">
        <f t="shared" si="4"/>
        <v>0</v>
      </c>
      <c r="O43" s="119">
        <f t="shared" si="4"/>
        <v>0</v>
      </c>
      <c r="P43" s="129">
        <f t="shared" si="4"/>
        <v>0</v>
      </c>
    </row>
    <row r="44" spans="2:16">
      <c r="B44" s="101">
        <v>2035</v>
      </c>
      <c r="C44" s="26" t="s">
        <v>913</v>
      </c>
      <c r="D44" s="119">
        <v>0</v>
      </c>
      <c r="E44" s="191"/>
      <c r="F44" s="191"/>
      <c r="G44" s="191"/>
      <c r="H44" s="191"/>
      <c r="I44" s="191"/>
      <c r="J44" s="191"/>
      <c r="K44" s="191"/>
      <c r="L44" s="191"/>
      <c r="M44" s="191"/>
      <c r="N44" s="119">
        <f t="shared" si="4"/>
        <v>0</v>
      </c>
      <c r="O44" s="119">
        <f t="shared" si="4"/>
        <v>0</v>
      </c>
      <c r="P44" s="129">
        <f t="shared" si="4"/>
        <v>0</v>
      </c>
    </row>
    <row r="45" spans="2:16">
      <c r="B45" s="101">
        <v>2036</v>
      </c>
      <c r="C45" s="26" t="s">
        <v>913</v>
      </c>
      <c r="D45" s="119">
        <v>0</v>
      </c>
      <c r="E45" s="191"/>
      <c r="F45" s="191"/>
      <c r="G45" s="191"/>
      <c r="H45" s="191"/>
      <c r="I45" s="191"/>
      <c r="J45" s="191"/>
      <c r="K45" s="191"/>
      <c r="L45" s="191"/>
      <c r="M45" s="191"/>
      <c r="N45" s="191"/>
      <c r="O45" s="119">
        <f t="shared" si="4"/>
        <v>0</v>
      </c>
      <c r="P45" s="129">
        <f t="shared" si="4"/>
        <v>0</v>
      </c>
    </row>
    <row r="46" spans="2:16">
      <c r="B46" s="101">
        <v>2037</v>
      </c>
      <c r="C46" s="26" t="s">
        <v>913</v>
      </c>
      <c r="D46" s="119">
        <v>0</v>
      </c>
      <c r="E46" s="191"/>
      <c r="F46" s="191"/>
      <c r="G46" s="191"/>
      <c r="H46" s="191"/>
      <c r="I46" s="191"/>
      <c r="J46" s="191"/>
      <c r="K46" s="191"/>
      <c r="L46" s="191"/>
      <c r="M46" s="191"/>
      <c r="N46" s="191"/>
      <c r="O46" s="191"/>
      <c r="P46" s="129">
        <f t="shared" si="4"/>
        <v>0</v>
      </c>
    </row>
    <row r="47" spans="2:16" ht="14.65">
      <c r="B47" s="442" t="s">
        <v>917</v>
      </c>
      <c r="C47" s="443"/>
      <c r="D47" s="192"/>
      <c r="E47" s="124">
        <f t="shared" ref="E47:P47" si="5">SUM(E34:E46)</f>
        <v>0</v>
      </c>
      <c r="F47" s="124">
        <f t="shared" si="5"/>
        <v>0</v>
      </c>
      <c r="G47" s="124">
        <f t="shared" si="5"/>
        <v>0</v>
      </c>
      <c r="H47" s="124">
        <f t="shared" si="5"/>
        <v>0</v>
      </c>
      <c r="I47" s="124">
        <f t="shared" si="5"/>
        <v>0</v>
      </c>
      <c r="J47" s="124">
        <f t="shared" si="5"/>
        <v>0</v>
      </c>
      <c r="K47" s="124">
        <f t="shared" si="5"/>
        <v>0</v>
      </c>
      <c r="L47" s="124">
        <f t="shared" si="5"/>
        <v>0</v>
      </c>
      <c r="M47" s="124">
        <f t="shared" si="5"/>
        <v>0</v>
      </c>
      <c r="N47" s="124">
        <f t="shared" si="5"/>
        <v>0</v>
      </c>
      <c r="O47" s="124">
        <f t="shared" si="5"/>
        <v>0</v>
      </c>
      <c r="P47" s="139">
        <f t="shared" si="5"/>
        <v>0</v>
      </c>
    </row>
    <row r="49" spans="2:16">
      <c r="B49" s="194" t="s">
        <v>918</v>
      </c>
      <c r="C49" s="118"/>
      <c r="D49" s="118"/>
      <c r="E49" s="118"/>
      <c r="F49" s="118"/>
      <c r="G49" s="118"/>
      <c r="H49" s="118"/>
      <c r="I49" s="118"/>
      <c r="J49" s="118"/>
      <c r="K49" s="118"/>
      <c r="L49" s="118"/>
      <c r="M49" s="118"/>
      <c r="N49" s="118"/>
      <c r="O49" s="118"/>
      <c r="P49" s="125"/>
    </row>
    <row r="50" spans="2:16">
      <c r="B50" s="101" t="s">
        <v>907</v>
      </c>
      <c r="C50" s="188"/>
      <c r="E50" s="26" t="s">
        <v>908</v>
      </c>
      <c r="F50" s="190"/>
      <c r="H50" s="26" t="s">
        <v>909</v>
      </c>
      <c r="I50" s="195" t="e">
        <f>(1-F50)/C50</f>
        <v>#DIV/0!</v>
      </c>
      <c r="N50" s="119"/>
      <c r="P50" s="131"/>
    </row>
    <row r="51" spans="2:16">
      <c r="B51" s="101"/>
      <c r="E51" s="193">
        <f>假设表!I2</f>
        <v>2026</v>
      </c>
      <c r="F51" s="193">
        <f>假设表!J2</f>
        <v>2027</v>
      </c>
      <c r="G51" s="193">
        <f>假设表!K2</f>
        <v>2028</v>
      </c>
      <c r="H51" s="193">
        <f>假设表!L2</f>
        <v>2029</v>
      </c>
      <c r="I51" s="193">
        <f>假设表!M2</f>
        <v>2030</v>
      </c>
      <c r="J51" s="193">
        <f>假设表!N2</f>
        <v>2031</v>
      </c>
      <c r="K51" s="193">
        <f>假设表!O2</f>
        <v>2032</v>
      </c>
      <c r="L51" s="193">
        <f>假设表!P2</f>
        <v>2033</v>
      </c>
      <c r="M51" s="193">
        <f>假设表!Q2</f>
        <v>2034</v>
      </c>
      <c r="N51" s="193">
        <f>假设表!R2</f>
        <v>2035</v>
      </c>
      <c r="O51" s="193">
        <f>假设表!S2</f>
        <v>2036</v>
      </c>
      <c r="P51" s="197">
        <f>假设表!T2</f>
        <v>2037</v>
      </c>
    </row>
    <row r="52" spans="2:16">
      <c r="B52" s="101" t="s">
        <v>910</v>
      </c>
      <c r="C52" s="26" t="s">
        <v>911</v>
      </c>
      <c r="P52" s="131"/>
    </row>
    <row r="53" spans="2:16">
      <c r="B53" s="101">
        <f t="array" ref="B53:B65">TRANSPOSE(假设表!H2:T2)</f>
        <v>2025</v>
      </c>
      <c r="C53" s="26" t="s">
        <v>912</v>
      </c>
      <c r="D53" s="119">
        <f t="array" ref="D53:D65">TRANSPOSE(假设表!H88:T88)</f>
        <v>0</v>
      </c>
      <c r="E53" s="119">
        <f>IF(E$51-$B53&lt;=$C$50,$I$50*$D53,0)</f>
        <v>0</v>
      </c>
      <c r="F53" s="119">
        <f t="shared" ref="F53:P53" si="6">IF(F$51-$B53&lt;=$C$50,$I$50*$D53,0)</f>
        <v>0</v>
      </c>
      <c r="G53" s="119">
        <f t="shared" si="6"/>
        <v>0</v>
      </c>
      <c r="H53" s="119">
        <f t="shared" si="6"/>
        <v>0</v>
      </c>
      <c r="I53" s="119">
        <f t="shared" si="6"/>
        <v>0</v>
      </c>
      <c r="J53" s="119">
        <f t="shared" si="6"/>
        <v>0</v>
      </c>
      <c r="K53" s="119">
        <f t="shared" si="6"/>
        <v>0</v>
      </c>
      <c r="L53" s="119">
        <f t="shared" si="6"/>
        <v>0</v>
      </c>
      <c r="M53" s="119">
        <f t="shared" si="6"/>
        <v>0</v>
      </c>
      <c r="N53" s="119">
        <f t="shared" si="6"/>
        <v>0</v>
      </c>
      <c r="O53" s="119">
        <f t="shared" si="6"/>
        <v>0</v>
      </c>
      <c r="P53" s="129">
        <f t="shared" si="6"/>
        <v>0</v>
      </c>
    </row>
    <row r="54" spans="2:16">
      <c r="B54" s="101">
        <v>2026</v>
      </c>
      <c r="C54" s="26" t="s">
        <v>913</v>
      </c>
      <c r="D54" s="119">
        <v>0</v>
      </c>
      <c r="E54" s="119">
        <f>IF(E$51-$B54&lt;=$C$50-1,$I$50*$D54,0)</f>
        <v>0</v>
      </c>
      <c r="F54" s="119">
        <f t="shared" ref="F54:P65" si="7">IF(F$51-$B54&lt;=$C$50-1,$I$50*$D54,0)</f>
        <v>0</v>
      </c>
      <c r="G54" s="119">
        <f t="shared" si="7"/>
        <v>0</v>
      </c>
      <c r="H54" s="119">
        <f t="shared" si="7"/>
        <v>0</v>
      </c>
      <c r="I54" s="119">
        <f t="shared" si="7"/>
        <v>0</v>
      </c>
      <c r="J54" s="119">
        <f t="shared" si="7"/>
        <v>0</v>
      </c>
      <c r="K54" s="119">
        <f t="shared" si="7"/>
        <v>0</v>
      </c>
      <c r="L54" s="119">
        <f t="shared" si="7"/>
        <v>0</v>
      </c>
      <c r="M54" s="119">
        <f t="shared" si="7"/>
        <v>0</v>
      </c>
      <c r="N54" s="119">
        <f t="shared" si="7"/>
        <v>0</v>
      </c>
      <c r="O54" s="119">
        <f t="shared" si="7"/>
        <v>0</v>
      </c>
      <c r="P54" s="129">
        <f t="shared" si="7"/>
        <v>0</v>
      </c>
    </row>
    <row r="55" spans="2:16">
      <c r="B55" s="101">
        <v>2027</v>
      </c>
      <c r="C55" s="26" t="s">
        <v>913</v>
      </c>
      <c r="D55" s="119">
        <v>0</v>
      </c>
      <c r="E55" s="191"/>
      <c r="F55" s="119">
        <f t="shared" si="7"/>
        <v>0</v>
      </c>
      <c r="G55" s="119">
        <f t="shared" si="7"/>
        <v>0</v>
      </c>
      <c r="H55" s="119">
        <f t="shared" si="7"/>
        <v>0</v>
      </c>
      <c r="I55" s="119">
        <f t="shared" si="7"/>
        <v>0</v>
      </c>
      <c r="J55" s="119">
        <f t="shared" si="7"/>
        <v>0</v>
      </c>
      <c r="K55" s="119">
        <f t="shared" si="7"/>
        <v>0</v>
      </c>
      <c r="L55" s="119">
        <f t="shared" si="7"/>
        <v>0</v>
      </c>
      <c r="M55" s="119">
        <f t="shared" si="7"/>
        <v>0</v>
      </c>
      <c r="N55" s="119">
        <f t="shared" si="7"/>
        <v>0</v>
      </c>
      <c r="O55" s="119">
        <f t="shared" si="7"/>
        <v>0</v>
      </c>
      <c r="P55" s="129">
        <f t="shared" si="7"/>
        <v>0</v>
      </c>
    </row>
    <row r="56" spans="2:16">
      <c r="B56" s="101">
        <v>2028</v>
      </c>
      <c r="C56" s="26" t="s">
        <v>913</v>
      </c>
      <c r="D56" s="119">
        <v>0</v>
      </c>
      <c r="E56" s="191"/>
      <c r="F56" s="191"/>
      <c r="G56" s="119">
        <f t="shared" si="7"/>
        <v>0</v>
      </c>
      <c r="H56" s="119">
        <f t="shared" si="7"/>
        <v>0</v>
      </c>
      <c r="I56" s="119">
        <f t="shared" si="7"/>
        <v>0</v>
      </c>
      <c r="J56" s="119">
        <f t="shared" si="7"/>
        <v>0</v>
      </c>
      <c r="K56" s="119">
        <f t="shared" si="7"/>
        <v>0</v>
      </c>
      <c r="L56" s="119">
        <f t="shared" si="7"/>
        <v>0</v>
      </c>
      <c r="M56" s="119">
        <f t="shared" si="7"/>
        <v>0</v>
      </c>
      <c r="N56" s="119">
        <f t="shared" si="7"/>
        <v>0</v>
      </c>
      <c r="O56" s="119">
        <f t="shared" si="7"/>
        <v>0</v>
      </c>
      <c r="P56" s="129">
        <f t="shared" si="7"/>
        <v>0</v>
      </c>
    </row>
    <row r="57" spans="2:16">
      <c r="B57" s="101">
        <v>2029</v>
      </c>
      <c r="C57" s="26" t="s">
        <v>913</v>
      </c>
      <c r="D57" s="119">
        <v>0</v>
      </c>
      <c r="E57" s="191"/>
      <c r="F57" s="191"/>
      <c r="G57" s="191"/>
      <c r="H57" s="119">
        <f t="shared" si="7"/>
        <v>0</v>
      </c>
      <c r="I57" s="119">
        <f t="shared" si="7"/>
        <v>0</v>
      </c>
      <c r="J57" s="119">
        <f t="shared" si="7"/>
        <v>0</v>
      </c>
      <c r="K57" s="119">
        <f t="shared" si="7"/>
        <v>0</v>
      </c>
      <c r="L57" s="119">
        <f t="shared" si="7"/>
        <v>0</v>
      </c>
      <c r="M57" s="119">
        <f t="shared" si="7"/>
        <v>0</v>
      </c>
      <c r="N57" s="119">
        <f t="shared" si="7"/>
        <v>0</v>
      </c>
      <c r="O57" s="119">
        <f t="shared" si="7"/>
        <v>0</v>
      </c>
      <c r="P57" s="129">
        <f t="shared" si="7"/>
        <v>0</v>
      </c>
    </row>
    <row r="58" spans="2:16">
      <c r="B58" s="101">
        <v>2030</v>
      </c>
      <c r="C58" s="26" t="s">
        <v>913</v>
      </c>
      <c r="D58" s="119">
        <v>0</v>
      </c>
      <c r="E58" s="191"/>
      <c r="F58" s="191"/>
      <c r="G58" s="191"/>
      <c r="H58" s="191"/>
      <c r="I58" s="119">
        <f t="shared" si="7"/>
        <v>0</v>
      </c>
      <c r="J58" s="119">
        <f t="shared" si="7"/>
        <v>0</v>
      </c>
      <c r="K58" s="119">
        <f t="shared" si="7"/>
        <v>0</v>
      </c>
      <c r="L58" s="119">
        <f t="shared" si="7"/>
        <v>0</v>
      </c>
      <c r="M58" s="119">
        <f t="shared" si="7"/>
        <v>0</v>
      </c>
      <c r="N58" s="119">
        <f t="shared" si="7"/>
        <v>0</v>
      </c>
      <c r="O58" s="119">
        <f t="shared" si="7"/>
        <v>0</v>
      </c>
      <c r="P58" s="129">
        <f t="shared" si="7"/>
        <v>0</v>
      </c>
    </row>
    <row r="59" spans="2:16">
      <c r="B59" s="101">
        <v>2031</v>
      </c>
      <c r="C59" s="26" t="s">
        <v>913</v>
      </c>
      <c r="D59" s="119">
        <v>0</v>
      </c>
      <c r="E59" s="191"/>
      <c r="F59" s="191"/>
      <c r="G59" s="191"/>
      <c r="H59" s="191"/>
      <c r="I59" s="191"/>
      <c r="J59" s="119">
        <f t="shared" si="7"/>
        <v>0</v>
      </c>
      <c r="K59" s="119">
        <f t="shared" si="7"/>
        <v>0</v>
      </c>
      <c r="L59" s="119">
        <f t="shared" si="7"/>
        <v>0</v>
      </c>
      <c r="M59" s="119">
        <f t="shared" si="7"/>
        <v>0</v>
      </c>
      <c r="N59" s="119">
        <f t="shared" si="7"/>
        <v>0</v>
      </c>
      <c r="O59" s="119">
        <f t="shared" si="7"/>
        <v>0</v>
      </c>
      <c r="P59" s="129">
        <f t="shared" si="7"/>
        <v>0</v>
      </c>
    </row>
    <row r="60" spans="2:16">
      <c r="B60" s="101">
        <v>2032</v>
      </c>
      <c r="C60" s="26" t="s">
        <v>913</v>
      </c>
      <c r="D60" s="119">
        <v>0</v>
      </c>
      <c r="E60" s="191"/>
      <c r="F60" s="191"/>
      <c r="G60" s="191"/>
      <c r="H60" s="191"/>
      <c r="I60" s="191"/>
      <c r="J60" s="191"/>
      <c r="K60" s="119">
        <f t="shared" si="7"/>
        <v>0</v>
      </c>
      <c r="L60" s="119">
        <f t="shared" si="7"/>
        <v>0</v>
      </c>
      <c r="M60" s="119">
        <f t="shared" si="7"/>
        <v>0</v>
      </c>
      <c r="N60" s="119">
        <f t="shared" si="7"/>
        <v>0</v>
      </c>
      <c r="O60" s="119">
        <f t="shared" si="7"/>
        <v>0</v>
      </c>
      <c r="P60" s="129">
        <f t="shared" si="7"/>
        <v>0</v>
      </c>
    </row>
    <row r="61" spans="2:16">
      <c r="B61" s="101">
        <v>2033</v>
      </c>
      <c r="C61" s="26" t="s">
        <v>913</v>
      </c>
      <c r="D61" s="119">
        <v>0</v>
      </c>
      <c r="E61" s="191"/>
      <c r="F61" s="191"/>
      <c r="G61" s="191"/>
      <c r="H61" s="191"/>
      <c r="I61" s="191"/>
      <c r="J61" s="191"/>
      <c r="K61" s="191"/>
      <c r="L61" s="119">
        <f t="shared" si="7"/>
        <v>0</v>
      </c>
      <c r="M61" s="119">
        <f t="shared" si="7"/>
        <v>0</v>
      </c>
      <c r="N61" s="119">
        <f t="shared" si="7"/>
        <v>0</v>
      </c>
      <c r="O61" s="119">
        <f t="shared" si="7"/>
        <v>0</v>
      </c>
      <c r="P61" s="129">
        <f t="shared" si="7"/>
        <v>0</v>
      </c>
    </row>
    <row r="62" spans="2:16">
      <c r="B62" s="101">
        <v>2034</v>
      </c>
      <c r="C62" s="26" t="s">
        <v>913</v>
      </c>
      <c r="D62" s="119">
        <v>0</v>
      </c>
      <c r="E62" s="191"/>
      <c r="F62" s="191"/>
      <c r="G62" s="191"/>
      <c r="H62" s="191"/>
      <c r="I62" s="191"/>
      <c r="J62" s="191"/>
      <c r="K62" s="191"/>
      <c r="L62" s="191"/>
      <c r="M62" s="119">
        <f t="shared" si="7"/>
        <v>0</v>
      </c>
      <c r="N62" s="119">
        <f t="shared" si="7"/>
        <v>0</v>
      </c>
      <c r="O62" s="119">
        <f t="shared" si="7"/>
        <v>0</v>
      </c>
      <c r="P62" s="129">
        <f t="shared" si="7"/>
        <v>0</v>
      </c>
    </row>
    <row r="63" spans="2:16">
      <c r="B63" s="101">
        <v>2035</v>
      </c>
      <c r="C63" s="26" t="s">
        <v>913</v>
      </c>
      <c r="D63" s="119">
        <v>0</v>
      </c>
      <c r="E63" s="191"/>
      <c r="F63" s="191"/>
      <c r="G63" s="191"/>
      <c r="H63" s="191"/>
      <c r="I63" s="191"/>
      <c r="J63" s="191"/>
      <c r="K63" s="191"/>
      <c r="L63" s="191"/>
      <c r="M63" s="191"/>
      <c r="N63" s="119">
        <f t="shared" si="7"/>
        <v>0</v>
      </c>
      <c r="O63" s="119">
        <f t="shared" si="7"/>
        <v>0</v>
      </c>
      <c r="P63" s="129">
        <f t="shared" si="7"/>
        <v>0</v>
      </c>
    </row>
    <row r="64" spans="2:16">
      <c r="B64" s="101">
        <v>2036</v>
      </c>
      <c r="C64" s="26" t="s">
        <v>913</v>
      </c>
      <c r="D64" s="119">
        <v>0</v>
      </c>
      <c r="E64" s="191"/>
      <c r="F64" s="191"/>
      <c r="G64" s="191"/>
      <c r="H64" s="191"/>
      <c r="I64" s="191"/>
      <c r="J64" s="191"/>
      <c r="K64" s="191"/>
      <c r="L64" s="191"/>
      <c r="M64" s="191"/>
      <c r="N64" s="191"/>
      <c r="O64" s="119">
        <f t="shared" si="7"/>
        <v>0</v>
      </c>
      <c r="P64" s="129">
        <f t="shared" si="7"/>
        <v>0</v>
      </c>
    </row>
    <row r="65" spans="2:16">
      <c r="B65" s="101">
        <v>2037</v>
      </c>
      <c r="C65" s="26" t="s">
        <v>913</v>
      </c>
      <c r="D65" s="119">
        <v>0</v>
      </c>
      <c r="E65" s="191"/>
      <c r="F65" s="191"/>
      <c r="G65" s="191"/>
      <c r="H65" s="191"/>
      <c r="I65" s="191"/>
      <c r="J65" s="191"/>
      <c r="K65" s="191"/>
      <c r="L65" s="191"/>
      <c r="M65" s="191"/>
      <c r="N65" s="191"/>
      <c r="O65" s="191"/>
      <c r="P65" s="129">
        <f t="shared" si="7"/>
        <v>0</v>
      </c>
    </row>
    <row r="66" spans="2:16" ht="14.65">
      <c r="B66" s="442" t="s">
        <v>919</v>
      </c>
      <c r="C66" s="443"/>
      <c r="D66" s="192"/>
      <c r="E66" s="124">
        <f t="shared" ref="E66:P66" si="8">SUM(E53:E65)</f>
        <v>0</v>
      </c>
      <c r="F66" s="124">
        <f t="shared" si="8"/>
        <v>0</v>
      </c>
      <c r="G66" s="124">
        <f t="shared" si="8"/>
        <v>0</v>
      </c>
      <c r="H66" s="124">
        <f t="shared" si="8"/>
        <v>0</v>
      </c>
      <c r="I66" s="124">
        <f t="shared" si="8"/>
        <v>0</v>
      </c>
      <c r="J66" s="124">
        <f t="shared" si="8"/>
        <v>0</v>
      </c>
      <c r="K66" s="124">
        <f t="shared" si="8"/>
        <v>0</v>
      </c>
      <c r="L66" s="124">
        <f t="shared" si="8"/>
        <v>0</v>
      </c>
      <c r="M66" s="124">
        <f t="shared" si="8"/>
        <v>0</v>
      </c>
      <c r="N66" s="124">
        <f t="shared" si="8"/>
        <v>0</v>
      </c>
      <c r="O66" s="124">
        <f t="shared" si="8"/>
        <v>0</v>
      </c>
      <c r="P66" s="139">
        <f t="shared" si="8"/>
        <v>0</v>
      </c>
    </row>
    <row r="68" spans="2:16">
      <c r="B68" s="194" t="s">
        <v>920</v>
      </c>
      <c r="C68" s="118"/>
      <c r="D68" s="118"/>
      <c r="E68" s="118"/>
      <c r="F68" s="118"/>
      <c r="G68" s="118"/>
      <c r="H68" s="118"/>
      <c r="I68" s="118"/>
      <c r="J68" s="118"/>
      <c r="K68" s="118"/>
      <c r="L68" s="118"/>
      <c r="M68" s="118"/>
      <c r="N68" s="118"/>
      <c r="O68" s="118"/>
      <c r="P68" s="125"/>
    </row>
    <row r="69" spans="2:16">
      <c r="B69" s="101" t="s">
        <v>907</v>
      </c>
      <c r="C69" s="188"/>
      <c r="E69" s="26" t="s">
        <v>908</v>
      </c>
      <c r="F69" s="190"/>
      <c r="H69" s="26" t="s">
        <v>909</v>
      </c>
      <c r="I69" s="195" t="e">
        <f>(1-F69)/C69</f>
        <v>#DIV/0!</v>
      </c>
      <c r="N69" s="119"/>
      <c r="P69" s="131"/>
    </row>
    <row r="70" spans="2:16">
      <c r="B70" s="101"/>
      <c r="E70" s="193">
        <f>假设表!I2</f>
        <v>2026</v>
      </c>
      <c r="F70" s="193">
        <f>假设表!J2</f>
        <v>2027</v>
      </c>
      <c r="G70" s="193">
        <f>假设表!K2</f>
        <v>2028</v>
      </c>
      <c r="H70" s="193">
        <f>假设表!L2</f>
        <v>2029</v>
      </c>
      <c r="I70" s="193">
        <f>假设表!M2</f>
        <v>2030</v>
      </c>
      <c r="J70" s="193">
        <f>假设表!N2</f>
        <v>2031</v>
      </c>
      <c r="K70" s="193">
        <f>假设表!O2</f>
        <v>2032</v>
      </c>
      <c r="L70" s="193">
        <f>假设表!P2</f>
        <v>2033</v>
      </c>
      <c r="M70" s="193">
        <f>假设表!Q2</f>
        <v>2034</v>
      </c>
      <c r="N70" s="193">
        <f>假设表!R2</f>
        <v>2035</v>
      </c>
      <c r="O70" s="193">
        <f>假设表!S2</f>
        <v>2036</v>
      </c>
      <c r="P70" s="197">
        <f>假设表!T2</f>
        <v>2037</v>
      </c>
    </row>
    <row r="71" spans="2:16">
      <c r="B71" s="101" t="s">
        <v>910</v>
      </c>
      <c r="C71" s="26" t="s">
        <v>911</v>
      </c>
      <c r="P71" s="131"/>
    </row>
    <row r="72" spans="2:16">
      <c r="B72" s="101">
        <f t="array" ref="B72:B84">TRANSPOSE(假设表!H2:T2)</f>
        <v>2025</v>
      </c>
      <c r="C72" s="26" t="s">
        <v>912</v>
      </c>
      <c r="D72" s="119">
        <f t="array" ref="D72:D84">TRANSPOSE(假设表!H89:T89)</f>
        <v>0</v>
      </c>
      <c r="E72" s="119">
        <f>IF(E$70-$B72&lt;=$C$69,$I$69*$D72,0)</f>
        <v>0</v>
      </c>
      <c r="F72" s="119">
        <f t="shared" ref="F72:P72" si="9">IF(F$70-$B72&lt;=$C$69,$I$69*$D72,0)</f>
        <v>0</v>
      </c>
      <c r="G72" s="119">
        <f t="shared" si="9"/>
        <v>0</v>
      </c>
      <c r="H72" s="119">
        <f t="shared" si="9"/>
        <v>0</v>
      </c>
      <c r="I72" s="119">
        <f t="shared" si="9"/>
        <v>0</v>
      </c>
      <c r="J72" s="119">
        <f t="shared" si="9"/>
        <v>0</v>
      </c>
      <c r="K72" s="119">
        <f t="shared" si="9"/>
        <v>0</v>
      </c>
      <c r="L72" s="119">
        <f t="shared" si="9"/>
        <v>0</v>
      </c>
      <c r="M72" s="119">
        <f t="shared" si="9"/>
        <v>0</v>
      </c>
      <c r="N72" s="119">
        <f t="shared" si="9"/>
        <v>0</v>
      </c>
      <c r="O72" s="119">
        <f t="shared" si="9"/>
        <v>0</v>
      </c>
      <c r="P72" s="129">
        <f t="shared" si="9"/>
        <v>0</v>
      </c>
    </row>
    <row r="73" spans="2:16">
      <c r="B73" s="101">
        <v>2026</v>
      </c>
      <c r="C73" s="26" t="s">
        <v>913</v>
      </c>
      <c r="D73" s="119">
        <v>0</v>
      </c>
      <c r="E73" s="119">
        <f>IF(E$70-$B73&lt;=$C$69-1,$I$69*$D73,0)</f>
        <v>0</v>
      </c>
      <c r="F73" s="119">
        <f t="shared" ref="F73:P84" si="10">IF(F$70-$B73&lt;=$C$69-1,$I$69*$D73,0)</f>
        <v>0</v>
      </c>
      <c r="G73" s="119">
        <f t="shared" si="10"/>
        <v>0</v>
      </c>
      <c r="H73" s="119">
        <f t="shared" si="10"/>
        <v>0</v>
      </c>
      <c r="I73" s="119">
        <f t="shared" si="10"/>
        <v>0</v>
      </c>
      <c r="J73" s="119">
        <f t="shared" si="10"/>
        <v>0</v>
      </c>
      <c r="K73" s="119">
        <f t="shared" si="10"/>
        <v>0</v>
      </c>
      <c r="L73" s="119">
        <f t="shared" si="10"/>
        <v>0</v>
      </c>
      <c r="M73" s="119">
        <f t="shared" si="10"/>
        <v>0</v>
      </c>
      <c r="N73" s="119">
        <f t="shared" si="10"/>
        <v>0</v>
      </c>
      <c r="O73" s="119">
        <f t="shared" si="10"/>
        <v>0</v>
      </c>
      <c r="P73" s="129">
        <f t="shared" si="10"/>
        <v>0</v>
      </c>
    </row>
    <row r="74" spans="2:16">
      <c r="B74" s="101">
        <v>2027</v>
      </c>
      <c r="C74" s="26" t="s">
        <v>913</v>
      </c>
      <c r="D74" s="119">
        <v>0</v>
      </c>
      <c r="E74" s="191"/>
      <c r="F74" s="119">
        <f t="shared" si="10"/>
        <v>0</v>
      </c>
      <c r="G74" s="119">
        <f t="shared" si="10"/>
        <v>0</v>
      </c>
      <c r="H74" s="119">
        <f t="shared" si="10"/>
        <v>0</v>
      </c>
      <c r="I74" s="119">
        <f t="shared" si="10"/>
        <v>0</v>
      </c>
      <c r="J74" s="119">
        <f t="shared" si="10"/>
        <v>0</v>
      </c>
      <c r="K74" s="119">
        <f t="shared" si="10"/>
        <v>0</v>
      </c>
      <c r="L74" s="119">
        <f t="shared" si="10"/>
        <v>0</v>
      </c>
      <c r="M74" s="119">
        <f t="shared" si="10"/>
        <v>0</v>
      </c>
      <c r="N74" s="119">
        <f t="shared" si="10"/>
        <v>0</v>
      </c>
      <c r="O74" s="119">
        <f t="shared" si="10"/>
        <v>0</v>
      </c>
      <c r="P74" s="129">
        <f t="shared" si="10"/>
        <v>0</v>
      </c>
    </row>
    <row r="75" spans="2:16">
      <c r="B75" s="101">
        <v>2028</v>
      </c>
      <c r="C75" s="26" t="s">
        <v>913</v>
      </c>
      <c r="D75" s="119">
        <v>0</v>
      </c>
      <c r="E75" s="191"/>
      <c r="F75" s="191"/>
      <c r="G75" s="119">
        <f t="shared" si="10"/>
        <v>0</v>
      </c>
      <c r="H75" s="119">
        <f t="shared" si="10"/>
        <v>0</v>
      </c>
      <c r="I75" s="119">
        <f t="shared" si="10"/>
        <v>0</v>
      </c>
      <c r="J75" s="119">
        <f t="shared" si="10"/>
        <v>0</v>
      </c>
      <c r="K75" s="119">
        <f t="shared" si="10"/>
        <v>0</v>
      </c>
      <c r="L75" s="119">
        <f t="shared" si="10"/>
        <v>0</v>
      </c>
      <c r="M75" s="119">
        <f t="shared" si="10"/>
        <v>0</v>
      </c>
      <c r="N75" s="119">
        <f t="shared" si="10"/>
        <v>0</v>
      </c>
      <c r="O75" s="119">
        <f t="shared" si="10"/>
        <v>0</v>
      </c>
      <c r="P75" s="129">
        <f t="shared" si="10"/>
        <v>0</v>
      </c>
    </row>
    <row r="76" spans="2:16">
      <c r="B76" s="101">
        <v>2029</v>
      </c>
      <c r="C76" s="26" t="s">
        <v>913</v>
      </c>
      <c r="D76" s="119">
        <v>0</v>
      </c>
      <c r="E76" s="191"/>
      <c r="F76" s="191"/>
      <c r="G76" s="191"/>
      <c r="H76" s="119">
        <f t="shared" si="10"/>
        <v>0</v>
      </c>
      <c r="I76" s="119">
        <f t="shared" si="10"/>
        <v>0</v>
      </c>
      <c r="J76" s="119">
        <f t="shared" si="10"/>
        <v>0</v>
      </c>
      <c r="K76" s="119">
        <f t="shared" si="10"/>
        <v>0</v>
      </c>
      <c r="L76" s="119">
        <f t="shared" si="10"/>
        <v>0</v>
      </c>
      <c r="M76" s="119">
        <f t="shared" si="10"/>
        <v>0</v>
      </c>
      <c r="N76" s="119">
        <f t="shared" si="10"/>
        <v>0</v>
      </c>
      <c r="O76" s="119">
        <f t="shared" si="10"/>
        <v>0</v>
      </c>
      <c r="P76" s="129">
        <f t="shared" si="10"/>
        <v>0</v>
      </c>
    </row>
    <row r="77" spans="2:16">
      <c r="B77" s="101">
        <v>2030</v>
      </c>
      <c r="C77" s="26" t="s">
        <v>913</v>
      </c>
      <c r="D77" s="119">
        <v>0</v>
      </c>
      <c r="E77" s="191"/>
      <c r="F77" s="191"/>
      <c r="G77" s="191"/>
      <c r="H77" s="191"/>
      <c r="I77" s="119">
        <f t="shared" si="10"/>
        <v>0</v>
      </c>
      <c r="J77" s="119">
        <f t="shared" si="10"/>
        <v>0</v>
      </c>
      <c r="K77" s="119">
        <f t="shared" si="10"/>
        <v>0</v>
      </c>
      <c r="L77" s="119">
        <f t="shared" si="10"/>
        <v>0</v>
      </c>
      <c r="M77" s="119">
        <f t="shared" si="10"/>
        <v>0</v>
      </c>
      <c r="N77" s="119">
        <f t="shared" si="10"/>
        <v>0</v>
      </c>
      <c r="O77" s="119">
        <f t="shared" si="10"/>
        <v>0</v>
      </c>
      <c r="P77" s="129">
        <f t="shared" si="10"/>
        <v>0</v>
      </c>
    </row>
    <row r="78" spans="2:16">
      <c r="B78" s="101">
        <v>2031</v>
      </c>
      <c r="C78" s="26" t="s">
        <v>913</v>
      </c>
      <c r="D78" s="119">
        <v>0</v>
      </c>
      <c r="E78" s="191"/>
      <c r="F78" s="191"/>
      <c r="G78" s="191"/>
      <c r="H78" s="191"/>
      <c r="I78" s="191"/>
      <c r="J78" s="119">
        <f t="shared" si="10"/>
        <v>0</v>
      </c>
      <c r="K78" s="119">
        <f t="shared" si="10"/>
        <v>0</v>
      </c>
      <c r="L78" s="119">
        <f t="shared" si="10"/>
        <v>0</v>
      </c>
      <c r="M78" s="119">
        <f t="shared" si="10"/>
        <v>0</v>
      </c>
      <c r="N78" s="119">
        <f t="shared" si="10"/>
        <v>0</v>
      </c>
      <c r="O78" s="119">
        <f t="shared" si="10"/>
        <v>0</v>
      </c>
      <c r="P78" s="129">
        <f t="shared" si="10"/>
        <v>0</v>
      </c>
    </row>
    <row r="79" spans="2:16">
      <c r="B79" s="101">
        <v>2032</v>
      </c>
      <c r="C79" s="26" t="s">
        <v>913</v>
      </c>
      <c r="D79" s="119">
        <v>0</v>
      </c>
      <c r="E79" s="191"/>
      <c r="F79" s="191"/>
      <c r="G79" s="191"/>
      <c r="H79" s="191"/>
      <c r="I79" s="191"/>
      <c r="J79" s="191"/>
      <c r="K79" s="119">
        <f t="shared" si="10"/>
        <v>0</v>
      </c>
      <c r="L79" s="119">
        <f t="shared" si="10"/>
        <v>0</v>
      </c>
      <c r="M79" s="119">
        <f t="shared" si="10"/>
        <v>0</v>
      </c>
      <c r="N79" s="119">
        <f t="shared" si="10"/>
        <v>0</v>
      </c>
      <c r="O79" s="119">
        <f t="shared" si="10"/>
        <v>0</v>
      </c>
      <c r="P79" s="129">
        <f t="shared" si="10"/>
        <v>0</v>
      </c>
    </row>
    <row r="80" spans="2:16">
      <c r="B80" s="101">
        <v>2033</v>
      </c>
      <c r="C80" s="26" t="s">
        <v>913</v>
      </c>
      <c r="D80" s="119">
        <v>0</v>
      </c>
      <c r="E80" s="191"/>
      <c r="F80" s="191"/>
      <c r="G80" s="191"/>
      <c r="H80" s="191"/>
      <c r="I80" s="191"/>
      <c r="J80" s="191"/>
      <c r="K80" s="191"/>
      <c r="L80" s="119">
        <f t="shared" si="10"/>
        <v>0</v>
      </c>
      <c r="M80" s="119">
        <f t="shared" si="10"/>
        <v>0</v>
      </c>
      <c r="N80" s="119">
        <f t="shared" si="10"/>
        <v>0</v>
      </c>
      <c r="O80" s="119">
        <f t="shared" si="10"/>
        <v>0</v>
      </c>
      <c r="P80" s="129">
        <f t="shared" si="10"/>
        <v>0</v>
      </c>
    </row>
    <row r="81" spans="2:16">
      <c r="B81" s="101">
        <v>2034</v>
      </c>
      <c r="C81" s="26" t="s">
        <v>913</v>
      </c>
      <c r="D81" s="119">
        <v>0</v>
      </c>
      <c r="E81" s="191"/>
      <c r="F81" s="191"/>
      <c r="G81" s="191"/>
      <c r="H81" s="191"/>
      <c r="I81" s="191"/>
      <c r="J81" s="191"/>
      <c r="K81" s="191"/>
      <c r="L81" s="191"/>
      <c r="M81" s="119">
        <f t="shared" si="10"/>
        <v>0</v>
      </c>
      <c r="N81" s="119">
        <f t="shared" si="10"/>
        <v>0</v>
      </c>
      <c r="O81" s="119">
        <f t="shared" si="10"/>
        <v>0</v>
      </c>
      <c r="P81" s="129">
        <f t="shared" si="10"/>
        <v>0</v>
      </c>
    </row>
    <row r="82" spans="2:16">
      <c r="B82" s="101">
        <v>2035</v>
      </c>
      <c r="C82" s="26" t="s">
        <v>913</v>
      </c>
      <c r="D82" s="119">
        <v>0</v>
      </c>
      <c r="E82" s="191"/>
      <c r="F82" s="191"/>
      <c r="G82" s="191"/>
      <c r="H82" s="191"/>
      <c r="I82" s="191"/>
      <c r="J82" s="191"/>
      <c r="K82" s="191"/>
      <c r="L82" s="191"/>
      <c r="M82" s="191"/>
      <c r="N82" s="119">
        <f t="shared" si="10"/>
        <v>0</v>
      </c>
      <c r="O82" s="119">
        <f t="shared" si="10"/>
        <v>0</v>
      </c>
      <c r="P82" s="129">
        <f t="shared" si="10"/>
        <v>0</v>
      </c>
    </row>
    <row r="83" spans="2:16">
      <c r="B83" s="101">
        <v>2036</v>
      </c>
      <c r="C83" s="26" t="s">
        <v>913</v>
      </c>
      <c r="D83" s="119">
        <v>0</v>
      </c>
      <c r="E83" s="191"/>
      <c r="F83" s="191"/>
      <c r="G83" s="191"/>
      <c r="H83" s="191"/>
      <c r="I83" s="191"/>
      <c r="J83" s="191"/>
      <c r="K83" s="191"/>
      <c r="L83" s="191"/>
      <c r="M83" s="191"/>
      <c r="N83" s="191"/>
      <c r="O83" s="119">
        <f t="shared" si="10"/>
        <v>0</v>
      </c>
      <c r="P83" s="129">
        <f t="shared" si="10"/>
        <v>0</v>
      </c>
    </row>
    <row r="84" spans="2:16">
      <c r="B84" s="101">
        <v>2037</v>
      </c>
      <c r="C84" s="26" t="s">
        <v>913</v>
      </c>
      <c r="D84" s="119">
        <v>0</v>
      </c>
      <c r="E84" s="191"/>
      <c r="F84" s="191"/>
      <c r="G84" s="191"/>
      <c r="H84" s="191"/>
      <c r="I84" s="191"/>
      <c r="J84" s="191"/>
      <c r="K84" s="191"/>
      <c r="L84" s="191"/>
      <c r="M84" s="191"/>
      <c r="N84" s="191"/>
      <c r="O84" s="191"/>
      <c r="P84" s="129">
        <f t="shared" si="10"/>
        <v>0</v>
      </c>
    </row>
    <row r="85" spans="2:16" ht="14.65">
      <c r="B85" s="442" t="s">
        <v>921</v>
      </c>
      <c r="C85" s="443"/>
      <c r="D85" s="192"/>
      <c r="E85" s="124">
        <f t="shared" ref="E85:P85" si="11">SUM(E72:E84)</f>
        <v>0</v>
      </c>
      <c r="F85" s="124">
        <f t="shared" si="11"/>
        <v>0</v>
      </c>
      <c r="G85" s="124">
        <f t="shared" si="11"/>
        <v>0</v>
      </c>
      <c r="H85" s="124">
        <f t="shared" si="11"/>
        <v>0</v>
      </c>
      <c r="I85" s="124">
        <f t="shared" si="11"/>
        <v>0</v>
      </c>
      <c r="J85" s="124">
        <f t="shared" si="11"/>
        <v>0</v>
      </c>
      <c r="K85" s="124">
        <f t="shared" si="11"/>
        <v>0</v>
      </c>
      <c r="L85" s="124">
        <f t="shared" si="11"/>
        <v>0</v>
      </c>
      <c r="M85" s="124">
        <f t="shared" si="11"/>
        <v>0</v>
      </c>
      <c r="N85" s="124">
        <f t="shared" si="11"/>
        <v>0</v>
      </c>
      <c r="O85" s="124">
        <f t="shared" si="11"/>
        <v>0</v>
      </c>
      <c r="P85" s="139">
        <f t="shared" si="11"/>
        <v>0</v>
      </c>
    </row>
    <row r="87" spans="2:16">
      <c r="B87" s="194" t="s">
        <v>922</v>
      </c>
      <c r="C87" s="118"/>
      <c r="D87" s="118"/>
      <c r="E87" s="118"/>
      <c r="F87" s="118"/>
      <c r="G87" s="118"/>
      <c r="H87" s="118"/>
      <c r="I87" s="118"/>
      <c r="J87" s="118"/>
      <c r="K87" s="118"/>
      <c r="L87" s="118"/>
      <c r="M87" s="118"/>
      <c r="N87" s="118"/>
      <c r="O87" s="118"/>
      <c r="P87" s="125"/>
    </row>
    <row r="88" spans="2:16">
      <c r="B88" s="101" t="s">
        <v>907</v>
      </c>
      <c r="C88" s="188"/>
      <c r="E88" s="26" t="s">
        <v>908</v>
      </c>
      <c r="F88" s="190"/>
      <c r="H88" s="26" t="s">
        <v>909</v>
      </c>
      <c r="I88" s="195" t="e">
        <f>(1-F88)/C88</f>
        <v>#DIV/0!</v>
      </c>
      <c r="N88" s="119"/>
      <c r="P88" s="131"/>
    </row>
    <row r="89" spans="2:16">
      <c r="B89" s="101"/>
      <c r="E89" s="193">
        <f>假设表!I2</f>
        <v>2026</v>
      </c>
      <c r="F89" s="193">
        <f>假设表!J2</f>
        <v>2027</v>
      </c>
      <c r="G89" s="193">
        <f>假设表!K2</f>
        <v>2028</v>
      </c>
      <c r="H89" s="193">
        <f>假设表!L2</f>
        <v>2029</v>
      </c>
      <c r="I89" s="193">
        <f>假设表!M2</f>
        <v>2030</v>
      </c>
      <c r="J89" s="193">
        <f>假设表!N2</f>
        <v>2031</v>
      </c>
      <c r="K89" s="193">
        <f>假设表!O2</f>
        <v>2032</v>
      </c>
      <c r="L89" s="193">
        <f>假设表!P2</f>
        <v>2033</v>
      </c>
      <c r="M89" s="193">
        <f>假设表!Q2</f>
        <v>2034</v>
      </c>
      <c r="N89" s="193">
        <f>假设表!R2</f>
        <v>2035</v>
      </c>
      <c r="O89" s="193">
        <f>假设表!S2</f>
        <v>2036</v>
      </c>
      <c r="P89" s="197">
        <f>假设表!T2</f>
        <v>2037</v>
      </c>
    </row>
    <row r="90" spans="2:16">
      <c r="B90" s="101" t="s">
        <v>910</v>
      </c>
      <c r="C90" s="26" t="s">
        <v>911</v>
      </c>
      <c r="P90" s="131"/>
    </row>
    <row r="91" spans="2:16">
      <c r="B91" s="101">
        <f t="array" ref="B91:B103">TRANSPOSE(假设表!H2:T2)</f>
        <v>2025</v>
      </c>
      <c r="C91" s="26" t="s">
        <v>912</v>
      </c>
      <c r="D91" s="119">
        <f t="array" ref="D91:D103">TRANSPOSE(假设表!H90:T90)</f>
        <v>462.27065841000001</v>
      </c>
      <c r="E91" s="119">
        <f>IF(E$89-$B91&lt;=$C$88,$I$88*$D91,0)</f>
        <v>0</v>
      </c>
      <c r="F91" s="119">
        <f t="shared" ref="F91:P91" si="12">IF(F$89-$B91&lt;=$C$88,$I$88*$D91,0)</f>
        <v>0</v>
      </c>
      <c r="G91" s="119">
        <f t="shared" si="12"/>
        <v>0</v>
      </c>
      <c r="H91" s="119">
        <f t="shared" si="12"/>
        <v>0</v>
      </c>
      <c r="I91" s="119">
        <f t="shared" si="12"/>
        <v>0</v>
      </c>
      <c r="J91" s="119">
        <f t="shared" si="12"/>
        <v>0</v>
      </c>
      <c r="K91" s="119">
        <f t="shared" si="12"/>
        <v>0</v>
      </c>
      <c r="L91" s="119">
        <f t="shared" si="12"/>
        <v>0</v>
      </c>
      <c r="M91" s="119">
        <f t="shared" si="12"/>
        <v>0</v>
      </c>
      <c r="N91" s="119">
        <f t="shared" si="12"/>
        <v>0</v>
      </c>
      <c r="O91" s="119">
        <f t="shared" si="12"/>
        <v>0</v>
      </c>
      <c r="P91" s="129">
        <f t="shared" si="12"/>
        <v>0</v>
      </c>
    </row>
    <row r="92" spans="2:16">
      <c r="B92" s="101">
        <v>2026</v>
      </c>
      <c r="C92" s="26" t="s">
        <v>913</v>
      </c>
      <c r="D92" s="119">
        <v>0</v>
      </c>
      <c r="E92" s="119">
        <f>IF(E$89-$B92&lt;=$C$88-1,$I$88*$D92,0)</f>
        <v>0</v>
      </c>
      <c r="F92" s="119">
        <f t="shared" ref="F92:P103" si="13">IF(F$89-$B92&lt;=$C$88-1,$I$88*$D92,0)</f>
        <v>0</v>
      </c>
      <c r="G92" s="119">
        <f t="shared" si="13"/>
        <v>0</v>
      </c>
      <c r="H92" s="119">
        <f t="shared" si="13"/>
        <v>0</v>
      </c>
      <c r="I92" s="119">
        <f t="shared" si="13"/>
        <v>0</v>
      </c>
      <c r="J92" s="119">
        <f t="shared" si="13"/>
        <v>0</v>
      </c>
      <c r="K92" s="119">
        <f t="shared" si="13"/>
        <v>0</v>
      </c>
      <c r="L92" s="119">
        <f t="shared" si="13"/>
        <v>0</v>
      </c>
      <c r="M92" s="119">
        <f t="shared" si="13"/>
        <v>0</v>
      </c>
      <c r="N92" s="119">
        <f t="shared" si="13"/>
        <v>0</v>
      </c>
      <c r="O92" s="119">
        <f t="shared" si="13"/>
        <v>0</v>
      </c>
      <c r="P92" s="129">
        <f t="shared" si="13"/>
        <v>0</v>
      </c>
    </row>
    <row r="93" spans="2:16">
      <c r="B93" s="101">
        <v>2027</v>
      </c>
      <c r="C93" s="26" t="s">
        <v>913</v>
      </c>
      <c r="D93" s="119">
        <v>0</v>
      </c>
      <c r="E93" s="191"/>
      <c r="F93" s="119">
        <f t="shared" si="13"/>
        <v>0</v>
      </c>
      <c r="G93" s="119">
        <f t="shared" si="13"/>
        <v>0</v>
      </c>
      <c r="H93" s="119">
        <f t="shared" si="13"/>
        <v>0</v>
      </c>
      <c r="I93" s="119">
        <f t="shared" si="13"/>
        <v>0</v>
      </c>
      <c r="J93" s="119">
        <f t="shared" si="13"/>
        <v>0</v>
      </c>
      <c r="K93" s="119">
        <f t="shared" si="13"/>
        <v>0</v>
      </c>
      <c r="L93" s="119">
        <f t="shared" si="13"/>
        <v>0</v>
      </c>
      <c r="M93" s="119">
        <f t="shared" si="13"/>
        <v>0</v>
      </c>
      <c r="N93" s="119">
        <f t="shared" si="13"/>
        <v>0</v>
      </c>
      <c r="O93" s="119">
        <f t="shared" si="13"/>
        <v>0</v>
      </c>
      <c r="P93" s="129">
        <f t="shared" si="13"/>
        <v>0</v>
      </c>
    </row>
    <row r="94" spans="2:16">
      <c r="B94" s="101">
        <v>2028</v>
      </c>
      <c r="C94" s="26" t="s">
        <v>913</v>
      </c>
      <c r="D94" s="119">
        <v>0</v>
      </c>
      <c r="E94" s="191"/>
      <c r="F94" s="191"/>
      <c r="G94" s="119">
        <f t="shared" si="13"/>
        <v>0</v>
      </c>
      <c r="H94" s="119">
        <f t="shared" si="13"/>
        <v>0</v>
      </c>
      <c r="I94" s="119">
        <f t="shared" si="13"/>
        <v>0</v>
      </c>
      <c r="J94" s="119">
        <f t="shared" si="13"/>
        <v>0</v>
      </c>
      <c r="K94" s="119">
        <f t="shared" si="13"/>
        <v>0</v>
      </c>
      <c r="L94" s="119">
        <f t="shared" si="13"/>
        <v>0</v>
      </c>
      <c r="M94" s="119">
        <f t="shared" si="13"/>
        <v>0</v>
      </c>
      <c r="N94" s="119">
        <f t="shared" si="13"/>
        <v>0</v>
      </c>
      <c r="O94" s="119">
        <f t="shared" si="13"/>
        <v>0</v>
      </c>
      <c r="P94" s="129">
        <f t="shared" si="13"/>
        <v>0</v>
      </c>
    </row>
    <row r="95" spans="2:16">
      <c r="B95" s="101">
        <v>2029</v>
      </c>
      <c r="C95" s="26" t="s">
        <v>913</v>
      </c>
      <c r="D95" s="119">
        <v>0</v>
      </c>
      <c r="E95" s="191"/>
      <c r="F95" s="191"/>
      <c r="G95" s="191"/>
      <c r="H95" s="119">
        <f t="shared" si="13"/>
        <v>0</v>
      </c>
      <c r="I95" s="119">
        <f t="shared" si="13"/>
        <v>0</v>
      </c>
      <c r="J95" s="119">
        <f t="shared" si="13"/>
        <v>0</v>
      </c>
      <c r="K95" s="119">
        <f t="shared" si="13"/>
        <v>0</v>
      </c>
      <c r="L95" s="119">
        <f t="shared" si="13"/>
        <v>0</v>
      </c>
      <c r="M95" s="119">
        <f t="shared" si="13"/>
        <v>0</v>
      </c>
      <c r="N95" s="119">
        <f t="shared" si="13"/>
        <v>0</v>
      </c>
      <c r="O95" s="119">
        <f t="shared" si="13"/>
        <v>0</v>
      </c>
      <c r="P95" s="129">
        <f t="shared" si="13"/>
        <v>0</v>
      </c>
    </row>
    <row r="96" spans="2:16">
      <c r="B96" s="101">
        <v>2030</v>
      </c>
      <c r="C96" s="26" t="s">
        <v>913</v>
      </c>
      <c r="D96" s="119">
        <v>0</v>
      </c>
      <c r="E96" s="191"/>
      <c r="F96" s="191"/>
      <c r="G96" s="191"/>
      <c r="H96" s="191"/>
      <c r="I96" s="119">
        <f t="shared" si="13"/>
        <v>0</v>
      </c>
      <c r="J96" s="119">
        <f t="shared" si="13"/>
        <v>0</v>
      </c>
      <c r="K96" s="119">
        <f t="shared" si="13"/>
        <v>0</v>
      </c>
      <c r="L96" s="119">
        <f t="shared" si="13"/>
        <v>0</v>
      </c>
      <c r="M96" s="119">
        <f t="shared" si="13"/>
        <v>0</v>
      </c>
      <c r="N96" s="119">
        <f t="shared" si="13"/>
        <v>0</v>
      </c>
      <c r="O96" s="119">
        <f t="shared" si="13"/>
        <v>0</v>
      </c>
      <c r="P96" s="129">
        <f t="shared" si="13"/>
        <v>0</v>
      </c>
    </row>
    <row r="97" spans="2:16">
      <c r="B97" s="101">
        <v>2031</v>
      </c>
      <c r="C97" s="26" t="s">
        <v>913</v>
      </c>
      <c r="D97" s="119">
        <v>0</v>
      </c>
      <c r="E97" s="191"/>
      <c r="F97" s="191"/>
      <c r="G97" s="191"/>
      <c r="H97" s="191"/>
      <c r="I97" s="191"/>
      <c r="J97" s="119">
        <f t="shared" si="13"/>
        <v>0</v>
      </c>
      <c r="K97" s="119">
        <f t="shared" si="13"/>
        <v>0</v>
      </c>
      <c r="L97" s="119">
        <f t="shared" si="13"/>
        <v>0</v>
      </c>
      <c r="M97" s="119">
        <f t="shared" si="13"/>
        <v>0</v>
      </c>
      <c r="N97" s="119">
        <f t="shared" si="13"/>
        <v>0</v>
      </c>
      <c r="O97" s="119">
        <f t="shared" si="13"/>
        <v>0</v>
      </c>
      <c r="P97" s="129">
        <f t="shared" si="13"/>
        <v>0</v>
      </c>
    </row>
    <row r="98" spans="2:16">
      <c r="B98" s="101">
        <v>2032</v>
      </c>
      <c r="C98" s="26" t="s">
        <v>913</v>
      </c>
      <c r="D98" s="119">
        <v>0</v>
      </c>
      <c r="E98" s="191"/>
      <c r="F98" s="191"/>
      <c r="G98" s="191"/>
      <c r="H98" s="191"/>
      <c r="I98" s="191"/>
      <c r="J98" s="191"/>
      <c r="K98" s="119">
        <f t="shared" si="13"/>
        <v>0</v>
      </c>
      <c r="L98" s="119">
        <f t="shared" si="13"/>
        <v>0</v>
      </c>
      <c r="M98" s="119">
        <f t="shared" si="13"/>
        <v>0</v>
      </c>
      <c r="N98" s="119">
        <f t="shared" si="13"/>
        <v>0</v>
      </c>
      <c r="O98" s="119">
        <f t="shared" si="13"/>
        <v>0</v>
      </c>
      <c r="P98" s="129">
        <f t="shared" si="13"/>
        <v>0</v>
      </c>
    </row>
    <row r="99" spans="2:16">
      <c r="B99" s="101">
        <v>2033</v>
      </c>
      <c r="C99" s="26" t="s">
        <v>913</v>
      </c>
      <c r="D99" s="119">
        <v>0</v>
      </c>
      <c r="E99" s="191"/>
      <c r="F99" s="191"/>
      <c r="G99" s="191"/>
      <c r="H99" s="191"/>
      <c r="I99" s="191"/>
      <c r="J99" s="191"/>
      <c r="K99" s="191"/>
      <c r="L99" s="119">
        <f t="shared" si="13"/>
        <v>0</v>
      </c>
      <c r="M99" s="119">
        <f t="shared" si="13"/>
        <v>0</v>
      </c>
      <c r="N99" s="119">
        <f t="shared" si="13"/>
        <v>0</v>
      </c>
      <c r="O99" s="119">
        <f t="shared" si="13"/>
        <v>0</v>
      </c>
      <c r="P99" s="129">
        <f t="shared" si="13"/>
        <v>0</v>
      </c>
    </row>
    <row r="100" spans="2:16">
      <c r="B100" s="101">
        <v>2034</v>
      </c>
      <c r="C100" s="26" t="s">
        <v>913</v>
      </c>
      <c r="D100" s="119">
        <v>0</v>
      </c>
      <c r="E100" s="191"/>
      <c r="F100" s="191"/>
      <c r="G100" s="191"/>
      <c r="H100" s="191"/>
      <c r="I100" s="191"/>
      <c r="J100" s="191"/>
      <c r="K100" s="191"/>
      <c r="L100" s="191"/>
      <c r="M100" s="119">
        <f t="shared" si="13"/>
        <v>0</v>
      </c>
      <c r="N100" s="119">
        <f t="shared" si="13"/>
        <v>0</v>
      </c>
      <c r="O100" s="119">
        <f t="shared" si="13"/>
        <v>0</v>
      </c>
      <c r="P100" s="129">
        <f t="shared" si="13"/>
        <v>0</v>
      </c>
    </row>
    <row r="101" spans="2:16">
      <c r="B101" s="101">
        <v>2035</v>
      </c>
      <c r="C101" s="26" t="s">
        <v>913</v>
      </c>
      <c r="D101" s="119">
        <v>0</v>
      </c>
      <c r="E101" s="191"/>
      <c r="F101" s="191"/>
      <c r="G101" s="191"/>
      <c r="H101" s="191"/>
      <c r="I101" s="191"/>
      <c r="J101" s="191"/>
      <c r="K101" s="191"/>
      <c r="L101" s="191"/>
      <c r="M101" s="191"/>
      <c r="N101" s="119">
        <f t="shared" si="13"/>
        <v>0</v>
      </c>
      <c r="O101" s="119">
        <f t="shared" si="13"/>
        <v>0</v>
      </c>
      <c r="P101" s="129">
        <f t="shared" si="13"/>
        <v>0</v>
      </c>
    </row>
    <row r="102" spans="2:16">
      <c r="B102" s="101">
        <v>2036</v>
      </c>
      <c r="C102" s="26" t="s">
        <v>913</v>
      </c>
      <c r="D102" s="119">
        <v>0</v>
      </c>
      <c r="E102" s="191"/>
      <c r="F102" s="191"/>
      <c r="G102" s="191"/>
      <c r="H102" s="191"/>
      <c r="I102" s="191"/>
      <c r="J102" s="191"/>
      <c r="K102" s="191"/>
      <c r="L102" s="191"/>
      <c r="M102" s="191"/>
      <c r="N102" s="191"/>
      <c r="O102" s="119">
        <f t="shared" si="13"/>
        <v>0</v>
      </c>
      <c r="P102" s="129">
        <f t="shared" si="13"/>
        <v>0</v>
      </c>
    </row>
    <row r="103" spans="2:16">
      <c r="B103" s="101">
        <v>2037</v>
      </c>
      <c r="C103" s="26" t="s">
        <v>913</v>
      </c>
      <c r="D103" s="119">
        <v>0</v>
      </c>
      <c r="E103" s="191"/>
      <c r="F103" s="191"/>
      <c r="G103" s="191"/>
      <c r="H103" s="191"/>
      <c r="I103" s="191"/>
      <c r="J103" s="191"/>
      <c r="K103" s="191"/>
      <c r="L103" s="191"/>
      <c r="M103" s="191"/>
      <c r="N103" s="191"/>
      <c r="O103" s="191"/>
      <c r="P103" s="129">
        <f t="shared" si="13"/>
        <v>0</v>
      </c>
    </row>
    <row r="104" spans="2:16" ht="14.65">
      <c r="B104" s="442" t="s">
        <v>923</v>
      </c>
      <c r="C104" s="443"/>
      <c r="D104" s="192"/>
      <c r="E104" s="124">
        <f t="shared" ref="E104:P104" si="14">SUM(E91:E103)</f>
        <v>0</v>
      </c>
      <c r="F104" s="124">
        <f t="shared" si="14"/>
        <v>0</v>
      </c>
      <c r="G104" s="124">
        <f t="shared" si="14"/>
        <v>0</v>
      </c>
      <c r="H104" s="124">
        <f t="shared" si="14"/>
        <v>0</v>
      </c>
      <c r="I104" s="124">
        <f t="shared" si="14"/>
        <v>0</v>
      </c>
      <c r="J104" s="124">
        <f t="shared" si="14"/>
        <v>0</v>
      </c>
      <c r="K104" s="124">
        <f t="shared" si="14"/>
        <v>0</v>
      </c>
      <c r="L104" s="124">
        <f t="shared" si="14"/>
        <v>0</v>
      </c>
      <c r="M104" s="124">
        <f t="shared" si="14"/>
        <v>0</v>
      </c>
      <c r="N104" s="124">
        <f t="shared" si="14"/>
        <v>0</v>
      </c>
      <c r="O104" s="124">
        <f t="shared" si="14"/>
        <v>0</v>
      </c>
      <c r="P104" s="139">
        <f t="shared" si="14"/>
        <v>0</v>
      </c>
    </row>
    <row r="106" spans="2:16">
      <c r="B106" s="194" t="s">
        <v>924</v>
      </c>
      <c r="C106" s="118"/>
      <c r="D106" s="118"/>
      <c r="E106" s="118"/>
      <c r="F106" s="118"/>
      <c r="G106" s="118"/>
      <c r="H106" s="118"/>
      <c r="I106" s="118"/>
      <c r="J106" s="118"/>
      <c r="K106" s="118"/>
      <c r="L106" s="118"/>
      <c r="M106" s="118"/>
      <c r="N106" s="118"/>
      <c r="O106" s="118"/>
      <c r="P106" s="125"/>
    </row>
    <row r="107" spans="2:16">
      <c r="B107" s="101" t="s">
        <v>907</v>
      </c>
      <c r="C107" s="188"/>
      <c r="E107" s="26" t="s">
        <v>908</v>
      </c>
      <c r="F107" s="190"/>
      <c r="H107" s="26" t="s">
        <v>909</v>
      </c>
      <c r="I107" s="195" t="e">
        <f>(1-F107)/C107</f>
        <v>#DIV/0!</v>
      </c>
      <c r="N107" s="119"/>
      <c r="P107" s="131"/>
    </row>
    <row r="108" spans="2:16">
      <c r="B108" s="101"/>
      <c r="E108" s="193">
        <f>假设表!I2</f>
        <v>2026</v>
      </c>
      <c r="F108" s="193">
        <f>假设表!J2</f>
        <v>2027</v>
      </c>
      <c r="G108" s="193">
        <f>假设表!K2</f>
        <v>2028</v>
      </c>
      <c r="H108" s="193">
        <f>假设表!L2</f>
        <v>2029</v>
      </c>
      <c r="I108" s="193">
        <f>假设表!M2</f>
        <v>2030</v>
      </c>
      <c r="J108" s="193">
        <f>假设表!N2</f>
        <v>2031</v>
      </c>
      <c r="K108" s="193">
        <f>假设表!O2</f>
        <v>2032</v>
      </c>
      <c r="L108" s="193">
        <f>假设表!P2</f>
        <v>2033</v>
      </c>
      <c r="M108" s="193">
        <f>假设表!Q2</f>
        <v>2034</v>
      </c>
      <c r="N108" s="193">
        <f>假设表!R2</f>
        <v>2035</v>
      </c>
      <c r="O108" s="193">
        <f>假设表!S2</f>
        <v>2036</v>
      </c>
      <c r="P108" s="197">
        <f>假设表!T2</f>
        <v>2037</v>
      </c>
    </row>
    <row r="109" spans="2:16">
      <c r="B109" s="101" t="s">
        <v>910</v>
      </c>
      <c r="C109" s="26" t="s">
        <v>911</v>
      </c>
      <c r="P109" s="131"/>
    </row>
    <row r="110" spans="2:16">
      <c r="B110" s="101">
        <f t="array" ref="B110:B121">TRANSPOSE(假设表!I2:T2)</f>
        <v>2026</v>
      </c>
      <c r="C110" s="26" t="s">
        <v>925</v>
      </c>
      <c r="D110" s="119">
        <f t="array" ref="D110:D121">TRANSPOSE(假设表!I91:T91)</f>
        <v>0</v>
      </c>
      <c r="E110" s="119">
        <f>IF(E$108-$B110&lt;=$C$107-1,$I$107*$D110,0)</f>
        <v>0</v>
      </c>
      <c r="F110" s="119">
        <f t="shared" ref="F110:P121" si="15">IF(F$108-$B110&lt;=$C$107-1,$I$107*$D110,0)</f>
        <v>0</v>
      </c>
      <c r="G110" s="119">
        <f t="shared" si="15"/>
        <v>0</v>
      </c>
      <c r="H110" s="119">
        <f t="shared" si="15"/>
        <v>0</v>
      </c>
      <c r="I110" s="119">
        <f t="shared" si="15"/>
        <v>0</v>
      </c>
      <c r="J110" s="119">
        <f t="shared" si="15"/>
        <v>0</v>
      </c>
      <c r="K110" s="119">
        <f t="shared" si="15"/>
        <v>0</v>
      </c>
      <c r="L110" s="119">
        <f t="shared" si="15"/>
        <v>0</v>
      </c>
      <c r="M110" s="119">
        <f t="shared" si="15"/>
        <v>0</v>
      </c>
      <c r="N110" s="119">
        <f t="shared" si="15"/>
        <v>0</v>
      </c>
      <c r="O110" s="119">
        <f t="shared" si="15"/>
        <v>0</v>
      </c>
      <c r="P110" s="129">
        <f t="shared" si="15"/>
        <v>0</v>
      </c>
    </row>
    <row r="111" spans="2:16">
      <c r="B111" s="101">
        <v>2027</v>
      </c>
      <c r="C111" s="26" t="s">
        <v>925</v>
      </c>
      <c r="D111" s="119">
        <v>0</v>
      </c>
      <c r="E111" s="191"/>
      <c r="F111" s="119">
        <f t="shared" si="15"/>
        <v>0</v>
      </c>
      <c r="G111" s="119">
        <f t="shared" si="15"/>
        <v>0</v>
      </c>
      <c r="H111" s="119">
        <f t="shared" si="15"/>
        <v>0</v>
      </c>
      <c r="I111" s="119">
        <f t="shared" si="15"/>
        <v>0</v>
      </c>
      <c r="J111" s="119">
        <f t="shared" si="15"/>
        <v>0</v>
      </c>
      <c r="K111" s="119">
        <f t="shared" si="15"/>
        <v>0</v>
      </c>
      <c r="L111" s="119">
        <f t="shared" si="15"/>
        <v>0</v>
      </c>
      <c r="M111" s="119">
        <f t="shared" si="15"/>
        <v>0</v>
      </c>
      <c r="N111" s="119">
        <f t="shared" si="15"/>
        <v>0</v>
      </c>
      <c r="O111" s="119">
        <f t="shared" si="15"/>
        <v>0</v>
      </c>
      <c r="P111" s="129">
        <f t="shared" si="15"/>
        <v>0</v>
      </c>
    </row>
    <row r="112" spans="2:16">
      <c r="B112" s="101">
        <v>2028</v>
      </c>
      <c r="C112" s="26" t="s">
        <v>925</v>
      </c>
      <c r="D112" s="119">
        <v>0</v>
      </c>
      <c r="E112" s="191"/>
      <c r="F112" s="191"/>
      <c r="G112" s="119">
        <f t="shared" si="15"/>
        <v>0</v>
      </c>
      <c r="H112" s="119">
        <f t="shared" si="15"/>
        <v>0</v>
      </c>
      <c r="I112" s="119">
        <f t="shared" si="15"/>
        <v>0</v>
      </c>
      <c r="J112" s="119">
        <f t="shared" si="15"/>
        <v>0</v>
      </c>
      <c r="K112" s="119">
        <f t="shared" si="15"/>
        <v>0</v>
      </c>
      <c r="L112" s="119">
        <f t="shared" si="15"/>
        <v>0</v>
      </c>
      <c r="M112" s="119">
        <f t="shared" si="15"/>
        <v>0</v>
      </c>
      <c r="N112" s="119">
        <f t="shared" si="15"/>
        <v>0</v>
      </c>
      <c r="O112" s="119">
        <f t="shared" si="15"/>
        <v>0</v>
      </c>
      <c r="P112" s="129">
        <f t="shared" si="15"/>
        <v>0</v>
      </c>
    </row>
    <row r="113" spans="2:16">
      <c r="B113" s="101">
        <v>2029</v>
      </c>
      <c r="C113" s="26" t="s">
        <v>925</v>
      </c>
      <c r="D113" s="119">
        <v>0</v>
      </c>
      <c r="E113" s="191"/>
      <c r="F113" s="191"/>
      <c r="G113" s="191"/>
      <c r="H113" s="119">
        <f t="shared" si="15"/>
        <v>0</v>
      </c>
      <c r="I113" s="119">
        <f t="shared" si="15"/>
        <v>0</v>
      </c>
      <c r="J113" s="119">
        <f t="shared" si="15"/>
        <v>0</v>
      </c>
      <c r="K113" s="119">
        <f t="shared" si="15"/>
        <v>0</v>
      </c>
      <c r="L113" s="119">
        <f t="shared" si="15"/>
        <v>0</v>
      </c>
      <c r="M113" s="119">
        <f t="shared" si="15"/>
        <v>0</v>
      </c>
      <c r="N113" s="119">
        <f t="shared" si="15"/>
        <v>0</v>
      </c>
      <c r="O113" s="119">
        <f t="shared" si="15"/>
        <v>0</v>
      </c>
      <c r="P113" s="129">
        <f t="shared" si="15"/>
        <v>0</v>
      </c>
    </row>
    <row r="114" spans="2:16">
      <c r="B114" s="101">
        <v>2030</v>
      </c>
      <c r="C114" s="26" t="s">
        <v>925</v>
      </c>
      <c r="D114" s="119">
        <v>0</v>
      </c>
      <c r="E114" s="191"/>
      <c r="F114" s="191"/>
      <c r="G114" s="191"/>
      <c r="H114" s="191"/>
      <c r="I114" s="119">
        <f t="shared" si="15"/>
        <v>0</v>
      </c>
      <c r="J114" s="119">
        <f t="shared" si="15"/>
        <v>0</v>
      </c>
      <c r="K114" s="119">
        <f t="shared" si="15"/>
        <v>0</v>
      </c>
      <c r="L114" s="119">
        <f t="shared" si="15"/>
        <v>0</v>
      </c>
      <c r="M114" s="119">
        <f t="shared" si="15"/>
        <v>0</v>
      </c>
      <c r="N114" s="119">
        <f t="shared" si="15"/>
        <v>0</v>
      </c>
      <c r="O114" s="119">
        <f t="shared" si="15"/>
        <v>0</v>
      </c>
      <c r="P114" s="129">
        <f t="shared" si="15"/>
        <v>0</v>
      </c>
    </row>
    <row r="115" spans="2:16">
      <c r="B115" s="101">
        <v>2031</v>
      </c>
      <c r="C115" s="26" t="s">
        <v>925</v>
      </c>
      <c r="D115" s="119">
        <v>0</v>
      </c>
      <c r="E115" s="191"/>
      <c r="F115" s="191"/>
      <c r="G115" s="191"/>
      <c r="H115" s="191"/>
      <c r="I115" s="191"/>
      <c r="J115" s="119">
        <f t="shared" si="15"/>
        <v>0</v>
      </c>
      <c r="K115" s="119">
        <f t="shared" si="15"/>
        <v>0</v>
      </c>
      <c r="L115" s="119">
        <f t="shared" si="15"/>
        <v>0</v>
      </c>
      <c r="M115" s="119">
        <f t="shared" si="15"/>
        <v>0</v>
      </c>
      <c r="N115" s="119">
        <f t="shared" si="15"/>
        <v>0</v>
      </c>
      <c r="O115" s="119">
        <f t="shared" si="15"/>
        <v>0</v>
      </c>
      <c r="P115" s="129">
        <f t="shared" si="15"/>
        <v>0</v>
      </c>
    </row>
    <row r="116" spans="2:16">
      <c r="B116" s="101">
        <v>2032</v>
      </c>
      <c r="C116" s="26" t="s">
        <v>925</v>
      </c>
      <c r="D116" s="119">
        <v>0</v>
      </c>
      <c r="E116" s="191"/>
      <c r="F116" s="191"/>
      <c r="G116" s="191"/>
      <c r="H116" s="191"/>
      <c r="I116" s="191"/>
      <c r="J116" s="191"/>
      <c r="K116" s="119">
        <f t="shared" si="15"/>
        <v>0</v>
      </c>
      <c r="L116" s="119">
        <f t="shared" si="15"/>
        <v>0</v>
      </c>
      <c r="M116" s="119">
        <f t="shared" si="15"/>
        <v>0</v>
      </c>
      <c r="N116" s="119">
        <f t="shared" si="15"/>
        <v>0</v>
      </c>
      <c r="O116" s="119">
        <f t="shared" si="15"/>
        <v>0</v>
      </c>
      <c r="P116" s="129">
        <f t="shared" si="15"/>
        <v>0</v>
      </c>
    </row>
    <row r="117" spans="2:16">
      <c r="B117" s="101">
        <v>2033</v>
      </c>
      <c r="C117" s="26" t="s">
        <v>925</v>
      </c>
      <c r="D117" s="119">
        <v>0</v>
      </c>
      <c r="E117" s="191"/>
      <c r="F117" s="191"/>
      <c r="G117" s="191"/>
      <c r="H117" s="191"/>
      <c r="I117" s="191"/>
      <c r="J117" s="191"/>
      <c r="K117" s="191"/>
      <c r="L117" s="119">
        <f t="shared" si="15"/>
        <v>0</v>
      </c>
      <c r="M117" s="119">
        <f t="shared" si="15"/>
        <v>0</v>
      </c>
      <c r="N117" s="119">
        <f t="shared" si="15"/>
        <v>0</v>
      </c>
      <c r="O117" s="119">
        <f t="shared" si="15"/>
        <v>0</v>
      </c>
      <c r="P117" s="129">
        <f t="shared" si="15"/>
        <v>0</v>
      </c>
    </row>
    <row r="118" spans="2:16">
      <c r="B118" s="101">
        <v>2034</v>
      </c>
      <c r="C118" s="26" t="s">
        <v>925</v>
      </c>
      <c r="D118" s="119">
        <v>0</v>
      </c>
      <c r="E118" s="191"/>
      <c r="F118" s="191"/>
      <c r="G118" s="191"/>
      <c r="H118" s="191"/>
      <c r="I118" s="191"/>
      <c r="J118" s="191"/>
      <c r="K118" s="191"/>
      <c r="L118" s="191"/>
      <c r="M118" s="119">
        <f t="shared" si="15"/>
        <v>0</v>
      </c>
      <c r="N118" s="119">
        <f t="shared" si="15"/>
        <v>0</v>
      </c>
      <c r="O118" s="119">
        <f t="shared" si="15"/>
        <v>0</v>
      </c>
      <c r="P118" s="129">
        <f t="shared" si="15"/>
        <v>0</v>
      </c>
    </row>
    <row r="119" spans="2:16">
      <c r="B119" s="101">
        <v>2035</v>
      </c>
      <c r="C119" s="26" t="s">
        <v>925</v>
      </c>
      <c r="D119" s="119">
        <v>0</v>
      </c>
      <c r="E119" s="191"/>
      <c r="F119" s="191"/>
      <c r="G119" s="191"/>
      <c r="H119" s="191"/>
      <c r="I119" s="191"/>
      <c r="J119" s="191"/>
      <c r="K119" s="191"/>
      <c r="L119" s="191"/>
      <c r="M119" s="191"/>
      <c r="N119" s="119">
        <f t="shared" si="15"/>
        <v>0</v>
      </c>
      <c r="O119" s="119">
        <f t="shared" si="15"/>
        <v>0</v>
      </c>
      <c r="P119" s="129">
        <f t="shared" si="15"/>
        <v>0</v>
      </c>
    </row>
    <row r="120" spans="2:16">
      <c r="B120" s="101">
        <v>2036</v>
      </c>
      <c r="C120" s="26" t="s">
        <v>925</v>
      </c>
      <c r="D120" s="119">
        <v>0</v>
      </c>
      <c r="E120" s="191"/>
      <c r="F120" s="191"/>
      <c r="G120" s="191"/>
      <c r="H120" s="191"/>
      <c r="I120" s="191"/>
      <c r="J120" s="191"/>
      <c r="K120" s="191"/>
      <c r="L120" s="191"/>
      <c r="M120" s="191"/>
      <c r="N120" s="191"/>
      <c r="O120" s="119">
        <f t="shared" si="15"/>
        <v>0</v>
      </c>
      <c r="P120" s="129">
        <f t="shared" si="15"/>
        <v>0</v>
      </c>
    </row>
    <row r="121" spans="2:16">
      <c r="B121" s="101">
        <v>2037</v>
      </c>
      <c r="C121" s="26" t="s">
        <v>925</v>
      </c>
      <c r="D121" s="119">
        <v>0</v>
      </c>
      <c r="E121" s="191"/>
      <c r="F121" s="191"/>
      <c r="G121" s="191"/>
      <c r="H121" s="191"/>
      <c r="I121" s="191"/>
      <c r="J121" s="191"/>
      <c r="K121" s="191"/>
      <c r="L121" s="191"/>
      <c r="M121" s="191"/>
      <c r="N121" s="191"/>
      <c r="O121" s="191"/>
      <c r="P121" s="129">
        <f t="shared" si="15"/>
        <v>0</v>
      </c>
    </row>
    <row r="122" spans="2:16" ht="14.65">
      <c r="B122" s="442" t="s">
        <v>926</v>
      </c>
      <c r="C122" s="443"/>
      <c r="D122" s="192"/>
      <c r="E122" s="124">
        <f t="shared" ref="E122:P122" si="16">SUM(E109:E121)</f>
        <v>0</v>
      </c>
      <c r="F122" s="124">
        <f t="shared" si="16"/>
        <v>0</v>
      </c>
      <c r="G122" s="124">
        <f t="shared" si="16"/>
        <v>0</v>
      </c>
      <c r="H122" s="124">
        <f t="shared" si="16"/>
        <v>0</v>
      </c>
      <c r="I122" s="124">
        <f t="shared" si="16"/>
        <v>0</v>
      </c>
      <c r="J122" s="124">
        <f t="shared" si="16"/>
        <v>0</v>
      </c>
      <c r="K122" s="124">
        <f t="shared" si="16"/>
        <v>0</v>
      </c>
      <c r="L122" s="124">
        <f t="shared" si="16"/>
        <v>0</v>
      </c>
      <c r="M122" s="124">
        <f t="shared" si="16"/>
        <v>0</v>
      </c>
      <c r="N122" s="124">
        <f t="shared" si="16"/>
        <v>0</v>
      </c>
      <c r="O122" s="124">
        <f t="shared" si="16"/>
        <v>0</v>
      </c>
      <c r="P122" s="139">
        <f t="shared" si="16"/>
        <v>0</v>
      </c>
    </row>
    <row r="123" spans="2:16" ht="14.65">
      <c r="B123" s="198"/>
      <c r="C123" s="198"/>
    </row>
    <row r="124" spans="2:16" ht="14.65">
      <c r="B124" s="198"/>
      <c r="C124" s="198"/>
      <c r="E124" s="85">
        <f>假设表!I2</f>
        <v>2026</v>
      </c>
      <c r="F124" s="85">
        <f>假设表!J2</f>
        <v>2027</v>
      </c>
      <c r="G124" s="85">
        <f>假设表!K2</f>
        <v>2028</v>
      </c>
      <c r="H124" s="85">
        <f>假设表!L2</f>
        <v>2029</v>
      </c>
      <c r="I124" s="85">
        <f>假设表!M2</f>
        <v>2030</v>
      </c>
      <c r="J124" s="85">
        <f>假设表!N2</f>
        <v>2031</v>
      </c>
      <c r="K124" s="85">
        <f>假设表!O2</f>
        <v>2032</v>
      </c>
      <c r="L124" s="85">
        <f>假设表!P2</f>
        <v>2033</v>
      </c>
      <c r="M124" s="85">
        <f>假设表!Q2</f>
        <v>2034</v>
      </c>
      <c r="N124" s="85">
        <f>假设表!R2</f>
        <v>2035</v>
      </c>
      <c r="O124" s="85">
        <f>假设表!S2</f>
        <v>2036</v>
      </c>
      <c r="P124" s="85">
        <f>假设表!T2</f>
        <v>2037</v>
      </c>
    </row>
    <row r="125" spans="2:16" ht="14.65">
      <c r="B125" s="448" t="s">
        <v>927</v>
      </c>
      <c r="C125" s="448"/>
      <c r="D125" s="448"/>
      <c r="E125" s="81">
        <f>E26+E122</f>
        <v>62.915712548950005</v>
      </c>
      <c r="F125" s="81">
        <f t="shared" ref="F125:N125" si="17">F26+F122</f>
        <v>81.915712548950012</v>
      </c>
      <c r="G125" s="81">
        <f t="shared" si="17"/>
        <v>100.91571254895001</v>
      </c>
      <c r="H125" s="81">
        <f t="shared" si="17"/>
        <v>119.91571254895001</v>
      </c>
      <c r="I125" s="81">
        <f t="shared" si="17"/>
        <v>138.91571254895001</v>
      </c>
      <c r="J125" s="81">
        <f t="shared" si="17"/>
        <v>157.91571254895001</v>
      </c>
      <c r="K125" s="81">
        <f t="shared" si="17"/>
        <v>176.91571254895001</v>
      </c>
      <c r="L125" s="81">
        <f t="shared" si="17"/>
        <v>195.91571254895001</v>
      </c>
      <c r="M125" s="81">
        <f t="shared" si="17"/>
        <v>214.91571254895001</v>
      </c>
      <c r="N125" s="81">
        <f t="shared" si="17"/>
        <v>233.91571254895001</v>
      </c>
      <c r="O125" s="81">
        <f t="shared" ref="O125:P125" si="18">O26+O122</f>
        <v>190</v>
      </c>
      <c r="P125" s="81">
        <f t="shared" si="18"/>
        <v>190</v>
      </c>
    </row>
    <row r="126" spans="2:16" ht="14.65">
      <c r="B126" s="448" t="s">
        <v>928</v>
      </c>
      <c r="C126" s="448"/>
      <c r="D126" s="448"/>
      <c r="E126" s="81">
        <f>E47+E66+E85+E104+E122</f>
        <v>0</v>
      </c>
      <c r="F126" s="81">
        <f t="shared" ref="F126:N126" si="19">F47+F66+F85+F104+F122</f>
        <v>0</v>
      </c>
      <c r="G126" s="81">
        <f t="shared" si="19"/>
        <v>0</v>
      </c>
      <c r="H126" s="81">
        <f t="shared" si="19"/>
        <v>0</v>
      </c>
      <c r="I126" s="81">
        <f t="shared" si="19"/>
        <v>0</v>
      </c>
      <c r="J126" s="81">
        <f t="shared" si="19"/>
        <v>0</v>
      </c>
      <c r="K126" s="81">
        <f t="shared" si="19"/>
        <v>0</v>
      </c>
      <c r="L126" s="81">
        <f t="shared" si="19"/>
        <v>0</v>
      </c>
      <c r="M126" s="81">
        <f t="shared" si="19"/>
        <v>0</v>
      </c>
      <c r="N126" s="81">
        <f t="shared" si="19"/>
        <v>0</v>
      </c>
      <c r="O126" s="81">
        <f t="shared" ref="O126:P126" si="20">O47+O66+O85+O104+O122</f>
        <v>0</v>
      </c>
      <c r="P126" s="81">
        <f t="shared" si="20"/>
        <v>0</v>
      </c>
    </row>
    <row r="127" spans="2:16" ht="14.65">
      <c r="B127" s="441" t="s">
        <v>929</v>
      </c>
      <c r="C127" s="441"/>
      <c r="D127" s="187"/>
      <c r="E127" s="81">
        <f>CHOOSE($C$3,E125,E126)</f>
        <v>62.915712548950005</v>
      </c>
      <c r="F127" s="81">
        <f t="shared" ref="F127:N127" si="21">CHOOSE($C$3,F125,F126)</f>
        <v>81.915712548950012</v>
      </c>
      <c r="G127" s="81">
        <f t="shared" si="21"/>
        <v>100.91571254895001</v>
      </c>
      <c r="H127" s="81">
        <f t="shared" si="21"/>
        <v>119.91571254895001</v>
      </c>
      <c r="I127" s="81">
        <f t="shared" si="21"/>
        <v>138.91571254895001</v>
      </c>
      <c r="J127" s="81">
        <f t="shared" si="21"/>
        <v>157.91571254895001</v>
      </c>
      <c r="K127" s="81">
        <f t="shared" si="21"/>
        <v>176.91571254895001</v>
      </c>
      <c r="L127" s="81">
        <f t="shared" si="21"/>
        <v>195.91571254895001</v>
      </c>
      <c r="M127" s="81">
        <f t="shared" si="21"/>
        <v>214.91571254895001</v>
      </c>
      <c r="N127" s="81">
        <f t="shared" si="21"/>
        <v>233.91571254895001</v>
      </c>
      <c r="O127" s="81">
        <f t="shared" ref="O127:P127" si="22">CHOOSE($C$3,O125,O126)</f>
        <v>190</v>
      </c>
      <c r="P127" s="81">
        <f t="shared" si="22"/>
        <v>190</v>
      </c>
    </row>
    <row r="128" spans="2:16" ht="14.65">
      <c r="B128" s="198"/>
      <c r="C128" s="198"/>
      <c r="D128" s="187"/>
      <c r="E128" s="81"/>
      <c r="F128" s="81"/>
      <c r="G128" s="81"/>
      <c r="H128" s="81"/>
      <c r="I128" s="81"/>
      <c r="J128" s="81"/>
      <c r="K128" s="81"/>
      <c r="L128" s="81"/>
      <c r="M128" s="81"/>
      <c r="N128" s="81"/>
      <c r="O128" s="81"/>
      <c r="P128" s="81"/>
    </row>
    <row r="129" spans="2:16" ht="14.65">
      <c r="B129" s="448" t="s">
        <v>930</v>
      </c>
      <c r="C129" s="448"/>
      <c r="D129" s="448"/>
      <c r="E129" s="199">
        <f>假设表!I86</f>
        <v>200</v>
      </c>
      <c r="F129" s="199">
        <f>假设表!J86</f>
        <v>200</v>
      </c>
      <c r="G129" s="199">
        <f>假设表!K86</f>
        <v>200</v>
      </c>
      <c r="H129" s="199">
        <f>假设表!L86</f>
        <v>200</v>
      </c>
      <c r="I129" s="199">
        <f>假设表!M86</f>
        <v>200</v>
      </c>
      <c r="J129" s="199">
        <f>假设表!N86</f>
        <v>200</v>
      </c>
      <c r="K129" s="199">
        <f>假设表!O86</f>
        <v>200</v>
      </c>
      <c r="L129" s="199">
        <f>假设表!P86</f>
        <v>200</v>
      </c>
      <c r="M129" s="199">
        <f>假设表!Q86</f>
        <v>200</v>
      </c>
      <c r="N129" s="199">
        <f>假设表!R86</f>
        <v>200</v>
      </c>
      <c r="O129" s="199">
        <f>假设表!S86</f>
        <v>200</v>
      </c>
      <c r="P129" s="199">
        <f>假设表!T86</f>
        <v>200</v>
      </c>
    </row>
    <row r="130" spans="2:16" ht="14.65">
      <c r="B130" s="448" t="s">
        <v>931</v>
      </c>
      <c r="C130" s="448"/>
      <c r="D130" s="448"/>
      <c r="E130" s="199">
        <f>SUM(假设表!I87:I90)</f>
        <v>0</v>
      </c>
      <c r="F130" s="199">
        <f>SUM(假设表!J87:J90)</f>
        <v>0</v>
      </c>
      <c r="G130" s="199">
        <f>SUM(假设表!K87:K90)</f>
        <v>0</v>
      </c>
      <c r="H130" s="199">
        <f>SUM(假设表!L87:L90)</f>
        <v>0</v>
      </c>
      <c r="I130" s="199">
        <f>SUM(假设表!M87:M90)</f>
        <v>0</v>
      </c>
      <c r="J130" s="199">
        <f>SUM(假设表!N87:N90)</f>
        <v>0</v>
      </c>
      <c r="K130" s="199">
        <f>SUM(假设表!O87:O90)</f>
        <v>0</v>
      </c>
      <c r="L130" s="199">
        <f>SUM(假设表!P87:P90)</f>
        <v>0</v>
      </c>
      <c r="M130" s="199">
        <f>SUM(假设表!Q87:Q90)</f>
        <v>0</v>
      </c>
      <c r="N130" s="199">
        <f>SUM(假设表!R87:R90)</f>
        <v>0</v>
      </c>
      <c r="O130" s="199">
        <f>SUM(假设表!S87:S90)</f>
        <v>0</v>
      </c>
      <c r="P130" s="199">
        <f>SUM(假设表!T87:T90)</f>
        <v>0</v>
      </c>
    </row>
    <row r="131" spans="2:16" ht="14.65">
      <c r="B131" s="441" t="s">
        <v>929</v>
      </c>
      <c r="C131" s="441"/>
      <c r="D131" s="187"/>
      <c r="E131" s="81">
        <f>CHOOSE($C$3,E129,E130)</f>
        <v>200</v>
      </c>
      <c r="F131" s="81">
        <f t="shared" ref="F131:N131" si="23">CHOOSE($C$3,F129,F130)</f>
        <v>200</v>
      </c>
      <c r="G131" s="81">
        <f t="shared" si="23"/>
        <v>200</v>
      </c>
      <c r="H131" s="81">
        <f t="shared" si="23"/>
        <v>200</v>
      </c>
      <c r="I131" s="81">
        <f t="shared" si="23"/>
        <v>200</v>
      </c>
      <c r="J131" s="81">
        <f t="shared" si="23"/>
        <v>200</v>
      </c>
      <c r="K131" s="81">
        <f t="shared" si="23"/>
        <v>200</v>
      </c>
      <c r="L131" s="81">
        <f t="shared" si="23"/>
        <v>200</v>
      </c>
      <c r="M131" s="81">
        <f t="shared" si="23"/>
        <v>200</v>
      </c>
      <c r="N131" s="81">
        <f t="shared" si="23"/>
        <v>200</v>
      </c>
      <c r="O131" s="81">
        <f t="shared" ref="O131:P131" si="24">CHOOSE($C$3,O129,O130)</f>
        <v>200</v>
      </c>
      <c r="P131" s="81">
        <f t="shared" si="24"/>
        <v>200</v>
      </c>
    </row>
    <row r="132" spans="2:16" ht="14.65">
      <c r="B132" s="198"/>
      <c r="C132" s="198"/>
      <c r="D132" s="187"/>
      <c r="E132" s="81"/>
      <c r="F132" s="81"/>
      <c r="G132" s="81"/>
      <c r="H132" s="81"/>
      <c r="I132" s="81"/>
      <c r="J132" s="81"/>
      <c r="K132" s="81"/>
      <c r="L132" s="81"/>
      <c r="M132" s="81"/>
      <c r="N132" s="81"/>
    </row>
    <row r="133" spans="2:16" ht="14.65">
      <c r="B133" s="198"/>
      <c r="C133" s="198"/>
    </row>
    <row r="134" spans="2:16">
      <c r="B134" s="194"/>
      <c r="C134" s="118"/>
      <c r="D134" s="200">
        <f>假设表!H2</f>
        <v>2025</v>
      </c>
      <c r="E134" s="201">
        <f>假设表!I2</f>
        <v>2026</v>
      </c>
      <c r="F134" s="201">
        <f>假设表!J2</f>
        <v>2027</v>
      </c>
      <c r="G134" s="201">
        <f>假设表!K2</f>
        <v>2028</v>
      </c>
      <c r="H134" s="201">
        <f>假设表!L2</f>
        <v>2029</v>
      </c>
      <c r="I134" s="201">
        <f>假设表!M2</f>
        <v>2030</v>
      </c>
      <c r="J134" s="201">
        <f>假设表!N2</f>
        <v>2031</v>
      </c>
      <c r="K134" s="201">
        <f>假设表!O2</f>
        <v>2032</v>
      </c>
      <c r="L134" s="201">
        <f>假设表!P2</f>
        <v>2033</v>
      </c>
      <c r="M134" s="201">
        <f>假设表!Q2</f>
        <v>2034</v>
      </c>
      <c r="N134" s="201">
        <f>假设表!R2</f>
        <v>2035</v>
      </c>
      <c r="O134" s="201">
        <f>假设表!S2</f>
        <v>2036</v>
      </c>
      <c r="P134" s="208">
        <f>假设表!T2</f>
        <v>2037</v>
      </c>
    </row>
    <row r="135" spans="2:16" ht="14.65">
      <c r="B135" s="202" t="s">
        <v>932</v>
      </c>
      <c r="D135" s="119"/>
      <c r="E135" s="119">
        <f>D140</f>
        <v>462.27065841000001</v>
      </c>
      <c r="F135" s="119">
        <f t="shared" ref="F135:N135" si="25">E140</f>
        <v>599.35494586105006</v>
      </c>
      <c r="G135" s="119">
        <f t="shared" si="25"/>
        <v>717.43923331209999</v>
      </c>
      <c r="H135" s="119">
        <f t="shared" si="25"/>
        <v>816.52352076314992</v>
      </c>
      <c r="I135" s="119">
        <f t="shared" si="25"/>
        <v>896.60780821419985</v>
      </c>
      <c r="J135" s="119">
        <f t="shared" si="25"/>
        <v>957.69209566524978</v>
      </c>
      <c r="K135" s="119">
        <f t="shared" si="25"/>
        <v>999.77638311629971</v>
      </c>
      <c r="L135" s="119">
        <f t="shared" si="25"/>
        <v>1022.8606705673496</v>
      </c>
      <c r="M135" s="119">
        <f t="shared" si="25"/>
        <v>1026.9449580183996</v>
      </c>
      <c r="N135" s="119">
        <f t="shared" si="25"/>
        <v>1012.0292454694495</v>
      </c>
      <c r="O135" s="119">
        <f t="shared" ref="O135" si="26">N140</f>
        <v>978.11353292049944</v>
      </c>
      <c r="P135" s="129">
        <f t="shared" ref="P135" si="27">O140</f>
        <v>988.11353292049944</v>
      </c>
    </row>
    <row r="136" spans="2:16">
      <c r="B136" s="101" t="s">
        <v>933</v>
      </c>
      <c r="D136" s="119"/>
      <c r="E136" s="119">
        <f>E131</f>
        <v>200</v>
      </c>
      <c r="F136" s="119">
        <f t="shared" ref="F136:N136" si="28">F131</f>
        <v>200</v>
      </c>
      <c r="G136" s="119">
        <f t="shared" si="28"/>
        <v>200</v>
      </c>
      <c r="H136" s="119">
        <f t="shared" si="28"/>
        <v>200</v>
      </c>
      <c r="I136" s="119">
        <f t="shared" si="28"/>
        <v>200</v>
      </c>
      <c r="J136" s="119">
        <f t="shared" si="28"/>
        <v>200</v>
      </c>
      <c r="K136" s="119">
        <f t="shared" si="28"/>
        <v>200</v>
      </c>
      <c r="L136" s="119">
        <f t="shared" si="28"/>
        <v>200</v>
      </c>
      <c r="M136" s="119">
        <f t="shared" si="28"/>
        <v>200</v>
      </c>
      <c r="N136" s="119">
        <f t="shared" si="28"/>
        <v>200</v>
      </c>
      <c r="O136" s="119">
        <f t="shared" ref="O136:P136" si="29">O131</f>
        <v>200</v>
      </c>
      <c r="P136" s="129">
        <f t="shared" si="29"/>
        <v>200</v>
      </c>
    </row>
    <row r="137" spans="2:16">
      <c r="B137" s="101" t="s">
        <v>934</v>
      </c>
      <c r="D137" s="119"/>
      <c r="E137" s="119">
        <f>假设表!I91</f>
        <v>0</v>
      </c>
      <c r="F137" s="119">
        <f>假设表!J91</f>
        <v>0</v>
      </c>
      <c r="G137" s="119">
        <f>假设表!K91</f>
        <v>0</v>
      </c>
      <c r="H137" s="119">
        <f>假设表!L91</f>
        <v>0</v>
      </c>
      <c r="I137" s="119">
        <f>假设表!M91</f>
        <v>0</v>
      </c>
      <c r="J137" s="119">
        <f>假设表!N91</f>
        <v>0</v>
      </c>
      <c r="K137" s="119">
        <f>假设表!O91</f>
        <v>0</v>
      </c>
      <c r="L137" s="119">
        <f>假设表!P91</f>
        <v>0</v>
      </c>
      <c r="M137" s="119">
        <f>假设表!Q91</f>
        <v>0</v>
      </c>
      <c r="N137" s="119">
        <f>假设表!R91</f>
        <v>0</v>
      </c>
      <c r="O137" s="119">
        <f>假设表!S91</f>
        <v>0</v>
      </c>
      <c r="P137" s="129">
        <f>假设表!T91</f>
        <v>0</v>
      </c>
    </row>
    <row r="138" spans="2:16">
      <c r="B138" s="101" t="s">
        <v>935</v>
      </c>
      <c r="D138" s="119"/>
      <c r="E138" s="119">
        <f>E127</f>
        <v>62.915712548950005</v>
      </c>
      <c r="F138" s="119">
        <f t="shared" ref="F138:N138" si="30">F127</f>
        <v>81.915712548950012</v>
      </c>
      <c r="G138" s="119">
        <f t="shared" si="30"/>
        <v>100.91571254895001</v>
      </c>
      <c r="H138" s="119">
        <f t="shared" si="30"/>
        <v>119.91571254895001</v>
      </c>
      <c r="I138" s="119">
        <f t="shared" si="30"/>
        <v>138.91571254895001</v>
      </c>
      <c r="J138" s="119">
        <f t="shared" si="30"/>
        <v>157.91571254895001</v>
      </c>
      <c r="K138" s="119">
        <f t="shared" si="30"/>
        <v>176.91571254895001</v>
      </c>
      <c r="L138" s="119">
        <f t="shared" si="30"/>
        <v>195.91571254895001</v>
      </c>
      <c r="M138" s="119">
        <f t="shared" si="30"/>
        <v>214.91571254895001</v>
      </c>
      <c r="N138" s="119">
        <f t="shared" si="30"/>
        <v>233.91571254895001</v>
      </c>
      <c r="O138" s="119">
        <f t="shared" ref="O138:P138" si="31">O127</f>
        <v>190</v>
      </c>
      <c r="P138" s="129">
        <f t="shared" si="31"/>
        <v>190</v>
      </c>
    </row>
    <row r="139" spans="2:16">
      <c r="B139" s="101" t="s">
        <v>844</v>
      </c>
      <c r="D139" s="119"/>
      <c r="E139" s="119">
        <f>假设表!I105</f>
        <v>0</v>
      </c>
      <c r="F139" s="119">
        <f>假设表!J105</f>
        <v>0</v>
      </c>
      <c r="G139" s="119">
        <f>假设表!K105</f>
        <v>0</v>
      </c>
      <c r="H139" s="119">
        <f>假设表!L105</f>
        <v>0</v>
      </c>
      <c r="I139" s="119">
        <f>假设表!M105</f>
        <v>0</v>
      </c>
      <c r="J139" s="119">
        <f>假设表!N105</f>
        <v>0</v>
      </c>
      <c r="K139" s="119">
        <f>假设表!O105</f>
        <v>0</v>
      </c>
      <c r="L139" s="119">
        <f>假设表!P105</f>
        <v>0</v>
      </c>
      <c r="M139" s="119">
        <f>假设表!Q105</f>
        <v>0</v>
      </c>
      <c r="N139" s="119">
        <f>假设表!R105</f>
        <v>0</v>
      </c>
      <c r="O139" s="119">
        <f>假设表!S105</f>
        <v>0</v>
      </c>
      <c r="P139" s="129">
        <f>假设表!T105</f>
        <v>0</v>
      </c>
    </row>
    <row r="140" spans="2:16" ht="14.65">
      <c r="B140" s="203" t="s">
        <v>936</v>
      </c>
      <c r="C140" s="113"/>
      <c r="D140" s="124">
        <f>历史数据及预测表!H34</f>
        <v>462.27065841000001</v>
      </c>
      <c r="E140" s="124">
        <f>E135+E136+E137-E138-E139</f>
        <v>599.35494586105006</v>
      </c>
      <c r="F140" s="124">
        <f t="shared" ref="F140:N140" si="32">F135+F136+F137-F138-F139</f>
        <v>717.43923331209999</v>
      </c>
      <c r="G140" s="124">
        <f t="shared" si="32"/>
        <v>816.52352076314992</v>
      </c>
      <c r="H140" s="124">
        <f t="shared" si="32"/>
        <v>896.60780821419985</v>
      </c>
      <c r="I140" s="124">
        <f t="shared" si="32"/>
        <v>957.69209566524978</v>
      </c>
      <c r="J140" s="124">
        <f t="shared" si="32"/>
        <v>999.77638311629971</v>
      </c>
      <c r="K140" s="124">
        <f t="shared" si="32"/>
        <v>1022.8606705673496</v>
      </c>
      <c r="L140" s="124">
        <f t="shared" si="32"/>
        <v>1026.9449580183996</v>
      </c>
      <c r="M140" s="124">
        <f t="shared" si="32"/>
        <v>1012.0292454694495</v>
      </c>
      <c r="N140" s="124">
        <f t="shared" si="32"/>
        <v>978.11353292049944</v>
      </c>
      <c r="O140" s="124">
        <f t="shared" ref="O140:P140" si="33">O135+O136+O137-O138-O139</f>
        <v>988.11353292049944</v>
      </c>
      <c r="P140" s="139">
        <f t="shared" si="33"/>
        <v>998.11353292049944</v>
      </c>
    </row>
    <row r="142" spans="2:16" ht="14.65">
      <c r="B142" s="444" t="s">
        <v>937</v>
      </c>
      <c r="C142" s="445"/>
      <c r="D142" s="200">
        <f>假设表!H2</f>
        <v>2025</v>
      </c>
      <c r="E142" s="201">
        <f>假设表!I2</f>
        <v>2026</v>
      </c>
      <c r="F142" s="201">
        <f>假设表!J2</f>
        <v>2027</v>
      </c>
      <c r="G142" s="201">
        <f>假设表!K2</f>
        <v>2028</v>
      </c>
      <c r="H142" s="201">
        <f>假设表!L2</f>
        <v>2029</v>
      </c>
      <c r="I142" s="201">
        <f>假设表!M2</f>
        <v>2030</v>
      </c>
      <c r="J142" s="201">
        <f>假设表!N2</f>
        <v>2031</v>
      </c>
      <c r="K142" s="201">
        <f>假设表!O2</f>
        <v>2032</v>
      </c>
      <c r="L142" s="201">
        <f>假设表!P2</f>
        <v>2033</v>
      </c>
      <c r="M142" s="201">
        <f>假设表!Q2</f>
        <v>2034</v>
      </c>
      <c r="N142" s="201">
        <f>假设表!R2</f>
        <v>2035</v>
      </c>
      <c r="O142" s="201">
        <f>假设表!S2</f>
        <v>2036</v>
      </c>
      <c r="P142" s="208">
        <f>假设表!T2</f>
        <v>2037</v>
      </c>
    </row>
    <row r="143" spans="2:16" ht="14.65">
      <c r="B143" s="202" t="s">
        <v>938</v>
      </c>
      <c r="D143" s="119"/>
      <c r="E143" s="119">
        <f>D147</f>
        <v>9.6800071400000007</v>
      </c>
      <c r="F143" s="119">
        <f t="shared" ref="F143:N143" si="34">E147</f>
        <v>9.6800071400000007</v>
      </c>
      <c r="G143" s="119">
        <f t="shared" si="34"/>
        <v>9.6800071400000007</v>
      </c>
      <c r="H143" s="119">
        <f t="shared" si="34"/>
        <v>9.6800071400000007</v>
      </c>
      <c r="I143" s="119">
        <f t="shared" si="34"/>
        <v>9.6800071400000007</v>
      </c>
      <c r="J143" s="119">
        <f t="shared" si="34"/>
        <v>9.6800071400000007</v>
      </c>
      <c r="K143" s="119">
        <f t="shared" si="34"/>
        <v>9.6800071400000007</v>
      </c>
      <c r="L143" s="119">
        <f t="shared" si="34"/>
        <v>9.6800071400000007</v>
      </c>
      <c r="M143" s="119">
        <f t="shared" si="34"/>
        <v>9.6800071400000007</v>
      </c>
      <c r="N143" s="119">
        <f t="shared" si="34"/>
        <v>9.6800071400000007</v>
      </c>
      <c r="O143" s="119">
        <f t="shared" ref="O143" si="35">N147</f>
        <v>9.6800071400000007</v>
      </c>
      <c r="P143" s="129">
        <f t="shared" ref="P143" si="36">O147</f>
        <v>9.6800071400000007</v>
      </c>
    </row>
    <row r="144" spans="2:16">
      <c r="B144" s="101" t="s">
        <v>939</v>
      </c>
      <c r="D144" s="119"/>
      <c r="E144" s="119">
        <f>假设表!I92</f>
        <v>0</v>
      </c>
      <c r="F144" s="119">
        <f>假设表!J92</f>
        <v>0</v>
      </c>
      <c r="G144" s="119">
        <f>假设表!K92</f>
        <v>0</v>
      </c>
      <c r="H144" s="119">
        <f>假设表!L92</f>
        <v>0</v>
      </c>
      <c r="I144" s="119">
        <f>假设表!M92</f>
        <v>0</v>
      </c>
      <c r="J144" s="119">
        <f>假设表!N92</f>
        <v>0</v>
      </c>
      <c r="K144" s="119">
        <f>假设表!O92</f>
        <v>0</v>
      </c>
      <c r="L144" s="119">
        <f>假设表!P92</f>
        <v>0</v>
      </c>
      <c r="M144" s="119">
        <f>假设表!Q92</f>
        <v>0</v>
      </c>
      <c r="N144" s="119">
        <f>假设表!R92</f>
        <v>0</v>
      </c>
      <c r="O144" s="119">
        <f>假设表!S92</f>
        <v>0</v>
      </c>
      <c r="P144" s="129">
        <f>假设表!T92</f>
        <v>0</v>
      </c>
    </row>
    <row r="145" spans="2:16">
      <c r="B145" s="101" t="s">
        <v>940</v>
      </c>
      <c r="D145" s="119"/>
      <c r="E145" s="119">
        <f>假设表!I91</f>
        <v>0</v>
      </c>
      <c r="F145" s="119">
        <f>假设表!J91</f>
        <v>0</v>
      </c>
      <c r="G145" s="119">
        <f>假设表!K91</f>
        <v>0</v>
      </c>
      <c r="H145" s="119">
        <f>假设表!L91</f>
        <v>0</v>
      </c>
      <c r="I145" s="119">
        <f>假设表!M91</f>
        <v>0</v>
      </c>
      <c r="J145" s="119">
        <f>假设表!N91</f>
        <v>0</v>
      </c>
      <c r="K145" s="119">
        <f>假设表!O91</f>
        <v>0</v>
      </c>
      <c r="L145" s="119">
        <f>假设表!P91</f>
        <v>0</v>
      </c>
      <c r="M145" s="119">
        <f>假设表!Q91</f>
        <v>0</v>
      </c>
      <c r="N145" s="119">
        <f>假设表!R91</f>
        <v>0</v>
      </c>
      <c r="O145" s="119">
        <f>假设表!S91</f>
        <v>0</v>
      </c>
      <c r="P145" s="129">
        <f>假设表!T91</f>
        <v>0</v>
      </c>
    </row>
    <row r="146" spans="2:16">
      <c r="B146" s="101" t="s">
        <v>941</v>
      </c>
      <c r="D146" s="119"/>
      <c r="E146" s="119">
        <f>假设表!I106</f>
        <v>0</v>
      </c>
      <c r="F146" s="119">
        <f>假设表!J106</f>
        <v>0</v>
      </c>
      <c r="G146" s="119">
        <f>假设表!K106</f>
        <v>0</v>
      </c>
      <c r="H146" s="119">
        <f>假设表!L106</f>
        <v>0</v>
      </c>
      <c r="I146" s="119">
        <f>假设表!M106</f>
        <v>0</v>
      </c>
      <c r="J146" s="119">
        <f>假设表!N106</f>
        <v>0</v>
      </c>
      <c r="K146" s="119">
        <f>假设表!O106</f>
        <v>0</v>
      </c>
      <c r="L146" s="119">
        <f>假设表!P106</f>
        <v>0</v>
      </c>
      <c r="M146" s="119">
        <f>假设表!Q106</f>
        <v>0</v>
      </c>
      <c r="N146" s="119">
        <f>假设表!R106</f>
        <v>0</v>
      </c>
      <c r="O146" s="119">
        <f>假设表!S106</f>
        <v>0</v>
      </c>
      <c r="P146" s="129">
        <f>假设表!T106</f>
        <v>0</v>
      </c>
    </row>
    <row r="147" spans="2:16" ht="14.65">
      <c r="B147" s="203" t="s">
        <v>942</v>
      </c>
      <c r="C147" s="113"/>
      <c r="D147" s="124">
        <f>历史数据及预测表!H35</f>
        <v>9.6800071400000007</v>
      </c>
      <c r="E147" s="124">
        <f t="shared" ref="E147:N147" si="37">E143+E144-E145-E146</f>
        <v>9.6800071400000007</v>
      </c>
      <c r="F147" s="124">
        <f t="shared" si="37"/>
        <v>9.6800071400000007</v>
      </c>
      <c r="G147" s="124">
        <f t="shared" si="37"/>
        <v>9.6800071400000007</v>
      </c>
      <c r="H147" s="124">
        <f t="shared" si="37"/>
        <v>9.6800071400000007</v>
      </c>
      <c r="I147" s="124">
        <f t="shared" si="37"/>
        <v>9.6800071400000007</v>
      </c>
      <c r="J147" s="124">
        <f t="shared" si="37"/>
        <v>9.6800071400000007</v>
      </c>
      <c r="K147" s="124">
        <f t="shared" si="37"/>
        <v>9.6800071400000007</v>
      </c>
      <c r="L147" s="124">
        <f t="shared" si="37"/>
        <v>9.6800071400000007</v>
      </c>
      <c r="M147" s="124">
        <f t="shared" si="37"/>
        <v>9.6800071400000007</v>
      </c>
      <c r="N147" s="124">
        <f t="shared" si="37"/>
        <v>9.6800071400000007</v>
      </c>
      <c r="O147" s="124">
        <f t="shared" ref="O147:P147" si="38">O143+O144-O145-O146</f>
        <v>9.6800071400000007</v>
      </c>
      <c r="P147" s="139">
        <f t="shared" si="38"/>
        <v>9.6800071400000007</v>
      </c>
    </row>
    <row r="148" spans="2:16" ht="14.65">
      <c r="B148" s="187"/>
      <c r="D148" s="204"/>
      <c r="E148" s="204"/>
      <c r="F148" s="204"/>
      <c r="G148" s="204"/>
      <c r="H148" s="204"/>
      <c r="I148" s="204"/>
      <c r="J148" s="204"/>
      <c r="K148" s="204"/>
      <c r="L148" s="204"/>
      <c r="M148" s="204"/>
      <c r="N148" s="204"/>
    </row>
    <row r="149" spans="2:16" ht="14.65">
      <c r="B149" s="444" t="s">
        <v>943</v>
      </c>
      <c r="C149" s="445"/>
      <c r="D149" s="205"/>
      <c r="E149" s="205"/>
      <c r="F149" s="205"/>
      <c r="G149" s="205"/>
      <c r="H149" s="205"/>
      <c r="I149" s="205"/>
      <c r="J149" s="205"/>
      <c r="K149" s="205"/>
      <c r="L149" s="205"/>
      <c r="M149" s="205"/>
      <c r="N149" s="205"/>
      <c r="O149" s="118"/>
      <c r="P149" s="125"/>
    </row>
    <row r="150" spans="2:16">
      <c r="B150" s="101" t="s">
        <v>907</v>
      </c>
      <c r="C150" s="188"/>
      <c r="E150" s="26" t="s">
        <v>908</v>
      </c>
      <c r="F150" s="190"/>
      <c r="H150" s="26" t="s">
        <v>909</v>
      </c>
      <c r="I150" s="195" t="e">
        <f>(1-F150)/C150</f>
        <v>#DIV/0!</v>
      </c>
      <c r="J150" s="204"/>
      <c r="K150" s="204"/>
      <c r="L150" s="204"/>
      <c r="M150" s="204"/>
      <c r="N150" s="204"/>
      <c r="P150" s="131"/>
    </row>
    <row r="151" spans="2:16" ht="14.65">
      <c r="B151" s="202"/>
      <c r="D151" s="206">
        <f>假设表!H2</f>
        <v>2025</v>
      </c>
      <c r="E151" s="193">
        <f>假设表!I2</f>
        <v>2026</v>
      </c>
      <c r="F151" s="193">
        <f>假设表!J2</f>
        <v>2027</v>
      </c>
      <c r="G151" s="193">
        <f>假设表!K2</f>
        <v>2028</v>
      </c>
      <c r="H151" s="193">
        <f>假设表!L2</f>
        <v>2029</v>
      </c>
      <c r="I151" s="193">
        <f>假设表!M2</f>
        <v>2030</v>
      </c>
      <c r="J151" s="193">
        <f>假设表!N2</f>
        <v>2031</v>
      </c>
      <c r="K151" s="193">
        <f>假设表!O2</f>
        <v>2032</v>
      </c>
      <c r="L151" s="193">
        <f>假设表!P2</f>
        <v>2033</v>
      </c>
      <c r="M151" s="193">
        <f>假设表!Q2</f>
        <v>2034</v>
      </c>
      <c r="N151" s="193">
        <f>假设表!R2</f>
        <v>2035</v>
      </c>
      <c r="O151" s="193">
        <f>假设表!S2</f>
        <v>2036</v>
      </c>
      <c r="P151" s="197">
        <f>假设表!T2</f>
        <v>2037</v>
      </c>
    </row>
    <row r="152" spans="2:16">
      <c r="B152" s="101" t="s">
        <v>910</v>
      </c>
      <c r="C152" s="26" t="s">
        <v>911</v>
      </c>
      <c r="D152" s="204"/>
      <c r="E152" s="204"/>
      <c r="F152" s="204"/>
      <c r="G152" s="204"/>
      <c r="H152" s="204"/>
      <c r="I152" s="204"/>
      <c r="J152" s="204"/>
      <c r="K152" s="204"/>
      <c r="L152" s="204"/>
      <c r="M152" s="204"/>
      <c r="N152" s="204"/>
      <c r="P152" s="131"/>
    </row>
    <row r="153" spans="2:16">
      <c r="B153" s="101">
        <f t="array" ref="B153:B165">TRANSPOSE(假设表!H2:T2)</f>
        <v>2025</v>
      </c>
      <c r="C153" s="26" t="s">
        <v>944</v>
      </c>
      <c r="D153" s="204">
        <f t="array" ref="D153:D165">TRANSPOSE(假设表!H95:T95)</f>
        <v>16.938198789999998</v>
      </c>
      <c r="E153" s="119">
        <f>IF(E$151-$B153&lt;=$C$150-1,$I$150*$D153,0)</f>
        <v>0</v>
      </c>
      <c r="F153" s="119">
        <f t="shared" ref="F153:P165" si="39">IF(F$151-$B153&lt;=$C$150-1,$I$150*$D153,0)</f>
        <v>0</v>
      </c>
      <c r="G153" s="119">
        <f t="shared" si="39"/>
        <v>0</v>
      </c>
      <c r="H153" s="119">
        <f t="shared" si="39"/>
        <v>0</v>
      </c>
      <c r="I153" s="119">
        <f t="shared" si="39"/>
        <v>0</v>
      </c>
      <c r="J153" s="119">
        <f t="shared" si="39"/>
        <v>0</v>
      </c>
      <c r="K153" s="119">
        <f t="shared" si="39"/>
        <v>0</v>
      </c>
      <c r="L153" s="119">
        <f t="shared" si="39"/>
        <v>0</v>
      </c>
      <c r="M153" s="119">
        <f t="shared" si="39"/>
        <v>0</v>
      </c>
      <c r="N153" s="119">
        <f t="shared" si="39"/>
        <v>0</v>
      </c>
      <c r="O153" s="119">
        <f t="shared" si="39"/>
        <v>0</v>
      </c>
      <c r="P153" s="129">
        <f t="shared" si="39"/>
        <v>0</v>
      </c>
    </row>
    <row r="154" spans="2:16">
      <c r="B154" s="101">
        <v>2026</v>
      </c>
      <c r="C154" s="26" t="s">
        <v>913</v>
      </c>
      <c r="D154" s="204">
        <v>0</v>
      </c>
      <c r="E154" s="119">
        <f>IF(E$151-$B154&lt;=$C$150-1,$I$150*$D154,0)</f>
        <v>0</v>
      </c>
      <c r="F154" s="119">
        <f t="shared" si="39"/>
        <v>0</v>
      </c>
      <c r="G154" s="119">
        <f t="shared" si="39"/>
        <v>0</v>
      </c>
      <c r="H154" s="119">
        <f t="shared" si="39"/>
        <v>0</v>
      </c>
      <c r="I154" s="119">
        <f t="shared" si="39"/>
        <v>0</v>
      </c>
      <c r="J154" s="119">
        <f t="shared" si="39"/>
        <v>0</v>
      </c>
      <c r="K154" s="119">
        <f t="shared" si="39"/>
        <v>0</v>
      </c>
      <c r="L154" s="119">
        <f t="shared" si="39"/>
        <v>0</v>
      </c>
      <c r="M154" s="119">
        <f t="shared" si="39"/>
        <v>0</v>
      </c>
      <c r="N154" s="119">
        <f t="shared" si="39"/>
        <v>0</v>
      </c>
      <c r="O154" s="119">
        <f t="shared" si="39"/>
        <v>0</v>
      </c>
      <c r="P154" s="129">
        <f t="shared" si="39"/>
        <v>0</v>
      </c>
    </row>
    <row r="155" spans="2:16">
      <c r="B155" s="101">
        <v>2027</v>
      </c>
      <c r="C155" s="26" t="s">
        <v>913</v>
      </c>
      <c r="D155" s="204">
        <v>0</v>
      </c>
      <c r="E155" s="191"/>
      <c r="F155" s="119">
        <f t="shared" si="39"/>
        <v>0</v>
      </c>
      <c r="G155" s="119">
        <f t="shared" si="39"/>
        <v>0</v>
      </c>
      <c r="H155" s="119">
        <f t="shared" si="39"/>
        <v>0</v>
      </c>
      <c r="I155" s="119">
        <f t="shared" si="39"/>
        <v>0</v>
      </c>
      <c r="J155" s="119">
        <f t="shared" si="39"/>
        <v>0</v>
      </c>
      <c r="K155" s="119">
        <f t="shared" si="39"/>
        <v>0</v>
      </c>
      <c r="L155" s="119">
        <f t="shared" si="39"/>
        <v>0</v>
      </c>
      <c r="M155" s="119">
        <f t="shared" si="39"/>
        <v>0</v>
      </c>
      <c r="N155" s="119">
        <f t="shared" si="39"/>
        <v>0</v>
      </c>
      <c r="O155" s="119">
        <f t="shared" si="39"/>
        <v>0</v>
      </c>
      <c r="P155" s="129">
        <f t="shared" si="39"/>
        <v>0</v>
      </c>
    </row>
    <row r="156" spans="2:16">
      <c r="B156" s="101">
        <v>2028</v>
      </c>
      <c r="C156" s="26" t="s">
        <v>913</v>
      </c>
      <c r="D156" s="204">
        <v>0</v>
      </c>
      <c r="E156" s="191"/>
      <c r="F156" s="191"/>
      <c r="G156" s="119">
        <f t="shared" si="39"/>
        <v>0</v>
      </c>
      <c r="H156" s="119">
        <f t="shared" si="39"/>
        <v>0</v>
      </c>
      <c r="I156" s="119">
        <f t="shared" si="39"/>
        <v>0</v>
      </c>
      <c r="J156" s="119">
        <f t="shared" si="39"/>
        <v>0</v>
      </c>
      <c r="K156" s="119">
        <f t="shared" si="39"/>
        <v>0</v>
      </c>
      <c r="L156" s="119">
        <f t="shared" si="39"/>
        <v>0</v>
      </c>
      <c r="M156" s="119">
        <f t="shared" si="39"/>
        <v>0</v>
      </c>
      <c r="N156" s="119">
        <f t="shared" si="39"/>
        <v>0</v>
      </c>
      <c r="O156" s="119">
        <f t="shared" si="39"/>
        <v>0</v>
      </c>
      <c r="P156" s="129">
        <f t="shared" si="39"/>
        <v>0</v>
      </c>
    </row>
    <row r="157" spans="2:16">
      <c r="B157" s="101">
        <v>2029</v>
      </c>
      <c r="C157" s="26" t="s">
        <v>913</v>
      </c>
      <c r="D157" s="204">
        <v>0</v>
      </c>
      <c r="E157" s="191"/>
      <c r="F157" s="191"/>
      <c r="G157" s="191"/>
      <c r="H157" s="119">
        <f t="shared" si="39"/>
        <v>0</v>
      </c>
      <c r="I157" s="119">
        <f t="shared" si="39"/>
        <v>0</v>
      </c>
      <c r="J157" s="119">
        <f t="shared" si="39"/>
        <v>0</v>
      </c>
      <c r="K157" s="119">
        <f t="shared" si="39"/>
        <v>0</v>
      </c>
      <c r="L157" s="119">
        <f t="shared" si="39"/>
        <v>0</v>
      </c>
      <c r="M157" s="119">
        <f t="shared" si="39"/>
        <v>0</v>
      </c>
      <c r="N157" s="119">
        <f t="shared" si="39"/>
        <v>0</v>
      </c>
      <c r="O157" s="119">
        <f t="shared" si="39"/>
        <v>0</v>
      </c>
      <c r="P157" s="129">
        <f t="shared" si="39"/>
        <v>0</v>
      </c>
    </row>
    <row r="158" spans="2:16">
      <c r="B158" s="101">
        <v>2030</v>
      </c>
      <c r="C158" s="26" t="s">
        <v>913</v>
      </c>
      <c r="D158" s="204">
        <v>0</v>
      </c>
      <c r="E158" s="191"/>
      <c r="F158" s="191"/>
      <c r="G158" s="191"/>
      <c r="H158" s="191"/>
      <c r="I158" s="119">
        <f t="shared" si="39"/>
        <v>0</v>
      </c>
      <c r="J158" s="119">
        <f t="shared" si="39"/>
        <v>0</v>
      </c>
      <c r="K158" s="119">
        <f t="shared" si="39"/>
        <v>0</v>
      </c>
      <c r="L158" s="119">
        <f t="shared" si="39"/>
        <v>0</v>
      </c>
      <c r="M158" s="119">
        <f t="shared" si="39"/>
        <v>0</v>
      </c>
      <c r="N158" s="119">
        <f t="shared" si="39"/>
        <v>0</v>
      </c>
      <c r="O158" s="119">
        <f t="shared" si="39"/>
        <v>0</v>
      </c>
      <c r="P158" s="129">
        <f t="shared" si="39"/>
        <v>0</v>
      </c>
    </row>
    <row r="159" spans="2:16">
      <c r="B159" s="101">
        <v>2031</v>
      </c>
      <c r="C159" s="26" t="s">
        <v>913</v>
      </c>
      <c r="D159" s="204">
        <v>0</v>
      </c>
      <c r="E159" s="191"/>
      <c r="F159" s="191"/>
      <c r="G159" s="191"/>
      <c r="H159" s="191"/>
      <c r="I159" s="191"/>
      <c r="J159" s="119">
        <f t="shared" si="39"/>
        <v>0</v>
      </c>
      <c r="K159" s="119">
        <f t="shared" si="39"/>
        <v>0</v>
      </c>
      <c r="L159" s="119">
        <f t="shared" si="39"/>
        <v>0</v>
      </c>
      <c r="M159" s="119">
        <f t="shared" si="39"/>
        <v>0</v>
      </c>
      <c r="N159" s="119">
        <f t="shared" si="39"/>
        <v>0</v>
      </c>
      <c r="O159" s="119">
        <f t="shared" si="39"/>
        <v>0</v>
      </c>
      <c r="P159" s="129">
        <f t="shared" si="39"/>
        <v>0</v>
      </c>
    </row>
    <row r="160" spans="2:16">
      <c r="B160" s="101">
        <v>2032</v>
      </c>
      <c r="C160" s="26" t="s">
        <v>913</v>
      </c>
      <c r="D160" s="204">
        <v>0</v>
      </c>
      <c r="E160" s="191"/>
      <c r="F160" s="191"/>
      <c r="G160" s="191"/>
      <c r="H160" s="191"/>
      <c r="I160" s="191"/>
      <c r="J160" s="191"/>
      <c r="K160" s="119">
        <f t="shared" si="39"/>
        <v>0</v>
      </c>
      <c r="L160" s="119">
        <f t="shared" si="39"/>
        <v>0</v>
      </c>
      <c r="M160" s="119">
        <f t="shared" si="39"/>
        <v>0</v>
      </c>
      <c r="N160" s="119">
        <f t="shared" si="39"/>
        <v>0</v>
      </c>
      <c r="O160" s="119">
        <f t="shared" si="39"/>
        <v>0</v>
      </c>
      <c r="P160" s="129">
        <f t="shared" si="39"/>
        <v>0</v>
      </c>
    </row>
    <row r="161" spans="2:16">
      <c r="B161" s="101">
        <v>2033</v>
      </c>
      <c r="C161" s="26" t="s">
        <v>913</v>
      </c>
      <c r="D161" s="204">
        <v>0</v>
      </c>
      <c r="E161" s="191"/>
      <c r="F161" s="191"/>
      <c r="G161" s="191"/>
      <c r="H161" s="191"/>
      <c r="I161" s="191"/>
      <c r="J161" s="191"/>
      <c r="K161" s="191"/>
      <c r="L161" s="119">
        <f t="shared" si="39"/>
        <v>0</v>
      </c>
      <c r="M161" s="119">
        <f t="shared" si="39"/>
        <v>0</v>
      </c>
      <c r="N161" s="119">
        <f t="shared" si="39"/>
        <v>0</v>
      </c>
      <c r="O161" s="119">
        <f t="shared" si="39"/>
        <v>0</v>
      </c>
      <c r="P161" s="129">
        <f t="shared" si="39"/>
        <v>0</v>
      </c>
    </row>
    <row r="162" spans="2:16">
      <c r="B162" s="101">
        <v>2034</v>
      </c>
      <c r="C162" s="26" t="s">
        <v>913</v>
      </c>
      <c r="D162" s="204">
        <v>0</v>
      </c>
      <c r="E162" s="191"/>
      <c r="F162" s="191"/>
      <c r="G162" s="191"/>
      <c r="H162" s="191"/>
      <c r="I162" s="191"/>
      <c r="J162" s="191"/>
      <c r="K162" s="191"/>
      <c r="L162" s="191"/>
      <c r="M162" s="119">
        <f t="shared" si="39"/>
        <v>0</v>
      </c>
      <c r="N162" s="119">
        <f t="shared" si="39"/>
        <v>0</v>
      </c>
      <c r="O162" s="119">
        <f t="shared" si="39"/>
        <v>0</v>
      </c>
      <c r="P162" s="129">
        <f t="shared" si="39"/>
        <v>0</v>
      </c>
    </row>
    <row r="163" spans="2:16">
      <c r="B163" s="101">
        <v>2035</v>
      </c>
      <c r="C163" s="26" t="s">
        <v>913</v>
      </c>
      <c r="D163" s="204">
        <v>0</v>
      </c>
      <c r="E163" s="191"/>
      <c r="F163" s="191"/>
      <c r="G163" s="191"/>
      <c r="H163" s="191"/>
      <c r="I163" s="191"/>
      <c r="J163" s="191"/>
      <c r="K163" s="191"/>
      <c r="L163" s="191"/>
      <c r="M163" s="191"/>
      <c r="N163" s="119">
        <f t="shared" si="39"/>
        <v>0</v>
      </c>
      <c r="O163" s="119">
        <f t="shared" si="39"/>
        <v>0</v>
      </c>
      <c r="P163" s="129">
        <f t="shared" si="39"/>
        <v>0</v>
      </c>
    </row>
    <row r="164" spans="2:16">
      <c r="B164" s="101">
        <v>2036</v>
      </c>
      <c r="C164" s="26" t="s">
        <v>913</v>
      </c>
      <c r="D164" s="204">
        <v>0</v>
      </c>
      <c r="E164" s="191"/>
      <c r="F164" s="191"/>
      <c r="G164" s="191"/>
      <c r="H164" s="191"/>
      <c r="I164" s="191"/>
      <c r="J164" s="191"/>
      <c r="K164" s="191"/>
      <c r="L164" s="191"/>
      <c r="M164" s="191"/>
      <c r="N164" s="191"/>
      <c r="O164" s="119">
        <f t="shared" si="39"/>
        <v>0</v>
      </c>
      <c r="P164" s="129">
        <f t="shared" si="39"/>
        <v>0</v>
      </c>
    </row>
    <row r="165" spans="2:16">
      <c r="B165" s="101">
        <v>2037</v>
      </c>
      <c r="C165" s="26" t="s">
        <v>913</v>
      </c>
      <c r="D165" s="204">
        <v>0</v>
      </c>
      <c r="E165" s="191"/>
      <c r="F165" s="191"/>
      <c r="G165" s="191"/>
      <c r="H165" s="191"/>
      <c r="I165" s="191"/>
      <c r="J165" s="191"/>
      <c r="K165" s="191"/>
      <c r="L165" s="191"/>
      <c r="M165" s="191"/>
      <c r="N165" s="191"/>
      <c r="O165" s="191"/>
      <c r="P165" s="129">
        <f t="shared" si="39"/>
        <v>0</v>
      </c>
    </row>
    <row r="166" spans="2:16" ht="14.65">
      <c r="B166" s="442" t="s">
        <v>945</v>
      </c>
      <c r="C166" s="443"/>
      <c r="D166" s="207"/>
      <c r="E166" s="124">
        <f t="shared" ref="E166:P166" si="40">SUM(E153:E165)</f>
        <v>0</v>
      </c>
      <c r="F166" s="124">
        <f t="shared" si="40"/>
        <v>0</v>
      </c>
      <c r="G166" s="124">
        <f t="shared" si="40"/>
        <v>0</v>
      </c>
      <c r="H166" s="124">
        <f t="shared" si="40"/>
        <v>0</v>
      </c>
      <c r="I166" s="124">
        <f t="shared" si="40"/>
        <v>0</v>
      </c>
      <c r="J166" s="124">
        <f t="shared" si="40"/>
        <v>0</v>
      </c>
      <c r="K166" s="124">
        <f t="shared" si="40"/>
        <v>0</v>
      </c>
      <c r="L166" s="124">
        <f t="shared" si="40"/>
        <v>0</v>
      </c>
      <c r="M166" s="124">
        <f t="shared" si="40"/>
        <v>0</v>
      </c>
      <c r="N166" s="124">
        <f t="shared" si="40"/>
        <v>0</v>
      </c>
      <c r="O166" s="124">
        <f t="shared" si="40"/>
        <v>0</v>
      </c>
      <c r="P166" s="139">
        <f t="shared" si="40"/>
        <v>0</v>
      </c>
    </row>
    <row r="167" spans="2:16" ht="14.65">
      <c r="B167" s="187"/>
      <c r="D167" s="204"/>
      <c r="E167" s="204"/>
      <c r="F167" s="204"/>
      <c r="G167" s="204"/>
      <c r="H167" s="204"/>
      <c r="I167" s="204"/>
      <c r="J167" s="204"/>
      <c r="K167" s="204"/>
      <c r="L167" s="204"/>
      <c r="M167" s="204"/>
      <c r="N167" s="204"/>
    </row>
    <row r="168" spans="2:16" ht="14.65">
      <c r="B168" s="117"/>
      <c r="C168" s="118"/>
      <c r="D168" s="200">
        <f>假设表!H2</f>
        <v>2025</v>
      </c>
      <c r="E168" s="201">
        <f>假设表!I2</f>
        <v>2026</v>
      </c>
      <c r="F168" s="201">
        <f>假设表!J2</f>
        <v>2027</v>
      </c>
      <c r="G168" s="201">
        <f>假设表!K2</f>
        <v>2028</v>
      </c>
      <c r="H168" s="201">
        <f>假设表!L2</f>
        <v>2029</v>
      </c>
      <c r="I168" s="201">
        <f>假设表!M2</f>
        <v>2030</v>
      </c>
      <c r="J168" s="201">
        <f>假设表!N2</f>
        <v>2031</v>
      </c>
      <c r="K168" s="201">
        <f>假设表!O2</f>
        <v>2032</v>
      </c>
      <c r="L168" s="201">
        <f>假设表!P2</f>
        <v>2033</v>
      </c>
      <c r="M168" s="201">
        <f>假设表!Q2</f>
        <v>2034</v>
      </c>
      <c r="N168" s="201">
        <f>假设表!R2</f>
        <v>2035</v>
      </c>
      <c r="O168" s="201">
        <f>假设表!S2</f>
        <v>2036</v>
      </c>
      <c r="P168" s="208">
        <f>假设表!T2</f>
        <v>2037</v>
      </c>
    </row>
    <row r="169" spans="2:16">
      <c r="B169" s="101" t="s">
        <v>946</v>
      </c>
      <c r="D169" s="204"/>
      <c r="E169" s="204">
        <f>D173</f>
        <v>16.938198789999998</v>
      </c>
      <c r="F169" s="204">
        <f t="shared" ref="F169:N169" si="41">E173</f>
        <v>16.938198789999998</v>
      </c>
      <c r="G169" s="204">
        <f t="shared" si="41"/>
        <v>16.938198789999998</v>
      </c>
      <c r="H169" s="204">
        <f t="shared" si="41"/>
        <v>16.938198789999998</v>
      </c>
      <c r="I169" s="204">
        <f t="shared" si="41"/>
        <v>16.938198789999998</v>
      </c>
      <c r="J169" s="204">
        <f t="shared" si="41"/>
        <v>16.938198789999998</v>
      </c>
      <c r="K169" s="204">
        <f t="shared" si="41"/>
        <v>16.938198789999998</v>
      </c>
      <c r="L169" s="204">
        <f t="shared" si="41"/>
        <v>16.938198789999998</v>
      </c>
      <c r="M169" s="204">
        <f t="shared" si="41"/>
        <v>16.938198789999998</v>
      </c>
      <c r="N169" s="204">
        <f t="shared" si="41"/>
        <v>16.938198789999998</v>
      </c>
      <c r="O169" s="204">
        <f t="shared" ref="O169" si="42">N173</f>
        <v>16.938198789999998</v>
      </c>
      <c r="P169" s="209">
        <f t="shared" ref="P169" si="43">O173</f>
        <v>16.938198789999998</v>
      </c>
    </row>
    <row r="170" spans="2:16">
      <c r="B170" s="101" t="s">
        <v>947</v>
      </c>
      <c r="D170" s="204"/>
      <c r="E170" s="204">
        <f>假设表!I95</f>
        <v>0</v>
      </c>
      <c r="F170" s="204">
        <f>假设表!J95</f>
        <v>0</v>
      </c>
      <c r="G170" s="204">
        <f>假设表!K95</f>
        <v>0</v>
      </c>
      <c r="H170" s="204">
        <f>假设表!L95</f>
        <v>0</v>
      </c>
      <c r="I170" s="204">
        <f>假设表!M95</f>
        <v>0</v>
      </c>
      <c r="J170" s="204">
        <f>假设表!N95</f>
        <v>0</v>
      </c>
      <c r="K170" s="204">
        <f>假设表!O95</f>
        <v>0</v>
      </c>
      <c r="L170" s="204">
        <f>假设表!P95</f>
        <v>0</v>
      </c>
      <c r="M170" s="204">
        <f>假设表!Q95</f>
        <v>0</v>
      </c>
      <c r="N170" s="204">
        <f>假设表!R95</f>
        <v>0</v>
      </c>
      <c r="O170" s="204">
        <f>假设表!S95</f>
        <v>0</v>
      </c>
      <c r="P170" s="209">
        <f>假设表!T95</f>
        <v>0</v>
      </c>
    </row>
    <row r="171" spans="2:16">
      <c r="B171" s="101" t="s">
        <v>948</v>
      </c>
      <c r="D171" s="204"/>
      <c r="E171" s="204">
        <f>E166</f>
        <v>0</v>
      </c>
      <c r="F171" s="204">
        <f t="shared" ref="F171:N171" si="44">F166</f>
        <v>0</v>
      </c>
      <c r="G171" s="204">
        <f t="shared" si="44"/>
        <v>0</v>
      </c>
      <c r="H171" s="204">
        <f t="shared" si="44"/>
        <v>0</v>
      </c>
      <c r="I171" s="204">
        <f t="shared" si="44"/>
        <v>0</v>
      </c>
      <c r="J171" s="204">
        <f t="shared" si="44"/>
        <v>0</v>
      </c>
      <c r="K171" s="204">
        <f t="shared" si="44"/>
        <v>0</v>
      </c>
      <c r="L171" s="204">
        <f t="shared" si="44"/>
        <v>0</v>
      </c>
      <c r="M171" s="204">
        <f t="shared" si="44"/>
        <v>0</v>
      </c>
      <c r="N171" s="204">
        <f t="shared" si="44"/>
        <v>0</v>
      </c>
      <c r="O171" s="204">
        <f t="shared" ref="O171:P171" si="45">O166</f>
        <v>0</v>
      </c>
      <c r="P171" s="209">
        <f t="shared" si="45"/>
        <v>0</v>
      </c>
    </row>
    <row r="172" spans="2:16">
      <c r="B172" s="101" t="s">
        <v>848</v>
      </c>
      <c r="D172" s="204"/>
      <c r="E172" s="204">
        <f>假设表!I109</f>
        <v>0</v>
      </c>
      <c r="F172" s="204">
        <f>假设表!J109</f>
        <v>0</v>
      </c>
      <c r="G172" s="204">
        <f>假设表!K109</f>
        <v>0</v>
      </c>
      <c r="H172" s="204">
        <f>假设表!L109</f>
        <v>0</v>
      </c>
      <c r="I172" s="204">
        <f>假设表!M109</f>
        <v>0</v>
      </c>
      <c r="J172" s="204">
        <f>假设表!N109</f>
        <v>0</v>
      </c>
      <c r="K172" s="204">
        <f>假设表!O109</f>
        <v>0</v>
      </c>
      <c r="L172" s="204">
        <f>假设表!P109</f>
        <v>0</v>
      </c>
      <c r="M172" s="204">
        <f>假设表!Q109</f>
        <v>0</v>
      </c>
      <c r="N172" s="204">
        <f>假设表!R109</f>
        <v>0</v>
      </c>
      <c r="O172" s="204">
        <f>假设表!S109</f>
        <v>0</v>
      </c>
      <c r="P172" s="209">
        <f>假设表!T109</f>
        <v>0</v>
      </c>
    </row>
    <row r="173" spans="2:16">
      <c r="B173" s="112" t="s">
        <v>949</v>
      </c>
      <c r="C173" s="113"/>
      <c r="D173" s="207">
        <f>历史数据及预测表!H39</f>
        <v>16.938198789999998</v>
      </c>
      <c r="E173" s="207">
        <f>E169+E170-E171-E172</f>
        <v>16.938198789999998</v>
      </c>
      <c r="F173" s="207">
        <f t="shared" ref="F173:N173" si="46">F169+F170-F171-F172</f>
        <v>16.938198789999998</v>
      </c>
      <c r="G173" s="207">
        <f t="shared" si="46"/>
        <v>16.938198789999998</v>
      </c>
      <c r="H173" s="207">
        <f t="shared" si="46"/>
        <v>16.938198789999998</v>
      </c>
      <c r="I173" s="207">
        <f t="shared" si="46"/>
        <v>16.938198789999998</v>
      </c>
      <c r="J173" s="207">
        <f t="shared" si="46"/>
        <v>16.938198789999998</v>
      </c>
      <c r="K173" s="207">
        <f t="shared" si="46"/>
        <v>16.938198789999998</v>
      </c>
      <c r="L173" s="207">
        <f t="shared" si="46"/>
        <v>16.938198789999998</v>
      </c>
      <c r="M173" s="207">
        <f t="shared" si="46"/>
        <v>16.938198789999998</v>
      </c>
      <c r="N173" s="207">
        <f t="shared" si="46"/>
        <v>16.938198789999998</v>
      </c>
      <c r="O173" s="207">
        <f t="shared" ref="O173:P173" si="47">O169+O170-O171-O172</f>
        <v>16.938198789999998</v>
      </c>
      <c r="P173" s="210">
        <f t="shared" si="47"/>
        <v>16.938198789999998</v>
      </c>
    </row>
    <row r="175" spans="2:16" ht="14.65">
      <c r="B175" s="444" t="s">
        <v>950</v>
      </c>
      <c r="C175" s="445"/>
      <c r="D175" s="118"/>
      <c r="E175" s="118"/>
      <c r="F175" s="118"/>
      <c r="G175" s="118"/>
      <c r="H175" s="118"/>
      <c r="I175" s="118"/>
      <c r="J175" s="118"/>
      <c r="K175" s="118"/>
      <c r="L175" s="118"/>
      <c r="M175" s="118"/>
      <c r="N175" s="118"/>
      <c r="O175" s="118"/>
      <c r="P175" s="125"/>
    </row>
    <row r="176" spans="2:16">
      <c r="B176" s="101" t="s">
        <v>907</v>
      </c>
      <c r="C176" s="188"/>
      <c r="E176" s="26" t="s">
        <v>908</v>
      </c>
      <c r="F176" s="190"/>
      <c r="H176" s="26" t="s">
        <v>909</v>
      </c>
      <c r="I176" s="195" t="e">
        <f>(1-F176)/C176</f>
        <v>#DIV/0!</v>
      </c>
      <c r="N176" s="119"/>
      <c r="P176" s="131"/>
    </row>
    <row r="177" spans="2:16">
      <c r="B177" s="101"/>
      <c r="E177" s="193">
        <f>假设表!I2</f>
        <v>2026</v>
      </c>
      <c r="F177" s="193">
        <f>假设表!J2</f>
        <v>2027</v>
      </c>
      <c r="G177" s="193">
        <f>假设表!K2</f>
        <v>2028</v>
      </c>
      <c r="H177" s="193">
        <f>假设表!L2</f>
        <v>2029</v>
      </c>
      <c r="I177" s="193">
        <f>假设表!M2</f>
        <v>2030</v>
      </c>
      <c r="J177" s="193">
        <f>假设表!N2</f>
        <v>2031</v>
      </c>
      <c r="K177" s="193">
        <f>假设表!O2</f>
        <v>2032</v>
      </c>
      <c r="L177" s="193">
        <f>假设表!P2</f>
        <v>2033</v>
      </c>
      <c r="M177" s="193">
        <f>假设表!Q2</f>
        <v>2034</v>
      </c>
      <c r="N177" s="193">
        <f>假设表!R2</f>
        <v>2035</v>
      </c>
      <c r="O177" s="193">
        <f>假设表!S2</f>
        <v>2036</v>
      </c>
      <c r="P177" s="197">
        <f>假设表!T2</f>
        <v>2037</v>
      </c>
    </row>
    <row r="178" spans="2:16">
      <c r="B178" s="101" t="s">
        <v>910</v>
      </c>
      <c r="C178" s="26" t="s">
        <v>911</v>
      </c>
      <c r="P178" s="131"/>
    </row>
    <row r="179" spans="2:16">
      <c r="B179" s="101">
        <f t="array" ref="B179:B191">TRANSPOSE(假设表!H2:T2)</f>
        <v>2025</v>
      </c>
      <c r="C179" s="26" t="s">
        <v>951</v>
      </c>
      <c r="D179" s="119">
        <f t="array" ref="D179:D191">TRANSPOSE(假设表!H93:T93)</f>
        <v>0</v>
      </c>
      <c r="E179" s="119">
        <f>IF(E$177-$B179&lt;=$C$176,$I$176*$D179,0)</f>
        <v>0</v>
      </c>
      <c r="F179" s="119">
        <f t="shared" ref="F179:P179" si="48">IF(F$177-$B179&lt;=$C$176,$I$176*$D179,0)</f>
        <v>0</v>
      </c>
      <c r="G179" s="119">
        <f t="shared" si="48"/>
        <v>0</v>
      </c>
      <c r="H179" s="119">
        <f t="shared" si="48"/>
        <v>0</v>
      </c>
      <c r="I179" s="119">
        <f t="shared" si="48"/>
        <v>0</v>
      </c>
      <c r="J179" s="119">
        <f t="shared" si="48"/>
        <v>0</v>
      </c>
      <c r="K179" s="119">
        <f t="shared" si="48"/>
        <v>0</v>
      </c>
      <c r="L179" s="119">
        <f t="shared" si="48"/>
        <v>0</v>
      </c>
      <c r="M179" s="119">
        <f t="shared" si="48"/>
        <v>0</v>
      </c>
      <c r="N179" s="119">
        <f t="shared" si="48"/>
        <v>0</v>
      </c>
      <c r="O179" s="119">
        <f t="shared" si="48"/>
        <v>0</v>
      </c>
      <c r="P179" s="129">
        <f t="shared" si="48"/>
        <v>0</v>
      </c>
    </row>
    <row r="180" spans="2:16">
      <c r="B180" s="101">
        <v>2026</v>
      </c>
      <c r="C180" s="26" t="s">
        <v>913</v>
      </c>
      <c r="D180" s="119">
        <v>0</v>
      </c>
      <c r="E180" s="119">
        <f>IF(E$177-$B180&lt;=$C$176-1,$I$176*$D180,0)</f>
        <v>0</v>
      </c>
      <c r="F180" s="119">
        <f t="shared" ref="F180:P191" si="49">IF(F$177-$B180&lt;=$C$176-1,$I$176*$D180,0)</f>
        <v>0</v>
      </c>
      <c r="G180" s="119">
        <f t="shared" si="49"/>
        <v>0</v>
      </c>
      <c r="H180" s="119">
        <f t="shared" si="49"/>
        <v>0</v>
      </c>
      <c r="I180" s="119">
        <f t="shared" si="49"/>
        <v>0</v>
      </c>
      <c r="J180" s="119">
        <f t="shared" si="49"/>
        <v>0</v>
      </c>
      <c r="K180" s="119">
        <f t="shared" si="49"/>
        <v>0</v>
      </c>
      <c r="L180" s="119">
        <f t="shared" si="49"/>
        <v>0</v>
      </c>
      <c r="M180" s="119">
        <f t="shared" si="49"/>
        <v>0</v>
      </c>
      <c r="N180" s="119">
        <f t="shared" si="49"/>
        <v>0</v>
      </c>
      <c r="O180" s="119">
        <f t="shared" si="49"/>
        <v>0</v>
      </c>
      <c r="P180" s="129">
        <f t="shared" si="49"/>
        <v>0</v>
      </c>
    </row>
    <row r="181" spans="2:16">
      <c r="B181" s="101">
        <v>2027</v>
      </c>
      <c r="C181" s="26" t="s">
        <v>913</v>
      </c>
      <c r="D181" s="119">
        <v>0</v>
      </c>
      <c r="E181" s="191"/>
      <c r="F181" s="119">
        <f t="shared" si="49"/>
        <v>0</v>
      </c>
      <c r="G181" s="119">
        <f t="shared" si="49"/>
        <v>0</v>
      </c>
      <c r="H181" s="119">
        <f t="shared" si="49"/>
        <v>0</v>
      </c>
      <c r="I181" s="119">
        <f t="shared" si="49"/>
        <v>0</v>
      </c>
      <c r="J181" s="119">
        <f t="shared" si="49"/>
        <v>0</v>
      </c>
      <c r="K181" s="119">
        <f t="shared" si="49"/>
        <v>0</v>
      </c>
      <c r="L181" s="119">
        <f t="shared" si="49"/>
        <v>0</v>
      </c>
      <c r="M181" s="119">
        <f t="shared" si="49"/>
        <v>0</v>
      </c>
      <c r="N181" s="119">
        <f t="shared" si="49"/>
        <v>0</v>
      </c>
      <c r="O181" s="119">
        <f t="shared" si="49"/>
        <v>0</v>
      </c>
      <c r="P181" s="129">
        <f t="shared" si="49"/>
        <v>0</v>
      </c>
    </row>
    <row r="182" spans="2:16">
      <c r="B182" s="101">
        <v>2028</v>
      </c>
      <c r="C182" s="26" t="s">
        <v>913</v>
      </c>
      <c r="D182" s="119">
        <v>0</v>
      </c>
      <c r="E182" s="191"/>
      <c r="F182" s="191"/>
      <c r="G182" s="119">
        <f t="shared" si="49"/>
        <v>0</v>
      </c>
      <c r="H182" s="119">
        <f t="shared" si="49"/>
        <v>0</v>
      </c>
      <c r="I182" s="119">
        <f t="shared" si="49"/>
        <v>0</v>
      </c>
      <c r="J182" s="119">
        <f t="shared" si="49"/>
        <v>0</v>
      </c>
      <c r="K182" s="119">
        <f t="shared" si="49"/>
        <v>0</v>
      </c>
      <c r="L182" s="119">
        <f t="shared" si="49"/>
        <v>0</v>
      </c>
      <c r="M182" s="119">
        <f t="shared" si="49"/>
        <v>0</v>
      </c>
      <c r="N182" s="119">
        <f t="shared" si="49"/>
        <v>0</v>
      </c>
      <c r="O182" s="119">
        <f t="shared" si="49"/>
        <v>0</v>
      </c>
      <c r="P182" s="129">
        <f t="shared" si="49"/>
        <v>0</v>
      </c>
    </row>
    <row r="183" spans="2:16">
      <c r="B183" s="101">
        <v>2029</v>
      </c>
      <c r="C183" s="26" t="s">
        <v>913</v>
      </c>
      <c r="D183" s="119">
        <v>0</v>
      </c>
      <c r="E183" s="191"/>
      <c r="F183" s="191"/>
      <c r="G183" s="191"/>
      <c r="H183" s="119">
        <f t="shared" si="49"/>
        <v>0</v>
      </c>
      <c r="I183" s="119">
        <f t="shared" si="49"/>
        <v>0</v>
      </c>
      <c r="J183" s="119">
        <f t="shared" si="49"/>
        <v>0</v>
      </c>
      <c r="K183" s="119">
        <f t="shared" si="49"/>
        <v>0</v>
      </c>
      <c r="L183" s="119">
        <f t="shared" si="49"/>
        <v>0</v>
      </c>
      <c r="M183" s="119">
        <f t="shared" si="49"/>
        <v>0</v>
      </c>
      <c r="N183" s="119">
        <f t="shared" si="49"/>
        <v>0</v>
      </c>
      <c r="O183" s="119">
        <f t="shared" si="49"/>
        <v>0</v>
      </c>
      <c r="P183" s="129">
        <f t="shared" si="49"/>
        <v>0</v>
      </c>
    </row>
    <row r="184" spans="2:16">
      <c r="B184" s="101">
        <v>2030</v>
      </c>
      <c r="C184" s="26" t="s">
        <v>913</v>
      </c>
      <c r="D184" s="119">
        <v>0</v>
      </c>
      <c r="E184" s="191"/>
      <c r="F184" s="191"/>
      <c r="G184" s="191"/>
      <c r="H184" s="191"/>
      <c r="I184" s="119">
        <f t="shared" si="49"/>
        <v>0</v>
      </c>
      <c r="J184" s="119">
        <f t="shared" si="49"/>
        <v>0</v>
      </c>
      <c r="K184" s="119">
        <f t="shared" si="49"/>
        <v>0</v>
      </c>
      <c r="L184" s="119">
        <f t="shared" si="49"/>
        <v>0</v>
      </c>
      <c r="M184" s="119">
        <f t="shared" si="49"/>
        <v>0</v>
      </c>
      <c r="N184" s="119">
        <f t="shared" si="49"/>
        <v>0</v>
      </c>
      <c r="O184" s="119">
        <f t="shared" si="49"/>
        <v>0</v>
      </c>
      <c r="P184" s="129">
        <f t="shared" si="49"/>
        <v>0</v>
      </c>
    </row>
    <row r="185" spans="2:16">
      <c r="B185" s="101">
        <v>2031</v>
      </c>
      <c r="C185" s="26" t="s">
        <v>913</v>
      </c>
      <c r="D185" s="119">
        <v>0</v>
      </c>
      <c r="E185" s="191"/>
      <c r="F185" s="191"/>
      <c r="G185" s="191"/>
      <c r="H185" s="191"/>
      <c r="I185" s="191"/>
      <c r="J185" s="119">
        <f t="shared" si="49"/>
        <v>0</v>
      </c>
      <c r="K185" s="119">
        <f t="shared" si="49"/>
        <v>0</v>
      </c>
      <c r="L185" s="119">
        <f t="shared" si="49"/>
        <v>0</v>
      </c>
      <c r="M185" s="119">
        <f t="shared" si="49"/>
        <v>0</v>
      </c>
      <c r="N185" s="119">
        <f t="shared" si="49"/>
        <v>0</v>
      </c>
      <c r="O185" s="119">
        <f t="shared" si="49"/>
        <v>0</v>
      </c>
      <c r="P185" s="129">
        <f t="shared" si="49"/>
        <v>0</v>
      </c>
    </row>
    <row r="186" spans="2:16">
      <c r="B186" s="101">
        <v>2032</v>
      </c>
      <c r="C186" s="26" t="s">
        <v>913</v>
      </c>
      <c r="D186" s="119">
        <v>0</v>
      </c>
      <c r="E186" s="191"/>
      <c r="F186" s="191"/>
      <c r="G186" s="191"/>
      <c r="H186" s="191"/>
      <c r="I186" s="191"/>
      <c r="J186" s="191"/>
      <c r="K186" s="119">
        <f t="shared" si="49"/>
        <v>0</v>
      </c>
      <c r="L186" s="119">
        <f t="shared" si="49"/>
        <v>0</v>
      </c>
      <c r="M186" s="119">
        <f t="shared" si="49"/>
        <v>0</v>
      </c>
      <c r="N186" s="119">
        <f t="shared" si="49"/>
        <v>0</v>
      </c>
      <c r="O186" s="119">
        <f t="shared" si="49"/>
        <v>0</v>
      </c>
      <c r="P186" s="129">
        <f t="shared" si="49"/>
        <v>0</v>
      </c>
    </row>
    <row r="187" spans="2:16">
      <c r="B187" s="101">
        <v>2033</v>
      </c>
      <c r="C187" s="26" t="s">
        <v>913</v>
      </c>
      <c r="D187" s="119">
        <v>0</v>
      </c>
      <c r="E187" s="191"/>
      <c r="F187" s="191"/>
      <c r="G187" s="191"/>
      <c r="H187" s="191"/>
      <c r="I187" s="191"/>
      <c r="J187" s="191"/>
      <c r="K187" s="191"/>
      <c r="L187" s="119">
        <f t="shared" si="49"/>
        <v>0</v>
      </c>
      <c r="M187" s="119">
        <f t="shared" si="49"/>
        <v>0</v>
      </c>
      <c r="N187" s="119">
        <f t="shared" si="49"/>
        <v>0</v>
      </c>
      <c r="O187" s="119">
        <f t="shared" si="49"/>
        <v>0</v>
      </c>
      <c r="P187" s="129">
        <f t="shared" si="49"/>
        <v>0</v>
      </c>
    </row>
    <row r="188" spans="2:16">
      <c r="B188" s="101">
        <v>2034</v>
      </c>
      <c r="C188" s="26" t="s">
        <v>913</v>
      </c>
      <c r="D188" s="119">
        <v>0</v>
      </c>
      <c r="E188" s="191"/>
      <c r="F188" s="191"/>
      <c r="G188" s="191"/>
      <c r="H188" s="191"/>
      <c r="I188" s="191"/>
      <c r="J188" s="191"/>
      <c r="K188" s="191"/>
      <c r="L188" s="191"/>
      <c r="M188" s="119">
        <f t="shared" si="49"/>
        <v>0</v>
      </c>
      <c r="N188" s="119">
        <f t="shared" si="49"/>
        <v>0</v>
      </c>
      <c r="O188" s="119">
        <f t="shared" si="49"/>
        <v>0</v>
      </c>
      <c r="P188" s="129">
        <f t="shared" si="49"/>
        <v>0</v>
      </c>
    </row>
    <row r="189" spans="2:16">
      <c r="B189" s="101">
        <v>2035</v>
      </c>
      <c r="C189" s="26" t="s">
        <v>913</v>
      </c>
      <c r="D189" s="119">
        <v>0</v>
      </c>
      <c r="E189" s="191"/>
      <c r="F189" s="191"/>
      <c r="G189" s="191"/>
      <c r="H189" s="191"/>
      <c r="I189" s="191"/>
      <c r="J189" s="191"/>
      <c r="K189" s="191"/>
      <c r="L189" s="191"/>
      <c r="M189" s="191"/>
      <c r="N189" s="119">
        <f t="shared" si="49"/>
        <v>0</v>
      </c>
      <c r="O189" s="119">
        <f t="shared" si="49"/>
        <v>0</v>
      </c>
      <c r="P189" s="129">
        <f t="shared" si="49"/>
        <v>0</v>
      </c>
    </row>
    <row r="190" spans="2:16">
      <c r="B190" s="101">
        <v>2036</v>
      </c>
      <c r="C190" s="26" t="s">
        <v>913</v>
      </c>
      <c r="D190" s="119">
        <v>0</v>
      </c>
      <c r="E190" s="191"/>
      <c r="F190" s="191"/>
      <c r="G190" s="191"/>
      <c r="H190" s="191"/>
      <c r="I190" s="191"/>
      <c r="J190" s="191"/>
      <c r="K190" s="191"/>
      <c r="L190" s="191"/>
      <c r="M190" s="191"/>
      <c r="N190" s="191"/>
      <c r="O190" s="119">
        <f t="shared" si="49"/>
        <v>0</v>
      </c>
      <c r="P190" s="129">
        <f t="shared" si="49"/>
        <v>0</v>
      </c>
    </row>
    <row r="191" spans="2:16">
      <c r="B191" s="101">
        <v>2037</v>
      </c>
      <c r="C191" s="26" t="s">
        <v>913</v>
      </c>
      <c r="D191" s="119">
        <v>0</v>
      </c>
      <c r="E191" s="191"/>
      <c r="F191" s="191"/>
      <c r="G191" s="191"/>
      <c r="H191" s="191"/>
      <c r="I191" s="191"/>
      <c r="J191" s="191"/>
      <c r="K191" s="191"/>
      <c r="L191" s="191"/>
      <c r="M191" s="191"/>
      <c r="N191" s="191"/>
      <c r="O191" s="191"/>
      <c r="P191" s="129">
        <f t="shared" si="49"/>
        <v>0</v>
      </c>
    </row>
    <row r="192" spans="2:16" ht="14.65">
      <c r="B192" s="442" t="s">
        <v>952</v>
      </c>
      <c r="C192" s="443"/>
      <c r="D192" s="192"/>
      <c r="E192" s="124">
        <f t="shared" ref="E192:P192" si="50">SUM(E179:E191)</f>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39">
        <f t="shared" si="50"/>
        <v>0</v>
      </c>
    </row>
    <row r="194" spans="2:16">
      <c r="B194" s="194"/>
      <c r="C194" s="118"/>
      <c r="D194" s="118"/>
      <c r="E194" s="201">
        <f>假设表!I2</f>
        <v>2026</v>
      </c>
      <c r="F194" s="201">
        <f>假设表!J2</f>
        <v>2027</v>
      </c>
      <c r="G194" s="201">
        <f>假设表!K2</f>
        <v>2028</v>
      </c>
      <c r="H194" s="201">
        <f>假设表!L2</f>
        <v>2029</v>
      </c>
      <c r="I194" s="201">
        <f>假设表!M2</f>
        <v>2030</v>
      </c>
      <c r="J194" s="201">
        <f>假设表!N2</f>
        <v>2031</v>
      </c>
      <c r="K194" s="201">
        <f>假设表!O2</f>
        <v>2032</v>
      </c>
      <c r="L194" s="201">
        <f>假设表!P2</f>
        <v>2033</v>
      </c>
      <c r="M194" s="201">
        <f>假设表!Q2</f>
        <v>2034</v>
      </c>
      <c r="N194" s="201">
        <f>假设表!R2</f>
        <v>2035</v>
      </c>
      <c r="O194" s="201">
        <f>假设表!S2</f>
        <v>2036</v>
      </c>
      <c r="P194" s="208">
        <f>假设表!T2</f>
        <v>2037</v>
      </c>
    </row>
    <row r="195" spans="2:16" ht="14.65">
      <c r="B195" s="202" t="s">
        <v>953</v>
      </c>
      <c r="D195" s="119"/>
      <c r="E195" s="119">
        <f>D199</f>
        <v>0</v>
      </c>
      <c r="F195" s="119">
        <f t="shared" ref="F195:N195" si="51">E199</f>
        <v>0</v>
      </c>
      <c r="G195" s="119">
        <f t="shared" si="51"/>
        <v>0</v>
      </c>
      <c r="H195" s="119">
        <f t="shared" si="51"/>
        <v>0</v>
      </c>
      <c r="I195" s="119">
        <f t="shared" si="51"/>
        <v>0</v>
      </c>
      <c r="J195" s="119">
        <f t="shared" si="51"/>
        <v>0</v>
      </c>
      <c r="K195" s="119">
        <f t="shared" si="51"/>
        <v>0</v>
      </c>
      <c r="L195" s="119">
        <f t="shared" si="51"/>
        <v>0</v>
      </c>
      <c r="M195" s="119">
        <f t="shared" si="51"/>
        <v>0</v>
      </c>
      <c r="N195" s="119">
        <f t="shared" si="51"/>
        <v>0</v>
      </c>
      <c r="O195" s="119">
        <f t="shared" ref="O195" si="52">N199</f>
        <v>0</v>
      </c>
      <c r="P195" s="129">
        <f t="shared" ref="P195" si="53">O199</f>
        <v>0</v>
      </c>
    </row>
    <row r="196" spans="2:16">
      <c r="B196" s="101" t="s">
        <v>954</v>
      </c>
      <c r="D196" s="119"/>
      <c r="E196" s="119">
        <f>假设表!I93</f>
        <v>0</v>
      </c>
      <c r="F196" s="119">
        <f>假设表!J93</f>
        <v>0</v>
      </c>
      <c r="G196" s="119">
        <f>假设表!K93</f>
        <v>0</v>
      </c>
      <c r="H196" s="119">
        <f>假设表!L93</f>
        <v>0</v>
      </c>
      <c r="I196" s="119">
        <f>假设表!M93</f>
        <v>0</v>
      </c>
      <c r="J196" s="119">
        <f>假设表!N93</f>
        <v>0</v>
      </c>
      <c r="K196" s="119">
        <f>假设表!O93</f>
        <v>0</v>
      </c>
      <c r="L196" s="119">
        <f>假设表!P93</f>
        <v>0</v>
      </c>
      <c r="M196" s="119">
        <f>假设表!Q93</f>
        <v>0</v>
      </c>
      <c r="N196" s="119">
        <f>假设表!R93</f>
        <v>0</v>
      </c>
      <c r="O196" s="119">
        <f>假设表!S93</f>
        <v>0</v>
      </c>
      <c r="P196" s="129">
        <f>假设表!T93</f>
        <v>0</v>
      </c>
    </row>
    <row r="197" spans="2:16">
      <c r="B197" s="101" t="s">
        <v>935</v>
      </c>
      <c r="D197" s="119"/>
      <c r="E197" s="119">
        <f>E192</f>
        <v>0</v>
      </c>
      <c r="F197" s="119">
        <f t="shared" ref="F197:N197" si="54">F192</f>
        <v>0</v>
      </c>
      <c r="G197" s="119">
        <f t="shared" si="54"/>
        <v>0</v>
      </c>
      <c r="H197" s="119">
        <f t="shared" si="54"/>
        <v>0</v>
      </c>
      <c r="I197" s="119">
        <f t="shared" si="54"/>
        <v>0</v>
      </c>
      <c r="J197" s="119">
        <f t="shared" si="54"/>
        <v>0</v>
      </c>
      <c r="K197" s="119">
        <f t="shared" si="54"/>
        <v>0</v>
      </c>
      <c r="L197" s="119">
        <f t="shared" si="54"/>
        <v>0</v>
      </c>
      <c r="M197" s="119">
        <f t="shared" si="54"/>
        <v>0</v>
      </c>
      <c r="N197" s="119">
        <f t="shared" si="54"/>
        <v>0</v>
      </c>
      <c r="O197" s="119">
        <f t="shared" ref="O197:P197" si="55">O192</f>
        <v>0</v>
      </c>
      <c r="P197" s="129">
        <f t="shared" si="55"/>
        <v>0</v>
      </c>
    </row>
    <row r="198" spans="2:16">
      <c r="B198" s="101" t="s">
        <v>846</v>
      </c>
      <c r="D198" s="119"/>
      <c r="E198" s="119">
        <f>假设表!I107</f>
        <v>0</v>
      </c>
      <c r="F198" s="119">
        <f>假设表!J107</f>
        <v>0</v>
      </c>
      <c r="G198" s="119">
        <f>假设表!K107</f>
        <v>0</v>
      </c>
      <c r="H198" s="119">
        <f>假设表!L107</f>
        <v>0</v>
      </c>
      <c r="I198" s="119">
        <f>假设表!M107</f>
        <v>0</v>
      </c>
      <c r="J198" s="119">
        <f>假设表!N107</f>
        <v>0</v>
      </c>
      <c r="K198" s="119">
        <f>假设表!O107</f>
        <v>0</v>
      </c>
      <c r="L198" s="119">
        <f>假设表!P107</f>
        <v>0</v>
      </c>
      <c r="M198" s="119">
        <f>假设表!Q107</f>
        <v>0</v>
      </c>
      <c r="N198" s="119">
        <f>假设表!R107</f>
        <v>0</v>
      </c>
      <c r="O198" s="119">
        <f>假设表!S107</f>
        <v>0</v>
      </c>
      <c r="P198" s="129">
        <f>假设表!T107</f>
        <v>0</v>
      </c>
    </row>
    <row r="199" spans="2:16" ht="14.65">
      <c r="B199" s="203" t="s">
        <v>955</v>
      </c>
      <c r="C199" s="113"/>
      <c r="D199" s="124">
        <f>历史数据及预测表!H36</f>
        <v>0</v>
      </c>
      <c r="E199" s="124">
        <f>E195+E196-E197-E198</f>
        <v>0</v>
      </c>
      <c r="F199" s="124">
        <f t="shared" ref="F199:N199" si="56">F195+F196-F197-F198</f>
        <v>0</v>
      </c>
      <c r="G199" s="124">
        <f t="shared" si="56"/>
        <v>0</v>
      </c>
      <c r="H199" s="124">
        <f t="shared" si="56"/>
        <v>0</v>
      </c>
      <c r="I199" s="124">
        <f t="shared" si="56"/>
        <v>0</v>
      </c>
      <c r="J199" s="124">
        <f t="shared" si="56"/>
        <v>0</v>
      </c>
      <c r="K199" s="124">
        <f t="shared" si="56"/>
        <v>0</v>
      </c>
      <c r="L199" s="124">
        <f t="shared" si="56"/>
        <v>0</v>
      </c>
      <c r="M199" s="124">
        <f t="shared" si="56"/>
        <v>0</v>
      </c>
      <c r="N199" s="124">
        <f t="shared" si="56"/>
        <v>0</v>
      </c>
      <c r="O199" s="124">
        <f t="shared" ref="O199:P199" si="57">O195+O196-O197-O198</f>
        <v>0</v>
      </c>
      <c r="P199" s="139">
        <f t="shared" si="57"/>
        <v>0</v>
      </c>
    </row>
    <row r="201" spans="2:16" ht="14.65">
      <c r="B201" s="444" t="s">
        <v>956</v>
      </c>
      <c r="C201" s="445"/>
      <c r="D201" s="118"/>
      <c r="E201" s="118"/>
      <c r="F201" s="118"/>
      <c r="G201" s="118"/>
      <c r="H201" s="118"/>
      <c r="I201" s="118"/>
      <c r="J201" s="118"/>
      <c r="K201" s="118"/>
      <c r="L201" s="118"/>
      <c r="M201" s="118"/>
      <c r="N201" s="118"/>
      <c r="O201" s="118"/>
      <c r="P201" s="125"/>
    </row>
    <row r="202" spans="2:16">
      <c r="B202" s="101" t="s">
        <v>907</v>
      </c>
      <c r="C202" s="188"/>
      <c r="E202" s="26" t="s">
        <v>908</v>
      </c>
      <c r="F202" s="190"/>
      <c r="H202" s="26" t="s">
        <v>909</v>
      </c>
      <c r="I202" s="195" t="e">
        <f>(1-F202)/C202</f>
        <v>#DIV/0!</v>
      </c>
      <c r="N202" s="119"/>
      <c r="P202" s="131"/>
    </row>
    <row r="203" spans="2:16">
      <c r="B203" s="101"/>
      <c r="E203" s="193">
        <f>假设表!I2</f>
        <v>2026</v>
      </c>
      <c r="F203" s="193">
        <f>假设表!J2</f>
        <v>2027</v>
      </c>
      <c r="G203" s="193">
        <f>假设表!K2</f>
        <v>2028</v>
      </c>
      <c r="H203" s="193">
        <f>假设表!L2</f>
        <v>2029</v>
      </c>
      <c r="I203" s="193">
        <f>假设表!M2</f>
        <v>2030</v>
      </c>
      <c r="J203" s="193">
        <f>假设表!N2</f>
        <v>2031</v>
      </c>
      <c r="K203" s="193">
        <f>假设表!O2</f>
        <v>2032</v>
      </c>
      <c r="L203" s="193">
        <f>假设表!P2</f>
        <v>2033</v>
      </c>
      <c r="M203" s="193">
        <f>假设表!Q2</f>
        <v>2034</v>
      </c>
      <c r="N203" s="193">
        <f>假设表!R2</f>
        <v>2035</v>
      </c>
      <c r="O203" s="193">
        <f>假设表!S2</f>
        <v>2036</v>
      </c>
      <c r="P203" s="197">
        <f>假设表!T2</f>
        <v>2037</v>
      </c>
    </row>
    <row r="204" spans="2:16">
      <c r="B204" s="101" t="s">
        <v>910</v>
      </c>
      <c r="C204" s="26" t="s">
        <v>911</v>
      </c>
      <c r="P204" s="131"/>
    </row>
    <row r="205" spans="2:16">
      <c r="B205" s="101">
        <f t="array" ref="B205:B217">TRANSPOSE(假设表!H2:T2)</f>
        <v>2025</v>
      </c>
      <c r="C205" s="26" t="s">
        <v>957</v>
      </c>
      <c r="D205" s="119">
        <f t="array" ref="D205:D217">TRANSPOSE(假设表!H94:T94)</f>
        <v>0</v>
      </c>
      <c r="E205" s="119">
        <f>IF(E$203-$B205&lt;=$C$202,$I$202*$D205,0)</f>
        <v>0</v>
      </c>
      <c r="F205" s="119">
        <f t="shared" ref="F205:P205" si="58">IF(F$203-$B205&lt;=$C$202,$I$202*$D205,0)</f>
        <v>0</v>
      </c>
      <c r="G205" s="119">
        <f t="shared" si="58"/>
        <v>0</v>
      </c>
      <c r="H205" s="119">
        <f t="shared" si="58"/>
        <v>0</v>
      </c>
      <c r="I205" s="119">
        <f t="shared" si="58"/>
        <v>0</v>
      </c>
      <c r="J205" s="119">
        <f t="shared" si="58"/>
        <v>0</v>
      </c>
      <c r="K205" s="119">
        <f t="shared" si="58"/>
        <v>0</v>
      </c>
      <c r="L205" s="119">
        <f t="shared" si="58"/>
        <v>0</v>
      </c>
      <c r="M205" s="119">
        <f t="shared" si="58"/>
        <v>0</v>
      </c>
      <c r="N205" s="119">
        <f t="shared" si="58"/>
        <v>0</v>
      </c>
      <c r="O205" s="119">
        <f t="shared" si="58"/>
        <v>0</v>
      </c>
      <c r="P205" s="129">
        <f t="shared" si="58"/>
        <v>0</v>
      </c>
    </row>
    <row r="206" spans="2:16">
      <c r="B206" s="101">
        <v>2026</v>
      </c>
      <c r="C206" s="26" t="s">
        <v>913</v>
      </c>
      <c r="D206" s="119">
        <v>0</v>
      </c>
      <c r="E206" s="119">
        <f>IF(E$203-$B206&lt;=$C$202-1,$I$202*$D206,0)</f>
        <v>0</v>
      </c>
      <c r="F206" s="119">
        <f t="shared" ref="F206:P217" si="59">IF(F$203-$B206&lt;=$C$202-1,$I$202*$D206,0)</f>
        <v>0</v>
      </c>
      <c r="G206" s="119">
        <f t="shared" si="59"/>
        <v>0</v>
      </c>
      <c r="H206" s="119">
        <f t="shared" si="59"/>
        <v>0</v>
      </c>
      <c r="I206" s="119">
        <f t="shared" si="59"/>
        <v>0</v>
      </c>
      <c r="J206" s="119">
        <f t="shared" si="59"/>
        <v>0</v>
      </c>
      <c r="K206" s="119">
        <f t="shared" si="59"/>
        <v>0</v>
      </c>
      <c r="L206" s="119">
        <f t="shared" si="59"/>
        <v>0</v>
      </c>
      <c r="M206" s="119">
        <f t="shared" si="59"/>
        <v>0</v>
      </c>
      <c r="N206" s="119">
        <f t="shared" si="59"/>
        <v>0</v>
      </c>
      <c r="O206" s="119">
        <f t="shared" si="59"/>
        <v>0</v>
      </c>
      <c r="P206" s="129">
        <f t="shared" si="59"/>
        <v>0</v>
      </c>
    </row>
    <row r="207" spans="2:16">
      <c r="B207" s="101">
        <v>2027</v>
      </c>
      <c r="C207" s="26" t="s">
        <v>913</v>
      </c>
      <c r="D207" s="119">
        <v>0</v>
      </c>
      <c r="E207" s="191"/>
      <c r="F207" s="119">
        <f t="shared" si="59"/>
        <v>0</v>
      </c>
      <c r="G207" s="119">
        <f t="shared" si="59"/>
        <v>0</v>
      </c>
      <c r="H207" s="119">
        <f t="shared" si="59"/>
        <v>0</v>
      </c>
      <c r="I207" s="119">
        <f t="shared" si="59"/>
        <v>0</v>
      </c>
      <c r="J207" s="119">
        <f t="shared" si="59"/>
        <v>0</v>
      </c>
      <c r="K207" s="119">
        <f t="shared" si="59"/>
        <v>0</v>
      </c>
      <c r="L207" s="119">
        <f t="shared" si="59"/>
        <v>0</v>
      </c>
      <c r="M207" s="119">
        <f t="shared" si="59"/>
        <v>0</v>
      </c>
      <c r="N207" s="119">
        <f t="shared" si="59"/>
        <v>0</v>
      </c>
      <c r="O207" s="119">
        <f t="shared" si="59"/>
        <v>0</v>
      </c>
      <c r="P207" s="129">
        <f t="shared" si="59"/>
        <v>0</v>
      </c>
    </row>
    <row r="208" spans="2:16">
      <c r="B208" s="101">
        <v>2028</v>
      </c>
      <c r="C208" s="26" t="s">
        <v>913</v>
      </c>
      <c r="D208" s="119">
        <v>0</v>
      </c>
      <c r="E208" s="191"/>
      <c r="F208" s="191"/>
      <c r="G208" s="119">
        <f t="shared" si="59"/>
        <v>0</v>
      </c>
      <c r="H208" s="119">
        <f t="shared" si="59"/>
        <v>0</v>
      </c>
      <c r="I208" s="119">
        <f t="shared" si="59"/>
        <v>0</v>
      </c>
      <c r="J208" s="119">
        <f t="shared" si="59"/>
        <v>0</v>
      </c>
      <c r="K208" s="119">
        <f t="shared" si="59"/>
        <v>0</v>
      </c>
      <c r="L208" s="119">
        <f t="shared" si="59"/>
        <v>0</v>
      </c>
      <c r="M208" s="119">
        <f t="shared" si="59"/>
        <v>0</v>
      </c>
      <c r="N208" s="119">
        <f t="shared" si="59"/>
        <v>0</v>
      </c>
      <c r="O208" s="119">
        <f t="shared" si="59"/>
        <v>0</v>
      </c>
      <c r="P208" s="129">
        <f t="shared" si="59"/>
        <v>0</v>
      </c>
    </row>
    <row r="209" spans="2:16">
      <c r="B209" s="101">
        <v>2029</v>
      </c>
      <c r="C209" s="26" t="s">
        <v>913</v>
      </c>
      <c r="D209" s="119">
        <v>0</v>
      </c>
      <c r="E209" s="191"/>
      <c r="F209" s="191"/>
      <c r="G209" s="191"/>
      <c r="H209" s="119">
        <f t="shared" si="59"/>
        <v>0</v>
      </c>
      <c r="I209" s="119">
        <f t="shared" si="59"/>
        <v>0</v>
      </c>
      <c r="J209" s="119">
        <f t="shared" si="59"/>
        <v>0</v>
      </c>
      <c r="K209" s="119">
        <f t="shared" si="59"/>
        <v>0</v>
      </c>
      <c r="L209" s="119">
        <f t="shared" si="59"/>
        <v>0</v>
      </c>
      <c r="M209" s="119">
        <f t="shared" si="59"/>
        <v>0</v>
      </c>
      <c r="N209" s="119">
        <f t="shared" si="59"/>
        <v>0</v>
      </c>
      <c r="O209" s="119">
        <f t="shared" si="59"/>
        <v>0</v>
      </c>
      <c r="P209" s="129">
        <f t="shared" si="59"/>
        <v>0</v>
      </c>
    </row>
    <row r="210" spans="2:16">
      <c r="B210" s="101">
        <v>2030</v>
      </c>
      <c r="C210" s="26" t="s">
        <v>913</v>
      </c>
      <c r="D210" s="119">
        <v>0</v>
      </c>
      <c r="E210" s="191"/>
      <c r="F210" s="191"/>
      <c r="G210" s="191"/>
      <c r="H210" s="191"/>
      <c r="I210" s="119">
        <f t="shared" si="59"/>
        <v>0</v>
      </c>
      <c r="J210" s="119">
        <f t="shared" si="59"/>
        <v>0</v>
      </c>
      <c r="K210" s="119">
        <f t="shared" si="59"/>
        <v>0</v>
      </c>
      <c r="L210" s="119">
        <f t="shared" si="59"/>
        <v>0</v>
      </c>
      <c r="M210" s="119">
        <f t="shared" si="59"/>
        <v>0</v>
      </c>
      <c r="N210" s="119">
        <f t="shared" si="59"/>
        <v>0</v>
      </c>
      <c r="O210" s="119">
        <f t="shared" si="59"/>
        <v>0</v>
      </c>
      <c r="P210" s="129">
        <f t="shared" si="59"/>
        <v>0</v>
      </c>
    </row>
    <row r="211" spans="2:16">
      <c r="B211" s="101">
        <v>2031</v>
      </c>
      <c r="C211" s="26" t="s">
        <v>913</v>
      </c>
      <c r="D211" s="119">
        <v>0</v>
      </c>
      <c r="E211" s="191"/>
      <c r="F211" s="191"/>
      <c r="G211" s="191"/>
      <c r="H211" s="191"/>
      <c r="I211" s="191"/>
      <c r="J211" s="119">
        <f t="shared" si="59"/>
        <v>0</v>
      </c>
      <c r="K211" s="119">
        <f t="shared" si="59"/>
        <v>0</v>
      </c>
      <c r="L211" s="119">
        <f t="shared" si="59"/>
        <v>0</v>
      </c>
      <c r="M211" s="119">
        <f t="shared" si="59"/>
        <v>0</v>
      </c>
      <c r="N211" s="119">
        <f t="shared" si="59"/>
        <v>0</v>
      </c>
      <c r="O211" s="119">
        <f t="shared" si="59"/>
        <v>0</v>
      </c>
      <c r="P211" s="129">
        <f t="shared" si="59"/>
        <v>0</v>
      </c>
    </row>
    <row r="212" spans="2:16">
      <c r="B212" s="101">
        <v>2032</v>
      </c>
      <c r="C212" s="26" t="s">
        <v>913</v>
      </c>
      <c r="D212" s="119">
        <v>0</v>
      </c>
      <c r="E212" s="191"/>
      <c r="F212" s="191"/>
      <c r="G212" s="191"/>
      <c r="H212" s="191"/>
      <c r="I212" s="191"/>
      <c r="J212" s="191"/>
      <c r="K212" s="119">
        <f t="shared" si="59"/>
        <v>0</v>
      </c>
      <c r="L212" s="119">
        <f t="shared" si="59"/>
        <v>0</v>
      </c>
      <c r="M212" s="119">
        <f t="shared" si="59"/>
        <v>0</v>
      </c>
      <c r="N212" s="119">
        <f t="shared" si="59"/>
        <v>0</v>
      </c>
      <c r="O212" s="119">
        <f t="shared" si="59"/>
        <v>0</v>
      </c>
      <c r="P212" s="129">
        <f t="shared" si="59"/>
        <v>0</v>
      </c>
    </row>
    <row r="213" spans="2:16">
      <c r="B213" s="101">
        <v>2033</v>
      </c>
      <c r="C213" s="26" t="s">
        <v>913</v>
      </c>
      <c r="D213" s="119">
        <v>0</v>
      </c>
      <c r="E213" s="191"/>
      <c r="F213" s="191"/>
      <c r="G213" s="191"/>
      <c r="H213" s="191"/>
      <c r="I213" s="191"/>
      <c r="J213" s="191"/>
      <c r="K213" s="191"/>
      <c r="L213" s="119">
        <f t="shared" si="59"/>
        <v>0</v>
      </c>
      <c r="M213" s="119">
        <f t="shared" si="59"/>
        <v>0</v>
      </c>
      <c r="N213" s="119">
        <f t="shared" si="59"/>
        <v>0</v>
      </c>
      <c r="O213" s="119">
        <f t="shared" si="59"/>
        <v>0</v>
      </c>
      <c r="P213" s="129">
        <f t="shared" si="59"/>
        <v>0</v>
      </c>
    </row>
    <row r="214" spans="2:16">
      <c r="B214" s="101">
        <v>2034</v>
      </c>
      <c r="C214" s="26" t="s">
        <v>913</v>
      </c>
      <c r="D214" s="119">
        <v>0</v>
      </c>
      <c r="E214" s="191"/>
      <c r="F214" s="191"/>
      <c r="G214" s="191"/>
      <c r="H214" s="191"/>
      <c r="I214" s="191"/>
      <c r="J214" s="191"/>
      <c r="K214" s="191"/>
      <c r="L214" s="191"/>
      <c r="M214" s="119">
        <f t="shared" si="59"/>
        <v>0</v>
      </c>
      <c r="N214" s="119">
        <f t="shared" si="59"/>
        <v>0</v>
      </c>
      <c r="O214" s="119">
        <f t="shared" si="59"/>
        <v>0</v>
      </c>
      <c r="P214" s="129">
        <f t="shared" si="59"/>
        <v>0</v>
      </c>
    </row>
    <row r="215" spans="2:16">
      <c r="B215" s="101">
        <v>2035</v>
      </c>
      <c r="C215" s="26" t="s">
        <v>913</v>
      </c>
      <c r="D215" s="119">
        <v>0</v>
      </c>
      <c r="E215" s="191"/>
      <c r="F215" s="191"/>
      <c r="G215" s="191"/>
      <c r="H215" s="191"/>
      <c r="I215" s="191"/>
      <c r="J215" s="191"/>
      <c r="K215" s="191"/>
      <c r="L215" s="191"/>
      <c r="M215" s="191"/>
      <c r="N215" s="119">
        <f t="shared" si="59"/>
        <v>0</v>
      </c>
      <c r="O215" s="119">
        <f t="shared" si="59"/>
        <v>0</v>
      </c>
      <c r="P215" s="129">
        <f t="shared" si="59"/>
        <v>0</v>
      </c>
    </row>
    <row r="216" spans="2:16">
      <c r="B216" s="101">
        <v>2036</v>
      </c>
      <c r="C216" s="26" t="s">
        <v>913</v>
      </c>
      <c r="D216" s="119">
        <v>0</v>
      </c>
      <c r="E216" s="191"/>
      <c r="F216" s="191"/>
      <c r="G216" s="191"/>
      <c r="H216" s="191"/>
      <c r="I216" s="191"/>
      <c r="J216" s="191"/>
      <c r="K216" s="191"/>
      <c r="L216" s="191"/>
      <c r="M216" s="191"/>
      <c r="N216" s="191"/>
      <c r="O216" s="119">
        <f t="shared" si="59"/>
        <v>0</v>
      </c>
      <c r="P216" s="129">
        <f t="shared" si="59"/>
        <v>0</v>
      </c>
    </row>
    <row r="217" spans="2:16">
      <c r="B217" s="101">
        <v>2037</v>
      </c>
      <c r="C217" s="26" t="s">
        <v>913</v>
      </c>
      <c r="D217" s="119">
        <v>0</v>
      </c>
      <c r="E217" s="191"/>
      <c r="F217" s="191"/>
      <c r="G217" s="191"/>
      <c r="H217" s="191"/>
      <c r="I217" s="191"/>
      <c r="J217" s="191"/>
      <c r="K217" s="191"/>
      <c r="L217" s="191"/>
      <c r="M217" s="191"/>
      <c r="N217" s="191"/>
      <c r="O217" s="191"/>
      <c r="P217" s="129">
        <f t="shared" si="59"/>
        <v>0</v>
      </c>
    </row>
    <row r="218" spans="2:16" ht="14.65">
      <c r="B218" s="442" t="s">
        <v>958</v>
      </c>
      <c r="C218" s="443"/>
      <c r="D218" s="192"/>
      <c r="E218" s="124">
        <f t="shared" ref="E218:P218" si="60">SUM(E205:E217)</f>
        <v>0</v>
      </c>
      <c r="F218" s="124">
        <f t="shared" si="60"/>
        <v>0</v>
      </c>
      <c r="G218" s="124">
        <f t="shared" si="60"/>
        <v>0</v>
      </c>
      <c r="H218" s="124">
        <f t="shared" si="60"/>
        <v>0</v>
      </c>
      <c r="I218" s="124">
        <f t="shared" si="60"/>
        <v>0</v>
      </c>
      <c r="J218" s="124">
        <f t="shared" si="60"/>
        <v>0</v>
      </c>
      <c r="K218" s="124">
        <f t="shared" si="60"/>
        <v>0</v>
      </c>
      <c r="L218" s="124">
        <f t="shared" si="60"/>
        <v>0</v>
      </c>
      <c r="M218" s="124">
        <f t="shared" si="60"/>
        <v>0</v>
      </c>
      <c r="N218" s="124">
        <f t="shared" si="60"/>
        <v>0</v>
      </c>
      <c r="O218" s="124">
        <f t="shared" si="60"/>
        <v>0</v>
      </c>
      <c r="P218" s="139">
        <f t="shared" si="60"/>
        <v>0</v>
      </c>
    </row>
    <row r="220" spans="2:16">
      <c r="B220" s="194"/>
      <c r="C220" s="118"/>
      <c r="D220" s="200">
        <f>假设表!H2</f>
        <v>2025</v>
      </c>
      <c r="E220" s="201">
        <f>假设表!I2</f>
        <v>2026</v>
      </c>
      <c r="F220" s="201">
        <f>假设表!J2</f>
        <v>2027</v>
      </c>
      <c r="G220" s="201">
        <f>假设表!K2</f>
        <v>2028</v>
      </c>
      <c r="H220" s="201">
        <f>假设表!L2</f>
        <v>2029</v>
      </c>
      <c r="I220" s="201">
        <f>假设表!M2</f>
        <v>2030</v>
      </c>
      <c r="J220" s="201">
        <f>假设表!N2</f>
        <v>2031</v>
      </c>
      <c r="K220" s="201">
        <f>假设表!O2</f>
        <v>2032</v>
      </c>
      <c r="L220" s="201">
        <f>假设表!P2</f>
        <v>2033</v>
      </c>
      <c r="M220" s="201">
        <f>假设表!Q2</f>
        <v>2034</v>
      </c>
      <c r="N220" s="201">
        <f>假设表!R2</f>
        <v>2035</v>
      </c>
      <c r="O220" s="201">
        <f>假设表!S2</f>
        <v>2036</v>
      </c>
      <c r="P220" s="208">
        <f>假设表!T2</f>
        <v>2037</v>
      </c>
    </row>
    <row r="221" spans="2:16" ht="14.65">
      <c r="B221" s="202" t="s">
        <v>959</v>
      </c>
      <c r="D221" s="119"/>
      <c r="E221" s="119">
        <f>D225</f>
        <v>0</v>
      </c>
      <c r="F221" s="119">
        <f t="shared" ref="F221:N221" si="61">E225</f>
        <v>0</v>
      </c>
      <c r="G221" s="119">
        <f t="shared" si="61"/>
        <v>0</v>
      </c>
      <c r="H221" s="119">
        <f t="shared" si="61"/>
        <v>0</v>
      </c>
      <c r="I221" s="119">
        <f t="shared" si="61"/>
        <v>0</v>
      </c>
      <c r="J221" s="119">
        <f t="shared" si="61"/>
        <v>0</v>
      </c>
      <c r="K221" s="119">
        <f t="shared" si="61"/>
        <v>0</v>
      </c>
      <c r="L221" s="119">
        <f t="shared" si="61"/>
        <v>0</v>
      </c>
      <c r="M221" s="119">
        <f t="shared" si="61"/>
        <v>0</v>
      </c>
      <c r="N221" s="119">
        <f t="shared" si="61"/>
        <v>0</v>
      </c>
      <c r="O221" s="119">
        <f t="shared" ref="O221" si="62">N225</f>
        <v>0</v>
      </c>
      <c r="P221" s="129">
        <f t="shared" ref="P221" si="63">O225</f>
        <v>0</v>
      </c>
    </row>
    <row r="222" spans="2:16">
      <c r="B222" s="101" t="s">
        <v>960</v>
      </c>
      <c r="D222" s="119"/>
      <c r="E222" s="119">
        <f>假设表!I94</f>
        <v>0</v>
      </c>
      <c r="F222" s="119">
        <f>假设表!J94</f>
        <v>0</v>
      </c>
      <c r="G222" s="119">
        <f>假设表!K94</f>
        <v>0</v>
      </c>
      <c r="H222" s="119">
        <f>假设表!L94</f>
        <v>0</v>
      </c>
      <c r="I222" s="119">
        <f>假设表!M94</f>
        <v>0</v>
      </c>
      <c r="J222" s="119">
        <f>假设表!N94</f>
        <v>0</v>
      </c>
      <c r="K222" s="119">
        <f>假设表!O94</f>
        <v>0</v>
      </c>
      <c r="L222" s="119">
        <f>假设表!P94</f>
        <v>0</v>
      </c>
      <c r="M222" s="119">
        <f>假设表!Q94</f>
        <v>0</v>
      </c>
      <c r="N222" s="119">
        <f>假设表!R94</f>
        <v>0</v>
      </c>
      <c r="O222" s="119">
        <f>假设表!S94</f>
        <v>0</v>
      </c>
      <c r="P222" s="129">
        <f>假设表!T94</f>
        <v>0</v>
      </c>
    </row>
    <row r="223" spans="2:16">
      <c r="B223" s="101" t="s">
        <v>935</v>
      </c>
      <c r="D223" s="119"/>
      <c r="E223" s="119">
        <f>E218</f>
        <v>0</v>
      </c>
      <c r="F223" s="119">
        <f t="shared" ref="F223:N223" si="64">F218</f>
        <v>0</v>
      </c>
      <c r="G223" s="119">
        <f t="shared" si="64"/>
        <v>0</v>
      </c>
      <c r="H223" s="119">
        <f t="shared" si="64"/>
        <v>0</v>
      </c>
      <c r="I223" s="119">
        <f t="shared" si="64"/>
        <v>0</v>
      </c>
      <c r="J223" s="119">
        <f t="shared" si="64"/>
        <v>0</v>
      </c>
      <c r="K223" s="119">
        <f t="shared" si="64"/>
        <v>0</v>
      </c>
      <c r="L223" s="119">
        <f t="shared" si="64"/>
        <v>0</v>
      </c>
      <c r="M223" s="119">
        <f t="shared" si="64"/>
        <v>0</v>
      </c>
      <c r="N223" s="119">
        <f t="shared" si="64"/>
        <v>0</v>
      </c>
      <c r="O223" s="119">
        <f t="shared" ref="O223:P223" si="65">O218</f>
        <v>0</v>
      </c>
      <c r="P223" s="129">
        <f t="shared" si="65"/>
        <v>0</v>
      </c>
    </row>
    <row r="224" spans="2:16">
      <c r="B224" s="101" t="s">
        <v>847</v>
      </c>
      <c r="D224" s="119"/>
      <c r="E224" s="119">
        <f>假设表!I108</f>
        <v>0</v>
      </c>
      <c r="F224" s="119">
        <f>假设表!J108</f>
        <v>0</v>
      </c>
      <c r="G224" s="119">
        <f>假设表!K108</f>
        <v>0</v>
      </c>
      <c r="H224" s="119">
        <f>假设表!L108</f>
        <v>0</v>
      </c>
      <c r="I224" s="119">
        <f>假设表!M108</f>
        <v>0</v>
      </c>
      <c r="J224" s="119">
        <f>假设表!N108</f>
        <v>0</v>
      </c>
      <c r="K224" s="119">
        <f>假设表!O108</f>
        <v>0</v>
      </c>
      <c r="L224" s="119">
        <f>假设表!P108</f>
        <v>0</v>
      </c>
      <c r="M224" s="119">
        <f>假设表!Q108</f>
        <v>0</v>
      </c>
      <c r="N224" s="119">
        <f>假设表!R108</f>
        <v>0</v>
      </c>
      <c r="O224" s="119">
        <f>假设表!S108</f>
        <v>0</v>
      </c>
      <c r="P224" s="129">
        <f>假设表!T108</f>
        <v>0</v>
      </c>
    </row>
    <row r="225" spans="2:16" ht="14.65">
      <c r="B225" s="203" t="s">
        <v>961</v>
      </c>
      <c r="C225" s="113"/>
      <c r="D225" s="124">
        <f>历史数据及预测表!H37</f>
        <v>0</v>
      </c>
      <c r="E225" s="124">
        <f>E221+E222-E223-E224</f>
        <v>0</v>
      </c>
      <c r="F225" s="124">
        <f t="shared" ref="F225:N225" si="66">F221+F222-F223-F224</f>
        <v>0</v>
      </c>
      <c r="G225" s="124">
        <f t="shared" si="66"/>
        <v>0</v>
      </c>
      <c r="H225" s="124">
        <f t="shared" si="66"/>
        <v>0</v>
      </c>
      <c r="I225" s="124">
        <f t="shared" si="66"/>
        <v>0</v>
      </c>
      <c r="J225" s="124">
        <f t="shared" si="66"/>
        <v>0</v>
      </c>
      <c r="K225" s="124">
        <f t="shared" si="66"/>
        <v>0</v>
      </c>
      <c r="L225" s="124">
        <f t="shared" si="66"/>
        <v>0</v>
      </c>
      <c r="M225" s="124">
        <f t="shared" si="66"/>
        <v>0</v>
      </c>
      <c r="N225" s="124">
        <f t="shared" si="66"/>
        <v>0</v>
      </c>
      <c r="O225" s="124">
        <f t="shared" ref="O225:P225" si="67">O221+O222-O223-O224</f>
        <v>0</v>
      </c>
      <c r="P225" s="139">
        <f t="shared" si="67"/>
        <v>0</v>
      </c>
    </row>
    <row r="227" spans="2:16" ht="14.65">
      <c r="B227" s="444" t="s">
        <v>962</v>
      </c>
      <c r="C227" s="445"/>
      <c r="D227" s="200">
        <f>假设表!H2</f>
        <v>2025</v>
      </c>
      <c r="E227" s="201">
        <f>假设表!I2</f>
        <v>2026</v>
      </c>
      <c r="F227" s="201">
        <f>假设表!J2</f>
        <v>2027</v>
      </c>
      <c r="G227" s="201">
        <f>假设表!K2</f>
        <v>2028</v>
      </c>
      <c r="H227" s="201">
        <f>假设表!L2</f>
        <v>2029</v>
      </c>
      <c r="I227" s="201">
        <f>假设表!M2</f>
        <v>2030</v>
      </c>
      <c r="J227" s="201">
        <f>假设表!N2</f>
        <v>2031</v>
      </c>
      <c r="K227" s="201">
        <f>假设表!O2</f>
        <v>2032</v>
      </c>
      <c r="L227" s="201">
        <f>假设表!P2</f>
        <v>2033</v>
      </c>
      <c r="M227" s="201">
        <f>假设表!Q2</f>
        <v>2034</v>
      </c>
      <c r="N227" s="201">
        <f>假设表!R2</f>
        <v>2035</v>
      </c>
      <c r="O227" s="201">
        <f>假设表!S2</f>
        <v>2036</v>
      </c>
      <c r="P227" s="208">
        <f>假设表!T2</f>
        <v>2037</v>
      </c>
    </row>
    <row r="228" spans="2:16" ht="14.65">
      <c r="B228" s="202" t="s">
        <v>963</v>
      </c>
      <c r="D228" s="119"/>
      <c r="E228" s="119">
        <f>D232</f>
        <v>0</v>
      </c>
      <c r="F228" s="119">
        <f t="shared" ref="F228:N228" si="68">E232</f>
        <v>0</v>
      </c>
      <c r="G228" s="119">
        <f t="shared" si="68"/>
        <v>0</v>
      </c>
      <c r="H228" s="119">
        <f t="shared" si="68"/>
        <v>0</v>
      </c>
      <c r="I228" s="119">
        <f t="shared" si="68"/>
        <v>0</v>
      </c>
      <c r="J228" s="119">
        <f t="shared" si="68"/>
        <v>0</v>
      </c>
      <c r="K228" s="119">
        <f t="shared" si="68"/>
        <v>0</v>
      </c>
      <c r="L228" s="119">
        <f t="shared" si="68"/>
        <v>0</v>
      </c>
      <c r="M228" s="119">
        <f t="shared" si="68"/>
        <v>0</v>
      </c>
      <c r="N228" s="119">
        <f t="shared" si="68"/>
        <v>0</v>
      </c>
      <c r="O228" s="119">
        <f t="shared" ref="O228" si="69">N232</f>
        <v>0</v>
      </c>
      <c r="P228" s="129">
        <f t="shared" ref="P228" si="70">O232</f>
        <v>0</v>
      </c>
    </row>
    <row r="229" spans="2:16">
      <c r="B229" s="101" t="s">
        <v>964</v>
      </c>
      <c r="D229" s="119"/>
      <c r="E229" s="119">
        <f>假设表!I101</f>
        <v>0</v>
      </c>
      <c r="F229" s="119">
        <f>假设表!J101</f>
        <v>0</v>
      </c>
      <c r="G229" s="119">
        <f>假设表!K101</f>
        <v>0</v>
      </c>
      <c r="H229" s="119">
        <f>假设表!L101</f>
        <v>0</v>
      </c>
      <c r="I229" s="119">
        <f>假设表!M101</f>
        <v>0</v>
      </c>
      <c r="J229" s="119">
        <f>假设表!N101</f>
        <v>0</v>
      </c>
      <c r="K229" s="119">
        <f>假设表!O101</f>
        <v>0</v>
      </c>
      <c r="L229" s="119">
        <f>假设表!P101</f>
        <v>0</v>
      </c>
      <c r="M229" s="119">
        <f>假设表!Q101</f>
        <v>0</v>
      </c>
      <c r="N229" s="119">
        <f>假设表!R101</f>
        <v>0</v>
      </c>
      <c r="O229" s="119">
        <f>假设表!S101</f>
        <v>0</v>
      </c>
      <c r="P229" s="129">
        <f>假设表!T101</f>
        <v>0</v>
      </c>
    </row>
    <row r="230" spans="2:16">
      <c r="B230" s="101" t="s">
        <v>965</v>
      </c>
      <c r="D230" s="119"/>
      <c r="E230" s="119">
        <f>假设表!I102</f>
        <v>0</v>
      </c>
      <c r="F230" s="119">
        <f>假设表!J102</f>
        <v>0</v>
      </c>
      <c r="G230" s="119">
        <f>假设表!K102</f>
        <v>0</v>
      </c>
      <c r="H230" s="119">
        <f>假设表!L102</f>
        <v>0</v>
      </c>
      <c r="I230" s="119">
        <f>假设表!M102</f>
        <v>0</v>
      </c>
      <c r="J230" s="119">
        <f>假设表!N102</f>
        <v>0</v>
      </c>
      <c r="K230" s="119">
        <f>假设表!O102</f>
        <v>0</v>
      </c>
      <c r="L230" s="119">
        <f>假设表!P102</f>
        <v>0</v>
      </c>
      <c r="M230" s="119">
        <f>假设表!Q102</f>
        <v>0</v>
      </c>
      <c r="N230" s="119">
        <f>假设表!R102</f>
        <v>0</v>
      </c>
      <c r="O230" s="119">
        <f>假设表!S102</f>
        <v>0</v>
      </c>
      <c r="P230" s="129">
        <f>假设表!T102</f>
        <v>0</v>
      </c>
    </row>
    <row r="231" spans="2:16">
      <c r="B231" s="101" t="s">
        <v>966</v>
      </c>
      <c r="D231" s="119"/>
      <c r="E231" s="119">
        <f>假设表!I110</f>
        <v>0</v>
      </c>
      <c r="F231" s="119">
        <f>假设表!J110</f>
        <v>0</v>
      </c>
      <c r="G231" s="119">
        <f>假设表!K110</f>
        <v>0</v>
      </c>
      <c r="H231" s="119">
        <f>假设表!L110</f>
        <v>0</v>
      </c>
      <c r="I231" s="119">
        <f>假设表!M110</f>
        <v>0</v>
      </c>
      <c r="J231" s="119">
        <f>假设表!N110</f>
        <v>0</v>
      </c>
      <c r="K231" s="119">
        <f>假设表!O110</f>
        <v>0</v>
      </c>
      <c r="L231" s="119">
        <f>假设表!P110</f>
        <v>0</v>
      </c>
      <c r="M231" s="119">
        <f>假设表!Q110</f>
        <v>0</v>
      </c>
      <c r="N231" s="119">
        <f>假设表!R110</f>
        <v>0</v>
      </c>
      <c r="O231" s="119">
        <f>假设表!S110</f>
        <v>0</v>
      </c>
      <c r="P231" s="129">
        <f>假设表!T110</f>
        <v>0</v>
      </c>
    </row>
    <row r="232" spans="2:16" ht="14.65">
      <c r="B232" s="203" t="s">
        <v>967</v>
      </c>
      <c r="C232" s="113"/>
      <c r="D232" s="124">
        <f>历史数据及预测表!H42</f>
        <v>0</v>
      </c>
      <c r="E232" s="124">
        <f>E228+E229-E230-E231</f>
        <v>0</v>
      </c>
      <c r="F232" s="124">
        <f t="shared" ref="F232:N232" si="71">F228+F229-F230-F231</f>
        <v>0</v>
      </c>
      <c r="G232" s="124">
        <f t="shared" si="71"/>
        <v>0</v>
      </c>
      <c r="H232" s="124">
        <f t="shared" si="71"/>
        <v>0</v>
      </c>
      <c r="I232" s="124">
        <f t="shared" si="71"/>
        <v>0</v>
      </c>
      <c r="J232" s="124">
        <f t="shared" si="71"/>
        <v>0</v>
      </c>
      <c r="K232" s="124">
        <f t="shared" si="71"/>
        <v>0</v>
      </c>
      <c r="L232" s="124">
        <f t="shared" si="71"/>
        <v>0</v>
      </c>
      <c r="M232" s="124">
        <f t="shared" si="71"/>
        <v>0</v>
      </c>
      <c r="N232" s="124">
        <f t="shared" si="71"/>
        <v>0</v>
      </c>
      <c r="O232" s="124">
        <f t="shared" ref="O232:P232" si="72">O228+O229-O230-O231</f>
        <v>0</v>
      </c>
      <c r="P232" s="139">
        <f t="shared" si="72"/>
        <v>0</v>
      </c>
    </row>
    <row r="234" spans="2:16" ht="14.65">
      <c r="B234" s="444" t="s">
        <v>968</v>
      </c>
      <c r="C234" s="445"/>
      <c r="D234" s="200">
        <f>假设表!H2</f>
        <v>2025</v>
      </c>
      <c r="E234" s="201">
        <f>假设表!I2</f>
        <v>2026</v>
      </c>
      <c r="F234" s="201">
        <f>假设表!J2</f>
        <v>2027</v>
      </c>
      <c r="G234" s="201">
        <f>假设表!K2</f>
        <v>2028</v>
      </c>
      <c r="H234" s="201">
        <f>假设表!L2</f>
        <v>2029</v>
      </c>
      <c r="I234" s="201">
        <f>假设表!M2</f>
        <v>2030</v>
      </c>
      <c r="J234" s="201">
        <f>假设表!N2</f>
        <v>2031</v>
      </c>
      <c r="K234" s="201">
        <f>假设表!O2</f>
        <v>2032</v>
      </c>
      <c r="L234" s="201">
        <f>假设表!P2</f>
        <v>2033</v>
      </c>
      <c r="M234" s="201">
        <f>假设表!Q2</f>
        <v>2034</v>
      </c>
      <c r="N234" s="201">
        <f>假设表!R2</f>
        <v>2035</v>
      </c>
      <c r="O234" s="201">
        <f>假设表!S2</f>
        <v>2036</v>
      </c>
      <c r="P234" s="208">
        <f>假设表!T2</f>
        <v>2037</v>
      </c>
    </row>
    <row r="235" spans="2:16" ht="14.65">
      <c r="B235" s="202" t="s">
        <v>969</v>
      </c>
      <c r="D235" s="119"/>
      <c r="E235" s="119">
        <f>D239</f>
        <v>467.16110524999999</v>
      </c>
      <c r="F235" s="119">
        <f t="shared" ref="F235:N235" si="73">E239</f>
        <v>467.16110524999999</v>
      </c>
      <c r="G235" s="119">
        <f t="shared" si="73"/>
        <v>467.16110524999999</v>
      </c>
      <c r="H235" s="119">
        <f t="shared" si="73"/>
        <v>467.16110524999999</v>
      </c>
      <c r="I235" s="119">
        <f t="shared" si="73"/>
        <v>467.16110524999999</v>
      </c>
      <c r="J235" s="119">
        <f t="shared" si="73"/>
        <v>467.16110524999999</v>
      </c>
      <c r="K235" s="119">
        <f t="shared" si="73"/>
        <v>467.16110524999999</v>
      </c>
      <c r="L235" s="119">
        <f t="shared" si="73"/>
        <v>467.16110524999999</v>
      </c>
      <c r="M235" s="119">
        <f t="shared" si="73"/>
        <v>467.16110524999999</v>
      </c>
      <c r="N235" s="119">
        <f t="shared" si="73"/>
        <v>467.16110524999999</v>
      </c>
      <c r="O235" s="119">
        <f t="shared" ref="O235" si="74">N239</f>
        <v>467.16110524999999</v>
      </c>
      <c r="P235" s="129">
        <f t="shared" ref="P235" si="75">O239</f>
        <v>467.16110524999999</v>
      </c>
    </row>
    <row r="236" spans="2:16">
      <c r="B236" s="101" t="s">
        <v>970</v>
      </c>
      <c r="D236" s="119"/>
      <c r="E236" s="119">
        <f>假设表!I97</f>
        <v>0</v>
      </c>
      <c r="F236" s="119">
        <f>假设表!J97</f>
        <v>0</v>
      </c>
      <c r="G236" s="119">
        <f>假设表!K97</f>
        <v>0</v>
      </c>
      <c r="H236" s="119">
        <f>假设表!L97</f>
        <v>0</v>
      </c>
      <c r="I236" s="119">
        <f>假设表!M97</f>
        <v>0</v>
      </c>
      <c r="J236" s="119">
        <f>假设表!N97</f>
        <v>0</v>
      </c>
      <c r="K236" s="119">
        <f>假设表!O97</f>
        <v>0</v>
      </c>
      <c r="L236" s="119">
        <f>假设表!P97</f>
        <v>0</v>
      </c>
      <c r="M236" s="119">
        <f>假设表!Q97</f>
        <v>0</v>
      </c>
      <c r="N236" s="119">
        <f>假设表!R97</f>
        <v>0</v>
      </c>
      <c r="O236" s="119">
        <f>假设表!S97</f>
        <v>0</v>
      </c>
      <c r="P236" s="129">
        <f>假设表!T97</f>
        <v>0</v>
      </c>
    </row>
    <row r="237" spans="2:16">
      <c r="B237" s="101" t="s">
        <v>965</v>
      </c>
      <c r="D237" s="119"/>
      <c r="E237" s="119">
        <f>假设表!I98</f>
        <v>0</v>
      </c>
      <c r="F237" s="119">
        <f>假设表!J98</f>
        <v>0</v>
      </c>
      <c r="G237" s="119">
        <f>假设表!K98</f>
        <v>0</v>
      </c>
      <c r="H237" s="119">
        <f>假设表!L98</f>
        <v>0</v>
      </c>
      <c r="I237" s="119">
        <f>假设表!M98</f>
        <v>0</v>
      </c>
      <c r="J237" s="119">
        <f>假设表!N98</f>
        <v>0</v>
      </c>
      <c r="K237" s="119">
        <f>假设表!O98</f>
        <v>0</v>
      </c>
      <c r="L237" s="119">
        <f>假设表!P98</f>
        <v>0</v>
      </c>
      <c r="M237" s="119">
        <f>假设表!Q98</f>
        <v>0</v>
      </c>
      <c r="N237" s="119">
        <f>假设表!R98</f>
        <v>0</v>
      </c>
      <c r="O237" s="119">
        <f>假设表!S98</f>
        <v>0</v>
      </c>
      <c r="P237" s="129">
        <f>假设表!T98</f>
        <v>0</v>
      </c>
    </row>
    <row r="238" spans="2:16">
      <c r="B238" s="101" t="s">
        <v>971</v>
      </c>
      <c r="D238" s="119"/>
      <c r="E238" s="119">
        <f>假设表!I111</f>
        <v>0</v>
      </c>
      <c r="F238" s="119">
        <f>假设表!J111</f>
        <v>0</v>
      </c>
      <c r="G238" s="119">
        <f>假设表!K111</f>
        <v>0</v>
      </c>
      <c r="H238" s="119">
        <f>假设表!L111</f>
        <v>0</v>
      </c>
      <c r="I238" s="119">
        <f>假设表!M111</f>
        <v>0</v>
      </c>
      <c r="J238" s="119">
        <f>假设表!N111</f>
        <v>0</v>
      </c>
      <c r="K238" s="119">
        <f>假设表!O111</f>
        <v>0</v>
      </c>
      <c r="L238" s="119">
        <f>假设表!P111</f>
        <v>0</v>
      </c>
      <c r="M238" s="119">
        <f>假设表!Q111</f>
        <v>0</v>
      </c>
      <c r="N238" s="119">
        <f>假设表!R111</f>
        <v>0</v>
      </c>
      <c r="O238" s="119">
        <f>假设表!S111</f>
        <v>0</v>
      </c>
      <c r="P238" s="129">
        <f>假设表!T111</f>
        <v>0</v>
      </c>
    </row>
    <row r="239" spans="2:16" ht="14.65">
      <c r="B239" s="203" t="s">
        <v>972</v>
      </c>
      <c r="C239" s="113"/>
      <c r="D239" s="124">
        <f>历史数据及预测表!H38</f>
        <v>467.16110524999999</v>
      </c>
      <c r="E239" s="124">
        <f>E235+E236-E237-E238</f>
        <v>467.16110524999999</v>
      </c>
      <c r="F239" s="124">
        <f t="shared" ref="F239:N239" si="76">F235+F236-F237-F238</f>
        <v>467.16110524999999</v>
      </c>
      <c r="G239" s="124">
        <f t="shared" si="76"/>
        <v>467.16110524999999</v>
      </c>
      <c r="H239" s="124">
        <f t="shared" si="76"/>
        <v>467.16110524999999</v>
      </c>
      <c r="I239" s="124">
        <f t="shared" si="76"/>
        <v>467.16110524999999</v>
      </c>
      <c r="J239" s="124">
        <f t="shared" si="76"/>
        <v>467.16110524999999</v>
      </c>
      <c r="K239" s="124">
        <f t="shared" si="76"/>
        <v>467.16110524999999</v>
      </c>
      <c r="L239" s="124">
        <f t="shared" si="76"/>
        <v>467.16110524999999</v>
      </c>
      <c r="M239" s="124">
        <f t="shared" si="76"/>
        <v>467.16110524999999</v>
      </c>
      <c r="N239" s="124">
        <f t="shared" si="76"/>
        <v>467.16110524999999</v>
      </c>
      <c r="O239" s="124">
        <f t="shared" ref="O239:P239" si="77">O235+O236-O237-O238</f>
        <v>467.16110524999999</v>
      </c>
      <c r="P239" s="139">
        <f t="shared" si="77"/>
        <v>467.16110524999999</v>
      </c>
    </row>
    <row r="241" spans="2:16" ht="14.65">
      <c r="B241" s="441" t="s">
        <v>973</v>
      </c>
      <c r="C241" s="441"/>
      <c r="D241" s="119"/>
      <c r="E241" s="122">
        <f>E138+E197+E223+E230+E237+E171</f>
        <v>62.915712548950005</v>
      </c>
      <c r="F241" s="122">
        <f t="shared" ref="F241:N241" si="78">F138+F197+F223+F230+F237+F171</f>
        <v>81.915712548950012</v>
      </c>
      <c r="G241" s="122">
        <f t="shared" si="78"/>
        <v>100.91571254895001</v>
      </c>
      <c r="H241" s="122">
        <f t="shared" si="78"/>
        <v>119.91571254895001</v>
      </c>
      <c r="I241" s="122">
        <f t="shared" si="78"/>
        <v>138.91571254895001</v>
      </c>
      <c r="J241" s="122">
        <f t="shared" si="78"/>
        <v>157.91571254895001</v>
      </c>
      <c r="K241" s="122">
        <f t="shared" si="78"/>
        <v>176.91571254895001</v>
      </c>
      <c r="L241" s="122">
        <f t="shared" si="78"/>
        <v>195.91571254895001</v>
      </c>
      <c r="M241" s="122">
        <f t="shared" si="78"/>
        <v>214.91571254895001</v>
      </c>
      <c r="N241" s="122">
        <f t="shared" si="78"/>
        <v>233.91571254895001</v>
      </c>
      <c r="O241" s="122">
        <f t="shared" ref="O241:P241" si="79">O138+O197+O223+O230+O237+O171</f>
        <v>190</v>
      </c>
      <c r="P241" s="122">
        <f t="shared" si="79"/>
        <v>190</v>
      </c>
    </row>
    <row r="242" spans="2:16" ht="14.65">
      <c r="B242" s="441" t="s">
        <v>974</v>
      </c>
      <c r="C242" s="441"/>
      <c r="D242" s="119"/>
      <c r="E242" s="122">
        <f t="shared" ref="E242:N242" si="80">E136+E144+E196+E222+E229+E236</f>
        <v>200</v>
      </c>
      <c r="F242" s="122">
        <f t="shared" si="80"/>
        <v>200</v>
      </c>
      <c r="G242" s="122">
        <f t="shared" si="80"/>
        <v>200</v>
      </c>
      <c r="H242" s="122">
        <f t="shared" si="80"/>
        <v>200</v>
      </c>
      <c r="I242" s="122">
        <f t="shared" si="80"/>
        <v>200</v>
      </c>
      <c r="J242" s="122">
        <f t="shared" si="80"/>
        <v>200</v>
      </c>
      <c r="K242" s="122">
        <f t="shared" si="80"/>
        <v>200</v>
      </c>
      <c r="L242" s="122">
        <f t="shared" si="80"/>
        <v>200</v>
      </c>
      <c r="M242" s="122">
        <f t="shared" si="80"/>
        <v>200</v>
      </c>
      <c r="N242" s="122">
        <f t="shared" si="80"/>
        <v>200</v>
      </c>
      <c r="O242" s="122">
        <f t="shared" ref="O242:P242" si="81">O136+O144+O196+O222+O229+O236</f>
        <v>200</v>
      </c>
      <c r="P242" s="122">
        <f t="shared" si="81"/>
        <v>200</v>
      </c>
    </row>
    <row r="244" spans="2:16" ht="14.65">
      <c r="B244" s="444" t="s">
        <v>975</v>
      </c>
      <c r="C244" s="445"/>
      <c r="D244" s="200">
        <f>假设表!H2</f>
        <v>2025</v>
      </c>
      <c r="E244" s="201">
        <f>假设表!I2</f>
        <v>2026</v>
      </c>
      <c r="F244" s="201">
        <f>假设表!J2</f>
        <v>2027</v>
      </c>
      <c r="G244" s="201">
        <f>假设表!K2</f>
        <v>2028</v>
      </c>
      <c r="H244" s="201">
        <f>假设表!L2</f>
        <v>2029</v>
      </c>
      <c r="I244" s="201">
        <f>假设表!M2</f>
        <v>2030</v>
      </c>
      <c r="J244" s="201">
        <f>假设表!N2</f>
        <v>2031</v>
      </c>
      <c r="K244" s="201">
        <f>假设表!O2</f>
        <v>2032</v>
      </c>
      <c r="L244" s="201">
        <f>假设表!P2</f>
        <v>2033</v>
      </c>
      <c r="M244" s="201">
        <f>假设表!Q2</f>
        <v>2034</v>
      </c>
      <c r="N244" s="201">
        <f>假设表!R2</f>
        <v>2035</v>
      </c>
      <c r="O244" s="201">
        <f>假设表!S2</f>
        <v>2036</v>
      </c>
      <c r="P244" s="208">
        <f>假设表!T2</f>
        <v>2037</v>
      </c>
    </row>
    <row r="245" spans="2:16">
      <c r="B245" s="101" t="s">
        <v>976</v>
      </c>
      <c r="D245" s="119"/>
      <c r="E245" s="119">
        <f>假设表!I131</f>
        <v>0</v>
      </c>
      <c r="F245" s="119">
        <f>假设表!J131</f>
        <v>0</v>
      </c>
      <c r="G245" s="119">
        <f>假设表!K131</f>
        <v>0</v>
      </c>
      <c r="H245" s="119">
        <f>假设表!L131</f>
        <v>0</v>
      </c>
      <c r="I245" s="119">
        <f>假设表!M131</f>
        <v>0</v>
      </c>
      <c r="J245" s="119">
        <f>假设表!N131</f>
        <v>0</v>
      </c>
      <c r="K245" s="119">
        <f>假设表!O131</f>
        <v>0</v>
      </c>
      <c r="L245" s="119">
        <f>假设表!P131</f>
        <v>0</v>
      </c>
      <c r="M245" s="119">
        <f>假设表!Q131</f>
        <v>0</v>
      </c>
      <c r="N245" s="119">
        <f>假设表!R131</f>
        <v>0</v>
      </c>
      <c r="O245" s="119">
        <f>假设表!S131</f>
        <v>0</v>
      </c>
      <c r="P245" s="129">
        <f>假设表!T131</f>
        <v>0</v>
      </c>
    </row>
    <row r="246" spans="2:16">
      <c r="B246" s="101" t="s">
        <v>977</v>
      </c>
      <c r="D246" s="119"/>
      <c r="E246" s="119">
        <f>假设表!I132</f>
        <v>0</v>
      </c>
      <c r="F246" s="119">
        <f>假设表!J132</f>
        <v>0</v>
      </c>
      <c r="G246" s="119">
        <f>假设表!K132</f>
        <v>0</v>
      </c>
      <c r="H246" s="119">
        <f>假设表!L132</f>
        <v>0</v>
      </c>
      <c r="I246" s="119">
        <f>假设表!M132</f>
        <v>0</v>
      </c>
      <c r="J246" s="119">
        <f>假设表!N132</f>
        <v>0</v>
      </c>
      <c r="K246" s="119">
        <f>假设表!O132</f>
        <v>0</v>
      </c>
      <c r="L246" s="119">
        <f>假设表!P132</f>
        <v>0</v>
      </c>
      <c r="M246" s="119">
        <f>假设表!Q132</f>
        <v>0</v>
      </c>
      <c r="N246" s="119">
        <f>假设表!R132</f>
        <v>0</v>
      </c>
      <c r="O246" s="119">
        <f>假设表!S132</f>
        <v>0</v>
      </c>
      <c r="P246" s="129">
        <f>假设表!T132</f>
        <v>0</v>
      </c>
    </row>
    <row r="247" spans="2:16">
      <c r="B247" s="101" t="s">
        <v>978</v>
      </c>
      <c r="D247" s="119"/>
      <c r="E247" s="122">
        <f>E245*E246</f>
        <v>0</v>
      </c>
      <c r="F247" s="122">
        <f t="shared" ref="F247:N247" si="82">F245*F246</f>
        <v>0</v>
      </c>
      <c r="G247" s="122">
        <f t="shared" si="82"/>
        <v>0</v>
      </c>
      <c r="H247" s="122">
        <f t="shared" si="82"/>
        <v>0</v>
      </c>
      <c r="I247" s="122">
        <f t="shared" si="82"/>
        <v>0</v>
      </c>
      <c r="J247" s="122">
        <f t="shared" si="82"/>
        <v>0</v>
      </c>
      <c r="K247" s="122">
        <f t="shared" si="82"/>
        <v>0</v>
      </c>
      <c r="L247" s="122">
        <f t="shared" si="82"/>
        <v>0</v>
      </c>
      <c r="M247" s="122">
        <f t="shared" si="82"/>
        <v>0</v>
      </c>
      <c r="N247" s="122">
        <f t="shared" si="82"/>
        <v>0</v>
      </c>
      <c r="O247" s="122">
        <f t="shared" ref="O247:P247" si="83">O245*O246</f>
        <v>0</v>
      </c>
      <c r="P247" s="137">
        <f t="shared" si="83"/>
        <v>0</v>
      </c>
    </row>
    <row r="248" spans="2:16">
      <c r="B248" s="101" t="s">
        <v>979</v>
      </c>
      <c r="D248" s="119"/>
      <c r="E248" s="119">
        <f>假设表!I133</f>
        <v>0</v>
      </c>
      <c r="F248" s="119">
        <f>假设表!J133</f>
        <v>0</v>
      </c>
      <c r="G248" s="119">
        <f>假设表!K133</f>
        <v>0</v>
      </c>
      <c r="H248" s="119">
        <f>假设表!L133</f>
        <v>0</v>
      </c>
      <c r="I248" s="119">
        <f>假设表!M133</f>
        <v>0</v>
      </c>
      <c r="J248" s="119">
        <f>假设表!N133</f>
        <v>0</v>
      </c>
      <c r="K248" s="119">
        <f>假设表!O133</f>
        <v>0</v>
      </c>
      <c r="L248" s="119">
        <f>假设表!P133</f>
        <v>0</v>
      </c>
      <c r="M248" s="119">
        <f>假设表!Q133</f>
        <v>0</v>
      </c>
      <c r="N248" s="119">
        <f>假设表!R133</f>
        <v>0</v>
      </c>
      <c r="O248" s="119">
        <f>假设表!S133</f>
        <v>0</v>
      </c>
      <c r="P248" s="129">
        <f>假设表!T133</f>
        <v>0</v>
      </c>
    </row>
    <row r="249" spans="2:16" ht="14.65">
      <c r="B249" s="442" t="s">
        <v>980</v>
      </c>
      <c r="C249" s="443"/>
      <c r="D249" s="192"/>
      <c r="E249" s="124">
        <f>E247-E248</f>
        <v>0</v>
      </c>
      <c r="F249" s="124">
        <f t="shared" ref="F249:N249" si="84">F247-F248</f>
        <v>0</v>
      </c>
      <c r="G249" s="124">
        <f t="shared" si="84"/>
        <v>0</v>
      </c>
      <c r="H249" s="124">
        <f t="shared" si="84"/>
        <v>0</v>
      </c>
      <c r="I249" s="124">
        <f t="shared" si="84"/>
        <v>0</v>
      </c>
      <c r="J249" s="124">
        <f t="shared" si="84"/>
        <v>0</v>
      </c>
      <c r="K249" s="124">
        <f t="shared" si="84"/>
        <v>0</v>
      </c>
      <c r="L249" s="124">
        <f t="shared" si="84"/>
        <v>0</v>
      </c>
      <c r="M249" s="124">
        <f t="shared" si="84"/>
        <v>0</v>
      </c>
      <c r="N249" s="124">
        <f t="shared" si="84"/>
        <v>0</v>
      </c>
      <c r="O249" s="124">
        <f t="shared" ref="O249:P249" si="85">O247-O248</f>
        <v>0</v>
      </c>
      <c r="P249" s="139">
        <f t="shared" si="85"/>
        <v>0</v>
      </c>
    </row>
    <row r="251" spans="2:16" ht="14.65">
      <c r="B251" s="444" t="s">
        <v>981</v>
      </c>
      <c r="C251" s="445"/>
      <c r="D251" s="200">
        <f>假设表!H2</f>
        <v>2025</v>
      </c>
      <c r="E251" s="201">
        <f>假设表!I2</f>
        <v>2026</v>
      </c>
      <c r="F251" s="201">
        <f>假设表!J2</f>
        <v>2027</v>
      </c>
      <c r="G251" s="201">
        <f>假设表!K2</f>
        <v>2028</v>
      </c>
      <c r="H251" s="201">
        <f>假设表!L2</f>
        <v>2029</v>
      </c>
      <c r="I251" s="201">
        <f>假设表!M2</f>
        <v>2030</v>
      </c>
      <c r="J251" s="201">
        <f>假设表!N2</f>
        <v>2031</v>
      </c>
      <c r="K251" s="201">
        <f>假设表!O2</f>
        <v>2032</v>
      </c>
      <c r="L251" s="201">
        <f>假设表!P2</f>
        <v>2033</v>
      </c>
      <c r="M251" s="201">
        <f>假设表!Q2</f>
        <v>2034</v>
      </c>
      <c r="N251" s="201">
        <f>假设表!R2</f>
        <v>2035</v>
      </c>
      <c r="O251" s="201">
        <f>假设表!S2</f>
        <v>2036</v>
      </c>
      <c r="P251" s="208">
        <f>假设表!T2</f>
        <v>2037</v>
      </c>
    </row>
    <row r="252" spans="2:16">
      <c r="B252" s="101" t="s">
        <v>982</v>
      </c>
      <c r="D252" s="119"/>
      <c r="E252" s="119">
        <f>历史数据及预测表!H84</f>
        <v>482.54072300000001</v>
      </c>
      <c r="F252" s="119">
        <f>历史数据及预测表!I84</f>
        <v>482.54072300000001</v>
      </c>
      <c r="G252" s="119">
        <f>历史数据及预测表!J84</f>
        <v>482.54072300000001</v>
      </c>
      <c r="H252" s="119">
        <f>历史数据及预测表!K84</f>
        <v>482.54072300000001</v>
      </c>
      <c r="I252" s="119">
        <f>历史数据及预测表!L84</f>
        <v>482.54072300000001</v>
      </c>
      <c r="J252" s="119">
        <f>历史数据及预测表!M84</f>
        <v>482.54072300000001</v>
      </c>
      <c r="K252" s="119">
        <f>历史数据及预测表!N84</f>
        <v>482.54072300000001</v>
      </c>
      <c r="L252" s="119">
        <f>历史数据及预测表!O84</f>
        <v>482.54072300000001</v>
      </c>
      <c r="M252" s="119">
        <f>历史数据及预测表!P84</f>
        <v>482.54072300000001</v>
      </c>
      <c r="N252" s="119">
        <f>历史数据及预测表!Q84</f>
        <v>482.54072300000001</v>
      </c>
      <c r="O252" s="119">
        <f>历史数据及预测表!R84</f>
        <v>482.54072300000001</v>
      </c>
      <c r="P252" s="129">
        <f>历史数据及预测表!S84</f>
        <v>482.54072300000001</v>
      </c>
    </row>
    <row r="253" spans="2:16">
      <c r="B253" s="101" t="s">
        <v>983</v>
      </c>
      <c r="D253" s="123"/>
      <c r="E253" s="123">
        <f>假设表!I135</f>
        <v>0</v>
      </c>
      <c r="F253" s="123">
        <f>假设表!J135</f>
        <v>0</v>
      </c>
      <c r="G253" s="123">
        <f>假设表!K135</f>
        <v>0</v>
      </c>
      <c r="H253" s="123">
        <f>假设表!L135</f>
        <v>0</v>
      </c>
      <c r="I253" s="123">
        <f>假设表!M135</f>
        <v>0</v>
      </c>
      <c r="J253" s="123">
        <f>假设表!N135</f>
        <v>0</v>
      </c>
      <c r="K253" s="123">
        <f>假设表!O135</f>
        <v>0</v>
      </c>
      <c r="L253" s="123">
        <f>假设表!P135</f>
        <v>0</v>
      </c>
      <c r="M253" s="123">
        <f>假设表!Q135</f>
        <v>0</v>
      </c>
      <c r="N253" s="123">
        <f>假设表!R135</f>
        <v>0</v>
      </c>
      <c r="O253" s="123">
        <f>假设表!S135</f>
        <v>0</v>
      </c>
      <c r="P253" s="138">
        <f>假设表!T135</f>
        <v>0</v>
      </c>
    </row>
    <row r="254" spans="2:16">
      <c r="B254" s="112" t="s">
        <v>984</v>
      </c>
      <c r="C254" s="113"/>
      <c r="D254" s="192"/>
      <c r="E254" s="124">
        <f>E252/10*E253</f>
        <v>0</v>
      </c>
      <c r="F254" s="124">
        <f t="shared" ref="F254:N254" si="86">F252/10*F253</f>
        <v>0</v>
      </c>
      <c r="G254" s="124">
        <f t="shared" si="86"/>
        <v>0</v>
      </c>
      <c r="H254" s="124">
        <f t="shared" si="86"/>
        <v>0</v>
      </c>
      <c r="I254" s="124">
        <f t="shared" si="86"/>
        <v>0</v>
      </c>
      <c r="J254" s="124">
        <f t="shared" si="86"/>
        <v>0</v>
      </c>
      <c r="K254" s="124">
        <f t="shared" si="86"/>
        <v>0</v>
      </c>
      <c r="L254" s="124">
        <f t="shared" si="86"/>
        <v>0</v>
      </c>
      <c r="M254" s="124">
        <f t="shared" si="86"/>
        <v>0</v>
      </c>
      <c r="N254" s="124">
        <f t="shared" si="86"/>
        <v>0</v>
      </c>
      <c r="O254" s="124">
        <f t="shared" ref="O254:P254" si="87">O252/10*O253</f>
        <v>0</v>
      </c>
      <c r="P254" s="139">
        <f t="shared" si="87"/>
        <v>0</v>
      </c>
    </row>
    <row r="256" spans="2:16" ht="14.65">
      <c r="B256" s="444" t="s">
        <v>985</v>
      </c>
      <c r="C256" s="445"/>
      <c r="D256" s="200">
        <f>假设表!H2</f>
        <v>2025</v>
      </c>
      <c r="E256" s="201">
        <f>假设表!I2</f>
        <v>2026</v>
      </c>
      <c r="F256" s="201">
        <f>假设表!J2</f>
        <v>2027</v>
      </c>
      <c r="G256" s="201">
        <f>假设表!K2</f>
        <v>2028</v>
      </c>
      <c r="H256" s="201">
        <f>假设表!L2</f>
        <v>2029</v>
      </c>
      <c r="I256" s="201">
        <f>假设表!M2</f>
        <v>2030</v>
      </c>
      <c r="J256" s="201">
        <f>假设表!N2</f>
        <v>2031</v>
      </c>
      <c r="K256" s="201">
        <f>假设表!O2</f>
        <v>2032</v>
      </c>
      <c r="L256" s="201">
        <f>假设表!P2</f>
        <v>2033</v>
      </c>
      <c r="M256" s="201">
        <f>假设表!Q2</f>
        <v>2034</v>
      </c>
      <c r="N256" s="201">
        <f>假设表!R2</f>
        <v>2035</v>
      </c>
      <c r="O256" s="201">
        <f>假设表!S2</f>
        <v>2036</v>
      </c>
      <c r="P256" s="208">
        <f>假设表!T2</f>
        <v>2037</v>
      </c>
    </row>
    <row r="257" spans="2:16">
      <c r="B257" s="101" t="s">
        <v>982</v>
      </c>
      <c r="D257" s="119"/>
      <c r="E257" s="119">
        <f>历史数据及预测表!H84</f>
        <v>482.54072300000001</v>
      </c>
      <c r="F257" s="119">
        <f>历史数据及预测表!I84</f>
        <v>482.54072300000001</v>
      </c>
      <c r="G257" s="119">
        <f>历史数据及预测表!J84</f>
        <v>482.54072300000001</v>
      </c>
      <c r="H257" s="119">
        <f>历史数据及预测表!K84</f>
        <v>482.54072300000001</v>
      </c>
      <c r="I257" s="119">
        <f>历史数据及预测表!L84</f>
        <v>482.54072300000001</v>
      </c>
      <c r="J257" s="119">
        <f>历史数据及预测表!M84</f>
        <v>482.54072300000001</v>
      </c>
      <c r="K257" s="119">
        <f>历史数据及预测表!N84</f>
        <v>482.54072300000001</v>
      </c>
      <c r="L257" s="119">
        <f>历史数据及预测表!O84</f>
        <v>482.54072300000001</v>
      </c>
      <c r="M257" s="119">
        <f>历史数据及预测表!P84</f>
        <v>482.54072300000001</v>
      </c>
      <c r="N257" s="119">
        <f>历史数据及预测表!Q84</f>
        <v>482.54072300000001</v>
      </c>
      <c r="O257" s="119">
        <f>历史数据及预测表!R84</f>
        <v>482.54072300000001</v>
      </c>
      <c r="P257" s="129">
        <f>历史数据及预测表!S84</f>
        <v>482.54072300000001</v>
      </c>
    </row>
    <row r="258" spans="2:16">
      <c r="B258" s="101" t="s">
        <v>986</v>
      </c>
      <c r="D258" s="123"/>
      <c r="E258" s="123">
        <f>假设表!I137</f>
        <v>0</v>
      </c>
      <c r="F258" s="123">
        <f>假设表!J137</f>
        <v>0</v>
      </c>
      <c r="G258" s="123">
        <f>假设表!K137</f>
        <v>0</v>
      </c>
      <c r="H258" s="123">
        <f>假设表!L137</f>
        <v>0</v>
      </c>
      <c r="I258" s="123">
        <f>假设表!M137</f>
        <v>0</v>
      </c>
      <c r="J258" s="123">
        <f>假设表!N137</f>
        <v>0</v>
      </c>
      <c r="K258" s="123">
        <f>假设表!O137</f>
        <v>0</v>
      </c>
      <c r="L258" s="123">
        <f>假设表!P137</f>
        <v>0</v>
      </c>
      <c r="M258" s="123">
        <f>假设表!Q137</f>
        <v>0</v>
      </c>
      <c r="N258" s="123">
        <f>假设表!R137</f>
        <v>0</v>
      </c>
      <c r="O258" s="123">
        <f>假设表!S137</f>
        <v>0</v>
      </c>
      <c r="P258" s="138">
        <f>假设表!T137</f>
        <v>0</v>
      </c>
    </row>
    <row r="259" spans="2:16">
      <c r="B259" s="112" t="s">
        <v>987</v>
      </c>
      <c r="C259" s="113"/>
      <c r="D259" s="192"/>
      <c r="E259" s="124">
        <f>E257/10*E258</f>
        <v>0</v>
      </c>
      <c r="F259" s="124">
        <f t="shared" ref="F259:N259" si="88">F257/10*F258</f>
        <v>0</v>
      </c>
      <c r="G259" s="124">
        <f t="shared" si="88"/>
        <v>0</v>
      </c>
      <c r="H259" s="124">
        <f t="shared" si="88"/>
        <v>0</v>
      </c>
      <c r="I259" s="124">
        <f t="shared" si="88"/>
        <v>0</v>
      </c>
      <c r="J259" s="124">
        <f t="shared" si="88"/>
        <v>0</v>
      </c>
      <c r="K259" s="124">
        <f t="shared" si="88"/>
        <v>0</v>
      </c>
      <c r="L259" s="124">
        <f t="shared" si="88"/>
        <v>0</v>
      </c>
      <c r="M259" s="124">
        <f t="shared" si="88"/>
        <v>0</v>
      </c>
      <c r="N259" s="124">
        <f t="shared" si="88"/>
        <v>0</v>
      </c>
      <c r="O259" s="124">
        <f t="shared" ref="O259:P259" si="89">O257/10*O258</f>
        <v>0</v>
      </c>
      <c r="P259" s="139">
        <f t="shared" si="89"/>
        <v>0</v>
      </c>
    </row>
    <row r="261" spans="2:16" ht="14.65">
      <c r="B261" s="444" t="s">
        <v>988</v>
      </c>
      <c r="C261" s="445"/>
      <c r="D261" s="200">
        <f>假设表!H2</f>
        <v>2025</v>
      </c>
      <c r="E261" s="201">
        <f>假设表!I2</f>
        <v>2026</v>
      </c>
      <c r="F261" s="201">
        <f>假设表!J2</f>
        <v>2027</v>
      </c>
      <c r="G261" s="201">
        <f>假设表!K2</f>
        <v>2028</v>
      </c>
      <c r="H261" s="201">
        <f>假设表!L2</f>
        <v>2029</v>
      </c>
      <c r="I261" s="201">
        <f>假设表!M2</f>
        <v>2030</v>
      </c>
      <c r="J261" s="201">
        <f>假设表!N2</f>
        <v>2031</v>
      </c>
      <c r="K261" s="201">
        <f>假设表!O2</f>
        <v>2032</v>
      </c>
      <c r="L261" s="201">
        <f>假设表!P2</f>
        <v>2033</v>
      </c>
      <c r="M261" s="201">
        <f>假设表!Q2</f>
        <v>2034</v>
      </c>
      <c r="N261" s="201">
        <f>假设表!R2</f>
        <v>2035</v>
      </c>
      <c r="O261" s="201">
        <f>假设表!S2</f>
        <v>2036</v>
      </c>
      <c r="P261" s="208">
        <f>假设表!T2</f>
        <v>2037</v>
      </c>
    </row>
    <row r="262" spans="2:16">
      <c r="B262" s="101" t="s">
        <v>976</v>
      </c>
      <c r="D262" s="119"/>
      <c r="E262" s="119">
        <f>假设表!I142</f>
        <v>0</v>
      </c>
      <c r="F262" s="119">
        <f>假设表!J142</f>
        <v>0</v>
      </c>
      <c r="G262" s="119">
        <f>假设表!K142</f>
        <v>0</v>
      </c>
      <c r="H262" s="119">
        <f>假设表!L142</f>
        <v>0</v>
      </c>
      <c r="I262" s="119">
        <f>假设表!M142</f>
        <v>0</v>
      </c>
      <c r="J262" s="119">
        <f>假设表!N142</f>
        <v>0</v>
      </c>
      <c r="K262" s="119">
        <f>假设表!O142</f>
        <v>0</v>
      </c>
      <c r="L262" s="119">
        <f>假设表!P142</f>
        <v>0</v>
      </c>
      <c r="M262" s="119">
        <f>假设表!Q142</f>
        <v>0</v>
      </c>
      <c r="N262" s="119">
        <f>假设表!R142</f>
        <v>0</v>
      </c>
      <c r="O262" s="119">
        <f>假设表!S142</f>
        <v>0</v>
      </c>
      <c r="P262" s="129">
        <f>假设表!T142</f>
        <v>0</v>
      </c>
    </row>
    <row r="263" spans="2:16">
      <c r="B263" s="101" t="s">
        <v>977</v>
      </c>
      <c r="D263" s="119"/>
      <c r="E263" s="119">
        <f>假设表!I143</f>
        <v>0</v>
      </c>
      <c r="F263" s="119">
        <f>假设表!J143</f>
        <v>0</v>
      </c>
      <c r="G263" s="119">
        <f>假设表!K143</f>
        <v>0</v>
      </c>
      <c r="H263" s="119">
        <f>假设表!L143</f>
        <v>0</v>
      </c>
      <c r="I263" s="119">
        <f>假设表!M143</f>
        <v>0</v>
      </c>
      <c r="J263" s="119">
        <f>假设表!N143</f>
        <v>0</v>
      </c>
      <c r="K263" s="119">
        <f>假设表!O143</f>
        <v>0</v>
      </c>
      <c r="L263" s="119">
        <f>假设表!P143</f>
        <v>0</v>
      </c>
      <c r="M263" s="119">
        <f>假设表!Q143</f>
        <v>0</v>
      </c>
      <c r="N263" s="119">
        <f>假设表!R143</f>
        <v>0</v>
      </c>
      <c r="O263" s="119">
        <f>假设表!S143</f>
        <v>0</v>
      </c>
      <c r="P263" s="129">
        <f>假设表!T143</f>
        <v>0</v>
      </c>
    </row>
    <row r="264" spans="2:16">
      <c r="B264" s="101" t="s">
        <v>978</v>
      </c>
      <c r="D264" s="119"/>
      <c r="E264" s="122">
        <f>E262*E263</f>
        <v>0</v>
      </c>
      <c r="F264" s="122">
        <f t="shared" ref="F264:N264" si="90">F262*F263</f>
        <v>0</v>
      </c>
      <c r="G264" s="122">
        <f t="shared" si="90"/>
        <v>0</v>
      </c>
      <c r="H264" s="122">
        <f t="shared" si="90"/>
        <v>0</v>
      </c>
      <c r="I264" s="122">
        <f t="shared" si="90"/>
        <v>0</v>
      </c>
      <c r="J264" s="122">
        <f t="shared" si="90"/>
        <v>0</v>
      </c>
      <c r="K264" s="122">
        <f t="shared" si="90"/>
        <v>0</v>
      </c>
      <c r="L264" s="122">
        <f t="shared" si="90"/>
        <v>0</v>
      </c>
      <c r="M264" s="122">
        <f t="shared" si="90"/>
        <v>0</v>
      </c>
      <c r="N264" s="122">
        <f t="shared" si="90"/>
        <v>0</v>
      </c>
      <c r="O264" s="122">
        <f t="shared" ref="O264:P264" si="91">O262*O263</f>
        <v>0</v>
      </c>
      <c r="P264" s="137">
        <f t="shared" si="91"/>
        <v>0</v>
      </c>
    </row>
    <row r="265" spans="2:16">
      <c r="B265" s="101" t="s">
        <v>979</v>
      </c>
      <c r="D265" s="119"/>
      <c r="E265" s="119">
        <f>假设表!I144</f>
        <v>0</v>
      </c>
      <c r="F265" s="119">
        <f>假设表!J144</f>
        <v>0</v>
      </c>
      <c r="G265" s="119">
        <f>假设表!K144</f>
        <v>0</v>
      </c>
      <c r="H265" s="119">
        <f>假设表!L144</f>
        <v>0</v>
      </c>
      <c r="I265" s="119">
        <f>假设表!M144</f>
        <v>0</v>
      </c>
      <c r="J265" s="119">
        <f>假设表!N144</f>
        <v>0</v>
      </c>
      <c r="K265" s="119">
        <f>假设表!O144</f>
        <v>0</v>
      </c>
      <c r="L265" s="119">
        <f>假设表!P144</f>
        <v>0</v>
      </c>
      <c r="M265" s="119">
        <f>假设表!Q144</f>
        <v>0</v>
      </c>
      <c r="N265" s="119">
        <f>假设表!R144</f>
        <v>0</v>
      </c>
      <c r="O265" s="119">
        <f>假设表!S144</f>
        <v>0</v>
      </c>
      <c r="P265" s="129">
        <f>假设表!T144</f>
        <v>0</v>
      </c>
    </row>
    <row r="266" spans="2:16" ht="14.65">
      <c r="B266" s="442" t="s">
        <v>989</v>
      </c>
      <c r="C266" s="443"/>
      <c r="D266" s="192"/>
      <c r="E266" s="124">
        <f>E264-E265</f>
        <v>0</v>
      </c>
      <c r="F266" s="124">
        <f t="shared" ref="F266:N266" si="92">F264-F265</f>
        <v>0</v>
      </c>
      <c r="G266" s="124">
        <f t="shared" si="92"/>
        <v>0</v>
      </c>
      <c r="H266" s="124">
        <f t="shared" si="92"/>
        <v>0</v>
      </c>
      <c r="I266" s="124">
        <f t="shared" si="92"/>
        <v>0</v>
      </c>
      <c r="J266" s="124">
        <f t="shared" si="92"/>
        <v>0</v>
      </c>
      <c r="K266" s="124">
        <f t="shared" si="92"/>
        <v>0</v>
      </c>
      <c r="L266" s="124">
        <f t="shared" si="92"/>
        <v>0</v>
      </c>
      <c r="M266" s="124">
        <f t="shared" si="92"/>
        <v>0</v>
      </c>
      <c r="N266" s="124">
        <f t="shared" si="92"/>
        <v>0</v>
      </c>
      <c r="O266" s="124">
        <f t="shared" ref="O266:P266" si="93">O264-O265</f>
        <v>0</v>
      </c>
      <c r="P266" s="139">
        <f t="shared" si="93"/>
        <v>0</v>
      </c>
    </row>
    <row r="267" spans="2:16" ht="14.65">
      <c r="B267" s="198"/>
      <c r="C267" s="198"/>
      <c r="D267" s="81"/>
      <c r="E267" s="119"/>
      <c r="F267" s="119"/>
      <c r="G267" s="119"/>
      <c r="H267" s="119"/>
      <c r="I267" s="119"/>
      <c r="J267" s="119"/>
      <c r="K267" s="119"/>
      <c r="L267" s="119"/>
      <c r="M267" s="119"/>
      <c r="N267" s="119"/>
      <c r="O267" s="119"/>
      <c r="P267" s="119"/>
    </row>
    <row r="268" spans="2:16" ht="14.65">
      <c r="B268" s="444" t="s">
        <v>990</v>
      </c>
      <c r="C268" s="445"/>
      <c r="D268" s="200">
        <f>假设表!H2</f>
        <v>2025</v>
      </c>
      <c r="E268" s="201">
        <f>假设表!I2</f>
        <v>2026</v>
      </c>
      <c r="F268" s="201">
        <f>假设表!J2</f>
        <v>2027</v>
      </c>
      <c r="G268" s="201">
        <f>假设表!K2</f>
        <v>2028</v>
      </c>
      <c r="H268" s="201">
        <f>假设表!L2</f>
        <v>2029</v>
      </c>
      <c r="I268" s="201">
        <f>假设表!M2</f>
        <v>2030</v>
      </c>
      <c r="J268" s="201">
        <f>假设表!N2</f>
        <v>2031</v>
      </c>
      <c r="K268" s="201">
        <f>假设表!O2</f>
        <v>2032</v>
      </c>
      <c r="L268" s="201">
        <f>假设表!P2</f>
        <v>2033</v>
      </c>
      <c r="M268" s="201">
        <f>假设表!Q2</f>
        <v>2034</v>
      </c>
      <c r="N268" s="201">
        <f>假设表!R2</f>
        <v>2035</v>
      </c>
      <c r="O268" s="201">
        <f>假设表!S2</f>
        <v>2036</v>
      </c>
      <c r="P268" s="208">
        <f>假设表!T2</f>
        <v>2037</v>
      </c>
    </row>
    <row r="269" spans="2:16">
      <c r="B269" s="101" t="s">
        <v>991</v>
      </c>
      <c r="D269" s="119"/>
      <c r="E269" s="119">
        <f>历史数据及预测表!I196-历史数据及预测表!H196</f>
        <v>-3.27612931817049</v>
      </c>
      <c r="F269" s="119">
        <f>历史数据及预测表!J196-历史数据及预测表!I196</f>
        <v>70.710685937788412</v>
      </c>
      <c r="G269" s="119">
        <f>历史数据及预测表!K196-历史数据及预测表!J196</f>
        <v>83.625507245126812</v>
      </c>
      <c r="H269" s="119">
        <f>历史数据及预测表!L196-历史数据及预测表!K196</f>
        <v>70.880541160516259</v>
      </c>
      <c r="I269" s="119">
        <f>历史数据及预测表!M196-历史数据及预测表!L196</f>
        <v>67.101477434520689</v>
      </c>
      <c r="J269" s="119">
        <f>历史数据及预测表!N196-历史数据及预测表!M196</f>
        <v>107.85464518705373</v>
      </c>
      <c r="K269" s="119">
        <f>历史数据及预测表!O196-历史数据及预测表!N196</f>
        <v>115.24009826180202</v>
      </c>
      <c r="L269" s="119">
        <f>历史数据及预测表!P196-历史数据及预测表!O196</f>
        <v>135.34703925826955</v>
      </c>
      <c r="M269" s="119">
        <f>历史数据及预测表!Q196-历史数据及预测表!P196</f>
        <v>170.0455295254618</v>
      </c>
      <c r="N269" s="119">
        <f>历史数据及预测表!R196-历史数据及预测表!Q196</f>
        <v>197.64883967652042</v>
      </c>
      <c r="O269" s="119">
        <f>历史数据及预测表!S196-历史数据及预测表!R196</f>
        <v>237.29731037416332</v>
      </c>
      <c r="P269" s="129">
        <f>历史数据及预测表!T196-历史数据及预测表!S196</f>
        <v>283.48327558800406</v>
      </c>
    </row>
    <row r="270" spans="2:16">
      <c r="B270" s="101" t="s">
        <v>843</v>
      </c>
      <c r="D270" s="119"/>
      <c r="E270" s="119">
        <f>假设表!I104</f>
        <v>0</v>
      </c>
      <c r="F270" s="119">
        <f>假设表!J104</f>
        <v>0</v>
      </c>
      <c r="G270" s="119">
        <f>假设表!K104</f>
        <v>0</v>
      </c>
      <c r="H270" s="119">
        <f>假设表!L104</f>
        <v>0</v>
      </c>
      <c r="I270" s="119">
        <f>假设表!M104</f>
        <v>0</v>
      </c>
      <c r="J270" s="119">
        <f>假设表!N104</f>
        <v>0</v>
      </c>
      <c r="K270" s="119">
        <f>假设表!O104</f>
        <v>0</v>
      </c>
      <c r="L270" s="119">
        <f>假设表!P104</f>
        <v>0</v>
      </c>
      <c r="M270" s="119">
        <f>假设表!Q104</f>
        <v>0</v>
      </c>
      <c r="N270" s="119">
        <f>假设表!R104</f>
        <v>0</v>
      </c>
      <c r="O270" s="119">
        <f>假设表!S104</f>
        <v>0</v>
      </c>
      <c r="P270" s="129">
        <f>假设表!T104</f>
        <v>0</v>
      </c>
    </row>
    <row r="271" spans="2:16">
      <c r="B271" s="101" t="s">
        <v>844</v>
      </c>
      <c r="D271" s="119"/>
      <c r="E271" s="119">
        <f>假设表!I105</f>
        <v>0</v>
      </c>
      <c r="F271" s="119">
        <f>假设表!J105</f>
        <v>0</v>
      </c>
      <c r="G271" s="119">
        <f>假设表!K105</f>
        <v>0</v>
      </c>
      <c r="H271" s="119">
        <f>假设表!L105</f>
        <v>0</v>
      </c>
      <c r="I271" s="119">
        <f>假设表!M105</f>
        <v>0</v>
      </c>
      <c r="J271" s="119">
        <f>假设表!N105</f>
        <v>0</v>
      </c>
      <c r="K271" s="119">
        <f>假设表!O105</f>
        <v>0</v>
      </c>
      <c r="L271" s="119">
        <f>假设表!P105</f>
        <v>0</v>
      </c>
      <c r="M271" s="119">
        <f>假设表!Q105</f>
        <v>0</v>
      </c>
      <c r="N271" s="119">
        <f>假设表!R105</f>
        <v>0</v>
      </c>
      <c r="O271" s="119">
        <f>假设表!S105</f>
        <v>0</v>
      </c>
      <c r="P271" s="129">
        <f>假设表!T105</f>
        <v>0</v>
      </c>
    </row>
    <row r="272" spans="2:16">
      <c r="B272" s="101" t="s">
        <v>845</v>
      </c>
      <c r="D272" s="119"/>
      <c r="E272" s="119">
        <f>假设表!I106</f>
        <v>0</v>
      </c>
      <c r="F272" s="119">
        <f>假设表!J106</f>
        <v>0</v>
      </c>
      <c r="G272" s="119">
        <f>假设表!K106</f>
        <v>0</v>
      </c>
      <c r="H272" s="119">
        <f>假设表!L106</f>
        <v>0</v>
      </c>
      <c r="I272" s="119">
        <f>假设表!M106</f>
        <v>0</v>
      </c>
      <c r="J272" s="119">
        <f>假设表!N106</f>
        <v>0</v>
      </c>
      <c r="K272" s="119">
        <f>假设表!O106</f>
        <v>0</v>
      </c>
      <c r="L272" s="119">
        <f>假设表!P106</f>
        <v>0</v>
      </c>
      <c r="M272" s="119">
        <f>假设表!Q106</f>
        <v>0</v>
      </c>
      <c r="N272" s="119">
        <f>假设表!R106</f>
        <v>0</v>
      </c>
      <c r="O272" s="119">
        <f>假设表!S106</f>
        <v>0</v>
      </c>
      <c r="P272" s="129">
        <f>假设表!T106</f>
        <v>0</v>
      </c>
    </row>
    <row r="273" spans="2:16">
      <c r="B273" s="101" t="s">
        <v>851</v>
      </c>
      <c r="D273" s="119"/>
      <c r="E273" s="119">
        <f>假设表!I111</f>
        <v>0</v>
      </c>
      <c r="F273" s="119">
        <f>假设表!J111</f>
        <v>0</v>
      </c>
      <c r="G273" s="119">
        <f>假设表!K111</f>
        <v>0</v>
      </c>
      <c r="H273" s="119">
        <f>假设表!L111</f>
        <v>0</v>
      </c>
      <c r="I273" s="119">
        <f>假设表!M111</f>
        <v>0</v>
      </c>
      <c r="J273" s="119">
        <f>假设表!N111</f>
        <v>0</v>
      </c>
      <c r="K273" s="119">
        <f>假设表!O111</f>
        <v>0</v>
      </c>
      <c r="L273" s="119">
        <f>假设表!P111</f>
        <v>0</v>
      </c>
      <c r="M273" s="119">
        <f>假设表!Q111</f>
        <v>0</v>
      </c>
      <c r="N273" s="119">
        <f>假设表!R111</f>
        <v>0</v>
      </c>
      <c r="O273" s="119">
        <f>假设表!S111</f>
        <v>0</v>
      </c>
      <c r="P273" s="129">
        <f>假设表!T111</f>
        <v>0</v>
      </c>
    </row>
    <row r="274" spans="2:16">
      <c r="B274" s="101" t="s">
        <v>852</v>
      </c>
      <c r="D274" s="119"/>
      <c r="E274" s="119">
        <f>假设表!I112</f>
        <v>0</v>
      </c>
      <c r="F274" s="119">
        <f>假设表!J112</f>
        <v>0</v>
      </c>
      <c r="G274" s="119">
        <f>假设表!K112</f>
        <v>0</v>
      </c>
      <c r="H274" s="119">
        <f>假设表!L112</f>
        <v>0</v>
      </c>
      <c r="I274" s="119">
        <f>假设表!M112</f>
        <v>0</v>
      </c>
      <c r="J274" s="119">
        <f>假设表!N112</f>
        <v>0</v>
      </c>
      <c r="K274" s="119">
        <f>假设表!O112</f>
        <v>0</v>
      </c>
      <c r="L274" s="119">
        <f>假设表!P112</f>
        <v>0</v>
      </c>
      <c r="M274" s="119">
        <f>假设表!Q112</f>
        <v>0</v>
      </c>
      <c r="N274" s="119">
        <f>假设表!R112</f>
        <v>0</v>
      </c>
      <c r="O274" s="119">
        <f>假设表!S112</f>
        <v>0</v>
      </c>
      <c r="P274" s="129">
        <f>假设表!T112</f>
        <v>0</v>
      </c>
    </row>
    <row r="275" spans="2:16">
      <c r="B275" s="101" t="s">
        <v>850</v>
      </c>
      <c r="D275" s="119"/>
      <c r="E275" s="119">
        <f>假设表!I110</f>
        <v>0</v>
      </c>
      <c r="F275" s="119">
        <f>假设表!J110</f>
        <v>0</v>
      </c>
      <c r="G275" s="119">
        <f>假设表!K110</f>
        <v>0</v>
      </c>
      <c r="H275" s="119">
        <f>假设表!L110</f>
        <v>0</v>
      </c>
      <c r="I275" s="119">
        <f>假设表!M110</f>
        <v>0</v>
      </c>
      <c r="J275" s="119">
        <f>假设表!N110</f>
        <v>0</v>
      </c>
      <c r="K275" s="119">
        <f>假设表!O110</f>
        <v>0</v>
      </c>
      <c r="L275" s="119">
        <f>假设表!P110</f>
        <v>0</v>
      </c>
      <c r="M275" s="119">
        <f>假设表!Q110</f>
        <v>0</v>
      </c>
      <c r="N275" s="119">
        <f>假设表!R110</f>
        <v>0</v>
      </c>
      <c r="O275" s="119">
        <f>假设表!S110</f>
        <v>0</v>
      </c>
      <c r="P275" s="129">
        <f>假设表!T110</f>
        <v>0</v>
      </c>
    </row>
    <row r="276" spans="2:16">
      <c r="B276" s="101" t="s">
        <v>846</v>
      </c>
      <c r="D276" s="119"/>
      <c r="E276" s="119">
        <f>假设表!I107</f>
        <v>0</v>
      </c>
      <c r="F276" s="119">
        <f>假设表!J107</f>
        <v>0</v>
      </c>
      <c r="G276" s="119">
        <f>假设表!K107</f>
        <v>0</v>
      </c>
      <c r="H276" s="119">
        <f>假设表!L107</f>
        <v>0</v>
      </c>
      <c r="I276" s="119">
        <f>假设表!M107</f>
        <v>0</v>
      </c>
      <c r="J276" s="119">
        <f>假设表!N107</f>
        <v>0</v>
      </c>
      <c r="K276" s="119">
        <f>假设表!O107</f>
        <v>0</v>
      </c>
      <c r="L276" s="119">
        <f>假设表!P107</f>
        <v>0</v>
      </c>
      <c r="M276" s="119">
        <f>假设表!Q107</f>
        <v>0</v>
      </c>
      <c r="N276" s="119">
        <f>假设表!R107</f>
        <v>0</v>
      </c>
      <c r="O276" s="119">
        <f>假设表!S107</f>
        <v>0</v>
      </c>
      <c r="P276" s="129">
        <f>假设表!T107</f>
        <v>0</v>
      </c>
    </row>
    <row r="277" spans="2:16">
      <c r="B277" s="101" t="s">
        <v>847</v>
      </c>
      <c r="D277" s="119"/>
      <c r="E277" s="119">
        <f>假设表!I108</f>
        <v>0</v>
      </c>
      <c r="F277" s="119">
        <f>假设表!J108</f>
        <v>0</v>
      </c>
      <c r="G277" s="119">
        <f>假设表!K108</f>
        <v>0</v>
      </c>
      <c r="H277" s="119">
        <f>假设表!L108</f>
        <v>0</v>
      </c>
      <c r="I277" s="119">
        <f>假设表!M108</f>
        <v>0</v>
      </c>
      <c r="J277" s="119">
        <f>假设表!N108</f>
        <v>0</v>
      </c>
      <c r="K277" s="119">
        <f>假设表!O108</f>
        <v>0</v>
      </c>
      <c r="L277" s="119">
        <f>假设表!P108</f>
        <v>0</v>
      </c>
      <c r="M277" s="119">
        <f>假设表!Q108</f>
        <v>0</v>
      </c>
      <c r="N277" s="119">
        <f>假设表!R108</f>
        <v>0</v>
      </c>
      <c r="O277" s="119">
        <f>假设表!S108</f>
        <v>0</v>
      </c>
      <c r="P277" s="129">
        <f>假设表!T108</f>
        <v>0</v>
      </c>
    </row>
    <row r="278" spans="2:16">
      <c r="B278" s="101" t="s">
        <v>848</v>
      </c>
      <c r="D278" s="204"/>
      <c r="E278" s="204">
        <f>假设表!I109</f>
        <v>0</v>
      </c>
      <c r="F278" s="204">
        <f>假设表!J109</f>
        <v>0</v>
      </c>
      <c r="G278" s="204">
        <f>假设表!K109</f>
        <v>0</v>
      </c>
      <c r="H278" s="204">
        <f>假设表!L109</f>
        <v>0</v>
      </c>
      <c r="I278" s="204">
        <f>假设表!M109</f>
        <v>0</v>
      </c>
      <c r="J278" s="204">
        <f>假设表!N109</f>
        <v>0</v>
      </c>
      <c r="K278" s="204">
        <f>假设表!O109</f>
        <v>0</v>
      </c>
      <c r="L278" s="204">
        <f>假设表!P109</f>
        <v>0</v>
      </c>
      <c r="M278" s="204">
        <f>假设表!Q109</f>
        <v>0</v>
      </c>
      <c r="N278" s="204">
        <f>假设表!R109</f>
        <v>0</v>
      </c>
      <c r="O278" s="204">
        <f>假设表!S109</f>
        <v>0</v>
      </c>
      <c r="P278" s="209">
        <f>假设表!T109</f>
        <v>0</v>
      </c>
    </row>
    <row r="279" spans="2:16" ht="14.65">
      <c r="B279" s="442" t="s">
        <v>992</v>
      </c>
      <c r="C279" s="443"/>
      <c r="D279" s="192"/>
      <c r="E279" s="124">
        <f>SUM(E269:E278)</f>
        <v>-3.27612931817049</v>
      </c>
      <c r="F279" s="124">
        <f t="shared" ref="F279:N279" si="94">SUM(F269:F278)</f>
        <v>70.710685937788412</v>
      </c>
      <c r="G279" s="124">
        <f t="shared" si="94"/>
        <v>83.625507245126812</v>
      </c>
      <c r="H279" s="124">
        <f t="shared" si="94"/>
        <v>70.880541160516259</v>
      </c>
      <c r="I279" s="124">
        <f t="shared" si="94"/>
        <v>67.101477434520689</v>
      </c>
      <c r="J279" s="124">
        <f t="shared" si="94"/>
        <v>107.85464518705373</v>
      </c>
      <c r="K279" s="124">
        <f t="shared" si="94"/>
        <v>115.24009826180202</v>
      </c>
      <c r="L279" s="124">
        <f t="shared" si="94"/>
        <v>135.34703925826955</v>
      </c>
      <c r="M279" s="124">
        <f t="shared" si="94"/>
        <v>170.0455295254618</v>
      </c>
      <c r="N279" s="124">
        <f t="shared" si="94"/>
        <v>197.64883967652042</v>
      </c>
      <c r="O279" s="124">
        <f t="shared" ref="O279:P279" si="95">SUM(O269:O278)</f>
        <v>237.29731037416332</v>
      </c>
      <c r="P279" s="139">
        <f t="shared" si="95"/>
        <v>283.48327558800406</v>
      </c>
    </row>
    <row r="280" spans="2:16" ht="14.65">
      <c r="B280" s="198"/>
      <c r="C280" s="198"/>
      <c r="D280" s="119"/>
      <c r="E280" s="204"/>
      <c r="F280" s="204"/>
      <c r="G280" s="204"/>
      <c r="H280" s="204"/>
      <c r="I280" s="204"/>
      <c r="J280" s="204"/>
      <c r="K280" s="204"/>
      <c r="L280" s="204"/>
      <c r="M280" s="204"/>
      <c r="N280" s="204"/>
      <c r="O280" s="204"/>
      <c r="P280" s="204"/>
    </row>
    <row r="281" spans="2:16" ht="14.65">
      <c r="B281" s="444" t="s">
        <v>993</v>
      </c>
      <c r="C281" s="445"/>
      <c r="D281" s="200">
        <f>假设表!H2</f>
        <v>2025</v>
      </c>
      <c r="E281" s="201">
        <f>假设表!I2</f>
        <v>2026</v>
      </c>
      <c r="F281" s="201">
        <f>假设表!J2</f>
        <v>2027</v>
      </c>
      <c r="G281" s="201">
        <f>假设表!K2</f>
        <v>2028</v>
      </c>
      <c r="H281" s="201">
        <f>假设表!L2</f>
        <v>2029</v>
      </c>
      <c r="I281" s="201">
        <f>假设表!M2</f>
        <v>2030</v>
      </c>
      <c r="J281" s="201">
        <f>假设表!N2</f>
        <v>2031</v>
      </c>
      <c r="K281" s="201">
        <f>假设表!O2</f>
        <v>2032</v>
      </c>
      <c r="L281" s="201">
        <f>假设表!P2</f>
        <v>2033</v>
      </c>
      <c r="M281" s="201">
        <f>假设表!Q2</f>
        <v>2034</v>
      </c>
      <c r="N281" s="201">
        <f>假设表!R2</f>
        <v>2035</v>
      </c>
      <c r="O281" s="201">
        <f>假设表!S2</f>
        <v>2036</v>
      </c>
      <c r="P281" s="208">
        <f>假设表!T2</f>
        <v>2037</v>
      </c>
    </row>
    <row r="282" spans="2:16">
      <c r="B282" s="101" t="s">
        <v>994</v>
      </c>
      <c r="D282" s="119"/>
      <c r="E282" s="119">
        <f>历史数据及预测表!I190-历史数据及预测表!H190</f>
        <v>0</v>
      </c>
      <c r="F282" s="119">
        <f>历史数据及预测表!J190-历史数据及预测表!I190</f>
        <v>0</v>
      </c>
      <c r="G282" s="119">
        <f>历史数据及预测表!K190-历史数据及预测表!J190</f>
        <v>0</v>
      </c>
      <c r="H282" s="119">
        <f>历史数据及预测表!L190-历史数据及预测表!K190</f>
        <v>0</v>
      </c>
      <c r="I282" s="119">
        <f>历史数据及预测表!M190-历史数据及预测表!L190</f>
        <v>0</v>
      </c>
      <c r="J282" s="119">
        <f>历史数据及预测表!N190-历史数据及预测表!M190</f>
        <v>0</v>
      </c>
      <c r="K282" s="119">
        <f>历史数据及预测表!O190-历史数据及预测表!N190</f>
        <v>0</v>
      </c>
      <c r="L282" s="119">
        <f>历史数据及预测表!P190-历史数据及预测表!O190</f>
        <v>0</v>
      </c>
      <c r="M282" s="119">
        <f>历史数据及预测表!Q190-历史数据及预测表!P190</f>
        <v>0</v>
      </c>
      <c r="N282" s="119">
        <f>历史数据及预测表!R190-历史数据及预测表!Q190</f>
        <v>0</v>
      </c>
      <c r="O282" s="119">
        <f>历史数据及预测表!S190-历史数据及预测表!R190</f>
        <v>0</v>
      </c>
      <c r="P282" s="129">
        <f>历史数据及预测表!T190-历史数据及预测表!S190</f>
        <v>0</v>
      </c>
    </row>
    <row r="283" spans="2:16">
      <c r="B283" s="101" t="s">
        <v>995</v>
      </c>
      <c r="D283" s="119"/>
      <c r="E283" s="119">
        <f>历史数据及预测表!I193-历史数据及预测表!H193</f>
        <v>0</v>
      </c>
      <c r="F283" s="119">
        <f>历史数据及预测表!J193-历史数据及预测表!I193</f>
        <v>0</v>
      </c>
      <c r="G283" s="119">
        <f>历史数据及预测表!K193-历史数据及预测表!J193</f>
        <v>0</v>
      </c>
      <c r="H283" s="119">
        <f>历史数据及预测表!L193-历史数据及预测表!K193</f>
        <v>0</v>
      </c>
      <c r="I283" s="119">
        <f>历史数据及预测表!M193-历史数据及预测表!L193</f>
        <v>0</v>
      </c>
      <c r="J283" s="119">
        <f>历史数据及预测表!N193-历史数据及预测表!M193</f>
        <v>0</v>
      </c>
      <c r="K283" s="119">
        <f>历史数据及预测表!O193-历史数据及预测表!N193</f>
        <v>0</v>
      </c>
      <c r="L283" s="119">
        <f>历史数据及预测表!P193-历史数据及预测表!O193</f>
        <v>0</v>
      </c>
      <c r="M283" s="119">
        <f>历史数据及预测表!Q193-历史数据及预测表!P193</f>
        <v>0</v>
      </c>
      <c r="N283" s="119">
        <f>历史数据及预测表!R193-历史数据及预测表!Q193</f>
        <v>0</v>
      </c>
      <c r="O283" s="119">
        <f>历史数据及预测表!S193-历史数据及预测表!R193</f>
        <v>0</v>
      </c>
      <c r="P283" s="129">
        <f>历史数据及预测表!T193-历史数据及预测表!S193</f>
        <v>0</v>
      </c>
    </row>
    <row r="284" spans="2:16">
      <c r="B284" s="446" t="s">
        <v>996</v>
      </c>
      <c r="C284" s="447"/>
      <c r="D284" s="119"/>
      <c r="E284" s="204">
        <f>历史数据及预测表!I199-历史数据及预测表!H199</f>
        <v>0</v>
      </c>
      <c r="F284" s="204">
        <f>历史数据及预测表!J199-历史数据及预测表!I199</f>
        <v>0</v>
      </c>
      <c r="G284" s="204">
        <f>历史数据及预测表!K199-历史数据及预测表!J199</f>
        <v>0</v>
      </c>
      <c r="H284" s="204">
        <f>历史数据及预测表!L199-历史数据及预测表!K199</f>
        <v>0</v>
      </c>
      <c r="I284" s="204">
        <f>历史数据及预测表!M199-历史数据及预测表!L199</f>
        <v>0</v>
      </c>
      <c r="J284" s="204">
        <f>历史数据及预测表!N199-历史数据及预测表!M199</f>
        <v>0</v>
      </c>
      <c r="K284" s="204">
        <f>历史数据及预测表!O199-历史数据及预测表!N199</f>
        <v>0</v>
      </c>
      <c r="L284" s="204">
        <f>历史数据及预测表!P199-历史数据及预测表!O199</f>
        <v>0</v>
      </c>
      <c r="M284" s="204">
        <f>历史数据及预测表!Q199-历史数据及预测表!P199</f>
        <v>0</v>
      </c>
      <c r="N284" s="204">
        <f>历史数据及预测表!R199-历史数据及预测表!Q199</f>
        <v>0</v>
      </c>
      <c r="O284" s="204">
        <f>历史数据及预测表!S199-历史数据及预测表!R199</f>
        <v>0</v>
      </c>
      <c r="P284" s="209">
        <f>历史数据及预测表!T199-历史数据及预测表!S199</f>
        <v>0</v>
      </c>
    </row>
    <row r="285" spans="2:16">
      <c r="B285" s="446" t="s">
        <v>853</v>
      </c>
      <c r="C285" s="447"/>
      <c r="D285" s="119"/>
      <c r="E285" s="204">
        <f>假设表!I113</f>
        <v>0</v>
      </c>
      <c r="F285" s="204">
        <f>假设表!J113</f>
        <v>0</v>
      </c>
      <c r="G285" s="204">
        <f>假设表!K113</f>
        <v>0</v>
      </c>
      <c r="H285" s="204">
        <f>假设表!L113</f>
        <v>0</v>
      </c>
      <c r="I285" s="204">
        <f>假设表!M113</f>
        <v>0</v>
      </c>
      <c r="J285" s="204">
        <f>假设表!N113</f>
        <v>0</v>
      </c>
      <c r="K285" s="204">
        <f>假设表!O113</f>
        <v>0</v>
      </c>
      <c r="L285" s="204">
        <f>假设表!P113</f>
        <v>0</v>
      </c>
      <c r="M285" s="204">
        <f>假设表!Q113</f>
        <v>0</v>
      </c>
      <c r="N285" s="204">
        <f>假设表!R113</f>
        <v>0</v>
      </c>
      <c r="O285" s="204">
        <f>假设表!S113</f>
        <v>0</v>
      </c>
      <c r="P285" s="209">
        <f>假设表!T113</f>
        <v>0</v>
      </c>
    </row>
    <row r="286" spans="2:16">
      <c r="B286" s="446" t="s">
        <v>854</v>
      </c>
      <c r="C286" s="447"/>
      <c r="D286" s="119"/>
      <c r="E286" s="204">
        <f>假设表!I114</f>
        <v>0</v>
      </c>
      <c r="F286" s="204">
        <f>假设表!J114</f>
        <v>0</v>
      </c>
      <c r="G286" s="204">
        <f>假设表!K114</f>
        <v>0</v>
      </c>
      <c r="H286" s="204">
        <f>假设表!L114</f>
        <v>0</v>
      </c>
      <c r="I286" s="204">
        <f>假设表!M114</f>
        <v>0</v>
      </c>
      <c r="J286" s="204">
        <f>假设表!N114</f>
        <v>0</v>
      </c>
      <c r="K286" s="204">
        <f>假设表!O114</f>
        <v>0</v>
      </c>
      <c r="L286" s="204">
        <f>假设表!P114</f>
        <v>0</v>
      </c>
      <c r="M286" s="204">
        <f>假设表!Q114</f>
        <v>0</v>
      </c>
      <c r="N286" s="204">
        <f>假设表!R114</f>
        <v>0</v>
      </c>
      <c r="O286" s="204">
        <f>假设表!S114</f>
        <v>0</v>
      </c>
      <c r="P286" s="209">
        <f>假设表!T114</f>
        <v>0</v>
      </c>
    </row>
    <row r="287" spans="2:16" ht="14.65">
      <c r="B287" s="442" t="s">
        <v>997</v>
      </c>
      <c r="C287" s="443"/>
      <c r="D287" s="192"/>
      <c r="E287" s="207">
        <f t="shared" ref="E287:N287" si="96">SUM(E282:E286)</f>
        <v>0</v>
      </c>
      <c r="F287" s="207">
        <f t="shared" si="96"/>
        <v>0</v>
      </c>
      <c r="G287" s="207">
        <f t="shared" si="96"/>
        <v>0</v>
      </c>
      <c r="H287" s="207">
        <f t="shared" si="96"/>
        <v>0</v>
      </c>
      <c r="I287" s="207">
        <f t="shared" si="96"/>
        <v>0</v>
      </c>
      <c r="J287" s="207">
        <f t="shared" si="96"/>
        <v>0</v>
      </c>
      <c r="K287" s="207">
        <f t="shared" si="96"/>
        <v>0</v>
      </c>
      <c r="L287" s="207">
        <f t="shared" si="96"/>
        <v>0</v>
      </c>
      <c r="M287" s="207">
        <f t="shared" si="96"/>
        <v>0</v>
      </c>
      <c r="N287" s="207">
        <f t="shared" si="96"/>
        <v>0</v>
      </c>
      <c r="O287" s="207">
        <f t="shared" ref="O287:P287" si="97">SUM(O282:O286)</f>
        <v>0</v>
      </c>
      <c r="P287" s="210">
        <f t="shared" si="97"/>
        <v>0</v>
      </c>
    </row>
    <row r="289" spans="2:16" ht="14.65">
      <c r="B289" s="444" t="s">
        <v>998</v>
      </c>
      <c r="C289" s="445"/>
      <c r="D289" s="118"/>
      <c r="E289" s="118"/>
      <c r="F289" s="118"/>
      <c r="G289" s="118"/>
      <c r="H289" s="118"/>
      <c r="I289" s="118"/>
      <c r="J289" s="118"/>
      <c r="K289" s="118"/>
      <c r="L289" s="118"/>
      <c r="M289" s="118"/>
      <c r="N289" s="118"/>
      <c r="O289" s="118"/>
      <c r="P289" s="125"/>
    </row>
    <row r="290" spans="2:16">
      <c r="B290" s="101"/>
      <c r="D290" s="206">
        <f>假设表!H2</f>
        <v>2025</v>
      </c>
      <c r="E290" s="193">
        <f>假设表!I2</f>
        <v>2026</v>
      </c>
      <c r="F290" s="193">
        <f>假设表!J2</f>
        <v>2027</v>
      </c>
      <c r="G290" s="193">
        <f>假设表!K2</f>
        <v>2028</v>
      </c>
      <c r="H290" s="193">
        <f>假设表!L2</f>
        <v>2029</v>
      </c>
      <c r="I290" s="193">
        <f>假设表!M2</f>
        <v>2030</v>
      </c>
      <c r="J290" s="193">
        <f>假设表!N2</f>
        <v>2031</v>
      </c>
      <c r="K290" s="193">
        <f>假设表!O2</f>
        <v>2032</v>
      </c>
      <c r="L290" s="193">
        <f>假设表!P2</f>
        <v>2033</v>
      </c>
      <c r="M290" s="193">
        <f>假设表!Q2</f>
        <v>2034</v>
      </c>
      <c r="N290" s="193">
        <f>假设表!R2</f>
        <v>2035</v>
      </c>
      <c r="O290" s="193">
        <f>假设表!S2</f>
        <v>2036</v>
      </c>
      <c r="P290" s="197">
        <f>假设表!T2</f>
        <v>2037</v>
      </c>
    </row>
    <row r="291" spans="2:16" ht="14.65">
      <c r="B291" s="202" t="s">
        <v>999</v>
      </c>
      <c r="P291" s="131"/>
    </row>
    <row r="292" spans="2:16">
      <c r="B292" s="101" t="s">
        <v>1000</v>
      </c>
      <c r="D292" s="204">
        <f>历史数据及预测表!H189</f>
        <v>466.53246032999999</v>
      </c>
      <c r="E292" s="204">
        <f>历史数据及预测表!I189</f>
        <v>774.57337006420619</v>
      </c>
      <c r="F292" s="204">
        <f>历史数据及预测表!J189</f>
        <v>1002.5153220471476</v>
      </c>
      <c r="G292" s="204">
        <f>历史数据及预测表!K189</f>
        <v>1195.3501793154217</v>
      </c>
      <c r="H292" s="204">
        <f>历史数据及预测表!L189</f>
        <v>1391.3699346582973</v>
      </c>
      <c r="I292" s="204">
        <f>历史数据及预测表!M189</f>
        <v>1692.4569733659409</v>
      </c>
      <c r="J292" s="204">
        <f>历史数据及预测表!N189</f>
        <v>2015.401673256001</v>
      </c>
      <c r="K292" s="204">
        <f>历史数据及预测表!O189</f>
        <v>2398.901738485481</v>
      </c>
      <c r="L292" s="204">
        <f>历史数据及预测表!P189</f>
        <v>2876.6151858534822</v>
      </c>
      <c r="M292" s="204">
        <f>历史数据及预测表!Q189</f>
        <v>3432.9816017443404</v>
      </c>
      <c r="N292" s="204">
        <f>历史数据及预测表!R189</f>
        <v>4099.9214128087306</v>
      </c>
      <c r="O292" s="204">
        <f>历史数据及预测表!S189</f>
        <v>4897.9027614084616</v>
      </c>
      <c r="P292" s="209">
        <f>历史数据及预测表!T189</f>
        <v>5851.1978754681049</v>
      </c>
    </row>
    <row r="293" spans="2:16">
      <c r="B293" s="101" t="s">
        <v>1001</v>
      </c>
      <c r="D293" s="204">
        <f>历史数据及预测表!H11</f>
        <v>4.2487960599999992</v>
      </c>
      <c r="E293" s="204">
        <f>历史数据及预测表!I11</f>
        <v>6.3778215017637034</v>
      </c>
      <c r="F293" s="204">
        <f>历史数据及预测表!J11</f>
        <v>7.7383765981667478</v>
      </c>
      <c r="G293" s="204">
        <f>历史数据及预测表!K11</f>
        <v>9.9977593427602898</v>
      </c>
      <c r="H293" s="204">
        <f>历史数据及预测表!L11</f>
        <v>11.27800838977695</v>
      </c>
      <c r="I293" s="204">
        <f>历史数据及预测表!M11</f>
        <v>13.647368118125938</v>
      </c>
      <c r="J293" s="204">
        <f>历史数据及预测表!N11</f>
        <v>16.482405619736188</v>
      </c>
      <c r="K293" s="204">
        <f>历史数据及预测表!O11</f>
        <v>19.469197087258951</v>
      </c>
      <c r="L293" s="204">
        <f>历史数据及预测表!P11</f>
        <v>23.355995937246188</v>
      </c>
      <c r="M293" s="204">
        <f>历史数据及预测表!Q11</f>
        <v>27.93694359571138</v>
      </c>
      <c r="N293" s="204">
        <f>历史数据及预测表!R11</f>
        <v>33.309070717899822</v>
      </c>
      <c r="O293" s="204">
        <f>历史数据及预测表!S11</f>
        <v>39.792126000138602</v>
      </c>
      <c r="P293" s="209">
        <f>历史数据及预测表!T11</f>
        <v>47.536999906755206</v>
      </c>
    </row>
    <row r="294" spans="2:16">
      <c r="B294" s="101" t="s">
        <v>1002</v>
      </c>
      <c r="D294" s="204">
        <f>历史数据及预测表!H12</f>
        <v>0</v>
      </c>
      <c r="E294" s="204">
        <f>历史数据及预测表!I12</f>
        <v>0</v>
      </c>
      <c r="F294" s="204">
        <f>历史数据及预测表!J12</f>
        <v>0</v>
      </c>
      <c r="G294" s="204">
        <f>历史数据及预测表!K12</f>
        <v>0</v>
      </c>
      <c r="H294" s="204">
        <f>历史数据及预测表!L12</f>
        <v>0</v>
      </c>
      <c r="I294" s="204">
        <f>历史数据及预测表!M12</f>
        <v>0</v>
      </c>
      <c r="J294" s="204">
        <f>历史数据及预测表!N12</f>
        <v>0</v>
      </c>
      <c r="K294" s="204">
        <f>历史数据及预测表!O12</f>
        <v>0</v>
      </c>
      <c r="L294" s="204">
        <f>历史数据及预测表!P12</f>
        <v>0</v>
      </c>
      <c r="M294" s="204">
        <f>历史数据及预测表!Q12</f>
        <v>0</v>
      </c>
      <c r="N294" s="204">
        <f>历史数据及预测表!R12</f>
        <v>0</v>
      </c>
      <c r="O294" s="204">
        <f>历史数据及预测表!S12</f>
        <v>0</v>
      </c>
      <c r="P294" s="209">
        <f>历史数据及预测表!T12</f>
        <v>0</v>
      </c>
    </row>
    <row r="295" spans="2:16">
      <c r="B295" s="101" t="s">
        <v>1003</v>
      </c>
      <c r="D295" s="204">
        <f>历史数据及预测表!H13</f>
        <v>157.53617800999999</v>
      </c>
      <c r="E295" s="204">
        <f>历史数据及预测表!I13</f>
        <v>150.99387134181842</v>
      </c>
      <c r="F295" s="204">
        <f>历史数据及预测表!J13</f>
        <v>226.59477149443336</v>
      </c>
      <c r="G295" s="204">
        <f>历史数据及预测表!K13</f>
        <v>312.13543089602473</v>
      </c>
      <c r="H295" s="204">
        <f>历史数据及预测表!L13</f>
        <v>350.13373079682117</v>
      </c>
      <c r="I295" s="204">
        <f>历史数据及预测表!M13</f>
        <v>416.76519126278401</v>
      </c>
      <c r="J295" s="204">
        <f>历史数据及预测表!N13</f>
        <v>510.03707464639433</v>
      </c>
      <c r="K295" s="204">
        <f>历史数据及预测表!O13</f>
        <v>600.61797118849302</v>
      </c>
      <c r="L295" s="204">
        <f>历史数据及预测表!P13</f>
        <v>718.86439709373724</v>
      </c>
      <c r="M295" s="204">
        <f>历史数据及预测表!Q13</f>
        <v>862.0713749798482</v>
      </c>
      <c r="N295" s="204">
        <f>历史数据及预测表!R13</f>
        <v>1026.8819973636705</v>
      </c>
      <c r="O295" s="204">
        <f>历史数据及预测表!S13</f>
        <v>1226.7474578451872</v>
      </c>
      <c r="P295" s="209">
        <f>历史数据及预测表!T13</f>
        <v>1465.513398027432</v>
      </c>
    </row>
    <row r="296" spans="2:16">
      <c r="B296" s="101" t="s">
        <v>1004</v>
      </c>
      <c r="D296" s="204">
        <f>历史数据及预测表!H192</f>
        <v>1.6572251999999998</v>
      </c>
      <c r="E296" s="204">
        <f>历史数据及预测表!I192</f>
        <v>361.80354513259249</v>
      </c>
      <c r="F296" s="204">
        <f>历史数据及预测表!J192</f>
        <v>393.74565210132641</v>
      </c>
      <c r="G296" s="204">
        <f>历史数据及预测表!K192</f>
        <v>338.50544557105707</v>
      </c>
      <c r="H296" s="204">
        <f>历史数据及预测表!L192</f>
        <v>529.16017035354673</v>
      </c>
      <c r="I296" s="204">
        <f>历史数据及预测表!M192</f>
        <v>595.53372920546622</v>
      </c>
      <c r="J296" s="204">
        <f>历史数据及预测表!N192</f>
        <v>681.77988032360395</v>
      </c>
      <c r="K296" s="204">
        <f>历史数据及预测表!O192</f>
        <v>855.89962747044103</v>
      </c>
      <c r="L296" s="204">
        <f>历史数据及预测表!P192</f>
        <v>1003.8732616621347</v>
      </c>
      <c r="M296" s="204">
        <f>历史数据及预测表!Q192</f>
        <v>1194.7154889603596</v>
      </c>
      <c r="N296" s="204">
        <f>历史数据及预测表!R192</f>
        <v>1440.1260748518246</v>
      </c>
      <c r="O296" s="204">
        <f>历史数据及预测表!S192</f>
        <v>1720.4226053593736</v>
      </c>
      <c r="P296" s="209">
        <f>历史数据及预测表!T192</f>
        <v>2055.2741823913411</v>
      </c>
    </row>
    <row r="297" spans="2:16">
      <c r="B297" s="101" t="s">
        <v>1005</v>
      </c>
      <c r="D297" s="204">
        <f>历史数据及预测表!H195</f>
        <v>3178.6707224800002</v>
      </c>
      <c r="E297" s="204">
        <f>历史数据及预测表!I195</f>
        <v>3345.7911780304917</v>
      </c>
      <c r="F297" s="204">
        <f>历史数据及预测表!J195</f>
        <v>4524.3026103269649</v>
      </c>
      <c r="G297" s="204">
        <f>历史数据及预测表!K195</f>
        <v>5918.0610644124126</v>
      </c>
      <c r="H297" s="204">
        <f>历史数据及预测表!L195</f>
        <v>7099.403417087683</v>
      </c>
      <c r="I297" s="204">
        <f>历史数据及预测表!M195</f>
        <v>8217.7613743296952</v>
      </c>
      <c r="J297" s="204">
        <f>历史数据及预测表!N195</f>
        <v>10015.338794113924</v>
      </c>
      <c r="K297" s="204">
        <f>历史数据及预测表!O195</f>
        <v>11936.00709847729</v>
      </c>
      <c r="L297" s="204">
        <f>历史数据及预测表!P195</f>
        <v>14191.791086115116</v>
      </c>
      <c r="M297" s="204">
        <f>历史数据及预测表!Q195</f>
        <v>17025.883244872814</v>
      </c>
      <c r="N297" s="204">
        <f>历史数据及预测表!R195</f>
        <v>20320.03057281482</v>
      </c>
      <c r="O297" s="204">
        <f>历史数据及预测表!S195</f>
        <v>24274.985745717542</v>
      </c>
      <c r="P297" s="209">
        <f>历史数据及预测表!T195</f>
        <v>28999.707005517612</v>
      </c>
    </row>
    <row r="298" spans="2:16">
      <c r="B298" s="101" t="s">
        <v>1006</v>
      </c>
      <c r="D298" s="204">
        <f>历史数据及预测表!H198</f>
        <v>0</v>
      </c>
      <c r="E298" s="204">
        <f>历史数据及预测表!I198</f>
        <v>0</v>
      </c>
      <c r="F298" s="204">
        <f>历史数据及预测表!J198</f>
        <v>0</v>
      </c>
      <c r="G298" s="204">
        <f>历史数据及预测表!K198</f>
        <v>0</v>
      </c>
      <c r="H298" s="204">
        <f>历史数据及预测表!L198</f>
        <v>0</v>
      </c>
      <c r="I298" s="204">
        <f>历史数据及预测表!M198</f>
        <v>0</v>
      </c>
      <c r="J298" s="204">
        <f>历史数据及预测表!N198</f>
        <v>0</v>
      </c>
      <c r="K298" s="204">
        <f>历史数据及预测表!O198</f>
        <v>0</v>
      </c>
      <c r="L298" s="204">
        <f>历史数据及预测表!P198</f>
        <v>0</v>
      </c>
      <c r="M298" s="204">
        <f>历史数据及预测表!Q198</f>
        <v>0</v>
      </c>
      <c r="N298" s="204">
        <f>历史数据及预测表!R198</f>
        <v>0</v>
      </c>
      <c r="O298" s="204">
        <f>历史数据及预测表!S198</f>
        <v>0</v>
      </c>
      <c r="P298" s="209">
        <f>历史数据及预测表!T198</f>
        <v>0</v>
      </c>
    </row>
    <row r="299" spans="2:16">
      <c r="B299" s="101" t="s">
        <v>1007</v>
      </c>
      <c r="D299" s="204">
        <f>历史数据及预测表!H17</f>
        <v>0</v>
      </c>
      <c r="E299" s="204">
        <f>历史数据及预测表!I17</f>
        <v>0</v>
      </c>
      <c r="F299" s="204">
        <f>历史数据及预测表!J17</f>
        <v>0</v>
      </c>
      <c r="G299" s="204">
        <f>历史数据及预测表!K17</f>
        <v>0</v>
      </c>
      <c r="H299" s="204">
        <f>历史数据及预测表!L17</f>
        <v>0</v>
      </c>
      <c r="I299" s="204">
        <f>历史数据及预测表!M17</f>
        <v>0</v>
      </c>
      <c r="J299" s="204">
        <f>历史数据及预测表!N17</f>
        <v>0</v>
      </c>
      <c r="K299" s="204">
        <f>历史数据及预测表!O17</f>
        <v>0</v>
      </c>
      <c r="L299" s="204">
        <f>历史数据及预测表!P17</f>
        <v>0</v>
      </c>
      <c r="M299" s="204">
        <f>历史数据及预测表!Q17</f>
        <v>0</v>
      </c>
      <c r="N299" s="204">
        <f>历史数据及预测表!R17</f>
        <v>0</v>
      </c>
      <c r="O299" s="204">
        <f>历史数据及预测表!S17</f>
        <v>0</v>
      </c>
      <c r="P299" s="209">
        <f>历史数据及预测表!T17</f>
        <v>0</v>
      </c>
    </row>
    <row r="300" spans="2:16">
      <c r="B300" s="101" t="s">
        <v>1008</v>
      </c>
      <c r="D300" s="204">
        <f>历史数据及预测表!H18</f>
        <v>0</v>
      </c>
      <c r="E300" s="204">
        <f>历史数据及预测表!I18</f>
        <v>0</v>
      </c>
      <c r="F300" s="204">
        <f>历史数据及预测表!J18</f>
        <v>0</v>
      </c>
      <c r="G300" s="204">
        <f>历史数据及预测表!K18</f>
        <v>0</v>
      </c>
      <c r="H300" s="204">
        <f>历史数据及预测表!L18</f>
        <v>0</v>
      </c>
      <c r="I300" s="204">
        <f>历史数据及预测表!M18</f>
        <v>0</v>
      </c>
      <c r="J300" s="204">
        <f>历史数据及预测表!N18</f>
        <v>0</v>
      </c>
      <c r="K300" s="204">
        <f>历史数据及预测表!O18</f>
        <v>0</v>
      </c>
      <c r="L300" s="204">
        <f>历史数据及预测表!P18</f>
        <v>0</v>
      </c>
      <c r="M300" s="204">
        <f>历史数据及预测表!Q18</f>
        <v>0</v>
      </c>
      <c r="N300" s="204">
        <f>历史数据及预测表!R18</f>
        <v>0</v>
      </c>
      <c r="O300" s="204">
        <f>历史数据及预测表!S18</f>
        <v>0</v>
      </c>
      <c r="P300" s="209">
        <f>历史数据及预测表!T18</f>
        <v>0</v>
      </c>
    </row>
    <row r="301" spans="2:16">
      <c r="B301" s="101" t="s">
        <v>1009</v>
      </c>
      <c r="D301" s="119">
        <f>历史数据及预测表!H19</f>
        <v>0</v>
      </c>
      <c r="E301" s="119">
        <f>历史数据及预测表!I19</f>
        <v>0</v>
      </c>
      <c r="F301" s="119">
        <f>历史数据及预测表!J19</f>
        <v>0</v>
      </c>
      <c r="G301" s="119">
        <f>历史数据及预测表!K19</f>
        <v>0</v>
      </c>
      <c r="H301" s="119">
        <f>历史数据及预测表!L19</f>
        <v>0</v>
      </c>
      <c r="I301" s="119">
        <f>历史数据及预测表!M19</f>
        <v>0</v>
      </c>
      <c r="J301" s="119">
        <f>历史数据及预测表!N19</f>
        <v>0</v>
      </c>
      <c r="K301" s="119">
        <f>历史数据及预测表!O19</f>
        <v>0</v>
      </c>
      <c r="L301" s="119">
        <f>历史数据及预测表!P19</f>
        <v>0</v>
      </c>
      <c r="M301" s="119">
        <f>历史数据及预测表!Q19</f>
        <v>0</v>
      </c>
      <c r="N301" s="119">
        <f>历史数据及预测表!R19</f>
        <v>0</v>
      </c>
      <c r="O301" s="119">
        <f>历史数据及预测表!S19</f>
        <v>0</v>
      </c>
      <c r="P301" s="129">
        <f>历史数据及预测表!T19</f>
        <v>0</v>
      </c>
    </row>
    <row r="302" spans="2:16">
      <c r="B302" s="101" t="s">
        <v>1010</v>
      </c>
      <c r="D302" s="119">
        <f>历史数据及预测表!H20</f>
        <v>97.386625590000008</v>
      </c>
      <c r="E302" s="119">
        <f>历史数据及预测表!I20</f>
        <v>97.386625590000008</v>
      </c>
      <c r="F302" s="119">
        <f>历史数据及预测表!J20</f>
        <v>97.386625590000008</v>
      </c>
      <c r="G302" s="119">
        <f>历史数据及预测表!K20</f>
        <v>97.386625590000008</v>
      </c>
      <c r="H302" s="119">
        <f>历史数据及预测表!L20</f>
        <v>97.386625590000008</v>
      </c>
      <c r="I302" s="119">
        <f>历史数据及预测表!M20</f>
        <v>97.386625590000008</v>
      </c>
      <c r="J302" s="119">
        <f>历史数据及预测表!N20</f>
        <v>97.386625590000008</v>
      </c>
      <c r="K302" s="119">
        <f>历史数据及预测表!O20</f>
        <v>97.386625590000008</v>
      </c>
      <c r="L302" s="119">
        <f>历史数据及预测表!P20</f>
        <v>97.386625590000008</v>
      </c>
      <c r="M302" s="119">
        <f>历史数据及预测表!Q20</f>
        <v>97.386625590000008</v>
      </c>
      <c r="N302" s="119">
        <f>历史数据及预测表!R20</f>
        <v>97.386625590000008</v>
      </c>
      <c r="O302" s="119">
        <f>历史数据及预测表!S20</f>
        <v>97.386625590000008</v>
      </c>
      <c r="P302" s="129">
        <f>历史数据及预测表!T20</f>
        <v>97.386625590000008</v>
      </c>
    </row>
    <row r="303" spans="2:16" ht="14.65">
      <c r="B303" s="440" t="s">
        <v>978</v>
      </c>
      <c r="C303" s="441"/>
      <c r="D303" s="122">
        <f t="shared" ref="D303:N303" si="98">SUM(D292:D302)</f>
        <v>3906.0320076700004</v>
      </c>
      <c r="E303" s="122">
        <f t="shared" si="98"/>
        <v>4736.9264116608729</v>
      </c>
      <c r="F303" s="122">
        <f t="shared" si="98"/>
        <v>6252.2833581580389</v>
      </c>
      <c r="G303" s="122">
        <f t="shared" si="98"/>
        <v>7871.4365051276764</v>
      </c>
      <c r="H303" s="122">
        <f t="shared" si="98"/>
        <v>9478.7318868761249</v>
      </c>
      <c r="I303" s="122">
        <f t="shared" si="98"/>
        <v>11033.551261872011</v>
      </c>
      <c r="J303" s="122">
        <f t="shared" si="98"/>
        <v>13336.426453549659</v>
      </c>
      <c r="K303" s="122">
        <f t="shared" si="98"/>
        <v>15908.282258298963</v>
      </c>
      <c r="L303" s="122">
        <f t="shared" si="98"/>
        <v>18911.886552251715</v>
      </c>
      <c r="M303" s="122">
        <f t="shared" si="98"/>
        <v>22640.975279743074</v>
      </c>
      <c r="N303" s="122">
        <f t="shared" si="98"/>
        <v>27017.655754146945</v>
      </c>
      <c r="O303" s="122">
        <f t="shared" ref="O303:P303" si="99">SUM(O292:O302)</f>
        <v>32257.237321920704</v>
      </c>
      <c r="P303" s="137">
        <f t="shared" si="99"/>
        <v>38516.616086901246</v>
      </c>
    </row>
    <row r="304" spans="2:16">
      <c r="B304" s="101"/>
      <c r="P304" s="131"/>
    </row>
    <row r="305" spans="2:16" ht="14.65">
      <c r="B305" s="202" t="s">
        <v>1011</v>
      </c>
      <c r="P305" s="131"/>
    </row>
    <row r="306" spans="2:16">
      <c r="B306" s="101" t="s">
        <v>1012</v>
      </c>
      <c r="D306" s="204">
        <f>历史数据及预测表!H54</f>
        <v>599.03346753999995</v>
      </c>
      <c r="E306" s="204">
        <f>历史数据及预测表!I54</f>
        <v>700.79790912156454</v>
      </c>
      <c r="F306" s="204">
        <f>历史数据及预测表!J54</f>
        <v>984.02022237316396</v>
      </c>
      <c r="G306" s="204">
        <f>历史数据及预测表!K54</f>
        <v>1314.9322050533181</v>
      </c>
      <c r="H306" s="204">
        <f>历史数据及预测表!L54</f>
        <v>1536.1755641730508</v>
      </c>
      <c r="I306" s="204">
        <f>历史数据及预测表!M54</f>
        <v>1797.1345343961409</v>
      </c>
      <c r="J306" s="204">
        <f>历史数据及预测表!N54</f>
        <v>2194.2261863079889</v>
      </c>
      <c r="K306" s="204">
        <f>历史数据及预测表!O54</f>
        <v>2602.6724728998338</v>
      </c>
      <c r="L306" s="204">
        <f>历史数据及预测表!P54</f>
        <v>3102.4571269687535</v>
      </c>
      <c r="M306" s="204">
        <f>历史数据及预测表!Q54</f>
        <v>3721.5631190642384</v>
      </c>
      <c r="N306" s="204">
        <f>历史数据及预测表!R54</f>
        <v>4438.1936342294748</v>
      </c>
      <c r="O306" s="204">
        <f>历史数据及预测表!S54</f>
        <v>5302.0140310118941</v>
      </c>
      <c r="P306" s="209">
        <f>历史数据及预测表!T54</f>
        <v>6333.9626663061263</v>
      </c>
    </row>
    <row r="307" spans="2:16">
      <c r="B307" s="101" t="s">
        <v>1013</v>
      </c>
      <c r="D307" s="204">
        <f>历史数据及预测表!H55</f>
        <v>0</v>
      </c>
      <c r="E307" s="204">
        <f>历史数据及预测表!I55</f>
        <v>0</v>
      </c>
      <c r="F307" s="204">
        <f>历史数据及预测表!J55</f>
        <v>0</v>
      </c>
      <c r="G307" s="204">
        <f>历史数据及预测表!K55</f>
        <v>0</v>
      </c>
      <c r="H307" s="204">
        <f>历史数据及预测表!L55</f>
        <v>0</v>
      </c>
      <c r="I307" s="204">
        <f>历史数据及预测表!M55</f>
        <v>0</v>
      </c>
      <c r="J307" s="204">
        <f>历史数据及预测表!N55</f>
        <v>0</v>
      </c>
      <c r="K307" s="204">
        <f>历史数据及预测表!O55</f>
        <v>0</v>
      </c>
      <c r="L307" s="204">
        <f>历史数据及预测表!P55</f>
        <v>0</v>
      </c>
      <c r="M307" s="204">
        <f>历史数据及预测表!Q55</f>
        <v>0</v>
      </c>
      <c r="N307" s="204">
        <f>历史数据及预测表!R55</f>
        <v>0</v>
      </c>
      <c r="O307" s="204">
        <f>历史数据及预测表!S55</f>
        <v>0</v>
      </c>
      <c r="P307" s="209">
        <f>历史数据及预测表!T55</f>
        <v>0</v>
      </c>
    </row>
    <row r="308" spans="2:16">
      <c r="B308" s="101" t="s">
        <v>1014</v>
      </c>
      <c r="D308" s="204">
        <f>历史数据及预测表!H56</f>
        <v>0</v>
      </c>
      <c r="E308" s="204">
        <f>历史数据及预测表!I56</f>
        <v>0</v>
      </c>
      <c r="F308" s="204">
        <f>历史数据及预测表!J56</f>
        <v>0</v>
      </c>
      <c r="G308" s="204">
        <f>历史数据及预测表!K56</f>
        <v>0</v>
      </c>
      <c r="H308" s="204">
        <f>历史数据及预测表!L56</f>
        <v>0</v>
      </c>
      <c r="I308" s="204">
        <f>历史数据及预测表!M56</f>
        <v>0</v>
      </c>
      <c r="J308" s="204">
        <f>历史数据及预测表!N56</f>
        <v>0</v>
      </c>
      <c r="K308" s="204">
        <f>历史数据及预测表!O56</f>
        <v>0</v>
      </c>
      <c r="L308" s="204">
        <f>历史数据及预测表!P56</f>
        <v>0</v>
      </c>
      <c r="M308" s="204">
        <f>历史数据及预测表!Q56</f>
        <v>0</v>
      </c>
      <c r="N308" s="204">
        <f>历史数据及预测表!R56</f>
        <v>0</v>
      </c>
      <c r="O308" s="204">
        <f>历史数据及预测表!S56</f>
        <v>0</v>
      </c>
      <c r="P308" s="209">
        <f>历史数据及预测表!T56</f>
        <v>0</v>
      </c>
    </row>
    <row r="309" spans="2:16">
      <c r="B309" s="101" t="s">
        <v>1015</v>
      </c>
      <c r="D309" s="119">
        <f>历史数据及预测表!H57</f>
        <v>109.61368137999999</v>
      </c>
      <c r="E309" s="119">
        <f>历史数据及预测表!I57</f>
        <v>152.99476644342795</v>
      </c>
      <c r="F309" s="119">
        <f>历史数据及预测表!J57</f>
        <v>201.75163276988803</v>
      </c>
      <c r="G309" s="119">
        <f>历史数据及预测表!K57</f>
        <v>252.95937342334966</v>
      </c>
      <c r="H309" s="119">
        <f>历史数据及预测表!L57</f>
        <v>283.16352642457201</v>
      </c>
      <c r="I309" s="119">
        <f>历史数据及预测表!M57</f>
        <v>347.7629234653902</v>
      </c>
      <c r="J309" s="119">
        <f>历史数据及预测表!N57</f>
        <v>416.95679811713001</v>
      </c>
      <c r="K309" s="119">
        <f>历史数据及预测表!O57</f>
        <v>492.48343976438861</v>
      </c>
      <c r="L309" s="119">
        <f>历史数据及预测表!P57</f>
        <v>592.2568190461825</v>
      </c>
      <c r="M309" s="119">
        <f>历史数据及预测表!Q57</f>
        <v>707.27289199866277</v>
      </c>
      <c r="N309" s="119">
        <f>历史数据及预测表!R57</f>
        <v>843.49792059615629</v>
      </c>
      <c r="O309" s="119">
        <f>历史数据及预测表!S57</f>
        <v>1007.670727937181</v>
      </c>
      <c r="P309" s="129">
        <f>历史数据及预测表!T57</f>
        <v>1203.7970351175225</v>
      </c>
    </row>
    <row r="310" spans="2:16">
      <c r="B310" s="101" t="s">
        <v>1016</v>
      </c>
      <c r="D310" s="119">
        <f>历史数据及预测表!H58</f>
        <v>208.27789591999999</v>
      </c>
      <c r="E310" s="119">
        <f>历史数据及预测表!I58</f>
        <v>249.93347510399997</v>
      </c>
      <c r="F310" s="119">
        <f>历史数据及预测表!J58</f>
        <v>294.92150062271998</v>
      </c>
      <c r="G310" s="119">
        <f>历史数据及预测表!K58</f>
        <v>342.10894072235516</v>
      </c>
      <c r="H310" s="119">
        <f>历史数据及预测表!L58</f>
        <v>402.39621313984622</v>
      </c>
      <c r="I310" s="119">
        <f>历史数据及预测表!M58</f>
        <v>487.41115693611465</v>
      </c>
      <c r="J310" s="119">
        <f>历史数据及预测表!N58</f>
        <v>580.021016841294</v>
      </c>
      <c r="K310" s="119">
        <f>历史数据及预测表!O58</f>
        <v>691.67462557975273</v>
      </c>
      <c r="L310" s="119">
        <f>历史数据及预测表!P58</f>
        <v>828.57422114880762</v>
      </c>
      <c r="M310" s="119">
        <f>历史数据及预测表!Q58</f>
        <v>988.88335470843913</v>
      </c>
      <c r="N310" s="119">
        <f>历史数据及预测表!R58</f>
        <v>1181.3530129152464</v>
      </c>
      <c r="O310" s="119">
        <f>历史数据及预测表!S58</f>
        <v>1411.2836812137516</v>
      </c>
      <c r="P310" s="129">
        <f>历史数据及预测表!T58</f>
        <v>1685.9665206636503</v>
      </c>
    </row>
    <row r="311" spans="2:16">
      <c r="B311" s="101" t="s">
        <v>803</v>
      </c>
      <c r="D311" s="119">
        <f>历史数据及预测表!H59</f>
        <v>34.237408670000001</v>
      </c>
      <c r="E311" s="119">
        <f>历史数据及预测表!I59</f>
        <v>24.002617133333331</v>
      </c>
      <c r="F311" s="119">
        <f>历史数据及预测表!J59</f>
        <v>23.711841607777774</v>
      </c>
      <c r="G311" s="119">
        <f>历史数据及预测表!K59</f>
        <v>27.317289137037037</v>
      </c>
      <c r="H311" s="119">
        <f>历史数据及预测表!L59</f>
        <v>25.010582626049381</v>
      </c>
      <c r="I311" s="119">
        <f>历史数据及预测表!M59</f>
        <v>25.346571123621398</v>
      </c>
      <c r="J311" s="119">
        <f>历史数据及预测表!N59</f>
        <v>25.891480962235942</v>
      </c>
      <c r="K311" s="119">
        <f>历史数据及预测表!O59</f>
        <v>25.416211570635571</v>
      </c>
      <c r="L311" s="119">
        <f>历史数据及预测表!P59</f>
        <v>25.551421218830971</v>
      </c>
      <c r="M311" s="119">
        <f>历史数据及预测表!Q59</f>
        <v>25.619704583900827</v>
      </c>
      <c r="N311" s="119">
        <f>历史数据及预测表!R59</f>
        <v>25.529112457789125</v>
      </c>
      <c r="O311" s="119">
        <f>历史数据及预测表!S59</f>
        <v>25.529112457789125</v>
      </c>
      <c r="P311" s="129">
        <f>历史数据及预测表!T59</f>
        <v>25.529112457789125</v>
      </c>
    </row>
    <row r="312" spans="2:16">
      <c r="B312" s="101" t="s">
        <v>1017</v>
      </c>
      <c r="D312" s="119">
        <f>历史数据及预测表!H60</f>
        <v>32.188814489999999</v>
      </c>
      <c r="E312" s="119">
        <f>历史数据及预测表!I60</f>
        <v>32.188814489999999</v>
      </c>
      <c r="F312" s="119">
        <f>历史数据及预测表!J60</f>
        <v>32.188814489999999</v>
      </c>
      <c r="G312" s="119">
        <f>历史数据及预测表!K60</f>
        <v>32.188814489999999</v>
      </c>
      <c r="H312" s="119">
        <f>历史数据及预测表!L60</f>
        <v>32.188814489999999</v>
      </c>
      <c r="I312" s="119">
        <f>历史数据及预测表!M60</f>
        <v>32.188814489999999</v>
      </c>
      <c r="J312" s="119">
        <f>历史数据及预测表!N60</f>
        <v>32.188814489999999</v>
      </c>
      <c r="K312" s="119">
        <f>历史数据及预测表!O60</f>
        <v>32.188814489999999</v>
      </c>
      <c r="L312" s="119">
        <f>历史数据及预测表!P60</f>
        <v>32.188814489999999</v>
      </c>
      <c r="M312" s="119">
        <f>历史数据及预测表!Q60</f>
        <v>32.188814489999999</v>
      </c>
      <c r="N312" s="119">
        <f>历史数据及预测表!R60</f>
        <v>32.188814489999999</v>
      </c>
      <c r="O312" s="119">
        <f>历史数据及预测表!S60</f>
        <v>32.188814489999999</v>
      </c>
      <c r="P312" s="129">
        <f>历史数据及预测表!T60</f>
        <v>32.188814489999999</v>
      </c>
    </row>
    <row r="313" spans="2:16">
      <c r="B313" s="101" t="s">
        <v>1018</v>
      </c>
      <c r="D313" s="119">
        <f>历史数据及预测表!H61</f>
        <v>0</v>
      </c>
      <c r="E313" s="119">
        <f>历史数据及预测表!I61</f>
        <v>0</v>
      </c>
      <c r="F313" s="119">
        <f>历史数据及预测表!J61</f>
        <v>0</v>
      </c>
      <c r="G313" s="119">
        <f>历史数据及预测表!K61</f>
        <v>0</v>
      </c>
      <c r="H313" s="119">
        <f>历史数据及预测表!L61</f>
        <v>0</v>
      </c>
      <c r="I313" s="119">
        <f>历史数据及预测表!M61</f>
        <v>0</v>
      </c>
      <c r="J313" s="119">
        <f>历史数据及预测表!N61</f>
        <v>0</v>
      </c>
      <c r="K313" s="119">
        <f>历史数据及预测表!O61</f>
        <v>0</v>
      </c>
      <c r="L313" s="119">
        <f>历史数据及预测表!P61</f>
        <v>0</v>
      </c>
      <c r="M313" s="119">
        <f>历史数据及预测表!Q61</f>
        <v>0</v>
      </c>
      <c r="N313" s="119">
        <f>历史数据及预测表!R61</f>
        <v>0</v>
      </c>
      <c r="O313" s="119">
        <f>历史数据及预测表!S61</f>
        <v>0</v>
      </c>
      <c r="P313" s="129">
        <f>历史数据及预测表!T61</f>
        <v>0</v>
      </c>
    </row>
    <row r="314" spans="2:16">
      <c r="B314" s="101" t="s">
        <v>1019</v>
      </c>
      <c r="D314" s="119">
        <f>历史数据及预测表!H62</f>
        <v>8.4142168800000015</v>
      </c>
      <c r="E314" s="119">
        <f>历史数据及预测表!I62</f>
        <v>8.4142168800000015</v>
      </c>
      <c r="F314" s="119">
        <f>历史数据及预测表!J62</f>
        <v>8.4142168800000015</v>
      </c>
      <c r="G314" s="119">
        <f>历史数据及预测表!K62</f>
        <v>8.4142168800000015</v>
      </c>
      <c r="H314" s="119">
        <f>历史数据及预测表!L62</f>
        <v>8.4142168800000015</v>
      </c>
      <c r="I314" s="119">
        <f>历史数据及预测表!M62</f>
        <v>8.4142168800000015</v>
      </c>
      <c r="J314" s="119">
        <f>历史数据及预测表!N62</f>
        <v>8.4142168800000015</v>
      </c>
      <c r="K314" s="119">
        <f>历史数据及预测表!O62</f>
        <v>8.4142168800000015</v>
      </c>
      <c r="L314" s="119">
        <f>历史数据及预测表!P62</f>
        <v>8.4142168800000015</v>
      </c>
      <c r="M314" s="119">
        <f>历史数据及预测表!Q62</f>
        <v>8.4142168800000015</v>
      </c>
      <c r="N314" s="119">
        <f>历史数据及预测表!R62</f>
        <v>8.4142168800000015</v>
      </c>
      <c r="O314" s="119">
        <f>历史数据及预测表!S62</f>
        <v>8.4142168800000015</v>
      </c>
      <c r="P314" s="129">
        <f>历史数据及预测表!T62</f>
        <v>8.4142168800000015</v>
      </c>
    </row>
    <row r="315" spans="2:16">
      <c r="B315" s="101" t="s">
        <v>1020</v>
      </c>
      <c r="D315" s="119">
        <f>历史数据及预测表!H63</f>
        <v>0</v>
      </c>
      <c r="E315" s="119">
        <f>历史数据及预测表!I63</f>
        <v>0</v>
      </c>
      <c r="F315" s="119">
        <f>历史数据及预测表!J63</f>
        <v>0</v>
      </c>
      <c r="G315" s="119">
        <f>历史数据及预测表!K63</f>
        <v>0</v>
      </c>
      <c r="H315" s="119">
        <f>历史数据及预测表!L63</f>
        <v>0</v>
      </c>
      <c r="I315" s="119">
        <f>历史数据及预测表!M63</f>
        <v>0</v>
      </c>
      <c r="J315" s="119">
        <f>历史数据及预测表!N63</f>
        <v>0</v>
      </c>
      <c r="K315" s="119">
        <f>历史数据及预测表!O63</f>
        <v>0</v>
      </c>
      <c r="L315" s="119">
        <f>历史数据及预测表!P63</f>
        <v>0</v>
      </c>
      <c r="M315" s="119">
        <f>历史数据及预测表!Q63</f>
        <v>0</v>
      </c>
      <c r="N315" s="119">
        <f>历史数据及预测表!R63</f>
        <v>0</v>
      </c>
      <c r="O315" s="119">
        <f>历史数据及预测表!S63</f>
        <v>0</v>
      </c>
      <c r="P315" s="129">
        <f>历史数据及预测表!T63</f>
        <v>0</v>
      </c>
    </row>
    <row r="316" spans="2:16">
      <c r="B316" s="101" t="s">
        <v>1021</v>
      </c>
      <c r="D316" s="119">
        <f>历史数据及预测表!H64</f>
        <v>0</v>
      </c>
      <c r="E316" s="119">
        <f>历史数据及预测表!I64</f>
        <v>0</v>
      </c>
      <c r="F316" s="119">
        <f>历史数据及预测表!J64</f>
        <v>0</v>
      </c>
      <c r="G316" s="119">
        <f>历史数据及预测表!K64</f>
        <v>0</v>
      </c>
      <c r="H316" s="119">
        <f>历史数据及预测表!L64</f>
        <v>0</v>
      </c>
      <c r="I316" s="119">
        <f>历史数据及预测表!M64</f>
        <v>0</v>
      </c>
      <c r="J316" s="119">
        <f>历史数据及预测表!N64</f>
        <v>0</v>
      </c>
      <c r="K316" s="119">
        <f>历史数据及预测表!O64</f>
        <v>0</v>
      </c>
      <c r="L316" s="119">
        <f>历史数据及预测表!P64</f>
        <v>0</v>
      </c>
      <c r="M316" s="119">
        <f>历史数据及预测表!Q64</f>
        <v>0</v>
      </c>
      <c r="N316" s="119">
        <f>历史数据及预测表!R64</f>
        <v>0</v>
      </c>
      <c r="O316" s="119">
        <f>历史数据及预测表!S64</f>
        <v>0</v>
      </c>
      <c r="P316" s="129">
        <f>历史数据及预测表!T64</f>
        <v>0</v>
      </c>
    </row>
    <row r="317" spans="2:16">
      <c r="B317" s="101" t="s">
        <v>1022</v>
      </c>
      <c r="D317" s="119">
        <f>历史数据及预测表!H65</f>
        <v>0</v>
      </c>
      <c r="E317" s="119">
        <f>历史数据及预测表!I65</f>
        <v>0</v>
      </c>
      <c r="F317" s="119">
        <f>历史数据及预测表!J65</f>
        <v>0</v>
      </c>
      <c r="G317" s="119">
        <f>历史数据及预测表!K65</f>
        <v>0</v>
      </c>
      <c r="H317" s="119">
        <f>历史数据及预测表!L65</f>
        <v>0</v>
      </c>
      <c r="I317" s="119">
        <f>历史数据及预测表!M65</f>
        <v>0</v>
      </c>
      <c r="J317" s="119">
        <f>历史数据及预测表!N65</f>
        <v>0</v>
      </c>
      <c r="K317" s="119">
        <f>历史数据及预测表!O65</f>
        <v>0</v>
      </c>
      <c r="L317" s="119">
        <f>历史数据及预测表!P65</f>
        <v>0</v>
      </c>
      <c r="M317" s="119">
        <f>历史数据及预测表!Q65</f>
        <v>0</v>
      </c>
      <c r="N317" s="119">
        <f>历史数据及预测表!R65</f>
        <v>0</v>
      </c>
      <c r="O317" s="119">
        <f>历史数据及预测表!S65</f>
        <v>0</v>
      </c>
      <c r="P317" s="129">
        <f>历史数据及预测表!T65</f>
        <v>0</v>
      </c>
    </row>
    <row r="318" spans="2:16">
      <c r="B318" s="101" t="s">
        <v>1023</v>
      </c>
      <c r="D318" s="119">
        <f>历史数据及预测表!H66</f>
        <v>8.2120415300000005</v>
      </c>
      <c r="E318" s="119">
        <f>历史数据及预测表!I66</f>
        <v>8.2120415300000005</v>
      </c>
      <c r="F318" s="119">
        <f>历史数据及预测表!J66</f>
        <v>8.2120415300000005</v>
      </c>
      <c r="G318" s="119">
        <f>历史数据及预测表!K66</f>
        <v>8.2120415300000005</v>
      </c>
      <c r="H318" s="119">
        <f>历史数据及预测表!L66</f>
        <v>8.2120415300000005</v>
      </c>
      <c r="I318" s="119">
        <f>历史数据及预测表!M66</f>
        <v>8.2120415300000005</v>
      </c>
      <c r="J318" s="119">
        <f>历史数据及预测表!N66</f>
        <v>8.2120415300000005</v>
      </c>
      <c r="K318" s="119">
        <f>历史数据及预测表!O66</f>
        <v>8.2120415300000005</v>
      </c>
      <c r="L318" s="119">
        <f>历史数据及预测表!P66</f>
        <v>8.2120415300000005</v>
      </c>
      <c r="M318" s="119">
        <f>历史数据及预测表!Q66</f>
        <v>8.2120415300000005</v>
      </c>
      <c r="N318" s="119">
        <f>历史数据及预测表!R66</f>
        <v>8.2120415300000005</v>
      </c>
      <c r="O318" s="119">
        <f>历史数据及预测表!S66</f>
        <v>8.2120415300000005</v>
      </c>
      <c r="P318" s="129">
        <f>历史数据及预测表!T66</f>
        <v>8.2120415300000005</v>
      </c>
    </row>
    <row r="319" spans="2:16">
      <c r="B319" s="101" t="s">
        <v>1024</v>
      </c>
      <c r="D319" s="119">
        <f>历史数据及预测表!H76</f>
        <v>9.2563462100000002</v>
      </c>
      <c r="E319" s="119">
        <f>历史数据及预测表!I76</f>
        <v>9.2563462100000002</v>
      </c>
      <c r="F319" s="119">
        <f>历史数据及预测表!J76</f>
        <v>9.2563462100000002</v>
      </c>
      <c r="G319" s="119">
        <f>历史数据及预测表!K76</f>
        <v>9.2563462100000002</v>
      </c>
      <c r="H319" s="119">
        <f>历史数据及预测表!L76</f>
        <v>9.2563462100000002</v>
      </c>
      <c r="I319" s="119">
        <f>历史数据及预测表!M76</f>
        <v>9.2563462100000002</v>
      </c>
      <c r="J319" s="119">
        <f>历史数据及预测表!N76</f>
        <v>9.2563462100000002</v>
      </c>
      <c r="K319" s="119">
        <f>历史数据及预测表!O76</f>
        <v>9.2563462100000002</v>
      </c>
      <c r="L319" s="119">
        <f>历史数据及预测表!P76</f>
        <v>9.2563462100000002</v>
      </c>
      <c r="M319" s="119">
        <f>历史数据及预测表!Q76</f>
        <v>9.2563462100000002</v>
      </c>
      <c r="N319" s="119">
        <f>历史数据及预测表!R76</f>
        <v>9.2563462100000002</v>
      </c>
      <c r="O319" s="119">
        <f>历史数据及预测表!S76</f>
        <v>9.2563462100000002</v>
      </c>
      <c r="P319" s="129">
        <f>历史数据及预测表!T76</f>
        <v>9.2563462100000002</v>
      </c>
    </row>
    <row r="320" spans="2:16" ht="14.65">
      <c r="B320" s="440" t="s">
        <v>978</v>
      </c>
      <c r="C320" s="441"/>
      <c r="D320" s="122">
        <f t="shared" ref="D320:N320" si="100">SUM(D306:D319)</f>
        <v>1009.2338726199999</v>
      </c>
      <c r="E320" s="122">
        <f t="shared" si="100"/>
        <v>1185.8001869123257</v>
      </c>
      <c r="F320" s="122">
        <f t="shared" si="100"/>
        <v>1562.4766164835498</v>
      </c>
      <c r="G320" s="122">
        <f t="shared" si="100"/>
        <v>1995.3892274460597</v>
      </c>
      <c r="H320" s="122">
        <f t="shared" si="100"/>
        <v>2304.8173054735184</v>
      </c>
      <c r="I320" s="122">
        <f t="shared" si="100"/>
        <v>2715.7266050312674</v>
      </c>
      <c r="J320" s="122">
        <f t="shared" si="100"/>
        <v>3275.166901338649</v>
      </c>
      <c r="K320" s="122">
        <f t="shared" si="100"/>
        <v>3870.3181689246103</v>
      </c>
      <c r="L320" s="122">
        <f t="shared" si="100"/>
        <v>4606.9110074925738</v>
      </c>
      <c r="M320" s="122">
        <f t="shared" si="100"/>
        <v>5501.4104894652401</v>
      </c>
      <c r="N320" s="122">
        <f t="shared" si="100"/>
        <v>6546.6450993086655</v>
      </c>
      <c r="O320" s="122">
        <f t="shared" ref="O320:P320" si="101">SUM(O306:O319)</f>
        <v>7804.5689717306159</v>
      </c>
      <c r="P320" s="137">
        <f t="shared" si="101"/>
        <v>9307.3267536550902</v>
      </c>
    </row>
    <row r="321" spans="2:16">
      <c r="B321" s="101"/>
      <c r="D321" s="119"/>
      <c r="E321" s="119"/>
      <c r="F321" s="119"/>
      <c r="G321" s="119"/>
      <c r="H321" s="119"/>
      <c r="I321" s="119"/>
      <c r="J321" s="119"/>
      <c r="K321" s="119"/>
      <c r="L321" s="119"/>
      <c r="M321" s="119"/>
      <c r="N321" s="119"/>
      <c r="O321" s="119"/>
      <c r="P321" s="129"/>
    </row>
    <row r="322" spans="2:16" ht="14.65">
      <c r="B322" s="202" t="s">
        <v>1025</v>
      </c>
      <c r="D322" s="122">
        <f t="shared" ref="D322:N322" si="102">D303-D320</f>
        <v>2896.7981350500004</v>
      </c>
      <c r="E322" s="122">
        <f t="shared" si="102"/>
        <v>3551.1262247485474</v>
      </c>
      <c r="F322" s="122">
        <f t="shared" si="102"/>
        <v>4689.8067416744889</v>
      </c>
      <c r="G322" s="122">
        <f t="shared" si="102"/>
        <v>5876.0472776816168</v>
      </c>
      <c r="H322" s="122">
        <f t="shared" si="102"/>
        <v>7173.9145814026069</v>
      </c>
      <c r="I322" s="122">
        <f t="shared" si="102"/>
        <v>8317.8246568407449</v>
      </c>
      <c r="J322" s="122">
        <f t="shared" si="102"/>
        <v>10061.25955221101</v>
      </c>
      <c r="K322" s="122">
        <f t="shared" si="102"/>
        <v>12037.964089374353</v>
      </c>
      <c r="L322" s="122">
        <f t="shared" si="102"/>
        <v>14304.975544759141</v>
      </c>
      <c r="M322" s="122">
        <f t="shared" si="102"/>
        <v>17139.564790277833</v>
      </c>
      <c r="N322" s="122">
        <f t="shared" si="102"/>
        <v>20471.010654838279</v>
      </c>
      <c r="O322" s="122">
        <f t="shared" ref="O322:P322" si="103">O303-O320</f>
        <v>24452.668350190088</v>
      </c>
      <c r="P322" s="137">
        <f t="shared" si="103"/>
        <v>29209.289333246154</v>
      </c>
    </row>
    <row r="323" spans="2:16">
      <c r="B323" s="101"/>
      <c r="D323" s="119"/>
      <c r="E323" s="119"/>
      <c r="F323" s="119"/>
      <c r="G323" s="119"/>
      <c r="H323" s="119"/>
      <c r="I323" s="119"/>
      <c r="J323" s="119"/>
      <c r="K323" s="119"/>
      <c r="L323" s="119"/>
      <c r="M323" s="119"/>
      <c r="N323" s="119"/>
      <c r="O323" s="119"/>
      <c r="P323" s="129"/>
    </row>
    <row r="324" spans="2:16" ht="14.65">
      <c r="B324" s="203" t="s">
        <v>1026</v>
      </c>
      <c r="C324" s="113"/>
      <c r="D324" s="192"/>
      <c r="E324" s="124">
        <f>D322-E322</f>
        <v>-654.32808969854705</v>
      </c>
      <c r="F324" s="124">
        <f t="shared" ref="F324:N324" si="104">E322-F322</f>
        <v>-1138.6805169259414</v>
      </c>
      <c r="G324" s="124">
        <f t="shared" si="104"/>
        <v>-1186.240536007128</v>
      </c>
      <c r="H324" s="124">
        <f t="shared" si="104"/>
        <v>-1297.8673037209901</v>
      </c>
      <c r="I324" s="124">
        <f t="shared" si="104"/>
        <v>-1143.9100754381379</v>
      </c>
      <c r="J324" s="124">
        <f t="shared" si="104"/>
        <v>-1743.4348953702647</v>
      </c>
      <c r="K324" s="124">
        <f t="shared" si="104"/>
        <v>-1976.704537163343</v>
      </c>
      <c r="L324" s="124">
        <f t="shared" si="104"/>
        <v>-2267.0114553847889</v>
      </c>
      <c r="M324" s="124">
        <f t="shared" si="104"/>
        <v>-2834.5892455186913</v>
      </c>
      <c r="N324" s="124">
        <f t="shared" si="104"/>
        <v>-3331.4458645604464</v>
      </c>
      <c r="O324" s="124">
        <f t="shared" ref="O324" si="105">N322-O322</f>
        <v>-3981.6576953518088</v>
      </c>
      <c r="P324" s="139">
        <f t="shared" ref="P324" si="106">O322-P322</f>
        <v>-4756.6209830560656</v>
      </c>
    </row>
    <row r="325" spans="2:16">
      <c r="D325" s="119"/>
      <c r="E325" s="119"/>
      <c r="F325" s="119"/>
      <c r="G325" s="119"/>
      <c r="H325" s="119"/>
      <c r="I325" s="119"/>
      <c r="J325" s="119"/>
      <c r="K325" s="119"/>
      <c r="L325" s="119"/>
      <c r="M325" s="119"/>
      <c r="N325" s="119"/>
      <c r="O325" s="119"/>
      <c r="P325" s="119"/>
    </row>
    <row r="326" spans="2:16" ht="14.65">
      <c r="B326" s="444" t="s">
        <v>1027</v>
      </c>
      <c r="C326" s="445"/>
      <c r="D326" s="200">
        <f>假设表!H2</f>
        <v>2025</v>
      </c>
      <c r="E326" s="201">
        <f>假设表!I2</f>
        <v>2026</v>
      </c>
      <c r="F326" s="201">
        <f>假设表!J2</f>
        <v>2027</v>
      </c>
      <c r="G326" s="201">
        <f>假设表!K2</f>
        <v>2028</v>
      </c>
      <c r="H326" s="201">
        <f>假设表!L2</f>
        <v>2029</v>
      </c>
      <c r="I326" s="201">
        <f>假设表!M2</f>
        <v>2030</v>
      </c>
      <c r="J326" s="201">
        <f>假设表!N2</f>
        <v>2031</v>
      </c>
      <c r="K326" s="201">
        <f>假设表!O2</f>
        <v>2032</v>
      </c>
      <c r="L326" s="201">
        <f>假设表!P2</f>
        <v>2033</v>
      </c>
      <c r="M326" s="201">
        <f>假设表!Q2</f>
        <v>2034</v>
      </c>
      <c r="N326" s="201">
        <f>假设表!R2</f>
        <v>2035</v>
      </c>
      <c r="O326" s="201">
        <f>假设表!S2</f>
        <v>2036</v>
      </c>
      <c r="P326" s="208">
        <f>假设表!T2</f>
        <v>2037</v>
      </c>
    </row>
    <row r="327" spans="2:16" ht="14.65">
      <c r="B327" s="202" t="s">
        <v>1028</v>
      </c>
      <c r="D327" s="119"/>
      <c r="E327" s="119">
        <f>历史数据及预测表!H7</f>
        <v>4091.6442333</v>
      </c>
      <c r="F327" s="119">
        <f ca="1">历史数据及预测表!I7</f>
        <v>7233.5472004936573</v>
      </c>
      <c r="G327" s="119">
        <f ca="1">历史数据及预测表!J7</f>
        <v>9237.1611718196982</v>
      </c>
      <c r="H327" s="119">
        <f ca="1">历史数据及预测表!K7</f>
        <v>10880.218522936822</v>
      </c>
      <c r="I327" s="119">
        <f ca="1">历史数据及预测表!L7</f>
        <v>12824.763964470785</v>
      </c>
      <c r="J327" s="119">
        <f ca="1">历史数据及预测表!M7</f>
        <v>15532.666965293934</v>
      </c>
      <c r="K327" s="119">
        <f ca="1">历史数据及预测表!N7</f>
        <v>18472.131966875051</v>
      </c>
      <c r="L327" s="119">
        <f ca="1">历史数据及预测表!O7</f>
        <v>22038.14238181122</v>
      </c>
      <c r="M327" s="119">
        <f ca="1">历史数据及预测表!P7</f>
        <v>26397.558777849492</v>
      </c>
      <c r="N327" s="119">
        <f ca="1">历史数据及预测表!Q7</f>
        <v>31501.990952271699</v>
      </c>
      <c r="O327" s="119">
        <f ca="1">历史数据及预测表!R7</f>
        <v>37636.783670902136</v>
      </c>
      <c r="P327" s="129">
        <f ca="1">历史数据及预测表!S7</f>
        <v>44962.1561338596</v>
      </c>
    </row>
    <row r="328" spans="2:16">
      <c r="B328" s="101" t="s">
        <v>1029</v>
      </c>
      <c r="D328" s="119"/>
      <c r="E328" s="119">
        <f ca="1">历史数据及预测表!I159</f>
        <v>1758.5303991223514</v>
      </c>
      <c r="F328" s="119">
        <f ca="1">历史数据及预测表!J159</f>
        <v>1731.4851613355822</v>
      </c>
      <c r="G328" s="119">
        <f ca="1">历史数据及预测表!K159</f>
        <v>1579.7845799045299</v>
      </c>
      <c r="H328" s="119">
        <f ca="1">历史数据及预测表!L159</f>
        <v>1791.508961890795</v>
      </c>
      <c r="I328" s="119">
        <f ca="1">历史数据及预测表!M159</f>
        <v>3006.6849163093693</v>
      </c>
      <c r="J328" s="119">
        <f ca="1">历史数据及预测表!N159</f>
        <v>2920.2517698646398</v>
      </c>
      <c r="K328" s="119">
        <f ca="1">历史数据及预测表!O159</f>
        <v>3571.4174570054929</v>
      </c>
      <c r="L328" s="119">
        <f ca="1">历史数据及预测表!P159</f>
        <v>4472.7570008979919</v>
      </c>
      <c r="M328" s="119">
        <f ca="1">历史数据及预测表!Q159</f>
        <v>5083.6226086433808</v>
      </c>
      <c r="N328" s="119">
        <f ca="1">历史数据及预测表!R159</f>
        <v>6116.9802120109252</v>
      </c>
      <c r="O328" s="119">
        <f ca="1">历史数据及预测表!S159</f>
        <v>7206.8753775409787</v>
      </c>
      <c r="P328" s="129">
        <f ca="1">历史数据及预测表!T159</f>
        <v>8562.9591863354362</v>
      </c>
    </row>
    <row r="329" spans="2:16">
      <c r="B329" s="101" t="s">
        <v>1030</v>
      </c>
      <c r="D329" s="119"/>
      <c r="E329" s="119">
        <f>历史数据及预测表!I167</f>
        <v>-278.38280685000001</v>
      </c>
      <c r="F329" s="119">
        <f>历史数据及预测表!J167</f>
        <v>-278.35011713666665</v>
      </c>
      <c r="G329" s="119">
        <f>历史数据及预测表!K167</f>
        <v>-273.88334157888886</v>
      </c>
      <c r="H329" s="119">
        <f>历史数据及预测表!L167</f>
        <v>-276.87208852185188</v>
      </c>
      <c r="I329" s="119">
        <f>历史数据及预测表!M167</f>
        <v>-276.36851574580243</v>
      </c>
      <c r="J329" s="119">
        <f>历史数据及预测表!N167</f>
        <v>-275.70798194884776</v>
      </c>
      <c r="K329" s="119">
        <f>历史数据及预测表!O167</f>
        <v>-276.31619540550071</v>
      </c>
      <c r="L329" s="119">
        <f>历史数据及预测表!P167</f>
        <v>-276.1308977000503</v>
      </c>
      <c r="M329" s="119">
        <f>历史数据及预测表!Q167</f>
        <v>-276.05169168479955</v>
      </c>
      <c r="N329" s="119">
        <f>历史数据及预测表!R167</f>
        <v>-276.1662615967835</v>
      </c>
      <c r="O329" s="119">
        <f>历史数据及预测表!S167</f>
        <v>-276.1662615967835</v>
      </c>
      <c r="P329" s="129">
        <f>历史数据及预测表!T167</f>
        <v>-276.1662615967835</v>
      </c>
    </row>
    <row r="330" spans="2:16">
      <c r="B330" s="101" t="s">
        <v>1031</v>
      </c>
      <c r="D330" s="119"/>
      <c r="E330" s="119">
        <f ca="1">历史数据及预测表!I178</f>
        <v>2.2336990875539584</v>
      </c>
      <c r="F330" s="119">
        <f ca="1">历史数据及预测表!J178</f>
        <v>54.404408699935658</v>
      </c>
      <c r="G330" s="119">
        <f ca="1">历史数据及预测表!K178</f>
        <v>84.154421758106366</v>
      </c>
      <c r="H330" s="119">
        <f ca="1">历史数据及预测表!L178</f>
        <v>115.05798689275716</v>
      </c>
      <c r="I330" s="119">
        <f ca="1">历史数据及预测表!M178</f>
        <v>157.85061039387003</v>
      </c>
      <c r="J330" s="119">
        <f ca="1">历史数据及预测表!N178</f>
        <v>224.52430160220916</v>
      </c>
      <c r="K330" s="119">
        <f ca="1">历史数据及预测表!O178</f>
        <v>295.44213354325058</v>
      </c>
      <c r="L330" s="119">
        <f ca="1">历史数据及预测表!P178</f>
        <v>387.40193971674807</v>
      </c>
      <c r="M330" s="119">
        <f ca="1">历史数据及预测表!Q178</f>
        <v>501.88180020469207</v>
      </c>
      <c r="N330" s="119">
        <f ca="1">历史数据及预测表!R178</f>
        <v>638.13031319844686</v>
      </c>
      <c r="O330" s="119">
        <f ca="1">历史数据及预测表!S178</f>
        <v>803.51111366205396</v>
      </c>
      <c r="P330" s="129">
        <f ca="1">历史数据及预测表!T178</f>
        <v>1002.1252277696974</v>
      </c>
    </row>
    <row r="331" spans="2:16" ht="14.65">
      <c r="B331" s="202" t="s">
        <v>1032</v>
      </c>
      <c r="D331" s="119"/>
      <c r="E331" s="122">
        <f ca="1">SUM(E327:E330)</f>
        <v>5574.0255246599054</v>
      </c>
      <c r="F331" s="122">
        <f t="shared" ref="F331:N331" ca="1" si="107">SUM(F327:F330)</f>
        <v>8741.0866533925091</v>
      </c>
      <c r="G331" s="122">
        <f t="shared" ca="1" si="107"/>
        <v>10627.216831903446</v>
      </c>
      <c r="H331" s="122">
        <f t="shared" ca="1" si="107"/>
        <v>12509.913383198524</v>
      </c>
      <c r="I331" s="122">
        <f t="shared" ca="1" si="107"/>
        <v>15712.930975428222</v>
      </c>
      <c r="J331" s="122">
        <f t="shared" ca="1" si="107"/>
        <v>18401.735054811939</v>
      </c>
      <c r="K331" s="122">
        <f t="shared" ca="1" si="107"/>
        <v>22062.675362018294</v>
      </c>
      <c r="L331" s="122">
        <f t="shared" ca="1" si="107"/>
        <v>26622.170424725908</v>
      </c>
      <c r="M331" s="122">
        <f t="shared" ca="1" si="107"/>
        <v>31707.011495012768</v>
      </c>
      <c r="N331" s="122">
        <f t="shared" ca="1" si="107"/>
        <v>37980.935215884281</v>
      </c>
      <c r="O331" s="122">
        <f t="shared" ref="O331:P331" ca="1" si="108">SUM(O327:O330)</f>
        <v>45371.003900508382</v>
      </c>
      <c r="P331" s="137">
        <f t="shared" ca="1" si="108"/>
        <v>54251.074286367948</v>
      </c>
    </row>
    <row r="332" spans="2:16">
      <c r="B332" s="101" t="s">
        <v>1033</v>
      </c>
      <c r="D332" s="119"/>
      <c r="E332" s="119">
        <f>假设表!I120*历史数据及预测表!I107</f>
        <v>7233.5472004936573</v>
      </c>
      <c r="F332" s="119">
        <f>假设表!J120*历史数据及预测表!J107</f>
        <v>9237.1611718196982</v>
      </c>
      <c r="G332" s="119">
        <f>假设表!K120*历史数据及预测表!K107</f>
        <v>10880.218522936822</v>
      </c>
      <c r="H332" s="119">
        <f>假设表!L120*历史数据及预测表!L107</f>
        <v>12824.763964470785</v>
      </c>
      <c r="I332" s="119">
        <f>假设表!M120*历史数据及预测表!M107</f>
        <v>15532.666965293934</v>
      </c>
      <c r="J332" s="119">
        <f>假设表!N120*历史数据及预测表!N107</f>
        <v>18472.131966875048</v>
      </c>
      <c r="K332" s="119">
        <f>假设表!O120*历史数据及预测表!O107</f>
        <v>22038.142381811125</v>
      </c>
      <c r="L332" s="119">
        <f>假设表!P120*历史数据及预测表!P107</f>
        <v>26397.558777851351</v>
      </c>
      <c r="M332" s="119">
        <f>假设表!Q120*历史数据及预测表!Q107</f>
        <v>31501.990952317887</v>
      </c>
      <c r="N332" s="119">
        <f>假设表!R120*历史数据及预测表!R107</f>
        <v>37636.783669779303</v>
      </c>
      <c r="O332" s="119">
        <f>假设表!S120*历史数据及预测表!S107</f>
        <v>44962.156125928857</v>
      </c>
      <c r="P332" s="129">
        <f>假设表!T120*历史数据及预测表!T107</f>
        <v>53713.290201140502</v>
      </c>
    </row>
    <row r="333" spans="2:16">
      <c r="B333" s="101" t="s">
        <v>1034</v>
      </c>
      <c r="D333" s="119"/>
      <c r="E333" s="122">
        <f ca="1">E331-E332</f>
        <v>-1659.5216758337519</v>
      </c>
      <c r="F333" s="122">
        <f t="shared" ref="F333:N333" ca="1" si="109">F331-F332</f>
        <v>-496.0745184271891</v>
      </c>
      <c r="G333" s="122">
        <f t="shared" ca="1" si="109"/>
        <v>-253.00169103337612</v>
      </c>
      <c r="H333" s="122">
        <f t="shared" ca="1" si="109"/>
        <v>-314.85058127226148</v>
      </c>
      <c r="I333" s="122">
        <f t="shared" ca="1" si="109"/>
        <v>180.26401013428767</v>
      </c>
      <c r="J333" s="122">
        <f t="shared" ca="1" si="109"/>
        <v>-70.396912063108175</v>
      </c>
      <c r="K333" s="122">
        <f t="shared" ca="1" si="109"/>
        <v>24.532980207168293</v>
      </c>
      <c r="L333" s="122">
        <f t="shared" ca="1" si="109"/>
        <v>224.61164687455675</v>
      </c>
      <c r="M333" s="122">
        <f t="shared" ca="1" si="109"/>
        <v>205.02054269488144</v>
      </c>
      <c r="N333" s="122">
        <f t="shared" ca="1" si="109"/>
        <v>344.15154610497848</v>
      </c>
      <c r="O333" s="122">
        <f t="shared" ref="O333:P333" ca="1" si="110">O331-O332</f>
        <v>408.84777457952441</v>
      </c>
      <c r="P333" s="137">
        <f t="shared" ca="1" si="110"/>
        <v>537.78408522744576</v>
      </c>
    </row>
    <row r="334" spans="2:16">
      <c r="B334" s="101" t="s">
        <v>1035</v>
      </c>
      <c r="D334" s="119"/>
      <c r="E334" s="119">
        <f>D337</f>
        <v>0</v>
      </c>
      <c r="F334" s="119">
        <f t="shared" ref="F334:N334" ca="1" si="111">E337</f>
        <v>1659.5216758337519</v>
      </c>
      <c r="G334" s="119">
        <f t="shared" ca="1" si="111"/>
        <v>2155.596194260941</v>
      </c>
      <c r="H334" s="119">
        <f t="shared" ca="1" si="111"/>
        <v>2408.5978852943172</v>
      </c>
      <c r="I334" s="119">
        <f t="shared" ca="1" si="111"/>
        <v>2723.4484665665786</v>
      </c>
      <c r="J334" s="119">
        <f t="shared" ca="1" si="111"/>
        <v>2543.184456432291</v>
      </c>
      <c r="K334" s="119">
        <f t="shared" ca="1" si="111"/>
        <v>2613.5813684953991</v>
      </c>
      <c r="L334" s="119">
        <f t="shared" ca="1" si="111"/>
        <v>2589.0483882882309</v>
      </c>
      <c r="M334" s="119">
        <f t="shared" ca="1" si="111"/>
        <v>2364.4367414149547</v>
      </c>
      <c r="N334" s="119">
        <f t="shared" ca="1" si="111"/>
        <v>2159.4161987153129</v>
      </c>
      <c r="O334" s="119">
        <f t="shared" ref="O334" ca="1" si="112">N337</f>
        <v>1815.2646520632752</v>
      </c>
      <c r="P334" s="129">
        <f t="shared" ref="P334" ca="1" si="113">O337</f>
        <v>1406.4168828173933</v>
      </c>
    </row>
    <row r="335" spans="2:16">
      <c r="B335" s="101" t="s">
        <v>1036</v>
      </c>
      <c r="D335" s="119"/>
      <c r="E335" s="119">
        <f>假设表!I128*历史数据及预测表!I107</f>
        <v>0</v>
      </c>
      <c r="F335" s="119">
        <f>假设表!J128*历史数据及预测表!J107</f>
        <v>0</v>
      </c>
      <c r="G335" s="119">
        <f>假设表!K128*历史数据及预测表!K107</f>
        <v>0</v>
      </c>
      <c r="H335" s="119">
        <f>假设表!L128*历史数据及预测表!L107</f>
        <v>0</v>
      </c>
      <c r="I335" s="119">
        <f>假设表!M128*历史数据及预测表!M107</f>
        <v>0</v>
      </c>
      <c r="J335" s="119">
        <f>假设表!N128*历史数据及预测表!N107</f>
        <v>0</v>
      </c>
      <c r="K335" s="119">
        <f>假设表!O128*历史数据及预测表!O107</f>
        <v>0</v>
      </c>
      <c r="L335" s="119">
        <f>假设表!P128*历史数据及预测表!P107</f>
        <v>0</v>
      </c>
      <c r="M335" s="119">
        <f>假设表!Q128*历史数据及预测表!Q107</f>
        <v>0</v>
      </c>
      <c r="N335" s="119">
        <f>假设表!R128*历史数据及预测表!R107</f>
        <v>0</v>
      </c>
      <c r="O335" s="119">
        <f>假设表!S128*历史数据及预测表!S107</f>
        <v>0</v>
      </c>
      <c r="P335" s="129">
        <f>假设表!T128*历史数据及预测表!T107</f>
        <v>0</v>
      </c>
    </row>
    <row r="336" spans="2:16">
      <c r="B336" s="101" t="s">
        <v>1037</v>
      </c>
      <c r="D336" s="119"/>
      <c r="E336" s="119">
        <f ca="1">MAX(-MIN(E333,E334),E335-E334)</f>
        <v>1659.5216758337519</v>
      </c>
      <c r="F336" s="119">
        <f t="shared" ref="F336:N336" ca="1" si="114">MAX(-MIN(F333,F334),F335-F334)</f>
        <v>496.0745184271891</v>
      </c>
      <c r="G336" s="119">
        <f t="shared" ca="1" si="114"/>
        <v>253.00169103337612</v>
      </c>
      <c r="H336" s="119">
        <f t="shared" ca="1" si="114"/>
        <v>314.85058127226148</v>
      </c>
      <c r="I336" s="119">
        <f t="shared" ca="1" si="114"/>
        <v>-180.26401013428767</v>
      </c>
      <c r="J336" s="119">
        <f t="shared" ca="1" si="114"/>
        <v>70.396912063108175</v>
      </c>
      <c r="K336" s="119">
        <f t="shared" ca="1" si="114"/>
        <v>-24.532980207168293</v>
      </c>
      <c r="L336" s="119">
        <f t="shared" ca="1" si="114"/>
        <v>-224.61164687455675</v>
      </c>
      <c r="M336" s="119">
        <f t="shared" ca="1" si="114"/>
        <v>-205.02054269488144</v>
      </c>
      <c r="N336" s="119">
        <f t="shared" ca="1" si="114"/>
        <v>-344.15154610497848</v>
      </c>
      <c r="O336" s="119">
        <f t="shared" ref="O336:P336" ca="1" si="115">MAX(-MIN(O333,O334),O335-O334)</f>
        <v>-408.84777457952441</v>
      </c>
      <c r="P336" s="129">
        <f t="shared" ca="1" si="115"/>
        <v>-537.78408522744576</v>
      </c>
    </row>
    <row r="337" spans="2:16" ht="14.65">
      <c r="B337" s="203" t="s">
        <v>1038</v>
      </c>
      <c r="C337" s="113"/>
      <c r="D337" s="124">
        <f>历史数据及预测表!H51</f>
        <v>0</v>
      </c>
      <c r="E337" s="124">
        <f ca="1">E334+E336</f>
        <v>1659.5216758337519</v>
      </c>
      <c r="F337" s="124">
        <f t="shared" ref="F337:N337" ca="1" si="116">F334+F336</f>
        <v>2155.596194260941</v>
      </c>
      <c r="G337" s="124">
        <f t="shared" ca="1" si="116"/>
        <v>2408.5978852943172</v>
      </c>
      <c r="H337" s="124">
        <f t="shared" ca="1" si="116"/>
        <v>2723.4484665665786</v>
      </c>
      <c r="I337" s="124">
        <f t="shared" ca="1" si="116"/>
        <v>2543.184456432291</v>
      </c>
      <c r="J337" s="124">
        <f t="shared" ca="1" si="116"/>
        <v>2613.5813684953991</v>
      </c>
      <c r="K337" s="124">
        <f t="shared" ca="1" si="116"/>
        <v>2589.0483882882309</v>
      </c>
      <c r="L337" s="124">
        <f t="shared" ca="1" si="116"/>
        <v>2364.4367414136741</v>
      </c>
      <c r="M337" s="124">
        <f t="shared" ca="1" si="116"/>
        <v>2159.4161987200732</v>
      </c>
      <c r="N337" s="124">
        <f t="shared" ca="1" si="116"/>
        <v>1815.2646526103345</v>
      </c>
      <c r="O337" s="124">
        <f t="shared" ref="O337:P337" ca="1" si="117">O334+O336</f>
        <v>1406.4168774837508</v>
      </c>
      <c r="P337" s="139">
        <f t="shared" ca="1" si="117"/>
        <v>868.63279758994759</v>
      </c>
    </row>
    <row r="338" spans="2:16">
      <c r="D338" s="81"/>
      <c r="E338" s="81"/>
      <c r="F338" s="81"/>
      <c r="G338" s="81"/>
      <c r="H338" s="81"/>
      <c r="I338" s="81"/>
      <c r="J338" s="81"/>
      <c r="K338" s="81"/>
      <c r="L338" s="81"/>
      <c r="M338" s="81"/>
      <c r="N338" s="81"/>
      <c r="O338" s="81"/>
      <c r="P338" s="81"/>
    </row>
    <row r="339" spans="2:16" ht="14.65">
      <c r="B339" s="444" t="s">
        <v>1039</v>
      </c>
      <c r="C339" s="445"/>
      <c r="D339" s="118"/>
      <c r="E339" s="118"/>
      <c r="F339" s="118"/>
      <c r="G339" s="118"/>
      <c r="H339" s="118"/>
      <c r="I339" s="118"/>
      <c r="J339" s="118"/>
      <c r="K339" s="118"/>
      <c r="L339" s="118"/>
      <c r="M339" s="118"/>
      <c r="N339" s="118"/>
      <c r="O339" s="118"/>
      <c r="P339" s="125"/>
    </row>
    <row r="340" spans="2:16">
      <c r="B340" s="101"/>
      <c r="D340" s="206">
        <f>假设表!H2</f>
        <v>2025</v>
      </c>
      <c r="E340" s="193">
        <f>假设表!I2</f>
        <v>2026</v>
      </c>
      <c r="F340" s="193">
        <f>假设表!J2</f>
        <v>2027</v>
      </c>
      <c r="G340" s="193">
        <f>假设表!K2</f>
        <v>2028</v>
      </c>
      <c r="H340" s="193">
        <f>假设表!L2</f>
        <v>2029</v>
      </c>
      <c r="I340" s="193">
        <f>假设表!M2</f>
        <v>2030</v>
      </c>
      <c r="J340" s="193">
        <f>假设表!N2</f>
        <v>2031</v>
      </c>
      <c r="K340" s="193">
        <f>假设表!O2</f>
        <v>2032</v>
      </c>
      <c r="L340" s="193">
        <f>假设表!P2</f>
        <v>2033</v>
      </c>
      <c r="M340" s="193">
        <f>假设表!Q2</f>
        <v>2034</v>
      </c>
      <c r="N340" s="193">
        <f>假设表!R2</f>
        <v>2035</v>
      </c>
      <c r="O340" s="193">
        <f>假设表!S2</f>
        <v>2036</v>
      </c>
      <c r="P340" s="197">
        <f>假设表!T2</f>
        <v>2037</v>
      </c>
    </row>
    <row r="341" spans="2:16" ht="14.65">
      <c r="B341" s="202" t="s">
        <v>1040</v>
      </c>
      <c r="P341" s="131"/>
    </row>
    <row r="342" spans="2:16">
      <c r="B342" s="101" t="s">
        <v>856</v>
      </c>
      <c r="E342" s="120">
        <f>假设表!I117</f>
        <v>4.6000000000000006E-2</v>
      </c>
      <c r="F342" s="120">
        <f>假设表!J117</f>
        <v>4.6000000000000006E-2</v>
      </c>
      <c r="G342" s="120">
        <f>假设表!K117</f>
        <v>4.6000000000000006E-2</v>
      </c>
      <c r="H342" s="120">
        <f>假设表!L117</f>
        <v>4.6000000000000006E-2</v>
      </c>
      <c r="I342" s="120">
        <f>假设表!M117</f>
        <v>4.6000000000000006E-2</v>
      </c>
      <c r="J342" s="120">
        <f>假设表!N117</f>
        <v>4.6000000000000006E-2</v>
      </c>
      <c r="K342" s="120">
        <f>假设表!O117</f>
        <v>4.6000000000000006E-2</v>
      </c>
      <c r="L342" s="120">
        <f>假设表!P117</f>
        <v>4.6000000000000006E-2</v>
      </c>
      <c r="M342" s="120">
        <f>假设表!Q117</f>
        <v>4.6000000000000006E-2</v>
      </c>
      <c r="N342" s="120">
        <f>假设表!R117</f>
        <v>4.6000000000000006E-2</v>
      </c>
      <c r="O342" s="120">
        <f>假设表!S117</f>
        <v>4.6000000000000006E-2</v>
      </c>
      <c r="P342" s="136">
        <f>假设表!T117</f>
        <v>4.6000000000000006E-2</v>
      </c>
    </row>
    <row r="343" spans="2:16">
      <c r="B343" s="101" t="s">
        <v>1035</v>
      </c>
      <c r="E343" s="119">
        <f>历史数据及预测表!H51</f>
        <v>0</v>
      </c>
      <c r="F343" s="119">
        <f ca="1">历史数据及预测表!I51</f>
        <v>1659.5216758337519</v>
      </c>
      <c r="G343" s="119">
        <f ca="1">历史数据及预测表!J51</f>
        <v>2155.596194260941</v>
      </c>
      <c r="H343" s="119">
        <f ca="1">历史数据及预测表!K51</f>
        <v>2408.5978852943172</v>
      </c>
      <c r="I343" s="119">
        <f ca="1">历史数据及预测表!L51</f>
        <v>2723.4484665665786</v>
      </c>
      <c r="J343" s="119">
        <f ca="1">历史数据及预测表!M51</f>
        <v>2543.184456432291</v>
      </c>
      <c r="K343" s="119">
        <f ca="1">历史数据及预测表!N51</f>
        <v>2613.5813684953991</v>
      </c>
      <c r="L343" s="119">
        <f ca="1">历史数据及预测表!O51</f>
        <v>2589.0483882882309</v>
      </c>
      <c r="M343" s="119">
        <f ca="1">历史数据及预测表!P51</f>
        <v>2364.4367414149547</v>
      </c>
      <c r="N343" s="119">
        <f ca="1">历史数据及预测表!Q51</f>
        <v>2159.4161987153129</v>
      </c>
      <c r="O343" s="119">
        <f ca="1">历史数据及预测表!R51</f>
        <v>1815.2646520632752</v>
      </c>
      <c r="P343" s="129">
        <f ca="1">历史数据及预测表!S51</f>
        <v>1406.4168828173933</v>
      </c>
    </row>
    <row r="344" spans="2:16">
      <c r="B344" s="101" t="s">
        <v>1038</v>
      </c>
      <c r="E344" s="119">
        <f ca="1">历史数据及预测表!I51</f>
        <v>1659.5216758337519</v>
      </c>
      <c r="F344" s="119">
        <f ca="1">历史数据及预测表!J51</f>
        <v>2155.596194260941</v>
      </c>
      <c r="G344" s="119">
        <f ca="1">历史数据及预测表!K51</f>
        <v>2408.5978852943172</v>
      </c>
      <c r="H344" s="119">
        <f ca="1">历史数据及预测表!L51</f>
        <v>2723.4484665665786</v>
      </c>
      <c r="I344" s="119">
        <f ca="1">历史数据及预测表!M51</f>
        <v>2543.184456432291</v>
      </c>
      <c r="J344" s="119">
        <f ca="1">历史数据及预测表!N51</f>
        <v>2613.5813684953991</v>
      </c>
      <c r="K344" s="119">
        <f ca="1">历史数据及预测表!O51</f>
        <v>2589.0483882882309</v>
      </c>
      <c r="L344" s="119">
        <f ca="1">历史数据及预测表!P51</f>
        <v>2364.4367414149547</v>
      </c>
      <c r="M344" s="119">
        <f ca="1">历史数据及预测表!Q51</f>
        <v>2159.4161987153129</v>
      </c>
      <c r="N344" s="119">
        <f ca="1">历史数据及预测表!R51</f>
        <v>1815.2646520632752</v>
      </c>
      <c r="O344" s="119">
        <f ca="1">历史数据及预测表!S51</f>
        <v>1406.4168828173933</v>
      </c>
      <c r="P344" s="129">
        <f ca="1">历史数据及预测表!T51</f>
        <v>868.63291767829105</v>
      </c>
    </row>
    <row r="345" spans="2:16" ht="14.65">
      <c r="B345" s="440" t="s">
        <v>1041</v>
      </c>
      <c r="C345" s="441"/>
      <c r="E345" s="122">
        <f ca="1">(E343+E344)/2*E342</f>
        <v>38.168998544176297</v>
      </c>
      <c r="F345" s="122">
        <f t="shared" ref="F345:N345" ca="1" si="118">(F343+F344)/2*F342</f>
        <v>87.747711012177945</v>
      </c>
      <c r="G345" s="122">
        <f t="shared" ca="1" si="118"/>
        <v>104.97646382977095</v>
      </c>
      <c r="H345" s="122">
        <f t="shared" ca="1" si="118"/>
        <v>118.03706609280061</v>
      </c>
      <c r="I345" s="122">
        <f t="shared" ca="1" si="118"/>
        <v>121.13255722897402</v>
      </c>
      <c r="J345" s="122">
        <f t="shared" ca="1" si="118"/>
        <v>118.60561397333689</v>
      </c>
      <c r="K345" s="122">
        <f t="shared" ca="1" si="118"/>
        <v>119.6604844060235</v>
      </c>
      <c r="L345" s="122">
        <f t="shared" ca="1" si="118"/>
        <v>113.93015798317329</v>
      </c>
      <c r="M345" s="122">
        <f t="shared" ca="1" si="118"/>
        <v>104.04861762299618</v>
      </c>
      <c r="N345" s="122">
        <f t="shared" ca="1" si="118"/>
        <v>91.417659567907535</v>
      </c>
      <c r="O345" s="122">
        <f t="shared" ref="O345:P345" ca="1" si="119">(O343+O344)/2*O342</f>
        <v>74.098675302255387</v>
      </c>
      <c r="P345" s="137">
        <f t="shared" ca="1" si="119"/>
        <v>52.326145411400745</v>
      </c>
    </row>
    <row r="346" spans="2:16">
      <c r="B346" s="101"/>
      <c r="P346" s="131"/>
    </row>
    <row r="347" spans="2:16" ht="14.65">
      <c r="B347" s="202" t="s">
        <v>1042</v>
      </c>
      <c r="P347" s="131"/>
    </row>
    <row r="348" spans="2:16">
      <c r="B348" s="101" t="s">
        <v>857</v>
      </c>
      <c r="E348" s="120">
        <f>假设表!I118</f>
        <v>5.1499999999999997E-2</v>
      </c>
      <c r="F348" s="120">
        <f>假设表!J118</f>
        <v>5.1499999999999997E-2</v>
      </c>
      <c r="G348" s="120">
        <f>假设表!K118</f>
        <v>5.1499999999999997E-2</v>
      </c>
      <c r="H348" s="120">
        <f>假设表!L118</f>
        <v>5.1499999999999997E-2</v>
      </c>
      <c r="I348" s="120">
        <f>假设表!M118</f>
        <v>5.1499999999999997E-2</v>
      </c>
      <c r="J348" s="120">
        <f>假设表!N118</f>
        <v>5.1499999999999997E-2</v>
      </c>
      <c r="K348" s="120">
        <f>假设表!O118</f>
        <v>5.1499999999999997E-2</v>
      </c>
      <c r="L348" s="120">
        <f>假设表!P118</f>
        <v>5.1499999999999997E-2</v>
      </c>
      <c r="M348" s="120">
        <f>假设表!Q118</f>
        <v>5.1499999999999997E-2</v>
      </c>
      <c r="N348" s="120">
        <f>假设表!R118</f>
        <v>5.1499999999999997E-2</v>
      </c>
      <c r="O348" s="120">
        <f>假设表!S118</f>
        <v>5.1499999999999997E-2</v>
      </c>
      <c r="P348" s="136">
        <f>假设表!T118</f>
        <v>5.1499999999999997E-2</v>
      </c>
    </row>
    <row r="349" spans="2:16">
      <c r="B349" s="101" t="s">
        <v>1043</v>
      </c>
      <c r="E349" s="119">
        <f>历史数据及预测表!H71</f>
        <v>0</v>
      </c>
      <c r="F349" s="119">
        <f>历史数据及预测表!I71</f>
        <v>0</v>
      </c>
      <c r="G349" s="119">
        <f>历史数据及预测表!J71</f>
        <v>0</v>
      </c>
      <c r="H349" s="119">
        <f>历史数据及预测表!K71</f>
        <v>0</v>
      </c>
      <c r="I349" s="119">
        <f>历史数据及预测表!L71</f>
        <v>0</v>
      </c>
      <c r="J349" s="119">
        <f>历史数据及预测表!M71</f>
        <v>0</v>
      </c>
      <c r="K349" s="119">
        <f>历史数据及预测表!N71</f>
        <v>0</v>
      </c>
      <c r="L349" s="119">
        <f>历史数据及预测表!O71</f>
        <v>0</v>
      </c>
      <c r="M349" s="119">
        <f>历史数据及预测表!P71</f>
        <v>0</v>
      </c>
      <c r="N349" s="119">
        <f>历史数据及预测表!Q71</f>
        <v>0</v>
      </c>
      <c r="O349" s="119">
        <f>历史数据及预测表!R71</f>
        <v>0</v>
      </c>
      <c r="P349" s="129">
        <f>历史数据及预测表!S71</f>
        <v>0</v>
      </c>
    </row>
    <row r="350" spans="2:16">
      <c r="B350" s="101" t="s">
        <v>1044</v>
      </c>
      <c r="E350" s="119">
        <f>历史数据及预测表!I71</f>
        <v>0</v>
      </c>
      <c r="F350" s="119">
        <f>历史数据及预测表!J71</f>
        <v>0</v>
      </c>
      <c r="G350" s="119">
        <f>历史数据及预测表!K71</f>
        <v>0</v>
      </c>
      <c r="H350" s="119">
        <f>历史数据及预测表!L71</f>
        <v>0</v>
      </c>
      <c r="I350" s="119">
        <f>历史数据及预测表!M71</f>
        <v>0</v>
      </c>
      <c r="J350" s="119">
        <f>历史数据及预测表!N71</f>
        <v>0</v>
      </c>
      <c r="K350" s="119">
        <f>历史数据及预测表!O71</f>
        <v>0</v>
      </c>
      <c r="L350" s="119">
        <f>历史数据及预测表!P71</f>
        <v>0</v>
      </c>
      <c r="M350" s="119">
        <f>历史数据及预测表!Q71</f>
        <v>0</v>
      </c>
      <c r="N350" s="119">
        <f>历史数据及预测表!R71</f>
        <v>0</v>
      </c>
      <c r="O350" s="119">
        <f>历史数据及预测表!S71</f>
        <v>0</v>
      </c>
      <c r="P350" s="129">
        <f>历史数据及预测表!T71</f>
        <v>0</v>
      </c>
    </row>
    <row r="351" spans="2:16" ht="14.65">
      <c r="B351" s="440" t="s">
        <v>1045</v>
      </c>
      <c r="C351" s="441"/>
      <c r="E351" s="122">
        <f>(E349+E350)/2*E348</f>
        <v>0</v>
      </c>
      <c r="F351" s="122">
        <f t="shared" ref="F351:N351" si="120">(F349+F350)/2*F348</f>
        <v>0</v>
      </c>
      <c r="G351" s="122">
        <f t="shared" si="120"/>
        <v>0</v>
      </c>
      <c r="H351" s="122">
        <f t="shared" si="120"/>
        <v>0</v>
      </c>
      <c r="I351" s="122">
        <f t="shared" si="120"/>
        <v>0</v>
      </c>
      <c r="J351" s="122">
        <f t="shared" si="120"/>
        <v>0</v>
      </c>
      <c r="K351" s="122">
        <f t="shared" si="120"/>
        <v>0</v>
      </c>
      <c r="L351" s="122">
        <f t="shared" si="120"/>
        <v>0</v>
      </c>
      <c r="M351" s="122">
        <f t="shared" si="120"/>
        <v>0</v>
      </c>
      <c r="N351" s="122">
        <f t="shared" si="120"/>
        <v>0</v>
      </c>
      <c r="O351" s="122">
        <f t="shared" ref="O351:P351" si="121">(O349+O350)/2*O348</f>
        <v>0</v>
      </c>
      <c r="P351" s="137">
        <f t="shared" si="121"/>
        <v>0</v>
      </c>
    </row>
    <row r="352" spans="2:16">
      <c r="B352" s="101"/>
      <c r="P352" s="131"/>
    </row>
    <row r="353" spans="2:16" ht="14.65">
      <c r="B353" s="440" t="s">
        <v>1046</v>
      </c>
      <c r="C353" s="441"/>
      <c r="E353" s="119">
        <f>假设表!I125</f>
        <v>0</v>
      </c>
      <c r="F353" s="119">
        <f>假设表!J125</f>
        <v>0</v>
      </c>
      <c r="G353" s="119">
        <f>假设表!K125</f>
        <v>0</v>
      </c>
      <c r="H353" s="119">
        <f>假设表!L125</f>
        <v>0</v>
      </c>
      <c r="I353" s="119">
        <f>假设表!M125</f>
        <v>0</v>
      </c>
      <c r="J353" s="119">
        <f>假设表!N125</f>
        <v>0</v>
      </c>
      <c r="K353" s="119">
        <f>假设表!O125</f>
        <v>0</v>
      </c>
      <c r="L353" s="119">
        <f>假设表!P125</f>
        <v>0</v>
      </c>
      <c r="M353" s="119">
        <f>假设表!Q125</f>
        <v>0</v>
      </c>
      <c r="N353" s="119">
        <f>假设表!R125</f>
        <v>0</v>
      </c>
      <c r="O353" s="119">
        <f>假设表!S125</f>
        <v>0</v>
      </c>
      <c r="P353" s="129">
        <f>假设表!T125</f>
        <v>0</v>
      </c>
    </row>
    <row r="354" spans="2:16">
      <c r="B354" s="101"/>
      <c r="E354" s="119"/>
      <c r="F354" s="119"/>
      <c r="G354" s="119"/>
      <c r="H354" s="119"/>
      <c r="I354" s="119"/>
      <c r="J354" s="119"/>
      <c r="K354" s="119"/>
      <c r="L354" s="119"/>
      <c r="M354" s="119"/>
      <c r="N354" s="119"/>
      <c r="O354" s="119"/>
      <c r="P354" s="129"/>
    </row>
    <row r="355" spans="2:16" ht="14.65">
      <c r="B355" s="442" t="s">
        <v>1047</v>
      </c>
      <c r="C355" s="443"/>
      <c r="D355" s="113"/>
      <c r="E355" s="124">
        <f t="shared" ref="E355:N355" ca="1" si="122">E345+E351+E353</f>
        <v>38.168998544176297</v>
      </c>
      <c r="F355" s="124">
        <f t="shared" ca="1" si="122"/>
        <v>87.747711012177945</v>
      </c>
      <c r="G355" s="124">
        <f t="shared" ca="1" si="122"/>
        <v>104.97646382977095</v>
      </c>
      <c r="H355" s="124">
        <f t="shared" ca="1" si="122"/>
        <v>118.03706609280061</v>
      </c>
      <c r="I355" s="124">
        <f t="shared" ca="1" si="122"/>
        <v>121.13255722897402</v>
      </c>
      <c r="J355" s="124">
        <f t="shared" ca="1" si="122"/>
        <v>118.60561397333689</v>
      </c>
      <c r="K355" s="124">
        <f t="shared" ca="1" si="122"/>
        <v>119.6604844060235</v>
      </c>
      <c r="L355" s="124">
        <f t="shared" ca="1" si="122"/>
        <v>113.93015798317329</v>
      </c>
      <c r="M355" s="124">
        <f t="shared" ca="1" si="122"/>
        <v>104.04861762299618</v>
      </c>
      <c r="N355" s="124">
        <f t="shared" ca="1" si="122"/>
        <v>91.417659567907535</v>
      </c>
      <c r="O355" s="124">
        <f t="shared" ref="O355:P355" ca="1" si="123">O345+O351+O353</f>
        <v>74.098675302255387</v>
      </c>
      <c r="P355" s="139">
        <f t="shared" ca="1" si="123"/>
        <v>52.326145411400745</v>
      </c>
    </row>
    <row r="356" spans="2:16" ht="14.65">
      <c r="B356" s="198"/>
      <c r="C356" s="198"/>
    </row>
    <row r="357" spans="2:16">
      <c r="B357" s="194"/>
      <c r="C357" s="118"/>
      <c r="D357" s="200">
        <f>假设表!H2</f>
        <v>2025</v>
      </c>
      <c r="E357" s="201">
        <f>假设表!I2</f>
        <v>2026</v>
      </c>
      <c r="F357" s="201">
        <f>假设表!J2</f>
        <v>2027</v>
      </c>
      <c r="G357" s="201">
        <f>假设表!K2</f>
        <v>2028</v>
      </c>
      <c r="H357" s="201">
        <f>假设表!L2</f>
        <v>2029</v>
      </c>
      <c r="I357" s="201">
        <f>假设表!M2</f>
        <v>2030</v>
      </c>
      <c r="J357" s="201">
        <f>假设表!N2</f>
        <v>2031</v>
      </c>
      <c r="K357" s="201">
        <f>假设表!O2</f>
        <v>2032</v>
      </c>
      <c r="L357" s="201">
        <f>假设表!P2</f>
        <v>2033</v>
      </c>
      <c r="M357" s="201">
        <f>假设表!Q2</f>
        <v>2034</v>
      </c>
      <c r="N357" s="201">
        <f>假设表!R2</f>
        <v>2035</v>
      </c>
      <c r="O357" s="201">
        <f>假设表!S2</f>
        <v>2036</v>
      </c>
      <c r="P357" s="208">
        <f>假设表!T2</f>
        <v>2037</v>
      </c>
    </row>
    <row r="358" spans="2:16" ht="14.65">
      <c r="B358" s="202" t="s">
        <v>1048</v>
      </c>
      <c r="P358" s="131"/>
    </row>
    <row r="359" spans="2:16">
      <c r="B359" s="101" t="s">
        <v>858</v>
      </c>
      <c r="E359" s="120">
        <f>假设表!I119</f>
        <v>2.2000000000000002E-2</v>
      </c>
      <c r="F359" s="120">
        <f>假设表!J119</f>
        <v>2.2000000000000002E-2</v>
      </c>
      <c r="G359" s="120">
        <f>假设表!K119</f>
        <v>2.2000000000000002E-2</v>
      </c>
      <c r="H359" s="120">
        <f>假设表!L119</f>
        <v>2.2000000000000002E-2</v>
      </c>
      <c r="I359" s="120">
        <f>假设表!M119</f>
        <v>2.2000000000000002E-2</v>
      </c>
      <c r="J359" s="120">
        <f>假设表!N119</f>
        <v>2.2000000000000002E-2</v>
      </c>
      <c r="K359" s="120">
        <f>假设表!O119</f>
        <v>2.2000000000000002E-2</v>
      </c>
      <c r="L359" s="120">
        <f>假设表!P119</f>
        <v>2.2000000000000002E-2</v>
      </c>
      <c r="M359" s="120">
        <f>假设表!Q119</f>
        <v>2.2000000000000002E-2</v>
      </c>
      <c r="N359" s="120">
        <f>假设表!R119</f>
        <v>2.2000000000000002E-2</v>
      </c>
      <c r="O359" s="120">
        <f>假设表!S119</f>
        <v>2.2000000000000002E-2</v>
      </c>
      <c r="P359" s="136">
        <f>假设表!T119</f>
        <v>2.2000000000000002E-2</v>
      </c>
    </row>
    <row r="360" spans="2:16">
      <c r="B360" s="101" t="s">
        <v>1049</v>
      </c>
      <c r="E360" s="119">
        <f>历史数据及预测表!H7</f>
        <v>4091.6442333</v>
      </c>
      <c r="F360" s="119">
        <f ca="1">历史数据及预测表!I7</f>
        <v>7233.5472004936573</v>
      </c>
      <c r="G360" s="119">
        <f ca="1">历史数据及预测表!J7</f>
        <v>9237.1611718196982</v>
      </c>
      <c r="H360" s="119">
        <f ca="1">历史数据及预测表!K7</f>
        <v>10880.218522936822</v>
      </c>
      <c r="I360" s="119">
        <f ca="1">历史数据及预测表!L7</f>
        <v>12824.763964470785</v>
      </c>
      <c r="J360" s="119">
        <f ca="1">历史数据及预测表!M7</f>
        <v>15532.666965293934</v>
      </c>
      <c r="K360" s="119">
        <f ca="1">历史数据及预测表!N7</f>
        <v>18472.131966875051</v>
      </c>
      <c r="L360" s="119">
        <f ca="1">历史数据及预测表!O7</f>
        <v>22038.14238181122</v>
      </c>
      <c r="M360" s="119">
        <f ca="1">历史数据及预测表!P7</f>
        <v>26397.558777849492</v>
      </c>
      <c r="N360" s="119">
        <f ca="1">历史数据及预测表!Q7</f>
        <v>31501.990952271699</v>
      </c>
      <c r="O360" s="119">
        <f ca="1">历史数据及预测表!R7</f>
        <v>37636.783670902136</v>
      </c>
      <c r="P360" s="129">
        <f ca="1">历史数据及预测表!S7</f>
        <v>44962.1561338596</v>
      </c>
    </row>
    <row r="361" spans="2:16">
      <c r="B361" s="101" t="s">
        <v>1050</v>
      </c>
      <c r="E361" s="119">
        <f ca="1">历史数据及预测表!I7</f>
        <v>7233.5472004936573</v>
      </c>
      <c r="F361" s="119">
        <f ca="1">历史数据及预测表!J7</f>
        <v>9237.1611718196982</v>
      </c>
      <c r="G361" s="119">
        <f ca="1">历史数据及预测表!K7</f>
        <v>10880.218522936822</v>
      </c>
      <c r="H361" s="119">
        <f ca="1">历史数据及预测表!L7</f>
        <v>12824.763964470785</v>
      </c>
      <c r="I361" s="119">
        <f ca="1">历史数据及预测表!M7</f>
        <v>15532.666965293934</v>
      </c>
      <c r="J361" s="119">
        <f ca="1">历史数据及预测表!N7</f>
        <v>18472.131966875051</v>
      </c>
      <c r="K361" s="119">
        <f ca="1">历史数据及预测表!O7</f>
        <v>22038.14238181122</v>
      </c>
      <c r="L361" s="119">
        <f ca="1">历史数据及预测表!P7</f>
        <v>26397.558777849492</v>
      </c>
      <c r="M361" s="119">
        <f ca="1">历史数据及预测表!Q7</f>
        <v>31501.990952271699</v>
      </c>
      <c r="N361" s="119">
        <f ca="1">历史数据及预测表!R7</f>
        <v>37636.783670902136</v>
      </c>
      <c r="O361" s="119">
        <f ca="1">历史数据及预测表!S7</f>
        <v>44962.1561338596</v>
      </c>
      <c r="P361" s="129">
        <f ca="1">历史数据及预测表!T7</f>
        <v>53713.289848193483</v>
      </c>
    </row>
    <row r="362" spans="2:16" ht="14.65">
      <c r="B362" s="442" t="s">
        <v>1051</v>
      </c>
      <c r="C362" s="443"/>
      <c r="D362" s="113"/>
      <c r="E362" s="124">
        <f ca="1">(E360+E361)/2*E359</f>
        <v>124.57710577173025</v>
      </c>
      <c r="F362" s="124">
        <f t="shared" ref="F362:N362" ca="1" si="124">(F360+F361)/2*F359</f>
        <v>181.17779209544693</v>
      </c>
      <c r="G362" s="124">
        <f t="shared" ca="1" si="124"/>
        <v>221.29117664232174</v>
      </c>
      <c r="H362" s="124">
        <f t="shared" ca="1" si="124"/>
        <v>260.7548073614837</v>
      </c>
      <c r="I362" s="124">
        <f t="shared" ca="1" si="124"/>
        <v>311.93174022741192</v>
      </c>
      <c r="J362" s="124">
        <f t="shared" ca="1" si="124"/>
        <v>374.05278825385886</v>
      </c>
      <c r="K362" s="124">
        <f t="shared" ca="1" si="124"/>
        <v>445.61301783554904</v>
      </c>
      <c r="L362" s="124">
        <f t="shared" ca="1" si="124"/>
        <v>532.79271275626786</v>
      </c>
      <c r="M362" s="124">
        <f t="shared" ca="1" si="124"/>
        <v>636.89504703133309</v>
      </c>
      <c r="N362" s="124">
        <f t="shared" ca="1" si="124"/>
        <v>760.52652085491229</v>
      </c>
      <c r="O362" s="124">
        <f t="shared" ref="O362:P362" ca="1" si="125">(O360+O361)/2*O359</f>
        <v>908.58833785237914</v>
      </c>
      <c r="P362" s="139">
        <f t="shared" ca="1" si="125"/>
        <v>1085.429905802584</v>
      </c>
    </row>
    <row r="364" spans="2:16" ht="14.65">
      <c r="B364" s="438" t="s">
        <v>1052</v>
      </c>
      <c r="C364" s="439"/>
      <c r="D364" s="211"/>
      <c r="E364" s="212">
        <f>假设表!I126</f>
        <v>0</v>
      </c>
      <c r="F364" s="212">
        <f>假设表!J126</f>
        <v>0</v>
      </c>
      <c r="G364" s="212">
        <f>假设表!K126</f>
        <v>0</v>
      </c>
      <c r="H364" s="212">
        <f>假设表!L126</f>
        <v>0</v>
      </c>
      <c r="I364" s="212">
        <f>假设表!M126</f>
        <v>0</v>
      </c>
      <c r="J364" s="212">
        <f>假设表!N126</f>
        <v>0</v>
      </c>
      <c r="K364" s="212">
        <f>假设表!O126</f>
        <v>0</v>
      </c>
      <c r="L364" s="212">
        <f>假设表!P126</f>
        <v>0</v>
      </c>
      <c r="M364" s="212">
        <f>假设表!Q126</f>
        <v>0</v>
      </c>
      <c r="N364" s="212">
        <f>假设表!R126</f>
        <v>0</v>
      </c>
      <c r="O364" s="212">
        <f>假设表!S126</f>
        <v>0</v>
      </c>
      <c r="P364" s="214">
        <f>假设表!T126</f>
        <v>0</v>
      </c>
    </row>
    <row r="365" spans="2:16">
      <c r="E365" s="81"/>
      <c r="F365" s="81"/>
      <c r="G365" s="81"/>
      <c r="H365" s="81"/>
      <c r="I365" s="81"/>
      <c r="J365" s="81"/>
      <c r="K365" s="81"/>
      <c r="L365" s="81"/>
      <c r="M365" s="81"/>
      <c r="N365" s="81"/>
      <c r="O365" s="81"/>
      <c r="P365" s="81"/>
    </row>
    <row r="366" spans="2:16" ht="14.65">
      <c r="B366" s="438" t="s">
        <v>1053</v>
      </c>
      <c r="C366" s="439"/>
      <c r="D366" s="211"/>
      <c r="E366" s="213">
        <f ca="1">E362+E364</f>
        <v>124.57710577173025</v>
      </c>
      <c r="F366" s="213">
        <f t="shared" ref="F366:N366" ca="1" si="126">F362+F364</f>
        <v>181.17779209544693</v>
      </c>
      <c r="G366" s="213">
        <f t="shared" ca="1" si="126"/>
        <v>221.29117664232174</v>
      </c>
      <c r="H366" s="213">
        <f t="shared" ca="1" si="126"/>
        <v>260.7548073614837</v>
      </c>
      <c r="I366" s="213">
        <f t="shared" ca="1" si="126"/>
        <v>311.93174022741192</v>
      </c>
      <c r="J366" s="213">
        <f t="shared" ca="1" si="126"/>
        <v>374.05278825385886</v>
      </c>
      <c r="K366" s="213">
        <f t="shared" ca="1" si="126"/>
        <v>445.61301783554904</v>
      </c>
      <c r="L366" s="213">
        <f t="shared" ca="1" si="126"/>
        <v>532.79271275626786</v>
      </c>
      <c r="M366" s="213">
        <f t="shared" ca="1" si="126"/>
        <v>636.89504703133309</v>
      </c>
      <c r="N366" s="213">
        <f t="shared" ca="1" si="126"/>
        <v>760.52652085491229</v>
      </c>
      <c r="O366" s="213">
        <f t="shared" ref="O366:P366" ca="1" si="127">O362+O364</f>
        <v>908.58833785237914</v>
      </c>
      <c r="P366" s="215">
        <f t="shared" ca="1" si="127"/>
        <v>1085.429905802584</v>
      </c>
    </row>
    <row r="368" spans="2:16" ht="14.65">
      <c r="B368" s="438" t="s">
        <v>1054</v>
      </c>
      <c r="C368" s="439"/>
      <c r="D368" s="211"/>
      <c r="E368" s="213">
        <f>假设表!I127</f>
        <v>0</v>
      </c>
      <c r="F368" s="213">
        <f>假设表!J127</f>
        <v>0</v>
      </c>
      <c r="G368" s="213">
        <f>假设表!K127</f>
        <v>0</v>
      </c>
      <c r="H368" s="213">
        <f>假设表!L127</f>
        <v>0</v>
      </c>
      <c r="I368" s="213">
        <f>假设表!M127</f>
        <v>0</v>
      </c>
      <c r="J368" s="213">
        <f>假设表!N127</f>
        <v>0</v>
      </c>
      <c r="K368" s="213">
        <f>假设表!O127</f>
        <v>0</v>
      </c>
      <c r="L368" s="213">
        <f>假设表!P127</f>
        <v>0</v>
      </c>
      <c r="M368" s="213">
        <f>假设表!Q127</f>
        <v>0</v>
      </c>
      <c r="N368" s="213">
        <f>假设表!R127</f>
        <v>0</v>
      </c>
      <c r="O368" s="213">
        <f>假设表!S127</f>
        <v>0</v>
      </c>
      <c r="P368" s="215">
        <f>假设表!T127</f>
        <v>0</v>
      </c>
    </row>
    <row r="369" spans="2:16">
      <c r="E369" s="81"/>
      <c r="F369" s="81"/>
      <c r="G369" s="81"/>
      <c r="H369" s="81"/>
      <c r="I369" s="81"/>
      <c r="J369" s="81"/>
      <c r="K369" s="81"/>
      <c r="L369" s="81"/>
      <c r="M369" s="81"/>
      <c r="N369" s="81"/>
      <c r="O369" s="81"/>
      <c r="P369" s="81"/>
    </row>
    <row r="370" spans="2:16" ht="14.65">
      <c r="B370" s="438" t="s">
        <v>1055</v>
      </c>
      <c r="C370" s="439"/>
      <c r="D370" s="211"/>
      <c r="E370" s="213">
        <f ca="1">E355-E366+E368</f>
        <v>-86.408107227553955</v>
      </c>
      <c r="F370" s="213">
        <f t="shared" ref="F370:N370" ca="1" si="128">F355-F366+F368</f>
        <v>-93.430081083268988</v>
      </c>
      <c r="G370" s="213">
        <f t="shared" ca="1" si="128"/>
        <v>-116.31471281255079</v>
      </c>
      <c r="H370" s="213">
        <f t="shared" ca="1" si="128"/>
        <v>-142.71774126868308</v>
      </c>
      <c r="I370" s="213">
        <f t="shared" ca="1" si="128"/>
        <v>-190.79918299843791</v>
      </c>
      <c r="J370" s="213">
        <f t="shared" ca="1" si="128"/>
        <v>-255.44717428052198</v>
      </c>
      <c r="K370" s="213">
        <f t="shared" ca="1" si="128"/>
        <v>-325.95253342952554</v>
      </c>
      <c r="L370" s="213">
        <f t="shared" ca="1" si="128"/>
        <v>-418.86255477309459</v>
      </c>
      <c r="M370" s="213">
        <f t="shared" ca="1" si="128"/>
        <v>-532.84642940833692</v>
      </c>
      <c r="N370" s="213">
        <f t="shared" ca="1" si="128"/>
        <v>-669.10886128700474</v>
      </c>
      <c r="O370" s="213">
        <f t="shared" ref="O370:P370" ca="1" si="129">O355-O366+O368</f>
        <v>-834.48966255012374</v>
      </c>
      <c r="P370" s="215">
        <f t="shared" ca="1" si="129"/>
        <v>-1033.1037603911832</v>
      </c>
    </row>
  </sheetData>
  <mergeCells count="52">
    <mergeCell ref="B8:C8"/>
    <mergeCell ref="B26:C26"/>
    <mergeCell ref="B29:C29"/>
    <mergeCell ref="B47:C47"/>
    <mergeCell ref="B66:C66"/>
    <mergeCell ref="B85:C85"/>
    <mergeCell ref="B104:C104"/>
    <mergeCell ref="B122:C122"/>
    <mergeCell ref="B125:D125"/>
    <mergeCell ref="B126:D126"/>
    <mergeCell ref="B127:C127"/>
    <mergeCell ref="B129:D129"/>
    <mergeCell ref="B130:D130"/>
    <mergeCell ref="B131:C131"/>
    <mergeCell ref="B142:C142"/>
    <mergeCell ref="B149:C149"/>
    <mergeCell ref="B166:C166"/>
    <mergeCell ref="B175:C175"/>
    <mergeCell ref="B192:C192"/>
    <mergeCell ref="B201:C201"/>
    <mergeCell ref="B218:C218"/>
    <mergeCell ref="B227:C227"/>
    <mergeCell ref="B234:C234"/>
    <mergeCell ref="B241:C241"/>
    <mergeCell ref="B242:C242"/>
    <mergeCell ref="B244:C244"/>
    <mergeCell ref="B249:C249"/>
    <mergeCell ref="B251:C251"/>
    <mergeCell ref="B256:C256"/>
    <mergeCell ref="B261:C261"/>
    <mergeCell ref="B266:C266"/>
    <mergeCell ref="B268:C268"/>
    <mergeCell ref="B279:C279"/>
    <mergeCell ref="B281:C281"/>
    <mergeCell ref="B284:C284"/>
    <mergeCell ref="B285:C285"/>
    <mergeCell ref="B286:C286"/>
    <mergeCell ref="B287:C287"/>
    <mergeCell ref="B289:C289"/>
    <mergeCell ref="B303:C303"/>
    <mergeCell ref="B320:C320"/>
    <mergeCell ref="B326:C326"/>
    <mergeCell ref="B339:C339"/>
    <mergeCell ref="B345:C345"/>
    <mergeCell ref="B351:C351"/>
    <mergeCell ref="B368:C368"/>
    <mergeCell ref="B370:C370"/>
    <mergeCell ref="B353:C353"/>
    <mergeCell ref="B355:C355"/>
    <mergeCell ref="B362:C362"/>
    <mergeCell ref="B364:C364"/>
    <mergeCell ref="B366:C366"/>
  </mergeCells>
  <phoneticPr fontId="35" type="noConversion"/>
  <dataValidations count="8">
    <dataValidation type="list" showInputMessage="1" showErrorMessage="1" sqref="C3" xr:uid="{00000000-0002-0000-0500-000000000000}">
      <formula1>"1,2"</formula1>
    </dataValidation>
    <dataValidation showInputMessage="1" showErrorMessage="1" errorTitle="固定资产折旧年限不能为空" error="固定资产折旧年限不能为空" sqref="E3" xr:uid="{00000000-0002-0000-0500-000001000000}"/>
    <dataValidation showInputMessage="1" showErrorMessage="1" errorTitle="油气资产折旧年限不能为空" error="油气资产折旧年限不能为空" sqref="C202" xr:uid="{00000000-0002-0000-0500-000002000000}"/>
    <dataValidation showInputMessage="1" showErrorMessage="1" errorTitle="折旧年限不能为空" error="折旧年限不能为空" sqref="C10" xr:uid="{00000000-0002-0000-0500-000003000000}"/>
    <dataValidation showInputMessage="1" showErrorMessage="1" errorTitle="折旧年限不能为空" sqref="C31 C50 C69 C88" xr:uid="{00000000-0002-0000-0500-000004000000}"/>
    <dataValidation type="whole" allowBlank="1" showInputMessage="1" showErrorMessage="1" sqref="D127:D128 D131:D132" xr:uid="{00000000-0002-0000-0500-000005000000}">
      <formula1>1</formula1>
      <formula2>2</formula2>
    </dataValidation>
    <dataValidation showInputMessage="1" showErrorMessage="1" errorTitle="生产性生物资产折旧年限不能为空" error="生产性生物资产折旧年限不能为空" sqref="C176" xr:uid="{00000000-0002-0000-0500-000006000000}"/>
    <dataValidation showInputMessage="1" showErrorMessage="1" errorTitle="固定资产-在建工程转入折旧年限不能为空" error="固定资产-在建工程转入折旧年限不能为空" sqref="C107 C150" xr:uid="{00000000-0002-0000-0500-000007000000}"/>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2:U262"/>
  <sheetViews>
    <sheetView workbookViewId="0">
      <pane xSplit="3" ySplit="5" topLeftCell="D189" activePane="bottomRight" state="frozen"/>
      <selection pane="topRight"/>
      <selection pane="bottomLeft"/>
      <selection pane="bottomRight" activeCell="G197" sqref="G197"/>
    </sheetView>
  </sheetViews>
  <sheetFormatPr defaultColWidth="9" defaultRowHeight="13.9"/>
  <cols>
    <col min="1" max="1" width="13" style="140" hidden="1" customWidth="1"/>
    <col min="2" max="2" width="2.73046875" style="140" customWidth="1"/>
    <col min="3" max="3" width="40.06640625" style="140" customWidth="1"/>
    <col min="4" max="8" width="14.46484375" style="140" customWidth="1"/>
    <col min="9" max="9" width="15.9296875" style="140" customWidth="1"/>
    <col min="10" max="10" width="16.33203125" style="140" customWidth="1"/>
    <col min="11" max="11" width="15.265625" style="140" customWidth="1"/>
    <col min="12" max="12" width="15" style="140" customWidth="1"/>
    <col min="13" max="13" width="17.265625" style="140" customWidth="1"/>
    <col min="14" max="14" width="16.06640625" style="140" customWidth="1"/>
    <col min="15" max="15" width="15.33203125" style="140" customWidth="1"/>
    <col min="16" max="16" width="14.59765625" style="140" customWidth="1"/>
    <col min="17" max="17" width="15" style="140" customWidth="1"/>
    <col min="18" max="18" width="17.265625" style="140" customWidth="1"/>
    <col min="19" max="20" width="13.796875" style="140" customWidth="1"/>
    <col min="21" max="16384" width="9" style="140"/>
  </cols>
  <sheetData>
    <row r="2" spans="2:20" ht="15.75">
      <c r="B2" s="141" t="s">
        <v>1056</v>
      </c>
      <c r="C2" s="142"/>
    </row>
    <row r="3" spans="2:20">
      <c r="D3" s="449" t="s">
        <v>741</v>
      </c>
      <c r="E3" s="449"/>
      <c r="F3" s="449"/>
      <c r="G3" s="449"/>
      <c r="H3" s="449"/>
      <c r="I3" s="449" t="s">
        <v>742</v>
      </c>
      <c r="J3" s="449"/>
      <c r="K3" s="449"/>
      <c r="L3" s="449"/>
      <c r="M3" s="449"/>
      <c r="N3" s="449"/>
      <c r="O3" s="449"/>
      <c r="P3" s="449"/>
      <c r="Q3" s="449"/>
      <c r="R3" s="449"/>
    </row>
    <row r="4" spans="2:20">
      <c r="D4" s="143">
        <f>历史数据!C1</f>
        <v>2021</v>
      </c>
      <c r="E4" s="143">
        <f>历史数据!D1</f>
        <v>2022</v>
      </c>
      <c r="F4" s="143">
        <f>历史数据!E1</f>
        <v>2023</v>
      </c>
      <c r="G4" s="143">
        <f>历史数据!F1</f>
        <v>2024</v>
      </c>
      <c r="H4" s="143">
        <f>历史数据!G1</f>
        <v>2025</v>
      </c>
      <c r="I4" s="85">
        <f>H4+1</f>
        <v>2026</v>
      </c>
      <c r="J4" s="85">
        <f t="shared" ref="J4:R4" si="0">I4+1</f>
        <v>2027</v>
      </c>
      <c r="K4" s="85">
        <f t="shared" si="0"/>
        <v>2028</v>
      </c>
      <c r="L4" s="85">
        <f t="shared" si="0"/>
        <v>2029</v>
      </c>
      <c r="M4" s="85">
        <f t="shared" si="0"/>
        <v>2030</v>
      </c>
      <c r="N4" s="85">
        <f t="shared" si="0"/>
        <v>2031</v>
      </c>
      <c r="O4" s="85">
        <f t="shared" si="0"/>
        <v>2032</v>
      </c>
      <c r="P4" s="85">
        <f t="shared" si="0"/>
        <v>2033</v>
      </c>
      <c r="Q4" s="85">
        <f t="shared" si="0"/>
        <v>2034</v>
      </c>
      <c r="R4" s="85">
        <f t="shared" si="0"/>
        <v>2035</v>
      </c>
      <c r="S4" s="85">
        <f t="shared" ref="S4" si="1">R4+1</f>
        <v>2036</v>
      </c>
      <c r="T4" s="85">
        <f t="shared" ref="T4" si="2">S4+1</f>
        <v>2037</v>
      </c>
    </row>
    <row r="5" spans="2:20">
      <c r="B5" s="140" t="s">
        <v>1057</v>
      </c>
    </row>
    <row r="6" spans="2:20">
      <c r="C6" s="144" t="s">
        <v>999</v>
      </c>
    </row>
    <row r="7" spans="2:20">
      <c r="C7" s="140" t="s">
        <v>1058</v>
      </c>
      <c r="D7" s="145">
        <f>历史数据!C57</f>
        <v>2918.5158158499999</v>
      </c>
      <c r="E7" s="145">
        <f>历史数据!D57</f>
        <v>3400.7505733000003</v>
      </c>
      <c r="F7" s="145">
        <f>历史数据!E57</f>
        <v>3927.27106693</v>
      </c>
      <c r="G7" s="145">
        <f>历史数据!F57</f>
        <v>3716.6476340500003</v>
      </c>
      <c r="H7" s="146">
        <f>历史数据!G57</f>
        <v>4091.6442333</v>
      </c>
      <c r="I7" s="157">
        <f ca="1">历史数据及预测表!$I$184</f>
        <v>7233.5472004936573</v>
      </c>
      <c r="J7" s="152">
        <f ca="1">历史数据及预测表!$J$184</f>
        <v>9237.1611718196982</v>
      </c>
      <c r="K7" s="152">
        <f ca="1">历史数据及预测表!$K$184</f>
        <v>10880.218522936822</v>
      </c>
      <c r="L7" s="152">
        <f ca="1">历史数据及预测表!$L$184</f>
        <v>12824.763964470785</v>
      </c>
      <c r="M7" s="152">
        <f ca="1">历史数据及预测表!$M$184</f>
        <v>15532.666965293934</v>
      </c>
      <c r="N7" s="152">
        <f ca="1">历史数据及预测表!$N$184</f>
        <v>18472.131966875044</v>
      </c>
      <c r="O7" s="152">
        <f ca="1">历史数据及预测表!$O$184</f>
        <v>22038.142381811125</v>
      </c>
      <c r="P7" s="152">
        <f ca="1">历史数据及预测表!$P$184</f>
        <v>26397.558777852631</v>
      </c>
      <c r="Q7" s="152">
        <f ca="1">历史数据及预测表!$Q$184</f>
        <v>31501.990952313125</v>
      </c>
      <c r="R7" s="152">
        <f ca="1">历史数据及预测表!$R$184</f>
        <v>37636.783669232253</v>
      </c>
      <c r="S7" s="152">
        <f ca="1">历史数据及预测表!$S$184</f>
        <v>44962.156131262505</v>
      </c>
      <c r="T7" s="152">
        <f ca="1">历史数据及预测表!$T$184</f>
        <v>53713.290321228851</v>
      </c>
    </row>
    <row r="8" spans="2:20">
      <c r="C8" s="140" t="s">
        <v>1059</v>
      </c>
      <c r="D8" s="145">
        <f>历史数据!C60</f>
        <v>962.22327854999992</v>
      </c>
      <c r="E8" s="145">
        <f>历史数据!D60</f>
        <v>350.60680310000004</v>
      </c>
      <c r="F8" s="145">
        <f>历史数据!E60</f>
        <v>393.86513200000002</v>
      </c>
      <c r="G8" s="145">
        <f>历史数据!F60</f>
        <v>757.73708195000006</v>
      </c>
      <c r="H8" s="146">
        <f>历史数据!G60</f>
        <v>899.70456673000001</v>
      </c>
      <c r="I8" s="157">
        <f>假设表!I33+历史数据及预测表!H8</f>
        <v>899.70456673000001</v>
      </c>
      <c r="J8" s="152">
        <f>假设表!J33+历史数据及预测表!I8</f>
        <v>899.70456673000001</v>
      </c>
      <c r="K8" s="152">
        <f>假设表!K33+历史数据及预测表!J8</f>
        <v>899.70456673000001</v>
      </c>
      <c r="L8" s="152">
        <f>假设表!L33+历史数据及预测表!K8</f>
        <v>899.70456673000001</v>
      </c>
      <c r="M8" s="152">
        <f>假设表!M33+历史数据及预测表!L8</f>
        <v>899.70456673000001</v>
      </c>
      <c r="N8" s="152">
        <f>假设表!N33+历史数据及预测表!M8</f>
        <v>899.70456673000001</v>
      </c>
      <c r="O8" s="152">
        <f>假设表!O33+历史数据及预测表!N8</f>
        <v>899.70456673000001</v>
      </c>
      <c r="P8" s="152">
        <f>假设表!P33+历史数据及预测表!O8</f>
        <v>899.70456673000001</v>
      </c>
      <c r="Q8" s="152">
        <f>假设表!Q33+历史数据及预测表!P8</f>
        <v>899.70456673000001</v>
      </c>
      <c r="R8" s="152">
        <f>假设表!R33+历史数据及预测表!Q8</f>
        <v>899.70456673000001</v>
      </c>
      <c r="S8" s="152">
        <f>假设表!S33+历史数据及预测表!R8</f>
        <v>899.70456673000001</v>
      </c>
      <c r="T8" s="152">
        <f>假设表!T33+历史数据及预测表!S8</f>
        <v>899.70456673000001</v>
      </c>
    </row>
    <row r="9" spans="2:20">
      <c r="C9" s="140" t="s">
        <v>1060</v>
      </c>
      <c r="D9" s="145">
        <f>历史数据!C61</f>
        <v>0</v>
      </c>
      <c r="E9" s="145">
        <f>历史数据!D61</f>
        <v>0</v>
      </c>
      <c r="F9" s="145">
        <f>历史数据!E61</f>
        <v>0</v>
      </c>
      <c r="G9" s="145">
        <f>历史数据!F61</f>
        <v>0</v>
      </c>
      <c r="H9" s="145">
        <f>历史数据!G61</f>
        <v>0</v>
      </c>
      <c r="I9" s="157">
        <f>假设表!I34+历史数据及预测表!H9</f>
        <v>0</v>
      </c>
      <c r="J9" s="152">
        <f>假设表!J34+历史数据及预测表!I9</f>
        <v>0</v>
      </c>
      <c r="K9" s="152">
        <f>假设表!K34+历史数据及预测表!J9</f>
        <v>0</v>
      </c>
      <c r="L9" s="152">
        <f>假设表!L34+历史数据及预测表!K9</f>
        <v>0</v>
      </c>
      <c r="M9" s="152">
        <f>假设表!M34+历史数据及预测表!L9</f>
        <v>0</v>
      </c>
      <c r="N9" s="152">
        <f>假设表!N34+历史数据及预测表!M9</f>
        <v>0</v>
      </c>
      <c r="O9" s="152">
        <f>假设表!O34+历史数据及预测表!N9</f>
        <v>0</v>
      </c>
      <c r="P9" s="152">
        <f>假设表!P34+历史数据及预测表!O9</f>
        <v>0</v>
      </c>
      <c r="Q9" s="152">
        <f>假设表!Q34+历史数据及预测表!P9</f>
        <v>0</v>
      </c>
      <c r="R9" s="152">
        <f>假设表!R34+历史数据及预测表!Q9</f>
        <v>0</v>
      </c>
      <c r="S9" s="152">
        <f>假设表!S34+历史数据及预测表!R9</f>
        <v>0</v>
      </c>
      <c r="T9" s="152">
        <f>假设表!T34+历史数据及预测表!S9</f>
        <v>0</v>
      </c>
    </row>
    <row r="10" spans="2:20">
      <c r="C10" s="140" t="s">
        <v>1061</v>
      </c>
      <c r="D10" s="145">
        <f>历史数据!C62</f>
        <v>658.22890942999993</v>
      </c>
      <c r="E10" s="145">
        <f>历史数据!D62</f>
        <v>515.98074270999996</v>
      </c>
      <c r="F10" s="145">
        <f>历史数据!E62</f>
        <v>403.34879720999999</v>
      </c>
      <c r="G10" s="145">
        <f>历史数据!F62</f>
        <v>388.72856144000002</v>
      </c>
      <c r="H10" s="146">
        <f>历史数据!G62</f>
        <v>466.53246032999999</v>
      </c>
      <c r="I10" s="157">
        <f>I189-I190</f>
        <v>774.57337006420619</v>
      </c>
      <c r="J10" s="152">
        <f t="shared" ref="J10:R10" si="3">J189-J190</f>
        <v>1002.5153220471476</v>
      </c>
      <c r="K10" s="152">
        <f t="shared" si="3"/>
        <v>1195.3501793154217</v>
      </c>
      <c r="L10" s="152">
        <f t="shared" si="3"/>
        <v>1391.3699346582973</v>
      </c>
      <c r="M10" s="152">
        <f t="shared" si="3"/>
        <v>1692.4569733659409</v>
      </c>
      <c r="N10" s="152">
        <f t="shared" si="3"/>
        <v>2015.401673256001</v>
      </c>
      <c r="O10" s="152">
        <f t="shared" si="3"/>
        <v>2398.901738485481</v>
      </c>
      <c r="P10" s="152">
        <f t="shared" si="3"/>
        <v>2876.6151858534822</v>
      </c>
      <c r="Q10" s="152">
        <f t="shared" si="3"/>
        <v>3432.9816017443404</v>
      </c>
      <c r="R10" s="152">
        <f t="shared" si="3"/>
        <v>4099.9214128087306</v>
      </c>
      <c r="S10" s="152">
        <f t="shared" ref="S10:T10" si="4">S189-S190</f>
        <v>4897.9027614084616</v>
      </c>
      <c r="T10" s="152">
        <f t="shared" si="4"/>
        <v>5851.1978754681049</v>
      </c>
    </row>
    <row r="11" spans="2:20">
      <c r="C11" s="140" t="s">
        <v>1001</v>
      </c>
      <c r="D11" s="147">
        <f>历史数据!C63</f>
        <v>2.7023687500000002</v>
      </c>
      <c r="E11" s="147">
        <f>历史数据!D63</f>
        <v>4.4419726100000005</v>
      </c>
      <c r="F11" s="147">
        <f>历史数据!E63</f>
        <v>3.9836842099999998</v>
      </c>
      <c r="G11" s="147">
        <f>历史数据!F63</f>
        <v>2.2228317099999999</v>
      </c>
      <c r="H11" s="147">
        <f>历史数据!G63</f>
        <v>4.2487960599999992</v>
      </c>
      <c r="I11" s="158">
        <f>假设表!I37*历史数据及预测表!I107</f>
        <v>6.3778215017637034</v>
      </c>
      <c r="J11" s="159">
        <f>假设表!J37*历史数据及预测表!J107</f>
        <v>7.7383765981667478</v>
      </c>
      <c r="K11" s="159">
        <f>假设表!K37*历史数据及预测表!K107</f>
        <v>9.9977593427602898</v>
      </c>
      <c r="L11" s="159">
        <f>假设表!L37*历史数据及预测表!L107</f>
        <v>11.27800838977695</v>
      </c>
      <c r="M11" s="159">
        <f>假设表!M37*历史数据及预测表!M107</f>
        <v>13.647368118125938</v>
      </c>
      <c r="N11" s="159">
        <f>假设表!N37*历史数据及预测表!N107</f>
        <v>16.482405619736188</v>
      </c>
      <c r="O11" s="159">
        <f>假设表!O37*历史数据及预测表!O107</f>
        <v>19.469197087258951</v>
      </c>
      <c r="P11" s="159">
        <f>假设表!P37*历史数据及预测表!P107</f>
        <v>23.355995937246188</v>
      </c>
      <c r="Q11" s="159">
        <f>假设表!Q37*历史数据及预测表!Q107</f>
        <v>27.93694359571138</v>
      </c>
      <c r="R11" s="159">
        <f>假设表!R37*历史数据及预测表!R107</f>
        <v>33.309070717899822</v>
      </c>
      <c r="S11" s="159">
        <f>假设表!S37*历史数据及预测表!S107</f>
        <v>39.792126000138602</v>
      </c>
      <c r="T11" s="159">
        <f>假设表!T37*历史数据及预测表!T107</f>
        <v>47.536999906755206</v>
      </c>
    </row>
    <row r="12" spans="2:20">
      <c r="C12" s="140" t="s">
        <v>1002</v>
      </c>
      <c r="D12" s="147">
        <f>历史数据!C64</f>
        <v>0</v>
      </c>
      <c r="E12" s="147">
        <f>历史数据!D64</f>
        <v>0</v>
      </c>
      <c r="F12" s="147">
        <f>历史数据!E64</f>
        <v>0</v>
      </c>
      <c r="G12" s="147">
        <f>历史数据!F64</f>
        <v>0</v>
      </c>
      <c r="H12" s="147">
        <f>历史数据!G64</f>
        <v>0</v>
      </c>
      <c r="I12" s="158">
        <f>假设表!I38*历史数据及预测表!I107</f>
        <v>0</v>
      </c>
      <c r="J12" s="159">
        <f>假设表!J38*历史数据及预测表!J107</f>
        <v>0</v>
      </c>
      <c r="K12" s="159">
        <f>假设表!K38*历史数据及预测表!K107</f>
        <v>0</v>
      </c>
      <c r="L12" s="159">
        <f>假设表!L38*历史数据及预测表!L107</f>
        <v>0</v>
      </c>
      <c r="M12" s="159">
        <f>假设表!M38*历史数据及预测表!M107</f>
        <v>0</v>
      </c>
      <c r="N12" s="159">
        <f>假设表!N38*历史数据及预测表!N107</f>
        <v>0</v>
      </c>
      <c r="O12" s="159">
        <f>假设表!O38*历史数据及预测表!O107</f>
        <v>0</v>
      </c>
      <c r="P12" s="159">
        <f>假设表!P38*历史数据及预测表!P107</f>
        <v>0</v>
      </c>
      <c r="Q12" s="159">
        <f>假设表!Q38*历史数据及预测表!Q107</f>
        <v>0</v>
      </c>
      <c r="R12" s="159">
        <f>假设表!R38*历史数据及预测表!R107</f>
        <v>0</v>
      </c>
      <c r="S12" s="159">
        <f>假设表!S38*历史数据及预测表!S107</f>
        <v>0</v>
      </c>
      <c r="T12" s="159">
        <f>假设表!T38*历史数据及预测表!T107</f>
        <v>0</v>
      </c>
    </row>
    <row r="13" spans="2:20">
      <c r="C13" s="140" t="s">
        <v>1003</v>
      </c>
      <c r="D13" s="145">
        <f>历史数据!C65</f>
        <v>29.27031865</v>
      </c>
      <c r="E13" s="145">
        <f>历史数据!D65</f>
        <v>54.214687700000006</v>
      </c>
      <c r="F13" s="145">
        <f>历史数据!E65</f>
        <v>69.007065530000006</v>
      </c>
      <c r="G13" s="145">
        <f>历史数据!F65</f>
        <v>89.784502680000003</v>
      </c>
      <c r="H13" s="146">
        <f>历史数据!G65</f>
        <v>157.53617800999999</v>
      </c>
      <c r="I13" s="157">
        <f>假设表!I39*历史数据及预测表!I110</f>
        <v>150.99387134181842</v>
      </c>
      <c r="J13" s="152">
        <f>假设表!J39*历史数据及预测表!J110</f>
        <v>226.59477149443336</v>
      </c>
      <c r="K13" s="152">
        <f>假设表!K39*历史数据及预测表!K110</f>
        <v>312.13543089602473</v>
      </c>
      <c r="L13" s="152">
        <f>假设表!L39*历史数据及预测表!L110</f>
        <v>350.13373079682117</v>
      </c>
      <c r="M13" s="152">
        <f>假设表!M39*历史数据及预测表!M110</f>
        <v>416.76519126278401</v>
      </c>
      <c r="N13" s="152">
        <f>假设表!N39*历史数据及预测表!N110</f>
        <v>510.03707464639433</v>
      </c>
      <c r="O13" s="152">
        <f>假设表!O39*历史数据及预测表!O110</f>
        <v>600.61797118849302</v>
      </c>
      <c r="P13" s="152">
        <f>假设表!P39*历史数据及预测表!P110</f>
        <v>718.86439709373724</v>
      </c>
      <c r="Q13" s="152">
        <f>假设表!Q39*历史数据及预测表!Q110</f>
        <v>862.0713749798482</v>
      </c>
      <c r="R13" s="152">
        <f>假设表!R39*历史数据及预测表!R110</f>
        <v>1026.8819973636705</v>
      </c>
      <c r="S13" s="152">
        <f>假设表!S39*历史数据及预测表!S110</f>
        <v>1226.7474578451872</v>
      </c>
      <c r="T13" s="152">
        <f>假设表!T39*历史数据及预测表!T110</f>
        <v>1465.513398027432</v>
      </c>
    </row>
    <row r="14" spans="2:20">
      <c r="C14" s="140" t="s">
        <v>1062</v>
      </c>
      <c r="D14" s="145">
        <f>历史数据!C69</f>
        <v>94.215122400000013</v>
      </c>
      <c r="E14" s="145">
        <f>历史数据!D69</f>
        <v>101.89745284</v>
      </c>
      <c r="F14" s="145">
        <f>历史数据!E69</f>
        <v>284.03853038</v>
      </c>
      <c r="G14" s="145">
        <f>历史数据!F69</f>
        <v>284.81771782999999</v>
      </c>
      <c r="H14" s="146">
        <f>历史数据!G69</f>
        <v>1.6572251999999998</v>
      </c>
      <c r="I14" s="157">
        <f>历史数据及预测表!I192-历史数据及预测表!I193</f>
        <v>361.80354513259249</v>
      </c>
      <c r="J14" s="152">
        <f>历史数据及预测表!J192-历史数据及预测表!J193</f>
        <v>393.74565210132641</v>
      </c>
      <c r="K14" s="152">
        <f>历史数据及预测表!K192-历史数据及预测表!K193</f>
        <v>338.50544557105707</v>
      </c>
      <c r="L14" s="152">
        <f>历史数据及预测表!L192-历史数据及预测表!L193</f>
        <v>529.16017035354673</v>
      </c>
      <c r="M14" s="152">
        <f>历史数据及预测表!M192-历史数据及预测表!M193</f>
        <v>595.53372920546622</v>
      </c>
      <c r="N14" s="152">
        <f>历史数据及预测表!N192-历史数据及预测表!N193</f>
        <v>681.77988032360395</v>
      </c>
      <c r="O14" s="152">
        <f>历史数据及预测表!O192-历史数据及预测表!O193</f>
        <v>855.89962747044103</v>
      </c>
      <c r="P14" s="152">
        <f>历史数据及预测表!P192-历史数据及预测表!P193</f>
        <v>1003.8732616621347</v>
      </c>
      <c r="Q14" s="152">
        <f>历史数据及预测表!Q192-历史数据及预测表!Q193</f>
        <v>1194.7154889603596</v>
      </c>
      <c r="R14" s="152">
        <f>历史数据及预测表!R192-历史数据及预测表!R193</f>
        <v>1440.1260748518246</v>
      </c>
      <c r="S14" s="152">
        <f>历史数据及预测表!S192-历史数据及预测表!S193</f>
        <v>1720.4226053593736</v>
      </c>
      <c r="T14" s="152">
        <f>历史数据及预测表!T192-历史数据及预测表!T193</f>
        <v>2055.2741823913411</v>
      </c>
    </row>
    <row r="15" spans="2:20">
      <c r="C15" s="140" t="s">
        <v>1063</v>
      </c>
      <c r="D15" s="145">
        <f>历史数据!C71</f>
        <v>1419.40211656</v>
      </c>
      <c r="E15" s="145">
        <f>历史数据!D71</f>
        <v>2303.83672695</v>
      </c>
      <c r="F15" s="145">
        <f>历史数据!E71</f>
        <v>2404.7807772800002</v>
      </c>
      <c r="G15" s="145">
        <f>历史数据!F71</f>
        <v>2672.0205025</v>
      </c>
      <c r="H15" s="146">
        <f>历史数据!G71</f>
        <v>2974.6471224800002</v>
      </c>
      <c r="I15" s="157">
        <f>I195-I196</f>
        <v>3145.0437073486623</v>
      </c>
      <c r="J15" s="152">
        <f t="shared" ref="J15:R15" si="5">J195-J196</f>
        <v>4252.8444537073474</v>
      </c>
      <c r="K15" s="152">
        <f t="shared" si="5"/>
        <v>5562.9774005476684</v>
      </c>
      <c r="L15" s="152">
        <f t="shared" si="5"/>
        <v>6673.4392120624216</v>
      </c>
      <c r="M15" s="152">
        <f t="shared" si="5"/>
        <v>7724.6956918699134</v>
      </c>
      <c r="N15" s="152">
        <f t="shared" si="5"/>
        <v>9414.4184664670884</v>
      </c>
      <c r="O15" s="152">
        <f t="shared" si="5"/>
        <v>11219.846672568652</v>
      </c>
      <c r="P15" s="152">
        <f t="shared" si="5"/>
        <v>13340.283620948208</v>
      </c>
      <c r="Q15" s="152">
        <f t="shared" si="5"/>
        <v>16004.330250180445</v>
      </c>
      <c r="R15" s="152">
        <f t="shared" si="5"/>
        <v>19100.828738445929</v>
      </c>
      <c r="S15" s="152">
        <f t="shared" ref="S15:T15" si="6">S195-S196</f>
        <v>22818.486600974491</v>
      </c>
      <c r="T15" s="152">
        <f t="shared" si="6"/>
        <v>27259.724585186555</v>
      </c>
    </row>
    <row r="16" spans="2:20">
      <c r="C16" s="140" t="s">
        <v>1064</v>
      </c>
      <c r="D16" s="145">
        <f>历史数据!C73</f>
        <v>0</v>
      </c>
      <c r="E16" s="145">
        <f>历史数据!D73</f>
        <v>0</v>
      </c>
      <c r="F16" s="145">
        <f>历史数据!E73</f>
        <v>0</v>
      </c>
      <c r="G16" s="145">
        <f>历史数据!F73</f>
        <v>0</v>
      </c>
      <c r="H16" s="145">
        <f>历史数据!G73</f>
        <v>0</v>
      </c>
      <c r="I16" s="157">
        <f>I198-I199</f>
        <v>0</v>
      </c>
      <c r="J16" s="152">
        <f t="shared" ref="J16:R16" si="7">J198-J199</f>
        <v>0</v>
      </c>
      <c r="K16" s="152">
        <f t="shared" si="7"/>
        <v>0</v>
      </c>
      <c r="L16" s="152">
        <f t="shared" si="7"/>
        <v>0</v>
      </c>
      <c r="M16" s="152">
        <f t="shared" si="7"/>
        <v>0</v>
      </c>
      <c r="N16" s="152">
        <f t="shared" si="7"/>
        <v>0</v>
      </c>
      <c r="O16" s="152">
        <f t="shared" si="7"/>
        <v>0</v>
      </c>
      <c r="P16" s="152">
        <f t="shared" si="7"/>
        <v>0</v>
      </c>
      <c r="Q16" s="152">
        <f t="shared" si="7"/>
        <v>0</v>
      </c>
      <c r="R16" s="152">
        <f t="shared" si="7"/>
        <v>0</v>
      </c>
      <c r="S16" s="152">
        <f t="shared" ref="S16:T16" si="8">S198-S199</f>
        <v>0</v>
      </c>
      <c r="T16" s="152">
        <f t="shared" si="8"/>
        <v>0</v>
      </c>
    </row>
    <row r="17" spans="3:20">
      <c r="C17" s="140" t="s">
        <v>1007</v>
      </c>
      <c r="D17" s="145">
        <f>历史数据!C74</f>
        <v>0</v>
      </c>
      <c r="E17" s="145">
        <f>历史数据!D74</f>
        <v>0</v>
      </c>
      <c r="F17" s="145">
        <f>历史数据!E74</f>
        <v>0</v>
      </c>
      <c r="G17" s="145">
        <f>历史数据!F74</f>
        <v>0</v>
      </c>
      <c r="H17" s="146">
        <f>历史数据!G74</f>
        <v>0</v>
      </c>
      <c r="I17" s="157">
        <f>假设表!I46+历史数据及预测表!H17</f>
        <v>0</v>
      </c>
      <c r="J17" s="152">
        <f>假设表!J46+历史数据及预测表!I17</f>
        <v>0</v>
      </c>
      <c r="K17" s="152">
        <f>假设表!K46+历史数据及预测表!J17</f>
        <v>0</v>
      </c>
      <c r="L17" s="152">
        <f>假设表!L46+历史数据及预测表!K17</f>
        <v>0</v>
      </c>
      <c r="M17" s="152">
        <f>假设表!M46+历史数据及预测表!L17</f>
        <v>0</v>
      </c>
      <c r="N17" s="152">
        <f>假设表!N46+历史数据及预测表!M17</f>
        <v>0</v>
      </c>
      <c r="O17" s="152">
        <f>假设表!O46+历史数据及预测表!N17</f>
        <v>0</v>
      </c>
      <c r="P17" s="152">
        <f>假设表!P46+历史数据及预测表!O17</f>
        <v>0</v>
      </c>
      <c r="Q17" s="152">
        <f>假设表!Q46+历史数据及预测表!P17</f>
        <v>0</v>
      </c>
      <c r="R17" s="152">
        <f>假设表!R46+历史数据及预测表!Q17</f>
        <v>0</v>
      </c>
      <c r="S17" s="152">
        <f>假设表!S46+历史数据及预测表!R17</f>
        <v>0</v>
      </c>
      <c r="T17" s="152">
        <f>假设表!T46+历史数据及预测表!S17</f>
        <v>0</v>
      </c>
    </row>
    <row r="18" spans="3:20">
      <c r="C18" s="140" t="s">
        <v>1008</v>
      </c>
      <c r="D18" s="145">
        <f>历史数据!C75</f>
        <v>0</v>
      </c>
      <c r="E18" s="145">
        <f>历史数据!D75</f>
        <v>0</v>
      </c>
      <c r="F18" s="145">
        <f>历史数据!E75</f>
        <v>0</v>
      </c>
      <c r="G18" s="145">
        <f>历史数据!F75</f>
        <v>43.804254990000004</v>
      </c>
      <c r="H18" s="146">
        <f>历史数据!G75</f>
        <v>0</v>
      </c>
      <c r="I18" s="157">
        <f>假设表!I47+历史数据及预测表!H18</f>
        <v>0</v>
      </c>
      <c r="J18" s="152">
        <f>假设表!J47+历史数据及预测表!I18</f>
        <v>0</v>
      </c>
      <c r="K18" s="152">
        <f>假设表!K47+历史数据及预测表!J18</f>
        <v>0</v>
      </c>
      <c r="L18" s="152">
        <f>假设表!L47+历史数据及预测表!K18</f>
        <v>0</v>
      </c>
      <c r="M18" s="152">
        <f>假设表!M47+历史数据及预测表!L18</f>
        <v>0</v>
      </c>
      <c r="N18" s="152">
        <f>假设表!N47+历史数据及预测表!M18</f>
        <v>0</v>
      </c>
      <c r="O18" s="152">
        <f>假设表!O47+历史数据及预测表!N18</f>
        <v>0</v>
      </c>
      <c r="P18" s="152">
        <f>假设表!P47+历史数据及预测表!O18</f>
        <v>0</v>
      </c>
      <c r="Q18" s="152">
        <f>假设表!Q47+历史数据及预测表!P18</f>
        <v>0</v>
      </c>
      <c r="R18" s="152">
        <f>假设表!R47+历史数据及预测表!Q18</f>
        <v>0</v>
      </c>
      <c r="S18" s="152">
        <f>假设表!S47+历史数据及预测表!R18</f>
        <v>0</v>
      </c>
      <c r="T18" s="152">
        <f>假设表!T47+历史数据及预测表!S18</f>
        <v>0</v>
      </c>
    </row>
    <row r="19" spans="3:20">
      <c r="C19" s="140" t="s">
        <v>1009</v>
      </c>
      <c r="D19" s="145">
        <f>历史数据!C76</f>
        <v>0</v>
      </c>
      <c r="E19" s="145">
        <f>历史数据!D76</f>
        <v>0</v>
      </c>
      <c r="F19" s="145">
        <f>历史数据!E76</f>
        <v>0</v>
      </c>
      <c r="G19" s="145">
        <f>历史数据!F76</f>
        <v>0</v>
      </c>
      <c r="H19" s="146">
        <f>历史数据!G76</f>
        <v>0</v>
      </c>
      <c r="I19" s="157">
        <f>假设表!I48*历史数据及预测表!I107</f>
        <v>0</v>
      </c>
      <c r="J19" s="152">
        <f>假设表!J48*历史数据及预测表!J107</f>
        <v>0</v>
      </c>
      <c r="K19" s="152">
        <f>假设表!K48*历史数据及预测表!K107</f>
        <v>0</v>
      </c>
      <c r="L19" s="152">
        <f>假设表!L48*历史数据及预测表!L107</f>
        <v>0</v>
      </c>
      <c r="M19" s="152">
        <f>假设表!M48*历史数据及预测表!M107</f>
        <v>0</v>
      </c>
      <c r="N19" s="152">
        <f>假设表!N48*历史数据及预测表!N107</f>
        <v>0</v>
      </c>
      <c r="O19" s="152">
        <f>假设表!O48*历史数据及预测表!O107</f>
        <v>0</v>
      </c>
      <c r="P19" s="152">
        <f>假设表!P48*历史数据及预测表!P107</f>
        <v>0</v>
      </c>
      <c r="Q19" s="152">
        <f>假设表!Q48*历史数据及预测表!Q107</f>
        <v>0</v>
      </c>
      <c r="R19" s="152">
        <f>假设表!R48*历史数据及预测表!R107</f>
        <v>0</v>
      </c>
      <c r="S19" s="152">
        <f>假设表!S48*历史数据及预测表!S107</f>
        <v>0</v>
      </c>
      <c r="T19" s="152">
        <f>假设表!T48*历史数据及预测表!T107</f>
        <v>0</v>
      </c>
    </row>
    <row r="20" spans="3:20">
      <c r="C20" s="140" t="s">
        <v>1010</v>
      </c>
      <c r="D20" s="145">
        <f>历史数据!C77</f>
        <v>45.749647719999999</v>
      </c>
      <c r="E20" s="145">
        <f>历史数据!D77</f>
        <v>63.3615651</v>
      </c>
      <c r="F20" s="145">
        <f>历史数据!E77</f>
        <v>96.716587310000008</v>
      </c>
      <c r="G20" s="145">
        <f>历史数据!F77</f>
        <v>92.692403799999994</v>
      </c>
      <c r="H20" s="146">
        <f>历史数据!G77</f>
        <v>97.386625590000008</v>
      </c>
      <c r="I20" s="157">
        <f>假设表!I49+历史数据及预测表!H20</f>
        <v>97.386625590000008</v>
      </c>
      <c r="J20" s="152">
        <f>假设表!J49+历史数据及预测表!I20</f>
        <v>97.386625590000008</v>
      </c>
      <c r="K20" s="152">
        <f>假设表!K49+历史数据及预测表!J20</f>
        <v>97.386625590000008</v>
      </c>
      <c r="L20" s="152">
        <f>假设表!L49+历史数据及预测表!K20</f>
        <v>97.386625590000008</v>
      </c>
      <c r="M20" s="152">
        <f>假设表!M49+历史数据及预测表!L20</f>
        <v>97.386625590000008</v>
      </c>
      <c r="N20" s="152">
        <f>假设表!N49+历史数据及预测表!M20</f>
        <v>97.386625590000008</v>
      </c>
      <c r="O20" s="152">
        <f>假设表!O49+历史数据及预测表!N20</f>
        <v>97.386625590000008</v>
      </c>
      <c r="P20" s="152">
        <f>假设表!P49+历史数据及预测表!O20</f>
        <v>97.386625590000008</v>
      </c>
      <c r="Q20" s="152">
        <f>假设表!Q49+历史数据及预测表!P20</f>
        <v>97.386625590000008</v>
      </c>
      <c r="R20" s="152">
        <f>假设表!R49+历史数据及预测表!Q20</f>
        <v>97.386625590000008</v>
      </c>
      <c r="S20" s="152">
        <f>假设表!S49+历史数据及预测表!R20</f>
        <v>97.386625590000008</v>
      </c>
      <c r="T20" s="152">
        <f>假设表!T49+历史数据及预测表!S20</f>
        <v>97.386625590000008</v>
      </c>
    </row>
    <row r="21" spans="3:20">
      <c r="C21" s="140" t="s">
        <v>1065</v>
      </c>
      <c r="D21" s="145">
        <f>历史数据!C58+历史数据!C59+历史数据!C66+历史数据!C67+历史数据!C68+历史数据!C70</f>
        <v>0</v>
      </c>
      <c r="E21" s="145">
        <f>历史数据!D58+历史数据!D59+历史数据!D66+历史数据!D67+历史数据!D68+历史数据!D70</f>
        <v>0</v>
      </c>
      <c r="F21" s="145">
        <f>历史数据!E58+历史数据!E59+历史数据!E66+历史数据!E67+历史数据!E68+历史数据!E70</f>
        <v>0</v>
      </c>
      <c r="G21" s="145">
        <f>历史数据!F58+历史数据!F59+历史数据!F66+历史数据!F67+历史数据!F68+历史数据!F70</f>
        <v>0</v>
      </c>
      <c r="H21" s="146">
        <f>历史数据!G58+历史数据!G59+历史数据!G66+历史数据!G67+历史数据!G68+历史数据!G70</f>
        <v>0</v>
      </c>
      <c r="I21" s="157">
        <f>假设表!I50+历史数据及预测表!H21</f>
        <v>0</v>
      </c>
      <c r="J21" s="152">
        <f>假设表!J50+历史数据及预测表!I21</f>
        <v>0</v>
      </c>
      <c r="K21" s="152">
        <f>假设表!K50+历史数据及预测表!J21</f>
        <v>0</v>
      </c>
      <c r="L21" s="152">
        <f>假设表!L50+历史数据及预测表!K21</f>
        <v>0</v>
      </c>
      <c r="M21" s="152">
        <f>假设表!M50+历史数据及预测表!L21</f>
        <v>0</v>
      </c>
      <c r="N21" s="152">
        <f>假设表!N50+历史数据及预测表!M21</f>
        <v>0</v>
      </c>
      <c r="O21" s="152">
        <f>假设表!O50+历史数据及预测表!N21</f>
        <v>0</v>
      </c>
      <c r="P21" s="152">
        <f>假设表!P50+历史数据及预测表!O21</f>
        <v>0</v>
      </c>
      <c r="Q21" s="152">
        <f>假设表!Q50+历史数据及预测表!P21</f>
        <v>0</v>
      </c>
      <c r="R21" s="152">
        <f>假设表!R50+历史数据及预测表!Q21</f>
        <v>0</v>
      </c>
      <c r="S21" s="152">
        <f>假设表!S50+历史数据及预测表!R21</f>
        <v>0</v>
      </c>
      <c r="T21" s="152">
        <f>假设表!T50+历史数据及预测表!S21</f>
        <v>0</v>
      </c>
    </row>
    <row r="22" spans="3:20">
      <c r="C22" s="140" t="s">
        <v>1066</v>
      </c>
      <c r="D22" s="145">
        <f>历史数据!C78</f>
        <v>0</v>
      </c>
      <c r="E22" s="145">
        <f>历史数据!D78</f>
        <v>0</v>
      </c>
      <c r="F22" s="145">
        <f>历史数据!E78</f>
        <v>0</v>
      </c>
      <c r="G22" s="145">
        <f>历史数据!F78</f>
        <v>0</v>
      </c>
      <c r="H22" s="145">
        <f>历史数据!G78</f>
        <v>0</v>
      </c>
      <c r="I22" s="157">
        <f>H22</f>
        <v>0</v>
      </c>
      <c r="J22" s="152">
        <f t="shared" ref="J22:R22" si="9">I22</f>
        <v>0</v>
      </c>
      <c r="K22" s="152">
        <f t="shared" si="9"/>
        <v>0</v>
      </c>
      <c r="L22" s="152">
        <f t="shared" si="9"/>
        <v>0</v>
      </c>
      <c r="M22" s="152">
        <f t="shared" si="9"/>
        <v>0</v>
      </c>
      <c r="N22" s="152">
        <f t="shared" si="9"/>
        <v>0</v>
      </c>
      <c r="O22" s="152">
        <f t="shared" si="9"/>
        <v>0</v>
      </c>
      <c r="P22" s="152">
        <f t="shared" si="9"/>
        <v>0</v>
      </c>
      <c r="Q22" s="152">
        <f t="shared" si="9"/>
        <v>0</v>
      </c>
      <c r="R22" s="152">
        <f t="shared" si="9"/>
        <v>0</v>
      </c>
      <c r="S22" s="152">
        <f t="shared" ref="S22" si="10">R22</f>
        <v>0</v>
      </c>
      <c r="T22" s="152">
        <f t="shared" ref="T22" si="11">S22</f>
        <v>0</v>
      </c>
    </row>
    <row r="23" spans="3:20" ht="14.65">
      <c r="C23" s="148" t="s">
        <v>1067</v>
      </c>
      <c r="D23" s="149">
        <f t="shared" ref="D23:I23" si="12">SUM(D7:D22)</f>
        <v>6130.3075779099991</v>
      </c>
      <c r="E23" s="149">
        <f t="shared" si="12"/>
        <v>6795.0905243100005</v>
      </c>
      <c r="F23" s="149">
        <f t="shared" si="12"/>
        <v>7583.0116408500016</v>
      </c>
      <c r="G23" s="149">
        <f t="shared" si="12"/>
        <v>8048.4554909500002</v>
      </c>
      <c r="H23" s="150">
        <f t="shared" si="12"/>
        <v>8693.357207699999</v>
      </c>
      <c r="I23" s="160">
        <f t="shared" ca="1" si="12"/>
        <v>12669.430708202699</v>
      </c>
      <c r="J23" s="161">
        <f t="shared" ref="J23:R23" ca="1" si="13">SUM(J7:J22)</f>
        <v>16117.69094008812</v>
      </c>
      <c r="K23" s="161">
        <f t="shared" ca="1" si="13"/>
        <v>19296.275930929754</v>
      </c>
      <c r="L23" s="161">
        <f t="shared" ca="1" si="13"/>
        <v>22777.236213051649</v>
      </c>
      <c r="M23" s="161">
        <f t="shared" ca="1" si="13"/>
        <v>26972.857111436166</v>
      </c>
      <c r="N23" s="161">
        <f t="shared" ca="1" si="13"/>
        <v>32107.342659507871</v>
      </c>
      <c r="O23" s="161">
        <f t="shared" ca="1" si="13"/>
        <v>38129.968780931456</v>
      </c>
      <c r="P23" s="161">
        <f t="shared" ca="1" si="13"/>
        <v>45357.642431667446</v>
      </c>
      <c r="Q23" s="161">
        <f t="shared" ca="1" si="13"/>
        <v>54021.117804093825</v>
      </c>
      <c r="R23" s="161">
        <f t="shared" ca="1" si="13"/>
        <v>64334.942155740304</v>
      </c>
      <c r="S23" s="161">
        <f t="shared" ref="S23:T23" ca="1" si="14">SUM(S7:S22)</f>
        <v>76662.598875170166</v>
      </c>
      <c r="T23" s="161">
        <f t="shared" ca="1" si="14"/>
        <v>91389.628554529045</v>
      </c>
    </row>
    <row r="24" spans="3:20">
      <c r="C24" s="144" t="s">
        <v>1068</v>
      </c>
      <c r="D24" s="151"/>
      <c r="E24" s="151"/>
      <c r="F24" s="151"/>
      <c r="G24" s="151"/>
      <c r="H24" s="152"/>
      <c r="I24" s="152"/>
      <c r="J24" s="152"/>
      <c r="K24" s="152"/>
      <c r="L24" s="152"/>
      <c r="M24" s="152"/>
      <c r="N24" s="152"/>
      <c r="O24" s="152"/>
      <c r="P24" s="152"/>
      <c r="Q24" s="152"/>
      <c r="R24" s="152"/>
      <c r="S24" s="152"/>
      <c r="T24" s="152"/>
    </row>
    <row r="25" spans="3:20">
      <c r="C25" s="140" t="s">
        <v>1069</v>
      </c>
      <c r="D25" s="145">
        <f>历史数据!C84</f>
        <v>0</v>
      </c>
      <c r="E25" s="145">
        <f>历史数据!D84</f>
        <v>0</v>
      </c>
      <c r="F25" s="145">
        <f>历史数据!E84</f>
        <v>0</v>
      </c>
      <c r="G25" s="145">
        <f>历史数据!F84</f>
        <v>0</v>
      </c>
      <c r="H25" s="146">
        <f>历史数据!G84</f>
        <v>0</v>
      </c>
      <c r="I25" s="157">
        <f>假设表!I77+历史数据及预测表!H25</f>
        <v>0</v>
      </c>
      <c r="J25" s="152">
        <f>假设表!J77+历史数据及预测表!I25</f>
        <v>0</v>
      </c>
      <c r="K25" s="152">
        <f>假设表!K77+历史数据及预测表!J25</f>
        <v>0</v>
      </c>
      <c r="L25" s="152">
        <f>假设表!L77+历史数据及预测表!K25</f>
        <v>0</v>
      </c>
      <c r="M25" s="152">
        <f>假设表!M77+历史数据及预测表!L25</f>
        <v>0</v>
      </c>
      <c r="N25" s="152">
        <f>假设表!N77+历史数据及预测表!M25</f>
        <v>0</v>
      </c>
      <c r="O25" s="152">
        <f>假设表!O77+历史数据及预测表!N25</f>
        <v>0</v>
      </c>
      <c r="P25" s="152">
        <f>假设表!P77+历史数据及预测表!O25</f>
        <v>0</v>
      </c>
      <c r="Q25" s="152">
        <f>假设表!Q77+历史数据及预测表!P25</f>
        <v>0</v>
      </c>
      <c r="R25" s="152">
        <f>假设表!R77+历史数据及预测表!Q25</f>
        <v>0</v>
      </c>
      <c r="S25" s="152">
        <f>假设表!S77+历史数据及预测表!R25</f>
        <v>0</v>
      </c>
      <c r="T25" s="152">
        <f>假设表!T77+历史数据及预测表!S25</f>
        <v>0</v>
      </c>
    </row>
    <row r="26" spans="3:20">
      <c r="C26" s="140" t="s">
        <v>1070</v>
      </c>
      <c r="D26" s="145">
        <f>历史数据!C82</f>
        <v>0</v>
      </c>
      <c r="E26" s="145">
        <f>历史数据!D82</f>
        <v>0</v>
      </c>
      <c r="F26" s="145">
        <f>历史数据!E82</f>
        <v>0</v>
      </c>
      <c r="G26" s="145">
        <f>历史数据!F82</f>
        <v>0</v>
      </c>
      <c r="H26" s="145">
        <f>历史数据!G82</f>
        <v>0</v>
      </c>
      <c r="I26" s="157">
        <f>假设表!I79+历史数据及预测表!H26-假设表!I113</f>
        <v>0</v>
      </c>
      <c r="J26" s="152">
        <f>假设表!J79+历史数据及预测表!I26-假设表!J113</f>
        <v>0</v>
      </c>
      <c r="K26" s="152">
        <f>假设表!K79+历史数据及预测表!J26-假设表!K113</f>
        <v>0</v>
      </c>
      <c r="L26" s="152">
        <f>假设表!L79+历史数据及预测表!K26-假设表!L113</f>
        <v>0</v>
      </c>
      <c r="M26" s="152">
        <f>假设表!M79+历史数据及预测表!L26-假设表!M113</f>
        <v>0</v>
      </c>
      <c r="N26" s="152">
        <f>假设表!N79+历史数据及预测表!M26-假设表!N113</f>
        <v>0</v>
      </c>
      <c r="O26" s="152">
        <f>假设表!O79+历史数据及预测表!N26-假设表!O113</f>
        <v>0</v>
      </c>
      <c r="P26" s="152">
        <f>假设表!P79+历史数据及预测表!O26-假设表!P113</f>
        <v>0</v>
      </c>
      <c r="Q26" s="152">
        <f>假设表!Q79+历史数据及预测表!P26-假设表!Q113</f>
        <v>0</v>
      </c>
      <c r="R26" s="152">
        <f>假设表!R79+历史数据及预测表!Q26-假设表!R113</f>
        <v>0</v>
      </c>
      <c r="S26" s="152">
        <f>假设表!S79+历史数据及预测表!R26-假设表!S113</f>
        <v>0</v>
      </c>
      <c r="T26" s="152">
        <f>假设表!T79+历史数据及预测表!S26-假设表!T113</f>
        <v>0</v>
      </c>
    </row>
    <row r="27" spans="3:20">
      <c r="C27" s="140" t="s">
        <v>1071</v>
      </c>
      <c r="D27" s="145">
        <f>历史数据!C83</f>
        <v>0</v>
      </c>
      <c r="E27" s="145">
        <f>历史数据!D83</f>
        <v>0</v>
      </c>
      <c r="F27" s="145">
        <f>历史数据!E83</f>
        <v>0</v>
      </c>
      <c r="G27" s="145">
        <f>历史数据!F83</f>
        <v>0</v>
      </c>
      <c r="H27" s="145">
        <f>历史数据!G83</f>
        <v>0</v>
      </c>
      <c r="I27" s="157">
        <f>假设表!I80+历史数据及预测表!H27-假设表!I114</f>
        <v>0</v>
      </c>
      <c r="J27" s="152">
        <f>假设表!J80+历史数据及预测表!I27-假设表!J114</f>
        <v>0</v>
      </c>
      <c r="K27" s="152">
        <f>假设表!K80+历史数据及预测表!J27-假设表!K114</f>
        <v>0</v>
      </c>
      <c r="L27" s="152">
        <f>假设表!L80+历史数据及预测表!K27-假设表!L114</f>
        <v>0</v>
      </c>
      <c r="M27" s="152">
        <f>假设表!M80+历史数据及预测表!L27-假设表!M114</f>
        <v>0</v>
      </c>
      <c r="N27" s="152">
        <f>假设表!N80+历史数据及预测表!M27-假设表!N114</f>
        <v>0</v>
      </c>
      <c r="O27" s="152">
        <f>假设表!O80+历史数据及预测表!N27-假设表!O114</f>
        <v>0</v>
      </c>
      <c r="P27" s="152">
        <f>假设表!P80+历史数据及预测表!O27-假设表!P114</f>
        <v>0</v>
      </c>
      <c r="Q27" s="152">
        <f>假设表!Q80+历史数据及预测表!P27-假设表!Q114</f>
        <v>0</v>
      </c>
      <c r="R27" s="152">
        <f>假设表!R80+历史数据及预测表!Q27-假设表!R114</f>
        <v>0</v>
      </c>
      <c r="S27" s="152">
        <f>假设表!S80+历史数据及预测表!R27-假设表!S114</f>
        <v>0</v>
      </c>
      <c r="T27" s="152">
        <f>假设表!T80+历史数据及预测表!S27-假设表!T114</f>
        <v>0</v>
      </c>
    </row>
    <row r="28" spans="3:20">
      <c r="C28" s="140" t="s">
        <v>1072</v>
      </c>
      <c r="D28" s="145">
        <f>历史数据!C85</f>
        <v>0</v>
      </c>
      <c r="E28" s="145">
        <f>历史数据!D85</f>
        <v>0</v>
      </c>
      <c r="F28" s="145">
        <f>历史数据!E85</f>
        <v>0</v>
      </c>
      <c r="G28" s="145">
        <f>历史数据!F85</f>
        <v>0</v>
      </c>
      <c r="H28" s="146">
        <f>历史数据!G85</f>
        <v>0</v>
      </c>
      <c r="I28" s="157">
        <f>假设表!I78+历史数据及预测表!H28</f>
        <v>0</v>
      </c>
      <c r="J28" s="152">
        <f>假设表!J78+历史数据及预测表!I28</f>
        <v>0</v>
      </c>
      <c r="K28" s="152">
        <f>假设表!K78+历史数据及预测表!J28</f>
        <v>0</v>
      </c>
      <c r="L28" s="152">
        <f>假设表!L78+历史数据及预测表!K28</f>
        <v>0</v>
      </c>
      <c r="M28" s="152">
        <f>假设表!M78+历史数据及预测表!L28</f>
        <v>0</v>
      </c>
      <c r="N28" s="152">
        <f>假设表!N78+历史数据及预测表!M28</f>
        <v>0</v>
      </c>
      <c r="O28" s="152">
        <f>假设表!O78+历史数据及预测表!N28</f>
        <v>0</v>
      </c>
      <c r="P28" s="152">
        <f>假设表!P78+历史数据及预测表!O28</f>
        <v>0</v>
      </c>
      <c r="Q28" s="152">
        <f>假设表!Q78+历史数据及预测表!P28</f>
        <v>0</v>
      </c>
      <c r="R28" s="152">
        <f>假设表!R78+历史数据及预测表!Q28</f>
        <v>0</v>
      </c>
      <c r="S28" s="152">
        <f>假设表!S78+历史数据及预测表!R28</f>
        <v>0</v>
      </c>
      <c r="T28" s="152">
        <f>假设表!T78+历史数据及预测表!S28</f>
        <v>0</v>
      </c>
    </row>
    <row r="29" spans="3:20">
      <c r="C29" s="140" t="s">
        <v>1073</v>
      </c>
      <c r="D29" s="145">
        <f>历史数据!C86</f>
        <v>522.28475836999996</v>
      </c>
      <c r="E29" s="145">
        <f>历史数据!D86</f>
        <v>393.13122192999998</v>
      </c>
      <c r="F29" s="145">
        <f>历史数据!E86</f>
        <v>222.03930905000001</v>
      </c>
      <c r="G29" s="145">
        <f>历史数据!F86</f>
        <v>0</v>
      </c>
      <c r="H29" s="146">
        <f>历史数据!G86</f>
        <v>0</v>
      </c>
      <c r="I29" s="157">
        <f>假设表!I81+历史数据及预测表!H29</f>
        <v>0</v>
      </c>
      <c r="J29" s="152">
        <f>假设表!J81+历史数据及预测表!I29</f>
        <v>0</v>
      </c>
      <c r="K29" s="152">
        <f>假设表!K81+历史数据及预测表!J29</f>
        <v>0</v>
      </c>
      <c r="L29" s="152">
        <f>假设表!L81+历史数据及预测表!K29</f>
        <v>0</v>
      </c>
      <c r="M29" s="152">
        <f>假设表!M81+历史数据及预测表!L29</f>
        <v>0</v>
      </c>
      <c r="N29" s="152">
        <f>假设表!N81+历史数据及预测表!M29</f>
        <v>0</v>
      </c>
      <c r="O29" s="152">
        <f>假设表!O81+历史数据及预测表!N29</f>
        <v>0</v>
      </c>
      <c r="P29" s="152">
        <f>假设表!P81+历史数据及预测表!O29</f>
        <v>0</v>
      </c>
      <c r="Q29" s="152">
        <f>假设表!Q81+历史数据及预测表!P29</f>
        <v>0</v>
      </c>
      <c r="R29" s="152">
        <f>假设表!R81+历史数据及预测表!Q29</f>
        <v>0</v>
      </c>
      <c r="S29" s="152">
        <f>假设表!S81+历史数据及预测表!R29</f>
        <v>0</v>
      </c>
      <c r="T29" s="152">
        <f>假设表!T81+历史数据及预测表!S29</f>
        <v>0</v>
      </c>
    </row>
    <row r="30" spans="3:20">
      <c r="C30" s="140" t="s">
        <v>1074</v>
      </c>
      <c r="D30" s="145">
        <f>历史数据!C87</f>
        <v>1.9033082400000001</v>
      </c>
      <c r="E30" s="145">
        <f>历史数据!D87</f>
        <v>1.8498277700000001</v>
      </c>
      <c r="F30" s="145">
        <f>历史数据!E87</f>
        <v>0.94107066000000006</v>
      </c>
      <c r="G30" s="145">
        <f>历史数据!F87</f>
        <v>0.58587464</v>
      </c>
      <c r="H30" s="146">
        <f>历史数据!G87</f>
        <v>0.84342956999999996</v>
      </c>
      <c r="I30" s="157">
        <f>假设表!I82+历史数据及预测表!H30-假设表!I104</f>
        <v>0.84342956999999996</v>
      </c>
      <c r="J30" s="152">
        <f>假设表!J82+历史数据及预测表!I30-假设表!J104</f>
        <v>0.84342956999999996</v>
      </c>
      <c r="K30" s="152">
        <f>假设表!K82+历史数据及预测表!J30-假设表!K104</f>
        <v>0.84342956999999996</v>
      </c>
      <c r="L30" s="152">
        <f>假设表!L82+历史数据及预测表!K30-假设表!L104</f>
        <v>0.84342956999999996</v>
      </c>
      <c r="M30" s="152">
        <f>假设表!M82+历史数据及预测表!L30-假设表!M104</f>
        <v>0.84342956999999996</v>
      </c>
      <c r="N30" s="152">
        <f>假设表!N82+历史数据及预测表!M30-假设表!N104</f>
        <v>0.84342956999999996</v>
      </c>
      <c r="O30" s="152">
        <f>假设表!O82+历史数据及预测表!N30-假设表!O104</f>
        <v>0.84342956999999996</v>
      </c>
      <c r="P30" s="152">
        <f>假设表!P82+历史数据及预测表!O30-假设表!P104</f>
        <v>0.84342956999999996</v>
      </c>
      <c r="Q30" s="152">
        <f>假设表!Q82+历史数据及预测表!P30-假设表!Q104</f>
        <v>0.84342956999999996</v>
      </c>
      <c r="R30" s="152">
        <f>假设表!R82+历史数据及预测表!Q30-假设表!R104</f>
        <v>0.84342956999999996</v>
      </c>
      <c r="S30" s="152">
        <f>假设表!S82+历史数据及预测表!R30-假设表!S104</f>
        <v>0.84342956999999996</v>
      </c>
      <c r="T30" s="152">
        <f>假设表!T82+历史数据及预测表!S30-假设表!T104</f>
        <v>0.84342956999999996</v>
      </c>
    </row>
    <row r="31" spans="3:20">
      <c r="C31" s="140" t="s">
        <v>1075</v>
      </c>
      <c r="D31" s="145">
        <f>历史数据!C88</f>
        <v>153.49009713999999</v>
      </c>
      <c r="E31" s="145">
        <f>历史数据!D88</f>
        <v>325.61671073000002</v>
      </c>
      <c r="F31" s="145">
        <f>历史数据!E88</f>
        <v>427.81286767</v>
      </c>
      <c r="G31" s="145">
        <f>历史数据!F88</f>
        <v>547.52302409000004</v>
      </c>
      <c r="H31" s="145">
        <f>历史数据!G88</f>
        <v>648.16736097</v>
      </c>
      <c r="I31" s="157">
        <f>假设表!I83+历史数据及预测表!H31</f>
        <v>755.68424438333329</v>
      </c>
      <c r="J31" s="152">
        <f>假设表!J83+历史数据及预测表!I31</f>
        <v>864.97470328777774</v>
      </c>
      <c r="K31" s="152">
        <f>假设表!K83+历史数据及预测表!J31</f>
        <v>970.79192968703705</v>
      </c>
      <c r="L31" s="152">
        <f>假设表!L83+历史数据及预测表!K31</f>
        <v>1078.3334525927162</v>
      </c>
      <c r="M31" s="152">
        <f>假设表!M83+历史数据及预测表!L31</f>
        <v>1185.8831886625105</v>
      </c>
      <c r="N31" s="152">
        <f>假设表!N83+历史数据及预测表!M31</f>
        <v>1292.8526837874213</v>
      </c>
      <c r="O31" s="152">
        <f>假设表!O83+历史数据及预测表!N31</f>
        <v>1400.2062684875493</v>
      </c>
      <c r="P31" s="152">
        <f>假设表!P83+历史数据及预测表!O31</f>
        <v>1507.4972071191603</v>
      </c>
      <c r="Q31" s="152">
        <f>假设表!Q83+历史数据及预测表!P31</f>
        <v>1614.7018799380435</v>
      </c>
      <c r="R31" s="152">
        <f>假设表!R83+历史数据及预测表!Q31</f>
        <v>1721.9849453215843</v>
      </c>
      <c r="S31" s="152">
        <f>假设表!S83+历史数据及预测表!R31</f>
        <v>1829.2680107051251</v>
      </c>
      <c r="T31" s="152">
        <f>假设表!T83+历史数据及预测表!S31</f>
        <v>1936.5510760886659</v>
      </c>
    </row>
    <row r="32" spans="3:20">
      <c r="C32" s="140" t="s">
        <v>1076</v>
      </c>
      <c r="D32" s="145">
        <f>历史数据!C89</f>
        <v>0</v>
      </c>
      <c r="E32" s="145">
        <f>历史数据!D89</f>
        <v>0</v>
      </c>
      <c r="F32" s="145">
        <f>历史数据!E89</f>
        <v>0</v>
      </c>
      <c r="G32" s="145">
        <f>历史数据!F89</f>
        <v>0</v>
      </c>
      <c r="H32" s="145">
        <f>历史数据!G89</f>
        <v>0</v>
      </c>
      <c r="I32" s="157">
        <f>假设表!I84+历史数据及预测表!H32</f>
        <v>0</v>
      </c>
      <c r="J32" s="152">
        <f>假设表!J84+历史数据及预测表!I32</f>
        <v>0</v>
      </c>
      <c r="K32" s="152">
        <f>假设表!K84+历史数据及预测表!J32</f>
        <v>0</v>
      </c>
      <c r="L32" s="152">
        <f>假设表!L84+历史数据及预测表!K32</f>
        <v>0</v>
      </c>
      <c r="M32" s="152">
        <f>假设表!M84+历史数据及预测表!L32</f>
        <v>0</v>
      </c>
      <c r="N32" s="152">
        <f>假设表!N84+历史数据及预测表!M32</f>
        <v>0</v>
      </c>
      <c r="O32" s="152">
        <f>假设表!O84+历史数据及预测表!N32</f>
        <v>0</v>
      </c>
      <c r="P32" s="152">
        <f>假设表!P84+历史数据及预测表!O32</f>
        <v>0</v>
      </c>
      <c r="Q32" s="152">
        <f>假设表!Q84+历史数据及预测表!P32</f>
        <v>0</v>
      </c>
      <c r="R32" s="152">
        <f>假设表!R84+历史数据及预测表!Q32</f>
        <v>0</v>
      </c>
      <c r="S32" s="152">
        <f>假设表!S84+历史数据及预测表!R32</f>
        <v>0</v>
      </c>
      <c r="T32" s="152">
        <f>假设表!T84+历史数据及预测表!S32</f>
        <v>0</v>
      </c>
    </row>
    <row r="33" spans="3:20">
      <c r="C33" s="140" t="s">
        <v>1077</v>
      </c>
      <c r="D33" s="145">
        <f>历史数据!C90</f>
        <v>29.402909359999999</v>
      </c>
      <c r="E33" s="145">
        <f>历史数据!D90</f>
        <v>28.665983960000002</v>
      </c>
      <c r="F33" s="145">
        <f>历史数据!E90</f>
        <v>79.583366310000002</v>
      </c>
      <c r="G33" s="145">
        <f>历史数据!F90</f>
        <v>83.48820628</v>
      </c>
      <c r="H33" s="146">
        <f>历史数据!G90</f>
        <v>83.174293840000004</v>
      </c>
      <c r="I33" s="157">
        <f>假设表!I85+历史数据及预测表!H33</f>
        <v>83.174293840000004</v>
      </c>
      <c r="J33" s="152">
        <f>假设表!J85+历史数据及预测表!I33</f>
        <v>83.174293840000004</v>
      </c>
      <c r="K33" s="152">
        <f>假设表!K85+历史数据及预测表!J33</f>
        <v>83.174293840000004</v>
      </c>
      <c r="L33" s="152">
        <f>假设表!L85+历史数据及预测表!K33</f>
        <v>83.174293840000004</v>
      </c>
      <c r="M33" s="152">
        <f>假设表!M85+历史数据及预测表!L33</f>
        <v>83.174293840000004</v>
      </c>
      <c r="N33" s="152">
        <f>假设表!N85+历史数据及预测表!M33</f>
        <v>83.174293840000004</v>
      </c>
      <c r="O33" s="152">
        <f>假设表!O85+历史数据及预测表!N33</f>
        <v>83.174293840000004</v>
      </c>
      <c r="P33" s="152">
        <f>假设表!P85+历史数据及预测表!O33</f>
        <v>83.174293840000004</v>
      </c>
      <c r="Q33" s="152">
        <f>假设表!Q85+历史数据及预测表!P33</f>
        <v>83.174293840000004</v>
      </c>
      <c r="R33" s="152">
        <f>假设表!R85+历史数据及预测表!Q33</f>
        <v>83.174293840000004</v>
      </c>
      <c r="S33" s="152">
        <f>假设表!S85+历史数据及预测表!R33</f>
        <v>83.174293840000004</v>
      </c>
      <c r="T33" s="152">
        <f>假设表!T85+历史数据及预测表!S33</f>
        <v>83.174293840000004</v>
      </c>
    </row>
    <row r="34" spans="3:20">
      <c r="C34" s="140" t="s">
        <v>1078</v>
      </c>
      <c r="D34" s="145">
        <f>历史数据!C91</f>
        <v>378.43932805999998</v>
      </c>
      <c r="E34" s="145">
        <f>历史数据!D91</f>
        <v>367.42647425000001</v>
      </c>
      <c r="F34" s="145">
        <f>历史数据!E91</f>
        <v>451.35212030000002</v>
      </c>
      <c r="G34" s="145">
        <f>历史数据!F91</f>
        <v>467.43574782000002</v>
      </c>
      <c r="H34" s="146">
        <f>历史数据!G91</f>
        <v>462.27065841000001</v>
      </c>
      <c r="I34" s="157">
        <f>关键项目预测!E140</f>
        <v>599.35494586105006</v>
      </c>
      <c r="J34" s="152">
        <f>关键项目预测!F140</f>
        <v>717.43923331209999</v>
      </c>
      <c r="K34" s="152">
        <f>关键项目预测!G140</f>
        <v>816.52352076314992</v>
      </c>
      <c r="L34" s="152">
        <f>关键项目预测!H140</f>
        <v>896.60780821419985</v>
      </c>
      <c r="M34" s="152">
        <f>关键项目预测!I140</f>
        <v>957.69209566524978</v>
      </c>
      <c r="N34" s="152">
        <f>关键项目预测!J140</f>
        <v>999.77638311629971</v>
      </c>
      <c r="O34" s="152">
        <f>关键项目预测!K140</f>
        <v>1022.8606705673496</v>
      </c>
      <c r="P34" s="152">
        <f>关键项目预测!L140</f>
        <v>1026.9449580183996</v>
      </c>
      <c r="Q34" s="152">
        <f>关键项目预测!M140</f>
        <v>1012.0292454694495</v>
      </c>
      <c r="R34" s="152">
        <f>关键项目预测!N140</f>
        <v>978.11353292049944</v>
      </c>
      <c r="S34" s="152">
        <f>关键项目预测!O140</f>
        <v>988.11353292049944</v>
      </c>
      <c r="T34" s="152">
        <f>关键项目预测!P140</f>
        <v>998.11353292049944</v>
      </c>
    </row>
    <row r="35" spans="3:20">
      <c r="C35" s="140" t="s">
        <v>937</v>
      </c>
      <c r="D35" s="145">
        <f>历史数据!C92</f>
        <v>111.59123593000001</v>
      </c>
      <c r="E35" s="145">
        <f>历史数据!D92</f>
        <v>133.47619816</v>
      </c>
      <c r="F35" s="145">
        <f>历史数据!E92</f>
        <v>4.0672205999999997</v>
      </c>
      <c r="G35" s="145">
        <f>历史数据!F92</f>
        <v>1.3266623500000001</v>
      </c>
      <c r="H35" s="146">
        <f>历史数据!G92</f>
        <v>9.6800071400000007</v>
      </c>
      <c r="I35" s="157">
        <f>关键项目预测!E147</f>
        <v>9.6800071400000007</v>
      </c>
      <c r="J35" s="152">
        <f>关键项目预测!F147</f>
        <v>9.6800071400000007</v>
      </c>
      <c r="K35" s="152">
        <f>关键项目预测!G147</f>
        <v>9.6800071400000007</v>
      </c>
      <c r="L35" s="152">
        <f>关键项目预测!H147</f>
        <v>9.6800071400000007</v>
      </c>
      <c r="M35" s="152">
        <f>关键项目预测!I147</f>
        <v>9.6800071400000007</v>
      </c>
      <c r="N35" s="152">
        <f>关键项目预测!J147</f>
        <v>9.6800071400000007</v>
      </c>
      <c r="O35" s="152">
        <f>关键项目预测!K147</f>
        <v>9.6800071400000007</v>
      </c>
      <c r="P35" s="152">
        <f>关键项目预测!L147</f>
        <v>9.6800071400000007</v>
      </c>
      <c r="Q35" s="152">
        <f>关键项目预测!M147</f>
        <v>9.6800071400000007</v>
      </c>
      <c r="R35" s="152">
        <f>关键项目预测!N147</f>
        <v>9.6800071400000007</v>
      </c>
      <c r="S35" s="152">
        <f>关键项目预测!O147</f>
        <v>9.6800071400000007</v>
      </c>
      <c r="T35" s="152">
        <f>关键项目预测!P147</f>
        <v>9.6800071400000007</v>
      </c>
    </row>
    <row r="36" spans="3:20">
      <c r="C36" s="140" t="s">
        <v>950</v>
      </c>
      <c r="D36" s="145">
        <f>历史数据!C93</f>
        <v>0</v>
      </c>
      <c r="E36" s="145">
        <f>历史数据!D93</f>
        <v>0</v>
      </c>
      <c r="F36" s="145">
        <f>历史数据!E93</f>
        <v>0</v>
      </c>
      <c r="G36" s="145">
        <f>历史数据!F93</f>
        <v>0</v>
      </c>
      <c r="H36" s="146">
        <f>历史数据!G93</f>
        <v>0</v>
      </c>
      <c r="I36" s="157">
        <f>关键项目预测!E199</f>
        <v>0</v>
      </c>
      <c r="J36" s="152">
        <f>关键项目预测!F199</f>
        <v>0</v>
      </c>
      <c r="K36" s="152">
        <f>关键项目预测!G199</f>
        <v>0</v>
      </c>
      <c r="L36" s="152">
        <f>关键项目预测!H199</f>
        <v>0</v>
      </c>
      <c r="M36" s="152">
        <f>关键项目预测!I199</f>
        <v>0</v>
      </c>
      <c r="N36" s="152">
        <f>关键项目预测!J199</f>
        <v>0</v>
      </c>
      <c r="O36" s="152">
        <f>关键项目预测!K199</f>
        <v>0</v>
      </c>
      <c r="P36" s="152">
        <f>关键项目预测!L199</f>
        <v>0</v>
      </c>
      <c r="Q36" s="152">
        <f>关键项目预测!M199</f>
        <v>0</v>
      </c>
      <c r="R36" s="152">
        <f>关键项目预测!N199</f>
        <v>0</v>
      </c>
      <c r="S36" s="152">
        <f>关键项目预测!O199</f>
        <v>0</v>
      </c>
      <c r="T36" s="152">
        <f>关键项目预测!P199</f>
        <v>0</v>
      </c>
    </row>
    <row r="37" spans="3:20">
      <c r="C37" s="140" t="s">
        <v>956</v>
      </c>
      <c r="D37" s="145">
        <f>历史数据!C94</f>
        <v>0</v>
      </c>
      <c r="E37" s="145">
        <f>历史数据!D94</f>
        <v>0</v>
      </c>
      <c r="F37" s="145">
        <f>历史数据!E94</f>
        <v>0</v>
      </c>
      <c r="G37" s="145">
        <f>历史数据!F94</f>
        <v>0</v>
      </c>
      <c r="H37" s="146">
        <f>历史数据!G94</f>
        <v>0</v>
      </c>
      <c r="I37" s="157">
        <f>关键项目预测!E225</f>
        <v>0</v>
      </c>
      <c r="J37" s="152">
        <f>关键项目预测!F225</f>
        <v>0</v>
      </c>
      <c r="K37" s="152">
        <f>关键项目预测!G225</f>
        <v>0</v>
      </c>
      <c r="L37" s="152">
        <f>关键项目预测!H225</f>
        <v>0</v>
      </c>
      <c r="M37" s="152">
        <f>关键项目预测!I225</f>
        <v>0</v>
      </c>
      <c r="N37" s="152">
        <f>关键项目预测!J225</f>
        <v>0</v>
      </c>
      <c r="O37" s="152">
        <f>关键项目预测!K225</f>
        <v>0</v>
      </c>
      <c r="P37" s="152">
        <f>关键项目预测!L225</f>
        <v>0</v>
      </c>
      <c r="Q37" s="152">
        <f>关键项目预测!M225</f>
        <v>0</v>
      </c>
      <c r="R37" s="152">
        <f>关键项目预测!N225</f>
        <v>0</v>
      </c>
      <c r="S37" s="152">
        <f>关键项目预测!O225</f>
        <v>0</v>
      </c>
      <c r="T37" s="152">
        <f>关键项目预测!P225</f>
        <v>0</v>
      </c>
    </row>
    <row r="38" spans="3:20">
      <c r="C38" s="140" t="s">
        <v>1079</v>
      </c>
      <c r="D38" s="145">
        <f>历史数据!C96</f>
        <v>778.57946207000009</v>
      </c>
      <c r="E38" s="145">
        <f>历史数据!D96</f>
        <v>720.85173536000002</v>
      </c>
      <c r="F38" s="145">
        <f>历史数据!E96</f>
        <v>644.58522869000001</v>
      </c>
      <c r="G38" s="145">
        <f>历史数据!F96</f>
        <v>554.23945508999998</v>
      </c>
      <c r="H38" s="146">
        <f>历史数据!G96</f>
        <v>467.16110524999999</v>
      </c>
      <c r="I38" s="152">
        <f>关键项目预测!E239</f>
        <v>467.16110524999999</v>
      </c>
      <c r="J38" s="152">
        <f>关键项目预测!F239</f>
        <v>467.16110524999999</v>
      </c>
      <c r="K38" s="152">
        <f>关键项目预测!G239</f>
        <v>467.16110524999999</v>
      </c>
      <c r="L38" s="152">
        <f>关键项目预测!H239</f>
        <v>467.16110524999999</v>
      </c>
      <c r="M38" s="152">
        <f>关键项目预测!I239</f>
        <v>467.16110524999999</v>
      </c>
      <c r="N38" s="152">
        <f>关键项目预测!J239</f>
        <v>467.16110524999999</v>
      </c>
      <c r="O38" s="152">
        <f>关键项目预测!K239</f>
        <v>467.16110524999999</v>
      </c>
      <c r="P38" s="152">
        <f>关键项目预测!L239</f>
        <v>467.16110524999999</v>
      </c>
      <c r="Q38" s="152">
        <f>关键项目预测!M239</f>
        <v>467.16110524999999</v>
      </c>
      <c r="R38" s="152">
        <f>关键项目预测!N239</f>
        <v>467.16110524999999</v>
      </c>
      <c r="S38" s="152">
        <f>关键项目预测!O239</f>
        <v>467.16110524999999</v>
      </c>
      <c r="T38" s="152">
        <f>关键项目预测!P239</f>
        <v>467.16110524999999</v>
      </c>
    </row>
    <row r="39" spans="3:20">
      <c r="C39" s="140" t="s">
        <v>943</v>
      </c>
      <c r="D39" s="147">
        <f>历史数据!C95</f>
        <v>14.418877210000002</v>
      </c>
      <c r="E39" s="147">
        <f>历史数据!D95</f>
        <v>14.73564563</v>
      </c>
      <c r="F39" s="147">
        <f>历史数据!E95</f>
        <v>31.789417649999997</v>
      </c>
      <c r="G39" s="147">
        <f>历史数据!F95</f>
        <v>22.86689148</v>
      </c>
      <c r="H39" s="153">
        <f>历史数据!G95</f>
        <v>16.938198789999998</v>
      </c>
      <c r="I39" s="158">
        <f>关键项目预测!E173</f>
        <v>16.938198789999998</v>
      </c>
      <c r="J39" s="159">
        <f>关键项目预测!F173</f>
        <v>16.938198789999998</v>
      </c>
      <c r="K39" s="159">
        <f>关键项目预测!G173</f>
        <v>16.938198789999998</v>
      </c>
      <c r="L39" s="159">
        <f>关键项目预测!H173</f>
        <v>16.938198789999998</v>
      </c>
      <c r="M39" s="159">
        <f>关键项目预测!I173</f>
        <v>16.938198789999998</v>
      </c>
      <c r="N39" s="159">
        <f>关键项目预测!J173</f>
        <v>16.938198789999998</v>
      </c>
      <c r="O39" s="159">
        <f>关键项目预测!K173</f>
        <v>16.938198789999998</v>
      </c>
      <c r="P39" s="159">
        <f>关键项目预测!L173</f>
        <v>16.938198789999998</v>
      </c>
      <c r="Q39" s="159">
        <f>关键项目预测!M173</f>
        <v>16.938198789999998</v>
      </c>
      <c r="R39" s="159">
        <f>关键项目预测!N173</f>
        <v>16.938198789999998</v>
      </c>
      <c r="S39" s="159">
        <f>关键项目预测!O173</f>
        <v>16.938198789999998</v>
      </c>
      <c r="T39" s="159">
        <f>关键项目预测!P173</f>
        <v>16.938198789999998</v>
      </c>
    </row>
    <row r="40" spans="3:20">
      <c r="C40" s="140" t="s">
        <v>1080</v>
      </c>
      <c r="D40" s="145">
        <f>历史数据!C97</f>
        <v>98.804344040000004</v>
      </c>
      <c r="E40" s="145">
        <f>历史数据!D97</f>
        <v>82.689957550000003</v>
      </c>
      <c r="F40" s="145">
        <f>历史数据!E97</f>
        <v>46.655253520000002</v>
      </c>
      <c r="G40" s="145">
        <f>历史数据!F97</f>
        <v>55.854248990000002</v>
      </c>
      <c r="H40" s="146">
        <f>历史数据!G97</f>
        <v>37.254586979999999</v>
      </c>
      <c r="I40" s="152">
        <f>假设表!I99+历史数据及预测表!H40</f>
        <v>37.254586979999999</v>
      </c>
      <c r="J40" s="152">
        <f>假设表!J99+历史数据及预测表!I40</f>
        <v>37.254586979999999</v>
      </c>
      <c r="K40" s="152">
        <f>假设表!K99+历史数据及预测表!J40</f>
        <v>37.254586979999999</v>
      </c>
      <c r="L40" s="152">
        <f>假设表!L99+历史数据及预测表!K40</f>
        <v>37.254586979999999</v>
      </c>
      <c r="M40" s="152">
        <f>假设表!M99+历史数据及预测表!L40</f>
        <v>37.254586979999999</v>
      </c>
      <c r="N40" s="152">
        <f>假设表!N99+历史数据及预测表!M40</f>
        <v>37.254586979999999</v>
      </c>
      <c r="O40" s="152">
        <f>假设表!O99+历史数据及预测表!N40</f>
        <v>37.254586979999999</v>
      </c>
      <c r="P40" s="152">
        <f>假设表!P99+历史数据及预测表!O40</f>
        <v>37.254586979999999</v>
      </c>
      <c r="Q40" s="152">
        <f>假设表!Q99+历史数据及预测表!P40</f>
        <v>37.254586979999999</v>
      </c>
      <c r="R40" s="152">
        <f>假设表!R99+历史数据及预测表!Q40</f>
        <v>37.254586979999999</v>
      </c>
      <c r="S40" s="152">
        <f>假设表!S99+历史数据及预测表!R40</f>
        <v>37.254586979999999</v>
      </c>
      <c r="T40" s="152">
        <f>假设表!T99+历史数据及预测表!S40</f>
        <v>37.254586979999999</v>
      </c>
    </row>
    <row r="41" spans="3:20">
      <c r="C41" s="140" t="s">
        <v>1081</v>
      </c>
      <c r="D41" s="145">
        <f>历史数据!C98</f>
        <v>3007.7843048899999</v>
      </c>
      <c r="E41" s="145">
        <f>历史数据!D98</f>
        <v>3007.7843048899999</v>
      </c>
      <c r="F41" s="145">
        <f>历史数据!E98</f>
        <v>3007.7843048899999</v>
      </c>
      <c r="G41" s="145">
        <f>历史数据!F98</f>
        <v>3007.7843048899999</v>
      </c>
      <c r="H41" s="146">
        <f>历史数据!G98</f>
        <v>3007.7843048899999</v>
      </c>
      <c r="I41" s="152">
        <f>假设表!I100+历史数据及预测表!H41-假设表!I112</f>
        <v>3007.7843048899999</v>
      </c>
      <c r="J41" s="152">
        <f>假设表!J100+历史数据及预测表!I41-假设表!J112</f>
        <v>3007.7843048899999</v>
      </c>
      <c r="K41" s="152">
        <f>假设表!K100+历史数据及预测表!J41-假设表!K112</f>
        <v>3007.7843048899999</v>
      </c>
      <c r="L41" s="152">
        <f>假设表!L100+历史数据及预测表!K41-假设表!L112</f>
        <v>3007.7843048899999</v>
      </c>
      <c r="M41" s="152">
        <f>假设表!M100+历史数据及预测表!L41-假设表!M112</f>
        <v>3007.7843048899999</v>
      </c>
      <c r="N41" s="152">
        <f>假设表!N100+历史数据及预测表!M41-假设表!N112</f>
        <v>3007.7843048899999</v>
      </c>
      <c r="O41" s="152">
        <f>假设表!O100+历史数据及预测表!N41-假设表!O112</f>
        <v>3007.7843048899999</v>
      </c>
      <c r="P41" s="152">
        <f>假设表!P100+历史数据及预测表!O41-假设表!P112</f>
        <v>3007.7843048899999</v>
      </c>
      <c r="Q41" s="152">
        <f>假设表!Q100+历史数据及预测表!P41-假设表!Q112</f>
        <v>3007.7843048899999</v>
      </c>
      <c r="R41" s="152">
        <f>假设表!R100+历史数据及预测表!Q41-假设表!R112</f>
        <v>3007.7843048899999</v>
      </c>
      <c r="S41" s="152">
        <f>假设表!S100+历史数据及预测表!R41-假设表!S112</f>
        <v>3007.7843048899999</v>
      </c>
      <c r="T41" s="152">
        <f>假设表!T100+历史数据及预测表!S41-假设表!T112</f>
        <v>3007.7843048899999</v>
      </c>
    </row>
    <row r="42" spans="3:20">
      <c r="C42" s="140" t="s">
        <v>962</v>
      </c>
      <c r="D42" s="145">
        <f>历史数据!C99</f>
        <v>5.23192491</v>
      </c>
      <c r="E42" s="145">
        <f>历史数据!D99</f>
        <v>3.1237062400000002</v>
      </c>
      <c r="F42" s="145">
        <f>历史数据!E99</f>
        <v>0</v>
      </c>
      <c r="G42" s="145">
        <f>历史数据!F99</f>
        <v>0</v>
      </c>
      <c r="H42" s="146">
        <f>历史数据!G99</f>
        <v>0</v>
      </c>
      <c r="I42" s="152">
        <f>关键项目预测!E232</f>
        <v>0</v>
      </c>
      <c r="J42" s="152">
        <f>关键项目预测!F232</f>
        <v>0</v>
      </c>
      <c r="K42" s="152">
        <f>关键项目预测!G232</f>
        <v>0</v>
      </c>
      <c r="L42" s="152">
        <f>关键项目预测!H232</f>
        <v>0</v>
      </c>
      <c r="M42" s="152">
        <f>关键项目预测!I232</f>
        <v>0</v>
      </c>
      <c r="N42" s="152">
        <f>关键项目预测!J232</f>
        <v>0</v>
      </c>
      <c r="O42" s="152">
        <f>关键项目预测!K232</f>
        <v>0</v>
      </c>
      <c r="P42" s="152">
        <f>关键项目预测!L232</f>
        <v>0</v>
      </c>
      <c r="Q42" s="152">
        <f>关键项目预测!M232</f>
        <v>0</v>
      </c>
      <c r="R42" s="152">
        <f>关键项目预测!N232</f>
        <v>0</v>
      </c>
      <c r="S42" s="152">
        <f>关键项目预测!O232</f>
        <v>0</v>
      </c>
      <c r="T42" s="152">
        <f>关键项目预测!P232</f>
        <v>0</v>
      </c>
    </row>
    <row r="43" spans="3:20">
      <c r="C43" s="140" t="s">
        <v>1082</v>
      </c>
      <c r="D43" s="145">
        <f>历史数据!C100</f>
        <v>90.376920349999992</v>
      </c>
      <c r="E43" s="145">
        <f>历史数据!D100</f>
        <v>119.25675539</v>
      </c>
      <c r="F43" s="145">
        <f>历史数据!E100</f>
        <v>134.8717561</v>
      </c>
      <c r="G43" s="145">
        <f>历史数据!F100</f>
        <v>129.08562404</v>
      </c>
      <c r="H43" s="146">
        <f>历史数据!G100</f>
        <v>132.53017887000001</v>
      </c>
      <c r="I43" s="152">
        <f>假设表!I51+历史数据及预测表!H43</f>
        <v>132.53017887000001</v>
      </c>
      <c r="J43" s="152">
        <f>假设表!J51+历史数据及预测表!I43</f>
        <v>132.53017887000001</v>
      </c>
      <c r="K43" s="152">
        <f>假设表!K51+历史数据及预测表!J43</f>
        <v>132.53017887000001</v>
      </c>
      <c r="L43" s="152">
        <f>假设表!L51+历史数据及预测表!K43</f>
        <v>132.53017887000001</v>
      </c>
      <c r="M43" s="152">
        <f>假设表!M51+历史数据及预测表!L43</f>
        <v>132.53017887000001</v>
      </c>
      <c r="N43" s="152">
        <f>假设表!N51+历史数据及预测表!M43</f>
        <v>132.53017887000001</v>
      </c>
      <c r="O43" s="152">
        <f>假设表!O51+历史数据及预测表!N43</f>
        <v>132.53017887000001</v>
      </c>
      <c r="P43" s="152">
        <f>假设表!P51+历史数据及预测表!O43</f>
        <v>132.53017887000001</v>
      </c>
      <c r="Q43" s="152">
        <f>假设表!Q51+历史数据及预测表!P43</f>
        <v>132.53017887000001</v>
      </c>
      <c r="R43" s="152">
        <f>假设表!R51+历史数据及预测表!Q43</f>
        <v>132.53017887000001</v>
      </c>
      <c r="S43" s="152">
        <f>假设表!S51+历史数据及预测表!R43</f>
        <v>132.53017887000001</v>
      </c>
      <c r="T43" s="152">
        <f>假设表!T51+历史数据及预测表!S43</f>
        <v>132.53017887000001</v>
      </c>
    </row>
    <row r="44" spans="3:20">
      <c r="C44" s="140" t="s">
        <v>1083</v>
      </c>
      <c r="D44" s="145">
        <f>历史数据!C101</f>
        <v>12.41117768</v>
      </c>
      <c r="E44" s="145">
        <f>历史数据!D101</f>
        <v>428.13758439999998</v>
      </c>
      <c r="F44" s="145">
        <f>历史数据!E101</f>
        <v>107.53338312000001</v>
      </c>
      <c r="G44" s="145">
        <f>历史数据!F101</f>
        <v>8.2995696500000005</v>
      </c>
      <c r="H44" s="146">
        <f>历史数据!G101</f>
        <v>14.043961060000001</v>
      </c>
      <c r="I44" s="152">
        <f>假设表!I52+历史数据及预测表!H44</f>
        <v>14.043961060000001</v>
      </c>
      <c r="J44" s="152">
        <f>假设表!J52+历史数据及预测表!I44</f>
        <v>14.043961060000001</v>
      </c>
      <c r="K44" s="152">
        <f>假设表!K52+历史数据及预测表!J44</f>
        <v>14.043961060000001</v>
      </c>
      <c r="L44" s="152">
        <f>假设表!L52+历史数据及预测表!K44</f>
        <v>14.043961060000001</v>
      </c>
      <c r="M44" s="152">
        <f>假设表!M52+历史数据及预测表!L44</f>
        <v>14.043961060000001</v>
      </c>
      <c r="N44" s="152">
        <f>假设表!N52+历史数据及预测表!M44</f>
        <v>14.043961060000001</v>
      </c>
      <c r="O44" s="152">
        <f>假设表!O52+历史数据及预测表!N44</f>
        <v>14.043961060000001</v>
      </c>
      <c r="P44" s="152">
        <f>假设表!P52+历史数据及预测表!O44</f>
        <v>14.043961060000001</v>
      </c>
      <c r="Q44" s="152">
        <f>假设表!Q52+历史数据及预测表!P44</f>
        <v>14.043961060000001</v>
      </c>
      <c r="R44" s="152">
        <f>假设表!R52+历史数据及预测表!Q44</f>
        <v>14.043961060000001</v>
      </c>
      <c r="S44" s="152">
        <f>假设表!S52+历史数据及预测表!R44</f>
        <v>14.043961060000001</v>
      </c>
      <c r="T44" s="152">
        <f>假设表!T52+历史数据及预测表!S44</f>
        <v>14.043961060000001</v>
      </c>
    </row>
    <row r="45" spans="3:20">
      <c r="C45" s="140" t="s">
        <v>1084</v>
      </c>
      <c r="D45" s="145">
        <f>历史数据!C81</f>
        <v>0</v>
      </c>
      <c r="E45" s="145">
        <f>历史数据!D81</f>
        <v>0</v>
      </c>
      <c r="F45" s="145">
        <f>历史数据!E81</f>
        <v>0</v>
      </c>
      <c r="G45" s="145">
        <f>历史数据!F81</f>
        <v>0</v>
      </c>
      <c r="H45" s="146">
        <f>历史数据!G81</f>
        <v>0</v>
      </c>
      <c r="I45" s="152">
        <f>假设表!I53+历史数据及预测表!H45</f>
        <v>0</v>
      </c>
      <c r="J45" s="152">
        <f>假设表!J53+历史数据及预测表!I45</f>
        <v>0</v>
      </c>
      <c r="K45" s="152">
        <f>假设表!K53+历史数据及预测表!J45</f>
        <v>0</v>
      </c>
      <c r="L45" s="152">
        <f>假设表!L53+历史数据及预测表!K45</f>
        <v>0</v>
      </c>
      <c r="M45" s="152">
        <f>假设表!M53+历史数据及预测表!L45</f>
        <v>0</v>
      </c>
      <c r="N45" s="152">
        <f>假设表!N53+历史数据及预测表!M45</f>
        <v>0</v>
      </c>
      <c r="O45" s="152">
        <f>假设表!O53+历史数据及预测表!N45</f>
        <v>0</v>
      </c>
      <c r="P45" s="152">
        <f>假设表!P53+历史数据及预测表!O45</f>
        <v>0</v>
      </c>
      <c r="Q45" s="152">
        <f>假设表!Q53+历史数据及预测表!P45</f>
        <v>0</v>
      </c>
      <c r="R45" s="152">
        <f>假设表!R53+历史数据及预测表!Q45</f>
        <v>0</v>
      </c>
      <c r="S45" s="152">
        <f>假设表!S53+历史数据及预测表!R45</f>
        <v>0</v>
      </c>
      <c r="T45" s="152">
        <f>假设表!T53+历史数据及预测表!S45</f>
        <v>0</v>
      </c>
    </row>
    <row r="46" spans="3:20">
      <c r="C46" s="140" t="s">
        <v>1085</v>
      </c>
      <c r="D46" s="145">
        <f>历史数据!C102</f>
        <v>0</v>
      </c>
      <c r="E46" s="145">
        <f>历史数据!D102</f>
        <v>0</v>
      </c>
      <c r="F46" s="145">
        <f>历史数据!E102</f>
        <v>0</v>
      </c>
      <c r="G46" s="145">
        <f>历史数据!F102</f>
        <v>0</v>
      </c>
      <c r="H46" s="146">
        <f>历史数据!G102</f>
        <v>0</v>
      </c>
      <c r="I46" s="152">
        <f>H46</f>
        <v>0</v>
      </c>
      <c r="J46" s="152">
        <f t="shared" ref="J46:R46" si="15">I46</f>
        <v>0</v>
      </c>
      <c r="K46" s="152">
        <f t="shared" si="15"/>
        <v>0</v>
      </c>
      <c r="L46" s="152">
        <f t="shared" si="15"/>
        <v>0</v>
      </c>
      <c r="M46" s="152">
        <f t="shared" si="15"/>
        <v>0</v>
      </c>
      <c r="N46" s="152">
        <f t="shared" si="15"/>
        <v>0</v>
      </c>
      <c r="O46" s="152">
        <f t="shared" si="15"/>
        <v>0</v>
      </c>
      <c r="P46" s="152">
        <f t="shared" si="15"/>
        <v>0</v>
      </c>
      <c r="Q46" s="152">
        <f t="shared" si="15"/>
        <v>0</v>
      </c>
      <c r="R46" s="152">
        <f t="shared" si="15"/>
        <v>0</v>
      </c>
      <c r="S46" s="152">
        <f t="shared" ref="S46" si="16">R46</f>
        <v>0</v>
      </c>
      <c r="T46" s="152">
        <f t="shared" ref="T46" si="17">S46</f>
        <v>0</v>
      </c>
    </row>
    <row r="47" spans="3:20" ht="14.65">
      <c r="C47" s="148" t="s">
        <v>1086</v>
      </c>
      <c r="D47" s="149">
        <f t="shared" ref="D47:I47" si="18">SUM(D25:D46)</f>
        <v>5204.7186482500001</v>
      </c>
      <c r="E47" s="149">
        <f t="shared" si="18"/>
        <v>5626.7461062599996</v>
      </c>
      <c r="F47" s="149">
        <f t="shared" si="18"/>
        <v>5159.0152985599998</v>
      </c>
      <c r="G47" s="149">
        <f t="shared" si="18"/>
        <v>4878.4896093200005</v>
      </c>
      <c r="H47" s="150">
        <f t="shared" si="18"/>
        <v>4879.8480857699988</v>
      </c>
      <c r="I47" s="161">
        <f t="shared" si="18"/>
        <v>5124.4492566343824</v>
      </c>
      <c r="J47" s="161">
        <f t="shared" ref="J47:R47" si="19">SUM(J25:J46)</f>
        <v>5351.824002989878</v>
      </c>
      <c r="K47" s="161">
        <f t="shared" si="19"/>
        <v>5556.7255168401871</v>
      </c>
      <c r="L47" s="161">
        <f t="shared" si="19"/>
        <v>5744.3513271969159</v>
      </c>
      <c r="M47" s="161">
        <f t="shared" si="19"/>
        <v>5912.9853507177604</v>
      </c>
      <c r="N47" s="161">
        <f t="shared" si="19"/>
        <v>6062.0391332937206</v>
      </c>
      <c r="O47" s="161">
        <f t="shared" si="19"/>
        <v>6192.4770054448991</v>
      </c>
      <c r="P47" s="161">
        <f t="shared" si="19"/>
        <v>6303.8522315275595</v>
      </c>
      <c r="Q47" s="161">
        <f t="shared" si="19"/>
        <v>6396.141191797492</v>
      </c>
      <c r="R47" s="161">
        <f t="shared" si="19"/>
        <v>6469.5085446320836</v>
      </c>
      <c r="S47" s="161">
        <f t="shared" ref="S47:T47" si="20">SUM(S25:S46)</f>
        <v>6586.7916100156244</v>
      </c>
      <c r="T47" s="161">
        <f t="shared" si="20"/>
        <v>6704.0746753991652</v>
      </c>
    </row>
    <row r="48" spans="3:20" ht="14.65">
      <c r="C48" s="154" t="s">
        <v>1087</v>
      </c>
      <c r="D48" s="149">
        <f t="shared" ref="D48:I48" si="21">D23+D47</f>
        <v>11335.02622616</v>
      </c>
      <c r="E48" s="149">
        <f t="shared" si="21"/>
        <v>12421.83663057</v>
      </c>
      <c r="F48" s="149">
        <f t="shared" si="21"/>
        <v>12742.026939410001</v>
      </c>
      <c r="G48" s="149">
        <f t="shared" si="21"/>
        <v>12926.945100270001</v>
      </c>
      <c r="H48" s="150">
        <f t="shared" si="21"/>
        <v>13573.205293469997</v>
      </c>
      <c r="I48" s="161">
        <f t="shared" ca="1" si="21"/>
        <v>17793.87996483708</v>
      </c>
      <c r="J48" s="161">
        <f t="shared" ref="J48:R48" ca="1" si="22">J23+J47</f>
        <v>21469.514943077997</v>
      </c>
      <c r="K48" s="161">
        <f t="shared" ca="1" si="22"/>
        <v>24853.001447769941</v>
      </c>
      <c r="L48" s="161">
        <f t="shared" ca="1" si="22"/>
        <v>28521.587540248565</v>
      </c>
      <c r="M48" s="161">
        <f t="shared" ca="1" si="22"/>
        <v>32885.842462153923</v>
      </c>
      <c r="N48" s="161">
        <f t="shared" ca="1" si="22"/>
        <v>38169.381792801592</v>
      </c>
      <c r="O48" s="161">
        <f t="shared" ca="1" si="22"/>
        <v>44322.445786376353</v>
      </c>
      <c r="P48" s="161">
        <f t="shared" ca="1" si="22"/>
        <v>51661.494663195008</v>
      </c>
      <c r="Q48" s="161">
        <f t="shared" ca="1" si="22"/>
        <v>60417.258995891316</v>
      </c>
      <c r="R48" s="161">
        <f t="shared" ca="1" si="22"/>
        <v>70804.450700372385</v>
      </c>
      <c r="S48" s="161">
        <f t="shared" ref="S48:T48" ca="1" si="23">S23+S47</f>
        <v>83249.390485185795</v>
      </c>
      <c r="T48" s="161">
        <f t="shared" ca="1" si="23"/>
        <v>98093.703229928215</v>
      </c>
    </row>
    <row r="49" spans="3:20">
      <c r="D49" s="151"/>
      <c r="E49" s="151"/>
      <c r="F49" s="151"/>
      <c r="G49" s="151"/>
      <c r="H49" s="152"/>
      <c r="I49" s="152"/>
      <c r="J49" s="152"/>
      <c r="K49" s="152"/>
      <c r="L49" s="152"/>
      <c r="M49" s="152"/>
      <c r="N49" s="152"/>
      <c r="O49" s="152"/>
      <c r="P49" s="152"/>
      <c r="Q49" s="152"/>
      <c r="R49" s="152"/>
      <c r="S49" s="152"/>
      <c r="T49" s="152"/>
    </row>
    <row r="50" spans="3:20">
      <c r="C50" s="144" t="s">
        <v>1011</v>
      </c>
      <c r="D50" s="151"/>
      <c r="E50" s="151"/>
      <c r="F50" s="151"/>
      <c r="G50" s="151"/>
      <c r="H50" s="152"/>
      <c r="I50" s="152"/>
      <c r="J50" s="152"/>
      <c r="K50" s="152"/>
      <c r="L50" s="152"/>
      <c r="M50" s="152"/>
      <c r="N50" s="152"/>
      <c r="O50" s="152"/>
      <c r="P50" s="152"/>
      <c r="Q50" s="152"/>
      <c r="R50" s="152"/>
      <c r="S50" s="152"/>
      <c r="T50" s="152"/>
    </row>
    <row r="51" spans="3:20">
      <c r="C51" s="140" t="s">
        <v>1040</v>
      </c>
      <c r="D51" s="145">
        <f>历史数据!C108</f>
        <v>0</v>
      </c>
      <c r="E51" s="145">
        <f>历史数据!D108</f>
        <v>0</v>
      </c>
      <c r="F51" s="145">
        <f>历史数据!E108</f>
        <v>0</v>
      </c>
      <c r="G51" s="145">
        <f>历史数据!F108</f>
        <v>0</v>
      </c>
      <c r="H51" s="146">
        <f>历史数据!G108</f>
        <v>0</v>
      </c>
      <c r="I51" s="152">
        <f ca="1">关键项目预测!E337</f>
        <v>1659.5216758337519</v>
      </c>
      <c r="J51" s="152">
        <f ca="1">关键项目预测!F337</f>
        <v>2155.596194260941</v>
      </c>
      <c r="K51" s="152">
        <f ca="1">关键项目预测!G337</f>
        <v>2408.5978852943172</v>
      </c>
      <c r="L51" s="152">
        <f ca="1">关键项目预测!H337</f>
        <v>2723.4484665665786</v>
      </c>
      <c r="M51" s="152">
        <f ca="1">关键项目预测!I337</f>
        <v>2543.184456432291</v>
      </c>
      <c r="N51" s="152">
        <f ca="1">关键项目预测!J337</f>
        <v>2613.5813684953991</v>
      </c>
      <c r="O51" s="152">
        <f ca="1">关键项目预测!K337</f>
        <v>2589.0483882882309</v>
      </c>
      <c r="P51" s="152">
        <f ca="1">关键项目预测!L337</f>
        <v>2364.4367414136741</v>
      </c>
      <c r="Q51" s="152">
        <f ca="1">关键项目预测!M337</f>
        <v>2159.4161987200732</v>
      </c>
      <c r="R51" s="152">
        <f ca="1">关键项目预测!N337</f>
        <v>1815.2646526103345</v>
      </c>
      <c r="S51" s="152">
        <f ca="1">关键项目预测!O337</f>
        <v>1406.4168774837508</v>
      </c>
      <c r="T51" s="152">
        <f ca="1">关键项目预测!P337</f>
        <v>868.63279758994759</v>
      </c>
    </row>
    <row r="52" spans="3:20">
      <c r="C52" s="140" t="s">
        <v>1088</v>
      </c>
      <c r="D52" s="145">
        <f>历史数据!C112</f>
        <v>0</v>
      </c>
      <c r="E52" s="145">
        <f>历史数据!D112</f>
        <v>0</v>
      </c>
      <c r="F52" s="145">
        <f>历史数据!E112</f>
        <v>0</v>
      </c>
      <c r="G52" s="145">
        <f>历史数据!F112</f>
        <v>0</v>
      </c>
      <c r="H52" s="146">
        <f>历史数据!G112</f>
        <v>0</v>
      </c>
      <c r="I52" s="152">
        <f>假设表!I55+H52</f>
        <v>0</v>
      </c>
      <c r="J52" s="152">
        <f>假设表!J55+I52</f>
        <v>0</v>
      </c>
      <c r="K52" s="152">
        <f>假设表!K55+J52</f>
        <v>0</v>
      </c>
      <c r="L52" s="152">
        <f>假设表!L55+K52</f>
        <v>0</v>
      </c>
      <c r="M52" s="152">
        <f>假设表!M55+L52</f>
        <v>0</v>
      </c>
      <c r="N52" s="152">
        <f>假设表!N55+M52</f>
        <v>0</v>
      </c>
      <c r="O52" s="152">
        <f>假设表!O55+N52</f>
        <v>0</v>
      </c>
      <c r="P52" s="152">
        <f>假设表!P55+O52</f>
        <v>0</v>
      </c>
      <c r="Q52" s="152">
        <f>假设表!Q55+P52</f>
        <v>0</v>
      </c>
      <c r="R52" s="152">
        <f>假设表!R55+Q52</f>
        <v>0</v>
      </c>
      <c r="S52" s="152">
        <f>假设表!S55+R52</f>
        <v>0</v>
      </c>
      <c r="T52" s="152">
        <f>假设表!T55+S52</f>
        <v>0</v>
      </c>
    </row>
    <row r="53" spans="3:20">
      <c r="C53" s="140" t="s">
        <v>797</v>
      </c>
      <c r="D53" s="145">
        <f>历史数据!C113</f>
        <v>0</v>
      </c>
      <c r="E53" s="145">
        <f>历史数据!D113</f>
        <v>0</v>
      </c>
      <c r="F53" s="145">
        <f>历史数据!E113</f>
        <v>0</v>
      </c>
      <c r="G53" s="145">
        <f>历史数据!F113</f>
        <v>0</v>
      </c>
      <c r="H53" s="155">
        <f>历史数据!G113</f>
        <v>0</v>
      </c>
      <c r="I53" s="157">
        <f>假设表!I56</f>
        <v>0</v>
      </c>
      <c r="J53" s="152">
        <f>假设表!J56</f>
        <v>0</v>
      </c>
      <c r="K53" s="152">
        <f>假设表!K56</f>
        <v>0</v>
      </c>
      <c r="L53" s="152">
        <f>假设表!L56</f>
        <v>0</v>
      </c>
      <c r="M53" s="152">
        <f>假设表!M56</f>
        <v>0</v>
      </c>
      <c r="N53" s="152">
        <f>假设表!N56</f>
        <v>0</v>
      </c>
      <c r="O53" s="152">
        <f>假设表!O56</f>
        <v>0</v>
      </c>
      <c r="P53" s="152">
        <f>假设表!P56</f>
        <v>0</v>
      </c>
      <c r="Q53" s="152">
        <f>假设表!Q56</f>
        <v>0</v>
      </c>
      <c r="R53" s="152">
        <f>假设表!R56</f>
        <v>0</v>
      </c>
      <c r="S53" s="152">
        <f>假设表!S56</f>
        <v>0</v>
      </c>
      <c r="T53" s="152">
        <f>假设表!T56</f>
        <v>0</v>
      </c>
    </row>
    <row r="54" spans="3:20">
      <c r="C54" s="140" t="s">
        <v>1012</v>
      </c>
      <c r="D54" s="145">
        <f>历史数据!C114</f>
        <v>658.68864434</v>
      </c>
      <c r="E54" s="145">
        <f>历史数据!D114</f>
        <v>659.80254892999994</v>
      </c>
      <c r="F54" s="145">
        <f>历史数据!E114</f>
        <v>422.56747311999999</v>
      </c>
      <c r="G54" s="145">
        <f>历史数据!F114</f>
        <v>433.74422769</v>
      </c>
      <c r="H54" s="146">
        <f>历史数据!G114</f>
        <v>599.03346753999995</v>
      </c>
      <c r="I54" s="152">
        <f>假设表!I57*历史数据及预测表!I110</f>
        <v>700.79790912156454</v>
      </c>
      <c r="J54" s="152">
        <f>假设表!J57*历史数据及预测表!J110</f>
        <v>984.02022237316396</v>
      </c>
      <c r="K54" s="152">
        <f>假设表!K57*历史数据及预测表!K110</f>
        <v>1314.9322050533181</v>
      </c>
      <c r="L54" s="152">
        <f>假设表!L57*历史数据及预测表!L110</f>
        <v>1536.1755641730508</v>
      </c>
      <c r="M54" s="152">
        <f>假设表!M57*历史数据及预测表!M110</f>
        <v>1797.1345343961409</v>
      </c>
      <c r="N54" s="152">
        <f>假设表!N57*历史数据及预测表!N110</f>
        <v>2194.2261863079889</v>
      </c>
      <c r="O54" s="152">
        <f>假设表!O57*历史数据及预测表!O110</f>
        <v>2602.6724728998338</v>
      </c>
      <c r="P54" s="152">
        <f>假设表!P57*历史数据及预测表!P110</f>
        <v>3102.4571269687535</v>
      </c>
      <c r="Q54" s="152">
        <f>假设表!Q57*历史数据及预测表!Q110</f>
        <v>3721.5631190642384</v>
      </c>
      <c r="R54" s="152">
        <f>假设表!R57*历史数据及预测表!R110</f>
        <v>4438.1936342294748</v>
      </c>
      <c r="S54" s="152">
        <f>假设表!S57*历史数据及预测表!S110</f>
        <v>5302.0140310118941</v>
      </c>
      <c r="T54" s="152">
        <f>假设表!T57*历史数据及预测表!T110</f>
        <v>6333.9626663061263</v>
      </c>
    </row>
    <row r="55" spans="3:20">
      <c r="C55" s="140" t="s">
        <v>1013</v>
      </c>
      <c r="D55" s="147">
        <f>历史数据!C115</f>
        <v>0</v>
      </c>
      <c r="E55" s="147">
        <f>历史数据!D115</f>
        <v>0</v>
      </c>
      <c r="F55" s="147">
        <f>历史数据!E115</f>
        <v>0</v>
      </c>
      <c r="G55" s="147">
        <f>历史数据!F115</f>
        <v>0</v>
      </c>
      <c r="H55" s="156">
        <f>历史数据!G115</f>
        <v>0</v>
      </c>
      <c r="I55" s="158">
        <f>假设表!I58*历史数据及预测表!I110</f>
        <v>0</v>
      </c>
      <c r="J55" s="159">
        <f>假设表!J58*历史数据及预测表!J110</f>
        <v>0</v>
      </c>
      <c r="K55" s="159">
        <f>假设表!K58*历史数据及预测表!K110</f>
        <v>0</v>
      </c>
      <c r="L55" s="159">
        <f>假设表!L58*历史数据及预测表!L110</f>
        <v>0</v>
      </c>
      <c r="M55" s="159">
        <f>假设表!M58*历史数据及预测表!M110</f>
        <v>0</v>
      </c>
      <c r="N55" s="159">
        <f>假设表!N58*历史数据及预测表!N110</f>
        <v>0</v>
      </c>
      <c r="O55" s="159">
        <f>假设表!O58*历史数据及预测表!O110</f>
        <v>0</v>
      </c>
      <c r="P55" s="159">
        <f>假设表!P58*历史数据及预测表!P110</f>
        <v>0</v>
      </c>
      <c r="Q55" s="159">
        <f>假设表!Q58*历史数据及预测表!Q110</f>
        <v>0</v>
      </c>
      <c r="R55" s="159">
        <f>假设表!R58*历史数据及预测表!R110</f>
        <v>0</v>
      </c>
      <c r="S55" s="159">
        <f>假设表!S58*历史数据及预测表!S110</f>
        <v>0</v>
      </c>
      <c r="T55" s="159">
        <f>假设表!T58*历史数据及预测表!T110</f>
        <v>0</v>
      </c>
    </row>
    <row r="56" spans="3:20">
      <c r="C56" s="140" t="s">
        <v>1014</v>
      </c>
      <c r="D56" s="145">
        <f>历史数据!C116</f>
        <v>0</v>
      </c>
      <c r="E56" s="145">
        <f>历史数据!D116</f>
        <v>0</v>
      </c>
      <c r="F56" s="145">
        <f>历史数据!E116</f>
        <v>0</v>
      </c>
      <c r="G56" s="145">
        <f>历史数据!F116</f>
        <v>0</v>
      </c>
      <c r="H56" s="146">
        <f>历史数据!G116</f>
        <v>0</v>
      </c>
      <c r="I56" s="152">
        <f>假设表!I59*历史数据及预测表!I107</f>
        <v>0</v>
      </c>
      <c r="J56" s="152">
        <f>假设表!J59*历史数据及预测表!J107</f>
        <v>0</v>
      </c>
      <c r="K56" s="152">
        <f>假设表!K59*历史数据及预测表!K107</f>
        <v>0</v>
      </c>
      <c r="L56" s="152">
        <f>假设表!L59*历史数据及预测表!L107</f>
        <v>0</v>
      </c>
      <c r="M56" s="152">
        <f>假设表!M59*历史数据及预测表!M107</f>
        <v>0</v>
      </c>
      <c r="N56" s="152">
        <f>假设表!N59*历史数据及预测表!N107</f>
        <v>0</v>
      </c>
      <c r="O56" s="152">
        <f>假设表!O59*历史数据及预测表!O107</f>
        <v>0</v>
      </c>
      <c r="P56" s="152">
        <f>假设表!P59*历史数据及预测表!P107</f>
        <v>0</v>
      </c>
      <c r="Q56" s="152">
        <f>假设表!Q59*历史数据及预测表!Q107</f>
        <v>0</v>
      </c>
      <c r="R56" s="152">
        <f>假设表!R59*历史数据及预测表!R107</f>
        <v>0</v>
      </c>
      <c r="S56" s="152">
        <f>假设表!S59*历史数据及预测表!S107</f>
        <v>0</v>
      </c>
      <c r="T56" s="152">
        <f>假设表!T59*历史数据及预测表!T107</f>
        <v>0</v>
      </c>
    </row>
    <row r="57" spans="3:20">
      <c r="C57" s="140" t="s">
        <v>1015</v>
      </c>
      <c r="D57" s="145">
        <f>历史数据!C117</f>
        <v>36.103210070000003</v>
      </c>
      <c r="E57" s="145">
        <f>历史数据!D117</f>
        <v>127.35618417000001</v>
      </c>
      <c r="F57" s="145">
        <f>历史数据!E117</f>
        <v>74.879324670000003</v>
      </c>
      <c r="G57" s="145">
        <f>历史数据!F117</f>
        <v>65.719040680000006</v>
      </c>
      <c r="H57" s="146">
        <f>历史数据!G117</f>
        <v>109.61368137999999</v>
      </c>
      <c r="I57" s="152">
        <f>假设表!I60*历史数据及预测表!I107</f>
        <v>152.99476644342795</v>
      </c>
      <c r="J57" s="152">
        <f>假设表!J60*历史数据及预测表!J107</f>
        <v>201.75163276988803</v>
      </c>
      <c r="K57" s="152">
        <f>假设表!K60*历史数据及预测表!K107</f>
        <v>252.95937342334966</v>
      </c>
      <c r="L57" s="152">
        <f>假设表!L60*历史数据及预测表!L107</f>
        <v>283.16352642457201</v>
      </c>
      <c r="M57" s="152">
        <f>假设表!M60*历史数据及预测表!M107</f>
        <v>347.7629234653902</v>
      </c>
      <c r="N57" s="152">
        <f>假设表!N60*历史数据及预测表!N107</f>
        <v>416.95679811713001</v>
      </c>
      <c r="O57" s="152">
        <f>假设表!O60*历史数据及预测表!O107</f>
        <v>492.48343976438861</v>
      </c>
      <c r="P57" s="152">
        <f>假设表!P60*历史数据及预测表!P107</f>
        <v>592.2568190461825</v>
      </c>
      <c r="Q57" s="152">
        <f>假设表!Q60*历史数据及预测表!Q107</f>
        <v>707.27289199866277</v>
      </c>
      <c r="R57" s="152">
        <f>假设表!R60*历史数据及预测表!R107</f>
        <v>843.49792059615629</v>
      </c>
      <c r="S57" s="152">
        <f>假设表!S60*历史数据及预测表!S107</f>
        <v>1007.670727937181</v>
      </c>
      <c r="T57" s="152">
        <f>假设表!T60*历史数据及预测表!T107</f>
        <v>1203.7970351175225</v>
      </c>
    </row>
    <row r="58" spans="3:20">
      <c r="C58" s="140" t="s">
        <v>1016</v>
      </c>
      <c r="D58" s="145">
        <f>历史数据!C120</f>
        <v>112.94643664</v>
      </c>
      <c r="E58" s="145">
        <f>历史数据!D120</f>
        <v>190.24930381999999</v>
      </c>
      <c r="F58" s="145">
        <f>历史数据!E120</f>
        <v>220.71141018</v>
      </c>
      <c r="G58" s="145">
        <f>历史数据!F120</f>
        <v>191.61884284999999</v>
      </c>
      <c r="H58" s="146">
        <f>历史数据!G120</f>
        <v>208.27789591999999</v>
      </c>
      <c r="I58" s="152">
        <f>假设表!I61*历史数据及预测表!I113</f>
        <v>249.93347510399997</v>
      </c>
      <c r="J58" s="152">
        <f>假设表!J61*历史数据及预测表!J113</f>
        <v>294.92150062271998</v>
      </c>
      <c r="K58" s="152">
        <f>假设表!K61*历史数据及预测表!K113</f>
        <v>342.10894072235516</v>
      </c>
      <c r="L58" s="152">
        <f>假设表!L61*历史数据及预测表!L113</f>
        <v>402.39621313984622</v>
      </c>
      <c r="M58" s="152">
        <f>假设表!M61*历史数据及预测表!M113</f>
        <v>487.41115693611465</v>
      </c>
      <c r="N58" s="152">
        <f>假设表!N61*历史数据及预测表!N113</f>
        <v>580.021016841294</v>
      </c>
      <c r="O58" s="152">
        <f>假设表!O61*历史数据及预测表!O113</f>
        <v>691.67462557975273</v>
      </c>
      <c r="P58" s="152">
        <f>假设表!P61*历史数据及预测表!P113</f>
        <v>828.57422114880762</v>
      </c>
      <c r="Q58" s="152">
        <f>假设表!Q61*历史数据及预测表!Q113</f>
        <v>988.88335470843913</v>
      </c>
      <c r="R58" s="152">
        <f>假设表!R61*历史数据及预测表!R113</f>
        <v>1181.3530129152464</v>
      </c>
      <c r="S58" s="152">
        <f>假设表!S61*历史数据及预测表!S113</f>
        <v>1411.2836812137516</v>
      </c>
      <c r="T58" s="152">
        <f>假设表!T61*历史数据及预测表!T113</f>
        <v>1685.9665206636503</v>
      </c>
    </row>
    <row r="59" spans="3:20">
      <c r="C59" s="140" t="s">
        <v>803</v>
      </c>
      <c r="D59" s="145">
        <f>历史数据!C121</f>
        <v>28.257337739999997</v>
      </c>
      <c r="E59" s="145">
        <f>历史数据!D121</f>
        <v>11.01487857</v>
      </c>
      <c r="F59" s="145">
        <f>历史数据!E121</f>
        <v>24.87494371</v>
      </c>
      <c r="G59" s="145">
        <f>历史数据!F121</f>
        <v>12.895499019999999</v>
      </c>
      <c r="H59" s="146">
        <f>历史数据!G121</f>
        <v>34.237408670000001</v>
      </c>
      <c r="I59" s="152">
        <f>假设表!I62</f>
        <v>24.002617133333331</v>
      </c>
      <c r="J59" s="152">
        <f>假设表!J62</f>
        <v>23.711841607777774</v>
      </c>
      <c r="K59" s="152">
        <f>假设表!K62</f>
        <v>27.317289137037037</v>
      </c>
      <c r="L59" s="152">
        <f>假设表!L62</f>
        <v>25.010582626049381</v>
      </c>
      <c r="M59" s="152">
        <f>假设表!M62</f>
        <v>25.346571123621398</v>
      </c>
      <c r="N59" s="152">
        <f>假设表!N62</f>
        <v>25.891480962235942</v>
      </c>
      <c r="O59" s="152">
        <f>假设表!O62</f>
        <v>25.416211570635571</v>
      </c>
      <c r="P59" s="152">
        <f>假设表!P62</f>
        <v>25.551421218830971</v>
      </c>
      <c r="Q59" s="152">
        <f>假设表!Q62</f>
        <v>25.619704583900827</v>
      </c>
      <c r="R59" s="152">
        <f>假设表!R62</f>
        <v>25.529112457789125</v>
      </c>
      <c r="S59" s="152">
        <f>假设表!S62</f>
        <v>25.529112457789125</v>
      </c>
      <c r="T59" s="152">
        <f>假设表!T62</f>
        <v>25.529112457789125</v>
      </c>
    </row>
    <row r="60" spans="3:20">
      <c r="C60" s="140" t="s">
        <v>1017</v>
      </c>
      <c r="D60" s="145">
        <f>历史数据!C122</f>
        <v>36.014622520000003</v>
      </c>
      <c r="E60" s="145">
        <f>历史数据!D122</f>
        <v>51.5806775</v>
      </c>
      <c r="F60" s="145">
        <f>历史数据!E122</f>
        <v>26.72726458</v>
      </c>
      <c r="G60" s="145">
        <f>历史数据!F122</f>
        <v>20.99383388</v>
      </c>
      <c r="H60" s="146">
        <f>历史数据!G122</f>
        <v>32.188814489999999</v>
      </c>
      <c r="I60" s="152">
        <f>假设表!I63+历史数据及预测表!H60</f>
        <v>32.188814489999999</v>
      </c>
      <c r="J60" s="152">
        <f>假设表!J63+历史数据及预测表!I60</f>
        <v>32.188814489999999</v>
      </c>
      <c r="K60" s="152">
        <f>假设表!K63+历史数据及预测表!J60</f>
        <v>32.188814489999999</v>
      </c>
      <c r="L60" s="152">
        <f>假设表!L63+历史数据及预测表!K60</f>
        <v>32.188814489999999</v>
      </c>
      <c r="M60" s="152">
        <f>假设表!M63+历史数据及预测表!L60</f>
        <v>32.188814489999999</v>
      </c>
      <c r="N60" s="152">
        <f>假设表!N63+历史数据及预测表!M60</f>
        <v>32.188814489999999</v>
      </c>
      <c r="O60" s="152">
        <f>假设表!O63+历史数据及预测表!N60</f>
        <v>32.188814489999999</v>
      </c>
      <c r="P60" s="152">
        <f>假设表!P63+历史数据及预测表!O60</f>
        <v>32.188814489999999</v>
      </c>
      <c r="Q60" s="152">
        <f>假设表!Q63+历史数据及预测表!P60</f>
        <v>32.188814489999999</v>
      </c>
      <c r="R60" s="152">
        <f>假设表!R63+历史数据及预测表!Q60</f>
        <v>32.188814489999999</v>
      </c>
      <c r="S60" s="152">
        <f>假设表!S63+历史数据及预测表!R60</f>
        <v>32.188814489999999</v>
      </c>
      <c r="T60" s="152">
        <f>假设表!T63+历史数据及预测表!S60</f>
        <v>32.188814489999999</v>
      </c>
    </row>
    <row r="61" spans="3:20">
      <c r="C61" s="140" t="s">
        <v>1018</v>
      </c>
      <c r="D61" s="145">
        <f>历史数据!C127</f>
        <v>0</v>
      </c>
      <c r="E61" s="145">
        <f>历史数据!D127</f>
        <v>0</v>
      </c>
      <c r="F61" s="145">
        <f>历史数据!E127</f>
        <v>0</v>
      </c>
      <c r="G61" s="145">
        <f>历史数据!F127</f>
        <v>0</v>
      </c>
      <c r="H61" s="146">
        <f>历史数据!G127</f>
        <v>0</v>
      </c>
      <c r="I61" s="152">
        <f>假设表!I64+历史数据及预测表!H61</f>
        <v>0</v>
      </c>
      <c r="J61" s="152">
        <f>假设表!J64+历史数据及预测表!I61</f>
        <v>0</v>
      </c>
      <c r="K61" s="152">
        <f>假设表!K64+历史数据及预测表!J61</f>
        <v>0</v>
      </c>
      <c r="L61" s="152">
        <f>假设表!L64+历史数据及预测表!K61</f>
        <v>0</v>
      </c>
      <c r="M61" s="152">
        <f>假设表!M64+历史数据及预测表!L61</f>
        <v>0</v>
      </c>
      <c r="N61" s="152">
        <f>假设表!N64+历史数据及预测表!M61</f>
        <v>0</v>
      </c>
      <c r="O61" s="152">
        <f>假设表!O64+历史数据及预测表!N61</f>
        <v>0</v>
      </c>
      <c r="P61" s="152">
        <f>假设表!P64+历史数据及预测表!O61</f>
        <v>0</v>
      </c>
      <c r="Q61" s="152">
        <f>假设表!Q64+历史数据及预测表!P61</f>
        <v>0</v>
      </c>
      <c r="R61" s="152">
        <f>假设表!R64+历史数据及预测表!Q61</f>
        <v>0</v>
      </c>
      <c r="S61" s="152">
        <f>假设表!S64+历史数据及预测表!R61</f>
        <v>0</v>
      </c>
      <c r="T61" s="152">
        <f>假设表!T64+历史数据及预测表!S61</f>
        <v>0</v>
      </c>
    </row>
    <row r="62" spans="3:20">
      <c r="C62" s="140" t="s">
        <v>1019</v>
      </c>
      <c r="D62" s="145">
        <f>历史数据!C128</f>
        <v>9.3133440699999994</v>
      </c>
      <c r="E62" s="145">
        <f>历史数据!D128</f>
        <v>8.3902675500000008</v>
      </c>
      <c r="F62" s="145">
        <f>历史数据!E128</f>
        <v>12.561818720000002</v>
      </c>
      <c r="G62" s="145">
        <f>历史数据!F128</f>
        <v>10.061763580000001</v>
      </c>
      <c r="H62" s="146">
        <f>历史数据!G128</f>
        <v>8.4142168800000015</v>
      </c>
      <c r="I62" s="152">
        <f>假设表!I65+历史数据及预测表!H62</f>
        <v>8.4142168800000015</v>
      </c>
      <c r="J62" s="152">
        <f>假设表!J65+历史数据及预测表!I62</f>
        <v>8.4142168800000015</v>
      </c>
      <c r="K62" s="152">
        <f>假设表!K65+历史数据及预测表!J62</f>
        <v>8.4142168800000015</v>
      </c>
      <c r="L62" s="152">
        <f>假设表!L65+历史数据及预测表!K62</f>
        <v>8.4142168800000015</v>
      </c>
      <c r="M62" s="152">
        <f>假设表!M65+历史数据及预测表!L62</f>
        <v>8.4142168800000015</v>
      </c>
      <c r="N62" s="152">
        <f>假设表!N65+历史数据及预测表!M62</f>
        <v>8.4142168800000015</v>
      </c>
      <c r="O62" s="152">
        <f>假设表!O65+历史数据及预测表!N62</f>
        <v>8.4142168800000015</v>
      </c>
      <c r="P62" s="152">
        <f>假设表!P65+历史数据及预测表!O62</f>
        <v>8.4142168800000015</v>
      </c>
      <c r="Q62" s="152">
        <f>假设表!Q65+历史数据及预测表!P62</f>
        <v>8.4142168800000015</v>
      </c>
      <c r="R62" s="152">
        <f>假设表!R65+历史数据及预测表!Q62</f>
        <v>8.4142168800000015</v>
      </c>
      <c r="S62" s="152">
        <f>假设表!S65+历史数据及预测表!R62</f>
        <v>8.4142168800000015</v>
      </c>
      <c r="T62" s="152">
        <f>假设表!T65+历史数据及预测表!S62</f>
        <v>8.4142168800000015</v>
      </c>
    </row>
    <row r="63" spans="3:20">
      <c r="C63" s="140" t="s">
        <v>1020</v>
      </c>
      <c r="D63" s="145">
        <f>历史数据!C129</f>
        <v>0</v>
      </c>
      <c r="E63" s="145">
        <f>历史数据!D129</f>
        <v>0</v>
      </c>
      <c r="F63" s="145">
        <f>历史数据!E129</f>
        <v>0</v>
      </c>
      <c r="G63" s="145">
        <f>历史数据!F129</f>
        <v>0</v>
      </c>
      <c r="H63" s="146">
        <f>历史数据!G129</f>
        <v>0</v>
      </c>
      <c r="I63" s="152">
        <f>假设表!I66*(历史数据及预测表!I112+历史数据及预测表!I113)</f>
        <v>0</v>
      </c>
      <c r="J63" s="152">
        <f>假设表!J66*(历史数据及预测表!J112+历史数据及预测表!J113)</f>
        <v>0</v>
      </c>
      <c r="K63" s="152">
        <f>假设表!K66*(历史数据及预测表!K112+历史数据及预测表!K113)</f>
        <v>0</v>
      </c>
      <c r="L63" s="152">
        <f>假设表!L66*(历史数据及预测表!L112+历史数据及预测表!L113)</f>
        <v>0</v>
      </c>
      <c r="M63" s="152">
        <f>假设表!M66*(历史数据及预测表!M112+历史数据及预测表!M113)</f>
        <v>0</v>
      </c>
      <c r="N63" s="152">
        <f>假设表!N66*(历史数据及预测表!N112+历史数据及预测表!N113)</f>
        <v>0</v>
      </c>
      <c r="O63" s="152">
        <f>假设表!O66*(历史数据及预测表!O112+历史数据及预测表!O113)</f>
        <v>0</v>
      </c>
      <c r="P63" s="152">
        <f>假设表!P66*(历史数据及预测表!P112+历史数据及预测表!P113)</f>
        <v>0</v>
      </c>
      <c r="Q63" s="152">
        <f>假设表!Q66*(历史数据及预测表!Q112+历史数据及预测表!Q113)</f>
        <v>0</v>
      </c>
      <c r="R63" s="152">
        <f>假设表!R66*(历史数据及预测表!R112+历史数据及预测表!R113)</f>
        <v>0</v>
      </c>
      <c r="S63" s="152">
        <f>假设表!S66*(历史数据及预测表!S112+历史数据及预测表!S113)</f>
        <v>0</v>
      </c>
      <c r="T63" s="152">
        <f>假设表!T66*(历史数据及预测表!T112+历史数据及预测表!T113)</f>
        <v>0</v>
      </c>
    </row>
    <row r="64" spans="3:20">
      <c r="C64" s="140" t="s">
        <v>1021</v>
      </c>
      <c r="D64" s="145">
        <f>历史数据!C130</f>
        <v>0</v>
      </c>
      <c r="E64" s="145">
        <f>历史数据!D130</f>
        <v>0</v>
      </c>
      <c r="F64" s="145">
        <f>历史数据!E130</f>
        <v>0</v>
      </c>
      <c r="G64" s="145">
        <f>历史数据!F130</f>
        <v>0</v>
      </c>
      <c r="H64" s="146">
        <f>历史数据!G130</f>
        <v>0</v>
      </c>
      <c r="I64" s="152">
        <f>假设表!I67+历史数据及预测表!H64</f>
        <v>0</v>
      </c>
      <c r="J64" s="152">
        <f>假设表!J67+历史数据及预测表!I64</f>
        <v>0</v>
      </c>
      <c r="K64" s="152">
        <f>假设表!K67+历史数据及预测表!J64</f>
        <v>0</v>
      </c>
      <c r="L64" s="152">
        <f>假设表!L67+历史数据及预测表!K64</f>
        <v>0</v>
      </c>
      <c r="M64" s="152">
        <f>假设表!M67+历史数据及预测表!L64</f>
        <v>0</v>
      </c>
      <c r="N64" s="152">
        <f>假设表!N67+历史数据及预测表!M64</f>
        <v>0</v>
      </c>
      <c r="O64" s="152">
        <f>假设表!O67+历史数据及预测表!N64</f>
        <v>0</v>
      </c>
      <c r="P64" s="152">
        <f>假设表!P67+历史数据及预测表!O64</f>
        <v>0</v>
      </c>
      <c r="Q64" s="152">
        <f>假设表!Q67+历史数据及预测表!P64</f>
        <v>0</v>
      </c>
      <c r="R64" s="152">
        <f>假设表!R67+历史数据及预测表!Q64</f>
        <v>0</v>
      </c>
      <c r="S64" s="152">
        <f>假设表!S67+历史数据及预测表!R64</f>
        <v>0</v>
      </c>
      <c r="T64" s="152">
        <f>假设表!T67+历史数据及预测表!S64</f>
        <v>0</v>
      </c>
    </row>
    <row r="65" spans="3:20">
      <c r="C65" s="140" t="s">
        <v>1022</v>
      </c>
      <c r="D65" s="145">
        <f>历史数据!C131</f>
        <v>0</v>
      </c>
      <c r="E65" s="145">
        <f>历史数据!D131</f>
        <v>0</v>
      </c>
      <c r="F65" s="145">
        <f>历史数据!E131</f>
        <v>0</v>
      </c>
      <c r="G65" s="145">
        <f>历史数据!F131</f>
        <v>0</v>
      </c>
      <c r="H65" s="146">
        <f>历史数据!G131</f>
        <v>0</v>
      </c>
      <c r="I65" s="152">
        <f>假设表!I68+历史数据及预测表!H65</f>
        <v>0</v>
      </c>
      <c r="J65" s="152">
        <f>假设表!J68+历史数据及预测表!I65</f>
        <v>0</v>
      </c>
      <c r="K65" s="152">
        <f>假设表!K68+历史数据及预测表!J65</f>
        <v>0</v>
      </c>
      <c r="L65" s="152">
        <f>假设表!L68+历史数据及预测表!K65</f>
        <v>0</v>
      </c>
      <c r="M65" s="152">
        <f>假设表!M68+历史数据及预测表!L65</f>
        <v>0</v>
      </c>
      <c r="N65" s="152">
        <f>假设表!N68+历史数据及预测表!M65</f>
        <v>0</v>
      </c>
      <c r="O65" s="152">
        <f>假设表!O68+历史数据及预测表!N65</f>
        <v>0</v>
      </c>
      <c r="P65" s="152">
        <f>假设表!P68+历史数据及预测表!O65</f>
        <v>0</v>
      </c>
      <c r="Q65" s="152">
        <f>假设表!Q68+历史数据及预测表!P65</f>
        <v>0</v>
      </c>
      <c r="R65" s="152">
        <f>假设表!R68+历史数据及预测表!Q65</f>
        <v>0</v>
      </c>
      <c r="S65" s="152">
        <f>假设表!S68+历史数据及预测表!R65</f>
        <v>0</v>
      </c>
      <c r="T65" s="152">
        <f>假设表!T68+历史数据及预测表!S65</f>
        <v>0</v>
      </c>
    </row>
    <row r="66" spans="3:20">
      <c r="C66" s="140" t="s">
        <v>1023</v>
      </c>
      <c r="D66" s="145">
        <f>历史数据!C132</f>
        <v>3.4518686199999999</v>
      </c>
      <c r="E66" s="145">
        <f>历史数据!D132</f>
        <v>2.3271957999999997</v>
      </c>
      <c r="F66" s="145">
        <f>历史数据!E132</f>
        <v>2.2742163500000001</v>
      </c>
      <c r="G66" s="145">
        <f>历史数据!F132</f>
        <v>3.0767001299999999</v>
      </c>
      <c r="H66" s="146">
        <f>历史数据!G132</f>
        <v>8.2120415300000005</v>
      </c>
      <c r="I66" s="152">
        <f>假设表!I69+历史数据及预测表!H66</f>
        <v>8.2120415300000005</v>
      </c>
      <c r="J66" s="152">
        <f>假设表!J69+历史数据及预测表!I66</f>
        <v>8.2120415300000005</v>
      </c>
      <c r="K66" s="152">
        <f>假设表!K69+历史数据及预测表!J66</f>
        <v>8.2120415300000005</v>
      </c>
      <c r="L66" s="152">
        <f>假设表!L69+历史数据及预测表!K66</f>
        <v>8.2120415300000005</v>
      </c>
      <c r="M66" s="152">
        <f>假设表!M69+历史数据及预测表!L66</f>
        <v>8.2120415300000005</v>
      </c>
      <c r="N66" s="152">
        <f>假设表!N69+历史数据及预测表!M66</f>
        <v>8.2120415300000005</v>
      </c>
      <c r="O66" s="152">
        <f>假设表!O69+历史数据及预测表!N66</f>
        <v>8.2120415300000005</v>
      </c>
      <c r="P66" s="152">
        <f>假设表!P69+历史数据及预测表!O66</f>
        <v>8.2120415300000005</v>
      </c>
      <c r="Q66" s="152">
        <f>假设表!Q69+历史数据及预测表!P66</f>
        <v>8.2120415300000005</v>
      </c>
      <c r="R66" s="152">
        <f>假设表!R69+历史数据及预测表!Q66</f>
        <v>8.2120415300000005</v>
      </c>
      <c r="S66" s="152">
        <f>假设表!S69+历史数据及预测表!R66</f>
        <v>8.2120415300000005</v>
      </c>
      <c r="T66" s="152">
        <f>假设表!T69+历史数据及预测表!S66</f>
        <v>8.2120415300000005</v>
      </c>
    </row>
    <row r="67" spans="3:20">
      <c r="C67" s="140" t="s">
        <v>1089</v>
      </c>
      <c r="D67" s="145">
        <f>历史数据!C109+历史数据!C110+历史数据!C111+历史数据!C118+历史数据!C119+历史数据!C123+历史数据!C124+历史数据!C125+历史数据!C126</f>
        <v>0</v>
      </c>
      <c r="E67" s="145">
        <f>历史数据!D109+历史数据!D110+历史数据!D111+历史数据!D118+历史数据!D119+历史数据!D123+历史数据!D124+历史数据!D125+历史数据!D126</f>
        <v>0</v>
      </c>
      <c r="F67" s="145">
        <f>历史数据!E109+历史数据!E110+历史数据!E111+历史数据!E118+历史数据!E119+历史数据!E123+历史数据!E124+历史数据!E125+历史数据!E126</f>
        <v>0</v>
      </c>
      <c r="G67" s="145">
        <f>历史数据!F109+历史数据!F110+历史数据!F111+历史数据!F118+历史数据!F119+历史数据!F123+历史数据!F124+历史数据!F125+历史数据!F126</f>
        <v>0</v>
      </c>
      <c r="H67" s="146">
        <f>历史数据!G109+历史数据!G110+历史数据!G111+历史数据!G118+历史数据!G119+历史数据!G123+历史数据!G124+历史数据!G125+历史数据!G126</f>
        <v>0</v>
      </c>
      <c r="I67" s="152">
        <f>假设表!I70+历史数据及预测表!H67</f>
        <v>0</v>
      </c>
      <c r="J67" s="152">
        <f>假设表!J70+历史数据及预测表!I67</f>
        <v>0</v>
      </c>
      <c r="K67" s="152">
        <f>假设表!K70+历史数据及预测表!J67</f>
        <v>0</v>
      </c>
      <c r="L67" s="152">
        <f>假设表!L70+历史数据及预测表!K67</f>
        <v>0</v>
      </c>
      <c r="M67" s="152">
        <f>假设表!M70+历史数据及预测表!L67</f>
        <v>0</v>
      </c>
      <c r="N67" s="152">
        <f>假设表!N70+历史数据及预测表!M67</f>
        <v>0</v>
      </c>
      <c r="O67" s="152">
        <f>假设表!O70+历史数据及预测表!N67</f>
        <v>0</v>
      </c>
      <c r="P67" s="152">
        <f>假设表!P70+历史数据及预测表!O67</f>
        <v>0</v>
      </c>
      <c r="Q67" s="152">
        <f>假设表!Q70+历史数据及预测表!P67</f>
        <v>0</v>
      </c>
      <c r="R67" s="152">
        <f>假设表!R70+历史数据及预测表!Q67</f>
        <v>0</v>
      </c>
      <c r="S67" s="152">
        <f>假设表!S70+历史数据及预测表!R67</f>
        <v>0</v>
      </c>
      <c r="T67" s="152">
        <f>假设表!T70+历史数据及预测表!S67</f>
        <v>0</v>
      </c>
    </row>
    <row r="68" spans="3:20">
      <c r="C68" s="140" t="s">
        <v>1090</v>
      </c>
      <c r="D68" s="145">
        <f>历史数据!C133</f>
        <v>0</v>
      </c>
      <c r="E68" s="145">
        <f>历史数据!D133</f>
        <v>0</v>
      </c>
      <c r="F68" s="145">
        <f>历史数据!E133</f>
        <v>0</v>
      </c>
      <c r="G68" s="145">
        <f>历史数据!F133</f>
        <v>0</v>
      </c>
      <c r="H68" s="146">
        <f>历史数据!G133</f>
        <v>0</v>
      </c>
      <c r="I68" s="152">
        <f>H68</f>
        <v>0</v>
      </c>
      <c r="J68" s="152">
        <f t="shared" ref="J68:R68" si="24">I68</f>
        <v>0</v>
      </c>
      <c r="K68" s="152">
        <f t="shared" si="24"/>
        <v>0</v>
      </c>
      <c r="L68" s="152">
        <f t="shared" si="24"/>
        <v>0</v>
      </c>
      <c r="M68" s="152">
        <f t="shared" si="24"/>
        <v>0</v>
      </c>
      <c r="N68" s="152">
        <f t="shared" si="24"/>
        <v>0</v>
      </c>
      <c r="O68" s="152">
        <f t="shared" si="24"/>
        <v>0</v>
      </c>
      <c r="P68" s="152">
        <f t="shared" si="24"/>
        <v>0</v>
      </c>
      <c r="Q68" s="152">
        <f t="shared" si="24"/>
        <v>0</v>
      </c>
      <c r="R68" s="152">
        <f t="shared" si="24"/>
        <v>0</v>
      </c>
      <c r="S68" s="152">
        <f t="shared" ref="S68" si="25">R68</f>
        <v>0</v>
      </c>
      <c r="T68" s="152">
        <f t="shared" ref="T68" si="26">S68</f>
        <v>0</v>
      </c>
    </row>
    <row r="69" spans="3:20" ht="14.65">
      <c r="C69" s="148" t="s">
        <v>1091</v>
      </c>
      <c r="D69" s="145">
        <f t="shared" ref="D69:I69" si="27">SUM(D51:D68)</f>
        <v>884.77546400000006</v>
      </c>
      <c r="E69" s="145">
        <f t="shared" si="27"/>
        <v>1050.7210563400001</v>
      </c>
      <c r="F69" s="145">
        <f t="shared" si="27"/>
        <v>784.59645133000004</v>
      </c>
      <c r="G69" s="145">
        <f t="shared" si="27"/>
        <v>738.10990783</v>
      </c>
      <c r="H69" s="146">
        <f t="shared" si="27"/>
        <v>999.97752641</v>
      </c>
      <c r="I69" s="152">
        <f t="shared" ca="1" si="27"/>
        <v>2836.0655165360781</v>
      </c>
      <c r="J69" s="152">
        <f t="shared" ref="J69:R69" ca="1" si="28">SUM(J51:J68)</f>
        <v>3708.8164645344909</v>
      </c>
      <c r="K69" s="152">
        <f t="shared" ca="1" si="28"/>
        <v>4394.730766530377</v>
      </c>
      <c r="L69" s="152">
        <f t="shared" ca="1" si="28"/>
        <v>5019.0094258300978</v>
      </c>
      <c r="M69" s="152">
        <f t="shared" ca="1" si="28"/>
        <v>5249.6547152535586</v>
      </c>
      <c r="N69" s="152">
        <f t="shared" ca="1" si="28"/>
        <v>5879.4919236240485</v>
      </c>
      <c r="O69" s="152">
        <f t="shared" ca="1" si="28"/>
        <v>6450.1102110028423</v>
      </c>
      <c r="P69" s="152">
        <f t="shared" ca="1" si="28"/>
        <v>6962.0914026962482</v>
      </c>
      <c r="Q69" s="152">
        <f t="shared" ca="1" si="28"/>
        <v>7651.5703419753136</v>
      </c>
      <c r="R69" s="152">
        <f t="shared" ca="1" si="28"/>
        <v>8352.6534057090012</v>
      </c>
      <c r="S69" s="152">
        <f t="shared" ref="S69:T69" ca="1" si="29">SUM(S51:S68)</f>
        <v>9201.7295030043679</v>
      </c>
      <c r="T69" s="152">
        <f t="shared" ca="1" si="29"/>
        <v>10166.703205035037</v>
      </c>
    </row>
    <row r="70" spans="3:20">
      <c r="C70" s="144" t="s">
        <v>1092</v>
      </c>
      <c r="D70" s="145"/>
      <c r="E70" s="145"/>
      <c r="F70" s="145"/>
      <c r="G70" s="145"/>
      <c r="H70" s="146"/>
      <c r="I70" s="152"/>
      <c r="J70" s="152"/>
      <c r="K70" s="152"/>
      <c r="L70" s="152"/>
      <c r="M70" s="152"/>
      <c r="N70" s="152"/>
      <c r="O70" s="152"/>
      <c r="P70" s="152"/>
      <c r="Q70" s="152"/>
      <c r="R70" s="152"/>
      <c r="S70" s="152"/>
      <c r="T70" s="152"/>
    </row>
    <row r="71" spans="3:20">
      <c r="C71" s="140" t="s">
        <v>1042</v>
      </c>
      <c r="D71" s="145">
        <f>历史数据!C136</f>
        <v>0</v>
      </c>
      <c r="E71" s="145">
        <f>历史数据!D136</f>
        <v>0</v>
      </c>
      <c r="F71" s="145">
        <f>历史数据!E136</f>
        <v>0</v>
      </c>
      <c r="G71" s="145">
        <f>历史数据!F136</f>
        <v>0</v>
      </c>
      <c r="H71" s="146">
        <f>历史数据!G136</f>
        <v>0</v>
      </c>
      <c r="I71" s="152">
        <f>假设表!I121+历史数据及预测表!H71</f>
        <v>0</v>
      </c>
      <c r="J71" s="152">
        <f>假设表!J121+历史数据及预测表!I71</f>
        <v>0</v>
      </c>
      <c r="K71" s="152">
        <f>假设表!K121+历史数据及预测表!J71</f>
        <v>0</v>
      </c>
      <c r="L71" s="152">
        <f>假设表!L121+历史数据及预测表!K71</f>
        <v>0</v>
      </c>
      <c r="M71" s="152">
        <f>假设表!M121+历史数据及预测表!L71</f>
        <v>0</v>
      </c>
      <c r="N71" s="152">
        <f>假设表!N121+历史数据及预测表!M71</f>
        <v>0</v>
      </c>
      <c r="O71" s="152">
        <f>假设表!O121+历史数据及预测表!N71</f>
        <v>0</v>
      </c>
      <c r="P71" s="152">
        <f>假设表!P121+历史数据及预测表!O71</f>
        <v>0</v>
      </c>
      <c r="Q71" s="152">
        <f>假设表!Q121+历史数据及预测表!P71</f>
        <v>0</v>
      </c>
      <c r="R71" s="152">
        <f>假设表!R121+历史数据及预测表!Q71</f>
        <v>0</v>
      </c>
      <c r="S71" s="152">
        <f>假设表!S121+历史数据及预测表!R71</f>
        <v>0</v>
      </c>
      <c r="T71" s="152">
        <f>假设表!T121+历史数据及预测表!S71</f>
        <v>0</v>
      </c>
    </row>
    <row r="72" spans="3:20">
      <c r="C72" s="140" t="s">
        <v>1093</v>
      </c>
      <c r="D72" s="145">
        <f>历史数据!C137</f>
        <v>0</v>
      </c>
      <c r="E72" s="145">
        <f>历史数据!D137</f>
        <v>0</v>
      </c>
      <c r="F72" s="145">
        <f>历史数据!E137</f>
        <v>0</v>
      </c>
      <c r="G72" s="145">
        <f>历史数据!F137</f>
        <v>0</v>
      </c>
      <c r="H72" s="146">
        <f>历史数据!G137</f>
        <v>0</v>
      </c>
      <c r="I72" s="152">
        <f>假设表!I122+H72</f>
        <v>0</v>
      </c>
      <c r="J72" s="152">
        <f>假设表!J122+I72</f>
        <v>0</v>
      </c>
      <c r="K72" s="152">
        <f>假设表!K122+J72</f>
        <v>0</v>
      </c>
      <c r="L72" s="152">
        <f>假设表!L122+K72</f>
        <v>0</v>
      </c>
      <c r="M72" s="152">
        <f>假设表!M122+L72</f>
        <v>0</v>
      </c>
      <c r="N72" s="152">
        <f>假设表!N122+M72</f>
        <v>0</v>
      </c>
      <c r="O72" s="152">
        <f>假设表!O122+N72</f>
        <v>0</v>
      </c>
      <c r="P72" s="152">
        <f>假设表!P122+O72</f>
        <v>0</v>
      </c>
      <c r="Q72" s="152">
        <f>假设表!Q122+P72</f>
        <v>0</v>
      </c>
      <c r="R72" s="152">
        <f>假设表!R122+Q72</f>
        <v>0</v>
      </c>
      <c r="S72" s="152">
        <f>假设表!S122+R72</f>
        <v>0</v>
      </c>
      <c r="T72" s="152">
        <f>假设表!T122+S72</f>
        <v>0</v>
      </c>
    </row>
    <row r="73" spans="3:20">
      <c r="C73" s="140" t="s">
        <v>1094</v>
      </c>
      <c r="D73" s="147">
        <f>历史数据!C138</f>
        <v>5.47020836</v>
      </c>
      <c r="E73" s="147">
        <f>历史数据!D138</f>
        <v>6.5142615499999996</v>
      </c>
      <c r="F73" s="147">
        <f>历史数据!E138</f>
        <v>19.700470750000001</v>
      </c>
      <c r="G73" s="147">
        <f>历史数据!F138</f>
        <v>13.62258963</v>
      </c>
      <c r="H73" s="147">
        <f>历史数据!G138</f>
        <v>9.3433978900000003</v>
      </c>
      <c r="I73" s="158">
        <f>假设表!I96+历史数据及预测表!H73</f>
        <v>9.3433978900000003</v>
      </c>
      <c r="J73" s="159">
        <f>假设表!J96+历史数据及预测表!I73</f>
        <v>9.3433978900000003</v>
      </c>
      <c r="K73" s="159">
        <f>假设表!K96+历史数据及预测表!J73</f>
        <v>9.3433978900000003</v>
      </c>
      <c r="L73" s="159">
        <f>假设表!L96+历史数据及预测表!K73</f>
        <v>9.3433978900000003</v>
      </c>
      <c r="M73" s="159">
        <f>假设表!M96+历史数据及预测表!L73</f>
        <v>9.3433978900000003</v>
      </c>
      <c r="N73" s="159">
        <f>假设表!N96+历史数据及预测表!M73</f>
        <v>9.3433978900000003</v>
      </c>
      <c r="O73" s="159">
        <f>假设表!O96+历史数据及预测表!N73</f>
        <v>9.3433978900000003</v>
      </c>
      <c r="P73" s="159">
        <f>假设表!P96+历史数据及预测表!O73</f>
        <v>9.3433978900000003</v>
      </c>
      <c r="Q73" s="159">
        <f>假设表!Q96+历史数据及预测表!P73</f>
        <v>9.3433978900000003</v>
      </c>
      <c r="R73" s="159">
        <f>假设表!R96+历史数据及预测表!Q73</f>
        <v>9.3433978900000003</v>
      </c>
      <c r="S73" s="159">
        <f>假设表!S96+历史数据及预测表!R73</f>
        <v>9.3433978900000003</v>
      </c>
      <c r="T73" s="159">
        <f>假设表!T96+历史数据及预测表!S73</f>
        <v>9.3433978900000003</v>
      </c>
    </row>
    <row r="74" spans="3:20">
      <c r="C74" s="140" t="s">
        <v>1095</v>
      </c>
      <c r="D74" s="145">
        <f>历史数据!C139</f>
        <v>0</v>
      </c>
      <c r="E74" s="145">
        <f>历史数据!D139</f>
        <v>0</v>
      </c>
      <c r="F74" s="145">
        <f>历史数据!E139</f>
        <v>0</v>
      </c>
      <c r="G74" s="145">
        <f>历史数据!F139</f>
        <v>0</v>
      </c>
      <c r="H74" s="146">
        <f>历史数据!G139</f>
        <v>0</v>
      </c>
      <c r="I74" s="152">
        <f>假设表!I123+历史数据及预测表!H74</f>
        <v>0</v>
      </c>
      <c r="J74" s="152">
        <f>假设表!J123+历史数据及预测表!I74</f>
        <v>0</v>
      </c>
      <c r="K74" s="152">
        <f>假设表!K123+历史数据及预测表!J74</f>
        <v>0</v>
      </c>
      <c r="L74" s="152">
        <f>假设表!L123+历史数据及预测表!K74</f>
        <v>0</v>
      </c>
      <c r="M74" s="152">
        <f>假设表!M123+历史数据及预测表!L74</f>
        <v>0</v>
      </c>
      <c r="N74" s="152">
        <f>假设表!N123+历史数据及预测表!M74</f>
        <v>0</v>
      </c>
      <c r="O74" s="152">
        <f>假设表!O123+历史数据及预测表!N74</f>
        <v>0</v>
      </c>
      <c r="P74" s="152">
        <f>假设表!P123+历史数据及预测表!O74</f>
        <v>0</v>
      </c>
      <c r="Q74" s="152">
        <f>假设表!Q123+历史数据及预测表!P74</f>
        <v>0</v>
      </c>
      <c r="R74" s="152">
        <f>假设表!R123+历史数据及预测表!Q74</f>
        <v>0</v>
      </c>
      <c r="S74" s="152">
        <f>假设表!S123+历史数据及预测表!R74</f>
        <v>0</v>
      </c>
      <c r="T74" s="152">
        <f>假设表!T123+历史数据及预测表!S74</f>
        <v>0</v>
      </c>
    </row>
    <row r="75" spans="3:20">
      <c r="C75" s="140" t="s">
        <v>1096</v>
      </c>
      <c r="D75" s="145">
        <f>历史数据!C140</f>
        <v>0.95561541999999999</v>
      </c>
      <c r="E75" s="145">
        <f>历史数据!D140</f>
        <v>0</v>
      </c>
      <c r="F75" s="145">
        <f>历史数据!E140</f>
        <v>0</v>
      </c>
      <c r="G75" s="145">
        <f>历史数据!F140</f>
        <v>0</v>
      </c>
      <c r="H75" s="146">
        <f>历史数据!G140</f>
        <v>0</v>
      </c>
      <c r="I75" s="152">
        <f>假设表!I124+历史数据及预测表!H75</f>
        <v>0</v>
      </c>
      <c r="J75" s="152">
        <f>假设表!J124+历史数据及预测表!I75</f>
        <v>0</v>
      </c>
      <c r="K75" s="152">
        <f>假设表!K124+历史数据及预测表!J75</f>
        <v>0</v>
      </c>
      <c r="L75" s="152">
        <f>假设表!L124+历史数据及预测表!K75</f>
        <v>0</v>
      </c>
      <c r="M75" s="152">
        <f>假设表!M124+历史数据及预测表!L75</f>
        <v>0</v>
      </c>
      <c r="N75" s="152">
        <f>假设表!N124+历史数据及预测表!M75</f>
        <v>0</v>
      </c>
      <c r="O75" s="152">
        <f>假设表!O124+历史数据及预测表!N75</f>
        <v>0</v>
      </c>
      <c r="P75" s="152">
        <f>假设表!P124+历史数据及预测表!O75</f>
        <v>0</v>
      </c>
      <c r="Q75" s="152">
        <f>假设表!Q124+历史数据及预测表!P75</f>
        <v>0</v>
      </c>
      <c r="R75" s="152">
        <f>假设表!R124+历史数据及预测表!Q75</f>
        <v>0</v>
      </c>
      <c r="S75" s="152">
        <f>假设表!S124+历史数据及预测表!R75</f>
        <v>0</v>
      </c>
      <c r="T75" s="152">
        <f>假设表!T124+历史数据及预测表!S75</f>
        <v>0</v>
      </c>
    </row>
    <row r="76" spans="3:20">
      <c r="C76" s="140" t="s">
        <v>1024</v>
      </c>
      <c r="D76" s="145">
        <f>历史数据!C141</f>
        <v>19.769234999999998</v>
      </c>
      <c r="E76" s="145">
        <f>历史数据!D141</f>
        <v>21.59524665</v>
      </c>
      <c r="F76" s="145">
        <f>历史数据!E141</f>
        <v>10.867971109999999</v>
      </c>
      <c r="G76" s="145">
        <f>历史数据!F141</f>
        <v>11.52716729</v>
      </c>
      <c r="H76" s="146">
        <f>历史数据!G141</f>
        <v>9.2563462100000002</v>
      </c>
      <c r="I76" s="152">
        <f>假设表!I71+H76</f>
        <v>9.2563462100000002</v>
      </c>
      <c r="J76" s="152">
        <f>假设表!J71+I76</f>
        <v>9.2563462100000002</v>
      </c>
      <c r="K76" s="152">
        <f>假设表!K71+J76</f>
        <v>9.2563462100000002</v>
      </c>
      <c r="L76" s="152">
        <f>假设表!L71+K76</f>
        <v>9.2563462100000002</v>
      </c>
      <c r="M76" s="152">
        <f>假设表!M71+L76</f>
        <v>9.2563462100000002</v>
      </c>
      <c r="N76" s="152">
        <f>假设表!N71+M76</f>
        <v>9.2563462100000002</v>
      </c>
      <c r="O76" s="152">
        <f>假设表!O71+N76</f>
        <v>9.2563462100000002</v>
      </c>
      <c r="P76" s="152">
        <f>假设表!P71+O76</f>
        <v>9.2563462100000002</v>
      </c>
      <c r="Q76" s="152">
        <f>假设表!Q71+P76</f>
        <v>9.2563462100000002</v>
      </c>
      <c r="R76" s="152">
        <f>假设表!R71+Q76</f>
        <v>9.2563462100000002</v>
      </c>
      <c r="S76" s="152">
        <f>假设表!S71+R76</f>
        <v>9.2563462100000002</v>
      </c>
      <c r="T76" s="152">
        <f>假设表!T71+S76</f>
        <v>9.2563462100000002</v>
      </c>
    </row>
    <row r="77" spans="3:20">
      <c r="C77" s="140" t="s">
        <v>1097</v>
      </c>
      <c r="D77" s="145">
        <f>历史数据!C142</f>
        <v>90.892208449999998</v>
      </c>
      <c r="E77" s="145">
        <f>历史数据!D142</f>
        <v>68.938075909999995</v>
      </c>
      <c r="F77" s="145">
        <f>历史数据!E142</f>
        <v>78.97118248000001</v>
      </c>
      <c r="G77" s="145">
        <f>历史数据!F142</f>
        <v>68.645053260000012</v>
      </c>
      <c r="H77" s="146">
        <f>历史数据!G142</f>
        <v>62.389350549999996</v>
      </c>
      <c r="I77" s="152">
        <f>假设表!I72+历史数据及预测表!H77</f>
        <v>62.389350549999996</v>
      </c>
      <c r="J77" s="152">
        <f>假设表!J72+历史数据及预测表!I77</f>
        <v>62.389350549999996</v>
      </c>
      <c r="K77" s="152">
        <f>假设表!K72+历史数据及预测表!J77</f>
        <v>62.389350549999996</v>
      </c>
      <c r="L77" s="152">
        <f>假设表!L72+历史数据及预测表!K77</f>
        <v>62.389350549999996</v>
      </c>
      <c r="M77" s="152">
        <f>假设表!M72+历史数据及预测表!L77</f>
        <v>62.389350549999996</v>
      </c>
      <c r="N77" s="152">
        <f>假设表!N72+历史数据及预测表!M77</f>
        <v>62.389350549999996</v>
      </c>
      <c r="O77" s="152">
        <f>假设表!O72+历史数据及预测表!N77</f>
        <v>62.389350549999996</v>
      </c>
      <c r="P77" s="152">
        <f>假设表!P72+历史数据及预测表!O77</f>
        <v>62.389350549999996</v>
      </c>
      <c r="Q77" s="152">
        <f>假设表!Q72+历史数据及预测表!P77</f>
        <v>62.389350549999996</v>
      </c>
      <c r="R77" s="152">
        <f>假设表!R72+历史数据及预测表!Q77</f>
        <v>62.389350549999996</v>
      </c>
      <c r="S77" s="152">
        <f>假设表!S72+历史数据及预测表!R77</f>
        <v>62.389350549999996</v>
      </c>
      <c r="T77" s="152">
        <f>假设表!T72+历史数据及预测表!S77</f>
        <v>62.389350549999996</v>
      </c>
    </row>
    <row r="78" spans="3:20">
      <c r="C78" s="140" t="s">
        <v>1098</v>
      </c>
      <c r="D78" s="145">
        <f>历史数据!C143</f>
        <v>10.365784199999998</v>
      </c>
      <c r="E78" s="145">
        <f>历史数据!D143</f>
        <v>15.04767425</v>
      </c>
      <c r="F78" s="145">
        <f>历史数据!E143</f>
        <v>18.367887850000002</v>
      </c>
      <c r="G78" s="145">
        <f>历史数据!F143</f>
        <v>12.126684189999999</v>
      </c>
      <c r="H78" s="146">
        <f>历史数据!G143</f>
        <v>3.3225888599999998</v>
      </c>
      <c r="I78" s="152">
        <f>假设表!I73+历史数据及预测表!H78</f>
        <v>3.3225888599999998</v>
      </c>
      <c r="J78" s="152">
        <f>假设表!J73+历史数据及预测表!I78</f>
        <v>3.3225888599999998</v>
      </c>
      <c r="K78" s="152">
        <f>假设表!K73+历史数据及预测表!J78</f>
        <v>3.3225888599999998</v>
      </c>
      <c r="L78" s="152">
        <f>假设表!L73+历史数据及预测表!K78</f>
        <v>3.3225888599999998</v>
      </c>
      <c r="M78" s="152">
        <f>假设表!M73+历史数据及预测表!L78</f>
        <v>3.3225888599999998</v>
      </c>
      <c r="N78" s="152">
        <f>假设表!N73+历史数据及预测表!M78</f>
        <v>3.3225888599999998</v>
      </c>
      <c r="O78" s="152">
        <f>假设表!O73+历史数据及预测表!N78</f>
        <v>3.3225888599999998</v>
      </c>
      <c r="P78" s="152">
        <f>假设表!P73+历史数据及预测表!O78</f>
        <v>3.3225888599999998</v>
      </c>
      <c r="Q78" s="152">
        <f>假设表!Q73+历史数据及预测表!P78</f>
        <v>3.3225888599999998</v>
      </c>
      <c r="R78" s="152">
        <f>假设表!R73+历史数据及预测表!Q78</f>
        <v>3.3225888599999998</v>
      </c>
      <c r="S78" s="152">
        <f>假设表!S73+历史数据及预测表!R78</f>
        <v>3.3225888599999998</v>
      </c>
      <c r="T78" s="152">
        <f>假设表!T73+历史数据及预测表!S78</f>
        <v>3.3225888599999998</v>
      </c>
    </row>
    <row r="79" spans="3:20">
      <c r="C79" s="140" t="s">
        <v>1099</v>
      </c>
      <c r="D79" s="145">
        <f>历史数据!C144</f>
        <v>0</v>
      </c>
      <c r="E79" s="145">
        <f>历史数据!D144</f>
        <v>0</v>
      </c>
      <c r="F79" s="145">
        <f>历史数据!E144</f>
        <v>0</v>
      </c>
      <c r="G79" s="145">
        <f>历史数据!F144</f>
        <v>0</v>
      </c>
      <c r="H79" s="146">
        <f>历史数据!G144</f>
        <v>0</v>
      </c>
      <c r="I79" s="152">
        <f>历史数据及预测表!H79</f>
        <v>0</v>
      </c>
      <c r="J79" s="152">
        <f>历史数据及预测表!I79</f>
        <v>0</v>
      </c>
      <c r="K79" s="152">
        <f>历史数据及预测表!J79</f>
        <v>0</v>
      </c>
      <c r="L79" s="152">
        <f>历史数据及预测表!K79</f>
        <v>0</v>
      </c>
      <c r="M79" s="152">
        <f>历史数据及预测表!L79</f>
        <v>0</v>
      </c>
      <c r="N79" s="152">
        <f>历史数据及预测表!M79</f>
        <v>0</v>
      </c>
      <c r="O79" s="152">
        <f>历史数据及预测表!N79</f>
        <v>0</v>
      </c>
      <c r="P79" s="152">
        <f>历史数据及预测表!O79</f>
        <v>0</v>
      </c>
      <c r="Q79" s="152">
        <f>历史数据及预测表!P79</f>
        <v>0</v>
      </c>
      <c r="R79" s="152">
        <f>历史数据及预测表!Q79</f>
        <v>0</v>
      </c>
      <c r="S79" s="152">
        <f>历史数据及预测表!R79</f>
        <v>0</v>
      </c>
      <c r="T79" s="152">
        <f>历史数据及预测表!S79</f>
        <v>0</v>
      </c>
    </row>
    <row r="80" spans="3:20">
      <c r="C80" s="140" t="s">
        <v>1100</v>
      </c>
      <c r="D80" s="145">
        <f>历史数据!C145</f>
        <v>0</v>
      </c>
      <c r="E80" s="145">
        <f>历史数据!D145</f>
        <v>0</v>
      </c>
      <c r="F80" s="145">
        <f>历史数据!E145</f>
        <v>0</v>
      </c>
      <c r="G80" s="145">
        <f>历史数据!F145</f>
        <v>0</v>
      </c>
      <c r="H80" s="146">
        <f>历史数据!G145</f>
        <v>0</v>
      </c>
      <c r="I80" s="152">
        <f>H80</f>
        <v>0</v>
      </c>
      <c r="J80" s="152">
        <f t="shared" ref="J80:R80" si="30">I80</f>
        <v>0</v>
      </c>
      <c r="K80" s="152">
        <f t="shared" si="30"/>
        <v>0</v>
      </c>
      <c r="L80" s="152">
        <f t="shared" si="30"/>
        <v>0</v>
      </c>
      <c r="M80" s="152">
        <f t="shared" si="30"/>
        <v>0</v>
      </c>
      <c r="N80" s="152">
        <f t="shared" si="30"/>
        <v>0</v>
      </c>
      <c r="O80" s="152">
        <f t="shared" si="30"/>
        <v>0</v>
      </c>
      <c r="P80" s="152">
        <f t="shared" si="30"/>
        <v>0</v>
      </c>
      <c r="Q80" s="152">
        <f t="shared" si="30"/>
        <v>0</v>
      </c>
      <c r="R80" s="152">
        <f t="shared" si="30"/>
        <v>0</v>
      </c>
      <c r="S80" s="152">
        <f t="shared" ref="S80" si="31">R80</f>
        <v>0</v>
      </c>
      <c r="T80" s="152">
        <f t="shared" ref="T80" si="32">S80</f>
        <v>0</v>
      </c>
    </row>
    <row r="81" spans="3:20" ht="14.65">
      <c r="C81" s="148" t="s">
        <v>1101</v>
      </c>
      <c r="D81" s="149">
        <f t="shared" ref="D81:I81" si="33">SUM(D71:D80)</f>
        <v>127.45305142999999</v>
      </c>
      <c r="E81" s="149">
        <f t="shared" si="33"/>
        <v>112.09525836</v>
      </c>
      <c r="F81" s="149">
        <f t="shared" si="33"/>
        <v>127.90751219000002</v>
      </c>
      <c r="G81" s="149">
        <f t="shared" si="33"/>
        <v>105.92149437</v>
      </c>
      <c r="H81" s="150">
        <f t="shared" si="33"/>
        <v>84.311683509999995</v>
      </c>
      <c r="I81" s="161">
        <f t="shared" si="33"/>
        <v>84.311683509999995</v>
      </c>
      <c r="J81" s="161">
        <f t="shared" ref="J81:R81" si="34">SUM(J71:J80)</f>
        <v>84.311683509999995</v>
      </c>
      <c r="K81" s="161">
        <f t="shared" si="34"/>
        <v>84.311683509999995</v>
      </c>
      <c r="L81" s="161">
        <f t="shared" si="34"/>
        <v>84.311683509999995</v>
      </c>
      <c r="M81" s="161">
        <f t="shared" si="34"/>
        <v>84.311683509999995</v>
      </c>
      <c r="N81" s="161">
        <f t="shared" si="34"/>
        <v>84.311683509999995</v>
      </c>
      <c r="O81" s="161">
        <f t="shared" si="34"/>
        <v>84.311683509999995</v>
      </c>
      <c r="P81" s="161">
        <f t="shared" si="34"/>
        <v>84.311683509999995</v>
      </c>
      <c r="Q81" s="161">
        <f t="shared" si="34"/>
        <v>84.311683509999995</v>
      </c>
      <c r="R81" s="161">
        <f t="shared" si="34"/>
        <v>84.311683509999995</v>
      </c>
      <c r="S81" s="161">
        <f t="shared" ref="S81:T81" si="35">SUM(S71:S80)</f>
        <v>84.311683509999995</v>
      </c>
      <c r="T81" s="161">
        <f t="shared" si="35"/>
        <v>84.311683509999995</v>
      </c>
    </row>
    <row r="82" spans="3:20" ht="14.65">
      <c r="C82" s="154" t="s">
        <v>1102</v>
      </c>
      <c r="D82" s="149">
        <f t="shared" ref="D82:I82" si="36">D69+D81</f>
        <v>1012.22851543</v>
      </c>
      <c r="E82" s="149">
        <f t="shared" si="36"/>
        <v>1162.8163147</v>
      </c>
      <c r="F82" s="149">
        <f t="shared" si="36"/>
        <v>912.50396352000007</v>
      </c>
      <c r="G82" s="149">
        <f t="shared" si="36"/>
        <v>844.0314022</v>
      </c>
      <c r="H82" s="150">
        <f t="shared" si="36"/>
        <v>1084.2892099200001</v>
      </c>
      <c r="I82" s="161">
        <f t="shared" ca="1" si="36"/>
        <v>2920.3772000460781</v>
      </c>
      <c r="J82" s="161">
        <f t="shared" ref="J82:R82" ca="1" si="37">J69+J81</f>
        <v>3793.1281480444909</v>
      </c>
      <c r="K82" s="161">
        <f t="shared" ca="1" si="37"/>
        <v>4479.0424500403769</v>
      </c>
      <c r="L82" s="161">
        <f t="shared" ca="1" si="37"/>
        <v>5103.3211093400978</v>
      </c>
      <c r="M82" s="161">
        <f t="shared" ca="1" si="37"/>
        <v>5333.9663987635586</v>
      </c>
      <c r="N82" s="161">
        <f t="shared" ca="1" si="37"/>
        <v>5963.8036071340484</v>
      </c>
      <c r="O82" s="161">
        <f t="shared" ca="1" si="37"/>
        <v>6534.4218945128423</v>
      </c>
      <c r="P82" s="161">
        <f t="shared" ca="1" si="37"/>
        <v>7046.4030862062482</v>
      </c>
      <c r="Q82" s="161">
        <f t="shared" ca="1" si="37"/>
        <v>7735.8820254853135</v>
      </c>
      <c r="R82" s="161">
        <f t="shared" ca="1" si="37"/>
        <v>8436.965089219002</v>
      </c>
      <c r="S82" s="161">
        <f t="shared" ref="S82:T82" ca="1" si="38">S69+S81</f>
        <v>9286.0411865143687</v>
      </c>
      <c r="T82" s="161">
        <f t="shared" ca="1" si="38"/>
        <v>10251.014888545038</v>
      </c>
    </row>
    <row r="83" spans="3:20">
      <c r="C83" s="144" t="s">
        <v>1103</v>
      </c>
      <c r="D83" s="151"/>
      <c r="E83" s="151"/>
      <c r="F83" s="151"/>
      <c r="G83" s="151"/>
      <c r="H83" s="152"/>
      <c r="I83" s="152"/>
      <c r="J83" s="152"/>
      <c r="K83" s="152"/>
      <c r="L83" s="152"/>
      <c r="M83" s="152"/>
      <c r="N83" s="152"/>
      <c r="O83" s="152"/>
      <c r="P83" s="152"/>
      <c r="Q83" s="152"/>
      <c r="R83" s="152"/>
      <c r="S83" s="152"/>
      <c r="T83" s="152"/>
    </row>
    <row r="84" spans="3:20">
      <c r="C84" s="140" t="s">
        <v>1104</v>
      </c>
      <c r="D84" s="145">
        <f>历史数据!C150</f>
        <v>481.56991099999999</v>
      </c>
      <c r="E84" s="145">
        <f>历史数据!D150</f>
        <v>481.56991099999999</v>
      </c>
      <c r="F84" s="145">
        <f>历史数据!E150</f>
        <v>481.56991099999999</v>
      </c>
      <c r="G84" s="145">
        <f>历史数据!F150</f>
        <v>481.56991099999999</v>
      </c>
      <c r="H84" s="146">
        <f>历史数据!G150</f>
        <v>482.54072300000001</v>
      </c>
      <c r="I84" s="152">
        <f>假设表!I131+历史数据及预测表!H84+关键项目预测!E259+关键项目预测!E254+关键项目预测!E262</f>
        <v>482.54072300000001</v>
      </c>
      <c r="J84" s="152">
        <f>假设表!J131+历史数据及预测表!I84+关键项目预测!F259+关键项目预测!F254+关键项目预测!F262</f>
        <v>482.54072300000001</v>
      </c>
      <c r="K84" s="152">
        <f>假设表!K131+历史数据及预测表!J84+关键项目预测!G259+关键项目预测!G254+关键项目预测!G262</f>
        <v>482.54072300000001</v>
      </c>
      <c r="L84" s="152">
        <f>假设表!L131+历史数据及预测表!K84+关键项目预测!H259+关键项目预测!H254+关键项目预测!H262</f>
        <v>482.54072300000001</v>
      </c>
      <c r="M84" s="152">
        <f>假设表!M131+历史数据及预测表!L84+关键项目预测!I259+关键项目预测!I254+关键项目预测!I262</f>
        <v>482.54072300000001</v>
      </c>
      <c r="N84" s="152">
        <f>假设表!N131+历史数据及预测表!M84+关键项目预测!J259+关键项目预测!J254+关键项目预测!J262</f>
        <v>482.54072300000001</v>
      </c>
      <c r="O84" s="152">
        <f>假设表!O131+历史数据及预测表!N84+关键项目预测!K259+关键项目预测!K254+关键项目预测!K262</f>
        <v>482.54072300000001</v>
      </c>
      <c r="P84" s="152">
        <f>假设表!P131+历史数据及预测表!O84+关键项目预测!L259+关键项目预测!L254+关键项目预测!L262</f>
        <v>482.54072300000001</v>
      </c>
      <c r="Q84" s="152">
        <f>假设表!Q131+历史数据及预测表!P84+关键项目预测!M259+关键项目预测!M254+关键项目预测!M262</f>
        <v>482.54072300000001</v>
      </c>
      <c r="R84" s="152">
        <f>假设表!R131+历史数据及预测表!Q84+关键项目预测!N259+关键项目预测!N254+关键项目预测!N262</f>
        <v>482.54072300000001</v>
      </c>
      <c r="S84" s="152">
        <f>假设表!S131+历史数据及预测表!R84+关键项目预测!O259+关键项目预测!O254+关键项目预测!O262</f>
        <v>482.54072300000001</v>
      </c>
      <c r="T84" s="152">
        <f>假设表!T131+历史数据及预测表!S84+关键项目预测!P259+关键项目预测!P254+关键项目预测!P262</f>
        <v>482.54072300000001</v>
      </c>
    </row>
    <row r="85" spans="3:20">
      <c r="C85" s="140" t="s">
        <v>1105</v>
      </c>
      <c r="D85" s="145">
        <f>历史数据!C151</f>
        <v>0</v>
      </c>
      <c r="E85" s="145">
        <f>历史数据!D151</f>
        <v>0</v>
      </c>
      <c r="F85" s="145">
        <f>历史数据!E151</f>
        <v>0</v>
      </c>
      <c r="G85" s="145">
        <f>历史数据!F151</f>
        <v>0</v>
      </c>
      <c r="H85" s="146">
        <f>历史数据!G151</f>
        <v>0</v>
      </c>
      <c r="I85" s="152">
        <f>假设表!I134+历史数据及预测表!H85</f>
        <v>0</v>
      </c>
      <c r="J85" s="152">
        <f>假设表!J134+历史数据及预测表!I85</f>
        <v>0</v>
      </c>
      <c r="K85" s="152">
        <f>假设表!K134+历史数据及预测表!J85</f>
        <v>0</v>
      </c>
      <c r="L85" s="152">
        <f>假设表!L134+历史数据及预测表!K85</f>
        <v>0</v>
      </c>
      <c r="M85" s="152">
        <f>假设表!M134+历史数据及预测表!L85</f>
        <v>0</v>
      </c>
      <c r="N85" s="152">
        <f>假设表!N134+历史数据及预测表!M85</f>
        <v>0</v>
      </c>
      <c r="O85" s="152">
        <f>假设表!O134+历史数据及预测表!N85</f>
        <v>0</v>
      </c>
      <c r="P85" s="152">
        <f>假设表!P134+历史数据及预测表!O85</f>
        <v>0</v>
      </c>
      <c r="Q85" s="152">
        <f>假设表!Q134+历史数据及预测表!P85</f>
        <v>0</v>
      </c>
      <c r="R85" s="152">
        <f>假设表!R134+历史数据及预测表!Q85</f>
        <v>0</v>
      </c>
      <c r="S85" s="152">
        <f>假设表!S134+历史数据及预测表!R85</f>
        <v>0</v>
      </c>
      <c r="T85" s="152">
        <f>假设表!T134+历史数据及预测表!S85</f>
        <v>0</v>
      </c>
    </row>
    <row r="86" spans="3:20">
      <c r="C86" s="140" t="s">
        <v>1106</v>
      </c>
      <c r="D86" s="145">
        <f>历史数据!C152</f>
        <v>8844.9221772099991</v>
      </c>
      <c r="E86" s="145">
        <f>历史数据!D152</f>
        <v>8844.9221772099991</v>
      </c>
      <c r="F86" s="145">
        <f>历史数据!E152</f>
        <v>8844.9221772099991</v>
      </c>
      <c r="G86" s="145">
        <f>历史数据!F152</f>
        <v>8896.5786341900002</v>
      </c>
      <c r="H86" s="146">
        <f>历史数据!G152</f>
        <v>9008.2714704200007</v>
      </c>
      <c r="I86" s="152">
        <f>历史数据及预测表!H86+关键项目预测!E249-关键项目预测!E245+假设表!I136-关键项目预测!E254+关键项目预测!E266-关键项目预测!E262</f>
        <v>9008.2714704200007</v>
      </c>
      <c r="J86" s="152">
        <f>历史数据及预测表!I86+关键项目预测!F249-关键项目预测!F245+假设表!J136-关键项目预测!F254+关键项目预测!F266-关键项目预测!F262</f>
        <v>9008.2714704200007</v>
      </c>
      <c r="K86" s="152">
        <f>历史数据及预测表!J86+关键项目预测!G249-关键项目预测!G245+假设表!K136-关键项目预测!G254+关键项目预测!G266-关键项目预测!G262</f>
        <v>9008.2714704200007</v>
      </c>
      <c r="L86" s="152">
        <f>历史数据及预测表!K86+关键项目预测!H249-关键项目预测!H245+假设表!L136-关键项目预测!H254+关键项目预测!H266-关键项目预测!H262</f>
        <v>9008.2714704200007</v>
      </c>
      <c r="M86" s="152">
        <f>历史数据及预测表!L86+关键项目预测!I249-关键项目预测!I245+假设表!M136-关键项目预测!I254+关键项目预测!I266-关键项目预测!I262</f>
        <v>9008.2714704200007</v>
      </c>
      <c r="N86" s="152">
        <f>历史数据及预测表!M86+关键项目预测!J249-关键项目预测!J245+假设表!N136-关键项目预测!J254+关键项目预测!J266-关键项目预测!J262</f>
        <v>9008.2714704200007</v>
      </c>
      <c r="O86" s="152">
        <f>历史数据及预测表!N86+关键项目预测!K249-关键项目预测!K245+假设表!O136-关键项目预测!K254+关键项目预测!K266-关键项目预测!K262</f>
        <v>9008.2714704200007</v>
      </c>
      <c r="P86" s="152">
        <f>历史数据及预测表!O86+关键项目预测!L249-关键项目预测!L245+假设表!P136-关键项目预测!L254+关键项目预测!L266-关键项目预测!L262</f>
        <v>9008.2714704200007</v>
      </c>
      <c r="Q86" s="152">
        <f>历史数据及预测表!P86+关键项目预测!M249-关键项目预测!M245+假设表!Q136-关键项目预测!M254+关键项目预测!M266-关键项目预测!M262</f>
        <v>9008.2714704200007</v>
      </c>
      <c r="R86" s="152">
        <f>历史数据及预测表!Q86+关键项目预测!N249-关键项目预测!N245+假设表!R136-关键项目预测!N254+关键项目预测!N266-关键项目预测!N262</f>
        <v>9008.2714704200007</v>
      </c>
      <c r="S86" s="152">
        <f>历史数据及预测表!R86+关键项目预测!O249-关键项目预测!O245+假设表!S136-关键项目预测!O254+关键项目预测!O266-关键项目预测!O262</f>
        <v>9008.2714704200007</v>
      </c>
      <c r="T86" s="152">
        <f>历史数据及预测表!S86+关键项目预测!P249-关键项目预测!P245+假设表!T136-关键项目预测!P254+关键项目预测!P266-关键项目预测!P262</f>
        <v>9008.2714704200007</v>
      </c>
    </row>
    <row r="87" spans="3:20">
      <c r="C87" s="140" t="s">
        <v>1107</v>
      </c>
      <c r="D87" s="145">
        <f>历史数据!C153</f>
        <v>0</v>
      </c>
      <c r="E87" s="145">
        <f>历史数据!D153</f>
        <v>0</v>
      </c>
      <c r="F87" s="145">
        <f>历史数据!E153</f>
        <v>0</v>
      </c>
      <c r="G87" s="145">
        <f>历史数据!F153</f>
        <v>0</v>
      </c>
      <c r="H87" s="146">
        <f>历史数据!G153</f>
        <v>0</v>
      </c>
      <c r="I87" s="152">
        <f>假设表!I138+历史数据及预测表!H87</f>
        <v>0</v>
      </c>
      <c r="J87" s="152">
        <f>假设表!J138+历史数据及预测表!I87</f>
        <v>0</v>
      </c>
      <c r="K87" s="152">
        <f>假设表!K138+历史数据及预测表!J87</f>
        <v>0</v>
      </c>
      <c r="L87" s="152">
        <f>假设表!L138+历史数据及预测表!K87</f>
        <v>0</v>
      </c>
      <c r="M87" s="152">
        <f>假设表!M138+历史数据及预测表!L87</f>
        <v>0</v>
      </c>
      <c r="N87" s="152">
        <f>假设表!N138+历史数据及预测表!M87</f>
        <v>0</v>
      </c>
      <c r="O87" s="152">
        <f>假设表!O138+历史数据及预测表!N87</f>
        <v>0</v>
      </c>
      <c r="P87" s="152">
        <f>假设表!P138+历史数据及预测表!O87</f>
        <v>0</v>
      </c>
      <c r="Q87" s="152">
        <f>假设表!Q138+历史数据及预测表!P87</f>
        <v>0</v>
      </c>
      <c r="R87" s="152">
        <f>假设表!R138+历史数据及预测表!Q87</f>
        <v>0</v>
      </c>
      <c r="S87" s="152">
        <f>假设表!S138+历史数据及预测表!R87</f>
        <v>0</v>
      </c>
      <c r="T87" s="152">
        <f>假设表!T138+历史数据及预测表!S87</f>
        <v>0</v>
      </c>
    </row>
    <row r="88" spans="3:20">
      <c r="C88" s="140" t="s">
        <v>765</v>
      </c>
      <c r="D88" s="145">
        <f>历史数据!C154</f>
        <v>-282.78500842</v>
      </c>
      <c r="E88" s="145">
        <f>历史数据!D154</f>
        <v>-61.342017429999999</v>
      </c>
      <c r="F88" s="145">
        <f>历史数据!E154</f>
        <v>8.1320120100000004</v>
      </c>
      <c r="G88" s="145">
        <f>历史数据!F154</f>
        <v>-52.561855170000001</v>
      </c>
      <c r="H88" s="146">
        <f>历史数据!G154</f>
        <v>-98.708591780000006</v>
      </c>
      <c r="I88" s="152">
        <f t="shared" ref="I88:R88" si="39">I137+H88</f>
        <v>-110.50189147</v>
      </c>
      <c r="J88" s="152">
        <f t="shared" si="39"/>
        <v>-149.52756385333333</v>
      </c>
      <c r="K88" s="152">
        <f t="shared" si="39"/>
        <v>-181.68785490777776</v>
      </c>
      <c r="L88" s="152">
        <f t="shared" si="39"/>
        <v>-209.34760928370369</v>
      </c>
      <c r="M88" s="152">
        <f t="shared" si="39"/>
        <v>-242.29618188827158</v>
      </c>
      <c r="N88" s="152">
        <f t="shared" si="39"/>
        <v>-273.2190545665843</v>
      </c>
      <c r="O88" s="152">
        <f t="shared" si="39"/>
        <v>-303.72945445285319</v>
      </c>
      <c r="P88" s="152">
        <f t="shared" si="39"/>
        <v>-335.19006950923637</v>
      </c>
      <c r="Q88" s="152">
        <f t="shared" si="39"/>
        <v>-366.15469871622463</v>
      </c>
      <c r="R88" s="152">
        <f t="shared" si="39"/>
        <v>-397.13324676610472</v>
      </c>
      <c r="S88" s="152">
        <f t="shared" ref="S88" si="40">S137+R88</f>
        <v>-428.11179481598481</v>
      </c>
      <c r="T88" s="152">
        <f t="shared" ref="T88" si="41">T137+S88</f>
        <v>-459.0903428658649</v>
      </c>
    </row>
    <row r="89" spans="3:20">
      <c r="C89" s="140" t="s">
        <v>1108</v>
      </c>
      <c r="D89" s="145">
        <f>历史数据!C155</f>
        <v>0</v>
      </c>
      <c r="E89" s="145">
        <f>历史数据!D155</f>
        <v>0</v>
      </c>
      <c r="F89" s="145">
        <f>历史数据!E155</f>
        <v>0</v>
      </c>
      <c r="G89" s="145">
        <f>历史数据!F155</f>
        <v>0</v>
      </c>
      <c r="H89" s="146">
        <f>历史数据!G155</f>
        <v>0</v>
      </c>
      <c r="I89" s="152">
        <f>假设表!I139+历史数据及预测表!H89</f>
        <v>0</v>
      </c>
      <c r="J89" s="152">
        <f>假设表!J139+历史数据及预测表!I89</f>
        <v>0</v>
      </c>
      <c r="K89" s="152">
        <f>假设表!K139+历史数据及预测表!J89</f>
        <v>0</v>
      </c>
      <c r="L89" s="152">
        <f>假设表!L139+历史数据及预测表!K89</f>
        <v>0</v>
      </c>
      <c r="M89" s="152">
        <f>假设表!M139+历史数据及预测表!L89</f>
        <v>0</v>
      </c>
      <c r="N89" s="152">
        <f>假设表!N139+历史数据及预测表!M89</f>
        <v>0</v>
      </c>
      <c r="O89" s="152">
        <f>假设表!O139+历史数据及预测表!N89</f>
        <v>0</v>
      </c>
      <c r="P89" s="152">
        <f>假设表!P139+历史数据及预测表!O89</f>
        <v>0</v>
      </c>
      <c r="Q89" s="152">
        <f>假设表!Q139+历史数据及预测表!P89</f>
        <v>0</v>
      </c>
      <c r="R89" s="152">
        <f>假设表!R139+历史数据及预测表!Q89</f>
        <v>0</v>
      </c>
      <c r="S89" s="152">
        <f>假设表!S139+历史数据及预测表!R89</f>
        <v>0</v>
      </c>
      <c r="T89" s="152">
        <f>假设表!T139+历史数据及预测表!S89</f>
        <v>0</v>
      </c>
    </row>
    <row r="90" spans="3:20">
      <c r="C90" s="140" t="s">
        <v>1109</v>
      </c>
      <c r="D90" s="145">
        <f>历史数据!C156</f>
        <v>50.709773219999995</v>
      </c>
      <c r="E90" s="145">
        <f>历史数据!D156</f>
        <v>51.837645569999999</v>
      </c>
      <c r="F90" s="145">
        <f>历史数据!E156</f>
        <v>53.541050159999998</v>
      </c>
      <c r="G90" s="145">
        <f>历史数据!F156</f>
        <v>77.414809919999996</v>
      </c>
      <c r="H90" s="146">
        <f>历史数据!G156</f>
        <v>100.6670613</v>
      </c>
      <c r="I90" s="152"/>
      <c r="J90" s="152"/>
      <c r="K90" s="152"/>
      <c r="L90" s="152"/>
      <c r="M90" s="152"/>
      <c r="N90" s="152"/>
      <c r="O90" s="152"/>
      <c r="P90" s="152"/>
      <c r="Q90" s="152"/>
      <c r="R90" s="152"/>
      <c r="S90" s="152"/>
      <c r="T90" s="152"/>
    </row>
    <row r="91" spans="3:20">
      <c r="C91" s="140" t="s">
        <v>1110</v>
      </c>
      <c r="D91" s="145">
        <f>历史数据!C157</f>
        <v>0</v>
      </c>
      <c r="E91" s="145">
        <f>历史数据!D157</f>
        <v>0</v>
      </c>
      <c r="F91" s="145">
        <f>历史数据!E157</f>
        <v>0</v>
      </c>
      <c r="G91" s="145">
        <f>历史数据!F157</f>
        <v>0</v>
      </c>
      <c r="H91" s="146">
        <f>历史数据!G157</f>
        <v>0</v>
      </c>
      <c r="I91" s="152"/>
      <c r="J91" s="152"/>
      <c r="K91" s="152"/>
      <c r="L91" s="152"/>
      <c r="M91" s="152"/>
      <c r="N91" s="152"/>
      <c r="O91" s="152"/>
      <c r="P91" s="152"/>
      <c r="Q91" s="152"/>
      <c r="R91" s="152"/>
      <c r="S91" s="152"/>
      <c r="T91" s="152"/>
    </row>
    <row r="92" spans="3:20">
      <c r="C92" s="140" t="s">
        <v>1111</v>
      </c>
      <c r="D92" s="145">
        <f>历史数据!C158</f>
        <v>1206.3026864600001</v>
      </c>
      <c r="E92" s="145">
        <f>历史数据!D158</f>
        <v>1906.0239410199999</v>
      </c>
      <c r="F92" s="145">
        <f>历史数据!E158</f>
        <v>2403.0587633300001</v>
      </c>
      <c r="G92" s="145">
        <f>历史数据!F158</f>
        <v>2650.92486543</v>
      </c>
      <c r="H92" s="146">
        <f>历史数据!G158</f>
        <v>2956.0875856500002</v>
      </c>
      <c r="I92" s="152"/>
      <c r="J92" s="152"/>
      <c r="K92" s="152"/>
      <c r="L92" s="152"/>
      <c r="M92" s="152"/>
      <c r="N92" s="152"/>
      <c r="O92" s="152"/>
      <c r="P92" s="152"/>
      <c r="Q92" s="152"/>
      <c r="R92" s="152"/>
      <c r="S92" s="152"/>
      <c r="T92" s="152"/>
    </row>
    <row r="93" spans="3:20">
      <c r="C93" s="140" t="s">
        <v>1112</v>
      </c>
      <c r="D93" s="162">
        <f>D90+D91+D92</f>
        <v>1257.0124596800001</v>
      </c>
      <c r="E93" s="162">
        <f t="shared" ref="E93:H93" si="42">E90+E91+E92</f>
        <v>1957.8615865899999</v>
      </c>
      <c r="F93" s="162">
        <f t="shared" si="42"/>
        <v>2456.5998134900001</v>
      </c>
      <c r="G93" s="162">
        <f t="shared" si="42"/>
        <v>2728.3396753500001</v>
      </c>
      <c r="H93" s="163">
        <f t="shared" si="42"/>
        <v>3056.7546469500003</v>
      </c>
      <c r="I93" s="152">
        <f ca="1">I136+H93-关键项目预测!E259-H223-I220-I221-I222-I224</f>
        <v>5493.9808180496211</v>
      </c>
      <c r="J93" s="152">
        <f ca="1">J136+I93-关键项目预测!F259-I223-J220-J221-J222-J224</f>
        <v>8359.0367959965333</v>
      </c>
      <c r="K93" s="152">
        <f ca="1">K136+J93-关键项目预测!G259-J223-K220-K221-K222-K224</f>
        <v>11113.405221879824</v>
      </c>
      <c r="L93" s="152">
        <f ca="1">L136+K93-关键项目预测!H259-K223-L220-L221-L222-L224</f>
        <v>14219.896071101828</v>
      </c>
      <c r="M93" s="152">
        <f ca="1">M136+L93-关键项目预测!I259-L223-M220-M221-M222-M224</f>
        <v>18425.908730676572</v>
      </c>
      <c r="N93" s="152">
        <f ca="1">N136+M93-关键项目预测!J259-M223-N220-N221-N222-N224</f>
        <v>23156.962484972682</v>
      </c>
      <c r="O93" s="152">
        <f ca="1">O136+N93-关键项目预测!K259-N223-O220-O221-O222-O224</f>
        <v>28827.20533299369</v>
      </c>
      <c r="P93" s="152">
        <f ca="1">P136+O93-关键项目预测!L259-O223-P220-P221-P222-P224</f>
        <v>35753.373259355198</v>
      </c>
      <c r="Q93" s="152">
        <f ca="1">Q136+P93-关键项目预测!M259-P223-Q220-Q221-Q222-Q224</f>
        <v>43931.539540647114</v>
      </c>
      <c r="R93" s="152">
        <f ca="1">R136+Q93-关键项目预测!N259-Q223-R220-R221-R222-R224</f>
        <v>53745.996271905737</v>
      </c>
      <c r="S93" s="152">
        <f ca="1">S136+R93-关键项目预测!O259-R223-S220-S221-S222-S224</f>
        <v>65489.344637941729</v>
      </c>
      <c r="T93" s="152">
        <f ca="1">T136+S93-关键项目预测!P259-S223-T220-T221-T222-T224</f>
        <v>79539.049688447558</v>
      </c>
    </row>
    <row r="94" spans="3:20">
      <c r="C94" s="140" t="s">
        <v>878</v>
      </c>
      <c r="D94" s="145">
        <f>历史数据!C159</f>
        <v>0</v>
      </c>
      <c r="E94" s="145">
        <f>历史数据!D159</f>
        <v>0</v>
      </c>
      <c r="F94" s="145">
        <f>历史数据!E159</f>
        <v>0</v>
      </c>
      <c r="G94" s="145">
        <f>历史数据!F159</f>
        <v>0</v>
      </c>
      <c r="H94" s="146">
        <f>历史数据!G159</f>
        <v>0</v>
      </c>
      <c r="I94" s="152">
        <f>假设表!I140</f>
        <v>0</v>
      </c>
      <c r="J94" s="152">
        <f>假设表!J140</f>
        <v>0</v>
      </c>
      <c r="K94" s="152">
        <f>假设表!K140</f>
        <v>0</v>
      </c>
      <c r="L94" s="152">
        <f>假设表!L140</f>
        <v>0</v>
      </c>
      <c r="M94" s="152">
        <f>假设表!M140</f>
        <v>0</v>
      </c>
      <c r="N94" s="152">
        <f>假设表!N140</f>
        <v>0</v>
      </c>
      <c r="O94" s="152">
        <f>假设表!O140</f>
        <v>0</v>
      </c>
      <c r="P94" s="152">
        <f>假设表!P140</f>
        <v>0</v>
      </c>
      <c r="Q94" s="152">
        <f>假设表!Q140</f>
        <v>0</v>
      </c>
      <c r="R94" s="152">
        <f>假设表!R140</f>
        <v>0</v>
      </c>
      <c r="S94" s="152">
        <f>假设表!S140</f>
        <v>0</v>
      </c>
      <c r="T94" s="152">
        <f>假设表!T140</f>
        <v>0</v>
      </c>
    </row>
    <row r="95" spans="3:20">
      <c r="C95" s="140" t="s">
        <v>763</v>
      </c>
      <c r="D95" s="145">
        <f>历史数据!C160</f>
        <v>0</v>
      </c>
      <c r="E95" s="145">
        <f>历史数据!D160</f>
        <v>0</v>
      </c>
      <c r="F95" s="145">
        <f>历史数据!E160</f>
        <v>0</v>
      </c>
      <c r="G95" s="145">
        <f>历史数据!F160</f>
        <v>0</v>
      </c>
      <c r="H95" s="146">
        <f>历史数据!G160</f>
        <v>0</v>
      </c>
      <c r="I95" s="152">
        <f>假设表!I141</f>
        <v>0</v>
      </c>
      <c r="J95" s="152">
        <f>假设表!J141</f>
        <v>0</v>
      </c>
      <c r="K95" s="152">
        <f>假设表!K141</f>
        <v>0</v>
      </c>
      <c r="L95" s="152">
        <f>假设表!L141</f>
        <v>0</v>
      </c>
      <c r="M95" s="152">
        <f>假设表!M141</f>
        <v>0</v>
      </c>
      <c r="N95" s="152">
        <f>假设表!N141</f>
        <v>0</v>
      </c>
      <c r="O95" s="152">
        <f>假设表!O141</f>
        <v>0</v>
      </c>
      <c r="P95" s="152">
        <f>假设表!P141</f>
        <v>0</v>
      </c>
      <c r="Q95" s="152">
        <f>假设表!Q141</f>
        <v>0</v>
      </c>
      <c r="R95" s="152">
        <f>假设表!R141</f>
        <v>0</v>
      </c>
      <c r="S95" s="152">
        <f>假设表!S141</f>
        <v>0</v>
      </c>
      <c r="T95" s="152">
        <f>假设表!T141</f>
        <v>0</v>
      </c>
    </row>
    <row r="96" spans="3:20">
      <c r="C96" s="140" t="s">
        <v>1113</v>
      </c>
      <c r="D96" s="145">
        <f>历史数据!C162</f>
        <v>0</v>
      </c>
      <c r="E96" s="145">
        <f>历史数据!D162</f>
        <v>3.637978807091713E-12</v>
      </c>
      <c r="F96" s="145">
        <f>历史数据!E162</f>
        <v>-1.8189894035458565E-12</v>
      </c>
      <c r="G96" s="145">
        <f>历史数据!F162</f>
        <v>0</v>
      </c>
      <c r="H96" s="146">
        <f>历史数据!G162</f>
        <v>-1.8189894035458565E-12</v>
      </c>
      <c r="I96" s="152">
        <f>H96</f>
        <v>-1.8189894035458565E-12</v>
      </c>
      <c r="J96" s="152">
        <f t="shared" ref="J96:R96" si="43">I96</f>
        <v>-1.8189894035458565E-12</v>
      </c>
      <c r="K96" s="152">
        <f t="shared" si="43"/>
        <v>-1.8189894035458565E-12</v>
      </c>
      <c r="L96" s="152">
        <f t="shared" si="43"/>
        <v>-1.8189894035458565E-12</v>
      </c>
      <c r="M96" s="152">
        <f t="shared" si="43"/>
        <v>-1.8189894035458565E-12</v>
      </c>
      <c r="N96" s="152">
        <f t="shared" si="43"/>
        <v>-1.8189894035458565E-12</v>
      </c>
      <c r="O96" s="152">
        <f t="shared" si="43"/>
        <v>-1.8189894035458565E-12</v>
      </c>
      <c r="P96" s="152">
        <f t="shared" si="43"/>
        <v>-1.8189894035458565E-12</v>
      </c>
      <c r="Q96" s="152">
        <f t="shared" si="43"/>
        <v>-1.8189894035458565E-12</v>
      </c>
      <c r="R96" s="152">
        <f t="shared" si="43"/>
        <v>-1.8189894035458565E-12</v>
      </c>
      <c r="S96" s="152">
        <f t="shared" ref="S96" si="44">R96</f>
        <v>-1.8189894035458565E-12</v>
      </c>
      <c r="T96" s="152">
        <f t="shared" ref="T96" si="45">S96</f>
        <v>-1.8189894035458565E-12</v>
      </c>
    </row>
    <row r="97" spans="2:20" ht="14.65">
      <c r="C97" s="148" t="s">
        <v>1114</v>
      </c>
      <c r="D97" s="149">
        <f>SUM(D84:D96)-D93-2*D87</f>
        <v>10300.719539469999</v>
      </c>
      <c r="E97" s="149">
        <f t="shared" ref="E97:H97" si="46">SUM(E84:E96)-E93-2*E87</f>
        <v>11223.011657370002</v>
      </c>
      <c r="F97" s="149">
        <f t="shared" si="46"/>
        <v>11791.223913709999</v>
      </c>
      <c r="G97" s="149">
        <f t="shared" si="46"/>
        <v>12053.92636537</v>
      </c>
      <c r="H97" s="150">
        <f t="shared" si="46"/>
        <v>12448.858248590001</v>
      </c>
      <c r="I97" s="161">
        <f ca="1">SUM(I84:I96)-2*I87</f>
        <v>14874.291119999622</v>
      </c>
      <c r="J97" s="161">
        <f t="shared" ref="J97:R97" ca="1" si="47">SUM(J84:J96)-2*J87</f>
        <v>17700.321425563197</v>
      </c>
      <c r="K97" s="161">
        <f t="shared" ca="1" si="47"/>
        <v>20422.529560392046</v>
      </c>
      <c r="L97" s="161">
        <f t="shared" ca="1" si="47"/>
        <v>23501.360655238124</v>
      </c>
      <c r="M97" s="161">
        <f t="shared" ca="1" si="47"/>
        <v>27674.424742208299</v>
      </c>
      <c r="N97" s="161">
        <f t="shared" ca="1" si="47"/>
        <v>32374.555623826098</v>
      </c>
      <c r="O97" s="161">
        <f t="shared" ca="1" si="47"/>
        <v>38014.288071960837</v>
      </c>
      <c r="P97" s="161">
        <f t="shared" ca="1" si="47"/>
        <v>44908.995383265959</v>
      </c>
      <c r="Q97" s="161">
        <f t="shared" ca="1" si="47"/>
        <v>53056.197035350895</v>
      </c>
      <c r="R97" s="161">
        <f t="shared" ca="1" si="47"/>
        <v>62839.675218559634</v>
      </c>
      <c r="S97" s="161">
        <f t="shared" ref="S97:T97" ca="1" si="48">SUM(S84:S96)-2*S87</f>
        <v>74552.045036545751</v>
      </c>
      <c r="T97" s="161">
        <f t="shared" ca="1" si="48"/>
        <v>88570.771539001697</v>
      </c>
    </row>
    <row r="98" spans="2:20">
      <c r="C98" s="140" t="s">
        <v>1115</v>
      </c>
      <c r="D98" s="145">
        <f>历史数据!C161</f>
        <v>22.078171260000001</v>
      </c>
      <c r="E98" s="145">
        <f>历史数据!D161</f>
        <v>36.008658500000003</v>
      </c>
      <c r="F98" s="145">
        <f>历史数据!E161</f>
        <v>38.29906218</v>
      </c>
      <c r="G98" s="145">
        <f>历史数据!F161</f>
        <v>28.9873327</v>
      </c>
      <c r="H98" s="146">
        <f>历史数据!G161</f>
        <v>40.057834960000001</v>
      </c>
      <c r="I98" s="152">
        <f ca="1">假设表!I145+I135+H98</f>
        <v>-0.78835520861512265</v>
      </c>
      <c r="J98" s="152">
        <f ca="1">假设表!J145+J135+I98</f>
        <v>-23.934630529694473</v>
      </c>
      <c r="K98" s="152">
        <f ca="1">假设表!K145+K135+J98</f>
        <v>-48.570562662484136</v>
      </c>
      <c r="L98" s="152">
        <f ca="1">假设表!L145+L135+K98</f>
        <v>-83.094224329658772</v>
      </c>
      <c r="M98" s="152">
        <f ca="1">假设表!M145+M135+L98</f>
        <v>-122.54867881793588</v>
      </c>
      <c r="N98" s="152">
        <f ca="1">假设表!N145+N135+M98</f>
        <v>-168.97743815856126</v>
      </c>
      <c r="O98" s="152">
        <f ca="1">假设表!O145+O135+N98</f>
        <v>-226.26418009733888</v>
      </c>
      <c r="P98" s="152">
        <f ca="1">假设表!P145+P135+O98</f>
        <v>-293.90380627859292</v>
      </c>
      <c r="Q98" s="152">
        <f ca="1">假设表!Q145+Q135+P98</f>
        <v>-374.82006493708639</v>
      </c>
      <c r="R98" s="152">
        <f ca="1">假设表!R145+R135+Q98</f>
        <v>-472.18960681472055</v>
      </c>
      <c r="S98" s="152">
        <f ca="1">假设表!S145+S135+R98</f>
        <v>-588.69574483340136</v>
      </c>
      <c r="T98" s="152">
        <f ca="1">假设表!T145+T135+S98</f>
        <v>-728.08332192939815</v>
      </c>
    </row>
    <row r="99" spans="2:20" ht="14.65">
      <c r="C99" s="148" t="s">
        <v>1116</v>
      </c>
      <c r="D99" s="149">
        <f>D97+D98</f>
        <v>10322.797710729999</v>
      </c>
      <c r="E99" s="149">
        <f t="shared" ref="E99:I99" si="49">E97+E98</f>
        <v>11259.020315870002</v>
      </c>
      <c r="F99" s="149">
        <f t="shared" si="49"/>
        <v>11829.522975889999</v>
      </c>
      <c r="G99" s="149">
        <f t="shared" si="49"/>
        <v>12082.91369807</v>
      </c>
      <c r="H99" s="150">
        <f t="shared" si="49"/>
        <v>12488.916083550001</v>
      </c>
      <c r="I99" s="161">
        <f t="shared" ca="1" si="49"/>
        <v>14873.502764791006</v>
      </c>
      <c r="J99" s="161">
        <f t="shared" ref="J99:R99" ca="1" si="50">J97+J98</f>
        <v>17676.386795033504</v>
      </c>
      <c r="K99" s="161">
        <f t="shared" ca="1" si="50"/>
        <v>20373.958997729562</v>
      </c>
      <c r="L99" s="161">
        <f t="shared" ca="1" si="50"/>
        <v>23418.266430908465</v>
      </c>
      <c r="M99" s="161">
        <f t="shared" ca="1" si="50"/>
        <v>27551.876063390362</v>
      </c>
      <c r="N99" s="161">
        <f t="shared" ca="1" si="50"/>
        <v>32205.578185667535</v>
      </c>
      <c r="O99" s="161">
        <f t="shared" ca="1" si="50"/>
        <v>37788.0238918635</v>
      </c>
      <c r="P99" s="161">
        <f t="shared" ca="1" si="50"/>
        <v>44615.091576987368</v>
      </c>
      <c r="Q99" s="161">
        <f t="shared" ca="1" si="50"/>
        <v>52681.37697041381</v>
      </c>
      <c r="R99" s="161">
        <f t="shared" ca="1" si="50"/>
        <v>62367.485611744916</v>
      </c>
      <c r="S99" s="161">
        <f t="shared" ref="S99:T99" ca="1" si="51">S97+S98</f>
        <v>73963.349291712351</v>
      </c>
      <c r="T99" s="161">
        <f t="shared" ca="1" si="51"/>
        <v>87842.688217072297</v>
      </c>
    </row>
    <row r="100" spans="2:20" ht="14.65">
      <c r="C100" s="154" t="s">
        <v>1117</v>
      </c>
      <c r="D100" s="149">
        <f>D82+D99</f>
        <v>11335.02622616</v>
      </c>
      <c r="E100" s="149">
        <f t="shared" ref="E100:I100" si="52">E82+E99</f>
        <v>12421.836630570002</v>
      </c>
      <c r="F100" s="149">
        <f t="shared" si="52"/>
        <v>12742.02693941</v>
      </c>
      <c r="G100" s="149">
        <f t="shared" si="52"/>
        <v>12926.945100270001</v>
      </c>
      <c r="H100" s="150">
        <f t="shared" si="52"/>
        <v>13573.20529347</v>
      </c>
      <c r="I100" s="161">
        <f t="shared" ca="1" si="52"/>
        <v>17793.879964837084</v>
      </c>
      <c r="J100" s="161">
        <f t="shared" ref="J100:R100" ca="1" si="53">J82+J99</f>
        <v>21469.514943077997</v>
      </c>
      <c r="K100" s="161">
        <f t="shared" ca="1" si="53"/>
        <v>24853.001447769937</v>
      </c>
      <c r="L100" s="161">
        <f t="shared" ca="1" si="53"/>
        <v>28521.587540248562</v>
      </c>
      <c r="M100" s="161">
        <f t="shared" ca="1" si="53"/>
        <v>32885.842462153923</v>
      </c>
      <c r="N100" s="161">
        <f t="shared" ca="1" si="53"/>
        <v>38169.381792801585</v>
      </c>
      <c r="O100" s="161">
        <f t="shared" ca="1" si="53"/>
        <v>44322.445786376345</v>
      </c>
      <c r="P100" s="161">
        <f t="shared" ca="1" si="53"/>
        <v>51661.494663193618</v>
      </c>
      <c r="Q100" s="161">
        <f t="shared" ca="1" si="53"/>
        <v>60417.258995899123</v>
      </c>
      <c r="R100" s="161">
        <f t="shared" ca="1" si="53"/>
        <v>70804.45070096392</v>
      </c>
      <c r="S100" s="161">
        <f t="shared" ref="S100:T100" ca="1" si="54">S82+S99</f>
        <v>83249.39047822672</v>
      </c>
      <c r="T100" s="161">
        <f t="shared" ca="1" si="54"/>
        <v>98093.703105617329</v>
      </c>
    </row>
    <row r="102" spans="2:20" ht="14.65">
      <c r="C102" s="164" t="s">
        <v>1118</v>
      </c>
      <c r="D102" s="165" t="str">
        <f t="shared" ref="D102:I102" si="55">IF(ABS(D48-D100)&lt;0.1,"OK",(D48-D100))</f>
        <v>OK</v>
      </c>
      <c r="E102" s="165" t="str">
        <f t="shared" si="55"/>
        <v>OK</v>
      </c>
      <c r="F102" s="165" t="str">
        <f t="shared" si="55"/>
        <v>OK</v>
      </c>
      <c r="G102" s="165" t="str">
        <f t="shared" si="55"/>
        <v>OK</v>
      </c>
      <c r="H102" s="166" t="str">
        <f t="shared" si="55"/>
        <v>OK</v>
      </c>
      <c r="I102" s="166" t="str">
        <f t="shared" ca="1" si="55"/>
        <v>OK</v>
      </c>
      <c r="J102" s="166" t="str">
        <f t="shared" ref="J102:R102" ca="1" si="56">IF(ABS(J48-J100)&lt;0.1,"OK",(J48-J100))</f>
        <v>OK</v>
      </c>
      <c r="K102" s="166" t="str">
        <f t="shared" ca="1" si="56"/>
        <v>OK</v>
      </c>
      <c r="L102" s="166" t="str">
        <f t="shared" ca="1" si="56"/>
        <v>OK</v>
      </c>
      <c r="M102" s="166" t="str">
        <f t="shared" ca="1" si="56"/>
        <v>OK</v>
      </c>
      <c r="N102" s="166" t="str">
        <f t="shared" ca="1" si="56"/>
        <v>OK</v>
      </c>
      <c r="O102" s="166" t="str">
        <f t="shared" ca="1" si="56"/>
        <v>OK</v>
      </c>
      <c r="P102" s="166" t="str">
        <f t="shared" ca="1" si="56"/>
        <v>OK</v>
      </c>
      <c r="Q102" s="166" t="str">
        <f t="shared" ca="1" si="56"/>
        <v>OK</v>
      </c>
      <c r="R102" s="166" t="str">
        <f t="shared" ca="1" si="56"/>
        <v>OK</v>
      </c>
      <c r="S102" s="166" t="str">
        <f t="shared" ref="S102:T102" ca="1" si="57">IF(ABS(S48-S100)&lt;0.1,"OK",(S48-S100))</f>
        <v>OK</v>
      </c>
      <c r="T102" s="166" t="str">
        <f t="shared" ca="1" si="57"/>
        <v>OK</v>
      </c>
    </row>
    <row r="103" spans="2:20">
      <c r="D103" s="151"/>
      <c r="E103" s="151"/>
      <c r="F103" s="151"/>
      <c r="G103" s="151"/>
      <c r="H103" s="152"/>
      <c r="I103" s="152">
        <f ca="1">ABS(I100-I48)</f>
        <v>3.637978807091713E-12</v>
      </c>
      <c r="J103" s="152">
        <f t="shared" ref="J103:R103" ca="1" si="58">ABS(J100-J48)</f>
        <v>0</v>
      </c>
      <c r="K103" s="152">
        <f t="shared" ca="1" si="58"/>
        <v>3.637978807091713E-12</v>
      </c>
      <c r="L103" s="152">
        <f t="shared" ca="1" si="58"/>
        <v>3.637978807091713E-12</v>
      </c>
      <c r="M103" s="152">
        <f t="shared" ca="1" si="58"/>
        <v>0</v>
      </c>
      <c r="N103" s="152">
        <f t="shared" ca="1" si="58"/>
        <v>7.2759576141834259E-12</v>
      </c>
      <c r="O103" s="152">
        <f t="shared" ca="1" si="58"/>
        <v>7.2759576141834259E-12</v>
      </c>
      <c r="P103" s="152">
        <f t="shared" ca="1" si="58"/>
        <v>1.3897079043090343E-9</v>
      </c>
      <c r="Q103" s="152">
        <f t="shared" ca="1" si="58"/>
        <v>7.807102520018816E-9</v>
      </c>
      <c r="R103" s="152">
        <f t="shared" ca="1" si="58"/>
        <v>5.9153535403311253E-7</v>
      </c>
      <c r="S103" s="152">
        <f t="shared" ref="S103:T103" ca="1" si="59">ABS(S100-S48)</f>
        <v>6.9590751081705093E-6</v>
      </c>
      <c r="T103" s="152">
        <f t="shared" ca="1" si="59"/>
        <v>1.2431088543962687E-4</v>
      </c>
    </row>
    <row r="104" spans="2:20" ht="15.75">
      <c r="B104" s="141" t="s">
        <v>1119</v>
      </c>
      <c r="C104" s="167"/>
    </row>
    <row r="106" spans="2:20" ht="14.65">
      <c r="C106" s="148" t="s">
        <v>217</v>
      </c>
      <c r="D106" s="149">
        <f>D107+D108</f>
        <v>5274.05912997</v>
      </c>
      <c r="E106" s="149">
        <f t="shared" ref="E106:I106" si="60">E107+E108</f>
        <v>5411.8675147900003</v>
      </c>
      <c r="F106" s="149">
        <f t="shared" si="60"/>
        <v>4530.9256563700001</v>
      </c>
      <c r="G106" s="149">
        <f t="shared" si="60"/>
        <v>4212.6258813499999</v>
      </c>
      <c r="H106" s="150">
        <f t="shared" si="60"/>
        <v>4741.0075979599997</v>
      </c>
      <c r="I106" s="161">
        <f t="shared" si="60"/>
        <v>8307.8437835022596</v>
      </c>
      <c r="J106" s="161">
        <f t="shared" ref="J106:R106" si="61">J107+J108</f>
        <v>10593.133938520314</v>
      </c>
      <c r="K106" s="161">
        <f t="shared" si="61"/>
        <v>12526.556098275489</v>
      </c>
      <c r="L106" s="161">
        <f t="shared" si="61"/>
        <v>14734.016383748147</v>
      </c>
      <c r="M106" s="161">
        <f t="shared" si="61"/>
        <v>17846.897504034241</v>
      </c>
      <c r="N106" s="161">
        <f t="shared" si="61"/>
        <v>21237.871744304535</v>
      </c>
      <c r="O106" s="161">
        <f t="shared" si="61"/>
        <v>25326.146053897322</v>
      </c>
      <c r="P106" s="161">
        <f t="shared" si="61"/>
        <v>30338.819677995136</v>
      </c>
      <c r="Q106" s="161">
        <f t="shared" si="61"/>
        <v>36208.649768844443</v>
      </c>
      <c r="R106" s="161">
        <f t="shared" si="61"/>
        <v>43256.059771204353</v>
      </c>
      <c r="S106" s="161">
        <f t="shared" ref="S106:T106" si="62">S107+S108</f>
        <v>51675.130635221067</v>
      </c>
      <c r="T106" s="161">
        <f t="shared" si="62"/>
        <v>61732.833279114333</v>
      </c>
    </row>
    <row r="107" spans="2:20">
      <c r="C107" s="140" t="s">
        <v>1120</v>
      </c>
      <c r="D107" s="145">
        <f>历史数据!C4</f>
        <v>5274.05912997</v>
      </c>
      <c r="E107" s="145">
        <f>历史数据!D4</f>
        <v>5411.8675147900003</v>
      </c>
      <c r="F107" s="145">
        <f>历史数据!E4</f>
        <v>4530.9256563700001</v>
      </c>
      <c r="G107" s="145">
        <f>历史数据!F4</f>
        <v>4212.6258813499999</v>
      </c>
      <c r="H107" s="146">
        <f>历史数据!G4</f>
        <v>4741.0075979599997</v>
      </c>
      <c r="I107" s="152">
        <f>H107*(1+假设表!I4)</f>
        <v>8307.8437835022596</v>
      </c>
      <c r="J107" s="152">
        <f>I107*(1+假设表!J4)</f>
        <v>10593.133938520314</v>
      </c>
      <c r="K107" s="152">
        <f>J107*(1+假设表!K4)</f>
        <v>12526.556098275489</v>
      </c>
      <c r="L107" s="152">
        <f>K107*(1+假设表!L4)</f>
        <v>14734.016383748147</v>
      </c>
      <c r="M107" s="152">
        <f>L107*(1+假设表!M4)</f>
        <v>17846.897504034241</v>
      </c>
      <c r="N107" s="152">
        <f>M107*(1+假设表!N4)</f>
        <v>21237.871744304535</v>
      </c>
      <c r="O107" s="152">
        <f>N107*(1+假设表!O4)</f>
        <v>25326.146053897322</v>
      </c>
      <c r="P107" s="152">
        <f>O107*(1+假设表!P4)</f>
        <v>30338.819677995136</v>
      </c>
      <c r="Q107" s="152">
        <f>P107*(1+假设表!Q4)</f>
        <v>36208.649768844443</v>
      </c>
      <c r="R107" s="152">
        <f>Q107*(1+假设表!R4)</f>
        <v>43256.059771204353</v>
      </c>
      <c r="S107" s="152">
        <f>R107*(1+假设表!S4)</f>
        <v>51675.130635221067</v>
      </c>
      <c r="T107" s="152">
        <f>S107*(1+假设表!T4)</f>
        <v>61732.833279114333</v>
      </c>
    </row>
    <row r="108" spans="2:20">
      <c r="C108" s="140" t="s">
        <v>1121</v>
      </c>
      <c r="D108" s="145">
        <f>历史数据!C5+历史数据!C6+历史数据!C7</f>
        <v>0</v>
      </c>
      <c r="E108" s="145">
        <f>历史数据!D5+历史数据!D6+历史数据!D7</f>
        <v>0</v>
      </c>
      <c r="F108" s="145">
        <f>历史数据!E5+历史数据!E6+历史数据!E7</f>
        <v>0</v>
      </c>
      <c r="G108" s="145">
        <f>历史数据!F5+历史数据!F6+历史数据!F7</f>
        <v>0</v>
      </c>
      <c r="H108" s="146">
        <f>历史数据!G5+历史数据!G6+历史数据!G7</f>
        <v>0</v>
      </c>
      <c r="I108" s="152">
        <f>(1+假设表!I5)*历史数据及预测表!H108</f>
        <v>0</v>
      </c>
      <c r="J108" s="152">
        <f>(1+假设表!J5)*历史数据及预测表!I108</f>
        <v>0</v>
      </c>
      <c r="K108" s="152">
        <f>(1+假设表!K5)*历史数据及预测表!J108</f>
        <v>0</v>
      </c>
      <c r="L108" s="152">
        <f>(1+假设表!L5)*历史数据及预测表!K108</f>
        <v>0</v>
      </c>
      <c r="M108" s="152">
        <f>(1+假设表!M5)*历史数据及预测表!L108</f>
        <v>0</v>
      </c>
      <c r="N108" s="152">
        <f>(1+假设表!N5)*历史数据及预测表!M108</f>
        <v>0</v>
      </c>
      <c r="O108" s="152">
        <f>(1+假设表!O5)*历史数据及预测表!N108</f>
        <v>0</v>
      </c>
      <c r="P108" s="152">
        <f>(1+假设表!P5)*历史数据及预测表!O108</f>
        <v>0</v>
      </c>
      <c r="Q108" s="152">
        <f>(1+假设表!Q5)*历史数据及预测表!P108</f>
        <v>0</v>
      </c>
      <c r="R108" s="152">
        <f>(1+假设表!R5)*历史数据及预测表!Q108</f>
        <v>0</v>
      </c>
      <c r="S108" s="152">
        <f>(1+假设表!S5)*历史数据及预测表!R108</f>
        <v>0</v>
      </c>
      <c r="T108" s="152">
        <f>(1+假设表!T5)*历史数据及预测表!S108</f>
        <v>0</v>
      </c>
    </row>
    <row r="109" spans="2:20" ht="14.65">
      <c r="C109" s="148" t="s">
        <v>227</v>
      </c>
      <c r="D109" s="149">
        <f t="shared" ref="D109:R109" si="63">SUM(D110:D116)</f>
        <v>4255.9912500399996</v>
      </c>
      <c r="E109" s="149">
        <f t="shared" si="63"/>
        <v>4363.2197591600006</v>
      </c>
      <c r="F109" s="149">
        <f t="shared" si="63"/>
        <v>3967.6378964200003</v>
      </c>
      <c r="G109" s="149">
        <f t="shared" si="63"/>
        <v>3790.3243558300001</v>
      </c>
      <c r="H109" s="150">
        <f t="shared" si="63"/>
        <v>4334.2072718699992</v>
      </c>
      <c r="I109" s="161">
        <f t="shared" ca="1" si="63"/>
        <v>5675.3188595241909</v>
      </c>
      <c r="J109" s="161">
        <f t="shared" ca="1" si="63"/>
        <v>7445.1160043521768</v>
      </c>
      <c r="K109" s="161">
        <f t="shared" ca="1" si="63"/>
        <v>9508.7476234454807</v>
      </c>
      <c r="L109" s="161">
        <f t="shared" ca="1" si="63"/>
        <v>11350.234759167673</v>
      </c>
      <c r="M109" s="161">
        <f t="shared" ca="1" si="63"/>
        <v>13253.745329519375</v>
      </c>
      <c r="N109" s="161">
        <f t="shared" ca="1" si="63"/>
        <v>16039.152629578852</v>
      </c>
      <c r="O109" s="161">
        <f t="shared" ca="1" si="63"/>
        <v>19095.805984225859</v>
      </c>
      <c r="P109" s="161">
        <f t="shared" ca="1" si="63"/>
        <v>22713.832422824751</v>
      </c>
      <c r="Q109" s="161">
        <f t="shared" ca="1" si="63"/>
        <v>27185.924201827289</v>
      </c>
      <c r="R109" s="161">
        <f t="shared" ca="1" si="63"/>
        <v>32419.950245021824</v>
      </c>
      <c r="S109" s="161">
        <f t="shared" ref="S109:T109" ca="1" si="64">SUM(S110:S116)</f>
        <v>38694.803134654423</v>
      </c>
      <c r="T109" s="161">
        <f t="shared" ca="1" si="64"/>
        <v>46189.90682603723</v>
      </c>
    </row>
    <row r="110" spans="2:20">
      <c r="C110" s="140" t="s">
        <v>1122</v>
      </c>
      <c r="D110" s="145">
        <f>历史数据!C9</f>
        <v>3324.9475503499998</v>
      </c>
      <c r="E110" s="145">
        <f>历史数据!D9</f>
        <v>3325.1376497900001</v>
      </c>
      <c r="F110" s="145">
        <f>历史数据!E9</f>
        <v>2850.0004882600001</v>
      </c>
      <c r="G110" s="145">
        <f>历史数据!F9</f>
        <v>2665.3621688099997</v>
      </c>
      <c r="H110" s="146">
        <f>历史数据!G9</f>
        <v>3124.9661347399997</v>
      </c>
      <c r="I110" s="152">
        <f>假设表!I6*历史数据及预测表!I107</f>
        <v>4182.2389725381145</v>
      </c>
      <c r="J110" s="152">
        <f>假设表!J6*历史数据及预测表!J107</f>
        <v>5655.3782629087054</v>
      </c>
      <c r="K110" s="152">
        <f>假设表!K6*历史数据及预测表!K107</f>
        <v>7397.5763305155151</v>
      </c>
      <c r="L110" s="152">
        <f>假设表!L6*历史数据及预测表!L107</f>
        <v>8874.2542713596031</v>
      </c>
      <c r="M110" s="152">
        <f>假设表!M6*历史数据及预测表!M107</f>
        <v>10272.201717912118</v>
      </c>
      <c r="N110" s="152">
        <f>假设表!N6*历史数据及预测表!N107</f>
        <v>12519.173492642405</v>
      </c>
      <c r="O110" s="152">
        <f>假设表!O6*历史数据及预测表!O107</f>
        <v>14920.008873096611</v>
      </c>
      <c r="P110" s="152">
        <f>假设表!P6*历史数据及预测表!P107</f>
        <v>17739.738857643893</v>
      </c>
      <c r="Q110" s="152">
        <f>假设表!Q6*历史数据及预测表!Q107</f>
        <v>21282.354056091015</v>
      </c>
      <c r="R110" s="152">
        <f>假设表!R6*历史数据及预测表!R107</f>
        <v>25400.038216018522</v>
      </c>
      <c r="S110" s="152">
        <f>假设表!S6*历史数据及预测表!S107</f>
        <v>30343.732182146927</v>
      </c>
      <c r="T110" s="152">
        <f>假设表!T6*历史数据及预测表!T107</f>
        <v>36249.633756897012</v>
      </c>
    </row>
    <row r="111" spans="2:20">
      <c r="C111" s="140" t="s">
        <v>1123</v>
      </c>
      <c r="D111" s="145">
        <f>历史数据!C17</f>
        <v>11.305142210000001</v>
      </c>
      <c r="E111" s="145">
        <f>历史数据!D17</f>
        <v>6.65764668</v>
      </c>
      <c r="F111" s="145">
        <f>历史数据!E17</f>
        <v>10.072483480000001</v>
      </c>
      <c r="G111" s="145">
        <f>历史数据!F17</f>
        <v>8.6082333900000005</v>
      </c>
      <c r="H111" s="146">
        <f>历史数据!G17</f>
        <v>13.12712582</v>
      </c>
      <c r="I111" s="152">
        <f>假设表!I8*历史数据及预测表!I107</f>
        <v>19.482823461630471</v>
      </c>
      <c r="J111" s="152">
        <f>假设表!J8*历史数据及预测表!J107</f>
        <v>25.273083547301191</v>
      </c>
      <c r="K111" s="152">
        <f>假设表!K8*历史数据及预测表!K107</f>
        <v>31.315378545374799</v>
      </c>
      <c r="L111" s="152">
        <f>假设表!L8*历史数据及预测表!L107</f>
        <v>35.513054415391636</v>
      </c>
      <c r="M111" s="152">
        <f>假设表!M8*历史数据及预测表!M107</f>
        <v>43.403621104218367</v>
      </c>
      <c r="N111" s="152">
        <f>假设表!N8*历史数据及预测表!N107</f>
        <v>51.977524248069145</v>
      </c>
      <c r="O111" s="152">
        <f>假设表!O8*历史数据及预测表!O107</f>
        <v>61.539771445174132</v>
      </c>
      <c r="P111" s="152">
        <f>假设表!P8*历史数据及预测表!P107</f>
        <v>73.91837981914621</v>
      </c>
      <c r="Q111" s="152">
        <f>假设表!Q8*历史数据及预测表!Q107</f>
        <v>88.273282694877565</v>
      </c>
      <c r="R111" s="152">
        <f>假设表!R8*历史数据及预测表!R107</f>
        <v>105.31734296290786</v>
      </c>
      <c r="S111" s="152">
        <f>假设表!S8*历史数据及预测表!S107</f>
        <v>125.81560790670041</v>
      </c>
      <c r="T111" s="152">
        <f>假设表!T8*历史数据及预测表!T107</f>
        <v>150.30351837216074</v>
      </c>
    </row>
    <row r="112" spans="2:20">
      <c r="C112" s="140" t="s">
        <v>1124</v>
      </c>
      <c r="D112" s="145">
        <f>历史数据!C18</f>
        <v>258.62399197999997</v>
      </c>
      <c r="E112" s="145">
        <f>历史数据!D18</f>
        <v>291.34219616000001</v>
      </c>
      <c r="F112" s="145">
        <f>历史数据!E18</f>
        <v>313.07250120999998</v>
      </c>
      <c r="G112" s="145">
        <f>历史数据!F18</f>
        <v>294.59830669000002</v>
      </c>
      <c r="H112" s="146">
        <f>历史数据!G18</f>
        <v>319.83369893999998</v>
      </c>
      <c r="I112" s="152">
        <f>假设表!I9*历史数据及预测表!I107</f>
        <v>383.80043872799996</v>
      </c>
      <c r="J112" s="152">
        <f>假设表!J9*历史数据及预测表!J107</f>
        <v>452.88451769903992</v>
      </c>
      <c r="K112" s="152">
        <f>假设表!K9*历史数据及预测表!K107</f>
        <v>525.34604053088628</v>
      </c>
      <c r="L112" s="152">
        <f>假设表!L9*历史数据及预测表!L107</f>
        <v>617.92380184885087</v>
      </c>
      <c r="M112" s="152">
        <f>假设表!M9*历史数据及预测表!M107</f>
        <v>748.47363201412531</v>
      </c>
      <c r="N112" s="152">
        <f>假设表!N9*历史数据及预测表!N107</f>
        <v>890.68629419295655</v>
      </c>
      <c r="O112" s="152">
        <f>假设表!O9*历史数据及预测表!O107</f>
        <v>1062.1427347580047</v>
      </c>
      <c r="P112" s="152">
        <f>假设表!P9*历史数据及预测表!P107</f>
        <v>1272.3671747583915</v>
      </c>
      <c r="Q112" s="152">
        <f>假设表!Q9*历史数据及预测表!Q107</f>
        <v>1518.5395442926854</v>
      </c>
      <c r="R112" s="152">
        <f>假设表!R9*历史数据及预测表!R107</f>
        <v>1814.0979493077107</v>
      </c>
      <c r="S112" s="152">
        <f>假设表!S9*历史数据及预测表!S107</f>
        <v>2167.1818702721512</v>
      </c>
      <c r="T112" s="152">
        <f>假设表!T9*历史数据及预测表!T107</f>
        <v>2588.9876897929498</v>
      </c>
    </row>
    <row r="113" spans="3:20">
      <c r="C113" s="140" t="s">
        <v>1125</v>
      </c>
      <c r="D113" s="145">
        <f>历史数据!C19</f>
        <v>159.62035162999999</v>
      </c>
      <c r="E113" s="145">
        <f>历史数据!D19</f>
        <v>166.11546365000001</v>
      </c>
      <c r="F113" s="145">
        <f>历史数据!E19</f>
        <v>178.84914437</v>
      </c>
      <c r="G113" s="145">
        <f>历史数据!F19</f>
        <v>215.16816004</v>
      </c>
      <c r="H113" s="146">
        <f>历史数据!G19</f>
        <v>268.14404784999999</v>
      </c>
      <c r="I113" s="152">
        <f>假设表!I10*历史数据及预测表!I107</f>
        <v>321.77285741999998</v>
      </c>
      <c r="J113" s="152">
        <f>假设表!J10*历史数据及预测表!J107</f>
        <v>379.69197175559998</v>
      </c>
      <c r="K113" s="152">
        <f>假设表!K10*历史数据及预测表!K107</f>
        <v>440.44268723649594</v>
      </c>
      <c r="L113" s="152">
        <f>假设表!L10*历史数据及预测表!L107</f>
        <v>518.05857243859623</v>
      </c>
      <c r="M113" s="152">
        <f>假设表!M10*历史数据及预测表!M107</f>
        <v>627.50970289378267</v>
      </c>
      <c r="N113" s="152">
        <f>假设表!N10*历史数据及预测表!N107</f>
        <v>746.7387866912037</v>
      </c>
      <c r="O113" s="152">
        <f>假设表!O10*历史数据及预测表!O107</f>
        <v>890.48544051610213</v>
      </c>
      <c r="P113" s="152">
        <f>假设表!P10*历史数据及预测表!P107</f>
        <v>1066.7346365374324</v>
      </c>
      <c r="Q113" s="152">
        <f>假设表!Q10*历史数据及预测表!Q107</f>
        <v>1273.1220680511292</v>
      </c>
      <c r="R113" s="152">
        <f>假设表!R10*历史数据及预测表!R107</f>
        <v>1520.9140529466488</v>
      </c>
      <c r="S113" s="152">
        <f>假设表!S10*历史数据及预测表!S107</f>
        <v>1816.9346164830624</v>
      </c>
      <c r="T113" s="152">
        <f>假设表!T10*历史数据及预测表!T107</f>
        <v>2170.5706474199142</v>
      </c>
    </row>
    <row r="114" spans="3:20">
      <c r="C114" s="140" t="s">
        <v>1126</v>
      </c>
      <c r="D114" s="155">
        <f>历史数据!C20</f>
        <v>521.20091940999998</v>
      </c>
      <c r="E114" s="155">
        <f>历史数据!D20</f>
        <v>641.62983465000002</v>
      </c>
      <c r="F114" s="155">
        <f>历史数据!E20</f>
        <v>708.34509000000003</v>
      </c>
      <c r="G114" s="155">
        <f>历史数据!F20</f>
        <v>681.33896140000002</v>
      </c>
      <c r="H114" s="146">
        <f>历史数据!G20</f>
        <v>712.02656216999992</v>
      </c>
      <c r="I114" s="152">
        <f>假设表!I11*I107</f>
        <v>854.43187460399986</v>
      </c>
      <c r="J114" s="152">
        <f>假设表!J11*J107</f>
        <v>1025.3182495247997</v>
      </c>
      <c r="K114" s="152">
        <f>假设表!K11*K107</f>
        <v>1230.3818994297596</v>
      </c>
      <c r="L114" s="152">
        <f>假设表!L11*L107</f>
        <v>1447.202800373916</v>
      </c>
      <c r="M114" s="152">
        <f>假设表!M11*M107</f>
        <v>1752.9558385935682</v>
      </c>
      <c r="N114" s="152">
        <f>假设表!N11*N107</f>
        <v>2086.0237060847398</v>
      </c>
      <c r="O114" s="152">
        <f>假设表!O11*O107</f>
        <v>2487.5816978394855</v>
      </c>
      <c r="P114" s="152">
        <f>假设表!P11*P107</f>
        <v>2979.9359288390174</v>
      </c>
      <c r="Q114" s="152">
        <f>假设表!Q11*Q107</f>
        <v>3556.4816801092638</v>
      </c>
      <c r="R114" s="152">
        <f>假设表!R11*R107</f>
        <v>4248.6915450343567</v>
      </c>
      <c r="S114" s="152">
        <f>假设表!S11*S107</f>
        <v>5075.628519557521</v>
      </c>
      <c r="T114" s="152">
        <f>假设表!T11*T107</f>
        <v>6063.5149893747703</v>
      </c>
    </row>
    <row r="115" spans="3:20">
      <c r="C115" s="168" t="s">
        <v>1127</v>
      </c>
      <c r="D115" s="155">
        <f>历史数据!C21</f>
        <v>-19.706705539999998</v>
      </c>
      <c r="E115" s="155">
        <f>历史数据!D21</f>
        <v>-67.663031769999989</v>
      </c>
      <c r="F115" s="155">
        <f>历史数据!E21</f>
        <v>-92.701810900000012</v>
      </c>
      <c r="G115" s="155">
        <f>历史数据!F21</f>
        <v>-74.7514745</v>
      </c>
      <c r="H115" s="146">
        <f>历史数据!G21</f>
        <v>-103.89029765000001</v>
      </c>
      <c r="I115" s="152">
        <f ca="1">关键项目预测!$E$370</f>
        <v>-86.408107227553955</v>
      </c>
      <c r="J115" s="152">
        <f ca="1">关键项目预测!$F$370</f>
        <v>-93.430081083268988</v>
      </c>
      <c r="K115" s="152">
        <f ca="1">关键项目预测!$G$370</f>
        <v>-116.31471281255079</v>
      </c>
      <c r="L115" s="152">
        <f ca="1">关键项目预测!$H$370</f>
        <v>-142.71774126868308</v>
      </c>
      <c r="M115" s="152">
        <f ca="1">关键项目预测!$I$370</f>
        <v>-190.79918299843791</v>
      </c>
      <c r="N115" s="152">
        <f ca="1">关键项目预测!$J$370</f>
        <v>-255.44717428052198</v>
      </c>
      <c r="O115" s="152">
        <f ca="1">关键项目预测!$K$370</f>
        <v>-325.95253342952554</v>
      </c>
      <c r="P115" s="152">
        <f ca="1">关键项目预测!$L$370</f>
        <v>-418.86255477309459</v>
      </c>
      <c r="Q115" s="152">
        <f ca="1">关键项目预测!$M$370</f>
        <v>-532.84642940833692</v>
      </c>
      <c r="R115" s="152">
        <f ca="1">关键项目预测!$N$370</f>
        <v>-669.10886128700474</v>
      </c>
      <c r="S115" s="152">
        <f ca="1">关键项目预测!$O$370</f>
        <v>-834.48966255012374</v>
      </c>
      <c r="T115" s="152">
        <f ca="1">关键项目预测!$P$370</f>
        <v>-1033.1037603911832</v>
      </c>
    </row>
    <row r="116" spans="3:20">
      <c r="C116" s="140" t="s">
        <v>1128</v>
      </c>
      <c r="D116" s="155">
        <f>历史数据!C10+历史数据!C11+历史数据!C12+历史数据!C13+历史数据!C14+历史数据!C15+历史数据!C16</f>
        <v>0</v>
      </c>
      <c r="E116" s="155">
        <f>历史数据!D10+历史数据!D11+历史数据!D12+历史数据!D13+历史数据!D14+历史数据!D15+历史数据!D16</f>
        <v>0</v>
      </c>
      <c r="F116" s="155">
        <f>历史数据!E10+历史数据!E11+历史数据!E12+历史数据!E13+历史数据!E14+历史数据!E15+历史数据!E16</f>
        <v>0</v>
      </c>
      <c r="G116" s="155">
        <f>历史数据!F10+历史数据!F11+历史数据!F12+历史数据!F13+历史数据!F14+历史数据!F15+历史数据!F16</f>
        <v>0</v>
      </c>
      <c r="H116" s="146">
        <f>历史数据!G10+历史数据!G11+历史数据!G12+历史数据!G13+历史数据!G14+历史数据!G15+历史数据!G16</f>
        <v>0</v>
      </c>
      <c r="I116" s="152">
        <f>假设表!I7*历史数据及预测表!I108</f>
        <v>0</v>
      </c>
      <c r="J116" s="152">
        <f>假设表!J7*历史数据及预测表!J108</f>
        <v>0</v>
      </c>
      <c r="K116" s="152">
        <f>假设表!K7*历史数据及预测表!K108</f>
        <v>0</v>
      </c>
      <c r="L116" s="152">
        <f>假设表!L7*历史数据及预测表!L108</f>
        <v>0</v>
      </c>
      <c r="M116" s="152">
        <f>假设表!M7*历史数据及预测表!M108</f>
        <v>0</v>
      </c>
      <c r="N116" s="152">
        <f>假设表!N7*历史数据及预测表!N108</f>
        <v>0</v>
      </c>
      <c r="O116" s="152">
        <f>假设表!O7*历史数据及预测表!O108</f>
        <v>0</v>
      </c>
      <c r="P116" s="152">
        <f>假设表!P7*历史数据及预测表!P108</f>
        <v>0</v>
      </c>
      <c r="Q116" s="152">
        <f>假设表!Q7*历史数据及预测表!Q108</f>
        <v>0</v>
      </c>
      <c r="R116" s="152">
        <f>假设表!R7*历史数据及预测表!R108</f>
        <v>0</v>
      </c>
      <c r="S116" s="152">
        <f>假设表!S7*历史数据及预测表!S108</f>
        <v>0</v>
      </c>
      <c r="T116" s="152">
        <f>假设表!T7*历史数据及预测表!T108</f>
        <v>0</v>
      </c>
    </row>
    <row r="117" spans="3:20">
      <c r="C117" s="140" t="s">
        <v>1129</v>
      </c>
      <c r="D117" s="155">
        <f>历史数据!C28</f>
        <v>6.36295E-3</v>
      </c>
      <c r="E117" s="155">
        <f>历史数据!D28</f>
        <v>0.75596820999999992</v>
      </c>
      <c r="F117" s="155">
        <f>历史数据!E28</f>
        <v>2.5300603399999999</v>
      </c>
      <c r="G117" s="155">
        <f>历史数据!F28</f>
        <v>2.7224780000000002</v>
      </c>
      <c r="H117" s="146">
        <f>历史数据!G28</f>
        <v>2.52238988</v>
      </c>
      <c r="I117" s="152">
        <f>假设表!I12</f>
        <v>2.5916427399999997</v>
      </c>
      <c r="J117" s="152">
        <f>假设表!J12</f>
        <v>2.6121702066666668</v>
      </c>
      <c r="K117" s="152">
        <f>假设表!K12</f>
        <v>2.5754009422222222</v>
      </c>
      <c r="L117" s="152">
        <f>假设表!L12</f>
        <v>2.5930712962962961</v>
      </c>
      <c r="M117" s="152">
        <f>假设表!M12</f>
        <v>2.593547481728395</v>
      </c>
      <c r="N117" s="152">
        <f>假设表!N12</f>
        <v>2.5873399067489711</v>
      </c>
      <c r="O117" s="152">
        <f>假设表!O12</f>
        <v>2.5913195615912206</v>
      </c>
      <c r="P117" s="152">
        <f>假设表!P12</f>
        <v>2.5907356500228622</v>
      </c>
      <c r="Q117" s="152">
        <f>假设表!Q12</f>
        <v>2.5897983727876848</v>
      </c>
      <c r="R117" s="152">
        <f>假设表!R12</f>
        <v>2.5906178614672561</v>
      </c>
      <c r="S117" s="152">
        <f>假设表!S12</f>
        <v>2.5906178614672561</v>
      </c>
      <c r="T117" s="152">
        <f>假设表!T12</f>
        <v>2.5906178614672561</v>
      </c>
    </row>
    <row r="118" spans="3:20">
      <c r="C118" s="140" t="s">
        <v>1130</v>
      </c>
      <c r="D118" s="155">
        <f>历史数据!C26</f>
        <v>-118.38366751000001</v>
      </c>
      <c r="E118" s="155">
        <f>历史数据!D26</f>
        <v>-278.08489145999999</v>
      </c>
      <c r="F118" s="155">
        <f>历史数据!E26</f>
        <v>-72.893028790000002</v>
      </c>
      <c r="G118" s="155">
        <f>历史数据!F26</f>
        <v>-74.138722779999995</v>
      </c>
      <c r="H118" s="146">
        <f>历史数据!G26</f>
        <v>-73.473108870000004</v>
      </c>
      <c r="I118" s="152">
        <f>-关键项目预测!E279</f>
        <v>3.27612931817049</v>
      </c>
      <c r="J118" s="152">
        <f>-关键项目预测!F279</f>
        <v>-70.710685937788412</v>
      </c>
      <c r="K118" s="152">
        <f>-关键项目预测!G279</f>
        <v>-83.625507245126812</v>
      </c>
      <c r="L118" s="152">
        <f>-关键项目预测!H279</f>
        <v>-70.880541160516259</v>
      </c>
      <c r="M118" s="152">
        <f>-关键项目预测!I279</f>
        <v>-67.101477434520689</v>
      </c>
      <c r="N118" s="152">
        <f>-关键项目预测!J279</f>
        <v>-107.85464518705373</v>
      </c>
      <c r="O118" s="152">
        <f>-关键项目预测!K279</f>
        <v>-115.24009826180202</v>
      </c>
      <c r="P118" s="152">
        <f>-关键项目预测!L279</f>
        <v>-135.34703925826955</v>
      </c>
      <c r="Q118" s="152">
        <f>-关键项目预测!M279</f>
        <v>-170.0455295254618</v>
      </c>
      <c r="R118" s="152">
        <f>-关键项目预测!N279</f>
        <v>-197.64883967652042</v>
      </c>
      <c r="S118" s="152">
        <f>-关键项目预测!O279</f>
        <v>-237.29731037416332</v>
      </c>
      <c r="T118" s="152">
        <f>-关键项目预测!P279</f>
        <v>-283.48327558800406</v>
      </c>
    </row>
    <row r="119" spans="3:20">
      <c r="C119" s="140" t="s">
        <v>1131</v>
      </c>
      <c r="D119" s="155">
        <f>历史数据!C27</f>
        <v>4.7468999999999992E-3</v>
      </c>
      <c r="E119" s="155">
        <f>历史数据!D27</f>
        <v>-0.12821568</v>
      </c>
      <c r="F119" s="155">
        <f>历史数据!E27</f>
        <v>0</v>
      </c>
      <c r="G119" s="155">
        <f>历史数据!F27</f>
        <v>0</v>
      </c>
      <c r="H119" s="146">
        <f>历史数据!G27</f>
        <v>0</v>
      </c>
      <c r="I119" s="152">
        <f>-关键项目预测!E287</f>
        <v>0</v>
      </c>
      <c r="J119" s="152">
        <f>-关键项目预测!F287</f>
        <v>0</v>
      </c>
      <c r="K119" s="152">
        <f>-关键项目预测!G287</f>
        <v>0</v>
      </c>
      <c r="L119" s="152">
        <f>-关键项目预测!H287</f>
        <v>0</v>
      </c>
      <c r="M119" s="152">
        <f>-关键项目预测!I287</f>
        <v>0</v>
      </c>
      <c r="N119" s="152">
        <f>-关键项目预测!J287</f>
        <v>0</v>
      </c>
      <c r="O119" s="152">
        <f>-关键项目预测!K287</f>
        <v>0</v>
      </c>
      <c r="P119" s="152">
        <f>-关键项目预测!L287</f>
        <v>0</v>
      </c>
      <c r="Q119" s="152">
        <f>-关键项目预测!M287</f>
        <v>0</v>
      </c>
      <c r="R119" s="152">
        <f>-关键项目预测!N287</f>
        <v>0</v>
      </c>
      <c r="S119" s="152">
        <f>-关键项目预测!O287</f>
        <v>0</v>
      </c>
      <c r="T119" s="152">
        <f>-关键项目预测!P287</f>
        <v>0</v>
      </c>
    </row>
    <row r="120" spans="3:20">
      <c r="C120" s="140" t="s">
        <v>1132</v>
      </c>
      <c r="D120" s="155">
        <f>历史数据!C25</f>
        <v>21.504855589999998</v>
      </c>
      <c r="E120" s="155">
        <f>历史数据!D25</f>
        <v>27.308135800000002</v>
      </c>
      <c r="F120" s="155">
        <f>历史数据!E25</f>
        <v>30.369928170000001</v>
      </c>
      <c r="G120" s="155">
        <f>历史数据!F25</f>
        <v>32.395579859999998</v>
      </c>
      <c r="H120" s="146">
        <f>历史数据!G25</f>
        <v>21.326596170000002</v>
      </c>
      <c r="I120" s="152">
        <f>假设表!I13</f>
        <v>28.030701399999998</v>
      </c>
      <c r="J120" s="152">
        <f>假设表!J13</f>
        <v>27.250959143333333</v>
      </c>
      <c r="K120" s="152">
        <f>假设表!K13</f>
        <v>25.536085571111112</v>
      </c>
      <c r="L120" s="152">
        <f>假设表!L13</f>
        <v>26.939248704814815</v>
      </c>
      <c r="M120" s="152">
        <f>假设表!M13</f>
        <v>26.575431139753089</v>
      </c>
      <c r="N120" s="152">
        <f>假设表!N13</f>
        <v>26.350255138559675</v>
      </c>
      <c r="O120" s="152">
        <f>假设表!O13</f>
        <v>26.62164499437586</v>
      </c>
      <c r="P120" s="152">
        <f>假设表!P13</f>
        <v>26.515777090896208</v>
      </c>
      <c r="Q120" s="152">
        <f>假设表!Q13</f>
        <v>26.495892407943913</v>
      </c>
      <c r="R120" s="152">
        <f>假设表!R13</f>
        <v>26.544438164405324</v>
      </c>
      <c r="S120" s="152">
        <f>假设表!S13</f>
        <v>26.544438164405324</v>
      </c>
      <c r="T120" s="152">
        <f>假设表!T13</f>
        <v>26.544438164405324</v>
      </c>
    </row>
    <row r="121" spans="3:20">
      <c r="C121" s="140" t="s">
        <v>1133</v>
      </c>
      <c r="D121" s="155">
        <f>历史数据!C31</f>
        <v>0</v>
      </c>
      <c r="E121" s="155">
        <f>历史数据!D31</f>
        <v>0</v>
      </c>
      <c r="F121" s="155">
        <f>历史数据!E31</f>
        <v>0</v>
      </c>
      <c r="G121" s="155">
        <f>历史数据!F31</f>
        <v>0</v>
      </c>
      <c r="H121" s="146">
        <f>历史数据!G31</f>
        <v>0</v>
      </c>
      <c r="I121" s="152">
        <f>假设表!I14</f>
        <v>0</v>
      </c>
      <c r="J121" s="152">
        <f>假设表!J14</f>
        <v>0</v>
      </c>
      <c r="K121" s="152">
        <f>假设表!K14</f>
        <v>0</v>
      </c>
      <c r="L121" s="152">
        <f>假设表!L14</f>
        <v>0</v>
      </c>
      <c r="M121" s="152">
        <f>假设表!M14</f>
        <v>0</v>
      </c>
      <c r="N121" s="152">
        <f>假设表!N14</f>
        <v>0</v>
      </c>
      <c r="O121" s="152">
        <f>假设表!O14</f>
        <v>0</v>
      </c>
      <c r="P121" s="152">
        <f>假设表!P14</f>
        <v>0</v>
      </c>
      <c r="Q121" s="152">
        <f>假设表!Q14</f>
        <v>0</v>
      </c>
      <c r="R121" s="152">
        <f>假设表!R14</f>
        <v>0</v>
      </c>
      <c r="S121" s="152">
        <f>假设表!S14</f>
        <v>0</v>
      </c>
      <c r="T121" s="152">
        <f>假设表!T14</f>
        <v>0</v>
      </c>
    </row>
    <row r="122" spans="3:20">
      <c r="C122" s="140" t="s">
        <v>1134</v>
      </c>
      <c r="D122" s="155">
        <f>历史数据!C32</f>
        <v>2.0585999999999998E-3</v>
      </c>
      <c r="E122" s="155">
        <f>历史数据!D32</f>
        <v>0.36463244</v>
      </c>
      <c r="F122" s="155">
        <f>历史数据!E32</f>
        <v>2.9120049999999998E-2</v>
      </c>
      <c r="G122" s="155">
        <f>历史数据!F32</f>
        <v>8.5225700000000001E-3</v>
      </c>
      <c r="H122" s="146">
        <f>历史数据!G32</f>
        <v>24.130114410000001</v>
      </c>
      <c r="I122" s="152">
        <f>假设表!I15</f>
        <v>8.0559190100000002</v>
      </c>
      <c r="J122" s="152">
        <f>假设表!J15</f>
        <v>10.731518663333333</v>
      </c>
      <c r="K122" s="152">
        <f>假设表!K15</f>
        <v>14.305850694444445</v>
      </c>
      <c r="L122" s="152">
        <f>假设表!L15</f>
        <v>11.031096122592592</v>
      </c>
      <c r="M122" s="152">
        <f>假设表!M15</f>
        <v>12.022821826790123</v>
      </c>
      <c r="N122" s="152">
        <f>假设表!N15</f>
        <v>12.453256214609054</v>
      </c>
      <c r="O122" s="152">
        <f>假设表!O15</f>
        <v>11.835724721330591</v>
      </c>
      <c r="P122" s="152">
        <f>假设表!P15</f>
        <v>12.103934254243256</v>
      </c>
      <c r="Q122" s="152">
        <f>假设表!Q15</f>
        <v>12.130971730060969</v>
      </c>
      <c r="R122" s="152">
        <f>假设表!R15</f>
        <v>12.023543568544939</v>
      </c>
      <c r="S122" s="152">
        <f>假设表!S15</f>
        <v>12.023543568544939</v>
      </c>
      <c r="T122" s="152">
        <f>假设表!T15</f>
        <v>12.023543568544939</v>
      </c>
    </row>
    <row r="123" spans="3:20">
      <c r="C123" s="140" t="s">
        <v>1135</v>
      </c>
      <c r="D123" s="145">
        <f>历史数据!C29</f>
        <v>11.269117960000001</v>
      </c>
      <c r="E123" s="145">
        <f>历史数据!D29</f>
        <v>14.86580507</v>
      </c>
      <c r="F123" s="145">
        <f>历史数据!E29</f>
        <v>21.185220609999998</v>
      </c>
      <c r="G123" s="145">
        <f>历史数据!F29</f>
        <v>25.237234609999998</v>
      </c>
      <c r="H123" s="146">
        <f>历史数据!G29</f>
        <v>33.204846250000003</v>
      </c>
      <c r="I123" s="152">
        <f>假设表!I16</f>
        <v>26.542433823333329</v>
      </c>
      <c r="J123" s="152">
        <f>假设表!J16</f>
        <v>28.328171561111109</v>
      </c>
      <c r="K123" s="152">
        <f>假设表!K16</f>
        <v>29.358483878148146</v>
      </c>
      <c r="L123" s="152">
        <f>假设表!L16</f>
        <v>28.076363087530861</v>
      </c>
      <c r="M123" s="152">
        <f>假设表!M16</f>
        <v>28.587672842263373</v>
      </c>
      <c r="N123" s="152">
        <f>假设表!N16</f>
        <v>28.674173269314128</v>
      </c>
      <c r="O123" s="152">
        <f>假设表!O16</f>
        <v>28.446069733036122</v>
      </c>
      <c r="P123" s="152">
        <f>假设表!P16</f>
        <v>28.569305281537876</v>
      </c>
      <c r="Q123" s="152">
        <f>假设表!Q16</f>
        <v>28.563182761296044</v>
      </c>
      <c r="R123" s="152">
        <f>假设表!R16</f>
        <v>28.526185925290012</v>
      </c>
      <c r="S123" s="152">
        <f>假设表!S16</f>
        <v>28.526185925290012</v>
      </c>
      <c r="T123" s="152">
        <f>假设表!T16</f>
        <v>28.526185925290012</v>
      </c>
    </row>
    <row r="124" spans="3:20">
      <c r="C124" s="140" t="s">
        <v>1136</v>
      </c>
      <c r="D124" s="145">
        <f>历史数据!C33</f>
        <v>0</v>
      </c>
      <c r="E124" s="145">
        <f>历史数据!D33</f>
        <v>0</v>
      </c>
      <c r="F124" s="145">
        <f>历史数据!E33</f>
        <v>0</v>
      </c>
      <c r="G124" s="145">
        <f>历史数据!F33</f>
        <v>0</v>
      </c>
      <c r="H124" s="146">
        <f>历史数据!G33</f>
        <v>0</v>
      </c>
      <c r="I124" s="152">
        <f>假设表!I17</f>
        <v>0</v>
      </c>
      <c r="J124" s="152">
        <f>假设表!J17</f>
        <v>0</v>
      </c>
      <c r="K124" s="152">
        <f>假设表!K17</f>
        <v>0</v>
      </c>
      <c r="L124" s="152">
        <f>假设表!L17</f>
        <v>0</v>
      </c>
      <c r="M124" s="152">
        <f>假设表!M17</f>
        <v>0</v>
      </c>
      <c r="N124" s="152">
        <f>假设表!N17</f>
        <v>0</v>
      </c>
      <c r="O124" s="152">
        <f>假设表!O17</f>
        <v>0</v>
      </c>
      <c r="P124" s="152">
        <f>假设表!P17</f>
        <v>0</v>
      </c>
      <c r="Q124" s="152">
        <f>假设表!Q17</f>
        <v>0</v>
      </c>
      <c r="R124" s="152">
        <f>假设表!R17</f>
        <v>0</v>
      </c>
      <c r="S124" s="152">
        <f>假设表!S17</f>
        <v>0</v>
      </c>
      <c r="T124" s="152">
        <f>假设表!T17</f>
        <v>0</v>
      </c>
    </row>
    <row r="125" spans="3:20">
      <c r="C125" s="140" t="s">
        <v>1137</v>
      </c>
      <c r="D125" s="145">
        <f>历史数据!C34</f>
        <v>0</v>
      </c>
      <c r="E125" s="145">
        <f>历史数据!D34</f>
        <v>0</v>
      </c>
      <c r="F125" s="145">
        <f>历史数据!E34</f>
        <v>0</v>
      </c>
      <c r="G125" s="145">
        <f>历史数据!F34</f>
        <v>0</v>
      </c>
      <c r="H125" s="146">
        <f>历史数据!G34</f>
        <v>0</v>
      </c>
      <c r="I125" s="152">
        <f>H125</f>
        <v>0</v>
      </c>
      <c r="J125" s="152">
        <f t="shared" ref="J125:R125" si="65">I125</f>
        <v>0</v>
      </c>
      <c r="K125" s="152">
        <f t="shared" si="65"/>
        <v>0</v>
      </c>
      <c r="L125" s="152">
        <f t="shared" si="65"/>
        <v>0</v>
      </c>
      <c r="M125" s="152">
        <f t="shared" si="65"/>
        <v>0</v>
      </c>
      <c r="N125" s="152">
        <f t="shared" si="65"/>
        <v>0</v>
      </c>
      <c r="O125" s="152">
        <f t="shared" si="65"/>
        <v>0</v>
      </c>
      <c r="P125" s="152">
        <f t="shared" si="65"/>
        <v>0</v>
      </c>
      <c r="Q125" s="152">
        <f t="shared" si="65"/>
        <v>0</v>
      </c>
      <c r="R125" s="152">
        <f t="shared" si="65"/>
        <v>0</v>
      </c>
      <c r="S125" s="152">
        <f t="shared" ref="S125" si="66">R125</f>
        <v>0</v>
      </c>
      <c r="T125" s="152">
        <f t="shared" ref="T125" si="67">S125</f>
        <v>0</v>
      </c>
    </row>
    <row r="126" spans="3:20" ht="14.65">
      <c r="C126" s="148" t="s">
        <v>1138</v>
      </c>
      <c r="D126" s="149">
        <f>D106-D109+D117+D123+D124+D125+D120+D121+D122+D118+D119</f>
        <v>932.47135442000035</v>
      </c>
      <c r="E126" s="149">
        <f t="shared" ref="E126:I126" si="68">E106-E109+E117+E123+E124+E125+E120+E121+E122+E118+E119</f>
        <v>813.72919000999957</v>
      </c>
      <c r="F126" s="149">
        <f t="shared" si="68"/>
        <v>544.50906032999967</v>
      </c>
      <c r="G126" s="149">
        <f t="shared" si="68"/>
        <v>408.52661777999981</v>
      </c>
      <c r="H126" s="149">
        <f t="shared" si="68"/>
        <v>414.51116393000041</v>
      </c>
      <c r="I126" s="160">
        <f t="shared" ca="1" si="68"/>
        <v>2701.0217502695727</v>
      </c>
      <c r="J126" s="161">
        <f t="shared" ref="J126:R126" ca="1" si="69">J106-J109+J117+J123+J124+J125+J120+J121+J122+J118+J119</f>
        <v>3146.2300678047923</v>
      </c>
      <c r="K126" s="161">
        <f t="shared" ca="1" si="69"/>
        <v>3005.9587886708068</v>
      </c>
      <c r="L126" s="161">
        <f t="shared" ca="1" si="69"/>
        <v>3381.5408626311919</v>
      </c>
      <c r="M126" s="161">
        <f t="shared" ca="1" si="69"/>
        <v>4595.8301703708812</v>
      </c>
      <c r="N126" s="161">
        <f t="shared" ca="1" si="69"/>
        <v>5160.9294940678619</v>
      </c>
      <c r="O126" s="161">
        <f t="shared" ca="1" si="69"/>
        <v>6184.5947304199954</v>
      </c>
      <c r="P126" s="161">
        <f t="shared" ca="1" si="69"/>
        <v>7559.4199681888158</v>
      </c>
      <c r="Q126" s="161">
        <f t="shared" ca="1" si="69"/>
        <v>8922.4598827637819</v>
      </c>
      <c r="R126" s="161">
        <f t="shared" ca="1" si="69"/>
        <v>10708.145472025715</v>
      </c>
      <c r="S126" s="161">
        <f t="shared" ref="S126:T126" ca="1" si="70">S106-S109+S117+S123+S124+S125+S120+S121+S122+S118+S119</f>
        <v>12812.714975712188</v>
      </c>
      <c r="T126" s="161">
        <f t="shared" ca="1" si="70"/>
        <v>15329.127963008807</v>
      </c>
    </row>
    <row r="127" spans="3:20">
      <c r="C127" s="140" t="s">
        <v>1139</v>
      </c>
      <c r="D127" s="145">
        <f>历史数据!C36</f>
        <v>1.6093278700000002</v>
      </c>
      <c r="E127" s="145">
        <f>历史数据!D36</f>
        <v>1.4589293600000002</v>
      </c>
      <c r="F127" s="145">
        <f>历史数据!E36</f>
        <v>1.1405178899999999</v>
      </c>
      <c r="G127" s="145">
        <f>历史数据!F36</f>
        <v>3.0506707099999999</v>
      </c>
      <c r="H127" s="146">
        <f>历史数据!G36</f>
        <v>1.1196703100000001</v>
      </c>
      <c r="I127" s="152">
        <f>假设表!I18</f>
        <v>1.7702863033333334</v>
      </c>
      <c r="J127" s="152">
        <f>假设表!J18</f>
        <v>1.9802091077777779</v>
      </c>
      <c r="K127" s="152">
        <f>假设表!K18</f>
        <v>1.6233885737037037</v>
      </c>
      <c r="L127" s="152">
        <f>假设表!L18</f>
        <v>1.7912946616049383</v>
      </c>
      <c r="M127" s="152">
        <f>假设表!M18</f>
        <v>1.7982974476954734</v>
      </c>
      <c r="N127" s="152">
        <f>假设表!N18</f>
        <v>1.7376602276680384</v>
      </c>
      <c r="O127" s="152">
        <f>假设表!O18</f>
        <v>1.7757507789894833</v>
      </c>
      <c r="P127" s="152">
        <f>假设表!P18</f>
        <v>1.7705694847843316</v>
      </c>
      <c r="Q127" s="152">
        <f>假设表!Q18</f>
        <v>1.7613268304806178</v>
      </c>
      <c r="R127" s="152">
        <f>假设表!R18</f>
        <v>1.7692156980848111</v>
      </c>
      <c r="S127" s="152">
        <f>假设表!S18</f>
        <v>1.7692156980848111</v>
      </c>
      <c r="T127" s="152">
        <f>假设表!T18</f>
        <v>1.7692156980848111</v>
      </c>
    </row>
    <row r="128" spans="3:20">
      <c r="C128" s="140" t="s">
        <v>1140</v>
      </c>
      <c r="D128" s="145">
        <f>历史数据!C37</f>
        <v>6.5686679999999997E-2</v>
      </c>
      <c r="E128" s="145">
        <f>历史数据!D37</f>
        <v>0.19270110999999998</v>
      </c>
      <c r="F128" s="145">
        <f>历史数据!E37</f>
        <v>0.44466040999999995</v>
      </c>
      <c r="G128" s="145">
        <f>历史数据!F37</f>
        <v>1.6124723000000001</v>
      </c>
      <c r="H128" s="146">
        <f>历史数据!G37</f>
        <v>1.9513033899999999</v>
      </c>
      <c r="I128" s="152">
        <f>假设表!I19</f>
        <v>1.3361453666666667</v>
      </c>
      <c r="J128" s="152">
        <f>假设表!J19</f>
        <v>1.633307018888889</v>
      </c>
      <c r="K128" s="152">
        <f>假设表!K19</f>
        <v>1.6402519251851853</v>
      </c>
      <c r="L128" s="152">
        <f>假设表!L19</f>
        <v>1.5365681035802472</v>
      </c>
      <c r="M128" s="152">
        <f>假设表!M19</f>
        <v>1.6033756825514407</v>
      </c>
      <c r="N128" s="152">
        <f>假设表!N19</f>
        <v>1.5933985704389577</v>
      </c>
      <c r="O128" s="152">
        <f>假设表!O19</f>
        <v>1.5777807855235484</v>
      </c>
      <c r="P128" s="152">
        <f>假设表!P19</f>
        <v>1.5915183461713156</v>
      </c>
      <c r="Q128" s="152">
        <f>假设表!Q19</f>
        <v>1.5875659007112739</v>
      </c>
      <c r="R128" s="152">
        <f>假设表!R19</f>
        <v>1.5856216774687126</v>
      </c>
      <c r="S128" s="152">
        <f>假设表!S19</f>
        <v>1.5856216774687126</v>
      </c>
      <c r="T128" s="152">
        <f>假设表!T19</f>
        <v>1.5856216774687126</v>
      </c>
    </row>
    <row r="129" spans="3:21">
      <c r="C129" s="140" t="s">
        <v>1141</v>
      </c>
      <c r="D129" s="145">
        <f>历史数据!C39</f>
        <v>0</v>
      </c>
      <c r="E129" s="145">
        <f>历史数据!D39</f>
        <v>0</v>
      </c>
      <c r="F129" s="145">
        <f>历史数据!E39</f>
        <v>0</v>
      </c>
      <c r="G129" s="145">
        <f>历史数据!F39</f>
        <v>0</v>
      </c>
      <c r="H129" s="155">
        <f>历史数据!G39</f>
        <v>0</v>
      </c>
      <c r="I129" s="157">
        <f>H129</f>
        <v>0</v>
      </c>
      <c r="J129" s="152">
        <f t="shared" ref="J129:R129" si="71">I129</f>
        <v>0</v>
      </c>
      <c r="K129" s="152">
        <f t="shared" si="71"/>
        <v>0</v>
      </c>
      <c r="L129" s="152">
        <f t="shared" si="71"/>
        <v>0</v>
      </c>
      <c r="M129" s="152">
        <f t="shared" si="71"/>
        <v>0</v>
      </c>
      <c r="N129" s="152">
        <f t="shared" si="71"/>
        <v>0</v>
      </c>
      <c r="O129" s="152">
        <f t="shared" si="71"/>
        <v>0</v>
      </c>
      <c r="P129" s="152">
        <f t="shared" si="71"/>
        <v>0</v>
      </c>
      <c r="Q129" s="152">
        <f t="shared" si="71"/>
        <v>0</v>
      </c>
      <c r="R129" s="152">
        <f t="shared" si="71"/>
        <v>0</v>
      </c>
      <c r="S129" s="152">
        <f t="shared" ref="S129" si="72">R129</f>
        <v>0</v>
      </c>
      <c r="T129" s="152">
        <f t="shared" ref="T129" si="73">S129</f>
        <v>0</v>
      </c>
    </row>
    <row r="130" spans="3:21" ht="14.65">
      <c r="C130" s="148" t="s">
        <v>1142</v>
      </c>
      <c r="D130" s="149">
        <f>D126+D127-D128+D129</f>
        <v>934.01499561000037</v>
      </c>
      <c r="E130" s="149">
        <f t="shared" ref="E130:I130" si="74">E126+E127-E128+E129</f>
        <v>814.9954182599995</v>
      </c>
      <c r="F130" s="149">
        <f t="shared" si="74"/>
        <v>545.20491780999964</v>
      </c>
      <c r="G130" s="149">
        <f t="shared" si="74"/>
        <v>409.96481618999985</v>
      </c>
      <c r="H130" s="150">
        <f t="shared" si="74"/>
        <v>413.67953085000039</v>
      </c>
      <c r="I130" s="161">
        <f t="shared" ca="1" si="74"/>
        <v>2701.4558912062394</v>
      </c>
      <c r="J130" s="161">
        <f t="shared" ref="J130:R130" ca="1" si="75">J126+J127-J128+J129</f>
        <v>3146.5769698936811</v>
      </c>
      <c r="K130" s="161">
        <f t="shared" ca="1" si="75"/>
        <v>3005.9419253193255</v>
      </c>
      <c r="L130" s="161">
        <f t="shared" ca="1" si="75"/>
        <v>3381.7955891892166</v>
      </c>
      <c r="M130" s="161">
        <f t="shared" ca="1" si="75"/>
        <v>4596.0250921360248</v>
      </c>
      <c r="N130" s="161">
        <f t="shared" ca="1" si="75"/>
        <v>5161.0737557250914</v>
      </c>
      <c r="O130" s="161">
        <f t="shared" ca="1" si="75"/>
        <v>6184.7927004134608</v>
      </c>
      <c r="P130" s="161">
        <f t="shared" ca="1" si="75"/>
        <v>7559.5990193274292</v>
      </c>
      <c r="Q130" s="161">
        <f t="shared" ca="1" si="75"/>
        <v>8922.6336436935526</v>
      </c>
      <c r="R130" s="161">
        <f t="shared" ca="1" si="75"/>
        <v>10708.329066046332</v>
      </c>
      <c r="S130" s="161">
        <f t="shared" ref="S130:T130" ca="1" si="76">S126+S127-S128+S129</f>
        <v>12812.898569732804</v>
      </c>
      <c r="T130" s="161">
        <f t="shared" ca="1" si="76"/>
        <v>15329.311557029423</v>
      </c>
    </row>
    <row r="131" spans="3:21">
      <c r="C131" s="140" t="s">
        <v>1143</v>
      </c>
      <c r="D131" s="145">
        <f>历史数据!C41</f>
        <v>12.64400249</v>
      </c>
      <c r="E131" s="145">
        <f>历史数据!D41</f>
        <v>36.058611319999997</v>
      </c>
      <c r="F131" s="145">
        <f>历史数据!E41</f>
        <v>29.4804833</v>
      </c>
      <c r="G131" s="145">
        <f>历史数据!F41</f>
        <v>45.767036439999998</v>
      </c>
      <c r="H131" s="146">
        <f>历史数据!G41</f>
        <v>38.348772150000002</v>
      </c>
      <c r="I131" s="152">
        <f ca="1">假设表!I20*历史数据及预测表!I130</f>
        <v>232.69480182523296</v>
      </c>
      <c r="J131" s="152">
        <f ca="1">假设表!J20*历史数据及预测表!J130</f>
        <v>304.66726726784935</v>
      </c>
      <c r="K131" s="152">
        <f ca="1">假设表!K20*历史数据及预测表!K130</f>
        <v>276.20943156882373</v>
      </c>
      <c r="L131" s="152">
        <f ca="1">假设表!L20*历史数据及预测表!L130</f>
        <v>309.82840163438732</v>
      </c>
      <c r="M131" s="152">
        <f ca="1">假设表!M20*历史数据及预测表!M130</f>
        <v>429.46688704955767</v>
      </c>
      <c r="N131" s="152">
        <f ca="1">假设表!N20*历史数据及预测表!N130</f>
        <v>476.44876076960583</v>
      </c>
      <c r="O131" s="152">
        <f ca="1">假设表!O20*历史数据及预测表!O130</f>
        <v>571.83659433123989</v>
      </c>
      <c r="P131" s="152">
        <f ca="1">假设表!P20*历史数据及预测表!P130</f>
        <v>701.07071914740084</v>
      </c>
      <c r="Q131" s="152">
        <f ca="1">假设表!Q20*历史数据及预测表!Q130</f>
        <v>825.38362105346243</v>
      </c>
      <c r="R131" s="152">
        <f ca="1">假设表!R20*历史数据及预测表!R130</f>
        <v>991.24187662199972</v>
      </c>
      <c r="S131" s="152">
        <f ca="1">假设表!S20*历史数据及预测表!S130</f>
        <v>1186.0563440752157</v>
      </c>
      <c r="T131" s="152">
        <f ca="1">假设表!T20*历史数据及预测表!T130</f>
        <v>1418.9940803456636</v>
      </c>
    </row>
    <row r="132" spans="3:21">
      <c r="C132" s="140" t="s">
        <v>1144</v>
      </c>
      <c r="D132" s="145">
        <f>历史数据!C42</f>
        <v>0</v>
      </c>
      <c r="E132" s="145">
        <f>历史数据!D42</f>
        <v>0</v>
      </c>
      <c r="F132" s="145">
        <f>历史数据!E42</f>
        <v>0</v>
      </c>
      <c r="G132" s="145">
        <f>历史数据!F42</f>
        <v>0</v>
      </c>
      <c r="H132" s="146">
        <f>历史数据!G42</f>
        <v>0</v>
      </c>
      <c r="I132" s="152">
        <f>假设表!I21</f>
        <v>0</v>
      </c>
      <c r="J132" s="152">
        <f>假设表!J21</f>
        <v>0</v>
      </c>
      <c r="K132" s="152">
        <f>假设表!K21</f>
        <v>0</v>
      </c>
      <c r="L132" s="152">
        <f>假设表!L21</f>
        <v>0</v>
      </c>
      <c r="M132" s="152">
        <f>假设表!M21</f>
        <v>0</v>
      </c>
      <c r="N132" s="152">
        <f>假设表!N21</f>
        <v>0</v>
      </c>
      <c r="O132" s="152">
        <f>假设表!O21</f>
        <v>0</v>
      </c>
      <c r="P132" s="152">
        <f>假设表!P21</f>
        <v>0</v>
      </c>
      <c r="Q132" s="152">
        <f>假设表!Q21</f>
        <v>0</v>
      </c>
      <c r="R132" s="152">
        <f>假设表!R21</f>
        <v>0</v>
      </c>
      <c r="S132" s="152">
        <f>假设表!S21</f>
        <v>0</v>
      </c>
      <c r="T132" s="152">
        <f>假设表!T21</f>
        <v>0</v>
      </c>
    </row>
    <row r="133" spans="3:21">
      <c r="C133" s="140" t="s">
        <v>1141</v>
      </c>
      <c r="D133" s="145">
        <f>历史数据!C43</f>
        <v>0</v>
      </c>
      <c r="E133" s="145">
        <f>历史数据!D43</f>
        <v>0</v>
      </c>
      <c r="F133" s="145">
        <f>历史数据!E43</f>
        <v>0</v>
      </c>
      <c r="G133" s="145">
        <f>历史数据!F43</f>
        <v>0</v>
      </c>
      <c r="H133" s="146">
        <f>历史数据!G43</f>
        <v>0</v>
      </c>
      <c r="I133" s="152">
        <f>H133</f>
        <v>0</v>
      </c>
      <c r="J133" s="152">
        <f t="shared" ref="J133:R133" si="77">I133</f>
        <v>0</v>
      </c>
      <c r="K133" s="152">
        <f t="shared" si="77"/>
        <v>0</v>
      </c>
      <c r="L133" s="152">
        <f t="shared" si="77"/>
        <v>0</v>
      </c>
      <c r="M133" s="152">
        <f t="shared" si="77"/>
        <v>0</v>
      </c>
      <c r="N133" s="152">
        <f t="shared" si="77"/>
        <v>0</v>
      </c>
      <c r="O133" s="152">
        <f t="shared" si="77"/>
        <v>0</v>
      </c>
      <c r="P133" s="152">
        <f t="shared" si="77"/>
        <v>0</v>
      </c>
      <c r="Q133" s="152">
        <f t="shared" si="77"/>
        <v>0</v>
      </c>
      <c r="R133" s="152">
        <f t="shared" si="77"/>
        <v>0</v>
      </c>
      <c r="S133" s="152">
        <f t="shared" ref="S133" si="78">R133</f>
        <v>0</v>
      </c>
      <c r="T133" s="152">
        <f t="shared" ref="T133" si="79">S133</f>
        <v>0</v>
      </c>
    </row>
    <row r="134" spans="3:21" ht="14.65">
      <c r="C134" s="148" t="s">
        <v>1145</v>
      </c>
      <c r="D134" s="149">
        <f>D130-D131+D132+D133</f>
        <v>921.37099312000032</v>
      </c>
      <c r="E134" s="149">
        <f t="shared" ref="E134:H134" si="80">E130-E131+E132+E133</f>
        <v>778.93680693999954</v>
      </c>
      <c r="F134" s="149">
        <f t="shared" si="80"/>
        <v>515.7244345099997</v>
      </c>
      <c r="G134" s="149">
        <f t="shared" si="80"/>
        <v>364.19777974999988</v>
      </c>
      <c r="H134" s="150">
        <f t="shared" si="80"/>
        <v>375.33075870000039</v>
      </c>
      <c r="I134" s="161">
        <f ca="1">I130-I131+I132</f>
        <v>2468.7610893810065</v>
      </c>
      <c r="J134" s="161">
        <f t="shared" ref="J134:R134" ca="1" si="81">J130-J131+J132</f>
        <v>2841.9097026258319</v>
      </c>
      <c r="K134" s="161">
        <f t="shared" ca="1" si="81"/>
        <v>2729.7324937505018</v>
      </c>
      <c r="L134" s="161">
        <f t="shared" ca="1" si="81"/>
        <v>3071.9671875548293</v>
      </c>
      <c r="M134" s="161">
        <f t="shared" ca="1" si="81"/>
        <v>4166.5582050864668</v>
      </c>
      <c r="N134" s="161">
        <f t="shared" ca="1" si="81"/>
        <v>4684.6249949554858</v>
      </c>
      <c r="O134" s="161">
        <f t="shared" ca="1" si="81"/>
        <v>5612.9561060822207</v>
      </c>
      <c r="P134" s="161">
        <f t="shared" ca="1" si="81"/>
        <v>6858.5283001800281</v>
      </c>
      <c r="Q134" s="161">
        <f t="shared" ca="1" si="81"/>
        <v>8097.2500226400898</v>
      </c>
      <c r="R134" s="161">
        <f t="shared" ca="1" si="81"/>
        <v>9717.0871894243319</v>
      </c>
      <c r="S134" s="161">
        <f t="shared" ref="S134:T134" ca="1" si="82">S130-S131+S132</f>
        <v>11626.842225657589</v>
      </c>
      <c r="T134" s="161">
        <f t="shared" ca="1" si="82"/>
        <v>13910.31747668376</v>
      </c>
    </row>
    <row r="135" spans="3:21">
      <c r="C135" s="140" t="s">
        <v>1146</v>
      </c>
      <c r="D135" s="145">
        <f>历史数据!C45</f>
        <v>-4.8101775899999994</v>
      </c>
      <c r="E135" s="145">
        <f>历史数据!D45</f>
        <v>-10.3067531</v>
      </c>
      <c r="F135" s="145">
        <f>历史数据!E45</f>
        <v>-21.529953559999999</v>
      </c>
      <c r="G135" s="145">
        <f>历史数据!F45</f>
        <v>-2.00431699</v>
      </c>
      <c r="H135" s="146">
        <f>历史数据!G45</f>
        <v>-0.89526435999999998</v>
      </c>
      <c r="I135" s="152">
        <f ca="1">假设表!I22*历史数据及预测表!I134</f>
        <v>-40.846190168615124</v>
      </c>
      <c r="J135" s="152">
        <f ca="1">假设表!J22*历史数据及预测表!J134</f>
        <v>-23.146275321079351</v>
      </c>
      <c r="K135" s="152">
        <f ca="1">假设表!K22*历史数据及预测表!K134</f>
        <v>-24.635932132789662</v>
      </c>
      <c r="L135" s="152">
        <f ca="1">假设表!L22*历史数据及预测表!L134</f>
        <v>-34.523661667174636</v>
      </c>
      <c r="M135" s="152">
        <f ca="1">假设表!M22*历史数据及预测表!M134</f>
        <v>-39.454454488277108</v>
      </c>
      <c r="N135" s="152">
        <f ca="1">假设表!N22*历史数据及预测表!N134</f>
        <v>-46.428759340625376</v>
      </c>
      <c r="O135" s="152">
        <f ca="1">假设表!O22*历史数据及预测表!O134</f>
        <v>-57.286741938777524</v>
      </c>
      <c r="P135" s="152">
        <f ca="1">假设表!P22*历史数据及预测表!P134</f>
        <v>-67.639626181251842</v>
      </c>
      <c r="Q135" s="152">
        <f ca="1">假设表!Q22*历史数据及预测表!Q134</f>
        <v>-80.916258658560054</v>
      </c>
      <c r="R135" s="152">
        <f ca="1">假设表!R22*历史数据及预测表!R134</f>
        <v>-97.369541878068475</v>
      </c>
      <c r="S135" s="152">
        <f ca="1">假设表!S22*历史数据及预测表!S134</f>
        <v>-116.50613799503536</v>
      </c>
      <c r="T135" s="152">
        <f ca="1">假设表!T22*历史数据及预测表!T134</f>
        <v>-139.38757712880295</v>
      </c>
    </row>
    <row r="136" spans="3:21" ht="14.65">
      <c r="C136" s="148" t="s">
        <v>1147</v>
      </c>
      <c r="D136" s="149">
        <f>D134-D135</f>
        <v>926.18117071000029</v>
      </c>
      <c r="E136" s="149">
        <f t="shared" ref="E136:I136" si="83">E134-E135</f>
        <v>789.24356003999958</v>
      </c>
      <c r="F136" s="149">
        <f t="shared" si="83"/>
        <v>537.25438806999966</v>
      </c>
      <c r="G136" s="149">
        <f t="shared" si="83"/>
        <v>366.20209673999989</v>
      </c>
      <c r="H136" s="150">
        <f t="shared" si="83"/>
        <v>376.22602306000039</v>
      </c>
      <c r="I136" s="161">
        <f t="shared" ca="1" si="83"/>
        <v>2509.6072795496216</v>
      </c>
      <c r="J136" s="161">
        <f t="shared" ref="J136:R136" ca="1" si="84">J134-J135</f>
        <v>2865.0559779469113</v>
      </c>
      <c r="K136" s="161">
        <f t="shared" ca="1" si="84"/>
        <v>2754.3684258832914</v>
      </c>
      <c r="L136" s="161">
        <f t="shared" ca="1" si="84"/>
        <v>3106.4908492220038</v>
      </c>
      <c r="M136" s="161">
        <f t="shared" ca="1" si="84"/>
        <v>4206.0126595747442</v>
      </c>
      <c r="N136" s="161">
        <f t="shared" ca="1" si="84"/>
        <v>4731.053754296111</v>
      </c>
      <c r="O136" s="161">
        <f t="shared" ca="1" si="84"/>
        <v>5670.2428480209983</v>
      </c>
      <c r="P136" s="161">
        <f t="shared" ca="1" si="84"/>
        <v>6926.1679263612796</v>
      </c>
      <c r="Q136" s="161">
        <f t="shared" ca="1" si="84"/>
        <v>8178.1662812986497</v>
      </c>
      <c r="R136" s="161">
        <f t="shared" ca="1" si="84"/>
        <v>9814.4567313023999</v>
      </c>
      <c r="S136" s="161">
        <f t="shared" ref="S136:T136" ca="1" si="85">S134-S135</f>
        <v>11743.348363652623</v>
      </c>
      <c r="T136" s="161">
        <f t="shared" ca="1" si="85"/>
        <v>14049.705053812562</v>
      </c>
    </row>
    <row r="137" spans="3:21">
      <c r="C137" s="140" t="s">
        <v>1148</v>
      </c>
      <c r="D137" s="145">
        <f>历史数据!C47</f>
        <v>-39.835858700000003</v>
      </c>
      <c r="E137" s="145">
        <f>历史数据!D47</f>
        <v>224.78408128999999</v>
      </c>
      <c r="F137" s="145">
        <f>历史数据!E47</f>
        <v>69.903818389999998</v>
      </c>
      <c r="G137" s="145">
        <f>历史数据!F47</f>
        <v>-59.621816369999998</v>
      </c>
      <c r="H137" s="146">
        <f>历史数据!G47</f>
        <v>-45.661901090000001</v>
      </c>
      <c r="I137" s="152">
        <f>假设表!I23</f>
        <v>-11.79329969</v>
      </c>
      <c r="J137" s="152">
        <f>假设表!J23</f>
        <v>-39.02567238333333</v>
      </c>
      <c r="K137" s="152">
        <f>假设表!K23</f>
        <v>-32.160291054444443</v>
      </c>
      <c r="L137" s="152">
        <f>假设表!L23</f>
        <v>-27.659754375925925</v>
      </c>
      <c r="M137" s="152">
        <f>假设表!M23</f>
        <v>-32.9485726045679</v>
      </c>
      <c r="N137" s="152">
        <f>假设表!N23</f>
        <v>-30.922872678312757</v>
      </c>
      <c r="O137" s="152">
        <f>假设表!O23</f>
        <v>-30.510399886268861</v>
      </c>
      <c r="P137" s="152">
        <f>假设表!P23</f>
        <v>-31.460615056383173</v>
      </c>
      <c r="Q137" s="152">
        <f>假设表!Q23</f>
        <v>-30.964629206988263</v>
      </c>
      <c r="R137" s="152">
        <f>假设表!R23</f>
        <v>-30.9785480498801</v>
      </c>
      <c r="S137" s="152">
        <f>假设表!S23</f>
        <v>-30.9785480498801</v>
      </c>
      <c r="T137" s="152">
        <f>假设表!T23</f>
        <v>-30.9785480498801</v>
      </c>
    </row>
    <row r="138" spans="3:21" ht="14.65">
      <c r="C138" s="148" t="s">
        <v>1149</v>
      </c>
      <c r="D138" s="145">
        <f>历史数据!C48</f>
        <v>881.53513441999996</v>
      </c>
      <c r="E138" s="145">
        <f>历史数据!D48</f>
        <v>1003.72088823</v>
      </c>
      <c r="F138" s="145">
        <f>历史数据!E48</f>
        <v>585.62825290000001</v>
      </c>
      <c r="G138" s="145">
        <f>历史数据!F48</f>
        <v>304.57596338000002</v>
      </c>
      <c r="H138" s="146">
        <f>历史数据!G48</f>
        <v>329.66885761000003</v>
      </c>
      <c r="I138" s="152">
        <f ca="1">I134+I137</f>
        <v>2456.9677896910066</v>
      </c>
      <c r="J138" s="152">
        <f t="shared" ref="J138:R138" ca="1" si="86">J134+J137</f>
        <v>2802.8840302424987</v>
      </c>
      <c r="K138" s="152">
        <f t="shared" ca="1" si="86"/>
        <v>2697.5722026960575</v>
      </c>
      <c r="L138" s="152">
        <f t="shared" ca="1" si="86"/>
        <v>3044.3074331789035</v>
      </c>
      <c r="M138" s="152">
        <f t="shared" ca="1" si="86"/>
        <v>4133.6096324818991</v>
      </c>
      <c r="N138" s="152">
        <f t="shared" ca="1" si="86"/>
        <v>4653.7021222771727</v>
      </c>
      <c r="O138" s="152">
        <f t="shared" ca="1" si="86"/>
        <v>5582.445706195952</v>
      </c>
      <c r="P138" s="152">
        <f t="shared" ca="1" si="86"/>
        <v>6827.0676851236449</v>
      </c>
      <c r="Q138" s="152">
        <f t="shared" ca="1" si="86"/>
        <v>8066.2853934331015</v>
      </c>
      <c r="R138" s="152">
        <f t="shared" ca="1" si="86"/>
        <v>9686.1086413744524</v>
      </c>
      <c r="S138" s="152">
        <f t="shared" ref="S138:T138" ca="1" si="87">S134+S137</f>
        <v>11595.863677607709</v>
      </c>
      <c r="T138" s="152">
        <f t="shared" ca="1" si="87"/>
        <v>13879.338928633881</v>
      </c>
    </row>
    <row r="139" spans="3:21">
      <c r="C139" s="140" t="s">
        <v>1150</v>
      </c>
      <c r="D139" s="145">
        <f>历史数据!C49</f>
        <v>-4.7221583799999998</v>
      </c>
      <c r="E139" s="145">
        <f>历史数据!D49</f>
        <v>-10.06951276</v>
      </c>
      <c r="F139" s="145">
        <f>历史数据!E49</f>
        <v>-21.109596320000001</v>
      </c>
      <c r="G139" s="145">
        <f>历史数据!F49</f>
        <v>-2.7840134999999999</v>
      </c>
      <c r="H139" s="146">
        <f>历史数据!G49</f>
        <v>-0.75562018999999991</v>
      </c>
      <c r="I139" s="152">
        <f ca="1">假设表!I24*历史数据及预测表!I138</f>
        <v>-38.884584975190279</v>
      </c>
      <c r="J139" s="152">
        <f ca="1">假设表!J24*历史数据及预测表!J138</f>
        <v>-25.46787198318717</v>
      </c>
      <c r="K139" s="152">
        <f ca="1">假设表!K24*历史数据及预测表!K138</f>
        <v>-24.462139624281711</v>
      </c>
      <c r="L139" s="152">
        <f ca="1">假设表!L24*历史数据及预测表!L138</f>
        <v>-34.482631474951191</v>
      </c>
      <c r="M139" s="152">
        <f ca="1">假设表!M24*历史数据及预测表!M138</f>
        <v>-40.621583739542793</v>
      </c>
      <c r="N139" s="152">
        <f ca="1">假设表!N24*历史数据及预测表!N138</f>
        <v>-46.881818446842914</v>
      </c>
      <c r="O139" s="152">
        <f ca="1">假设表!O24*历史数据及预测表!O138</f>
        <v>-58.109832386667904</v>
      </c>
      <c r="P139" s="152">
        <f ca="1">假设表!P24*历史数据及预测表!P138</f>
        <v>-68.97755734812732</v>
      </c>
      <c r="Q139" s="152">
        <f ca="1">假设表!Q24*历史数据及预测表!Q138</f>
        <v>-82.241205118284171</v>
      </c>
      <c r="R139" s="152">
        <f ca="1">假设表!R24*历史数据及预测表!R138</f>
        <v>-99.148943728206163</v>
      </c>
      <c r="S139" s="152">
        <f ca="1">假设表!S24*历史数据及预测表!S138</f>
        <v>-118.69757792515657</v>
      </c>
      <c r="T139" s="152">
        <f ca="1">假设表!T24*历史数据及预测表!T138</f>
        <v>-142.07168692509637</v>
      </c>
    </row>
    <row r="140" spans="3:21">
      <c r="C140" s="140" t="s">
        <v>1151</v>
      </c>
      <c r="D140" s="145">
        <f>D138-D139</f>
        <v>886.25729279999996</v>
      </c>
      <c r="E140" s="145">
        <f t="shared" ref="E140:I140" si="88">E138-E139</f>
        <v>1013.79040099</v>
      </c>
      <c r="F140" s="145">
        <f t="shared" si="88"/>
        <v>606.73784922000004</v>
      </c>
      <c r="G140" s="145">
        <f t="shared" si="88"/>
        <v>307.35997688000003</v>
      </c>
      <c r="H140" s="146">
        <f t="shared" si="88"/>
        <v>330.42447780000003</v>
      </c>
      <c r="I140" s="152">
        <f t="shared" ca="1" si="88"/>
        <v>2495.8523746661967</v>
      </c>
      <c r="J140" s="152">
        <f t="shared" ref="J140:R140" ca="1" si="89">J138-J139</f>
        <v>2828.351902225686</v>
      </c>
      <c r="K140" s="152">
        <f t="shared" ca="1" si="89"/>
        <v>2722.0343423203394</v>
      </c>
      <c r="L140" s="152">
        <f t="shared" ca="1" si="89"/>
        <v>3078.7900646538546</v>
      </c>
      <c r="M140" s="152">
        <f t="shared" ca="1" si="89"/>
        <v>4174.2312162214421</v>
      </c>
      <c r="N140" s="152">
        <f t="shared" ca="1" si="89"/>
        <v>4700.5839407240155</v>
      </c>
      <c r="O140" s="152">
        <f t="shared" ca="1" si="89"/>
        <v>5640.5555385826201</v>
      </c>
      <c r="P140" s="152">
        <f t="shared" ca="1" si="89"/>
        <v>6896.0452424717723</v>
      </c>
      <c r="Q140" s="152">
        <f t="shared" ca="1" si="89"/>
        <v>8148.5265985513861</v>
      </c>
      <c r="R140" s="152">
        <f t="shared" ca="1" si="89"/>
        <v>9785.2575851026577</v>
      </c>
      <c r="S140" s="152">
        <f t="shared" ref="S140:T140" ca="1" si="90">S138-S139</f>
        <v>11714.561255532866</v>
      </c>
      <c r="T140" s="152">
        <f t="shared" ca="1" si="90"/>
        <v>14021.410615558976</v>
      </c>
    </row>
    <row r="141" spans="3:21" ht="14.65">
      <c r="C141" s="148" t="s">
        <v>1152</v>
      </c>
      <c r="D141" s="151"/>
      <c r="E141" s="151"/>
      <c r="F141" s="151"/>
      <c r="G141" s="151"/>
      <c r="H141" s="152"/>
      <c r="I141" s="152"/>
      <c r="J141" s="152"/>
      <c r="K141" s="152"/>
      <c r="L141" s="152"/>
      <c r="M141" s="152"/>
      <c r="N141" s="152"/>
      <c r="O141" s="152"/>
      <c r="P141" s="152"/>
      <c r="Q141" s="152"/>
      <c r="R141" s="152"/>
      <c r="S141" s="152"/>
      <c r="T141" s="152"/>
    </row>
    <row r="142" spans="3:21">
      <c r="C142" s="140" t="s">
        <v>1153</v>
      </c>
      <c r="D142" s="145">
        <f>历史数据!C52</f>
        <v>1.9704999999999999</v>
      </c>
      <c r="E142" s="145">
        <f>历史数据!D52</f>
        <v>1.6389</v>
      </c>
      <c r="F142" s="145">
        <f>历史数据!E52</f>
        <v>1.1155999999999999</v>
      </c>
      <c r="G142" s="145">
        <f>历史数据!F52</f>
        <v>0.76039999999999996</v>
      </c>
      <c r="H142" s="146">
        <f>历史数据!G52</f>
        <v>0.78029999999999999</v>
      </c>
      <c r="I142" s="152">
        <f ca="1">I208</f>
        <v>5.2008196612861246</v>
      </c>
      <c r="J142" s="152">
        <f t="shared" ref="J142:T142" ca="1" si="91">J208</f>
        <v>5.9374387308382905</v>
      </c>
      <c r="K142" s="152">
        <f t="shared" ca="1" si="91"/>
        <v>5.7080538379416552</v>
      </c>
      <c r="L142" s="152">
        <f t="shared" ca="1" si="91"/>
        <v>6.4377796549660404</v>
      </c>
      <c r="M142" s="152">
        <f t="shared" ca="1" si="91"/>
        <v>8.7163890198231915</v>
      </c>
      <c r="N142" s="152">
        <f t="shared" ca="1" si="91"/>
        <v>9.8044652581500582</v>
      </c>
      <c r="O142" s="152">
        <f t="shared" ca="1" si="91"/>
        <v>11.750806880647477</v>
      </c>
      <c r="P142" s="152">
        <f t="shared" ca="1" si="91"/>
        <v>14.353540740149111</v>
      </c>
      <c r="Q142" s="152">
        <f t="shared" ca="1" si="91"/>
        <v>16.9481369996039</v>
      </c>
      <c r="R142" s="152">
        <f t="shared" ca="1" si="91"/>
        <v>20.33912634407567</v>
      </c>
      <c r="S142" s="152">
        <f t="shared" ca="1" si="91"/>
        <v>24.336491836433037</v>
      </c>
      <c r="T142" s="152">
        <f t="shared" ca="1" si="91"/>
        <v>29.116102291134151</v>
      </c>
      <c r="U142" s="152"/>
    </row>
    <row r="143" spans="3:21">
      <c r="C143" s="140" t="s">
        <v>1154</v>
      </c>
      <c r="D143" s="145">
        <f>历史数据!C53</f>
        <v>1.9704999999999999</v>
      </c>
      <c r="E143" s="145">
        <f>历史数据!D53</f>
        <v>1.6389</v>
      </c>
      <c r="F143" s="145">
        <f>历史数据!E53</f>
        <v>1.1155999999999999</v>
      </c>
      <c r="G143" s="145">
        <f>历史数据!F53</f>
        <v>0.75919999999999999</v>
      </c>
      <c r="H143" s="146">
        <f>历史数据!G53</f>
        <v>0.77810000000000001</v>
      </c>
      <c r="I143" s="152"/>
      <c r="J143" s="152"/>
      <c r="K143" s="152"/>
      <c r="L143" s="152"/>
      <c r="M143" s="152"/>
      <c r="N143" s="152"/>
      <c r="O143" s="152"/>
      <c r="P143" s="152"/>
      <c r="Q143" s="152"/>
      <c r="R143" s="152"/>
      <c r="S143" s="152"/>
      <c r="T143" s="152"/>
    </row>
    <row r="144" spans="3:21">
      <c r="D144" s="151"/>
      <c r="E144" s="151"/>
      <c r="F144" s="151"/>
      <c r="G144" s="151"/>
      <c r="H144" s="152"/>
      <c r="I144" s="152"/>
      <c r="J144" s="152"/>
      <c r="K144" s="152"/>
      <c r="L144" s="152"/>
      <c r="M144" s="152"/>
      <c r="N144" s="152"/>
      <c r="O144" s="152"/>
      <c r="P144" s="152"/>
      <c r="Q144" s="152"/>
      <c r="R144" s="152"/>
      <c r="S144" s="152"/>
      <c r="T144" s="152"/>
    </row>
    <row r="145" spans="2:20" ht="15.75">
      <c r="B145" s="141" t="s">
        <v>1155</v>
      </c>
      <c r="C145" s="142"/>
      <c r="D145" s="151"/>
      <c r="E145" s="151"/>
      <c r="F145" s="151"/>
      <c r="G145" s="151"/>
      <c r="H145" s="152"/>
      <c r="I145" s="152"/>
      <c r="J145" s="152"/>
      <c r="K145" s="152"/>
      <c r="L145" s="152"/>
      <c r="M145" s="152"/>
      <c r="N145" s="152"/>
      <c r="O145" s="152"/>
      <c r="P145" s="152"/>
      <c r="Q145" s="152"/>
      <c r="R145" s="152"/>
      <c r="S145" s="152"/>
      <c r="T145" s="152"/>
    </row>
    <row r="146" spans="2:20">
      <c r="D146" s="151"/>
      <c r="E146" s="151"/>
      <c r="F146" s="151"/>
      <c r="G146" s="151"/>
      <c r="H146" s="152"/>
      <c r="I146" s="152"/>
      <c r="J146" s="152"/>
      <c r="K146" s="152"/>
      <c r="L146" s="152"/>
      <c r="M146" s="152"/>
      <c r="N146" s="152"/>
      <c r="O146" s="152"/>
      <c r="P146" s="152"/>
      <c r="Q146" s="152"/>
      <c r="R146" s="152"/>
      <c r="S146" s="152"/>
      <c r="T146" s="152"/>
    </row>
    <row r="147" spans="2:20">
      <c r="C147" s="140" t="s">
        <v>1156</v>
      </c>
      <c r="D147" s="151"/>
      <c r="E147" s="151"/>
      <c r="F147" s="151"/>
      <c r="G147" s="151"/>
      <c r="H147" s="169"/>
      <c r="I147" s="152">
        <f ca="1">I136</f>
        <v>2509.6072795496216</v>
      </c>
      <c r="J147" s="152">
        <f t="shared" ref="J147:R147" ca="1" si="92">J136</f>
        <v>2865.0559779469113</v>
      </c>
      <c r="K147" s="152">
        <f t="shared" ca="1" si="92"/>
        <v>2754.3684258832914</v>
      </c>
      <c r="L147" s="152">
        <f t="shared" ca="1" si="92"/>
        <v>3106.4908492220038</v>
      </c>
      <c r="M147" s="152">
        <f t="shared" ca="1" si="92"/>
        <v>4206.0126595747442</v>
      </c>
      <c r="N147" s="152">
        <f t="shared" ca="1" si="92"/>
        <v>4731.053754296111</v>
      </c>
      <c r="O147" s="152">
        <f t="shared" ca="1" si="92"/>
        <v>5670.2428480209983</v>
      </c>
      <c r="P147" s="152">
        <f t="shared" ca="1" si="92"/>
        <v>6926.1679263612796</v>
      </c>
      <c r="Q147" s="152">
        <f t="shared" ca="1" si="92"/>
        <v>8178.1662812986497</v>
      </c>
      <c r="R147" s="152">
        <f t="shared" ca="1" si="92"/>
        <v>9814.4567313023999</v>
      </c>
      <c r="S147" s="152">
        <f t="shared" ref="S147:T147" ca="1" si="93">S136</f>
        <v>11743.348363652623</v>
      </c>
      <c r="T147" s="152">
        <f t="shared" ca="1" si="93"/>
        <v>14049.705053812562</v>
      </c>
    </row>
    <row r="148" spans="2:20">
      <c r="C148" s="140" t="s">
        <v>1157</v>
      </c>
      <c r="D148" s="151"/>
      <c r="E148" s="151"/>
      <c r="F148" s="151"/>
      <c r="G148" s="151"/>
      <c r="H148" s="169"/>
      <c r="I148" s="152">
        <f ca="1">I135</f>
        <v>-40.846190168615124</v>
      </c>
      <c r="J148" s="152">
        <f t="shared" ref="J148:R148" ca="1" si="94">J135</f>
        <v>-23.146275321079351</v>
      </c>
      <c r="K148" s="152">
        <f t="shared" ca="1" si="94"/>
        <v>-24.635932132789662</v>
      </c>
      <c r="L148" s="152">
        <f t="shared" ca="1" si="94"/>
        <v>-34.523661667174636</v>
      </c>
      <c r="M148" s="152">
        <f t="shared" ca="1" si="94"/>
        <v>-39.454454488277108</v>
      </c>
      <c r="N148" s="152">
        <f t="shared" ca="1" si="94"/>
        <v>-46.428759340625376</v>
      </c>
      <c r="O148" s="152">
        <f t="shared" ca="1" si="94"/>
        <v>-57.286741938777524</v>
      </c>
      <c r="P148" s="152">
        <f t="shared" ca="1" si="94"/>
        <v>-67.639626181251842</v>
      </c>
      <c r="Q148" s="152">
        <f t="shared" ca="1" si="94"/>
        <v>-80.916258658560054</v>
      </c>
      <c r="R148" s="152">
        <f t="shared" ca="1" si="94"/>
        <v>-97.369541878068475</v>
      </c>
      <c r="S148" s="152">
        <f t="shared" ref="S148:T148" ca="1" si="95">S135</f>
        <v>-116.50613799503536</v>
      </c>
      <c r="T148" s="152">
        <f t="shared" ca="1" si="95"/>
        <v>-139.38757712880295</v>
      </c>
    </row>
    <row r="149" spans="2:20">
      <c r="C149" s="140" t="s">
        <v>1158</v>
      </c>
      <c r="D149" s="145">
        <f>历史数据!C246</f>
        <v>118.38366751000001</v>
      </c>
      <c r="E149" s="145">
        <f>历史数据!D246</f>
        <v>278.08489145999999</v>
      </c>
      <c r="F149" s="145">
        <f>历史数据!E246</f>
        <v>72.893028790000002</v>
      </c>
      <c r="G149" s="145">
        <f>历史数据!F246</f>
        <v>74.138722779999995</v>
      </c>
      <c r="H149" s="146">
        <f>历史数据!G246</f>
        <v>73.473108870000004</v>
      </c>
      <c r="I149" s="152">
        <f>-I118</f>
        <v>-3.27612931817049</v>
      </c>
      <c r="J149" s="152">
        <f t="shared" ref="J149:R149" si="96">-J118</f>
        <v>70.710685937788412</v>
      </c>
      <c r="K149" s="152">
        <f t="shared" si="96"/>
        <v>83.625507245126812</v>
      </c>
      <c r="L149" s="152">
        <f t="shared" si="96"/>
        <v>70.880541160516259</v>
      </c>
      <c r="M149" s="152">
        <f t="shared" si="96"/>
        <v>67.101477434520689</v>
      </c>
      <c r="N149" s="152">
        <f t="shared" si="96"/>
        <v>107.85464518705373</v>
      </c>
      <c r="O149" s="152">
        <f t="shared" si="96"/>
        <v>115.24009826180202</v>
      </c>
      <c r="P149" s="152">
        <f t="shared" si="96"/>
        <v>135.34703925826955</v>
      </c>
      <c r="Q149" s="152">
        <f t="shared" si="96"/>
        <v>170.0455295254618</v>
      </c>
      <c r="R149" s="152">
        <f t="shared" si="96"/>
        <v>197.64883967652042</v>
      </c>
      <c r="S149" s="152">
        <f t="shared" ref="S149:T149" si="97">-S118</f>
        <v>237.29731037416332</v>
      </c>
      <c r="T149" s="152">
        <f t="shared" si="97"/>
        <v>283.48327558800406</v>
      </c>
    </row>
    <row r="150" spans="2:20">
      <c r="C150" s="140" t="s">
        <v>1159</v>
      </c>
      <c r="D150" s="145"/>
      <c r="E150" s="145"/>
      <c r="F150" s="145"/>
      <c r="G150" s="145"/>
      <c r="H150" s="146"/>
      <c r="I150" s="152">
        <f>-I119</f>
        <v>0</v>
      </c>
      <c r="J150" s="152">
        <f t="shared" ref="J150:R150" si="98">-J119</f>
        <v>0</v>
      </c>
      <c r="K150" s="152">
        <f t="shared" si="98"/>
        <v>0</v>
      </c>
      <c r="L150" s="152">
        <f t="shared" si="98"/>
        <v>0</v>
      </c>
      <c r="M150" s="152">
        <f t="shared" si="98"/>
        <v>0</v>
      </c>
      <c r="N150" s="152">
        <f t="shared" si="98"/>
        <v>0</v>
      </c>
      <c r="O150" s="152">
        <f t="shared" si="98"/>
        <v>0</v>
      </c>
      <c r="P150" s="152">
        <f t="shared" si="98"/>
        <v>0</v>
      </c>
      <c r="Q150" s="152">
        <f t="shared" si="98"/>
        <v>0</v>
      </c>
      <c r="R150" s="152">
        <f t="shared" si="98"/>
        <v>0</v>
      </c>
      <c r="S150" s="152">
        <f t="shared" ref="S150:T150" si="99">-S119</f>
        <v>0</v>
      </c>
      <c r="T150" s="152">
        <f t="shared" si="99"/>
        <v>0</v>
      </c>
    </row>
    <row r="151" spans="2:20">
      <c r="C151" s="140" t="s">
        <v>973</v>
      </c>
      <c r="D151" s="155">
        <f>历史数据!C247+历史数据!C248+历史数据!C250+历史数据!C249</f>
        <v>238.14525264999997</v>
      </c>
      <c r="E151" s="155">
        <f>历史数据!D247+历史数据!D248+历史数据!D250+历史数据!D249</f>
        <v>250.91919908000003</v>
      </c>
      <c r="F151" s="155">
        <f>历史数据!E247+历史数据!E248+历史数据!E250+历史数据!E249</f>
        <v>235.12682142999998</v>
      </c>
      <c r="G151" s="155">
        <f>历史数据!F247+历史数据!F248+历史数据!F250+历史数据!F249</f>
        <v>191.06621719</v>
      </c>
      <c r="H151" s="146">
        <f>历史数据!G247+历史数据!G248+历史数据!G250+历史数据!G249</f>
        <v>184.65244079999999</v>
      </c>
      <c r="I151" s="152">
        <f>关键项目预测!E241</f>
        <v>62.915712548950005</v>
      </c>
      <c r="J151" s="152">
        <f>关键项目预测!F241</f>
        <v>81.915712548950012</v>
      </c>
      <c r="K151" s="152">
        <f>关键项目预测!G241</f>
        <v>100.91571254895001</v>
      </c>
      <c r="L151" s="152">
        <f>关键项目预测!H241</f>
        <v>119.91571254895001</v>
      </c>
      <c r="M151" s="152">
        <f>关键项目预测!I241</f>
        <v>138.91571254895001</v>
      </c>
      <c r="N151" s="152">
        <f>关键项目预测!J241</f>
        <v>157.91571254895001</v>
      </c>
      <c r="O151" s="152">
        <f>关键项目预测!K241</f>
        <v>176.91571254895001</v>
      </c>
      <c r="P151" s="152">
        <f>关键项目预测!L241</f>
        <v>195.91571254895001</v>
      </c>
      <c r="Q151" s="152">
        <f>关键项目预测!M241</f>
        <v>214.91571254895001</v>
      </c>
      <c r="R151" s="152">
        <f>关键项目预测!N241</f>
        <v>233.91571254895001</v>
      </c>
      <c r="S151" s="152">
        <f>关键项目预测!O241</f>
        <v>190</v>
      </c>
      <c r="T151" s="152">
        <f>关键项目预测!P241</f>
        <v>190</v>
      </c>
    </row>
    <row r="152" spans="2:20">
      <c r="C152" s="140" t="s">
        <v>1055</v>
      </c>
      <c r="D152" s="151"/>
      <c r="E152" s="151"/>
      <c r="F152" s="151"/>
      <c r="G152" s="151"/>
      <c r="H152" s="169"/>
      <c r="I152" s="152">
        <f t="shared" ref="I152:R152" ca="1" si="100">I115</f>
        <v>-86.408107227553955</v>
      </c>
      <c r="J152" s="152">
        <f t="shared" ca="1" si="100"/>
        <v>-93.430081083268988</v>
      </c>
      <c r="K152" s="152">
        <f t="shared" ca="1" si="100"/>
        <v>-116.31471281255079</v>
      </c>
      <c r="L152" s="152">
        <f t="shared" ca="1" si="100"/>
        <v>-142.71774126868308</v>
      </c>
      <c r="M152" s="152">
        <f t="shared" ca="1" si="100"/>
        <v>-190.79918299843791</v>
      </c>
      <c r="N152" s="152">
        <f t="shared" ca="1" si="100"/>
        <v>-255.44717428052198</v>
      </c>
      <c r="O152" s="152">
        <f t="shared" ca="1" si="100"/>
        <v>-325.95253342952554</v>
      </c>
      <c r="P152" s="152">
        <f t="shared" ca="1" si="100"/>
        <v>-418.86255477309459</v>
      </c>
      <c r="Q152" s="152">
        <f t="shared" ca="1" si="100"/>
        <v>-532.84642940833692</v>
      </c>
      <c r="R152" s="152">
        <f t="shared" ca="1" si="100"/>
        <v>-669.10886128700474</v>
      </c>
      <c r="S152" s="152">
        <f t="shared" ref="S152:T152" ca="1" si="101">S115</f>
        <v>-834.48966255012374</v>
      </c>
      <c r="T152" s="152">
        <f t="shared" ca="1" si="101"/>
        <v>-1033.1037603911832</v>
      </c>
    </row>
    <row r="153" spans="2:20">
      <c r="C153" s="140" t="s">
        <v>1160</v>
      </c>
      <c r="D153" s="151"/>
      <c r="E153" s="151"/>
      <c r="F153" s="151"/>
      <c r="G153" s="151"/>
      <c r="H153" s="169"/>
      <c r="I153" s="152">
        <f>-I123</f>
        <v>-26.542433823333329</v>
      </c>
      <c r="J153" s="152">
        <f t="shared" ref="J153:R153" si="102">-J123</f>
        <v>-28.328171561111109</v>
      </c>
      <c r="K153" s="152">
        <f t="shared" si="102"/>
        <v>-29.358483878148146</v>
      </c>
      <c r="L153" s="152">
        <f t="shared" si="102"/>
        <v>-28.076363087530861</v>
      </c>
      <c r="M153" s="152">
        <f t="shared" si="102"/>
        <v>-28.587672842263373</v>
      </c>
      <c r="N153" s="152">
        <f t="shared" si="102"/>
        <v>-28.674173269314128</v>
      </c>
      <c r="O153" s="152">
        <f t="shared" si="102"/>
        <v>-28.446069733036122</v>
      </c>
      <c r="P153" s="152">
        <f t="shared" si="102"/>
        <v>-28.569305281537876</v>
      </c>
      <c r="Q153" s="152">
        <f t="shared" si="102"/>
        <v>-28.563182761296044</v>
      </c>
      <c r="R153" s="152">
        <f t="shared" si="102"/>
        <v>-28.526185925290012</v>
      </c>
      <c r="S153" s="152">
        <f t="shared" ref="S153:T153" si="103">-S123</f>
        <v>-28.526185925290012</v>
      </c>
      <c r="T153" s="152">
        <f t="shared" si="103"/>
        <v>-28.526185925290012</v>
      </c>
    </row>
    <row r="154" spans="2:20">
      <c r="C154" s="140" t="s">
        <v>1161</v>
      </c>
      <c r="D154" s="151"/>
      <c r="E154" s="151"/>
      <c r="F154" s="151"/>
      <c r="G154" s="151"/>
      <c r="H154" s="169"/>
      <c r="I154" s="152">
        <f>-I117</f>
        <v>-2.5916427399999997</v>
      </c>
      <c r="J154" s="152">
        <f t="shared" ref="J154:R154" si="104">-J117</f>
        <v>-2.6121702066666668</v>
      </c>
      <c r="K154" s="152">
        <f t="shared" si="104"/>
        <v>-2.5754009422222222</v>
      </c>
      <c r="L154" s="152">
        <f t="shared" si="104"/>
        <v>-2.5930712962962961</v>
      </c>
      <c r="M154" s="152">
        <f t="shared" si="104"/>
        <v>-2.593547481728395</v>
      </c>
      <c r="N154" s="152">
        <f t="shared" si="104"/>
        <v>-2.5873399067489711</v>
      </c>
      <c r="O154" s="152">
        <f t="shared" si="104"/>
        <v>-2.5913195615912206</v>
      </c>
      <c r="P154" s="152">
        <f t="shared" si="104"/>
        <v>-2.5907356500228622</v>
      </c>
      <c r="Q154" s="152">
        <f t="shared" si="104"/>
        <v>-2.5897983727876848</v>
      </c>
      <c r="R154" s="152">
        <f t="shared" si="104"/>
        <v>-2.5906178614672561</v>
      </c>
      <c r="S154" s="152">
        <f t="shared" ref="S154:T154" si="105">-S117</f>
        <v>-2.5906178614672561</v>
      </c>
      <c r="T154" s="152">
        <f t="shared" si="105"/>
        <v>-2.5906178614672561</v>
      </c>
    </row>
    <row r="155" spans="2:20">
      <c r="C155" s="140" t="s">
        <v>1162</v>
      </c>
      <c r="D155" s="151"/>
      <c r="E155" s="151"/>
      <c r="F155" s="151"/>
      <c r="G155" s="151"/>
      <c r="H155" s="169"/>
      <c r="I155" s="152">
        <f t="shared" ref="I155:R155" si="106">H43-I43</f>
        <v>0</v>
      </c>
      <c r="J155" s="152">
        <f t="shared" si="106"/>
        <v>0</v>
      </c>
      <c r="K155" s="152">
        <f t="shared" si="106"/>
        <v>0</v>
      </c>
      <c r="L155" s="152">
        <f t="shared" si="106"/>
        <v>0</v>
      </c>
      <c r="M155" s="152">
        <f t="shared" si="106"/>
        <v>0</v>
      </c>
      <c r="N155" s="152">
        <f t="shared" si="106"/>
        <v>0</v>
      </c>
      <c r="O155" s="152">
        <f t="shared" si="106"/>
        <v>0</v>
      </c>
      <c r="P155" s="152">
        <f t="shared" si="106"/>
        <v>0</v>
      </c>
      <c r="Q155" s="152">
        <f t="shared" si="106"/>
        <v>0</v>
      </c>
      <c r="R155" s="152">
        <f t="shared" si="106"/>
        <v>0</v>
      </c>
      <c r="S155" s="152">
        <f t="shared" ref="S155" si="107">R43-S43</f>
        <v>0</v>
      </c>
      <c r="T155" s="152">
        <f t="shared" ref="T155" si="108">S43-T43</f>
        <v>0</v>
      </c>
    </row>
    <row r="156" spans="2:20">
      <c r="C156" s="140" t="s">
        <v>1163</v>
      </c>
      <c r="D156" s="151"/>
      <c r="E156" s="151"/>
      <c r="F156" s="151"/>
      <c r="G156" s="151"/>
      <c r="H156" s="169"/>
      <c r="I156" s="152">
        <f t="shared" ref="I156:R156" si="109">I77-H77</f>
        <v>0</v>
      </c>
      <c r="J156" s="152">
        <f t="shared" si="109"/>
        <v>0</v>
      </c>
      <c r="K156" s="152">
        <f t="shared" si="109"/>
        <v>0</v>
      </c>
      <c r="L156" s="152">
        <f t="shared" si="109"/>
        <v>0</v>
      </c>
      <c r="M156" s="152">
        <f t="shared" si="109"/>
        <v>0</v>
      </c>
      <c r="N156" s="152">
        <f t="shared" si="109"/>
        <v>0</v>
      </c>
      <c r="O156" s="152">
        <f t="shared" si="109"/>
        <v>0</v>
      </c>
      <c r="P156" s="152">
        <f t="shared" si="109"/>
        <v>0</v>
      </c>
      <c r="Q156" s="152">
        <f t="shared" si="109"/>
        <v>0</v>
      </c>
      <c r="R156" s="152">
        <f t="shared" si="109"/>
        <v>0</v>
      </c>
      <c r="S156" s="152">
        <f t="shared" ref="S156" si="110">S77-R77</f>
        <v>0</v>
      </c>
      <c r="T156" s="152">
        <f t="shared" ref="T156" si="111">T77-S77</f>
        <v>0</v>
      </c>
    </row>
    <row r="157" spans="2:20">
      <c r="C157" s="140" t="s">
        <v>1164</v>
      </c>
      <c r="D157" s="155">
        <f>历史数据!C261+历史数据!C262+历史数据!C260</f>
        <v>-165.09158003000005</v>
      </c>
      <c r="E157" s="155">
        <f>历史数据!D261+历史数据!D262+历史数据!D260</f>
        <v>-1277.2602691100001</v>
      </c>
      <c r="F157" s="155">
        <f>历史数据!E261+历史数据!E262+历史数据!E260</f>
        <v>-203.55949999000001</v>
      </c>
      <c r="G157" s="155">
        <f>历史数据!F261+历史数据!F262+历史数据!F260</f>
        <v>-301.69008917999997</v>
      </c>
      <c r="H157" s="155">
        <f>历史数据!G261+历史数据!G262+历史数据!G260</f>
        <v>21.204509679999973</v>
      </c>
      <c r="I157" s="157">
        <f>关键项目预测!E324</f>
        <v>-654.32808969854705</v>
      </c>
      <c r="J157" s="152">
        <f>关键项目预测!F324</f>
        <v>-1138.6805169259414</v>
      </c>
      <c r="K157" s="152">
        <f>关键项目预测!G324</f>
        <v>-1186.240536007128</v>
      </c>
      <c r="L157" s="152">
        <f>关键项目预测!H324</f>
        <v>-1297.8673037209901</v>
      </c>
      <c r="M157" s="152">
        <f>关键项目预测!I324</f>
        <v>-1143.9100754381379</v>
      </c>
      <c r="N157" s="152">
        <f>关键项目预测!J324</f>
        <v>-1743.4348953702647</v>
      </c>
      <c r="O157" s="152">
        <f>关键项目预测!K324</f>
        <v>-1976.704537163343</v>
      </c>
      <c r="P157" s="152">
        <f>关键项目预测!L324</f>
        <v>-2267.0114553847889</v>
      </c>
      <c r="Q157" s="152">
        <f>关键项目预测!M324</f>
        <v>-2834.5892455186913</v>
      </c>
      <c r="R157" s="152">
        <f>关键项目预测!N324</f>
        <v>-3331.4458645604464</v>
      </c>
      <c r="S157" s="152">
        <f>关键项目预测!O324</f>
        <v>-3981.6576953518088</v>
      </c>
      <c r="T157" s="152">
        <f>关键项目预测!P324</f>
        <v>-4756.6209830560656</v>
      </c>
    </row>
    <row r="158" spans="2:20">
      <c r="C158" s="140" t="s">
        <v>1165</v>
      </c>
      <c r="D158" s="151"/>
      <c r="E158" s="151"/>
      <c r="F158" s="151"/>
      <c r="G158" s="151"/>
      <c r="H158" s="169"/>
      <c r="I158" s="152">
        <f t="shared" ref="I158:R158" si="112">H22-I22+I68-H68</f>
        <v>0</v>
      </c>
      <c r="J158" s="152">
        <f t="shared" si="112"/>
        <v>0</v>
      </c>
      <c r="K158" s="152">
        <f t="shared" si="112"/>
        <v>0</v>
      </c>
      <c r="L158" s="152">
        <f t="shared" si="112"/>
        <v>0</v>
      </c>
      <c r="M158" s="152">
        <f t="shared" si="112"/>
        <v>0</v>
      </c>
      <c r="N158" s="152">
        <f t="shared" si="112"/>
        <v>0</v>
      </c>
      <c r="O158" s="152">
        <f t="shared" si="112"/>
        <v>0</v>
      </c>
      <c r="P158" s="152">
        <f t="shared" si="112"/>
        <v>0</v>
      </c>
      <c r="Q158" s="152">
        <f t="shared" si="112"/>
        <v>0</v>
      </c>
      <c r="R158" s="152">
        <f t="shared" si="112"/>
        <v>0</v>
      </c>
      <c r="S158" s="152">
        <f t="shared" ref="S158" si="113">R22-S22+S68-R68</f>
        <v>0</v>
      </c>
      <c r="T158" s="152">
        <f t="shared" ref="T158" si="114">S22-T22+T68-S68</f>
        <v>0</v>
      </c>
    </row>
    <row r="159" spans="2:20" ht="14.65">
      <c r="C159" s="148" t="s">
        <v>1166</v>
      </c>
      <c r="D159" s="145">
        <f>历史数据!C200</f>
        <v>1083.23920606</v>
      </c>
      <c r="E159" s="145">
        <f>历史数据!D200</f>
        <v>-75.509317609999997</v>
      </c>
      <c r="F159" s="145">
        <f>历史数据!E200</f>
        <v>558.15174382000009</v>
      </c>
      <c r="G159" s="145">
        <f>历史数据!F200</f>
        <v>363.45492915</v>
      </c>
      <c r="H159" s="146">
        <f>历史数据!G200</f>
        <v>622.60277807</v>
      </c>
      <c r="I159" s="152">
        <f ca="1">SUM(I147:I158)</f>
        <v>1758.5303991223514</v>
      </c>
      <c r="J159" s="152">
        <f t="shared" ref="J159:R159" ca="1" si="115">SUM(J147:J158)</f>
        <v>1731.4851613355822</v>
      </c>
      <c r="K159" s="152">
        <f t="shared" ca="1" si="115"/>
        <v>1579.7845799045299</v>
      </c>
      <c r="L159" s="152">
        <f t="shared" ca="1" si="115"/>
        <v>1791.508961890795</v>
      </c>
      <c r="M159" s="152">
        <f t="shared" ca="1" si="115"/>
        <v>3006.6849163093693</v>
      </c>
      <c r="N159" s="152">
        <f t="shared" ca="1" si="115"/>
        <v>2920.2517698646398</v>
      </c>
      <c r="O159" s="152">
        <f t="shared" ca="1" si="115"/>
        <v>3571.4174570054765</v>
      </c>
      <c r="P159" s="152">
        <f t="shared" ca="1" si="115"/>
        <v>4472.7570008978037</v>
      </c>
      <c r="Q159" s="152">
        <f t="shared" ca="1" si="115"/>
        <v>5083.6226086533889</v>
      </c>
      <c r="R159" s="152">
        <f t="shared" ca="1" si="115"/>
        <v>6116.9802120155928</v>
      </c>
      <c r="S159" s="152">
        <f t="shared" ref="S159:T159" ca="1" si="116">SUM(S147:S158)</f>
        <v>7206.8753743430607</v>
      </c>
      <c r="T159" s="152">
        <f t="shared" ca="1" si="116"/>
        <v>8562.9592050377578</v>
      </c>
    </row>
    <row r="160" spans="2:20">
      <c r="D160" s="151"/>
      <c r="E160" s="151"/>
      <c r="F160" s="151"/>
      <c r="G160" s="151"/>
      <c r="H160" s="152"/>
      <c r="I160" s="152"/>
      <c r="J160" s="152"/>
      <c r="K160" s="152"/>
      <c r="L160" s="152"/>
      <c r="M160" s="152"/>
      <c r="N160" s="152"/>
      <c r="O160" s="152"/>
      <c r="P160" s="152"/>
      <c r="Q160" s="152"/>
      <c r="R160" s="152"/>
      <c r="S160" s="152"/>
      <c r="T160" s="152"/>
    </row>
    <row r="161" spans="3:20">
      <c r="C161" s="140" t="s">
        <v>1167</v>
      </c>
      <c r="D161" s="151"/>
      <c r="E161" s="151"/>
      <c r="F161" s="151"/>
      <c r="G161" s="151"/>
      <c r="H161" s="169"/>
      <c r="I161" s="152">
        <f t="shared" ref="I161:R161" si="117">H8-I8+H21-I21+I52-H52+I67-H67+H9-I9+I53-H53</f>
        <v>0</v>
      </c>
      <c r="J161" s="152">
        <f t="shared" si="117"/>
        <v>0</v>
      </c>
      <c r="K161" s="152">
        <f t="shared" si="117"/>
        <v>0</v>
      </c>
      <c r="L161" s="152">
        <f t="shared" si="117"/>
        <v>0</v>
      </c>
      <c r="M161" s="152">
        <f t="shared" si="117"/>
        <v>0</v>
      </c>
      <c r="N161" s="152">
        <f t="shared" si="117"/>
        <v>0</v>
      </c>
      <c r="O161" s="152">
        <f t="shared" si="117"/>
        <v>0</v>
      </c>
      <c r="P161" s="152">
        <f t="shared" si="117"/>
        <v>0</v>
      </c>
      <c r="Q161" s="152">
        <f t="shared" si="117"/>
        <v>0</v>
      </c>
      <c r="R161" s="152">
        <f t="shared" si="117"/>
        <v>0</v>
      </c>
      <c r="S161" s="152">
        <f t="shared" ref="S161" si="118">R8-S8+R21-S21+S52-R52+S67-R67+R9-S9+S53-R53</f>
        <v>0</v>
      </c>
      <c r="T161" s="152">
        <f t="shared" ref="T161" si="119">S8-T8+S21-T21+T52-S52+T67-S67+S9-T9+T53-S53</f>
        <v>0</v>
      </c>
    </row>
    <row r="162" spans="3:20">
      <c r="C162" s="140" t="s">
        <v>1168</v>
      </c>
      <c r="D162" s="145">
        <f>-历史数据!C210</f>
        <v>-222.73643657</v>
      </c>
      <c r="E162" s="145">
        <f>-历史数据!D210</f>
        <v>-139.27935862999999</v>
      </c>
      <c r="F162" s="145">
        <f>-历史数据!E210</f>
        <v>-104.02493582</v>
      </c>
      <c r="G162" s="145">
        <f>-历史数据!F210</f>
        <v>-113.1074109</v>
      </c>
      <c r="H162" s="146">
        <f>-历史数据!G210</f>
        <v>-96.866344699999999</v>
      </c>
      <c r="I162" s="152">
        <f>-关键项目预测!E242</f>
        <v>-200</v>
      </c>
      <c r="J162" s="152">
        <f>-关键项目预测!F242</f>
        <v>-200</v>
      </c>
      <c r="K162" s="152">
        <f>-关键项目预测!G242</f>
        <v>-200</v>
      </c>
      <c r="L162" s="152">
        <f>-关键项目预测!H242</f>
        <v>-200</v>
      </c>
      <c r="M162" s="152">
        <f>-关键项目预测!I242</f>
        <v>-200</v>
      </c>
      <c r="N162" s="152">
        <f>-关键项目预测!J242</f>
        <v>-200</v>
      </c>
      <c r="O162" s="152">
        <f>-关键项目预测!K242</f>
        <v>-200</v>
      </c>
      <c r="P162" s="152">
        <f>-关键项目预测!L242</f>
        <v>-200</v>
      </c>
      <c r="Q162" s="152">
        <f>-关键项目预测!M242</f>
        <v>-200</v>
      </c>
      <c r="R162" s="152">
        <f>-关键项目预测!N242</f>
        <v>-200</v>
      </c>
      <c r="S162" s="152">
        <f>-关键项目预测!O242</f>
        <v>-200</v>
      </c>
      <c r="T162" s="152">
        <f>-关键项目预测!P242</f>
        <v>-200</v>
      </c>
    </row>
    <row r="163" spans="3:20">
      <c r="C163" s="140" t="s">
        <v>1169</v>
      </c>
      <c r="D163" s="151"/>
      <c r="E163" s="151"/>
      <c r="F163" s="151"/>
      <c r="G163" s="151"/>
      <c r="H163" s="169"/>
      <c r="I163" s="152">
        <f>H25-I25+H28-I28-假设表!I82+历史数据及预测表!H33-历史数据及预测表!I33+历史数据及预测表!H40-历史数据及预测表!I40+历史数据及预测表!H45-历史数据及预测表!I45-假设表!I100-假设表!I79-假设表!I80-假设表!I83-假设表!I84</f>
        <v>-107.51688341333333</v>
      </c>
      <c r="J163" s="152">
        <f>I25-J25+I28-J28-假设表!J82+历史数据及预测表!I33-历史数据及预测表!J33+历史数据及预测表!I40-历史数据及预测表!J40+历史数据及预测表!I45-历史数据及预测表!J45-假设表!J100-假设表!J79-假设表!J80-假设表!J83-假设表!J84</f>
        <v>-109.29045890444445</v>
      </c>
      <c r="K163" s="152">
        <f>J25-K25+J28-K28-假设表!K82+历史数据及预测表!J33-历史数据及预测表!K33+历史数据及预测表!J40-历史数据及预测表!K40+历史数据及预测表!J45-历史数据及预测表!K45-假设表!K100-假设表!K79-假设表!K80-假设表!K83-假设表!K84</f>
        <v>-105.81722639925925</v>
      </c>
      <c r="L163" s="152">
        <f>K25-L25+K28-L28-假设表!L82+历史数据及预测表!K33-历史数据及预测表!L33+历史数据及预测表!K40-历史数据及预测表!L40+历史数据及预测表!K45-历史数据及预测表!L45-假设表!L100-假设表!L79-假设表!L80-假设表!L83-假设表!L84</f>
        <v>-107.54152290567902</v>
      </c>
      <c r="M163" s="152">
        <f>L25-M25+L28-M28-假设表!M82+历史数据及预测表!L33-历史数据及预测表!M33+历史数据及预测表!L40-历史数据及预测表!M40+历史数据及预测表!L45-历史数据及预测表!M45-假设表!M100-假设表!M79-假设表!M80-假设表!M83-假设表!M84</f>
        <v>-107.54973606979424</v>
      </c>
      <c r="N163" s="152">
        <f>M25-N25+M28-N28-假设表!N82+历史数据及预测表!M33-历史数据及预测表!N33+历史数据及预测表!M40-历史数据及预测表!N40+历史数据及预测表!M45-历史数据及预测表!N45-假设表!N100-假设表!N79-假设表!N80-假设表!N83-假设表!N84</f>
        <v>-106.96949512491084</v>
      </c>
      <c r="O163" s="152">
        <f>N25-O25+N28-O28-假设表!O82+历史数据及预测表!N33-历史数据及预测表!O33+历史数据及预测表!N40-历史数据及预测表!O40+历史数据及预测表!N45-历史数据及预测表!O45-假设表!O100-假设表!O79-假设表!O80-假设表!O83-假设表!O84</f>
        <v>-107.35358470012802</v>
      </c>
      <c r="P163" s="152">
        <f>O25-P25+O28-P28-假设表!P82+历史数据及预测表!O33-历史数据及预测表!P33+历史数据及预测表!O40-历史数据及预测表!P40+历史数据及预测表!O45-历史数据及预测表!P45-假设表!P100-假设表!P79-假设表!P80-假设表!P83-假设表!P84</f>
        <v>-107.29093863161103</v>
      </c>
      <c r="Q163" s="152">
        <f>P25-Q25+P28-Q28-假设表!Q82+历史数据及预测表!P33-历史数据及预测表!Q33+历史数据及预测表!P40-历史数据及预测表!Q40+历史数据及预测表!P45-历史数据及预测表!Q45-假设表!Q100-假设表!Q79-假设表!Q80-假设表!Q83-假设表!Q84</f>
        <v>-107.2046728188833</v>
      </c>
      <c r="R163" s="152">
        <f>Q25-R25+Q28-R28-假设表!R82+历史数据及预测表!Q33-历史数据及预测表!R33+历史数据及预测表!Q40-历史数据及预测表!R40+历史数据及预测表!Q45-历史数据及预测表!R45-假设表!R100-假设表!R79-假设表!R80-假设表!R83-假设表!R84</f>
        <v>-107.28306538354077</v>
      </c>
      <c r="S163" s="152">
        <f>R25-S25+R28-S28-假设表!S82+历史数据及预测表!R33-历史数据及预测表!S33+历史数据及预测表!R40-历史数据及预测表!S40+历史数据及预测表!R45-历史数据及预测表!S45-假设表!S100-假设表!S79-假设表!S80-假设表!S83-假设表!S84</f>
        <v>-107.28306538354077</v>
      </c>
      <c r="T163" s="152">
        <f>S25-T25+S28-T28-假设表!T82+历史数据及预测表!S33-历史数据及预测表!T33+历史数据及预测表!S40-历史数据及预测表!T40+历史数据及预测表!S45-历史数据及预测表!T45-假设表!T100-假设表!T79-假设表!T80-假设表!T83-假设表!T84</f>
        <v>-107.28306538354077</v>
      </c>
    </row>
    <row r="164" spans="3:20">
      <c r="C164" s="140" t="s">
        <v>1170</v>
      </c>
      <c r="D164" s="151"/>
      <c r="E164" s="151"/>
      <c r="F164" s="151"/>
      <c r="G164" s="151"/>
      <c r="H164" s="169"/>
      <c r="I164" s="152">
        <f t="shared" ref="I164:R164" si="120">H29-I29+H44-I44+H46-I46</f>
        <v>0</v>
      </c>
      <c r="J164" s="152">
        <f t="shared" si="120"/>
        <v>0</v>
      </c>
      <c r="K164" s="152">
        <f t="shared" si="120"/>
        <v>0</v>
      </c>
      <c r="L164" s="152">
        <f t="shared" si="120"/>
        <v>0</v>
      </c>
      <c r="M164" s="152">
        <f t="shared" si="120"/>
        <v>0</v>
      </c>
      <c r="N164" s="152">
        <f t="shared" si="120"/>
        <v>0</v>
      </c>
      <c r="O164" s="152">
        <f t="shared" si="120"/>
        <v>0</v>
      </c>
      <c r="P164" s="152">
        <f t="shared" si="120"/>
        <v>0</v>
      </c>
      <c r="Q164" s="152">
        <f t="shared" si="120"/>
        <v>0</v>
      </c>
      <c r="R164" s="152">
        <f t="shared" si="120"/>
        <v>0</v>
      </c>
      <c r="S164" s="152">
        <f t="shared" ref="S164" si="121">R29-S29+R44-S44+R46-S46</f>
        <v>0</v>
      </c>
      <c r="T164" s="152">
        <f t="shared" ref="T164" si="122">S29-T29+S44-T44+S46-T46</f>
        <v>0</v>
      </c>
    </row>
    <row r="165" spans="3:20">
      <c r="C165" s="140" t="s">
        <v>1171</v>
      </c>
      <c r="D165" s="151"/>
      <c r="E165" s="151"/>
      <c r="F165" s="151"/>
      <c r="G165" s="151"/>
      <c r="H165" s="169"/>
      <c r="I165" s="152">
        <f>I117</f>
        <v>2.5916427399999997</v>
      </c>
      <c r="J165" s="152">
        <f t="shared" ref="J165:R165" si="123">J117</f>
        <v>2.6121702066666668</v>
      </c>
      <c r="K165" s="152">
        <f t="shared" si="123"/>
        <v>2.5754009422222222</v>
      </c>
      <c r="L165" s="152">
        <f t="shared" si="123"/>
        <v>2.5930712962962961</v>
      </c>
      <c r="M165" s="152">
        <f t="shared" si="123"/>
        <v>2.593547481728395</v>
      </c>
      <c r="N165" s="152">
        <f t="shared" si="123"/>
        <v>2.5873399067489711</v>
      </c>
      <c r="O165" s="152">
        <f t="shared" si="123"/>
        <v>2.5913195615912206</v>
      </c>
      <c r="P165" s="152">
        <f t="shared" si="123"/>
        <v>2.5907356500228622</v>
      </c>
      <c r="Q165" s="152">
        <f t="shared" si="123"/>
        <v>2.5897983727876848</v>
      </c>
      <c r="R165" s="152">
        <f t="shared" si="123"/>
        <v>2.5906178614672561</v>
      </c>
      <c r="S165" s="152">
        <f t="shared" ref="S165:T165" si="124">S117</f>
        <v>2.5906178614672561</v>
      </c>
      <c r="T165" s="152">
        <f t="shared" si="124"/>
        <v>2.5906178614672561</v>
      </c>
    </row>
    <row r="166" spans="3:20">
      <c r="C166" s="140" t="s">
        <v>1172</v>
      </c>
      <c r="D166" s="151"/>
      <c r="E166" s="151"/>
      <c r="F166" s="151"/>
      <c r="G166" s="151"/>
      <c r="H166" s="169"/>
      <c r="I166" s="152">
        <f>I123</f>
        <v>26.542433823333329</v>
      </c>
      <c r="J166" s="152">
        <f t="shared" ref="J166:R166" si="125">J123</f>
        <v>28.328171561111109</v>
      </c>
      <c r="K166" s="152">
        <f t="shared" si="125"/>
        <v>29.358483878148146</v>
      </c>
      <c r="L166" s="152">
        <f t="shared" si="125"/>
        <v>28.076363087530861</v>
      </c>
      <c r="M166" s="152">
        <f t="shared" si="125"/>
        <v>28.587672842263373</v>
      </c>
      <c r="N166" s="152">
        <f t="shared" si="125"/>
        <v>28.674173269314128</v>
      </c>
      <c r="O166" s="152">
        <f t="shared" si="125"/>
        <v>28.446069733036122</v>
      </c>
      <c r="P166" s="152">
        <f t="shared" si="125"/>
        <v>28.569305281537876</v>
      </c>
      <c r="Q166" s="152">
        <f t="shared" si="125"/>
        <v>28.563182761296044</v>
      </c>
      <c r="R166" s="152">
        <f t="shared" si="125"/>
        <v>28.526185925290012</v>
      </c>
      <c r="S166" s="152">
        <f t="shared" ref="S166:T166" si="126">S123</f>
        <v>28.526185925290012</v>
      </c>
      <c r="T166" s="152">
        <f t="shared" si="126"/>
        <v>28.526185925290012</v>
      </c>
    </row>
    <row r="167" spans="3:20" ht="14.65">
      <c r="C167" s="148" t="s">
        <v>1173</v>
      </c>
      <c r="D167" s="145">
        <f>历史数据!C218</f>
        <v>-689.61606667000001</v>
      </c>
      <c r="E167" s="145">
        <f>历史数据!D218</f>
        <v>466.98681608999999</v>
      </c>
      <c r="F167" s="145">
        <f>历史数据!E218</f>
        <v>-14.212837789999998</v>
      </c>
      <c r="G167" s="145">
        <f>历史数据!F218</f>
        <v>-413.20457519999997</v>
      </c>
      <c r="H167" s="146">
        <f>历史数据!G218</f>
        <v>-233.65712753</v>
      </c>
      <c r="I167" s="152">
        <f>SUM(I161:I166)</f>
        <v>-278.38280685000001</v>
      </c>
      <c r="J167" s="152">
        <f t="shared" ref="J167:R167" si="127">SUM(J161:J166)</f>
        <v>-278.35011713666665</v>
      </c>
      <c r="K167" s="152">
        <f t="shared" si="127"/>
        <v>-273.88334157888886</v>
      </c>
      <c r="L167" s="152">
        <f t="shared" si="127"/>
        <v>-276.87208852185188</v>
      </c>
      <c r="M167" s="152">
        <f t="shared" si="127"/>
        <v>-276.36851574580243</v>
      </c>
      <c r="N167" s="152">
        <f t="shared" si="127"/>
        <v>-275.70798194884776</v>
      </c>
      <c r="O167" s="152">
        <f t="shared" si="127"/>
        <v>-276.31619540550071</v>
      </c>
      <c r="P167" s="152">
        <f t="shared" si="127"/>
        <v>-276.1308977000503</v>
      </c>
      <c r="Q167" s="152">
        <f t="shared" si="127"/>
        <v>-276.05169168479955</v>
      </c>
      <c r="R167" s="152">
        <f t="shared" si="127"/>
        <v>-276.1662615967835</v>
      </c>
      <c r="S167" s="152">
        <f t="shared" ref="S167:T167" si="128">SUM(S161:S166)</f>
        <v>-276.1662615967835</v>
      </c>
      <c r="T167" s="152">
        <f t="shared" si="128"/>
        <v>-276.1662615967835</v>
      </c>
    </row>
    <row r="168" spans="3:20">
      <c r="D168" s="151"/>
      <c r="E168" s="151"/>
      <c r="F168" s="151"/>
      <c r="G168" s="151"/>
      <c r="H168" s="152"/>
      <c r="I168" s="152"/>
      <c r="J168" s="152"/>
      <c r="K168" s="152"/>
      <c r="L168" s="152"/>
      <c r="M168" s="152"/>
      <c r="N168" s="152"/>
      <c r="O168" s="152"/>
      <c r="P168" s="152"/>
      <c r="Q168" s="152"/>
      <c r="R168" s="152"/>
      <c r="S168" s="152"/>
      <c r="T168" s="152"/>
    </row>
    <row r="169" spans="3:20">
      <c r="C169" s="140" t="s">
        <v>1174</v>
      </c>
      <c r="D169" s="151"/>
      <c r="E169" s="151"/>
      <c r="F169" s="151"/>
      <c r="G169" s="151"/>
      <c r="H169" s="169"/>
      <c r="I169" s="152">
        <f t="shared" ref="I169:R169" si="129">I71-H71</f>
        <v>0</v>
      </c>
      <c r="J169" s="152">
        <f t="shared" si="129"/>
        <v>0</v>
      </c>
      <c r="K169" s="152">
        <f t="shared" si="129"/>
        <v>0</v>
      </c>
      <c r="L169" s="152">
        <f t="shared" si="129"/>
        <v>0</v>
      </c>
      <c r="M169" s="152">
        <f t="shared" si="129"/>
        <v>0</v>
      </c>
      <c r="N169" s="152">
        <f t="shared" si="129"/>
        <v>0</v>
      </c>
      <c r="O169" s="152">
        <f t="shared" si="129"/>
        <v>0</v>
      </c>
      <c r="P169" s="152">
        <f t="shared" si="129"/>
        <v>0</v>
      </c>
      <c r="Q169" s="152">
        <f t="shared" si="129"/>
        <v>0</v>
      </c>
      <c r="R169" s="152">
        <f t="shared" si="129"/>
        <v>0</v>
      </c>
      <c r="S169" s="152">
        <f t="shared" ref="S169:S170" si="130">S71-R71</f>
        <v>0</v>
      </c>
      <c r="T169" s="152">
        <f t="shared" ref="T169:T170" si="131">T71-S71</f>
        <v>0</v>
      </c>
    </row>
    <row r="170" spans="3:20">
      <c r="C170" s="140" t="s">
        <v>1175</v>
      </c>
      <c r="D170" s="151"/>
      <c r="E170" s="151"/>
      <c r="F170" s="151"/>
      <c r="G170" s="151"/>
      <c r="H170" s="169"/>
      <c r="I170" s="152">
        <f t="shared" ref="I170:R170" si="132">I72-H72</f>
        <v>0</v>
      </c>
      <c r="J170" s="152">
        <f t="shared" si="132"/>
        <v>0</v>
      </c>
      <c r="K170" s="152">
        <f t="shared" si="132"/>
        <v>0</v>
      </c>
      <c r="L170" s="152">
        <f t="shared" si="132"/>
        <v>0</v>
      </c>
      <c r="M170" s="152">
        <f t="shared" si="132"/>
        <v>0</v>
      </c>
      <c r="N170" s="152">
        <f t="shared" si="132"/>
        <v>0</v>
      </c>
      <c r="O170" s="152">
        <f t="shared" si="132"/>
        <v>0</v>
      </c>
      <c r="P170" s="152">
        <f t="shared" si="132"/>
        <v>0</v>
      </c>
      <c r="Q170" s="152">
        <f t="shared" si="132"/>
        <v>0</v>
      </c>
      <c r="R170" s="152">
        <f t="shared" si="132"/>
        <v>0</v>
      </c>
      <c r="S170" s="152">
        <f t="shared" si="130"/>
        <v>0</v>
      </c>
      <c r="T170" s="152">
        <f t="shared" si="131"/>
        <v>0</v>
      </c>
    </row>
    <row r="171" spans="3:20">
      <c r="C171" s="140" t="s">
        <v>1176</v>
      </c>
      <c r="D171" s="145">
        <f>历史数据!C222+历史数据!C224-历史数据!C228</f>
        <v>0</v>
      </c>
      <c r="E171" s="145">
        <f>历史数据!D222+历史数据!D224-历史数据!D228</f>
        <v>0</v>
      </c>
      <c r="F171" s="145">
        <f>历史数据!E222+历史数据!E224-历史数据!E228</f>
        <v>0</v>
      </c>
      <c r="G171" s="145">
        <f>历史数据!F222+历史数据!F224-历史数据!F228</f>
        <v>0</v>
      </c>
      <c r="H171" s="145">
        <f>历史数据!G222+历史数据!G224-历史数据!G228</f>
        <v>0</v>
      </c>
      <c r="I171" s="157">
        <f>I74-H74+I75-H75+I78-H78+I79-H79+I80-H80+假设表!I96-假设表!I95</f>
        <v>0</v>
      </c>
      <c r="J171" s="152">
        <f>J74-I74+J75-I75+J78-I78+J79-I79+J80-I80+假设表!J96-假设表!J95</f>
        <v>0</v>
      </c>
      <c r="K171" s="152">
        <f>K74-J74+K75-J75+K78-J78+K79-J79+K80-J80+假设表!K96-假设表!K95</f>
        <v>0</v>
      </c>
      <c r="L171" s="152">
        <f>L74-K74+L75-K75+L78-K78+L79-K79+L80-K80+假设表!L96-假设表!L95</f>
        <v>0</v>
      </c>
      <c r="M171" s="152">
        <f>M74-L74+M75-L75+M78-L78+M79-L79+M80-L80+假设表!M96-假设表!M95</f>
        <v>0</v>
      </c>
      <c r="N171" s="152">
        <f>N74-M74+N75-M75+N78-M78+N79-M79+N80-M80+假设表!N96-假设表!N95</f>
        <v>0</v>
      </c>
      <c r="O171" s="152">
        <f>O74-N74+O75-N75+O78-N78+O79-N79+O80-N80+假设表!O96-假设表!O95</f>
        <v>0</v>
      </c>
      <c r="P171" s="152">
        <f>P74-O74+P75-O75+P78-O78+P79-O79+P80-O80+假设表!P96-假设表!P95</f>
        <v>0</v>
      </c>
      <c r="Q171" s="152">
        <f>Q74-P74+Q75-P75+Q78-P78+Q79-P79+Q80-P80+假设表!Q96-假设表!Q95</f>
        <v>0</v>
      </c>
      <c r="R171" s="152">
        <f>R74-Q74+R75-Q75+R78-Q78+R79-Q79+R80-Q80+假设表!R96-假设表!R95</f>
        <v>0</v>
      </c>
      <c r="S171" s="152">
        <f>S74-R74+S75-R75+S78-R78+S79-R79+S80-R80+假设表!S96-假设表!S95</f>
        <v>0</v>
      </c>
      <c r="T171" s="152">
        <f>T74-S74+T75-S75+T78-S78+T79-S79+T80-S80+假设表!T96-假设表!T95</f>
        <v>0</v>
      </c>
    </row>
    <row r="172" spans="3:20">
      <c r="C172" s="140" t="s">
        <v>1055</v>
      </c>
      <c r="D172" s="151"/>
      <c r="E172" s="151"/>
      <c r="F172" s="151"/>
      <c r="G172" s="151"/>
      <c r="H172" s="169"/>
      <c r="I172" s="152">
        <f t="shared" ref="I172:R172" ca="1" si="133">-I115</f>
        <v>86.408107227553955</v>
      </c>
      <c r="J172" s="152">
        <f t="shared" ca="1" si="133"/>
        <v>93.430081083268988</v>
      </c>
      <c r="K172" s="152">
        <f t="shared" ca="1" si="133"/>
        <v>116.31471281255079</v>
      </c>
      <c r="L172" s="152">
        <f t="shared" ca="1" si="133"/>
        <v>142.71774126868308</v>
      </c>
      <c r="M172" s="152">
        <f t="shared" ca="1" si="133"/>
        <v>190.79918299843791</v>
      </c>
      <c r="N172" s="152">
        <f t="shared" ca="1" si="133"/>
        <v>255.44717428052198</v>
      </c>
      <c r="O172" s="152">
        <f t="shared" ca="1" si="133"/>
        <v>325.95253342952554</v>
      </c>
      <c r="P172" s="152">
        <f t="shared" ca="1" si="133"/>
        <v>418.86255477309459</v>
      </c>
      <c r="Q172" s="152">
        <f t="shared" ca="1" si="133"/>
        <v>532.84642940833692</v>
      </c>
      <c r="R172" s="152">
        <f t="shared" ca="1" si="133"/>
        <v>669.10886128700474</v>
      </c>
      <c r="S172" s="152">
        <f t="shared" ref="S172:T172" ca="1" si="134">-S115</f>
        <v>834.48966255012374</v>
      </c>
      <c r="T172" s="152">
        <f t="shared" ca="1" si="134"/>
        <v>1033.1037603911832</v>
      </c>
    </row>
    <row r="173" spans="3:20">
      <c r="C173" s="140" t="s">
        <v>1177</v>
      </c>
      <c r="D173" s="145">
        <f>历史数据!C220</f>
        <v>1279.3432467</v>
      </c>
      <c r="E173" s="145">
        <f>历史数据!D220</f>
        <v>24</v>
      </c>
      <c r="F173" s="145">
        <f>历史数据!E220</f>
        <v>23.4</v>
      </c>
      <c r="G173" s="145">
        <f>历史数据!F220</f>
        <v>0</v>
      </c>
      <c r="H173" s="146">
        <f>历史数据!G220</f>
        <v>69.936391680000014</v>
      </c>
      <c r="I173" s="176">
        <f>假设表!I131</f>
        <v>0</v>
      </c>
      <c r="J173" s="176">
        <f>假设表!J131</f>
        <v>0</v>
      </c>
      <c r="K173" s="176">
        <f>假设表!K131</f>
        <v>0</v>
      </c>
      <c r="L173" s="176">
        <f>假设表!L131</f>
        <v>0</v>
      </c>
      <c r="M173" s="176">
        <f>假设表!M131</f>
        <v>0</v>
      </c>
      <c r="N173" s="176">
        <f>假设表!N131</f>
        <v>0</v>
      </c>
      <c r="O173" s="176">
        <f>假设表!O131</f>
        <v>0</v>
      </c>
      <c r="P173" s="176">
        <f>假设表!P131</f>
        <v>0</v>
      </c>
      <c r="Q173" s="176">
        <f>假设表!Q131</f>
        <v>0</v>
      </c>
      <c r="R173" s="176">
        <f>假设表!R131</f>
        <v>0</v>
      </c>
      <c r="S173" s="176">
        <f>假设表!S131</f>
        <v>0</v>
      </c>
      <c r="T173" s="176">
        <f>假设表!T131</f>
        <v>0</v>
      </c>
    </row>
    <row r="174" spans="3:20">
      <c r="C174" s="140" t="s">
        <v>1178</v>
      </c>
      <c r="D174" s="151"/>
      <c r="E174" s="151"/>
      <c r="F174" s="151"/>
      <c r="G174" s="151"/>
      <c r="H174" s="169"/>
      <c r="I174" s="176">
        <f>关键项目预测!E249-关键项目预测!E245+假设表!I136</f>
        <v>0</v>
      </c>
      <c r="J174" s="176">
        <f>关键项目预测!F249-关键项目预测!F245+假设表!J136</f>
        <v>0</v>
      </c>
      <c r="K174" s="176">
        <f>关键项目预测!G249-关键项目预测!G245+假设表!K136</f>
        <v>0</v>
      </c>
      <c r="L174" s="176">
        <f>关键项目预测!H249-关键项目预测!H245+假设表!L136</f>
        <v>0</v>
      </c>
      <c r="M174" s="176">
        <f>关键项目预测!I249-关键项目预测!I245+假设表!M136</f>
        <v>0</v>
      </c>
      <c r="N174" s="176">
        <f>关键项目预测!J249-关键项目预测!J245+假设表!N136</f>
        <v>0</v>
      </c>
      <c r="O174" s="176">
        <f>关键项目预测!K249-关键项目预测!K245+假设表!O136</f>
        <v>0</v>
      </c>
      <c r="P174" s="176">
        <f>关键项目预测!L249-关键项目预测!L245+假设表!P136</f>
        <v>0</v>
      </c>
      <c r="Q174" s="176">
        <f>关键项目预测!M249-关键项目预测!M245+假设表!Q136</f>
        <v>0</v>
      </c>
      <c r="R174" s="176">
        <f>关键项目预测!N249-关键项目预测!N245+假设表!R136</f>
        <v>0</v>
      </c>
      <c r="S174" s="176">
        <f>关键项目预测!O249-关键项目预测!O245+假设表!S136</f>
        <v>0</v>
      </c>
      <c r="T174" s="176">
        <f>关键项目预测!P249-关键项目预测!P245+假设表!T136</f>
        <v>0</v>
      </c>
    </row>
    <row r="175" spans="3:20">
      <c r="C175" s="140" t="s">
        <v>1179</v>
      </c>
      <c r="D175" s="151"/>
      <c r="E175" s="151"/>
      <c r="F175" s="151"/>
      <c r="G175" s="151"/>
      <c r="H175" s="169"/>
      <c r="I175" s="152">
        <f>I85-H85-I87+H87+I88-H88+I89-H89+I95-H95+I96-H96+假设表!I145+关键项目预测!E266</f>
        <v>-11.793299689999998</v>
      </c>
      <c r="J175" s="152">
        <f>J85-I85-J87+I87+J88-I88+J89-I89+J95-I95+J96-I96+假设表!J145+关键项目预测!F266</f>
        <v>-39.02567238333333</v>
      </c>
      <c r="K175" s="152">
        <f>K85-J85-K87+J87+K88-J88+K89-J89+K95-J95+K96-J96+假设表!K145+关键项目预测!G266</f>
        <v>-32.160291054444428</v>
      </c>
      <c r="L175" s="152">
        <f>L85-K85-L87+K87+L88-K88+L89-K89+L95-K95+L96-K96+假设表!L145+关键项目预测!H266</f>
        <v>-27.659754375925928</v>
      </c>
      <c r="M175" s="152">
        <f>M85-L85-M87+L87+M88-L88+M89-L89+M95-L95+M96-L96+假设表!M145+关键项目预测!I266</f>
        <v>-32.948572604567886</v>
      </c>
      <c r="N175" s="152">
        <f>N85-M85-N87+M87+N88-M88+N89-M89+N95-M95+N96-M96+假设表!N145+关键项目预测!J266</f>
        <v>-30.922872678312729</v>
      </c>
      <c r="O175" s="152">
        <f>O85-N85-O87+N87+O88-N88+O89-N89+O95-N95+O96-N96+假设表!O145+关键项目预测!K266</f>
        <v>-30.510399886268885</v>
      </c>
      <c r="P175" s="152">
        <f>P85-O85-P87+O87+P88-O88+P89-O89+P95-O95+P96-O96+假设表!P145+关键项目预测!L266</f>
        <v>-31.460615056383176</v>
      </c>
      <c r="Q175" s="152">
        <f>Q85-P85-Q87+P87+Q88-P88+Q89-P89+Q95-P95+Q96-P96+假设表!Q145+关键项目预测!M266</f>
        <v>-30.964629206988263</v>
      </c>
      <c r="R175" s="152">
        <f>R85-Q85-R87+Q87+R88-Q88+R89-Q89+R95-Q95+R96-Q96+假设表!R145+关键项目预测!N266</f>
        <v>-30.978548049880089</v>
      </c>
      <c r="S175" s="152">
        <f>S85-R85-S87+R87+S88-R88+S89-R89+S95-R95+S96-R96+假设表!S145+关键项目预测!O266</f>
        <v>-30.978548049880089</v>
      </c>
      <c r="T175" s="152">
        <f>T85-S85-T87+S87+T88-S88+T89-S89+T95-S95+T96-S96+假设表!T145+关键项目预测!P266</f>
        <v>-30.978548049880089</v>
      </c>
    </row>
    <row r="176" spans="3:20">
      <c r="C176" s="140" t="s">
        <v>1180</v>
      </c>
      <c r="D176" s="155">
        <f>-历史数据!C229</f>
        <v>-60.967059399999997</v>
      </c>
      <c r="E176" s="155">
        <f>-历史数据!D229</f>
        <v>-91.498281769999991</v>
      </c>
      <c r="F176" s="155">
        <f>-历史数据!E229</f>
        <v>-38.525589539999999</v>
      </c>
      <c r="G176" s="155">
        <f>-历史数据!F229</f>
        <v>-96.31398068</v>
      </c>
      <c r="H176" s="146">
        <f>-历史数据!G229</f>
        <v>-48.156238760000001</v>
      </c>
      <c r="I176" s="152">
        <f>-H223-I220-I221-I222-I224</f>
        <v>-72.381108449999999</v>
      </c>
      <c r="J176" s="152">
        <f t="shared" ref="J176:R176" si="135">-I223-J220-J221-J222-J224</f>
        <v>0</v>
      </c>
      <c r="K176" s="152">
        <f t="shared" si="135"/>
        <v>0</v>
      </c>
      <c r="L176" s="152">
        <f t="shared" si="135"/>
        <v>0</v>
      </c>
      <c r="M176" s="152">
        <f t="shared" si="135"/>
        <v>0</v>
      </c>
      <c r="N176" s="152">
        <f t="shared" si="135"/>
        <v>0</v>
      </c>
      <c r="O176" s="152">
        <f t="shared" si="135"/>
        <v>0</v>
      </c>
      <c r="P176" s="152">
        <f t="shared" si="135"/>
        <v>0</v>
      </c>
      <c r="Q176" s="152">
        <f t="shared" si="135"/>
        <v>0</v>
      </c>
      <c r="R176" s="152">
        <f t="shared" si="135"/>
        <v>0</v>
      </c>
      <c r="S176" s="152">
        <f t="shared" ref="S176:T176" si="136">-R223-S220-S221-S222-S224</f>
        <v>0</v>
      </c>
      <c r="T176" s="152">
        <f t="shared" si="136"/>
        <v>0</v>
      </c>
    </row>
    <row r="177" spans="1:20">
      <c r="C177" s="140" t="s">
        <v>1181</v>
      </c>
      <c r="D177" s="151"/>
      <c r="E177" s="151"/>
      <c r="F177" s="151"/>
      <c r="G177" s="151"/>
      <c r="H177" s="169"/>
      <c r="I177" s="152">
        <f t="shared" ref="I177:R177" si="137">I94-H94</f>
        <v>0</v>
      </c>
      <c r="J177" s="152">
        <f t="shared" si="137"/>
        <v>0</v>
      </c>
      <c r="K177" s="152">
        <f t="shared" si="137"/>
        <v>0</v>
      </c>
      <c r="L177" s="152">
        <f t="shared" si="137"/>
        <v>0</v>
      </c>
      <c r="M177" s="152">
        <f t="shared" si="137"/>
        <v>0</v>
      </c>
      <c r="N177" s="152">
        <f t="shared" si="137"/>
        <v>0</v>
      </c>
      <c r="O177" s="152">
        <f t="shared" si="137"/>
        <v>0</v>
      </c>
      <c r="P177" s="152">
        <f t="shared" si="137"/>
        <v>0</v>
      </c>
      <c r="Q177" s="152">
        <f t="shared" si="137"/>
        <v>0</v>
      </c>
      <c r="R177" s="152">
        <f t="shared" si="137"/>
        <v>0</v>
      </c>
      <c r="S177" s="152">
        <f t="shared" ref="S177" si="138">S94-R94</f>
        <v>0</v>
      </c>
      <c r="T177" s="152">
        <f t="shared" ref="T177" si="139">T94-S94</f>
        <v>0</v>
      </c>
    </row>
    <row r="178" spans="1:20" ht="14.65">
      <c r="C178" s="148" t="s">
        <v>1182</v>
      </c>
      <c r="D178" s="151"/>
      <c r="E178" s="151"/>
      <c r="F178" s="151"/>
      <c r="G178" s="151"/>
      <c r="H178" s="169"/>
      <c r="I178" s="152">
        <f t="shared" ref="I178:R178" ca="1" si="140">SUM(I169:I177)</f>
        <v>2.2336990875539584</v>
      </c>
      <c r="J178" s="152">
        <f t="shared" ca="1" si="140"/>
        <v>54.404408699935658</v>
      </c>
      <c r="K178" s="152">
        <f t="shared" ca="1" si="140"/>
        <v>84.154421758106366</v>
      </c>
      <c r="L178" s="152">
        <f t="shared" ca="1" si="140"/>
        <v>115.05798689275716</v>
      </c>
      <c r="M178" s="152">
        <f t="shared" ca="1" si="140"/>
        <v>157.85061039387003</v>
      </c>
      <c r="N178" s="152">
        <f t="shared" ca="1" si="140"/>
        <v>224.52430160220925</v>
      </c>
      <c r="O178" s="152">
        <f t="shared" ca="1" si="140"/>
        <v>295.44213354325666</v>
      </c>
      <c r="P178" s="152">
        <f t="shared" ca="1" si="140"/>
        <v>387.40193971671141</v>
      </c>
      <c r="Q178" s="152">
        <f t="shared" ca="1" si="140"/>
        <v>501.88180020134865</v>
      </c>
      <c r="R178" s="152">
        <f t="shared" ca="1" si="140"/>
        <v>638.13031323712471</v>
      </c>
      <c r="S178" s="152">
        <f t="shared" ref="S178:T178" ca="1" si="141">SUM(S169:S177)</f>
        <v>803.51111450024359</v>
      </c>
      <c r="T178" s="152">
        <f t="shared" ca="1" si="141"/>
        <v>1002.125212341303</v>
      </c>
    </row>
    <row r="179" spans="1:20">
      <c r="C179" s="140" t="s">
        <v>1183</v>
      </c>
      <c r="D179" s="151"/>
      <c r="E179" s="151"/>
      <c r="F179" s="151"/>
      <c r="G179" s="151"/>
      <c r="H179" s="169"/>
      <c r="I179" s="152">
        <f t="shared" ref="I179:R179" ca="1" si="142">I51-H51</f>
        <v>1659.5216758337519</v>
      </c>
      <c r="J179" s="152">
        <f t="shared" ca="1" si="142"/>
        <v>496.0745184271891</v>
      </c>
      <c r="K179" s="152">
        <f t="shared" ca="1" si="142"/>
        <v>253.00169103337612</v>
      </c>
      <c r="L179" s="152">
        <f t="shared" ca="1" si="142"/>
        <v>314.85058127226148</v>
      </c>
      <c r="M179" s="152">
        <f t="shared" ca="1" si="142"/>
        <v>-180.26401013428767</v>
      </c>
      <c r="N179" s="152">
        <f t="shared" ca="1" si="142"/>
        <v>70.396912063108175</v>
      </c>
      <c r="O179" s="152">
        <f t="shared" ca="1" si="142"/>
        <v>-24.532980207168293</v>
      </c>
      <c r="P179" s="152">
        <f t="shared" ca="1" si="142"/>
        <v>-224.61164687455675</v>
      </c>
      <c r="Q179" s="152">
        <f t="shared" ca="1" si="142"/>
        <v>-205.02054269360087</v>
      </c>
      <c r="R179" s="152">
        <f t="shared" ca="1" si="142"/>
        <v>-344.15154610973877</v>
      </c>
      <c r="S179" s="152">
        <f t="shared" ref="S179" ca="1" si="143">S51-R51</f>
        <v>-408.84777512658366</v>
      </c>
      <c r="T179" s="152">
        <f t="shared" ref="T179" ca="1" si="144">T51-S51</f>
        <v>-537.78407989380321</v>
      </c>
    </row>
    <row r="180" spans="1:20" ht="14.65">
      <c r="C180" s="148" t="s">
        <v>1184</v>
      </c>
      <c r="D180" s="145">
        <f>历史数据!C236</f>
        <v>1205.9677411</v>
      </c>
      <c r="E180" s="145">
        <f>历史数据!D236</f>
        <v>-77.618535989999998</v>
      </c>
      <c r="F180" s="145">
        <f>历史数据!E236</f>
        <v>-32.76996286</v>
      </c>
      <c r="G180" s="145">
        <f>历史数据!F236</f>
        <v>-106.80625888</v>
      </c>
      <c r="H180" s="146">
        <f>历史数据!G236</f>
        <v>-7.2479405699999999</v>
      </c>
      <c r="I180" s="152">
        <f ca="1">I178+I179</f>
        <v>1661.7553749213059</v>
      </c>
      <c r="J180" s="152">
        <f t="shared" ref="J180:R180" ca="1" si="145">J178+J179</f>
        <v>550.47892712712473</v>
      </c>
      <c r="K180" s="152">
        <f t="shared" ca="1" si="145"/>
        <v>337.15611279148249</v>
      </c>
      <c r="L180" s="152">
        <f t="shared" ca="1" si="145"/>
        <v>429.90856816501866</v>
      </c>
      <c r="M180" s="152">
        <f t="shared" ca="1" si="145"/>
        <v>-22.413399740417645</v>
      </c>
      <c r="N180" s="152">
        <f t="shared" ca="1" si="145"/>
        <v>294.9212136653174</v>
      </c>
      <c r="O180" s="152">
        <f t="shared" ca="1" si="145"/>
        <v>270.90915333608837</v>
      </c>
      <c r="P180" s="152">
        <f t="shared" ca="1" si="145"/>
        <v>162.79029284215466</v>
      </c>
      <c r="Q180" s="152">
        <f t="shared" ca="1" si="145"/>
        <v>296.86125750774778</v>
      </c>
      <c r="R180" s="152">
        <f t="shared" ca="1" si="145"/>
        <v>293.97876712738594</v>
      </c>
      <c r="S180" s="152">
        <f t="shared" ref="S180:T180" ca="1" si="146">S178+S179</f>
        <v>394.66333937365994</v>
      </c>
      <c r="T180" s="152">
        <f t="shared" ca="1" si="146"/>
        <v>464.34113244749983</v>
      </c>
    </row>
    <row r="181" spans="1:20">
      <c r="D181" s="151"/>
      <c r="E181" s="151"/>
      <c r="F181" s="151"/>
      <c r="G181" s="151"/>
      <c r="H181" s="152"/>
      <c r="I181" s="152"/>
      <c r="J181" s="152"/>
      <c r="K181" s="152"/>
      <c r="L181" s="152"/>
      <c r="M181" s="152"/>
      <c r="N181" s="152"/>
      <c r="O181" s="152"/>
      <c r="P181" s="152"/>
      <c r="Q181" s="152"/>
      <c r="R181" s="152"/>
      <c r="S181" s="152"/>
      <c r="T181" s="152"/>
    </row>
    <row r="182" spans="1:20" ht="14.65">
      <c r="C182" s="148" t="s">
        <v>1185</v>
      </c>
      <c r="D182" s="152">
        <f t="shared" ref="D182:R182" si="147">D159+D167+D180</f>
        <v>1599.59088049</v>
      </c>
      <c r="E182" s="152">
        <f t="shared" si="147"/>
        <v>313.85896249000001</v>
      </c>
      <c r="F182" s="152">
        <f t="shared" si="147"/>
        <v>511.16894317000009</v>
      </c>
      <c r="G182" s="152">
        <f t="shared" si="147"/>
        <v>-156.55590492999997</v>
      </c>
      <c r="H182" s="169">
        <f t="shared" si="147"/>
        <v>381.69770996999995</v>
      </c>
      <c r="I182" s="152">
        <f t="shared" ca="1" si="147"/>
        <v>3141.9029671936573</v>
      </c>
      <c r="J182" s="152">
        <f t="shared" ca="1" si="147"/>
        <v>2003.6139713260404</v>
      </c>
      <c r="K182" s="152">
        <f t="shared" ca="1" si="147"/>
        <v>1643.0573511171235</v>
      </c>
      <c r="L182" s="152">
        <f t="shared" ca="1" si="147"/>
        <v>1944.5454415339618</v>
      </c>
      <c r="M182" s="152">
        <f t="shared" ca="1" si="147"/>
        <v>2707.9030008231489</v>
      </c>
      <c r="N182" s="152">
        <f t="shared" ca="1" si="147"/>
        <v>2939.4650015811094</v>
      </c>
      <c r="O182" s="152">
        <f t="shared" ca="1" si="147"/>
        <v>3566.0104149360641</v>
      </c>
      <c r="P182" s="152">
        <f t="shared" ca="1" si="147"/>
        <v>4359.4163960399082</v>
      </c>
      <c r="Q182" s="152">
        <f t="shared" ca="1" si="147"/>
        <v>5104.4321744763374</v>
      </c>
      <c r="R182" s="152">
        <f t="shared" ca="1" si="147"/>
        <v>6134.7927175461955</v>
      </c>
      <c r="S182" s="152">
        <f t="shared" ref="S182:T182" ca="1" si="148">S159+S167+S180</f>
        <v>7325.3724521199374</v>
      </c>
      <c r="T182" s="152">
        <f t="shared" ca="1" si="148"/>
        <v>8751.1340758884744</v>
      </c>
    </row>
    <row r="183" spans="1:20" ht="14.65">
      <c r="C183" s="148" t="s">
        <v>1186</v>
      </c>
      <c r="D183" s="151"/>
      <c r="E183" s="151"/>
      <c r="F183" s="151"/>
      <c r="G183" s="151"/>
      <c r="H183" s="169"/>
      <c r="I183" s="152">
        <f>H184</f>
        <v>4091.6442333</v>
      </c>
      <c r="J183" s="152">
        <f t="shared" ref="J183:R183" ca="1" si="149">I184</f>
        <v>7233.5472004936573</v>
      </c>
      <c r="K183" s="152">
        <f t="shared" ca="1" si="149"/>
        <v>9237.1611718196982</v>
      </c>
      <c r="L183" s="152">
        <f t="shared" ca="1" si="149"/>
        <v>10880.218522936822</v>
      </c>
      <c r="M183" s="152">
        <f t="shared" ca="1" si="149"/>
        <v>12824.763964470785</v>
      </c>
      <c r="N183" s="152">
        <f t="shared" ca="1" si="149"/>
        <v>15532.666965293934</v>
      </c>
      <c r="O183" s="152">
        <f t="shared" ca="1" si="149"/>
        <v>18472.131966875044</v>
      </c>
      <c r="P183" s="152">
        <f t="shared" ca="1" si="149"/>
        <v>22038.142381811125</v>
      </c>
      <c r="Q183" s="152">
        <f t="shared" ca="1" si="149"/>
        <v>26397.558777852631</v>
      </c>
      <c r="R183" s="152">
        <f t="shared" ca="1" si="149"/>
        <v>31501.990952313125</v>
      </c>
      <c r="S183" s="152">
        <f t="shared" ref="S183" ca="1" si="150">R184</f>
        <v>37636.783669232253</v>
      </c>
      <c r="T183" s="152">
        <f t="shared" ref="T183" ca="1" si="151">S184</f>
        <v>44962.156131262505</v>
      </c>
    </row>
    <row r="184" spans="1:20" ht="14.65">
      <c r="C184" s="148" t="s">
        <v>1187</v>
      </c>
      <c r="D184" s="151"/>
      <c r="E184" s="151"/>
      <c r="F184" s="151"/>
      <c r="G184" s="151"/>
      <c r="H184" s="170">
        <f>H7</f>
        <v>4091.6442333</v>
      </c>
      <c r="I184" s="152">
        <f ca="1">I182+I183</f>
        <v>7233.5472004936573</v>
      </c>
      <c r="J184" s="152">
        <f t="shared" ref="J184:R184" ca="1" si="152">J182+J183</f>
        <v>9237.1611718196982</v>
      </c>
      <c r="K184" s="152">
        <f t="shared" ca="1" si="152"/>
        <v>10880.218522936822</v>
      </c>
      <c r="L184" s="152">
        <f t="shared" ca="1" si="152"/>
        <v>12824.763964470785</v>
      </c>
      <c r="M184" s="152">
        <f t="shared" ca="1" si="152"/>
        <v>15532.666965293934</v>
      </c>
      <c r="N184" s="152">
        <f t="shared" ca="1" si="152"/>
        <v>18472.131966875044</v>
      </c>
      <c r="O184" s="152">
        <f t="shared" ca="1" si="152"/>
        <v>22038.142381811107</v>
      </c>
      <c r="P184" s="152">
        <f t="shared" ca="1" si="152"/>
        <v>26397.558777851034</v>
      </c>
      <c r="Q184" s="152">
        <f t="shared" ca="1" si="152"/>
        <v>31501.990952328968</v>
      </c>
      <c r="R184" s="152">
        <f t="shared" ca="1" si="152"/>
        <v>37636.783669859316</v>
      </c>
      <c r="S184" s="152">
        <f t="shared" ref="S184:T184" ca="1" si="153">S182+S183</f>
        <v>44962.156121352193</v>
      </c>
      <c r="T184" s="152">
        <f t="shared" ca="1" si="153"/>
        <v>53713.290207150982</v>
      </c>
    </row>
    <row r="185" spans="1:20">
      <c r="D185" s="151"/>
      <c r="E185" s="151"/>
      <c r="F185" s="151"/>
      <c r="G185" s="151"/>
      <c r="H185" s="152"/>
      <c r="I185" s="177"/>
      <c r="J185" s="177"/>
      <c r="K185" s="177"/>
      <c r="L185" s="177"/>
      <c r="M185" s="177"/>
      <c r="N185" s="177"/>
      <c r="O185" s="177"/>
      <c r="P185" s="177"/>
      <c r="Q185" s="177"/>
      <c r="R185" s="177"/>
      <c r="S185" s="177"/>
      <c r="T185" s="177"/>
    </row>
    <row r="186" spans="1:20">
      <c r="D186" s="151"/>
      <c r="E186" s="151"/>
      <c r="F186" s="151"/>
      <c r="G186" s="151"/>
      <c r="H186" s="152"/>
      <c r="I186" s="177"/>
      <c r="J186" s="177"/>
      <c r="K186" s="177"/>
      <c r="L186" s="177"/>
      <c r="M186" s="177"/>
      <c r="N186" s="177"/>
      <c r="O186" s="177"/>
      <c r="P186" s="177"/>
      <c r="Q186" s="177"/>
      <c r="R186" s="177"/>
      <c r="S186" s="177"/>
      <c r="T186" s="177"/>
    </row>
    <row r="187" spans="1:20">
      <c r="D187" s="151"/>
      <c r="E187" s="151"/>
      <c r="F187" s="151"/>
      <c r="G187" s="151"/>
      <c r="H187" s="152"/>
      <c r="I187" s="177"/>
      <c r="J187" s="177"/>
      <c r="K187" s="177"/>
      <c r="L187" s="177"/>
      <c r="M187" s="177"/>
      <c r="N187" s="177"/>
      <c r="O187" s="177"/>
      <c r="P187" s="177"/>
      <c r="Q187" s="177"/>
      <c r="R187" s="177"/>
      <c r="S187" s="177"/>
      <c r="T187" s="177"/>
    </row>
    <row r="188" spans="1:20" ht="14.65">
      <c r="B188" s="171" t="s">
        <v>1188</v>
      </c>
      <c r="C188" s="171"/>
      <c r="D188" s="151"/>
      <c r="E188" s="151"/>
      <c r="F188" s="151"/>
      <c r="G188" s="151"/>
      <c r="H188" s="152"/>
      <c r="I188" s="177"/>
      <c r="J188" s="177"/>
      <c r="K188" s="177"/>
      <c r="L188" s="177"/>
      <c r="M188" s="177"/>
      <c r="N188" s="177"/>
      <c r="O188" s="177"/>
      <c r="P188" s="177"/>
      <c r="Q188" s="177"/>
      <c r="R188" s="177"/>
      <c r="S188" s="177"/>
      <c r="T188" s="177"/>
    </row>
    <row r="189" spans="1:20">
      <c r="C189" s="140" t="s">
        <v>1000</v>
      </c>
      <c r="D189" s="172">
        <f>D190+D10</f>
        <v>658.22890942999993</v>
      </c>
      <c r="E189" s="172">
        <f>E190+E10</f>
        <v>515.98074270999996</v>
      </c>
      <c r="F189" s="172">
        <f>F190+F10</f>
        <v>403.34879720999999</v>
      </c>
      <c r="G189" s="172">
        <f>G190+G10</f>
        <v>388.72856144000002</v>
      </c>
      <c r="H189" s="173">
        <f>H190+H10</f>
        <v>466.53246032999999</v>
      </c>
      <c r="I189" s="152">
        <f>假设表!I35*历史数据及预测表!I107</f>
        <v>774.57337006420619</v>
      </c>
      <c r="J189" s="152">
        <f>假设表!J35*历史数据及预测表!J107</f>
        <v>1002.5153220471476</v>
      </c>
      <c r="K189" s="152">
        <f>假设表!K35*历史数据及预测表!K107</f>
        <v>1195.3501793154217</v>
      </c>
      <c r="L189" s="152">
        <f>假设表!L35*历史数据及预测表!L107</f>
        <v>1391.3699346582973</v>
      </c>
      <c r="M189" s="152">
        <f>假设表!M35*历史数据及预测表!M107</f>
        <v>1692.4569733659409</v>
      </c>
      <c r="N189" s="152">
        <f>假设表!N35*历史数据及预测表!N107</f>
        <v>2015.401673256001</v>
      </c>
      <c r="O189" s="152">
        <f>假设表!O35*历史数据及预测表!O107</f>
        <v>2398.901738485481</v>
      </c>
      <c r="P189" s="152">
        <f>假设表!P35*历史数据及预测表!P107</f>
        <v>2876.6151858534822</v>
      </c>
      <c r="Q189" s="152">
        <f>假设表!Q35*历史数据及预测表!Q107</f>
        <v>3432.9816017443404</v>
      </c>
      <c r="R189" s="152">
        <f>假设表!R35*历史数据及预测表!R107</f>
        <v>4099.9214128087306</v>
      </c>
      <c r="S189" s="152">
        <f>假设表!S35*历史数据及预测表!S107</f>
        <v>4897.9027614084616</v>
      </c>
      <c r="T189" s="152">
        <f>假设表!T35*历史数据及预测表!T107</f>
        <v>5851.1978754681049</v>
      </c>
    </row>
    <row r="190" spans="1:20">
      <c r="A190" s="174" t="s">
        <v>1189</v>
      </c>
      <c r="C190" s="140" t="s">
        <v>1190</v>
      </c>
      <c r="D190" s="175"/>
      <c r="E190" s="175"/>
      <c r="F190" s="175"/>
      <c r="G190" s="175"/>
      <c r="H190" s="175"/>
      <c r="I190" s="152">
        <f>假设表!I36*历史数据及预测表!I189</f>
        <v>0</v>
      </c>
      <c r="J190" s="152">
        <f>假设表!J36*历史数据及预测表!J189</f>
        <v>0</v>
      </c>
      <c r="K190" s="152">
        <f>假设表!K36*历史数据及预测表!K189</f>
        <v>0</v>
      </c>
      <c r="L190" s="152">
        <f>假设表!L36*历史数据及预测表!L189</f>
        <v>0</v>
      </c>
      <c r="M190" s="152">
        <f>假设表!M36*历史数据及预测表!M189</f>
        <v>0</v>
      </c>
      <c r="N190" s="152">
        <f>假设表!N36*历史数据及预测表!N189</f>
        <v>0</v>
      </c>
      <c r="O190" s="152">
        <f>假设表!O36*历史数据及预测表!O189</f>
        <v>0</v>
      </c>
      <c r="P190" s="152">
        <f>假设表!P36*历史数据及预测表!P189</f>
        <v>0</v>
      </c>
      <c r="Q190" s="152">
        <f>假设表!Q36*历史数据及预测表!Q189</f>
        <v>0</v>
      </c>
      <c r="R190" s="152">
        <f>假设表!R36*历史数据及预测表!R189</f>
        <v>0</v>
      </c>
      <c r="S190" s="152">
        <f>假设表!S36*历史数据及预测表!S189</f>
        <v>0</v>
      </c>
      <c r="T190" s="152">
        <f>假设表!T36*历史数据及预测表!T189</f>
        <v>0</v>
      </c>
    </row>
    <row r="191" spans="1:20">
      <c r="D191" s="151"/>
      <c r="E191" s="151"/>
      <c r="F191" s="151"/>
      <c r="G191" s="151"/>
      <c r="H191" s="152"/>
      <c r="I191" s="152"/>
      <c r="J191" s="152"/>
      <c r="K191" s="152"/>
      <c r="L191" s="152"/>
      <c r="M191" s="152"/>
      <c r="N191" s="152"/>
      <c r="O191" s="152"/>
      <c r="P191" s="152"/>
      <c r="Q191" s="152"/>
      <c r="R191" s="152"/>
      <c r="S191" s="152"/>
      <c r="T191" s="152"/>
    </row>
    <row r="192" spans="1:20">
      <c r="C192" s="140" t="s">
        <v>1004</v>
      </c>
      <c r="D192" s="172">
        <f>D193+D14</f>
        <v>94.215122400000013</v>
      </c>
      <c r="E192" s="172">
        <f>E193+E14</f>
        <v>101.89745284</v>
      </c>
      <c r="F192" s="172">
        <f>F193+F14</f>
        <v>284.03853038</v>
      </c>
      <c r="G192" s="172">
        <f>G193+G14</f>
        <v>284.81771782999999</v>
      </c>
      <c r="H192" s="173">
        <f>H193+H14</f>
        <v>1.6572251999999998</v>
      </c>
      <c r="I192" s="152">
        <f>假设表!I40*历史数据及预测表!I107</f>
        <v>361.80354513259249</v>
      </c>
      <c r="J192" s="152">
        <f>假设表!J40*历史数据及预测表!J107</f>
        <v>393.74565210132641</v>
      </c>
      <c r="K192" s="152">
        <f>假设表!K40*历史数据及预测表!K107</f>
        <v>338.50544557105707</v>
      </c>
      <c r="L192" s="152">
        <f>假设表!L40*历史数据及预测表!L107</f>
        <v>529.16017035354673</v>
      </c>
      <c r="M192" s="152">
        <f>假设表!M40*历史数据及预测表!M107</f>
        <v>595.53372920546622</v>
      </c>
      <c r="N192" s="152">
        <f>假设表!N40*历史数据及预测表!N107</f>
        <v>681.77988032360395</v>
      </c>
      <c r="O192" s="152">
        <f>假设表!O40*历史数据及预测表!O107</f>
        <v>855.89962747044103</v>
      </c>
      <c r="P192" s="152">
        <f>假设表!P40*历史数据及预测表!P107</f>
        <v>1003.8732616621347</v>
      </c>
      <c r="Q192" s="152">
        <f>假设表!Q40*历史数据及预测表!Q107</f>
        <v>1194.7154889603596</v>
      </c>
      <c r="R192" s="152">
        <f>假设表!R40*历史数据及预测表!R107</f>
        <v>1440.1260748518246</v>
      </c>
      <c r="S192" s="152">
        <f>假设表!S40*历史数据及预测表!S107</f>
        <v>1720.4226053593736</v>
      </c>
      <c r="T192" s="152">
        <f>假设表!T40*历史数据及预测表!T107</f>
        <v>2055.2741823913411</v>
      </c>
    </row>
    <row r="193" spans="1:20">
      <c r="A193" s="174" t="s">
        <v>1191</v>
      </c>
      <c r="C193" s="140" t="s">
        <v>1192</v>
      </c>
      <c r="D193" s="175"/>
      <c r="E193" s="175"/>
      <c r="F193" s="175"/>
      <c r="G193" s="175"/>
      <c r="H193" s="175"/>
      <c r="I193" s="152">
        <f>假设表!I41*历史数据及预测表!I192</f>
        <v>0</v>
      </c>
      <c r="J193" s="152">
        <f>假设表!J41*历史数据及预测表!J192</f>
        <v>0</v>
      </c>
      <c r="K193" s="152">
        <f>假设表!K41*历史数据及预测表!K192</f>
        <v>0</v>
      </c>
      <c r="L193" s="152">
        <f>假设表!L41*历史数据及预测表!L192</f>
        <v>0</v>
      </c>
      <c r="M193" s="152">
        <f>假设表!M41*历史数据及预测表!M192</f>
        <v>0</v>
      </c>
      <c r="N193" s="152">
        <f>假设表!N41*历史数据及预测表!N192</f>
        <v>0</v>
      </c>
      <c r="O193" s="152">
        <f>假设表!O41*历史数据及预测表!O192</f>
        <v>0</v>
      </c>
      <c r="P193" s="152">
        <f>假设表!P41*历史数据及预测表!P192</f>
        <v>0</v>
      </c>
      <c r="Q193" s="152">
        <f>假设表!Q41*历史数据及预测表!Q192</f>
        <v>0</v>
      </c>
      <c r="R193" s="152">
        <f>假设表!R41*历史数据及预测表!R192</f>
        <v>0</v>
      </c>
      <c r="S193" s="152">
        <f>假设表!S41*历史数据及预测表!S192</f>
        <v>0</v>
      </c>
      <c r="T193" s="152">
        <f>假设表!T41*历史数据及预测表!T192</f>
        <v>0</v>
      </c>
    </row>
    <row r="194" spans="1:20">
      <c r="D194" s="151"/>
      <c r="E194" s="151"/>
      <c r="F194" s="151"/>
      <c r="G194" s="151"/>
      <c r="H194" s="152"/>
      <c r="I194" s="152"/>
      <c r="J194" s="152"/>
      <c r="K194" s="152"/>
      <c r="L194" s="152"/>
      <c r="M194" s="152"/>
      <c r="N194" s="152"/>
      <c r="O194" s="152"/>
      <c r="P194" s="152"/>
      <c r="Q194" s="152"/>
      <c r="R194" s="152"/>
      <c r="S194" s="152"/>
      <c r="T194" s="152"/>
    </row>
    <row r="195" spans="1:20">
      <c r="C195" s="140" t="s">
        <v>1005</v>
      </c>
      <c r="D195" s="172">
        <f>D196+D15</f>
        <v>1569.7051185400001</v>
      </c>
      <c r="E195" s="172">
        <f>E196+E15</f>
        <v>2684.8478358100001</v>
      </c>
      <c r="F195" s="172">
        <f>F196+F15</f>
        <v>2692.1488603800003</v>
      </c>
      <c r="G195" s="172">
        <f>G196+G15</f>
        <v>2920.8913025000002</v>
      </c>
      <c r="H195" s="173">
        <f>H196+H15</f>
        <v>3178.6707224800002</v>
      </c>
      <c r="I195" s="152">
        <f>假设表!I42*历史数据及预测表!I110</f>
        <v>3345.7911780304917</v>
      </c>
      <c r="J195" s="152">
        <f>假设表!J42*历史数据及预测表!J110</f>
        <v>4524.3026103269649</v>
      </c>
      <c r="K195" s="152">
        <f>假设表!K42*历史数据及预测表!K110</f>
        <v>5918.0610644124126</v>
      </c>
      <c r="L195" s="152">
        <f>假设表!L42*历史数据及预测表!L110</f>
        <v>7099.403417087683</v>
      </c>
      <c r="M195" s="152">
        <f>假设表!M42*历史数据及预测表!M110</f>
        <v>8217.7613743296952</v>
      </c>
      <c r="N195" s="152">
        <f>假设表!N42*历史数据及预测表!N110</f>
        <v>10015.338794113924</v>
      </c>
      <c r="O195" s="152">
        <f>假设表!O42*历史数据及预测表!O110</f>
        <v>11936.00709847729</v>
      </c>
      <c r="P195" s="152">
        <f>假设表!P42*历史数据及预测表!P110</f>
        <v>14191.791086115116</v>
      </c>
      <c r="Q195" s="152">
        <f>假设表!Q42*历史数据及预测表!Q110</f>
        <v>17025.883244872814</v>
      </c>
      <c r="R195" s="152">
        <f>假设表!R42*历史数据及预测表!R110</f>
        <v>20320.03057281482</v>
      </c>
      <c r="S195" s="152">
        <f>假设表!S42*历史数据及预测表!S110</f>
        <v>24274.985745717542</v>
      </c>
      <c r="T195" s="152">
        <f>假设表!T42*历史数据及预测表!T110</f>
        <v>28999.707005517612</v>
      </c>
    </row>
    <row r="196" spans="1:20">
      <c r="A196" s="174" t="s">
        <v>1193</v>
      </c>
      <c r="C196" s="140" t="s">
        <v>1194</v>
      </c>
      <c r="D196" s="175">
        <f>150303001.98/1000000</f>
        <v>150.30300197999998</v>
      </c>
      <c r="E196" s="175">
        <f>381011108.86/1000000</f>
        <v>381.01110886000004</v>
      </c>
      <c r="F196" s="175">
        <f>287368083.1/1000000</f>
        <v>287.36808310000004</v>
      </c>
      <c r="G196" s="175">
        <v>248.8708</v>
      </c>
      <c r="H196" s="175">
        <v>204.02359999999999</v>
      </c>
      <c r="I196" s="152">
        <f>假设表!I43*历史数据及预测表!I195</f>
        <v>200.7474706818295</v>
      </c>
      <c r="J196" s="152">
        <f>假设表!J43*历史数据及预测表!J195</f>
        <v>271.45815661961791</v>
      </c>
      <c r="K196" s="152">
        <f>假设表!K43*历史数据及预测表!K195</f>
        <v>355.08366386474472</v>
      </c>
      <c r="L196" s="152">
        <f>假设表!L43*历史数据及预测表!L195</f>
        <v>425.96420502526098</v>
      </c>
      <c r="M196" s="152">
        <f>假设表!M43*历史数据及预测表!M195</f>
        <v>493.06568245978167</v>
      </c>
      <c r="N196" s="152">
        <f>假设表!N43*历史数据及预测表!N195</f>
        <v>600.9203276468354</v>
      </c>
      <c r="O196" s="152">
        <f>假设表!O43*历史数据及预测表!O195</f>
        <v>716.16042590863742</v>
      </c>
      <c r="P196" s="152">
        <f>假设表!P43*历史数据及预测表!P195</f>
        <v>851.50746516690697</v>
      </c>
      <c r="Q196" s="152">
        <f>假设表!Q43*历史数据及预测表!Q195</f>
        <v>1021.5529946923688</v>
      </c>
      <c r="R196" s="152">
        <f>假设表!R43*历史数据及预测表!R195</f>
        <v>1219.2018343688892</v>
      </c>
      <c r="S196" s="152">
        <f>假设表!S43*历史数据及预测表!S195</f>
        <v>1456.4991447430525</v>
      </c>
      <c r="T196" s="152">
        <f>假设表!T43*历史数据及预测表!T195</f>
        <v>1739.9824203310566</v>
      </c>
    </row>
    <row r="197" spans="1:20">
      <c r="D197" s="151"/>
      <c r="E197" s="151"/>
      <c r="F197" s="151"/>
      <c r="G197" s="151"/>
      <c r="H197" s="152"/>
      <c r="I197" s="152"/>
      <c r="J197" s="152"/>
      <c r="K197" s="152"/>
      <c r="L197" s="152"/>
      <c r="M197" s="152"/>
      <c r="N197" s="152"/>
      <c r="O197" s="152"/>
      <c r="P197" s="152"/>
      <c r="Q197" s="152"/>
      <c r="R197" s="152"/>
      <c r="S197" s="152"/>
      <c r="T197" s="152"/>
    </row>
    <row r="198" spans="1:20">
      <c r="C198" s="140" t="s">
        <v>1006</v>
      </c>
      <c r="D198" s="172">
        <f>D16+D199</f>
        <v>0</v>
      </c>
      <c r="E198" s="172">
        <f>E16+E199</f>
        <v>0</v>
      </c>
      <c r="F198" s="172">
        <f>F16+F199</f>
        <v>0</v>
      </c>
      <c r="G198" s="172">
        <f>G16+G199</f>
        <v>0</v>
      </c>
      <c r="H198" s="173">
        <f>H16+H199</f>
        <v>0</v>
      </c>
      <c r="I198" s="152">
        <f>假设表!I44*历史数据及预测表!I110</f>
        <v>0</v>
      </c>
      <c r="J198" s="152">
        <f>假设表!J44*历史数据及预测表!J110</f>
        <v>0</v>
      </c>
      <c r="K198" s="152">
        <f>假设表!K44*历史数据及预测表!K110</f>
        <v>0</v>
      </c>
      <c r="L198" s="152">
        <f>假设表!L44*历史数据及预测表!L110</f>
        <v>0</v>
      </c>
      <c r="M198" s="152">
        <f>假设表!M44*历史数据及预测表!M110</f>
        <v>0</v>
      </c>
      <c r="N198" s="152">
        <f>假设表!N44*历史数据及预测表!N110</f>
        <v>0</v>
      </c>
      <c r="O198" s="152">
        <f>假设表!O44*历史数据及预测表!O110</f>
        <v>0</v>
      </c>
      <c r="P198" s="152">
        <f>假设表!P44*历史数据及预测表!P110</f>
        <v>0</v>
      </c>
      <c r="Q198" s="152">
        <f>假设表!Q44*历史数据及预测表!Q110</f>
        <v>0</v>
      </c>
      <c r="R198" s="152">
        <f>假设表!R44*历史数据及预测表!R110</f>
        <v>0</v>
      </c>
      <c r="S198" s="152">
        <f>假设表!S44*历史数据及预测表!S110</f>
        <v>0</v>
      </c>
      <c r="T198" s="152">
        <f>假设表!T44*历史数据及预测表!T110</f>
        <v>0</v>
      </c>
    </row>
    <row r="199" spans="1:20">
      <c r="C199" s="140" t="s">
        <v>1195</v>
      </c>
      <c r="D199" s="175"/>
      <c r="E199" s="175"/>
      <c r="F199" s="175"/>
      <c r="G199" s="175"/>
      <c r="H199" s="175"/>
      <c r="I199" s="152">
        <f>假设表!I45*历史数据及预测表!I198</f>
        <v>0</v>
      </c>
      <c r="J199" s="152">
        <f>假设表!J45*历史数据及预测表!J198</f>
        <v>0</v>
      </c>
      <c r="K199" s="152">
        <f>假设表!K45*历史数据及预测表!K198</f>
        <v>0</v>
      </c>
      <c r="L199" s="152">
        <f>假设表!L45*历史数据及预测表!L198</f>
        <v>0</v>
      </c>
      <c r="M199" s="152">
        <f>假设表!M45*历史数据及预测表!M198</f>
        <v>0</v>
      </c>
      <c r="N199" s="152">
        <f>假设表!N45*历史数据及预测表!N198</f>
        <v>0</v>
      </c>
      <c r="O199" s="152">
        <f>假设表!O45*历史数据及预测表!O198</f>
        <v>0</v>
      </c>
      <c r="P199" s="152">
        <f>假设表!P45*历史数据及预测表!P198</f>
        <v>0</v>
      </c>
      <c r="Q199" s="152">
        <f>假设表!Q45*历史数据及预测表!Q198</f>
        <v>0</v>
      </c>
      <c r="R199" s="152">
        <f>假设表!R45*历史数据及预测表!R198</f>
        <v>0</v>
      </c>
      <c r="S199" s="152">
        <f>假设表!S45*历史数据及预测表!S198</f>
        <v>0</v>
      </c>
      <c r="T199" s="152">
        <f>假设表!T45*历史数据及预测表!T198</f>
        <v>0</v>
      </c>
    </row>
    <row r="200" spans="1:20">
      <c r="D200" s="151"/>
      <c r="E200" s="151"/>
      <c r="F200" s="151"/>
      <c r="G200" s="151"/>
      <c r="H200" s="152"/>
      <c r="I200" s="152"/>
      <c r="J200" s="152"/>
      <c r="K200" s="152"/>
      <c r="L200" s="152"/>
      <c r="M200" s="152"/>
      <c r="N200" s="152"/>
      <c r="O200" s="152"/>
      <c r="P200" s="152"/>
      <c r="Q200" s="152"/>
      <c r="R200" s="152"/>
      <c r="S200" s="152"/>
      <c r="T200" s="152"/>
    </row>
    <row r="201" spans="1:20" ht="14.65">
      <c r="B201" s="171" t="s">
        <v>1196</v>
      </c>
      <c r="C201" s="142"/>
      <c r="D201" s="151"/>
      <c r="E201" s="151"/>
      <c r="F201" s="151"/>
      <c r="G201" s="151"/>
      <c r="H201" s="152"/>
      <c r="I201" s="152"/>
      <c r="J201" s="152"/>
      <c r="K201" s="152"/>
      <c r="L201" s="152"/>
      <c r="M201" s="152"/>
      <c r="N201" s="152"/>
      <c r="O201" s="152"/>
      <c r="P201" s="152"/>
      <c r="Q201" s="152"/>
      <c r="R201" s="152"/>
      <c r="S201" s="152"/>
      <c r="T201" s="152"/>
    </row>
    <row r="202" spans="1:20">
      <c r="C202" s="140" t="s">
        <v>1197</v>
      </c>
      <c r="D202" s="151">
        <f t="shared" ref="D202:H202" si="154">D234</f>
        <v>481.56991099999999</v>
      </c>
      <c r="E202" s="151">
        <f t="shared" si="154"/>
        <v>481.56991099999999</v>
      </c>
      <c r="F202" s="151">
        <f t="shared" si="154"/>
        <v>481.56991099999999</v>
      </c>
      <c r="G202" s="151">
        <f t="shared" si="154"/>
        <v>481.56991099999999</v>
      </c>
      <c r="H202" s="178">
        <f t="shared" si="154"/>
        <v>482.54072300000001</v>
      </c>
      <c r="I202" s="175">
        <f t="shared" ref="I202:R202" si="155">I84</f>
        <v>482.54072300000001</v>
      </c>
      <c r="J202" s="175">
        <f t="shared" si="155"/>
        <v>482.54072300000001</v>
      </c>
      <c r="K202" s="175">
        <f t="shared" si="155"/>
        <v>482.54072300000001</v>
      </c>
      <c r="L202" s="175">
        <f t="shared" si="155"/>
        <v>482.54072300000001</v>
      </c>
      <c r="M202" s="175">
        <f t="shared" si="155"/>
        <v>482.54072300000001</v>
      </c>
      <c r="N202" s="175">
        <f t="shared" si="155"/>
        <v>482.54072300000001</v>
      </c>
      <c r="O202" s="175">
        <f t="shared" si="155"/>
        <v>482.54072300000001</v>
      </c>
      <c r="P202" s="175">
        <f t="shared" si="155"/>
        <v>482.54072300000001</v>
      </c>
      <c r="Q202" s="175">
        <f t="shared" si="155"/>
        <v>482.54072300000001</v>
      </c>
      <c r="R202" s="175">
        <f t="shared" si="155"/>
        <v>482.54072300000001</v>
      </c>
      <c r="S202" s="175">
        <f t="shared" ref="S202:T202" si="156">S84</f>
        <v>482.54072300000001</v>
      </c>
      <c r="T202" s="175">
        <f t="shared" si="156"/>
        <v>482.54072300000001</v>
      </c>
    </row>
    <row r="203" spans="1:20">
      <c r="C203" s="140" t="s">
        <v>1198</v>
      </c>
      <c r="D203" s="151"/>
      <c r="E203" s="151"/>
      <c r="F203" s="151"/>
      <c r="G203" s="151"/>
      <c r="H203" s="178"/>
      <c r="I203" s="172">
        <f>首页!F19/1000</f>
        <v>482.54072300000001</v>
      </c>
      <c r="J203" s="152"/>
      <c r="K203" s="152"/>
      <c r="L203" s="152"/>
      <c r="M203" s="152"/>
      <c r="N203" s="152"/>
      <c r="O203" s="152"/>
      <c r="P203" s="152"/>
      <c r="Q203" s="152"/>
      <c r="R203" s="152"/>
      <c r="S203" s="152"/>
      <c r="T203" s="152"/>
    </row>
    <row r="204" spans="1:20">
      <c r="C204" s="140" t="s">
        <v>1199</v>
      </c>
      <c r="D204" s="151"/>
      <c r="E204" s="151"/>
      <c r="F204" s="151"/>
      <c r="G204" s="151"/>
      <c r="H204" s="178"/>
      <c r="I204" s="175"/>
      <c r="J204" s="175"/>
      <c r="K204" s="175"/>
      <c r="L204" s="175"/>
      <c r="M204" s="175"/>
      <c r="N204" s="175"/>
      <c r="O204" s="175"/>
      <c r="P204" s="175"/>
      <c r="Q204" s="175"/>
      <c r="R204" s="175"/>
      <c r="S204" s="175"/>
      <c r="T204" s="175"/>
    </row>
    <row r="205" spans="1:20">
      <c r="C205" s="140" t="s">
        <v>1200</v>
      </c>
      <c r="D205" s="151"/>
      <c r="E205" s="151"/>
      <c r="F205" s="151"/>
      <c r="G205" s="151"/>
      <c r="H205" s="178"/>
      <c r="I205" s="175"/>
      <c r="J205" s="175"/>
      <c r="K205" s="175"/>
      <c r="L205" s="175"/>
      <c r="M205" s="175"/>
      <c r="N205" s="175"/>
      <c r="O205" s="175"/>
      <c r="P205" s="175"/>
      <c r="Q205" s="175"/>
      <c r="R205" s="175"/>
      <c r="S205" s="175"/>
      <c r="T205" s="175"/>
    </row>
    <row r="206" spans="1:20">
      <c r="C206" s="140" t="s">
        <v>1201</v>
      </c>
      <c r="D206" s="151"/>
      <c r="E206" s="151"/>
      <c r="F206" s="151"/>
      <c r="G206" s="151"/>
      <c r="H206" s="152"/>
      <c r="I206" s="152">
        <f>I202+I205</f>
        <v>482.54072300000001</v>
      </c>
      <c r="J206" s="152">
        <f t="shared" ref="J206:R206" si="157">J202+J205</f>
        <v>482.54072300000001</v>
      </c>
      <c r="K206" s="152">
        <f t="shared" si="157"/>
        <v>482.54072300000001</v>
      </c>
      <c r="L206" s="152">
        <f t="shared" si="157"/>
        <v>482.54072300000001</v>
      </c>
      <c r="M206" s="152">
        <f t="shared" si="157"/>
        <v>482.54072300000001</v>
      </c>
      <c r="N206" s="152">
        <f t="shared" si="157"/>
        <v>482.54072300000001</v>
      </c>
      <c r="O206" s="152">
        <f t="shared" si="157"/>
        <v>482.54072300000001</v>
      </c>
      <c r="P206" s="152">
        <f t="shared" si="157"/>
        <v>482.54072300000001</v>
      </c>
      <c r="Q206" s="152">
        <f t="shared" si="157"/>
        <v>482.54072300000001</v>
      </c>
      <c r="R206" s="152">
        <f t="shared" si="157"/>
        <v>482.54072300000001</v>
      </c>
      <c r="S206" s="152">
        <f t="shared" ref="S206" si="158">S202+S205</f>
        <v>482.54072300000001</v>
      </c>
      <c r="T206" s="152">
        <f t="shared" ref="T206" si="159">T202+T205</f>
        <v>482.54072300000001</v>
      </c>
    </row>
    <row r="207" spans="1:20">
      <c r="D207" s="151"/>
      <c r="E207" s="151"/>
      <c r="F207" s="151"/>
      <c r="G207" s="151"/>
      <c r="H207" s="152"/>
      <c r="I207" s="152"/>
      <c r="J207" s="152"/>
      <c r="K207" s="152"/>
      <c r="L207" s="152"/>
      <c r="M207" s="152"/>
      <c r="N207" s="152"/>
      <c r="O207" s="152"/>
      <c r="P207" s="152"/>
      <c r="Q207" s="152"/>
      <c r="R207" s="152"/>
      <c r="S207" s="152"/>
      <c r="T207" s="152"/>
    </row>
    <row r="208" spans="1:20">
      <c r="C208" s="140" t="s">
        <v>1202</v>
      </c>
      <c r="D208" s="152">
        <f t="shared" ref="D208:H208" si="160">D136/$I$203</f>
        <v>1.9193844717433315</v>
      </c>
      <c r="E208" s="152">
        <f t="shared" si="160"/>
        <v>1.6355999036375621</v>
      </c>
      <c r="F208" s="152">
        <f t="shared" si="160"/>
        <v>1.1133866272049326</v>
      </c>
      <c r="G208" s="152">
        <f t="shared" si="160"/>
        <v>0.75890402464539741</v>
      </c>
      <c r="H208" s="178">
        <f t="shared" si="160"/>
        <v>0.7796772482143447</v>
      </c>
      <c r="I208" s="152">
        <f t="shared" ref="I208:R208" ca="1" si="161">I136/$I$203</f>
        <v>5.2008196612861246</v>
      </c>
      <c r="J208" s="152">
        <f t="shared" ca="1" si="161"/>
        <v>5.9374387308382905</v>
      </c>
      <c r="K208" s="152">
        <f t="shared" ca="1" si="161"/>
        <v>5.7080538379416552</v>
      </c>
      <c r="L208" s="152">
        <f t="shared" ca="1" si="161"/>
        <v>6.4377796549660404</v>
      </c>
      <c r="M208" s="152">
        <f t="shared" ca="1" si="161"/>
        <v>8.7163890198231915</v>
      </c>
      <c r="N208" s="152">
        <f t="shared" ca="1" si="161"/>
        <v>9.8044652581500582</v>
      </c>
      <c r="O208" s="152">
        <f t="shared" ca="1" si="161"/>
        <v>11.750806880647456</v>
      </c>
      <c r="P208" s="152">
        <f t="shared" ca="1" si="161"/>
        <v>14.353540740148638</v>
      </c>
      <c r="Q208" s="152">
        <f t="shared" ca="1" si="161"/>
        <v>16.948136999617851</v>
      </c>
      <c r="R208" s="152">
        <f t="shared" ca="1" si="161"/>
        <v>20.339126344166395</v>
      </c>
      <c r="S208" s="152">
        <f t="shared" ref="S208:T208" ca="1" si="162">S136/$I$203</f>
        <v>24.336491831493824</v>
      </c>
      <c r="T208" s="152">
        <f t="shared" ca="1" si="162"/>
        <v>29.116102297986902</v>
      </c>
    </row>
    <row r="209" spans="1:20">
      <c r="C209" s="140" t="s">
        <v>1203</v>
      </c>
      <c r="D209" s="152">
        <f>历史数据!C52</f>
        <v>1.9704999999999999</v>
      </c>
      <c r="E209" s="152">
        <f>历史数据!D52</f>
        <v>1.6389</v>
      </c>
      <c r="F209" s="152">
        <f>历史数据!E52</f>
        <v>1.1155999999999999</v>
      </c>
      <c r="G209" s="152">
        <f>历史数据!F52</f>
        <v>0.76039999999999996</v>
      </c>
      <c r="H209" s="178">
        <f>历史数据!G52</f>
        <v>0.78029999999999999</v>
      </c>
      <c r="I209" s="152">
        <f ca="1">I136/I203</f>
        <v>5.2008196612861246</v>
      </c>
      <c r="J209" s="152">
        <f t="shared" ref="J209:R209" ca="1" si="163">J136/J202</f>
        <v>5.9374387308382905</v>
      </c>
      <c r="K209" s="152">
        <f t="shared" ca="1" si="163"/>
        <v>5.7080538379416552</v>
      </c>
      <c r="L209" s="152">
        <f t="shared" ca="1" si="163"/>
        <v>6.4377796549660404</v>
      </c>
      <c r="M209" s="152">
        <f t="shared" ca="1" si="163"/>
        <v>8.7163890198231915</v>
      </c>
      <c r="N209" s="152">
        <f t="shared" ca="1" si="163"/>
        <v>9.8044652581500582</v>
      </c>
      <c r="O209" s="152">
        <f t="shared" ca="1" si="163"/>
        <v>11.750806880647456</v>
      </c>
      <c r="P209" s="152">
        <f t="shared" ca="1" si="163"/>
        <v>14.353540740148638</v>
      </c>
      <c r="Q209" s="152">
        <f t="shared" ca="1" si="163"/>
        <v>16.948136999617851</v>
      </c>
      <c r="R209" s="152">
        <f t="shared" ca="1" si="163"/>
        <v>20.339126344166395</v>
      </c>
      <c r="S209" s="152">
        <f t="shared" ref="S209:T209" ca="1" si="164">S136/S202</f>
        <v>24.336491831493824</v>
      </c>
      <c r="T209" s="152">
        <f t="shared" ca="1" si="164"/>
        <v>29.116102297986902</v>
      </c>
    </row>
    <row r="210" spans="1:20">
      <c r="C210" s="140" t="s">
        <v>1204</v>
      </c>
      <c r="D210" s="151"/>
      <c r="E210" s="151"/>
      <c r="F210" s="151"/>
      <c r="G210" s="151"/>
      <c r="H210" s="178"/>
      <c r="I210" s="152" t="e">
        <f ca="1">I136/I204</f>
        <v>#DIV/0!</v>
      </c>
      <c r="J210" s="152" t="e">
        <f t="shared" ref="J210:R210" ca="1" si="165">J136/J204</f>
        <v>#DIV/0!</v>
      </c>
      <c r="K210" s="152" t="e">
        <f t="shared" ca="1" si="165"/>
        <v>#DIV/0!</v>
      </c>
      <c r="L210" s="152" t="e">
        <f t="shared" ca="1" si="165"/>
        <v>#DIV/0!</v>
      </c>
      <c r="M210" s="152" t="e">
        <f t="shared" ca="1" si="165"/>
        <v>#DIV/0!</v>
      </c>
      <c r="N210" s="152" t="e">
        <f t="shared" ca="1" si="165"/>
        <v>#DIV/0!</v>
      </c>
      <c r="O210" s="152" t="e">
        <f t="shared" ca="1" si="165"/>
        <v>#DIV/0!</v>
      </c>
      <c r="P210" s="152" t="e">
        <f t="shared" ca="1" si="165"/>
        <v>#DIV/0!</v>
      </c>
      <c r="Q210" s="152" t="e">
        <f t="shared" ca="1" si="165"/>
        <v>#DIV/0!</v>
      </c>
      <c r="R210" s="152" t="e">
        <f t="shared" ca="1" si="165"/>
        <v>#DIV/0!</v>
      </c>
      <c r="S210" s="152" t="e">
        <f t="shared" ref="S210:T210" ca="1" si="166">S136/S204</f>
        <v>#DIV/0!</v>
      </c>
      <c r="T210" s="152" t="e">
        <f t="shared" ca="1" si="166"/>
        <v>#DIV/0!</v>
      </c>
    </row>
    <row r="211" spans="1:20">
      <c r="C211" s="140" t="s">
        <v>1205</v>
      </c>
      <c r="D211" s="151"/>
      <c r="E211" s="151"/>
      <c r="F211" s="151"/>
      <c r="G211" s="151"/>
      <c r="H211" s="178"/>
      <c r="I211" s="175"/>
      <c r="J211" s="175"/>
      <c r="K211" s="175"/>
      <c r="L211" s="175"/>
      <c r="M211" s="175"/>
      <c r="N211" s="175"/>
      <c r="O211" s="175"/>
      <c r="P211" s="175"/>
      <c r="Q211" s="175"/>
      <c r="R211" s="175"/>
      <c r="S211" s="175"/>
      <c r="T211" s="175"/>
    </row>
    <row r="212" spans="1:20">
      <c r="C212" s="140" t="s">
        <v>1206</v>
      </c>
      <c r="D212" s="152">
        <f>历史数据!C53</f>
        <v>1.9704999999999999</v>
      </c>
      <c r="E212" s="152">
        <f>历史数据!D53</f>
        <v>1.6389</v>
      </c>
      <c r="F212" s="152">
        <f>历史数据!E53</f>
        <v>1.1155999999999999</v>
      </c>
      <c r="G212" s="152">
        <f>历史数据!F53</f>
        <v>0.75919999999999999</v>
      </c>
      <c r="H212" s="178">
        <f>历史数据!G53</f>
        <v>0.77810000000000001</v>
      </c>
      <c r="I212" s="152">
        <f ca="1">(I136+I211)/I206</f>
        <v>5.2008196612861246</v>
      </c>
      <c r="J212" s="152">
        <f t="shared" ref="J212:R212" ca="1" si="167">(J136+J211)/J206</f>
        <v>5.9374387308382905</v>
      </c>
      <c r="K212" s="152">
        <f t="shared" ca="1" si="167"/>
        <v>5.7080538379416552</v>
      </c>
      <c r="L212" s="152">
        <f t="shared" ca="1" si="167"/>
        <v>6.4377796549660404</v>
      </c>
      <c r="M212" s="152">
        <f t="shared" ca="1" si="167"/>
        <v>8.7163890198231915</v>
      </c>
      <c r="N212" s="152">
        <f t="shared" ca="1" si="167"/>
        <v>9.8044652581500582</v>
      </c>
      <c r="O212" s="152">
        <f t="shared" ca="1" si="167"/>
        <v>11.750806880647456</v>
      </c>
      <c r="P212" s="152">
        <f t="shared" ca="1" si="167"/>
        <v>14.353540740148638</v>
      </c>
      <c r="Q212" s="152">
        <f t="shared" ca="1" si="167"/>
        <v>16.948136999617851</v>
      </c>
      <c r="R212" s="152">
        <f t="shared" ca="1" si="167"/>
        <v>20.339126344166395</v>
      </c>
      <c r="S212" s="152">
        <f t="shared" ref="S212" ca="1" si="168">(S136+S211)/S206</f>
        <v>24.336491831493824</v>
      </c>
      <c r="T212" s="152">
        <f t="shared" ref="T212" ca="1" si="169">(T136+T211)/T206</f>
        <v>29.116102297986902</v>
      </c>
    </row>
    <row r="213" spans="1:20">
      <c r="D213" s="151"/>
      <c r="E213" s="151"/>
      <c r="F213" s="151"/>
      <c r="G213" s="151"/>
      <c r="H213" s="152"/>
      <c r="I213" s="152"/>
      <c r="J213" s="152"/>
      <c r="K213" s="152"/>
      <c r="L213" s="152"/>
      <c r="M213" s="152"/>
      <c r="N213" s="152"/>
      <c r="O213" s="152"/>
      <c r="P213" s="152"/>
      <c r="Q213" s="152"/>
      <c r="R213" s="152"/>
      <c r="S213" s="152"/>
      <c r="T213" s="152"/>
    </row>
    <row r="214" spans="1:20">
      <c r="A214" s="140" t="s">
        <v>1207</v>
      </c>
      <c r="C214" s="140" t="s">
        <v>767</v>
      </c>
      <c r="D214" s="176">
        <v>0</v>
      </c>
      <c r="E214" s="176">
        <v>0</v>
      </c>
      <c r="F214" s="176">
        <v>0</v>
      </c>
      <c r="G214" s="176">
        <v>0</v>
      </c>
      <c r="H214" s="179">
        <v>0</v>
      </c>
      <c r="I214" s="159">
        <f>假设表!I25</f>
        <v>0</v>
      </c>
      <c r="J214" s="159">
        <f>假设表!J25</f>
        <v>0</v>
      </c>
      <c r="K214" s="159">
        <f>假设表!K25</f>
        <v>0</v>
      </c>
      <c r="L214" s="159">
        <f>假设表!L25</f>
        <v>0</v>
      </c>
      <c r="M214" s="159">
        <f>假设表!M25</f>
        <v>0</v>
      </c>
      <c r="N214" s="159">
        <f>假设表!N25</f>
        <v>0</v>
      </c>
      <c r="O214" s="159">
        <f>假设表!O25</f>
        <v>0</v>
      </c>
      <c r="P214" s="159">
        <f>假设表!P25</f>
        <v>0</v>
      </c>
      <c r="Q214" s="159">
        <f>假设表!Q25</f>
        <v>0</v>
      </c>
      <c r="R214" s="159">
        <f>假设表!R25</f>
        <v>0</v>
      </c>
      <c r="S214" s="159">
        <f>假设表!S25</f>
        <v>0</v>
      </c>
      <c r="T214" s="159">
        <f>假设表!T25</f>
        <v>0</v>
      </c>
    </row>
    <row r="215" spans="1:20">
      <c r="A215" s="140" t="s">
        <v>1208</v>
      </c>
      <c r="C215" s="140" t="s">
        <v>768</v>
      </c>
      <c r="D215" s="176">
        <v>0</v>
      </c>
      <c r="E215" s="176">
        <v>0</v>
      </c>
      <c r="F215" s="176">
        <v>0</v>
      </c>
      <c r="G215" s="176">
        <v>0</v>
      </c>
      <c r="H215" s="179">
        <v>0</v>
      </c>
      <c r="I215" s="159">
        <f>假设表!I26</f>
        <v>0</v>
      </c>
      <c r="J215" s="159">
        <f>假设表!J26</f>
        <v>0</v>
      </c>
      <c r="K215" s="159">
        <f>假设表!K26</f>
        <v>0</v>
      </c>
      <c r="L215" s="159">
        <f>假设表!L26</f>
        <v>0</v>
      </c>
      <c r="M215" s="159">
        <f>假设表!M26</f>
        <v>0</v>
      </c>
      <c r="N215" s="159">
        <f>假设表!N26</f>
        <v>0</v>
      </c>
      <c r="O215" s="159">
        <f>假设表!O26</f>
        <v>0</v>
      </c>
      <c r="P215" s="159">
        <f>假设表!P26</f>
        <v>0</v>
      </c>
      <c r="Q215" s="159">
        <f>假设表!Q26</f>
        <v>0</v>
      </c>
      <c r="R215" s="159">
        <f>假设表!R26</f>
        <v>0</v>
      </c>
      <c r="S215" s="159">
        <f>假设表!S26</f>
        <v>0</v>
      </c>
      <c r="T215" s="159">
        <f>假设表!T26</f>
        <v>0</v>
      </c>
    </row>
    <row r="216" spans="1:20">
      <c r="A216" s="140" t="s">
        <v>1209</v>
      </c>
      <c r="C216" s="140" t="s">
        <v>769</v>
      </c>
      <c r="D216" s="176">
        <v>0</v>
      </c>
      <c r="E216" s="176">
        <v>0</v>
      </c>
      <c r="F216" s="176">
        <v>0</v>
      </c>
      <c r="G216" s="176">
        <v>0</v>
      </c>
      <c r="H216" s="179">
        <v>0</v>
      </c>
      <c r="I216" s="159">
        <f>假设表!I27</f>
        <v>0</v>
      </c>
      <c r="J216" s="159">
        <f>假设表!J27</f>
        <v>0</v>
      </c>
      <c r="K216" s="159">
        <f>假设表!K27</f>
        <v>0</v>
      </c>
      <c r="L216" s="159">
        <f>假设表!L27</f>
        <v>0</v>
      </c>
      <c r="M216" s="159">
        <f>假设表!M27</f>
        <v>0</v>
      </c>
      <c r="N216" s="159">
        <f>假设表!N27</f>
        <v>0</v>
      </c>
      <c r="O216" s="159">
        <f>假设表!O27</f>
        <v>0</v>
      </c>
      <c r="P216" s="159">
        <f>假设表!P27</f>
        <v>0</v>
      </c>
      <c r="Q216" s="159">
        <f>假设表!Q27</f>
        <v>0</v>
      </c>
      <c r="R216" s="159">
        <f>假设表!R27</f>
        <v>0</v>
      </c>
      <c r="S216" s="159">
        <f>假设表!S27</f>
        <v>0</v>
      </c>
      <c r="T216" s="159">
        <f>假设表!T27</f>
        <v>0</v>
      </c>
    </row>
    <row r="217" spans="1:20">
      <c r="A217" s="140" t="s">
        <v>1210</v>
      </c>
      <c r="C217" s="140" t="s">
        <v>770</v>
      </c>
      <c r="D217" s="176">
        <v>0.19</v>
      </c>
      <c r="E217" s="176">
        <v>0.08</v>
      </c>
      <c r="F217" s="176">
        <v>0.2</v>
      </c>
      <c r="G217" s="176">
        <v>9.98E-2</v>
      </c>
      <c r="H217" s="179">
        <v>0.15</v>
      </c>
      <c r="I217" s="159">
        <f>假设表!I28</f>
        <v>0</v>
      </c>
      <c r="J217" s="159">
        <f>假设表!J28</f>
        <v>0</v>
      </c>
      <c r="K217" s="159">
        <f>假设表!K28</f>
        <v>0</v>
      </c>
      <c r="L217" s="159">
        <f>假设表!L28</f>
        <v>0</v>
      </c>
      <c r="M217" s="159">
        <f>假设表!M28</f>
        <v>0</v>
      </c>
      <c r="N217" s="159">
        <f>假设表!N28</f>
        <v>0</v>
      </c>
      <c r="O217" s="159">
        <f>假设表!O28</f>
        <v>0</v>
      </c>
      <c r="P217" s="159">
        <f>假设表!P28</f>
        <v>0</v>
      </c>
      <c r="Q217" s="159">
        <f>假设表!Q28</f>
        <v>0</v>
      </c>
      <c r="R217" s="159">
        <f>假设表!R28</f>
        <v>0</v>
      </c>
      <c r="S217" s="159">
        <f>假设表!S28</f>
        <v>0</v>
      </c>
      <c r="T217" s="159">
        <f>假设表!T28</f>
        <v>0</v>
      </c>
    </row>
    <row r="218" spans="1:20">
      <c r="A218" s="140" t="s">
        <v>1211</v>
      </c>
      <c r="C218" s="140" t="s">
        <v>771</v>
      </c>
      <c r="D218" s="176">
        <v>0</v>
      </c>
      <c r="E218" s="176">
        <v>0</v>
      </c>
      <c r="F218" s="176">
        <v>0</v>
      </c>
      <c r="G218" s="176">
        <v>0</v>
      </c>
      <c r="H218" s="179">
        <v>0</v>
      </c>
      <c r="I218" s="159">
        <f>假设表!I29</f>
        <v>0</v>
      </c>
      <c r="J218" s="159">
        <f>假设表!J29</f>
        <v>0</v>
      </c>
      <c r="K218" s="159">
        <f>假设表!K29</f>
        <v>0</v>
      </c>
      <c r="L218" s="159">
        <f>假设表!L29</f>
        <v>0</v>
      </c>
      <c r="M218" s="159">
        <f>假设表!M29</f>
        <v>0</v>
      </c>
      <c r="N218" s="159">
        <f>假设表!N29</f>
        <v>0</v>
      </c>
      <c r="O218" s="159">
        <f>假设表!O29</f>
        <v>0</v>
      </c>
      <c r="P218" s="159">
        <f>假设表!P29</f>
        <v>0</v>
      </c>
      <c r="Q218" s="159">
        <f>假设表!Q29</f>
        <v>0</v>
      </c>
      <c r="R218" s="159">
        <f>假设表!R29</f>
        <v>0</v>
      </c>
      <c r="S218" s="159">
        <f>假设表!S29</f>
        <v>0</v>
      </c>
      <c r="T218" s="159">
        <f>假设表!T29</f>
        <v>0</v>
      </c>
    </row>
    <row r="219" spans="1:20">
      <c r="C219" s="140" t="s">
        <v>1212</v>
      </c>
      <c r="D219" s="151">
        <f>SUM(D214:D218)</f>
        <v>0.19</v>
      </c>
      <c r="E219" s="151">
        <f t="shared" ref="E219:I219" si="170">SUM(E214:E218)</f>
        <v>0.08</v>
      </c>
      <c r="F219" s="151">
        <f t="shared" si="170"/>
        <v>0.2</v>
      </c>
      <c r="G219" s="151">
        <f t="shared" si="170"/>
        <v>9.98E-2</v>
      </c>
      <c r="H219" s="151">
        <f t="shared" si="170"/>
        <v>0.15</v>
      </c>
      <c r="I219" s="151">
        <f t="shared" si="170"/>
        <v>0</v>
      </c>
      <c r="J219" s="151">
        <f t="shared" ref="J219" si="171">SUM(J214:J218)</f>
        <v>0</v>
      </c>
      <c r="K219" s="151">
        <f t="shared" ref="K219" si="172">SUM(K214:K218)</f>
        <v>0</v>
      </c>
      <c r="L219" s="151">
        <f t="shared" ref="L219" si="173">SUM(L214:L218)</f>
        <v>0</v>
      </c>
      <c r="M219" s="151">
        <f t="shared" ref="M219" si="174">SUM(M214:M218)</f>
        <v>0</v>
      </c>
      <c r="N219" s="151">
        <f t="shared" ref="N219" si="175">SUM(N214:N218)</f>
        <v>0</v>
      </c>
      <c r="O219" s="151">
        <f t="shared" ref="O219" si="176">SUM(O214:O218)</f>
        <v>0</v>
      </c>
      <c r="P219" s="151">
        <f t="shared" ref="P219" si="177">SUM(P214:P218)</f>
        <v>0</v>
      </c>
      <c r="Q219" s="151">
        <f t="shared" ref="Q219" si="178">SUM(Q214:Q218)</f>
        <v>0</v>
      </c>
      <c r="R219" s="151">
        <f t="shared" ref="R219" si="179">SUM(R214:R218)</f>
        <v>0</v>
      </c>
      <c r="S219" s="151">
        <f t="shared" ref="S219" si="180">SUM(S214:S218)</f>
        <v>0</v>
      </c>
      <c r="T219" s="151">
        <f t="shared" ref="T219" si="181">SUM(T214:T218)</f>
        <v>0</v>
      </c>
    </row>
    <row r="220" spans="1:20">
      <c r="C220" s="140" t="s">
        <v>1213</v>
      </c>
      <c r="D220" s="152">
        <f t="shared" ref="D220:G224" si="182">D214*D$202</f>
        <v>0</v>
      </c>
      <c r="E220" s="152">
        <f t="shared" si="182"/>
        <v>0</v>
      </c>
      <c r="F220" s="152">
        <f t="shared" si="182"/>
        <v>0</v>
      </c>
      <c r="G220" s="152">
        <f t="shared" si="182"/>
        <v>0</v>
      </c>
      <c r="H220" s="152">
        <f>H214*H$202</f>
        <v>0</v>
      </c>
      <c r="I220" s="152">
        <f t="shared" ref="I220:R220" si="183">I214*I$202</f>
        <v>0</v>
      </c>
      <c r="J220" s="152">
        <f t="shared" si="183"/>
        <v>0</v>
      </c>
      <c r="K220" s="152">
        <f t="shared" si="183"/>
        <v>0</v>
      </c>
      <c r="L220" s="152">
        <f t="shared" si="183"/>
        <v>0</v>
      </c>
      <c r="M220" s="152">
        <f t="shared" si="183"/>
        <v>0</v>
      </c>
      <c r="N220" s="152">
        <f t="shared" si="183"/>
        <v>0</v>
      </c>
      <c r="O220" s="152">
        <f t="shared" si="183"/>
        <v>0</v>
      </c>
      <c r="P220" s="152">
        <f t="shared" si="183"/>
        <v>0</v>
      </c>
      <c r="Q220" s="152">
        <f t="shared" si="183"/>
        <v>0</v>
      </c>
      <c r="R220" s="152">
        <f t="shared" si="183"/>
        <v>0</v>
      </c>
      <c r="S220" s="152">
        <f t="shared" ref="S220:T220" si="184">S214*S$202</f>
        <v>0</v>
      </c>
      <c r="T220" s="152">
        <f t="shared" si="184"/>
        <v>0</v>
      </c>
    </row>
    <row r="221" spans="1:20">
      <c r="C221" s="140" t="s">
        <v>1214</v>
      </c>
      <c r="D221" s="152">
        <f t="shared" si="182"/>
        <v>0</v>
      </c>
      <c r="E221" s="152">
        <f t="shared" si="182"/>
        <v>0</v>
      </c>
      <c r="F221" s="152">
        <f t="shared" si="182"/>
        <v>0</v>
      </c>
      <c r="G221" s="152">
        <f t="shared" si="182"/>
        <v>0</v>
      </c>
      <c r="H221" s="152">
        <f t="shared" ref="H221:R224" si="185">H215*H$202</f>
        <v>0</v>
      </c>
      <c r="I221" s="152">
        <f t="shared" si="185"/>
        <v>0</v>
      </c>
      <c r="J221" s="152">
        <f t="shared" si="185"/>
        <v>0</v>
      </c>
      <c r="K221" s="152">
        <f t="shared" si="185"/>
        <v>0</v>
      </c>
      <c r="L221" s="152">
        <f t="shared" si="185"/>
        <v>0</v>
      </c>
      <c r="M221" s="152">
        <f t="shared" si="185"/>
        <v>0</v>
      </c>
      <c r="N221" s="152">
        <f t="shared" si="185"/>
        <v>0</v>
      </c>
      <c r="O221" s="152">
        <f t="shared" si="185"/>
        <v>0</v>
      </c>
      <c r="P221" s="152">
        <f t="shared" si="185"/>
        <v>0</v>
      </c>
      <c r="Q221" s="152">
        <f t="shared" si="185"/>
        <v>0</v>
      </c>
      <c r="R221" s="152">
        <f t="shared" si="185"/>
        <v>0</v>
      </c>
      <c r="S221" s="152">
        <f t="shared" ref="S221:T221" si="186">S215*S$202</f>
        <v>0</v>
      </c>
      <c r="T221" s="152">
        <f t="shared" si="186"/>
        <v>0</v>
      </c>
    </row>
    <row r="222" spans="1:20">
      <c r="C222" s="140" t="s">
        <v>1215</v>
      </c>
      <c r="D222" s="152">
        <f t="shared" si="182"/>
        <v>0</v>
      </c>
      <c r="E222" s="152">
        <f t="shared" si="182"/>
        <v>0</v>
      </c>
      <c r="F222" s="152">
        <f t="shared" si="182"/>
        <v>0</v>
      </c>
      <c r="G222" s="152">
        <f t="shared" si="182"/>
        <v>0</v>
      </c>
      <c r="H222" s="152">
        <f t="shared" si="185"/>
        <v>0</v>
      </c>
      <c r="I222" s="152">
        <f t="shared" si="185"/>
        <v>0</v>
      </c>
      <c r="J222" s="152">
        <f t="shared" si="185"/>
        <v>0</v>
      </c>
      <c r="K222" s="152">
        <f t="shared" si="185"/>
        <v>0</v>
      </c>
      <c r="L222" s="152">
        <f t="shared" si="185"/>
        <v>0</v>
      </c>
      <c r="M222" s="152">
        <f t="shared" si="185"/>
        <v>0</v>
      </c>
      <c r="N222" s="152">
        <f t="shared" si="185"/>
        <v>0</v>
      </c>
      <c r="O222" s="152">
        <f t="shared" si="185"/>
        <v>0</v>
      </c>
      <c r="P222" s="152">
        <f t="shared" si="185"/>
        <v>0</v>
      </c>
      <c r="Q222" s="152">
        <f t="shared" si="185"/>
        <v>0</v>
      </c>
      <c r="R222" s="152">
        <f t="shared" si="185"/>
        <v>0</v>
      </c>
      <c r="S222" s="152">
        <f t="shared" ref="S222:T222" si="187">S216*S$202</f>
        <v>0</v>
      </c>
      <c r="T222" s="152">
        <f t="shared" si="187"/>
        <v>0</v>
      </c>
    </row>
    <row r="223" spans="1:20">
      <c r="C223" s="140" t="s">
        <v>1216</v>
      </c>
      <c r="D223" s="152">
        <f t="shared" si="182"/>
        <v>91.498283090000001</v>
      </c>
      <c r="E223" s="152">
        <f t="shared" si="182"/>
        <v>38.525592879999998</v>
      </c>
      <c r="F223" s="152">
        <f t="shared" si="182"/>
        <v>96.313982199999998</v>
      </c>
      <c r="G223" s="152">
        <f t="shared" si="182"/>
        <v>48.060677117799997</v>
      </c>
      <c r="H223" s="152">
        <f t="shared" si="185"/>
        <v>72.381108449999999</v>
      </c>
      <c r="I223" s="152">
        <f t="shared" si="185"/>
        <v>0</v>
      </c>
      <c r="J223" s="152">
        <f t="shared" si="185"/>
        <v>0</v>
      </c>
      <c r="K223" s="152">
        <f t="shared" si="185"/>
        <v>0</v>
      </c>
      <c r="L223" s="152">
        <f t="shared" si="185"/>
        <v>0</v>
      </c>
      <c r="M223" s="152">
        <f t="shared" si="185"/>
        <v>0</v>
      </c>
      <c r="N223" s="152">
        <f t="shared" si="185"/>
        <v>0</v>
      </c>
      <c r="O223" s="152">
        <f t="shared" si="185"/>
        <v>0</v>
      </c>
      <c r="P223" s="152">
        <f t="shared" si="185"/>
        <v>0</v>
      </c>
      <c r="Q223" s="152">
        <f t="shared" si="185"/>
        <v>0</v>
      </c>
      <c r="R223" s="152">
        <f t="shared" si="185"/>
        <v>0</v>
      </c>
      <c r="S223" s="152">
        <f t="shared" ref="S223:T223" si="188">S217*S$202</f>
        <v>0</v>
      </c>
      <c r="T223" s="152">
        <f t="shared" si="188"/>
        <v>0</v>
      </c>
    </row>
    <row r="224" spans="1:20">
      <c r="C224" s="140" t="s">
        <v>1217</v>
      </c>
      <c r="D224" s="152">
        <f t="shared" si="182"/>
        <v>0</v>
      </c>
      <c r="E224" s="152">
        <f t="shared" si="182"/>
        <v>0</v>
      </c>
      <c r="F224" s="152">
        <f t="shared" si="182"/>
        <v>0</v>
      </c>
      <c r="G224" s="152">
        <f t="shared" si="182"/>
        <v>0</v>
      </c>
      <c r="H224" s="152">
        <f t="shared" si="185"/>
        <v>0</v>
      </c>
      <c r="I224" s="152">
        <f t="shared" si="185"/>
        <v>0</v>
      </c>
      <c r="J224" s="152">
        <f t="shared" si="185"/>
        <v>0</v>
      </c>
      <c r="K224" s="152">
        <f t="shared" si="185"/>
        <v>0</v>
      </c>
      <c r="L224" s="152">
        <f t="shared" si="185"/>
        <v>0</v>
      </c>
      <c r="M224" s="152">
        <f t="shared" si="185"/>
        <v>0</v>
      </c>
      <c r="N224" s="152">
        <f t="shared" si="185"/>
        <v>0</v>
      </c>
      <c r="O224" s="152">
        <f t="shared" si="185"/>
        <v>0</v>
      </c>
      <c r="P224" s="152">
        <f t="shared" si="185"/>
        <v>0</v>
      </c>
      <c r="Q224" s="152">
        <f t="shared" si="185"/>
        <v>0</v>
      </c>
      <c r="R224" s="152">
        <f t="shared" si="185"/>
        <v>0</v>
      </c>
      <c r="S224" s="152">
        <f t="shared" ref="S224:T224" si="189">S218*S$202</f>
        <v>0</v>
      </c>
      <c r="T224" s="152">
        <f t="shared" si="189"/>
        <v>0</v>
      </c>
    </row>
    <row r="225" spans="1:20">
      <c r="C225" s="140" t="s">
        <v>1218</v>
      </c>
      <c r="D225" s="151">
        <f>SUM(D220:D224)</f>
        <v>91.498283090000001</v>
      </c>
      <c r="E225" s="151">
        <f t="shared" ref="E225:I225" si="190">SUM(E220:E224)</f>
        <v>38.525592879999998</v>
      </c>
      <c r="F225" s="151">
        <f t="shared" si="190"/>
        <v>96.313982199999998</v>
      </c>
      <c r="G225" s="151">
        <f t="shared" si="190"/>
        <v>48.060677117799997</v>
      </c>
      <c r="H225" s="151">
        <f t="shared" si="190"/>
        <v>72.381108449999999</v>
      </c>
      <c r="I225" s="151">
        <f t="shared" si="190"/>
        <v>0</v>
      </c>
      <c r="J225" s="151">
        <f t="shared" ref="J225:R225" si="191">SUM(J220:J224)</f>
        <v>0</v>
      </c>
      <c r="K225" s="151">
        <f t="shared" si="191"/>
        <v>0</v>
      </c>
      <c r="L225" s="151">
        <f t="shared" si="191"/>
        <v>0</v>
      </c>
      <c r="M225" s="151">
        <f t="shared" si="191"/>
        <v>0</v>
      </c>
      <c r="N225" s="151">
        <f t="shared" si="191"/>
        <v>0</v>
      </c>
      <c r="O225" s="151">
        <f t="shared" si="191"/>
        <v>0</v>
      </c>
      <c r="P225" s="151">
        <f t="shared" si="191"/>
        <v>0</v>
      </c>
      <c r="Q225" s="151">
        <f t="shared" si="191"/>
        <v>0</v>
      </c>
      <c r="R225" s="151">
        <f t="shared" si="191"/>
        <v>0</v>
      </c>
      <c r="S225" s="151">
        <f t="shared" ref="S225" si="192">SUM(S220:S224)</f>
        <v>0</v>
      </c>
      <c r="T225" s="151">
        <f t="shared" ref="T225" si="193">SUM(T220:T224)</f>
        <v>0</v>
      </c>
    </row>
    <row r="226" spans="1:20">
      <c r="C226" s="140" t="s">
        <v>772</v>
      </c>
      <c r="D226" s="152">
        <f t="shared" ref="D226:I226" si="194">D225/D136</f>
        <v>9.8790912602831724E-2</v>
      </c>
      <c r="E226" s="152">
        <f t="shared" si="194"/>
        <v>4.8813312937323793E-2</v>
      </c>
      <c r="F226" s="152">
        <f t="shared" si="194"/>
        <v>0.17927072228482405</v>
      </c>
      <c r="G226" s="152">
        <f t="shared" si="194"/>
        <v>0.13124085729067422</v>
      </c>
      <c r="H226" s="152">
        <f t="shared" si="194"/>
        <v>0.19238729915941163</v>
      </c>
      <c r="I226" s="152">
        <f t="shared" ca="1" si="194"/>
        <v>0</v>
      </c>
      <c r="J226" s="152">
        <f t="shared" ref="J226:R226" ca="1" si="195">J225/J136</f>
        <v>0</v>
      </c>
      <c r="K226" s="152">
        <f t="shared" ca="1" si="195"/>
        <v>0</v>
      </c>
      <c r="L226" s="152">
        <f t="shared" ca="1" si="195"/>
        <v>0</v>
      </c>
      <c r="M226" s="152">
        <f t="shared" ca="1" si="195"/>
        <v>0</v>
      </c>
      <c r="N226" s="152">
        <f t="shared" ca="1" si="195"/>
        <v>0</v>
      </c>
      <c r="O226" s="152">
        <f t="shared" ca="1" si="195"/>
        <v>0</v>
      </c>
      <c r="P226" s="152">
        <f t="shared" ca="1" si="195"/>
        <v>0</v>
      </c>
      <c r="Q226" s="152">
        <f t="shared" ca="1" si="195"/>
        <v>0</v>
      </c>
      <c r="R226" s="152">
        <f t="shared" ca="1" si="195"/>
        <v>0</v>
      </c>
      <c r="S226" s="152">
        <f t="shared" ref="S226" ca="1" si="196">S225/S136</f>
        <v>0</v>
      </c>
      <c r="T226" s="152">
        <f t="shared" ref="T226" ca="1" si="197">T225/T136</f>
        <v>0</v>
      </c>
    </row>
    <row r="227" spans="1:20">
      <c r="D227" s="151"/>
      <c r="E227" s="151"/>
      <c r="F227" s="151"/>
      <c r="G227" s="151"/>
      <c r="H227" s="152"/>
      <c r="I227" s="152"/>
      <c r="J227" s="152"/>
      <c r="K227" s="152"/>
      <c r="L227" s="152"/>
      <c r="M227" s="152"/>
      <c r="N227" s="152"/>
      <c r="O227" s="152"/>
      <c r="P227" s="152"/>
      <c r="Q227" s="152"/>
      <c r="R227" s="152"/>
      <c r="S227" s="152"/>
      <c r="T227" s="152"/>
    </row>
    <row r="228" spans="1:20">
      <c r="D228" s="151"/>
      <c r="E228" s="151"/>
      <c r="F228" s="151"/>
      <c r="G228" s="151"/>
      <c r="H228" s="152"/>
      <c r="I228" s="152"/>
      <c r="J228" s="152"/>
      <c r="K228" s="152"/>
      <c r="L228" s="152"/>
      <c r="M228" s="152"/>
      <c r="N228" s="152"/>
      <c r="O228" s="152"/>
      <c r="P228" s="152"/>
      <c r="Q228" s="152"/>
      <c r="R228" s="152"/>
      <c r="S228" s="152"/>
      <c r="T228" s="152"/>
    </row>
    <row r="229" spans="1:20">
      <c r="D229" s="151"/>
      <c r="E229" s="151"/>
      <c r="F229" s="151"/>
      <c r="G229" s="151"/>
      <c r="H229" s="152"/>
      <c r="I229" s="152"/>
      <c r="J229" s="152"/>
      <c r="K229" s="152"/>
      <c r="L229" s="152"/>
      <c r="M229" s="152"/>
      <c r="N229" s="152"/>
      <c r="O229" s="152"/>
      <c r="P229" s="152"/>
      <c r="Q229" s="152"/>
      <c r="R229" s="152"/>
      <c r="S229" s="152"/>
      <c r="T229" s="152"/>
    </row>
    <row r="230" spans="1:20" ht="14.65">
      <c r="B230" s="171" t="s">
        <v>1219</v>
      </c>
      <c r="C230" s="171"/>
      <c r="D230" s="151"/>
      <c r="E230" s="151"/>
      <c r="F230" s="151"/>
      <c r="G230" s="151"/>
      <c r="H230" s="152"/>
      <c r="I230" s="152"/>
      <c r="J230" s="152"/>
      <c r="K230" s="152"/>
      <c r="L230" s="152"/>
      <c r="M230" s="152"/>
      <c r="N230" s="152"/>
      <c r="O230" s="152"/>
      <c r="P230" s="152"/>
      <c r="Q230" s="152"/>
      <c r="R230" s="152"/>
      <c r="S230" s="152"/>
      <c r="T230" s="152"/>
    </row>
    <row r="231" spans="1:20">
      <c r="A231" s="174"/>
      <c r="C231" s="140" t="s">
        <v>1220</v>
      </c>
      <c r="D231" s="180">
        <f>经营模型!C4-经营模型!C5</f>
        <v>1949.1115796200002</v>
      </c>
      <c r="E231" s="180">
        <f>经营模型!D4-经营模型!D5</f>
        <v>2086.7298650000002</v>
      </c>
      <c r="F231" s="180">
        <f>经营模型!E4-经营模型!E5</f>
        <v>1680.92516811</v>
      </c>
      <c r="G231" s="180">
        <f>经营模型!F4-经营模型!F5</f>
        <v>1547.2637125400001</v>
      </c>
      <c r="H231" s="170">
        <f>经营模型!G4-经营模型!G5</f>
        <v>1616.04146322</v>
      </c>
      <c r="I231" s="152">
        <f t="shared" ref="I231:R231" si="198">I107-I110</f>
        <v>4125.6048109641451</v>
      </c>
      <c r="J231" s="152">
        <f t="shared" si="198"/>
        <v>4937.7556756116082</v>
      </c>
      <c r="K231" s="152">
        <f t="shared" si="198"/>
        <v>5128.9797677599736</v>
      </c>
      <c r="L231" s="152">
        <f t="shared" si="198"/>
        <v>5859.7621123885438</v>
      </c>
      <c r="M231" s="152">
        <f t="shared" si="198"/>
        <v>7574.6957861221235</v>
      </c>
      <c r="N231" s="152">
        <f t="shared" si="198"/>
        <v>8718.6982516621301</v>
      </c>
      <c r="O231" s="152">
        <f t="shared" si="198"/>
        <v>10406.137180800712</v>
      </c>
      <c r="P231" s="152">
        <f t="shared" si="198"/>
        <v>12599.080820351242</v>
      </c>
      <c r="Q231" s="152">
        <f t="shared" si="198"/>
        <v>14926.295712753428</v>
      </c>
      <c r="R231" s="152">
        <f t="shared" si="198"/>
        <v>17856.021555185831</v>
      </c>
      <c r="S231" s="152">
        <f t="shared" ref="S231:T231" si="199">S107-S110</f>
        <v>21331.39845307414</v>
      </c>
      <c r="T231" s="152">
        <f t="shared" si="199"/>
        <v>25483.199522217321</v>
      </c>
    </row>
    <row r="232" spans="1:20">
      <c r="A232" s="174" t="s">
        <v>171</v>
      </c>
      <c r="C232" s="140" t="s">
        <v>171</v>
      </c>
      <c r="D232" s="152">
        <f>历史数据及预测表!D136+历史数据及预测表!D131+历史数据及预测表!D115</f>
        <v>919.11846766000031</v>
      </c>
      <c r="E232" s="152">
        <f>历史数据及预测表!E136+历史数据及预测表!E131+历史数据及预测表!E115</f>
        <v>757.63913958999956</v>
      </c>
      <c r="F232" s="152">
        <f>历史数据及预测表!F136+历史数据及预测表!F131+历史数据及预测表!F115</f>
        <v>474.03306046999961</v>
      </c>
      <c r="G232" s="152">
        <f>历史数据及预测表!G136+历史数据及预测表!G131+历史数据及预测表!G115</f>
        <v>337.21765867999989</v>
      </c>
      <c r="H232" s="169">
        <f>历史数据及预测表!H136+历史数据及预测表!H131+历史数据及预测表!H115</f>
        <v>310.68449756000041</v>
      </c>
      <c r="I232" s="152">
        <f ca="1">历史数据及预测表!I136+历史数据及预测表!I131+历史数据及预测表!I115</f>
        <v>2655.8939741473005</v>
      </c>
      <c r="J232" s="152">
        <f ca="1">历史数据及预测表!J136+历史数据及预测表!J131+历史数据及预测表!J115</f>
        <v>3076.2931641314917</v>
      </c>
      <c r="K232" s="152">
        <f ca="1">历史数据及预测表!K136+历史数据及预测表!K131+历史数据及预测表!K115</f>
        <v>2914.2631446395644</v>
      </c>
      <c r="L232" s="152">
        <f ca="1">历史数据及预测表!L136+历史数据及预测表!L131+历史数据及预测表!L115</f>
        <v>3273.6015095877083</v>
      </c>
      <c r="M232" s="152">
        <f ca="1">历史数据及预测表!M136+历史数据及预测表!M131+历史数据及预测表!M115</f>
        <v>4444.6803636258646</v>
      </c>
      <c r="N232" s="152">
        <f ca="1">历史数据及预测表!N136+历史数据及预测表!N131+历史数据及预测表!N115</f>
        <v>4952.0553407851949</v>
      </c>
      <c r="O232" s="152">
        <f ca="1">历史数据及预测表!O136+历史数据及预测表!O131+历史数据及预测表!O115</f>
        <v>5916.1269089227126</v>
      </c>
      <c r="P232" s="152">
        <f ca="1">历史数据及预测表!P136+历史数据及预测表!P131+历史数据及预测表!P115</f>
        <v>7208.3760907355863</v>
      </c>
      <c r="Q232" s="152">
        <f ca="1">历史数据及预测表!Q136+历史数据及预测表!Q131+历史数据及预测表!Q115</f>
        <v>8470.7034729437746</v>
      </c>
      <c r="R232" s="152">
        <f ca="1">历史数据及预测表!R136+历史数据及预测表!R131+历史数据及预测表!R115</f>
        <v>10136.589746637395</v>
      </c>
      <c r="S232" s="152">
        <f ca="1">历史数据及预测表!S136+历史数据及预测表!S131+历史数据及预测表!S115</f>
        <v>12094.915045177715</v>
      </c>
      <c r="T232" s="152">
        <f ca="1">历史数据及预测表!T136+历史数据及预测表!T131+历史数据及预测表!T115</f>
        <v>14435.595373767042</v>
      </c>
    </row>
    <row r="233" spans="1:20">
      <c r="C233" s="140" t="s">
        <v>1221</v>
      </c>
      <c r="D233" s="181">
        <f t="shared" ref="D233:I233" si="200">D97+D51+D65+D62+D71+D72</f>
        <v>10310.03288354</v>
      </c>
      <c r="E233" s="181">
        <f t="shared" si="200"/>
        <v>11231.401924920001</v>
      </c>
      <c r="F233" s="181">
        <f t="shared" si="200"/>
        <v>11803.785732429998</v>
      </c>
      <c r="G233" s="181">
        <f t="shared" si="200"/>
        <v>12063.988128950001</v>
      </c>
      <c r="H233" s="173">
        <f t="shared" si="200"/>
        <v>12457.272465470001</v>
      </c>
      <c r="I233" s="151">
        <f t="shared" ca="1" si="200"/>
        <v>16542.227012713371</v>
      </c>
      <c r="J233" s="151">
        <f t="shared" ref="J233:R233" ca="1" si="201">J97+J51+J65+J62+J71+J72</f>
        <v>19864.331836704139</v>
      </c>
      <c r="K233" s="151">
        <f t="shared" ca="1" si="201"/>
        <v>22839.54166256636</v>
      </c>
      <c r="L233" s="151">
        <f t="shared" ca="1" si="201"/>
        <v>26233.223338684704</v>
      </c>
      <c r="M233" s="151">
        <f t="shared" ca="1" si="201"/>
        <v>30226.023415520587</v>
      </c>
      <c r="N233" s="151">
        <f t="shared" ca="1" si="201"/>
        <v>34996.551209201498</v>
      </c>
      <c r="O233" s="151">
        <f t="shared" ca="1" si="201"/>
        <v>40611.750677129072</v>
      </c>
      <c r="P233" s="151">
        <f t="shared" ca="1" si="201"/>
        <v>47281.846341559634</v>
      </c>
      <c r="Q233" s="151">
        <f t="shared" ca="1" si="201"/>
        <v>55224.027450950969</v>
      </c>
      <c r="R233" s="151">
        <f t="shared" ca="1" si="201"/>
        <v>64663.354088049971</v>
      </c>
      <c r="S233" s="151">
        <f t="shared" ref="S233:T233" ca="1" si="202">S97+S51+S65+S62+S71+S72</f>
        <v>75966.876130909499</v>
      </c>
      <c r="T233" s="151">
        <f t="shared" ca="1" si="202"/>
        <v>89447.818553471647</v>
      </c>
    </row>
    <row r="234" spans="1:20">
      <c r="A234" s="140" t="s">
        <v>1222</v>
      </c>
      <c r="C234" s="140" t="s">
        <v>1223</v>
      </c>
      <c r="D234" s="182">
        <f>481569911/1000000</f>
        <v>481.56991099999999</v>
      </c>
      <c r="E234" s="182">
        <f>481569911/1000000</f>
        <v>481.56991099999999</v>
      </c>
      <c r="F234" s="182">
        <f>481569911/1000000</f>
        <v>481.56991099999999</v>
      </c>
      <c r="G234" s="182">
        <f>481569911/1000000</f>
        <v>481.56991099999999</v>
      </c>
      <c r="H234" s="176">
        <f>482540723/1000000</f>
        <v>482.54072300000001</v>
      </c>
      <c r="I234" s="183">
        <f>H234+关键项目预测!E245+关键项目预测!E254+关键项目预测!E259+关键项目预测!E262</f>
        <v>482.54072300000001</v>
      </c>
      <c r="J234" s="184">
        <f>I234+关键项目预测!F245+关键项目预测!F254+关键项目预测!F259+关键项目预测!F262</f>
        <v>482.54072300000001</v>
      </c>
      <c r="K234" s="184">
        <f>J234+关键项目预测!G245+关键项目预测!G254+关键项目预测!G259+关键项目预测!G262</f>
        <v>482.54072300000001</v>
      </c>
      <c r="L234" s="184">
        <f>K234+关键项目预测!H245+关键项目预测!H254+关键项目预测!H259+关键项目预测!H262</f>
        <v>482.54072300000001</v>
      </c>
      <c r="M234" s="184">
        <f>L234+关键项目预测!I245+关键项目预测!I254+关键项目预测!I259+关键项目预测!I262</f>
        <v>482.54072300000001</v>
      </c>
      <c r="N234" s="184">
        <f>M234+关键项目预测!J245+关键项目预测!J254+关键项目预测!J259+关键项目预测!J262</f>
        <v>482.54072300000001</v>
      </c>
      <c r="O234" s="184">
        <f>N234+关键项目预测!K245+关键项目预测!K254+关键项目预测!K259+关键项目预测!K262</f>
        <v>482.54072300000001</v>
      </c>
      <c r="P234" s="184">
        <f>O234+关键项目预测!L245+关键项目预测!L254+关键项目预测!L259+关键项目预测!L262</f>
        <v>482.54072300000001</v>
      </c>
      <c r="Q234" s="184">
        <f>P234+关键项目预测!M245+关键项目预测!M254+关键项目预测!M259+关键项目预测!M262</f>
        <v>482.54072300000001</v>
      </c>
      <c r="R234" s="184">
        <f>Q234+关键项目预测!N245+关键项目预测!N254+关键项目预测!N259+关键项目预测!N262</f>
        <v>482.54072300000001</v>
      </c>
      <c r="S234" s="184">
        <f>R234+关键项目预测!O245+关键项目预测!O254+关键项目预测!O259+关键项目预测!O262</f>
        <v>482.54072300000001</v>
      </c>
      <c r="T234" s="184">
        <f>S234+关键项目预测!P245+关键项目预测!P254+关键项目预测!P259+关键项目预测!P262</f>
        <v>482.54072300000001</v>
      </c>
    </row>
    <row r="235" spans="1:20">
      <c r="C235" s="140" t="s">
        <v>1224</v>
      </c>
      <c r="G235" s="140">
        <f>IF(NOT(AND((LEN(H235)=0),(关键项目预测!C3=2))),0,1)</f>
        <v>0</v>
      </c>
      <c r="H235" s="173"/>
    </row>
    <row r="236" spans="1:20">
      <c r="C236" s="140" t="s">
        <v>1225</v>
      </c>
      <c r="G236" s="140">
        <f>IF(NOT(AND((LEN(H236)=0),(关键项目预测!C3=2))),0,1)</f>
        <v>0</v>
      </c>
      <c r="H236" s="173"/>
    </row>
    <row r="237" spans="1:20">
      <c r="C237" s="140" t="s">
        <v>1226</v>
      </c>
      <c r="G237" s="140">
        <f>IF(NOT(AND((LEN(H237)=0),(关键项目预测!C3=2))),0,1)</f>
        <v>0</v>
      </c>
      <c r="H237" s="173"/>
    </row>
    <row r="238" spans="1:20">
      <c r="C238" s="140" t="s">
        <v>1227</v>
      </c>
      <c r="G238" s="140">
        <f>IF(NOT(AND((LEN(H238)=0),(关键项目预测!C3=2))),0,1)</f>
        <v>0</v>
      </c>
      <c r="H238" s="170">
        <f>H34-H237-H236-H235</f>
        <v>462.27065841000001</v>
      </c>
    </row>
    <row r="239" spans="1:20">
      <c r="C239" s="140" t="s">
        <v>831</v>
      </c>
      <c r="H239" s="173">
        <v>0</v>
      </c>
    </row>
    <row r="240" spans="1:20">
      <c r="C240" s="140" t="s">
        <v>1228</v>
      </c>
      <c r="H240" s="173">
        <v>0</v>
      </c>
    </row>
    <row r="241" spans="1:8">
      <c r="C241" s="140" t="s">
        <v>1229</v>
      </c>
      <c r="H241" s="173">
        <v>0</v>
      </c>
    </row>
    <row r="242" spans="1:8">
      <c r="C242" s="140" t="s">
        <v>1230</v>
      </c>
      <c r="H242" s="173">
        <v>0</v>
      </c>
    </row>
    <row r="244" spans="1:8">
      <c r="A244" s="174" t="s">
        <v>373</v>
      </c>
      <c r="C244" s="140" t="s">
        <v>1231</v>
      </c>
      <c r="D244" s="175">
        <f>1903308.24/1000000</f>
        <v>1.9033082400000001</v>
      </c>
      <c r="E244" s="175">
        <f>1849827.77/1000000</f>
        <v>1.8498277700000001</v>
      </c>
      <c r="F244" s="175">
        <f>941070.66/1000000</f>
        <v>0.94107066000000006</v>
      </c>
      <c r="G244" s="175">
        <f>585874.64/1000000</f>
        <v>0.58587464</v>
      </c>
      <c r="H244" s="179">
        <f>843429.57/1000000</f>
        <v>0.84342956999999996</v>
      </c>
    </row>
    <row r="245" spans="1:8">
      <c r="A245" s="174" t="s">
        <v>1232</v>
      </c>
      <c r="C245" s="140" t="s">
        <v>1233</v>
      </c>
      <c r="D245" s="175"/>
      <c r="E245" s="175"/>
      <c r="F245" s="175"/>
      <c r="G245" s="175"/>
      <c r="H245" s="179"/>
    </row>
    <row r="246" spans="1:8">
      <c r="A246" s="174" t="s">
        <v>391</v>
      </c>
      <c r="C246" s="140" t="s">
        <v>1234</v>
      </c>
      <c r="D246" s="175">
        <f>778579462.07/1000000</f>
        <v>778.57946207000009</v>
      </c>
      <c r="E246" s="175">
        <f>720851735.36/1000000</f>
        <v>720.85173536000002</v>
      </c>
      <c r="F246" s="175">
        <f>644585228.69/1000000</f>
        <v>644.58522869000001</v>
      </c>
      <c r="G246" s="175">
        <f>554239455.09/1000000</f>
        <v>554.23945508999998</v>
      </c>
      <c r="H246" s="179">
        <f>467161105.25/1000000</f>
        <v>467.16110524999999</v>
      </c>
    </row>
    <row r="247" spans="1:8">
      <c r="A247" s="174"/>
      <c r="C247" s="140" t="s">
        <v>1235</v>
      </c>
      <c r="D247" s="172"/>
      <c r="E247" s="172"/>
      <c r="F247" s="172"/>
      <c r="G247" s="172"/>
      <c r="H247" s="173"/>
    </row>
    <row r="248" spans="1:8">
      <c r="A248" s="174" t="s">
        <v>394</v>
      </c>
      <c r="C248" s="140" t="s">
        <v>1236</v>
      </c>
      <c r="D248" s="175">
        <f>3007784304.89/1000000</f>
        <v>3007.7843048899999</v>
      </c>
      <c r="E248" s="175">
        <f>3007784304.89/1000000</f>
        <v>3007.7843048899999</v>
      </c>
      <c r="F248" s="175">
        <f>3007784304.89/1000000</f>
        <v>3007.7843048899999</v>
      </c>
      <c r="G248" s="175">
        <f>3007784304.89/1000000</f>
        <v>3007.7843048899999</v>
      </c>
      <c r="H248" s="179">
        <f>3007784304.89/1000000</f>
        <v>3007.7843048899999</v>
      </c>
    </row>
    <row r="249" spans="1:8">
      <c r="A249" s="174" t="s">
        <v>396</v>
      </c>
      <c r="C249" s="140" t="s">
        <v>1237</v>
      </c>
      <c r="D249" s="175">
        <f>5231924.91/1000000</f>
        <v>5.23192491</v>
      </c>
      <c r="E249" s="175">
        <f>3123706.24/1000000</f>
        <v>3.1237062400000002</v>
      </c>
      <c r="F249" s="175"/>
      <c r="G249" s="175"/>
      <c r="H249" s="179"/>
    </row>
    <row r="250" spans="1:8">
      <c r="C250" s="140" t="s">
        <v>1238</v>
      </c>
      <c r="D250" s="172"/>
      <c r="E250" s="172"/>
      <c r="F250" s="172"/>
      <c r="G250" s="172"/>
      <c r="H250" s="173"/>
    </row>
    <row r="251" spans="1:8">
      <c r="D251" s="151"/>
      <c r="E251" s="151"/>
      <c r="F251" s="151"/>
      <c r="G251" s="151"/>
      <c r="H251" s="152"/>
    </row>
    <row r="252" spans="1:8">
      <c r="A252" s="174" t="s">
        <v>1239</v>
      </c>
      <c r="C252" s="140" t="s">
        <v>843</v>
      </c>
      <c r="D252" s="175"/>
      <c r="E252" s="175"/>
      <c r="F252" s="175"/>
      <c r="G252" s="175"/>
      <c r="H252" s="179"/>
    </row>
    <row r="253" spans="1:8">
      <c r="A253" s="174" t="s">
        <v>1240</v>
      </c>
      <c r="C253" s="140" t="s">
        <v>844</v>
      </c>
      <c r="D253" s="175"/>
      <c r="E253" s="175"/>
      <c r="F253" s="175"/>
      <c r="G253" s="175"/>
      <c r="H253" s="179"/>
    </row>
    <row r="254" spans="1:8">
      <c r="A254" s="174" t="s">
        <v>1241</v>
      </c>
      <c r="C254" s="140" t="s">
        <v>845</v>
      </c>
      <c r="D254" s="175"/>
      <c r="E254" s="175"/>
      <c r="F254" s="175"/>
      <c r="G254" s="175"/>
      <c r="H254" s="179"/>
    </row>
    <row r="255" spans="1:8">
      <c r="A255" s="174" t="s">
        <v>1242</v>
      </c>
      <c r="C255" s="140" t="s">
        <v>846</v>
      </c>
      <c r="D255" s="175"/>
      <c r="E255" s="175"/>
      <c r="F255" s="175"/>
      <c r="G255" s="175"/>
      <c r="H255" s="179"/>
    </row>
    <row r="256" spans="1:8">
      <c r="A256" s="174" t="s">
        <v>1243</v>
      </c>
      <c r="C256" s="140" t="s">
        <v>847</v>
      </c>
      <c r="D256" s="175"/>
      <c r="E256" s="175"/>
      <c r="F256" s="175"/>
      <c r="G256" s="175"/>
      <c r="H256" s="179"/>
    </row>
    <row r="257" spans="1:8">
      <c r="A257" s="174"/>
      <c r="C257" s="140" t="s">
        <v>848</v>
      </c>
      <c r="D257" s="185"/>
      <c r="E257" s="185"/>
      <c r="F257" s="185"/>
      <c r="G257" s="185"/>
      <c r="H257" s="186"/>
    </row>
    <row r="258" spans="1:8">
      <c r="A258" s="174"/>
      <c r="C258" s="140" t="s">
        <v>850</v>
      </c>
      <c r="D258" s="172"/>
      <c r="E258" s="172"/>
      <c r="F258" s="172"/>
      <c r="G258" s="172"/>
      <c r="H258" s="173"/>
    </row>
    <row r="259" spans="1:8">
      <c r="A259" s="174" t="s">
        <v>1244</v>
      </c>
      <c r="C259" s="140" t="s">
        <v>851</v>
      </c>
      <c r="D259" s="175"/>
      <c r="E259" s="175"/>
      <c r="F259" s="175"/>
      <c r="G259" s="175"/>
      <c r="H259" s="179"/>
    </row>
    <row r="260" spans="1:8">
      <c r="A260" s="174" t="s">
        <v>1245</v>
      </c>
      <c r="C260" s="140" t="s">
        <v>852</v>
      </c>
      <c r="D260" s="175"/>
      <c r="E260" s="175"/>
      <c r="F260" s="175"/>
      <c r="G260" s="175"/>
      <c r="H260" s="179"/>
    </row>
    <row r="261" spans="1:8">
      <c r="C261" s="26" t="s">
        <v>853</v>
      </c>
      <c r="D261" s="185"/>
      <c r="E261" s="185"/>
      <c r="F261" s="185"/>
      <c r="G261" s="185"/>
      <c r="H261" s="186"/>
    </row>
    <row r="262" spans="1:8">
      <c r="C262" s="26" t="s">
        <v>854</v>
      </c>
      <c r="D262" s="185"/>
      <c r="E262" s="185"/>
      <c r="F262" s="185"/>
      <c r="G262" s="185"/>
      <c r="H262" s="186"/>
    </row>
  </sheetData>
  <mergeCells count="2">
    <mergeCell ref="D3:H3"/>
    <mergeCell ref="I3:R3"/>
  </mergeCells>
  <phoneticPr fontId="35" type="noConversion"/>
  <dataValidations count="79">
    <dataValidation type="decimal" errorStyle="warning" operator="greaterThanOrEqual" allowBlank="1" showInputMessage="1" showErrorMessage="1" errorTitle="划分为持有待售的资产科目为负，请核实是否符合公司发展逻辑" error="划分为持有待售的资产科目为负，请核实是否符合公司发展逻辑" sqref="I17:T17" xr:uid="{00000000-0002-0000-0600-000000000000}">
      <formula1>0</formula1>
    </dataValidation>
    <dataValidation type="decimal" errorStyle="warning" operator="greaterThanOrEqual" allowBlank="1" showInputMessage="1" showErrorMessage="1" errorTitle="待摊费用科目为负，请核实是否符合公司发展逻辑" error="待摊费用科目为负，请核实是否符合公司发展逻辑" sqref="I19:T19" xr:uid="{00000000-0002-0000-0600-000001000000}">
      <formula1>0</formula1>
    </dataValidation>
    <dataValidation type="decimal" errorStyle="warning" operator="greaterThanOrEqual" allowBlank="1" showInputMessage="1" showErrorMessage="1" errorTitle="应付短期债券科目为负，请核实是否符合公司发展逻辑" error="应付短期债券科目为负，请核实是否符合公司发展逻辑" sqref="I65:T65" xr:uid="{00000000-0002-0000-0600-000002000000}">
      <formula1>0</formula1>
    </dataValidation>
    <dataValidation type="decimal" operator="greaterThanOrEqual" allowBlank="1" showInputMessage="1" showErrorMessage="1" errorTitle="货币资金不能为负数" error="货币资金不能为负数" sqref="I7:T7" xr:uid="{00000000-0002-0000-0600-000003000000}">
      <formula1>0</formula1>
    </dataValidation>
    <dataValidation type="decimal" errorStyle="warning" operator="greaterThanOrEqual" allowBlank="1" showInputMessage="1" showErrorMessage="1" errorTitle="预付款项科目为负，请核实是否符合公司发展逻辑" error="预付款项科目为负，请核实是否符合公司发展逻辑" sqref="I13:T13" xr:uid="{00000000-0002-0000-0600-000004000000}">
      <formula1>0</formula1>
    </dataValidation>
    <dataValidation type="decimal" errorStyle="warning" operator="greaterThanOrEqual" allowBlank="1" showInputMessage="1" showErrorMessage="1" errorTitle="资本公积科目为负，请核实是否符合公司发展逻辑" error="资本公积科目为负，请核实是否符合公司发展逻辑" sqref="I86:T86" xr:uid="{00000000-0002-0000-0600-000005000000}">
      <formula1>0</formula1>
    </dataValidation>
    <dataValidation type="decimal" errorStyle="warning" operator="greaterThanOrEqual" allowBlank="1" showInputMessage="1" showErrorMessage="1" errorTitle="其他应收款净值科目为负，请核实是否符合公司发展逻辑" error="其他应收款净值科目为负，请核实是否符合公司发展逻辑" sqref="I14:T14" xr:uid="{00000000-0002-0000-0600-000006000000}">
      <formula1>0</formula1>
    </dataValidation>
    <dataValidation type="decimal" errorStyle="warning" operator="greaterThanOrEqual" allowBlank="1" showInputMessage="1" showErrorMessage="1" errorTitle="其他金融类流动资产科目为负，请核实是否符合公司发展逻辑" error="其他金融类流动资产科目为负，请核实是否符合公司发展逻辑" sqref="I21:T21" xr:uid="{00000000-0002-0000-0600-000007000000}">
      <formula1>0</formula1>
    </dataValidation>
    <dataValidation type="decimal" errorStyle="warning" operator="greaterThanOrEqual" allowBlank="1" showInputMessage="1" showErrorMessage="1" errorTitle="应交税费科目为负数，请核实是否符合公司的税务情况" error="应交税费科目为负数，请核实是否符合公司的税务情况" sqref="I59:T59" xr:uid="{00000000-0002-0000-0600-000008000000}">
      <formula1>0</formula1>
    </dataValidation>
    <dataValidation type="decimal" errorStyle="warning" operator="greaterThanOrEqual" allowBlank="1" showInputMessage="1" showErrorMessage="1" errorTitle="一年内到期的非流动资产科目为负，请核实是否符合公司发展逻辑" error="一年内到期的非流动资产科目为负，请核实是否符合公司发展逻辑" sqref="I18:T18" xr:uid="{00000000-0002-0000-0600-000009000000}">
      <formula1>0</formula1>
    </dataValidation>
    <dataValidation type="decimal" errorStyle="warning" operator="greaterThanOrEqual" allowBlank="1" showInputMessage="1" showErrorMessage="1" errorTitle="其他流动资产科目为负，请核实是否符合公司发展逻辑" error="其他流动资产科目为负，请核实是否符合公司发展逻辑" sqref="I20:T20" xr:uid="{00000000-0002-0000-0600-00000A000000}">
      <formula1>0</formula1>
    </dataValidation>
    <dataValidation type="decimal" errorStyle="warning" operator="greaterThanOrEqual" allowBlank="1" showInputMessage="1" showErrorMessage="1" errorTitle="流动资产合计科目为负，请核实是否符合公司发展逻辑" error="流动资产合计科目为负，请核实是否符合公司发展逻辑" sqref="I23:T23" xr:uid="{00000000-0002-0000-0600-00000B000000}">
      <formula1>0</formula1>
    </dataValidation>
    <dataValidation type="decimal" errorStyle="warning" operator="greaterThanOrEqual" allowBlank="1" showInputMessage="1" showErrorMessage="1" errorTitle="短期借款科目为负，请核实是否符合公司发展逻辑" error="短期借款科目为负，请核实是否符合公司发展逻辑" sqref="I51:T51" xr:uid="{00000000-0002-0000-0600-00000C000000}">
      <formula1>0</formula1>
    </dataValidation>
    <dataValidation type="decimal" errorStyle="warning" operator="greaterThanOrEqual" allowBlank="1" showInputMessage="1" showErrorMessage="1" errorTitle="持有至到期投资科目为负，请核实是否符合公司发展逻辑" error="持有至到期投资科目为负，请核实是否符合公司发展逻辑" sqref="I28:T28" xr:uid="{00000000-0002-0000-0600-00000D000000}">
      <formula1>0</formula1>
    </dataValidation>
    <dataValidation type="decimal" errorStyle="warning" operator="greaterThanOrEqual" allowBlank="1" showInputMessage="1" showErrorMessage="1" errorTitle="其他流动负债科目为负，请核实是否符合公司发展逻辑" error="其他流动负债科目为负，请核实是否符合公司发展逻辑" sqref="I66:T66" xr:uid="{00000000-0002-0000-0600-00000E000000}">
      <formula1>0</formula1>
    </dataValidation>
    <dataValidation type="decimal" errorStyle="warning" operator="greaterThanOrEqual" allowBlank="1" showInputMessage="1" showErrorMessage="1" errorTitle="长期应收款科目为负，请核实是否符合公司发展逻辑" error="长期应收款科目为负，请核实是否符合公司发展逻辑" sqref="I29:T29" xr:uid="{00000000-0002-0000-0600-00000F000000}">
      <formula1>0</formula1>
    </dataValidation>
    <dataValidation type="decimal" errorStyle="warning" operator="greaterThanOrEqual" allowBlank="1" showInputMessage="1" showErrorMessage="1" errorTitle="投资性房地产科目为负，请核实是否符合公司发展逻辑" error="投资性房地产科目为负，请核实是否符合公司发展逻辑" sqref="I33:T33" xr:uid="{00000000-0002-0000-0600-000010000000}">
      <formula1>0</formula1>
    </dataValidation>
    <dataValidation type="decimal" errorStyle="warning" operator="greaterThanOrEqual" allowBlank="1" showInputMessage="1" showErrorMessage="1" errorTitle="长期借款科目为负，请核实是否符合公司发展逻辑" error="长期借款科目为负，请核实是否符合公司发展逻辑" sqref="I71:T71" xr:uid="{00000000-0002-0000-0600-000011000000}">
      <formula1>0</formula1>
    </dataValidation>
    <dataValidation type="decimal" errorStyle="warning" operator="greaterThanOrEqual" allowBlank="1" showInputMessage="1" showErrorMessage="1" errorTitle="固定资产净值科目为负，请核实是否符合公司发展逻辑" error="固定资产净值科目为负，请核实是否符合公司发展逻辑" sqref="I34:T34" xr:uid="{00000000-0002-0000-0600-000012000000}">
      <formula1>0</formula1>
    </dataValidation>
    <dataValidation type="decimal" operator="greaterThanOrEqual" allowBlank="1" showInputMessage="1" showErrorMessage="1" errorTitle="应付账款科目为负，请核实是否符合公司发展逻辑" error="应付账款科目为负，请核实是否符合公司发展逻辑" sqref="I54:T54" xr:uid="{00000000-0002-0000-0600-000013000000}">
      <formula1>0</formula1>
    </dataValidation>
    <dataValidation type="decimal" errorStyle="warning" operator="greaterThanOrEqual" allowBlank="1" showInputMessage="1" showErrorMessage="1" errorTitle="在建工程科目为负，请核实是否符合公司发展逻辑" error="在建工程科目为负，请核实是否符合公司发展逻辑" sqref="I35:T35" xr:uid="{00000000-0002-0000-0600-000014000000}">
      <formula1>0</formula1>
    </dataValidation>
    <dataValidation type="decimal" errorStyle="warning" operator="greaterThanOrEqual" allowBlank="1" showInputMessage="1" showErrorMessage="1" errorTitle="其他应付款科目为负，请核实是否符合公司发展逻辑" error="其他应付款科目为负，请核实是否符合公司发展逻辑" sqref="I60:T60" xr:uid="{00000000-0002-0000-0600-000015000000}">
      <formula1>0</formula1>
    </dataValidation>
    <dataValidation type="decimal" errorStyle="warning" operator="greaterThanOrEqual" allowBlank="1" showInputMessage="1" showErrorMessage="1" errorTitle="生产性生物资产科目为负，请核实是否符合公司发展逻辑" error="生产性生物资产科目为负，请核实是否符合公司发展逻辑" sqref="I36:T36" xr:uid="{00000000-0002-0000-0600-000016000000}">
      <formula1>0</formula1>
    </dataValidation>
    <dataValidation type="decimal" errorStyle="warning" operator="greaterThanOrEqual" allowBlank="1" showInputMessage="1" showErrorMessage="1" errorTitle="油气资产科目为负，请核实是否符合公司发展逻辑" error="油气资产科目为负，请核实是否符合公司发展逻辑" sqref="I37:T37" xr:uid="{00000000-0002-0000-0600-000017000000}">
      <formula1>0</formula1>
    </dataValidation>
    <dataValidation type="decimal" errorStyle="warning" operator="greaterThanOrEqual" allowBlank="1" showInputMessage="1" showErrorMessage="1" errorTitle="开发支出科目为负，请核实是否符合公司发展逻辑" error="开发支出科目为负，请核实是否符合公司发展逻辑" sqref="I40:T40" xr:uid="{00000000-0002-0000-0600-000018000000}">
      <formula1>0</formula1>
    </dataValidation>
    <dataValidation type="decimal" errorStyle="warning" operator="greaterThanOrEqual" allowBlank="1" showInputMessage="1" showErrorMessage="1" errorTitle="实收资本（股本）科目为负，请核实是否符合公司发展逻辑" error="实收资本（股本）科目为负，请核实是否符合公司发展逻辑" sqref="I84:T84" xr:uid="{00000000-0002-0000-0600-000019000000}">
      <formula1>0</formula1>
    </dataValidation>
    <dataValidation type="decimal" errorStyle="warning" operator="greaterThanOrEqual" allowBlank="1" showInputMessage="1" showErrorMessage="1" errorTitle="商誉科目为负，请核实是否符合公司发展逻辑" error="商誉科目为负，请核实是否符合公司发展逻辑" sqref="I41:T41" xr:uid="{00000000-0002-0000-0600-00001A000000}">
      <formula1>0</formula1>
    </dataValidation>
    <dataValidation type="decimal" errorStyle="warning" operator="greaterThanOrEqual" allowBlank="1" showInputMessage="1" showErrorMessage="1" errorTitle="其他金融类非流动资产科目为负，请核实是否符合公司发展逻辑" error="其他金融类非流动资产科目为负，请核实是否符合公司发展逻辑" sqref="I45:T45" xr:uid="{00000000-0002-0000-0600-00001B000000}">
      <formula1>0</formula1>
    </dataValidation>
    <dataValidation type="decimal" errorStyle="warning" operator="greaterThanOrEqual" allowBlank="1" showInputMessage="1" showErrorMessage="1" errorTitle="长期待摊费用科目为负，请核实是否符合公司发展逻辑" error="长期待摊费用科目为负，请核实是否符合公司发展逻辑" sqref="I42:T42" xr:uid="{00000000-0002-0000-0600-00001C000000}">
      <formula1>0</formula1>
    </dataValidation>
    <dataValidation type="decimal" errorStyle="warning" operator="greaterThanOrEqual" allowBlank="1" showInputMessage="1" showErrorMessage="1" errorTitle="递延所得税资产科目为负，请核实是否符合公司发展逻辑" error="递延所得税资产科目为负，请核实是否符合公司发展逻辑" sqref="I43:T43" xr:uid="{00000000-0002-0000-0600-00001D000000}">
      <formula1>0</formula1>
    </dataValidation>
    <dataValidation type="decimal" errorStyle="warning" operator="greaterThanOrEqual" allowBlank="1" showInputMessage="1" showErrorMessage="1" errorTitle="应收账款净值科目为负，请核实是否符合公司发展逻辑" error="应收账款净值科目为负，请核实是否符合公司发展逻辑" sqref="I55:T55 I10:T12" xr:uid="{00000000-0002-0000-0600-00001E000000}">
      <formula1>0</formula1>
    </dataValidation>
    <dataValidation type="decimal" errorStyle="warning" operator="greaterThanOrEqual" allowBlank="1" showInputMessage="1" showErrorMessage="1" errorTitle="存货净值科目为负，请核实是否符合公司发展逻辑" error="存货净值科目为负，请核实是否符合公司发展逻辑" sqref="I15:T16" xr:uid="{00000000-0002-0000-0600-00001F000000}">
      <formula1>0</formula1>
    </dataValidation>
    <dataValidation type="decimal" errorStyle="warning" operator="greaterThanOrEqual" allowBlank="1" showInputMessage="1" showErrorMessage="1" errorTitle="其他非流动资产科目为负，请核实是否符合公司发展逻辑" error="其他非流动资产科目为负，请核实是否符合公司发展逻辑" sqref="I44:T44" xr:uid="{00000000-0002-0000-0600-000020000000}">
      <formula1>0</formula1>
    </dataValidation>
    <dataValidation type="decimal" errorStyle="warning" operator="greaterThanOrEqual" allowBlank="1" showInputMessage="1" showErrorMessage="1" errorTitle="非流动资产合计科目为负，请核实是否符合公司发展逻辑" error="非流动资产合计科目为负，请核实是否符合公司发展逻辑" sqref="I47:T47" xr:uid="{00000000-0002-0000-0600-000021000000}">
      <formula1>0</formula1>
    </dataValidation>
    <dataValidation type="decimal" operator="greaterThanOrEqual" allowBlank="1" showInputMessage="1" showErrorMessage="1" errorTitle="资产总计不能为负数" error="资产总计不能为负数" sqref="I48:T48" xr:uid="{00000000-0002-0000-0600-000022000000}">
      <formula1>0</formula1>
    </dataValidation>
    <dataValidation type="decimal" errorStyle="warning" operator="greaterThanOrEqual" allowBlank="1" showInputMessage="1" showErrorMessage="1" errorTitle="应付职工薪酬科目为负，请核实是否符合公司发展逻辑" error="应付职工薪酬科目为负，请核实是否符合公司发展逻辑" sqref="I58:T58" xr:uid="{00000000-0002-0000-0600-000023000000}">
      <formula1>0</formula1>
    </dataValidation>
    <dataValidation type="decimal" errorStyle="warning" operator="greaterThanOrEqual" allowBlank="1" showInputMessage="1" showErrorMessage="1" errorTitle="划分为持有待售的负债科目为负，请核实是否符合公司发展逻辑" error="划分为持有待售的负债科目为负，请核实是否符合公司发展逻辑" sqref="I61:T61" xr:uid="{00000000-0002-0000-0600-000024000000}">
      <formula1>0</formula1>
    </dataValidation>
    <dataValidation type="decimal" errorStyle="warning" operator="greaterThanOrEqual" allowBlank="1" showInputMessage="1" showErrorMessage="1" errorTitle="一年内到期的非流动负债科目为负，请核实是否符合公司发展逻辑" error="一年内到期的非流动负债科目为负，请核实是否符合公司发展逻辑" sqref="I62:T62" xr:uid="{00000000-0002-0000-0600-000025000000}">
      <formula1>0</formula1>
    </dataValidation>
    <dataValidation type="decimal" errorStyle="warning" operator="greaterThanOrEqual" allowBlank="1" showInputMessage="1" showErrorMessage="1" errorTitle="递延收益-流动负债科目为负，请核实是否符合公司发展逻辑" error="递延收益-流动负债科目为负，请核实是否符合公司发展逻辑" sqref="I64:T64" xr:uid="{00000000-0002-0000-0600-000026000000}">
      <formula1>0</formula1>
    </dataValidation>
    <dataValidation type="decimal" errorStyle="warning" operator="greaterThanOrEqual" allowBlank="1" showInputMessage="1" showErrorMessage="1" errorTitle="长期股权投资净值科目为负，请核实是否符合公司发展逻辑" error="长期股权投资净值科目为负，请核实是否符合公司发展逻辑" sqref="I30:T32" xr:uid="{00000000-0002-0000-0600-000027000000}">
      <formula1>0</formula1>
    </dataValidation>
    <dataValidation type="decimal" errorStyle="warning" operator="greaterThanOrEqual" allowBlank="1" showInputMessage="1" showErrorMessage="1" errorTitle="预提费用科目为负，请核实是否符合公司发展逻辑" error="预提费用科目为负，请核实是否符合公司发展逻辑" sqref="I63:T63" xr:uid="{00000000-0002-0000-0600-000028000000}">
      <formula1>0</formula1>
    </dataValidation>
    <dataValidation type="decimal" errorStyle="warning" operator="greaterThanOrEqual" allowBlank="1" showInputMessage="1" showErrorMessage="1" errorTitle="其他金融类流动负债科目为负，请核实是否符合公司发展逻辑" error="其他金融类流动负债科目为负，请核实是否符合公司发展逻辑" sqref="I67:T67" xr:uid="{00000000-0002-0000-0600-000029000000}">
      <formula1>0</formula1>
    </dataValidation>
    <dataValidation type="decimal" errorStyle="warning" operator="greaterThanOrEqual" allowBlank="1" showInputMessage="1" showErrorMessage="1" errorTitle="长期应付职工薪酬科目为负，请核实是否符合公司发展逻辑" error="长期应付职工薪酬科目为负，请核实是否符合公司发展逻辑" sqref="I75:T75" xr:uid="{00000000-0002-0000-0600-00002A000000}">
      <formula1>0</formula1>
    </dataValidation>
    <dataValidation type="decimal" errorStyle="warning" operator="greaterThanOrEqual" allowBlank="1" showInputMessage="1" showErrorMessage="1" errorTitle="长期应付款科目为负，请核实是否符合公司发展逻辑" error="长期应付款科目为负，请核实是否符合公司发展逻辑" sqref="I74:T74" xr:uid="{00000000-0002-0000-0600-00002B000000}">
      <formula1>0</formula1>
    </dataValidation>
    <dataValidation type="decimal" errorStyle="warning" operator="greaterThanOrEqual" allowBlank="1" showInputMessage="1" showErrorMessage="1" errorTitle="非流动负债合计科目为负，请核实是否符合公司发展逻辑" error="非流动负债合计科目为负，请核实是否符合公司发展逻辑" sqref="I81:T81" xr:uid="{00000000-0002-0000-0600-00002C000000}">
      <formula1>0</formula1>
    </dataValidation>
    <dataValidation type="decimal" errorStyle="warning" operator="greaterThanOrEqual" allowBlank="1" showInputMessage="1" showErrorMessage="1" errorTitle="递延收益-非流动负债科目为负，请核实是否符合公司发展逻辑" error="递延收益-非流动负债科目为负，请核实是否符合公司发展逻辑" sqref="I78:T78" xr:uid="{00000000-0002-0000-0600-00002D000000}">
      <formula1>0</formula1>
    </dataValidation>
    <dataValidation type="decimal" errorStyle="warning" operator="greaterThanOrEqual" allowBlank="1" showInputMessage="1" showErrorMessage="1" errorTitle="预计负债科目为负，请核实是否符合公司发展逻辑" error="预计负债科目为负，请核实是否符合公司发展逻辑" sqref="I76:T76" xr:uid="{00000000-0002-0000-0600-00002E000000}">
      <formula1>0</formula1>
    </dataValidation>
    <dataValidation type="decimal" errorStyle="warning" operator="greaterThanOrEqual" allowBlank="1" showInputMessage="1" showErrorMessage="1" errorTitle="营业成本科目为负，请核实是否符合公司发展逻辑" error="营业成本科目为负，请核实是否符合公司发展逻辑" sqref="I110:T110" xr:uid="{00000000-0002-0000-0600-00002F000000}">
      <formula1>0</formula1>
    </dataValidation>
    <dataValidation type="decimal" errorStyle="warning" operator="greaterThanOrEqual" allowBlank="1" showInputMessage="1" showErrorMessage="1" errorTitle="递延所得税负债科目为负，请核实是否符合公司发展逻辑" error="递延所得税负债科目为负，请核实是否符合公司发展逻辑" sqref="I77:T77" xr:uid="{00000000-0002-0000-0600-000030000000}">
      <formula1>0</formula1>
    </dataValidation>
    <dataValidation type="decimal" errorStyle="warning" operator="greaterThanOrEqual" allowBlank="1" showInputMessage="1" showErrorMessage="1" errorTitle="其他非流动负债科目为负，请核实是否符合公司发展逻辑" error="其他非流动负债科目为负，请核实是否符合公司发展逻辑" sqref="I79:T79" xr:uid="{00000000-0002-0000-0600-000031000000}">
      <formula1>0</formula1>
    </dataValidation>
    <dataValidation type="decimal" operator="greaterThanOrEqual" allowBlank="1" showInputMessage="1" showErrorMessage="1" errorTitle="负债合计不能为负数" error="负债合计不能为负数" sqref="I82:T82" xr:uid="{00000000-0002-0000-0600-000032000000}">
      <formula1>0</formula1>
    </dataValidation>
    <dataValidation type="decimal" errorStyle="warning" operator="greaterThanOrEqual" allowBlank="1" showInputMessage="1" showErrorMessage="1" errorTitle="其他权益工具科目为负，请核实是否符合公司发展逻辑" error="其他权益工具科目为负，请核实是否符合公司发展逻辑" sqref="I85:T85" xr:uid="{00000000-0002-0000-0600-000033000000}">
      <formula1>0</formula1>
    </dataValidation>
    <dataValidation type="decimal" operator="lessThan" allowBlank="1" showInputMessage="1" showErrorMessage="1" error="库存股必须小于当前上市股份" sqref="D87" xr:uid="{00000000-0002-0000-0600-000034000000}">
      <formula1>D84</formula1>
    </dataValidation>
    <dataValidation type="decimal" errorStyle="warning" operator="lessThanOrEqual" allowBlank="1" showInputMessage="1" showErrorMessage="1" errorTitle="库存股超过上市公司股份数" error="库存股超过上市公司股份数" sqref="I87:T87" xr:uid="{00000000-0002-0000-0600-000035000000}">
      <formula1>I84</formula1>
    </dataValidation>
    <dataValidation type="decimal" errorStyle="warning" operator="greaterThanOrEqual" allowBlank="1" showInputMessage="1" showErrorMessage="1" errorTitle="专项储备科目为负，请核实是否符合公司发展逻辑" error="专项储备科目为负，请核实是否符合公司发展逻辑" sqref="I89:T89" xr:uid="{00000000-0002-0000-0600-000036000000}">
      <formula1>0</formula1>
    </dataValidation>
    <dataValidation type="decimal" operator="lessThan" allowBlank="1" showInputMessage="1" showErrorMessage="1" errorTitle="资产负债表不平" error="资产负债表不平" sqref="I103:T103" xr:uid="{00000000-0002-0000-0600-000037000000}">
      <formula1>0.1</formula1>
    </dataValidation>
    <dataValidation type="decimal" errorStyle="warning" operator="greaterThanOrEqual" allowBlank="1" showInputMessage="1" showErrorMessage="1" errorTitle="营业收入科目为负，请核实是否符合公司实际情况" error="营业收入科目为负，请核实是否符合公司实际情况" sqref="I107:T107" xr:uid="{00000000-0002-0000-0600-000038000000}">
      <formula1>0</formula1>
    </dataValidation>
    <dataValidation type="decimal" errorStyle="warning" operator="greaterThanOrEqual" allowBlank="1" showInputMessage="1" showErrorMessage="1" errorTitle="其他业务收入（金融类）为负，请核实是否符合公司发展逻辑" error="其他业务收入（金融类）为负，请核实是否符合公司发展逻辑" sqref="I108:T108" xr:uid="{00000000-0002-0000-0600-000039000000}">
      <formula1>0</formula1>
    </dataValidation>
    <dataValidation type="decimal" errorStyle="warning" operator="greaterThanOrEqual" allowBlank="1" showInputMessage="1" showErrorMessage="1" errorTitle="营业税金及附加科目为负，请核实是否符合公司发展逻辑" error="营业税金及附加科目为负，请核实是否符合公司发展逻辑" sqref="I111:T111" xr:uid="{00000000-0002-0000-0600-00003A000000}">
      <formula1>0</formula1>
    </dataValidation>
    <dataValidation type="decimal" errorStyle="warning" operator="greaterThanOrEqual" allowBlank="1" showInputMessage="1" showErrorMessage="1" errorTitle="销售费用科目为负，请核实是否符合公司发展逻辑" error="销售费用科目为负，请核实是否符合公司发展逻辑" sqref="I112:T112" xr:uid="{00000000-0002-0000-0600-00003B000000}">
      <formula1>0</formula1>
    </dataValidation>
    <dataValidation type="decimal" errorStyle="warning" operator="greaterThanOrEqual" allowBlank="1" showInputMessage="1" showErrorMessage="1" errorTitle="其他业务成本（金融类）科目为负，请核实是否符合公司发展逻辑" error="其他业务成本（金融类）科目为负，请核实是否符合公司发展逻辑" sqref="I116:T116" xr:uid="{00000000-0002-0000-0600-00003C000000}">
      <formula1>0</formula1>
    </dataValidation>
    <dataValidation type="decimal" errorStyle="warning" operator="greaterThanOrEqual" allowBlank="1" showInputMessage="1" showErrorMessage="1" errorTitle="营业外收入科目为负，请核实是否符合公司发展逻辑" error="营业外收入科目为负，请核实是否符合公司发展逻辑" sqref="I127:T127" xr:uid="{00000000-0002-0000-0600-00003D000000}">
      <formula1>0</formula1>
    </dataValidation>
    <dataValidation type="decimal" errorStyle="warning" operator="greaterThanOrEqual" allowBlank="1" showInputMessage="1" showErrorMessage="1" errorTitle="营业外支出科目为负，请核实是否符合公司发展逻辑" error="营业外支出科目为负，请核实是否符合公司发展逻辑" sqref="I128:T128" xr:uid="{00000000-0002-0000-0600-00003E000000}">
      <formula1>0</formula1>
    </dataValidation>
    <dataValidation type="textLength" errorStyle="warning" operator="greaterThan" showInputMessage="1" showErrorMessage="1" errorTitle="财务附注信息为空,请确认" error="财务附注信息为空,请确认" sqref="D190:H190 D196:H196 D199:H199 D244:H246 D248:H249 D252:H257 D259:H262" xr:uid="{00000000-0002-0000-0600-00003F000000}">
      <formula1>0</formula1>
    </dataValidation>
    <dataValidation type="textLength" errorStyle="warning" operator="greaterThan" showInputMessage="1" showErrorMessage="1" sqref="D193:H193" xr:uid="{00000000-0002-0000-0600-000040000000}">
      <formula1>0</formula1>
    </dataValidation>
    <dataValidation type="whole" operator="notEqual" allowBlank="1" showInputMessage="1" showErrorMessage="1" errorTitle="固定资产中房屋及建筑物期末余额不能为空" error="固定资产中房屋及建筑物期末余额不能为空" sqref="G235" xr:uid="{00000000-0002-0000-0600-000041000000}">
      <formula1>1</formula1>
    </dataValidation>
    <dataValidation type="whole" operator="notEqual" allowBlank="1" showInputMessage="1" showErrorMessage="1" errorTitle="固定资产中机械设备期末余额不能为空" error="固定资产中机械设备期末余额不能为空" sqref="G236" xr:uid="{00000000-0002-0000-0600-000042000000}">
      <formula1>1</formula1>
    </dataValidation>
    <dataValidation type="whole" operator="notEqual" allowBlank="1" showInputMessage="1" showErrorMessage="1" errorTitle="固定资产中运输设备期末余额不能为空" error="固定资产中运输设备期末余额不能为空" sqref="G237" xr:uid="{00000000-0002-0000-0600-000043000000}">
      <formula1>1</formula1>
    </dataValidation>
    <dataValidation type="whole" operator="notEqual" allowBlank="1" showInputMessage="1" showErrorMessage="1" errorTitle="固定资产中其他资产期末余额不能为空" error="固定资产中其他资产期末余额不能为空" sqref="G238" xr:uid="{00000000-0002-0000-0600-000044000000}">
      <formula1>1</formula1>
    </dataValidation>
    <dataValidation type="textLength" operator="greaterThan" showInputMessage="1" showErrorMessage="1" errorTitle="本期在建工程转入固定资产不能为空" error="本期在建工程转入固定资产不能为空" sqref="H239" xr:uid="{00000000-0002-0000-0600-000045000000}">
      <formula1>0</formula1>
    </dataValidation>
    <dataValidation type="textLength" operator="greaterThan" showInputMessage="1" showErrorMessage="1" errorTitle="生产性生物资产期末余额不能为空" error="生产性生物资产期末余额不能为空" sqref="H240" xr:uid="{00000000-0002-0000-0600-000046000000}">
      <formula1>0</formula1>
    </dataValidation>
    <dataValidation type="textLength" operator="greaterThan" showInputMessage="1" showErrorMessage="1" errorTitle="油气资产期末余额不能为空" error="油气资产期末余额不能为空" sqref="H241:H242" xr:uid="{00000000-0002-0000-0600-000047000000}">
      <formula1>0</formula1>
    </dataValidation>
    <dataValidation type="decimal" errorStyle="warning" operator="greaterThanOrEqual" allowBlank="1" showInputMessage="1" showErrorMessage="1" errorTitle="可供出售金融资产科目为负，请核实是否符合公司发展逻辑" error="可供出售金融资产科目为负，请核实是否符合公司发展逻辑" sqref="I25:T27" xr:uid="{00000000-0002-0000-0600-000048000000}">
      <formula1>0</formula1>
    </dataValidation>
    <dataValidation type="decimal" errorStyle="warning" operator="greaterThanOrEqual" allowBlank="1" showInputMessage="1" showErrorMessage="1" errorTitle="管理费用科目为负，请核实是否符合公司发展逻辑" error="管理费用科目为负，请核实是否符合公司发展逻辑" sqref="I113:T114" xr:uid="{00000000-0002-0000-0600-000049000000}">
      <formula1>0</formula1>
    </dataValidation>
    <dataValidation type="decimal" errorStyle="warning" operator="greaterThanOrEqual" allowBlank="1" showInputMessage="1" showErrorMessage="1" errorTitle="交易性金融资产科目为负，请核实是否符合公司发展逻辑" error="交易性金融资产科目为负，请核实是否符合公司发展逻辑" sqref="I8:T9" xr:uid="{00000000-0002-0000-0600-00004A000000}">
      <formula1>0</formula1>
    </dataValidation>
    <dataValidation type="decimal" errorStyle="warning" operator="greaterThanOrEqual" allowBlank="1" showInputMessage="1" showErrorMessage="1" errorTitle="无形资产净值科目为负，请核实是否符合公司发展逻辑" error="无形资产净值科目为负，请核实是否符合公司发展逻辑" sqref="I38:T39" xr:uid="{00000000-0002-0000-0600-00004B000000}">
      <formula1>0</formula1>
    </dataValidation>
    <dataValidation type="decimal" errorStyle="warning" operator="greaterThanOrEqual" allowBlank="1" showInputMessage="1" showErrorMessage="1" errorTitle="交易性金融负债科目为负，请核实是否符合公司发展逻辑" error="交易性金融负债科目为负，请核实是否符合公司发展逻辑" sqref="I52:T53" xr:uid="{00000000-0002-0000-0600-00004C000000}">
      <formula1>0</formula1>
    </dataValidation>
    <dataValidation type="decimal" errorStyle="warning" operator="greaterThanOrEqual" allowBlank="1" showInputMessage="1" showErrorMessage="1" errorTitle="预收款项科目为负，请核实是否符合公司发展逻辑" error="预收款项科目为负，请核实是否符合公司发展逻辑" sqref="I56:T57" xr:uid="{00000000-0002-0000-0600-00004D000000}">
      <formula1>0</formula1>
    </dataValidation>
    <dataValidation type="decimal" errorStyle="warning" operator="greaterThanOrEqual" allowBlank="1" showInputMessage="1" showErrorMessage="1" errorTitle="应付债券科目为负，请核实是否符合公司发展逻辑" error="应付债券科目为负，请核实是否符合公司发展逻辑" sqref="I72:T73" xr:uid="{00000000-0002-0000-0600-00004E000000}">
      <formula1>0</formula1>
    </dataValidation>
  </dataValidations>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2:R71"/>
  <sheetViews>
    <sheetView topLeftCell="A10" workbookViewId="0">
      <selection activeCell="D43" sqref="D43"/>
    </sheetView>
  </sheetViews>
  <sheetFormatPr defaultColWidth="9" defaultRowHeight="13.9"/>
  <cols>
    <col min="1" max="1" width="9" style="26"/>
    <col min="2" max="2" width="13" style="26" customWidth="1"/>
    <col min="3" max="3" width="10.9296875" style="26" customWidth="1"/>
    <col min="4" max="13" width="12.46484375" style="26" customWidth="1"/>
    <col min="14" max="16384" width="9" style="26"/>
  </cols>
  <sheetData>
    <row r="2" spans="2:18" ht="14.65">
      <c r="B2" s="95" t="s">
        <v>1246</v>
      </c>
      <c r="C2" s="96">
        <f>假设表!I148</f>
        <v>0</v>
      </c>
      <c r="E2" s="97" t="s">
        <v>1247</v>
      </c>
      <c r="F2" s="98"/>
      <c r="G2" s="99"/>
      <c r="H2" s="99"/>
      <c r="I2" s="99"/>
      <c r="J2" s="99"/>
      <c r="K2" s="130"/>
    </row>
    <row r="3" spans="2:18">
      <c r="B3" s="100"/>
      <c r="C3" s="100"/>
      <c r="E3" s="101"/>
      <c r="G3" s="26" t="s">
        <v>1248</v>
      </c>
      <c r="H3" s="102">
        <f>假设表!I152</f>
        <v>0</v>
      </c>
      <c r="K3" s="131"/>
    </row>
    <row r="4" spans="2:18" ht="14.65">
      <c r="B4" s="103" t="s">
        <v>1249</v>
      </c>
      <c r="C4" s="100"/>
      <c r="E4" s="101"/>
      <c r="G4" s="26" t="s">
        <v>1250</v>
      </c>
      <c r="H4" s="102">
        <f>假设表!I153</f>
        <v>0</v>
      </c>
      <c r="K4" s="131"/>
      <c r="M4" s="132"/>
      <c r="N4" s="133"/>
      <c r="O4" s="133"/>
      <c r="P4" s="133"/>
      <c r="Q4" s="133"/>
      <c r="R4" s="133"/>
    </row>
    <row r="5" spans="2:18" ht="14.65">
      <c r="B5" s="104" t="s">
        <v>1251</v>
      </c>
      <c r="C5" s="105" t="s">
        <v>1249</v>
      </c>
      <c r="E5" s="101" t="s">
        <v>1252</v>
      </c>
      <c r="G5" s="26" t="s">
        <v>1253</v>
      </c>
      <c r="H5" s="102">
        <f>假设表!I155</f>
        <v>0</v>
      </c>
      <c r="K5" s="131"/>
      <c r="M5" s="133"/>
      <c r="N5" s="81"/>
      <c r="O5" s="81"/>
      <c r="P5" s="81"/>
      <c r="Q5" s="81"/>
      <c r="R5" s="81"/>
    </row>
    <row r="6" spans="2:18" ht="14.65">
      <c r="B6" s="106" t="s">
        <v>1254</v>
      </c>
      <c r="C6" s="107" t="e">
        <f ca="1">D32</f>
        <v>#DIV/0!</v>
      </c>
      <c r="E6" s="108">
        <f>H3*H4*(1-H5)+H7*H8</f>
        <v>0</v>
      </c>
      <c r="K6" s="131"/>
      <c r="M6" s="133"/>
      <c r="N6" s="81"/>
      <c r="O6" s="81"/>
      <c r="P6" s="81"/>
      <c r="Q6" s="81"/>
      <c r="R6" s="81"/>
    </row>
    <row r="7" spans="2:18" ht="14.65">
      <c r="B7" s="109" t="s">
        <v>1255</v>
      </c>
      <c r="C7" s="110" t="e">
        <f>D40</f>
        <v>#DIV/0!</v>
      </c>
      <c r="E7" s="101"/>
      <c r="G7" s="26" t="s">
        <v>1256</v>
      </c>
      <c r="H7" s="111">
        <f>1-H3</f>
        <v>1</v>
      </c>
      <c r="K7" s="131"/>
      <c r="M7" s="133"/>
      <c r="N7" s="81"/>
      <c r="O7" s="81"/>
      <c r="P7" s="81"/>
      <c r="Q7" s="81"/>
      <c r="R7" s="81"/>
    </row>
    <row r="8" spans="2:18" ht="14.65">
      <c r="B8" s="106" t="s">
        <v>1257</v>
      </c>
      <c r="C8" s="107">
        <f ca="1">D46</f>
        <v>0</v>
      </c>
      <c r="E8" s="101"/>
      <c r="G8" s="26" t="s">
        <v>1258</v>
      </c>
      <c r="H8" s="111">
        <f>K8+K9*K10</f>
        <v>0</v>
      </c>
      <c r="J8" s="26" t="s">
        <v>886</v>
      </c>
      <c r="K8" s="134">
        <f>假设表!I150</f>
        <v>0</v>
      </c>
      <c r="M8" s="133"/>
      <c r="N8" s="81"/>
      <c r="O8" s="81"/>
      <c r="P8" s="81"/>
      <c r="Q8" s="81"/>
      <c r="R8" s="81"/>
    </row>
    <row r="9" spans="2:18" ht="14.65">
      <c r="B9" s="109" t="s">
        <v>1259</v>
      </c>
      <c r="C9" s="110">
        <f ca="1">D52</f>
        <v>0</v>
      </c>
      <c r="E9" s="101"/>
      <c r="J9" s="26" t="s">
        <v>1260</v>
      </c>
      <c r="K9" s="134">
        <f>假设表!I151</f>
        <v>0</v>
      </c>
      <c r="M9" s="133"/>
      <c r="N9" s="81"/>
      <c r="O9" s="81"/>
      <c r="P9" s="81"/>
      <c r="Q9" s="81"/>
      <c r="R9" s="81"/>
    </row>
    <row r="10" spans="2:18" ht="14.65">
      <c r="B10" s="109" t="s">
        <v>1261</v>
      </c>
      <c r="C10" s="110">
        <f>D58</f>
        <v>0</v>
      </c>
      <c r="E10" s="112"/>
      <c r="F10" s="113"/>
      <c r="G10" s="113"/>
      <c r="H10" s="113"/>
      <c r="I10" s="113"/>
      <c r="J10" s="113" t="s">
        <v>1262</v>
      </c>
      <c r="K10" s="135">
        <f>假设表!I149</f>
        <v>0</v>
      </c>
    </row>
    <row r="11" spans="2:18" ht="14.65">
      <c r="B11" s="109" t="s">
        <v>1263</v>
      </c>
      <c r="C11" s="110">
        <f ca="1">D65</f>
        <v>0</v>
      </c>
    </row>
    <row r="12" spans="2:18" ht="14.65">
      <c r="B12" s="114" t="s">
        <v>84</v>
      </c>
      <c r="C12" s="115">
        <f ca="1">D71</f>
        <v>11.533972248348261</v>
      </c>
      <c r="E12" s="26" t="s">
        <v>1264</v>
      </c>
      <c r="F12" s="116">
        <f>假设表!I154</f>
        <v>0</v>
      </c>
    </row>
    <row r="14" spans="2:18" ht="14.65">
      <c r="B14" s="117" t="s">
        <v>1254</v>
      </c>
      <c r="C14" s="118"/>
      <c r="D14" s="118"/>
      <c r="E14" s="118"/>
      <c r="F14" s="118"/>
      <c r="G14" s="118"/>
      <c r="H14" s="118"/>
      <c r="I14" s="118"/>
      <c r="J14" s="118"/>
      <c r="K14" s="118"/>
      <c r="L14" s="118"/>
      <c r="M14" s="125"/>
    </row>
    <row r="15" spans="2:18">
      <c r="B15" s="101"/>
      <c r="D15" s="77">
        <f>C2+1</f>
        <v>1</v>
      </c>
      <c r="E15" s="77">
        <f>D15+1</f>
        <v>2</v>
      </c>
      <c r="F15" s="77">
        <f t="shared" ref="F15:M15" si="0">E15+1</f>
        <v>3</v>
      </c>
      <c r="G15" s="77">
        <f t="shared" si="0"/>
        <v>4</v>
      </c>
      <c r="H15" s="77">
        <f t="shared" si="0"/>
        <v>5</v>
      </c>
      <c r="I15" s="77">
        <f t="shared" si="0"/>
        <v>6</v>
      </c>
      <c r="J15" s="77">
        <f t="shared" si="0"/>
        <v>7</v>
      </c>
      <c r="K15" s="77">
        <f t="shared" si="0"/>
        <v>8</v>
      </c>
      <c r="L15" s="77">
        <f t="shared" si="0"/>
        <v>9</v>
      </c>
      <c r="M15" s="126">
        <f t="shared" si="0"/>
        <v>10</v>
      </c>
    </row>
    <row r="16" spans="2:18">
      <c r="B16" s="101" t="s">
        <v>171</v>
      </c>
      <c r="D16" s="119">
        <f ca="1">IF($C$2=历史数据及预测表!$I$4,历史数据及预测表!J136+历史数据及预测表!J131+历史数据及预测表!J115,IF($C$2=历史数据及预测表!$H$4,历史数据及预测表!I136+历史数据及预测表!I131+历史数据及预测表!I115,历史数据及预测表!K136+历史数据及预测表!K131+历史数据及预测表!K115))</f>
        <v>2914.2631446395644</v>
      </c>
      <c r="E16" s="119">
        <f ca="1">IF($C$2=历史数据及预测表!$I$4,历史数据及预测表!K136+历史数据及预测表!K131+历史数据及预测表!K115,IF($C$2=历史数据及预测表!$H$4,历史数据及预测表!J136+历史数据及预测表!J131+历史数据及预测表!J115,历史数据及预测表!L136+历史数据及预测表!L131+历史数据及预测表!L115))</f>
        <v>3273.6015095877083</v>
      </c>
      <c r="F16" s="119">
        <f ca="1">IF($C$2=历史数据及预测表!$I$4,历史数据及预测表!L136+历史数据及预测表!L131+历史数据及预测表!L115,IF($C$2=历史数据及预测表!$H$4,历史数据及预测表!K136+历史数据及预测表!K131+历史数据及预测表!K115,历史数据及预测表!M136+历史数据及预测表!M131+历史数据及预测表!M115))</f>
        <v>4444.6803636258646</v>
      </c>
      <c r="G16" s="119">
        <f ca="1">IF($C$2=历史数据及预测表!$I$4,历史数据及预测表!M136+历史数据及预测表!M131+历史数据及预测表!M115,IF($C$2=历史数据及预测表!$H$4,历史数据及预测表!L136+历史数据及预测表!L131+历史数据及预测表!L115,历史数据及预测表!N136+历史数据及预测表!N131+历史数据及预测表!N115))</f>
        <v>4952.0553407851949</v>
      </c>
      <c r="H16" s="119">
        <f ca="1">IF($C$2=历史数据及预测表!$I$4,历史数据及预测表!N136+历史数据及预测表!N131+历史数据及预测表!N115,IF($C$2=历史数据及预测表!$H$4,历史数据及预测表!M136+历史数据及预测表!M131+历史数据及预测表!M115,历史数据及预测表!O136+历史数据及预测表!O131+历史数据及预测表!O115))</f>
        <v>5916.1269089227299</v>
      </c>
      <c r="I16" s="119">
        <f ca="1">IF($C$2=历史数据及预测表!$I$4,历史数据及预测表!O136+历史数据及预测表!O131+历史数据及预测表!O115,IF($C$2=历史数据及预测表!$H$4,历史数据及预测表!N136+历史数据及预测表!N131+历史数据及预测表!N115,历史数据及预测表!P136+历史数据及预测表!P131+历史数据及预测表!P115))</f>
        <v>7208.3760907357992</v>
      </c>
      <c r="J16" s="119">
        <f ca="1">IF($C$2=历史数据及预测表!$I$4,历史数据及预测表!P136+历史数据及预测表!P131+历史数据及预测表!P115,IF($C$2=历史数据及预测表!$H$4,历史数据及预测表!O136+历史数据及预测表!O131+历史数据及预测表!O115,历史数据及预测表!Q136+历史数据及预测表!Q131+历史数据及预测表!Q115))</f>
        <v>8470.7034729330207</v>
      </c>
      <c r="K16" s="119">
        <f ca="1">IF($C$2=历史数据及预测表!$I$4,历史数据及预测表!Q136+历史数据及预测表!Q131+历史数据及预测表!Q115,IF($C$2=历史数据及预测表!$H$4,历史数据及预测表!P136+历史数据及预测表!P131+历史数据及预测表!P115,历史数据及预测表!R136+历史数据及预测表!R131+历史数据及预测表!R115))</f>
        <v>10136.589746627871</v>
      </c>
      <c r="L16" s="119">
        <f ca="1">IF($C$2=历史数据及预测表!$I$4,历史数据及预测表!R136+历史数据及预测表!R131+历史数据及预测表!R115,IF($C$2=历史数据及预测表!$H$4,历史数据及预测表!Q136+历史数据及预测表!Q131+历史数据及预测表!Q115,历史数据及预测表!S136+历史数据及预测表!S131+历史数据及预测表!S115))</f>
        <v>12094.915048639994</v>
      </c>
      <c r="M16" s="129">
        <f ca="1">IF($C$2=历史数据及预测表!$I$4,历史数据及预测表!S136+历史数据及预测表!S131+历史数据及预测表!S115,IF($C$2=历史数据及预测表!$H$4,历史数据及预测表!R136+历史数据及预测表!R131+历史数据及预测表!R115,历史数据及预测表!T136+历史数据及预测表!T131+历史数据及预测表!T115))</f>
        <v>14435.595354697942</v>
      </c>
    </row>
    <row r="17" spans="2:13">
      <c r="B17" s="101" t="s">
        <v>1265</v>
      </c>
      <c r="D17" s="120">
        <f>IF($C$2=历史数据及预测表!$I$4,假设表!J20,IF($C$2=历史数据及预测表!$H$4,假设表!I20,假设表!K20))</f>
        <v>9.1887813680725586E-2</v>
      </c>
      <c r="E17" s="120">
        <f>IF($C$2=历史数据及预测表!$I$4,假设表!K20,IF($C$2=历史数据及预测表!$H$4,假设表!J20,假设表!L20))</f>
        <v>9.1616537269382528E-2</v>
      </c>
      <c r="F17" s="120">
        <f>IF($C$2=历史数据及预测表!$I$4,假设表!L20,IF($C$2=历史数据及预测表!$H$4,假设表!K20,假设表!M20))</f>
        <v>9.3443111915205157E-2</v>
      </c>
      <c r="G17" s="120">
        <f>IF($C$2=历史数据及预测表!$I$4,假设表!M20,IF($C$2=历史数据及预测表!$H$4,假设表!L20,假设表!N20))</f>
        <v>9.2315820955104419E-2</v>
      </c>
      <c r="H17" s="120">
        <f>IF($C$2=历史数据及预测表!$I$4,假设表!N20,IF($C$2=历史数据及预测表!$H$4,假设表!M20,假设表!O20))</f>
        <v>9.2458490046564035E-2</v>
      </c>
      <c r="I17" s="120">
        <f>IF($C$2=历史数据及预测表!$I$4,假设表!O20,IF($C$2=历史数据及预测表!$H$4,假设表!N20,假设表!P20))</f>
        <v>9.2739140972291204E-2</v>
      </c>
      <c r="J17" s="120">
        <f>IF($C$2=历史数据及预测表!$I$4,假设表!P20,IF($C$2=历史数据及预测表!$H$4,假设表!O20,假设表!Q20))</f>
        <v>9.2504483991319886E-2</v>
      </c>
      <c r="K17" s="120">
        <f>IF($C$2=历史数据及预测表!$I$4,假设表!Q20,IF($C$2=历史数据及预测表!$H$4,假设表!P20,假设表!R20))</f>
        <v>9.2567371670058365E-2</v>
      </c>
      <c r="L17" s="120">
        <f>IF($C$2=历史数据及预测表!$I$4,假设表!R20,IF($C$2=历史数据及预测表!$H$4,假设表!Q20,假设表!S20))</f>
        <v>9.2567371670058365E-2</v>
      </c>
      <c r="M17" s="136">
        <f>IF($C$2=历史数据及预测表!$I$4,假设表!S20,IF($C$2=历史数据及预测表!$H$4,假设表!R20,假设表!T20))</f>
        <v>9.2567371670058365E-2</v>
      </c>
    </row>
    <row r="18" spans="2:13">
      <c r="B18" s="101" t="s">
        <v>1266</v>
      </c>
      <c r="D18" s="119">
        <f ca="1">D16*(1-D17)</f>
        <v>2646.4778757883187</v>
      </c>
      <c r="E18" s="119">
        <f t="shared" ref="E18:M18" ca="1" si="1">E16*(1-E17)</f>
        <v>2973.685474879459</v>
      </c>
      <c r="F18" s="119">
        <f t="shared" ca="1" si="1"/>
        <v>4029.355598980258</v>
      </c>
      <c r="G18" s="119">
        <f t="shared" ca="1" si="1"/>
        <v>4494.9022865855004</v>
      </c>
      <c r="H18" s="119">
        <f t="shared" ca="1" si="1"/>
        <v>5369.1307479998877</v>
      </c>
      <c r="I18" s="119">
        <f t="shared" ca="1" si="1"/>
        <v>6539.8774842757584</v>
      </c>
      <c r="J18" s="119">
        <f t="shared" ca="1" si="1"/>
        <v>7687.1254191258704</v>
      </c>
      <c r="K18" s="119">
        <f t="shared" ca="1" si="1"/>
        <v>9198.2722760848665</v>
      </c>
      <c r="L18" s="119">
        <f t="shared" ca="1" si="1"/>
        <v>10975.320552014753</v>
      </c>
      <c r="M18" s="129">
        <f t="shared" ca="1" si="1"/>
        <v>13099.33023422105</v>
      </c>
    </row>
    <row r="19" spans="2:13">
      <c r="B19" s="101" t="s">
        <v>1267</v>
      </c>
      <c r="D19" s="119">
        <f>IF($C$2=历史数据及预测表!$I$4,历史数据及预测表!J151,IF($C$2=历史数据及预测表!$H$4,历史数据及预测表!I151,历史数据及预测表!K151))</f>
        <v>100.91571254895001</v>
      </c>
      <c r="E19" s="119">
        <f>IF($C$2=历史数据及预测表!$I$4,历史数据及预测表!K151,IF($C$2=历史数据及预测表!$H$4,历史数据及预测表!J151,历史数据及预测表!L151))</f>
        <v>119.91571254895001</v>
      </c>
      <c r="F19" s="119">
        <f>IF($C$2=历史数据及预测表!$I$4,历史数据及预测表!L151,IF($C$2=历史数据及预测表!$H$4,历史数据及预测表!K151,历史数据及预测表!M151))</f>
        <v>138.91571254895001</v>
      </c>
      <c r="G19" s="119">
        <f>IF($C$2=历史数据及预测表!$I$4,历史数据及预测表!M151,IF($C$2=历史数据及预测表!$H$4,历史数据及预测表!L151,历史数据及预测表!N151))</f>
        <v>157.91571254895001</v>
      </c>
      <c r="H19" s="119">
        <f>IF($C$2=历史数据及预测表!$I$4,历史数据及预测表!N151,IF($C$2=历史数据及预测表!$H$4,历史数据及预测表!M151,历史数据及预测表!O151))</f>
        <v>176.91571254895001</v>
      </c>
      <c r="I19" s="119">
        <f>IF($C$2=历史数据及预测表!$I$4,历史数据及预测表!O151,IF($C$2=历史数据及预测表!$H$4,历史数据及预测表!N151,历史数据及预测表!P151))</f>
        <v>195.91571254895001</v>
      </c>
      <c r="J19" s="119">
        <f>IF($C$2=历史数据及预测表!$I$4,历史数据及预测表!P151,IF($C$2=历史数据及预测表!$H$4,历史数据及预测表!O151,历史数据及预测表!Q151))</f>
        <v>214.91571254895001</v>
      </c>
      <c r="K19" s="119">
        <f>IF($C$2=历史数据及预测表!$I$4,历史数据及预测表!Q151,IF($C$2=历史数据及预测表!$H$4,历史数据及预测表!P151,历史数据及预测表!R151))</f>
        <v>233.91571254895001</v>
      </c>
      <c r="L19" s="119">
        <f>IF($C$2=历史数据及预测表!$I$4,历史数据及预测表!R151,IF($C$2=历史数据及预测表!$H$4,历史数据及预测表!Q151,历史数据及预测表!S151))</f>
        <v>190</v>
      </c>
      <c r="M19" s="129">
        <f>IF($C$2=历史数据及预测表!$I$4,历史数据及预测表!S151,IF($C$2=历史数据及预测表!$H$4,历史数据及预测表!R151,历史数据及预测表!T151))</f>
        <v>190</v>
      </c>
    </row>
    <row r="20" spans="2:13">
      <c r="B20" s="101" t="s">
        <v>1268</v>
      </c>
      <c r="D20" s="119">
        <f>-IF($C$2=历史数据及预测表!$I$4,历史数据及预测表!J157,IF($C$2=历史数据及预测表!$H$4,历史数据及预测表!I157,历史数据及预测表!K157))</f>
        <v>1186.240536007128</v>
      </c>
      <c r="E20" s="119">
        <f>-IF($C$2=历史数据及预测表!$I$4,历史数据及预测表!K157,IF($C$2=历史数据及预测表!$H$4,历史数据及预测表!J157,历史数据及预测表!L157))</f>
        <v>1297.8673037209901</v>
      </c>
      <c r="F20" s="119">
        <f>-IF($C$2=历史数据及预测表!$I$4,历史数据及预测表!L157,IF($C$2=历史数据及预测表!$H$4,历史数据及预测表!K157,历史数据及预测表!M157))</f>
        <v>1143.9100754381379</v>
      </c>
      <c r="G20" s="119">
        <f>-IF($C$2=历史数据及预测表!$I$4,历史数据及预测表!M157,IF($C$2=历史数据及预测表!$H$4,历史数据及预测表!L157,历史数据及预测表!N157))</f>
        <v>1743.4348953702647</v>
      </c>
      <c r="H20" s="119">
        <f>-IF($C$2=历史数据及预测表!$I$4,历史数据及预测表!N157,IF($C$2=历史数据及预测表!$H$4,历史数据及预测表!M157,历史数据及预测表!O157))</f>
        <v>1976.704537163343</v>
      </c>
      <c r="I20" s="119">
        <f>-IF($C$2=历史数据及预测表!$I$4,历史数据及预测表!O157,IF($C$2=历史数据及预测表!$H$4,历史数据及预测表!N157,历史数据及预测表!P157))</f>
        <v>2267.0114553847889</v>
      </c>
      <c r="J20" s="119">
        <f>-IF($C$2=历史数据及预测表!$I$4,历史数据及预测表!P157,IF($C$2=历史数据及预测表!$H$4,历史数据及预测表!O157,历史数据及预测表!Q157))</f>
        <v>2834.5892455186913</v>
      </c>
      <c r="K20" s="119">
        <f>-IF($C$2=历史数据及预测表!$I$4,历史数据及预测表!Q157,IF($C$2=历史数据及预测表!$H$4,历史数据及预测表!P157,历史数据及预测表!R157))</f>
        <v>3331.4458645604464</v>
      </c>
      <c r="L20" s="119">
        <f>-IF($C$2=历史数据及预测表!$I$4,历史数据及预测表!R157,IF($C$2=历史数据及预测表!$H$4,历史数据及预测表!Q157,历史数据及预测表!S157))</f>
        <v>3981.6576953518088</v>
      </c>
      <c r="M20" s="129">
        <f>-IF($C$2=历史数据及预测表!$I$4,历史数据及预测表!S157,IF($C$2=历史数据及预测表!$H$4,历史数据及预测表!R157,历史数据及预测表!T157))</f>
        <v>4756.6209830560656</v>
      </c>
    </row>
    <row r="21" spans="2:13">
      <c r="B21" s="101" t="s">
        <v>1269</v>
      </c>
      <c r="D21" s="119">
        <f>-IF($C$2=历史数据及预测表!$I$4,历史数据及预测表!J162,IF($C$2=历史数据及预测表!$H$4,历史数据及预测表!I162,历史数据及预测表!K162))</f>
        <v>200</v>
      </c>
      <c r="E21" s="119">
        <f>-IF($C$2=历史数据及预测表!$I$4,历史数据及预测表!K162,IF($C$2=历史数据及预测表!$H$4,历史数据及预测表!J162,历史数据及预测表!L162))</f>
        <v>200</v>
      </c>
      <c r="F21" s="119">
        <f>-IF($C$2=历史数据及预测表!$I$4,历史数据及预测表!L162,IF($C$2=历史数据及预测表!$H$4,历史数据及预测表!K162,历史数据及预测表!M162))</f>
        <v>200</v>
      </c>
      <c r="G21" s="119">
        <f>-IF($C$2=历史数据及预测表!$I$4,历史数据及预测表!M162,IF($C$2=历史数据及预测表!$H$4,历史数据及预测表!L162,历史数据及预测表!N162))</f>
        <v>200</v>
      </c>
      <c r="H21" s="119">
        <f>-IF($C$2=历史数据及预测表!$I$4,历史数据及预测表!N162,IF($C$2=历史数据及预测表!$H$4,历史数据及预测表!M162,历史数据及预测表!O162))</f>
        <v>200</v>
      </c>
      <c r="I21" s="119">
        <f>-IF($C$2=历史数据及预测表!$I$4,历史数据及预测表!O162,IF($C$2=历史数据及预测表!$H$4,历史数据及预测表!N162,历史数据及预测表!P162))</f>
        <v>200</v>
      </c>
      <c r="J21" s="119">
        <f>-IF($C$2=历史数据及预测表!$I$4,历史数据及预测表!P162,IF($C$2=历史数据及预测表!$H$4,历史数据及预测表!O162,历史数据及预测表!Q162))</f>
        <v>200</v>
      </c>
      <c r="K21" s="119">
        <f>-IF($C$2=历史数据及预测表!$I$4,历史数据及预测表!Q162,IF($C$2=历史数据及预测表!$H$4,历史数据及预测表!P162,历史数据及预测表!R162))</f>
        <v>200</v>
      </c>
      <c r="L21" s="119">
        <f>-IF($C$2=历史数据及预测表!$I$4,历史数据及预测表!R162,IF($C$2=历史数据及预测表!$H$4,历史数据及预测表!Q162,历史数据及预测表!S162))</f>
        <v>200</v>
      </c>
      <c r="M21" s="129">
        <f>-IF($C$2=历史数据及预测表!$I$4,历史数据及预测表!S162,IF($C$2=历史数据及预测表!$H$4,历史数据及预测表!R162,历史数据及预测表!T162))</f>
        <v>200</v>
      </c>
    </row>
    <row r="22" spans="2:13" ht="14.65">
      <c r="B22" s="121" t="s">
        <v>1270</v>
      </c>
      <c r="D22" s="122">
        <f ca="1">D18+D19-D20-D21</f>
        <v>1361.1530523301408</v>
      </c>
      <c r="E22" s="122">
        <f t="shared" ref="E22:M22" ca="1" si="2">E18+E19-E20-E21</f>
        <v>1595.733883707419</v>
      </c>
      <c r="F22" s="122">
        <f t="shared" ca="1" si="2"/>
        <v>2824.3612360910702</v>
      </c>
      <c r="G22" s="122">
        <f t="shared" ca="1" si="2"/>
        <v>2709.3831037641858</v>
      </c>
      <c r="H22" s="122">
        <f t="shared" ca="1" si="2"/>
        <v>3369.3419233854947</v>
      </c>
      <c r="I22" s="122">
        <f t="shared" ca="1" si="2"/>
        <v>4268.7817414399196</v>
      </c>
      <c r="J22" s="122">
        <f t="shared" ca="1" si="2"/>
        <v>4867.4518861561291</v>
      </c>
      <c r="K22" s="122">
        <f t="shared" ca="1" si="2"/>
        <v>5900.7421240733693</v>
      </c>
      <c r="L22" s="122">
        <f t="shared" ca="1" si="2"/>
        <v>6983.6628566629443</v>
      </c>
      <c r="M22" s="137">
        <f t="shared" ca="1" si="2"/>
        <v>8332.7092511649844</v>
      </c>
    </row>
    <row r="23" spans="2:13">
      <c r="B23" s="101" t="s">
        <v>1271</v>
      </c>
      <c r="D23" s="119">
        <f ca="1">D22/(1+$E$6)^(D15-$C$2)</f>
        <v>1361.1530523301408</v>
      </c>
      <c r="E23" s="119">
        <f t="shared" ref="E23:M23" ca="1" si="3">E22/(1+$E$6)^(E15-$C$2)</f>
        <v>1595.733883707419</v>
      </c>
      <c r="F23" s="119">
        <f t="shared" ca="1" si="3"/>
        <v>2824.3612360910702</v>
      </c>
      <c r="G23" s="119">
        <f t="shared" ca="1" si="3"/>
        <v>2709.3831037641858</v>
      </c>
      <c r="H23" s="119">
        <f t="shared" ca="1" si="3"/>
        <v>3369.3419233854947</v>
      </c>
      <c r="I23" s="119">
        <f t="shared" ca="1" si="3"/>
        <v>4268.7817414399196</v>
      </c>
      <c r="J23" s="119">
        <f t="shared" ca="1" si="3"/>
        <v>4867.4518861561291</v>
      </c>
      <c r="K23" s="119">
        <f t="shared" ca="1" si="3"/>
        <v>5900.7421240733693</v>
      </c>
      <c r="L23" s="119">
        <f t="shared" ca="1" si="3"/>
        <v>6983.6628566629443</v>
      </c>
      <c r="M23" s="129">
        <f t="shared" ca="1" si="3"/>
        <v>8332.7092511649844</v>
      </c>
    </row>
    <row r="24" spans="2:13">
      <c r="B24" s="101" t="s">
        <v>1264</v>
      </c>
      <c r="D24" s="454" t="e">
        <f ca="1">IF(E6&lt;F12,0,M22*(1+F12)/(E6-F12))</f>
        <v>#DIV/0!</v>
      </c>
      <c r="E24" s="454"/>
      <c r="F24" s="454"/>
      <c r="G24" s="454"/>
      <c r="H24" s="454"/>
      <c r="I24" s="454"/>
      <c r="J24" s="454"/>
      <c r="K24" s="454"/>
      <c r="L24" s="454"/>
      <c r="M24" s="455"/>
    </row>
    <row r="25" spans="2:13">
      <c r="B25" s="101" t="s">
        <v>1272</v>
      </c>
      <c r="D25" s="450" t="e">
        <f ca="1">D24/(1+E6)^(M15-C2)</f>
        <v>#DIV/0!</v>
      </c>
      <c r="E25" s="450"/>
      <c r="F25" s="450"/>
      <c r="G25" s="450"/>
      <c r="H25" s="450"/>
      <c r="I25" s="450"/>
      <c r="J25" s="450"/>
      <c r="K25" s="450"/>
      <c r="L25" s="450"/>
      <c r="M25" s="451"/>
    </row>
    <row r="26" spans="2:13">
      <c r="B26" s="101" t="s">
        <v>1273</v>
      </c>
      <c r="D26" s="450" t="e">
        <f ca="1">D25+SUM(D23:M23)</f>
        <v>#DIV/0!</v>
      </c>
      <c r="E26" s="450"/>
      <c r="F26" s="450"/>
      <c r="G26" s="450"/>
      <c r="H26" s="450"/>
      <c r="I26" s="450"/>
      <c r="J26" s="450"/>
      <c r="K26" s="450"/>
      <c r="L26" s="450"/>
      <c r="M26" s="451"/>
    </row>
    <row r="27" spans="2:13">
      <c r="B27" s="101" t="s">
        <v>1274</v>
      </c>
      <c r="D27" s="450">
        <f ca="1">IF(C2=历史数据及预测表!I4,历史数据及预测表!I51+历史数据及预测表!I71+历史数据及预测表!I72+历史数据及预测表!I62+历史数据及预测表!I65,IF(C2=历史数据及预测表!H4,历史数据及预测表!H51+历史数据及预测表!H62+历史数据及预测表!H71+历史数据及预测表!H72+历史数据及预测表!H65,历史数据及预测表!J51+历史数据及预测表!J71+历史数据及预测表!J72+历史数据及预测表!J62+历史数据及预测表!J65))</f>
        <v>2164.010411140941</v>
      </c>
      <c r="E27" s="450"/>
      <c r="F27" s="450"/>
      <c r="G27" s="450"/>
      <c r="H27" s="450"/>
      <c r="I27" s="450"/>
      <c r="J27" s="450"/>
      <c r="K27" s="450"/>
      <c r="L27" s="450"/>
      <c r="M27" s="451"/>
    </row>
    <row r="28" spans="2:13">
      <c r="B28" s="101" t="s">
        <v>1275</v>
      </c>
      <c r="D28" s="450">
        <f ca="1">IF(C2=历史数据及预测表!I4,历史数据及预测表!I7,IF(C2=历史数据及预测表!H4,历史数据及预测表!H7,历史数据及预测表!J7))</f>
        <v>9237.1611718196982</v>
      </c>
      <c r="E28" s="450"/>
      <c r="F28" s="450"/>
      <c r="G28" s="450"/>
      <c r="H28" s="450"/>
      <c r="I28" s="450"/>
      <c r="J28" s="450"/>
      <c r="K28" s="450"/>
      <c r="L28" s="450"/>
      <c r="M28" s="451"/>
    </row>
    <row r="29" spans="2:13">
      <c r="B29" s="101" t="s">
        <v>1276</v>
      </c>
      <c r="D29" s="450" t="e">
        <f ca="1">D26-D27+D28</f>
        <v>#DIV/0!</v>
      </c>
      <c r="E29" s="450"/>
      <c r="F29" s="450"/>
      <c r="G29" s="450"/>
      <c r="H29" s="450"/>
      <c r="I29" s="450"/>
      <c r="J29" s="450"/>
      <c r="K29" s="450"/>
      <c r="L29" s="450"/>
      <c r="M29" s="451"/>
    </row>
    <row r="30" spans="2:13">
      <c r="B30" s="101" t="s">
        <v>1277</v>
      </c>
      <c r="D30" s="450" t="e">
        <f ca="1">D29*(1-假设表!I156)</f>
        <v>#DIV/0!</v>
      </c>
      <c r="E30" s="450"/>
      <c r="F30" s="450"/>
      <c r="G30" s="450"/>
      <c r="H30" s="450"/>
      <c r="I30" s="450"/>
      <c r="J30" s="450"/>
      <c r="K30" s="450"/>
      <c r="L30" s="450"/>
      <c r="M30" s="451"/>
    </row>
    <row r="31" spans="2:13">
      <c r="B31" s="101" t="s">
        <v>1278</v>
      </c>
      <c r="D31" s="450">
        <f>历史数据及预测表!I203</f>
        <v>482.54072300000001</v>
      </c>
      <c r="E31" s="450"/>
      <c r="F31" s="450"/>
      <c r="G31" s="450"/>
      <c r="H31" s="450"/>
      <c r="I31" s="450"/>
      <c r="J31" s="450"/>
      <c r="K31" s="450"/>
      <c r="L31" s="450"/>
      <c r="M31" s="451"/>
    </row>
    <row r="32" spans="2:13">
      <c r="B32" s="112" t="s">
        <v>1279</v>
      </c>
      <c r="C32" s="113"/>
      <c r="D32" s="452" t="e">
        <f ca="1">D30/D31</f>
        <v>#DIV/0!</v>
      </c>
      <c r="E32" s="452"/>
      <c r="F32" s="452"/>
      <c r="G32" s="452"/>
      <c r="H32" s="452"/>
      <c r="I32" s="452"/>
      <c r="J32" s="452"/>
      <c r="K32" s="452"/>
      <c r="L32" s="452"/>
      <c r="M32" s="453"/>
    </row>
    <row r="34" spans="2:13" ht="14.65">
      <c r="B34" s="117" t="s">
        <v>1255</v>
      </c>
      <c r="C34" s="118"/>
      <c r="D34" s="118"/>
      <c r="E34" s="118"/>
      <c r="F34" s="118"/>
      <c r="G34" s="118"/>
      <c r="H34" s="118"/>
      <c r="I34" s="118"/>
      <c r="J34" s="118"/>
      <c r="K34" s="118"/>
      <c r="L34" s="118"/>
      <c r="M34" s="125"/>
    </row>
    <row r="35" spans="2:13">
      <c r="B35" s="101"/>
      <c r="D35" s="77">
        <f>历史数据及预测表!I4</f>
        <v>2026</v>
      </c>
      <c r="E35" s="77">
        <f>历史数据及预测表!J4</f>
        <v>2027</v>
      </c>
      <c r="F35" s="77">
        <f>历史数据及预测表!K4</f>
        <v>2028</v>
      </c>
      <c r="G35" s="77">
        <f>历史数据及预测表!L4</f>
        <v>2029</v>
      </c>
      <c r="H35" s="77">
        <f>历史数据及预测表!M4</f>
        <v>2030</v>
      </c>
      <c r="I35" s="77">
        <f>历史数据及预测表!N4</f>
        <v>2031</v>
      </c>
      <c r="J35" s="77">
        <f>历史数据及预测表!O4</f>
        <v>2032</v>
      </c>
      <c r="K35" s="77">
        <f>历史数据及预测表!P4</f>
        <v>2033</v>
      </c>
      <c r="L35" s="77">
        <f>历史数据及预测表!Q4</f>
        <v>2034</v>
      </c>
      <c r="M35" s="126">
        <f>历史数据及预测表!R4</f>
        <v>2035</v>
      </c>
    </row>
    <row r="36" spans="2:13">
      <c r="B36" s="101" t="s">
        <v>1280</v>
      </c>
      <c r="D36" s="119">
        <f>历史数据及预测表!I219</f>
        <v>0</v>
      </c>
      <c r="E36" s="119">
        <f>历史数据及预测表!J219</f>
        <v>0</v>
      </c>
      <c r="F36" s="119">
        <f>历史数据及预测表!K219</f>
        <v>0</v>
      </c>
      <c r="G36" s="119">
        <f>历史数据及预测表!L219</f>
        <v>0</v>
      </c>
      <c r="H36" s="119">
        <f>历史数据及预测表!M219</f>
        <v>0</v>
      </c>
      <c r="I36" s="119">
        <f>历史数据及预测表!N219</f>
        <v>0</v>
      </c>
      <c r="J36" s="119">
        <f>历史数据及预测表!O219</f>
        <v>0</v>
      </c>
      <c r="K36" s="119">
        <f>历史数据及预测表!P219</f>
        <v>0</v>
      </c>
      <c r="L36" s="119">
        <f>历史数据及预测表!Q219</f>
        <v>0</v>
      </c>
      <c r="M36" s="129">
        <f>历史数据及预测表!R219</f>
        <v>0</v>
      </c>
    </row>
    <row r="37" spans="2:13">
      <c r="B37" s="101" t="s">
        <v>1281</v>
      </c>
      <c r="D37" s="119">
        <f>D36/(1+$E$6)^(D35-$C$2)</f>
        <v>0</v>
      </c>
      <c r="E37" s="119">
        <f t="shared" ref="E37:M37" si="4">E36/(1+$E$6)^(E35-$C$2)</f>
        <v>0</v>
      </c>
      <c r="F37" s="119">
        <f t="shared" si="4"/>
        <v>0</v>
      </c>
      <c r="G37" s="119">
        <f t="shared" si="4"/>
        <v>0</v>
      </c>
      <c r="H37" s="119">
        <f t="shared" si="4"/>
        <v>0</v>
      </c>
      <c r="I37" s="119">
        <f t="shared" si="4"/>
        <v>0</v>
      </c>
      <c r="J37" s="119">
        <f t="shared" si="4"/>
        <v>0</v>
      </c>
      <c r="K37" s="119">
        <f t="shared" si="4"/>
        <v>0</v>
      </c>
      <c r="L37" s="119">
        <f t="shared" si="4"/>
        <v>0</v>
      </c>
      <c r="M37" s="129">
        <f t="shared" si="4"/>
        <v>0</v>
      </c>
    </row>
    <row r="38" spans="2:13">
      <c r="B38" s="101" t="s">
        <v>1264</v>
      </c>
      <c r="D38" s="450" t="e">
        <f>IF(E6&lt;F12,0,M36*(1+E6)/(E6-F12))</f>
        <v>#DIV/0!</v>
      </c>
      <c r="E38" s="450"/>
      <c r="F38" s="450"/>
      <c r="G38" s="450"/>
      <c r="H38" s="450"/>
      <c r="I38" s="450"/>
      <c r="J38" s="450"/>
      <c r="K38" s="450"/>
      <c r="L38" s="450"/>
      <c r="M38" s="451"/>
    </row>
    <row r="39" spans="2:13">
      <c r="B39" s="101" t="s">
        <v>1272</v>
      </c>
      <c r="D39" s="450" t="e">
        <f>D38/(1+E6)^(M35-C2)</f>
        <v>#DIV/0!</v>
      </c>
      <c r="E39" s="450"/>
      <c r="F39" s="450"/>
      <c r="G39" s="450"/>
      <c r="H39" s="450"/>
      <c r="I39" s="450"/>
      <c r="J39" s="450"/>
      <c r="K39" s="450"/>
      <c r="L39" s="450"/>
      <c r="M39" s="451"/>
    </row>
    <row r="40" spans="2:13">
      <c r="B40" s="112" t="s">
        <v>1279</v>
      </c>
      <c r="C40" s="113"/>
      <c r="D40" s="452" t="e">
        <f>D39+SUM(D37:M37)</f>
        <v>#DIV/0!</v>
      </c>
      <c r="E40" s="452"/>
      <c r="F40" s="452"/>
      <c r="G40" s="452"/>
      <c r="H40" s="452"/>
      <c r="I40" s="452"/>
      <c r="J40" s="452"/>
      <c r="K40" s="452"/>
      <c r="L40" s="452"/>
      <c r="M40" s="453"/>
    </row>
    <row r="42" spans="2:13" ht="14.65">
      <c r="B42" s="117" t="s">
        <v>1257</v>
      </c>
      <c r="C42" s="118"/>
      <c r="D42" s="118"/>
      <c r="E42" s="118"/>
      <c r="F42" s="118"/>
      <c r="G42" s="118"/>
      <c r="H42" s="118"/>
      <c r="I42" s="118"/>
      <c r="J42" s="118"/>
      <c r="K42" s="118"/>
      <c r="L42" s="118"/>
      <c r="M42" s="125"/>
    </row>
    <row r="43" spans="2:13">
      <c r="B43" s="101"/>
      <c r="D43" s="77">
        <f>历史数据及预测表!I4</f>
        <v>2026</v>
      </c>
      <c r="E43" s="77">
        <f>历史数据及预测表!J4</f>
        <v>2027</v>
      </c>
      <c r="F43" s="77">
        <f>历史数据及预测表!K4</f>
        <v>2028</v>
      </c>
      <c r="G43" s="77">
        <f>历史数据及预测表!L4</f>
        <v>2029</v>
      </c>
      <c r="H43" s="77">
        <f>历史数据及预测表!M4</f>
        <v>2030</v>
      </c>
      <c r="I43" s="77">
        <f>历史数据及预测表!N4</f>
        <v>2031</v>
      </c>
      <c r="J43" s="77">
        <f>历史数据及预测表!O4</f>
        <v>2032</v>
      </c>
      <c r="K43" s="77">
        <f>历史数据及预测表!P4</f>
        <v>2033</v>
      </c>
      <c r="L43" s="77">
        <f>历史数据及预测表!Q4</f>
        <v>2034</v>
      </c>
      <c r="M43" s="126">
        <f>历史数据及预测表!R4</f>
        <v>2035</v>
      </c>
    </row>
    <row r="44" spans="2:13">
      <c r="B44" s="101" t="s">
        <v>892</v>
      </c>
      <c r="D44" s="123">
        <f>假设表!I157</f>
        <v>0</v>
      </c>
      <c r="E44" s="123">
        <f>假设表!J157</f>
        <v>0</v>
      </c>
      <c r="F44" s="123">
        <f>假设表!K157</f>
        <v>0</v>
      </c>
      <c r="G44" s="123">
        <f>假设表!L157</f>
        <v>0</v>
      </c>
      <c r="H44" s="123">
        <f>假设表!M157</f>
        <v>0</v>
      </c>
      <c r="I44" s="123">
        <f>假设表!N157</f>
        <v>0</v>
      </c>
      <c r="J44" s="123">
        <f>假设表!O157</f>
        <v>0</v>
      </c>
      <c r="K44" s="123">
        <f>假设表!P157</f>
        <v>0</v>
      </c>
      <c r="L44" s="123">
        <f>假设表!Q157</f>
        <v>0</v>
      </c>
      <c r="M44" s="138">
        <f>假设表!R157</f>
        <v>0</v>
      </c>
    </row>
    <row r="45" spans="2:13">
      <c r="B45" s="101" t="s">
        <v>1282</v>
      </c>
      <c r="D45" s="119">
        <f ca="1">历史数据及预测表!I142</f>
        <v>5.2008196612861246</v>
      </c>
      <c r="E45" s="119">
        <f ca="1">历史数据及预测表!J142</f>
        <v>5.9374387308382905</v>
      </c>
      <c r="F45" s="119">
        <f ca="1">历史数据及预测表!K142</f>
        <v>5.7080538379416552</v>
      </c>
      <c r="G45" s="119">
        <f ca="1">历史数据及预测表!L142</f>
        <v>6.4377796549660404</v>
      </c>
      <c r="H45" s="119">
        <f ca="1">历史数据及预测表!M142</f>
        <v>8.7163890198231915</v>
      </c>
      <c r="I45" s="119">
        <f ca="1">历史数据及预测表!N142</f>
        <v>9.8044652581500618</v>
      </c>
      <c r="J45" s="119">
        <f ca="1">历史数据及预测表!O142</f>
        <v>11.75080688064749</v>
      </c>
      <c r="K45" s="119">
        <f ca="1">历史数据及预测表!P142</f>
        <v>14.35354074014735</v>
      </c>
      <c r="L45" s="119">
        <f ca="1">历史数据及预测表!Q142</f>
        <v>16.948136999610018</v>
      </c>
      <c r="M45" s="129">
        <f ca="1">历史数据及预测表!R142</f>
        <v>20.339126344698109</v>
      </c>
    </row>
    <row r="46" spans="2:13">
      <c r="B46" s="112" t="s">
        <v>1283</v>
      </c>
      <c r="C46" s="113"/>
      <c r="D46" s="124">
        <f ca="1">D44*D45</f>
        <v>0</v>
      </c>
      <c r="E46" s="124">
        <f t="shared" ref="E46:M46" ca="1" si="5">E44*E45</f>
        <v>0</v>
      </c>
      <c r="F46" s="124">
        <f t="shared" ca="1" si="5"/>
        <v>0</v>
      </c>
      <c r="G46" s="124">
        <f t="shared" ca="1" si="5"/>
        <v>0</v>
      </c>
      <c r="H46" s="124">
        <f t="shared" ca="1" si="5"/>
        <v>0</v>
      </c>
      <c r="I46" s="124">
        <f t="shared" ca="1" si="5"/>
        <v>0</v>
      </c>
      <c r="J46" s="124">
        <f t="shared" ca="1" si="5"/>
        <v>0</v>
      </c>
      <c r="K46" s="124">
        <f t="shared" ca="1" si="5"/>
        <v>0</v>
      </c>
      <c r="L46" s="124">
        <f t="shared" ca="1" si="5"/>
        <v>0</v>
      </c>
      <c r="M46" s="139">
        <f t="shared" ca="1" si="5"/>
        <v>0</v>
      </c>
    </row>
    <row r="48" spans="2:13" ht="14.65">
      <c r="B48" s="117" t="s">
        <v>1259</v>
      </c>
      <c r="C48" s="118"/>
      <c r="D48" s="118"/>
      <c r="E48" s="118"/>
      <c r="F48" s="118"/>
      <c r="G48" s="118"/>
      <c r="H48" s="118"/>
      <c r="I48" s="118"/>
      <c r="J48" s="118"/>
      <c r="K48" s="118"/>
      <c r="L48" s="118"/>
      <c r="M48" s="125"/>
    </row>
    <row r="49" spans="2:13">
      <c r="B49" s="101"/>
      <c r="D49" s="77">
        <f>历史数据及预测表!I4</f>
        <v>2026</v>
      </c>
      <c r="E49" s="77">
        <f>历史数据及预测表!J4</f>
        <v>2027</v>
      </c>
      <c r="F49" s="77">
        <f>历史数据及预测表!K4</f>
        <v>2028</v>
      </c>
      <c r="G49" s="77">
        <f>历史数据及预测表!L4</f>
        <v>2029</v>
      </c>
      <c r="H49" s="77">
        <f>历史数据及预测表!M4</f>
        <v>2030</v>
      </c>
      <c r="I49" s="77">
        <f>历史数据及预测表!N4</f>
        <v>2031</v>
      </c>
      <c r="J49" s="77">
        <f>历史数据及预测表!O4</f>
        <v>2032</v>
      </c>
      <c r="K49" s="77">
        <f>历史数据及预测表!P4</f>
        <v>2033</v>
      </c>
      <c r="L49" s="77">
        <f>历史数据及预测表!Q4</f>
        <v>2034</v>
      </c>
      <c r="M49" s="126">
        <f>历史数据及预测表!R4</f>
        <v>2035</v>
      </c>
    </row>
    <row r="50" spans="2:13">
      <c r="B50" s="101" t="s">
        <v>893</v>
      </c>
      <c r="D50" s="26">
        <f>假设表!I158</f>
        <v>0</v>
      </c>
      <c r="E50" s="26">
        <f>假设表!J158</f>
        <v>0</v>
      </c>
      <c r="F50" s="26">
        <f>假设表!K158</f>
        <v>0</v>
      </c>
      <c r="G50" s="26">
        <f>假设表!L158</f>
        <v>0</v>
      </c>
      <c r="H50" s="26">
        <f>假设表!M158</f>
        <v>0</v>
      </c>
      <c r="I50" s="26">
        <f>假设表!N158</f>
        <v>0</v>
      </c>
      <c r="J50" s="26">
        <f>假设表!O158</f>
        <v>0</v>
      </c>
      <c r="K50" s="26">
        <f>假设表!P158</f>
        <v>0</v>
      </c>
      <c r="L50" s="26">
        <f>假设表!Q158</f>
        <v>0</v>
      </c>
      <c r="M50" s="131">
        <f>假设表!R158</f>
        <v>0</v>
      </c>
    </row>
    <row r="51" spans="2:13">
      <c r="B51" s="101" t="s">
        <v>1284</v>
      </c>
      <c r="D51" s="119">
        <f ca="1">历史数据及预测表!I97/历史数据及预测表!I84</f>
        <v>30.824944737357683</v>
      </c>
      <c r="E51" s="119">
        <f ca="1">历史数据及预测表!J97/历史数据及预测表!J84</f>
        <v>36.681508071523318</v>
      </c>
      <c r="F51" s="119">
        <f ca="1">历史数据及预测表!K97/历史数据及预测表!K84</f>
        <v>42.322914081579071</v>
      </c>
      <c r="G51" s="119">
        <f ca="1">历史数据及预测表!L97/历史数据及预测表!L84</f>
        <v>48.703372658639061</v>
      </c>
      <c r="H51" s="119">
        <f ca="1">历史数据及预测表!M97/历史数据及预测表!M84</f>
        <v>57.351480244307375</v>
      </c>
      <c r="I51" s="119">
        <f ca="1">历史数据及预测表!N97/历史数据及预测表!N84</f>
        <v>67.091862055808505</v>
      </c>
      <c r="J51" s="119">
        <f ca="1">历史数据及预测表!O97/历史数据及预测表!O84</f>
        <v>78.779440283552717</v>
      </c>
      <c r="K51" s="119">
        <f ca="1">历史数据及预测表!P97/历史数据及预测表!P84</f>
        <v>93.067783179131027</v>
      </c>
      <c r="L51" s="119">
        <f ca="1">历史数据及预测表!Q97/历史数据及预测表!Q84</f>
        <v>109.95175019736729</v>
      </c>
      <c r="M51" s="129">
        <f ca="1">历史数据及预测表!R97/历史数据及预测表!R84</f>
        <v>130.22667771578338</v>
      </c>
    </row>
    <row r="52" spans="2:13">
      <c r="B52" s="112" t="s">
        <v>1283</v>
      </c>
      <c r="C52" s="113"/>
      <c r="D52" s="124">
        <f ca="1">D50*D51</f>
        <v>0</v>
      </c>
      <c r="E52" s="124">
        <f t="shared" ref="E52:M52" ca="1" si="6">E50*E51</f>
        <v>0</v>
      </c>
      <c r="F52" s="124">
        <f t="shared" ca="1" si="6"/>
        <v>0</v>
      </c>
      <c r="G52" s="124">
        <f t="shared" ca="1" si="6"/>
        <v>0</v>
      </c>
      <c r="H52" s="124">
        <f t="shared" ca="1" si="6"/>
        <v>0</v>
      </c>
      <c r="I52" s="124">
        <f t="shared" ca="1" si="6"/>
        <v>0</v>
      </c>
      <c r="J52" s="124">
        <f t="shared" ca="1" si="6"/>
        <v>0</v>
      </c>
      <c r="K52" s="124">
        <f t="shared" ca="1" si="6"/>
        <v>0</v>
      </c>
      <c r="L52" s="124">
        <f t="shared" ca="1" si="6"/>
        <v>0</v>
      </c>
      <c r="M52" s="139">
        <f t="shared" ca="1" si="6"/>
        <v>0</v>
      </c>
    </row>
    <row r="54" spans="2:13" ht="14.65">
      <c r="B54" s="117" t="s">
        <v>1261</v>
      </c>
      <c r="C54" s="118"/>
      <c r="D54" s="118"/>
      <c r="E54" s="118"/>
      <c r="F54" s="118"/>
      <c r="G54" s="118"/>
      <c r="H54" s="118"/>
      <c r="I54" s="118"/>
      <c r="J54" s="118"/>
      <c r="K54" s="118"/>
      <c r="L54" s="118"/>
      <c r="M54" s="125"/>
    </row>
    <row r="55" spans="2:13">
      <c r="B55" s="101"/>
      <c r="D55" s="77">
        <f>历史数据及预测表!I4</f>
        <v>2026</v>
      </c>
      <c r="E55" s="77">
        <f>历史数据及预测表!J4</f>
        <v>2027</v>
      </c>
      <c r="F55" s="77">
        <f>历史数据及预测表!K4</f>
        <v>2028</v>
      </c>
      <c r="G55" s="77">
        <f>历史数据及预测表!L4</f>
        <v>2029</v>
      </c>
      <c r="H55" s="77">
        <f>历史数据及预测表!M4</f>
        <v>2030</v>
      </c>
      <c r="I55" s="77">
        <f>历史数据及预测表!N4</f>
        <v>2031</v>
      </c>
      <c r="J55" s="77">
        <f>历史数据及预测表!O4</f>
        <v>2032</v>
      </c>
      <c r="K55" s="77">
        <f>历史数据及预测表!P4</f>
        <v>2033</v>
      </c>
      <c r="L55" s="77">
        <f>历史数据及预测表!Q4</f>
        <v>2034</v>
      </c>
      <c r="M55" s="126">
        <f>历史数据及预测表!R4</f>
        <v>2035</v>
      </c>
    </row>
    <row r="56" spans="2:13">
      <c r="B56" s="101" t="s">
        <v>894</v>
      </c>
      <c r="D56" s="26">
        <f>假设表!I159</f>
        <v>0</v>
      </c>
      <c r="E56" s="26">
        <f>假设表!J159</f>
        <v>0</v>
      </c>
      <c r="F56" s="26">
        <f>假设表!K159</f>
        <v>0</v>
      </c>
      <c r="G56" s="26">
        <f>假设表!L159</f>
        <v>0</v>
      </c>
      <c r="H56" s="26">
        <f>假设表!M159</f>
        <v>0</v>
      </c>
      <c r="I56" s="26">
        <f>假设表!N159</f>
        <v>0</v>
      </c>
      <c r="J56" s="26">
        <f>假设表!O159</f>
        <v>0</v>
      </c>
      <c r="K56" s="26">
        <f>假设表!P159</f>
        <v>0</v>
      </c>
      <c r="L56" s="26">
        <f>假设表!Q159</f>
        <v>0</v>
      </c>
      <c r="M56" s="131">
        <f>假设表!R159</f>
        <v>0</v>
      </c>
    </row>
    <row r="57" spans="2:13">
      <c r="B57" s="101" t="s">
        <v>1285</v>
      </c>
      <c r="D57" s="119">
        <f>历史数据及预测表!I107/历史数据及预测表!I84</f>
        <v>17.216875980646009</v>
      </c>
      <c r="E57" s="119">
        <f>历史数据及预测表!J107/历史数据及预测表!J84</f>
        <v>21.952828919105162</v>
      </c>
      <c r="F57" s="119">
        <f>历史数据及预测表!K107/历史数据及预测表!K84</f>
        <v>25.959583308112812</v>
      </c>
      <c r="G57" s="119">
        <f>历史数据及预测表!L107/历史数据及预测表!L84</f>
        <v>30.534244430491615</v>
      </c>
      <c r="H57" s="119">
        <f>历史数据及预测表!M107/历史数据及预测表!M84</f>
        <v>36.985267052858127</v>
      </c>
      <c r="I57" s="119">
        <f>历史数据及预测表!N107/历史数据及预测表!N84</f>
        <v>44.01259983254208</v>
      </c>
      <c r="J57" s="119">
        <f>历史数据及预测表!O107/历史数据及预测表!O84</f>
        <v>52.484992140025703</v>
      </c>
      <c r="K57" s="119">
        <f>历史数据及预测表!P107/历史数据及预测表!P84</f>
        <v>62.873076264684784</v>
      </c>
      <c r="L57" s="119">
        <f>历史数据及预测表!Q107/历史数据及预测表!Q84</f>
        <v>75.037500552765664</v>
      </c>
      <c r="M57" s="129">
        <f>历史数据及预测表!R107/历史数据及预测表!R84</f>
        <v>89.642299000750555</v>
      </c>
    </row>
    <row r="58" spans="2:13">
      <c r="B58" s="112" t="s">
        <v>1283</v>
      </c>
      <c r="C58" s="113"/>
      <c r="D58" s="124">
        <f>D56*D57</f>
        <v>0</v>
      </c>
      <c r="E58" s="124">
        <f t="shared" ref="E58:M58" si="7">E56*E57</f>
        <v>0</v>
      </c>
      <c r="F58" s="124">
        <f t="shared" si="7"/>
        <v>0</v>
      </c>
      <c r="G58" s="124">
        <f t="shared" si="7"/>
        <v>0</v>
      </c>
      <c r="H58" s="124">
        <f t="shared" si="7"/>
        <v>0</v>
      </c>
      <c r="I58" s="124">
        <f t="shared" si="7"/>
        <v>0</v>
      </c>
      <c r="J58" s="124">
        <f t="shared" si="7"/>
        <v>0</v>
      </c>
      <c r="K58" s="124">
        <f t="shared" si="7"/>
        <v>0</v>
      </c>
      <c r="L58" s="124">
        <f t="shared" si="7"/>
        <v>0</v>
      </c>
      <c r="M58" s="139">
        <f t="shared" si="7"/>
        <v>0</v>
      </c>
    </row>
    <row r="60" spans="2:13" ht="14.65">
      <c r="B60" s="117" t="s">
        <v>1263</v>
      </c>
      <c r="C60" s="118"/>
      <c r="D60" s="118"/>
      <c r="E60" s="118"/>
      <c r="F60" s="125"/>
    </row>
    <row r="61" spans="2:13">
      <c r="B61" s="101"/>
      <c r="D61" s="77">
        <f>历史数据及预测表!I4</f>
        <v>2026</v>
      </c>
      <c r="E61" s="77">
        <f>历史数据及预测表!J4</f>
        <v>2027</v>
      </c>
      <c r="F61" s="126">
        <f>历史数据及预测表!K4</f>
        <v>2028</v>
      </c>
    </row>
    <row r="62" spans="2:13">
      <c r="B62" s="101" t="s">
        <v>895</v>
      </c>
      <c r="D62" s="127">
        <f>假设表!I160</f>
        <v>0</v>
      </c>
      <c r="E62" s="127">
        <f>假设表!J160</f>
        <v>0</v>
      </c>
      <c r="F62" s="128">
        <f>假设表!K160</f>
        <v>0</v>
      </c>
    </row>
    <row r="63" spans="2:13">
      <c r="B63" s="101" t="s">
        <v>1282</v>
      </c>
      <c r="D63" s="119">
        <f ca="1">历史数据及预测表!I142</f>
        <v>5.2008196612861246</v>
      </c>
      <c r="E63" s="119">
        <f ca="1">历史数据及预测表!J142</f>
        <v>5.9374387308382905</v>
      </c>
      <c r="F63" s="129">
        <f ca="1">历史数据及预测表!K142</f>
        <v>5.7080538379416552</v>
      </c>
    </row>
    <row r="64" spans="2:13">
      <c r="B64" s="101" t="s">
        <v>896</v>
      </c>
      <c r="D64" s="119">
        <f ca="1">假设表!I161</f>
        <v>6.0201563424498099</v>
      </c>
      <c r="E64" s="119">
        <f ca="1">假设表!J161</f>
        <v>6.842060728580865</v>
      </c>
      <c r="F64" s="129">
        <f ca="1">假设表!K161</f>
        <v>8.1940550055153967</v>
      </c>
    </row>
    <row r="65" spans="2:13">
      <c r="B65" s="112" t="s">
        <v>1283</v>
      </c>
      <c r="C65" s="113"/>
      <c r="D65" s="124">
        <f ca="1">D62*D63*D64*100</f>
        <v>0</v>
      </c>
      <c r="E65" s="124">
        <f t="shared" ref="E65:F65" ca="1" si="8">E62*E63*E64*100</f>
        <v>0</v>
      </c>
      <c r="F65" s="139">
        <f t="shared" ca="1" si="8"/>
        <v>0</v>
      </c>
    </row>
    <row r="67" spans="2:13" ht="14.65">
      <c r="B67" s="117" t="s">
        <v>84</v>
      </c>
      <c r="C67" s="118"/>
      <c r="D67" s="118"/>
      <c r="E67" s="118"/>
      <c r="F67" s="118"/>
      <c r="G67" s="118"/>
      <c r="H67" s="118"/>
      <c r="I67" s="118"/>
      <c r="J67" s="118"/>
      <c r="K67" s="118"/>
      <c r="L67" s="118"/>
      <c r="M67" s="125"/>
    </row>
    <row r="68" spans="2:13">
      <c r="B68" s="101"/>
      <c r="D68" s="77">
        <f>历史数据及预测表!I4</f>
        <v>2026</v>
      </c>
      <c r="E68" s="77">
        <f>历史数据及预测表!J4</f>
        <v>2027</v>
      </c>
      <c r="F68" s="77">
        <f>历史数据及预测表!K4</f>
        <v>2028</v>
      </c>
      <c r="G68" s="77">
        <f>历史数据及预测表!L4</f>
        <v>2029</v>
      </c>
      <c r="H68" s="77">
        <f>历史数据及预测表!M4</f>
        <v>2030</v>
      </c>
      <c r="I68" s="77">
        <f>历史数据及预测表!N4</f>
        <v>2031</v>
      </c>
      <c r="J68" s="77">
        <f>历史数据及预测表!O4</f>
        <v>2032</v>
      </c>
      <c r="K68" s="77">
        <f>历史数据及预测表!P4</f>
        <v>2033</v>
      </c>
      <c r="L68" s="77">
        <f>历史数据及预测表!Q4</f>
        <v>2034</v>
      </c>
      <c r="M68" s="126">
        <f>历史数据及预测表!R4</f>
        <v>2035</v>
      </c>
    </row>
    <row r="69" spans="2:13">
      <c r="B69" s="101" t="s">
        <v>897</v>
      </c>
      <c r="D69" s="26">
        <f>假设表!I162</f>
        <v>0</v>
      </c>
      <c r="E69" s="26">
        <f>假设表!J162</f>
        <v>0</v>
      </c>
      <c r="F69" s="26">
        <f>假设表!K162</f>
        <v>0</v>
      </c>
      <c r="G69" s="26">
        <f>假设表!L162</f>
        <v>0</v>
      </c>
      <c r="H69" s="26">
        <f>假设表!M162</f>
        <v>0</v>
      </c>
      <c r="I69" s="26">
        <f>假设表!N162</f>
        <v>0</v>
      </c>
      <c r="J69" s="26">
        <f>假设表!O162</f>
        <v>0</v>
      </c>
      <c r="K69" s="26">
        <f>假设表!P162</f>
        <v>0</v>
      </c>
      <c r="L69" s="26">
        <f>假设表!Q162</f>
        <v>0</v>
      </c>
      <c r="M69" s="131">
        <f>假设表!R162</f>
        <v>0</v>
      </c>
    </row>
    <row r="70" spans="2:13">
      <c r="B70" s="101" t="s">
        <v>1286</v>
      </c>
      <c r="D70" s="119">
        <f ca="1">D16+D19</f>
        <v>3015.1788571885145</v>
      </c>
      <c r="E70" s="119">
        <f t="shared" ref="E70:M70" ca="1" si="9">E16+E19</f>
        <v>3393.5172221366583</v>
      </c>
      <c r="F70" s="119">
        <f t="shared" ca="1" si="9"/>
        <v>4583.5960761748147</v>
      </c>
      <c r="G70" s="119">
        <f t="shared" ca="1" si="9"/>
        <v>5109.9710533341449</v>
      </c>
      <c r="H70" s="119">
        <f t="shared" ca="1" si="9"/>
        <v>6093.0426214716799</v>
      </c>
      <c r="I70" s="119">
        <f t="shared" ca="1" si="9"/>
        <v>7404.2918032847492</v>
      </c>
      <c r="J70" s="119">
        <f t="shared" ca="1" si="9"/>
        <v>8685.6191854819699</v>
      </c>
      <c r="K70" s="119">
        <f t="shared" ca="1" si="9"/>
        <v>10370.50545917682</v>
      </c>
      <c r="L70" s="119">
        <f t="shared" ca="1" si="9"/>
        <v>12284.915048639994</v>
      </c>
      <c r="M70" s="129">
        <f t="shared" ca="1" si="9"/>
        <v>14625.595354697942</v>
      </c>
    </row>
    <row r="71" spans="2:13">
      <c r="B71" s="112" t="s">
        <v>1283</v>
      </c>
      <c r="C71" s="113"/>
      <c r="D71" s="124">
        <f ca="1">(D69*D70+历史数据及预测表!I7-历史数据及预测表!I51-历史数据及预测表!I62-历史数据及预测表!I71-历史数据及预测表!I72)/历史数据及预测表!I84</f>
        <v>11.533972248348261</v>
      </c>
      <c r="E71" s="124">
        <f ca="1">(E69*E70+历史数据及预测表!J7-历史数据及预测表!J51-历史数据及预测表!J62-历史数据及预测表!J71-历史数据及预测表!J72)/历史数据及预测表!J84</f>
        <v>14.658142667637104</v>
      </c>
      <c r="F71" s="124">
        <f ca="1">(F69*F70+历史数据及预测表!K7-历史数据及预测表!K51-历史数据及预测表!K62-历史数据及预测表!K71-历史数据及预测表!K72)/历史数据及预测表!K84</f>
        <v>17.538843909682839</v>
      </c>
      <c r="G71" s="124">
        <f ca="1">(G69*G70+历史数据及预测表!L7-历史数据及预测表!L51-历史数据及预测表!L62-历史数据及预测表!L71-历史数据及预测表!L72)/历史数据及预测表!L84</f>
        <v>20.916164791803915</v>
      </c>
      <c r="H71" s="124">
        <f ca="1">(H69*H70+历史数据及预测表!M7-历史数据及预测表!M51-历史数据及预测表!M62-历史数据及预测表!M71-历史数据及预测表!M72)/历史数据及预测表!M84</f>
        <v>26.901497994360245</v>
      </c>
      <c r="I71" s="124">
        <f ca="1">(I69*I70+历史数据及预测表!N7-历史数据及预测表!N51-历史数据及预测表!N62-历史数据及预测表!N71-历史数据及预测表!N72)/历史数据及预测表!N84</f>
        <v>32.847251280592232</v>
      </c>
      <c r="J71" s="124">
        <f ca="1">(J69*J70+历史数据及预测表!O7-历史数据及预测表!O51-历史数据及预测表!O62-历史数据及预测表!O71-历史数据及预测表!O72)/历史数据及预测表!O84</f>
        <v>40.288163982883141</v>
      </c>
      <c r="K71" s="124">
        <f ca="1">(K69*K70+历史数据及预测表!P7-历史数据及预测表!P51-历史数据及预测表!P62-历史数据及预测表!P71-历史数据及预测表!P72)/历史数据及预测表!P84</f>
        <v>49.787938456656505</v>
      </c>
      <c r="L71" s="124">
        <f ca="1">(L69*L70+历史数据及预测表!Q7-历史数据及预测表!Q51-历史数据及预测表!Q62-历史数据及预测表!Q71-历史数据及预测表!Q72)/历史数据及预测表!Q84</f>
        <v>60.791056875579777</v>
      </c>
      <c r="M71" s="139">
        <f ca="1">(M69*M70+历史数据及预测表!R7-历史数据及预测表!R51-历史数据及预测表!R62-历史数据及预测表!R71-历史数据及预测表!R72)/历史数据及预测表!R84</f>
        <v>74.217787421765138</v>
      </c>
    </row>
  </sheetData>
  <mergeCells count="12">
    <mergeCell ref="D24:M24"/>
    <mergeCell ref="D25:M25"/>
    <mergeCell ref="D26:M26"/>
    <mergeCell ref="D27:M27"/>
    <mergeCell ref="D28:M28"/>
    <mergeCell ref="D39:M39"/>
    <mergeCell ref="D40:M40"/>
    <mergeCell ref="D29:M29"/>
    <mergeCell ref="D30:M30"/>
    <mergeCell ref="D31:M31"/>
    <mergeCell ref="D32:M32"/>
    <mergeCell ref="D38:M38"/>
  </mergeCells>
  <phoneticPr fontId="35" type="noConversion"/>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F42"/>
  <sheetViews>
    <sheetView showGridLines="0" topLeftCell="B1" workbookViewId="0">
      <selection activeCell="C20" sqref="C20"/>
    </sheetView>
  </sheetViews>
  <sheetFormatPr defaultColWidth="9" defaultRowHeight="14.65"/>
  <cols>
    <col min="1" max="1" width="16.33203125" style="26" hidden="1" customWidth="1"/>
    <col min="2" max="2" width="24.06640625" style="26" customWidth="1"/>
    <col min="3" max="3" width="44.9296875" style="86" customWidth="1"/>
    <col min="4" max="4" width="21.33203125" style="26" customWidth="1"/>
    <col min="5" max="5" width="9" style="26"/>
    <col min="6" max="6" width="51.73046875" style="87" customWidth="1"/>
    <col min="7" max="16384" width="9" style="26"/>
  </cols>
  <sheetData>
    <row r="1" spans="1:3">
      <c r="A1" s="26" t="s">
        <v>1287</v>
      </c>
      <c r="B1" s="88" t="s">
        <v>10</v>
      </c>
      <c r="C1" s="89" t="s">
        <v>1551</v>
      </c>
    </row>
    <row r="2" spans="1:3">
      <c r="A2" s="26" t="s">
        <v>1288</v>
      </c>
      <c r="B2" s="88" t="s">
        <v>9</v>
      </c>
      <c r="C2" s="90">
        <v>300223</v>
      </c>
    </row>
    <row r="3" spans="1:3">
      <c r="A3" s="26" t="s">
        <v>1289</v>
      </c>
      <c r="B3" s="88" t="s">
        <v>1290</v>
      </c>
      <c r="C3" s="90">
        <v>1</v>
      </c>
    </row>
    <row r="4" spans="1:3">
      <c r="A4" s="26" t="s">
        <v>1291</v>
      </c>
      <c r="B4" s="88" t="s">
        <v>1292</v>
      </c>
      <c r="C4" s="91">
        <v>46022</v>
      </c>
    </row>
    <row r="5" spans="1:3">
      <c r="A5" s="26" t="s">
        <v>1293</v>
      </c>
      <c r="B5" s="88" t="s">
        <v>1294</v>
      </c>
      <c r="C5" s="90" t="s">
        <v>1554</v>
      </c>
    </row>
    <row r="6" spans="1:3">
      <c r="A6" s="26" t="s">
        <v>1295</v>
      </c>
      <c r="B6" s="88" t="s">
        <v>1296</v>
      </c>
      <c r="C6" s="91">
        <v>40694</v>
      </c>
    </row>
    <row r="7" spans="1:3">
      <c r="A7" s="26" t="s">
        <v>1297</v>
      </c>
      <c r="B7" s="88" t="s">
        <v>1298</v>
      </c>
      <c r="C7" s="90">
        <v>43.8</v>
      </c>
    </row>
    <row r="8" spans="1:3">
      <c r="A8" s="26" t="s">
        <v>1299</v>
      </c>
      <c r="B8" s="88" t="s">
        <v>1300</v>
      </c>
      <c r="C8" s="90">
        <v>7.9885000000000002</v>
      </c>
    </row>
    <row r="9" spans="1:3">
      <c r="A9" s="26" t="s">
        <v>1301</v>
      </c>
      <c r="B9" s="88" t="s">
        <v>1302</v>
      </c>
      <c r="C9" s="90">
        <v>5984470.0466</v>
      </c>
    </row>
    <row r="10" spans="1:3">
      <c r="A10" s="26" t="s">
        <v>1303</v>
      </c>
      <c r="B10" s="88" t="s">
        <v>1304</v>
      </c>
      <c r="C10" s="90" t="s">
        <v>1555</v>
      </c>
    </row>
    <row r="11" spans="1:3">
      <c r="A11" s="26" t="s">
        <v>1305</v>
      </c>
      <c r="B11" s="88" t="s">
        <v>1306</v>
      </c>
      <c r="C11" s="90" t="s">
        <v>1556</v>
      </c>
    </row>
    <row r="12" spans="1:3">
      <c r="A12" s="26" t="s">
        <v>1307</v>
      </c>
      <c r="B12" s="88" t="s">
        <v>1308</v>
      </c>
      <c r="C12" s="90" t="s">
        <v>1557</v>
      </c>
    </row>
    <row r="13" spans="1:3">
      <c r="A13" s="26" t="s">
        <v>1309</v>
      </c>
      <c r="B13" s="88" t="s">
        <v>1310</v>
      </c>
      <c r="C13" s="91">
        <v>38548</v>
      </c>
    </row>
    <row r="14" spans="1:3">
      <c r="A14" s="26" t="s">
        <v>1311</v>
      </c>
      <c r="B14" s="88" t="s">
        <v>1312</v>
      </c>
      <c r="C14" s="92" t="s">
        <v>1558</v>
      </c>
    </row>
    <row r="15" spans="1:3">
      <c r="A15" s="26" t="s">
        <v>1313</v>
      </c>
      <c r="B15" s="88" t="s">
        <v>1314</v>
      </c>
      <c r="C15" s="90">
        <v>48254.0723</v>
      </c>
    </row>
    <row r="16" spans="1:3">
      <c r="A16" s="26" t="s">
        <v>1293</v>
      </c>
      <c r="B16" s="88" t="s">
        <v>1315</v>
      </c>
      <c r="C16" s="90" t="s">
        <v>1554</v>
      </c>
    </row>
    <row r="17" spans="1:3">
      <c r="A17" s="26" t="s">
        <v>1316</v>
      </c>
      <c r="B17" s="88" t="s">
        <v>1317</v>
      </c>
      <c r="C17" s="90" t="s">
        <v>1559</v>
      </c>
    </row>
    <row r="18" spans="1:3">
      <c r="A18" s="26" t="s">
        <v>1318</v>
      </c>
      <c r="B18" s="88" t="s">
        <v>1319</v>
      </c>
      <c r="C18" s="90" t="s">
        <v>1559</v>
      </c>
    </row>
    <row r="19" spans="1:3">
      <c r="A19" s="26" t="s">
        <v>1320</v>
      </c>
      <c r="B19" s="88" t="s">
        <v>1321</v>
      </c>
      <c r="C19" s="90" t="s">
        <v>1559</v>
      </c>
    </row>
    <row r="20" spans="1:3">
      <c r="A20" s="26" t="s">
        <v>1322</v>
      </c>
      <c r="B20" s="88" t="s">
        <v>1323</v>
      </c>
      <c r="C20" s="90">
        <v>8.39</v>
      </c>
    </row>
    <row r="21" spans="1:3">
      <c r="A21" s="26" t="s">
        <v>1324</v>
      </c>
      <c r="B21" s="88" t="s">
        <v>1325</v>
      </c>
      <c r="C21" s="90"/>
    </row>
    <row r="22" spans="1:3">
      <c r="A22" s="26" t="s">
        <v>1326</v>
      </c>
      <c r="B22" s="88" t="s">
        <v>1327</v>
      </c>
      <c r="C22" s="90"/>
    </row>
    <row r="23" spans="1:3">
      <c r="A23" s="26" t="s">
        <v>1328</v>
      </c>
      <c r="B23" s="88" t="s">
        <v>1329</v>
      </c>
      <c r="C23" s="90">
        <v>1243</v>
      </c>
    </row>
    <row r="24" spans="1:3">
      <c r="A24" s="26" t="s">
        <v>1330</v>
      </c>
      <c r="B24" s="88" t="s">
        <v>1331</v>
      </c>
      <c r="C24" s="90" t="s">
        <v>1559</v>
      </c>
    </row>
    <row r="25" spans="1:3">
      <c r="A25" s="26" t="s">
        <v>1332</v>
      </c>
      <c r="B25" s="88" t="s">
        <v>1333</v>
      </c>
      <c r="C25" s="90" t="s">
        <v>1560</v>
      </c>
    </row>
    <row r="26" spans="1:3">
      <c r="A26" s="26" t="s">
        <v>1334</v>
      </c>
      <c r="B26" s="88" t="s">
        <v>1335</v>
      </c>
      <c r="C26" s="90" t="s">
        <v>1561</v>
      </c>
    </row>
    <row r="27" spans="1:3">
      <c r="A27" s="26" t="s">
        <v>1336</v>
      </c>
      <c r="B27" s="88" t="s">
        <v>1337</v>
      </c>
      <c r="C27" s="90" t="s">
        <v>1562</v>
      </c>
    </row>
    <row r="28" spans="1:3">
      <c r="A28" s="26" t="s">
        <v>1338</v>
      </c>
      <c r="B28" s="88" t="s">
        <v>1339</v>
      </c>
      <c r="C28" s="90" t="s">
        <v>1563</v>
      </c>
    </row>
    <row r="29" spans="1:3">
      <c r="A29" s="26" t="s">
        <v>1340</v>
      </c>
      <c r="B29" s="88" t="s">
        <v>1341</v>
      </c>
      <c r="C29" s="90" t="s">
        <v>1564</v>
      </c>
    </row>
    <row r="30" spans="1:3">
      <c r="A30" s="26" t="s">
        <v>1342</v>
      </c>
      <c r="B30" s="88" t="s">
        <v>1343</v>
      </c>
      <c r="C30" s="90">
        <v>100193</v>
      </c>
    </row>
    <row r="31" spans="1:3">
      <c r="A31" s="26" t="s">
        <v>1344</v>
      </c>
      <c r="B31" s="88" t="s">
        <v>1345</v>
      </c>
      <c r="C31" s="90" t="s">
        <v>1565</v>
      </c>
    </row>
    <row r="32" spans="1:3">
      <c r="A32" s="26" t="s">
        <v>1346</v>
      </c>
      <c r="B32" s="88" t="s">
        <v>1347</v>
      </c>
      <c r="C32" s="90" t="s">
        <v>1566</v>
      </c>
    </row>
    <row r="33" spans="1:3">
      <c r="A33" s="26" t="s">
        <v>1348</v>
      </c>
      <c r="B33" s="88" t="s">
        <v>1349</v>
      </c>
      <c r="C33" s="90" t="s">
        <v>1567</v>
      </c>
    </row>
    <row r="34" spans="1:3">
      <c r="A34" s="26" t="s">
        <v>1350</v>
      </c>
      <c r="B34" s="88" t="s">
        <v>1351</v>
      </c>
      <c r="C34" s="90" t="s">
        <v>1568</v>
      </c>
    </row>
    <row r="35" spans="1:3">
      <c r="A35" s="26" t="s">
        <v>1352</v>
      </c>
      <c r="B35" s="88" t="s">
        <v>1353</v>
      </c>
      <c r="C35" s="90" t="s">
        <v>1569</v>
      </c>
    </row>
    <row r="36" spans="1:3">
      <c r="A36" s="26" t="s">
        <v>1354</v>
      </c>
      <c r="B36" s="88" t="s">
        <v>1355</v>
      </c>
      <c r="C36" s="90" t="s">
        <v>1570</v>
      </c>
    </row>
    <row r="37" spans="1:3">
      <c r="A37" s="26" t="s">
        <v>1356</v>
      </c>
      <c r="B37" s="88" t="s">
        <v>1357</v>
      </c>
      <c r="C37" s="90" t="s">
        <v>1571</v>
      </c>
    </row>
    <row r="38" spans="1:3">
      <c r="A38" s="26" t="s">
        <v>1358</v>
      </c>
      <c r="B38" s="88" t="s">
        <v>1359</v>
      </c>
      <c r="C38" s="90"/>
    </row>
    <row r="39" spans="1:3">
      <c r="A39" s="26" t="s">
        <v>1360</v>
      </c>
      <c r="B39" s="88" t="s">
        <v>1361</v>
      </c>
      <c r="C39" s="90">
        <v>48254.0723</v>
      </c>
    </row>
    <row r="40" spans="1:3">
      <c r="A40" s="26" t="s">
        <v>1362</v>
      </c>
      <c r="B40" s="88" t="s">
        <v>1363</v>
      </c>
      <c r="C40" s="90">
        <v>0</v>
      </c>
    </row>
    <row r="41" spans="1:3">
      <c r="A41" s="26" t="s">
        <v>1364</v>
      </c>
      <c r="B41" s="88" t="s">
        <v>1365</v>
      </c>
      <c r="C41" s="90">
        <v>6197.0137999999997</v>
      </c>
    </row>
    <row r="42" spans="1:3">
      <c r="A42" s="26" t="s">
        <v>1366</v>
      </c>
      <c r="B42" s="93" t="s">
        <v>1367</v>
      </c>
      <c r="C42" s="94">
        <v>106396</v>
      </c>
    </row>
  </sheetData>
  <sheetProtection algorithmName="SHA-512" hashValue="PuTxzTaHifNPrhdSWB+ay7nwXYHTvxQcHm1/GMHUgS+s6dsfg+Y0swomLTqHT6DV65SNpzMm1Rvg9SuCxZG10g==" saltValue="eDd4O8t56mZNe63vBQWqVw==" spinCount="100000" sheet="1" objects="1" scenarios="1"/>
  <phoneticPr fontId="35"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U68"/>
  <sheetViews>
    <sheetView workbookViewId="0">
      <pane xSplit="3" ySplit="2" topLeftCell="D3" activePane="bottomRight" state="frozen"/>
      <selection pane="topRight"/>
      <selection pane="bottomLeft"/>
      <selection pane="bottomRight" activeCell="G5" sqref="G5"/>
    </sheetView>
  </sheetViews>
  <sheetFormatPr defaultColWidth="9" defaultRowHeight="13.9"/>
  <cols>
    <col min="1" max="1" width="10.9296875" style="26" hidden="1" customWidth="1"/>
    <col min="2" max="2" width="3.33203125" style="26" customWidth="1"/>
    <col min="3" max="3" width="27.73046875" style="26" customWidth="1"/>
    <col min="4" max="4" width="9" style="26"/>
    <col min="5" max="19" width="11.06640625" style="26" customWidth="1"/>
    <col min="20" max="16384" width="9" style="26"/>
  </cols>
  <sheetData>
    <row r="1" spans="1:21">
      <c r="E1" s="437" t="s">
        <v>741</v>
      </c>
      <c r="F1" s="437"/>
      <c r="G1" s="437"/>
      <c r="H1" s="437"/>
      <c r="I1" s="437"/>
      <c r="J1" s="437" t="s">
        <v>742</v>
      </c>
      <c r="K1" s="437"/>
      <c r="L1" s="437"/>
      <c r="M1" s="437"/>
      <c r="N1" s="437"/>
      <c r="O1" s="437"/>
      <c r="P1" s="437"/>
      <c r="Q1" s="437"/>
      <c r="R1" s="437"/>
      <c r="S1" s="437"/>
    </row>
    <row r="2" spans="1:21">
      <c r="E2" s="78">
        <f>历史数据!C1</f>
        <v>2021</v>
      </c>
      <c r="F2" s="78">
        <f>历史数据!D1</f>
        <v>2022</v>
      </c>
      <c r="G2" s="78">
        <f>历史数据!E1</f>
        <v>2023</v>
      </c>
      <c r="H2" s="78">
        <f>历史数据!F1</f>
        <v>2024</v>
      </c>
      <c r="I2" s="78">
        <f>历史数据!G1</f>
        <v>2025</v>
      </c>
      <c r="J2" s="85">
        <f>I2+1</f>
        <v>2026</v>
      </c>
      <c r="K2" s="85">
        <f t="shared" ref="K2:S2" si="0">J2+1</f>
        <v>2027</v>
      </c>
      <c r="L2" s="85">
        <f t="shared" si="0"/>
        <v>2028</v>
      </c>
      <c r="M2" s="85">
        <f t="shared" si="0"/>
        <v>2029</v>
      </c>
      <c r="N2" s="85">
        <f t="shared" si="0"/>
        <v>2030</v>
      </c>
      <c r="O2" s="85">
        <f t="shared" si="0"/>
        <v>2031</v>
      </c>
      <c r="P2" s="85">
        <f t="shared" si="0"/>
        <v>2032</v>
      </c>
      <c r="Q2" s="85">
        <f t="shared" si="0"/>
        <v>2033</v>
      </c>
      <c r="R2" s="85">
        <f t="shared" si="0"/>
        <v>2034</v>
      </c>
      <c r="S2" s="85">
        <f t="shared" si="0"/>
        <v>2035</v>
      </c>
      <c r="T2" s="85">
        <f t="shared" ref="T2" si="1">S2+1</f>
        <v>2036</v>
      </c>
      <c r="U2" s="85">
        <f t="shared" ref="U2" si="2">T2+1</f>
        <v>2037</v>
      </c>
    </row>
    <row r="3" spans="1:21">
      <c r="D3" s="26" t="s">
        <v>1368</v>
      </c>
    </row>
    <row r="4" spans="1:21">
      <c r="B4" s="26" t="s">
        <v>1369</v>
      </c>
    </row>
    <row r="5" spans="1:21">
      <c r="A5" s="79"/>
      <c r="C5" s="26" t="s">
        <v>1370</v>
      </c>
      <c r="D5" s="80"/>
      <c r="E5" s="81">
        <f>历史数据及预测表!D142</f>
        <v>1.9704999999999999</v>
      </c>
      <c r="F5" s="81">
        <f>历史数据及预测表!E142</f>
        <v>1.6389</v>
      </c>
      <c r="G5" s="81">
        <f>历史数据及预测表!F142</f>
        <v>1.1155999999999999</v>
      </c>
      <c r="H5" s="81">
        <f>历史数据及预测表!G142</f>
        <v>0.76039999999999996</v>
      </c>
      <c r="I5" s="81">
        <f>历史数据及预测表!H142</f>
        <v>0.78029999999999999</v>
      </c>
      <c r="J5" s="81">
        <f ca="1">历史数据及预测表!I142</f>
        <v>5.2008196612861246</v>
      </c>
      <c r="K5" s="81">
        <f ca="1">历史数据及预测表!J142</f>
        <v>5.9374387308382905</v>
      </c>
      <c r="L5" s="81">
        <f ca="1">历史数据及预测表!K142</f>
        <v>5.7080538379416552</v>
      </c>
      <c r="M5" s="81">
        <f ca="1">历史数据及预测表!L142</f>
        <v>6.4377796549660404</v>
      </c>
      <c r="N5" s="81">
        <f ca="1">历史数据及预测表!M142</f>
        <v>8.7163890198231915</v>
      </c>
      <c r="O5" s="81">
        <f ca="1">历史数据及预测表!N142</f>
        <v>9.8044652581500618</v>
      </c>
      <c r="P5" s="81">
        <f ca="1">历史数据及预测表!O142</f>
        <v>11.75080688064749</v>
      </c>
      <c r="Q5" s="81">
        <f ca="1">历史数据及预测表!P142</f>
        <v>14.35354074014735</v>
      </c>
      <c r="R5" s="81">
        <f ca="1">历史数据及预测表!Q142</f>
        <v>16.948136999610018</v>
      </c>
      <c r="S5" s="81">
        <f ca="1">历史数据及预测表!R142</f>
        <v>20.339126344698109</v>
      </c>
      <c r="T5" s="81">
        <f ca="1">历史数据及预测表!S142</f>
        <v>24.336491830693038</v>
      </c>
      <c r="U5" s="81">
        <f ca="1">历史数据及预测表!T142</f>
        <v>29.116102173171186</v>
      </c>
    </row>
    <row r="6" spans="1:21">
      <c r="A6" s="79"/>
      <c r="C6" s="26" t="s">
        <v>1371</v>
      </c>
      <c r="D6" s="80"/>
      <c r="E6" s="81">
        <f>历史数据及预测表!D97/(首页!$F$19/1000)</f>
        <v>21.346839859296185</v>
      </c>
      <c r="F6" s="81">
        <f>历史数据及预测表!E97/(首页!$F$19/1000)</f>
        <v>23.258164798186371</v>
      </c>
      <c r="G6" s="81">
        <f>历史数据及预测表!F97/(首页!$F$19/1000)</f>
        <v>24.435707395642954</v>
      </c>
      <c r="H6" s="81">
        <f>历史数据及预测表!G97/(首页!$F$19/1000)</f>
        <v>24.980122486719115</v>
      </c>
      <c r="I6" s="81">
        <f>历史数据及预测表!H97/(首页!$F$19/1000)</f>
        <v>25.798565085231161</v>
      </c>
      <c r="J6" s="81">
        <f ca="1">历史数据及预测表!I97/(首页!$F$19/1000)</f>
        <v>30.824944737357683</v>
      </c>
      <c r="K6" s="81">
        <f ca="1">历史数据及预测表!J97/(首页!$F$19/1000)</f>
        <v>36.681508071523318</v>
      </c>
      <c r="L6" s="81">
        <f ca="1">历史数据及预测表!K97/(首页!$F$19/1000)</f>
        <v>42.322914081579071</v>
      </c>
      <c r="M6" s="81">
        <f ca="1">历史数据及预测表!L97/(首页!$F$19/1000)</f>
        <v>48.703372658639061</v>
      </c>
      <c r="N6" s="81">
        <f ca="1">历史数据及预测表!M97/(首页!$F$19/1000)</f>
        <v>57.351480244307375</v>
      </c>
      <c r="O6" s="81">
        <f ca="1">历史数据及预测表!N97/(首页!$F$19/1000)</f>
        <v>67.091862055808505</v>
      </c>
      <c r="P6" s="81">
        <f ca="1">历史数据及预测表!O97/(首页!$F$19/1000)</f>
        <v>78.779440283552717</v>
      </c>
      <c r="Q6" s="81">
        <f ca="1">历史数据及预测表!P97/(首页!$F$19/1000)</f>
        <v>93.067783179131027</v>
      </c>
      <c r="R6" s="81">
        <f ca="1">历史数据及预测表!Q97/(首页!$F$19/1000)</f>
        <v>109.95175019736729</v>
      </c>
      <c r="S6" s="81">
        <f ca="1">历史数据及预测表!R97/(首页!$F$19/1000)</f>
        <v>130.22667771578338</v>
      </c>
      <c r="T6" s="81">
        <f ca="1">历史数据及预测表!S97/(首页!$F$19/1000)</f>
        <v>154.49897072019439</v>
      </c>
      <c r="U6" s="81">
        <f ca="1">历史数据及预测表!T97/(首页!$F$19/1000)</f>
        <v>183.55087406708356</v>
      </c>
    </row>
    <row r="7" spans="1:21">
      <c r="A7" s="79"/>
      <c r="C7" s="26" t="s">
        <v>1372</v>
      </c>
      <c r="D7" s="80"/>
      <c r="E7" s="81">
        <f>历史数据及预测表!D159/(首页!$F$19/1000)</f>
        <v>2.244865882666653</v>
      </c>
      <c r="F7" s="81">
        <f>历史数据及预测表!E159/(首页!$F$19/1000)</f>
        <v>-0.1564827878993334</v>
      </c>
      <c r="G7" s="81">
        <f>历史数据及预测表!F159/(首页!$F$19/1000)</f>
        <v>1.1566935539655998</v>
      </c>
      <c r="H7" s="81">
        <f>历史数据及预测表!G159/(首页!$F$19/1000)</f>
        <v>0.75321089356016901</v>
      </c>
      <c r="I7" s="81">
        <f>历史数据及预测表!H159/(首页!$F$19/1000)</f>
        <v>1.2902595540521873</v>
      </c>
      <c r="J7" s="81">
        <f ca="1">历史数据及预测表!I159/(首页!$F$19/1000)</f>
        <v>3.6443150086678826</v>
      </c>
      <c r="K7" s="81">
        <f ca="1">历史数据及预测表!J159/(首页!$F$19/1000)</f>
        <v>3.5882674327894648</v>
      </c>
      <c r="L7" s="81">
        <f ca="1">历史数据及预测表!K159/(首页!$F$19/1000)</f>
        <v>3.2738886162454102</v>
      </c>
      <c r="M7" s="81">
        <f ca="1">历史数据及预测表!L159/(首页!$F$19/1000)</f>
        <v>3.7126585933573009</v>
      </c>
      <c r="N7" s="81">
        <f ca="1">历史数据及预测表!M159/(首页!$F$19/1000)</f>
        <v>6.230945437343677</v>
      </c>
      <c r="O7" s="81">
        <f ca="1">历史数据及预测表!N159/(首页!$F$19/1000)</f>
        <v>6.0518245003430309</v>
      </c>
      <c r="P7" s="81">
        <f ca="1">历史数据及预测表!O159/(首页!$F$19/1000)</f>
        <v>7.4012767975346465</v>
      </c>
      <c r="Q7" s="81">
        <f ca="1">历史数据及预测表!P159/(首页!$F$19/1000)</f>
        <v>9.2691803773377934</v>
      </c>
      <c r="R7" s="81">
        <f ca="1">历史数据及预测表!Q159/(首页!$F$19/1000)</f>
        <v>10.535116242703895</v>
      </c>
      <c r="S7" s="81">
        <f ca="1">历史数据及预测表!R159/(首页!$F$19/1000)</f>
        <v>12.676609290053484</v>
      </c>
      <c r="T7" s="81">
        <f ca="1">历史数据及预测表!S159/(首页!$F$19/1000)</f>
        <v>14.935268743195749</v>
      </c>
      <c r="U7" s="81">
        <f ca="1">历史数据及预测表!T159/(首页!$F$19/1000)</f>
        <v>17.745567945226949</v>
      </c>
    </row>
    <row r="8" spans="1:21">
      <c r="A8" s="79"/>
      <c r="C8" s="26" t="s">
        <v>1373</v>
      </c>
      <c r="D8" s="80"/>
      <c r="E8" s="81">
        <f>(历史数据及预测表!D136+历史数据及预测表!D131+历史数据及预测表!D115)/(首页!$F$19/1000)</f>
        <v>1.9047479805346921</v>
      </c>
      <c r="F8" s="81">
        <f>(历史数据及预测表!E136+历史数据及预测表!E131+历史数据及预测表!E115)/(首页!$F$19/1000)</f>
        <v>1.5701040419546093</v>
      </c>
      <c r="G8" s="81">
        <f>(历史数据及预测表!F136+历史数据及预测表!F131+历史数据及预测表!F115)/(首页!$F$19/1000)</f>
        <v>0.98236902685206029</v>
      </c>
      <c r="H8" s="81">
        <f>(历史数据及预测表!G136+历史数据及预测表!G131+历史数据及预测表!G115)/(首页!$F$19/1000)</f>
        <v>0.69883772002389088</v>
      </c>
      <c r="I8" s="81">
        <f>(历史数据及预测表!H136+历史数据及预测表!H131+历史数据及预测表!H115)/(首页!$F$19/1000)</f>
        <v>0.64385135337064681</v>
      </c>
      <c r="J8" s="81">
        <f ca="1">(历史数据及预测表!I136+历史数据及预测表!I131+历史数据及预测表!I115)/(首页!$F$19/1000)</f>
        <v>5.5039789339133156</v>
      </c>
      <c r="K8" s="81">
        <f ca="1">(历史数据及预测表!J136+历史数据及预测表!J131+历史数据及预测表!J115)/(首页!$F$19/1000)</f>
        <v>6.3751990609329185</v>
      </c>
      <c r="L8" s="81">
        <f ca="1">(历史数据及预测表!K136+历史数据及预测表!K131+历史数据及预测表!K115)/(首页!$F$19/1000)</f>
        <v>6.039413889301037</v>
      </c>
      <c r="M8" s="81">
        <f ca="1">(历史数据及预测表!L136+历史数据及预测表!L131+历史数据及预测表!L115)/(首页!$F$19/1000)</f>
        <v>6.7840937636007732</v>
      </c>
      <c r="N8" s="81">
        <f ca="1">(历史数据及预测表!M136+历史数据及预测表!M131+历史数据及预测表!M115)/(首页!$F$19/1000)</f>
        <v>9.2109953663452035</v>
      </c>
      <c r="O8" s="81">
        <f ca="1">(历史数据及预测表!N136+历史数据及预测表!N131+历史数据及预测表!N115)/(首页!$F$19/1000)</f>
        <v>10.26246097945436</v>
      </c>
      <c r="P8" s="81">
        <f ca="1">(历史数据及预测表!O136+历史数据及预测表!O131+历史数据及预测表!O115)/(首页!$F$19/1000)</f>
        <v>12.260368144975672</v>
      </c>
      <c r="Q8" s="81">
        <f ca="1">(历史数据及预测表!P136+历史数据及预测表!P131+历史数据及预测表!P115)/(首页!$F$19/1000)</f>
        <v>14.938378767123867</v>
      </c>
      <c r="R8" s="81">
        <f ca="1">(历史数据及预测表!Q136+历史数据及预测表!Q131+历史数据及预测表!Q115)/(首页!$F$19/1000)</f>
        <v>17.554380530351676</v>
      </c>
      <c r="S8" s="81">
        <f ca="1">(历史数据及预测表!R136+历史数据及预测表!R131+历史数据及预测表!R115)/(首页!$F$19/1000)</f>
        <v>21.006703193064745</v>
      </c>
      <c r="T8" s="81">
        <f ca="1">(历史数据及预测表!S136+历史数据及预测表!S131+历史数据及预测表!S115)/(首页!$F$19/1000)</f>
        <v>25.065065956391816</v>
      </c>
      <c r="U8" s="81">
        <f ca="1">(历史数据及预测表!T136+历史数据及预测表!T131+历史数据及预测表!T115)/(首页!$F$19/1000)</f>
        <v>29.915807447194339</v>
      </c>
    </row>
    <row r="9" spans="1:21">
      <c r="A9" s="79" t="s">
        <v>1374</v>
      </c>
      <c r="C9" s="26" t="s">
        <v>1375</v>
      </c>
      <c r="D9" s="80"/>
      <c r="E9" s="81">
        <v>-2.4424999999999999</v>
      </c>
      <c r="F9" s="81">
        <v>0.29260000000000003</v>
      </c>
      <c r="G9" s="81">
        <v>-1.3335999999999999</v>
      </c>
      <c r="H9" s="81">
        <v>-0.53959999999999997</v>
      </c>
      <c r="I9" s="81">
        <v>-5.1400000000000001E-2</v>
      </c>
      <c r="J9" s="81">
        <f ca="1">估值表!D22/历史数据及预测表!I234</f>
        <v>2.820804519601428</v>
      </c>
      <c r="K9" s="81">
        <f ca="1">估值表!E22/历史数据及预测表!J234</f>
        <v>3.306941378515361</v>
      </c>
      <c r="L9" s="81">
        <f ca="1">估值表!F22/历史数据及预测表!K234</f>
        <v>5.8531044147564515</v>
      </c>
      <c r="M9" s="81">
        <f ca="1">估值表!G22/历史数据及预测表!L234</f>
        <v>5.6148278779865501</v>
      </c>
      <c r="N9" s="81">
        <f ca="1">估值表!H22/历史数据及预测表!M234</f>
        <v>6.9825027459609759</v>
      </c>
      <c r="O9" s="81">
        <f ca="1">估值表!I22/历史数据及预测表!N234</f>
        <v>8.8464694024175028</v>
      </c>
      <c r="P9" s="81">
        <f ca="1">估值表!J22/历史数据及预测表!O234</f>
        <v>10.087131829816837</v>
      </c>
      <c r="Q9" s="81">
        <f ca="1">估值表!K22/历史数据及预测表!P234</f>
        <v>12.228485271435567</v>
      </c>
      <c r="R9" s="81">
        <f ca="1">估值表!L22/历史数据及预测表!Q234</f>
        <v>14.472691161162254</v>
      </c>
      <c r="S9" s="81">
        <f ca="1">估值表!M22/历史数据及预测表!R234</f>
        <v>17.268406279494435</v>
      </c>
      <c r="T9" s="81">
        <f>估值表!N22/历史数据及预测表!S234</f>
        <v>0</v>
      </c>
      <c r="U9" s="81">
        <f>估值表!O22/历史数据及预测表!T234</f>
        <v>0</v>
      </c>
    </row>
    <row r="10" spans="1:21">
      <c r="A10" s="79" t="s">
        <v>1376</v>
      </c>
      <c r="C10" s="26" t="s">
        <v>1377</v>
      </c>
      <c r="D10" s="80"/>
      <c r="E10" s="81">
        <v>-2.4424999999999999</v>
      </c>
      <c r="F10" s="81">
        <v>0.27189999999999998</v>
      </c>
      <c r="G10" s="81">
        <v>-1.3698999999999999</v>
      </c>
      <c r="H10" s="81">
        <v>-0.55920000000000003</v>
      </c>
      <c r="I10" s="81">
        <v>-5.1400000000000001E-2</v>
      </c>
      <c r="J10" s="81">
        <f ca="1">J9+((历史数据及预测表!I51+历史数据及预测表!I71+历史数据及预测表!I72+历史数据及预测表!I62-历史数据及预测表!H51-历史数据及预测表!H62-历史数据及预测表!H71-历史数据及预测表!H72)-关键项目预测!E370*(1-25%))/历史数据及预测表!I234</f>
        <v>6.3942392041066309</v>
      </c>
      <c r="K10" s="81">
        <f ca="1">K9+((历史数据及预测表!J51+历史数据及预测表!J71+历史数据及预测表!J72+历史数据及预测表!J62-历史数据及预测表!I51-历史数据及预测表!I62-历史数据及预测表!I71-历史数据及预测表!I72)-关键项目预测!F370*(1-25%))/历史数据及预测表!J234</f>
        <v>4.4802041773934587</v>
      </c>
      <c r="L10" s="81">
        <f ca="1">L9+((历史数据及预测表!K51+历史数据及预测表!K71+历史数据及预测表!K72+历史数据及预测表!K62-历史数据及预测表!J51-历史数据及预测表!J62-历史数据及预测表!J71-历史数据及预测表!J72)-关键项目预测!G370*(1-25%))/历史数据及预测表!K234</f>
        <v>6.5582008126884226</v>
      </c>
      <c r="M10" s="81">
        <f ca="1">M9+((历史数据及预测表!L51+历史数据及预测表!L71+历史数据及预测表!L72+历史数据及预测表!L62-历史数据及预测表!K51-历史数据及预测表!K62-历史数据及预测表!K71-历史数据及预测表!K72)-关键项目预测!H370*(1-25%))/历史数据及预测表!L234</f>
        <v>6.4891351998657312</v>
      </c>
      <c r="N10" s="81">
        <f ca="1">N9+((历史数据及预测表!M51+历史数据及预测表!M71+历史数据及预测表!M72+历史数据及预测表!M62-历史数据及预测表!L51-历史数据及预测表!L62-历史数据及预测表!L71-历史数据及预测表!L72)-关键项目预测!I370*(1-25%))/历史数据及预测表!M234</f>
        <v>6.9054841211816962</v>
      </c>
      <c r="O10" s="81">
        <f ca="1">O9+((历史数据及预测表!N51+历史数据及预测表!N71+历史数据及预测表!N72+历史数据及预测表!N62-历史数据及预测表!M51-历史数据及预测表!M62-历史数据及预测表!M71-历史数据及预测表!M72)-关键项目预测!J370*(1-25%))/历史数据及预测表!N234</f>
        <v>9.3893920621771425</v>
      </c>
      <c r="P10" s="81">
        <f ca="1">P9+((历史数据及预测表!O51+历史数据及预测表!O71+历史数据及预测表!O72+历史数据及预测表!O62-历史数据及预测表!N51-历史数据及预测表!N62-历史数据及预测表!N71-历史数据及预测表!N72)-关键项目预测!K370*(1-25%))/历史数据及预测表!O234</f>
        <v>10.542909776386066</v>
      </c>
      <c r="Q10" s="81">
        <f ca="1">Q9+((历史数据及预测表!P51+历史数据及预测表!P71+历史数据及预测表!P72+历史数据及预测表!P62-历史数据及预测表!O51-历史数据及预测表!O62-历史数据及预测表!O71-历史数据及预测表!O72)-关键项目预测!L370*(1-25%))/历史数据及预测表!P234</f>
        <v>12.414034935824352</v>
      </c>
      <c r="R10" s="81">
        <f ca="1">R9+((历史数据及预测表!Q51+历史数据及预测表!Q71+历史数据及预测表!Q72+历史数据及预测表!Q62-历史数据及预测表!P51-历史数据及预测表!P62-历史数据及预测表!P71-历史数据及预测表!P72)-关键项目预测!M370*(1-25%))/历史数据及预测表!Q234</f>
        <v>14.876002778364599</v>
      </c>
      <c r="S10" s="81">
        <f ca="1">S9+((历史数据及预测表!R51+历史数据及预测表!R71+历史数据及预测表!R72+历史数据及预测表!R62-历史数据及预测表!Q51-历史数据及预测表!Q62-历史数据及预测表!Q71-历史数据及预测表!Q72)-关键项目预测!N370*(1-25%))/历史数据及预测表!R234</f>
        <v>17.595176833291212</v>
      </c>
      <c r="T10" s="81">
        <f ca="1">T9+((历史数据及预测表!S51+历史数据及预测表!S71+历史数据及预测表!S72+历史数据及预测表!S62-历史数据及预测表!R51-历史数据及预测表!R62-历史数据及预测表!R71-历史数据及预测表!R72)-关键项目预测!O370*(1-25%))/历史数据及预测表!S234</f>
        <v>0.4497433412227646</v>
      </c>
      <c r="U10" s="81">
        <f ca="1">U9+((历史数据及预测表!T51+历史数据及预测表!T71+历史数据及预测表!T72+历史数据及预测表!T62-历史数据及预测表!S51-历史数据及预测表!S62-历史数据及预测表!S71-历史数据及预测表!S72)-关键项目预测!P370*(1-25%))/历史数据及预测表!T234</f>
        <v>0.49124116458370054</v>
      </c>
    </row>
    <row r="11" spans="1:21">
      <c r="A11" s="79" t="s">
        <v>1378</v>
      </c>
      <c r="C11" s="26" t="s">
        <v>1379</v>
      </c>
      <c r="D11" s="80"/>
      <c r="E11" s="81">
        <v>0</v>
      </c>
      <c r="F11" s="316">
        <v>-7.6000000000000004E-5</v>
      </c>
      <c r="G11" s="81">
        <v>-2.294E-3</v>
      </c>
      <c r="H11" s="81">
        <v>-1.3129999999999999E-3</v>
      </c>
      <c r="I11" s="81">
        <v>9.9099999999999991E-4</v>
      </c>
      <c r="J11" s="81">
        <f ca="1">历史数据及预测表!I226*关键比率!J5</f>
        <v>0</v>
      </c>
      <c r="K11" s="81">
        <f ca="1">历史数据及预测表!J226*关键比率!K5</f>
        <v>0</v>
      </c>
      <c r="L11" s="81">
        <f ca="1">历史数据及预测表!K226*关键比率!L5</f>
        <v>0</v>
      </c>
      <c r="M11" s="81">
        <f ca="1">历史数据及预测表!L226*关键比率!M5</f>
        <v>0</v>
      </c>
      <c r="N11" s="81">
        <f ca="1">历史数据及预测表!M226*关键比率!N5</f>
        <v>0</v>
      </c>
      <c r="O11" s="81">
        <f ca="1">历史数据及预测表!N226*关键比率!O5</f>
        <v>0</v>
      </c>
      <c r="P11" s="81">
        <f ca="1">历史数据及预测表!O226*关键比率!P5</f>
        <v>0</v>
      </c>
      <c r="Q11" s="81">
        <f ca="1">历史数据及预测表!P226*关键比率!Q5</f>
        <v>0</v>
      </c>
      <c r="R11" s="81">
        <f ca="1">历史数据及预测表!Q226*关键比率!R5</f>
        <v>0</v>
      </c>
      <c r="S11" s="81">
        <f ca="1">历史数据及预测表!R226*关键比率!S5</f>
        <v>0</v>
      </c>
      <c r="T11" s="81">
        <f ca="1">历史数据及预测表!S226*关键比率!T5</f>
        <v>0</v>
      </c>
      <c r="U11" s="81">
        <f ca="1">历史数据及预测表!T226*关键比率!U5</f>
        <v>0</v>
      </c>
    </row>
    <row r="12" spans="1:21">
      <c r="A12" s="79"/>
      <c r="B12" s="26" t="s">
        <v>1380</v>
      </c>
      <c r="D12" s="80"/>
      <c r="E12" s="82"/>
      <c r="F12" s="82"/>
      <c r="G12" s="82"/>
      <c r="H12" s="82"/>
      <c r="I12" s="81"/>
      <c r="J12" s="81"/>
      <c r="K12" s="81"/>
      <c r="L12" s="81"/>
      <c r="M12" s="81"/>
      <c r="N12" s="81"/>
      <c r="O12" s="81"/>
      <c r="P12" s="81"/>
      <c r="Q12" s="81"/>
      <c r="R12" s="81"/>
      <c r="S12" s="81"/>
      <c r="T12" s="81"/>
      <c r="U12" s="81"/>
    </row>
    <row r="13" spans="1:21">
      <c r="A13" s="79" t="s">
        <v>1381</v>
      </c>
      <c r="C13" s="26" t="s">
        <v>1382</v>
      </c>
      <c r="E13" s="81">
        <v>10.0152</v>
      </c>
      <c r="F13" s="81">
        <v>7.3337000000000003</v>
      </c>
      <c r="G13" s="81">
        <v>4.6688999999999998</v>
      </c>
      <c r="H13" s="81">
        <v>3.0714999999999999</v>
      </c>
      <c r="I13" s="81">
        <v>3.0709</v>
      </c>
      <c r="J13" s="81">
        <f ca="1">100*(历史数据及预测表!I136/历史数据及预测表!I97)</f>
        <v>16.872113496388831</v>
      </c>
      <c r="K13" s="81">
        <f ca="1">100*(历史数据及预测表!J136/历史数据及预测表!J97)</f>
        <v>16.186462997271526</v>
      </c>
      <c r="L13" s="81">
        <f ca="1">100*(历史数据及预测表!K136/历史数据及预测表!K97)</f>
        <v>13.486911196471866</v>
      </c>
      <c r="M13" s="81">
        <f ca="1">100*(历史数据及预测表!L136/历史数据及预测表!L97)</f>
        <v>13.218344651587696</v>
      </c>
      <c r="N13" s="81">
        <f ca="1">100*(历史数据及预测表!M136/历史数据及预测表!M97)</f>
        <v>15.198193634572085</v>
      </c>
      <c r="O13" s="81">
        <f ca="1">100*(历史数据及预测表!N136/历史数据及预测表!N97)</f>
        <v>14.613494032993875</v>
      </c>
      <c r="P13" s="81">
        <f ca="1">100*(历史数据及预测表!O136/历史数据及预测表!O97)</f>
        <v>14.91608322977736</v>
      </c>
      <c r="Q13" s="81">
        <f ca="1">100*(历史数据及预测表!P136/历史数据及预测表!P97)</f>
        <v>15.422673937040402</v>
      </c>
      <c r="R13" s="81">
        <f ca="1">100*(历史数据及预测表!Q136/历史数据及预测表!Q97)</f>
        <v>15.41415845512363</v>
      </c>
      <c r="S13" s="81">
        <f ca="1">100*(历史数据及预测表!R136/历史数据及预测表!R97)</f>
        <v>15.618248657518031</v>
      </c>
      <c r="T13" s="81">
        <f ca="1">100*(历史数据及预测表!S136/历史数据及预测表!S97)</f>
        <v>15.751879590516937</v>
      </c>
      <c r="U13" s="81">
        <f ca="1">100*(历史数据及预测表!T136/历史数据及预测表!T97)</f>
        <v>15.862687900082076</v>
      </c>
    </row>
    <row r="14" spans="1:21">
      <c r="A14" s="79" t="s">
        <v>1383</v>
      </c>
      <c r="C14" s="26" t="s">
        <v>1384</v>
      </c>
      <c r="E14" s="81">
        <v>9.2005999999999997</v>
      </c>
      <c r="F14" s="81">
        <v>6.8620999999999999</v>
      </c>
      <c r="G14" s="81">
        <v>4.3343999999999996</v>
      </c>
      <c r="H14" s="81">
        <v>3.2027000000000001</v>
      </c>
      <c r="I14" s="81">
        <v>2.3380000000000001</v>
      </c>
      <c r="J14" s="81">
        <f ca="1">100*(历史数据及预测表!I136/历史数据及预测表!I48)</f>
        <v>14.103766488865372</v>
      </c>
      <c r="K14" s="81">
        <f ca="1">100*(历史数据及预测表!J136/历史数据及预测表!J48)</f>
        <v>13.344763426388617</v>
      </c>
      <c r="L14" s="81">
        <f ca="1">100*(历史数据及预测表!K136/历史数据及预测表!K48)</f>
        <v>11.082638978924781</v>
      </c>
      <c r="M14" s="81">
        <f ca="1">100*(历史数据及预测表!L136/历史数据及预测表!L48)</f>
        <v>10.891717878039724</v>
      </c>
      <c r="N14" s="81">
        <f ca="1">100*(历史数据及预测表!M136/历史数据及预测表!M48)</f>
        <v>12.789736691146524</v>
      </c>
      <c r="O14" s="81">
        <f ca="1">100*(历史数据及预测表!N136/历史数据及预测表!N48)</f>
        <v>12.394892272497703</v>
      </c>
      <c r="P14" s="81">
        <f ca="1">100*(历史数据及预测表!O136/历史数据及预测表!O48)</f>
        <v>12.793163254912013</v>
      </c>
      <c r="Q14" s="81">
        <f ca="1">100*(历史数据及预测表!P136/历史数据及预测表!P48)</f>
        <v>13.406828376756799</v>
      </c>
      <c r="R14" s="81">
        <f ca="1">100*(历史数据及预测表!Q136/历史数据及预测表!Q48)</f>
        <v>13.536142514928859</v>
      </c>
      <c r="S14" s="81">
        <f ca="1">100*(历史数据及预测表!R136/历史数据及预测表!R48)</f>
        <v>13.861355654829666</v>
      </c>
      <c r="T14" s="81">
        <f ca="1">100*(历史数据及预测表!S136/历史数据及预测表!S48)</f>
        <v>14.106227441700453</v>
      </c>
      <c r="U14" s="81">
        <f ca="1">100*(历史数据及预测表!T136/历史数据及预测表!T48)</f>
        <v>14.322739029767725</v>
      </c>
    </row>
    <row r="15" spans="1:21">
      <c r="A15" s="79" t="s">
        <v>1385</v>
      </c>
      <c r="C15" s="26" t="s">
        <v>1386</v>
      </c>
      <c r="E15" s="81">
        <v>10.010199999999999</v>
      </c>
      <c r="F15" s="81">
        <v>7.3304999999999998</v>
      </c>
      <c r="G15" s="81">
        <v>4.6688999999999998</v>
      </c>
      <c r="H15" s="81">
        <v>3.0714999999999999</v>
      </c>
      <c r="I15" s="81">
        <v>3.0697999999999999</v>
      </c>
      <c r="J15" s="81">
        <f ca="1">100*(历史数据及预测表!I136*2/(历史数据及预测表!H233+历史数据及预测表!I233))</f>
        <v>17.307935134795173</v>
      </c>
      <c r="K15" s="81">
        <f ca="1">100*(历史数据及预测表!J136*2/(历史数据及预测表!I233+历史数据及预测表!J233))</f>
        <v>15.739229789869311</v>
      </c>
      <c r="L15" s="81">
        <f ca="1">100*(历史数据及预测表!K136*2/(历史数据及预测表!J233+历史数据及预测表!K233))</f>
        <v>12.899852871334231</v>
      </c>
      <c r="M15" s="81">
        <f ca="1">100*(历史数据及预测表!L136*2/(历史数据及预测表!K233+历史数据及预测表!L233))</f>
        <v>12.660753267694643</v>
      </c>
      <c r="N15" s="81">
        <f ca="1">100*(历史数据及预测表!M136*2/(历史数据及预测表!L233+历史数据及预测表!M233))</f>
        <v>14.899287189875466</v>
      </c>
      <c r="O15" s="81">
        <f ca="1">100*(历史数据及预测表!N136*2/(历史数据及预测表!M233+历史数据及预测表!N233))</f>
        <v>14.50741183253702</v>
      </c>
      <c r="P15" s="81">
        <f ca="1">100*(历史数据及预测表!O136*2/(历史数据及预测表!N233+历史数据及预测表!O233))</f>
        <v>14.998995365735478</v>
      </c>
      <c r="Q15" s="81">
        <f ca="1">100*(历史数据及预测表!P136*2/(历史数据及预测表!O233+历史数据及预测表!P233))</f>
        <v>15.76034696791114</v>
      </c>
      <c r="R15" s="81">
        <f ca="1">100*(历史数据及预测表!Q136*2/(历史数据及预测表!P233+历史数据及预测表!Q233))</f>
        <v>15.956483231089955</v>
      </c>
      <c r="S15" s="81">
        <f ca="1">100*(历史数据及预测表!R136*2/(历史数据及预测表!Q233+历史数据及预测表!R233))</f>
        <v>16.372793542222936</v>
      </c>
      <c r="T15" s="81">
        <f ca="1">100*(历史数据及预测表!S136*2/(历史数据及预测表!R233+历史数据及预测表!S233))</f>
        <v>16.701029853300849</v>
      </c>
      <c r="U15" s="81">
        <f ca="1">100*(历史数据及预测表!T136*2/(历史数据及预测表!S233+历史数据及预测表!T233))</f>
        <v>16.987251431215718</v>
      </c>
    </row>
    <row r="16" spans="1:21">
      <c r="A16" s="79" t="s">
        <v>1387</v>
      </c>
      <c r="C16" s="26" t="s">
        <v>1388</v>
      </c>
      <c r="E16" s="81">
        <v>17.507400000000001</v>
      </c>
      <c r="F16" s="81">
        <v>14.3931</v>
      </c>
      <c r="G16" s="81">
        <v>11.382300000000001</v>
      </c>
      <c r="H16" s="81">
        <v>8.6454000000000004</v>
      </c>
      <c r="I16" s="81">
        <v>7.9386999999999999</v>
      </c>
      <c r="J16" s="81">
        <f ca="1">100*(历史数据及预测表!I136/历史数据及预测表!I107)</f>
        <v>30.207684989614357</v>
      </c>
      <c r="K16" s="81">
        <f ca="1">100*(历史数据及预测表!J136/历史数据及预测表!J107)</f>
        <v>27.046349027350374</v>
      </c>
      <c r="L16" s="81">
        <f ca="1">100*(历史数据及预测表!K136/历史数据及预测表!K107)</f>
        <v>21.988233671523499</v>
      </c>
      <c r="M16" s="81">
        <f ca="1">100*(历史数据及预测表!L136/历史数据及预测表!L107)</f>
        <v>21.083802055823099</v>
      </c>
      <c r="N16" s="81">
        <f ca="1">100*(历史数据及预测表!M136/历史数据及预测表!M107)</f>
        <v>23.567192329221292</v>
      </c>
      <c r="O16" s="81">
        <f ca="1">100*(历史数据及预测表!N136/历史数据及预测表!N107)</f>
        <v>22.276496492944784</v>
      </c>
      <c r="P16" s="81">
        <f ca="1">100*(历史数据及预测表!O136/历史数据及预测表!O107)</f>
        <v>22.388889473961008</v>
      </c>
      <c r="Q16" s="81">
        <f ca="1">100*(历史数据及预测表!P136/历史数据及预测表!P107)</f>
        <v>22.829391518434988</v>
      </c>
      <c r="R16" s="81">
        <f ca="1">100*(历史数据及预测表!Q136/历史数据及预测表!Q107)</f>
        <v>22.586222721645868</v>
      </c>
      <c r="S16" s="81">
        <f ca="1">100*(历史数据及预测表!R136/历史数据及预测表!R107)</f>
        <v>22.689206513886234</v>
      </c>
      <c r="T16" s="81">
        <f ca="1">100*(历史数据及预测表!S136/历史数据及预测表!S107)</f>
        <v>22.725338517154885</v>
      </c>
      <c r="U16" s="81">
        <f ca="1">100*(历史数据及预测表!T136/历史数据及预测表!T107)</f>
        <v>22.758885837917916</v>
      </c>
    </row>
    <row r="17" spans="1:21">
      <c r="A17" s="79" t="s">
        <v>1389</v>
      </c>
      <c r="C17" s="26" t="s">
        <v>1390</v>
      </c>
      <c r="E17" s="81">
        <v>36.821100000000001</v>
      </c>
      <c r="F17" s="81">
        <v>33.42</v>
      </c>
      <c r="G17" s="81">
        <v>35.490099999999998</v>
      </c>
      <c r="H17" s="81">
        <v>34.969299999999997</v>
      </c>
      <c r="I17" s="81">
        <v>33.903399999999998</v>
      </c>
      <c r="J17" s="81">
        <f>100-J18</f>
        <v>49.659152464527359</v>
      </c>
      <c r="K17" s="81">
        <f t="shared" ref="K17:U17" si="3">100-K18</f>
        <v>46.612793761213702</v>
      </c>
      <c r="L17" s="81">
        <f t="shared" si="3"/>
        <v>40.944851302474682</v>
      </c>
      <c r="M17" s="81">
        <f t="shared" si="3"/>
        <v>39.770297248019581</v>
      </c>
      <c r="N17" s="81">
        <f t="shared" si="3"/>
        <v>42.442647437235991</v>
      </c>
      <c r="O17" s="81">
        <f t="shared" si="3"/>
        <v>41.052598662576756</v>
      </c>
      <c r="P17" s="81">
        <f t="shared" si="3"/>
        <v>41.088514449277447</v>
      </c>
      <c r="Q17" s="81">
        <f t="shared" si="3"/>
        <v>41.527920183030076</v>
      </c>
      <c r="R17" s="81">
        <f t="shared" si="3"/>
        <v>41.223011098294769</v>
      </c>
      <c r="S17" s="81">
        <f t="shared" si="3"/>
        <v>41.279815243534088</v>
      </c>
      <c r="T17" s="81">
        <f t="shared" si="3"/>
        <v>41.279815243534088</v>
      </c>
      <c r="U17" s="81">
        <f t="shared" si="3"/>
        <v>41.279815243534088</v>
      </c>
    </row>
    <row r="18" spans="1:21">
      <c r="A18" s="79" t="s">
        <v>1391</v>
      </c>
      <c r="C18" s="26" t="s">
        <v>1392</v>
      </c>
      <c r="E18" s="81">
        <v>63.178899999999999</v>
      </c>
      <c r="F18" s="81">
        <v>66.58</v>
      </c>
      <c r="G18" s="81">
        <v>64.509900000000002</v>
      </c>
      <c r="H18" s="81">
        <v>65.030699999999996</v>
      </c>
      <c r="I18" s="81">
        <v>66.096599999999995</v>
      </c>
      <c r="J18" s="81">
        <f>100*(历史数据及预测表!I110/历史数据及预测表!I107)</f>
        <v>50.340847535472641</v>
      </c>
      <c r="K18" s="81">
        <f>100*(历史数据及预测表!J110/历史数据及预测表!J107)</f>
        <v>53.387206238786298</v>
      </c>
      <c r="L18" s="81">
        <f>100*(历史数据及预测表!K110/历史数据及预测表!K107)</f>
        <v>59.055148697525318</v>
      </c>
      <c r="M18" s="81">
        <f>100*(历史数据及预测表!L110/历史数据及预测表!L107)</f>
        <v>60.229702751980419</v>
      </c>
      <c r="N18" s="81">
        <f>100*(历史数据及预测表!M110/历史数据及预测表!M107)</f>
        <v>57.557352562764009</v>
      </c>
      <c r="O18" s="81">
        <f>100*(历史数据及预测表!N110/历史数据及预测表!N107)</f>
        <v>58.947401337423244</v>
      </c>
      <c r="P18" s="81">
        <f>100*(历史数据及预测表!O110/历史数据及预测表!O107)</f>
        <v>58.911485550722553</v>
      </c>
      <c r="Q18" s="81">
        <f>100*(历史数据及预测表!P110/历史数据及预测表!P107)</f>
        <v>58.472079816969924</v>
      </c>
      <c r="R18" s="81">
        <f>100*(历史数据及预测表!Q110/历史数据及预测表!Q107)</f>
        <v>58.776988901705231</v>
      </c>
      <c r="S18" s="81">
        <f>100*(历史数据及预测表!R110/历史数据及预测表!R107)</f>
        <v>58.720184756465912</v>
      </c>
      <c r="T18" s="81">
        <f>100*(历史数据及预测表!S110/历史数据及预测表!S107)</f>
        <v>58.720184756465912</v>
      </c>
      <c r="U18" s="81">
        <f>100*(历史数据及预测表!T110/历史数据及预测表!T107)</f>
        <v>58.720184756465912</v>
      </c>
    </row>
    <row r="19" spans="1:21">
      <c r="A19" s="79" t="s">
        <v>1393</v>
      </c>
      <c r="C19" s="26" t="s">
        <v>1394</v>
      </c>
      <c r="E19" s="81">
        <v>4.9142000000000001</v>
      </c>
      <c r="F19" s="81">
        <v>5.5064000000000002</v>
      </c>
      <c r="G19" s="81">
        <v>7.1319999999999997</v>
      </c>
      <c r="H19" s="81">
        <v>7.1976000000000004</v>
      </c>
      <c r="I19" s="81">
        <v>6.7648000000000001</v>
      </c>
      <c r="J19" s="81">
        <f ca="1">100*((历史数据及预测表!I112+历史数据及预测表!I113+历史数据及预测表!I115)/历史数据及预测表!I107)</f>
        <v>7.4527784230847729</v>
      </c>
      <c r="K19" s="81">
        <f ca="1">100*((历史数据及预测表!J112+历史数据及预测表!J113+历史数据及预测表!J115)/历史数据及预测表!J107)</f>
        <v>6.9775990057444464</v>
      </c>
      <c r="L19" s="81">
        <f ca="1">100*((历史数据及预测表!K112+历史数据及预测表!K113+历史数据及预测表!K115)/历史数据及预测表!K107)</f>
        <v>6.7813851492013608</v>
      </c>
      <c r="M19" s="81">
        <f ca="1">100*((历史数据及预测表!L112+历史数据及预测表!L113+历史数据及预测表!L115)/历史数据及预测表!L107)</f>
        <v>6.7413026234608413</v>
      </c>
      <c r="N19" s="81">
        <f ca="1">100*((历史数据及预测表!M112+历史数据及预测表!M113+历史数据及预测表!M115)/历史数据及预测表!M107)</f>
        <v>6.6408413655178027</v>
      </c>
      <c r="O19" s="81">
        <f ca="1">100*((历史数据及预测表!N112+历史数据及预测表!N113+历史数据及预测表!N115)/历史数据及预测表!N107)</f>
        <v>6.5071393369453316</v>
      </c>
      <c r="P19" s="81">
        <f ca="1">100*((历史数据及预测表!O112+历史数据及预测表!O113+历史数据及预测表!O115)/历史数据及预测表!O107)</f>
        <v>6.4229102935077869</v>
      </c>
      <c r="Q19" s="81">
        <f ca="1">100*((历史数据及预测表!P112+历史数据及预测表!P113+历史数据及预测表!P115)/历史数据及预测表!P107)</f>
        <v>6.3293143138177177</v>
      </c>
      <c r="R19" s="81">
        <f ca="1">100*((历史数据及预测表!Q112+历史数据及预测表!Q113+历史数据及预测表!Q115)/历史数据及预测表!Q107)</f>
        <v>6.2383303364040952</v>
      </c>
      <c r="S19" s="81">
        <f ca="1">100*((历史数据及预测表!R112+历史数据及预测表!R113+历史数据及预测表!R115)/历史数据及预测表!R107)</f>
        <v>6.1630743879744907</v>
      </c>
      <c r="T19" s="81">
        <f ca="1">100*((历史数据及预测表!S112+历史数据及预测表!S113+历史数据及预测表!S115)/历史数据及预测表!S107)</f>
        <v>6.0950534354267054</v>
      </c>
      <c r="U19" s="81">
        <f ca="1">100*((历史数据及预测表!T112+历史数据及预测表!T113+历史数据及预测表!T115)/历史数据及预测表!T107)</f>
        <v>6.0364223759903695</v>
      </c>
    </row>
    <row r="20" spans="1:21">
      <c r="A20" s="79" t="s">
        <v>1395</v>
      </c>
      <c r="C20" s="26" t="s">
        <v>1396</v>
      </c>
      <c r="E20" s="81">
        <v>17.747599999999998</v>
      </c>
      <c r="F20" s="81">
        <v>15.0616</v>
      </c>
      <c r="G20" s="81">
        <v>12.036099999999999</v>
      </c>
      <c r="H20" s="81">
        <v>9.7575000000000003</v>
      </c>
      <c r="I20" s="81">
        <v>6.5523999999999996</v>
      </c>
      <c r="J20" s="81">
        <f ca="1">100*(历史数据及预测表!I232/历史数据及预测表!I106)</f>
        <v>31.968511245016217</v>
      </c>
      <c r="K20" s="81">
        <f ca="1">100*(历史数据及预测表!J232/历史数据及预测表!J106)</f>
        <v>29.040444329180261</v>
      </c>
      <c r="L20" s="81">
        <f ca="1">100*(历史数据及预测表!K232/历史数据及预测表!K106)</f>
        <v>23.264679627633381</v>
      </c>
      <c r="M20" s="81">
        <f ca="1">100*(历史数据及预测表!L232/历史数据及预测表!L106)</f>
        <v>22.217984725458447</v>
      </c>
      <c r="N20" s="81">
        <f ca="1">100*(历史数据及预测表!M232/历史数据及预测表!M106)</f>
        <v>24.904498737784298</v>
      </c>
      <c r="O20" s="81">
        <f ca="1">100*(历史数据及预测表!N232/历史数据及预测表!N106)</f>
        <v>23.317097873110622</v>
      </c>
      <c r="P20" s="81">
        <f ca="1">100*(历史数据及预测表!O232/历史数据及预测表!O106)</f>
        <v>23.359759895297312</v>
      </c>
      <c r="Q20" s="81">
        <f ca="1">100*(历史数据及预测表!P232/历史数据及预测表!P106)</f>
        <v>23.759579862508833</v>
      </c>
      <c r="R20" s="81">
        <f ca="1">100*(历史数据及预测表!Q232/历史数据及预测表!Q106)</f>
        <v>23.394143462984353</v>
      </c>
      <c r="S20" s="81">
        <f ca="1">100*(历史数据及预测表!R232/历史数据及预测表!R106)</f>
        <v>23.433918392575876</v>
      </c>
      <c r="T20" s="81">
        <f ca="1">100*(历史数据及预测表!S232/历史数据及预测表!S106)</f>
        <v>23.405678708427423</v>
      </c>
      <c r="U20" s="81">
        <f ca="1">100*(历史数据及预测表!T232/历史数据及预测表!T106)</f>
        <v>23.383983186758808</v>
      </c>
    </row>
    <row r="21" spans="1:21">
      <c r="A21" s="79"/>
      <c r="C21" s="26" t="s">
        <v>1397</v>
      </c>
      <c r="E21" s="81">
        <f>100*(E23/历史数据及预测表!D106)</f>
        <v>21.94256248918057</v>
      </c>
      <c r="F21" s="81">
        <f>100*(F23/历史数据及预测表!E106)</f>
        <v>18.636050049520385</v>
      </c>
      <c r="G21" s="81">
        <f>100*(G23/历史数据及预测表!F106)</f>
        <v>15.651545306266417</v>
      </c>
      <c r="H21" s="81">
        <f>100*(H23/历史数据及预测表!G106)</f>
        <v>12.540488777054733</v>
      </c>
      <c r="I21" s="81">
        <f>100*(I23/历史数据及预测表!H106)</f>
        <v>10.44792542777485</v>
      </c>
      <c r="J21" s="81">
        <f ca="1">100*(J23/历史数据及预测表!I106)</f>
        <v>32.725816199087312</v>
      </c>
      <c r="K21" s="81">
        <f ca="1">100*(K23/历史数据及预测表!J106)</f>
        <v>29.813734962758261</v>
      </c>
      <c r="L21" s="81">
        <f ca="1">100*(L23/历史数据及预测表!K106)</f>
        <v>24.070293810472055</v>
      </c>
      <c r="M21" s="81">
        <f ca="1">100*(M23/历史数据及预测表!L106)</f>
        <v>23.031854544968212</v>
      </c>
      <c r="N21" s="81">
        <f ca="1">100*(N23/历史数据及预测表!M106)</f>
        <v>25.682873312511074</v>
      </c>
      <c r="O21" s="81">
        <f ca="1">100*(O23/历史数据及预测表!N106)</f>
        <v>24.060655016925192</v>
      </c>
      <c r="P21" s="81">
        <f ca="1">100*(P23/历史数据及预测表!O106)</f>
        <v>24.058309576612615</v>
      </c>
      <c r="Q21" s="81">
        <f ca="1">100*(Q23/历史数据及预测表!P106)</f>
        <v>24.405339040443707</v>
      </c>
      <c r="R21" s="81">
        <f ca="1">100*(R23/历史数据及预测表!Q106)</f>
        <v>23.9876914520189</v>
      </c>
      <c r="S21" s="81">
        <f ca="1">100*(S23/历史数据及预测表!R106)</f>
        <v>23.974688204169119</v>
      </c>
      <c r="T21" s="81">
        <f ca="1">100*(T23/历史数据及预测表!S106)</f>
        <v>23.773360399822174</v>
      </c>
      <c r="U21" s="81">
        <f ca="1">100*(U23/历史数据及预测表!T106)</f>
        <v>23.691760962124974</v>
      </c>
    </row>
    <row r="22" spans="1:21">
      <c r="A22" s="79"/>
      <c r="C22" s="26" t="s">
        <v>171</v>
      </c>
      <c r="D22" s="81"/>
      <c r="E22" s="81">
        <f>历史数据及预测表!D232</f>
        <v>919.11846766000031</v>
      </c>
      <c r="F22" s="81">
        <f>历史数据及预测表!E232</f>
        <v>757.63913958999956</v>
      </c>
      <c r="G22" s="81">
        <f>历史数据及预测表!F232</f>
        <v>474.03306046999961</v>
      </c>
      <c r="H22" s="81">
        <f>历史数据及预测表!G232</f>
        <v>337.21765867999989</v>
      </c>
      <c r="I22" s="81">
        <f>历史数据及预测表!H232</f>
        <v>310.68449756000041</v>
      </c>
      <c r="J22" s="81">
        <f ca="1">历史数据及预测表!I232</f>
        <v>2655.8939741473005</v>
      </c>
      <c r="K22" s="81">
        <f ca="1">历史数据及预测表!J232</f>
        <v>3076.2931641314917</v>
      </c>
      <c r="L22" s="81">
        <f ca="1">历史数据及预测表!K232</f>
        <v>2914.2631446395644</v>
      </c>
      <c r="M22" s="81">
        <f ca="1">历史数据及预测表!L232</f>
        <v>3273.6015095877083</v>
      </c>
      <c r="N22" s="81">
        <f ca="1">历史数据及预测表!M232</f>
        <v>4444.6803636258646</v>
      </c>
      <c r="O22" s="81">
        <f ca="1">历史数据及预测表!N232</f>
        <v>4952.0553407851949</v>
      </c>
      <c r="P22" s="81">
        <f ca="1">历史数据及预测表!O232</f>
        <v>5916.1269089227299</v>
      </c>
      <c r="Q22" s="81">
        <f ca="1">历史数据及预测表!P232</f>
        <v>7208.3760907357992</v>
      </c>
      <c r="R22" s="81">
        <f ca="1">历史数据及预测表!Q232</f>
        <v>8470.7034729330207</v>
      </c>
      <c r="S22" s="81">
        <f ca="1">历史数据及预测表!R232</f>
        <v>10136.589746627871</v>
      </c>
      <c r="T22" s="81">
        <f ca="1">历史数据及预测表!S232</f>
        <v>12094.915048639994</v>
      </c>
      <c r="U22" s="81">
        <f ca="1">历史数据及预测表!T232</f>
        <v>14435.595354697942</v>
      </c>
    </row>
    <row r="23" spans="1:21">
      <c r="A23" s="79"/>
      <c r="C23" s="26" t="s">
        <v>99</v>
      </c>
      <c r="D23" s="81"/>
      <c r="E23" s="81">
        <f>历史数据及预测表!D232+历史数据及预测表!D151</f>
        <v>1157.2637203100003</v>
      </c>
      <c r="F23" s="81">
        <f>历史数据及预测表!E232+历史数据及预测表!E151</f>
        <v>1008.5583386699996</v>
      </c>
      <c r="G23" s="81">
        <f>历史数据及预测表!F232+历史数据及预测表!F151</f>
        <v>709.15988189999962</v>
      </c>
      <c r="H23" s="81">
        <f>历史数据及预测表!G232+历史数据及预测表!G151</f>
        <v>528.28387586999986</v>
      </c>
      <c r="I23" s="81">
        <f>历史数据及预测表!H232+历史数据及预测表!H151</f>
        <v>495.33693836000043</v>
      </c>
      <c r="J23" s="81">
        <f ca="1">历史数据及预测表!I232+历史数据及预测表!I151</f>
        <v>2718.8096866962505</v>
      </c>
      <c r="K23" s="81">
        <f ca="1">历史数据及预测表!J232+历史数据及预测表!J151</f>
        <v>3158.2088766804418</v>
      </c>
      <c r="L23" s="81">
        <f ca="1">历史数据及预测表!K232+历史数据及预测表!K151</f>
        <v>3015.1788571885145</v>
      </c>
      <c r="M23" s="81">
        <f ca="1">历史数据及预测表!L232+历史数据及预测表!L151</f>
        <v>3393.5172221366583</v>
      </c>
      <c r="N23" s="81">
        <f ca="1">历史数据及预测表!M232+历史数据及预测表!M151</f>
        <v>4583.5960761748147</v>
      </c>
      <c r="O23" s="81">
        <f ca="1">历史数据及预测表!N232+历史数据及预测表!N151</f>
        <v>5109.9710533341449</v>
      </c>
      <c r="P23" s="81">
        <f ca="1">历史数据及预测表!O232+历史数据及预测表!O151</f>
        <v>6093.0426214716799</v>
      </c>
      <c r="Q23" s="81">
        <f ca="1">历史数据及预测表!P232+历史数据及预测表!P151</f>
        <v>7404.2918032847492</v>
      </c>
      <c r="R23" s="81">
        <f ca="1">历史数据及预测表!Q232+历史数据及预测表!Q151</f>
        <v>8685.6191854819699</v>
      </c>
      <c r="S23" s="81">
        <f ca="1">历史数据及预测表!R232+历史数据及预测表!R151</f>
        <v>10370.50545917682</v>
      </c>
      <c r="T23" s="81">
        <f ca="1">历史数据及预测表!S232+历史数据及预测表!S151</f>
        <v>12284.915048639994</v>
      </c>
      <c r="U23" s="81">
        <f ca="1">历史数据及预测表!T232+历史数据及预测表!T151</f>
        <v>14625.595354697942</v>
      </c>
    </row>
    <row r="24" spans="1:21">
      <c r="A24" s="79"/>
      <c r="B24" s="26" t="s">
        <v>1398</v>
      </c>
      <c r="E24" s="81"/>
      <c r="F24" s="81"/>
      <c r="G24" s="81"/>
      <c r="H24" s="81"/>
      <c r="I24" s="81"/>
      <c r="J24" s="81"/>
      <c r="K24" s="81"/>
      <c r="L24" s="81"/>
      <c r="M24" s="81"/>
      <c r="N24" s="81"/>
      <c r="O24" s="81"/>
      <c r="P24" s="81"/>
      <c r="Q24" s="81"/>
      <c r="R24" s="81"/>
      <c r="S24" s="81"/>
      <c r="T24" s="81"/>
      <c r="U24" s="81"/>
    </row>
    <row r="25" spans="1:21">
      <c r="A25" s="79" t="s">
        <v>1299</v>
      </c>
      <c r="C25" s="26" t="s">
        <v>1399</v>
      </c>
      <c r="E25" s="81">
        <v>8.9300999999999995</v>
      </c>
      <c r="F25" s="81">
        <v>9.3611000000000004</v>
      </c>
      <c r="G25" s="81">
        <v>7.1614000000000004</v>
      </c>
      <c r="H25" s="81">
        <v>6.5292000000000003</v>
      </c>
      <c r="I25" s="81">
        <v>7.9885000000000002</v>
      </c>
      <c r="J25" s="81">
        <f ca="1">100*(历史数据及预测表!I82/历史数据及预测表!I48)</f>
        <v>16.412256381503678</v>
      </c>
      <c r="K25" s="81">
        <f ca="1">100*(历史数据及预测表!J82/历史数据及预测表!J48)</f>
        <v>17.667507431356462</v>
      </c>
      <c r="L25" s="81">
        <f ca="1">100*(历史数据及预测表!K82/历史数据及预测表!K48)</f>
        <v>18.02213893341354</v>
      </c>
      <c r="M25" s="81">
        <f ca="1">100*(历史数据及预测表!L82/历史数据及预测表!L48)</f>
        <v>17.892836792967739</v>
      </c>
      <c r="N25" s="81">
        <f ca="1">100*(历史数据及预测表!M82/历史数据及预测表!M48)</f>
        <v>16.219643467860241</v>
      </c>
      <c r="O25" s="81">
        <f ca="1">100*(历史数据及预测表!N82/历史数据及预测表!N48)</f>
        <v>15.62457479533705</v>
      </c>
      <c r="P25" s="81">
        <f ca="1">100*(历史数据及预测表!O82/历史数据及预测表!O48)</f>
        <v>14.742918127774782</v>
      </c>
      <c r="Q25" s="81">
        <f ca="1">100*(历史数据及预测表!P82/历史数据及预测表!P48)</f>
        <v>13.639564887053099</v>
      </c>
      <c r="R25" s="81">
        <f ca="1">100*(历史数据及预测表!Q82/历史数据及预测表!Q48)</f>
        <v>12.804092992719079</v>
      </c>
      <c r="S25" s="81">
        <f ca="1">100*(历史数据及预测表!R82/历史数据及预测表!R48)</f>
        <v>11.915868289376599</v>
      </c>
      <c r="T25" s="81">
        <f ca="1">100*(历史数据及预测表!S82/历史数据及预测表!S48)</f>
        <v>11.154485501261139</v>
      </c>
      <c r="U25" s="81">
        <f ca="1">100*(历史数据及预测表!T82/历史数据及预测表!T48)</f>
        <v>10.450227405564078</v>
      </c>
    </row>
    <row r="26" spans="1:21">
      <c r="A26" s="79"/>
      <c r="C26" s="26" t="s">
        <v>1400</v>
      </c>
      <c r="E26" s="81"/>
      <c r="F26" s="81"/>
      <c r="G26" s="81"/>
      <c r="H26" s="81"/>
      <c r="I26" s="81"/>
      <c r="J26" s="81">
        <f ca="1">100*(历史数据及预测表!I81/(历史数据及预测表!I81+历史数据及预测表!I97))</f>
        <v>0.56363341294294267</v>
      </c>
      <c r="K26" s="81">
        <f ca="1">100*(历史数据及预测表!J81/(历史数据及预测表!J81+历史数据及预测表!J97))</f>
        <v>0.47407041232122271</v>
      </c>
      <c r="L26" s="81">
        <f ca="1">100*(历史数据及预测表!K81/(历史数据及预测表!K81+历史数据及预测表!K97))</f>
        <v>0.41113929984253955</v>
      </c>
      <c r="M26" s="81">
        <f ca="1">100*(历史数据及预测表!L81/(历史数据及预测表!L81+历史数据及预测表!L97))</f>
        <v>0.35746991774954451</v>
      </c>
      <c r="N26" s="81">
        <f ca="1">100*(历史数据及预测表!M81/(历史数据及预测表!M81+历史数据及预测表!M97))</f>
        <v>0.30373026429216615</v>
      </c>
      <c r="O26" s="81">
        <f ca="1">100*(历史数据及预测表!N81/(历史数据及预测表!N81+历史数据及预测表!N97))</f>
        <v>0.25974930890747538</v>
      </c>
      <c r="P26" s="81">
        <f ca="1">100*(历史数据及预测表!O81/(历史数据及预测表!O81+历史数据及预测表!O97))</f>
        <v>0.22129864102917082</v>
      </c>
      <c r="Q26" s="81">
        <f ca="1">100*(历史数据及预测表!P81/(历史数据及预测表!P81+历史数据及预测表!P97))</f>
        <v>0.18738716712881759</v>
      </c>
      <c r="R26" s="81">
        <f ca="1">100*(历史数据及预测表!Q81/(历史数据及预测表!Q81+历史数据及预测表!Q97))</f>
        <v>0.15865802857862427</v>
      </c>
      <c r="S26" s="81">
        <f ca="1">100*(历史数据及预测表!R81/(历史数据及预测表!R81+历史数据及预测表!R97))</f>
        <v>0.13398973533067979</v>
      </c>
      <c r="T26" s="81">
        <f ca="1">100*(历史数据及预测表!S81/(历史数据及预测表!S81+历史数据及预测表!S97))</f>
        <v>0.11296328923050385</v>
      </c>
      <c r="U26" s="81">
        <f ca="1">100*(历史数据及预测表!T81/(历史数据及预测表!T81+历史数据及预测表!T97))</f>
        <v>9.5100788924724441E-2</v>
      </c>
    </row>
    <row r="27" spans="1:21">
      <c r="A27" s="79" t="s">
        <v>1401</v>
      </c>
      <c r="C27" s="26" t="s">
        <v>1402</v>
      </c>
      <c r="D27" s="83"/>
      <c r="E27" s="81">
        <v>1.0981000000000001</v>
      </c>
      <c r="F27" s="81">
        <v>1.1032999999999999</v>
      </c>
      <c r="G27" s="81">
        <v>1.0770999999999999</v>
      </c>
      <c r="H27" s="81">
        <v>1.0699000000000001</v>
      </c>
      <c r="I27" s="81">
        <v>1.0868</v>
      </c>
      <c r="J27" s="81">
        <f ca="1">100/(100-J25)</f>
        <v>1.1963476422621362</v>
      </c>
      <c r="K27" s="81">
        <f t="shared" ref="K27:S27" ca="1" si="4">100/(100-K25)</f>
        <v>1.2145873018070772</v>
      </c>
      <c r="L27" s="81">
        <f t="shared" ca="1" si="4"/>
        <v>1.219841536470134</v>
      </c>
      <c r="M27" s="81">
        <f t="shared" ca="1" si="4"/>
        <v>1.2179205332895398</v>
      </c>
      <c r="N27" s="81">
        <f t="shared" ca="1" si="4"/>
        <v>1.1935972122729994</v>
      </c>
      <c r="O27" s="81">
        <f t="shared" ca="1" si="4"/>
        <v>1.1851792125187841</v>
      </c>
      <c r="P27" s="81">
        <f t="shared" ca="1" si="4"/>
        <v>1.1729230910092607</v>
      </c>
      <c r="Q27" s="81">
        <f t="shared" ca="1" si="4"/>
        <v>1.1579376582484158</v>
      </c>
      <c r="R27" s="81">
        <f t="shared" ca="1" si="4"/>
        <v>1.1468428213224495</v>
      </c>
      <c r="S27" s="81">
        <f t="shared" ca="1" si="4"/>
        <v>1.1352782624743691</v>
      </c>
      <c r="T27" s="81">
        <f t="shared" ref="T27:U27" ca="1" si="5">100/(100-T25)</f>
        <v>1.1255492251262664</v>
      </c>
      <c r="U27" s="81">
        <f t="shared" ca="1" si="5"/>
        <v>1.1166974198013027</v>
      </c>
    </row>
    <row r="28" spans="1:21" ht="17.25" customHeight="1">
      <c r="A28" s="79" t="s">
        <v>1403</v>
      </c>
      <c r="C28" s="26" t="s">
        <v>1404</v>
      </c>
      <c r="E28" s="81">
        <v>56.673699999999997</v>
      </c>
      <c r="F28" s="81">
        <v>59.830300000000001</v>
      </c>
      <c r="G28" s="81">
        <v>63.526899999999998</v>
      </c>
      <c r="H28" s="81">
        <v>65.340400000000002</v>
      </c>
      <c r="I28" s="81">
        <v>65.138499999999993</v>
      </c>
      <c r="J28" s="81">
        <f ca="1">100*((历史数据及预测表!I48-历史数据及预测表!I38-历史数据及预测表!I40-历史数据及预测表!I41-历史数据及预测表!I42-历史数据及预测表!I43)/历史数据及预测表!I48)</f>
        <v>79.516945246385589</v>
      </c>
      <c r="K28" s="81">
        <f ca="1">100*((历史数据及预测表!J48-历史数据及预测表!J38-历史数据及预测表!J40-历史数据及预测表!J41-历史数据及预测表!J42-历史数据及预测表!J43)/历史数据及预测表!J48)</f>
        <v>83.023695758133073</v>
      </c>
      <c r="L28" s="81">
        <f ca="1">100*((历史数据及预测表!K48-历史数据及预测表!K38-历史数据及预测表!K40-历史数据及预测表!K41-历史数据及预测表!K42-历史数据及预测表!K43)/历史数据及预测表!K48)</f>
        <v>85.334849057770271</v>
      </c>
      <c r="M28" s="81">
        <f ca="1">100*((历史数据及预测表!L48-历史数据及预测表!L38-历史数据及预测表!L40-历史数据及预测表!L41-历史数据及预测表!L42-历史数据及预测表!L43)/历史数据及预测表!L48)</f>
        <v>87.221152501252959</v>
      </c>
      <c r="N28" s="81">
        <f ca="1">100*((历史数据及预测表!M48-历史数据及预测表!M38-历史数据及预测表!M40-历史数据及预测表!M41-历史数据及预测表!M42-历史数据及预测表!M43)/历史数据及预测表!M48)</f>
        <v>88.917023548402398</v>
      </c>
      <c r="O28" s="81">
        <f ca="1">100*((历史数据及预测表!N48-历史数据及预测表!N38-历史数据及预测表!N40-历史数据及预测表!N41-历史数据及预测表!N42-历史数据及预测表!N43)/历史数据及预测表!N48)</f>
        <v>90.45116791313248</v>
      </c>
      <c r="P28" s="81">
        <f ca="1">100*((历史数据及预测表!O48-历史数据及预测表!O38-历史数据及预测表!O40-历史数据及预测表!O41-历史数据及预测表!O42-历史数据及预测表!O43)/历史数据及预测表!O48)</f>
        <v>91.776784626108551</v>
      </c>
      <c r="Q28" s="81">
        <f ca="1">100*((历史数据及预测表!P48-历史数据及预测表!P38-历史数据及预测表!P40-历史数据及预测表!P41-历史数据及预测表!P42-历史数据及预测表!P43)/历史数据及预测表!P48)</f>
        <v>92.944977299336955</v>
      </c>
      <c r="R28" s="81">
        <f ca="1">100*((历史数据及预测表!Q48-历史数据及预测表!Q38-历史数据及预测表!Q40-历史数据及预测表!Q41-历史数据及预测表!Q42-历史数据及预测表!Q43)/历史数据及预测表!Q48)</f>
        <v>93.967402300987587</v>
      </c>
      <c r="S28" s="81">
        <f ca="1">100*((历史数据及预测表!R48-历史数据及预测表!R38-历史数据及预测表!R40-历史数据及预测表!R41-历史数据及预测表!R42-历史数据及预测表!R43)/历史数据及预测表!R48)</f>
        <v>94.852399616335333</v>
      </c>
      <c r="T28" s="81">
        <f ca="1">100*((历史数据及预测表!S48-历史数据及预测表!S38-历史数据及预测表!S40-历史数据及预测表!S41-历史数据及预测表!S42-历史数据及预测表!S43)/历史数据及预测表!S48)</f>
        <v>95.621913680527342</v>
      </c>
      <c r="U28" s="81">
        <f ca="1">100*((历史数据及预测表!T48-历史数据及预测表!T38-历史数据及预测表!T40-历史数据及预测表!T41-历史数据及预测表!T42-历史数据及预测表!T43)/历史数据及预测表!T48)</f>
        <v>96.284440210170501</v>
      </c>
    </row>
    <row r="29" spans="1:21">
      <c r="A29" s="79" t="s">
        <v>1405</v>
      </c>
      <c r="C29" s="26" t="s">
        <v>1406</v>
      </c>
      <c r="E29" s="81">
        <v>99.909700000000001</v>
      </c>
      <c r="F29" s="81">
        <v>100</v>
      </c>
      <c r="G29" s="81">
        <v>100</v>
      </c>
      <c r="H29" s="81">
        <v>100</v>
      </c>
      <c r="I29" s="81">
        <v>99.932500000000005</v>
      </c>
      <c r="J29" s="81">
        <f ca="1">100*历史数据及预测表!I97/(历史数据及预测表!I97+历史数据及预测表!I51+历史数据及预测表!I62+历史数据及预测表!I65+历史数据及预测表!I71+历史数据及预测表!I72)</f>
        <v>89.917101902713142</v>
      </c>
      <c r="K29" s="81">
        <f ca="1">100*历史数据及预测表!J97/(历史数据及预测表!J97+历史数据及预测表!J51+历史数据及预测表!J62+历史数据及预测表!J65+历史数据及预测表!J71+历史数据及预测表!J72)</f>
        <v>89.106049833790976</v>
      </c>
      <c r="L29" s="81">
        <f ca="1">100*历史数据及预测表!K97/(历史数据及预测表!K97+历史数据及预测表!K51+历史数据及预测表!K62+历史数据及预测表!K65+历史数据及预测表!K71+历史数据及预测表!K72)</f>
        <v>89.417422915558063</v>
      </c>
      <c r="M29" s="81">
        <f ca="1">100*历史数据及预测表!L97/(历史数据及预测表!L97+历史数据及预测表!L51+历史数据及预测表!L62+历史数据及预测表!L65+历史数据及预测表!L71+历史数据及预测表!L72)</f>
        <v>89.586248520904974</v>
      </c>
      <c r="N29" s="81">
        <f ca="1">100*历史数据及预测表!M97/(历史数据及预测表!M97+历史数据及预测表!M51+历史数据及预测表!M62+历史数据及预测表!M65+历史数据及预测表!M71+历史数据及预测表!M72)</f>
        <v>91.558272028592157</v>
      </c>
      <c r="O29" s="81">
        <f ca="1">100*历史数据及预测表!N97/(历史数据及预测表!N97+历史数据及预测表!N51+历史数据及预测表!N62+历史数据及预测表!N65+历史数据及预测表!N71+历史数据及预测表!N72)</f>
        <v>92.507845788284399</v>
      </c>
      <c r="P29" s="81">
        <f ca="1">100*历史数据及预测表!O97/(历史数据及预测表!O97+历史数据及预测表!O51+历史数据及预测表!O62+历史数据及预测表!O65+历史数据及预测表!O71+历史数据及预测表!O72)</f>
        <v>93.604159973751095</v>
      </c>
      <c r="Q29" s="81">
        <f ca="1">100*历史数据及预测表!P97/(历史数据及预测表!P97+历史数据及预测表!P51+历史数据及预测表!P62+历史数据及预测表!P65+历史数据及预测表!P71+历史数据及预测表!P72)</f>
        <v>94.981475678522187</v>
      </c>
      <c r="R29" s="81">
        <f ca="1">100*历史数据及预测表!Q97/(历史数据及预测表!Q97+历史数据及预测表!Q51+历史数据及预测表!Q62+历史数据及预测表!Q65+历史数据及预测表!Q71+历史数据及预测表!Q72)</f>
        <v>96.074479686363247</v>
      </c>
      <c r="S29" s="81">
        <f ca="1">100*历史数据及预测表!R97/(历史数据及预测表!R97+历史数据及预测表!R51+历史数据及预测表!R62+历史数据及预测表!R65+历史数据及预测表!R71+历史数据及预测表!R72)</f>
        <v>97.179733568309899</v>
      </c>
      <c r="T29" s="81">
        <f ca="1">100*历史数据及预测表!S97/(历史数据及预测表!S97+历史数据及预测表!S51+历史数据及预测表!S62+历史数据及预测表!S65+历史数据及预测表!S71+历史数据及预测表!S72)</f>
        <v>98.137568409149921</v>
      </c>
      <c r="U29" s="81">
        <f ca="1">100*历史数据及预测表!T97/(历史数据及预测表!T97+历史数据及预测表!T51+历史数据及预测表!T62+历史数据及预测表!T65+历史数据及预测表!T71+历史数据及预测表!T72)</f>
        <v>99.019487397069568</v>
      </c>
    </row>
    <row r="30" spans="1:21">
      <c r="A30" s="79" t="s">
        <v>1407</v>
      </c>
      <c r="C30" s="26" t="s">
        <v>1408</v>
      </c>
      <c r="E30" s="81">
        <v>9.0300000000000005E-2</v>
      </c>
      <c r="F30" s="81">
        <v>0</v>
      </c>
      <c r="G30" s="81">
        <v>0</v>
      </c>
      <c r="H30" s="81">
        <v>0</v>
      </c>
      <c r="I30" s="81">
        <v>6.7500000000000004E-2</v>
      </c>
      <c r="J30" s="81">
        <f ca="1">100*(历史数据及预测表!I51+历史数据及预测表!I62+历史数据及预测表!I65+历史数据及预测表!I71+历史数据及预测表!I72)/(历史数据及预测表!I97+历史数据及预测表!I51+历史数据及预测表!I62+历史数据及预测表!I65+历史数据及预测表!I71+历史数据及预测表!I72)</f>
        <v>10.082898097286874</v>
      </c>
      <c r="K30" s="81">
        <f ca="1">100*(历史数据及预测表!J51+历史数据及预测表!J62+历史数据及预测表!J65+历史数据及预测表!J71+历史数据及预测表!J72)/(历史数据及预测表!J97+历史数据及预测表!J51+历史数据及预测表!J62+历史数据及预测表!J65+历史数据及预测表!J71+历史数据及预测表!J72)</f>
        <v>10.893950166209015</v>
      </c>
      <c r="L30" s="81">
        <f ca="1">100*(历史数据及预测表!K51+历史数据及预测表!K62+历史数据及预测表!K65+历史数据及预测表!K71+历史数据及预测表!K72)/(历史数据及预测表!K97+历史数据及预测表!K51+历史数据及预测表!K62+历史数据及预测表!K65+历史数据及预测表!K71+历史数据及预测表!K72)</f>
        <v>10.582577084441938</v>
      </c>
      <c r="M30" s="81">
        <f ca="1">100*(历史数据及预测表!L51+历史数据及预测表!L62+历史数据及预测表!L65+历史数据及预测表!L71+历史数据及预测表!L72)/(历史数据及预测表!L97+历史数据及预测表!L51+历史数据及预测表!L62+历史数据及预测表!L65+历史数据及预测表!L71+历史数据及预测表!L72)</f>
        <v>10.413751479095021</v>
      </c>
      <c r="N30" s="81">
        <f ca="1">100*(历史数据及预测表!M51+历史数据及预测表!M62+历史数据及预测表!M65+历史数据及预测表!M71+历史数据及预测表!M72)/(历史数据及预测表!M97+历史数据及预测表!M51+历史数据及预测表!M62+历史数据及预测表!M65+历史数据及预测表!M71+历史数据及预测表!M72)</f>
        <v>8.441727971407861</v>
      </c>
      <c r="O30" s="81">
        <f ca="1">100*(历史数据及预测表!N51+历史数据及预测表!N62+历史数据及预测表!N65+历史数据及预测表!N71+历史数据及预测表!N72)/(历史数据及预测表!N97+历史数据及预测表!N51+历史数据及预测表!N62+历史数据及预测表!N65+历史数据及预测表!N71+历史数据及预测表!N72)</f>
        <v>7.4921542117156052</v>
      </c>
      <c r="P30" s="81">
        <f ca="1">100*(历史数据及预测表!O51+历史数据及预测表!O62+历史数据及预测表!O65+历史数据及预测表!O71+历史数据及预测表!O72)/(历史数据及预测表!O97+历史数据及预测表!O51+历史数据及预测表!O62+历史数据及预测表!O65+历史数据及预测表!O71+历史数据及预测表!O72)</f>
        <v>6.3958400262488997</v>
      </c>
      <c r="Q30" s="81">
        <f ca="1">100*(历史数据及预测表!P51+历史数据及预测表!P62+历史数据及预测表!P65+历史数据及预测表!P71+历史数据及预测表!P72)/(历史数据及预测表!P97+历史数据及预测表!P51+历史数据及预测表!P62+历史数据及预测表!P65+历史数据及预测表!P71+历史数据及预测表!P72)</f>
        <v>5.0185243214778019</v>
      </c>
      <c r="R30" s="81">
        <f ca="1">100*(历史数据及预测表!Q51+历史数据及预测表!Q62+历史数据及预测表!Q65+历史数据及预测表!Q71+历史数据及预测表!Q72)/(历史数据及预测表!Q97+历史数据及预测表!Q51+历史数据及预测表!Q62+历史数据及预测表!Q65+历史数据及预测表!Q71+历史数据及预测表!Q72)</f>
        <v>3.9255203136367527</v>
      </c>
      <c r="S30" s="81">
        <f ca="1">100*(历史数据及预测表!R51+历史数据及预测表!R62+历史数据及预测表!R65+历史数据及预测表!R71+历史数据及预测表!R72)/(历史数据及预测表!R97+历史数据及预测表!R51+历史数据及预测表!R62+历史数据及预测表!R65+历史数据及预测表!R71+历史数据及预测表!R72)</f>
        <v>2.8202664316900874</v>
      </c>
      <c r="T30" s="81">
        <f ca="1">100*(历史数据及预测表!S51+历史数据及预测表!S62+历史数据及预测表!S65+历史数据及预测表!S71+历史数据及预测表!S72)/(历史数据及预测表!S97+历史数据及预测表!S51+历史数据及预测表!S62+历史数据及预测表!S65+历史数据及预测表!S71+历史数据及预测表!S72)</f>
        <v>1.8624315908500835</v>
      </c>
      <c r="U30" s="81">
        <f ca="1">100*(历史数据及预测表!T51+历史数据及预测表!T62+历史数据及预测表!T65+历史数据及预测表!T71+历史数据及预测表!T72)/(历史数据及预测表!T97+历史数据及预测表!T51+历史数据及预测表!T62+历史数据及预测表!T65+历史数据及预测表!T71+历史数据及预测表!T72)</f>
        <v>0.98051260293042541</v>
      </c>
    </row>
    <row r="31" spans="1:21">
      <c r="A31" s="79"/>
      <c r="B31" s="26" t="s">
        <v>1409</v>
      </c>
      <c r="E31" s="81"/>
      <c r="F31" s="81"/>
      <c r="G31" s="81"/>
      <c r="H31" s="81"/>
      <c r="I31" s="81"/>
      <c r="J31" s="81"/>
      <c r="K31" s="81"/>
      <c r="L31" s="81"/>
      <c r="M31" s="81"/>
      <c r="N31" s="81"/>
      <c r="O31" s="81"/>
      <c r="P31" s="81"/>
      <c r="Q31" s="81"/>
      <c r="R31" s="81"/>
      <c r="S31" s="81"/>
      <c r="T31" s="81"/>
      <c r="U31" s="81"/>
    </row>
    <row r="32" spans="1:21">
      <c r="A32" s="79" t="s">
        <v>1410</v>
      </c>
      <c r="C32" s="26" t="s">
        <v>1411</v>
      </c>
      <c r="E32" s="81">
        <v>6.9287000000000001</v>
      </c>
      <c r="F32" s="81">
        <v>6.4671000000000003</v>
      </c>
      <c r="G32" s="81">
        <v>9.6648999999999994</v>
      </c>
      <c r="H32" s="81">
        <v>10.904199999999999</v>
      </c>
      <c r="I32" s="81">
        <v>8.6936</v>
      </c>
      <c r="J32" s="81">
        <f ca="1">历史数据及预测表!I23/历史数据及预测表!I69</f>
        <v>4.4672560046063126</v>
      </c>
      <c r="K32" s="81">
        <f ca="1">历史数据及预测表!J23/历史数据及预测表!J69</f>
        <v>4.3457774452344378</v>
      </c>
      <c r="L32" s="81">
        <f ca="1">历史数据及预测表!K23/历史数据及预测表!K69</f>
        <v>4.3907754436033608</v>
      </c>
      <c r="M32" s="81">
        <f ca="1">历史数据及预测表!L23/历史数据及预测表!L69</f>
        <v>4.5381935518649685</v>
      </c>
      <c r="N32" s="81">
        <f ca="1">历史数据及预测表!M23/历史数据及预测表!M69</f>
        <v>5.1380249891603347</v>
      </c>
      <c r="O32" s="81">
        <f ca="1">历史数据及预测表!N23/历史数据及预测表!N69</f>
        <v>5.4609042884299592</v>
      </c>
      <c r="P32" s="81">
        <f ca="1">历史数据及预测表!O23/历史数据及预测表!O69</f>
        <v>5.9115220567685807</v>
      </c>
      <c r="Q32" s="81">
        <f ca="1">历史数据及预测表!P23/历史数据及预测表!P69</f>
        <v>6.5149449796206422</v>
      </c>
      <c r="R32" s="81">
        <f ca="1">历史数据及预测表!Q23/历史数据及预测表!Q69</f>
        <v>7.0601347683801112</v>
      </c>
      <c r="S32" s="81">
        <f ca="1">历史数据及预测表!R23/历史数据及预测表!R69</f>
        <v>7.7023358969559519</v>
      </c>
      <c r="T32" s="81">
        <f ca="1">历史数据及预测表!S23/历史数据及预测表!S69</f>
        <v>8.3313249762776209</v>
      </c>
      <c r="U32" s="81">
        <f ca="1">历史数据及预测表!T23/历史数据及预测表!T69</f>
        <v>8.9891113332339323</v>
      </c>
    </row>
    <row r="33" spans="1:21">
      <c r="A33" s="79" t="s">
        <v>1412</v>
      </c>
      <c r="C33" s="26" t="s">
        <v>1413</v>
      </c>
      <c r="E33" s="81">
        <v>5.3243999999999998</v>
      </c>
      <c r="F33" s="81">
        <v>4.2744999999999997</v>
      </c>
      <c r="G33" s="81">
        <v>6.5998999999999999</v>
      </c>
      <c r="H33" s="81">
        <v>7.2840999999999996</v>
      </c>
      <c r="I33" s="81">
        <v>5.7187999999999999</v>
      </c>
      <c r="J33" s="81">
        <f ca="1">(历史数据及预测表!I23-历史数据及预测表!I15)/历史数据及预测表!I69</f>
        <v>3.3583099351269428</v>
      </c>
      <c r="K33" s="81">
        <f ca="1">(历史数据及预测表!J23-历史数据及预测表!J15)/历史数据及预测表!J69</f>
        <v>3.1990923788864212</v>
      </c>
      <c r="L33" s="81">
        <f ca="1">(历史数据及预测表!K23-历史数据及预测表!K15)/历史数据及预测表!K69</f>
        <v>3.1249465006987158</v>
      </c>
      <c r="M33" s="81">
        <f ca="1">(历史数据及预测表!L23-历史数据及预测表!L15)/历史数据及预测表!L69</f>
        <v>3.2085608204104554</v>
      </c>
      <c r="N33" s="81">
        <f ca="1">(历史数据及预测表!M23-历史数据及预测表!M15)/历史数据及预测表!M69</f>
        <v>3.6665576049484168</v>
      </c>
      <c r="O33" s="81">
        <f ca="1">(历史数据及预测表!N23-历史数据及预测表!N15)/历史数据及预测表!N69</f>
        <v>3.8596743541494893</v>
      </c>
      <c r="P33" s="81">
        <f ca="1">(历史数据及预测表!O23-历史数据及预测表!O15)/历史数据及预测表!O69</f>
        <v>4.1720406672212489</v>
      </c>
      <c r="Q33" s="81">
        <f ca="1">(历史数据及预测表!P23-历史数据及预测表!P15)/历史数据及预测表!P69</f>
        <v>4.5988133390938621</v>
      </c>
      <c r="R33" s="81">
        <f ca="1">(历史数据及预测表!Q23-历史数据及预测表!Q15)/历史数据及预测表!Q69</f>
        <v>4.9684948128022146</v>
      </c>
      <c r="S33" s="81">
        <f ca="1">(历史数据及预测表!R23-历史数据及预测表!R15)/历史数据及预测表!R69</f>
        <v>5.4155381798806079</v>
      </c>
      <c r="T33" s="81">
        <f ca="1">(历史数据及预测表!S23-历史数据及预测表!S15)/历史数据及预测表!S69</f>
        <v>5.8515208720276695</v>
      </c>
      <c r="U33" s="81">
        <f ca="1">(历史数据及预测表!T23-历史数据及预测表!T15)/历史数据及预测表!T69</f>
        <v>6.307836615811631</v>
      </c>
    </row>
    <row r="34" spans="1:21">
      <c r="A34" s="79" t="s">
        <v>1414</v>
      </c>
      <c r="C34" s="26" t="s">
        <v>1415</v>
      </c>
      <c r="E34" s="81">
        <v>5.2049000000000003</v>
      </c>
      <c r="F34" s="81">
        <v>4.2718999999999996</v>
      </c>
      <c r="G34" s="81">
        <v>6.5964999999999998</v>
      </c>
      <c r="H34" s="81">
        <v>7.2775999999999996</v>
      </c>
      <c r="I34" s="81">
        <v>5.617</v>
      </c>
      <c r="J34" s="81">
        <f ca="1">(历史数据及预测表!I7+历史数据及预测表!I8+历史数据及预测表!I10+历史数据及预测表!I11+历史数据及预测表!I14)/历史数据及预测表!I69</f>
        <v>3.270730682996271</v>
      </c>
      <c r="K34" s="81">
        <f ca="1">(历史数据及预测表!J7+历史数据及预测表!J8+历史数据及预测表!J10+历史数据及预测表!J11+历史数据及预测表!J14)/历史数据及预测表!J69</f>
        <v>3.1117379896405528</v>
      </c>
      <c r="L34" s="81">
        <f ca="1">(历史数据及预测表!K7+历史数据及预测表!K8+历史数据及预测表!K10+历史数据及预测表!K11+历史数据及预测表!K14)/历史数据及预测表!K69</f>
        <v>3.0317617123142071</v>
      </c>
      <c r="M34" s="81">
        <f ca="1">(历史数据及预测表!L7+历史数据及预测表!L8+历史数据及预测表!L10+历史数据及预测表!L11+历史数据及预测表!L14)/历史数据及预测表!L69</f>
        <v>3.1193957445124751</v>
      </c>
      <c r="N34" s="81">
        <f ca="1">(历史数据及预测表!M7+历史数据及预测表!M8+历史数据及预测表!M10+历史数据及预测表!M11+历史数据及预测表!M14)/历史数据及预测表!M69</f>
        <v>3.5686174841707876</v>
      </c>
      <c r="O34" s="81">
        <f ca="1">(历史数据及预测表!N7+历史数据及预测表!N8+历史数据及预测表!N10+历史数据及预测表!N11+历史数据及预测表!N14)/历史数据及预测表!N69</f>
        <v>3.7563620768086974</v>
      </c>
      <c r="P34" s="81">
        <f ca="1">(历史数据及预测表!O7+历史数据及预测表!O8+历史数据及预测表!O10+历史数据及预测表!O11+历史数据及预测表!O14)/历史数据及预测表!O69</f>
        <v>4.0638247493617676</v>
      </c>
      <c r="Q34" s="81">
        <f ca="1">(历史数据及预测表!P7+历史数据及预测表!P8+历史数据及预测表!P10+历史数据及预测表!P11+历史数据及预测表!P14)/历史数据及预测表!P69</f>
        <v>4.4815711232896467</v>
      </c>
      <c r="R34" s="81">
        <f ca="1">(历史数据及预测表!Q7+历史数据及预测表!Q8+历史数据及预测表!Q10+历史数据及预测表!Q11+历史数据及预测表!Q14)/历史数据及预测表!Q69</f>
        <v>4.8431012063019896</v>
      </c>
      <c r="S34" s="81">
        <f ca="1">(历史数据及预测表!R7+历史数据及预测表!R8+历史数据及预测表!R10+历史数据及预测表!R11+历史数据及预测表!R14)/历史数据及预测表!R69</f>
        <v>5.2809380033356463</v>
      </c>
      <c r="T34" s="81">
        <f ca="1">(历史数据及预测表!S7+历史数据及预测表!S8+历史数据及预测表!S10+历史数据及预测表!S11+历史数据及预测表!S14)/历史数据及预测表!S69</f>
        <v>5.7076203061356425</v>
      </c>
      <c r="U34" s="81">
        <f ca="1">(历史数据及预测表!T7+历史数据及预测表!T8+历史数据及预测表!T10+历史数据及预测表!T11+历史数据及预测表!T14)/历史数据及预测表!T69</f>
        <v>6.1541092989383932</v>
      </c>
    </row>
    <row r="35" spans="1:21">
      <c r="A35" s="79" t="s">
        <v>1416</v>
      </c>
      <c r="C35" s="26" t="s">
        <v>1417</v>
      </c>
      <c r="E35" s="81">
        <v>1.2242999999999999</v>
      </c>
      <c r="F35" s="81">
        <v>-7.1900000000000006E-2</v>
      </c>
      <c r="G35" s="81">
        <v>0.71140000000000003</v>
      </c>
      <c r="H35" s="81">
        <v>0.4924</v>
      </c>
      <c r="I35" s="81">
        <v>0.62260000000000004</v>
      </c>
      <c r="J35" s="81">
        <f ca="1">(历史数据及预测表!I7+历史数据及预测表!I8)/历史数据及预测表!I69</f>
        <v>2.8677940336009837</v>
      </c>
      <c r="K35" s="81">
        <f ca="1">(历史数据及预测表!J7+历史数据及预测表!J8)/历史数据及预测表!J69</f>
        <v>2.7331807425585346</v>
      </c>
      <c r="L35" s="81">
        <f ca="1">(历史数据及预测表!K7+历史数据及预测表!K8)/历史数据及预测表!K69</f>
        <v>2.6804652470137613</v>
      </c>
      <c r="M35" s="81">
        <f ca="1">(历史数据及预测表!L7+历史数据及预测表!L8)/历史数据及预测表!L69</f>
        <v>2.7344974609070167</v>
      </c>
      <c r="N35" s="81">
        <f ca="1">(历史数据及预测表!M7+历史数据及预测表!M8)/历史数据及预测表!M69</f>
        <v>3.130181397316957</v>
      </c>
      <c r="O35" s="81">
        <f ca="1">(历史数据及预测表!N7+历史数据及预测表!N8)/历史数据及预测表!N69</f>
        <v>3.294814719579457</v>
      </c>
      <c r="P35" s="81">
        <f ca="1">(历史数据及预测表!O7+历史数据及预测表!O8)/历史数据及预测表!O69</f>
        <v>3.5561945762435148</v>
      </c>
      <c r="Q35" s="81">
        <f ca="1">(历史数据及预测表!P7+历史数据及预测表!P8)/历史数据及预测表!P69</f>
        <v>3.920842425884111</v>
      </c>
      <c r="R35" s="81">
        <f ca="1">(历史数据及预测表!Q7+历史数据及预测表!Q8)/历史数据及预测表!Q69</f>
        <v>4.2346464935793957</v>
      </c>
      <c r="S35" s="81">
        <f ca="1">(历史数据及预测表!R7+历史数据及预测表!R8)/历史数据及预测表!R69</f>
        <v>4.6136821879639554</v>
      </c>
      <c r="T35" s="81">
        <f ca="1">(历史数据及预测表!S7+历史数据及预测表!S8)/历史数据及预测表!S69</f>
        <v>4.9840479074105097</v>
      </c>
      <c r="U35" s="81">
        <f ca="1">(历史数据及预测表!T7+历史数据及预测表!T8)/历史数据及预测表!T69</f>
        <v>5.371750573262716</v>
      </c>
    </row>
    <row r="36" spans="1:21">
      <c r="A36" s="79"/>
      <c r="C36" s="26" t="s">
        <v>1418</v>
      </c>
      <c r="E36" s="81"/>
      <c r="F36" s="81"/>
      <c r="G36" s="81"/>
      <c r="H36" s="81"/>
      <c r="I36" s="81"/>
      <c r="J36" s="81">
        <f ca="1">历史数据及预测表!I159/(历史数据及预测表!I51+历史数据及预测表!I62)</f>
        <v>1.0543153407779966</v>
      </c>
      <c r="K36" s="81">
        <f ca="1">历史数据及预测表!J159/(历史数据及预测表!J51+历史数据及预测表!J62)</f>
        <v>0.80012792564278079</v>
      </c>
      <c r="L36" s="81">
        <f ca="1">历史数据及预测表!K159/(历史数据及预测表!K51+历史数据及预测表!K62)</f>
        <v>0.65361053777238987</v>
      </c>
      <c r="M36" s="81">
        <f ca="1">历史数据及预测表!L159/(历史数据及预测表!L51+历史数据及预测表!L62)</f>
        <v>0.65578294719798569</v>
      </c>
      <c r="N36" s="81">
        <f ca="1">历史数据及预测表!M159/(历史数据及预测表!M51+历史数据及预测表!M62)</f>
        <v>1.1783533781220854</v>
      </c>
      <c r="O36" s="81">
        <f ca="1">历史数据及预测表!N159/(历史数据及预测表!N51+历史数据及预测表!N62)</f>
        <v>1.1137515967428826</v>
      </c>
      <c r="P36" s="81">
        <f ca="1">历史数据及预测表!O159/(历史数据及预测表!O51+历史数据及预测表!O62)</f>
        <v>1.3749639551689259</v>
      </c>
      <c r="Q36" s="81">
        <f ca="1">历史数据及预测表!P159/(历史数据及预测表!P51+历史数据及预测表!P62)</f>
        <v>1.8849717405394708</v>
      </c>
      <c r="R36" s="81">
        <f ca="1">历史数据及预测表!Q159/(历史数据及预测表!Q51+历史数据及预测表!Q62)</f>
        <v>2.3450278084816683</v>
      </c>
      <c r="S36" s="81">
        <f ca="1">历史数据及预测表!R159/(历史数据及预测表!R51+历史数据及预测表!R62)</f>
        <v>3.354198108110662</v>
      </c>
      <c r="T36" s="81">
        <f ca="1">历史数据及预测表!S159/(历史数据及预测表!S51+历史数据及预测表!S62)</f>
        <v>5.0938061646244552</v>
      </c>
      <c r="U36" s="81">
        <f ca="1">历史数据及预测表!T159/(历史数据及预测表!T51+历史数据及预测表!T62)</f>
        <v>9.7633967992473014</v>
      </c>
    </row>
    <row r="37" spans="1:21">
      <c r="A37" s="79"/>
      <c r="C37" s="26" t="s">
        <v>1419</v>
      </c>
      <c r="E37" s="81"/>
      <c r="F37" s="81"/>
      <c r="G37" s="81"/>
      <c r="H37" s="81"/>
      <c r="I37" s="81"/>
      <c r="J37" s="81">
        <f ca="1">历史数据及预测表!I159/关键项目预测!E355</f>
        <v>46.072217406674987</v>
      </c>
      <c r="K37" s="81">
        <f ca="1">历史数据及预测表!J159/关键项目预测!F355</f>
        <v>19.732539360431641</v>
      </c>
      <c r="L37" s="81">
        <f ca="1">历史数据及预测表!K159/关键项目预测!G355</f>
        <v>15.048940707950468</v>
      </c>
      <c r="M37" s="81">
        <f ca="1">历史数据及预测表!L159/关键项目预测!H355</f>
        <v>15.177511786698533</v>
      </c>
      <c r="N37" s="81">
        <f ca="1">历史数据及预测表!M159/关键项目预测!I355</f>
        <v>24.821443426030406</v>
      </c>
      <c r="O37" s="81">
        <f ca="1">历史数据及预测表!N159/关键项目预测!J355</f>
        <v>24.621530735645653</v>
      </c>
      <c r="P37" s="81">
        <f ca="1">历史数据及预测表!O159/关键项目预测!K355</f>
        <v>29.846256052976887</v>
      </c>
      <c r="Q37" s="81">
        <f ca="1">历史数据及预测表!P159/关键项目预测!L355</f>
        <v>39.258762386340088</v>
      </c>
      <c r="R37" s="81">
        <f ca="1">历史数据及预测表!Q159/关键项目预测!M355</f>
        <v>48.858146555267894</v>
      </c>
      <c r="S37" s="81">
        <f ca="1">历史数据及预测表!R159/关键项目预测!N355</f>
        <v>66.91245695051002</v>
      </c>
      <c r="T37" s="81">
        <f ca="1">历史数据及预测表!S159/关键项目预测!O355</f>
        <v>97.260515493572768</v>
      </c>
      <c r="U37" s="81">
        <f ca="1">历史数据及预测表!T159/关键项目预测!P355</f>
        <v>163.64592533241463</v>
      </c>
    </row>
    <row r="38" spans="1:21">
      <c r="A38" s="79" t="s">
        <v>1420</v>
      </c>
      <c r="C38" s="26" t="s">
        <v>1421</v>
      </c>
      <c r="E38" s="84">
        <v>6.3464</v>
      </c>
      <c r="F38" s="84">
        <v>6.3914</v>
      </c>
      <c r="G38" s="84">
        <v>8.8707999999999991</v>
      </c>
      <c r="H38" s="84">
        <v>10.007300000000001</v>
      </c>
      <c r="I38" s="84">
        <v>8.1540999999999997</v>
      </c>
      <c r="J38" s="84">
        <f ca="1">(历史数据及预测表!I48-历史数据及预测表!I38-历史数据及预测表!I41-历史数据及预测表!I40-历史数据及预测表!I43-历史数据及预测表!I42)/历史数据及预测表!I82</f>
        <v>4.8449733783101143</v>
      </c>
      <c r="K38" s="84">
        <f ca="1">(历史数据及预测表!J48-历史数据及预测表!J38-历史数据及预测表!J41-历史数据及预测表!J40-历史数据及预测表!J43-历史数据及预测表!J42)/历史数据及预测表!J82</f>
        <v>4.6992308383457546</v>
      </c>
      <c r="L38" s="84">
        <f ca="1">(历史数据及预测表!K48-历史数据及预测表!K38-历史数据及预测表!K41-历史数据及预测表!K40-历史数据及预测表!K43-历史数据及预测表!K42)/历史数据及预测表!K82</f>
        <v>4.73500117677803</v>
      </c>
      <c r="M38" s="84">
        <f ca="1">(历史数据及预测表!L48-历史数据及预测表!L38-历史数据及预测表!L41-历史数据及预测表!L40-历史数据及预测表!L43-历史数据及预测表!L42)/历史数据及预测表!L82</f>
        <v>4.8746408135535386</v>
      </c>
      <c r="N38" s="84">
        <f ca="1">(历史数据及预测表!M48-历史数据及预测表!M38-历史数据及预测表!M41-历史数据及预测表!M40-历史数据及预测表!M43-历史数据及预测表!M42)/历史数据及预测表!M82</f>
        <v>5.4820578346616813</v>
      </c>
      <c r="O38" s="84">
        <f ca="1">(历史数据及预测表!N48-历史数据及预测表!N38-历史数据及预测表!N41-历史数据及预测表!N40-历史数据及预测表!N43-历史数据及预测表!N42)/历史数据及预测表!N82</f>
        <v>5.7890322839458284</v>
      </c>
      <c r="P38" s="84">
        <f ca="1">(历史数据及预测表!O48-历史数据及预测表!O38-历史数据及预测表!O41-历史数据及预测表!O40-历史数据及预测表!O43-历史数据及预测表!O42)/历史数据及预测表!O82</f>
        <v>6.2251437490659702</v>
      </c>
      <c r="Q38" s="84">
        <f ca="1">(历史数据及预测表!P48-历史数据及预测表!P38-历史数据及预测表!P41-历史数据及预测表!P40-历史数据及预测表!P43-历史数据及预测表!P42)/历史数据及预测表!P82</f>
        <v>6.8143652725727248</v>
      </c>
      <c r="R38" s="84">
        <f ca="1">(历史数据及预测表!Q48-历史数据及预测表!Q38-历史数据及预测表!Q41-历史数据及预测表!Q40-历史数据及预测表!Q43-历史数据及预测表!Q42)/历史数据及预测表!Q82</f>
        <v>7.338856594873314</v>
      </c>
      <c r="S38" s="84">
        <f ca="1">(历史数据及预测表!R48-历史数据及预测表!R38-历史数据及预测表!R41-历史数据及预测表!R40-历史数据及预测表!R43-历史数据及预测表!R42)/历史数据及预测表!R82</f>
        <v>7.9601752312837721</v>
      </c>
      <c r="T38" s="84">
        <f ca="1">(历史数据及预测表!S48-历史数据及预测表!S38-历史数据及预测表!S41-历史数据及预测表!S40-历史数据及预测表!S43-历史数据及预测表!S42)/历史数据及预测表!S82</f>
        <v>8.572507774537538</v>
      </c>
      <c r="U38" s="84">
        <f ca="1">(历史数据及预测表!T48-历史数据及预测表!T38-历史数据及预测表!T41-历史数据及预测表!T40-历史数据及预测表!T43-历史数据及预测表!T42)/历史数据及预测表!T82</f>
        <v>9.2136215293176473</v>
      </c>
    </row>
    <row r="39" spans="1:21">
      <c r="A39" s="79" t="s">
        <v>1422</v>
      </c>
      <c r="C39" s="26" t="s">
        <v>1423</v>
      </c>
      <c r="E39" s="84">
        <v>689.76070000000004</v>
      </c>
      <c r="F39" s="84"/>
      <c r="G39" s="84"/>
      <c r="H39" s="84"/>
      <c r="I39" s="84">
        <v>1050.7671</v>
      </c>
      <c r="J39" s="84">
        <f ca="1">(历史数据及预测表!I48-历史数据及预测表!I38-历史数据及预测表!I41-历史数据及预测表!I40-历史数据及预测表!I43-历史数据及预测表!I42)/(历史数据及预测表!I51+历史数据及预测表!I62+历史数据及预测表!I65+历史数据及预测表!I71+历史数据及预测表!I72)</f>
        <v>8.4830297439227369</v>
      </c>
      <c r="K39" s="84">
        <f ca="1">(历史数据及预测表!J48-历史数据及预测表!J38-历史数据及预测表!J41-历史数据及预测表!J40-历史数据及预测表!J43-历史数据及预测表!J42)/(历史数据及预测表!J51+历史数据及预测表!J62+历史数据及预测表!J65+历史数据及预测表!J71+历史数据及预测表!J72)</f>
        <v>8.2369219091187968</v>
      </c>
      <c r="L39" s="84">
        <f ca="1">(历史数据及预测表!K48-历史数据及预测表!K38-历史数据及预测表!K41-历史数据及预测表!K40-历史数据及预测表!K43-历史数据及预测表!K42)/(历史数据及预测表!K51+历史数据及预测表!K62+历史数据及预测表!K65+历史数据及预测表!K71+历史数据及预测表!K72)</f>
        <v>8.7745821598084728</v>
      </c>
      <c r="M39" s="84">
        <f ca="1">(历史数据及预测表!L48-历史数据及预测表!L38-历史数据及预测表!L41-历史数据及预测表!L40-历史数据及预测表!L43-历史数据及预测表!L42)/(历史数据及预测表!L51+历史数据及预测表!L62+历史数据及预测表!L65+历史数据及预测表!L71+历史数据及预测表!L72)</f>
        <v>9.1061887974813462</v>
      </c>
      <c r="N39" s="84">
        <f ca="1">(历史数据及预测表!M48-历史数据及预测表!M38-历史数据及预测表!M41-历史数据及预测表!M40-历史数据及预测表!M43-历史数据及预测表!M42)/(历史数据及预测表!M51+历史数据及预测表!M62+历史数据及预测表!M65+历史数据及预测表!M71+历史数据及预测表!M72)</f>
        <v>11.459918282605679</v>
      </c>
      <c r="O39" s="84">
        <f ca="1">(历史数据及预测表!N48-历史数据及预测表!N38-历史数据及预测表!N41-历史数据及预测表!N40-历史数据及预测表!N43-历史数据及预测表!N42)/(历史数据及预测表!N51+历史数据及预测表!N62+历史数据及预测表!N65+历史数据及预测表!N71+历史数据及预测表!N72)</f>
        <v>13.167318743547233</v>
      </c>
      <c r="P39" s="84">
        <f ca="1">(历史数据及预测表!O48-历史数据及预测表!O38-历史数据及预测表!O41-历史数据及预测表!O40-历史数据及预测表!O43-历史数据及预测表!O42)/(历史数据及预测表!O51+历史数据及预测表!O62+历史数据及预测表!O65+历史数据及预测表!O71+历史数据及预测表!O72)</f>
        <v>15.660558704271258</v>
      </c>
      <c r="Q39" s="84">
        <f ca="1">(历史数据及预测表!P48-历史数据及预测表!P38-历史数据及预测表!P41-历史数据及预测表!P40-历史数据及预测表!P43-历史数据及预测表!P42)/(历史数据及预测表!P51+历史数据及预测表!P62+历史数据及预测表!P65+历史数据及预测表!P71+历史数据及预测表!P72)</f>
        <v>20.235895693046384</v>
      </c>
      <c r="R39" s="84">
        <f ca="1">(历史数据及预测表!Q48-历史数据及预测表!Q38-历史数据及预测表!Q41-历史数据及预测表!Q40-历史数据及预测表!Q43-历史数据及预测表!Q42)/(历史数据及预测表!Q51+历史数据及预测表!Q62+历史数据及预测表!Q65+历史数据及预测表!Q71+历史数据及预测表!Q72)</f>
        <v>26.188639301044891</v>
      </c>
      <c r="S39" s="84">
        <f ca="1">(历史数据及预测表!R48-历史数据及预测表!R38-历史数据及预测表!R41-历史数据及预测表!R40-历史数据及预测表!R43-历史数据及预测表!R42)/(历史数据及预测表!R51+历史数据及预测表!R62+历史数据及预测表!R65+历史数据及预测表!R71+历史数据及预测表!R72)</f>
        <v>36.826505844731194</v>
      </c>
      <c r="T39" s="84">
        <f ca="1">(历史数据及预测表!S48-历史数据及预测表!S38-历史数据及预测表!S41-历史数据及预测表!S40-历史数据及预测表!S43-历史数据及预测表!S42)/(历史数据及预测表!S51+历史数据及预测表!S62+历史数据及预测表!S65+历史数据及预测表!S71+历史数据及预测表!S72)</f>
        <v>56.264426424340613</v>
      </c>
      <c r="U39" s="84">
        <f ca="1">(历史数据及预测表!T48-历史数据及预测表!T38-历史数据及预测表!T41-历史数据及预测表!T40-历史数据及预测表!T43-历史数据及预测表!T42)/(历史数据及预测表!T51+历史数据及预测表!T62+历史数据及预测表!T65+历史数据及预测表!T71+历史数据及预测表!T72)</f>
        <v>107.68973394852989</v>
      </c>
    </row>
    <row r="40" spans="1:21">
      <c r="A40" s="79" t="s">
        <v>1424</v>
      </c>
      <c r="C40" s="26" t="s">
        <v>1425</v>
      </c>
      <c r="E40" s="84">
        <v>-2.2545999999999999</v>
      </c>
      <c r="F40" s="84">
        <v>-2.1871</v>
      </c>
      <c r="G40" s="84">
        <v>-2.0625</v>
      </c>
      <c r="H40" s="84">
        <v>-2.2755000000000001</v>
      </c>
      <c r="I40" s="84">
        <v>-2.1677</v>
      </c>
      <c r="J40" s="84">
        <f ca="1">(历史数据及预测表!I48-历史数据及预测表!I38-历史数据及预测表!I41-历史数据及预测表!I40-历史数据及预测表!I43-历史数据及预测表!I42)/(历史数据及预测表!I51+历史数据及预测表!I62+历史数据及预测表!I65+历史数据及预测表!I71+历史数据及预测表!I72-历史数据及预测表!I7)</f>
        <v>-2.5422454078078811</v>
      </c>
      <c r="K40" s="84">
        <f ca="1">(历史数据及预测表!J48-历史数据及预测表!J38-历史数据及预测表!J41-历史数据及预测表!J40-历史数据及预测表!J43-历史数据及预测表!J42)/(历史数据及预测表!J51+历史数据及预测表!J62+历史数据及预测表!J65+历史数据及预测表!J71+历史数据及预测表!J72-历史数据及预测表!J7)</f>
        <v>-2.5200628927888822</v>
      </c>
      <c r="L40" s="84">
        <f ca="1">(历史数据及预测表!K48-历史数据及预测表!K38-历史数据及预测表!K41-历史数据及预测表!K40-历史数据及预测表!K43-历史数据及预测表!K42)/(历史数据及预测表!K51+历史数据及预测表!K62+历史数据及预测表!K65+历史数据及预测表!K71+历史数据及预测表!K72-历史数据及预测表!K7)</f>
        <v>-2.5059380827283602</v>
      </c>
      <c r="M40" s="84">
        <f ca="1">(历史数据及预测表!L48-历史数据及预测表!L38-历史数据及预测表!L41-历史数据及预测表!L40-历史数据及预测表!L43-历史数据及预测表!L42)/(历史数据及预测表!L51+历史数据及预测表!L62+历史数据及预测表!L65+历史数据及预测表!L71+历史数据及预测表!L72-历史数据及预测表!L7)</f>
        <v>-2.4647875443931926</v>
      </c>
      <c r="N40" s="84">
        <f ca="1">(历史数据及预测表!M48-历史数据及预测表!M38-历史数据及预测表!M41-历史数据及预测表!M40-历史数据及预测表!M43-历史数据及预测表!M42)/(历史数据及预测表!M51+历史数据及预测表!M62+历史数据及预测表!M65+历史数据及预测表!M71+历史数据及预测表!M72-历史数据及预测表!M7)</f>
        <v>-2.252596753090502</v>
      </c>
      <c r="O40" s="84">
        <f ca="1">(历史数据及预测表!N48-历史数据及预测表!N38-历史数据及预测表!N41-历史数据及预测表!N40-历史数据及预测表!N43-历史数据及预测表!N42)/(历史数据及预测表!N51+历史数据及预测表!N62+历史数据及预测表!N65+历史数据及预测表!N71+历史数据及预测表!N72-历史数据及预测表!N7)</f>
        <v>-2.1781927161906895</v>
      </c>
      <c r="P40" s="84">
        <f ca="1">(历史数据及预测表!O48-历史数据及预测表!O38-历史数据及预测表!O41-历史数据及预测表!O40-历史数据及预测表!O43-历史数据及预测表!O42)/(历史数据及预测表!O51+历史数据及预测表!O62+历史数据及预测表!O65+历史数据及预测表!O71+历史数据及预测表!O72-历史数据及预测表!O7)</f>
        <v>-2.0924019158660641</v>
      </c>
      <c r="Q40" s="84">
        <f ca="1">(历史数据及预测表!P48-历史数据及预测表!P38-历史数据及预测表!P41-历史数据及预测表!P40-历史数据及预测表!P43-历史数据及预测表!P42)/(历史数据及预测表!P51+历史数据及预测表!P62+历史数据及预测表!P65+历史数据及预测表!P71+历史数据及预测表!P72-历史数据及预测表!P7)</f>
        <v>-1.998640934484929</v>
      </c>
      <c r="R40" s="84">
        <f ca="1">(历史数据及预测表!Q48-历史数据及预测表!Q38-历史数据及预测表!Q41-历史数据及预测表!Q40-历史数据及预测表!Q43-历史数据及预测表!Q42)/(历史数据及预测表!Q51+历史数据及预测表!Q62+历史数据及预测表!Q65+历史数据及预测表!Q71+历史数据及预测表!Q72-历史数据及预测表!Q7)</f>
        <v>-1.9353725411326297</v>
      </c>
      <c r="S40" s="84">
        <f ca="1">(历史数据及预测表!R48-历史数据及预测表!R38-历史数据及预测表!R41-历史数据及预测表!R40-历史数据及预测表!R43-历史数据及预测表!R42)/(历史数据及预测表!R51+历史数据及预测表!R62+历史数据及预测表!R65+历史数据及预测表!R71+历史数据及预测表!R72-历史数据及预测表!R7)</f>
        <v>-1.8752833885091935</v>
      </c>
      <c r="T40" s="84">
        <f ca="1">(历史数据及预测表!S48-历史数据及预测表!S38-历史数据及预测表!S41-历史数据及预测表!S40-历史数据及预测表!S43-历史数据及预测表!S42)/(历史数据及预测表!S51+历史数据及预测表!S62+历史数据及预测表!S65+历史数据及预测表!S71+历史数据及预测表!S72-历史数据及预测表!S7)</f>
        <v>-1.8280034479579235</v>
      </c>
      <c r="U40" s="84">
        <f ca="1">(历史数据及预测表!T48-历史数据及预测表!T38-历史数据及预测表!T41-历史数据及预测表!T40-历史数据及预测表!T43-历史数据及预测表!T42)/(历史数据及预测表!T51+历史数据及预测表!T62+历史数据及预测表!T65+历史数据及预测表!T71+历史数据及预测表!T72-历史数据及预测表!T7)</f>
        <v>-1.7875792775955448</v>
      </c>
    </row>
    <row r="41" spans="1:21">
      <c r="A41" s="79" t="s">
        <v>1426</v>
      </c>
      <c r="C41" s="26" t="s">
        <v>1427</v>
      </c>
      <c r="E41" s="84">
        <v>1.1459999999999999</v>
      </c>
      <c r="F41" s="84"/>
      <c r="G41" s="84"/>
      <c r="H41" s="84"/>
      <c r="I41" s="84">
        <v>0.44619999999999999</v>
      </c>
      <c r="J41" s="84">
        <f ca="1">J23/历史数据及预测表!I82</f>
        <v>0.93097894568323325</v>
      </c>
      <c r="K41" s="84">
        <f ca="1">K23/历史数据及预测表!J82</f>
        <v>0.83261328207659546</v>
      </c>
      <c r="L41" s="84">
        <f ca="1">L23/历史数据及预测表!K82</f>
        <v>0.67317487851925439</v>
      </c>
      <c r="M41" s="84">
        <f ca="1">M23/历史数据及预测表!L82</f>
        <v>0.6649625115546508</v>
      </c>
      <c r="N41" s="84">
        <f ca="1">N23/历史数据及预测表!M82</f>
        <v>0.85932226292938707</v>
      </c>
      <c r="O41" s="84">
        <f ca="1">O23/历史数据及预测表!N82</f>
        <v>0.85683087337441355</v>
      </c>
      <c r="P41" s="84">
        <f ca="1">P23/历史数据及预测表!O82</f>
        <v>0.93245320241538088</v>
      </c>
      <c r="Q41" s="84">
        <f ca="1">Q23/历史数据及预测表!P82</f>
        <v>1.0507902702554361</v>
      </c>
      <c r="R41" s="84">
        <f ca="1">R23/历史数据及预测表!Q82</f>
        <v>1.1227703779443843</v>
      </c>
      <c r="S41" s="84">
        <f ca="1">S23/历史数据及预测表!R82</f>
        <v>1.2291748691838233</v>
      </c>
      <c r="T41" s="84">
        <f ca="1">T23/历史数据及预测表!S82</f>
        <v>1.3229442767736828</v>
      </c>
      <c r="U41" s="84">
        <f ca="1">U23/历史数据及预测表!T82</f>
        <v>1.4267460678167283</v>
      </c>
    </row>
    <row r="42" spans="1:21">
      <c r="A42" s="79" t="s">
        <v>1428</v>
      </c>
      <c r="C42" s="26" t="s">
        <v>1429</v>
      </c>
      <c r="E42" s="84"/>
      <c r="F42" s="84"/>
      <c r="G42" s="84"/>
      <c r="H42" s="84"/>
      <c r="I42" s="84"/>
      <c r="J42" s="84">
        <f ca="1">J22/关键项目预测!E355</f>
        <v>69.582490383482394</v>
      </c>
      <c r="K42" s="84">
        <f ca="1">K22/关键项目预测!F355</f>
        <v>35.058386465540423</v>
      </c>
      <c r="L42" s="84">
        <f ca="1">L22/关键项目预测!G355</f>
        <v>27.761109855684527</v>
      </c>
      <c r="M42" s="84">
        <f ca="1">M22/关键项目预测!H355</f>
        <v>27.733673988592756</v>
      </c>
      <c r="N42" s="84">
        <f ca="1">N22/关键项目预测!I355</f>
        <v>36.692698191983098</v>
      </c>
      <c r="O42" s="84">
        <f ca="1">O22/关键项目预测!J355</f>
        <v>41.752284524225281</v>
      </c>
      <c r="P42" s="84">
        <f ca="1">P22/关键项目预测!K355</f>
        <v>49.440940660480983</v>
      </c>
      <c r="Q42" s="84">
        <f ca="1">Q22/关键项目预测!L355</f>
        <v>63.27013161697711</v>
      </c>
      <c r="R42" s="84">
        <f ca="1">R22/关键项目预测!M355</f>
        <v>81.411014067628045</v>
      </c>
      <c r="S42" s="84">
        <f ca="1">S22/关键项目预测!N355</f>
        <v>110.88218394338125</v>
      </c>
      <c r="T42" s="84">
        <f ca="1">T22/关键项目预测!O355</f>
        <v>163.2271422574641</v>
      </c>
      <c r="U42" s="84">
        <f ca="1">U22/关键项目预测!P355</f>
        <v>275.87733494206003</v>
      </c>
    </row>
    <row r="43" spans="1:21">
      <c r="A43" s="79" t="s">
        <v>1430</v>
      </c>
      <c r="C43" s="26" t="s">
        <v>1431</v>
      </c>
      <c r="E43" s="81">
        <v>2.4299999999999999E-2</v>
      </c>
      <c r="F43" s="81">
        <v>1.95E-2</v>
      </c>
      <c r="G43" s="81">
        <v>1.8800000000000001E-2</v>
      </c>
      <c r="H43" s="81">
        <v>1.4500000000000001E-2</v>
      </c>
      <c r="I43" s="81">
        <v>1.0999999999999999E-2</v>
      </c>
      <c r="J43" s="81">
        <f>历史数据及预测表!I81/关键项目预测!E322</f>
        <v>2.3742237863135951E-2</v>
      </c>
      <c r="K43" s="81">
        <f>历史数据及预测表!J81/关键项目预测!F322</f>
        <v>1.7977645594815413E-2</v>
      </c>
      <c r="L43" s="81">
        <f>历史数据及预测表!K81/关键项目预测!G322</f>
        <v>1.4348367112400942E-2</v>
      </c>
      <c r="M43" s="81">
        <f>历史数据及预测表!L81/关键项目预测!H322</f>
        <v>1.1752535181916789E-2</v>
      </c>
      <c r="N43" s="81">
        <f>历史数据及预测表!M81/关键项目预测!I322</f>
        <v>1.0136266029683661E-2</v>
      </c>
      <c r="O43" s="81">
        <f>历史数据及预测表!N81/关键项目预测!J322</f>
        <v>8.3798338639889374E-3</v>
      </c>
      <c r="P43" s="81">
        <f>历史数据及预测表!O81/关键项目预测!K322</f>
        <v>7.0038158349732971E-3</v>
      </c>
      <c r="Q43" s="81">
        <f>历史数据及预测表!P81/关键项目预测!L322</f>
        <v>5.8938712090905281E-3</v>
      </c>
      <c r="R43" s="81">
        <f>历史数据及预测表!Q81/关键项目预测!M322</f>
        <v>4.9191262754713916E-3</v>
      </c>
      <c r="S43" s="81">
        <f>历史数据及预测表!R81/关键项目预测!N322</f>
        <v>4.1185892055638747E-3</v>
      </c>
      <c r="T43" s="81">
        <f>历史数据及预测表!S81/关键项目预测!O322</f>
        <v>3.4479543214900135E-3</v>
      </c>
      <c r="U43" s="81">
        <f>历史数据及预测表!T81/关键项目预测!P322</f>
        <v>2.8864681556643019E-3</v>
      </c>
    </row>
    <row r="44" spans="1:21">
      <c r="A44" s="79" t="s">
        <v>1432</v>
      </c>
      <c r="C44" s="26" t="s">
        <v>1433</v>
      </c>
      <c r="E44" s="81">
        <v>124.5534</v>
      </c>
      <c r="F44" s="81"/>
      <c r="G44" s="81"/>
      <c r="H44" s="81"/>
      <c r="I44" s="81">
        <v>57.500500000000002</v>
      </c>
      <c r="J44" s="81">
        <f ca="1">J23/(历史数据及预测表!I51+历史数据及预测表!I62+历史数据及预测表!I65+历史数据及预测表!I71+历史数据及预测表!I72)</f>
        <v>1.6300444750743472</v>
      </c>
      <c r="K44" s="81">
        <f ca="1">K23/(历史数据及预测表!J51+历史数据及预测表!J62+历史数据及预测表!J65+历史数据及预测表!J71+历史数据及预测表!J72)</f>
        <v>1.4594240676574772</v>
      </c>
      <c r="L44" s="81">
        <f ca="1">L23/(历史数据及预测表!K51+历史数据及预测表!K62+历史数据及预测表!K65+历史数据及预测表!K71+历史数据及预测表!K72)</f>
        <v>1.2474819031630389</v>
      </c>
      <c r="M44" s="81">
        <f ca="1">M23/(历史数据及预测表!L51+历史数据及预测表!L62+历史数据及预测表!L65+历史数据及预测表!L71+历史数据及预测表!L72)</f>
        <v>1.2421990470821622</v>
      </c>
      <c r="N44" s="81">
        <f ca="1">N23/(历史数据及预测表!M51+历史数据及预测表!M62+历史数据及预测表!M65+历史数据及预测表!M71+历史数据及预测表!M72)</f>
        <v>1.7963624625281451</v>
      </c>
      <c r="O44" s="81">
        <f ca="1">O23/(历史数据及预测表!N51+历史数据及预测表!N62+历史数据及预测表!N65+历史数据及预测表!N71+历史数据及预测表!N72)</f>
        <v>1.94888621545964</v>
      </c>
      <c r="P44" s="81">
        <f ca="1">P23/(历史数据及预测表!O51+历史数据及预测表!O62+历史数据及预测表!O65+历史数据及预测表!O71+历史数据及预测表!O72)</f>
        <v>2.3457672150306279</v>
      </c>
      <c r="Q44" s="81">
        <f ca="1">Q23/(历史数据及预测表!P51+历史数据及预测表!P62+历史数据及预测表!P65+历史数据及预测表!P71+历史数据及预测表!P72)</f>
        <v>3.1204200910305833</v>
      </c>
      <c r="R44" s="81">
        <f ca="1">R23/(历史数据及预测表!Q51+历史数据及预测表!Q62+历史数据及预测表!Q65+历史数据及预测表!Q71+历史数据及预测表!Q72)</f>
        <v>4.0065953143741604</v>
      </c>
      <c r="S44" s="81">
        <f ca="1">S23/(历史数据及预测表!R51+历史数据及预测表!R62+历史数据及预测表!R65+历史数据及预测表!R71+历史数据及预测表!R72)</f>
        <v>5.6865853060994098</v>
      </c>
      <c r="T44" s="81">
        <f ca="1">T23/(历史数据及预测表!S51+历史数据及预测表!S62+历史数据及预测表!S65+历史数据及预测表!S71+历史数据及预测表!S72)</f>
        <v>8.6829551960424922</v>
      </c>
      <c r="U44" s="81">
        <f ca="1">U23/(历史数据及预测表!T51+历史数据及预测表!T62+历史数据及预测表!T65+历史数据及预测表!T71+历史数据及预测表!T72)</f>
        <v>16.675951358148907</v>
      </c>
    </row>
    <row r="45" spans="1:21">
      <c r="A45" s="79"/>
      <c r="C45" s="26" t="s">
        <v>1434</v>
      </c>
      <c r="E45" s="81"/>
      <c r="F45" s="81"/>
      <c r="G45" s="81"/>
      <c r="H45" s="81"/>
      <c r="I45" s="81"/>
      <c r="J45" s="81">
        <f ca="1">(历史数据及预测表!I71+历史数据及预测表!I72+历史数据及预测表!I62+历史数据及预测表!I51+历史数据及预测表!I52+历史数据及预测表!I65)/关键比率!J23</f>
        <v>0.61348019351090977</v>
      </c>
      <c r="K45" s="81">
        <f ca="1">(历史数据及预测表!J71+历史数据及预测表!J72+历史数据及预测表!J62+历史数据及预测表!J51+历史数据及预测表!J52+历史数据及预测表!J65)/关键比率!K23</f>
        <v>0.68520180128665464</v>
      </c>
      <c r="L45" s="81">
        <f ca="1">(历史数据及预测表!K71+历史数据及预测表!K72+历史数据及预测表!K62+历史数据及预测表!K51+历史数据及预测表!K52+历史数据及预测表!K65)/关键比率!L23</f>
        <v>0.80161483502442887</v>
      </c>
      <c r="M45" s="81">
        <f ca="1">(历史数据及预测表!L71+历史数据及预测表!L72+历史数据及预测表!L62+历史数据及预测表!L51+历史数据及预测表!L52+历史数据及预测表!L65)/关键比率!M23</f>
        <v>0.8050239632278976</v>
      </c>
      <c r="N45" s="81">
        <f ca="1">(历史数据及预测表!M71+历史数据及预测表!M72+历史数据及预测表!M62+历史数据及预测表!M51+历史数据及预测表!M52+历史数据及预测表!M65)/关键比率!N23</f>
        <v>0.55668052570672788</v>
      </c>
      <c r="O45" s="81">
        <f ca="1">(历史数据及预测表!N71+历史数据及预测表!N72+历史数据及预测表!N62+历史数据及预测表!N51+历史数据及预测表!N52+历史数据及预测表!N65)/关键比率!O23</f>
        <v>0.51311358870900137</v>
      </c>
      <c r="P45" s="81">
        <f ca="1">(历史数据及预测表!O71+历史数据及预测表!O72+历史数据及预测表!O62+历史数据及预测表!O51+历史数据及预测表!O52+历史数据及预测表!O65)/关键比率!P23</f>
        <v>0.42629975966602612</v>
      </c>
      <c r="Q45" s="81">
        <f ca="1">(历史数据及预测表!P71+历史数据及预测表!P72+历史数据及预测表!P62+历史数据及预测表!P51+历史数据及预测表!P52+历史数据及预测表!P65)/关键比率!Q23</f>
        <v>0.32046967101462587</v>
      </c>
      <c r="R45" s="81">
        <f ca="1">(历史数据及预测表!Q71+历史数据及预测表!Q72+历史数据及预测表!Q62+历史数据及预测表!Q51+历史数据及预测表!Q52+历史数据及预测表!Q65)/关键比率!R23</f>
        <v>0.2495884713917513</v>
      </c>
      <c r="S45" s="81">
        <f ca="1">(历史数据及预测表!R71+历史数据及预测表!R72+历史数据及预测表!R62+历史数据及预测表!R51+历史数据及预测表!R52+历史数据及预测表!R65)/关键比率!S23</f>
        <v>0.17585245734859614</v>
      </c>
      <c r="T45" s="81">
        <f ca="1">(历史数据及预测表!S71+历史数据及预测表!S72+历史数据及预测表!S62+历史数据及预测表!S51+历史数据及预测表!S52+历史数据及预测表!S65)/关键比率!T23</f>
        <v>0.11516816307606642</v>
      </c>
      <c r="U45" s="81">
        <f ca="1">(历史数据及预测表!T71+历史数据及预测表!T72+历史数据及预测表!T62+历史数据及预测表!T51+历史数据及预测表!T52+历史数据及预测表!T65)/关键比率!U23</f>
        <v>5.9966593720683754E-2</v>
      </c>
    </row>
    <row r="46" spans="1:21">
      <c r="A46" s="79" t="s">
        <v>1428</v>
      </c>
      <c r="C46" s="26" t="s">
        <v>1435</v>
      </c>
      <c r="E46" s="81"/>
      <c r="F46" s="81"/>
      <c r="G46" s="81"/>
      <c r="H46" s="81"/>
      <c r="I46" s="81"/>
      <c r="J46" s="81">
        <f ca="1">J23/关键项目预测!E355</f>
        <v>71.230836291120809</v>
      </c>
      <c r="K46" s="81">
        <f ca="1">K23/关键项目预测!F355</f>
        <v>35.991923210875939</v>
      </c>
      <c r="L46" s="81">
        <f ca="1">L23/关键项目预测!G355</f>
        <v>28.722427363126901</v>
      </c>
      <c r="M46" s="81">
        <f ca="1">M23/关键项目预测!H355</f>
        <v>28.749589721830926</v>
      </c>
      <c r="N46" s="81">
        <f ca="1">N23/关键项目预测!I355</f>
        <v>37.839505588167768</v>
      </c>
      <c r="O46" s="81">
        <f ca="1">O23/关键项目预测!J355</f>
        <v>43.083719919723933</v>
      </c>
      <c r="P46" s="81">
        <f ca="1">P23/关键项目预测!K355</f>
        <v>50.919421325398311</v>
      </c>
      <c r="Q46" s="81">
        <f ca="1">Q23/关键项目预测!L355</f>
        <v>64.989744018269093</v>
      </c>
      <c r="R46" s="81">
        <f ca="1">R23/关键项目预测!M355</f>
        <v>83.476545714861899</v>
      </c>
      <c r="S46" s="81">
        <f ca="1">S23/关键项目预测!N355</f>
        <v>113.44094243261854</v>
      </c>
      <c r="T46" s="81">
        <f ca="1">T23/关键项目预测!O355</f>
        <v>165.79129065405868</v>
      </c>
      <c r="U46" s="81">
        <f ca="1">U23/关键项目预测!P355</f>
        <v>279.5084074646029</v>
      </c>
    </row>
    <row r="47" spans="1:21">
      <c r="A47" s="79"/>
      <c r="B47" s="26" t="s">
        <v>1436</v>
      </c>
      <c r="E47" s="81"/>
      <c r="F47" s="81"/>
      <c r="G47" s="81"/>
      <c r="H47" s="81"/>
      <c r="I47" s="81"/>
      <c r="J47" s="81"/>
      <c r="K47" s="81"/>
      <c r="L47" s="81"/>
      <c r="M47" s="81"/>
      <c r="N47" s="81"/>
      <c r="O47" s="81"/>
      <c r="P47" s="81"/>
      <c r="Q47" s="81"/>
      <c r="R47" s="81"/>
      <c r="S47" s="81"/>
      <c r="T47" s="81"/>
      <c r="U47" s="81"/>
    </row>
    <row r="48" spans="1:21">
      <c r="A48" s="79" t="s">
        <v>1437</v>
      </c>
      <c r="C48" s="26" t="s">
        <v>1438</v>
      </c>
      <c r="E48" s="81">
        <v>185.96539999999999</v>
      </c>
      <c r="F48" s="81">
        <v>225.29079999999999</v>
      </c>
      <c r="G48" s="81">
        <v>326.82870000000003</v>
      </c>
      <c r="H48" s="81">
        <v>367.69</v>
      </c>
      <c r="I48" s="81">
        <v>358.06979999999999</v>
      </c>
      <c r="J48" s="81">
        <f>J49+J51</f>
        <v>290.27641228312547</v>
      </c>
      <c r="K48" s="81">
        <f t="shared" ref="K48:S48" si="6">K49+K51</f>
        <v>265.65733361503175</v>
      </c>
      <c r="L48" s="81">
        <f t="shared" si="6"/>
        <v>270.42362762977064</v>
      </c>
      <c r="M48" s="81">
        <f t="shared" si="6"/>
        <v>279.79706291539173</v>
      </c>
      <c r="N48" s="81">
        <f t="shared" si="6"/>
        <v>283.40163144278392</v>
      </c>
      <c r="O48" s="81">
        <f t="shared" si="6"/>
        <v>277.85093701958203</v>
      </c>
      <c r="P48" s="81">
        <f t="shared" si="6"/>
        <v>280.31239589615473</v>
      </c>
      <c r="Q48" s="81">
        <f t="shared" si="6"/>
        <v>280.50414365063745</v>
      </c>
      <c r="R48" s="81">
        <f t="shared" si="6"/>
        <v>279.55445444468381</v>
      </c>
      <c r="S48" s="81">
        <f t="shared" si="6"/>
        <v>280.12276121877511</v>
      </c>
      <c r="T48" s="81">
        <f t="shared" ref="T48:U48" si="7">T49+T51</f>
        <v>280.00885739243063</v>
      </c>
      <c r="U48" s="81">
        <f t="shared" si="7"/>
        <v>280.00885739243063</v>
      </c>
    </row>
    <row r="49" spans="1:21">
      <c r="A49" s="79" t="s">
        <v>1439</v>
      </c>
      <c r="C49" s="26" t="s">
        <v>1440</v>
      </c>
      <c r="E49" s="81">
        <v>147.50470000000001</v>
      </c>
      <c r="F49" s="81">
        <v>185.99850000000001</v>
      </c>
      <c r="G49" s="81">
        <v>289.97179999999997</v>
      </c>
      <c r="H49" s="81">
        <v>333.5804</v>
      </c>
      <c r="I49" s="81">
        <v>325.262</v>
      </c>
      <c r="J49" s="81">
        <f>360/J50</f>
        <v>263.38627625112838</v>
      </c>
      <c r="K49" s="81">
        <f t="shared" ref="K49:U49" si="8">360/K50</f>
        <v>235.46079626956652</v>
      </c>
      <c r="L49" s="81">
        <f t="shared" si="8"/>
        <v>238.84146034121105</v>
      </c>
      <c r="M49" s="81">
        <f t="shared" si="8"/>
        <v>248.19606503481086</v>
      </c>
      <c r="N49" s="81">
        <f t="shared" si="8"/>
        <v>252.29881128488887</v>
      </c>
      <c r="O49" s="81">
        <f t="shared" si="8"/>
        <v>246.42525725150767</v>
      </c>
      <c r="P49" s="81">
        <f t="shared" si="8"/>
        <v>248.93870751804502</v>
      </c>
      <c r="Q49" s="81">
        <f t="shared" si="8"/>
        <v>249.20453949794995</v>
      </c>
      <c r="R49" s="81">
        <f t="shared" si="8"/>
        <v>248.18826352019266</v>
      </c>
      <c r="S49" s="81">
        <f t="shared" si="8"/>
        <v>248.7763429413944</v>
      </c>
      <c r="T49" s="81">
        <f t="shared" si="8"/>
        <v>248.66673340648387</v>
      </c>
      <c r="U49" s="81">
        <f t="shared" si="8"/>
        <v>248.66673340648387</v>
      </c>
    </row>
    <row r="50" spans="1:21">
      <c r="A50" s="79" t="s">
        <v>1441</v>
      </c>
      <c r="C50" s="26" t="s">
        <v>1442</v>
      </c>
      <c r="E50" s="81">
        <v>2.4405999999999999</v>
      </c>
      <c r="F50" s="81">
        <v>1.9355</v>
      </c>
      <c r="G50" s="81">
        <v>1.2415</v>
      </c>
      <c r="H50" s="81">
        <v>1.0791999999999999</v>
      </c>
      <c r="I50" s="81">
        <v>1.1068</v>
      </c>
      <c r="J50" s="81">
        <f>历史数据及预测表!I110*2/(历史数据及预测表!H15+历史数据及预测表!I15)</f>
        <v>1.3668138109699923</v>
      </c>
      <c r="K50" s="81">
        <f>历史数据及预测表!J110*2/(历史数据及预测表!I15+历史数据及预测表!J15)</f>
        <v>1.5289169394800448</v>
      </c>
      <c r="L50" s="81">
        <f>历史数据及预测表!K110*2/(历史数据及预测表!J15+历史数据及预测表!K15)</f>
        <v>1.5072759959083351</v>
      </c>
      <c r="M50" s="81">
        <f>历史数据及预测表!L110*2/(历史数据及预测表!K15+历史数据及预测表!L15)</f>
        <v>1.4504661866799058</v>
      </c>
      <c r="N50" s="81">
        <f>历史数据及预测表!M110*2/(历史数据及预测表!L15+历史数据及预测表!M15)</f>
        <v>1.4268794932747342</v>
      </c>
      <c r="O50" s="81">
        <f>历史数据及预测表!N110*2/(历史数据及预测表!M15+历史数据及预测表!N15)</f>
        <v>1.4608892124745767</v>
      </c>
      <c r="P50" s="81">
        <f>历史数据及预测表!O110*2/(历史数据及预测表!N15+历史数据及预测表!O15)</f>
        <v>1.4461391062452769</v>
      </c>
      <c r="Q50" s="81">
        <f>历史数据及预测表!P110*2/(历史数据及预测表!O15+历史数据及预测表!P15)</f>
        <v>1.444596477757828</v>
      </c>
      <c r="R50" s="81">
        <f>历史数据及预测表!Q110*2/(历史数据及预测表!P15+历史数据及预测表!Q15)</f>
        <v>1.4505117804279666</v>
      </c>
      <c r="S50" s="81">
        <f>历史数据及预测表!R110*2/(历史数据及预测表!Q15+历史数据及预测表!R15)</f>
        <v>1.4470829329813211</v>
      </c>
      <c r="T50" s="81">
        <f>历史数据及预测表!S110*2/(历史数据及预测表!R15+历史数据及预测表!S15)</f>
        <v>1.4477207910698888</v>
      </c>
      <c r="U50" s="81">
        <f>历史数据及预测表!T110*2/(历史数据及预测表!S15+历史数据及预测表!T15)</f>
        <v>1.4477207910698888</v>
      </c>
    </row>
    <row r="51" spans="1:21">
      <c r="A51" s="79" t="s">
        <v>1443</v>
      </c>
      <c r="C51" s="26" t="s">
        <v>1444</v>
      </c>
      <c r="E51" s="81">
        <v>38.460700000000003</v>
      </c>
      <c r="F51" s="81">
        <v>39.292299999999997</v>
      </c>
      <c r="G51" s="81">
        <v>36.856900000000003</v>
      </c>
      <c r="H51" s="81">
        <v>34.1096</v>
      </c>
      <c r="I51" s="81">
        <v>32.8078</v>
      </c>
      <c r="J51" s="81">
        <f>360/J52</f>
        <v>26.890136031997088</v>
      </c>
      <c r="K51" s="81">
        <f t="shared" ref="K51:U51" si="9">360/K52</f>
        <v>30.196537345465213</v>
      </c>
      <c r="L51" s="81">
        <f t="shared" si="9"/>
        <v>31.582167288559567</v>
      </c>
      <c r="M51" s="81">
        <f t="shared" si="9"/>
        <v>31.600997880580898</v>
      </c>
      <c r="N51" s="81">
        <f t="shared" si="9"/>
        <v>31.102820157895042</v>
      </c>
      <c r="O51" s="81">
        <f t="shared" si="9"/>
        <v>31.425679768074382</v>
      </c>
      <c r="P51" s="81">
        <f t="shared" si="9"/>
        <v>31.37368837810968</v>
      </c>
      <c r="Q51" s="81">
        <f t="shared" si="9"/>
        <v>31.299604152687483</v>
      </c>
      <c r="R51" s="81">
        <f t="shared" si="9"/>
        <v>31.366190924491171</v>
      </c>
      <c r="S51" s="81">
        <f t="shared" si="9"/>
        <v>31.346418277380714</v>
      </c>
      <c r="T51" s="81">
        <f t="shared" si="9"/>
        <v>31.34212398594676</v>
      </c>
      <c r="U51" s="81">
        <f t="shared" si="9"/>
        <v>31.342123985946767</v>
      </c>
    </row>
    <row r="52" spans="1:21">
      <c r="A52" s="79" t="s">
        <v>1445</v>
      </c>
      <c r="C52" s="26" t="s">
        <v>1446</v>
      </c>
      <c r="E52" s="81">
        <v>9.3602000000000007</v>
      </c>
      <c r="F52" s="81">
        <v>9.1621000000000006</v>
      </c>
      <c r="G52" s="81">
        <v>9.7675000000000001</v>
      </c>
      <c r="H52" s="81">
        <v>10.5542</v>
      </c>
      <c r="I52" s="81">
        <v>10.973000000000001</v>
      </c>
      <c r="J52" s="81">
        <f>历史数据及预测表!I106*2/(历史数据及预测表!H10+历史数据及预测表!I10)</f>
        <v>13.387808807349622</v>
      </c>
      <c r="K52" s="81">
        <f>历史数据及预测表!J106*2/(历史数据及预测表!I10+历史数据及预测表!J10)</f>
        <v>11.921896735423648</v>
      </c>
      <c r="L52" s="81">
        <f>历史数据及预测表!K106*2/(历史数据及预测表!J10+历史数据及预测表!K10)</f>
        <v>11.398837727340126</v>
      </c>
      <c r="M52" s="81">
        <f>历史数据及预测表!L106*2/(历史数据及预测表!K10+历史数据及预测表!L10)</f>
        <v>11.392045319594901</v>
      </c>
      <c r="N52" s="81">
        <f>历史数据及预测表!M106*2/(历史数据及预测表!L10+历史数据及预测表!M10)</f>
        <v>11.574513120432224</v>
      </c>
      <c r="O52" s="81">
        <f>历史数据及预测表!N106*2/(历史数据及预测表!M10+历史数据及预测表!N10)</f>
        <v>11.455599454231285</v>
      </c>
      <c r="P52" s="81">
        <f>历史数据及预测表!O106*2/(历史数据及预测表!N10+历史数据及预测表!O10)</f>
        <v>11.474583276959629</v>
      </c>
      <c r="Q52" s="81">
        <f>历史数据及预测表!P106*2/(历史数据及预测表!O10+历史数据及预测表!P10)</f>
        <v>11.501742905240201</v>
      </c>
      <c r="R52" s="81">
        <f>历史数据及预测表!Q106*2/(历史数据及预测表!P10+历史数据及预测表!Q10)</f>
        <v>11.477326044040204</v>
      </c>
      <c r="S52" s="81">
        <f>历史数据及预测表!R106*2/(历史数据及预测表!Q10+历史数据及预测表!R10)</f>
        <v>11.484565694696057</v>
      </c>
      <c r="T52" s="81">
        <f>历史数据及预测表!S106*2/(历史数据及预测表!R10+历史数据及预测表!S10)</f>
        <v>11.486139234259218</v>
      </c>
      <c r="U52" s="81">
        <f>历史数据及预测表!T106*2/(历史数据及预测表!S10+历史数据及预测表!T10)</f>
        <v>11.486139234259216</v>
      </c>
    </row>
    <row r="53" spans="1:21">
      <c r="A53" s="79" t="s">
        <v>1447</v>
      </c>
      <c r="C53" s="26" t="s">
        <v>1448</v>
      </c>
      <c r="E53" s="81">
        <v>1.069</v>
      </c>
      <c r="F53" s="81">
        <v>0.83740000000000003</v>
      </c>
      <c r="G53" s="81">
        <v>0.63029999999999997</v>
      </c>
      <c r="H53" s="81">
        <v>0.53900000000000003</v>
      </c>
      <c r="I53" s="81">
        <v>0.56479999999999997</v>
      </c>
      <c r="J53" s="81">
        <f ca="1">历史数据及预测表!I106*2/(历史数据及预测表!H23+历史数据及预测表!I23)</f>
        <v>0.77778647770198639</v>
      </c>
      <c r="K53" s="81">
        <f ca="1">历史数据及预测表!J106*2/(历史数据及预测表!I23+历史数据及预测表!J23)</f>
        <v>0.73596339835172508</v>
      </c>
      <c r="L53" s="81">
        <f ca="1">历史数据及预测表!K106*2/(历史数据及预测表!J23+历史数据及预测表!K23)</f>
        <v>0.70743591893553093</v>
      </c>
      <c r="M53" s="81">
        <f ca="1">历史数据及预测表!L106*2/(历史数据及预测表!K23+历史数据及预测表!L23)</f>
        <v>0.70039393589611898</v>
      </c>
      <c r="N53" s="81">
        <f ca="1">历史数据及预测表!M106*2/(历史数据及预测表!L23+历史数据及预测表!M23)</f>
        <v>0.71746187037802822</v>
      </c>
      <c r="O53" s="81">
        <f ca="1">历史数据及预测表!N106*2/(历史数据及预测表!M23+历史数据及预测表!N23)</f>
        <v>0.71895057317492117</v>
      </c>
      <c r="P53" s="81">
        <f ca="1">历史数据及预测表!O106*2/(历史数据及预测表!N23+历史数据及预测表!O23)</f>
        <v>0.72115932499419921</v>
      </c>
      <c r="Q53" s="81">
        <f ca="1">历史数据及预测表!P106*2/(历史数据及预测表!O23+历史数据及预测表!P23)</f>
        <v>0.72678614796485863</v>
      </c>
      <c r="R53" s="81">
        <f ca="1">历史数据及预测表!Q106*2/(历史数据及预测表!P23+历史数据及预测表!Q23)</f>
        <v>0.72869996934880377</v>
      </c>
      <c r="S53" s="81">
        <f ca="1">历史数据及预测表!R106*2/(历史数据及预测表!Q23+历史数据及预测表!R23)</f>
        <v>0.73094795121244782</v>
      </c>
      <c r="T53" s="81">
        <f ca="1">历史数据及预测表!S106*2/(历史数据及预测表!R23+历史数据及预测表!S23)</f>
        <v>0.73299335939948984</v>
      </c>
      <c r="U53" s="81">
        <f ca="1">历史数据及预测表!T106*2/(历史数据及预测表!S23+历史数据及预测表!T23)</f>
        <v>0.73468628647306822</v>
      </c>
    </row>
    <row r="54" spans="1:21">
      <c r="A54" s="79" t="s">
        <v>1449</v>
      </c>
      <c r="C54" s="26" t="s">
        <v>1450</v>
      </c>
      <c r="E54" s="81">
        <v>11.391400000000001</v>
      </c>
      <c r="F54" s="81">
        <v>10.888500000000001</v>
      </c>
      <c r="G54" s="81">
        <v>9.4449000000000005</v>
      </c>
      <c r="H54" s="81">
        <v>9.1165000000000003</v>
      </c>
      <c r="I54" s="81">
        <v>10.0517</v>
      </c>
      <c r="J54" s="81">
        <f>历史数据及预测表!I106*2/(历史数据及预测表!H34+历史数据及预测表!I34)</f>
        <v>15.65117448199965</v>
      </c>
      <c r="K54" s="81">
        <f>历史数据及预测表!J106*2/(历史数据及预测表!I34+历史数据及预测表!J34)</f>
        <v>16.089278197101422</v>
      </c>
      <c r="L54" s="81">
        <f>历史数据及预测表!K106*2/(历史数据及预测表!J34+历史数据及预测表!K34)</f>
        <v>16.332281947519814</v>
      </c>
      <c r="M54" s="81">
        <f>历史数据及预测表!L106*2/(历史数据及预测表!K34+历史数据及预测表!L34)</f>
        <v>17.201268968145701</v>
      </c>
      <c r="N54" s="81">
        <f>历史数据及预测表!M106*2/(历史数据及预测表!L34+历史数据及预测表!M34)</f>
        <v>19.24920285731136</v>
      </c>
      <c r="O54" s="81">
        <f>历史数据及预测表!N106*2/(历史数据及预测表!M34+历史数据及预测表!N34)</f>
        <v>21.699324381993943</v>
      </c>
      <c r="P54" s="81">
        <f>历史数据及预测表!O106*2/(历史数据及预测表!N34+历史数据及预测表!O34)</f>
        <v>25.042699586436488</v>
      </c>
      <c r="Q54" s="81">
        <f>历史数据及预测表!P106*2/(历史数据及预测表!O34+历史数据及预测表!P34)</f>
        <v>29.601655156862087</v>
      </c>
      <c r="R54" s="81">
        <f>历史数据及预测表!Q106*2/(历史数据及预测表!P34+历史数据及预测表!Q34)</f>
        <v>35.516535429341168</v>
      </c>
      <c r="S54" s="81">
        <f>历史数据及预测表!R106*2/(历史数据及预测表!Q34+历史数据及预测表!R34)</f>
        <v>43.470308000915452</v>
      </c>
      <c r="T54" s="81">
        <f>历史数据及预测表!S106*2/(历史数据及预测表!R34+历史数据及预测表!S34)</f>
        <v>52.562729435441341</v>
      </c>
      <c r="U54" s="81">
        <f>历史数据及预测表!T106*2/(历史数据及预测表!S34+历史数据及预测表!T34)</f>
        <v>62.160902286341276</v>
      </c>
    </row>
    <row r="55" spans="1:21">
      <c r="A55" s="79"/>
      <c r="C55" s="26" t="s">
        <v>1451</v>
      </c>
      <c r="E55" s="81"/>
      <c r="F55" s="81"/>
      <c r="G55" s="81"/>
      <c r="H55" s="81"/>
      <c r="I55" s="81"/>
      <c r="J55" s="81">
        <f>历史数据及预测表!I106*2/(历史数据及预测表!H47+历史数据及预测表!I47)</f>
        <v>1.6608550304254741</v>
      </c>
      <c r="K55" s="81">
        <f>历史数据及预测表!J106*2/(历史数据及预测表!I47+历史数据及预测表!J47)</f>
        <v>2.022309589679459</v>
      </c>
      <c r="L55" s="81">
        <f>历史数据及预测表!K106*2/(历史数据及预测表!J47+历史数据及预测表!K47)</f>
        <v>2.2966492612980556</v>
      </c>
      <c r="M55" s="81">
        <f>历史数据及预测表!L106*2/(历史数据及预测表!K47+历史数据及预测表!L47)</f>
        <v>2.607542022249393</v>
      </c>
      <c r="N55" s="81">
        <f>历史数据及预测表!M106*2/(历史数据及预测表!L47+历史数据及预测表!M47)</f>
        <v>3.0619167992026779</v>
      </c>
      <c r="O55" s="81">
        <f>历史数据及预测表!N106*2/(历史数据及预测表!M47+历史数据及预测表!N47)</f>
        <v>3.5470276946256596</v>
      </c>
      <c r="P55" s="81">
        <f>历史数据及预测表!O106*2/(历史数据及预测表!N47+历史数据及预测表!O47)</f>
        <v>4.1333571668059657</v>
      </c>
      <c r="Q55" s="81">
        <f>历史数据及预测表!P106*2/(历史数据及预测表!O47+历史数据及预测表!P47)</f>
        <v>4.8556370599187986</v>
      </c>
      <c r="R55" s="81">
        <f>历史数据及预测表!Q106*2/(历史数据及预测表!P47+历史数据及预测表!Q47)</f>
        <v>5.7021525227474434</v>
      </c>
      <c r="S55" s="81">
        <f>历史数据及预测表!R106*2/(历史数据及预测表!Q47+历史数据及预测表!R47)</f>
        <v>6.7242713205106428</v>
      </c>
      <c r="T55" s="81">
        <f>历史数据及预测表!S106*2/(历史数据及预测表!R47+历史数据及预测表!S47)</f>
        <v>7.9157387656756724</v>
      </c>
      <c r="U55" s="81">
        <f>历史数据及预测表!T106*2/(历史数据及预测表!S47+历史数据及预测表!T47)</f>
        <v>9.2895123543390206</v>
      </c>
    </row>
    <row r="56" spans="1:21">
      <c r="A56" s="79" t="s">
        <v>1452</v>
      </c>
      <c r="C56" s="26" t="s">
        <v>1453</v>
      </c>
      <c r="E56" s="81">
        <v>0.51839999999999997</v>
      </c>
      <c r="F56" s="81">
        <v>0.4556</v>
      </c>
      <c r="G56" s="81">
        <v>0.36009999999999998</v>
      </c>
      <c r="H56" s="81">
        <v>0.32819999999999999</v>
      </c>
      <c r="I56" s="81">
        <v>0.35680000000000001</v>
      </c>
      <c r="J56" s="81">
        <f ca="1">历史数据及预测表!I106*2/(历史数据及预测表!H48+历史数据及预测表!I48)</f>
        <v>0.52971729538064483</v>
      </c>
      <c r="K56" s="81">
        <f ca="1">历史数据及预测表!J106*2/(历史数据及预测表!I48+历史数据及预测表!J48)</f>
        <v>0.53959337766713866</v>
      </c>
      <c r="L56" s="81">
        <f ca="1">历史数据及预测表!K106*2/(历史数据及预测表!J48+历史数据及预测表!K48)</f>
        <v>0.54084091600647122</v>
      </c>
      <c r="M56" s="81">
        <f ca="1">历史数据及预测表!L106*2/(历史数据及预测表!K48+历史数据及预测表!L48)</f>
        <v>0.55209854213793119</v>
      </c>
      <c r="N56" s="81">
        <f ca="1">历史数据及预测表!M106*2/(历史数据及预测表!L48+历史数据及预测表!M48)</f>
        <v>0.58126182787118774</v>
      </c>
      <c r="O56" s="81">
        <f ca="1">历史数据及预测表!N106*2/(历史数据及预测表!M48+历史数据及预测表!N48)</f>
        <v>0.59778494732773624</v>
      </c>
      <c r="P56" s="81">
        <f ca="1">历史数据及预测表!O106*2/(历史数据及预测表!N48+历史数据及预测表!O48)</f>
        <v>0.61402800246093614</v>
      </c>
      <c r="Q56" s="81">
        <f ca="1">历史数据及预测表!P106*2/(历史数据及预测表!O48+历史数据及预测表!P48)</f>
        <v>0.63216449618331105</v>
      </c>
      <c r="R56" s="81">
        <f ca="1">历史数据及预测表!Q106*2/(历史数据及预测表!P48+历史数据及预测表!Q48)</f>
        <v>0.64612870123441768</v>
      </c>
      <c r="S56" s="81">
        <f ca="1">历史数据及预测表!R106*2/(历史数据及预测表!Q48+历史数据及预测表!R48)</f>
        <v>0.65928206347549489</v>
      </c>
      <c r="T56" s="81">
        <f ca="1">历史数据及预测表!S106*2/(历史数据及预测表!R48+历史数据及预测表!S48)</f>
        <v>0.6708710439948975</v>
      </c>
      <c r="U56" s="81">
        <f ca="1">历史数据及预测表!T106*2/(历史数据及预测表!S48+历史数据及预测表!T48)</f>
        <v>0.68084019274802821</v>
      </c>
    </row>
    <row r="57" spans="1:21">
      <c r="A57" s="79"/>
      <c r="C57" s="26" t="s">
        <v>1454</v>
      </c>
      <c r="E57" s="81"/>
      <c r="F57" s="81"/>
      <c r="G57" s="81"/>
      <c r="H57" s="81"/>
      <c r="I57" s="81"/>
      <c r="J57" s="81">
        <f>历史数据及预测表!I110*2/(历史数据及预测表!H54+历史数据及预测表!I54)</f>
        <v>6.4350484957204399</v>
      </c>
      <c r="K57" s="81">
        <f>历史数据及预测表!J110*2/(历史数据及预测表!I54+历史数据及预测表!J54)</f>
        <v>6.7133397453307264</v>
      </c>
      <c r="L57" s="81">
        <f>历史数据及预测表!K110*2/(历史数据及预测表!J54+历史数据及预测表!K54)</f>
        <v>6.4356062720241569</v>
      </c>
      <c r="M57" s="81">
        <f>历史数据及预测表!L110*2/(历史数据及预测表!K54+历史数据及预测表!L54)</f>
        <v>6.2251272064454994</v>
      </c>
      <c r="N57" s="81">
        <f>历史数据及预测表!M110*2/(历史数据及预测表!L54+历史数据及预测表!M54)</f>
        <v>6.1633639920398728</v>
      </c>
      <c r="O57" s="81">
        <f>历史数据及预测表!N110*2/(历史数据及预测表!M54+历史数据及预测表!N54)</f>
        <v>6.2731355889245988</v>
      </c>
      <c r="P57" s="81">
        <f>历史数据及预测表!O110*2/(历史数据及预测表!N54+历史数据及预测表!O54)</f>
        <v>6.2206896301455554</v>
      </c>
      <c r="Q57" s="81">
        <f>历史数据及预测表!P110*2/(历史数据及预测表!O54+历史数据及预测表!P54)</f>
        <v>6.2188732252646854</v>
      </c>
      <c r="R57" s="81">
        <f>历史数据及预测表!Q110*2/(历史数据及预测表!P54+历史数据及预测表!Q54)</f>
        <v>6.2374826828695555</v>
      </c>
      <c r="S57" s="81">
        <f>历史数据及预测表!R110*2/(历史数据及预测表!Q54+历史数据及预测表!R54)</f>
        <v>6.2256851482161428</v>
      </c>
      <c r="T57" s="81">
        <f>历史数据及预测表!S110*2/(历史数据及预测表!R54+历史数据及预测表!S54)</f>
        <v>6.2306129858875012</v>
      </c>
      <c r="U57" s="81">
        <f>历史数据及预测表!T110*2/(历史数据及预测表!S54+历史数据及预测表!T54)</f>
        <v>6.2306129858875021</v>
      </c>
    </row>
    <row r="58" spans="1:21">
      <c r="A58" s="79"/>
      <c r="C58" s="26" t="s">
        <v>1455</v>
      </c>
      <c r="E58" s="81"/>
      <c r="F58" s="81"/>
      <c r="G58" s="81"/>
      <c r="H58" s="81"/>
      <c r="I58" s="81"/>
      <c r="J58" s="81">
        <f>360/J57</f>
        <v>55.943634339261649</v>
      </c>
      <c r="K58" s="81">
        <f t="shared" ref="K58:S58" si="10">360/K57</f>
        <v>53.624576389179147</v>
      </c>
      <c r="L58" s="81">
        <f t="shared" si="10"/>
        <v>55.93878568440936</v>
      </c>
      <c r="M58" s="81">
        <f t="shared" si="10"/>
        <v>57.830143555501301</v>
      </c>
      <c r="N58" s="81">
        <f t="shared" si="10"/>
        <v>58.409660773718429</v>
      </c>
      <c r="O58" s="81">
        <f t="shared" si="10"/>
        <v>57.387568767936457</v>
      </c>
      <c r="P58" s="81">
        <f t="shared" si="10"/>
        <v>57.871397128613296</v>
      </c>
      <c r="Q58" s="81">
        <f t="shared" si="10"/>
        <v>57.888300172685675</v>
      </c>
      <c r="R58" s="81">
        <f t="shared" si="10"/>
        <v>57.715591097141434</v>
      </c>
      <c r="S58" s="81">
        <f t="shared" si="10"/>
        <v>57.824960856420994</v>
      </c>
      <c r="T58" s="81">
        <f t="shared" ref="T58:U58" si="11">360/T57</f>
        <v>57.77922666925538</v>
      </c>
      <c r="U58" s="81">
        <f t="shared" si="11"/>
        <v>57.779226669255372</v>
      </c>
    </row>
    <row r="59" spans="1:21">
      <c r="A59" s="79"/>
      <c r="C59" s="26" t="s">
        <v>1456</v>
      </c>
      <c r="E59" s="81"/>
      <c r="F59" s="81"/>
      <c r="G59" s="81"/>
      <c r="H59" s="81"/>
      <c r="I59" s="81"/>
      <c r="J59" s="81">
        <f>J51+J49-J58</f>
        <v>234.33277794386382</v>
      </c>
      <c r="K59" s="81">
        <f t="shared" ref="K59:S59" si="12">K51+K49-K58</f>
        <v>212.03275722585261</v>
      </c>
      <c r="L59" s="81">
        <f t="shared" si="12"/>
        <v>214.48484194536127</v>
      </c>
      <c r="M59" s="81">
        <f t="shared" si="12"/>
        <v>221.96691935989043</v>
      </c>
      <c r="N59" s="81">
        <f t="shared" si="12"/>
        <v>224.99197066906549</v>
      </c>
      <c r="O59" s="81">
        <f t="shared" si="12"/>
        <v>220.46336825164559</v>
      </c>
      <c r="P59" s="81">
        <f t="shared" si="12"/>
        <v>222.44099876754143</v>
      </c>
      <c r="Q59" s="81">
        <f t="shared" si="12"/>
        <v>222.61584347795178</v>
      </c>
      <c r="R59" s="81">
        <f t="shared" si="12"/>
        <v>221.83886334754237</v>
      </c>
      <c r="S59" s="81">
        <f t="shared" si="12"/>
        <v>222.29780036235411</v>
      </c>
      <c r="T59" s="81">
        <f t="shared" ref="T59:U59" si="13">T51+T49-T58</f>
        <v>222.22963072317526</v>
      </c>
      <c r="U59" s="81">
        <f t="shared" si="13"/>
        <v>222.22963072317526</v>
      </c>
    </row>
    <row r="60" spans="1:21">
      <c r="A60" s="79"/>
      <c r="C60" s="26" t="s">
        <v>1457</v>
      </c>
      <c r="E60" s="81"/>
      <c r="F60" s="81"/>
      <c r="G60" s="81"/>
      <c r="H60" s="81"/>
      <c r="I60" s="81"/>
      <c r="J60" s="81">
        <f>历史数据及预测表!I106*2/(关键项目预测!D322+关键项目预测!E322)</f>
        <v>2.576904851831054</v>
      </c>
      <c r="K60" s="81">
        <f>历史数据及预测表!J106*2/(关键项目预测!E322+关键项目预测!F322)</f>
        <v>2.5708579311786948</v>
      </c>
      <c r="L60" s="81">
        <f>历史数据及预测表!K106*2/(关键项目预测!F322+关键项目预测!G322)</f>
        <v>2.3711393466779831</v>
      </c>
      <c r="M60" s="81">
        <f>历史数据及预测表!L106*2/(关键项目预测!G322+关键项目预测!H322)</f>
        <v>2.2580934017813443</v>
      </c>
      <c r="N60" s="81">
        <f>历史数据及预测表!M106*2/(关键项目预测!H322+关键项目预测!I322)</f>
        <v>2.3040534351335942</v>
      </c>
      <c r="O60" s="81">
        <f>历史数据及预测表!N106*2/(关键项目预测!I322+关键项目预测!J322)</f>
        <v>2.3110914018060615</v>
      </c>
      <c r="P60" s="81">
        <f>历史数据及预测表!O106*2/(关键项目预测!J322+关键项目预测!K322)</f>
        <v>2.2920394367374679</v>
      </c>
      <c r="Q60" s="81">
        <f>历史数据及预测表!P106*2/(关键项目预测!K322+关键项目预测!L322)</f>
        <v>2.3033738906408181</v>
      </c>
      <c r="R60" s="81">
        <f>历史数据及预测表!Q106*2/(关键项目预测!L322+关键项目预测!M322)</f>
        <v>2.3030166371043483</v>
      </c>
      <c r="S60" s="81">
        <f>历史数据及预测表!R106*2/(关键项目预测!M322+关键项目预测!N322)</f>
        <v>2.3002072826206295</v>
      </c>
      <c r="T60" s="81">
        <f>历史数据及预测表!S106*2/(关键项目预测!N322+关键项目预测!O322)</f>
        <v>2.3005742975519436</v>
      </c>
      <c r="U60" s="81">
        <f>历史数据及预测表!T106*2/(关键项目预测!O322+关键项目预测!P322)</f>
        <v>2.3008043665976547</v>
      </c>
    </row>
    <row r="61" spans="1:21">
      <c r="B61" s="26" t="s">
        <v>1458</v>
      </c>
      <c r="E61" s="81"/>
      <c r="F61" s="81"/>
      <c r="G61" s="81"/>
      <c r="H61" s="81"/>
      <c r="I61" s="81"/>
      <c r="J61" s="81"/>
      <c r="K61" s="81"/>
      <c r="L61" s="81"/>
      <c r="M61" s="81"/>
      <c r="N61" s="81"/>
      <c r="O61" s="81"/>
      <c r="P61" s="81"/>
      <c r="Q61" s="81"/>
      <c r="R61" s="81"/>
      <c r="S61" s="81"/>
      <c r="T61" s="81"/>
      <c r="U61" s="81"/>
    </row>
    <row r="62" spans="1:21">
      <c r="A62" s="79" t="s">
        <v>1459</v>
      </c>
      <c r="C62" s="26" t="s">
        <v>1460</v>
      </c>
      <c r="E62" s="81">
        <v>0.98560000000000003</v>
      </c>
      <c r="F62" s="81"/>
      <c r="G62" s="81"/>
      <c r="H62" s="81"/>
      <c r="I62" s="81">
        <v>0.55659999999999998</v>
      </c>
      <c r="J62" s="81">
        <f>历史数据及预测表!I162/历史数据及预测表!I151</f>
        <v>-3.1788561536896682</v>
      </c>
      <c r="K62" s="81">
        <f>历史数据及预测表!J162/历史数据及预测表!J151</f>
        <v>-2.4415340326861821</v>
      </c>
      <c r="L62" s="81">
        <f>历史数据及预测表!K162/历史数据及预测表!K151</f>
        <v>-1.9818519331465685</v>
      </c>
      <c r="M62" s="81">
        <f>历史数据及预测表!L162/历史数据及预测表!L151</f>
        <v>-1.6678381485525453</v>
      </c>
      <c r="N62" s="81">
        <f>历史数据及预测表!M162/历史数据及预测表!M151</f>
        <v>-1.4397219459931547</v>
      </c>
      <c r="O62" s="81">
        <f>历史数据及预测表!N162/历史数据及预测表!N151</f>
        <v>-1.2664984172363778</v>
      </c>
      <c r="P62" s="81">
        <f>历史数据及预测表!O162/历史数据及预测表!O151</f>
        <v>-1.1304818386024527</v>
      </c>
      <c r="Q62" s="81">
        <f>历史数据及预测表!P162/历史数据及预测表!P151</f>
        <v>-1.0208471663549166</v>
      </c>
      <c r="R62" s="81">
        <f>历史数据及预测表!Q162/历史数据及预测表!Q151</f>
        <v>-0.93059738456511065</v>
      </c>
      <c r="S62" s="81">
        <f>历史数据及预测表!R162/历史数据及预测表!R151</f>
        <v>-0.8550088312607359</v>
      </c>
      <c r="T62" s="81">
        <f>历史数据及预测表!S162/历史数据及预测表!S151</f>
        <v>-1.0526315789473684</v>
      </c>
      <c r="U62" s="81">
        <f>历史数据及预测表!T162/历史数据及预测表!T151</f>
        <v>-1.0526315789473684</v>
      </c>
    </row>
    <row r="63" spans="1:21">
      <c r="A63" s="79"/>
      <c r="C63" s="26" t="s">
        <v>1461</v>
      </c>
      <c r="E63" s="81"/>
      <c r="F63" s="81"/>
      <c r="G63" s="81"/>
      <c r="H63" s="81"/>
      <c r="I63" s="81"/>
      <c r="J63" s="81">
        <f ca="1">历史数据及预测表!I159/历史数据及预测表!I48</f>
        <v>9.8827821846467781E-2</v>
      </c>
      <c r="K63" s="81">
        <f ca="1">历史数据及预测表!J159/历史数据及预测表!J48</f>
        <v>8.0648545899907803E-2</v>
      </c>
      <c r="L63" s="81">
        <f ca="1">历史数据及预测表!K159/历史数据及预测表!K48</f>
        <v>6.3565142553286408E-2</v>
      </c>
      <c r="M63" s="81">
        <f ca="1">历史数据及预测表!L159/历史数据及预测表!L48</f>
        <v>6.2812385859051023E-2</v>
      </c>
      <c r="N63" s="81">
        <f ca="1">历史数据及预测表!M159/历史数据及预测表!M48</f>
        <v>9.1427942579532767E-2</v>
      </c>
      <c r="O63" s="81">
        <f ca="1">历史数据及预测表!N159/历史数据及预测表!N48</f>
        <v>7.6507704151901487E-2</v>
      </c>
      <c r="P63" s="81">
        <f ca="1">历史数据及预测表!O159/历史数据及预测表!O48</f>
        <v>8.0578077171527693E-2</v>
      </c>
      <c r="Q63" s="81">
        <f ca="1">历史数据及预测表!P159/历史数据及预测表!P48</f>
        <v>8.657815709859383E-2</v>
      </c>
      <c r="R63" s="81">
        <f ca="1">历史数据及预测表!Q159/历史数据及预测表!Q48</f>
        <v>8.4141894106658802E-2</v>
      </c>
      <c r="S63" s="81">
        <f ca="1">历史数据及预测表!R159/历史数据及预测表!R48</f>
        <v>8.6392594693690455E-2</v>
      </c>
      <c r="T63" s="81">
        <f ca="1">历史数据及预测表!S159/历史数据及预测表!S48</f>
        <v>8.6569707421444847E-2</v>
      </c>
      <c r="U63" s="81">
        <f ca="1">历史数据及预测表!T159/历史数据及预测表!T48</f>
        <v>8.7293668662474205E-2</v>
      </c>
    </row>
    <row r="64" spans="1:21">
      <c r="A64" s="79"/>
      <c r="C64" s="26" t="s">
        <v>1462</v>
      </c>
      <c r="E64" s="81"/>
      <c r="F64" s="81"/>
      <c r="G64" s="81"/>
      <c r="H64" s="81"/>
      <c r="I64" s="81"/>
      <c r="J64" s="81" t="e">
        <f ca="1">历史数据及预测表!I159/历史数据及预测表!I225</f>
        <v>#DIV/0!</v>
      </c>
      <c r="K64" s="81" t="e">
        <f ca="1">历史数据及预测表!J159/历史数据及预测表!J225</f>
        <v>#DIV/0!</v>
      </c>
      <c r="L64" s="81" t="e">
        <f ca="1">历史数据及预测表!K159/历史数据及预测表!K225</f>
        <v>#DIV/0!</v>
      </c>
      <c r="M64" s="81" t="e">
        <f ca="1">历史数据及预测表!L159/历史数据及预测表!L225</f>
        <v>#DIV/0!</v>
      </c>
      <c r="N64" s="81" t="e">
        <f ca="1">历史数据及预测表!M159/历史数据及预测表!M225</f>
        <v>#DIV/0!</v>
      </c>
      <c r="O64" s="81" t="e">
        <f ca="1">历史数据及预测表!N159/历史数据及预测表!N225</f>
        <v>#DIV/0!</v>
      </c>
      <c r="P64" s="81" t="e">
        <f ca="1">历史数据及预测表!O159/历史数据及预测表!O225</f>
        <v>#DIV/0!</v>
      </c>
      <c r="Q64" s="81" t="e">
        <f ca="1">历史数据及预测表!P159/历史数据及预测表!P225</f>
        <v>#DIV/0!</v>
      </c>
      <c r="R64" s="81" t="e">
        <f ca="1">历史数据及预测表!Q159/历史数据及预测表!Q225</f>
        <v>#DIV/0!</v>
      </c>
      <c r="S64" s="81" t="e">
        <f ca="1">历史数据及预测表!R159/历史数据及预测表!R225</f>
        <v>#DIV/0!</v>
      </c>
      <c r="T64" s="81" t="e">
        <f ca="1">历史数据及预测表!S159/历史数据及预测表!S225</f>
        <v>#DIV/0!</v>
      </c>
      <c r="U64" s="81" t="e">
        <f ca="1">历史数据及预测表!T159/历史数据及预测表!T225</f>
        <v>#DIV/0!</v>
      </c>
    </row>
    <row r="65" spans="1:1">
      <c r="A65" s="79"/>
    </row>
    <row r="66" spans="1:1">
      <c r="A66" s="79"/>
    </row>
    <row r="67" spans="1:1">
      <c r="A67" s="79"/>
    </row>
    <row r="68" spans="1:1">
      <c r="A68" s="79"/>
    </row>
  </sheetData>
  <sheetProtection algorithmName="SHA-512" hashValue="GaXmDEPOgWEp0TLPFddLP7OsJKT1O4KEoL05FYArSEHGkU5947pVRsCYEs0Hjz7k59Wm/SbAwv07RcbDVhNurA==" saltValue="VC+1PMCvSenQ/XLnrnnBQg==" spinCount="100000" sheet="1" objects="1" scenarios="1"/>
  <mergeCells count="2">
    <mergeCell ref="E1:I1"/>
    <mergeCell ref="J1:S1"/>
  </mergeCells>
  <phoneticPr fontId="35"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A1:G24"/>
  <sheetViews>
    <sheetView showGridLines="0" tabSelected="1" topLeftCell="B1" workbookViewId="0">
      <selection activeCell="H8" sqref="H8"/>
    </sheetView>
  </sheetViews>
  <sheetFormatPr defaultColWidth="9" defaultRowHeight="13.9"/>
  <cols>
    <col min="1" max="1" width="8.46484375" style="24" hidden="1" customWidth="1"/>
    <col min="2" max="2" width="20" style="25" customWidth="1"/>
    <col min="3" max="3" width="12.9296875" style="25" customWidth="1"/>
    <col min="4" max="5" width="11.73046875" style="25" customWidth="1"/>
    <col min="6" max="6" width="13.9296875" style="25" customWidth="1"/>
    <col min="7" max="7" width="13.59765625" style="25" customWidth="1"/>
    <col min="8" max="16384" width="9" style="26"/>
  </cols>
  <sheetData>
    <row r="1" spans="1:7" s="48" customFormat="1" ht="14.65">
      <c r="A1" s="47"/>
      <c r="B1" s="55" t="s">
        <v>35</v>
      </c>
      <c r="C1" s="28"/>
      <c r="D1" s="39"/>
      <c r="E1" s="39"/>
      <c r="F1" s="39"/>
      <c r="G1" s="39"/>
    </row>
    <row r="2" spans="1:7" ht="14.65">
      <c r="B2" s="56" t="s">
        <v>1463</v>
      </c>
      <c r="C2" s="56">
        <f>历史数据及预测表!G4</f>
        <v>2024</v>
      </c>
      <c r="D2" s="56">
        <f>历史数据及预测表!H4</f>
        <v>2025</v>
      </c>
      <c r="E2" s="56" t="str">
        <f>历史数据及预测表!I4&amp;"E"</f>
        <v>2026E</v>
      </c>
      <c r="F2" s="56" t="str">
        <f>历史数据及预测表!J4&amp;"E"</f>
        <v>2027E</v>
      </c>
      <c r="G2" s="56" t="str">
        <f>历史数据及预测表!K4&amp;"E"</f>
        <v>2028E</v>
      </c>
    </row>
    <row r="3" spans="1:7">
      <c r="A3">
        <v>1</v>
      </c>
      <c r="B3" s="57" t="s">
        <v>1464</v>
      </c>
      <c r="C3" s="58">
        <f>'输出表-利润表'!C3</f>
        <v>4212.6258813499999</v>
      </c>
      <c r="D3" s="58">
        <f>'输出表-利润表'!D3</f>
        <v>4741.0075979599997</v>
      </c>
      <c r="E3" s="58">
        <f>'输出表-利润表'!E3</f>
        <v>8307.8437835022596</v>
      </c>
      <c r="F3" s="58">
        <f>'输出表-利润表'!F3</f>
        <v>10593.133938520314</v>
      </c>
      <c r="G3" s="58">
        <f>'输出表-利润表'!G3</f>
        <v>12526.556098275489</v>
      </c>
    </row>
    <row r="4" spans="1:7">
      <c r="A4">
        <v>2</v>
      </c>
      <c r="B4" s="59" t="s">
        <v>1465</v>
      </c>
      <c r="C4" s="60">
        <f>'输出表-财务指标'!C4</f>
        <v>-7.0250496070820456E-2</v>
      </c>
      <c r="D4" s="60">
        <f>'输出表-财务指标'!D4</f>
        <v>0.12542811336492843</v>
      </c>
      <c r="E4" s="60">
        <f>'输出表-财务指标'!E4</f>
        <v>0.75233715868268769</v>
      </c>
      <c r="F4" s="60">
        <f>'输出表-财务指标'!F4</f>
        <v>0.27507620684396961</v>
      </c>
      <c r="G4" s="60">
        <f>'输出表-财务指标'!G4</f>
        <v>0.18251654052296851</v>
      </c>
    </row>
    <row r="5" spans="1:7">
      <c r="A5">
        <v>3</v>
      </c>
      <c r="B5" s="57" t="s">
        <v>1466</v>
      </c>
      <c r="C5" s="58">
        <f>'输出表-利润表'!C25</f>
        <v>366.20209673999989</v>
      </c>
      <c r="D5" s="58">
        <f>'输出表-利润表'!D25</f>
        <v>376.22602306000039</v>
      </c>
      <c r="E5" s="58">
        <f ca="1">'输出表-利润表'!E25</f>
        <v>2509.6072795496216</v>
      </c>
      <c r="F5" s="58">
        <f ca="1">'输出表-利润表'!F25</f>
        <v>2865.0559779469113</v>
      </c>
      <c r="G5" s="58">
        <f ca="1">'输出表-利润表'!G25</f>
        <v>2754.3684258832914</v>
      </c>
    </row>
    <row r="6" spans="1:7">
      <c r="A6">
        <v>4</v>
      </c>
      <c r="B6" s="59" t="s">
        <v>1467</v>
      </c>
      <c r="C6" s="60">
        <f>'输出表-财务指标'!C6</f>
        <v>-0.31838230664709455</v>
      </c>
      <c r="D6" s="60">
        <f>'输出表-财务指标'!D6</f>
        <v>2.7372662279204318E-2</v>
      </c>
      <c r="E6" s="60">
        <f ca="1">'输出表-财务指标'!E6</f>
        <v>5.6704776536666905</v>
      </c>
      <c r="F6" s="60">
        <f ca="1">'输出表-财务指标'!F6</f>
        <v>0.14163518782153006</v>
      </c>
      <c r="G6" s="60">
        <f ca="1">'输出表-财务指标'!G6</f>
        <v>-3.8633643780649041E-2</v>
      </c>
    </row>
    <row r="7" spans="1:7">
      <c r="A7">
        <v>5</v>
      </c>
      <c r="B7" s="57" t="s">
        <v>1468</v>
      </c>
      <c r="C7" s="61">
        <f>历史数据及预测表!G142</f>
        <v>0.76039999999999996</v>
      </c>
      <c r="D7" s="61">
        <f>历史数据及预测表!H142</f>
        <v>0.78029999999999999</v>
      </c>
      <c r="E7" s="61">
        <f ca="1">历史数据及预测表!I142</f>
        <v>5.2008196612861246</v>
      </c>
      <c r="F7" s="61">
        <f ca="1">历史数据及预测表!J142</f>
        <v>5.9374387308382905</v>
      </c>
      <c r="G7" s="61">
        <f ca="1">历史数据及预测表!K142</f>
        <v>5.7080538379416552</v>
      </c>
    </row>
    <row r="8" spans="1:7">
      <c r="A8">
        <v>6</v>
      </c>
      <c r="B8" s="59" t="s">
        <v>1469</v>
      </c>
      <c r="C8" s="60">
        <f>'输出表-利润表'!C5</f>
        <v>0.36729198274881125</v>
      </c>
      <c r="D8" s="60">
        <f>'输出表-利润表'!D5</f>
        <v>0.34086455881559097</v>
      </c>
      <c r="E8" s="60">
        <f>'输出表-利润表'!E5</f>
        <v>0.49659152464527356</v>
      </c>
      <c r="F8" s="60">
        <f>'输出表-利润表'!F5</f>
        <v>0.466127937612137</v>
      </c>
      <c r="G8" s="60">
        <f>'输出表-利润表'!G5</f>
        <v>0.40944851302474683</v>
      </c>
    </row>
    <row r="9" spans="1:7">
      <c r="A9">
        <v>7</v>
      </c>
      <c r="B9" s="57" t="s">
        <v>1470</v>
      </c>
      <c r="C9" s="62">
        <f>'输出表-财务指标'!C12</f>
        <v>3.0380316391517892E-2</v>
      </c>
      <c r="D9" s="62">
        <f>'输出表-财务指标'!D12</f>
        <v>3.0221729217827106E-2</v>
      </c>
      <c r="E9" s="62">
        <f ca="1">'输出表-财务指标'!E12</f>
        <v>0.16872113496388833</v>
      </c>
      <c r="F9" s="62">
        <f ca="1">'输出表-财务指标'!F12</f>
        <v>0.16186462997271528</v>
      </c>
      <c r="G9" s="62">
        <f ca="1">'输出表-财务指标'!G12</f>
        <v>0.13486911196471865</v>
      </c>
    </row>
    <row r="10" spans="1:7">
      <c r="A10">
        <v>8</v>
      </c>
      <c r="B10" s="59" t="s">
        <v>1471</v>
      </c>
      <c r="C10" s="63">
        <f>关键比率!H6</f>
        <v>24.980122486719115</v>
      </c>
      <c r="D10" s="63">
        <f>关键比率!I6</f>
        <v>25.798565085231161</v>
      </c>
      <c r="E10" s="63">
        <f ca="1">关键比率!J6</f>
        <v>30.824944737357683</v>
      </c>
      <c r="F10" s="63">
        <f ca="1">关键比率!K6</f>
        <v>36.681508071523318</v>
      </c>
      <c r="G10" s="63">
        <f ca="1">关键比率!L6</f>
        <v>42.322914081579071</v>
      </c>
    </row>
    <row r="11" spans="1:7">
      <c r="A11">
        <v>9</v>
      </c>
      <c r="B11" s="57" t="s">
        <v>1257</v>
      </c>
      <c r="C11" s="64">
        <f>首页!$F$18/'输出表-首页用表'!C7</f>
        <v>163.09836927932668</v>
      </c>
      <c r="D11" s="64">
        <f>首页!$F$18/'输出表-首页用表'!D7</f>
        <v>158.93886966551327</v>
      </c>
      <c r="E11" s="64">
        <f ca="1">首页!$F$18/'输出表-首页用表'!E7</f>
        <v>23.846241184477211</v>
      </c>
      <c r="F11" s="64">
        <f ca="1">首页!$F$18/'输出表-首页用表'!F7</f>
        <v>20.887794488868764</v>
      </c>
      <c r="G11" s="64">
        <f ca="1">首页!$F$18/'输出表-首页用表'!G7</f>
        <v>21.727195208922918</v>
      </c>
    </row>
    <row r="12" spans="1:7">
      <c r="A12">
        <v>10</v>
      </c>
      <c r="B12" s="65" t="s">
        <v>1259</v>
      </c>
      <c r="C12" s="66">
        <f>首页!$F$18/'输出表-首页用表'!C10</f>
        <v>4.9647474733535129</v>
      </c>
      <c r="D12" s="66">
        <f>首页!$F$18/'输出表-首页用表'!D10</f>
        <v>4.8072441079677493</v>
      </c>
      <c r="E12" s="66">
        <f ca="1">首页!$F$18/'输出表-首页用表'!E10</f>
        <v>4.0233648772676114</v>
      </c>
      <c r="F12" s="66">
        <f ca="1">首页!$F$18/'输出表-首页用表'!F10</f>
        <v>3.380995125886864</v>
      </c>
      <c r="G12" s="66">
        <f ca="1">首页!$F$18/'输出表-首页用表'!G10</f>
        <v>2.9303275233115231</v>
      </c>
    </row>
    <row r="13" spans="1:7">
      <c r="A13">
        <v>11</v>
      </c>
      <c r="B13" s="65" t="s">
        <v>1261</v>
      </c>
      <c r="C13" s="66">
        <f>首页!$F$18/('输出表-首页用表'!C3/(首页!$F$19/1000))</f>
        <v>14.206032567810615</v>
      </c>
      <c r="D13" s="66">
        <f>首页!$F$18/('输出表-首页用表'!D3/(首页!$F$19/1000))</f>
        <v>12.622780965845841</v>
      </c>
      <c r="E13" s="66">
        <f>首页!$F$18/('输出表-首页用表'!E3/(首页!$F$19/1000))</f>
        <v>7.2033974188705594</v>
      </c>
      <c r="F13" s="66">
        <f>首页!$F$18/('输出表-首页用表'!F3/(首页!$F$19/1000))</f>
        <v>5.649385801575102</v>
      </c>
      <c r="G13" s="66">
        <f>首页!$F$18/('输出表-首页用表'!G3/(首页!$F$19/1000))</f>
        <v>4.7774264528060293</v>
      </c>
    </row>
    <row r="14" spans="1:7">
      <c r="A14">
        <v>12</v>
      </c>
      <c r="B14" s="65" t="s">
        <v>84</v>
      </c>
      <c r="C14" s="66">
        <f>首页!$F$28/'输出表-利润表'!C16</f>
        <v>113.29725819155735</v>
      </c>
      <c r="D14" s="66">
        <f>首页!$F$28/'输出表-利润表'!D16</f>
        <v>120.83313407040932</v>
      </c>
      <c r="E14" s="66">
        <f ca="1">首页!$F$28/'输出表-利润表'!E16</f>
        <v>22.014455434580363</v>
      </c>
      <c r="F14" s="66">
        <f ca="1">首页!$F$28/'输出表-利润表'!F16</f>
        <v>18.951601056162868</v>
      </c>
      <c r="G14" s="66">
        <f ca="1">首页!$F$28/'输出表-利润表'!G16</f>
        <v>19.850601744630726</v>
      </c>
    </row>
    <row r="15" spans="1:7">
      <c r="A15" s="67">
        <v>362</v>
      </c>
      <c r="B15" s="65" t="s">
        <v>1472</v>
      </c>
      <c r="C15" s="66"/>
      <c r="D15" s="66"/>
      <c r="E15" s="66"/>
      <c r="F15" s="66"/>
      <c r="G15" s="66"/>
    </row>
    <row r="16" spans="1:7">
      <c r="A16" s="67">
        <v>363</v>
      </c>
      <c r="B16" s="65" t="s">
        <v>1473</v>
      </c>
      <c r="C16" s="66"/>
      <c r="D16" s="66"/>
      <c r="E16" s="66"/>
      <c r="F16" s="66"/>
      <c r="G16" s="66"/>
    </row>
    <row r="17" spans="1:7">
      <c r="A17" s="67">
        <v>364</v>
      </c>
      <c r="B17" s="68" t="s">
        <v>1474</v>
      </c>
      <c r="C17" s="69"/>
      <c r="D17" s="69"/>
      <c r="E17" s="69"/>
      <c r="F17" s="69"/>
      <c r="G17" s="69"/>
    </row>
    <row r="18" spans="1:7">
      <c r="A18" s="26"/>
    </row>
    <row r="19" spans="1:7">
      <c r="B19" s="29"/>
      <c r="C19" s="29"/>
      <c r="D19" s="29"/>
      <c r="E19" s="29"/>
      <c r="F19" s="29"/>
      <c r="G19" s="29"/>
    </row>
    <row r="20" spans="1:7">
      <c r="B20" s="70" t="s">
        <v>1475</v>
      </c>
      <c r="C20" s="71"/>
      <c r="D20" s="71"/>
      <c r="E20" s="72"/>
      <c r="F20" s="72"/>
      <c r="G20" s="72"/>
    </row>
    <row r="21" spans="1:7">
      <c r="B21" s="70" t="s">
        <v>1476</v>
      </c>
      <c r="C21" s="71"/>
      <c r="D21" s="71"/>
      <c r="E21" s="73">
        <f ca="1">E20+E5</f>
        <v>2509.6072795496216</v>
      </c>
      <c r="F21" s="73">
        <f ca="1">F20+F5</f>
        <v>2865.0559779469113</v>
      </c>
      <c r="G21" s="73">
        <f ca="1">G20+G5</f>
        <v>2754.3684258832914</v>
      </c>
    </row>
    <row r="22" spans="1:7">
      <c r="B22" s="70" t="s">
        <v>1477</v>
      </c>
      <c r="C22" s="71"/>
      <c r="D22" s="71"/>
      <c r="E22" s="72"/>
      <c r="F22" s="72"/>
      <c r="G22" s="72"/>
    </row>
    <row r="23" spans="1:7">
      <c r="B23" s="70" t="s">
        <v>1478</v>
      </c>
      <c r="C23" s="71"/>
      <c r="D23" s="71"/>
      <c r="E23" s="73">
        <f>E22+历史数据及预测表!I84</f>
        <v>482.54072300000001</v>
      </c>
      <c r="F23" s="73">
        <f>F22+历史数据及预测表!J84</f>
        <v>482.54072300000001</v>
      </c>
      <c r="G23" s="73">
        <f>G22+历史数据及预测表!K84</f>
        <v>482.54072300000001</v>
      </c>
    </row>
    <row r="24" spans="1:7">
      <c r="B24" s="74" t="s">
        <v>1479</v>
      </c>
      <c r="C24" s="75"/>
      <c r="D24" s="75"/>
      <c r="E24" s="76">
        <f ca="1">E21/E23</f>
        <v>5.2008196612861246</v>
      </c>
      <c r="F24" s="76">
        <f ca="1">F21/F23</f>
        <v>5.9374387308382905</v>
      </c>
      <c r="G24" s="76">
        <f ca="1">G21/G23</f>
        <v>5.7080538379416552</v>
      </c>
    </row>
  </sheetData>
  <sheetProtection password="DCFC" sheet="1" objects="1"/>
  <protectedRanges>
    <protectedRange sqref="C15:G17" name="区域1"/>
  </protectedRanges>
  <phoneticPr fontId="35" type="noConversion"/>
  <pageMargins left="0.7" right="0.7" top="0.75" bottom="0.75" header="0.3" footer="0.3"/>
  <pageSetup paperSize="9" orientation="portrait"/>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G26"/>
  <sheetViews>
    <sheetView showGridLines="0" topLeftCell="B1" workbookViewId="0">
      <selection activeCell="E10" sqref="E10"/>
    </sheetView>
  </sheetViews>
  <sheetFormatPr defaultColWidth="9" defaultRowHeight="13.9"/>
  <cols>
    <col min="1" max="1" width="22.265625" style="47" hidden="1" customWidth="1"/>
    <col min="2" max="2" width="15.265625" style="48" customWidth="1"/>
    <col min="3" max="3" width="14.46484375" style="48" customWidth="1"/>
    <col min="4" max="4" width="12.33203125" style="48" customWidth="1"/>
    <col min="5" max="5" width="12.59765625" style="48" customWidth="1"/>
    <col min="6" max="6" width="13.33203125" style="48" customWidth="1"/>
    <col min="7" max="7" width="13.73046875" style="48" customWidth="1"/>
    <col min="8" max="8" width="9" style="48"/>
    <col min="9" max="9" width="10.46484375" style="48" customWidth="1"/>
    <col min="10" max="10" width="9.33203125" style="48" customWidth="1"/>
    <col min="11" max="12" width="9" style="48"/>
    <col min="13" max="13" width="9.265625" style="48" customWidth="1"/>
    <col min="14" max="14" width="9.59765625" style="48" customWidth="1"/>
    <col min="15" max="257" width="9" style="48"/>
    <col min="258" max="258" width="11.9296875" style="48" customWidth="1"/>
    <col min="259" max="259" width="9.73046875" style="48" customWidth="1"/>
    <col min="260" max="260" width="9" style="48"/>
    <col min="261" max="261" width="9.9296875" style="48" customWidth="1"/>
    <col min="262" max="263" width="9.46484375" style="48" customWidth="1"/>
    <col min="264" max="264" width="9" style="48"/>
    <col min="265" max="265" width="10.46484375" style="48" customWidth="1"/>
    <col min="266" max="266" width="9.33203125" style="48" customWidth="1"/>
    <col min="267" max="268" width="9" style="48"/>
    <col min="269" max="269" width="9.265625" style="48" customWidth="1"/>
    <col min="270" max="270" width="9.59765625" style="48" customWidth="1"/>
    <col min="271" max="513" width="9" style="48"/>
    <col min="514" max="514" width="11.9296875" style="48" customWidth="1"/>
    <col min="515" max="515" width="9.73046875" style="48" customWidth="1"/>
    <col min="516" max="516" width="9" style="48"/>
    <col min="517" max="517" width="9.9296875" style="48" customWidth="1"/>
    <col min="518" max="519" width="9.46484375" style="48" customWidth="1"/>
    <col min="520" max="520" width="9" style="48"/>
    <col min="521" max="521" width="10.46484375" style="48" customWidth="1"/>
    <col min="522" max="522" width="9.33203125" style="48" customWidth="1"/>
    <col min="523" max="524" width="9" style="48"/>
    <col min="525" max="525" width="9.265625" style="48" customWidth="1"/>
    <col min="526" max="526" width="9.59765625" style="48" customWidth="1"/>
    <col min="527" max="769" width="9" style="48"/>
    <col min="770" max="770" width="11.9296875" style="48" customWidth="1"/>
    <col min="771" max="771" width="9.73046875" style="48" customWidth="1"/>
    <col min="772" max="772" width="9" style="48"/>
    <col min="773" max="773" width="9.9296875" style="48" customWidth="1"/>
    <col min="774" max="775" width="9.46484375" style="48" customWidth="1"/>
    <col min="776" max="776" width="9" style="48"/>
    <col min="777" max="777" width="10.46484375" style="48" customWidth="1"/>
    <col min="778" max="778" width="9.33203125" style="48" customWidth="1"/>
    <col min="779" max="780" width="9" style="48"/>
    <col min="781" max="781" width="9.265625" style="48" customWidth="1"/>
    <col min="782" max="782" width="9.59765625" style="48" customWidth="1"/>
    <col min="783" max="1025" width="9" style="48"/>
    <col min="1026" max="1026" width="11.9296875" style="48" customWidth="1"/>
    <col min="1027" max="1027" width="9.73046875" style="48" customWidth="1"/>
    <col min="1028" max="1028" width="9" style="48"/>
    <col min="1029" max="1029" width="9.9296875" style="48" customWidth="1"/>
    <col min="1030" max="1031" width="9.46484375" style="48" customWidth="1"/>
    <col min="1032" max="1032" width="9" style="48"/>
    <col min="1033" max="1033" width="10.46484375" style="48" customWidth="1"/>
    <col min="1034" max="1034" width="9.33203125" style="48" customWidth="1"/>
    <col min="1035" max="1036" width="9" style="48"/>
    <col min="1037" max="1037" width="9.265625" style="48" customWidth="1"/>
    <col min="1038" max="1038" width="9.59765625" style="48" customWidth="1"/>
    <col min="1039" max="1281" width="9" style="48"/>
    <col min="1282" max="1282" width="11.9296875" style="48" customWidth="1"/>
    <col min="1283" max="1283" width="9.73046875" style="48" customWidth="1"/>
    <col min="1284" max="1284" width="9" style="48"/>
    <col min="1285" max="1285" width="9.9296875" style="48" customWidth="1"/>
    <col min="1286" max="1287" width="9.46484375" style="48" customWidth="1"/>
    <col min="1288" max="1288" width="9" style="48"/>
    <col min="1289" max="1289" width="10.46484375" style="48" customWidth="1"/>
    <col min="1290" max="1290" width="9.33203125" style="48" customWidth="1"/>
    <col min="1291" max="1292" width="9" style="48"/>
    <col min="1293" max="1293" width="9.265625" style="48" customWidth="1"/>
    <col min="1294" max="1294" width="9.59765625" style="48" customWidth="1"/>
    <col min="1295" max="1537" width="9" style="48"/>
    <col min="1538" max="1538" width="11.9296875" style="48" customWidth="1"/>
    <col min="1539" max="1539" width="9.73046875" style="48" customWidth="1"/>
    <col min="1540" max="1540" width="9" style="48"/>
    <col min="1541" max="1541" width="9.9296875" style="48" customWidth="1"/>
    <col min="1542" max="1543" width="9.46484375" style="48" customWidth="1"/>
    <col min="1544" max="1544" width="9" style="48"/>
    <col min="1545" max="1545" width="10.46484375" style="48" customWidth="1"/>
    <col min="1546" max="1546" width="9.33203125" style="48" customWidth="1"/>
    <col min="1547" max="1548" width="9" style="48"/>
    <col min="1549" max="1549" width="9.265625" style="48" customWidth="1"/>
    <col min="1550" max="1550" width="9.59765625" style="48" customWidth="1"/>
    <col min="1551" max="1793" width="9" style="48"/>
    <col min="1794" max="1794" width="11.9296875" style="48" customWidth="1"/>
    <col min="1795" max="1795" width="9.73046875" style="48" customWidth="1"/>
    <col min="1796" max="1796" width="9" style="48"/>
    <col min="1797" max="1797" width="9.9296875" style="48" customWidth="1"/>
    <col min="1798" max="1799" width="9.46484375" style="48" customWidth="1"/>
    <col min="1800" max="1800" width="9" style="48"/>
    <col min="1801" max="1801" width="10.46484375" style="48" customWidth="1"/>
    <col min="1802" max="1802" width="9.33203125" style="48" customWidth="1"/>
    <col min="1803" max="1804" width="9" style="48"/>
    <col min="1805" max="1805" width="9.265625" style="48" customWidth="1"/>
    <col min="1806" max="1806" width="9.59765625" style="48" customWidth="1"/>
    <col min="1807" max="2049" width="9" style="48"/>
    <col min="2050" max="2050" width="11.9296875" style="48" customWidth="1"/>
    <col min="2051" max="2051" width="9.73046875" style="48" customWidth="1"/>
    <col min="2052" max="2052" width="9" style="48"/>
    <col min="2053" max="2053" width="9.9296875" style="48" customWidth="1"/>
    <col min="2054" max="2055" width="9.46484375" style="48" customWidth="1"/>
    <col min="2056" max="2056" width="9" style="48"/>
    <col min="2057" max="2057" width="10.46484375" style="48" customWidth="1"/>
    <col min="2058" max="2058" width="9.33203125" style="48" customWidth="1"/>
    <col min="2059" max="2060" width="9" style="48"/>
    <col min="2061" max="2061" width="9.265625" style="48" customWidth="1"/>
    <col min="2062" max="2062" width="9.59765625" style="48" customWidth="1"/>
    <col min="2063" max="2305" width="9" style="48"/>
    <col min="2306" max="2306" width="11.9296875" style="48" customWidth="1"/>
    <col min="2307" max="2307" width="9.73046875" style="48" customWidth="1"/>
    <col min="2308" max="2308" width="9" style="48"/>
    <col min="2309" max="2309" width="9.9296875" style="48" customWidth="1"/>
    <col min="2310" max="2311" width="9.46484375" style="48" customWidth="1"/>
    <col min="2312" max="2312" width="9" style="48"/>
    <col min="2313" max="2313" width="10.46484375" style="48" customWidth="1"/>
    <col min="2314" max="2314" width="9.33203125" style="48" customWidth="1"/>
    <col min="2315" max="2316" width="9" style="48"/>
    <col min="2317" max="2317" width="9.265625" style="48" customWidth="1"/>
    <col min="2318" max="2318" width="9.59765625" style="48" customWidth="1"/>
    <col min="2319" max="2561" width="9" style="48"/>
    <col min="2562" max="2562" width="11.9296875" style="48" customWidth="1"/>
    <col min="2563" max="2563" width="9.73046875" style="48" customWidth="1"/>
    <col min="2564" max="2564" width="9" style="48"/>
    <col min="2565" max="2565" width="9.9296875" style="48" customWidth="1"/>
    <col min="2566" max="2567" width="9.46484375" style="48" customWidth="1"/>
    <col min="2568" max="2568" width="9" style="48"/>
    <col min="2569" max="2569" width="10.46484375" style="48" customWidth="1"/>
    <col min="2570" max="2570" width="9.33203125" style="48" customWidth="1"/>
    <col min="2571" max="2572" width="9" style="48"/>
    <col min="2573" max="2573" width="9.265625" style="48" customWidth="1"/>
    <col min="2574" max="2574" width="9.59765625" style="48" customWidth="1"/>
    <col min="2575" max="2817" width="9" style="48"/>
    <col min="2818" max="2818" width="11.9296875" style="48" customWidth="1"/>
    <col min="2819" max="2819" width="9.73046875" style="48" customWidth="1"/>
    <col min="2820" max="2820" width="9" style="48"/>
    <col min="2821" max="2821" width="9.9296875" style="48" customWidth="1"/>
    <col min="2822" max="2823" width="9.46484375" style="48" customWidth="1"/>
    <col min="2824" max="2824" width="9" style="48"/>
    <col min="2825" max="2825" width="10.46484375" style="48" customWidth="1"/>
    <col min="2826" max="2826" width="9.33203125" style="48" customWidth="1"/>
    <col min="2827" max="2828" width="9" style="48"/>
    <col min="2829" max="2829" width="9.265625" style="48" customWidth="1"/>
    <col min="2830" max="2830" width="9.59765625" style="48" customWidth="1"/>
    <col min="2831" max="3073" width="9" style="48"/>
    <col min="3074" max="3074" width="11.9296875" style="48" customWidth="1"/>
    <col min="3075" max="3075" width="9.73046875" style="48" customWidth="1"/>
    <col min="3076" max="3076" width="9" style="48"/>
    <col min="3077" max="3077" width="9.9296875" style="48" customWidth="1"/>
    <col min="3078" max="3079" width="9.46484375" style="48" customWidth="1"/>
    <col min="3080" max="3080" width="9" style="48"/>
    <col min="3081" max="3081" width="10.46484375" style="48" customWidth="1"/>
    <col min="3082" max="3082" width="9.33203125" style="48" customWidth="1"/>
    <col min="3083" max="3084" width="9" style="48"/>
    <col min="3085" max="3085" width="9.265625" style="48" customWidth="1"/>
    <col min="3086" max="3086" width="9.59765625" style="48" customWidth="1"/>
    <col min="3087" max="3329" width="9" style="48"/>
    <col min="3330" max="3330" width="11.9296875" style="48" customWidth="1"/>
    <col min="3331" max="3331" width="9.73046875" style="48" customWidth="1"/>
    <col min="3332" max="3332" width="9" style="48"/>
    <col min="3333" max="3333" width="9.9296875" style="48" customWidth="1"/>
    <col min="3334" max="3335" width="9.46484375" style="48" customWidth="1"/>
    <col min="3336" max="3336" width="9" style="48"/>
    <col min="3337" max="3337" width="10.46484375" style="48" customWidth="1"/>
    <col min="3338" max="3338" width="9.33203125" style="48" customWidth="1"/>
    <col min="3339" max="3340" width="9" style="48"/>
    <col min="3341" max="3341" width="9.265625" style="48" customWidth="1"/>
    <col min="3342" max="3342" width="9.59765625" style="48" customWidth="1"/>
    <col min="3343" max="3585" width="9" style="48"/>
    <col min="3586" max="3586" width="11.9296875" style="48" customWidth="1"/>
    <col min="3587" max="3587" width="9.73046875" style="48" customWidth="1"/>
    <col min="3588" max="3588" width="9" style="48"/>
    <col min="3589" max="3589" width="9.9296875" style="48" customWidth="1"/>
    <col min="3590" max="3591" width="9.46484375" style="48" customWidth="1"/>
    <col min="3592" max="3592" width="9" style="48"/>
    <col min="3593" max="3593" width="10.46484375" style="48" customWidth="1"/>
    <col min="3594" max="3594" width="9.33203125" style="48" customWidth="1"/>
    <col min="3595" max="3596" width="9" style="48"/>
    <col min="3597" max="3597" width="9.265625" style="48" customWidth="1"/>
    <col min="3598" max="3598" width="9.59765625" style="48" customWidth="1"/>
    <col min="3599" max="3841" width="9" style="48"/>
    <col min="3842" max="3842" width="11.9296875" style="48" customWidth="1"/>
    <col min="3843" max="3843" width="9.73046875" style="48" customWidth="1"/>
    <col min="3844" max="3844" width="9" style="48"/>
    <col min="3845" max="3845" width="9.9296875" style="48" customWidth="1"/>
    <col min="3846" max="3847" width="9.46484375" style="48" customWidth="1"/>
    <col min="3848" max="3848" width="9" style="48"/>
    <col min="3849" max="3849" width="10.46484375" style="48" customWidth="1"/>
    <col min="3850" max="3850" width="9.33203125" style="48" customWidth="1"/>
    <col min="3851" max="3852" width="9" style="48"/>
    <col min="3853" max="3853" width="9.265625" style="48" customWidth="1"/>
    <col min="3854" max="3854" width="9.59765625" style="48" customWidth="1"/>
    <col min="3855" max="4097" width="9" style="48"/>
    <col min="4098" max="4098" width="11.9296875" style="48" customWidth="1"/>
    <col min="4099" max="4099" width="9.73046875" style="48" customWidth="1"/>
    <col min="4100" max="4100" width="9" style="48"/>
    <col min="4101" max="4101" width="9.9296875" style="48" customWidth="1"/>
    <col min="4102" max="4103" width="9.46484375" style="48" customWidth="1"/>
    <col min="4104" max="4104" width="9" style="48"/>
    <col min="4105" max="4105" width="10.46484375" style="48" customWidth="1"/>
    <col min="4106" max="4106" width="9.33203125" style="48" customWidth="1"/>
    <col min="4107" max="4108" width="9" style="48"/>
    <col min="4109" max="4109" width="9.265625" style="48" customWidth="1"/>
    <col min="4110" max="4110" width="9.59765625" style="48" customWidth="1"/>
    <col min="4111" max="4353" width="9" style="48"/>
    <col min="4354" max="4354" width="11.9296875" style="48" customWidth="1"/>
    <col min="4355" max="4355" width="9.73046875" style="48" customWidth="1"/>
    <col min="4356" max="4356" width="9" style="48"/>
    <col min="4357" max="4357" width="9.9296875" style="48" customWidth="1"/>
    <col min="4358" max="4359" width="9.46484375" style="48" customWidth="1"/>
    <col min="4360" max="4360" width="9" style="48"/>
    <col min="4361" max="4361" width="10.46484375" style="48" customWidth="1"/>
    <col min="4362" max="4362" width="9.33203125" style="48" customWidth="1"/>
    <col min="4363" max="4364" width="9" style="48"/>
    <col min="4365" max="4365" width="9.265625" style="48" customWidth="1"/>
    <col min="4366" max="4366" width="9.59765625" style="48" customWidth="1"/>
    <col min="4367" max="4609" width="9" style="48"/>
    <col min="4610" max="4610" width="11.9296875" style="48" customWidth="1"/>
    <col min="4611" max="4611" width="9.73046875" style="48" customWidth="1"/>
    <col min="4612" max="4612" width="9" style="48"/>
    <col min="4613" max="4613" width="9.9296875" style="48" customWidth="1"/>
    <col min="4614" max="4615" width="9.46484375" style="48" customWidth="1"/>
    <col min="4616" max="4616" width="9" style="48"/>
    <col min="4617" max="4617" width="10.46484375" style="48" customWidth="1"/>
    <col min="4618" max="4618" width="9.33203125" style="48" customWidth="1"/>
    <col min="4619" max="4620" width="9" style="48"/>
    <col min="4621" max="4621" width="9.265625" style="48" customWidth="1"/>
    <col min="4622" max="4622" width="9.59765625" style="48" customWidth="1"/>
    <col min="4623" max="4865" width="9" style="48"/>
    <col min="4866" max="4866" width="11.9296875" style="48" customWidth="1"/>
    <col min="4867" max="4867" width="9.73046875" style="48" customWidth="1"/>
    <col min="4868" max="4868" width="9" style="48"/>
    <col min="4869" max="4869" width="9.9296875" style="48" customWidth="1"/>
    <col min="4870" max="4871" width="9.46484375" style="48" customWidth="1"/>
    <col min="4872" max="4872" width="9" style="48"/>
    <col min="4873" max="4873" width="10.46484375" style="48" customWidth="1"/>
    <col min="4874" max="4874" width="9.33203125" style="48" customWidth="1"/>
    <col min="4875" max="4876" width="9" style="48"/>
    <col min="4877" max="4877" width="9.265625" style="48" customWidth="1"/>
    <col min="4878" max="4878" width="9.59765625" style="48" customWidth="1"/>
    <col min="4879" max="5121" width="9" style="48"/>
    <col min="5122" max="5122" width="11.9296875" style="48" customWidth="1"/>
    <col min="5123" max="5123" width="9.73046875" style="48" customWidth="1"/>
    <col min="5124" max="5124" width="9" style="48"/>
    <col min="5125" max="5125" width="9.9296875" style="48" customWidth="1"/>
    <col min="5126" max="5127" width="9.46484375" style="48" customWidth="1"/>
    <col min="5128" max="5128" width="9" style="48"/>
    <col min="5129" max="5129" width="10.46484375" style="48" customWidth="1"/>
    <col min="5130" max="5130" width="9.33203125" style="48" customWidth="1"/>
    <col min="5131" max="5132" width="9" style="48"/>
    <col min="5133" max="5133" width="9.265625" style="48" customWidth="1"/>
    <col min="5134" max="5134" width="9.59765625" style="48" customWidth="1"/>
    <col min="5135" max="5377" width="9" style="48"/>
    <col min="5378" max="5378" width="11.9296875" style="48" customWidth="1"/>
    <col min="5379" max="5379" width="9.73046875" style="48" customWidth="1"/>
    <col min="5380" max="5380" width="9" style="48"/>
    <col min="5381" max="5381" width="9.9296875" style="48" customWidth="1"/>
    <col min="5382" max="5383" width="9.46484375" style="48" customWidth="1"/>
    <col min="5384" max="5384" width="9" style="48"/>
    <col min="5385" max="5385" width="10.46484375" style="48" customWidth="1"/>
    <col min="5386" max="5386" width="9.33203125" style="48" customWidth="1"/>
    <col min="5387" max="5388" width="9" style="48"/>
    <col min="5389" max="5389" width="9.265625" style="48" customWidth="1"/>
    <col min="5390" max="5390" width="9.59765625" style="48" customWidth="1"/>
    <col min="5391" max="5633" width="9" style="48"/>
    <col min="5634" max="5634" width="11.9296875" style="48" customWidth="1"/>
    <col min="5635" max="5635" width="9.73046875" style="48" customWidth="1"/>
    <col min="5636" max="5636" width="9" style="48"/>
    <col min="5637" max="5637" width="9.9296875" style="48" customWidth="1"/>
    <col min="5638" max="5639" width="9.46484375" style="48" customWidth="1"/>
    <col min="5640" max="5640" width="9" style="48"/>
    <col min="5641" max="5641" width="10.46484375" style="48" customWidth="1"/>
    <col min="5642" max="5642" width="9.33203125" style="48" customWidth="1"/>
    <col min="5643" max="5644" width="9" style="48"/>
    <col min="5645" max="5645" width="9.265625" style="48" customWidth="1"/>
    <col min="5646" max="5646" width="9.59765625" style="48" customWidth="1"/>
    <col min="5647" max="5889" width="9" style="48"/>
    <col min="5890" max="5890" width="11.9296875" style="48" customWidth="1"/>
    <col min="5891" max="5891" width="9.73046875" style="48" customWidth="1"/>
    <col min="5892" max="5892" width="9" style="48"/>
    <col min="5893" max="5893" width="9.9296875" style="48" customWidth="1"/>
    <col min="5894" max="5895" width="9.46484375" style="48" customWidth="1"/>
    <col min="5896" max="5896" width="9" style="48"/>
    <col min="5897" max="5897" width="10.46484375" style="48" customWidth="1"/>
    <col min="5898" max="5898" width="9.33203125" style="48" customWidth="1"/>
    <col min="5899" max="5900" width="9" style="48"/>
    <col min="5901" max="5901" width="9.265625" style="48" customWidth="1"/>
    <col min="5902" max="5902" width="9.59765625" style="48" customWidth="1"/>
    <col min="5903" max="6145" width="9" style="48"/>
    <col min="6146" max="6146" width="11.9296875" style="48" customWidth="1"/>
    <col min="6147" max="6147" width="9.73046875" style="48" customWidth="1"/>
    <col min="6148" max="6148" width="9" style="48"/>
    <col min="6149" max="6149" width="9.9296875" style="48" customWidth="1"/>
    <col min="6150" max="6151" width="9.46484375" style="48" customWidth="1"/>
    <col min="6152" max="6152" width="9" style="48"/>
    <col min="6153" max="6153" width="10.46484375" style="48" customWidth="1"/>
    <col min="6154" max="6154" width="9.33203125" style="48" customWidth="1"/>
    <col min="6155" max="6156" width="9" style="48"/>
    <col min="6157" max="6157" width="9.265625" style="48" customWidth="1"/>
    <col min="6158" max="6158" width="9.59765625" style="48" customWidth="1"/>
    <col min="6159" max="6401" width="9" style="48"/>
    <col min="6402" max="6402" width="11.9296875" style="48" customWidth="1"/>
    <col min="6403" max="6403" width="9.73046875" style="48" customWidth="1"/>
    <col min="6404" max="6404" width="9" style="48"/>
    <col min="6405" max="6405" width="9.9296875" style="48" customWidth="1"/>
    <col min="6406" max="6407" width="9.46484375" style="48" customWidth="1"/>
    <col min="6408" max="6408" width="9" style="48"/>
    <col min="6409" max="6409" width="10.46484375" style="48" customWidth="1"/>
    <col min="6410" max="6410" width="9.33203125" style="48" customWidth="1"/>
    <col min="6411" max="6412" width="9" style="48"/>
    <col min="6413" max="6413" width="9.265625" style="48" customWidth="1"/>
    <col min="6414" max="6414" width="9.59765625" style="48" customWidth="1"/>
    <col min="6415" max="6657" width="9" style="48"/>
    <col min="6658" max="6658" width="11.9296875" style="48" customWidth="1"/>
    <col min="6659" max="6659" width="9.73046875" style="48" customWidth="1"/>
    <col min="6660" max="6660" width="9" style="48"/>
    <col min="6661" max="6661" width="9.9296875" style="48" customWidth="1"/>
    <col min="6662" max="6663" width="9.46484375" style="48" customWidth="1"/>
    <col min="6664" max="6664" width="9" style="48"/>
    <col min="6665" max="6665" width="10.46484375" style="48" customWidth="1"/>
    <col min="6666" max="6666" width="9.33203125" style="48" customWidth="1"/>
    <col min="6667" max="6668" width="9" style="48"/>
    <col min="6669" max="6669" width="9.265625" style="48" customWidth="1"/>
    <col min="6670" max="6670" width="9.59765625" style="48" customWidth="1"/>
    <col min="6671" max="6913" width="9" style="48"/>
    <col min="6914" max="6914" width="11.9296875" style="48" customWidth="1"/>
    <col min="6915" max="6915" width="9.73046875" style="48" customWidth="1"/>
    <col min="6916" max="6916" width="9" style="48"/>
    <col min="6917" max="6917" width="9.9296875" style="48" customWidth="1"/>
    <col min="6918" max="6919" width="9.46484375" style="48" customWidth="1"/>
    <col min="6920" max="6920" width="9" style="48"/>
    <col min="6921" max="6921" width="10.46484375" style="48" customWidth="1"/>
    <col min="6922" max="6922" width="9.33203125" style="48" customWidth="1"/>
    <col min="6923" max="6924" width="9" style="48"/>
    <col min="6925" max="6925" width="9.265625" style="48" customWidth="1"/>
    <col min="6926" max="6926" width="9.59765625" style="48" customWidth="1"/>
    <col min="6927" max="7169" width="9" style="48"/>
    <col min="7170" max="7170" width="11.9296875" style="48" customWidth="1"/>
    <col min="7171" max="7171" width="9.73046875" style="48" customWidth="1"/>
    <col min="7172" max="7172" width="9" style="48"/>
    <col min="7173" max="7173" width="9.9296875" style="48" customWidth="1"/>
    <col min="7174" max="7175" width="9.46484375" style="48" customWidth="1"/>
    <col min="7176" max="7176" width="9" style="48"/>
    <col min="7177" max="7177" width="10.46484375" style="48" customWidth="1"/>
    <col min="7178" max="7178" width="9.33203125" style="48" customWidth="1"/>
    <col min="7179" max="7180" width="9" style="48"/>
    <col min="7181" max="7181" width="9.265625" style="48" customWidth="1"/>
    <col min="7182" max="7182" width="9.59765625" style="48" customWidth="1"/>
    <col min="7183" max="7425" width="9" style="48"/>
    <col min="7426" max="7426" width="11.9296875" style="48" customWidth="1"/>
    <col min="7427" max="7427" width="9.73046875" style="48" customWidth="1"/>
    <col min="7428" max="7428" width="9" style="48"/>
    <col min="7429" max="7429" width="9.9296875" style="48" customWidth="1"/>
    <col min="7430" max="7431" width="9.46484375" style="48" customWidth="1"/>
    <col min="7432" max="7432" width="9" style="48"/>
    <col min="7433" max="7433" width="10.46484375" style="48" customWidth="1"/>
    <col min="7434" max="7434" width="9.33203125" style="48" customWidth="1"/>
    <col min="7435" max="7436" width="9" style="48"/>
    <col min="7437" max="7437" width="9.265625" style="48" customWidth="1"/>
    <col min="7438" max="7438" width="9.59765625" style="48" customWidth="1"/>
    <col min="7439" max="7681" width="9" style="48"/>
    <col min="7682" max="7682" width="11.9296875" style="48" customWidth="1"/>
    <col min="7683" max="7683" width="9.73046875" style="48" customWidth="1"/>
    <col min="7684" max="7684" width="9" style="48"/>
    <col min="7685" max="7685" width="9.9296875" style="48" customWidth="1"/>
    <col min="7686" max="7687" width="9.46484375" style="48" customWidth="1"/>
    <col min="7688" max="7688" width="9" style="48"/>
    <col min="7689" max="7689" width="10.46484375" style="48" customWidth="1"/>
    <col min="7690" max="7690" width="9.33203125" style="48" customWidth="1"/>
    <col min="7691" max="7692" width="9" style="48"/>
    <col min="7693" max="7693" width="9.265625" style="48" customWidth="1"/>
    <col min="7694" max="7694" width="9.59765625" style="48" customWidth="1"/>
    <col min="7695" max="7937" width="9" style="48"/>
    <col min="7938" max="7938" width="11.9296875" style="48" customWidth="1"/>
    <col min="7939" max="7939" width="9.73046875" style="48" customWidth="1"/>
    <col min="7940" max="7940" width="9" style="48"/>
    <col min="7941" max="7941" width="9.9296875" style="48" customWidth="1"/>
    <col min="7942" max="7943" width="9.46484375" style="48" customWidth="1"/>
    <col min="7944" max="7944" width="9" style="48"/>
    <col min="7945" max="7945" width="10.46484375" style="48" customWidth="1"/>
    <col min="7946" max="7946" width="9.33203125" style="48" customWidth="1"/>
    <col min="7947" max="7948" width="9" style="48"/>
    <col min="7949" max="7949" width="9.265625" style="48" customWidth="1"/>
    <col min="7950" max="7950" width="9.59765625" style="48" customWidth="1"/>
    <col min="7951" max="8193" width="9" style="48"/>
    <col min="8194" max="8194" width="11.9296875" style="48" customWidth="1"/>
    <col min="8195" max="8195" width="9.73046875" style="48" customWidth="1"/>
    <col min="8196" max="8196" width="9" style="48"/>
    <col min="8197" max="8197" width="9.9296875" style="48" customWidth="1"/>
    <col min="8198" max="8199" width="9.46484375" style="48" customWidth="1"/>
    <col min="8200" max="8200" width="9" style="48"/>
    <col min="8201" max="8201" width="10.46484375" style="48" customWidth="1"/>
    <col min="8202" max="8202" width="9.33203125" style="48" customWidth="1"/>
    <col min="8203" max="8204" width="9" style="48"/>
    <col min="8205" max="8205" width="9.265625" style="48" customWidth="1"/>
    <col min="8206" max="8206" width="9.59765625" style="48" customWidth="1"/>
    <col min="8207" max="8449" width="9" style="48"/>
    <col min="8450" max="8450" width="11.9296875" style="48" customWidth="1"/>
    <col min="8451" max="8451" width="9.73046875" style="48" customWidth="1"/>
    <col min="8452" max="8452" width="9" style="48"/>
    <col min="8453" max="8453" width="9.9296875" style="48" customWidth="1"/>
    <col min="8454" max="8455" width="9.46484375" style="48" customWidth="1"/>
    <col min="8456" max="8456" width="9" style="48"/>
    <col min="8457" max="8457" width="10.46484375" style="48" customWidth="1"/>
    <col min="8458" max="8458" width="9.33203125" style="48" customWidth="1"/>
    <col min="8459" max="8460" width="9" style="48"/>
    <col min="8461" max="8461" width="9.265625" style="48" customWidth="1"/>
    <col min="8462" max="8462" width="9.59765625" style="48" customWidth="1"/>
    <col min="8463" max="8705" width="9" style="48"/>
    <col min="8706" max="8706" width="11.9296875" style="48" customWidth="1"/>
    <col min="8707" max="8707" width="9.73046875" style="48" customWidth="1"/>
    <col min="8708" max="8708" width="9" style="48"/>
    <col min="8709" max="8709" width="9.9296875" style="48" customWidth="1"/>
    <col min="8710" max="8711" width="9.46484375" style="48" customWidth="1"/>
    <col min="8712" max="8712" width="9" style="48"/>
    <col min="8713" max="8713" width="10.46484375" style="48" customWidth="1"/>
    <col min="8714" max="8714" width="9.33203125" style="48" customWidth="1"/>
    <col min="8715" max="8716" width="9" style="48"/>
    <col min="8717" max="8717" width="9.265625" style="48" customWidth="1"/>
    <col min="8718" max="8718" width="9.59765625" style="48" customWidth="1"/>
    <col min="8719" max="8961" width="9" style="48"/>
    <col min="8962" max="8962" width="11.9296875" style="48" customWidth="1"/>
    <col min="8963" max="8963" width="9.73046875" style="48" customWidth="1"/>
    <col min="8964" max="8964" width="9" style="48"/>
    <col min="8965" max="8965" width="9.9296875" style="48" customWidth="1"/>
    <col min="8966" max="8967" width="9.46484375" style="48" customWidth="1"/>
    <col min="8968" max="8968" width="9" style="48"/>
    <col min="8969" max="8969" width="10.46484375" style="48" customWidth="1"/>
    <col min="8970" max="8970" width="9.33203125" style="48" customWidth="1"/>
    <col min="8971" max="8972" width="9" style="48"/>
    <col min="8973" max="8973" width="9.265625" style="48" customWidth="1"/>
    <col min="8974" max="8974" width="9.59765625" style="48" customWidth="1"/>
    <col min="8975" max="9217" width="9" style="48"/>
    <col min="9218" max="9218" width="11.9296875" style="48" customWidth="1"/>
    <col min="9219" max="9219" width="9.73046875" style="48" customWidth="1"/>
    <col min="9220" max="9220" width="9" style="48"/>
    <col min="9221" max="9221" width="9.9296875" style="48" customWidth="1"/>
    <col min="9222" max="9223" width="9.46484375" style="48" customWidth="1"/>
    <col min="9224" max="9224" width="9" style="48"/>
    <col min="9225" max="9225" width="10.46484375" style="48" customWidth="1"/>
    <col min="9226" max="9226" width="9.33203125" style="48" customWidth="1"/>
    <col min="9227" max="9228" width="9" style="48"/>
    <col min="9229" max="9229" width="9.265625" style="48" customWidth="1"/>
    <col min="9230" max="9230" width="9.59765625" style="48" customWidth="1"/>
    <col min="9231" max="9473" width="9" style="48"/>
    <col min="9474" max="9474" width="11.9296875" style="48" customWidth="1"/>
    <col min="9475" max="9475" width="9.73046875" style="48" customWidth="1"/>
    <col min="9476" max="9476" width="9" style="48"/>
    <col min="9477" max="9477" width="9.9296875" style="48" customWidth="1"/>
    <col min="9478" max="9479" width="9.46484375" style="48" customWidth="1"/>
    <col min="9480" max="9480" width="9" style="48"/>
    <col min="9481" max="9481" width="10.46484375" style="48" customWidth="1"/>
    <col min="9482" max="9482" width="9.33203125" style="48" customWidth="1"/>
    <col min="9483" max="9484" width="9" style="48"/>
    <col min="9485" max="9485" width="9.265625" style="48" customWidth="1"/>
    <col min="9486" max="9486" width="9.59765625" style="48" customWidth="1"/>
    <col min="9487" max="9729" width="9" style="48"/>
    <col min="9730" max="9730" width="11.9296875" style="48" customWidth="1"/>
    <col min="9731" max="9731" width="9.73046875" style="48" customWidth="1"/>
    <col min="9732" max="9732" width="9" style="48"/>
    <col min="9733" max="9733" width="9.9296875" style="48" customWidth="1"/>
    <col min="9734" max="9735" width="9.46484375" style="48" customWidth="1"/>
    <col min="9736" max="9736" width="9" style="48"/>
    <col min="9737" max="9737" width="10.46484375" style="48" customWidth="1"/>
    <col min="9738" max="9738" width="9.33203125" style="48" customWidth="1"/>
    <col min="9739" max="9740" width="9" style="48"/>
    <col min="9741" max="9741" width="9.265625" style="48" customWidth="1"/>
    <col min="9742" max="9742" width="9.59765625" style="48" customWidth="1"/>
    <col min="9743" max="9985" width="9" style="48"/>
    <col min="9986" max="9986" width="11.9296875" style="48" customWidth="1"/>
    <col min="9987" max="9987" width="9.73046875" style="48" customWidth="1"/>
    <col min="9988" max="9988" width="9" style="48"/>
    <col min="9989" max="9989" width="9.9296875" style="48" customWidth="1"/>
    <col min="9990" max="9991" width="9.46484375" style="48" customWidth="1"/>
    <col min="9992" max="9992" width="9" style="48"/>
    <col min="9993" max="9993" width="10.46484375" style="48" customWidth="1"/>
    <col min="9994" max="9994" width="9.33203125" style="48" customWidth="1"/>
    <col min="9995" max="9996" width="9" style="48"/>
    <col min="9997" max="9997" width="9.265625" style="48" customWidth="1"/>
    <col min="9998" max="9998" width="9.59765625" style="48" customWidth="1"/>
    <col min="9999" max="10241" width="9" style="48"/>
    <col min="10242" max="10242" width="11.9296875" style="48" customWidth="1"/>
    <col min="10243" max="10243" width="9.73046875" style="48" customWidth="1"/>
    <col min="10244" max="10244" width="9" style="48"/>
    <col min="10245" max="10245" width="9.9296875" style="48" customWidth="1"/>
    <col min="10246" max="10247" width="9.46484375" style="48" customWidth="1"/>
    <col min="10248" max="10248" width="9" style="48"/>
    <col min="10249" max="10249" width="10.46484375" style="48" customWidth="1"/>
    <col min="10250" max="10250" width="9.33203125" style="48" customWidth="1"/>
    <col min="10251" max="10252" width="9" style="48"/>
    <col min="10253" max="10253" width="9.265625" style="48" customWidth="1"/>
    <col min="10254" max="10254" width="9.59765625" style="48" customWidth="1"/>
    <col min="10255" max="10497" width="9" style="48"/>
    <col min="10498" max="10498" width="11.9296875" style="48" customWidth="1"/>
    <col min="10499" max="10499" width="9.73046875" style="48" customWidth="1"/>
    <col min="10500" max="10500" width="9" style="48"/>
    <col min="10501" max="10501" width="9.9296875" style="48" customWidth="1"/>
    <col min="10502" max="10503" width="9.46484375" style="48" customWidth="1"/>
    <col min="10504" max="10504" width="9" style="48"/>
    <col min="10505" max="10505" width="10.46484375" style="48" customWidth="1"/>
    <col min="10506" max="10506" width="9.33203125" style="48" customWidth="1"/>
    <col min="10507" max="10508" width="9" style="48"/>
    <col min="10509" max="10509" width="9.265625" style="48" customWidth="1"/>
    <col min="10510" max="10510" width="9.59765625" style="48" customWidth="1"/>
    <col min="10511" max="10753" width="9" style="48"/>
    <col min="10754" max="10754" width="11.9296875" style="48" customWidth="1"/>
    <col min="10755" max="10755" width="9.73046875" style="48" customWidth="1"/>
    <col min="10756" max="10756" width="9" style="48"/>
    <col min="10757" max="10757" width="9.9296875" style="48" customWidth="1"/>
    <col min="10758" max="10759" width="9.46484375" style="48" customWidth="1"/>
    <col min="10760" max="10760" width="9" style="48"/>
    <col min="10761" max="10761" width="10.46484375" style="48" customWidth="1"/>
    <col min="10762" max="10762" width="9.33203125" style="48" customWidth="1"/>
    <col min="10763" max="10764" width="9" style="48"/>
    <col min="10765" max="10765" width="9.265625" style="48" customWidth="1"/>
    <col min="10766" max="10766" width="9.59765625" style="48" customWidth="1"/>
    <col min="10767" max="11009" width="9" style="48"/>
    <col min="11010" max="11010" width="11.9296875" style="48" customWidth="1"/>
    <col min="11011" max="11011" width="9.73046875" style="48" customWidth="1"/>
    <col min="11012" max="11012" width="9" style="48"/>
    <col min="11013" max="11013" width="9.9296875" style="48" customWidth="1"/>
    <col min="11014" max="11015" width="9.46484375" style="48" customWidth="1"/>
    <col min="11016" max="11016" width="9" style="48"/>
    <col min="11017" max="11017" width="10.46484375" style="48" customWidth="1"/>
    <col min="11018" max="11018" width="9.33203125" style="48" customWidth="1"/>
    <col min="11019" max="11020" width="9" style="48"/>
    <col min="11021" max="11021" width="9.265625" style="48" customWidth="1"/>
    <col min="11022" max="11022" width="9.59765625" style="48" customWidth="1"/>
    <col min="11023" max="11265" width="9" style="48"/>
    <col min="11266" max="11266" width="11.9296875" style="48" customWidth="1"/>
    <col min="11267" max="11267" width="9.73046875" style="48" customWidth="1"/>
    <col min="11268" max="11268" width="9" style="48"/>
    <col min="11269" max="11269" width="9.9296875" style="48" customWidth="1"/>
    <col min="11270" max="11271" width="9.46484375" style="48" customWidth="1"/>
    <col min="11272" max="11272" width="9" style="48"/>
    <col min="11273" max="11273" width="10.46484375" style="48" customWidth="1"/>
    <col min="11274" max="11274" width="9.33203125" style="48" customWidth="1"/>
    <col min="11275" max="11276" width="9" style="48"/>
    <col min="11277" max="11277" width="9.265625" style="48" customWidth="1"/>
    <col min="11278" max="11278" width="9.59765625" style="48" customWidth="1"/>
    <col min="11279" max="11521" width="9" style="48"/>
    <col min="11522" max="11522" width="11.9296875" style="48" customWidth="1"/>
    <col min="11523" max="11523" width="9.73046875" style="48" customWidth="1"/>
    <col min="11524" max="11524" width="9" style="48"/>
    <col min="11525" max="11525" width="9.9296875" style="48" customWidth="1"/>
    <col min="11526" max="11527" width="9.46484375" style="48" customWidth="1"/>
    <col min="11528" max="11528" width="9" style="48"/>
    <col min="11529" max="11529" width="10.46484375" style="48" customWidth="1"/>
    <col min="11530" max="11530" width="9.33203125" style="48" customWidth="1"/>
    <col min="11531" max="11532" width="9" style="48"/>
    <col min="11533" max="11533" width="9.265625" style="48" customWidth="1"/>
    <col min="11534" max="11534" width="9.59765625" style="48" customWidth="1"/>
    <col min="11535" max="11777" width="9" style="48"/>
    <col min="11778" max="11778" width="11.9296875" style="48" customWidth="1"/>
    <col min="11779" max="11779" width="9.73046875" style="48" customWidth="1"/>
    <col min="11780" max="11780" width="9" style="48"/>
    <col min="11781" max="11781" width="9.9296875" style="48" customWidth="1"/>
    <col min="11782" max="11783" width="9.46484375" style="48" customWidth="1"/>
    <col min="11784" max="11784" width="9" style="48"/>
    <col min="11785" max="11785" width="10.46484375" style="48" customWidth="1"/>
    <col min="11786" max="11786" width="9.33203125" style="48" customWidth="1"/>
    <col min="11787" max="11788" width="9" style="48"/>
    <col min="11789" max="11789" width="9.265625" style="48" customWidth="1"/>
    <col min="11790" max="11790" width="9.59765625" style="48" customWidth="1"/>
    <col min="11791" max="12033" width="9" style="48"/>
    <col min="12034" max="12034" width="11.9296875" style="48" customWidth="1"/>
    <col min="12035" max="12035" width="9.73046875" style="48" customWidth="1"/>
    <col min="12036" max="12036" width="9" style="48"/>
    <col min="12037" max="12037" width="9.9296875" style="48" customWidth="1"/>
    <col min="12038" max="12039" width="9.46484375" style="48" customWidth="1"/>
    <col min="12040" max="12040" width="9" style="48"/>
    <col min="12041" max="12041" width="10.46484375" style="48" customWidth="1"/>
    <col min="12042" max="12042" width="9.33203125" style="48" customWidth="1"/>
    <col min="12043" max="12044" width="9" style="48"/>
    <col min="12045" max="12045" width="9.265625" style="48" customWidth="1"/>
    <col min="12046" max="12046" width="9.59765625" style="48" customWidth="1"/>
    <col min="12047" max="12289" width="9" style="48"/>
    <col min="12290" max="12290" width="11.9296875" style="48" customWidth="1"/>
    <col min="12291" max="12291" width="9.73046875" style="48" customWidth="1"/>
    <col min="12292" max="12292" width="9" style="48"/>
    <col min="12293" max="12293" width="9.9296875" style="48" customWidth="1"/>
    <col min="12294" max="12295" width="9.46484375" style="48" customWidth="1"/>
    <col min="12296" max="12296" width="9" style="48"/>
    <col min="12297" max="12297" width="10.46484375" style="48" customWidth="1"/>
    <col min="12298" max="12298" width="9.33203125" style="48" customWidth="1"/>
    <col min="12299" max="12300" width="9" style="48"/>
    <col min="12301" max="12301" width="9.265625" style="48" customWidth="1"/>
    <col min="12302" max="12302" width="9.59765625" style="48" customWidth="1"/>
    <col min="12303" max="12545" width="9" style="48"/>
    <col min="12546" max="12546" width="11.9296875" style="48" customWidth="1"/>
    <col min="12547" max="12547" width="9.73046875" style="48" customWidth="1"/>
    <col min="12548" max="12548" width="9" style="48"/>
    <col min="12549" max="12549" width="9.9296875" style="48" customWidth="1"/>
    <col min="12550" max="12551" width="9.46484375" style="48" customWidth="1"/>
    <col min="12552" max="12552" width="9" style="48"/>
    <col min="12553" max="12553" width="10.46484375" style="48" customWidth="1"/>
    <col min="12554" max="12554" width="9.33203125" style="48" customWidth="1"/>
    <col min="12555" max="12556" width="9" style="48"/>
    <col min="12557" max="12557" width="9.265625" style="48" customWidth="1"/>
    <col min="12558" max="12558" width="9.59765625" style="48" customWidth="1"/>
    <col min="12559" max="12801" width="9" style="48"/>
    <col min="12802" max="12802" width="11.9296875" style="48" customWidth="1"/>
    <col min="12803" max="12803" width="9.73046875" style="48" customWidth="1"/>
    <col min="12804" max="12804" width="9" style="48"/>
    <col min="12805" max="12805" width="9.9296875" style="48" customWidth="1"/>
    <col min="12806" max="12807" width="9.46484375" style="48" customWidth="1"/>
    <col min="12808" max="12808" width="9" style="48"/>
    <col min="12809" max="12809" width="10.46484375" style="48" customWidth="1"/>
    <col min="12810" max="12810" width="9.33203125" style="48" customWidth="1"/>
    <col min="12811" max="12812" width="9" style="48"/>
    <col min="12813" max="12813" width="9.265625" style="48" customWidth="1"/>
    <col min="12814" max="12814" width="9.59765625" style="48" customWidth="1"/>
    <col min="12815" max="13057" width="9" style="48"/>
    <col min="13058" max="13058" width="11.9296875" style="48" customWidth="1"/>
    <col min="13059" max="13059" width="9.73046875" style="48" customWidth="1"/>
    <col min="13060" max="13060" width="9" style="48"/>
    <col min="13061" max="13061" width="9.9296875" style="48" customWidth="1"/>
    <col min="13062" max="13063" width="9.46484375" style="48" customWidth="1"/>
    <col min="13064" max="13064" width="9" style="48"/>
    <col min="13065" max="13065" width="10.46484375" style="48" customWidth="1"/>
    <col min="13066" max="13066" width="9.33203125" style="48" customWidth="1"/>
    <col min="13067" max="13068" width="9" style="48"/>
    <col min="13069" max="13069" width="9.265625" style="48" customWidth="1"/>
    <col min="13070" max="13070" width="9.59765625" style="48" customWidth="1"/>
    <col min="13071" max="13313" width="9" style="48"/>
    <col min="13314" max="13314" width="11.9296875" style="48" customWidth="1"/>
    <col min="13315" max="13315" width="9.73046875" style="48" customWidth="1"/>
    <col min="13316" max="13316" width="9" style="48"/>
    <col min="13317" max="13317" width="9.9296875" style="48" customWidth="1"/>
    <col min="13318" max="13319" width="9.46484375" style="48" customWidth="1"/>
    <col min="13320" max="13320" width="9" style="48"/>
    <col min="13321" max="13321" width="10.46484375" style="48" customWidth="1"/>
    <col min="13322" max="13322" width="9.33203125" style="48" customWidth="1"/>
    <col min="13323" max="13324" width="9" style="48"/>
    <col min="13325" max="13325" width="9.265625" style="48" customWidth="1"/>
    <col min="13326" max="13326" width="9.59765625" style="48" customWidth="1"/>
    <col min="13327" max="13569" width="9" style="48"/>
    <col min="13570" max="13570" width="11.9296875" style="48" customWidth="1"/>
    <col min="13571" max="13571" width="9.73046875" style="48" customWidth="1"/>
    <col min="13572" max="13572" width="9" style="48"/>
    <col min="13573" max="13573" width="9.9296875" style="48" customWidth="1"/>
    <col min="13574" max="13575" width="9.46484375" style="48" customWidth="1"/>
    <col min="13576" max="13576" width="9" style="48"/>
    <col min="13577" max="13577" width="10.46484375" style="48" customWidth="1"/>
    <col min="13578" max="13578" width="9.33203125" style="48" customWidth="1"/>
    <col min="13579" max="13580" width="9" style="48"/>
    <col min="13581" max="13581" width="9.265625" style="48" customWidth="1"/>
    <col min="13582" max="13582" width="9.59765625" style="48" customWidth="1"/>
    <col min="13583" max="13825" width="9" style="48"/>
    <col min="13826" max="13826" width="11.9296875" style="48" customWidth="1"/>
    <col min="13827" max="13827" width="9.73046875" style="48" customWidth="1"/>
    <col min="13828" max="13828" width="9" style="48"/>
    <col min="13829" max="13829" width="9.9296875" style="48" customWidth="1"/>
    <col min="13830" max="13831" width="9.46484375" style="48" customWidth="1"/>
    <col min="13832" max="13832" width="9" style="48"/>
    <col min="13833" max="13833" width="10.46484375" style="48" customWidth="1"/>
    <col min="13834" max="13834" width="9.33203125" style="48" customWidth="1"/>
    <col min="13835" max="13836" width="9" style="48"/>
    <col min="13837" max="13837" width="9.265625" style="48" customWidth="1"/>
    <col min="13838" max="13838" width="9.59765625" style="48" customWidth="1"/>
    <col min="13839" max="14081" width="9" style="48"/>
    <col min="14082" max="14082" width="11.9296875" style="48" customWidth="1"/>
    <col min="14083" max="14083" width="9.73046875" style="48" customWidth="1"/>
    <col min="14084" max="14084" width="9" style="48"/>
    <col min="14085" max="14085" width="9.9296875" style="48" customWidth="1"/>
    <col min="14086" max="14087" width="9.46484375" style="48" customWidth="1"/>
    <col min="14088" max="14088" width="9" style="48"/>
    <col min="14089" max="14089" width="10.46484375" style="48" customWidth="1"/>
    <col min="14090" max="14090" width="9.33203125" style="48" customWidth="1"/>
    <col min="14091" max="14092" width="9" style="48"/>
    <col min="14093" max="14093" width="9.265625" style="48" customWidth="1"/>
    <col min="14094" max="14094" width="9.59765625" style="48" customWidth="1"/>
    <col min="14095" max="14337" width="9" style="48"/>
    <col min="14338" max="14338" width="11.9296875" style="48" customWidth="1"/>
    <col min="14339" max="14339" width="9.73046875" style="48" customWidth="1"/>
    <col min="14340" max="14340" width="9" style="48"/>
    <col min="14341" max="14341" width="9.9296875" style="48" customWidth="1"/>
    <col min="14342" max="14343" width="9.46484375" style="48" customWidth="1"/>
    <col min="14344" max="14344" width="9" style="48"/>
    <col min="14345" max="14345" width="10.46484375" style="48" customWidth="1"/>
    <col min="14346" max="14346" width="9.33203125" style="48" customWidth="1"/>
    <col min="14347" max="14348" width="9" style="48"/>
    <col min="14349" max="14349" width="9.265625" style="48" customWidth="1"/>
    <col min="14350" max="14350" width="9.59765625" style="48" customWidth="1"/>
    <col min="14351" max="14593" width="9" style="48"/>
    <col min="14594" max="14594" width="11.9296875" style="48" customWidth="1"/>
    <col min="14595" max="14595" width="9.73046875" style="48" customWidth="1"/>
    <col min="14596" max="14596" width="9" style="48"/>
    <col min="14597" max="14597" width="9.9296875" style="48" customWidth="1"/>
    <col min="14598" max="14599" width="9.46484375" style="48" customWidth="1"/>
    <col min="14600" max="14600" width="9" style="48"/>
    <col min="14601" max="14601" width="10.46484375" style="48" customWidth="1"/>
    <col min="14602" max="14602" width="9.33203125" style="48" customWidth="1"/>
    <col min="14603" max="14604" width="9" style="48"/>
    <col min="14605" max="14605" width="9.265625" style="48" customWidth="1"/>
    <col min="14606" max="14606" width="9.59765625" style="48" customWidth="1"/>
    <col min="14607" max="14849" width="9" style="48"/>
    <col min="14850" max="14850" width="11.9296875" style="48" customWidth="1"/>
    <col min="14851" max="14851" width="9.73046875" style="48" customWidth="1"/>
    <col min="14852" max="14852" width="9" style="48"/>
    <col min="14853" max="14853" width="9.9296875" style="48" customWidth="1"/>
    <col min="14854" max="14855" width="9.46484375" style="48" customWidth="1"/>
    <col min="14856" max="14856" width="9" style="48"/>
    <col min="14857" max="14857" width="10.46484375" style="48" customWidth="1"/>
    <col min="14858" max="14858" width="9.33203125" style="48" customWidth="1"/>
    <col min="14859" max="14860" width="9" style="48"/>
    <col min="14861" max="14861" width="9.265625" style="48" customWidth="1"/>
    <col min="14862" max="14862" width="9.59765625" style="48" customWidth="1"/>
    <col min="14863" max="15105" width="9" style="48"/>
    <col min="15106" max="15106" width="11.9296875" style="48" customWidth="1"/>
    <col min="15107" max="15107" width="9.73046875" style="48" customWidth="1"/>
    <col min="15108" max="15108" width="9" style="48"/>
    <col min="15109" max="15109" width="9.9296875" style="48" customWidth="1"/>
    <col min="15110" max="15111" width="9.46484375" style="48" customWidth="1"/>
    <col min="15112" max="15112" width="9" style="48"/>
    <col min="15113" max="15113" width="10.46484375" style="48" customWidth="1"/>
    <col min="15114" max="15114" width="9.33203125" style="48" customWidth="1"/>
    <col min="15115" max="15116" width="9" style="48"/>
    <col min="15117" max="15117" width="9.265625" style="48" customWidth="1"/>
    <col min="15118" max="15118" width="9.59765625" style="48" customWidth="1"/>
    <col min="15119" max="15361" width="9" style="48"/>
    <col min="15362" max="15362" width="11.9296875" style="48" customWidth="1"/>
    <col min="15363" max="15363" width="9.73046875" style="48" customWidth="1"/>
    <col min="15364" max="15364" width="9" style="48"/>
    <col min="15365" max="15365" width="9.9296875" style="48" customWidth="1"/>
    <col min="15366" max="15367" width="9.46484375" style="48" customWidth="1"/>
    <col min="15368" max="15368" width="9" style="48"/>
    <col min="15369" max="15369" width="10.46484375" style="48" customWidth="1"/>
    <col min="15370" max="15370" width="9.33203125" style="48" customWidth="1"/>
    <col min="15371" max="15372" width="9" style="48"/>
    <col min="15373" max="15373" width="9.265625" style="48" customWidth="1"/>
    <col min="15374" max="15374" width="9.59765625" style="48" customWidth="1"/>
    <col min="15375" max="15617" width="9" style="48"/>
    <col min="15618" max="15618" width="11.9296875" style="48" customWidth="1"/>
    <col min="15619" max="15619" width="9.73046875" style="48" customWidth="1"/>
    <col min="15620" max="15620" width="9" style="48"/>
    <col min="15621" max="15621" width="9.9296875" style="48" customWidth="1"/>
    <col min="15622" max="15623" width="9.46484375" style="48" customWidth="1"/>
    <col min="15624" max="15624" width="9" style="48"/>
    <col min="15625" max="15625" width="10.46484375" style="48" customWidth="1"/>
    <col min="15626" max="15626" width="9.33203125" style="48" customWidth="1"/>
    <col min="15627" max="15628" width="9" style="48"/>
    <col min="15629" max="15629" width="9.265625" style="48" customWidth="1"/>
    <col min="15630" max="15630" width="9.59765625" style="48" customWidth="1"/>
    <col min="15631" max="15873" width="9" style="48"/>
    <col min="15874" max="15874" width="11.9296875" style="48" customWidth="1"/>
    <col min="15875" max="15875" width="9.73046875" style="48" customWidth="1"/>
    <col min="15876" max="15876" width="9" style="48"/>
    <col min="15877" max="15877" width="9.9296875" style="48" customWidth="1"/>
    <col min="15878" max="15879" width="9.46484375" style="48" customWidth="1"/>
    <col min="15880" max="15880" width="9" style="48"/>
    <col min="15881" max="15881" width="10.46484375" style="48" customWidth="1"/>
    <col min="15882" max="15882" width="9.33203125" style="48" customWidth="1"/>
    <col min="15883" max="15884" width="9" style="48"/>
    <col min="15885" max="15885" width="9.265625" style="48" customWidth="1"/>
    <col min="15886" max="15886" width="9.59765625" style="48" customWidth="1"/>
    <col min="15887" max="16129" width="9" style="48"/>
    <col min="16130" max="16130" width="11.9296875" style="48" customWidth="1"/>
    <col min="16131" max="16131" width="9.73046875" style="48" customWidth="1"/>
    <col min="16132" max="16132" width="9" style="48"/>
    <col min="16133" max="16133" width="9.9296875" style="48" customWidth="1"/>
    <col min="16134" max="16135" width="9.46484375" style="48" customWidth="1"/>
    <col min="16136" max="16136" width="9" style="48"/>
    <col min="16137" max="16137" width="10.46484375" style="48" customWidth="1"/>
    <col min="16138" max="16138" width="9.33203125" style="48" customWidth="1"/>
    <col min="16139" max="16140" width="9" style="48"/>
    <col min="16141" max="16141" width="9.265625" style="48" customWidth="1"/>
    <col min="16142" max="16142" width="9.59765625" style="48" customWidth="1"/>
    <col min="16143" max="16384" width="9" style="48"/>
  </cols>
  <sheetData>
    <row r="1" spans="1:7" ht="14.65">
      <c r="B1" s="28" t="s">
        <v>1119</v>
      </c>
      <c r="C1" s="28"/>
      <c r="D1" s="39"/>
      <c r="E1" s="39"/>
      <c r="F1" s="39"/>
      <c r="G1" s="39"/>
    </row>
    <row r="2" spans="1:7" ht="14.65">
      <c r="B2" s="40" t="s">
        <v>1480</v>
      </c>
      <c r="C2" s="31">
        <f>历史数据及预测表!G4</f>
        <v>2024</v>
      </c>
      <c r="D2" s="31">
        <f>历史数据及预测表!H4</f>
        <v>2025</v>
      </c>
      <c r="E2" s="31" t="str">
        <f>历史数据及预测表!I4&amp;"E"</f>
        <v>2026E</v>
      </c>
      <c r="F2" s="31" t="str">
        <f>历史数据及预测表!J4&amp;"E"</f>
        <v>2027E</v>
      </c>
      <c r="G2" s="31" t="str">
        <f>历史数据及预测表!K4&amp;"E"</f>
        <v>2028E</v>
      </c>
    </row>
    <row r="3" spans="1:7" ht="14.65">
      <c r="A3">
        <v>13</v>
      </c>
      <c r="B3" s="43" t="s">
        <v>1481</v>
      </c>
      <c r="C3" s="49">
        <f>历史数据及预测表!G106</f>
        <v>4212.6258813499999</v>
      </c>
      <c r="D3" s="49">
        <f>历史数据及预测表!H106</f>
        <v>4741.0075979599997</v>
      </c>
      <c r="E3" s="49">
        <f>历史数据及预测表!I106</f>
        <v>8307.8437835022596</v>
      </c>
      <c r="F3" s="49">
        <f>历史数据及预测表!J106</f>
        <v>10593.133938520314</v>
      </c>
      <c r="G3" s="49">
        <f>历史数据及预测表!K106</f>
        <v>12526.556098275489</v>
      </c>
    </row>
    <row r="4" spans="1:7">
      <c r="A4">
        <v>14</v>
      </c>
      <c r="B4" s="41" t="s">
        <v>1482</v>
      </c>
      <c r="C4" s="50">
        <f>历史数据及预测表!G110</f>
        <v>2665.3621688099997</v>
      </c>
      <c r="D4" s="50">
        <f>历史数据及预测表!H110</f>
        <v>3124.9661347399997</v>
      </c>
      <c r="E4" s="50">
        <f>历史数据及预测表!I110</f>
        <v>4182.2389725381145</v>
      </c>
      <c r="F4" s="50">
        <f>历史数据及预测表!J110</f>
        <v>5655.3782629087054</v>
      </c>
      <c r="G4" s="50">
        <f>历史数据及预测表!K110</f>
        <v>7397.5763305155151</v>
      </c>
    </row>
    <row r="5" spans="1:7">
      <c r="A5">
        <v>15</v>
      </c>
      <c r="B5" s="41" t="s">
        <v>1469</v>
      </c>
      <c r="C5" s="35">
        <f>1-C4/C3</f>
        <v>0.36729198274881125</v>
      </c>
      <c r="D5" s="35">
        <f t="shared" ref="D5:G5" si="0">1-D4/D3</f>
        <v>0.34086455881559097</v>
      </c>
      <c r="E5" s="35">
        <f t="shared" si="0"/>
        <v>0.49659152464527356</v>
      </c>
      <c r="F5" s="35">
        <f t="shared" si="0"/>
        <v>0.466127937612137</v>
      </c>
      <c r="G5" s="35">
        <f t="shared" si="0"/>
        <v>0.40944851302474683</v>
      </c>
    </row>
    <row r="6" spans="1:7">
      <c r="A6">
        <v>16</v>
      </c>
      <c r="B6" s="41" t="s">
        <v>1483</v>
      </c>
      <c r="C6" s="50">
        <f>历史数据及预测表!G111</f>
        <v>8.6082333900000005</v>
      </c>
      <c r="D6" s="50">
        <f>历史数据及预测表!H111</f>
        <v>13.12712582</v>
      </c>
      <c r="E6" s="50">
        <f>历史数据及预测表!I111</f>
        <v>19.482823461630471</v>
      </c>
      <c r="F6" s="50">
        <f>历史数据及预测表!J111</f>
        <v>25.273083547301191</v>
      </c>
      <c r="G6" s="50">
        <f>历史数据及预测表!K111</f>
        <v>31.315378545374799</v>
      </c>
    </row>
    <row r="7" spans="1:7">
      <c r="A7">
        <v>17</v>
      </c>
      <c r="B7" s="41" t="s">
        <v>1484</v>
      </c>
      <c r="C7" s="50">
        <f>历史数据及预测表!G112</f>
        <v>294.59830669000002</v>
      </c>
      <c r="D7" s="50">
        <f>历史数据及预测表!H112</f>
        <v>319.83369893999998</v>
      </c>
      <c r="E7" s="50">
        <f>历史数据及预测表!I112</f>
        <v>383.80043872799996</v>
      </c>
      <c r="F7" s="50">
        <f>历史数据及预测表!J112</f>
        <v>452.88451769903992</v>
      </c>
      <c r="G7" s="50">
        <f>历史数据及预测表!K112</f>
        <v>525.34604053088628</v>
      </c>
    </row>
    <row r="8" spans="1:7">
      <c r="A8">
        <v>18</v>
      </c>
      <c r="B8" s="41" t="s">
        <v>1485</v>
      </c>
      <c r="C8" s="35">
        <f>C7/C3</f>
        <v>6.9932226356543087E-2</v>
      </c>
      <c r="D8" s="35">
        <f t="shared" ref="D8:G8" si="1">D7/D3</f>
        <v>6.7461123470382259E-2</v>
      </c>
      <c r="E8" s="35">
        <f t="shared" si="1"/>
        <v>4.6197358632350791E-2</v>
      </c>
      <c r="F8" s="35">
        <f t="shared" si="1"/>
        <v>4.275264717008765E-2</v>
      </c>
      <c r="G8" s="35">
        <f t="shared" si="1"/>
        <v>4.1938585227204617E-2</v>
      </c>
    </row>
    <row r="9" spans="1:7">
      <c r="A9">
        <v>19</v>
      </c>
      <c r="B9" s="41" t="s">
        <v>1486</v>
      </c>
      <c r="C9" s="50">
        <f>历史数据及预测表!G113</f>
        <v>215.16816004</v>
      </c>
      <c r="D9" s="50">
        <f>历史数据及预测表!H113</f>
        <v>268.14404784999999</v>
      </c>
      <c r="E9" s="50">
        <f>历史数据及预测表!I113</f>
        <v>321.77285741999998</v>
      </c>
      <c r="F9" s="50">
        <f>历史数据及预测表!J113</f>
        <v>379.69197175559998</v>
      </c>
      <c r="G9" s="50">
        <f>历史数据及预测表!K113</f>
        <v>440.44268723649594</v>
      </c>
    </row>
    <row r="10" spans="1:7">
      <c r="A10">
        <v>20</v>
      </c>
      <c r="B10" s="41" t="s">
        <v>1487</v>
      </c>
      <c r="C10" s="35">
        <f>C9/C3</f>
        <v>5.1076968641479766E-2</v>
      </c>
      <c r="D10" s="35">
        <f t="shared" ref="D10:G10" si="2">D9/D3</f>
        <v>5.6558451407118446E-2</v>
      </c>
      <c r="E10" s="35">
        <f t="shared" si="2"/>
        <v>3.8731211828871584E-2</v>
      </c>
      <c r="F10" s="35">
        <f t="shared" si="2"/>
        <v>3.5843214478286554E-2</v>
      </c>
      <c r="G10" s="35">
        <f t="shared" si="2"/>
        <v>3.5160716463572217E-2</v>
      </c>
    </row>
    <row r="11" spans="1:7">
      <c r="A11">
        <v>21</v>
      </c>
      <c r="B11" s="41" t="s">
        <v>1055</v>
      </c>
      <c r="C11" s="50">
        <f>历史数据及预测表!G115</f>
        <v>-74.7514745</v>
      </c>
      <c r="D11" s="50">
        <f>历史数据及预测表!H115</f>
        <v>-103.89029765000001</v>
      </c>
      <c r="E11" s="50">
        <f ca="1">历史数据及预测表!I115</f>
        <v>-86.408107227553955</v>
      </c>
      <c r="F11" s="50">
        <f ca="1">历史数据及预测表!J115</f>
        <v>-93.430081083268988</v>
      </c>
      <c r="G11" s="50">
        <f ca="1">历史数据及预测表!K115</f>
        <v>-116.31471281255079</v>
      </c>
    </row>
    <row r="12" spans="1:7">
      <c r="A12">
        <v>22</v>
      </c>
      <c r="B12" s="41" t="s">
        <v>1488</v>
      </c>
      <c r="C12" s="35">
        <f>C11/C3</f>
        <v>-1.7744626891967145E-2</v>
      </c>
      <c r="D12" s="35">
        <f>D11/D3</f>
        <v>-2.191312616640876E-2</v>
      </c>
      <c r="E12" s="35">
        <f ca="1">E11/E3</f>
        <v>-1.0400786230374652E-2</v>
      </c>
      <c r="F12" s="35">
        <f ca="1">F11/F3</f>
        <v>-8.8198715909297409E-3</v>
      </c>
      <c r="G12" s="35">
        <f ca="1">G11/G3</f>
        <v>-9.2854501987632218E-3</v>
      </c>
    </row>
    <row r="13" spans="1:7">
      <c r="A13">
        <v>360</v>
      </c>
      <c r="B13" s="41" t="s">
        <v>1489</v>
      </c>
      <c r="C13" s="51">
        <f>历史数据及预测表!G114</f>
        <v>681.33896140000002</v>
      </c>
      <c r="D13" s="51">
        <f>历史数据及预测表!H114</f>
        <v>712.02656216999992</v>
      </c>
      <c r="E13" s="51">
        <f>历史数据及预测表!I114</f>
        <v>854.43187460399986</v>
      </c>
      <c r="F13" s="51">
        <f>历史数据及预测表!J114</f>
        <v>1025.3182495247997</v>
      </c>
      <c r="G13" s="51">
        <f>历史数据及预测表!K114</f>
        <v>1230.3818994297596</v>
      </c>
    </row>
    <row r="14" spans="1:7">
      <c r="A14">
        <v>361</v>
      </c>
      <c r="B14" s="41" t="s">
        <v>1490</v>
      </c>
      <c r="C14" s="35">
        <f>C13/C3</f>
        <v>0.16173735351539326</v>
      </c>
      <c r="D14" s="35">
        <f t="shared" ref="D14:G14" si="3">D13/D3</f>
        <v>0.15018464903460113</v>
      </c>
      <c r="E14" s="35">
        <f t="shared" si="3"/>
        <v>0.10284640598331099</v>
      </c>
      <c r="F14" s="35">
        <f t="shared" si="3"/>
        <v>9.6790832200883109E-2</v>
      </c>
      <c r="G14" s="35">
        <f t="shared" si="3"/>
        <v>9.8221880760917549E-2</v>
      </c>
    </row>
    <row r="15" spans="1:7">
      <c r="A15">
        <v>23</v>
      </c>
      <c r="B15" s="41" t="s">
        <v>1172</v>
      </c>
      <c r="C15" s="50">
        <f>历史数据及预测表!G123</f>
        <v>25.237234609999998</v>
      </c>
      <c r="D15" s="50">
        <f>历史数据及预测表!H123</f>
        <v>33.204846250000003</v>
      </c>
      <c r="E15" s="50">
        <f>历史数据及预测表!I123</f>
        <v>26.542433823333329</v>
      </c>
      <c r="F15" s="50">
        <f>历史数据及预测表!J123</f>
        <v>28.328171561111109</v>
      </c>
      <c r="G15" s="50">
        <f>历史数据及预测表!K123</f>
        <v>29.358483878148146</v>
      </c>
    </row>
    <row r="16" spans="1:7">
      <c r="A16">
        <v>358</v>
      </c>
      <c r="B16" s="41" t="s">
        <v>99</v>
      </c>
      <c r="C16" s="50">
        <f>关键比率!H23</f>
        <v>528.28387586999986</v>
      </c>
      <c r="D16" s="50">
        <f>关键比率!I23</f>
        <v>495.33693836000043</v>
      </c>
      <c r="E16" s="50">
        <f ca="1">关键比率!J23</f>
        <v>2718.8096866962505</v>
      </c>
      <c r="F16" s="50">
        <f ca="1">关键比率!K23</f>
        <v>3158.2088766804418</v>
      </c>
      <c r="G16" s="50">
        <f ca="1">关键比率!L23</f>
        <v>3015.1788571885145</v>
      </c>
    </row>
    <row r="17" spans="1:7" ht="14.65">
      <c r="A17">
        <v>24</v>
      </c>
      <c r="B17" s="43" t="s">
        <v>1491</v>
      </c>
      <c r="C17" s="49">
        <f>历史数据及预测表!G126</f>
        <v>408.52661777999981</v>
      </c>
      <c r="D17" s="49">
        <f>历史数据及预测表!H126</f>
        <v>414.51116393000041</v>
      </c>
      <c r="E17" s="49">
        <f ca="1">历史数据及预测表!I126</f>
        <v>2701.0217502695727</v>
      </c>
      <c r="F17" s="49">
        <f ca="1">历史数据及预测表!J126</f>
        <v>3146.2300678047923</v>
      </c>
      <c r="G17" s="49">
        <f ca="1">历史数据及预测表!K126</f>
        <v>3005.9587886708068</v>
      </c>
    </row>
    <row r="18" spans="1:7">
      <c r="A18">
        <v>25</v>
      </c>
      <c r="B18" s="41" t="s">
        <v>1492</v>
      </c>
      <c r="C18" s="52">
        <f>C17/C3</f>
        <v>9.6976714592343832E-2</v>
      </c>
      <c r="D18" s="52">
        <f t="shared" ref="D18:G18" si="4">D17/D3</f>
        <v>8.7431027131945477E-2</v>
      </c>
      <c r="E18" s="52">
        <f t="shared" ca="1" si="4"/>
        <v>0.32511706053419898</v>
      </c>
      <c r="F18" s="52">
        <f t="shared" ca="1" si="4"/>
        <v>0.29700654084661454</v>
      </c>
      <c r="G18" s="52">
        <f t="shared" ca="1" si="4"/>
        <v>0.23996689633510943</v>
      </c>
    </row>
    <row r="19" spans="1:7">
      <c r="A19">
        <v>26</v>
      </c>
      <c r="B19" s="41" t="s">
        <v>760</v>
      </c>
      <c r="C19" s="50">
        <f>历史数据及预测表!G127</f>
        <v>3.0506707099999999</v>
      </c>
      <c r="D19" s="50">
        <f>历史数据及预测表!H127</f>
        <v>1.1196703100000001</v>
      </c>
      <c r="E19" s="50">
        <f>历史数据及预测表!I127</f>
        <v>1.7702863033333334</v>
      </c>
      <c r="F19" s="50">
        <f>历史数据及预测表!J127</f>
        <v>1.9802091077777779</v>
      </c>
      <c r="G19" s="50">
        <f>历史数据及预测表!K127</f>
        <v>1.6233885737037037</v>
      </c>
    </row>
    <row r="20" spans="1:7">
      <c r="A20">
        <v>27</v>
      </c>
      <c r="B20" s="41" t="s">
        <v>761</v>
      </c>
      <c r="C20" s="50">
        <f>历史数据及预测表!G128</f>
        <v>1.6124723000000001</v>
      </c>
      <c r="D20" s="50">
        <f>历史数据及预测表!H128</f>
        <v>1.9513033899999999</v>
      </c>
      <c r="E20" s="50">
        <f>历史数据及预测表!I128</f>
        <v>1.3361453666666667</v>
      </c>
      <c r="F20" s="50">
        <f>历史数据及预测表!J128</f>
        <v>1.633307018888889</v>
      </c>
      <c r="G20" s="50">
        <f>历史数据及预测表!K128</f>
        <v>1.6402519251851853</v>
      </c>
    </row>
    <row r="21" spans="1:7" ht="14.65">
      <c r="A21">
        <v>28</v>
      </c>
      <c r="B21" s="43" t="s">
        <v>1493</v>
      </c>
      <c r="C21" s="49">
        <f>历史数据及预测表!G130</f>
        <v>409.96481618999985</v>
      </c>
      <c r="D21" s="49">
        <f>历史数据及预测表!H130</f>
        <v>413.67953085000039</v>
      </c>
      <c r="E21" s="49">
        <f ca="1">历史数据及预测表!I130</f>
        <v>2701.4558912062394</v>
      </c>
      <c r="F21" s="49">
        <f ca="1">历史数据及预测表!J130</f>
        <v>3146.5769698936811</v>
      </c>
      <c r="G21" s="49">
        <f ca="1">历史数据及预测表!K130</f>
        <v>3005.9419253193255</v>
      </c>
    </row>
    <row r="22" spans="1:7">
      <c r="A22">
        <v>29</v>
      </c>
      <c r="B22" s="41" t="s">
        <v>1494</v>
      </c>
      <c r="C22" s="50">
        <f>历史数据及预测表!G131</f>
        <v>45.767036439999998</v>
      </c>
      <c r="D22" s="50">
        <f>历史数据及预测表!H131</f>
        <v>38.348772150000002</v>
      </c>
      <c r="E22" s="50">
        <f ca="1">历史数据及预测表!I131</f>
        <v>232.69480182523296</v>
      </c>
      <c r="F22" s="50">
        <f ca="1">历史数据及预测表!J131</f>
        <v>304.66726726784935</v>
      </c>
      <c r="G22" s="50">
        <f ca="1">历史数据及预测表!K131</f>
        <v>276.20943156882373</v>
      </c>
    </row>
    <row r="23" spans="1:7">
      <c r="A23">
        <v>30</v>
      </c>
      <c r="B23" s="41" t="s">
        <v>1265</v>
      </c>
      <c r="C23" s="35">
        <f>C22/C21</f>
        <v>0.11163649813985277</v>
      </c>
      <c r="D23" s="35">
        <f t="shared" ref="D23:G23" si="5">D22/D21</f>
        <v>9.2701642914754731E-2</v>
      </c>
      <c r="E23" s="35">
        <f t="shared" ca="1" si="5"/>
        <v>8.6136813331914641E-2</v>
      </c>
      <c r="F23" s="35">
        <f t="shared" ca="1" si="5"/>
        <v>9.6824984795507385E-2</v>
      </c>
      <c r="G23" s="35">
        <f t="shared" ca="1" si="5"/>
        <v>9.1887813680725586E-2</v>
      </c>
    </row>
    <row r="24" spans="1:7">
      <c r="A24">
        <v>31</v>
      </c>
      <c r="B24" s="41" t="s">
        <v>1495</v>
      </c>
      <c r="C24" s="50">
        <f>历史数据及预测表!G135</f>
        <v>-2.00431699</v>
      </c>
      <c r="D24" s="50">
        <f>历史数据及预测表!H135</f>
        <v>-0.89526435999999998</v>
      </c>
      <c r="E24" s="50">
        <f ca="1">历史数据及预测表!I135</f>
        <v>-40.846190168615124</v>
      </c>
      <c r="F24" s="50">
        <f ca="1">历史数据及预测表!J135</f>
        <v>-23.146275321079351</v>
      </c>
      <c r="G24" s="50">
        <f ca="1">历史数据及预测表!K135</f>
        <v>-24.635932132789662</v>
      </c>
    </row>
    <row r="25" spans="1:7" ht="29.25">
      <c r="A25">
        <v>32</v>
      </c>
      <c r="B25" s="43" t="s">
        <v>1496</v>
      </c>
      <c r="C25" s="49">
        <f>历史数据及预测表!G136</f>
        <v>366.20209673999989</v>
      </c>
      <c r="D25" s="49">
        <f>历史数据及预测表!H136</f>
        <v>376.22602306000039</v>
      </c>
      <c r="E25" s="49">
        <f ca="1">历史数据及预测表!I136</f>
        <v>2509.6072795496216</v>
      </c>
      <c r="F25" s="49">
        <f ca="1">历史数据及预测表!J136</f>
        <v>2865.0559779469113</v>
      </c>
      <c r="G25" s="49">
        <f ca="1">历史数据及预测表!K136</f>
        <v>2754.3684258832914</v>
      </c>
    </row>
    <row r="26" spans="1:7">
      <c r="A26">
        <v>33</v>
      </c>
      <c r="B26" s="53" t="s">
        <v>1497</v>
      </c>
      <c r="C26" s="54">
        <f>C25/C3</f>
        <v>8.6929650781769605E-2</v>
      </c>
      <c r="D26" s="54">
        <f t="shared" ref="D26:G26" si="6">D25/D3</f>
        <v>7.9355709790865148E-2</v>
      </c>
      <c r="E26" s="54">
        <f t="shared" ca="1" si="6"/>
        <v>0.30207684989614358</v>
      </c>
      <c r="F26" s="54">
        <f t="shared" ca="1" si="6"/>
        <v>0.27046349027350375</v>
      </c>
      <c r="G26" s="54">
        <f t="shared" ca="1" si="6"/>
        <v>0.21988233671523499</v>
      </c>
    </row>
  </sheetData>
  <sheetProtection algorithmName="SHA-512" hashValue="Vr7BRyaBTwOwnOv4MlwMHvD+Nwzw2VUn24SPqFLr1Hr2ztPfxJ7znU0FRMrsQxvN6WTNYvVDca1rotsTE1yntA==" saltValue="rv3k1GIFOYp/SaVk41g4cg==" spinCount="100000" sheet="1" objects="1" scenarios="1"/>
  <phoneticPr fontId="35" type="noConversion"/>
  <pageMargins left="0.75" right="0.75" top="1" bottom="1" header="0.5" footer="0.5"/>
  <pageSetup paperSize="9"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G29"/>
  <sheetViews>
    <sheetView showGridLines="0" topLeftCell="B1" workbookViewId="0">
      <selection activeCell="E5" sqref="E5"/>
    </sheetView>
  </sheetViews>
  <sheetFormatPr defaultColWidth="9" defaultRowHeight="13.9"/>
  <cols>
    <col min="1" max="1" width="14.46484375" style="24" hidden="1" customWidth="1"/>
    <col min="2" max="2" width="17.9296875" style="25" customWidth="1"/>
    <col min="3" max="4" width="11.9296875" style="25" customWidth="1"/>
    <col min="5" max="5" width="12.73046875" style="25" customWidth="1"/>
    <col min="6" max="6" width="13.73046875" style="25" customWidth="1"/>
    <col min="7" max="7" width="15.33203125" style="25" customWidth="1"/>
    <col min="8" max="16384" width="9" style="26"/>
  </cols>
  <sheetData>
    <row r="1" spans="1:7" ht="14.65">
      <c r="B1" s="28" t="s">
        <v>1056</v>
      </c>
      <c r="C1" s="28"/>
      <c r="D1" s="39"/>
      <c r="E1" s="39"/>
      <c r="F1" s="39"/>
      <c r="G1" s="39"/>
    </row>
    <row r="2" spans="1:7" ht="14.65">
      <c r="B2" s="40" t="s">
        <v>1480</v>
      </c>
      <c r="C2" s="31">
        <f>历史数据及预测表!G4</f>
        <v>2024</v>
      </c>
      <c r="D2" s="31">
        <f>历史数据及预测表!H4</f>
        <v>2025</v>
      </c>
      <c r="E2" s="31" t="str">
        <f>历史数据及预测表!I4&amp;"E"</f>
        <v>2026E</v>
      </c>
      <c r="F2" s="31" t="str">
        <f>历史数据及预测表!J4&amp;"E"</f>
        <v>2027E</v>
      </c>
      <c r="G2" s="31" t="str">
        <f>历史数据及预测表!K4&amp;"E"</f>
        <v>2028E</v>
      </c>
    </row>
    <row r="3" spans="1:7">
      <c r="A3">
        <v>34</v>
      </c>
      <c r="B3" s="41" t="s">
        <v>1058</v>
      </c>
      <c r="C3" s="42">
        <f>历史数据及预测表!G7</f>
        <v>3716.6476340500003</v>
      </c>
      <c r="D3" s="42">
        <f>历史数据及预测表!H7</f>
        <v>4091.6442333</v>
      </c>
      <c r="E3" s="42">
        <f ca="1">历史数据及预测表!I7</f>
        <v>7233.5472004936573</v>
      </c>
      <c r="F3" s="42">
        <f ca="1">历史数据及预测表!J7</f>
        <v>9237.1611718196982</v>
      </c>
      <c r="G3" s="42">
        <f ca="1">历史数据及预测表!K7</f>
        <v>10880.218522936822</v>
      </c>
    </row>
    <row r="4" spans="1:7">
      <c r="A4">
        <v>35</v>
      </c>
      <c r="B4" s="41" t="s">
        <v>1498</v>
      </c>
      <c r="C4" s="42">
        <f>历史数据及预测表!G15</f>
        <v>2672.0205025</v>
      </c>
      <c r="D4" s="42">
        <f>历史数据及预测表!H15</f>
        <v>2974.6471224800002</v>
      </c>
      <c r="E4" s="42">
        <f>历史数据及预测表!I15</f>
        <v>3145.0437073486623</v>
      </c>
      <c r="F4" s="42">
        <f>历史数据及预测表!J15</f>
        <v>4252.8444537073474</v>
      </c>
      <c r="G4" s="42">
        <f>历史数据及预测表!K15</f>
        <v>5562.9774005476684</v>
      </c>
    </row>
    <row r="5" spans="1:7">
      <c r="A5">
        <v>36</v>
      </c>
      <c r="B5" s="41" t="s">
        <v>1499</v>
      </c>
      <c r="C5" s="42">
        <f>历史数据及预测表!G10</f>
        <v>388.72856144000002</v>
      </c>
      <c r="D5" s="42">
        <f>历史数据及预测表!H10</f>
        <v>466.53246032999999</v>
      </c>
      <c r="E5" s="42">
        <f>历史数据及预测表!I10</f>
        <v>774.57337006420619</v>
      </c>
      <c r="F5" s="42">
        <f>历史数据及预测表!J10</f>
        <v>1002.5153220471476</v>
      </c>
      <c r="G5" s="42">
        <f>历史数据及预测表!K10</f>
        <v>1195.3501793154217</v>
      </c>
    </row>
    <row r="6" spans="1:7">
      <c r="A6">
        <v>37</v>
      </c>
      <c r="B6" s="41" t="s">
        <v>1010</v>
      </c>
      <c r="C6" s="42">
        <f>C7-SUM(C3:C5)</f>
        <v>1271.0587929599997</v>
      </c>
      <c r="D6" s="42">
        <f>D7-SUM(D3:D5)</f>
        <v>1160.5333915899992</v>
      </c>
      <c r="E6" s="42">
        <f ca="1">E7-SUM(E3:E5)</f>
        <v>1516.266430296173</v>
      </c>
      <c r="F6" s="42">
        <f ca="1">F7-SUM(F3:F5)</f>
        <v>1625.1699925139255</v>
      </c>
      <c r="G6" s="42">
        <f ca="1">G7-SUM(G3:G5)</f>
        <v>1657.7298281298426</v>
      </c>
    </row>
    <row r="7" spans="1:7" ht="14.65">
      <c r="A7">
        <v>38</v>
      </c>
      <c r="B7" s="43" t="s">
        <v>999</v>
      </c>
      <c r="C7" s="44">
        <f>历史数据及预测表!G23</f>
        <v>8048.4554909500002</v>
      </c>
      <c r="D7" s="44">
        <f>历史数据及预测表!H23</f>
        <v>8693.357207699999</v>
      </c>
      <c r="E7" s="44">
        <f ca="1">历史数据及预测表!I23</f>
        <v>12669.430708202699</v>
      </c>
      <c r="F7" s="44">
        <f ca="1">历史数据及预测表!J23</f>
        <v>16117.69094008812</v>
      </c>
      <c r="G7" s="44">
        <f ca="1">历史数据及预测表!K23</f>
        <v>19296.275930929754</v>
      </c>
    </row>
    <row r="8" spans="1:7">
      <c r="A8">
        <v>39</v>
      </c>
      <c r="B8" s="41" t="s">
        <v>1500</v>
      </c>
      <c r="C8" s="42">
        <f>历史数据及预测表!G34</f>
        <v>467.43574782000002</v>
      </c>
      <c r="D8" s="42">
        <f>历史数据及预测表!H34</f>
        <v>462.27065841000001</v>
      </c>
      <c r="E8" s="42">
        <f>历史数据及预测表!I34</f>
        <v>599.35494586105006</v>
      </c>
      <c r="F8" s="42">
        <f>历史数据及预测表!J34</f>
        <v>717.43923331209999</v>
      </c>
      <c r="G8" s="42">
        <f>历史数据及预测表!K34</f>
        <v>816.52352076314992</v>
      </c>
    </row>
    <row r="9" spans="1:7">
      <c r="A9">
        <v>40</v>
      </c>
      <c r="B9" s="41" t="s">
        <v>1501</v>
      </c>
      <c r="C9" s="42">
        <f>历史数据及预测表!G30</f>
        <v>0.58587464</v>
      </c>
      <c r="D9" s="42">
        <f>历史数据及预测表!H30</f>
        <v>0.84342956999999996</v>
      </c>
      <c r="E9" s="42">
        <f>历史数据及预测表!I30</f>
        <v>0.84342956999999996</v>
      </c>
      <c r="F9" s="42">
        <f>历史数据及预测表!J30</f>
        <v>0.84342956999999996</v>
      </c>
      <c r="G9" s="42">
        <f>历史数据及预测表!K30</f>
        <v>0.84342956999999996</v>
      </c>
    </row>
    <row r="10" spans="1:7">
      <c r="A10">
        <v>41</v>
      </c>
      <c r="B10" s="41" t="s">
        <v>968</v>
      </c>
      <c r="C10" s="42">
        <f>历史数据及预测表!G38</f>
        <v>554.23945508999998</v>
      </c>
      <c r="D10" s="42">
        <f>历史数据及预测表!H38</f>
        <v>467.16110524999999</v>
      </c>
      <c r="E10" s="42">
        <f>历史数据及预测表!I38</f>
        <v>467.16110524999999</v>
      </c>
      <c r="F10" s="42">
        <f>历史数据及预测表!J38</f>
        <v>467.16110524999999</v>
      </c>
      <c r="G10" s="42">
        <f>历史数据及预测表!K38</f>
        <v>467.16110524999999</v>
      </c>
    </row>
    <row r="11" spans="1:7">
      <c r="A11">
        <v>42</v>
      </c>
      <c r="B11" s="41" t="s">
        <v>1502</v>
      </c>
      <c r="C11" s="42">
        <f>C12-SUM(C8:C10)</f>
        <v>3856.2285317700007</v>
      </c>
      <c r="D11" s="42">
        <f>D12-SUM(D8:D10)</f>
        <v>3949.572892539999</v>
      </c>
      <c r="E11" s="42">
        <f>E12-SUM(E8:E10)</f>
        <v>4057.0897759533323</v>
      </c>
      <c r="F11" s="42">
        <f>F12-SUM(F8:F10)</f>
        <v>4166.3802348577774</v>
      </c>
      <c r="G11" s="42">
        <f>G12-SUM(G8:G10)</f>
        <v>4272.1974612570375</v>
      </c>
    </row>
    <row r="12" spans="1:7" ht="14.65">
      <c r="A12">
        <v>43</v>
      </c>
      <c r="B12" s="43" t="s">
        <v>1068</v>
      </c>
      <c r="C12" s="44">
        <f>历史数据及预测表!G47</f>
        <v>4878.4896093200005</v>
      </c>
      <c r="D12" s="44">
        <f>历史数据及预测表!H47</f>
        <v>4879.8480857699988</v>
      </c>
      <c r="E12" s="44">
        <f>历史数据及预测表!I47</f>
        <v>5124.4492566343824</v>
      </c>
      <c r="F12" s="44">
        <f>历史数据及预测表!J47</f>
        <v>5351.824002989878</v>
      </c>
      <c r="G12" s="44">
        <f>历史数据及预测表!K47</f>
        <v>5556.7255168401871</v>
      </c>
    </row>
    <row r="13" spans="1:7" ht="14.65">
      <c r="A13">
        <v>44</v>
      </c>
      <c r="B13" s="43" t="s">
        <v>1087</v>
      </c>
      <c r="C13" s="44">
        <f>历史数据及预测表!G48</f>
        <v>12926.945100270001</v>
      </c>
      <c r="D13" s="44">
        <f>历史数据及预测表!H48</f>
        <v>13573.205293469997</v>
      </c>
      <c r="E13" s="44">
        <f ca="1">历史数据及预测表!I48</f>
        <v>17793.87996483708</v>
      </c>
      <c r="F13" s="44">
        <f ca="1">历史数据及预测表!J48</f>
        <v>21469.514943077997</v>
      </c>
      <c r="G13" s="44">
        <f ca="1">历史数据及预测表!K48</f>
        <v>24853.001447769941</v>
      </c>
    </row>
    <row r="14" spans="1:7">
      <c r="A14">
        <v>45</v>
      </c>
      <c r="B14" s="41" t="s">
        <v>1040</v>
      </c>
      <c r="C14" s="42">
        <f>历史数据及预测表!G51</f>
        <v>0</v>
      </c>
      <c r="D14" s="42">
        <f>历史数据及预测表!H51</f>
        <v>0</v>
      </c>
      <c r="E14" s="42">
        <f ca="1">历史数据及预测表!I51</f>
        <v>1659.5216758337519</v>
      </c>
      <c r="F14" s="42">
        <f ca="1">历史数据及预测表!J51</f>
        <v>2155.596194260941</v>
      </c>
      <c r="G14" s="42">
        <f ca="1">历史数据及预测表!K51</f>
        <v>2408.5978852943172</v>
      </c>
    </row>
    <row r="15" spans="1:7">
      <c r="A15">
        <v>46</v>
      </c>
      <c r="B15" s="41" t="s">
        <v>1012</v>
      </c>
      <c r="C15" s="42">
        <f>历史数据及预测表!G54</f>
        <v>433.74422769</v>
      </c>
      <c r="D15" s="42">
        <f>历史数据及预测表!H54</f>
        <v>599.03346753999995</v>
      </c>
      <c r="E15" s="42">
        <f>历史数据及预测表!I54</f>
        <v>700.79790912156454</v>
      </c>
      <c r="F15" s="42">
        <f>历史数据及预测表!J54</f>
        <v>984.02022237316396</v>
      </c>
      <c r="G15" s="42">
        <f>历史数据及预测表!K54</f>
        <v>1314.9322050533181</v>
      </c>
    </row>
    <row r="16" spans="1:7">
      <c r="A16">
        <v>47</v>
      </c>
      <c r="B16" s="41" t="s">
        <v>1023</v>
      </c>
      <c r="C16" s="42">
        <f>C17-SUM(C14:C15)</f>
        <v>304.36568013999999</v>
      </c>
      <c r="D16" s="42">
        <f>D17-SUM(D14:D15)</f>
        <v>400.94405887000005</v>
      </c>
      <c r="E16" s="42">
        <f ca="1">E17-SUM(E14:E15)</f>
        <v>475.74593158076141</v>
      </c>
      <c r="F16" s="42">
        <f ca="1">F17-SUM(F14:F15)</f>
        <v>569.20004790038593</v>
      </c>
      <c r="G16" s="42">
        <f ca="1">G17-SUM(G14:G15)</f>
        <v>671.20067618274152</v>
      </c>
    </row>
    <row r="17" spans="1:7" ht="14.65">
      <c r="A17">
        <v>48</v>
      </c>
      <c r="B17" s="43" t="s">
        <v>1011</v>
      </c>
      <c r="C17" s="44">
        <f>历史数据及预测表!G69</f>
        <v>738.10990783</v>
      </c>
      <c r="D17" s="44">
        <f>历史数据及预测表!H69</f>
        <v>999.97752641</v>
      </c>
      <c r="E17" s="44">
        <f ca="1">历史数据及预测表!I69</f>
        <v>2836.0655165360781</v>
      </c>
      <c r="F17" s="44">
        <f ca="1">历史数据及预测表!J69</f>
        <v>3708.8164645344909</v>
      </c>
      <c r="G17" s="44">
        <f ca="1">历史数据及预测表!K69</f>
        <v>4394.730766530377</v>
      </c>
    </row>
    <row r="18" spans="1:7">
      <c r="A18">
        <v>49</v>
      </c>
      <c r="B18" s="41" t="s">
        <v>1042</v>
      </c>
      <c r="C18" s="42">
        <f>历史数据及预测表!G71</f>
        <v>0</v>
      </c>
      <c r="D18" s="42">
        <f>历史数据及预测表!H71</f>
        <v>0</v>
      </c>
      <c r="E18" s="42">
        <f>历史数据及预测表!I71</f>
        <v>0</v>
      </c>
      <c r="F18" s="42">
        <f>历史数据及预测表!J71</f>
        <v>0</v>
      </c>
      <c r="G18" s="42">
        <f>历史数据及预测表!K71</f>
        <v>0</v>
      </c>
    </row>
    <row r="19" spans="1:7">
      <c r="A19">
        <v>50</v>
      </c>
      <c r="B19" s="41" t="s">
        <v>1503</v>
      </c>
      <c r="C19" s="42">
        <f>C20-C18</f>
        <v>105.92149437</v>
      </c>
      <c r="D19" s="42">
        <f>D20-D18</f>
        <v>84.311683509999995</v>
      </c>
      <c r="E19" s="42">
        <f>E20-E18</f>
        <v>84.311683509999995</v>
      </c>
      <c r="F19" s="42">
        <f>F20-F18</f>
        <v>84.311683509999995</v>
      </c>
      <c r="G19" s="42">
        <f>G20-G18</f>
        <v>84.311683509999995</v>
      </c>
    </row>
    <row r="20" spans="1:7" ht="14.65">
      <c r="A20">
        <v>51</v>
      </c>
      <c r="B20" s="43" t="s">
        <v>1504</v>
      </c>
      <c r="C20" s="44">
        <f>历史数据及预测表!G81</f>
        <v>105.92149437</v>
      </c>
      <c r="D20" s="44">
        <f>历史数据及预测表!H81</f>
        <v>84.311683509999995</v>
      </c>
      <c r="E20" s="44">
        <f>历史数据及预测表!I81</f>
        <v>84.311683509999995</v>
      </c>
      <c r="F20" s="44">
        <f>历史数据及预测表!J81</f>
        <v>84.311683509999995</v>
      </c>
      <c r="G20" s="44">
        <f>历史数据及预测表!K81</f>
        <v>84.311683509999995</v>
      </c>
    </row>
    <row r="21" spans="1:7" ht="14.65">
      <c r="A21">
        <v>52</v>
      </c>
      <c r="B21" s="43" t="s">
        <v>1505</v>
      </c>
      <c r="C21" s="44">
        <f>历史数据及预测表!G82</f>
        <v>844.0314022</v>
      </c>
      <c r="D21" s="44">
        <f>历史数据及预测表!H82</f>
        <v>1084.2892099200001</v>
      </c>
      <c r="E21" s="44">
        <f ca="1">历史数据及预测表!I82</f>
        <v>2920.3772000460781</v>
      </c>
      <c r="F21" s="44">
        <f ca="1">历史数据及预测表!J82</f>
        <v>3793.1281480444909</v>
      </c>
      <c r="G21" s="44">
        <f ca="1">历史数据及预测表!K82</f>
        <v>4479.0424500403769</v>
      </c>
    </row>
    <row r="22" spans="1:7">
      <c r="A22">
        <v>53</v>
      </c>
      <c r="B22" s="41" t="s">
        <v>1506</v>
      </c>
      <c r="C22" s="42">
        <f>历史数据及预测表!G84</f>
        <v>481.56991099999999</v>
      </c>
      <c r="D22" s="42">
        <f>历史数据及预测表!H84</f>
        <v>482.54072300000001</v>
      </c>
      <c r="E22" s="42">
        <f>历史数据及预测表!I84</f>
        <v>482.54072300000001</v>
      </c>
      <c r="F22" s="42">
        <f>历史数据及预测表!J84</f>
        <v>482.54072300000001</v>
      </c>
      <c r="G22" s="42">
        <f>历史数据及预测表!K84</f>
        <v>482.54072300000001</v>
      </c>
    </row>
    <row r="23" spans="1:7">
      <c r="A23">
        <v>54</v>
      </c>
      <c r="B23" s="41" t="s">
        <v>1106</v>
      </c>
      <c r="C23" s="42">
        <f>历史数据及预测表!G86</f>
        <v>8896.5786341900002</v>
      </c>
      <c r="D23" s="42">
        <f>历史数据及预测表!H86</f>
        <v>9008.2714704200007</v>
      </c>
      <c r="E23" s="42">
        <f>历史数据及预测表!I86</f>
        <v>9008.2714704200007</v>
      </c>
      <c r="F23" s="42">
        <f>历史数据及预测表!J86</f>
        <v>9008.2714704200007</v>
      </c>
      <c r="G23" s="42">
        <f>历史数据及预测表!K86</f>
        <v>9008.2714704200007</v>
      </c>
    </row>
    <row r="24" spans="1:7" ht="27.75">
      <c r="A24">
        <v>55</v>
      </c>
      <c r="B24" s="41" t="s">
        <v>1114</v>
      </c>
      <c r="C24" s="42">
        <f>历史数据及预测表!G97</f>
        <v>12053.92636537</v>
      </c>
      <c r="D24" s="42">
        <f>历史数据及预测表!H97</f>
        <v>12448.858248590001</v>
      </c>
      <c r="E24" s="42">
        <f ca="1">历史数据及预测表!I97</f>
        <v>14874.291119999622</v>
      </c>
      <c r="F24" s="42">
        <f ca="1">历史数据及预测表!J97</f>
        <v>17700.321425563197</v>
      </c>
      <c r="G24" s="42">
        <f ca="1">历史数据及预测表!K97</f>
        <v>20422.529560392046</v>
      </c>
    </row>
    <row r="25" spans="1:7">
      <c r="A25">
        <v>56</v>
      </c>
      <c r="B25" s="41" t="s">
        <v>1115</v>
      </c>
      <c r="C25" s="42">
        <f>历史数据及预测表!G98</f>
        <v>28.9873327</v>
      </c>
      <c r="D25" s="42">
        <f>历史数据及预测表!H98</f>
        <v>40.057834960000001</v>
      </c>
      <c r="E25" s="42">
        <f ca="1">历史数据及预测表!I98</f>
        <v>-0.78835520861512265</v>
      </c>
      <c r="F25" s="42">
        <f ca="1">历史数据及预测表!J98</f>
        <v>-23.934630529694473</v>
      </c>
      <c r="G25" s="42">
        <f ca="1">历史数据及预测表!K98</f>
        <v>-48.570562662484136</v>
      </c>
    </row>
    <row r="26" spans="1:7" ht="14.65">
      <c r="A26">
        <v>57</v>
      </c>
      <c r="B26" s="44" t="s">
        <v>1507</v>
      </c>
      <c r="C26" s="44">
        <f>历史数据及预测表!G99</f>
        <v>12082.91369807</v>
      </c>
      <c r="D26" s="44">
        <f>历史数据及预测表!H99</f>
        <v>12488.916083550001</v>
      </c>
      <c r="E26" s="44">
        <f ca="1">历史数据及预测表!I99</f>
        <v>14873.502764791006</v>
      </c>
      <c r="F26" s="44">
        <f ca="1">历史数据及预测表!J99</f>
        <v>17676.386795033504</v>
      </c>
      <c r="G26" s="44">
        <f ca="1">历史数据及预测表!K99</f>
        <v>20373.958997729562</v>
      </c>
    </row>
    <row r="27" spans="1:7" ht="14.65">
      <c r="A27">
        <v>58</v>
      </c>
      <c r="B27" s="28" t="s">
        <v>1508</v>
      </c>
      <c r="C27" s="45">
        <f>历史数据及预测表!G100</f>
        <v>12926.945100270001</v>
      </c>
      <c r="D27" s="45">
        <f>历史数据及预测表!H100</f>
        <v>13573.20529347</v>
      </c>
      <c r="E27" s="45">
        <f ca="1">历史数据及预测表!I100</f>
        <v>17793.879964837084</v>
      </c>
      <c r="F27" s="45">
        <f ca="1">历史数据及预测表!J100</f>
        <v>21469.514943077997</v>
      </c>
      <c r="G27" s="45">
        <f ca="1">历史数据及预测表!K100</f>
        <v>24853.001447769937</v>
      </c>
    </row>
    <row r="29" spans="1:7">
      <c r="C29" s="46">
        <f>历史数据及预测表!G173+历史数据及预测表!G174-'输出表-现金流量表'!C12</f>
        <v>0</v>
      </c>
      <c r="D29" s="46">
        <f>历史数据及预测表!H173+历史数据及预测表!H174-'输出表-现金流量表'!D12</f>
        <v>0</v>
      </c>
      <c r="E29" s="46">
        <f>历史数据及预测表!I173+历史数据及预测表!I174-'输出表-现金流量表'!E12</f>
        <v>0</v>
      </c>
      <c r="F29" s="46">
        <f>历史数据及预测表!J173+历史数据及预测表!J174-'输出表-现金流量表'!F12</f>
        <v>0</v>
      </c>
      <c r="G29" s="46">
        <f>历史数据及预测表!K173+历史数据及预测表!K174-'输出表-现金流量表'!G12</f>
        <v>0</v>
      </c>
    </row>
  </sheetData>
  <sheetProtection algorithmName="SHA-512" hashValue="2sfTWKAMTRFTuRtWGfPSkKyqZnQHexohjFsXspMnAV0DTQjuFPJSxHuz9BWqGiYRaOn9V1SkQ/DBJeO9JcWr8Q==" saltValue="nL12E1E61oMc2qtAuN5yXg==" spinCount="100000" sheet="1" objects="1" scenarios="1"/>
  <phoneticPr fontId="35" type="noConversion"/>
  <dataValidations count="1">
    <dataValidation type="decimal" errorStyle="warning" operator="equal" allowBlank="1" showInputMessage="1" showErrorMessage="1" errorTitle="发行股票是否收到了现金" error="发行股票是否收到了现金，请仔细核实公司资产负债表中股本、资本公积的变化" sqref="C29:G29" xr:uid="{00000000-0002-0000-0C00-000000000000}">
      <formula1>0</formula1>
    </dataValidation>
  </dataValidation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G17"/>
  <sheetViews>
    <sheetView showGridLines="0" topLeftCell="B1" workbookViewId="0">
      <selection activeCell="E5" sqref="E5"/>
    </sheetView>
  </sheetViews>
  <sheetFormatPr defaultColWidth="9" defaultRowHeight="13.9"/>
  <cols>
    <col min="1" max="1" width="10.06640625" style="24" hidden="1" customWidth="1"/>
    <col min="2" max="2" width="15.9296875" style="25" customWidth="1"/>
    <col min="3" max="3" width="12.33203125" style="25" customWidth="1"/>
    <col min="4" max="4" width="13" style="25" customWidth="1"/>
    <col min="5" max="5" width="14" style="25" customWidth="1"/>
    <col min="6" max="7" width="13.33203125" style="25" customWidth="1"/>
    <col min="8" max="16384" width="9" style="26"/>
  </cols>
  <sheetData>
    <row r="1" spans="1:7" ht="14.65">
      <c r="B1" s="28" t="s">
        <v>1155</v>
      </c>
      <c r="C1" s="28"/>
      <c r="D1" s="39"/>
      <c r="E1" s="39"/>
      <c r="F1" s="39"/>
      <c r="G1" s="39"/>
    </row>
    <row r="2" spans="1:7" ht="14.65">
      <c r="B2" s="40" t="s">
        <v>1480</v>
      </c>
      <c r="C2" s="31">
        <f>历史数据及预测表!G4</f>
        <v>2024</v>
      </c>
      <c r="D2" s="31">
        <f>历史数据及预测表!H4</f>
        <v>2025</v>
      </c>
      <c r="E2" s="31" t="str">
        <f>历史数据及预测表!I4&amp;"E"</f>
        <v>2026E</v>
      </c>
      <c r="F2" s="31" t="str">
        <f>历史数据及预测表!J4&amp;"E"</f>
        <v>2027E</v>
      </c>
      <c r="G2" s="31" t="str">
        <f>历史数据及预测表!K4&amp;"E"</f>
        <v>2028E</v>
      </c>
    </row>
    <row r="3" spans="1:7">
      <c r="A3">
        <v>59</v>
      </c>
      <c r="B3" s="41" t="s">
        <v>1509</v>
      </c>
      <c r="C3" s="42">
        <f>历史数据及预测表!G134</f>
        <v>364.19777974999988</v>
      </c>
      <c r="D3" s="42">
        <f>历史数据及预测表!H134</f>
        <v>375.33075870000039</v>
      </c>
      <c r="E3" s="42">
        <f ca="1">历史数据及预测表!I134</f>
        <v>2468.7610893810065</v>
      </c>
      <c r="F3" s="42">
        <f ca="1">历史数据及预测表!J134</f>
        <v>2841.9097026258319</v>
      </c>
      <c r="G3" s="42">
        <f ca="1">历史数据及预测表!K134</f>
        <v>2729.7324937505018</v>
      </c>
    </row>
    <row r="4" spans="1:7">
      <c r="A4">
        <v>61</v>
      </c>
      <c r="B4" s="41" t="s">
        <v>973</v>
      </c>
      <c r="C4" s="42">
        <f>历史数据及预测表!G151</f>
        <v>191.06621719</v>
      </c>
      <c r="D4" s="42">
        <f>历史数据及预测表!H151</f>
        <v>184.65244079999999</v>
      </c>
      <c r="E4" s="42">
        <f>历史数据及预测表!I151</f>
        <v>62.915712548950005</v>
      </c>
      <c r="F4" s="42">
        <f>历史数据及预测表!J151</f>
        <v>81.915712548950012</v>
      </c>
      <c r="G4" s="42">
        <f>历史数据及预测表!K151</f>
        <v>100.91571254895001</v>
      </c>
    </row>
    <row r="5" spans="1:7">
      <c r="A5">
        <v>62</v>
      </c>
      <c r="B5" s="41" t="s">
        <v>1510</v>
      </c>
      <c r="C5" s="42">
        <f>历史数据及预测表!G157</f>
        <v>-301.69008917999997</v>
      </c>
      <c r="D5" s="42">
        <f>历史数据及预测表!H157</f>
        <v>21.204509679999973</v>
      </c>
      <c r="E5" s="42">
        <f>历史数据及预测表!I157</f>
        <v>-654.32808969854705</v>
      </c>
      <c r="F5" s="42">
        <f>历史数据及预测表!J157</f>
        <v>-1138.6805169259414</v>
      </c>
      <c r="G5" s="42">
        <f>历史数据及预测表!K157</f>
        <v>-1186.240536007128</v>
      </c>
    </row>
    <row r="6" spans="1:7">
      <c r="A6">
        <v>63</v>
      </c>
      <c r="B6" s="41" t="s">
        <v>1511</v>
      </c>
      <c r="C6" s="42">
        <f>C7-SUM(C3:C5)</f>
        <v>109.88102139000011</v>
      </c>
      <c r="D6" s="42">
        <f>D7-SUM(D3:D5)</f>
        <v>41.415068889999588</v>
      </c>
      <c r="E6" s="42">
        <f ca="1">E7-SUM(E3:E5)</f>
        <v>-118.81831310905818</v>
      </c>
      <c r="F6" s="42">
        <f ca="1">F7-SUM(F3:F5)</f>
        <v>-53.659736913258257</v>
      </c>
      <c r="G6" s="42">
        <f ca="1">G7-SUM(G3:G5)</f>
        <v>-64.623090387794036</v>
      </c>
    </row>
    <row r="7" spans="1:7" ht="14.65">
      <c r="A7">
        <v>64</v>
      </c>
      <c r="B7" s="43" t="s">
        <v>1512</v>
      </c>
      <c r="C7" s="44">
        <f>历史数据及预测表!G159</f>
        <v>363.45492915</v>
      </c>
      <c r="D7" s="44">
        <f>历史数据及预测表!H159</f>
        <v>622.60277807</v>
      </c>
      <c r="E7" s="44">
        <f ca="1">历史数据及预测表!I159</f>
        <v>1758.5303991223514</v>
      </c>
      <c r="F7" s="44">
        <f ca="1">历史数据及预测表!J159</f>
        <v>1731.4851613355822</v>
      </c>
      <c r="G7" s="44">
        <f ca="1">历史数据及预测表!K159</f>
        <v>1579.7845799045299</v>
      </c>
    </row>
    <row r="8" spans="1:7">
      <c r="A8">
        <v>65</v>
      </c>
      <c r="B8" s="41" t="s">
        <v>1168</v>
      </c>
      <c r="C8" s="42">
        <f>历史数据及预测表!G162</f>
        <v>-113.1074109</v>
      </c>
      <c r="D8" s="42">
        <f>历史数据及预测表!H162</f>
        <v>-96.866344699999999</v>
      </c>
      <c r="E8" s="42">
        <f>历史数据及预测表!I162</f>
        <v>-200</v>
      </c>
      <c r="F8" s="42">
        <f>历史数据及预测表!J162</f>
        <v>-200</v>
      </c>
      <c r="G8" s="42">
        <f>历史数据及预测表!K162</f>
        <v>-200</v>
      </c>
    </row>
    <row r="9" spans="1:7">
      <c r="A9">
        <v>66</v>
      </c>
      <c r="B9" s="41" t="s">
        <v>1172</v>
      </c>
      <c r="C9" s="42">
        <f>历史数据及预测表!G123</f>
        <v>25.237234609999998</v>
      </c>
      <c r="D9" s="42">
        <f>历史数据及预测表!H123</f>
        <v>33.204846250000003</v>
      </c>
      <c r="E9" s="42">
        <f>历史数据及预测表!I123</f>
        <v>26.542433823333329</v>
      </c>
      <c r="F9" s="42">
        <f>历史数据及预测表!J123</f>
        <v>28.328171561111109</v>
      </c>
      <c r="G9" s="42">
        <f>历史数据及预测表!K123</f>
        <v>29.358483878148146</v>
      </c>
    </row>
    <row r="10" spans="1:7">
      <c r="A10">
        <v>67</v>
      </c>
      <c r="B10" s="41" t="s">
        <v>1513</v>
      </c>
      <c r="C10" s="42">
        <f>C11-C8-C9</f>
        <v>-325.33439890999995</v>
      </c>
      <c r="D10" s="42">
        <f>D11-D8-D9</f>
        <v>-169.99562908000001</v>
      </c>
      <c r="E10" s="42">
        <f>E11-E8-E9</f>
        <v>-104.92524067333333</v>
      </c>
      <c r="F10" s="42">
        <f>F11-F8-F9</f>
        <v>-106.67828869777776</v>
      </c>
      <c r="G10" s="42">
        <f>G11-G8-G9</f>
        <v>-103.24182545703701</v>
      </c>
    </row>
    <row r="11" spans="1:7" ht="14.65">
      <c r="A11">
        <v>68</v>
      </c>
      <c r="B11" s="43" t="s">
        <v>1514</v>
      </c>
      <c r="C11" s="44">
        <f>历史数据及预测表!G167</f>
        <v>-413.20457519999997</v>
      </c>
      <c r="D11" s="44">
        <f>历史数据及预测表!H167</f>
        <v>-233.65712753</v>
      </c>
      <c r="E11" s="44">
        <f>历史数据及预测表!I167</f>
        <v>-278.38280685000001</v>
      </c>
      <c r="F11" s="44">
        <f>历史数据及预测表!J167</f>
        <v>-278.35011713666665</v>
      </c>
      <c r="G11" s="44">
        <f>历史数据及预测表!K167</f>
        <v>-273.88334157888886</v>
      </c>
    </row>
    <row r="12" spans="1:7">
      <c r="A12">
        <v>69</v>
      </c>
      <c r="B12" s="41" t="s">
        <v>1515</v>
      </c>
      <c r="C12" s="42">
        <f>历史数据及预测表!G173+历史数据及预测表!G174</f>
        <v>0</v>
      </c>
      <c r="D12" s="42">
        <f>历史数据及预测表!H173+历史数据及预测表!H174</f>
        <v>69.936391680000014</v>
      </c>
      <c r="E12" s="42">
        <f>历史数据及预测表!I173+历史数据及预测表!I174</f>
        <v>0</v>
      </c>
      <c r="F12" s="42">
        <f>历史数据及预测表!J173+历史数据及预测表!J174</f>
        <v>0</v>
      </c>
      <c r="G12" s="42">
        <f>历史数据及预测表!K173+历史数据及预测表!K174</f>
        <v>0</v>
      </c>
    </row>
    <row r="13" spans="1:7">
      <c r="A13">
        <v>70</v>
      </c>
      <c r="B13" s="41" t="s">
        <v>1516</v>
      </c>
      <c r="C13" s="42">
        <f>历史数据!F222+历史数据!F224-历史数据!F228</f>
        <v>0</v>
      </c>
      <c r="D13" s="42">
        <f>历史数据!G222+历史数据!G224-历史数据!G228</f>
        <v>0</v>
      </c>
      <c r="E13" s="42">
        <f ca="1">历史数据及预测表!I169+历史数据及预测表!I170+历史数据及预测表!I171+历史数据及预测表!I179</f>
        <v>1659.5216758337519</v>
      </c>
      <c r="F13" s="42">
        <f ca="1">历史数据及预测表!J169+历史数据及预测表!J170+历史数据及预测表!J171+历史数据及预测表!J179</f>
        <v>496.0745184271891</v>
      </c>
      <c r="G13" s="42">
        <f ca="1">历史数据及预测表!K169+历史数据及预测表!K170+历史数据及预测表!K171+历史数据及预测表!K179</f>
        <v>253.00169103337612</v>
      </c>
    </row>
    <row r="14" spans="1:7">
      <c r="A14">
        <v>71</v>
      </c>
      <c r="B14" s="41" t="s">
        <v>1517</v>
      </c>
      <c r="C14" s="42">
        <f>历史数据及预测表!G176</f>
        <v>-96.31398068</v>
      </c>
      <c r="D14" s="42">
        <f>历史数据及预测表!H176</f>
        <v>-48.156238760000001</v>
      </c>
      <c r="E14" s="42">
        <f>历史数据及预测表!I176</f>
        <v>-72.381108449999999</v>
      </c>
      <c r="F14" s="42">
        <f>历史数据及预测表!J176</f>
        <v>0</v>
      </c>
      <c r="G14" s="42">
        <f>历史数据及预测表!K176</f>
        <v>0</v>
      </c>
    </row>
    <row r="15" spans="1:7">
      <c r="A15">
        <v>72</v>
      </c>
      <c r="B15" s="41" t="s">
        <v>1518</v>
      </c>
      <c r="C15" s="42">
        <f>C16-C14-C13-C12</f>
        <v>-10.492278200000001</v>
      </c>
      <c r="D15" s="42">
        <f>D16-D14-D13-D12</f>
        <v>-29.02809349000001</v>
      </c>
      <c r="E15" s="42">
        <f ca="1">E16-E14-E13-E12</f>
        <v>74.614807537554043</v>
      </c>
      <c r="F15" s="42">
        <f ca="1">F16-F14-F13-F12</f>
        <v>54.40440869993563</v>
      </c>
      <c r="G15" s="42">
        <f ca="1">G16-G14-G13-G12</f>
        <v>84.154421758106366</v>
      </c>
    </row>
    <row r="16" spans="1:7" ht="14.65">
      <c r="A16">
        <v>73</v>
      </c>
      <c r="B16" s="43" t="s">
        <v>1519</v>
      </c>
      <c r="C16" s="44">
        <f>历史数据及预测表!G180</f>
        <v>-106.80625888</v>
      </c>
      <c r="D16" s="44">
        <f>历史数据及预测表!H180</f>
        <v>-7.2479405699999999</v>
      </c>
      <c r="E16" s="44">
        <f ca="1">历史数据及预测表!I180</f>
        <v>1661.7553749213059</v>
      </c>
      <c r="F16" s="44">
        <f ca="1">历史数据及预测表!J180</f>
        <v>550.47892712712473</v>
      </c>
      <c r="G16" s="44">
        <f ca="1">历史数据及预测表!K180</f>
        <v>337.15611279148249</v>
      </c>
    </row>
    <row r="17" spans="1:7" ht="29.25">
      <c r="A17">
        <v>74</v>
      </c>
      <c r="B17" s="28" t="s">
        <v>1520</v>
      </c>
      <c r="C17" s="45">
        <f>历史数据及预测表!G182</f>
        <v>-156.55590492999997</v>
      </c>
      <c r="D17" s="45">
        <f>历史数据及预测表!H182</f>
        <v>381.69770996999995</v>
      </c>
      <c r="E17" s="45">
        <f ca="1">历史数据及预测表!I182</f>
        <v>3141.9029671936573</v>
      </c>
      <c r="F17" s="45">
        <f ca="1">历史数据及预测表!J182</f>
        <v>2003.6139713260404</v>
      </c>
      <c r="G17" s="45">
        <f ca="1">历史数据及预测表!K182</f>
        <v>1643.0573511171235</v>
      </c>
    </row>
  </sheetData>
  <sheetProtection algorithmName="SHA-512" hashValue="Y9gq6yXrcaVhA+t9JrlASgO/K7oxs5fsveu7w++aisB9XVLfi52ho1KRdzI2AA7VWyjfEsTPhgupaNmLjyM48A==" saltValue="kUPVj/zVSH/2Ta6BaU3CUw==" spinCount="100000" sheet="1" objects="1" scenarios="1"/>
  <phoneticPr fontId="35"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G20"/>
  <sheetViews>
    <sheetView showGridLines="0" topLeftCell="B1" workbookViewId="0">
      <selection activeCell="H14" sqref="H14"/>
    </sheetView>
  </sheetViews>
  <sheetFormatPr defaultColWidth="9" defaultRowHeight="13.9"/>
  <cols>
    <col min="1" max="1" width="17.73046875" style="24" hidden="1" customWidth="1"/>
    <col min="2" max="2" width="16.06640625" style="25" customWidth="1"/>
    <col min="3" max="3" width="14.265625" style="25" customWidth="1"/>
    <col min="4" max="4" width="14.59765625" style="25" customWidth="1"/>
    <col min="5" max="5" width="15.265625" style="25" customWidth="1"/>
    <col min="6" max="6" width="14.46484375" style="25" customWidth="1"/>
    <col min="7" max="7" width="15" style="25" customWidth="1"/>
    <col min="8" max="16384" width="9" style="26"/>
  </cols>
  <sheetData>
    <row r="1" spans="1:7" ht="14.65">
      <c r="B1" s="27" t="s">
        <v>1521</v>
      </c>
      <c r="C1" s="28"/>
      <c r="D1" s="29"/>
      <c r="E1" s="29"/>
      <c r="F1" s="29"/>
      <c r="G1" s="29"/>
    </row>
    <row r="2" spans="1:7" ht="14.65">
      <c r="B2" s="30"/>
      <c r="C2" s="31">
        <f>历史数据及预测表!G4</f>
        <v>2024</v>
      </c>
      <c r="D2" s="31">
        <f>历史数据及预测表!H4</f>
        <v>2025</v>
      </c>
      <c r="E2" s="31" t="str">
        <f>历史数据及预测表!I4&amp;"E"</f>
        <v>2026E</v>
      </c>
      <c r="F2" s="31" t="str">
        <f>历史数据及预测表!J4&amp;"E"</f>
        <v>2027E</v>
      </c>
      <c r="G2" s="31" t="str">
        <f>历史数据及预测表!K4&amp;"E"</f>
        <v>2028E</v>
      </c>
    </row>
    <row r="3" spans="1:7" ht="14.65">
      <c r="A3">
        <v>75</v>
      </c>
      <c r="B3" s="32" t="s">
        <v>1522</v>
      </c>
      <c r="C3" s="33"/>
      <c r="D3" s="33"/>
      <c r="E3" s="33"/>
      <c r="F3" s="33"/>
      <c r="G3" s="33"/>
    </row>
    <row r="4" spans="1:7">
      <c r="A4">
        <v>76</v>
      </c>
      <c r="B4" s="34" t="s">
        <v>1481</v>
      </c>
      <c r="C4" s="35">
        <f>IF(历史数据及预测表!F106&lt;0,"N/A",历史数据及预测表!G106/历史数据及预测表!F106-1)</f>
        <v>-7.0250496070820456E-2</v>
      </c>
      <c r="D4" s="35">
        <f>IF(历史数据及预测表!G106&lt;0,"N/A",历史数据及预测表!H106/历史数据及预测表!G106-1)</f>
        <v>0.12542811336492843</v>
      </c>
      <c r="E4" s="35">
        <f>IF(历史数据及预测表!H106&lt;0,"N/A",历史数据及预测表!I106/历史数据及预测表!H106-1)</f>
        <v>0.75233715868268769</v>
      </c>
      <c r="F4" s="35">
        <f>IF(历史数据及预测表!I106&lt;0,"N/A",历史数据及预测表!J106/历史数据及预测表!I106-1)</f>
        <v>0.27507620684396961</v>
      </c>
      <c r="G4" s="35">
        <f>IF(历史数据及预测表!J106&lt;0,"N/A",历史数据及预测表!K106/历史数据及预测表!J106-1)</f>
        <v>0.18251654052296851</v>
      </c>
    </row>
    <row r="5" spans="1:7">
      <c r="A5">
        <v>77</v>
      </c>
      <c r="B5" s="34" t="s">
        <v>1491</v>
      </c>
      <c r="C5" s="35">
        <f>IF(历史数据及预测表!F126&lt;0,"N/A",历史数据及预测表!G126/历史数据及预测表!F126-1)</f>
        <v>-0.24973403099589875</v>
      </c>
      <c r="D5" s="35">
        <f>IF(历史数据及预测表!G126&lt;0,"N/A",历史数据及预测表!H126/历史数据及预测表!G126-1)</f>
        <v>1.4649097242479758E-2</v>
      </c>
      <c r="E5" s="35">
        <f ca="1">IF(历史数据及预测表!H126&lt;0,"N/A",历史数据及预测表!I126/历史数据及预测表!H126-1)</f>
        <v>5.5161616508975415</v>
      </c>
      <c r="F5" s="35">
        <f ca="1">IF(历史数据及预测表!I126&lt;0,"N/A",历史数据及预测表!J126/历史数据及预测表!I126-1)</f>
        <v>0.16482959364943506</v>
      </c>
      <c r="G5" s="35">
        <f ca="1">IF(历史数据及预测表!J126&lt;0,"N/A",历史数据及预测表!K126/历史数据及预测表!J126-1)</f>
        <v>-4.4583923016111915E-2</v>
      </c>
    </row>
    <row r="6" spans="1:7">
      <c r="A6">
        <v>78</v>
      </c>
      <c r="B6" s="34" t="s">
        <v>1156</v>
      </c>
      <c r="C6" s="35">
        <f>IF(历史数据及预测表!F136&lt;0,"N/A",历史数据及预测表!G136/历史数据及预测表!F136-1)</f>
        <v>-0.31838230664709455</v>
      </c>
      <c r="D6" s="35">
        <f>IF(历史数据及预测表!G136&lt;0,"N/A",历史数据及预测表!H136/历史数据及预测表!G136-1)</f>
        <v>2.7372662279204318E-2</v>
      </c>
      <c r="E6" s="35">
        <f ca="1">IF(历史数据及预测表!H136&lt;0,"N/A",历史数据及预测表!I136/历史数据及预测表!H136-1)</f>
        <v>5.6704776536666905</v>
      </c>
      <c r="F6" s="35">
        <f ca="1">IF(历史数据及预测表!I136&lt;0,"N/A",历史数据及预测表!J136/历史数据及预测表!I136-1)</f>
        <v>0.14163518782153006</v>
      </c>
      <c r="G6" s="35">
        <f ca="1">IF(历史数据及预测表!J136&lt;0,"N/A",历史数据及预测表!K136/历史数据及预测表!J136-1)</f>
        <v>-3.8633643780649041E-2</v>
      </c>
    </row>
    <row r="7" spans="1:7" ht="14.65">
      <c r="A7">
        <v>79</v>
      </c>
      <c r="B7" s="32" t="s">
        <v>1523</v>
      </c>
      <c r="C7" s="36"/>
      <c r="D7" s="36"/>
      <c r="E7" s="36"/>
      <c r="F7" s="36"/>
      <c r="G7" s="36"/>
    </row>
    <row r="8" spans="1:7">
      <c r="A8">
        <v>80</v>
      </c>
      <c r="B8" s="34" t="s">
        <v>1469</v>
      </c>
      <c r="C8" s="35">
        <f>'输出表-利润表'!C5</f>
        <v>0.36729198274881125</v>
      </c>
      <c r="D8" s="35">
        <f>'输出表-利润表'!D5</f>
        <v>0.34086455881559097</v>
      </c>
      <c r="E8" s="35">
        <f>'输出表-利润表'!E5</f>
        <v>0.49659152464527356</v>
      </c>
      <c r="F8" s="35">
        <f>'输出表-利润表'!F5</f>
        <v>0.466127937612137</v>
      </c>
      <c r="G8" s="35">
        <f>'输出表-利润表'!G5</f>
        <v>0.40944851302474683</v>
      </c>
    </row>
    <row r="9" spans="1:7">
      <c r="A9">
        <v>81</v>
      </c>
      <c r="B9" s="34" t="s">
        <v>1524</v>
      </c>
      <c r="C9" s="35">
        <f>(关键比率!H23/'输出表-利润表'!C3)</f>
        <v>0.12540488777054734</v>
      </c>
      <c r="D9" s="35">
        <f>(关键比率!I23/'输出表-利润表'!D3)</f>
        <v>0.1044792542777485</v>
      </c>
      <c r="E9" s="35">
        <f ca="1">关键比率!J21/100</f>
        <v>0.3272581619908731</v>
      </c>
      <c r="F9" s="35">
        <f ca="1">关键比率!K21/100</f>
        <v>0.29813734962758259</v>
      </c>
      <c r="G9" s="35">
        <f ca="1">关键比率!L21/100</f>
        <v>0.24070293810472054</v>
      </c>
    </row>
    <row r="10" spans="1:7">
      <c r="A10">
        <v>82</v>
      </c>
      <c r="B10" s="34" t="s">
        <v>1497</v>
      </c>
      <c r="C10" s="35">
        <f>'输出表-利润表'!C26</f>
        <v>8.6929650781769605E-2</v>
      </c>
      <c r="D10" s="35">
        <f>'输出表-利润表'!D26</f>
        <v>7.9355709790865148E-2</v>
      </c>
      <c r="E10" s="35">
        <f ca="1">'输出表-利润表'!E26</f>
        <v>0.30207684989614358</v>
      </c>
      <c r="F10" s="35">
        <f ca="1">'输出表-利润表'!F26</f>
        <v>0.27046349027350375</v>
      </c>
      <c r="G10" s="35">
        <f ca="1">'输出表-利润表'!G26</f>
        <v>0.21988233671523499</v>
      </c>
    </row>
    <row r="11" spans="1:7" ht="14.65">
      <c r="A11">
        <v>83</v>
      </c>
      <c r="B11" s="32" t="s">
        <v>1525</v>
      </c>
      <c r="C11" s="36"/>
      <c r="D11" s="36"/>
      <c r="E11" s="36"/>
      <c r="F11" s="36"/>
      <c r="G11" s="36"/>
    </row>
    <row r="12" spans="1:7">
      <c r="A12">
        <v>84</v>
      </c>
      <c r="B12" s="34" t="s">
        <v>1526</v>
      </c>
      <c r="C12" s="35">
        <f>'输出表-利润表'!C25/'输出表-资产负债表'!C24</f>
        <v>3.0380316391517892E-2</v>
      </c>
      <c r="D12" s="35">
        <f>'输出表-利润表'!D25/'输出表-资产负债表'!D24</f>
        <v>3.0221729217827106E-2</v>
      </c>
      <c r="E12" s="35">
        <f ca="1">'输出表-利润表'!E25/'输出表-资产负债表'!E24</f>
        <v>0.16872113496388833</v>
      </c>
      <c r="F12" s="35">
        <f ca="1">'输出表-利润表'!F25/'输出表-资产负债表'!F24</f>
        <v>0.16186462997271528</v>
      </c>
      <c r="G12" s="35">
        <f ca="1">'输出表-利润表'!G25/'输出表-资产负债表'!G24</f>
        <v>0.13486911196471865</v>
      </c>
    </row>
    <row r="13" spans="1:7">
      <c r="A13">
        <v>85</v>
      </c>
      <c r="B13" s="34" t="s">
        <v>1527</v>
      </c>
      <c r="C13" s="35">
        <f>'输出表-利润表'!C25/'输出表-资产负债表'!C27</f>
        <v>2.8328587605152833E-2</v>
      </c>
      <c r="D13" s="35">
        <f>'输出表-利润表'!D25/'输出表-资产负债表'!D27</f>
        <v>2.7718288711141854E-2</v>
      </c>
      <c r="E13" s="35">
        <f ca="1">'输出表-利润表'!E25/'输出表-资产负债表'!E27</f>
        <v>0.14103766488865369</v>
      </c>
      <c r="F13" s="35">
        <f ca="1">'输出表-利润表'!F25/'输出表-资产负债表'!F27</f>
        <v>0.13344763426388617</v>
      </c>
      <c r="G13" s="35">
        <f ca="1">'输出表-利润表'!G25/'输出表-资产负债表'!G27</f>
        <v>0.11082638978924782</v>
      </c>
    </row>
    <row r="14" spans="1:7">
      <c r="A14">
        <v>585</v>
      </c>
      <c r="B14" s="34" t="s">
        <v>1528</v>
      </c>
      <c r="C14" s="35">
        <f>关键比率!H15/100</f>
        <v>3.0714999999999999E-2</v>
      </c>
      <c r="D14" s="35">
        <f>关键比率!I15/100</f>
        <v>3.0698E-2</v>
      </c>
      <c r="E14" s="35">
        <f ca="1">关键比率!J15/100</f>
        <v>0.17307935134795172</v>
      </c>
      <c r="F14" s="35">
        <f ca="1">关键比率!K15/100</f>
        <v>0.15739229789869311</v>
      </c>
      <c r="G14" s="35">
        <f ca="1">关键比率!L15/100</f>
        <v>0.1289985287133423</v>
      </c>
    </row>
    <row r="15" spans="1:7" ht="14.65">
      <c r="A15">
        <v>86</v>
      </c>
      <c r="B15" s="32" t="s">
        <v>1529</v>
      </c>
      <c r="C15" s="34"/>
      <c r="D15" s="34"/>
      <c r="E15" s="34"/>
      <c r="F15" s="34"/>
      <c r="G15" s="34"/>
    </row>
    <row r="16" spans="1:7">
      <c r="A16">
        <v>87</v>
      </c>
      <c r="B16" s="34" t="s">
        <v>1300</v>
      </c>
      <c r="C16" s="35">
        <f>关键比率!H25/100</f>
        <v>6.5292000000000003E-2</v>
      </c>
      <c r="D16" s="35">
        <f>关键比率!I25/100</f>
        <v>7.9884999999999998E-2</v>
      </c>
      <c r="E16" s="35">
        <f ca="1">关键比率!J25/100</f>
        <v>0.16412256381503679</v>
      </c>
      <c r="F16" s="35">
        <f ca="1">关键比率!K25/100</f>
        <v>0.17667507431356463</v>
      </c>
      <c r="G16" s="35">
        <f ca="1">关键比率!L25/100</f>
        <v>0.1802213893341354</v>
      </c>
    </row>
    <row r="17" spans="1:7">
      <c r="A17">
        <v>88</v>
      </c>
      <c r="B17" s="34" t="s">
        <v>1265</v>
      </c>
      <c r="C17" s="35">
        <f>'输出表-利润表'!C23</f>
        <v>0.11163649813985277</v>
      </c>
      <c r="D17" s="35">
        <f>'输出表-利润表'!D23</f>
        <v>9.2701642914754731E-2</v>
      </c>
      <c r="E17" s="35">
        <f ca="1">'输出表-利润表'!E23</f>
        <v>8.6136813331914641E-2</v>
      </c>
      <c r="F17" s="35">
        <f ca="1">'输出表-利润表'!F23</f>
        <v>9.6824984795507385E-2</v>
      </c>
      <c r="G17" s="35">
        <f ca="1">'输出表-利润表'!G23</f>
        <v>9.1887813680725586E-2</v>
      </c>
    </row>
    <row r="18" spans="1:7">
      <c r="A18">
        <v>89</v>
      </c>
      <c r="B18" s="37" t="s">
        <v>772</v>
      </c>
      <c r="C18" s="38">
        <f>假设表!G30</f>
        <v>0.13124085729067422</v>
      </c>
      <c r="D18" s="38">
        <f>假设表!H30</f>
        <v>0.19238729915941163</v>
      </c>
      <c r="E18" s="38">
        <f ca="1">历史数据及预测表!I226</f>
        <v>0</v>
      </c>
      <c r="F18" s="38">
        <f ca="1">历史数据及预测表!J226</f>
        <v>0</v>
      </c>
      <c r="G18" s="38">
        <f ca="1">历史数据及预测表!K226</f>
        <v>0</v>
      </c>
    </row>
    <row r="20" spans="1:7">
      <c r="C20" s="25">
        <f>IF((C18=0)*AND('输出表-现金流量表'!D14=0),1,IF((C18&lt;&gt;0)*AND('输出表-现金流量表'!D14&lt;&gt;0),1,0))</f>
        <v>1</v>
      </c>
      <c r="D20" s="25">
        <f>IF((D18=0)*AND('输出表-现金流量表'!E14=0),1,IF((D18&lt;&gt;0)*AND('输出表-现金流量表'!E14&lt;&gt;0),1,0))</f>
        <v>1</v>
      </c>
      <c r="E20" s="25">
        <f ca="1">IF((E18=0)*AND('输出表-现金流量表'!F14=0),1,IF((E18&lt;&gt;0)*AND('输出表-现金流量表'!F14&lt;&gt;0),1,0))</f>
        <v>1</v>
      </c>
      <c r="F20" s="25">
        <f ca="1">IF((F18=0)*AND('输出表-现金流量表'!G14=0),1,IF((F18&lt;&gt;0)*AND('输出表-现金流量表'!G14&lt;&gt;0),1,0))</f>
        <v>1</v>
      </c>
    </row>
  </sheetData>
  <phoneticPr fontId="35" type="noConversion"/>
  <dataValidations count="5">
    <dataValidation type="decimal" errorStyle="warning" operator="notEqual" allowBlank="1" showInputMessage="1" showErrorMessage="1" errorTitle="检查24年资产负债率为0%" sqref="D16" xr:uid="{00000000-0002-0000-0E00-000000000000}">
      <formula1>0</formula1>
    </dataValidation>
    <dataValidation type="decimal" errorStyle="warning" operator="lessThan" allowBlank="1" showInputMessage="1" showErrorMessage="1" errorTitle="分红率不应超过120%，请检查分红率预测信息的合理性" error="分红率不应超过120%，请检查分红率预测信息的合理性" sqref="C18:D18" xr:uid="{00000000-0002-0000-0E00-000001000000}">
      <formula1>1.2</formula1>
    </dataValidation>
    <dataValidation errorStyle="warning" allowBlank="1" showInputMessage="1" showErrorMessage="1" errorTitle="分红率不应超过120%，请检查分红率预测信息的合理性" error="分红率不应超过120%，请检查分红率预测信息的合理性" sqref="E18:G18" xr:uid="{00000000-0002-0000-0E00-000002000000}"/>
    <dataValidation type="decimal" errorStyle="warning" operator="equal" allowBlank="1" showInputMessage="1" showErrorMessage="1" errorTitle="股利现金流支出与股利支付率勾稽关系不符" error="股利现金流支出与股利支付率勾稽关系不符" sqref="C20:F20" xr:uid="{00000000-0002-0000-0E00-000003000000}">
      <formula1>1</formula1>
    </dataValidation>
    <dataValidation type="decimal" operator="equal" allowBlank="1" showInputMessage="1" showErrorMessage="1" errorTitle="股利现金流支出与股利支付率勾稽关系不符" error="“股利现金流支出与股利支付率勾稽关系不符" sqref="G20" xr:uid="{00000000-0002-0000-0E00-000004000000}">
      <formula1>1</formula1>
    </dataValidation>
  </dataValidation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2:J42"/>
  <sheetViews>
    <sheetView workbookViewId="0">
      <selection activeCell="M32" sqref="M32"/>
    </sheetView>
  </sheetViews>
  <sheetFormatPr defaultColWidth="9" defaultRowHeight="12.4"/>
  <cols>
    <col min="1" max="1" width="3.59765625" style="4" customWidth="1"/>
    <col min="2" max="2" width="10.33203125" style="4" customWidth="1"/>
    <col min="3" max="3" width="8.59765625" style="4" customWidth="1"/>
    <col min="4" max="4" width="10.46484375" style="4" customWidth="1"/>
    <col min="5" max="5" width="13.33203125" style="4" customWidth="1"/>
    <col min="6" max="6" width="5.46484375" style="4" customWidth="1"/>
    <col min="7" max="7" width="13.73046875" style="4" customWidth="1"/>
    <col min="8" max="8" width="15" style="4" customWidth="1"/>
    <col min="9" max="9" width="13" style="4" customWidth="1"/>
    <col min="10" max="10" width="12.265625" style="4" customWidth="1"/>
    <col min="11" max="11" width="13" style="4" customWidth="1"/>
    <col min="12" max="12" width="17.265625" style="4" customWidth="1"/>
    <col min="13" max="13" width="20.46484375" style="4" customWidth="1"/>
    <col min="14" max="257" width="9" style="4"/>
    <col min="258" max="258" width="11.06640625" style="4" customWidth="1"/>
    <col min="259" max="259" width="13.06640625" style="4" customWidth="1"/>
    <col min="260" max="260" width="16.06640625" style="4" customWidth="1"/>
    <col min="261" max="261" width="10.46484375" style="4" customWidth="1"/>
    <col min="262" max="262" width="15" style="4" customWidth="1"/>
    <col min="263" max="263" width="9" style="4"/>
    <col min="264" max="264" width="15" style="4" customWidth="1"/>
    <col min="265" max="265" width="6.33203125" style="4" customWidth="1"/>
    <col min="266" max="266" width="12.265625" style="4" customWidth="1"/>
    <col min="267" max="267" width="13" style="4" customWidth="1"/>
    <col min="268" max="268" width="17.265625" style="4" customWidth="1"/>
    <col min="269" max="269" width="20.46484375" style="4" customWidth="1"/>
    <col min="270" max="513" width="9" style="4"/>
    <col min="514" max="514" width="11.06640625" style="4" customWidth="1"/>
    <col min="515" max="515" width="13.06640625" style="4" customWidth="1"/>
    <col min="516" max="516" width="16.06640625" style="4" customWidth="1"/>
    <col min="517" max="517" width="10.46484375" style="4" customWidth="1"/>
    <col min="518" max="518" width="15" style="4" customWidth="1"/>
    <col min="519" max="519" width="9" style="4"/>
    <col min="520" max="520" width="15" style="4" customWidth="1"/>
    <col min="521" max="521" width="6.33203125" style="4" customWidth="1"/>
    <col min="522" max="522" width="12.265625" style="4" customWidth="1"/>
    <col min="523" max="523" width="13" style="4" customWidth="1"/>
    <col min="524" max="524" width="17.265625" style="4" customWidth="1"/>
    <col min="525" max="525" width="20.46484375" style="4" customWidth="1"/>
    <col min="526" max="769" width="9" style="4"/>
    <col min="770" max="770" width="11.06640625" style="4" customWidth="1"/>
    <col min="771" max="771" width="13.06640625" style="4" customWidth="1"/>
    <col min="772" max="772" width="16.06640625" style="4" customWidth="1"/>
    <col min="773" max="773" width="10.46484375" style="4" customWidth="1"/>
    <col min="774" max="774" width="15" style="4" customWidth="1"/>
    <col min="775" max="775" width="9" style="4"/>
    <col min="776" max="776" width="15" style="4" customWidth="1"/>
    <col min="777" max="777" width="6.33203125" style="4" customWidth="1"/>
    <col min="778" max="778" width="12.265625" style="4" customWidth="1"/>
    <col min="779" max="779" width="13" style="4" customWidth="1"/>
    <col min="780" max="780" width="17.265625" style="4" customWidth="1"/>
    <col min="781" max="781" width="20.46484375" style="4" customWidth="1"/>
    <col min="782" max="1025" width="9" style="4"/>
    <col min="1026" max="1026" width="11.06640625" style="4" customWidth="1"/>
    <col min="1027" max="1027" width="13.06640625" style="4" customWidth="1"/>
    <col min="1028" max="1028" width="16.06640625" style="4" customWidth="1"/>
    <col min="1029" max="1029" width="10.46484375" style="4" customWidth="1"/>
    <col min="1030" max="1030" width="15" style="4" customWidth="1"/>
    <col min="1031" max="1031" width="9" style="4"/>
    <col min="1032" max="1032" width="15" style="4" customWidth="1"/>
    <col min="1033" max="1033" width="6.33203125" style="4" customWidth="1"/>
    <col min="1034" max="1034" width="12.265625" style="4" customWidth="1"/>
    <col min="1035" max="1035" width="13" style="4" customWidth="1"/>
    <col min="1036" max="1036" width="17.265625" style="4" customWidth="1"/>
    <col min="1037" max="1037" width="20.46484375" style="4" customWidth="1"/>
    <col min="1038" max="1281" width="9" style="4"/>
    <col min="1282" max="1282" width="11.06640625" style="4" customWidth="1"/>
    <col min="1283" max="1283" width="13.06640625" style="4" customWidth="1"/>
    <col min="1284" max="1284" width="16.06640625" style="4" customWidth="1"/>
    <col min="1285" max="1285" width="10.46484375" style="4" customWidth="1"/>
    <col min="1286" max="1286" width="15" style="4" customWidth="1"/>
    <col min="1287" max="1287" width="9" style="4"/>
    <col min="1288" max="1288" width="15" style="4" customWidth="1"/>
    <col min="1289" max="1289" width="6.33203125" style="4" customWidth="1"/>
    <col min="1290" max="1290" width="12.265625" style="4" customWidth="1"/>
    <col min="1291" max="1291" width="13" style="4" customWidth="1"/>
    <col min="1292" max="1292" width="17.265625" style="4" customWidth="1"/>
    <col min="1293" max="1293" width="20.46484375" style="4" customWidth="1"/>
    <col min="1294" max="1537" width="9" style="4"/>
    <col min="1538" max="1538" width="11.06640625" style="4" customWidth="1"/>
    <col min="1539" max="1539" width="13.06640625" style="4" customWidth="1"/>
    <col min="1540" max="1540" width="16.06640625" style="4" customWidth="1"/>
    <col min="1541" max="1541" width="10.46484375" style="4" customWidth="1"/>
    <col min="1542" max="1542" width="15" style="4" customWidth="1"/>
    <col min="1543" max="1543" width="9" style="4"/>
    <col min="1544" max="1544" width="15" style="4" customWidth="1"/>
    <col min="1545" max="1545" width="6.33203125" style="4" customWidth="1"/>
    <col min="1546" max="1546" width="12.265625" style="4" customWidth="1"/>
    <col min="1547" max="1547" width="13" style="4" customWidth="1"/>
    <col min="1548" max="1548" width="17.265625" style="4" customWidth="1"/>
    <col min="1549" max="1549" width="20.46484375" style="4" customWidth="1"/>
    <col min="1550" max="1793" width="9" style="4"/>
    <col min="1794" max="1794" width="11.06640625" style="4" customWidth="1"/>
    <col min="1795" max="1795" width="13.06640625" style="4" customWidth="1"/>
    <col min="1796" max="1796" width="16.06640625" style="4" customWidth="1"/>
    <col min="1797" max="1797" width="10.46484375" style="4" customWidth="1"/>
    <col min="1798" max="1798" width="15" style="4" customWidth="1"/>
    <col min="1799" max="1799" width="9" style="4"/>
    <col min="1800" max="1800" width="15" style="4" customWidth="1"/>
    <col min="1801" max="1801" width="6.33203125" style="4" customWidth="1"/>
    <col min="1802" max="1802" width="12.265625" style="4" customWidth="1"/>
    <col min="1803" max="1803" width="13" style="4" customWidth="1"/>
    <col min="1804" max="1804" width="17.265625" style="4" customWidth="1"/>
    <col min="1805" max="1805" width="20.46484375" style="4" customWidth="1"/>
    <col min="1806" max="2049" width="9" style="4"/>
    <col min="2050" max="2050" width="11.06640625" style="4" customWidth="1"/>
    <col min="2051" max="2051" width="13.06640625" style="4" customWidth="1"/>
    <col min="2052" max="2052" width="16.06640625" style="4" customWidth="1"/>
    <col min="2053" max="2053" width="10.46484375" style="4" customWidth="1"/>
    <col min="2054" max="2054" width="15" style="4" customWidth="1"/>
    <col min="2055" max="2055" width="9" style="4"/>
    <col min="2056" max="2056" width="15" style="4" customWidth="1"/>
    <col min="2057" max="2057" width="6.33203125" style="4" customWidth="1"/>
    <col min="2058" max="2058" width="12.265625" style="4" customWidth="1"/>
    <col min="2059" max="2059" width="13" style="4" customWidth="1"/>
    <col min="2060" max="2060" width="17.265625" style="4" customWidth="1"/>
    <col min="2061" max="2061" width="20.46484375" style="4" customWidth="1"/>
    <col min="2062" max="2305" width="9" style="4"/>
    <col min="2306" max="2306" width="11.06640625" style="4" customWidth="1"/>
    <col min="2307" max="2307" width="13.06640625" style="4" customWidth="1"/>
    <col min="2308" max="2308" width="16.06640625" style="4" customWidth="1"/>
    <col min="2309" max="2309" width="10.46484375" style="4" customWidth="1"/>
    <col min="2310" max="2310" width="15" style="4" customWidth="1"/>
    <col min="2311" max="2311" width="9" style="4"/>
    <col min="2312" max="2312" width="15" style="4" customWidth="1"/>
    <col min="2313" max="2313" width="6.33203125" style="4" customWidth="1"/>
    <col min="2314" max="2314" width="12.265625" style="4" customWidth="1"/>
    <col min="2315" max="2315" width="13" style="4" customWidth="1"/>
    <col min="2316" max="2316" width="17.265625" style="4" customWidth="1"/>
    <col min="2317" max="2317" width="20.46484375" style="4" customWidth="1"/>
    <col min="2318" max="2561" width="9" style="4"/>
    <col min="2562" max="2562" width="11.06640625" style="4" customWidth="1"/>
    <col min="2563" max="2563" width="13.06640625" style="4" customWidth="1"/>
    <col min="2564" max="2564" width="16.06640625" style="4" customWidth="1"/>
    <col min="2565" max="2565" width="10.46484375" style="4" customWidth="1"/>
    <col min="2566" max="2566" width="15" style="4" customWidth="1"/>
    <col min="2567" max="2567" width="9" style="4"/>
    <col min="2568" max="2568" width="15" style="4" customWidth="1"/>
    <col min="2569" max="2569" width="6.33203125" style="4" customWidth="1"/>
    <col min="2570" max="2570" width="12.265625" style="4" customWidth="1"/>
    <col min="2571" max="2571" width="13" style="4" customWidth="1"/>
    <col min="2572" max="2572" width="17.265625" style="4" customWidth="1"/>
    <col min="2573" max="2573" width="20.46484375" style="4" customWidth="1"/>
    <col min="2574" max="2817" width="9" style="4"/>
    <col min="2818" max="2818" width="11.06640625" style="4" customWidth="1"/>
    <col min="2819" max="2819" width="13.06640625" style="4" customWidth="1"/>
    <col min="2820" max="2820" width="16.06640625" style="4" customWidth="1"/>
    <col min="2821" max="2821" width="10.46484375" style="4" customWidth="1"/>
    <col min="2822" max="2822" width="15" style="4" customWidth="1"/>
    <col min="2823" max="2823" width="9" style="4"/>
    <col min="2824" max="2824" width="15" style="4" customWidth="1"/>
    <col min="2825" max="2825" width="6.33203125" style="4" customWidth="1"/>
    <col min="2826" max="2826" width="12.265625" style="4" customWidth="1"/>
    <col min="2827" max="2827" width="13" style="4" customWidth="1"/>
    <col min="2828" max="2828" width="17.265625" style="4" customWidth="1"/>
    <col min="2829" max="2829" width="20.46484375" style="4" customWidth="1"/>
    <col min="2830" max="3073" width="9" style="4"/>
    <col min="3074" max="3074" width="11.06640625" style="4" customWidth="1"/>
    <col min="3075" max="3075" width="13.06640625" style="4" customWidth="1"/>
    <col min="3076" max="3076" width="16.06640625" style="4" customWidth="1"/>
    <col min="3077" max="3077" width="10.46484375" style="4" customWidth="1"/>
    <col min="3078" max="3078" width="15" style="4" customWidth="1"/>
    <col min="3079" max="3079" width="9" style="4"/>
    <col min="3080" max="3080" width="15" style="4" customWidth="1"/>
    <col min="3081" max="3081" width="6.33203125" style="4" customWidth="1"/>
    <col min="3082" max="3082" width="12.265625" style="4" customWidth="1"/>
    <col min="3083" max="3083" width="13" style="4" customWidth="1"/>
    <col min="3084" max="3084" width="17.265625" style="4" customWidth="1"/>
    <col min="3085" max="3085" width="20.46484375" style="4" customWidth="1"/>
    <col min="3086" max="3329" width="9" style="4"/>
    <col min="3330" max="3330" width="11.06640625" style="4" customWidth="1"/>
    <col min="3331" max="3331" width="13.06640625" style="4" customWidth="1"/>
    <col min="3332" max="3332" width="16.06640625" style="4" customWidth="1"/>
    <col min="3333" max="3333" width="10.46484375" style="4" customWidth="1"/>
    <col min="3334" max="3334" width="15" style="4" customWidth="1"/>
    <col min="3335" max="3335" width="9" style="4"/>
    <col min="3336" max="3336" width="15" style="4" customWidth="1"/>
    <col min="3337" max="3337" width="6.33203125" style="4" customWidth="1"/>
    <col min="3338" max="3338" width="12.265625" style="4" customWidth="1"/>
    <col min="3339" max="3339" width="13" style="4" customWidth="1"/>
    <col min="3340" max="3340" width="17.265625" style="4" customWidth="1"/>
    <col min="3341" max="3341" width="20.46484375" style="4" customWidth="1"/>
    <col min="3342" max="3585" width="9" style="4"/>
    <col min="3586" max="3586" width="11.06640625" style="4" customWidth="1"/>
    <col min="3587" max="3587" width="13.06640625" style="4" customWidth="1"/>
    <col min="3588" max="3588" width="16.06640625" style="4" customWidth="1"/>
    <col min="3589" max="3589" width="10.46484375" style="4" customWidth="1"/>
    <col min="3590" max="3590" width="15" style="4" customWidth="1"/>
    <col min="3591" max="3591" width="9" style="4"/>
    <col min="3592" max="3592" width="15" style="4" customWidth="1"/>
    <col min="3593" max="3593" width="6.33203125" style="4" customWidth="1"/>
    <col min="3594" max="3594" width="12.265625" style="4" customWidth="1"/>
    <col min="3595" max="3595" width="13" style="4" customWidth="1"/>
    <col min="3596" max="3596" width="17.265625" style="4" customWidth="1"/>
    <col min="3597" max="3597" width="20.46484375" style="4" customWidth="1"/>
    <col min="3598" max="3841" width="9" style="4"/>
    <col min="3842" max="3842" width="11.06640625" style="4" customWidth="1"/>
    <col min="3843" max="3843" width="13.06640625" style="4" customWidth="1"/>
    <col min="3844" max="3844" width="16.06640625" style="4" customWidth="1"/>
    <col min="3845" max="3845" width="10.46484375" style="4" customWidth="1"/>
    <col min="3846" max="3846" width="15" style="4" customWidth="1"/>
    <col min="3847" max="3847" width="9" style="4"/>
    <col min="3848" max="3848" width="15" style="4" customWidth="1"/>
    <col min="3849" max="3849" width="6.33203125" style="4" customWidth="1"/>
    <col min="3850" max="3850" width="12.265625" style="4" customWidth="1"/>
    <col min="3851" max="3851" width="13" style="4" customWidth="1"/>
    <col min="3852" max="3852" width="17.265625" style="4" customWidth="1"/>
    <col min="3853" max="3853" width="20.46484375" style="4" customWidth="1"/>
    <col min="3854" max="4097" width="9" style="4"/>
    <col min="4098" max="4098" width="11.06640625" style="4" customWidth="1"/>
    <col min="4099" max="4099" width="13.06640625" style="4" customWidth="1"/>
    <col min="4100" max="4100" width="16.06640625" style="4" customWidth="1"/>
    <col min="4101" max="4101" width="10.46484375" style="4" customWidth="1"/>
    <col min="4102" max="4102" width="15" style="4" customWidth="1"/>
    <col min="4103" max="4103" width="9" style="4"/>
    <col min="4104" max="4104" width="15" style="4" customWidth="1"/>
    <col min="4105" max="4105" width="6.33203125" style="4" customWidth="1"/>
    <col min="4106" max="4106" width="12.265625" style="4" customWidth="1"/>
    <col min="4107" max="4107" width="13" style="4" customWidth="1"/>
    <col min="4108" max="4108" width="17.265625" style="4" customWidth="1"/>
    <col min="4109" max="4109" width="20.46484375" style="4" customWidth="1"/>
    <col min="4110" max="4353" width="9" style="4"/>
    <col min="4354" max="4354" width="11.06640625" style="4" customWidth="1"/>
    <col min="4355" max="4355" width="13.06640625" style="4" customWidth="1"/>
    <col min="4356" max="4356" width="16.06640625" style="4" customWidth="1"/>
    <col min="4357" max="4357" width="10.46484375" style="4" customWidth="1"/>
    <col min="4358" max="4358" width="15" style="4" customWidth="1"/>
    <col min="4359" max="4359" width="9" style="4"/>
    <col min="4360" max="4360" width="15" style="4" customWidth="1"/>
    <col min="4361" max="4361" width="6.33203125" style="4" customWidth="1"/>
    <col min="4362" max="4362" width="12.265625" style="4" customWidth="1"/>
    <col min="4363" max="4363" width="13" style="4" customWidth="1"/>
    <col min="4364" max="4364" width="17.265625" style="4" customWidth="1"/>
    <col min="4365" max="4365" width="20.46484375" style="4" customWidth="1"/>
    <col min="4366" max="4609" width="9" style="4"/>
    <col min="4610" max="4610" width="11.06640625" style="4" customWidth="1"/>
    <col min="4611" max="4611" width="13.06640625" style="4" customWidth="1"/>
    <col min="4612" max="4612" width="16.06640625" style="4" customWidth="1"/>
    <col min="4613" max="4613" width="10.46484375" style="4" customWidth="1"/>
    <col min="4614" max="4614" width="15" style="4" customWidth="1"/>
    <col min="4615" max="4615" width="9" style="4"/>
    <col min="4616" max="4616" width="15" style="4" customWidth="1"/>
    <col min="4617" max="4617" width="6.33203125" style="4" customWidth="1"/>
    <col min="4618" max="4618" width="12.265625" style="4" customWidth="1"/>
    <col min="4619" max="4619" width="13" style="4" customWidth="1"/>
    <col min="4620" max="4620" width="17.265625" style="4" customWidth="1"/>
    <col min="4621" max="4621" width="20.46484375" style="4" customWidth="1"/>
    <col min="4622" max="4865" width="9" style="4"/>
    <col min="4866" max="4866" width="11.06640625" style="4" customWidth="1"/>
    <col min="4867" max="4867" width="13.06640625" style="4" customWidth="1"/>
    <col min="4868" max="4868" width="16.06640625" style="4" customWidth="1"/>
    <col min="4869" max="4869" width="10.46484375" style="4" customWidth="1"/>
    <col min="4870" max="4870" width="15" style="4" customWidth="1"/>
    <col min="4871" max="4871" width="9" style="4"/>
    <col min="4872" max="4872" width="15" style="4" customWidth="1"/>
    <col min="4873" max="4873" width="6.33203125" style="4" customWidth="1"/>
    <col min="4874" max="4874" width="12.265625" style="4" customWidth="1"/>
    <col min="4875" max="4875" width="13" style="4" customWidth="1"/>
    <col min="4876" max="4876" width="17.265625" style="4" customWidth="1"/>
    <col min="4877" max="4877" width="20.46484375" style="4" customWidth="1"/>
    <col min="4878" max="5121" width="9" style="4"/>
    <col min="5122" max="5122" width="11.06640625" style="4" customWidth="1"/>
    <col min="5123" max="5123" width="13.06640625" style="4" customWidth="1"/>
    <col min="5124" max="5124" width="16.06640625" style="4" customWidth="1"/>
    <col min="5125" max="5125" width="10.46484375" style="4" customWidth="1"/>
    <col min="5126" max="5126" width="15" style="4" customWidth="1"/>
    <col min="5127" max="5127" width="9" style="4"/>
    <col min="5128" max="5128" width="15" style="4" customWidth="1"/>
    <col min="5129" max="5129" width="6.33203125" style="4" customWidth="1"/>
    <col min="5130" max="5130" width="12.265625" style="4" customWidth="1"/>
    <col min="5131" max="5131" width="13" style="4" customWidth="1"/>
    <col min="5132" max="5132" width="17.265625" style="4" customWidth="1"/>
    <col min="5133" max="5133" width="20.46484375" style="4" customWidth="1"/>
    <col min="5134" max="5377" width="9" style="4"/>
    <col min="5378" max="5378" width="11.06640625" style="4" customWidth="1"/>
    <col min="5379" max="5379" width="13.06640625" style="4" customWidth="1"/>
    <col min="5380" max="5380" width="16.06640625" style="4" customWidth="1"/>
    <col min="5381" max="5381" width="10.46484375" style="4" customWidth="1"/>
    <col min="5382" max="5382" width="15" style="4" customWidth="1"/>
    <col min="5383" max="5383" width="9" style="4"/>
    <col min="5384" max="5384" width="15" style="4" customWidth="1"/>
    <col min="5385" max="5385" width="6.33203125" style="4" customWidth="1"/>
    <col min="5386" max="5386" width="12.265625" style="4" customWidth="1"/>
    <col min="5387" max="5387" width="13" style="4" customWidth="1"/>
    <col min="5388" max="5388" width="17.265625" style="4" customWidth="1"/>
    <col min="5389" max="5389" width="20.46484375" style="4" customWidth="1"/>
    <col min="5390" max="5633" width="9" style="4"/>
    <col min="5634" max="5634" width="11.06640625" style="4" customWidth="1"/>
    <col min="5635" max="5635" width="13.06640625" style="4" customWidth="1"/>
    <col min="5636" max="5636" width="16.06640625" style="4" customWidth="1"/>
    <col min="5637" max="5637" width="10.46484375" style="4" customWidth="1"/>
    <col min="5638" max="5638" width="15" style="4" customWidth="1"/>
    <col min="5639" max="5639" width="9" style="4"/>
    <col min="5640" max="5640" width="15" style="4" customWidth="1"/>
    <col min="5641" max="5641" width="6.33203125" style="4" customWidth="1"/>
    <col min="5642" max="5642" width="12.265625" style="4" customWidth="1"/>
    <col min="5643" max="5643" width="13" style="4" customWidth="1"/>
    <col min="5644" max="5644" width="17.265625" style="4" customWidth="1"/>
    <col min="5645" max="5645" width="20.46484375" style="4" customWidth="1"/>
    <col min="5646" max="5889" width="9" style="4"/>
    <col min="5890" max="5890" width="11.06640625" style="4" customWidth="1"/>
    <col min="5891" max="5891" width="13.06640625" style="4" customWidth="1"/>
    <col min="5892" max="5892" width="16.06640625" style="4" customWidth="1"/>
    <col min="5893" max="5893" width="10.46484375" style="4" customWidth="1"/>
    <col min="5894" max="5894" width="15" style="4" customWidth="1"/>
    <col min="5895" max="5895" width="9" style="4"/>
    <col min="5896" max="5896" width="15" style="4" customWidth="1"/>
    <col min="5897" max="5897" width="6.33203125" style="4" customWidth="1"/>
    <col min="5898" max="5898" width="12.265625" style="4" customWidth="1"/>
    <col min="5899" max="5899" width="13" style="4" customWidth="1"/>
    <col min="5900" max="5900" width="17.265625" style="4" customWidth="1"/>
    <col min="5901" max="5901" width="20.46484375" style="4" customWidth="1"/>
    <col min="5902" max="6145" width="9" style="4"/>
    <col min="6146" max="6146" width="11.06640625" style="4" customWidth="1"/>
    <col min="6147" max="6147" width="13.06640625" style="4" customWidth="1"/>
    <col min="6148" max="6148" width="16.06640625" style="4" customWidth="1"/>
    <col min="6149" max="6149" width="10.46484375" style="4" customWidth="1"/>
    <col min="6150" max="6150" width="15" style="4" customWidth="1"/>
    <col min="6151" max="6151" width="9" style="4"/>
    <col min="6152" max="6152" width="15" style="4" customWidth="1"/>
    <col min="6153" max="6153" width="6.33203125" style="4" customWidth="1"/>
    <col min="6154" max="6154" width="12.265625" style="4" customWidth="1"/>
    <col min="6155" max="6155" width="13" style="4" customWidth="1"/>
    <col min="6156" max="6156" width="17.265625" style="4" customWidth="1"/>
    <col min="6157" max="6157" width="20.46484375" style="4" customWidth="1"/>
    <col min="6158" max="6401" width="9" style="4"/>
    <col min="6402" max="6402" width="11.06640625" style="4" customWidth="1"/>
    <col min="6403" max="6403" width="13.06640625" style="4" customWidth="1"/>
    <col min="6404" max="6404" width="16.06640625" style="4" customWidth="1"/>
    <col min="6405" max="6405" width="10.46484375" style="4" customWidth="1"/>
    <col min="6406" max="6406" width="15" style="4" customWidth="1"/>
    <col min="6407" max="6407" width="9" style="4"/>
    <col min="6408" max="6408" width="15" style="4" customWidth="1"/>
    <col min="6409" max="6409" width="6.33203125" style="4" customWidth="1"/>
    <col min="6410" max="6410" width="12.265625" style="4" customWidth="1"/>
    <col min="6411" max="6411" width="13" style="4" customWidth="1"/>
    <col min="6412" max="6412" width="17.265625" style="4" customWidth="1"/>
    <col min="6413" max="6413" width="20.46484375" style="4" customWidth="1"/>
    <col min="6414" max="6657" width="9" style="4"/>
    <col min="6658" max="6658" width="11.06640625" style="4" customWidth="1"/>
    <col min="6659" max="6659" width="13.06640625" style="4" customWidth="1"/>
    <col min="6660" max="6660" width="16.06640625" style="4" customWidth="1"/>
    <col min="6661" max="6661" width="10.46484375" style="4" customWidth="1"/>
    <col min="6662" max="6662" width="15" style="4" customWidth="1"/>
    <col min="6663" max="6663" width="9" style="4"/>
    <col min="6664" max="6664" width="15" style="4" customWidth="1"/>
    <col min="6665" max="6665" width="6.33203125" style="4" customWidth="1"/>
    <col min="6666" max="6666" width="12.265625" style="4" customWidth="1"/>
    <col min="6667" max="6667" width="13" style="4" customWidth="1"/>
    <col min="6668" max="6668" width="17.265625" style="4" customWidth="1"/>
    <col min="6669" max="6669" width="20.46484375" style="4" customWidth="1"/>
    <col min="6670" max="6913" width="9" style="4"/>
    <col min="6914" max="6914" width="11.06640625" style="4" customWidth="1"/>
    <col min="6915" max="6915" width="13.06640625" style="4" customWidth="1"/>
    <col min="6916" max="6916" width="16.06640625" style="4" customWidth="1"/>
    <col min="6917" max="6917" width="10.46484375" style="4" customWidth="1"/>
    <col min="6918" max="6918" width="15" style="4" customWidth="1"/>
    <col min="6919" max="6919" width="9" style="4"/>
    <col min="6920" max="6920" width="15" style="4" customWidth="1"/>
    <col min="6921" max="6921" width="6.33203125" style="4" customWidth="1"/>
    <col min="6922" max="6922" width="12.265625" style="4" customWidth="1"/>
    <col min="6923" max="6923" width="13" style="4" customWidth="1"/>
    <col min="6924" max="6924" width="17.265625" style="4" customWidth="1"/>
    <col min="6925" max="6925" width="20.46484375" style="4" customWidth="1"/>
    <col min="6926" max="7169" width="9" style="4"/>
    <col min="7170" max="7170" width="11.06640625" style="4" customWidth="1"/>
    <col min="7171" max="7171" width="13.06640625" style="4" customWidth="1"/>
    <col min="7172" max="7172" width="16.06640625" style="4" customWidth="1"/>
    <col min="7173" max="7173" width="10.46484375" style="4" customWidth="1"/>
    <col min="7174" max="7174" width="15" style="4" customWidth="1"/>
    <col min="7175" max="7175" width="9" style="4"/>
    <col min="7176" max="7176" width="15" style="4" customWidth="1"/>
    <col min="7177" max="7177" width="6.33203125" style="4" customWidth="1"/>
    <col min="7178" max="7178" width="12.265625" style="4" customWidth="1"/>
    <col min="7179" max="7179" width="13" style="4" customWidth="1"/>
    <col min="7180" max="7180" width="17.265625" style="4" customWidth="1"/>
    <col min="7181" max="7181" width="20.46484375" style="4" customWidth="1"/>
    <col min="7182" max="7425" width="9" style="4"/>
    <col min="7426" max="7426" width="11.06640625" style="4" customWidth="1"/>
    <col min="7427" max="7427" width="13.06640625" style="4" customWidth="1"/>
    <col min="7428" max="7428" width="16.06640625" style="4" customWidth="1"/>
    <col min="7429" max="7429" width="10.46484375" style="4" customWidth="1"/>
    <col min="7430" max="7430" width="15" style="4" customWidth="1"/>
    <col min="7431" max="7431" width="9" style="4"/>
    <col min="7432" max="7432" width="15" style="4" customWidth="1"/>
    <col min="7433" max="7433" width="6.33203125" style="4" customWidth="1"/>
    <col min="7434" max="7434" width="12.265625" style="4" customWidth="1"/>
    <col min="7435" max="7435" width="13" style="4" customWidth="1"/>
    <col min="7436" max="7436" width="17.265625" style="4" customWidth="1"/>
    <col min="7437" max="7437" width="20.46484375" style="4" customWidth="1"/>
    <col min="7438" max="7681" width="9" style="4"/>
    <col min="7682" max="7682" width="11.06640625" style="4" customWidth="1"/>
    <col min="7683" max="7683" width="13.06640625" style="4" customWidth="1"/>
    <col min="7684" max="7684" width="16.06640625" style="4" customWidth="1"/>
    <col min="7685" max="7685" width="10.46484375" style="4" customWidth="1"/>
    <col min="7686" max="7686" width="15" style="4" customWidth="1"/>
    <col min="7687" max="7687" width="9" style="4"/>
    <col min="7688" max="7688" width="15" style="4" customWidth="1"/>
    <col min="7689" max="7689" width="6.33203125" style="4" customWidth="1"/>
    <col min="7690" max="7690" width="12.265625" style="4" customWidth="1"/>
    <col min="7691" max="7691" width="13" style="4" customWidth="1"/>
    <col min="7692" max="7692" width="17.265625" style="4" customWidth="1"/>
    <col min="7693" max="7693" width="20.46484375" style="4" customWidth="1"/>
    <col min="7694" max="7937" width="9" style="4"/>
    <col min="7938" max="7938" width="11.06640625" style="4" customWidth="1"/>
    <col min="7939" max="7939" width="13.06640625" style="4" customWidth="1"/>
    <col min="7940" max="7940" width="16.06640625" style="4" customWidth="1"/>
    <col min="7941" max="7941" width="10.46484375" style="4" customWidth="1"/>
    <col min="7942" max="7942" width="15" style="4" customWidth="1"/>
    <col min="7943" max="7943" width="9" style="4"/>
    <col min="7944" max="7944" width="15" style="4" customWidth="1"/>
    <col min="7945" max="7945" width="6.33203125" style="4" customWidth="1"/>
    <col min="7946" max="7946" width="12.265625" style="4" customWidth="1"/>
    <col min="7947" max="7947" width="13" style="4" customWidth="1"/>
    <col min="7948" max="7948" width="17.265625" style="4" customWidth="1"/>
    <col min="7949" max="7949" width="20.46484375" style="4" customWidth="1"/>
    <col min="7950" max="8193" width="9" style="4"/>
    <col min="8194" max="8194" width="11.06640625" style="4" customWidth="1"/>
    <col min="8195" max="8195" width="13.06640625" style="4" customWidth="1"/>
    <col min="8196" max="8196" width="16.06640625" style="4" customWidth="1"/>
    <col min="8197" max="8197" width="10.46484375" style="4" customWidth="1"/>
    <col min="8198" max="8198" width="15" style="4" customWidth="1"/>
    <col min="8199" max="8199" width="9" style="4"/>
    <col min="8200" max="8200" width="15" style="4" customWidth="1"/>
    <col min="8201" max="8201" width="6.33203125" style="4" customWidth="1"/>
    <col min="8202" max="8202" width="12.265625" style="4" customWidth="1"/>
    <col min="8203" max="8203" width="13" style="4" customWidth="1"/>
    <col min="8204" max="8204" width="17.265625" style="4" customWidth="1"/>
    <col min="8205" max="8205" width="20.46484375" style="4" customWidth="1"/>
    <col min="8206" max="8449" width="9" style="4"/>
    <col min="8450" max="8450" width="11.06640625" style="4" customWidth="1"/>
    <col min="8451" max="8451" width="13.06640625" style="4" customWidth="1"/>
    <col min="8452" max="8452" width="16.06640625" style="4" customWidth="1"/>
    <col min="8453" max="8453" width="10.46484375" style="4" customWidth="1"/>
    <col min="8454" max="8454" width="15" style="4" customWidth="1"/>
    <col min="8455" max="8455" width="9" style="4"/>
    <col min="8456" max="8456" width="15" style="4" customWidth="1"/>
    <col min="8457" max="8457" width="6.33203125" style="4" customWidth="1"/>
    <col min="8458" max="8458" width="12.265625" style="4" customWidth="1"/>
    <col min="8459" max="8459" width="13" style="4" customWidth="1"/>
    <col min="8460" max="8460" width="17.265625" style="4" customWidth="1"/>
    <col min="8461" max="8461" width="20.46484375" style="4" customWidth="1"/>
    <col min="8462" max="8705" width="9" style="4"/>
    <col min="8706" max="8706" width="11.06640625" style="4" customWidth="1"/>
    <col min="8707" max="8707" width="13.06640625" style="4" customWidth="1"/>
    <col min="8708" max="8708" width="16.06640625" style="4" customWidth="1"/>
    <col min="8709" max="8709" width="10.46484375" style="4" customWidth="1"/>
    <col min="8710" max="8710" width="15" style="4" customWidth="1"/>
    <col min="8711" max="8711" width="9" style="4"/>
    <col min="8712" max="8712" width="15" style="4" customWidth="1"/>
    <col min="8713" max="8713" width="6.33203125" style="4" customWidth="1"/>
    <col min="8714" max="8714" width="12.265625" style="4" customWidth="1"/>
    <col min="8715" max="8715" width="13" style="4" customWidth="1"/>
    <col min="8716" max="8716" width="17.265625" style="4" customWidth="1"/>
    <col min="8717" max="8717" width="20.46484375" style="4" customWidth="1"/>
    <col min="8718" max="8961" width="9" style="4"/>
    <col min="8962" max="8962" width="11.06640625" style="4" customWidth="1"/>
    <col min="8963" max="8963" width="13.06640625" style="4" customWidth="1"/>
    <col min="8964" max="8964" width="16.06640625" style="4" customWidth="1"/>
    <col min="8965" max="8965" width="10.46484375" style="4" customWidth="1"/>
    <col min="8966" max="8966" width="15" style="4" customWidth="1"/>
    <col min="8967" max="8967" width="9" style="4"/>
    <col min="8968" max="8968" width="15" style="4" customWidth="1"/>
    <col min="8969" max="8969" width="6.33203125" style="4" customWidth="1"/>
    <col min="8970" max="8970" width="12.265625" style="4" customWidth="1"/>
    <col min="8971" max="8971" width="13" style="4" customWidth="1"/>
    <col min="8972" max="8972" width="17.265625" style="4" customWidth="1"/>
    <col min="8973" max="8973" width="20.46484375" style="4" customWidth="1"/>
    <col min="8974" max="9217" width="9" style="4"/>
    <col min="9218" max="9218" width="11.06640625" style="4" customWidth="1"/>
    <col min="9219" max="9219" width="13.06640625" style="4" customWidth="1"/>
    <col min="9220" max="9220" width="16.06640625" style="4" customWidth="1"/>
    <col min="9221" max="9221" width="10.46484375" style="4" customWidth="1"/>
    <col min="9222" max="9222" width="15" style="4" customWidth="1"/>
    <col min="9223" max="9223" width="9" style="4"/>
    <col min="9224" max="9224" width="15" style="4" customWidth="1"/>
    <col min="9225" max="9225" width="6.33203125" style="4" customWidth="1"/>
    <col min="9226" max="9226" width="12.265625" style="4" customWidth="1"/>
    <col min="9227" max="9227" width="13" style="4" customWidth="1"/>
    <col min="9228" max="9228" width="17.265625" style="4" customWidth="1"/>
    <col min="9229" max="9229" width="20.46484375" style="4" customWidth="1"/>
    <col min="9230" max="9473" width="9" style="4"/>
    <col min="9474" max="9474" width="11.06640625" style="4" customWidth="1"/>
    <col min="9475" max="9475" width="13.06640625" style="4" customWidth="1"/>
    <col min="9476" max="9476" width="16.06640625" style="4" customWidth="1"/>
    <col min="9477" max="9477" width="10.46484375" style="4" customWidth="1"/>
    <col min="9478" max="9478" width="15" style="4" customWidth="1"/>
    <col min="9479" max="9479" width="9" style="4"/>
    <col min="9480" max="9480" width="15" style="4" customWidth="1"/>
    <col min="9481" max="9481" width="6.33203125" style="4" customWidth="1"/>
    <col min="9482" max="9482" width="12.265625" style="4" customWidth="1"/>
    <col min="9483" max="9483" width="13" style="4" customWidth="1"/>
    <col min="9484" max="9484" width="17.265625" style="4" customWidth="1"/>
    <col min="9485" max="9485" width="20.46484375" style="4" customWidth="1"/>
    <col min="9486" max="9729" width="9" style="4"/>
    <col min="9730" max="9730" width="11.06640625" style="4" customWidth="1"/>
    <col min="9731" max="9731" width="13.06640625" style="4" customWidth="1"/>
    <col min="9732" max="9732" width="16.06640625" style="4" customWidth="1"/>
    <col min="9733" max="9733" width="10.46484375" style="4" customWidth="1"/>
    <col min="9734" max="9734" width="15" style="4" customWidth="1"/>
    <col min="9735" max="9735" width="9" style="4"/>
    <col min="9736" max="9736" width="15" style="4" customWidth="1"/>
    <col min="9737" max="9737" width="6.33203125" style="4" customWidth="1"/>
    <col min="9738" max="9738" width="12.265625" style="4" customWidth="1"/>
    <col min="9739" max="9739" width="13" style="4" customWidth="1"/>
    <col min="9740" max="9740" width="17.265625" style="4" customWidth="1"/>
    <col min="9741" max="9741" width="20.46484375" style="4" customWidth="1"/>
    <col min="9742" max="9985" width="9" style="4"/>
    <col min="9986" max="9986" width="11.06640625" style="4" customWidth="1"/>
    <col min="9987" max="9987" width="13.06640625" style="4" customWidth="1"/>
    <col min="9988" max="9988" width="16.06640625" style="4" customWidth="1"/>
    <col min="9989" max="9989" width="10.46484375" style="4" customWidth="1"/>
    <col min="9990" max="9990" width="15" style="4" customWidth="1"/>
    <col min="9991" max="9991" width="9" style="4"/>
    <col min="9992" max="9992" width="15" style="4" customWidth="1"/>
    <col min="9993" max="9993" width="6.33203125" style="4" customWidth="1"/>
    <col min="9994" max="9994" width="12.265625" style="4" customWidth="1"/>
    <col min="9995" max="9995" width="13" style="4" customWidth="1"/>
    <col min="9996" max="9996" width="17.265625" style="4" customWidth="1"/>
    <col min="9997" max="9997" width="20.46484375" style="4" customWidth="1"/>
    <col min="9998" max="10241" width="9" style="4"/>
    <col min="10242" max="10242" width="11.06640625" style="4" customWidth="1"/>
    <col min="10243" max="10243" width="13.06640625" style="4" customWidth="1"/>
    <col min="10244" max="10244" width="16.06640625" style="4" customWidth="1"/>
    <col min="10245" max="10245" width="10.46484375" style="4" customWidth="1"/>
    <col min="10246" max="10246" width="15" style="4" customWidth="1"/>
    <col min="10247" max="10247" width="9" style="4"/>
    <col min="10248" max="10248" width="15" style="4" customWidth="1"/>
    <col min="10249" max="10249" width="6.33203125" style="4" customWidth="1"/>
    <col min="10250" max="10250" width="12.265625" style="4" customWidth="1"/>
    <col min="10251" max="10251" width="13" style="4" customWidth="1"/>
    <col min="10252" max="10252" width="17.265625" style="4" customWidth="1"/>
    <col min="10253" max="10253" width="20.46484375" style="4" customWidth="1"/>
    <col min="10254" max="10497" width="9" style="4"/>
    <col min="10498" max="10498" width="11.06640625" style="4" customWidth="1"/>
    <col min="10499" max="10499" width="13.06640625" style="4" customWidth="1"/>
    <col min="10500" max="10500" width="16.06640625" style="4" customWidth="1"/>
    <col min="10501" max="10501" width="10.46484375" style="4" customWidth="1"/>
    <col min="10502" max="10502" width="15" style="4" customWidth="1"/>
    <col min="10503" max="10503" width="9" style="4"/>
    <col min="10504" max="10504" width="15" style="4" customWidth="1"/>
    <col min="10505" max="10505" width="6.33203125" style="4" customWidth="1"/>
    <col min="10506" max="10506" width="12.265625" style="4" customWidth="1"/>
    <col min="10507" max="10507" width="13" style="4" customWidth="1"/>
    <col min="10508" max="10508" width="17.265625" style="4" customWidth="1"/>
    <col min="10509" max="10509" width="20.46484375" style="4" customWidth="1"/>
    <col min="10510" max="10753" width="9" style="4"/>
    <col min="10754" max="10754" width="11.06640625" style="4" customWidth="1"/>
    <col min="10755" max="10755" width="13.06640625" style="4" customWidth="1"/>
    <col min="10756" max="10756" width="16.06640625" style="4" customWidth="1"/>
    <col min="10757" max="10757" width="10.46484375" style="4" customWidth="1"/>
    <col min="10758" max="10758" width="15" style="4" customWidth="1"/>
    <col min="10759" max="10759" width="9" style="4"/>
    <col min="10760" max="10760" width="15" style="4" customWidth="1"/>
    <col min="10761" max="10761" width="6.33203125" style="4" customWidth="1"/>
    <col min="10762" max="10762" width="12.265625" style="4" customWidth="1"/>
    <col min="10763" max="10763" width="13" style="4" customWidth="1"/>
    <col min="10764" max="10764" width="17.265625" style="4" customWidth="1"/>
    <col min="10765" max="10765" width="20.46484375" style="4" customWidth="1"/>
    <col min="10766" max="11009" width="9" style="4"/>
    <col min="11010" max="11010" width="11.06640625" style="4" customWidth="1"/>
    <col min="11011" max="11011" width="13.06640625" style="4" customWidth="1"/>
    <col min="11012" max="11012" width="16.06640625" style="4" customWidth="1"/>
    <col min="11013" max="11013" width="10.46484375" style="4" customWidth="1"/>
    <col min="11014" max="11014" width="15" style="4" customWidth="1"/>
    <col min="11015" max="11015" width="9" style="4"/>
    <col min="11016" max="11016" width="15" style="4" customWidth="1"/>
    <col min="11017" max="11017" width="6.33203125" style="4" customWidth="1"/>
    <col min="11018" max="11018" width="12.265625" style="4" customWidth="1"/>
    <col min="11019" max="11019" width="13" style="4" customWidth="1"/>
    <col min="11020" max="11020" width="17.265625" style="4" customWidth="1"/>
    <col min="11021" max="11021" width="20.46484375" style="4" customWidth="1"/>
    <col min="11022" max="11265" width="9" style="4"/>
    <col min="11266" max="11266" width="11.06640625" style="4" customWidth="1"/>
    <col min="11267" max="11267" width="13.06640625" style="4" customWidth="1"/>
    <col min="11268" max="11268" width="16.06640625" style="4" customWidth="1"/>
    <col min="11269" max="11269" width="10.46484375" style="4" customWidth="1"/>
    <col min="11270" max="11270" width="15" style="4" customWidth="1"/>
    <col min="11271" max="11271" width="9" style="4"/>
    <col min="11272" max="11272" width="15" style="4" customWidth="1"/>
    <col min="11273" max="11273" width="6.33203125" style="4" customWidth="1"/>
    <col min="11274" max="11274" width="12.265625" style="4" customWidth="1"/>
    <col min="11275" max="11275" width="13" style="4" customWidth="1"/>
    <col min="11276" max="11276" width="17.265625" style="4" customWidth="1"/>
    <col min="11277" max="11277" width="20.46484375" style="4" customWidth="1"/>
    <col min="11278" max="11521" width="9" style="4"/>
    <col min="11522" max="11522" width="11.06640625" style="4" customWidth="1"/>
    <col min="11523" max="11523" width="13.06640625" style="4" customWidth="1"/>
    <col min="11524" max="11524" width="16.06640625" style="4" customWidth="1"/>
    <col min="11525" max="11525" width="10.46484375" style="4" customWidth="1"/>
    <col min="11526" max="11526" width="15" style="4" customWidth="1"/>
    <col min="11527" max="11527" width="9" style="4"/>
    <col min="11528" max="11528" width="15" style="4" customWidth="1"/>
    <col min="11529" max="11529" width="6.33203125" style="4" customWidth="1"/>
    <col min="11530" max="11530" width="12.265625" style="4" customWidth="1"/>
    <col min="11531" max="11531" width="13" style="4" customWidth="1"/>
    <col min="11532" max="11532" width="17.265625" style="4" customWidth="1"/>
    <col min="11533" max="11533" width="20.46484375" style="4" customWidth="1"/>
    <col min="11534" max="11777" width="9" style="4"/>
    <col min="11778" max="11778" width="11.06640625" style="4" customWidth="1"/>
    <col min="11779" max="11779" width="13.06640625" style="4" customWidth="1"/>
    <col min="11780" max="11780" width="16.06640625" style="4" customWidth="1"/>
    <col min="11781" max="11781" width="10.46484375" style="4" customWidth="1"/>
    <col min="11782" max="11782" width="15" style="4" customWidth="1"/>
    <col min="11783" max="11783" width="9" style="4"/>
    <col min="11784" max="11784" width="15" style="4" customWidth="1"/>
    <col min="11785" max="11785" width="6.33203125" style="4" customWidth="1"/>
    <col min="11786" max="11786" width="12.265625" style="4" customWidth="1"/>
    <col min="11787" max="11787" width="13" style="4" customWidth="1"/>
    <col min="11788" max="11788" width="17.265625" style="4" customWidth="1"/>
    <col min="11789" max="11789" width="20.46484375" style="4" customWidth="1"/>
    <col min="11790" max="12033" width="9" style="4"/>
    <col min="12034" max="12034" width="11.06640625" style="4" customWidth="1"/>
    <col min="12035" max="12035" width="13.06640625" style="4" customWidth="1"/>
    <col min="12036" max="12036" width="16.06640625" style="4" customWidth="1"/>
    <col min="12037" max="12037" width="10.46484375" style="4" customWidth="1"/>
    <col min="12038" max="12038" width="15" style="4" customWidth="1"/>
    <col min="12039" max="12039" width="9" style="4"/>
    <col min="12040" max="12040" width="15" style="4" customWidth="1"/>
    <col min="12041" max="12041" width="6.33203125" style="4" customWidth="1"/>
    <col min="12042" max="12042" width="12.265625" style="4" customWidth="1"/>
    <col min="12043" max="12043" width="13" style="4" customWidth="1"/>
    <col min="12044" max="12044" width="17.265625" style="4" customWidth="1"/>
    <col min="12045" max="12045" width="20.46484375" style="4" customWidth="1"/>
    <col min="12046" max="12289" width="9" style="4"/>
    <col min="12290" max="12290" width="11.06640625" style="4" customWidth="1"/>
    <col min="12291" max="12291" width="13.06640625" style="4" customWidth="1"/>
    <col min="12292" max="12292" width="16.06640625" style="4" customWidth="1"/>
    <col min="12293" max="12293" width="10.46484375" style="4" customWidth="1"/>
    <col min="12294" max="12294" width="15" style="4" customWidth="1"/>
    <col min="12295" max="12295" width="9" style="4"/>
    <col min="12296" max="12296" width="15" style="4" customWidth="1"/>
    <col min="12297" max="12297" width="6.33203125" style="4" customWidth="1"/>
    <col min="12298" max="12298" width="12.265625" style="4" customWidth="1"/>
    <col min="12299" max="12299" width="13" style="4" customWidth="1"/>
    <col min="12300" max="12300" width="17.265625" style="4" customWidth="1"/>
    <col min="12301" max="12301" width="20.46484375" style="4" customWidth="1"/>
    <col min="12302" max="12545" width="9" style="4"/>
    <col min="12546" max="12546" width="11.06640625" style="4" customWidth="1"/>
    <col min="12547" max="12547" width="13.06640625" style="4" customWidth="1"/>
    <col min="12548" max="12548" width="16.06640625" style="4" customWidth="1"/>
    <col min="12549" max="12549" width="10.46484375" style="4" customWidth="1"/>
    <col min="12550" max="12550" width="15" style="4" customWidth="1"/>
    <col min="12551" max="12551" width="9" style="4"/>
    <col min="12552" max="12552" width="15" style="4" customWidth="1"/>
    <col min="12553" max="12553" width="6.33203125" style="4" customWidth="1"/>
    <col min="12554" max="12554" width="12.265625" style="4" customWidth="1"/>
    <col min="12555" max="12555" width="13" style="4" customWidth="1"/>
    <col min="12556" max="12556" width="17.265625" style="4" customWidth="1"/>
    <col min="12557" max="12557" width="20.46484375" style="4" customWidth="1"/>
    <col min="12558" max="12801" width="9" style="4"/>
    <col min="12802" max="12802" width="11.06640625" style="4" customWidth="1"/>
    <col min="12803" max="12803" width="13.06640625" style="4" customWidth="1"/>
    <col min="12804" max="12804" width="16.06640625" style="4" customWidth="1"/>
    <col min="12805" max="12805" width="10.46484375" style="4" customWidth="1"/>
    <col min="12806" max="12806" width="15" style="4" customWidth="1"/>
    <col min="12807" max="12807" width="9" style="4"/>
    <col min="12808" max="12808" width="15" style="4" customWidth="1"/>
    <col min="12809" max="12809" width="6.33203125" style="4" customWidth="1"/>
    <col min="12810" max="12810" width="12.265625" style="4" customWidth="1"/>
    <col min="12811" max="12811" width="13" style="4" customWidth="1"/>
    <col min="12812" max="12812" width="17.265625" style="4" customWidth="1"/>
    <col min="12813" max="12813" width="20.46484375" style="4" customWidth="1"/>
    <col min="12814" max="13057" width="9" style="4"/>
    <col min="13058" max="13058" width="11.06640625" style="4" customWidth="1"/>
    <col min="13059" max="13059" width="13.06640625" style="4" customWidth="1"/>
    <col min="13060" max="13060" width="16.06640625" style="4" customWidth="1"/>
    <col min="13061" max="13061" width="10.46484375" style="4" customWidth="1"/>
    <col min="13062" max="13062" width="15" style="4" customWidth="1"/>
    <col min="13063" max="13063" width="9" style="4"/>
    <col min="13064" max="13064" width="15" style="4" customWidth="1"/>
    <col min="13065" max="13065" width="6.33203125" style="4" customWidth="1"/>
    <col min="13066" max="13066" width="12.265625" style="4" customWidth="1"/>
    <col min="13067" max="13067" width="13" style="4" customWidth="1"/>
    <col min="13068" max="13068" width="17.265625" style="4" customWidth="1"/>
    <col min="13069" max="13069" width="20.46484375" style="4" customWidth="1"/>
    <col min="13070" max="13313" width="9" style="4"/>
    <col min="13314" max="13314" width="11.06640625" style="4" customWidth="1"/>
    <col min="13315" max="13315" width="13.06640625" style="4" customWidth="1"/>
    <col min="13316" max="13316" width="16.06640625" style="4" customWidth="1"/>
    <col min="13317" max="13317" width="10.46484375" style="4" customWidth="1"/>
    <col min="13318" max="13318" width="15" style="4" customWidth="1"/>
    <col min="13319" max="13319" width="9" style="4"/>
    <col min="13320" max="13320" width="15" style="4" customWidth="1"/>
    <col min="13321" max="13321" width="6.33203125" style="4" customWidth="1"/>
    <col min="13322" max="13322" width="12.265625" style="4" customWidth="1"/>
    <col min="13323" max="13323" width="13" style="4" customWidth="1"/>
    <col min="13324" max="13324" width="17.265625" style="4" customWidth="1"/>
    <col min="13325" max="13325" width="20.46484375" style="4" customWidth="1"/>
    <col min="13326" max="13569" width="9" style="4"/>
    <col min="13570" max="13570" width="11.06640625" style="4" customWidth="1"/>
    <col min="13571" max="13571" width="13.06640625" style="4" customWidth="1"/>
    <col min="13572" max="13572" width="16.06640625" style="4" customWidth="1"/>
    <col min="13573" max="13573" width="10.46484375" style="4" customWidth="1"/>
    <col min="13574" max="13574" width="15" style="4" customWidth="1"/>
    <col min="13575" max="13575" width="9" style="4"/>
    <col min="13576" max="13576" width="15" style="4" customWidth="1"/>
    <col min="13577" max="13577" width="6.33203125" style="4" customWidth="1"/>
    <col min="13578" max="13578" width="12.265625" style="4" customWidth="1"/>
    <col min="13579" max="13579" width="13" style="4" customWidth="1"/>
    <col min="13580" max="13580" width="17.265625" style="4" customWidth="1"/>
    <col min="13581" max="13581" width="20.46484375" style="4" customWidth="1"/>
    <col min="13582" max="13825" width="9" style="4"/>
    <col min="13826" max="13826" width="11.06640625" style="4" customWidth="1"/>
    <col min="13827" max="13827" width="13.06640625" style="4" customWidth="1"/>
    <col min="13828" max="13828" width="16.06640625" style="4" customWidth="1"/>
    <col min="13829" max="13829" width="10.46484375" style="4" customWidth="1"/>
    <col min="13830" max="13830" width="15" style="4" customWidth="1"/>
    <col min="13831" max="13831" width="9" style="4"/>
    <col min="13832" max="13832" width="15" style="4" customWidth="1"/>
    <col min="13833" max="13833" width="6.33203125" style="4" customWidth="1"/>
    <col min="13834" max="13834" width="12.265625" style="4" customWidth="1"/>
    <col min="13835" max="13835" width="13" style="4" customWidth="1"/>
    <col min="13836" max="13836" width="17.265625" style="4" customWidth="1"/>
    <col min="13837" max="13837" width="20.46484375" style="4" customWidth="1"/>
    <col min="13838" max="14081" width="9" style="4"/>
    <col min="14082" max="14082" width="11.06640625" style="4" customWidth="1"/>
    <col min="14083" max="14083" width="13.06640625" style="4" customWidth="1"/>
    <col min="14084" max="14084" width="16.06640625" style="4" customWidth="1"/>
    <col min="14085" max="14085" width="10.46484375" style="4" customWidth="1"/>
    <col min="14086" max="14086" width="15" style="4" customWidth="1"/>
    <col min="14087" max="14087" width="9" style="4"/>
    <col min="14088" max="14088" width="15" style="4" customWidth="1"/>
    <col min="14089" max="14089" width="6.33203125" style="4" customWidth="1"/>
    <col min="14090" max="14090" width="12.265625" style="4" customWidth="1"/>
    <col min="14091" max="14091" width="13" style="4" customWidth="1"/>
    <col min="14092" max="14092" width="17.265625" style="4" customWidth="1"/>
    <col min="14093" max="14093" width="20.46484375" style="4" customWidth="1"/>
    <col min="14094" max="14337" width="9" style="4"/>
    <col min="14338" max="14338" width="11.06640625" style="4" customWidth="1"/>
    <col min="14339" max="14339" width="13.06640625" style="4" customWidth="1"/>
    <col min="14340" max="14340" width="16.06640625" style="4" customWidth="1"/>
    <col min="14341" max="14341" width="10.46484375" style="4" customWidth="1"/>
    <col min="14342" max="14342" width="15" style="4" customWidth="1"/>
    <col min="14343" max="14343" width="9" style="4"/>
    <col min="14344" max="14344" width="15" style="4" customWidth="1"/>
    <col min="14345" max="14345" width="6.33203125" style="4" customWidth="1"/>
    <col min="14346" max="14346" width="12.265625" style="4" customWidth="1"/>
    <col min="14347" max="14347" width="13" style="4" customWidth="1"/>
    <col min="14348" max="14348" width="17.265625" style="4" customWidth="1"/>
    <col min="14349" max="14349" width="20.46484375" style="4" customWidth="1"/>
    <col min="14350" max="14593" width="9" style="4"/>
    <col min="14594" max="14594" width="11.06640625" style="4" customWidth="1"/>
    <col min="14595" max="14595" width="13.06640625" style="4" customWidth="1"/>
    <col min="14596" max="14596" width="16.06640625" style="4" customWidth="1"/>
    <col min="14597" max="14597" width="10.46484375" style="4" customWidth="1"/>
    <col min="14598" max="14598" width="15" style="4" customWidth="1"/>
    <col min="14599" max="14599" width="9" style="4"/>
    <col min="14600" max="14600" width="15" style="4" customWidth="1"/>
    <col min="14601" max="14601" width="6.33203125" style="4" customWidth="1"/>
    <col min="14602" max="14602" width="12.265625" style="4" customWidth="1"/>
    <col min="14603" max="14603" width="13" style="4" customWidth="1"/>
    <col min="14604" max="14604" width="17.265625" style="4" customWidth="1"/>
    <col min="14605" max="14605" width="20.46484375" style="4" customWidth="1"/>
    <col min="14606" max="14849" width="9" style="4"/>
    <col min="14850" max="14850" width="11.06640625" style="4" customWidth="1"/>
    <col min="14851" max="14851" width="13.06640625" style="4" customWidth="1"/>
    <col min="14852" max="14852" width="16.06640625" style="4" customWidth="1"/>
    <col min="14853" max="14853" width="10.46484375" style="4" customWidth="1"/>
    <col min="14854" max="14854" width="15" style="4" customWidth="1"/>
    <col min="14855" max="14855" width="9" style="4"/>
    <col min="14856" max="14856" width="15" style="4" customWidth="1"/>
    <col min="14857" max="14857" width="6.33203125" style="4" customWidth="1"/>
    <col min="14858" max="14858" width="12.265625" style="4" customWidth="1"/>
    <col min="14859" max="14859" width="13" style="4" customWidth="1"/>
    <col min="14860" max="14860" width="17.265625" style="4" customWidth="1"/>
    <col min="14861" max="14861" width="20.46484375" style="4" customWidth="1"/>
    <col min="14862" max="15105" width="9" style="4"/>
    <col min="15106" max="15106" width="11.06640625" style="4" customWidth="1"/>
    <col min="15107" max="15107" width="13.06640625" style="4" customWidth="1"/>
    <col min="15108" max="15108" width="16.06640625" style="4" customWidth="1"/>
    <col min="15109" max="15109" width="10.46484375" style="4" customWidth="1"/>
    <col min="15110" max="15110" width="15" style="4" customWidth="1"/>
    <col min="15111" max="15111" width="9" style="4"/>
    <col min="15112" max="15112" width="15" style="4" customWidth="1"/>
    <col min="15113" max="15113" width="6.33203125" style="4" customWidth="1"/>
    <col min="15114" max="15114" width="12.265625" style="4" customWidth="1"/>
    <col min="15115" max="15115" width="13" style="4" customWidth="1"/>
    <col min="15116" max="15116" width="17.265625" style="4" customWidth="1"/>
    <col min="15117" max="15117" width="20.46484375" style="4" customWidth="1"/>
    <col min="15118" max="15361" width="9" style="4"/>
    <col min="15362" max="15362" width="11.06640625" style="4" customWidth="1"/>
    <col min="15363" max="15363" width="13.06640625" style="4" customWidth="1"/>
    <col min="15364" max="15364" width="16.06640625" style="4" customWidth="1"/>
    <col min="15365" max="15365" width="10.46484375" style="4" customWidth="1"/>
    <col min="15366" max="15366" width="15" style="4" customWidth="1"/>
    <col min="15367" max="15367" width="9" style="4"/>
    <col min="15368" max="15368" width="15" style="4" customWidth="1"/>
    <col min="15369" max="15369" width="6.33203125" style="4" customWidth="1"/>
    <col min="15370" max="15370" width="12.265625" style="4" customWidth="1"/>
    <col min="15371" max="15371" width="13" style="4" customWidth="1"/>
    <col min="15372" max="15372" width="17.265625" style="4" customWidth="1"/>
    <col min="15373" max="15373" width="20.46484375" style="4" customWidth="1"/>
    <col min="15374" max="15617" width="9" style="4"/>
    <col min="15618" max="15618" width="11.06640625" style="4" customWidth="1"/>
    <col min="15619" max="15619" width="13.06640625" style="4" customWidth="1"/>
    <col min="15620" max="15620" width="16.06640625" style="4" customWidth="1"/>
    <col min="15621" max="15621" width="10.46484375" style="4" customWidth="1"/>
    <col min="15622" max="15622" width="15" style="4" customWidth="1"/>
    <col min="15623" max="15623" width="9" style="4"/>
    <col min="15624" max="15624" width="15" style="4" customWidth="1"/>
    <col min="15625" max="15625" width="6.33203125" style="4" customWidth="1"/>
    <col min="15626" max="15626" width="12.265625" style="4" customWidth="1"/>
    <col min="15627" max="15627" width="13" style="4" customWidth="1"/>
    <col min="15628" max="15628" width="17.265625" style="4" customWidth="1"/>
    <col min="15629" max="15629" width="20.46484375" style="4" customWidth="1"/>
    <col min="15630" max="15873" width="9" style="4"/>
    <col min="15874" max="15874" width="11.06640625" style="4" customWidth="1"/>
    <col min="15875" max="15875" width="13.06640625" style="4" customWidth="1"/>
    <col min="15876" max="15876" width="16.06640625" style="4" customWidth="1"/>
    <col min="15877" max="15877" width="10.46484375" style="4" customWidth="1"/>
    <col min="15878" max="15878" width="15" style="4" customWidth="1"/>
    <col min="15879" max="15879" width="9" style="4"/>
    <col min="15880" max="15880" width="15" style="4" customWidth="1"/>
    <col min="15881" max="15881" width="6.33203125" style="4" customWidth="1"/>
    <col min="15882" max="15882" width="12.265625" style="4" customWidth="1"/>
    <col min="15883" max="15883" width="13" style="4" customWidth="1"/>
    <col min="15884" max="15884" width="17.265625" style="4" customWidth="1"/>
    <col min="15885" max="15885" width="20.46484375" style="4" customWidth="1"/>
    <col min="15886" max="16129" width="9" style="4"/>
    <col min="16130" max="16130" width="11.06640625" style="4" customWidth="1"/>
    <col min="16131" max="16131" width="13.06640625" style="4" customWidth="1"/>
    <col min="16132" max="16132" width="16.06640625" style="4" customWidth="1"/>
    <col min="16133" max="16133" width="10.46484375" style="4" customWidth="1"/>
    <col min="16134" max="16134" width="15" style="4" customWidth="1"/>
    <col min="16135" max="16135" width="9" style="4"/>
    <col min="16136" max="16136" width="15" style="4" customWidth="1"/>
    <col min="16137" max="16137" width="6.33203125" style="4" customWidth="1"/>
    <col min="16138" max="16138" width="12.265625" style="4" customWidth="1"/>
    <col min="16139" max="16139" width="13" style="4" customWidth="1"/>
    <col min="16140" max="16140" width="17.265625" style="4" customWidth="1"/>
    <col min="16141" max="16141" width="20.46484375" style="4" customWidth="1"/>
    <col min="16142" max="16384" width="9" style="4"/>
  </cols>
  <sheetData>
    <row r="2" spans="2:9">
      <c r="B2" s="5" t="s">
        <v>1530</v>
      </c>
      <c r="C2" s="6"/>
      <c r="D2" s="6"/>
      <c r="G2" s="5" t="s">
        <v>1531</v>
      </c>
      <c r="H2" s="7"/>
      <c r="I2" s="6"/>
    </row>
    <row r="3" spans="2:9">
      <c r="B3" s="8"/>
      <c r="G3" s="8"/>
      <c r="H3" s="9"/>
    </row>
    <row r="4" spans="2:9" ht="24.75">
      <c r="B4" s="10" t="str">
        <f>首页!F17</f>
        <v>北京君正</v>
      </c>
      <c r="F4" s="11" t="s">
        <v>910</v>
      </c>
      <c r="G4" s="12" t="s">
        <v>1532</v>
      </c>
      <c r="H4" s="12" t="s">
        <v>1469</v>
      </c>
    </row>
    <row r="5" spans="2:9">
      <c r="B5" s="13" t="str">
        <f>首页!C17</f>
        <v>300223</v>
      </c>
      <c r="F5" s="14">
        <f>历史数据及预测表!F4</f>
        <v>2023</v>
      </c>
      <c r="G5" s="15">
        <f>历史数据及预测表!F106</f>
        <v>4530.9256563700001</v>
      </c>
      <c r="H5" s="16">
        <f>历史数据及预测表!F231/历史数据及预测表!F106</f>
        <v>0.37098935087288348</v>
      </c>
    </row>
    <row r="6" spans="2:9">
      <c r="C6" s="17"/>
      <c r="F6" s="14">
        <f>历史数据及预测表!G4</f>
        <v>2024</v>
      </c>
      <c r="G6" s="15">
        <f>历史数据及预测表!G106</f>
        <v>4212.6258813499999</v>
      </c>
      <c r="H6" s="16">
        <f>历史数据及预测表!G231/历史数据及预测表!G106</f>
        <v>0.36729198274881131</v>
      </c>
    </row>
    <row r="7" spans="2:9">
      <c r="F7" s="14">
        <f>历史数据及预测表!H4</f>
        <v>2025</v>
      </c>
      <c r="G7" s="15">
        <f>历史数据及预测表!H106</f>
        <v>4741.0075979599997</v>
      </c>
      <c r="H7" s="16">
        <f>历史数据及预测表!H231/历史数据及预测表!H106</f>
        <v>0.34086455881559097</v>
      </c>
    </row>
    <row r="9" spans="2:9">
      <c r="G9" s="9"/>
    </row>
    <row r="10" spans="2:9">
      <c r="B10" s="18" t="s">
        <v>1533</v>
      </c>
      <c r="C10" s="18" t="s">
        <v>1534</v>
      </c>
      <c r="D10" s="18" t="s">
        <v>1535</v>
      </c>
      <c r="E10" s="18" t="s">
        <v>1220</v>
      </c>
      <c r="G10" s="9"/>
    </row>
    <row r="11" spans="2:9">
      <c r="B11" s="18"/>
      <c r="C11" s="19"/>
      <c r="D11" s="19"/>
      <c r="E11" s="19"/>
    </row>
    <row r="12" spans="2:9">
      <c r="B12" s="18"/>
      <c r="C12" s="19"/>
      <c r="D12" s="19"/>
      <c r="E12" s="19"/>
    </row>
    <row r="13" spans="2:9">
      <c r="B13" s="18"/>
      <c r="C13" s="19"/>
      <c r="D13" s="19"/>
      <c r="E13" s="19"/>
    </row>
    <row r="14" spans="2:9">
      <c r="B14" s="18"/>
      <c r="C14" s="19"/>
      <c r="D14" s="19"/>
      <c r="E14" s="19"/>
    </row>
    <row r="15" spans="2:9">
      <c r="B15" s="18"/>
      <c r="C15" s="19"/>
      <c r="D15" s="19"/>
      <c r="E15" s="19"/>
    </row>
    <row r="16" spans="2:9">
      <c r="B16" s="18"/>
      <c r="C16" s="19"/>
      <c r="D16" s="19"/>
      <c r="E16" s="19"/>
    </row>
    <row r="17" spans="1:9">
      <c r="E17" s="20"/>
    </row>
    <row r="19" spans="1:9">
      <c r="B19" s="5" t="s">
        <v>1536</v>
      </c>
      <c r="C19" s="6"/>
      <c r="D19" s="6"/>
      <c r="G19" s="5" t="s">
        <v>1537</v>
      </c>
      <c r="H19" s="6"/>
      <c r="I19" s="6"/>
    </row>
    <row r="20" spans="1:9" ht="24.75">
      <c r="A20" s="11" t="s">
        <v>910</v>
      </c>
      <c r="B20" s="11" t="s">
        <v>1487</v>
      </c>
      <c r="C20" s="11" t="s">
        <v>1485</v>
      </c>
      <c r="D20" s="11" t="s">
        <v>1488</v>
      </c>
      <c r="F20" s="11" t="s">
        <v>910</v>
      </c>
      <c r="G20" s="21" t="s">
        <v>1538</v>
      </c>
      <c r="H20" s="21" t="s">
        <v>1497</v>
      </c>
    </row>
    <row r="21" spans="1:9">
      <c r="A21" s="14">
        <f>历史数据及预测表!F4</f>
        <v>2023</v>
      </c>
      <c r="B21" s="22">
        <f>历史数据!E19/历史数据!E3</f>
        <v>3.9472981446640402E-2</v>
      </c>
      <c r="C21" s="22">
        <f>历史数据!E18/历史数据!E3</f>
        <v>6.9096808236050689E-2</v>
      </c>
      <c r="D21" s="22">
        <f>历史数据!E21/历史数据!E3</f>
        <v>-2.0459795178866182E-2</v>
      </c>
      <c r="F21" s="14">
        <f>历史数据及预测表!F4</f>
        <v>2023</v>
      </c>
      <c r="G21" s="18">
        <f>历史数据及预测表!F136</f>
        <v>537.25438806999966</v>
      </c>
      <c r="H21" s="22">
        <f>关键比率!G16/100</f>
        <v>0.11382300000000001</v>
      </c>
    </row>
    <row r="22" spans="1:9">
      <c r="A22" s="14">
        <f>历史数据及预测表!G4</f>
        <v>2024</v>
      </c>
      <c r="B22" s="22">
        <f>历史数据!F19/历史数据!F3</f>
        <v>5.1076968641479766E-2</v>
      </c>
      <c r="C22" s="22">
        <f>历史数据!F18/历史数据!F3</f>
        <v>6.9932226356543087E-2</v>
      </c>
      <c r="D22" s="22">
        <f>历史数据!F21/历史数据!F3</f>
        <v>-1.7744626891967145E-2</v>
      </c>
      <c r="F22" s="14">
        <f>历史数据及预测表!G4</f>
        <v>2024</v>
      </c>
      <c r="G22" s="18">
        <f>历史数据及预测表!G136</f>
        <v>366.20209673999989</v>
      </c>
      <c r="H22" s="22">
        <f>关键比率!H16/100</f>
        <v>8.6454000000000003E-2</v>
      </c>
    </row>
    <row r="23" spans="1:9">
      <c r="A23" s="14">
        <f>历史数据及预测表!H4</f>
        <v>2025</v>
      </c>
      <c r="B23" s="22">
        <f>历史数据!G19/历史数据!G3</f>
        <v>5.6558451407118446E-2</v>
      </c>
      <c r="C23" s="22">
        <f>历史数据!G18/历史数据!G3</f>
        <v>6.7461123470382259E-2</v>
      </c>
      <c r="D23" s="22">
        <f>历史数据!G21/历史数据!G3</f>
        <v>-2.191312616640876E-2</v>
      </c>
      <c r="F23" s="14">
        <f>历史数据及预测表!H4</f>
        <v>2025</v>
      </c>
      <c r="G23" s="18">
        <f>历史数据及预测表!H136</f>
        <v>376.22602306000039</v>
      </c>
      <c r="H23" s="22">
        <f>关键比率!I16/100</f>
        <v>7.9386999999999999E-2</v>
      </c>
    </row>
    <row r="36" spans="1:10">
      <c r="G36" s="20"/>
    </row>
    <row r="37" spans="1:10">
      <c r="G37" s="20"/>
    </row>
    <row r="38" spans="1:10">
      <c r="B38" s="5" t="s">
        <v>1539</v>
      </c>
      <c r="C38" s="6"/>
      <c r="D38" s="6"/>
      <c r="G38" s="5" t="s">
        <v>1540</v>
      </c>
      <c r="H38" s="23"/>
      <c r="I38" s="23"/>
    </row>
    <row r="39" spans="1:10" ht="24.75">
      <c r="A39" s="11" t="s">
        <v>910</v>
      </c>
      <c r="B39" s="21" t="s">
        <v>1541</v>
      </c>
      <c r="C39" s="21" t="s">
        <v>1542</v>
      </c>
      <c r="D39" s="21"/>
      <c r="F39" s="11" t="s">
        <v>910</v>
      </c>
      <c r="G39" s="21" t="s">
        <v>1543</v>
      </c>
      <c r="H39" s="21" t="s">
        <v>1544</v>
      </c>
      <c r="I39" s="21" t="s">
        <v>1545</v>
      </c>
      <c r="J39" s="21" t="s">
        <v>1546</v>
      </c>
    </row>
    <row r="40" spans="1:10">
      <c r="A40" s="14">
        <f>历史数据及预测表!F4</f>
        <v>2023</v>
      </c>
      <c r="B40" s="18">
        <f>历史数据!E200</f>
        <v>558.15174382000009</v>
      </c>
      <c r="C40" s="22">
        <f>(关键比率!G13)/100</f>
        <v>4.6689000000000001E-2</v>
      </c>
      <c r="D40" s="22"/>
      <c r="F40" s="14">
        <f>历史数据及预测表!F4</f>
        <v>2023</v>
      </c>
      <c r="G40" s="18">
        <f>关键比率!G32</f>
        <v>9.6648999999999994</v>
      </c>
      <c r="H40" s="18">
        <f>关键比率!G33</f>
        <v>6.5998999999999999</v>
      </c>
      <c r="I40" s="18">
        <f>关键比率!G49</f>
        <v>289.97179999999997</v>
      </c>
      <c r="J40" s="18">
        <f>关键比率!G51</f>
        <v>36.856900000000003</v>
      </c>
    </row>
    <row r="41" spans="1:10">
      <c r="A41" s="14">
        <f>历史数据及预测表!G4</f>
        <v>2024</v>
      </c>
      <c r="B41" s="18">
        <f>历史数据!F200</f>
        <v>363.45492915</v>
      </c>
      <c r="C41" s="22">
        <f>(关键比率!H13)/100</f>
        <v>3.0714999999999999E-2</v>
      </c>
      <c r="D41" s="22"/>
      <c r="F41" s="14">
        <f>历史数据及预测表!G4</f>
        <v>2024</v>
      </c>
      <c r="G41" s="18">
        <f>关键比率!H32</f>
        <v>10.904199999999999</v>
      </c>
      <c r="H41" s="18">
        <f>关键比率!H33</f>
        <v>7.2840999999999996</v>
      </c>
      <c r="I41" s="18">
        <f>关键比率!H49</f>
        <v>333.5804</v>
      </c>
      <c r="J41" s="18">
        <f>关键比率!H51</f>
        <v>34.1096</v>
      </c>
    </row>
    <row r="42" spans="1:10">
      <c r="A42" s="14">
        <f>历史数据及预测表!H4</f>
        <v>2025</v>
      </c>
      <c r="B42" s="18">
        <f>历史数据!G200</f>
        <v>622.60277807</v>
      </c>
      <c r="C42" s="22">
        <f>(关键比率!I13)/100</f>
        <v>3.0709E-2</v>
      </c>
      <c r="D42" s="22"/>
      <c r="F42" s="14">
        <f>历史数据及预测表!H4</f>
        <v>2025</v>
      </c>
      <c r="G42" s="18">
        <f>关键比率!I32</f>
        <v>8.6936</v>
      </c>
      <c r="H42" s="18">
        <f>关键比率!I33</f>
        <v>5.7187999999999999</v>
      </c>
      <c r="I42" s="18">
        <f>关键比率!I49</f>
        <v>325.262</v>
      </c>
      <c r="J42" s="18">
        <f>关键比率!I51</f>
        <v>32.8078</v>
      </c>
    </row>
  </sheetData>
  <sheetProtection algorithmName="SHA-512" hashValue="W8EXAHDKKiE+Cey6sZ+rcU7ajXW/KZDvvALQC5KYE+CveyaMVPjF9yEHKKzX9PSwDvsjmTszIK0Bxt3Y16XBTQ==" saltValue="AYlGrOdyzlRAGqkept+KJg==" spinCount="100000" sheet="1" objects="1" scenarios="1"/>
  <phoneticPr fontId="35" type="noConversion"/>
  <pageMargins left="0.7" right="0.7" top="0.75" bottom="0.75" header="0.3" footer="0.3"/>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C500"/>
  <sheetViews>
    <sheetView showGridLines="0" workbookViewId="0">
      <selection activeCell="C16" sqref="C16"/>
    </sheetView>
  </sheetViews>
  <sheetFormatPr defaultColWidth="9" defaultRowHeight="11.65"/>
  <cols>
    <col min="1" max="1" width="49.46484375" style="1" customWidth="1"/>
    <col min="2" max="2" width="14.33203125" style="1" customWidth="1"/>
    <col min="3" max="3" width="26.06640625" style="1" customWidth="1"/>
    <col min="4" max="16384" width="9" style="2"/>
  </cols>
  <sheetData>
    <row r="1" spans="1:3" ht="22.5" customHeight="1">
      <c r="A1" s="3" t="s">
        <v>1547</v>
      </c>
      <c r="B1" s="3" t="s">
        <v>1548</v>
      </c>
      <c r="C1" s="3" t="s">
        <v>1549</v>
      </c>
    </row>
    <row r="2" spans="1:3" ht="13.5">
      <c r="A2" t="s">
        <v>1676</v>
      </c>
      <c r="B2" s="463" t="s">
        <v>1677</v>
      </c>
      <c r="C2" t="s">
        <v>1678</v>
      </c>
    </row>
    <row r="3" spans="1:3" ht="13.5">
      <c r="A3" t="s">
        <v>1679</v>
      </c>
      <c r="B3" s="463" t="s">
        <v>1677</v>
      </c>
      <c r="C3" t="s">
        <v>1680</v>
      </c>
    </row>
    <row r="4" spans="1:3" ht="13.5">
      <c r="A4" t="s">
        <v>1681</v>
      </c>
      <c r="B4" s="464" t="s">
        <v>1682</v>
      </c>
      <c r="C4" t="s">
        <v>1683</v>
      </c>
    </row>
    <row r="5" spans="1:3" ht="13.5">
      <c r="A5" t="s">
        <v>1681</v>
      </c>
      <c r="B5" s="464" t="s">
        <v>1682</v>
      </c>
      <c r="C5" t="s">
        <v>1684</v>
      </c>
    </row>
    <row r="6" spans="1:3" ht="13.5">
      <c r="A6" t="s">
        <v>1681</v>
      </c>
      <c r="B6" s="464" t="s">
        <v>1682</v>
      </c>
      <c r="C6" t="s">
        <v>1685</v>
      </c>
    </row>
    <row r="7" spans="1:3" ht="13.5">
      <c r="A7" t="s">
        <v>1681</v>
      </c>
      <c r="B7" s="464" t="s">
        <v>1682</v>
      </c>
      <c r="C7" t="s">
        <v>1686</v>
      </c>
    </row>
    <row r="8" spans="1:3" ht="13.5">
      <c r="A8" t="s">
        <v>1681</v>
      </c>
      <c r="B8" s="464" t="s">
        <v>1682</v>
      </c>
      <c r="C8" t="s">
        <v>1687</v>
      </c>
    </row>
    <row r="9" spans="1:3" ht="13.5">
      <c r="A9" t="s">
        <v>1681</v>
      </c>
      <c r="B9" s="464" t="s">
        <v>1682</v>
      </c>
      <c r="C9" t="s">
        <v>1688</v>
      </c>
    </row>
    <row r="10" spans="1:3" ht="13.5">
      <c r="A10" t="s">
        <v>1681</v>
      </c>
      <c r="B10" s="464" t="s">
        <v>1682</v>
      </c>
      <c r="C10" t="s">
        <v>1689</v>
      </c>
    </row>
    <row r="11" spans="1:3" ht="13.5">
      <c r="A11" t="s">
        <v>1681</v>
      </c>
      <c r="B11" s="464" t="s">
        <v>1682</v>
      </c>
      <c r="C11" t="s">
        <v>1690</v>
      </c>
    </row>
    <row r="12" spans="1:3" ht="13.5">
      <c r="A12" t="s">
        <v>1681</v>
      </c>
      <c r="B12" s="464" t="s">
        <v>1682</v>
      </c>
      <c r="C12" t="s">
        <v>1691</v>
      </c>
    </row>
    <row r="13" spans="1:3" ht="13.5">
      <c r="A13" t="s">
        <v>1681</v>
      </c>
      <c r="B13" s="464" t="s">
        <v>1682</v>
      </c>
      <c r="C13" t="s">
        <v>1692</v>
      </c>
    </row>
    <row r="14" spans="1:3" ht="13.5">
      <c r="A14" t="s">
        <v>1681</v>
      </c>
      <c r="B14" s="464" t="s">
        <v>1682</v>
      </c>
      <c r="C14" t="s">
        <v>1693</v>
      </c>
    </row>
    <row r="15" spans="1:3" ht="13.5">
      <c r="A15" t="s">
        <v>1681</v>
      </c>
      <c r="B15" s="464" t="s">
        <v>1682</v>
      </c>
      <c r="C15" t="s">
        <v>1694</v>
      </c>
    </row>
    <row r="16" spans="1:3" ht="13.5">
      <c r="A16" t="s">
        <v>1681</v>
      </c>
      <c r="B16" s="464" t="s">
        <v>1682</v>
      </c>
      <c r="C16" t="s">
        <v>1695</v>
      </c>
    </row>
    <row r="17" spans="1:3" ht="13.5">
      <c r="A17" t="s">
        <v>1681</v>
      </c>
      <c r="B17" s="464" t="s">
        <v>1682</v>
      </c>
      <c r="C17" t="s">
        <v>1696</v>
      </c>
    </row>
    <row r="18" spans="1:3" ht="13.5">
      <c r="A18" t="s">
        <v>1681</v>
      </c>
      <c r="B18" s="464" t="s">
        <v>1682</v>
      </c>
      <c r="C18" t="s">
        <v>1697</v>
      </c>
    </row>
    <row r="19" spans="1:3" ht="13.5">
      <c r="A19" t="s">
        <v>1681</v>
      </c>
      <c r="B19" s="464" t="s">
        <v>1682</v>
      </c>
      <c r="C19" t="s">
        <v>1698</v>
      </c>
    </row>
    <row r="20" spans="1:3" ht="13.5">
      <c r="A20" t="s">
        <v>1681</v>
      </c>
      <c r="B20" s="464" t="s">
        <v>1682</v>
      </c>
      <c r="C20" t="s">
        <v>1699</v>
      </c>
    </row>
    <row r="21" spans="1:3" ht="13.5">
      <c r="A21" t="s">
        <v>1681</v>
      </c>
      <c r="B21" s="464" t="s">
        <v>1682</v>
      </c>
      <c r="C21" t="s">
        <v>1700</v>
      </c>
    </row>
    <row r="22" spans="1:3" ht="13.5">
      <c r="A22" t="s">
        <v>1681</v>
      </c>
      <c r="B22" s="464" t="s">
        <v>1682</v>
      </c>
      <c r="C22" t="s">
        <v>1701</v>
      </c>
    </row>
    <row r="23" spans="1:3" ht="13.5">
      <c r="A23" t="s">
        <v>1681</v>
      </c>
      <c r="B23" s="464" t="s">
        <v>1682</v>
      </c>
      <c r="C23" t="s">
        <v>1702</v>
      </c>
    </row>
    <row r="24" spans="1:3" ht="13.5">
      <c r="A24" t="s">
        <v>1681</v>
      </c>
      <c r="B24" s="464" t="s">
        <v>1682</v>
      </c>
      <c r="C24" t="s">
        <v>1703</v>
      </c>
    </row>
    <row r="25" spans="1:3" ht="13.5">
      <c r="A25" t="s">
        <v>1681</v>
      </c>
      <c r="B25" s="464" t="s">
        <v>1682</v>
      </c>
      <c r="C25" t="s">
        <v>1704</v>
      </c>
    </row>
    <row r="26" spans="1:3" ht="13.5">
      <c r="A26" t="s">
        <v>1681</v>
      </c>
      <c r="B26" s="464" t="s">
        <v>1682</v>
      </c>
      <c r="C26" t="s">
        <v>1705</v>
      </c>
    </row>
    <row r="27" spans="1:3" ht="13.5">
      <c r="A27" t="s">
        <v>1681</v>
      </c>
      <c r="B27" s="464" t="s">
        <v>1682</v>
      </c>
      <c r="C27" t="s">
        <v>1706</v>
      </c>
    </row>
    <row r="28" spans="1:3" ht="13.5">
      <c r="A28" t="s">
        <v>1681</v>
      </c>
      <c r="B28" s="464" t="s">
        <v>1682</v>
      </c>
      <c r="C28" t="s">
        <v>1707</v>
      </c>
    </row>
    <row r="29" spans="1:3" ht="13.5">
      <c r="A29" t="s">
        <v>1681</v>
      </c>
      <c r="B29" s="464" t="s">
        <v>1682</v>
      </c>
      <c r="C29" t="s">
        <v>1708</v>
      </c>
    </row>
    <row r="30" spans="1:3" ht="13.5">
      <c r="A30" t="s">
        <v>1681</v>
      </c>
      <c r="B30" s="464" t="s">
        <v>1682</v>
      </c>
      <c r="C30" t="s">
        <v>1709</v>
      </c>
    </row>
    <row r="31" spans="1:3" ht="13.5">
      <c r="A31" t="s">
        <v>1681</v>
      </c>
      <c r="B31" s="464" t="s">
        <v>1682</v>
      </c>
      <c r="C31" t="s">
        <v>1710</v>
      </c>
    </row>
    <row r="32" spans="1:3" ht="13.5">
      <c r="A32" t="s">
        <v>1681</v>
      </c>
      <c r="B32" s="464" t="s">
        <v>1682</v>
      </c>
      <c r="C32" t="s">
        <v>1711</v>
      </c>
    </row>
    <row r="33" spans="1:3" ht="13.5">
      <c r="A33" t="s">
        <v>1681</v>
      </c>
      <c r="B33" s="464" t="s">
        <v>1682</v>
      </c>
      <c r="C33" t="s">
        <v>1712</v>
      </c>
    </row>
    <row r="34" spans="1:3" ht="13.5">
      <c r="A34" t="s">
        <v>1681</v>
      </c>
      <c r="B34" s="464" t="s">
        <v>1682</v>
      </c>
      <c r="C34" t="s">
        <v>1713</v>
      </c>
    </row>
    <row r="35" spans="1:3" ht="13.5">
      <c r="A35" t="s">
        <v>1681</v>
      </c>
      <c r="B35" s="464" t="s">
        <v>1682</v>
      </c>
      <c r="C35" t="s">
        <v>1714</v>
      </c>
    </row>
    <row r="36" spans="1:3" ht="13.5">
      <c r="A36" t="s">
        <v>1681</v>
      </c>
      <c r="B36" s="464" t="s">
        <v>1682</v>
      </c>
      <c r="C36" t="s">
        <v>1715</v>
      </c>
    </row>
    <row r="37" spans="1:3" ht="13.5">
      <c r="A37" t="s">
        <v>1681</v>
      </c>
      <c r="B37" s="464" t="s">
        <v>1682</v>
      </c>
      <c r="C37" t="s">
        <v>1716</v>
      </c>
    </row>
    <row r="38" spans="1:3" ht="13.5">
      <c r="A38" t="s">
        <v>1681</v>
      </c>
      <c r="B38" s="464" t="s">
        <v>1682</v>
      </c>
      <c r="C38" t="s">
        <v>1717</v>
      </c>
    </row>
    <row r="39" spans="1:3" ht="13.5">
      <c r="A39" t="s">
        <v>1681</v>
      </c>
      <c r="B39" s="464" t="s">
        <v>1682</v>
      </c>
      <c r="C39" t="s">
        <v>1718</v>
      </c>
    </row>
    <row r="40" spans="1:3" ht="13.5">
      <c r="A40" t="s">
        <v>1681</v>
      </c>
      <c r="B40" s="464" t="s">
        <v>1682</v>
      </c>
      <c r="C40" t="s">
        <v>1719</v>
      </c>
    </row>
    <row r="41" spans="1:3" ht="13.5">
      <c r="A41" t="s">
        <v>1681</v>
      </c>
      <c r="B41" s="464" t="s">
        <v>1682</v>
      </c>
      <c r="C41" t="s">
        <v>1720</v>
      </c>
    </row>
    <row r="42" spans="1:3" ht="13.5">
      <c r="A42" t="s">
        <v>1681</v>
      </c>
      <c r="B42" s="464" t="s">
        <v>1682</v>
      </c>
      <c r="C42" t="s">
        <v>1721</v>
      </c>
    </row>
    <row r="43" spans="1:3" ht="13.5">
      <c r="A43" t="s">
        <v>1681</v>
      </c>
      <c r="B43" s="464" t="s">
        <v>1682</v>
      </c>
      <c r="C43" t="s">
        <v>1722</v>
      </c>
    </row>
    <row r="44" spans="1:3" ht="13.5">
      <c r="A44" t="s">
        <v>1681</v>
      </c>
      <c r="B44" s="464" t="s">
        <v>1682</v>
      </c>
      <c r="C44" t="s">
        <v>1723</v>
      </c>
    </row>
    <row r="45" spans="1:3" ht="13.5">
      <c r="A45" t="s">
        <v>1681</v>
      </c>
      <c r="B45" s="464" t="s">
        <v>1682</v>
      </c>
      <c r="C45" t="s">
        <v>1724</v>
      </c>
    </row>
    <row r="46" spans="1:3" ht="13.5">
      <c r="A46" t="s">
        <v>1681</v>
      </c>
      <c r="B46" s="464" t="s">
        <v>1682</v>
      </c>
      <c r="C46" t="s">
        <v>1725</v>
      </c>
    </row>
    <row r="47" spans="1:3" ht="13.5">
      <c r="A47" t="s">
        <v>1681</v>
      </c>
      <c r="B47" s="464" t="s">
        <v>1682</v>
      </c>
      <c r="C47" t="s">
        <v>1726</v>
      </c>
    </row>
    <row r="48" spans="1:3" ht="13.5">
      <c r="A48" t="s">
        <v>1681</v>
      </c>
      <c r="B48" s="464" t="s">
        <v>1682</v>
      </c>
      <c r="C48" t="s">
        <v>1727</v>
      </c>
    </row>
    <row r="49" spans="1:3" ht="13.5">
      <c r="A49" t="s">
        <v>1681</v>
      </c>
      <c r="B49" s="464" t="s">
        <v>1682</v>
      </c>
      <c r="C49" t="s">
        <v>1728</v>
      </c>
    </row>
    <row r="50" spans="1:3" ht="13.5">
      <c r="A50" t="s">
        <v>1681</v>
      </c>
      <c r="B50" s="464" t="s">
        <v>1682</v>
      </c>
      <c r="C50" t="s">
        <v>1729</v>
      </c>
    </row>
    <row r="51" spans="1:3" ht="13.5">
      <c r="A51" t="s">
        <v>1681</v>
      </c>
      <c r="B51" s="464" t="s">
        <v>1682</v>
      </c>
      <c r="C51" t="s">
        <v>1730</v>
      </c>
    </row>
    <row r="52" spans="1:3" ht="13.5">
      <c r="A52" t="s">
        <v>1681</v>
      </c>
      <c r="B52" s="464" t="s">
        <v>1682</v>
      </c>
      <c r="C52" t="s">
        <v>1731</v>
      </c>
    </row>
    <row r="53" spans="1:3" ht="13.5">
      <c r="A53" t="s">
        <v>1681</v>
      </c>
      <c r="B53" s="464" t="s">
        <v>1682</v>
      </c>
      <c r="C53" t="s">
        <v>1732</v>
      </c>
    </row>
    <row r="54" spans="1:3" ht="13.5">
      <c r="A54" t="s">
        <v>1681</v>
      </c>
      <c r="B54" s="464" t="s">
        <v>1682</v>
      </c>
      <c r="C54" t="s">
        <v>1733</v>
      </c>
    </row>
    <row r="55" spans="1:3" ht="13.5">
      <c r="A55" t="s">
        <v>1681</v>
      </c>
      <c r="B55" s="464" t="s">
        <v>1682</v>
      </c>
      <c r="C55" t="s">
        <v>1734</v>
      </c>
    </row>
    <row r="56" spans="1:3" ht="13.5">
      <c r="A56" t="s">
        <v>1681</v>
      </c>
      <c r="B56" s="464" t="s">
        <v>1682</v>
      </c>
      <c r="C56" t="s">
        <v>1735</v>
      </c>
    </row>
    <row r="57" spans="1:3" ht="13.5">
      <c r="A57" t="s">
        <v>1681</v>
      </c>
      <c r="B57" s="464" t="s">
        <v>1682</v>
      </c>
      <c r="C57" t="s">
        <v>1736</v>
      </c>
    </row>
    <row r="58" spans="1:3" ht="13.5">
      <c r="A58" t="s">
        <v>1681</v>
      </c>
      <c r="B58" s="464" t="s">
        <v>1682</v>
      </c>
      <c r="C58" t="s">
        <v>1737</v>
      </c>
    </row>
    <row r="59" spans="1:3" ht="13.5">
      <c r="A59" t="s">
        <v>1681</v>
      </c>
      <c r="B59" s="464" t="s">
        <v>1682</v>
      </c>
      <c r="C59" t="s">
        <v>1738</v>
      </c>
    </row>
    <row r="60" spans="1:3" ht="13.5">
      <c r="A60" t="s">
        <v>1681</v>
      </c>
      <c r="B60" s="464" t="s">
        <v>1682</v>
      </c>
      <c r="C60" t="s">
        <v>1739</v>
      </c>
    </row>
    <row r="61" spans="1:3" ht="13.5">
      <c r="A61" t="s">
        <v>1681</v>
      </c>
      <c r="B61" s="464" t="s">
        <v>1682</v>
      </c>
      <c r="C61" t="s">
        <v>1740</v>
      </c>
    </row>
    <row r="62" spans="1:3" ht="13.5">
      <c r="A62" t="s">
        <v>1681</v>
      </c>
      <c r="B62" s="464" t="s">
        <v>1682</v>
      </c>
      <c r="C62" t="s">
        <v>1741</v>
      </c>
    </row>
    <row r="63" spans="1:3" ht="13.5">
      <c r="A63" t="s">
        <v>1681</v>
      </c>
      <c r="B63" s="464" t="s">
        <v>1682</v>
      </c>
      <c r="C63" t="s">
        <v>1742</v>
      </c>
    </row>
    <row r="64" spans="1:3" ht="13.5">
      <c r="A64" t="s">
        <v>1681</v>
      </c>
      <c r="B64" s="464" t="s">
        <v>1682</v>
      </c>
      <c r="C64" t="s">
        <v>1743</v>
      </c>
    </row>
    <row r="65" spans="1:3" ht="13.5">
      <c r="A65" t="s">
        <v>1681</v>
      </c>
      <c r="B65" s="464" t="s">
        <v>1682</v>
      </c>
      <c r="C65" t="s">
        <v>1744</v>
      </c>
    </row>
    <row r="66" spans="1:3" ht="13.5">
      <c r="A66" t="s">
        <v>1681</v>
      </c>
      <c r="B66" s="464" t="s">
        <v>1682</v>
      </c>
      <c r="C66" t="s">
        <v>1745</v>
      </c>
    </row>
    <row r="67" spans="1:3" ht="13.5">
      <c r="A67" t="s">
        <v>1681</v>
      </c>
      <c r="B67" s="464" t="s">
        <v>1682</v>
      </c>
      <c r="C67" t="s">
        <v>1746</v>
      </c>
    </row>
    <row r="68" spans="1:3" ht="13.5">
      <c r="A68" t="s">
        <v>1681</v>
      </c>
      <c r="B68" s="464" t="s">
        <v>1682</v>
      </c>
      <c r="C68" t="s">
        <v>1747</v>
      </c>
    </row>
    <row r="69" spans="1:3" ht="13.5">
      <c r="A69" t="s">
        <v>1681</v>
      </c>
      <c r="B69" s="464" t="s">
        <v>1682</v>
      </c>
      <c r="C69" t="s">
        <v>1748</v>
      </c>
    </row>
    <row r="70" spans="1:3" ht="13.5">
      <c r="A70" t="s">
        <v>1681</v>
      </c>
      <c r="B70" s="464" t="s">
        <v>1682</v>
      </c>
      <c r="C70" t="s">
        <v>1749</v>
      </c>
    </row>
    <row r="71" spans="1:3" ht="13.5">
      <c r="A71" t="s">
        <v>1681</v>
      </c>
      <c r="B71" s="464" t="s">
        <v>1682</v>
      </c>
      <c r="C71" t="s">
        <v>1750</v>
      </c>
    </row>
    <row r="72" spans="1:3" ht="13.5">
      <c r="A72" t="s">
        <v>1751</v>
      </c>
      <c r="B72" s="464" t="s">
        <v>1682</v>
      </c>
      <c r="C72" t="s">
        <v>1752</v>
      </c>
    </row>
    <row r="73" spans="1:3" ht="13.5">
      <c r="A73" t="s">
        <v>1751</v>
      </c>
      <c r="B73" s="464" t="s">
        <v>1682</v>
      </c>
      <c r="C73" t="s">
        <v>1753</v>
      </c>
    </row>
    <row r="74" spans="1:3" ht="13.5">
      <c r="A74" t="s">
        <v>1751</v>
      </c>
      <c r="B74" s="464" t="s">
        <v>1682</v>
      </c>
      <c r="C74" t="s">
        <v>1754</v>
      </c>
    </row>
    <row r="75" spans="1:3" ht="13.5">
      <c r="A75" t="s">
        <v>1751</v>
      </c>
      <c r="B75" s="464" t="s">
        <v>1682</v>
      </c>
      <c r="C75" t="s">
        <v>1755</v>
      </c>
    </row>
    <row r="76" spans="1:3" ht="13.5">
      <c r="A76" t="s">
        <v>1751</v>
      </c>
      <c r="B76" s="464" t="s">
        <v>1682</v>
      </c>
      <c r="C76" t="s">
        <v>1756</v>
      </c>
    </row>
    <row r="77" spans="1:3" ht="13.5">
      <c r="A77" t="s">
        <v>1751</v>
      </c>
      <c r="B77" s="464" t="s">
        <v>1682</v>
      </c>
      <c r="C77" t="s">
        <v>1757</v>
      </c>
    </row>
    <row r="78" spans="1:3" ht="13.5">
      <c r="A78" t="s">
        <v>1751</v>
      </c>
      <c r="B78" s="464" t="s">
        <v>1682</v>
      </c>
      <c r="C78" t="s">
        <v>1758</v>
      </c>
    </row>
    <row r="79" spans="1:3" ht="13.5">
      <c r="A79" t="s">
        <v>1751</v>
      </c>
      <c r="B79" s="464" t="s">
        <v>1682</v>
      </c>
      <c r="C79" t="s">
        <v>1759</v>
      </c>
    </row>
    <row r="80" spans="1:3" ht="13.5">
      <c r="A80" t="s">
        <v>1751</v>
      </c>
      <c r="B80" s="464" t="s">
        <v>1682</v>
      </c>
      <c r="C80" t="s">
        <v>1760</v>
      </c>
    </row>
    <row r="81" spans="1:3" ht="13.5">
      <c r="A81" t="s">
        <v>1761</v>
      </c>
      <c r="B81" s="464" t="s">
        <v>1682</v>
      </c>
      <c r="C81" t="s">
        <v>1762</v>
      </c>
    </row>
    <row r="82" spans="1:3" ht="13.5">
      <c r="A82" t="s">
        <v>1761</v>
      </c>
      <c r="B82" s="464" t="s">
        <v>1682</v>
      </c>
      <c r="C82" t="s">
        <v>1763</v>
      </c>
    </row>
    <row r="83" spans="1:3" ht="13.5">
      <c r="A83" t="s">
        <v>1761</v>
      </c>
      <c r="B83" s="464" t="s">
        <v>1682</v>
      </c>
      <c r="C83" t="s">
        <v>1764</v>
      </c>
    </row>
    <row r="84" spans="1:3" ht="13.5">
      <c r="A84" t="s">
        <v>1761</v>
      </c>
      <c r="B84" s="464" t="s">
        <v>1682</v>
      </c>
      <c r="C84" t="s">
        <v>1765</v>
      </c>
    </row>
    <row r="85" spans="1:3" ht="13.5">
      <c r="A85" t="s">
        <v>1761</v>
      </c>
      <c r="B85" s="464" t="s">
        <v>1682</v>
      </c>
      <c r="C85" t="s">
        <v>1766</v>
      </c>
    </row>
    <row r="86" spans="1:3" ht="13.5">
      <c r="A86" t="s">
        <v>1761</v>
      </c>
      <c r="B86" s="464" t="s">
        <v>1682</v>
      </c>
      <c r="C86" t="s">
        <v>1767</v>
      </c>
    </row>
    <row r="87" spans="1:3" ht="13.5">
      <c r="A87" t="s">
        <v>1761</v>
      </c>
      <c r="B87" s="464" t="s">
        <v>1682</v>
      </c>
      <c r="C87" t="s">
        <v>1768</v>
      </c>
    </row>
    <row r="88" spans="1:3" ht="13.5">
      <c r="A88" t="s">
        <v>1761</v>
      </c>
      <c r="B88" s="464" t="s">
        <v>1682</v>
      </c>
      <c r="C88" t="s">
        <v>1769</v>
      </c>
    </row>
    <row r="89" spans="1:3" ht="13.5">
      <c r="A89" t="s">
        <v>1761</v>
      </c>
      <c r="B89" s="464" t="s">
        <v>1682</v>
      </c>
      <c r="C89" t="s">
        <v>1770</v>
      </c>
    </row>
    <row r="90" spans="1:3" ht="13.5">
      <c r="A90" t="s">
        <v>1761</v>
      </c>
      <c r="B90" s="464" t="s">
        <v>1682</v>
      </c>
      <c r="C90" t="s">
        <v>1771</v>
      </c>
    </row>
    <row r="91" spans="1:3" ht="13.5">
      <c r="A91" t="s">
        <v>1761</v>
      </c>
      <c r="B91" s="464" t="s">
        <v>1682</v>
      </c>
      <c r="C91" t="s">
        <v>1772</v>
      </c>
    </row>
    <row r="92" spans="1:3" ht="13.5">
      <c r="A92" t="s">
        <v>1761</v>
      </c>
      <c r="B92" s="464" t="s">
        <v>1682</v>
      </c>
      <c r="C92" t="s">
        <v>1773</v>
      </c>
    </row>
    <row r="93" spans="1:3" ht="13.5">
      <c r="A93" t="s">
        <v>1774</v>
      </c>
      <c r="B93" s="464" t="s">
        <v>1682</v>
      </c>
      <c r="C93" t="s">
        <v>1775</v>
      </c>
    </row>
    <row r="94" spans="1:3" ht="13.5">
      <c r="A94" t="s">
        <v>1774</v>
      </c>
      <c r="B94" s="464" t="s">
        <v>1682</v>
      </c>
      <c r="C94" t="s">
        <v>1776</v>
      </c>
    </row>
    <row r="95" spans="1:3" ht="13.5">
      <c r="A95" t="s">
        <v>1774</v>
      </c>
      <c r="B95" s="464" t="s">
        <v>1682</v>
      </c>
      <c r="C95" t="s">
        <v>1777</v>
      </c>
    </row>
    <row r="96" spans="1:3" ht="13.5">
      <c r="A96" t="s">
        <v>1774</v>
      </c>
      <c r="B96" s="464" t="s">
        <v>1682</v>
      </c>
      <c r="C96" t="s">
        <v>1778</v>
      </c>
    </row>
    <row r="97" spans="1:3" ht="13.5">
      <c r="A97" t="s">
        <v>1774</v>
      </c>
      <c r="B97" s="464" t="s">
        <v>1682</v>
      </c>
      <c r="C97" t="s">
        <v>1779</v>
      </c>
    </row>
    <row r="98" spans="1:3" ht="13.5">
      <c r="A98" t="s">
        <v>1774</v>
      </c>
      <c r="B98" s="464" t="s">
        <v>1682</v>
      </c>
      <c r="C98" t="s">
        <v>1780</v>
      </c>
    </row>
    <row r="99" spans="1:3" ht="13.5">
      <c r="A99" t="s">
        <v>1774</v>
      </c>
      <c r="B99" s="464" t="s">
        <v>1682</v>
      </c>
      <c r="C99" t="s">
        <v>1781</v>
      </c>
    </row>
    <row r="100" spans="1:3" ht="13.5">
      <c r="A100" t="s">
        <v>1774</v>
      </c>
      <c r="B100" s="464" t="s">
        <v>1682</v>
      </c>
      <c r="C100" t="s">
        <v>1782</v>
      </c>
    </row>
    <row r="101" spans="1:3" ht="13.5">
      <c r="A101" t="s">
        <v>1774</v>
      </c>
      <c r="B101" s="464" t="s">
        <v>1682</v>
      </c>
      <c r="C101" t="s">
        <v>1783</v>
      </c>
    </row>
    <row r="102" spans="1:3" ht="13.5">
      <c r="A102" t="s">
        <v>1774</v>
      </c>
      <c r="B102" s="464" t="s">
        <v>1682</v>
      </c>
      <c r="C102" t="s">
        <v>1784</v>
      </c>
    </row>
    <row r="103" spans="1:3" ht="13.5">
      <c r="A103" t="s">
        <v>1774</v>
      </c>
      <c r="B103" s="464" t="s">
        <v>1682</v>
      </c>
      <c r="C103" t="s">
        <v>1785</v>
      </c>
    </row>
    <row r="104" spans="1:3" ht="13.5">
      <c r="A104" t="s">
        <v>1774</v>
      </c>
      <c r="B104" s="464" t="s">
        <v>1682</v>
      </c>
      <c r="C104" t="s">
        <v>1786</v>
      </c>
    </row>
    <row r="105" spans="1:3" ht="13.5">
      <c r="A105" t="s">
        <v>1787</v>
      </c>
      <c r="B105" s="464" t="s">
        <v>1682</v>
      </c>
      <c r="C105" t="s">
        <v>1788</v>
      </c>
    </row>
    <row r="106" spans="1:3" ht="13.5">
      <c r="A106" t="s">
        <v>1787</v>
      </c>
      <c r="B106" s="464" t="s">
        <v>1682</v>
      </c>
      <c r="C106" t="s">
        <v>1789</v>
      </c>
    </row>
    <row r="107" spans="1:3" ht="13.5">
      <c r="A107" t="s">
        <v>1787</v>
      </c>
      <c r="B107" s="464" t="s">
        <v>1682</v>
      </c>
      <c r="C107" t="s">
        <v>1790</v>
      </c>
    </row>
    <row r="108" spans="1:3" ht="13.5">
      <c r="A108" t="s">
        <v>1787</v>
      </c>
      <c r="B108" s="464" t="s">
        <v>1682</v>
      </c>
      <c r="C108" t="s">
        <v>1791</v>
      </c>
    </row>
    <row r="109" spans="1:3" ht="13.5">
      <c r="A109" t="s">
        <v>1787</v>
      </c>
      <c r="B109" s="464" t="s">
        <v>1682</v>
      </c>
      <c r="C109" t="s">
        <v>1792</v>
      </c>
    </row>
    <row r="110" spans="1:3" ht="13.5">
      <c r="A110" t="s">
        <v>1787</v>
      </c>
      <c r="B110" s="464" t="s">
        <v>1682</v>
      </c>
      <c r="C110" t="s">
        <v>1793</v>
      </c>
    </row>
    <row r="111" spans="1:3" ht="13.5">
      <c r="A111" t="s">
        <v>1787</v>
      </c>
      <c r="B111" s="464" t="s">
        <v>1682</v>
      </c>
      <c r="C111" t="s">
        <v>1794</v>
      </c>
    </row>
    <row r="112" spans="1:3" ht="13.5">
      <c r="A112" t="s">
        <v>1787</v>
      </c>
      <c r="B112" s="464" t="s">
        <v>1682</v>
      </c>
      <c r="C112" t="s">
        <v>1795</v>
      </c>
    </row>
    <row r="113" spans="1:3" ht="13.5">
      <c r="A113" t="s">
        <v>1787</v>
      </c>
      <c r="B113" s="464" t="s">
        <v>1682</v>
      </c>
      <c r="C113" t="s">
        <v>1796</v>
      </c>
    </row>
    <row r="114" spans="1:3" ht="13.5">
      <c r="A114" t="s">
        <v>1797</v>
      </c>
      <c r="B114" s="464" t="s">
        <v>1682</v>
      </c>
      <c r="C114" t="s">
        <v>1798</v>
      </c>
    </row>
    <row r="115" spans="1:3" ht="13.5">
      <c r="A115" t="s">
        <v>1797</v>
      </c>
      <c r="B115" s="464" t="s">
        <v>1682</v>
      </c>
      <c r="C115" t="s">
        <v>1799</v>
      </c>
    </row>
    <row r="116" spans="1:3" ht="13.5">
      <c r="A116" t="s">
        <v>1797</v>
      </c>
      <c r="B116" s="464" t="s">
        <v>1682</v>
      </c>
      <c r="C116" t="s">
        <v>1800</v>
      </c>
    </row>
    <row r="117" spans="1:3" ht="13.5">
      <c r="A117" t="s">
        <v>1797</v>
      </c>
      <c r="B117" s="464" t="s">
        <v>1682</v>
      </c>
      <c r="C117" t="s">
        <v>1801</v>
      </c>
    </row>
    <row r="118" spans="1:3" ht="13.5">
      <c r="A118" t="s">
        <v>1797</v>
      </c>
      <c r="B118" s="464" t="s">
        <v>1682</v>
      </c>
      <c r="C118" t="s">
        <v>1802</v>
      </c>
    </row>
    <row r="119" spans="1:3" ht="13.5">
      <c r="A119" t="s">
        <v>1797</v>
      </c>
      <c r="B119" s="464" t="s">
        <v>1682</v>
      </c>
      <c r="C119" t="s">
        <v>1803</v>
      </c>
    </row>
    <row r="120" spans="1:3" ht="13.5">
      <c r="A120" t="s">
        <v>1797</v>
      </c>
      <c r="B120" s="464" t="s">
        <v>1682</v>
      </c>
      <c r="C120" t="s">
        <v>1804</v>
      </c>
    </row>
    <row r="121" spans="1:3" ht="13.5">
      <c r="A121" t="s">
        <v>1797</v>
      </c>
      <c r="B121" s="464" t="s">
        <v>1682</v>
      </c>
      <c r="C121" t="s">
        <v>1805</v>
      </c>
    </row>
    <row r="122" spans="1:3" ht="13.5">
      <c r="A122" t="s">
        <v>1797</v>
      </c>
      <c r="B122" s="464" t="s">
        <v>1682</v>
      </c>
      <c r="C122" t="s">
        <v>1806</v>
      </c>
    </row>
    <row r="123" spans="1:3" ht="13.5">
      <c r="A123" t="s">
        <v>1797</v>
      </c>
      <c r="B123" s="464" t="s">
        <v>1682</v>
      </c>
      <c r="C123" t="s">
        <v>1807</v>
      </c>
    </row>
    <row r="124" spans="1:3" ht="13.5">
      <c r="A124" t="s">
        <v>1797</v>
      </c>
      <c r="B124" s="464" t="s">
        <v>1682</v>
      </c>
      <c r="C124" t="s">
        <v>1808</v>
      </c>
    </row>
    <row r="125" spans="1:3" ht="13.5">
      <c r="A125" t="s">
        <v>1797</v>
      </c>
      <c r="B125" s="464" t="s">
        <v>1682</v>
      </c>
      <c r="C125" t="s">
        <v>1809</v>
      </c>
    </row>
    <row r="126" spans="1:3" ht="13.5">
      <c r="A126"/>
      <c r="B126"/>
      <c r="C126"/>
    </row>
    <row r="127" spans="1:3" ht="13.5">
      <c r="A127"/>
      <c r="B127"/>
      <c r="C127"/>
    </row>
    <row r="128" spans="1:3" ht="13.5">
      <c r="A128"/>
      <c r="B128"/>
      <c r="C128"/>
    </row>
    <row r="129" spans="1:3" ht="13.5">
      <c r="A129"/>
      <c r="B129"/>
      <c r="C129"/>
    </row>
    <row r="130" spans="1:3" ht="13.5">
      <c r="A130"/>
      <c r="B130"/>
      <c r="C130"/>
    </row>
    <row r="131" spans="1:3" ht="13.5">
      <c r="A131"/>
      <c r="B131"/>
      <c r="C131"/>
    </row>
    <row r="132" spans="1:3" ht="13.5">
      <c r="A132"/>
      <c r="B132"/>
      <c r="C132"/>
    </row>
    <row r="133" spans="1:3" ht="13.5">
      <c r="A133"/>
      <c r="B133"/>
      <c r="C133"/>
    </row>
    <row r="134" spans="1:3" ht="13.5">
      <c r="A134"/>
      <c r="B134"/>
      <c r="C134"/>
    </row>
    <row r="135" spans="1:3" ht="13.5">
      <c r="A135"/>
      <c r="B135"/>
      <c r="C135"/>
    </row>
    <row r="136" spans="1:3" ht="13.5">
      <c r="A136"/>
      <c r="B136"/>
      <c r="C136"/>
    </row>
    <row r="137" spans="1:3" ht="13.5">
      <c r="A137"/>
      <c r="B137"/>
      <c r="C137"/>
    </row>
    <row r="138" spans="1:3" ht="13.5">
      <c r="A138"/>
      <c r="B138"/>
      <c r="C138"/>
    </row>
    <row r="139" spans="1:3" ht="13.5">
      <c r="A139"/>
      <c r="B139"/>
      <c r="C139"/>
    </row>
    <row r="140" spans="1:3" ht="13.5">
      <c r="A140"/>
      <c r="B140"/>
      <c r="C140"/>
    </row>
    <row r="141" spans="1:3" ht="13.5">
      <c r="A141"/>
      <c r="B141"/>
      <c r="C141"/>
    </row>
    <row r="142" spans="1:3" ht="13.5">
      <c r="A142"/>
      <c r="B142"/>
      <c r="C142"/>
    </row>
    <row r="143" spans="1:3" ht="13.5">
      <c r="A143"/>
      <c r="B143"/>
      <c r="C143"/>
    </row>
    <row r="144" spans="1:3" ht="13.5">
      <c r="A144"/>
      <c r="B144"/>
      <c r="C144"/>
    </row>
    <row r="145" spans="1:3" ht="13.5">
      <c r="A145"/>
      <c r="B145"/>
      <c r="C145"/>
    </row>
    <row r="146" spans="1:3" ht="13.5">
      <c r="A146"/>
      <c r="B146"/>
      <c r="C146"/>
    </row>
    <row r="147" spans="1:3" ht="13.5">
      <c r="A147"/>
      <c r="B147"/>
      <c r="C147"/>
    </row>
    <row r="148" spans="1:3" ht="13.5">
      <c r="A148"/>
      <c r="B148"/>
      <c r="C148"/>
    </row>
    <row r="149" spans="1:3" ht="13.5">
      <c r="A149"/>
      <c r="B149"/>
      <c r="C149"/>
    </row>
    <row r="150" spans="1:3" ht="13.5">
      <c r="A150"/>
      <c r="B150"/>
      <c r="C150"/>
    </row>
    <row r="151" spans="1:3" ht="13.5">
      <c r="A151"/>
      <c r="B151"/>
      <c r="C151"/>
    </row>
    <row r="152" spans="1:3" ht="13.5">
      <c r="A152"/>
      <c r="B152"/>
      <c r="C152"/>
    </row>
    <row r="153" spans="1:3" ht="13.5">
      <c r="A153"/>
      <c r="B153"/>
      <c r="C153"/>
    </row>
    <row r="154" spans="1:3" ht="13.5">
      <c r="A154"/>
      <c r="B154"/>
      <c r="C154"/>
    </row>
    <row r="155" spans="1:3" ht="13.5">
      <c r="A155"/>
      <c r="B155"/>
      <c r="C155"/>
    </row>
    <row r="156" spans="1:3" ht="13.5">
      <c r="A156"/>
      <c r="B156"/>
      <c r="C156"/>
    </row>
    <row r="157" spans="1:3" ht="13.5">
      <c r="A157"/>
      <c r="B157"/>
      <c r="C157"/>
    </row>
    <row r="158" spans="1:3" ht="13.5">
      <c r="A158"/>
      <c r="B158"/>
      <c r="C158"/>
    </row>
    <row r="159" spans="1:3" ht="13.5">
      <c r="A159"/>
      <c r="B159"/>
      <c r="C159"/>
    </row>
    <row r="160" spans="1:3" ht="13.5">
      <c r="A160"/>
      <c r="B160"/>
      <c r="C160"/>
    </row>
    <row r="161" spans="1:3" ht="13.5">
      <c r="A161"/>
      <c r="B161"/>
      <c r="C161"/>
    </row>
    <row r="162" spans="1:3" ht="13.5">
      <c r="A162"/>
      <c r="B162"/>
      <c r="C162"/>
    </row>
    <row r="163" spans="1:3" ht="13.5">
      <c r="A163"/>
      <c r="B163"/>
      <c r="C163"/>
    </row>
    <row r="164" spans="1:3" ht="13.5">
      <c r="A164"/>
      <c r="B164"/>
      <c r="C164"/>
    </row>
    <row r="165" spans="1:3" ht="13.5">
      <c r="A165"/>
      <c r="B165"/>
      <c r="C165"/>
    </row>
    <row r="166" spans="1:3" ht="13.5">
      <c r="A166"/>
      <c r="B166"/>
      <c r="C166"/>
    </row>
    <row r="167" spans="1:3" ht="13.5">
      <c r="A167"/>
      <c r="B167"/>
      <c r="C167"/>
    </row>
    <row r="168" spans="1:3" ht="13.5">
      <c r="A168"/>
      <c r="B168"/>
      <c r="C168"/>
    </row>
    <row r="169" spans="1:3" ht="13.5">
      <c r="A169"/>
      <c r="B169"/>
      <c r="C169"/>
    </row>
    <row r="170" spans="1:3" ht="13.5">
      <c r="A170"/>
      <c r="B170"/>
      <c r="C170"/>
    </row>
    <row r="171" spans="1:3" ht="13.5">
      <c r="A171"/>
      <c r="B171"/>
      <c r="C171"/>
    </row>
    <row r="172" spans="1:3" ht="13.5">
      <c r="A172"/>
      <c r="B172"/>
      <c r="C172"/>
    </row>
    <row r="173" spans="1:3" ht="13.5">
      <c r="A173"/>
      <c r="B173"/>
      <c r="C173"/>
    </row>
    <row r="174" spans="1:3" ht="13.5">
      <c r="A174"/>
      <c r="B174"/>
      <c r="C174"/>
    </row>
    <row r="175" spans="1:3" ht="13.5">
      <c r="A175"/>
      <c r="B175"/>
      <c r="C175"/>
    </row>
    <row r="176" spans="1:3" ht="13.5">
      <c r="A176"/>
      <c r="B176"/>
      <c r="C176"/>
    </row>
    <row r="177" spans="1:3" ht="13.5">
      <c r="A177"/>
      <c r="B177"/>
      <c r="C177"/>
    </row>
    <row r="178" spans="1:3" ht="13.5">
      <c r="A178"/>
      <c r="B178"/>
      <c r="C178"/>
    </row>
    <row r="179" spans="1:3" ht="13.5">
      <c r="A179"/>
      <c r="B179"/>
      <c r="C179"/>
    </row>
    <row r="180" spans="1:3" ht="13.5">
      <c r="A180"/>
      <c r="B180"/>
      <c r="C180"/>
    </row>
    <row r="181" spans="1:3" ht="13.5">
      <c r="A181"/>
      <c r="B181"/>
      <c r="C181"/>
    </row>
    <row r="182" spans="1:3" ht="13.5">
      <c r="A182"/>
      <c r="B182"/>
      <c r="C182"/>
    </row>
    <row r="183" spans="1:3" ht="13.5">
      <c r="A183"/>
      <c r="B183"/>
      <c r="C183"/>
    </row>
    <row r="184" spans="1:3" ht="13.5">
      <c r="A184"/>
      <c r="B184"/>
      <c r="C184"/>
    </row>
    <row r="185" spans="1:3" ht="13.5">
      <c r="A185"/>
      <c r="B185"/>
      <c r="C185"/>
    </row>
    <row r="186" spans="1:3" ht="13.5">
      <c r="A186"/>
      <c r="B186"/>
      <c r="C186"/>
    </row>
    <row r="187" spans="1:3" ht="13.5">
      <c r="A187"/>
      <c r="B187"/>
      <c r="C187"/>
    </row>
    <row r="188" spans="1:3" ht="13.5">
      <c r="A188"/>
      <c r="B188"/>
      <c r="C188"/>
    </row>
    <row r="189" spans="1:3" ht="13.5">
      <c r="A189"/>
      <c r="B189"/>
      <c r="C189"/>
    </row>
    <row r="190" spans="1:3" ht="13.5">
      <c r="A190"/>
      <c r="B190"/>
      <c r="C190"/>
    </row>
    <row r="191" spans="1:3" ht="13.5">
      <c r="A191"/>
      <c r="B191"/>
      <c r="C191"/>
    </row>
    <row r="192" spans="1:3" ht="13.5">
      <c r="A192"/>
      <c r="B192"/>
      <c r="C192"/>
    </row>
    <row r="193" spans="1:3" ht="13.5">
      <c r="A193"/>
      <c r="B193"/>
      <c r="C193"/>
    </row>
    <row r="194" spans="1:3" ht="13.5">
      <c r="A194"/>
      <c r="B194"/>
      <c r="C194"/>
    </row>
    <row r="195" spans="1:3" ht="13.5">
      <c r="A195"/>
      <c r="B195"/>
      <c r="C195"/>
    </row>
    <row r="196" spans="1:3" ht="13.5">
      <c r="A196"/>
      <c r="B196"/>
      <c r="C196"/>
    </row>
    <row r="197" spans="1:3" ht="13.5">
      <c r="A197"/>
      <c r="B197"/>
      <c r="C197"/>
    </row>
    <row r="198" spans="1:3" ht="13.5">
      <c r="A198"/>
      <c r="B198"/>
      <c r="C198"/>
    </row>
    <row r="199" spans="1:3" ht="13.5">
      <c r="A199"/>
      <c r="B199"/>
      <c r="C199"/>
    </row>
    <row r="200" spans="1:3" ht="13.5">
      <c r="A200"/>
      <c r="B200"/>
      <c r="C200"/>
    </row>
    <row r="201" spans="1:3" ht="13.5">
      <c r="A201"/>
      <c r="B201"/>
      <c r="C201"/>
    </row>
    <row r="202" spans="1:3" ht="13.5">
      <c r="A202"/>
      <c r="B202"/>
      <c r="C202"/>
    </row>
    <row r="203" spans="1:3" ht="13.5">
      <c r="A203"/>
      <c r="B203"/>
      <c r="C203"/>
    </row>
    <row r="204" spans="1:3" ht="13.5">
      <c r="A204"/>
      <c r="B204"/>
      <c r="C204"/>
    </row>
    <row r="205" spans="1:3" ht="13.5">
      <c r="A205"/>
      <c r="B205"/>
      <c r="C205"/>
    </row>
    <row r="206" spans="1:3" ht="13.5">
      <c r="A206"/>
      <c r="B206"/>
      <c r="C206"/>
    </row>
    <row r="207" spans="1:3" ht="13.5">
      <c r="A207"/>
      <c r="B207"/>
      <c r="C207"/>
    </row>
    <row r="208" spans="1:3" ht="13.5">
      <c r="A208"/>
      <c r="B208"/>
      <c r="C208"/>
    </row>
    <row r="209" spans="1:3" ht="13.5">
      <c r="A209"/>
      <c r="B209"/>
      <c r="C209"/>
    </row>
    <row r="210" spans="1:3" ht="13.5">
      <c r="A210"/>
      <c r="B210"/>
      <c r="C210"/>
    </row>
    <row r="211" spans="1:3" ht="13.5">
      <c r="A211"/>
      <c r="B211"/>
      <c r="C211"/>
    </row>
    <row r="212" spans="1:3" ht="13.5">
      <c r="A212"/>
      <c r="B212"/>
      <c r="C212"/>
    </row>
    <row r="213" spans="1:3" ht="13.5">
      <c r="A213"/>
      <c r="B213"/>
      <c r="C213"/>
    </row>
    <row r="214" spans="1:3" ht="13.5">
      <c r="A214"/>
      <c r="B214"/>
      <c r="C214"/>
    </row>
    <row r="215" spans="1:3" ht="13.5">
      <c r="A215"/>
      <c r="B215"/>
      <c r="C215"/>
    </row>
    <row r="216" spans="1:3" ht="13.5">
      <c r="A216"/>
      <c r="B216"/>
      <c r="C216"/>
    </row>
    <row r="217" spans="1:3" ht="13.5">
      <c r="A217"/>
      <c r="B217"/>
      <c r="C217"/>
    </row>
    <row r="218" spans="1:3" ht="13.5">
      <c r="A218"/>
      <c r="B218"/>
      <c r="C218"/>
    </row>
    <row r="219" spans="1:3" ht="13.5">
      <c r="A219"/>
      <c r="B219"/>
      <c r="C219"/>
    </row>
    <row r="220" spans="1:3" ht="13.5">
      <c r="A220"/>
      <c r="B220"/>
      <c r="C220"/>
    </row>
    <row r="221" spans="1:3" ht="13.5">
      <c r="A221"/>
      <c r="B221"/>
      <c r="C221"/>
    </row>
    <row r="222" spans="1:3" ht="13.5">
      <c r="A222"/>
      <c r="B222"/>
      <c r="C222"/>
    </row>
    <row r="223" spans="1:3" ht="13.5">
      <c r="A223"/>
      <c r="B223"/>
      <c r="C223"/>
    </row>
    <row r="224" spans="1:3" ht="13.5">
      <c r="A224"/>
      <c r="B224"/>
      <c r="C224"/>
    </row>
    <row r="225" spans="1:3" ht="13.5">
      <c r="A225"/>
      <c r="B225"/>
      <c r="C225"/>
    </row>
    <row r="226" spans="1:3" ht="13.5">
      <c r="A226"/>
      <c r="B226"/>
      <c r="C226"/>
    </row>
    <row r="227" spans="1:3" ht="13.5">
      <c r="A227"/>
      <c r="B227"/>
      <c r="C227"/>
    </row>
    <row r="228" spans="1:3" ht="13.5">
      <c r="A228"/>
      <c r="B228"/>
      <c r="C228"/>
    </row>
    <row r="229" spans="1:3" ht="13.5">
      <c r="A229"/>
      <c r="B229"/>
      <c r="C229"/>
    </row>
    <row r="230" spans="1:3" ht="13.5">
      <c r="A230"/>
      <c r="B230"/>
      <c r="C230"/>
    </row>
    <row r="231" spans="1:3" ht="13.5">
      <c r="A231"/>
      <c r="B231"/>
      <c r="C231"/>
    </row>
    <row r="232" spans="1:3" ht="13.5">
      <c r="A232"/>
      <c r="B232"/>
      <c r="C232"/>
    </row>
    <row r="233" spans="1:3" ht="13.5">
      <c r="A233"/>
      <c r="B233"/>
      <c r="C233"/>
    </row>
    <row r="234" spans="1:3" ht="13.5">
      <c r="A234"/>
      <c r="B234"/>
      <c r="C234"/>
    </row>
    <row r="235" spans="1:3" ht="13.5">
      <c r="A235"/>
      <c r="B235"/>
      <c r="C235"/>
    </row>
    <row r="236" spans="1:3" ht="13.5">
      <c r="A236"/>
      <c r="B236"/>
      <c r="C236"/>
    </row>
    <row r="237" spans="1:3" ht="13.5">
      <c r="A237"/>
      <c r="B237"/>
      <c r="C237"/>
    </row>
    <row r="238" spans="1:3" ht="13.5">
      <c r="A238"/>
      <c r="B238"/>
      <c r="C238"/>
    </row>
    <row r="239" spans="1:3" ht="13.5">
      <c r="A239"/>
      <c r="B239"/>
      <c r="C239"/>
    </row>
    <row r="240" spans="1:3" ht="13.5">
      <c r="A240"/>
      <c r="B240"/>
      <c r="C240"/>
    </row>
    <row r="241" spans="1:3" ht="13.5">
      <c r="A241"/>
      <c r="B241"/>
      <c r="C241"/>
    </row>
    <row r="242" spans="1:3" ht="13.5">
      <c r="A242"/>
      <c r="B242"/>
      <c r="C242"/>
    </row>
    <row r="243" spans="1:3" ht="13.5">
      <c r="A243"/>
      <c r="B243"/>
      <c r="C243"/>
    </row>
    <row r="244" spans="1:3" ht="13.5">
      <c r="A244"/>
      <c r="B244"/>
      <c r="C244"/>
    </row>
    <row r="245" spans="1:3" ht="13.5">
      <c r="A245"/>
      <c r="B245"/>
      <c r="C245"/>
    </row>
    <row r="246" spans="1:3" ht="13.5">
      <c r="A246"/>
      <c r="B246"/>
      <c r="C246"/>
    </row>
    <row r="247" spans="1:3" ht="13.5">
      <c r="A247"/>
      <c r="B247"/>
      <c r="C247"/>
    </row>
    <row r="248" spans="1:3" ht="13.5">
      <c r="A248"/>
      <c r="B248"/>
      <c r="C248"/>
    </row>
    <row r="249" spans="1:3" ht="13.5">
      <c r="A249"/>
      <c r="B249"/>
      <c r="C249"/>
    </row>
    <row r="250" spans="1:3" ht="13.5">
      <c r="A250"/>
      <c r="B250"/>
      <c r="C250"/>
    </row>
    <row r="251" spans="1:3" ht="13.5">
      <c r="A251"/>
      <c r="B251"/>
      <c r="C251"/>
    </row>
    <row r="252" spans="1:3" ht="13.5">
      <c r="A252"/>
      <c r="B252"/>
      <c r="C252"/>
    </row>
    <row r="253" spans="1:3" ht="13.5">
      <c r="A253"/>
      <c r="B253"/>
      <c r="C253"/>
    </row>
    <row r="254" spans="1:3" ht="13.5">
      <c r="A254"/>
      <c r="B254"/>
      <c r="C254"/>
    </row>
    <row r="255" spans="1:3" ht="13.5">
      <c r="A255"/>
      <c r="B255"/>
      <c r="C255"/>
    </row>
    <row r="256" spans="1:3" ht="13.5">
      <c r="A256"/>
      <c r="B256"/>
      <c r="C256"/>
    </row>
    <row r="257" spans="1:3" ht="13.5">
      <c r="A257"/>
      <c r="B257"/>
      <c r="C257"/>
    </row>
    <row r="258" spans="1:3" ht="13.5">
      <c r="A258"/>
      <c r="B258"/>
      <c r="C258"/>
    </row>
    <row r="259" spans="1:3" ht="13.5">
      <c r="A259"/>
      <c r="B259"/>
      <c r="C259"/>
    </row>
    <row r="260" spans="1:3" ht="13.5">
      <c r="A260"/>
      <c r="B260"/>
      <c r="C260"/>
    </row>
    <row r="261" spans="1:3" ht="13.5">
      <c r="A261"/>
      <c r="B261"/>
      <c r="C261"/>
    </row>
    <row r="262" spans="1:3" ht="13.5">
      <c r="A262"/>
      <c r="B262"/>
      <c r="C262"/>
    </row>
    <row r="263" spans="1:3" ht="13.5">
      <c r="A263"/>
      <c r="B263"/>
      <c r="C263"/>
    </row>
    <row r="264" spans="1:3" ht="13.5">
      <c r="A264"/>
      <c r="B264"/>
      <c r="C264"/>
    </row>
    <row r="265" spans="1:3" ht="13.5">
      <c r="A265"/>
      <c r="B265"/>
      <c r="C265"/>
    </row>
    <row r="266" spans="1:3" ht="13.5">
      <c r="A266"/>
      <c r="B266"/>
      <c r="C266"/>
    </row>
    <row r="267" spans="1:3" ht="13.5">
      <c r="A267"/>
      <c r="B267"/>
      <c r="C267"/>
    </row>
    <row r="268" spans="1:3" ht="13.5">
      <c r="A268"/>
      <c r="B268"/>
      <c r="C268"/>
    </row>
    <row r="269" spans="1:3" ht="13.5">
      <c r="A269"/>
      <c r="B269"/>
      <c r="C269"/>
    </row>
    <row r="270" spans="1:3" ht="13.5">
      <c r="A270"/>
      <c r="B270"/>
      <c r="C270"/>
    </row>
    <row r="271" spans="1:3" ht="13.5">
      <c r="A271"/>
      <c r="B271"/>
      <c r="C271"/>
    </row>
    <row r="272" spans="1:3" ht="13.5">
      <c r="A272"/>
      <c r="B272"/>
      <c r="C272"/>
    </row>
    <row r="273" spans="1:3" ht="13.5">
      <c r="A273"/>
      <c r="B273"/>
      <c r="C273"/>
    </row>
    <row r="274" spans="1:3" ht="13.5">
      <c r="A274"/>
      <c r="B274"/>
      <c r="C274"/>
    </row>
    <row r="275" spans="1:3" ht="13.5">
      <c r="A275"/>
      <c r="B275"/>
      <c r="C275"/>
    </row>
    <row r="276" spans="1:3" ht="13.5">
      <c r="A276"/>
      <c r="B276"/>
      <c r="C276"/>
    </row>
    <row r="277" spans="1:3" ht="13.5">
      <c r="A277"/>
      <c r="B277"/>
      <c r="C277"/>
    </row>
    <row r="278" spans="1:3" ht="13.5">
      <c r="A278"/>
      <c r="B278"/>
      <c r="C278"/>
    </row>
    <row r="279" spans="1:3" ht="13.5">
      <c r="A279"/>
      <c r="B279"/>
      <c r="C279"/>
    </row>
    <row r="280" spans="1:3" ht="13.5">
      <c r="A280"/>
      <c r="B280"/>
      <c r="C280"/>
    </row>
    <row r="281" spans="1:3" ht="13.5">
      <c r="A281"/>
      <c r="B281"/>
      <c r="C281"/>
    </row>
    <row r="282" spans="1:3" ht="13.5">
      <c r="A282"/>
      <c r="B282"/>
      <c r="C282"/>
    </row>
    <row r="283" spans="1:3" ht="13.5">
      <c r="A283"/>
      <c r="B283"/>
      <c r="C283"/>
    </row>
    <row r="284" spans="1:3" ht="13.5">
      <c r="A284"/>
      <c r="B284"/>
      <c r="C284"/>
    </row>
    <row r="285" spans="1:3" ht="13.5">
      <c r="A285"/>
      <c r="B285"/>
      <c r="C285"/>
    </row>
    <row r="286" spans="1:3" ht="13.5">
      <c r="A286"/>
      <c r="B286"/>
      <c r="C286"/>
    </row>
    <row r="287" spans="1:3" ht="13.5">
      <c r="A287"/>
      <c r="B287"/>
      <c r="C287"/>
    </row>
    <row r="288" spans="1:3" ht="13.5">
      <c r="A288"/>
      <c r="B288"/>
      <c r="C288"/>
    </row>
    <row r="289" spans="1:3" ht="13.5">
      <c r="A289"/>
      <c r="B289"/>
      <c r="C289"/>
    </row>
    <row r="290" spans="1:3" ht="13.5">
      <c r="A290"/>
      <c r="B290"/>
      <c r="C290"/>
    </row>
    <row r="291" spans="1:3" ht="13.5">
      <c r="A291"/>
      <c r="B291"/>
      <c r="C291"/>
    </row>
    <row r="292" spans="1:3" ht="13.5">
      <c r="A292"/>
      <c r="B292"/>
      <c r="C292"/>
    </row>
    <row r="293" spans="1:3" ht="13.5">
      <c r="A293"/>
      <c r="B293"/>
      <c r="C293"/>
    </row>
    <row r="294" spans="1:3" ht="13.5">
      <c r="A294"/>
      <c r="B294"/>
      <c r="C294"/>
    </row>
    <row r="295" spans="1:3" ht="13.5">
      <c r="A295"/>
      <c r="B295"/>
      <c r="C295"/>
    </row>
    <row r="296" spans="1:3" ht="13.5">
      <c r="A296"/>
      <c r="B296"/>
      <c r="C296"/>
    </row>
    <row r="297" spans="1:3" ht="13.5">
      <c r="A297"/>
      <c r="B297"/>
      <c r="C297"/>
    </row>
    <row r="298" spans="1:3" ht="13.5">
      <c r="A298"/>
      <c r="B298"/>
      <c r="C298"/>
    </row>
    <row r="299" spans="1:3" ht="13.5">
      <c r="A299"/>
      <c r="B299"/>
      <c r="C299"/>
    </row>
    <row r="300" spans="1:3" ht="13.5">
      <c r="A300"/>
      <c r="B300"/>
      <c r="C300"/>
    </row>
    <row r="301" spans="1:3" ht="13.5">
      <c r="A301"/>
      <c r="B301"/>
      <c r="C301"/>
    </row>
    <row r="302" spans="1:3" ht="13.5">
      <c r="A302"/>
      <c r="B302"/>
      <c r="C302"/>
    </row>
    <row r="303" spans="1:3" ht="13.5">
      <c r="A303"/>
      <c r="B303"/>
      <c r="C303"/>
    </row>
    <row r="304" spans="1:3" ht="13.5">
      <c r="A304"/>
      <c r="B304"/>
      <c r="C304"/>
    </row>
    <row r="305" spans="1:3" ht="13.5">
      <c r="A305"/>
      <c r="B305"/>
      <c r="C305"/>
    </row>
    <row r="306" spans="1:3" ht="13.5">
      <c r="A306"/>
      <c r="B306"/>
      <c r="C306"/>
    </row>
    <row r="307" spans="1:3" ht="13.5">
      <c r="A307"/>
      <c r="B307"/>
      <c r="C307"/>
    </row>
    <row r="308" spans="1:3" ht="13.5">
      <c r="A308"/>
      <c r="B308"/>
      <c r="C308"/>
    </row>
    <row r="309" spans="1:3" ht="13.5">
      <c r="A309"/>
      <c r="B309"/>
      <c r="C309"/>
    </row>
    <row r="310" spans="1:3" ht="13.5">
      <c r="A310"/>
      <c r="B310"/>
      <c r="C310"/>
    </row>
    <row r="311" spans="1:3" ht="13.5">
      <c r="A311"/>
      <c r="B311"/>
      <c r="C311"/>
    </row>
    <row r="312" spans="1:3" ht="13.5">
      <c r="A312"/>
      <c r="B312"/>
      <c r="C312"/>
    </row>
    <row r="313" spans="1:3" ht="13.5">
      <c r="A313"/>
      <c r="B313"/>
      <c r="C313"/>
    </row>
    <row r="314" spans="1:3" ht="13.5">
      <c r="A314"/>
      <c r="B314"/>
      <c r="C314"/>
    </row>
    <row r="315" spans="1:3" ht="13.5">
      <c r="A315"/>
      <c r="B315"/>
      <c r="C315"/>
    </row>
    <row r="316" spans="1:3" ht="13.5">
      <c r="A316"/>
      <c r="B316"/>
      <c r="C316"/>
    </row>
    <row r="317" spans="1:3" ht="13.5">
      <c r="A317"/>
      <c r="B317"/>
      <c r="C317"/>
    </row>
    <row r="318" spans="1:3" ht="13.5">
      <c r="A318"/>
      <c r="B318"/>
      <c r="C318"/>
    </row>
    <row r="319" spans="1:3" ht="13.5">
      <c r="A319"/>
      <c r="B319"/>
      <c r="C319"/>
    </row>
    <row r="320" spans="1:3" ht="13.5">
      <c r="A320"/>
      <c r="B320"/>
      <c r="C320"/>
    </row>
    <row r="321" spans="1:3" ht="13.5">
      <c r="A321"/>
      <c r="B321"/>
      <c r="C321"/>
    </row>
    <row r="322" spans="1:3" ht="13.5">
      <c r="A322"/>
      <c r="B322"/>
      <c r="C322"/>
    </row>
    <row r="323" spans="1:3" ht="13.5">
      <c r="A323"/>
      <c r="B323"/>
      <c r="C323"/>
    </row>
    <row r="324" spans="1:3" ht="13.5">
      <c r="A324"/>
      <c r="B324"/>
      <c r="C324"/>
    </row>
    <row r="325" spans="1:3" ht="13.5">
      <c r="A325"/>
      <c r="B325"/>
      <c r="C325"/>
    </row>
    <row r="326" spans="1:3" ht="13.5">
      <c r="A326"/>
      <c r="B326"/>
      <c r="C326"/>
    </row>
    <row r="327" spans="1:3" ht="13.5">
      <c r="A327"/>
      <c r="B327"/>
      <c r="C327"/>
    </row>
    <row r="328" spans="1:3" ht="13.5">
      <c r="A328"/>
      <c r="B328"/>
      <c r="C328"/>
    </row>
    <row r="329" spans="1:3" ht="13.5">
      <c r="A329"/>
      <c r="B329"/>
      <c r="C329"/>
    </row>
    <row r="330" spans="1:3" ht="13.5">
      <c r="A330"/>
      <c r="B330"/>
      <c r="C330"/>
    </row>
    <row r="331" spans="1:3" ht="13.5">
      <c r="A331"/>
      <c r="B331"/>
      <c r="C331"/>
    </row>
    <row r="332" spans="1:3" ht="13.5">
      <c r="A332"/>
      <c r="B332"/>
      <c r="C332"/>
    </row>
    <row r="333" spans="1:3" ht="13.5">
      <c r="A333"/>
      <c r="B333"/>
      <c r="C333"/>
    </row>
    <row r="334" spans="1:3" ht="13.5">
      <c r="A334"/>
      <c r="B334"/>
      <c r="C334"/>
    </row>
    <row r="335" spans="1:3" ht="13.5">
      <c r="A335"/>
      <c r="B335"/>
      <c r="C335"/>
    </row>
    <row r="336" spans="1:3" ht="13.5">
      <c r="A336"/>
      <c r="B336"/>
      <c r="C336"/>
    </row>
    <row r="337" spans="1:3" ht="13.5">
      <c r="A337"/>
      <c r="B337"/>
      <c r="C337"/>
    </row>
    <row r="338" spans="1:3" ht="13.5">
      <c r="A338"/>
      <c r="B338"/>
      <c r="C338"/>
    </row>
    <row r="339" spans="1:3" ht="13.5">
      <c r="A339"/>
      <c r="B339"/>
      <c r="C339"/>
    </row>
    <row r="340" spans="1:3" ht="13.5">
      <c r="A340"/>
      <c r="B340"/>
      <c r="C340"/>
    </row>
    <row r="341" spans="1:3" ht="13.5">
      <c r="A341"/>
      <c r="B341"/>
      <c r="C341"/>
    </row>
    <row r="342" spans="1:3" ht="13.5">
      <c r="A342"/>
      <c r="B342"/>
      <c r="C342"/>
    </row>
    <row r="343" spans="1:3" ht="13.5">
      <c r="A343"/>
      <c r="B343"/>
      <c r="C343"/>
    </row>
    <row r="344" spans="1:3" ht="13.5">
      <c r="A344"/>
      <c r="B344"/>
      <c r="C344"/>
    </row>
    <row r="345" spans="1:3" ht="13.5">
      <c r="A345"/>
      <c r="B345"/>
      <c r="C345"/>
    </row>
    <row r="346" spans="1:3" ht="13.5">
      <c r="A346"/>
      <c r="B346"/>
      <c r="C346"/>
    </row>
    <row r="347" spans="1:3" ht="13.5">
      <c r="A347"/>
      <c r="B347"/>
      <c r="C347"/>
    </row>
    <row r="348" spans="1:3" ht="13.5">
      <c r="A348"/>
      <c r="B348"/>
      <c r="C348"/>
    </row>
    <row r="349" spans="1:3" ht="13.5">
      <c r="A349"/>
      <c r="B349"/>
      <c r="C349"/>
    </row>
    <row r="350" spans="1:3" ht="13.5">
      <c r="A350"/>
      <c r="B350"/>
      <c r="C350"/>
    </row>
    <row r="351" spans="1:3" ht="13.5">
      <c r="A351"/>
      <c r="B351"/>
      <c r="C351"/>
    </row>
    <row r="352" spans="1:3" ht="13.5">
      <c r="A352"/>
      <c r="B352"/>
      <c r="C352"/>
    </row>
    <row r="353" spans="1:3" ht="13.5">
      <c r="A353"/>
      <c r="B353"/>
      <c r="C353"/>
    </row>
    <row r="354" spans="1:3" ht="13.5">
      <c r="A354"/>
      <c r="B354"/>
      <c r="C354"/>
    </row>
    <row r="355" spans="1:3" ht="13.5">
      <c r="A355"/>
      <c r="B355"/>
      <c r="C355"/>
    </row>
    <row r="356" spans="1:3" ht="13.5">
      <c r="A356"/>
      <c r="B356"/>
      <c r="C356"/>
    </row>
    <row r="357" spans="1:3" ht="13.5">
      <c r="A357"/>
      <c r="B357"/>
      <c r="C357"/>
    </row>
    <row r="358" spans="1:3" ht="13.5">
      <c r="A358"/>
      <c r="B358"/>
      <c r="C358"/>
    </row>
    <row r="359" spans="1:3" ht="13.5">
      <c r="A359"/>
      <c r="B359"/>
      <c r="C359"/>
    </row>
    <row r="360" spans="1:3" ht="13.5">
      <c r="A360"/>
      <c r="B360"/>
      <c r="C360"/>
    </row>
    <row r="361" spans="1:3" ht="13.5">
      <c r="A361"/>
      <c r="B361"/>
      <c r="C361"/>
    </row>
    <row r="362" spans="1:3" ht="13.5">
      <c r="A362"/>
      <c r="B362"/>
      <c r="C362"/>
    </row>
    <row r="363" spans="1:3" ht="13.5">
      <c r="A363"/>
      <c r="B363"/>
      <c r="C363"/>
    </row>
    <row r="364" spans="1:3" ht="13.5">
      <c r="A364"/>
      <c r="B364"/>
      <c r="C364"/>
    </row>
    <row r="365" spans="1:3" ht="13.5">
      <c r="A365"/>
      <c r="B365"/>
      <c r="C365"/>
    </row>
    <row r="366" spans="1:3" ht="13.5">
      <c r="A366"/>
      <c r="B366"/>
      <c r="C366"/>
    </row>
    <row r="367" spans="1:3" ht="13.5">
      <c r="A367"/>
      <c r="B367"/>
      <c r="C367"/>
    </row>
    <row r="368" spans="1:3" ht="13.5">
      <c r="A368"/>
      <c r="B368"/>
      <c r="C368"/>
    </row>
    <row r="369" spans="1:3" ht="13.5">
      <c r="A369"/>
      <c r="B369"/>
      <c r="C369"/>
    </row>
    <row r="370" spans="1:3" ht="13.5">
      <c r="A370"/>
      <c r="B370"/>
      <c r="C370"/>
    </row>
    <row r="371" spans="1:3" ht="13.5">
      <c r="A371"/>
      <c r="B371"/>
      <c r="C371"/>
    </row>
    <row r="372" spans="1:3" ht="13.5">
      <c r="A372"/>
      <c r="B372"/>
      <c r="C372"/>
    </row>
    <row r="373" spans="1:3" ht="13.5">
      <c r="A373"/>
      <c r="B373"/>
      <c r="C373"/>
    </row>
    <row r="374" spans="1:3" ht="13.5">
      <c r="A374"/>
      <c r="B374"/>
      <c r="C374"/>
    </row>
    <row r="375" spans="1:3" ht="13.5">
      <c r="A375"/>
      <c r="B375"/>
      <c r="C375"/>
    </row>
    <row r="376" spans="1:3" ht="13.5">
      <c r="A376"/>
      <c r="B376"/>
      <c r="C376"/>
    </row>
    <row r="377" spans="1:3" ht="13.5">
      <c r="A377"/>
      <c r="B377"/>
      <c r="C377"/>
    </row>
    <row r="378" spans="1:3" ht="13.5">
      <c r="A378"/>
      <c r="B378"/>
      <c r="C378"/>
    </row>
    <row r="379" spans="1:3" ht="13.5">
      <c r="A379"/>
      <c r="B379"/>
      <c r="C379"/>
    </row>
    <row r="380" spans="1:3" ht="13.5">
      <c r="A380"/>
      <c r="B380"/>
      <c r="C380"/>
    </row>
    <row r="381" spans="1:3" ht="13.5">
      <c r="A381"/>
      <c r="B381"/>
      <c r="C381"/>
    </row>
    <row r="382" spans="1:3" ht="13.5">
      <c r="A382"/>
      <c r="B382"/>
      <c r="C382"/>
    </row>
    <row r="383" spans="1:3" ht="13.5">
      <c r="A383"/>
      <c r="B383"/>
      <c r="C383"/>
    </row>
    <row r="384" spans="1:3" ht="13.5">
      <c r="A384"/>
      <c r="B384"/>
      <c r="C384"/>
    </row>
    <row r="385" spans="1:3" ht="13.5">
      <c r="A385"/>
      <c r="B385"/>
      <c r="C385"/>
    </row>
    <row r="386" spans="1:3" ht="13.5">
      <c r="A386"/>
      <c r="B386"/>
      <c r="C386"/>
    </row>
    <row r="387" spans="1:3" ht="13.5">
      <c r="A387"/>
      <c r="B387"/>
      <c r="C387"/>
    </row>
    <row r="388" spans="1:3" ht="13.5">
      <c r="A388"/>
      <c r="B388"/>
      <c r="C388"/>
    </row>
    <row r="389" spans="1:3" ht="13.5">
      <c r="A389"/>
      <c r="B389"/>
      <c r="C389"/>
    </row>
    <row r="390" spans="1:3" ht="13.5">
      <c r="A390"/>
      <c r="B390"/>
      <c r="C390"/>
    </row>
    <row r="391" spans="1:3" ht="13.5">
      <c r="A391"/>
      <c r="B391"/>
      <c r="C391"/>
    </row>
    <row r="392" spans="1:3" ht="13.5">
      <c r="A392"/>
      <c r="B392"/>
      <c r="C392"/>
    </row>
    <row r="393" spans="1:3" ht="13.5">
      <c r="A393"/>
      <c r="B393"/>
      <c r="C393"/>
    </row>
    <row r="394" spans="1:3" ht="13.5">
      <c r="A394"/>
      <c r="B394"/>
      <c r="C394"/>
    </row>
    <row r="395" spans="1:3" ht="13.5">
      <c r="A395"/>
      <c r="B395"/>
      <c r="C395"/>
    </row>
    <row r="396" spans="1:3" ht="13.5">
      <c r="A396"/>
      <c r="B396"/>
      <c r="C396"/>
    </row>
    <row r="397" spans="1:3" ht="13.5">
      <c r="A397"/>
      <c r="B397"/>
      <c r="C397"/>
    </row>
    <row r="398" spans="1:3" ht="13.5">
      <c r="A398"/>
      <c r="B398"/>
      <c r="C398"/>
    </row>
    <row r="399" spans="1:3" ht="13.5">
      <c r="A399"/>
      <c r="B399"/>
      <c r="C399"/>
    </row>
    <row r="400" spans="1:3" ht="13.5">
      <c r="A400"/>
      <c r="B400"/>
      <c r="C400"/>
    </row>
    <row r="401" spans="1:3" ht="13.5">
      <c r="A401"/>
      <c r="B401"/>
      <c r="C401"/>
    </row>
    <row r="402" spans="1:3" ht="13.5">
      <c r="A402"/>
      <c r="B402"/>
      <c r="C402"/>
    </row>
    <row r="403" spans="1:3" ht="13.5">
      <c r="A403"/>
      <c r="B403"/>
      <c r="C403"/>
    </row>
    <row r="404" spans="1:3" ht="13.5">
      <c r="A404"/>
      <c r="B404"/>
      <c r="C404"/>
    </row>
    <row r="405" spans="1:3" ht="13.5">
      <c r="A405"/>
      <c r="B405"/>
      <c r="C405"/>
    </row>
    <row r="406" spans="1:3" ht="13.5">
      <c r="A406"/>
      <c r="B406"/>
      <c r="C406"/>
    </row>
    <row r="407" spans="1:3" ht="13.5">
      <c r="A407"/>
      <c r="B407"/>
      <c r="C407"/>
    </row>
    <row r="408" spans="1:3" ht="13.5">
      <c r="A408"/>
      <c r="B408"/>
      <c r="C408"/>
    </row>
    <row r="409" spans="1:3" ht="13.5">
      <c r="A409"/>
      <c r="B409"/>
      <c r="C409"/>
    </row>
    <row r="410" spans="1:3" ht="13.5">
      <c r="A410"/>
      <c r="B410"/>
      <c r="C410"/>
    </row>
    <row r="411" spans="1:3" ht="13.5">
      <c r="A411"/>
      <c r="B411"/>
      <c r="C411"/>
    </row>
    <row r="412" spans="1:3" ht="13.5">
      <c r="A412"/>
      <c r="B412"/>
      <c r="C412"/>
    </row>
    <row r="413" spans="1:3" ht="13.5">
      <c r="A413"/>
      <c r="B413"/>
      <c r="C413"/>
    </row>
    <row r="414" spans="1:3" ht="13.5">
      <c r="A414"/>
      <c r="B414"/>
      <c r="C414"/>
    </row>
    <row r="415" spans="1:3" ht="13.5">
      <c r="A415"/>
      <c r="B415"/>
      <c r="C415"/>
    </row>
    <row r="416" spans="1:3" ht="13.5">
      <c r="A416"/>
      <c r="B416"/>
      <c r="C416"/>
    </row>
    <row r="417" spans="1:3" ht="13.5">
      <c r="A417"/>
      <c r="B417"/>
      <c r="C417"/>
    </row>
    <row r="418" spans="1:3" ht="13.5">
      <c r="A418"/>
      <c r="B418"/>
      <c r="C418"/>
    </row>
    <row r="419" spans="1:3" ht="13.5">
      <c r="A419"/>
      <c r="B419"/>
      <c r="C419"/>
    </row>
    <row r="420" spans="1:3" ht="13.5">
      <c r="A420"/>
      <c r="B420"/>
      <c r="C420"/>
    </row>
    <row r="421" spans="1:3" ht="13.5">
      <c r="A421"/>
      <c r="B421"/>
      <c r="C421"/>
    </row>
    <row r="422" spans="1:3" ht="13.5">
      <c r="A422"/>
      <c r="B422"/>
      <c r="C422"/>
    </row>
    <row r="423" spans="1:3" ht="13.5">
      <c r="A423"/>
      <c r="B423"/>
      <c r="C423"/>
    </row>
    <row r="424" spans="1:3" ht="13.5">
      <c r="A424"/>
      <c r="B424"/>
      <c r="C424"/>
    </row>
    <row r="425" spans="1:3" ht="13.5">
      <c r="A425"/>
      <c r="B425"/>
      <c r="C425"/>
    </row>
    <row r="426" spans="1:3" ht="13.5">
      <c r="A426"/>
      <c r="B426"/>
      <c r="C426"/>
    </row>
    <row r="427" spans="1:3" ht="13.5">
      <c r="A427"/>
      <c r="B427"/>
      <c r="C427"/>
    </row>
    <row r="428" spans="1:3" ht="13.5">
      <c r="A428"/>
      <c r="B428"/>
      <c r="C428"/>
    </row>
    <row r="429" spans="1:3" ht="13.5">
      <c r="A429"/>
      <c r="B429"/>
      <c r="C429"/>
    </row>
    <row r="430" spans="1:3" ht="13.5">
      <c r="A430"/>
      <c r="B430"/>
      <c r="C430"/>
    </row>
    <row r="431" spans="1:3" ht="13.5">
      <c r="A431"/>
      <c r="B431"/>
      <c r="C431"/>
    </row>
    <row r="432" spans="1:3" ht="13.5">
      <c r="A432"/>
      <c r="B432"/>
      <c r="C432"/>
    </row>
    <row r="433" spans="1:3" ht="13.5">
      <c r="A433"/>
      <c r="B433"/>
      <c r="C433"/>
    </row>
    <row r="434" spans="1:3" ht="13.5">
      <c r="A434"/>
      <c r="B434"/>
      <c r="C434"/>
    </row>
    <row r="435" spans="1:3" ht="13.5">
      <c r="A435"/>
      <c r="B435"/>
      <c r="C435"/>
    </row>
    <row r="436" spans="1:3" ht="13.5">
      <c r="A436"/>
      <c r="B436"/>
      <c r="C436"/>
    </row>
    <row r="437" spans="1:3" ht="13.5">
      <c r="A437"/>
      <c r="B437"/>
      <c r="C437"/>
    </row>
    <row r="438" spans="1:3" ht="13.5">
      <c r="A438"/>
      <c r="B438"/>
      <c r="C438"/>
    </row>
    <row r="439" spans="1:3" ht="13.5">
      <c r="A439"/>
      <c r="B439"/>
      <c r="C439"/>
    </row>
    <row r="440" spans="1:3" ht="13.5">
      <c r="A440"/>
      <c r="B440"/>
      <c r="C440"/>
    </row>
    <row r="441" spans="1:3" ht="13.5">
      <c r="A441"/>
      <c r="B441"/>
      <c r="C441"/>
    </row>
    <row r="442" spans="1:3" ht="13.5">
      <c r="A442"/>
      <c r="B442"/>
      <c r="C442"/>
    </row>
    <row r="443" spans="1:3" ht="13.5">
      <c r="A443"/>
      <c r="B443"/>
      <c r="C443"/>
    </row>
    <row r="444" spans="1:3" ht="13.5">
      <c r="A444"/>
      <c r="B444"/>
      <c r="C444"/>
    </row>
    <row r="445" spans="1:3" ht="13.5">
      <c r="A445"/>
      <c r="B445"/>
      <c r="C445"/>
    </row>
    <row r="446" spans="1:3" ht="13.5">
      <c r="A446"/>
      <c r="B446"/>
      <c r="C446"/>
    </row>
    <row r="447" spans="1:3" ht="13.5">
      <c r="A447"/>
      <c r="B447"/>
      <c r="C447"/>
    </row>
    <row r="448" spans="1:3" ht="13.5">
      <c r="A448"/>
      <c r="B448"/>
      <c r="C448"/>
    </row>
    <row r="449" spans="1:3" ht="13.5">
      <c r="A449"/>
      <c r="B449"/>
      <c r="C449"/>
    </row>
    <row r="450" spans="1:3" ht="13.5">
      <c r="A450"/>
      <c r="B450"/>
      <c r="C450"/>
    </row>
    <row r="451" spans="1:3" ht="13.5">
      <c r="A451"/>
      <c r="B451"/>
      <c r="C451"/>
    </row>
    <row r="452" spans="1:3" ht="13.5">
      <c r="A452"/>
      <c r="B452"/>
      <c r="C452"/>
    </row>
    <row r="453" spans="1:3" ht="13.5">
      <c r="A453"/>
      <c r="B453"/>
      <c r="C453"/>
    </row>
    <row r="454" spans="1:3" ht="13.5">
      <c r="A454"/>
      <c r="B454"/>
      <c r="C454"/>
    </row>
    <row r="455" spans="1:3" ht="13.5">
      <c r="A455"/>
      <c r="B455"/>
      <c r="C455"/>
    </row>
    <row r="456" spans="1:3" ht="13.5">
      <c r="A456"/>
      <c r="B456"/>
      <c r="C456"/>
    </row>
    <row r="457" spans="1:3" ht="13.5">
      <c r="A457"/>
      <c r="B457"/>
      <c r="C457"/>
    </row>
    <row r="458" spans="1:3" ht="13.5">
      <c r="A458"/>
      <c r="B458"/>
      <c r="C458"/>
    </row>
    <row r="459" spans="1:3" ht="13.5">
      <c r="A459"/>
      <c r="B459"/>
      <c r="C459"/>
    </row>
    <row r="460" spans="1:3" ht="13.5">
      <c r="A460"/>
      <c r="B460"/>
      <c r="C460"/>
    </row>
    <row r="461" spans="1:3" ht="13.5">
      <c r="A461"/>
      <c r="B461"/>
      <c r="C461"/>
    </row>
    <row r="462" spans="1:3" ht="13.5">
      <c r="A462"/>
      <c r="B462"/>
      <c r="C462"/>
    </row>
    <row r="463" spans="1:3" ht="13.5">
      <c r="A463"/>
      <c r="B463"/>
      <c r="C463"/>
    </row>
    <row r="464" spans="1:3" ht="13.5">
      <c r="A464"/>
      <c r="B464"/>
      <c r="C464"/>
    </row>
    <row r="465" spans="1:3" ht="13.5">
      <c r="A465"/>
      <c r="B465"/>
      <c r="C465"/>
    </row>
    <row r="466" spans="1:3" ht="13.5">
      <c r="A466"/>
      <c r="B466"/>
      <c r="C466"/>
    </row>
    <row r="467" spans="1:3" ht="13.5">
      <c r="A467"/>
      <c r="B467"/>
      <c r="C467"/>
    </row>
    <row r="468" spans="1:3" ht="13.5">
      <c r="A468"/>
      <c r="B468"/>
      <c r="C468"/>
    </row>
    <row r="469" spans="1:3" ht="13.5">
      <c r="A469"/>
      <c r="B469"/>
      <c r="C469"/>
    </row>
    <row r="470" spans="1:3" ht="13.5">
      <c r="A470"/>
      <c r="B470"/>
      <c r="C470"/>
    </row>
    <row r="471" spans="1:3" ht="13.5">
      <c r="A471"/>
      <c r="B471"/>
      <c r="C471"/>
    </row>
    <row r="472" spans="1:3" ht="13.5">
      <c r="A472"/>
      <c r="B472"/>
      <c r="C472"/>
    </row>
    <row r="473" spans="1:3" ht="13.5">
      <c r="A473"/>
      <c r="B473"/>
      <c r="C473"/>
    </row>
    <row r="474" spans="1:3" ht="13.5">
      <c r="A474"/>
      <c r="B474"/>
      <c r="C474"/>
    </row>
    <row r="475" spans="1:3" ht="13.5">
      <c r="A475"/>
      <c r="B475"/>
      <c r="C475"/>
    </row>
    <row r="476" spans="1:3" ht="13.5">
      <c r="A476"/>
      <c r="B476"/>
      <c r="C476"/>
    </row>
    <row r="477" spans="1:3" ht="13.5">
      <c r="A477"/>
      <c r="B477"/>
      <c r="C477"/>
    </row>
    <row r="478" spans="1:3" ht="13.5">
      <c r="A478"/>
      <c r="B478"/>
      <c r="C478"/>
    </row>
    <row r="479" spans="1:3" ht="13.5">
      <c r="A479"/>
      <c r="B479"/>
      <c r="C479"/>
    </row>
    <row r="480" spans="1:3" ht="13.5">
      <c r="A480"/>
      <c r="B480"/>
      <c r="C480"/>
    </row>
    <row r="481" spans="1:3" ht="13.5">
      <c r="A481"/>
      <c r="B481"/>
      <c r="C481"/>
    </row>
    <row r="482" spans="1:3" ht="13.5">
      <c r="A482"/>
      <c r="B482"/>
      <c r="C482"/>
    </row>
    <row r="483" spans="1:3" ht="13.5">
      <c r="A483"/>
      <c r="B483"/>
      <c r="C483"/>
    </row>
    <row r="484" spans="1:3" ht="13.5">
      <c r="A484"/>
      <c r="B484"/>
      <c r="C484"/>
    </row>
    <row r="485" spans="1:3" ht="13.5">
      <c r="A485"/>
      <c r="B485"/>
      <c r="C485"/>
    </row>
    <row r="486" spans="1:3" ht="13.5">
      <c r="A486"/>
      <c r="B486"/>
      <c r="C486"/>
    </row>
    <row r="487" spans="1:3" ht="13.5">
      <c r="A487"/>
      <c r="B487"/>
      <c r="C487"/>
    </row>
    <row r="488" spans="1:3" ht="13.5">
      <c r="A488"/>
      <c r="B488"/>
      <c r="C488"/>
    </row>
    <row r="489" spans="1:3" ht="13.5">
      <c r="A489"/>
      <c r="B489"/>
      <c r="C489"/>
    </row>
    <row r="490" spans="1:3" ht="13.5">
      <c r="A490"/>
      <c r="B490"/>
      <c r="C490"/>
    </row>
    <row r="491" spans="1:3" ht="13.5">
      <c r="A491"/>
      <c r="B491"/>
      <c r="C491"/>
    </row>
    <row r="492" spans="1:3" ht="13.5">
      <c r="A492"/>
      <c r="B492"/>
      <c r="C492"/>
    </row>
    <row r="493" spans="1:3" ht="13.5">
      <c r="A493"/>
      <c r="B493"/>
      <c r="C493"/>
    </row>
    <row r="494" spans="1:3" ht="13.5">
      <c r="A494"/>
      <c r="B494"/>
      <c r="C494"/>
    </row>
    <row r="495" spans="1:3" ht="13.5">
      <c r="A495"/>
      <c r="B495"/>
      <c r="C495"/>
    </row>
    <row r="496" spans="1:3" ht="13.5">
      <c r="A496"/>
      <c r="B496"/>
      <c r="C496"/>
    </row>
    <row r="497" spans="1:3" ht="13.5">
      <c r="A497"/>
      <c r="B497"/>
      <c r="C497"/>
    </row>
    <row r="498" spans="1:3" ht="13.5">
      <c r="A498"/>
      <c r="B498"/>
      <c r="C498"/>
    </row>
    <row r="499" spans="1:3" ht="13.5">
      <c r="A499"/>
      <c r="B499"/>
      <c r="C499"/>
    </row>
    <row r="500" spans="1:3" ht="13.5">
      <c r="A500"/>
      <c r="B500"/>
      <c r="C500"/>
    </row>
  </sheetData>
  <phoneticPr fontId="35" type="noConversion"/>
  <conditionalFormatting sqref="B501">
    <cfRule type="cellIs" dxfId="1" priority="1" operator="equal">
      <formula>2</formula>
    </cfRule>
    <cfRule type="cellIs" dxfId="0" priority="2" operator="equal">
      <formula>1</formula>
    </cfRule>
  </conditionalFormatting>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dm:cachedDataManifest xmlns:cdm="http://schemas.microsoft.com/2004/VisualStudio/Tools/Applications/CachedDataManifest.xsd" cdm:revision="1"/>
</file>

<file path=customXml/item2.xml><?xml version="1.0" encoding="utf-8"?>
<allowEditUser xmlns="https://web.wps.cn/et/2018/main" xmlns:s="http://schemas.openxmlformats.org/spreadsheetml/2006/main" hasInvisiblePropRange="0">
  <rangeList sheetStid="4" master="">
    <arrUserId title="是否AH" rangeCreator="" othersAccessPermission="edit"/>
    <arrUserId title="H股目标价" rangeCreator="" othersAccessPermission="edit"/>
    <arrUserId title="A股评级变动" rangeCreator="" othersAccessPermission="edit"/>
    <arrUserId title="A股评级" rangeCreator="" othersAccessPermission="edit"/>
    <arrUserId title="A股目标价" rangeCreator="" othersAccessPermission="edit"/>
    <arrUserId title="H股评级" rangeCreator="" othersAccessPermission="edit"/>
    <arrUserId title="H股评级变动" rangeCreator="" othersAccessPermission="edit"/>
  </rangeList>
  <rangeList sheetStid="21" master=""/>
  <rangeList sheetStid="1" master=""/>
  <rangeList sheetStid="5" master=""/>
  <rangeList sheetStid="3" master=""/>
  <rangeList sheetStid="8" master=""/>
  <rangeList sheetStid="2" master=""/>
  <rangeList sheetStid="6" master=""/>
  <rangeList sheetStid="9" master=""/>
  <rangeList sheetStid="10" master=""/>
  <rangeList sheetStid="18" master="">
    <arrUserId title="区域1" rangeCreator="" othersAccessPermission="edit"/>
  </rangeList>
  <rangeList sheetStid="13" master=""/>
  <rangeList sheetStid="15" master=""/>
  <rangeList sheetStid="16" master=""/>
  <rangeList sheetStid="17" master=""/>
  <rangeList sheetStid="20" master=""/>
  <rangeList sheetStid="19" master=""/>
</allowEditUser>
</file>

<file path=customXml/itemProps1.xml><?xml version="1.0" encoding="utf-8"?>
<ds:datastoreItem xmlns:ds="http://schemas.openxmlformats.org/officeDocument/2006/customXml" ds:itemID="{45B1CE1E-4C6F-497D-BD61-0501511E0A6C}">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6</vt:i4>
      </vt:variant>
    </vt:vector>
  </HeadingPairs>
  <TitlesOfParts>
    <vt:vector size="24" baseType="lpstr">
      <vt:lpstr>首页</vt:lpstr>
      <vt:lpstr>Financials at a glance</vt:lpstr>
      <vt:lpstr>历史数据</vt:lpstr>
      <vt:lpstr>经营模型</vt:lpstr>
      <vt:lpstr>经营模型拆分</vt:lpstr>
      <vt:lpstr>假设表</vt:lpstr>
      <vt:lpstr>关键项目预测</vt:lpstr>
      <vt:lpstr>历史数据及预测表</vt:lpstr>
      <vt:lpstr>估值表</vt:lpstr>
      <vt:lpstr>非财务信息</vt:lpstr>
      <vt:lpstr>关键比率</vt:lpstr>
      <vt:lpstr>输出表-首页用表</vt:lpstr>
      <vt:lpstr>输出表-利润表</vt:lpstr>
      <vt:lpstr>输出表-资产负债表</vt:lpstr>
      <vt:lpstr>输出表-现金流量表</vt:lpstr>
      <vt:lpstr>输出表-财务指标</vt:lpstr>
      <vt:lpstr>六张图</vt:lpstr>
      <vt:lpstr>校验警告</vt:lpstr>
      <vt:lpstr>EstiDate</vt:lpstr>
      <vt:lpstr>非财务信息!ics</vt:lpstr>
      <vt:lpstr>nrAfter</vt:lpstr>
      <vt:lpstr>nrBefore</vt:lpstr>
      <vt:lpstr>NRPredictWay</vt:lpstr>
      <vt:lpstr>StockCode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Dora zhang</dc:creator>
  <cp:lastModifiedBy>Ziying Cheng</cp:lastModifiedBy>
  <dcterms:created xsi:type="dcterms:W3CDTF">2016-02-26T08:22:00Z</dcterms:created>
  <dcterms:modified xsi:type="dcterms:W3CDTF">2026-04-28T16:15:38Z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39A71F8B215B4AA2A013B475F2B34F5C</vt:lpwstr>
  </property>
  <property fmtid="{D5CDD505-2E9C-101B-9397-08002B2CF9AE}" pid="3" name="EM_Doc_Temp_ID">
    <vt:lpwstr>6935721D-B376-468A-B521-BFF494F34CCC</vt:lpwstr>
  </property>
  <property fmtid="{D5CDD505-2E9C-101B-9397-08002B2CF9AE}" pid="4" name="KSOProductBuildVer">
    <vt:lpwstr>2052-11.8.0.16981</vt:lpwstr>
  </property>
</Properties>
</file>