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dc39662a3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看板" sheetId="1" r:id="Rfce448caef344518"/>
    <x:sheet xmlns:r="http://schemas.openxmlformats.org/officeDocument/2006/relationships" name="因子数据" sheetId="2" r:id="R6d9132520bc244cc"/>
    <x:sheet xmlns:r="http://schemas.openxmlformats.org/officeDocument/2006/relationships" name="因子4明细" sheetId="3" r:id="R3aa9c342b7524a92"/>
    <x:sheet xmlns:r="http://schemas.openxmlformats.org/officeDocument/2006/relationships" name="口径与来源" sheetId="4" r:id="Raac1fcdd82d3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0.000"/>
    <x:numFmt numFmtId="203" formatCode="0.00"/>
  </x:numFmts>
  <x:fonts count="7">
    <x:font>
      <x:sz val="11"/>
      <x:name val="Carlito"/>
    </x:font>
    <x:font>
      <x:sz val="10"/>
      <x:name val="Aptos"/>
    </x:font>
    <x:font>
      <x:b/>
      <x:sz val="16"/>
      <x:color rgb="FFFFFFFF"/>
      <x:name val="Aptos Display"/>
    </x:font>
    <x:font>
      <x:sz val="9"/>
      <x:color rgb="FF56616B"/>
      <x:name val="Aptos"/>
    </x:font>
    <x:font>
      <x:b/>
      <x:sz val="10"/>
      <x:color rgb="FFFFFFFF"/>
      <x:name val="Aptos"/>
    </x:font>
    <x:font>
      <x:b/>
      <x:sz val="10"/>
      <x:color rgb="FF163A5F"/>
      <x:name val="Aptos"/>
    </x:font>
    <x:font>
      <x:sz val="10"/>
      <x:color rgb="FF56616B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EF4F8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2" fontId="1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5" fillId="4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203" fontId="5" fillId="4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2527a7d7ef486e" /><Relationship Type="http://schemas.openxmlformats.org/officeDocument/2006/relationships/theme" Target="/xl/theme/theme1.xml" Id="Rabca9bac48d7469d" /><Relationship Type="http://schemas.openxmlformats.org/officeDocument/2006/relationships/sharedStrings" Target="/xl/sharedStrings.xml" Id="Racf807c0836247a1" /><Relationship Type="http://schemas.openxmlformats.org/officeDocument/2006/relationships/worksheet" Target="/xl/worksheets/sheet1.xml" Id="Rfce448caef344518" /><Relationship Type="http://schemas.openxmlformats.org/officeDocument/2006/relationships/worksheet" Target="/xl/worksheets/sheet2.xml" Id="R6d9132520bc244cc" /><Relationship Type="http://schemas.openxmlformats.org/officeDocument/2006/relationships/worksheet" Target="/xl/worksheets/sheet3.xml" Id="R3aa9c342b7524a92" /><Relationship Type="http://schemas.openxmlformats.org/officeDocument/2006/relationships/worksheet" Target="/xl/worksheets/sheet4.xml" Id="Raac1fcdd82d34d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5" hidden="0" customWidth="1"/>
    <x:col min="4" max="4" width="14" hidden="0" customWidth="1"/>
    <x:col min="5" max="5" width="18" hidden="0" customWidth="1"/>
    <x:col min="6" max="6" width="25" hidden="0" customWidth="1"/>
    <x:col min="7" max="7" width="15" hidden="0" customWidth="1"/>
  </x:cols>
  <x:sheetData>
    <x:row r="1" ht="30" customHeight="1">
      <x:c r="A1" s="5" t="str">
        <x:v>美国通胀压力温度计｜试算</x:v>
      </x:c>
      <x:c r="B1" s="5"/>
      <x:c r="C1" s="5"/>
      <x:c r="D1" s="5"/>
      <x:c r="E1" s="5"/>
      <x:c r="F1" s="5"/>
      <x:c r="G1" s="5"/>
      <x:c r="H1" s="1"/>
      <x:c r="I1" s="1"/>
      <x:c r="J1" s="1"/>
      <x:c r="K1" s="1"/>
      <x:c r="L1" s="1"/>
      <x:c r="M1" s="1"/>
      <x:c r="N1" s="1"/>
      <x:c r="O1" s="1"/>
    </x:row>
    <x:row r="2">
      <x:c r="A2" s="26" t="str">
        <x:v>基准：2022 年 1–6 月月均值=100；四因子等权。最新可得值存在一个月错位。</x:v>
      </x:c>
      <x:c r="B2" s="26"/>
      <x:c r="C2" s="26"/>
      <x:c r="D2" s="26"/>
      <x:c r="E2" s="26"/>
      <x:c r="F2" s="26"/>
      <x:c r="G2" s="26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4" t="str">
        <x:v>最新可得观察：Atlanta Fed WGT 为 2026-09，其余因子为 2026-08</x:v>
      </x:c>
      <x:c r="B4" s="14"/>
      <x:c r="C4" s="14"/>
      <x:c r="D4" s="14"/>
      <x:c r="E4" s="14"/>
      <x:c r="F4" s="14"/>
      <x:c r="G4" s="14"/>
      <x:c r="H4" s="1"/>
      <x:c r="I4" s="1"/>
      <x:c r="J4" s="1"/>
      <x:c r="K4" s="1"/>
      <x:c r="L4" s="1"/>
      <x:c r="M4" s="1"/>
      <x:c r="N4" s="1"/>
      <x:c r="O4" s="1"/>
    </x:row>
    <x:row r="5">
      <x:c r="A5" s="11" t="str">
        <x:v>因子</x:v>
      </x:c>
      <x:c r="B5" s="11" t="str">
        <x:v>单位</x:v>
      </x:c>
      <x:c r="C5" s="11" t="str">
        <x:v>最新值</x:v>
      </x:c>
      <x:c r="D5" s="11" t="str">
        <x:v>最新期</x:v>
      </x:c>
      <x:c r="E5" s="11" t="str">
        <x:v>2022H1基准</x:v>
      </x:c>
      <x:c r="F5" s="11" t="str">
        <x:v>归一化指数（基准=100）</x:v>
      </x:c>
      <x:c r="G5" s="11" t="str">
        <x:v>等权贡献</x:v>
      </x:c>
      <x:c r="H5" s="1"/>
      <x:c r="I5" s="1"/>
      <x:c r="J5" s="1"/>
      <x:c r="K5" s="1"/>
      <x:c r="L5" s="1"/>
      <x:c r="M5" s="1"/>
      <x:c r="N5" s="1"/>
      <x:c r="O5" s="1"/>
    </x:row>
    <x:row r="6">
      <x:c r="A6" s="18" t="str">
        <x:f>'因子数据'!A5</x:f>
        <x:v>WGT</x:v>
      </x:c>
      <x:c r="B6" s="18" t="str">
        <x:f>'因子数据'!B5</x:f>
        <x:v>%</x:v>
      </x:c>
      <x:c r="C6" s="29" t="n">
        <x:f>'因子数据'!L5</x:f>
        <x:v>3.9</x:v>
      </x:c>
      <x:c r="D6" s="18" t="str">
        <x:f>'因子数据'!M5</x:f>
        <x:v>2026-09</x:v>
      </x:c>
      <x:c r="E6" s="29" t="n">
        <x:f>'因子数据'!I5</x:f>
        <x:v>6.033333333333332</x:v>
      </x:c>
      <x:c r="F6" s="29" t="n">
        <x:f>C6/E6*100</x:f>
        <x:v>64.64088397790057</x:v>
      </x:c>
      <x:c r="G6" s="29" t="n">
        <x:f>F6/4</x:f>
        <x:v>16.160220994475143</x:v>
      </x:c>
      <x:c r="H6" s="1"/>
      <x:c r="I6" s="1"/>
      <x:c r="J6" s="1"/>
      <x:c r="K6" s="1"/>
      <x:c r="L6" s="1"/>
      <x:c r="M6" s="1"/>
      <x:c r="N6" s="1"/>
      <x:c r="O6" s="1"/>
    </x:row>
    <x:row r="7">
      <x:c r="A7" s="18" t="str">
        <x:f>'因子数据'!A6</x:f>
        <x:v>Sticky CPI</x:v>
      </x:c>
      <x:c r="B7" s="18" t="str">
        <x:f>'因子数据'!B6</x:f>
        <x:v>%</x:v>
      </x:c>
      <x:c r="C7" s="29" t="n">
        <x:f>'因子数据'!L6</x:f>
        <x:v>2.741335256</x:v>
      </x:c>
      <x:c r="D7" s="18" t="str">
        <x:f>'因子数据'!M6</x:f>
        <x:v>2026-08</x:v>
      </x:c>
      <x:c r="E7" s="29" t="n">
        <x:f>'因子数据'!I6</x:f>
        <x:v>4.8313514155</x:v>
      </x:c>
      <x:c r="F7" s="29" t="n">
        <x:f>C7/E7*100</x:f>
        <x:v>56.740547731742616</x:v>
      </x:c>
      <x:c r="G7" s="29" t="n">
        <x:f>F7/4</x:f>
        <x:v>14.185136932935654</x:v>
      </x:c>
      <x:c r="H7" s="1"/>
      <x:c r="I7" s="1"/>
      <x:c r="J7" s="1"/>
      <x:c r="K7" s="1"/>
      <x:c r="L7" s="1"/>
      <x:c r="M7" s="1"/>
      <x:c r="N7" s="1"/>
      <x:c r="O7" s="1"/>
    </x:row>
    <x:row r="8">
      <x:c r="A8" s="18" t="str">
        <x:f>'因子数据'!A7</x:f>
        <x:v>Flexible CPI</x:v>
      </x:c>
      <x:c r="B8" s="18" t="str">
        <x:f>'因子数据'!B7</x:f>
        <x:v>%</x:v>
      </x:c>
      <x:c r="C8" s="29" t="n">
        <x:f>'因子数据'!L7</x:f>
        <x:v>4.942421343</x:v>
      </x:c>
      <x:c r="D8" s="18" t="str">
        <x:f>'因子数据'!M7</x:f>
        <x:v>2026-08</x:v>
      </x:c>
      <x:c r="E8" s="29" t="n">
        <x:f>'因子数据'!I7</x:f>
        <x:v>17.806228162</x:v>
      </x:c>
      <x:c r="F8" s="29" t="n">
        <x:f>C8/E8*100</x:f>
        <x:v>27.756700060417884</x:v>
      </x:c>
      <x:c r="G8" s="29" t="n">
        <x:f>F8/4</x:f>
        <x:v>6.939175015104471</x:v>
      </x:c>
      <x:c r="H8" s="1"/>
      <x:c r="I8" s="1"/>
      <x:c r="J8" s="1"/>
      <x:c r="K8" s="1"/>
      <x:c r="L8" s="1"/>
      <x:c r="M8" s="1"/>
      <x:c r="N8" s="1"/>
      <x:c r="O8" s="1"/>
    </x:row>
    <x:row r="9">
      <x:c r="A9" s="18" t="str">
        <x:f>'因子数据'!A8</x:f>
        <x:v>BLS项目广度</x:v>
      </x:c>
      <x:c r="B9" s="18" t="str">
        <x:f>'因子数据'!B8</x:f>
        <x:v>%有效项目</x:v>
      </x:c>
      <x:c r="C9" s="29" t="n">
        <x:f>'因子数据'!L8</x:f>
        <x:v>50</x:v>
      </x:c>
      <x:c r="D9" s="18" t="str">
        <x:f>'因子数据'!M8</x:f>
        <x:v>2026-08</x:v>
      </x:c>
      <x:c r="E9" s="29" t="n">
        <x:f>'因子数据'!I8</x:f>
        <x:v>75.82605872592165</x:v>
      </x:c>
      <x:c r="F9" s="29" t="n">
        <x:f>C9/E9*100</x:f>
        <x:v>65.9403915225613</x:v>
      </x:c>
      <x:c r="G9" s="29" t="n">
        <x:f>F9/4</x:f>
        <x:v>16.485097880640325</x:v>
      </x:c>
      <x:c r="H9" s="1"/>
      <x:c r="I9" s="1"/>
      <x:c r="J9" s="1"/>
      <x:c r="K9" s="1"/>
      <x:c r="L9" s="1"/>
      <x:c r="M9" s="1"/>
      <x:c r="N9" s="1"/>
      <x:c r="O9" s="1"/>
    </x:row>
    <x:row r="10">
      <x:c r="A10" s="14" t="str">
        <x:v>总分</x:v>
      </x:c>
      <x:c r="B10" s="14"/>
      <x:c r="C10" s="30"/>
      <x:c r="D10" s="14"/>
      <x:c r="E10" s="30"/>
      <x:c r="F10" s="30" t="n">
        <x:f>SUM(G6:G9)</x:f>
        <x:v>53.769630823155595</x:v>
      </x:c>
      <x:c r="G10" s="30" t="n">
        <x:f>SUM(G6:G9)</x:f>
        <x:v>53.769630823155595</x:v>
      </x:c>
      <x:c r="H10" s="1"/>
      <x:c r="I10" s="1"/>
      <x:c r="J10" s="1"/>
      <x:c r="K10" s="1"/>
      <x:c r="L10" s="1"/>
      <x:c r="M10" s="1"/>
      <x:c r="N10" s="1"/>
      <x:c r="O10" s="1"/>
    </x:row>
    <x:row r="11">
      <x:c r="A11" s="18"/>
      <x:c r="B11" s="18"/>
      <x:c r="C11" s="18"/>
      <x:c r="D11" s="18"/>
      <x:c r="E11" s="18"/>
      <x:c r="F11" s="18"/>
      <x:c r="G11" s="18"/>
      <x:c r="H11" s="1"/>
      <x:c r="I11" s="1"/>
      <x:c r="J11" s="1"/>
      <x:c r="K11" s="1"/>
      <x:c r="L11" s="1"/>
      <x:c r="M11" s="1"/>
      <x:c r="N11" s="1"/>
      <x:c r="O11" s="1"/>
    </x:row>
    <x:row r="12">
      <x:c r="A12" s="14" t="str">
        <x:v>同月对齐观察：四因子均为 2026-08</x:v>
      </x:c>
      <x:c r="B12" s="14"/>
      <x:c r="C12" s="14"/>
      <x:c r="D12" s="14"/>
      <x:c r="E12" s="14"/>
      <x:c r="F12" s="14"/>
      <x:c r="G12" s="14"/>
      <x:c r="H12" s="1"/>
      <x:c r="I12" s="1"/>
      <x:c r="J12" s="1"/>
      <x:c r="K12" s="1"/>
      <x:c r="L12" s="1"/>
      <x:c r="M12" s="1"/>
      <x:c r="N12" s="1"/>
      <x:c r="O12" s="1"/>
    </x:row>
    <x:row r="13">
      <x:c r="A13" s="11" t="str">
        <x:v>因子</x:v>
      </x:c>
      <x:c r="B13" s="11" t="str">
        <x:v>单位</x:v>
      </x:c>
      <x:c r="C13" s="11" t="str">
        <x:v>2026-08值</x:v>
      </x:c>
      <x:c r="D13" s="11" t="str">
        <x:v>观察期</x:v>
      </x:c>
      <x:c r="E13" s="11" t="str">
        <x:v>2022H1基准</x:v>
      </x:c>
      <x:c r="F13" s="11" t="str">
        <x:v>归一化指数（基准=100）</x:v>
      </x:c>
      <x:c r="G13" s="11" t="str">
        <x:v>等权贡献</x:v>
      </x:c>
      <x:c r="H13" s="1"/>
      <x:c r="I13" s="1"/>
      <x:c r="J13" s="1"/>
      <x:c r="K13" s="1"/>
      <x:c r="L13" s="1"/>
      <x:c r="M13" s="1"/>
      <x:c r="N13" s="1"/>
      <x:c r="O13" s="1"/>
    </x:row>
    <x:row r="14">
      <x:c r="A14" s="18" t="str">
        <x:f>'因子数据'!A5</x:f>
        <x:v>WGT</x:v>
      </x:c>
      <x:c r="B14" s="18" t="str">
        <x:f>'因子数据'!B5</x:f>
        <x:v>%</x:v>
      </x:c>
      <x:c r="C14" s="29" t="n">
        <x:f>'因子数据'!J5</x:f>
        <x:v>4.1</x:v>
      </x:c>
      <x:c r="D14" s="18" t="str">
        <x:v>2026-08</x:v>
      </x:c>
      <x:c r="E14" s="29" t="n">
        <x:f>'因子数据'!I5</x:f>
        <x:v>6.033333333333332</x:v>
      </x:c>
      <x:c r="F14" s="29" t="n">
        <x:f>C14/E14*100</x:f>
        <x:v>67.95580110497238</x:v>
      </x:c>
      <x:c r="G14" s="29" t="n">
        <x:f>F14/4</x:f>
        <x:v>16.988950276243095</x:v>
      </x:c>
      <x:c r="H14" s="1"/>
      <x:c r="I14" s="1"/>
      <x:c r="J14" s="1"/>
      <x:c r="K14" s="1"/>
      <x:c r="L14" s="1"/>
      <x:c r="M14" s="1"/>
      <x:c r="N14" s="1"/>
      <x:c r="O14" s="1"/>
    </x:row>
    <x:row r="15">
      <x:c r="A15" s="18" t="str">
        <x:f>'因子数据'!A6</x:f>
        <x:v>Sticky CPI</x:v>
      </x:c>
      <x:c r="B15" s="18" t="str">
        <x:f>'因子数据'!B6</x:f>
        <x:v>%</x:v>
      </x:c>
      <x:c r="C15" s="29" t="n">
        <x:f>'因子数据'!J6</x:f>
        <x:v>2.741335256</x:v>
      </x:c>
      <x:c r="D15" s="18" t="str">
        <x:v>2026-08</x:v>
      </x:c>
      <x:c r="E15" s="29" t="n">
        <x:f>'因子数据'!I6</x:f>
        <x:v>4.8313514155</x:v>
      </x:c>
      <x:c r="F15" s="29" t="n">
        <x:f>C15/E15*100</x:f>
        <x:v>56.740547731742616</x:v>
      </x:c>
      <x:c r="G15" s="29" t="n">
        <x:f>F15/4</x:f>
        <x:v>14.185136932935654</x:v>
      </x:c>
      <x:c r="H15" s="1"/>
      <x:c r="I15" s="1"/>
      <x:c r="J15" s="1"/>
      <x:c r="K15" s="1"/>
      <x:c r="L15" s="1"/>
      <x:c r="M15" s="1"/>
      <x:c r="N15" s="1"/>
      <x:c r="O15" s="1"/>
    </x:row>
    <x:row r="16">
      <x:c r="A16" s="18" t="str">
        <x:f>'因子数据'!A7</x:f>
        <x:v>Flexible CPI</x:v>
      </x:c>
      <x:c r="B16" s="18" t="str">
        <x:f>'因子数据'!B7</x:f>
        <x:v>%</x:v>
      </x:c>
      <x:c r="C16" s="29" t="n">
        <x:f>'因子数据'!J7</x:f>
        <x:v>4.942421343</x:v>
      </x:c>
      <x:c r="D16" s="18" t="str">
        <x:v>2026-08</x:v>
      </x:c>
      <x:c r="E16" s="29" t="n">
        <x:f>'因子数据'!I7</x:f>
        <x:v>17.806228162</x:v>
      </x:c>
      <x:c r="F16" s="29" t="n">
        <x:f>C16/E16*100</x:f>
        <x:v>27.756700060417884</x:v>
      </x:c>
      <x:c r="G16" s="29" t="n">
        <x:f>F16/4</x:f>
        <x:v>6.939175015104471</x:v>
      </x:c>
      <x:c r="H16" s="1"/>
      <x:c r="I16" s="1"/>
      <x:c r="J16" s="1"/>
      <x:c r="K16" s="1"/>
      <x:c r="L16" s="1"/>
      <x:c r="M16" s="1"/>
      <x:c r="N16" s="1"/>
      <x:c r="O16" s="1"/>
    </x:row>
    <x:row r="17">
      <x:c r="A17" s="18" t="str">
        <x:f>'因子数据'!A8</x:f>
        <x:v>BLS项目广度</x:v>
      </x:c>
      <x:c r="B17" s="18" t="str">
        <x:f>'因子数据'!B8</x:f>
        <x:v>%有效项目</x:v>
      </x:c>
      <x:c r="C17" s="29" t="n">
        <x:f>'因子数据'!J8</x:f>
        <x:v>50</x:v>
      </x:c>
      <x:c r="D17" s="18" t="str">
        <x:v>2026-08</x:v>
      </x:c>
      <x:c r="E17" s="29" t="n">
        <x:f>'因子数据'!I8</x:f>
        <x:v>75.82605872592165</x:v>
      </x:c>
      <x:c r="F17" s="29" t="n">
        <x:f>C17/E17*100</x:f>
        <x:v>65.9403915225613</x:v>
      </x:c>
      <x:c r="G17" s="29" t="n">
        <x:f>F17/4</x:f>
        <x:v>16.485097880640325</x:v>
      </x:c>
      <x:c r="H17" s="1"/>
      <x:c r="I17" s="1"/>
      <x:c r="J17" s="1"/>
      <x:c r="K17" s="1"/>
      <x:c r="L17" s="1"/>
      <x:c r="M17" s="1"/>
      <x:c r="N17" s="1"/>
      <x:c r="O17" s="1"/>
    </x:row>
    <x:row r="18">
      <x:c r="A18" s="14" t="str">
        <x:v>总分</x:v>
      </x:c>
      <x:c r="B18" s="14"/>
      <x:c r="C18" s="30"/>
      <x:c r="D18" s="14"/>
      <x:c r="E18" s="30"/>
      <x:c r="F18" s="30" t="n">
        <x:f>SUM(G14:G17)</x:f>
        <x:v>54.59836010492354</x:v>
      </x:c>
      <x:c r="G18" s="30" t="n">
        <x:f>SUM(G14:G17)</x:f>
        <x:v>54.59836010492354</x:v>
      </x:c>
      <x:c r="H18" s="1"/>
      <x:c r="I18" s="1"/>
      <x:c r="J18" s="1"/>
      <x:c r="K18" s="1"/>
      <x:c r="L18" s="1"/>
      <x:c r="M18" s="1"/>
      <x:c r="N18" s="1"/>
      <x:c r="O18" s="1"/>
    </x:row>
    <x:row r="19">
      <x:c r="A19" s="18"/>
      <x:c r="B19" s="18"/>
      <x:c r="C19" s="18"/>
      <x:c r="D19" s="18"/>
      <x:c r="E19" s="18"/>
      <x:c r="F19" s="18"/>
      <x:c r="G19" s="18"/>
      <x:c r="H19" s="1"/>
      <x:c r="I19" s="1"/>
      <x:c r="J19" s="1"/>
      <x:c r="K19" s="1"/>
      <x:c r="L19" s="1"/>
      <x:c r="M19" s="1"/>
      <x:c r="N19" s="1"/>
      <x:c r="O19" s="1"/>
    </x:row>
    <x:row r="20">
      <x:c r="A20" s="26" t="str">
        <x:v>解读：100 等于 2022H1 月均基准。没有用未回测的红黄绿分档；分数低于 100 只表示低于该基准。</x:v>
      </x:c>
      <x:c r="B20" s="26"/>
      <x:c r="C20" s="26"/>
      <x:c r="D20" s="26"/>
      <x:c r="E20" s="26"/>
      <x:c r="F20" s="26"/>
      <x:c r="G20" s="26"/>
      <x:c r="H20" s="1"/>
      <x:c r="I20" s="1"/>
      <x:c r="J20" s="1"/>
      <x:c r="K20" s="1"/>
      <x:c r="L20" s="1"/>
      <x:c r="M20" s="1"/>
      <x:c r="N20" s="1"/>
      <x:c r="O20" s="1"/>
    </x:row>
    <x:row r="21">
      <x:c r="A21" s="26" t="str">
        <x:v>因子4（2026-08）：82 / 164 = 50.0%；170 个映射项目覆盖 BLS 211 项标准的 80.6%，本期数值覆盖为 164 / 211 = 77.7%。</x:v>
      </x:c>
      <x:c r="B21" s="26"/>
      <x:c r="C21" s="26"/>
      <x:c r="D21" s="26"/>
      <x:c r="E21" s="26"/>
      <x:c r="F21" s="26"/>
      <x:c r="G21" s="26"/>
      <x:c r="H21" s="1"/>
      <x:c r="I21" s="1"/>
      <x:c r="J21" s="1"/>
      <x:c r="K21" s="1"/>
      <x:c r="L21" s="1"/>
      <x:c r="M21" s="1"/>
      <x:c r="N21" s="1"/>
      <x:c r="O21" s="1"/>
    </x:row>
    <x:row r="22">
      <x:c r="A22" s="26" t="str">
        <x:v>因子4边界：BLS显示同比值严格大于 3.0% 才计入；显示为 3.0% 不计。非数值空白或破折号跳过。</x:v>
      </x:c>
      <x:c r="B22" s="26"/>
      <x:c r="C22" s="26"/>
      <x:c r="D22" s="26"/>
      <x:c r="E22" s="26"/>
      <x:c r="F22" s="26"/>
      <x:c r="G22" s="26"/>
      <x:c r="H22" s="1"/>
      <x:c r="I22" s="1"/>
      <x:c r="J22" s="1"/>
      <x:c r="K22" s="1"/>
      <x:c r="L22" s="1"/>
      <x:c r="M22" s="1"/>
      <x:c r="N22" s="1"/>
      <x:c r="O22" s="1"/>
    </x:row>
    <x:row r="23">
      <x:c r="A23" s="26" t="str">
        <x:v>数据精度：BLS分项同比按页面显示的一位小数近似；最新总分和 2026-08 对齐总分分别显示在上表。</x:v>
      </x:c>
      <x:c r="B23" s="26"/>
      <x:c r="C23" s="26"/>
      <x:c r="D23" s="26"/>
      <x:c r="E23" s="26"/>
      <x:c r="F23" s="26"/>
      <x:c r="G23" s="26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</x:sheetData>
  <x:mergeCells>
    <x:mergeCell ref="A2:G2"/>
    <x:mergeCell ref="A4:G4"/>
    <x:mergeCell ref="A12:G12"/>
    <x:mergeCell ref="A20:G20"/>
    <x:mergeCell ref="A21:G21"/>
    <x:mergeCell ref="A22:G22"/>
    <x:mergeCell ref="A23:G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72" hidden="0" customWidth="1"/>
  </x:cols>
  <x:sheetData>
    <x:row r="1" ht="30" customHeight="1">
      <x:c r="A1" s="5" t="str">
        <x:v>因子数据与基准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1"/>
    </x:row>
    <x:row r="2">
      <x:c r="A2" s="26" t="str">
        <x:v>原始观测值；H1 基准为 2022-01 至 2022-06 六个月算术平均。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1" t="str">
        <x:v>因子</x:v>
      </x:c>
      <x:c r="B4" s="11" t="str">
        <x:v>单位</x:v>
      </x:c>
      <x:c r="C4" s="11" t="str">
        <x:v>2022-01</x:v>
      </x:c>
      <x:c r="D4" s="11" t="str">
        <x:v>2022-02</x:v>
      </x:c>
      <x:c r="E4" s="11" t="str">
        <x:v>2022-03</x:v>
      </x:c>
      <x:c r="F4" s="11" t="str">
        <x:v>2022-04</x:v>
      </x:c>
      <x:c r="G4" s="11" t="str">
        <x:v>2022-05</x:v>
      </x:c>
      <x:c r="H4" s="11" t="str">
        <x:v>2022-06</x:v>
      </x:c>
      <x:c r="I4" s="11" t="str">
        <x:v>2022H1均值</x:v>
      </x:c>
      <x:c r="J4" s="11" t="str">
        <x:v>2026-08</x:v>
      </x:c>
      <x:c r="K4" s="11" t="str">
        <x:v>2026-09</x:v>
      </x:c>
      <x:c r="L4" s="11" t="str">
        <x:v>最新值</x:v>
      </x:c>
      <x:c r="M4" s="11" t="str">
        <x:v>最新期</x:v>
      </x:c>
      <x:c r="N4" s="11" t="str">
        <x:v>来源</x:v>
      </x:c>
      <x:c r="O4" s="1"/>
    </x:row>
    <x:row r="5">
      <x:c r="A5" s="18" t="str">
        <x:v>WGT</x:v>
      </x:c>
      <x:c r="B5" s="18" t="str">
        <x:v>%</x:v>
      </x:c>
      <x:c r="C5" s="22" t="n">
        <x:v>5.3</x:v>
      </x:c>
      <x:c r="D5" s="22" t="n">
        <x:v>5.9</x:v>
      </x:c>
      <x:c r="E5" s="22" t="n">
        <x:v>6</x:v>
      </x:c>
      <x:c r="F5" s="22" t="n">
        <x:v>6.1</x:v>
      </x:c>
      <x:c r="G5" s="22" t="n">
        <x:v>6.2</x:v>
      </x:c>
      <x:c r="H5" s="22" t="n">
        <x:v>6.7</x:v>
      </x:c>
      <x:c r="I5" s="22" t="n">
        <x:f>AVERAGE(C5:H5)</x:f>
        <x:v>6.033333333333332</x:v>
      </x:c>
      <x:c r="J5" s="22" t="n">
        <x:v>4.1</x:v>
      </x:c>
      <x:c r="K5" s="22" t="n">
        <x:v>3.9</x:v>
      </x:c>
      <x:c r="L5" s="22" t="n">
        <x:f>IF(K5="",J5,K5)</x:f>
        <x:v>3.9</x:v>
      </x:c>
      <x:c r="M5" s="18" t="str">
        <x:v>2026-09</x:v>
      </x:c>
      <x:c r="N5" s="18" t="str">
        <x:v>https://www.atlantafed.org/research-and-data/data/wage-growth-tracker</x:v>
      </x:c>
      <x:c r="O5" s="1"/>
    </x:row>
    <x:row r="6">
      <x:c r="A6" s="18" t="str">
        <x:v>Sticky CPI</x:v>
      </x:c>
      <x:c r="B6" s="18" t="str">
        <x:v>%</x:v>
      </x:c>
      <x:c r="C6" s="22" t="n">
        <x:v>4.144298301</x:v>
      </x:c>
      <x:c r="D6" s="22" t="n">
        <x:v>4.480230095</x:v>
      </x:c>
      <x:c r="E6" s="22" t="n">
        <x:v>4.731284166</x:v>
      </x:c>
      <x:c r="F6" s="22" t="n">
        <x:v>4.90899746</x:v>
      </x:c>
      <x:c r="G6" s="22" t="n">
        <x:v>5.156160112</x:v>
      </x:c>
      <x:c r="H6" s="22" t="n">
        <x:v>5.567138359</x:v>
      </x:c>
      <x:c r="I6" s="22" t="n">
        <x:f>AVERAGE(C6:H6)</x:f>
        <x:v>4.8313514155</x:v>
      </x:c>
      <x:c r="J6" s="22" t="n">
        <x:v>2.741335256</x:v>
      </x:c>
      <x:c r="K6" s="22"/>
      <x:c r="L6" s="22" t="n">
        <x:f>IF(K6="",J6,K6)</x:f>
        <x:v>2.741335256</x:v>
      </x:c>
      <x:c r="M6" s="18" t="str">
        <x:v>2026-08</x:v>
      </x:c>
      <x:c r="N6" s="18" t="str">
        <x:v>https://fred.stlouisfed.org/data/STICKCPIM159SFRBATL</x:v>
      </x:c>
      <x:c r="O6" s="1"/>
    </x:row>
    <x:row r="7">
      <x:c r="A7" s="18" t="str">
        <x:v>Flexible CPI</x:v>
      </x:c>
      <x:c r="B7" s="18" t="str">
        <x:v>%</x:v>
      </x:c>
      <x:c r="C7" s="22" t="n">
        <x:v>17.256703798</x:v>
      </x:c>
      <x:c r="D7" s="22" t="n">
        <x:v>17.681701086</x:v>
      </x:c>
      <x:c r="E7" s="22" t="n">
        <x:v>19.104626424</x:v>
      </x:c>
      <x:c r="F7" s="22" t="n">
        <x:v>17.185409082</x:v>
      </x:c>
      <x:c r="G7" s="22" t="n">
        <x:v>17.702840922</x:v>
      </x:c>
      <x:c r="H7" s="22" t="n">
        <x:v>17.90608766</x:v>
      </x:c>
      <x:c r="I7" s="22" t="n">
        <x:f>AVERAGE(C7:H7)</x:f>
        <x:v>17.806228162</x:v>
      </x:c>
      <x:c r="J7" s="22" t="n">
        <x:v>4.942421343</x:v>
      </x:c>
      <x:c r="K7" s="22"/>
      <x:c r="L7" s="22" t="n">
        <x:f>IF(K7="",J7,K7)</x:f>
        <x:v>4.942421343</x:v>
      </x:c>
      <x:c r="M7" s="18" t="str">
        <x:v>2026-08</x:v>
      </x:c>
      <x:c r="N7" s="18" t="str">
        <x:v>https://fred.stlouisfed.org/data/FLEXCPIM159SFRBATL</x:v>
      </x:c>
      <x:c r="O7" s="1"/>
    </x:row>
    <x:row r="8">
      <x:c r="A8" s="23" t="str">
        <x:v>BLS项目广度</x:v>
      </x:c>
      <x:c r="B8" s="23" t="str">
        <x:v>%有效项目</x:v>
      </x:c>
      <x:c r="C8" s="24" t="n">
        <x:f>'因子4明细'!D179*100</x:f>
        <x:v>71.8562874251497</x:v>
      </x:c>
      <x:c r="D8" s="24" t="n">
        <x:f>'因子4明细'!E179*100</x:f>
        <x:v>74.8502994011976</x:v>
      </x:c>
      <x:c r="E8" s="24" t="n">
        <x:f>'因子4明细'!F179*100</x:f>
        <x:v>79.04191616766467</x:v>
      </x:c>
      <x:c r="F8" s="24" t="n">
        <x:f>'因子4明细'!G179*100</x:f>
        <x:v>74.8502994011976</x:v>
      </x:c>
      <x:c r="G8" s="24" t="n">
        <x:f>'因子4明细'!H179*100</x:f>
        <x:v>76.64670658682635</x:v>
      </x:c>
      <x:c r="H8" s="24" t="n">
        <x:f>'因子4明细'!I179*100</x:f>
        <x:v>77.71084337349397</x:v>
      </x:c>
      <x:c r="I8" s="24" t="n">
        <x:f>AVERAGE(C8:H8)</x:f>
        <x:v>75.82605872592165</x:v>
      </x:c>
      <x:c r="J8" s="24" t="n">
        <x:f>'因子4明细'!J179*100</x:f>
        <x:v>50</x:v>
      </x:c>
      <x:c r="K8" s="24"/>
      <x:c r="L8" s="24" t="n">
        <x:f>IF(K8="",J8,K8)</x:f>
        <x:v>50</x:v>
      </x:c>
      <x:c r="M8" s="23" t="str">
        <x:v>2026-08</x:v>
      </x:c>
      <x:c r="N8" s="23" t="str">
        <x:v>https://www.bls.gov/news.release/cpi.t02.htm</x:v>
      </x:c>
      <x:c r="O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</x:sheetData>
  <x:mergeCells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9" hidden="0" customWidth="1"/>
    <x:col min="3" max="3" width="4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7" hidden="0" customWidth="1"/>
  </x:cols>
  <x:sheetData>
    <x:row r="1" ht="30" customHeight="1">
      <x:c r="A1" s="5" t="str">
        <x:v>因子4明细｜BLS 表中可映射项目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1"/>
      <x:c r="M1" s="1"/>
      <x:c r="N1" s="1"/>
      <x:c r="O1" s="1"/>
    </x:row>
    <x:row r="2">
      <x:c r="A2" s="26" t="str">
        <x:v>来源：BLS CPI-U Table 2；同比未调整值，使用页面显示精度。空白/破折号均不进入数值分母。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1" t="str">
        <x:v>BLS代码</x:v>
      </x:c>
      <x:c r="B4" s="11" t="str">
        <x:v>2026-08表内项目名</x:v>
      </x:c>
      <x:c r="C4" s="11" t="str">
        <x:v>2022-01表内项目名</x:v>
      </x:c>
      <x:c r="D4" s="11" t="str">
        <x:v>2022-01</x:v>
      </x:c>
      <x:c r="E4" s="11" t="str">
        <x:v>2022-02</x:v>
      </x:c>
      <x:c r="F4" s="11" t="str">
        <x:v>2022-03</x:v>
      </x:c>
      <x:c r="G4" s="11" t="str">
        <x:v>2022-04</x:v>
      </x:c>
      <x:c r="H4" s="11" t="str">
        <x:v>2022-05</x:v>
      </x:c>
      <x:c r="I4" s="11" t="str">
        <x:v>2022-06</x:v>
      </x:c>
      <x:c r="J4" s="11" t="str">
        <x:v>2026-08</x:v>
      </x:c>
      <x:c r="K4" s="11" t="str">
        <x:v>2026-08是否&gt;3%</x:v>
      </x:c>
      <x:c r="L4" s="1"/>
      <x:c r="M4" s="1"/>
      <x:c r="N4" s="1"/>
      <x:c r="O4" s="1"/>
    </x:row>
    <x:row r="5">
      <x:c r="A5" s="18" t="str">
        <x:v>SEAA01</x:v>
      </x:c>
      <x:c r="B5" s="18" t="str">
        <x:v>Men's suits, sport coats, and outerwear</x:v>
      </x:c>
      <x:c r="C5" s="18" t="str">
        <x:v>Men's suits, sport coats, and outerwear</x:v>
      </x:c>
      <x:c r="D5" s="19" t="n">
        <x:v>13.6</x:v>
      </x:c>
      <x:c r="E5" s="19" t="n">
        <x:v>12.2</x:v>
      </x:c>
      <x:c r="F5" s="19" t="n">
        <x:v>14.5</x:v>
      </x:c>
      <x:c r="G5" s="19" t="n">
        <x:v>21.7</x:v>
      </x:c>
      <x:c r="H5" s="19" t="n">
        <x:v>22.3</x:v>
      </x:c>
      <x:c r="I5" s="19" t="n">
        <x:v>24.9</x:v>
      </x:c>
      <x:c r="J5" s="19" t="n">
        <x:v>0.7</x:v>
      </x:c>
      <x:c r="K5" s="18" t="str">
        <x:f>IF(ISNUMBER(J5),IF(J5&gt;3,"是","否"),"跳过")</x:f>
        <x:v>否</x:v>
      </x:c>
      <x:c r="L5" s="1"/>
      <x:c r="M5" s="1"/>
      <x:c r="N5" s="1"/>
      <x:c r="O5" s="1"/>
    </x:row>
    <x:row r="6">
      <x:c r="A6" s="18" t="str">
        <x:v>SEAA02</x:v>
      </x:c>
      <x:c r="B6" s="18" t="str">
        <x:v>Men's underwear, nightwear, swimwear, and accessories</x:v>
      </x:c>
      <x:c r="C6" s="18" t="str">
        <x:v>Men's underwear, nightwear, swimwear, and accessories</x:v>
      </x:c>
      <x:c r="D6" s="19" t="n">
        <x:v>9</x:v>
      </x:c>
      <x:c r="E6" s="19" t="n">
        <x:v>9.2</x:v>
      </x:c>
      <x:c r="F6" s="19" t="n">
        <x:v>8.7</x:v>
      </x:c>
      <x:c r="G6" s="19" t="n">
        <x:v>6.8</x:v>
      </x:c>
      <x:c r="H6" s="19" t="n">
        <x:v>6</x:v>
      </x:c>
      <x:c r="I6" s="19" t="n">
        <x:v>8.2</x:v>
      </x:c>
      <x:c r="J6" s="19" t="n">
        <x:v>7.7</x:v>
      </x:c>
      <x:c r="K6" s="18" t="str">
        <x:f>IF(ISNUMBER(J6),IF(J6&gt;3,"是","否"),"跳过")</x:f>
        <x:v>是</x:v>
      </x:c>
      <x:c r="L6" s="1"/>
      <x:c r="M6" s="1"/>
      <x:c r="N6" s="1"/>
      <x:c r="O6" s="1"/>
    </x:row>
    <x:row r="7">
      <x:c r="A7" s="18" t="str">
        <x:v>SEAA03</x:v>
      </x:c>
      <x:c r="B7" s="18" t="str">
        <x:v>Men's shirts and sweaters</x:v>
      </x:c>
      <x:c r="C7" s="18" t="str">
        <x:v>Men's shirts and sweaters</x:v>
      </x:c>
      <x:c r="D7" s="19" t="n">
        <x:v>7.2</x:v>
      </x:c>
      <x:c r="E7" s="19" t="n">
        <x:v>12.8</x:v>
      </x:c>
      <x:c r="F7" s="19" t="n">
        <x:v>10.9</x:v>
      </x:c>
      <x:c r="G7" s="19" t="n">
        <x:v>9.6</x:v>
      </x:c>
      <x:c r="H7" s="19" t="n">
        <x:v>11.2</x:v>
      </x:c>
      <x:c r="I7" s="19" t="n">
        <x:v>8.7</x:v>
      </x:c>
      <x:c r="J7" s="19" t="n">
        <x:v>5.3</x:v>
      </x:c>
      <x:c r="K7" s="18" t="str">
        <x:f>IF(ISNUMBER(J7),IF(J7&gt;3,"是","否"),"跳过")</x:f>
        <x:v>是</x:v>
      </x:c>
      <x:c r="L7" s="1"/>
      <x:c r="M7" s="1"/>
      <x:c r="N7" s="1"/>
      <x:c r="O7" s="1"/>
    </x:row>
    <x:row r="8">
      <x:c r="A8" s="18" t="str">
        <x:v>SEAA04</x:v>
      </x:c>
      <x:c r="B8" s="18" t="str">
        <x:v>Men's pants and shorts</x:v>
      </x:c>
      <x:c r="C8" s="18" t="str">
        <x:v>Men's pants and shorts</x:v>
      </x:c>
      <x:c r="D8" s="19" t="n">
        <x:v>-0.8</x:v>
      </x:c>
      <x:c r="E8" s="19" t="n">
        <x:v>2.2</x:v>
      </x:c>
      <x:c r="F8" s="19" t="n">
        <x:v>3.8</x:v>
      </x:c>
      <x:c r="G8" s="19" t="n">
        <x:v>0.1</x:v>
      </x:c>
      <x:c r="H8" s="19" t="n">
        <x:v>-1.6</x:v>
      </x:c>
      <x:c r="I8" s="19" t="n">
        <x:v>-0.5</x:v>
      </x:c>
      <x:c r="J8" s="19" t="n">
        <x:v>0.2</x:v>
      </x:c>
      <x:c r="K8" s="18" t="str">
        <x:f>IF(ISNUMBER(J8),IF(J8&gt;3,"是","否"),"跳过")</x:f>
        <x:v>否</x:v>
      </x:c>
      <x:c r="L8" s="1"/>
      <x:c r="M8" s="1"/>
      <x:c r="N8" s="1"/>
      <x:c r="O8" s="1"/>
    </x:row>
    <x:row r="9">
      <x:c r="A9" s="18" t="str">
        <x:v>SEAC01</x:v>
      </x:c>
      <x:c r="B9" s="18" t="str">
        <x:v>Women's outerwear</x:v>
      </x:c>
      <x:c r="C9" s="18" t="str">
        <x:v>Women's outerwear</x:v>
      </x:c>
      <x:c r="D9" s="19" t="n">
        <x:v>11.1</x:v>
      </x:c>
      <x:c r="E9" s="19" t="n">
        <x:v>9.3</x:v>
      </x:c>
      <x:c r="F9" s="19" t="n">
        <x:v>7.7</x:v>
      </x:c>
      <x:c r="G9" s="19" t="n">
        <x:v>8.6</x:v>
      </x:c>
      <x:c r="H9" s="19" t="n">
        <x:v>8</x:v>
      </x:c>
      <x:c r="I9" s="19" t="n">
        <x:v>7.6</x:v>
      </x:c>
      <x:c r="J9" s="19" t="n">
        <x:v>1.2</x:v>
      </x:c>
      <x:c r="K9" s="18" t="str">
        <x:f>IF(ISNUMBER(J9),IF(J9&gt;3,"是","否"),"跳过")</x:f>
        <x:v>否</x:v>
      </x:c>
      <x:c r="L9" s="1"/>
      <x:c r="M9" s="1"/>
      <x:c r="N9" s="1"/>
      <x:c r="O9" s="1"/>
    </x:row>
    <x:row r="10">
      <x:c r="A10" s="18" t="str">
        <x:v>SEAC02</x:v>
      </x:c>
      <x:c r="B10" s="18" t="str">
        <x:v>Women's dresses</x:v>
      </x:c>
      <x:c r="C10" s="18" t="str">
        <x:v>Women's dresses</x:v>
      </x:c>
      <x:c r="D10" s="19" t="n">
        <x:v>11.1</x:v>
      </x:c>
      <x:c r="E10" s="19" t="n">
        <x:v>13.5</x:v>
      </x:c>
      <x:c r="F10" s="19" t="n">
        <x:v>10.1</x:v>
      </x:c>
      <x:c r="G10" s="19" t="n">
        <x:v>8.3</x:v>
      </x:c>
      <x:c r="H10" s="19" t="n">
        <x:v>8.8</x:v>
      </x:c>
      <x:c r="I10" s="19" t="n">
        <x:v>5.8</x:v>
      </x:c>
      <x:c r="J10" s="19" t="n">
        <x:v>-1</x:v>
      </x:c>
      <x:c r="K10" s="18" t="str">
        <x:f>IF(ISNUMBER(J10),IF(J10&gt;3,"是","否"),"跳过")</x:f>
        <x:v>否</x:v>
      </x:c>
      <x:c r="L10" s="1"/>
      <x:c r="M10" s="1"/>
      <x:c r="N10" s="1"/>
      <x:c r="O10" s="1"/>
    </x:row>
    <x:row r="11">
      <x:c r="A11" s="18" t="str">
        <x:v>SEAC03</x:v>
      </x:c>
      <x:c r="B11" s="18" t="str">
        <x:v>Women's suits and separates</x:v>
      </x:c>
      <x:c r="C11" s="18" t="str">
        <x:v>Women's suits and separates</x:v>
      </x:c>
      <x:c r="D11" s="19" t="n">
        <x:v>2.6</x:v>
      </x:c>
      <x:c r="E11" s="19" t="n">
        <x:v>2.5</x:v>
      </x:c>
      <x:c r="F11" s="19" t="n">
        <x:v>6.3</x:v>
      </x:c>
      <x:c r="G11" s="19" t="n">
        <x:v>5</x:v>
      </x:c>
      <x:c r="H11" s="19" t="n">
        <x:v>3.8</x:v>
      </x:c>
      <x:c r="I11" s="19" t="n">
        <x:v>3.1</x:v>
      </x:c>
      <x:c r="J11" s="19" t="n">
        <x:v>4.5</x:v>
      </x:c>
      <x:c r="K11" s="18" t="str">
        <x:f>IF(ISNUMBER(J11),IF(J11&gt;3,"是","否"),"跳过")</x:f>
        <x:v>是</x:v>
      </x:c>
      <x:c r="L11" s="1"/>
      <x:c r="M11" s="1"/>
      <x:c r="N11" s="1"/>
      <x:c r="O11" s="1"/>
    </x:row>
    <x:row r="12">
      <x:c r="A12" s="18" t="str">
        <x:v>SEAC04</x:v>
      </x:c>
      <x:c r="B12" s="18" t="str">
        <x:v>Women's underwear, nightwear, swimwear, and accessories</x:v>
      </x:c>
      <x:c r="C12" s="18" t="str">
        <x:v>Women's underwear, nightwear, swimwear, and accessories</x:v>
      </x:c>
      <x:c r="D12" s="19" t="n">
        <x:v>7</x:v>
      </x:c>
      <x:c r="E12" s="19" t="n">
        <x:v>9.1</x:v>
      </x:c>
      <x:c r="F12" s="19" t="n">
        <x:v>5.7</x:v>
      </x:c>
      <x:c r="G12" s="19" t="n">
        <x:v>4.1</x:v>
      </x:c>
      <x:c r="H12" s="19" t="n">
        <x:v>4.7</x:v>
      </x:c>
      <x:c r="I12" s="19" t="n">
        <x:v>2.4</x:v>
      </x:c>
      <x:c r="J12" s="19" t="n">
        <x:v>3.6</x:v>
      </x:c>
      <x:c r="K12" s="18" t="str">
        <x:f>IF(ISNUMBER(J12),IF(J12&gt;3,"是","否"),"跳过")</x:f>
        <x:v>是</x:v>
      </x:c>
      <x:c r="L12" s="1"/>
      <x:c r="M12" s="1"/>
      <x:c r="N12" s="1"/>
      <x:c r="O12" s="1"/>
    </x:row>
    <x:row r="13">
      <x:c r="A13" s="18" t="str">
        <x:v>SEAE01</x:v>
      </x:c>
      <x:c r="B13" s="18" t="str">
        <x:v>Men's footwear</x:v>
      </x:c>
      <x:c r="C13" s="18" t="str">
        <x:v>Men's footwear</x:v>
      </x:c>
      <x:c r="D13" s="19" t="n">
        <x:v>5.1</x:v>
      </x:c>
      <x:c r="E13" s="19" t="n">
        <x:v>5.3</x:v>
      </x:c>
      <x:c r="F13" s="19" t="n">
        <x:v>5.1</x:v>
      </x:c>
      <x:c r="G13" s="19" t="n">
        <x:v>2.5</x:v>
      </x:c>
      <x:c r="H13" s="19" t="n">
        <x:v>2.8</x:v>
      </x:c>
      <x:c r="I13" s="19" t="n">
        <x:v>5.1</x:v>
      </x:c>
      <x:c r="J13" s="19" t="n">
        <x:v>5.7</x:v>
      </x:c>
      <x:c r="K13" s="18" t="str">
        <x:f>IF(ISNUMBER(J13),IF(J13&gt;3,"是","否"),"跳过")</x:f>
        <x:v>是</x:v>
      </x:c>
      <x:c r="L13" s="1"/>
      <x:c r="M13" s="1"/>
      <x:c r="N13" s="1"/>
      <x:c r="O13" s="1"/>
    </x:row>
    <x:row r="14">
      <x:c r="A14" s="18" t="str">
        <x:v>SEAE02</x:v>
      </x:c>
      <x:c r="B14" s="18" t="str">
        <x:v>Boys' and girls' footwear</x:v>
      </x:c>
      <x:c r="C14" s="18" t="str">
        <x:v>Boys' and girls' footwear</x:v>
      </x:c>
      <x:c r="D14" s="19" t="n">
        <x:v>6.3</x:v>
      </x:c>
      <x:c r="E14" s="19" t="n">
        <x:v>10.3</x:v>
      </x:c>
      <x:c r="F14" s="19" t="n">
        <x:v>11</x:v>
      </x:c>
      <x:c r="G14" s="19" t="n">
        <x:v>5</x:v>
      </x:c>
      <x:c r="H14" s="19" t="n">
        <x:v>5</x:v>
      </x:c>
      <x:c r="I14" s="19" t="n">
        <x:v>6.7</x:v>
      </x:c>
      <x:c r="J14" s="19" t="n">
        <x:v>-1.2</x:v>
      </x:c>
      <x:c r="K14" s="18" t="str">
        <x:f>IF(ISNUMBER(J14),IF(J14&gt;3,"是","否"),"跳过")</x:f>
        <x:v>否</x:v>
      </x:c>
      <x:c r="L14" s="1"/>
      <x:c r="M14" s="1"/>
      <x:c r="N14" s="1"/>
      <x:c r="O14" s="1"/>
    </x:row>
    <x:row r="15">
      <x:c r="A15" s="18" t="str">
        <x:v>SEAE03</x:v>
      </x:c>
      <x:c r="B15" s="18" t="str">
        <x:v>Women's footwear</x:v>
      </x:c>
      <x:c r="C15" s="18" t="str">
        <x:v>Women's footwear</x:v>
      </x:c>
      <x:c r="D15" s="19" t="n">
        <x:v>6.8</x:v>
      </x:c>
      <x:c r="E15" s="19" t="n">
        <x:v>6.8</x:v>
      </x:c>
      <x:c r="F15" s="19" t="n">
        <x:v>5.8</x:v>
      </x:c>
      <x:c r="G15" s="19" t="n">
        <x:v>6.4</x:v>
      </x:c>
      <x:c r="H15" s="19" t="n">
        <x:v>5.6</x:v>
      </x:c>
      <x:c r="I15" s="19" t="n">
        <x:v>6</x:v>
      </x:c>
      <x:c r="J15" s="19" t="n">
        <x:v>4.3</x:v>
      </x:c>
      <x:c r="K15" s="18" t="str">
        <x:f>IF(ISNUMBER(J15),IF(J15&gt;3,"是","否"),"跳过")</x:f>
        <x:v>是</x:v>
      </x:c>
      <x:c r="L15" s="1"/>
      <x:c r="M15" s="1"/>
      <x:c r="N15" s="1"/>
      <x:c r="O15" s="1"/>
    </x:row>
    <x:row r="16">
      <x:c r="A16" s="18" t="str">
        <x:v>SEAG01</x:v>
      </x:c>
      <x:c r="B16" s="18" t="str">
        <x:v>Watches</x:v>
      </x:c>
      <x:c r="C16" s="18" t="str">
        <x:v>Watches</x:v>
      </x:c>
      <x:c r="D16" s="19" t="n">
        <x:v>3.8</x:v>
      </x:c>
      <x:c r="E16" s="19" t="n">
        <x:v>5.1</x:v>
      </x:c>
      <x:c r="F16" s="19" t="n">
        <x:v>1.1</x:v>
      </x:c>
      <x:c r="G16" s="19" t="n">
        <x:v>-0.3</x:v>
      </x:c>
      <x:c r="H16" s="19" t="n">
        <x:v>0.5</x:v>
      </x:c>
      <x:c r="I16" s="19" t="n">
        <x:v>-1.1</x:v>
      </x:c>
      <x:c r="J16" s="19" t="n">
        <x:v>9.2</x:v>
      </x:c>
      <x:c r="K16" s="18" t="str">
        <x:f>IF(ISNUMBER(J16),IF(J16&gt;3,"是","否"),"跳过")</x:f>
        <x:v>是</x:v>
      </x:c>
      <x:c r="L16" s="1"/>
      <x:c r="M16" s="1"/>
      <x:c r="N16" s="1"/>
      <x:c r="O16" s="1"/>
    </x:row>
    <x:row r="17">
      <x:c r="A17" s="18" t="str">
        <x:v>SEAG02</x:v>
      </x:c>
      <x:c r="B17" s="18" t="str">
        <x:v>Jewelry</x:v>
      </x:c>
      <x:c r="C17" s="18" t="str">
        <x:v>Jewelry</x:v>
      </x:c>
      <x:c r="D17" s="19" t="n">
        <x:v>6.5</x:v>
      </x:c>
      <x:c r="E17" s="19" t="n">
        <x:v>3.9</x:v>
      </x:c>
      <x:c r="F17" s="19" t="n">
        <x:v>2.8</x:v>
      </x:c>
      <x:c r="G17" s="19" t="n">
        <x:v>0.4</x:v>
      </x:c>
      <x:c r="H17" s="19" t="n">
        <x:v>-1.2</x:v>
      </x:c>
      <x:c r="I17" s="19" t="n">
        <x:v>1.4</x:v>
      </x:c>
      <x:c r="J17" s="19" t="n">
        <x:v>7.8</x:v>
      </x:c>
      <x:c r="K17" s="18" t="str">
        <x:f>IF(ISNUMBER(J17),IF(J17&gt;3,"是","否"),"跳过")</x:f>
        <x:v>是</x:v>
      </x:c>
      <x:c r="L17" s="1"/>
      <x:c r="M17" s="1"/>
      <x:c r="N17" s="1"/>
      <x:c r="O17" s="1"/>
    </x:row>
    <x:row r="18">
      <x:c r="A18" s="18" t="str">
        <x:v>SEEB01</x:v>
      </x:c>
      <x:c r="B18" s="18" t="str">
        <x:v>College tuition and fees</x:v>
      </x:c>
      <x:c r="C18" s="18" t="str">
        <x:v>College tuition and fees</x:v>
      </x:c>
      <x:c r="D18" s="19" t="n">
        <x:v>1.9</x:v>
      </x:c>
      <x:c r="E18" s="19" t="n">
        <x:v>2</x:v>
      </x:c>
      <x:c r="F18" s="19" t="n">
        <x:v>2.1</x:v>
      </x:c>
      <x:c r="G18" s="19" t="n">
        <x:v>2.1</x:v>
      </x:c>
      <x:c r="H18" s="19" t="n">
        <x:v>2.1</x:v>
      </x:c>
      <x:c r="I18" s="19" t="n">
        <x:v>2.2</x:v>
      </x:c>
      <x:c r="J18" s="19" t="n">
        <x:v>2.8</x:v>
      </x:c>
      <x:c r="K18" s="18" t="str">
        <x:f>IF(ISNUMBER(J18),IF(J18&gt;3,"是","否"),"跳过")</x:f>
        <x:v>否</x:v>
      </x:c>
      <x:c r="L18" s="1"/>
      <x:c r="M18" s="1"/>
      <x:c r="N18" s="1"/>
      <x:c r="O18" s="1"/>
    </x:row>
    <x:row r="19">
      <x:c r="A19" s="18" t="str">
        <x:v>SEEB02</x:v>
      </x:c>
      <x:c r="B19" s="18" t="str">
        <x:v>Elementary and high school tuition and fees</x:v>
      </x:c>
      <x:c r="C19" s="18" t="str">
        <x:v>Elementary and high school tuition and fees</x:v>
      </x:c>
      <x:c r="D19" s="19" t="n">
        <x:v>2.3</x:v>
      </x:c>
      <x:c r="E19" s="19" t="n">
        <x:v>2.3</x:v>
      </x:c>
      <x:c r="F19" s="19" t="n">
        <x:v>2.3</x:v>
      </x:c>
      <x:c r="G19" s="19" t="n">
        <x:v>2.3</x:v>
      </x:c>
      <x:c r="H19" s="19" t="n">
        <x:v>2.9</x:v>
      </x:c>
      <x:c r="I19" s="19" t="n">
        <x:v>3.1</x:v>
      </x:c>
      <x:c r="J19" s="19" t="n">
        <x:v>4.3</x:v>
      </x:c>
      <x:c r="K19" s="18" t="str">
        <x:f>IF(ISNUMBER(J19),IF(J19&gt;3,"是","否"),"跳过")</x:f>
        <x:v>是</x:v>
      </x:c>
      <x:c r="L19" s="1"/>
      <x:c r="M19" s="1"/>
      <x:c r="N19" s="1"/>
      <x:c r="O19" s="1"/>
    </x:row>
    <x:row r="20">
      <x:c r="A20" s="18" t="str">
        <x:v>SEEB03</x:v>
      </x:c>
      <x:c r="B20" s="18" t="str">
        <x:v>Day care and preschool</x:v>
      </x:c>
      <x:c r="C20" s="18" t="str">
        <x:v>Day care and preschool</x:v>
      </x:c>
      <x:c r="D20" s="19" t="n">
        <x:v>2.7</x:v>
      </x:c>
      <x:c r="E20" s="19" t="n">
        <x:v>2.8</x:v>
      </x:c>
      <x:c r="F20" s="19" t="n">
        <x:v>3.6</x:v>
      </x:c>
      <x:c r="G20" s="19" t="n">
        <x:v>3.7</x:v>
      </x:c>
      <x:c r="H20" s="19" t="n">
        <x:v>3.2</x:v>
      </x:c>
      <x:c r="I20" s="19" t="n">
        <x:v>3.7</x:v>
      </x:c>
      <x:c r="J20" s="19" t="n">
        <x:v>4</x:v>
      </x:c>
      <x:c r="K20" s="18" t="str">
        <x:f>IF(ISNUMBER(J20),IF(J20&gt;3,"是","否"),"跳过")</x:f>
        <x:v>是</x:v>
      </x:c>
      <x:c r="L20" s="1"/>
      <x:c r="M20" s="1"/>
      <x:c r="N20" s="1"/>
      <x:c r="O20" s="1"/>
    </x:row>
    <x:row r="21">
      <x:c r="A21" s="18" t="str">
        <x:v>SEEB04</x:v>
      </x:c>
      <x:c r="B21" s="18" t="str">
        <x:v>Technical and vocational school tuition and fixed fees</x:v>
      </x:c>
      <x:c r="C21" s="18" t="str">
        <x:v>Technical and business school tuition and fees</x:v>
      </x:c>
      <x:c r="D21" s="19" t="n">
        <x:v>0.6</x:v>
      </x:c>
      <x:c r="E21" s="19" t="n">
        <x:v>0.8</x:v>
      </x:c>
      <x:c r="F21" s="19" t="n">
        <x:v>0.7</x:v>
      </x:c>
      <x:c r="G21" s="19" t="n">
        <x:v>0.7</x:v>
      </x:c>
      <x:c r="H21" s="19" t="n">
        <x:v>1</x:v>
      </x:c>
      <x:c r="I21" s="19" t="n">
        <x:v>1.2</x:v>
      </x:c>
      <x:c r="J21" s="19" t="n">
        <x:v>1.3</x:v>
      </x:c>
      <x:c r="K21" s="18" t="str">
        <x:f>IF(ISNUMBER(J21),IF(J21&gt;3,"是","否"),"跳过")</x:f>
        <x:v>否</x:v>
      </x:c>
      <x:c r="L21" s="1"/>
      <x:c r="M21" s="1"/>
      <x:c r="N21" s="1"/>
      <x:c r="O21" s="1"/>
    </x:row>
    <x:row r="22">
      <x:c r="A22" s="18" t="str">
        <x:v>SEEC01</x:v>
      </x:c>
      <x:c r="B22" s="18" t="str">
        <x:v>Postage</x:v>
      </x:c>
      <x:c r="C22" s="18" t="str">
        <x:v>Postage</x:v>
      </x:c>
      <x:c r="D22" s="19" t="n">
        <x:v>4.6</x:v>
      </x:c>
      <x:c r="E22" s="19" t="n">
        <x:v>3</x:v>
      </x:c>
      <x:c r="F22" s="19" t="n">
        <x:v>3</x:v>
      </x:c>
      <x:c r="G22" s="19" t="n">
        <x:v>3</x:v>
      </x:c>
      <x:c r="H22" s="19" t="n">
        <x:v>3</x:v>
      </x:c>
      <x:c r="I22" s="19" t="n">
        <x:v>3</x:v>
      </x:c>
      <x:c r="J22" s="19" t="n">
        <x:v>12.7</x:v>
      </x:c>
      <x:c r="K22" s="18" t="str">
        <x:f>IF(ISNUMBER(J22),IF(J22&gt;3,"是","否"),"跳过")</x:f>
        <x:v>是</x:v>
      </x:c>
      <x:c r="L22" s="1"/>
      <x:c r="M22" s="1"/>
      <x:c r="N22" s="1"/>
      <x:c r="O22" s="1"/>
    </x:row>
    <x:row r="23">
      <x:c r="A23" s="18" t="str">
        <x:v>SEEC02</x:v>
      </x:c>
      <x:c r="B23" s="18" t="str">
        <x:v>Delivery services</x:v>
      </x:c>
      <x:c r="C23" s="18" t="str">
        <x:v>Delivery services</x:v>
      </x:c>
      <x:c r="D23" s="19" t="n">
        <x:v>9</x:v>
      </x:c>
      <x:c r="E23" s="19" t="n">
        <x:v>9.7</x:v>
      </x:c>
      <x:c r="F23" s="19" t="n">
        <x:v>11.4</x:v>
      </x:c>
      <x:c r="G23" s="19" t="n">
        <x:v>13.9</x:v>
      </x:c>
      <x:c r="H23" s="19" t="n">
        <x:v>16.4</x:v>
      </x:c>
      <x:c r="I23" s="19" t="n">
        <x:v>14.4</x:v>
      </x:c>
      <x:c r="J23" s="19" t="n">
        <x:v>14.2</x:v>
      </x:c>
      <x:c r="K23" s="18" t="str">
        <x:f>IF(ISNUMBER(J23),IF(J23&gt;3,"是","否"),"跳过")</x:f>
        <x:v>是</x:v>
      </x:c>
      <x:c r="L23" s="1"/>
      <x:c r="M23" s="1"/>
      <x:c r="N23" s="1"/>
      <x:c r="O23" s="1"/>
    </x:row>
    <x:row r="24">
      <x:c r="A24" s="18" t="str">
        <x:v>SEED03</x:v>
      </x:c>
      <x:c r="B24" s="18" t="str">
        <x:v>Wireless telephone services</x:v>
      </x:c>
      <x:c r="C24" s="18" t="str">
        <x:v>Wireless telephone services</x:v>
      </x:c>
      <x:c r="D24" s="19" t="n">
        <x:v>-0.5</x:v>
      </x:c>
      <x:c r="E24" s="19" t="n">
        <x:v>-0.4</x:v>
      </x:c>
      <x:c r="F24" s="19" t="n">
        <x:v>-0.8</x:v>
      </x:c>
      <x:c r="G24" s="19" t="n">
        <x:v>-0.7</x:v>
      </x:c>
      <x:c r="H24" s="19" t="n">
        <x:v>-0.7</x:v>
      </x:c>
      <x:c r="I24" s="19" t="n">
        <x:v>-0.9</x:v>
      </x:c>
      <x:c r="J24" s="19" t="n">
        <x:v>3.2</x:v>
      </x:c>
      <x:c r="K24" s="18" t="str">
        <x:f>IF(ISNUMBER(J24),IF(J24&gt;3,"是","否"),"跳过")</x:f>
        <x:v>是</x:v>
      </x:c>
      <x:c r="L24" s="1"/>
      <x:c r="M24" s="1"/>
      <x:c r="N24" s="1"/>
      <x:c r="O24" s="1"/>
    </x:row>
    <x:row r="25">
      <x:c r="A25" s="18" t="str">
        <x:v>SEED04</x:v>
      </x:c>
      <x:c r="B25" s="18" t="str">
        <x:v>Residential telephone services</x:v>
      </x:c>
      <x:c r="C25" s="18" t="str">
        <x:v>Residential telephone services</x:v>
      </x:c>
      <x:c r="D25" s="19" t="n">
        <x:v>6.2</x:v>
      </x:c>
      <x:c r="E25" s="19" t="n">
        <x:v>5.8</x:v>
      </x:c>
      <x:c r="F25" s="19" t="n">
        <x:v>5</x:v>
      </x:c>
      <x:c r="G25" s="19" t="n">
        <x:v>6</x:v>
      </x:c>
      <x:c r="H25" s="19" t="n">
        <x:v>4.7</x:v>
      </x:c>
      <x:c r="I25" s="19" t="n">
        <x:v>4</x:v>
      </x:c>
      <x:c r="J25" s="19" t="n">
        <x:v>2.6</x:v>
      </x:c>
      <x:c r="K25" s="18" t="str">
        <x:f>IF(ISNUMBER(J25),IF(J25&gt;3,"是","否"),"跳过")</x:f>
        <x:v>否</x:v>
      </x:c>
      <x:c r="L25" s="1"/>
      <x:c r="M25" s="1"/>
      <x:c r="N25" s="1"/>
      <x:c r="O25" s="1"/>
    </x:row>
    <x:row r="26">
      <x:c r="A26" s="18" t="str">
        <x:v>SEEE01</x:v>
      </x:c>
      <x:c r="B26" s="18" t="str">
        <x:v>Computers, peripherals, and smart home assistants</x:v>
      </x:c>
      <x:c r="C26" s="18" t="str">
        <x:v>Computers, peripherals, and smart home assistants</x:v>
      </x:c>
      <x:c r="D26" s="19" t="n">
        <x:v>3.5</x:v>
      </x:c>
      <x:c r="E26" s="19" t="n">
        <x:v>4.6</x:v>
      </x:c>
      <x:c r="F26" s="19" t="n">
        <x:v>7.6</x:v>
      </x:c>
      <x:c r="G26" s="19" t="n">
        <x:v>0.2</x:v>
      </x:c>
      <x:c r="H26" s="19" t="n">
        <x:v>-1.8</x:v>
      </x:c>
      <x:c r="I26" s="19" t="n">
        <x:v>-0.6</x:v>
      </x:c>
      <x:c r="J26" s="19" t="n">
        <x:v>8.4</x:v>
      </x:c>
      <x:c r="K26" s="18" t="str">
        <x:f>IF(ISNUMBER(J26),IF(J26&gt;3,"是","否"),"跳过")</x:f>
        <x:v>是</x:v>
      </x:c>
      <x:c r="L26" s="1"/>
      <x:c r="M26" s="1"/>
      <x:c r="N26" s="1"/>
      <x:c r="O26" s="1"/>
    </x:row>
    <x:row r="27">
      <x:c r="A27" s="18" t="str">
        <x:v>SEEE02</x:v>
      </x:c>
      <x:c r="B27" s="18" t="str">
        <x:v>Computer software and accessories</x:v>
      </x:c>
      <x:c r="C27" s="18" t="str">
        <x:v>Computer software and accessories</x:v>
      </x:c>
      <x:c r="D27" s="19" t="n">
        <x:v>-2</x:v>
      </x:c>
      <x:c r="E27" s="19" t="n">
        <x:v>-2.2</x:v>
      </x:c>
      <x:c r="F27" s="19" t="n">
        <x:v>-4.7</x:v>
      </x:c>
      <x:c r="G27" s="19" t="n">
        <x:v>-4.2</x:v>
      </x:c>
      <x:c r="H27" s="19" t="n">
        <x:v>-3.9</x:v>
      </x:c>
      <x:c r="I27" s="19" t="n">
        <x:v>0.1</x:v>
      </x:c>
      <x:c r="J27" s="19" t="n">
        <x:v>25.4</x:v>
      </x:c>
      <x:c r="K27" s="18" t="str">
        <x:f>IF(ISNUMBER(J27),IF(J27&gt;3,"是","否"),"跳过")</x:f>
        <x:v>是</x:v>
      </x:c>
      <x:c r="L27" s="1"/>
      <x:c r="M27" s="1"/>
      <x:c r="N27" s="1"/>
      <x:c r="O27" s="1"/>
    </x:row>
    <x:row r="28">
      <x:c r="A28" s="18" t="str">
        <x:v>SEEE03</x:v>
      </x:c>
      <x:c r="B28" s="18" t="str">
        <x:v>Internet services and electronic information providers</x:v>
      </x:c>
      <x:c r="C28" s="18" t="str">
        <x:v>Internet services and electronic information providers</x:v>
      </x:c>
      <x:c r="D28" s="19" t="n">
        <x:v>2.6</x:v>
      </x:c>
      <x:c r="E28" s="19" t="n">
        <x:v>2.8</x:v>
      </x:c>
      <x:c r="F28" s="19" t="n">
        <x:v>2.3</x:v>
      </x:c>
      <x:c r="G28" s="19" t="n">
        <x:v>1.7</x:v>
      </x:c>
      <x:c r="H28" s="19" t="n">
        <x:v>2.5</x:v>
      </x:c>
      <x:c r="I28" s="19" t="n">
        <x:v>2.6</x:v>
      </x:c>
      <x:c r="J28" s="19" t="n">
        <x:v>1.5</x:v>
      </x:c>
      <x:c r="K28" s="18" t="str">
        <x:f>IF(ISNUMBER(J28),IF(J28&gt;3,"是","否"),"跳过")</x:f>
        <x:v>否</x:v>
      </x:c>
      <x:c r="L28" s="1"/>
      <x:c r="M28" s="1"/>
      <x:c r="N28" s="1"/>
      <x:c r="O28" s="1"/>
    </x:row>
    <x:row r="29">
      <x:c r="A29" s="18" t="str">
        <x:v>SEEE04</x:v>
      </x:c>
      <x:c r="B29" s="18" t="str">
        <x:v>Telephone hardware, calculators, and other consumer information items</x:v>
      </x:c>
      <x:c r="C29" s="18" t="str">
        <x:v>Telephone hardware, calculators, and other consumer information items</x:v>
      </x:c>
      <x:c r="D29" s="19" t="n">
        <x:v>-7.1</x:v>
      </x:c>
      <x:c r="E29" s="19" t="n">
        <x:v>-7.7</x:v>
      </x:c>
      <x:c r="F29" s="19" t="n">
        <x:v>-9</x:v>
      </x:c>
      <x:c r="G29" s="19" t="n">
        <x:v>-11.4</x:v>
      </x:c>
      <x:c r="H29" s="19" t="n">
        <x:v>-13.2</x:v>
      </x:c>
      <x:c r="I29" s="19" t="n">
        <x:v>-13</x:v>
      </x:c>
      <x:c r="J29" s="19" t="n">
        <x:v>-14.1</x:v>
      </x:c>
      <x:c r="K29" s="18" t="str">
        <x:f>IF(ISNUMBER(J29),IF(J29&gt;3,"是","否"),"跳过")</x:f>
        <x:v>否</x:v>
      </x:c>
      <x:c r="L29" s="1"/>
      <x:c r="M29" s="1"/>
      <x:c r="N29" s="1"/>
      <x:c r="O29" s="1"/>
    </x:row>
    <x:row r="30">
      <x:c r="A30" s="18" t="str">
        <x:v>SEFA01</x:v>
      </x:c>
      <x:c r="B30" s="18" t="str">
        <x:v>Flour and prepared flour mixes</x:v>
      </x:c>
      <x:c r="C30" s="18" t="str">
        <x:v>Flour and prepared flour mixes</x:v>
      </x:c>
      <x:c r="D30" s="19" t="n">
        <x:v>10.3</x:v>
      </x:c>
      <x:c r="E30" s="19" t="n">
        <x:v>11.6</x:v>
      </x:c>
      <x:c r="F30" s="19" t="n">
        <x:v>14.2</x:v>
      </x:c>
      <x:c r="G30" s="19" t="n">
        <x:v>14</x:v>
      </x:c>
      <x:c r="H30" s="19" t="n">
        <x:v>13.7</x:v>
      </x:c>
      <x:c r="I30" s="19" t="n">
        <x:v>19.2</x:v>
      </x:c>
      <x:c r="J30" s="19" t="n">
        <x:v>0.6</x:v>
      </x:c>
      <x:c r="K30" s="18" t="str">
        <x:f>IF(ISNUMBER(J30),IF(J30&gt;3,"是","否"),"跳过")</x:f>
        <x:v>否</x:v>
      </x:c>
      <x:c r="L30" s="1"/>
      <x:c r="M30" s="1"/>
      <x:c r="N30" s="1"/>
      <x:c r="O30" s="1"/>
    </x:row>
    <x:row r="31">
      <x:c r="A31" s="18" t="str">
        <x:v>SEFA02</x:v>
      </x:c>
      <x:c r="B31" s="18" t="str">
        <x:v>Breakfast cereal</x:v>
      </x:c>
      <x:c r="C31" s="18" t="str">
        <x:v>Breakfast cereal</x:v>
      </x:c>
      <x:c r="D31" s="19" t="n">
        <x:v>5.2</x:v>
      </x:c>
      <x:c r="E31" s="19" t="n">
        <x:v>7.5</x:v>
      </x:c>
      <x:c r="F31" s="19" t="n">
        <x:v>9.2</x:v>
      </x:c>
      <x:c r="G31" s="19" t="n">
        <x:v>12.1</x:v>
      </x:c>
      <x:c r="H31" s="19" t="n">
        <x:v>12.2</x:v>
      </x:c>
      <x:c r="I31" s="19" t="n">
        <x:v>14.2</x:v>
      </x:c>
      <x:c r="J31" s="19" t="n">
        <x:v>3.1</x:v>
      </x:c>
      <x:c r="K31" s="18" t="str">
        <x:f>IF(ISNUMBER(J31),IF(J31&gt;3,"是","否"),"跳过")</x:f>
        <x:v>是</x:v>
      </x:c>
      <x:c r="L31" s="1"/>
      <x:c r="M31" s="1"/>
      <x:c r="N31" s="1"/>
      <x:c r="O31" s="1"/>
    </x:row>
    <x:row r="32">
      <x:c r="A32" s="18" t="str">
        <x:v>SEFA03</x:v>
      </x:c>
      <x:c r="B32" s="18" t="str">
        <x:v>Rice, pasta, cornmeal</x:v>
      </x:c>
      <x:c r="C32" s="18" t="str">
        <x:v>Rice, pasta, cornmeal</x:v>
      </x:c>
      <x:c r="D32" s="19" t="n">
        <x:v>5</x:v>
      </x:c>
      <x:c r="E32" s="19" t="n">
        <x:v>6.1</x:v>
      </x:c>
      <x:c r="F32" s="19" t="n">
        <x:v>9.3</x:v>
      </x:c>
      <x:c r="G32" s="19" t="n">
        <x:v>10.7</x:v>
      </x:c>
      <x:c r="H32" s="19" t="n">
        <x:v>12.8</x:v>
      </x:c>
      <x:c r="I32" s="19" t="n">
        <x:v>14.2</x:v>
      </x:c>
      <x:c r="J32" s="19" t="n">
        <x:v>3.4</x:v>
      </x:c>
      <x:c r="K32" s="18" t="str">
        <x:f>IF(ISNUMBER(J32),IF(J32&gt;3,"是","否"),"跳过")</x:f>
        <x:v>是</x:v>
      </x:c>
      <x:c r="L32" s="1"/>
      <x:c r="M32" s="1"/>
      <x:c r="N32" s="1"/>
      <x:c r="O32" s="1"/>
    </x:row>
    <x:row r="33">
      <x:c r="A33" s="18" t="str">
        <x:v>SEFB01</x:v>
      </x:c>
      <x:c r="B33" s="18" t="str">
        <x:v>Bread</x:v>
      </x:c>
      <x:c r="C33" s="18" t="str">
        <x:v>Bread</x:v>
      </x:c>
      <x:c r="D33" s="19" t="n">
        <x:v>5.9</x:v>
      </x:c>
      <x:c r="E33" s="19" t="n">
        <x:v>6.5</x:v>
      </x:c>
      <x:c r="F33" s="19" t="n">
        <x:v>7.1</x:v>
      </x:c>
      <x:c r="G33" s="19" t="n">
        <x:v>9.1</x:v>
      </x:c>
      <x:c r="H33" s="19" t="n">
        <x:v>8.7</x:v>
      </x:c>
      <x:c r="I33" s="19" t="n">
        <x:v>10.8</x:v>
      </x:c>
      <x:c r="J33" s="19" t="n">
        <x:v>3.8</x:v>
      </x:c>
      <x:c r="K33" s="18" t="str">
        <x:f>IF(ISNUMBER(J33),IF(J33&gt;3,"是","否"),"跳过")</x:f>
        <x:v>是</x:v>
      </x:c>
      <x:c r="L33" s="1"/>
      <x:c r="M33" s="1"/>
      <x:c r="N33" s="1"/>
      <x:c r="O33" s="1"/>
    </x:row>
    <x:row r="34">
      <x:c r="A34" s="18" t="str">
        <x:v>SEFB02</x:v>
      </x:c>
      <x:c r="B34" s="18" t="str">
        <x:v>Fresh biscuits, rolls, muffins</x:v>
      </x:c>
      <x:c r="C34" s="18" t="str">
        <x:v>Fresh biscuits, rolls, muffins</x:v>
      </x:c>
      <x:c r="D34" s="19" t="n">
        <x:v>6.1</x:v>
      </x:c>
      <x:c r="E34" s="19" t="n">
        <x:v>7.1</x:v>
      </x:c>
      <x:c r="F34" s="19" t="n">
        <x:v>10.8</x:v>
      </x:c>
      <x:c r="G34" s="19" t="n">
        <x:v>10.1</x:v>
      </x:c>
      <x:c r="H34" s="19" t="n">
        <x:v>9.7</x:v>
      </x:c>
      <x:c r="I34" s="19" t="n">
        <x:v>13.2</x:v>
      </x:c>
      <x:c r="J34" s="19" t="n">
        <x:v>2</x:v>
      </x:c>
      <x:c r="K34" s="18" t="str">
        <x:f>IF(ISNUMBER(J34),IF(J34&gt;3,"是","否"),"跳过")</x:f>
        <x:v>否</x:v>
      </x:c>
      <x:c r="L34" s="1"/>
      <x:c r="M34" s="1"/>
      <x:c r="N34" s="1"/>
      <x:c r="O34" s="1"/>
    </x:row>
    <x:row r="35">
      <x:c r="A35" s="18" t="str">
        <x:v>SEFB03</x:v>
      </x:c>
      <x:c r="B35" s="18" t="str">
        <x:v>Cakes, cupcakes, and cookies</x:v>
      </x:c>
      <x:c r="C35" s="18" t="str">
        <x:v>Cakes, cupcakes, and cookies</x:v>
      </x:c>
      <x:c r="D35" s="19" t="n">
        <x:v>6.1</x:v>
      </x:c>
      <x:c r="E35" s="19" t="n">
        <x:v>7.6</x:v>
      </x:c>
      <x:c r="F35" s="19" t="n">
        <x:v>6.6</x:v>
      </x:c>
      <x:c r="G35" s="19" t="n">
        <x:v>7.2</x:v>
      </x:c>
      <x:c r="H35" s="19" t="n">
        <x:v>11.8</x:v>
      </x:c>
      <x:c r="I35" s="19" t="n">
        <x:v>13.4</x:v>
      </x:c>
      <x:c r="J35" s="19" t="n">
        <x:v>3.1</x:v>
      </x:c>
      <x:c r="K35" s="18" t="str">
        <x:f>IF(ISNUMBER(J35),IF(J35&gt;3,"是","否"),"跳过")</x:f>
        <x:v>是</x:v>
      </x:c>
      <x:c r="L35" s="1"/>
      <x:c r="M35" s="1"/>
      <x:c r="N35" s="1"/>
      <x:c r="O35" s="1"/>
    </x:row>
    <x:row r="36">
      <x:c r="A36" s="18" t="str">
        <x:v>SEFB04</x:v>
      </x:c>
      <x:c r="B36" s="18" t="str">
        <x:v>Other bakery products</x:v>
      </x:c>
      <x:c r="C36" s="18" t="str">
        <x:v>Other bakery products</x:v>
      </x:c>
      <x:c r="D36" s="19" t="n">
        <x:v>9.9</x:v>
      </x:c>
      <x:c r="E36" s="19" t="n">
        <x:v>9.6</x:v>
      </x:c>
      <x:c r="F36" s="19" t="n">
        <x:v>12.1</x:v>
      </x:c>
      <x:c r="G36" s="19" t="n">
        <x:v>11.7</x:v>
      </x:c>
      <x:c r="H36" s="19" t="n">
        <x:v>13.4</x:v>
      </x:c>
      <x:c r="I36" s="19" t="n">
        <x:v>15.3</x:v>
      </x:c>
      <x:c r="J36" s="19" t="n">
        <x:v>1.7</x:v>
      </x:c>
      <x:c r="K36" s="18" t="str">
        <x:f>IF(ISNUMBER(J36),IF(J36&gt;3,"是","否"),"跳过")</x:f>
        <x:v>否</x:v>
      </x:c>
      <x:c r="L36" s="1"/>
      <x:c r="M36" s="1"/>
      <x:c r="N36" s="1"/>
      <x:c r="O36" s="1"/>
    </x:row>
    <x:row r="37">
      <x:c r="A37" s="18" t="str">
        <x:v>SEFC01</x:v>
      </x:c>
      <x:c r="B37" s="18" t="str">
        <x:v>Uncooked ground beef</x:v>
      </x:c>
      <x:c r="C37" s="18" t="str">
        <x:v>Uncooked ground beef</x:v>
      </x:c>
      <x:c r="D37" s="19" t="n">
        <x:v>13</x:v>
      </x:c>
      <x:c r="E37" s="19" t="n">
        <x:v>13.6</x:v>
      </x:c>
      <x:c r="F37" s="19" t="n">
        <x:v>13.8</x:v>
      </x:c>
      <x:c r="G37" s="19" t="n">
        <x:v>14.8</x:v>
      </x:c>
      <x:c r="H37" s="19" t="n">
        <x:v>13.6</x:v>
      </x:c>
      <x:c r="I37" s="19" t="n">
        <x:v>9.7</x:v>
      </x:c>
      <x:c r="J37" s="19" t="n">
        <x:v>7.2</x:v>
      </x:c>
      <x:c r="K37" s="18" t="str">
        <x:f>IF(ISNUMBER(J37),IF(J37&gt;3,"是","否"),"跳过")</x:f>
        <x:v>是</x:v>
      </x:c>
      <x:c r="L37" s="1"/>
      <x:c r="M37" s="1"/>
      <x:c r="N37" s="1"/>
      <x:c r="O37" s="1"/>
    </x:row>
    <x:row r="38">
      <x:c r="A38" s="18" t="str">
        <x:v>SEFC02</x:v>
      </x:c>
      <x:c r="B38" s="18" t="str">
        <x:v>Uncooked beef roasts</x:v>
      </x:c>
      <x:c r="C38" s="18" t="str">
        <x:v>Uncooked beef roasts</x:v>
      </x:c>
      <x:c r="D38" s="19" t="n">
        <x:v>19.2</x:v>
      </x:c>
      <x:c r="E38" s="19" t="n">
        <x:v>18.6</x:v>
      </x:c>
      <x:c r="F38" s="19" t="n">
        <x:v>17.7</x:v>
      </x:c>
      <x:c r="G38" s="19" t="n">
        <x:v>16.9</x:v>
      </x:c>
      <x:c r="H38" s="19" t="n">
        <x:v>11</x:v>
      </x:c>
      <x:c r="I38" s="19" t="n">
        <x:v>3.6</x:v>
      </x:c>
      <x:c r="J38" s="19" t="n">
        <x:v>8.4</x:v>
      </x:c>
      <x:c r="K38" s="18" t="str">
        <x:f>IF(ISNUMBER(J38),IF(J38&gt;3,"是","否"),"跳过")</x:f>
        <x:v>是</x:v>
      </x:c>
      <x:c r="L38" s="1"/>
      <x:c r="M38" s="1"/>
      <x:c r="N38" s="1"/>
      <x:c r="O38" s="1"/>
    </x:row>
    <x:row r="39">
      <x:c r="A39" s="18" t="str">
        <x:v>SEFC03</x:v>
      </x:c>
      <x:c r="B39" s="18" t="str">
        <x:v>Uncooked beef steaks</x:v>
      </x:c>
      <x:c r="C39" s="18" t="str">
        <x:v>Uncooked beef steaks</x:v>
      </x:c>
      <x:c r="D39" s="19" t="n">
        <x:v>17.1</x:v>
      </x:c>
      <x:c r="E39" s="19" t="n">
        <x:v>16.9</x:v>
      </x:c>
      <x:c r="F39" s="19" t="n">
        <x:v>16.4</x:v>
      </x:c>
      <x:c r="G39" s="19" t="n">
        <x:v>11.8</x:v>
      </x:c>
      <x:c r="H39" s="19" t="n">
        <x:v>6.6</x:v>
      </x:c>
      <x:c r="I39" s="19" t="n">
        <x:v>-0.3</x:v>
      </x:c>
      <x:c r="J39" s="19" t="n">
        <x:v>4</x:v>
      </x:c>
      <x:c r="K39" s="18" t="str">
        <x:f>IF(ISNUMBER(J39),IF(J39&gt;3,"是","否"),"跳过")</x:f>
        <x:v>是</x:v>
      </x:c>
      <x:c r="L39" s="1"/>
      <x:c r="M39" s="1"/>
      <x:c r="N39" s="1"/>
      <x:c r="O39" s="1"/>
    </x:row>
    <x:row r="40">
      <x:c r="A40" s="18" t="str">
        <x:v>SEFC04</x:v>
      </x:c>
      <x:c r="B40" s="18" t="str">
        <x:v>Uncooked other beef and veal</x:v>
      </x:c>
      <x:c r="C40" s="18" t="str">
        <x:v>Uncooked other beef and veal</x:v>
      </x:c>
      <x:c r="D40" s="19" t="n">
        <x:v>17.9</x:v>
      </x:c>
      <x:c r="E40" s="19" t="n">
        <x:v>19.2</x:v>
      </x:c>
      <x:c r="F40" s="19" t="n">
        <x:v>20.4</x:v>
      </x:c>
      <x:c r="G40" s="19" t="n">
        <x:v>18.9</x:v>
      </x:c>
      <x:c r="H40" s="19" t="n">
        <x:v>12.1</x:v>
      </x:c>
      <x:c r="I40" s="19" t="n">
        <x:v>3.4</x:v>
      </x:c>
      <x:c r="J40" s="19" t="n">
        <x:v>4.4</x:v>
      </x:c>
      <x:c r="K40" s="18" t="str">
        <x:f>IF(ISNUMBER(J40),IF(J40&gt;3,"是","否"),"跳过")</x:f>
        <x:v>是</x:v>
      </x:c>
      <x:c r="L40" s="1"/>
      <x:c r="M40" s="1"/>
      <x:c r="N40" s="1"/>
      <x:c r="O40" s="1"/>
    </x:row>
    <x:row r="41">
      <x:c r="A41" s="18" t="str">
        <x:v>SEFD01</x:v>
      </x:c>
      <x:c r="B41" s="18" t="str">
        <x:v>Bacon, breakfast sausage, and related products</x:v>
      </x:c>
      <x:c r="C41" s="18" t="str">
        <x:v>Bacon, breakfast sausage, and related products</x:v>
      </x:c>
      <x:c r="D41" s="19" t="n">
        <x:v>16</x:v>
      </x:c>
      <x:c r="E41" s="19" t="n">
        <x:v>17.1</x:v>
      </x:c>
      <x:c r="F41" s="19" t="n">
        <x:v>16.5</x:v>
      </x:c>
      <x:c r="G41" s="19" t="n">
        <x:v>16.3</x:v>
      </x:c>
      <x:c r="H41" s="19" t="n">
        <x:v>15.6</x:v>
      </x:c>
      <x:c r="I41" s="19" t="n">
        <x:v>11.9</x:v>
      </x:c>
      <x:c r="J41" s="19" t="n">
        <x:v>-2.3</x:v>
      </x:c>
      <x:c r="K41" s="18" t="str">
        <x:f>IF(ISNUMBER(J41),IF(J41&gt;3,"是","否"),"跳过")</x:f>
        <x:v>否</x:v>
      </x:c>
      <x:c r="L41" s="1"/>
      <x:c r="M41" s="1"/>
      <x:c r="N41" s="1"/>
      <x:c r="O41" s="1"/>
    </x:row>
    <x:row r="42">
      <x:c r="A42" s="18" t="str">
        <x:v>SEFD02</x:v>
      </x:c>
      <x:c r="B42" s="18" t="str">
        <x:v>Ham</x:v>
      </x:c>
      <x:c r="C42" s="18" t="str">
        <x:v>Ham</x:v>
      </x:c>
      <x:c r="D42" s="19" t="n">
        <x:v>10</x:v>
      </x:c>
      <x:c r="E42" s="19" t="n">
        <x:v>7.1</x:v>
      </x:c>
      <x:c r="F42" s="19" t="n">
        <x:v>14.6</x:v>
      </x:c>
      <x:c r="G42" s="19" t="n">
        <x:v>8.8</x:v>
      </x:c>
      <x:c r="H42" s="19" t="n">
        <x:v>11.1</x:v>
      </x:c>
      <x:c r="I42" s="19" t="n">
        <x:v>9.6</x:v>
      </x:c>
      <x:c r="J42" s="19" t="n">
        <x:v>4.2</x:v>
      </x:c>
      <x:c r="K42" s="18" t="str">
        <x:f>IF(ISNUMBER(J42),IF(J42&gt;3,"是","否"),"跳过")</x:f>
        <x:v>是</x:v>
      </x:c>
      <x:c r="L42" s="1"/>
      <x:c r="M42" s="1"/>
      <x:c r="N42" s="1"/>
      <x:c r="O42" s="1"/>
    </x:row>
    <x:row r="43">
      <x:c r="A43" s="18" t="str">
        <x:v>SEFD03</x:v>
      </x:c>
      <x:c r="B43" s="18" t="str">
        <x:v>Pork chops</x:v>
      </x:c>
      <x:c r="C43" s="18" t="str">
        <x:v>Pork chops</x:v>
      </x:c>
      <x:c r="D43" s="19" t="n">
        <x:v>14.5</x:v>
      </x:c>
      <x:c r="E43" s="19" t="n">
        <x:v>13.4</x:v>
      </x:c>
      <x:c r="F43" s="19" t="n">
        <x:v>13.8</x:v>
      </x:c>
      <x:c r="G43" s="19" t="n">
        <x:v>14</x:v>
      </x:c>
      <x:c r="H43" s="19" t="n">
        <x:v>11</x:v>
      </x:c>
      <x:c r="I43" s="19" t="n">
        <x:v>4.2</x:v>
      </x:c>
      <x:c r="J43" s="19" t="n">
        <x:v>1.9</x:v>
      </x:c>
      <x:c r="K43" s="18" t="str">
        <x:f>IF(ISNUMBER(J43),IF(J43&gt;3,"是","否"),"跳过")</x:f>
        <x:v>否</x:v>
      </x:c>
      <x:c r="L43" s="1"/>
      <x:c r="M43" s="1"/>
      <x:c r="N43" s="1"/>
      <x:c r="O43" s="1"/>
    </x:row>
    <x:row r="44">
      <x:c r="A44" s="18" t="str">
        <x:v>SEFD04</x:v>
      </x:c>
      <x:c r="B44" s="18" t="str">
        <x:v>Other pork including roasts, steaks, and ribs</x:v>
      </x:c>
      <x:c r="C44" s="18" t="str">
        <x:v>Other pork including roasts, steaks, and ribs</x:v>
      </x:c>
      <x:c r="D44" s="19" t="n">
        <x:v>14.2</x:v>
      </x:c>
      <x:c r="E44" s="19" t="n">
        <x:v>15.6</x:v>
      </x:c>
      <x:c r="F44" s="19" t="n">
        <x:v>15.4</x:v>
      </x:c>
      <x:c r="G44" s="19" t="n">
        <x:v>13.1</x:v>
      </x:c>
      <x:c r="H44" s="19" t="n">
        <x:v>12.6</x:v>
      </x:c>
      <x:c r="I44" s="19" t="n">
        <x:v>7.2</x:v>
      </x:c>
      <x:c r="J44" s="19" t="n">
        <x:v>1</x:v>
      </x:c>
      <x:c r="K44" s="18" t="str">
        <x:f>IF(ISNUMBER(J44),IF(J44&gt;3,"是","否"),"跳过")</x:f>
        <x:v>否</x:v>
      </x:c>
      <x:c r="L44" s="1"/>
      <x:c r="M44" s="1"/>
      <x:c r="N44" s="1"/>
      <x:c r="O44" s="1"/>
    </x:row>
    <x:row r="45">
      <x:c r="A45" s="18" t="str">
        <x:v>SEFF01</x:v>
      </x:c>
      <x:c r="B45" s="18" t="str">
        <x:v>Chicken</x:v>
      </x:c>
      <x:c r="C45" s="18" t="str">
        <x:v>Chicken</x:v>
      </x:c>
      <x:c r="D45" s="19" t="n">
        <x:v>10.3</x:v>
      </x:c>
      <x:c r="E45" s="19" t="n">
        <x:v>13.2</x:v>
      </x:c>
      <x:c r="F45" s="19" t="n">
        <x:v>13.4</x:v>
      </x:c>
      <x:c r="G45" s="19" t="n">
        <x:v>16.4</x:v>
      </x:c>
      <x:c r="H45" s="19" t="n">
        <x:v>17.4</x:v>
      </x:c>
      <x:c r="I45" s="19" t="n">
        <x:v>18.6</x:v>
      </x:c>
      <x:c r="J45" s="19" t="n">
        <x:v>-2.3</x:v>
      </x:c>
      <x:c r="K45" s="18" t="str">
        <x:f>IF(ISNUMBER(J45),IF(J45&gt;3,"是","否"),"跳过")</x:f>
        <x:v>否</x:v>
      </x:c>
      <x:c r="L45" s="1"/>
      <x:c r="M45" s="1"/>
      <x:c r="N45" s="1"/>
      <x:c r="O45" s="1"/>
    </x:row>
    <x:row r="46">
      <x:c r="A46" s="18" t="str">
        <x:v>SEFF02</x:v>
      </x:c>
      <x:c r="B46" s="18" t="str">
        <x:v>Other uncooked poultry including turkey</x:v>
      </x:c>
      <x:c r="C46" s="18" t="str">
        <x:v>Other uncooked poultry including turkey</x:v>
      </x:c>
      <x:c r="D46" s="19" t="n">
        <x:v>7.5</x:v>
      </x:c>
      <x:c r="E46" s="19" t="n">
        <x:v>9.1</x:v>
      </x:c>
      <x:c r="F46" s="19" t="n">
        <x:v>12</x:v>
      </x:c>
      <x:c r="G46" s="19" t="n">
        <x:v>10.7</x:v>
      </x:c>
      <x:c r="H46" s="19" t="n">
        <x:v>13.1</x:v>
      </x:c>
      <x:c r="I46" s="19" t="n">
        <x:v>11.7</x:v>
      </x:c>
      <x:c r="J46" s="19" t="n">
        <x:v>11.5</x:v>
      </x:c>
      <x:c r="K46" s="18" t="str">
        <x:f>IF(ISNUMBER(J46),IF(J46&gt;3,"是","否"),"跳过")</x:f>
        <x:v>是</x:v>
      </x:c>
      <x:c r="L46" s="1"/>
      <x:c r="M46" s="1"/>
      <x:c r="N46" s="1"/>
      <x:c r="O46" s="1"/>
    </x:row>
    <x:row r="47">
      <x:c r="A47" s="18" t="str">
        <x:v>SEFG01</x:v>
      </x:c>
      <x:c r="B47" s="18" t="str">
        <x:v>Fresh fish and seafood</x:v>
      </x:c>
      <x:c r="C47" s="18" t="str">
        <x:v>Fresh fish and seafood</x:v>
      </x:c>
      <x:c r="D47" s="19" t="n">
        <x:v>12.7</x:v>
      </x:c>
      <x:c r="E47" s="19" t="n">
        <x:v>11.8</x:v>
      </x:c>
      <x:c r="F47" s="19" t="n">
        <x:v>11.3</x:v>
      </x:c>
      <x:c r="G47" s="19" t="n">
        <x:v>13</x:v>
      </x:c>
      <x:c r="H47" s="19" t="n">
        <x:v>13.1</x:v>
      </x:c>
      <x:c r="I47" s="19" t="n">
        <x:v>10.6</x:v>
      </x:c>
      <x:c r="J47" s="19" t="n">
        <x:v>6.3</x:v>
      </x:c>
      <x:c r="K47" s="18" t="str">
        <x:f>IF(ISNUMBER(J47),IF(J47&gt;3,"是","否"),"跳过")</x:f>
        <x:v>是</x:v>
      </x:c>
      <x:c r="L47" s="1"/>
      <x:c r="M47" s="1"/>
      <x:c r="N47" s="1"/>
      <x:c r="O47" s="1"/>
    </x:row>
    <x:row r="48">
      <x:c r="A48" s="18" t="str">
        <x:v>SEFG02</x:v>
      </x:c>
      <x:c r="B48" s="18" t="str">
        <x:v>Processed fish and seafood</x:v>
      </x:c>
      <x:c r="C48" s="18" t="str">
        <x:v>Processed fish and seafood</x:v>
      </x:c>
      <x:c r="D48" s="19" t="n">
        <x:v>6.5</x:v>
      </x:c>
      <x:c r="E48" s="19" t="n">
        <x:v>9</x:v>
      </x:c>
      <x:c r="F48" s="19" t="n">
        <x:v>10.6</x:v>
      </x:c>
      <x:c r="G48" s="19" t="n">
        <x:v>10.7</x:v>
      </x:c>
      <x:c r="H48" s="19" t="n">
        <x:v>11.2</x:v>
      </x:c>
      <x:c r="I48" s="19" t="n">
        <x:v>11.4</x:v>
      </x:c>
      <x:c r="J48" s="19" t="n">
        <x:v>6.8</x:v>
      </x:c>
      <x:c r="K48" s="18" t="str">
        <x:f>IF(ISNUMBER(J48),IF(J48&gt;3,"是","否"),"跳过")</x:f>
        <x:v>是</x:v>
      </x:c>
      <x:c r="L48" s="1"/>
      <x:c r="M48" s="1"/>
      <x:c r="N48" s="1"/>
      <x:c r="O48" s="1"/>
    </x:row>
    <x:row r="49">
      <x:c r="A49" s="18" t="str">
        <x:v>SEFJ01</x:v>
      </x:c>
      <x:c r="B49" s="18" t="str">
        <x:v>Milk</x:v>
      </x:c>
      <x:c r="C49" s="18" t="str">
        <x:v>Milk</x:v>
      </x:c>
      <x:c r="D49" s="19" t="n">
        <x:v>6.8</x:v>
      </x:c>
      <x:c r="E49" s="19" t="n">
        <x:v>11.2</x:v>
      </x:c>
      <x:c r="F49" s="19" t="n">
        <x:v>13.3</x:v>
      </x:c>
      <x:c r="G49" s="19" t="n">
        <x:v>14.7</x:v>
      </x:c>
      <x:c r="H49" s="19" t="n">
        <x:v>15.9</x:v>
      </x:c>
      <x:c r="I49" s="19" t="n">
        <x:v>16.4</x:v>
      </x:c>
      <x:c r="J49" s="19" t="n">
        <x:v>4.1</x:v>
      </x:c>
      <x:c r="K49" s="18" t="str">
        <x:f>IF(ISNUMBER(J49),IF(J49&gt;3,"是","否"),"跳过")</x:f>
        <x:v>是</x:v>
      </x:c>
      <x:c r="L49" s="1"/>
      <x:c r="M49" s="1"/>
      <x:c r="N49" s="1"/>
      <x:c r="O49" s="1"/>
    </x:row>
    <x:row r="50">
      <x:c r="A50" s="18" t="str">
        <x:v>SEFJ02</x:v>
      </x:c>
      <x:c r="B50" s="18" t="str">
        <x:v>Cheese and related products</x:v>
      </x:c>
      <x:c r="C50" s="18" t="str">
        <x:v>Cheese and related products</x:v>
      </x:c>
      <x:c r="D50" s="19" t="n">
        <x:v>0.2</x:v>
      </x:c>
      <x:c r="E50" s="19" t="n">
        <x:v>1.9</x:v>
      </x:c>
      <x:c r="F50" s="19" t="n">
        <x:v>3.1</x:v>
      </x:c>
      <x:c r="G50" s="19" t="n">
        <x:v>6.5</x:v>
      </x:c>
      <x:c r="H50" s="19" t="n">
        <x:v>8.7</x:v>
      </x:c>
      <x:c r="I50" s="19" t="n">
        <x:v>9.7</x:v>
      </x:c>
      <x:c r="J50" s="19" t="n">
        <x:v>-3.8</x:v>
      </x:c>
      <x:c r="K50" s="18" t="str">
        <x:f>IF(ISNUMBER(J50),IF(J50&gt;3,"是","否"),"跳过")</x:f>
        <x:v>否</x:v>
      </x:c>
      <x:c r="L50" s="1"/>
      <x:c r="M50" s="1"/>
      <x:c r="N50" s="1"/>
      <x:c r="O50" s="1"/>
    </x:row>
    <x:row r="51">
      <x:c r="A51" s="18" t="str">
        <x:v>SEFJ03</x:v>
      </x:c>
      <x:c r="B51" s="18" t="str">
        <x:v>Ice cream and related products</x:v>
      </x:c>
      <x:c r="C51" s="18" t="str">
        <x:v>Ice cream and related products</x:v>
      </x:c>
      <x:c r="D51" s="19" t="n">
        <x:v>1.1</x:v>
      </x:c>
      <x:c r="E51" s="19" t="n">
        <x:v>3.3</x:v>
      </x:c>
      <x:c r="F51" s="19" t="n">
        <x:v>3.3</x:v>
      </x:c>
      <x:c r="G51" s="19" t="n">
        <x:v>4.7</x:v>
      </x:c>
      <x:c r="H51" s="19" t="n">
        <x:v>9.6</x:v>
      </x:c>
      <x:c r="I51" s="19" t="n">
        <x:v>12.5</x:v>
      </x:c>
      <x:c r="J51" s="19" t="n">
        <x:v>-1.8</x:v>
      </x:c>
      <x:c r="K51" s="18" t="str">
        <x:f>IF(ISNUMBER(J51),IF(J51&gt;3,"是","否"),"跳过")</x:f>
        <x:v>否</x:v>
      </x:c>
      <x:c r="L51" s="1"/>
      <x:c r="M51" s="1"/>
      <x:c r="N51" s="1"/>
      <x:c r="O51" s="1"/>
    </x:row>
    <x:row r="52">
      <x:c r="A52" s="18" t="str">
        <x:v>SEFJ04</x:v>
      </x:c>
      <x:c r="B52" s="18" t="str">
        <x:v>Other dairy and related products</x:v>
      </x:c>
      <x:c r="C52" s="18" t="str">
        <x:v>Other dairy and related products</x:v>
      </x:c>
      <x:c r="D52" s="19" t="n">
        <x:v>4</x:v>
      </x:c>
      <x:c r="E52" s="19" t="n">
        <x:v>4.2</x:v>
      </x:c>
      <x:c r="F52" s="19" t="n">
        <x:v>7.7</x:v>
      </x:c>
      <x:c r="G52" s="19" t="n">
        <x:v>9</x:v>
      </x:c>
      <x:c r="H52" s="19" t="n">
        <x:v>12.9</x:v>
      </x:c>
      <x:c r="I52" s="19" t="n">
        <x:v>15.9</x:v>
      </x:c>
      <x:c r="J52" s="19" t="n">
        <x:v>0.7</x:v>
      </x:c>
      <x:c r="K52" s="18" t="str">
        <x:f>IF(ISNUMBER(J52),IF(J52&gt;3,"是","否"),"跳过")</x:f>
        <x:v>否</x:v>
      </x:c>
      <x:c r="L52" s="1"/>
      <x:c r="M52" s="1"/>
      <x:c r="N52" s="1"/>
      <x:c r="O52" s="1"/>
    </x:row>
    <x:row r="53">
      <x:c r="A53" s="18" t="str">
        <x:v>SEFK01</x:v>
      </x:c>
      <x:c r="B53" s="18" t="str">
        <x:v>Apples</x:v>
      </x:c>
      <x:c r="C53" s="18" t="str">
        <x:v>Apples</x:v>
      </x:c>
      <x:c r="D53" s="19" t="n">
        <x:v>6.8</x:v>
      </x:c>
      <x:c r="E53" s="19" t="n">
        <x:v>7.8</x:v>
      </x:c>
      <x:c r="F53" s="19" t="n">
        <x:v>7.2</x:v>
      </x:c>
      <x:c r="G53" s="19" t="n">
        <x:v>6.6</x:v>
      </x:c>
      <x:c r="H53" s="19" t="n">
        <x:v>6.2</x:v>
      </x:c>
      <x:c r="I53" s="19" t="n">
        <x:v>6</x:v>
      </x:c>
      <x:c r="J53" s="19" t="n">
        <x:v>5.4</x:v>
      </x:c>
      <x:c r="K53" s="18" t="str">
        <x:f>IF(ISNUMBER(J53),IF(J53&gt;3,"是","否"),"跳过")</x:f>
        <x:v>是</x:v>
      </x:c>
      <x:c r="L53" s="1"/>
      <x:c r="M53" s="1"/>
      <x:c r="N53" s="1"/>
      <x:c r="O53" s="1"/>
    </x:row>
    <x:row r="54">
      <x:c r="A54" s="18" t="str">
        <x:v>SEFK02</x:v>
      </x:c>
      <x:c r="B54" s="18" t="str">
        <x:v>Bananas</x:v>
      </x:c>
      <x:c r="C54" s="18" t="str">
        <x:v>Bananas</x:v>
      </x:c>
      <x:c r="D54" s="19" t="n">
        <x:v>3.3</x:v>
      </x:c>
      <x:c r="E54" s="19" t="n">
        <x:v>5.2</x:v>
      </x:c>
      <x:c r="F54" s="19" t="n">
        <x:v>6.3</x:v>
      </x:c>
      <x:c r="G54" s="19" t="n">
        <x:v>4.2</x:v>
      </x:c>
      <x:c r="H54" s="19" t="n">
        <x:v>5.6</x:v>
      </x:c>
      <x:c r="I54" s="19" t="n">
        <x:v>6.6</x:v>
      </x:c>
      <x:c r="J54" s="19" t="n">
        <x:v>-1.4</x:v>
      </x:c>
      <x:c r="K54" s="18" t="str">
        <x:f>IF(ISNUMBER(J54),IF(J54&gt;3,"是","否"),"跳过")</x:f>
        <x:v>否</x:v>
      </x:c>
      <x:c r="L54" s="1"/>
      <x:c r="M54" s="1"/>
      <x:c r="N54" s="1"/>
      <x:c r="O54" s="1"/>
    </x:row>
    <x:row r="55">
      <x:c r="A55" s="18" t="str">
        <x:v>SEFK03</x:v>
      </x:c>
      <x:c r="B55" s="18" t="str">
        <x:v>Citrus fruits</x:v>
      </x:c>
      <x:c r="C55" s="18" t="str">
        <x:v>Citrus fruits</x:v>
      </x:c>
      <x:c r="D55" s="19" t="n">
        <x:v>10.6</x:v>
      </x:c>
      <x:c r="E55" s="19" t="n">
        <x:v>16.2</x:v>
      </x:c>
      <x:c r="F55" s="19" t="n">
        <x:v>19.5</x:v>
      </x:c>
      <x:c r="G55" s="19" t="n">
        <x:v>18.6</x:v>
      </x:c>
      <x:c r="H55" s="19" t="n">
        <x:v>16.1</x:v>
      </x:c>
      <x:c r="I55" s="19" t="n">
        <x:v>9.3</x:v>
      </x:c>
      <x:c r="J55" s="19" t="n">
        <x:v>2.4</x:v>
      </x:c>
      <x:c r="K55" s="18" t="str">
        <x:f>IF(ISNUMBER(J55),IF(J55&gt;3,"是","否"),"跳过")</x:f>
        <x:v>否</x:v>
      </x:c>
      <x:c r="L55" s="1"/>
      <x:c r="M55" s="1"/>
      <x:c r="N55" s="1"/>
      <x:c r="O55" s="1"/>
    </x:row>
    <x:row r="56">
      <x:c r="A56" s="18" t="str">
        <x:v>SEFK04</x:v>
      </x:c>
      <x:c r="B56" s="18" t="str">
        <x:v>Other fresh fruits</x:v>
      </x:c>
      <x:c r="C56" s="18" t="str">
        <x:v>Other fresh fruits</x:v>
      </x:c>
      <x:c r="D56" s="19" t="n">
        <x:v>8.9</x:v>
      </x:c>
      <x:c r="E56" s="19" t="n">
        <x:v>10</x:v>
      </x:c>
      <x:c r="F56" s="19" t="n">
        <x:v>6.9</x:v>
      </x:c>
      <x:c r="G56" s="19" t="n">
        <x:v>4.2</x:v>
      </x:c>
      <x:c r="H56" s="19" t="n">
        <x:v>5.3</x:v>
      </x:c>
      <x:c r="I56" s="19" t="n">
        <x:v>6.5</x:v>
      </x:c>
      <x:c r="J56" s="19" t="n">
        <x:v>5.4</x:v>
      </x:c>
      <x:c r="K56" s="18" t="str">
        <x:f>IF(ISNUMBER(J56),IF(J56&gt;3,"是","否"),"跳过")</x:f>
        <x:v>是</x:v>
      </x:c>
      <x:c r="L56" s="1"/>
      <x:c r="M56" s="1"/>
      <x:c r="N56" s="1"/>
      <x:c r="O56" s="1"/>
    </x:row>
    <x:row r="57">
      <x:c r="A57" s="18" t="str">
        <x:v>SEFL01</x:v>
      </x:c>
      <x:c r="B57" s="18" t="str">
        <x:v>Potatoes</x:v>
      </x:c>
      <x:c r="C57" s="18" t="str">
        <x:v>Potatoes</x:v>
      </x:c>
      <x:c r="D57" s="19" t="n">
        <x:v>0.1</x:v>
      </x:c>
      <x:c r="E57" s="19" t="n">
        <x:v>3</x:v>
      </x:c>
      <x:c r="F57" s="19" t="n">
        <x:v>3.4</x:v>
      </x:c>
      <x:c r="G57" s="19" t="n">
        <x:v>7.2</x:v>
      </x:c>
      <x:c r="H57" s="19" t="n">
        <x:v>8.6</x:v>
      </x:c>
      <x:c r="I57" s="19" t="n">
        <x:v>9</x:v>
      </x:c>
      <x:c r="J57" s="19" t="n">
        <x:v>3.6</x:v>
      </x:c>
      <x:c r="K57" s="18" t="str">
        <x:f>IF(ISNUMBER(J57),IF(J57&gt;3,"是","否"),"跳过")</x:f>
        <x:v>是</x:v>
      </x:c>
      <x:c r="L57" s="1"/>
      <x:c r="M57" s="1"/>
      <x:c r="N57" s="1"/>
      <x:c r="O57" s="1"/>
    </x:row>
    <x:row r="58">
      <x:c r="A58" s="18" t="str">
        <x:v>SEFL02</x:v>
      </x:c>
      <x:c r="B58" s="18" t="str">
        <x:v>Lettuce</x:v>
      </x:c>
      <x:c r="C58" s="18" t="str">
        <x:v>Lettuce</x:v>
      </x:c>
      <x:c r="D58" s="19" t="n">
        <x:v>6.2</x:v>
      </x:c>
      <x:c r="E58" s="19" t="n">
        <x:v>7.9</x:v>
      </x:c>
      <x:c r="F58" s="19" t="n">
        <x:v>12</x:v>
      </x:c>
      <x:c r="G58" s="19" t="n">
        <x:v>12.7</x:v>
      </x:c>
      <x:c r="H58" s="19" t="n">
        <x:v>11.4</x:v>
      </x:c>
      <x:c r="I58" s="19" t="n">
        <x:v>11.4</x:v>
      </x:c>
      <x:c r="J58" s="19" t="n">
        <x:v>-2.2</x:v>
      </x:c>
      <x:c r="K58" s="18" t="str">
        <x:f>IF(ISNUMBER(J58),IF(J58&gt;3,"是","否"),"跳过")</x:f>
        <x:v>否</x:v>
      </x:c>
      <x:c r="L58" s="1"/>
      <x:c r="M58" s="1"/>
      <x:c r="N58" s="1"/>
      <x:c r="O58" s="1"/>
    </x:row>
    <x:row r="59">
      <x:c r="A59" s="18" t="str">
        <x:v>SEFL03</x:v>
      </x:c>
      <x:c r="B59" s="18" t="str">
        <x:v>Tomatoes</x:v>
      </x:c>
      <x:c r="C59" s="18" t="str">
        <x:v>Tomatoes</x:v>
      </x:c>
      <x:c r="D59" s="19" t="n">
        <x:v>1.1</x:v>
      </x:c>
      <x:c r="E59" s="19" t="n">
        <x:v>1.1</x:v>
      </x:c>
      <x:c r="F59" s="19" t="n">
        <x:v>1.7</x:v>
      </x:c>
      <x:c r="G59" s="19" t="n">
        <x:v>0.4</x:v>
      </x:c>
      <x:c r="H59" s="19" t="n">
        <x:v>2</x:v>
      </x:c>
      <x:c r="I59" s="19" t="n">
        <x:v>0.6</x:v>
      </x:c>
      <x:c r="J59" s="19" t="n">
        <x:v>5.8</x:v>
      </x:c>
      <x:c r="K59" s="18" t="str">
        <x:f>IF(ISNUMBER(J59),IF(J59&gt;3,"是","否"),"跳过")</x:f>
        <x:v>是</x:v>
      </x:c>
      <x:c r="L59" s="1"/>
      <x:c r="M59" s="1"/>
      <x:c r="N59" s="1"/>
      <x:c r="O59" s="1"/>
    </x:row>
    <x:row r="60">
      <x:c r="A60" s="18" t="str">
        <x:v>SEFL04</x:v>
      </x:c>
      <x:c r="B60" s="18" t="str">
        <x:v>Other fresh vegetables</x:v>
      </x:c>
      <x:c r="C60" s="18" t="str">
        <x:v>Other fresh vegetables</x:v>
      </x:c>
      <x:c r="D60" s="19" t="n">
        <x:v>3.3</x:v>
      </x:c>
      <x:c r="E60" s="19" t="n">
        <x:v>4.8</x:v>
      </x:c>
      <x:c r="F60" s="19" t="n">
        <x:v>6.5</x:v>
      </x:c>
      <x:c r="G60" s="19" t="n">
        <x:v>6.3</x:v>
      </x:c>
      <x:c r="H60" s="19" t="n">
        <x:v>6</x:v>
      </x:c>
      <x:c r="I60" s="19" t="n">
        <x:v>6.5</x:v>
      </x:c>
      <x:c r="J60" s="19" t="n">
        <x:v>2</x:v>
      </x:c>
      <x:c r="K60" s="18" t="str">
        <x:f>IF(ISNUMBER(J60),IF(J60&gt;3,"是","否"),"跳过")</x:f>
        <x:v>否</x:v>
      </x:c>
      <x:c r="L60" s="1"/>
      <x:c r="M60" s="1"/>
      <x:c r="N60" s="1"/>
      <x:c r="O60" s="1"/>
    </x:row>
    <x:row r="61">
      <x:c r="A61" s="18" t="str">
        <x:v>SEFM01</x:v>
      </x:c>
      <x:c r="B61" s="18" t="str">
        <x:v>Canned fruits and vegetables</x:v>
      </x:c>
      <x:c r="C61" s="18" t="str">
        <x:v>Canned fruits and vegetables</x:v>
      </x:c>
      <x:c r="D61" s="19" t="n">
        <x:v>6.1</x:v>
      </x:c>
      <x:c r="E61" s="19" t="n">
        <x:v>7.7</x:v>
      </x:c>
      <x:c r="F61" s="19" t="n">
        <x:v>11.2</x:v>
      </x:c>
      <x:c r="G61" s="19" t="n">
        <x:v>10.4</x:v>
      </x:c>
      <x:c r="H61" s="19" t="n">
        <x:v>12.1</x:v>
      </x:c>
      <x:c r="I61" s="19" t="n">
        <x:v>13.4</x:v>
      </x:c>
      <x:c r="J61" s="19" t="n">
        <x:v>4</x:v>
      </x:c>
      <x:c r="K61" s="18" t="str">
        <x:f>IF(ISNUMBER(J61),IF(J61&gt;3,"是","否"),"跳过")</x:f>
        <x:v>是</x:v>
      </x:c>
      <x:c r="L61" s="1"/>
      <x:c r="M61" s="1"/>
      <x:c r="N61" s="1"/>
      <x:c r="O61" s="1"/>
    </x:row>
    <x:row r="62">
      <x:c r="A62" s="18" t="str">
        <x:v>SEFM02</x:v>
      </x:c>
      <x:c r="B62" s="18" t="str">
        <x:v>Frozen fruits and vegetables</x:v>
      </x:c>
      <x:c r="C62" s="18" t="str">
        <x:v>Frozen fruits and vegetables</x:v>
      </x:c>
      <x:c r="D62" s="19" t="n">
        <x:v>5.5</x:v>
      </x:c>
      <x:c r="E62" s="19" t="n">
        <x:v>8.3</x:v>
      </x:c>
      <x:c r="F62" s="19" t="n">
        <x:v>8.3</x:v>
      </x:c>
      <x:c r="G62" s="19" t="n">
        <x:v>7.9</x:v>
      </x:c>
      <x:c r="H62" s="19" t="n">
        <x:v>9.1</x:v>
      </x:c>
      <x:c r="I62" s="19" t="n">
        <x:v>10.2</x:v>
      </x:c>
      <x:c r="J62" s="19" t="n">
        <x:v>2.4</x:v>
      </x:c>
      <x:c r="K62" s="18" t="str">
        <x:f>IF(ISNUMBER(J62),IF(J62&gt;3,"是","否"),"跳过")</x:f>
        <x:v>否</x:v>
      </x:c>
      <x:c r="L62" s="1"/>
      <x:c r="M62" s="1"/>
      <x:c r="N62" s="1"/>
      <x:c r="O62" s="1"/>
    </x:row>
    <x:row r="63">
      <x:c r="A63" s="18" t="str">
        <x:v>SEFM03</x:v>
      </x:c>
      <x:c r="B63" s="18" t="str">
        <x:v>Other processed fruits and vegetables including dried</x:v>
      </x:c>
      <x:c r="C63" s="18" t="str">
        <x:v>Other processed fruits and vegetables including dried</x:v>
      </x:c>
      <x:c r="D63" s="19" t="n">
        <x:v>4.9</x:v>
      </x:c>
      <x:c r="E63" s="19" t="n">
        <x:v>6.1</x:v>
      </x:c>
      <x:c r="F63" s="19" t="n">
        <x:v>7.1</x:v>
      </x:c>
      <x:c r="G63" s="19" t="n">
        <x:v>6.7</x:v>
      </x:c>
      <x:c r="H63" s="19" t="n">
        <x:v>7.3</x:v>
      </x:c>
      <x:c r="I63" s="19" t="n">
        <x:v>9</x:v>
      </x:c>
      <x:c r="J63" s="19" t="n">
        <x:v>3.4</x:v>
      </x:c>
      <x:c r="K63" s="18" t="str">
        <x:f>IF(ISNUMBER(J63),IF(J63&gt;3,"是","否"),"跳过")</x:f>
        <x:v>是</x:v>
      </x:c>
      <x:c r="L63" s="1"/>
      <x:c r="M63" s="1"/>
      <x:c r="N63" s="1"/>
      <x:c r="O63" s="1"/>
    </x:row>
    <x:row r="64">
      <x:c r="A64" s="18" t="str">
        <x:v>SEFN01</x:v>
      </x:c>
      <x:c r="B64" s="18" t="str">
        <x:v>Carbonated drinks</x:v>
      </x:c>
      <x:c r="C64" s="18" t="str">
        <x:v>Carbonated drinks</x:v>
      </x:c>
      <x:c r="D64" s="19" t="n">
        <x:v>3.8</x:v>
      </x:c>
      <x:c r="E64" s="19" t="n">
        <x:v>5.4</x:v>
      </x:c>
      <x:c r="F64" s="19" t="n">
        <x:v>7.3</x:v>
      </x:c>
      <x:c r="G64" s="19" t="n">
        <x:v>9.2</x:v>
      </x:c>
      <x:c r="H64" s="19" t="n">
        <x:v>13.2</x:v>
      </x:c>
      <x:c r="I64" s="19" t="n">
        <x:v>11</x:v>
      </x:c>
      <x:c r="J64" s="19" t="n">
        <x:v>4.4</x:v>
      </x:c>
      <x:c r="K64" s="18" t="str">
        <x:f>IF(ISNUMBER(J64),IF(J64&gt;3,"是","否"),"跳过")</x:f>
        <x:v>是</x:v>
      </x:c>
      <x:c r="L64" s="1"/>
      <x:c r="M64" s="1"/>
      <x:c r="N64" s="1"/>
      <x:c r="O64" s="1"/>
    </x:row>
    <x:row r="65">
      <x:c r="A65" s="18" t="str">
        <x:v>SEFN02</x:v>
      </x:c>
      <x:c r="B65" s="18" t="str">
        <x:v>Frozen noncarbonated juices and drinks</x:v>
      </x:c>
      <x:c r="C65" s="18" t="str">
        <x:v>Frozen noncarbonated juices and drinks</x:v>
      </x:c>
      <x:c r="D65" s="19" t="n">
        <x:v>-0.2</x:v>
      </x:c>
      <x:c r="E65" s="19" t="n">
        <x:v>3.9</x:v>
      </x:c>
      <x:c r="F65" s="19" t="n">
        <x:v>5.7</x:v>
      </x:c>
      <x:c r="G65" s="19" t="n">
        <x:v>4.5</x:v>
      </x:c>
      <x:c r="H65" s="19" t="n">
        <x:v>5.7</x:v>
      </x:c>
      <x:c r="I65" s="19" t="n">
        <x:v>8.4</x:v>
      </x:c>
      <x:c r="J65" s="19" t="n">
        <x:v>-0.3</x:v>
      </x:c>
      <x:c r="K65" s="18" t="str">
        <x:f>IF(ISNUMBER(J65),IF(J65&gt;3,"是","否"),"跳过")</x:f>
        <x:v>否</x:v>
      </x:c>
      <x:c r="L65" s="1"/>
      <x:c r="M65" s="1"/>
      <x:c r="N65" s="1"/>
      <x:c r="O65" s="1"/>
    </x:row>
    <x:row r="66">
      <x:c r="A66" s="18" t="str">
        <x:v>SEFN03</x:v>
      </x:c>
      <x:c r="B66" s="18" t="str">
        <x:v>Nonfrozen noncarbonated juices and drinks</x:v>
      </x:c>
      <x:c r="C66" s="18" t="str">
        <x:v>Nonfrozen noncarbonated juices and drinks</x:v>
      </x:c>
      <x:c r="D66" s="19" t="n">
        <x:v>5.3</x:v>
      </x:c>
      <x:c r="E66" s="19" t="n">
        <x:v>6.6</x:v>
      </x:c>
      <x:c r="F66" s="19" t="n">
        <x:v>7.8</x:v>
      </x:c>
      <x:c r="G66" s="19" t="n">
        <x:v>9.3</x:v>
      </x:c>
      <x:c r="H66" s="19" t="n">
        <x:v>10.9</x:v>
      </x:c>
      <x:c r="I66" s="19" t="n">
        <x:v>12.1</x:v>
      </x:c>
      <x:c r="J66" s="19" t="n">
        <x:v>3.2</x:v>
      </x:c>
      <x:c r="K66" s="18" t="str">
        <x:f>IF(ISNUMBER(J66),IF(J66&gt;3,"是","否"),"跳过")</x:f>
        <x:v>是</x:v>
      </x:c>
      <x:c r="L66" s="1"/>
      <x:c r="M66" s="1"/>
      <x:c r="N66" s="1"/>
      <x:c r="O66" s="1"/>
    </x:row>
    <x:row r="67">
      <x:c r="A67" s="18" t="str">
        <x:v>SEFP01</x:v>
      </x:c>
      <x:c r="B67" s="18" t="str">
        <x:v>Coffee</x:v>
      </x:c>
      <x:c r="C67" s="18" t="str">
        <x:v>Coffee</x:v>
      </x:c>
      <x:c r="D67" s="19" t="n">
        <x:v>8.6</x:v>
      </x:c>
      <x:c r="E67" s="19" t="n">
        <x:v>10.5</x:v>
      </x:c>
      <x:c r="F67" s="19" t="n">
        <x:v>11.2</x:v>
      </x:c>
      <x:c r="G67" s="19" t="n">
        <x:v>13.5</x:v>
      </x:c>
      <x:c r="H67" s="19" t="n">
        <x:v>15.3</x:v>
      </x:c>
      <x:c r="I67" s="19" t="n">
        <x:v>15.8</x:v>
      </x:c>
      <x:c r="J67" s="19" t="n">
        <x:v>6.1</x:v>
      </x:c>
      <x:c r="K67" s="18" t="str">
        <x:f>IF(ISNUMBER(J67),IF(J67&gt;3,"是","否"),"跳过")</x:f>
        <x:v>是</x:v>
      </x:c>
      <x:c r="L67" s="1"/>
      <x:c r="M67" s="1"/>
      <x:c r="N67" s="1"/>
      <x:c r="O67" s="1"/>
    </x:row>
    <x:row r="68">
      <x:c r="A68" s="18" t="str">
        <x:v>SEFP02</x:v>
      </x:c>
      <x:c r="B68" s="18" t="str">
        <x:v>Other beverage materials including tea</x:v>
      </x:c>
      <x:c r="C68" s="18" t="str">
        <x:v>Other beverage materials including tea</x:v>
      </x:c>
      <x:c r="D68" s="19" t="n">
        <x:v>1</x:v>
      </x:c>
      <x:c r="E68" s="19" t="n">
        <x:v>3.7</x:v>
      </x:c>
      <x:c r="F68" s="19" t="n">
        <x:v>4.7</x:v>
      </x:c>
      <x:c r="G68" s="19" t="n">
        <x:v>6.8</x:v>
      </x:c>
      <x:c r="H68" s="19" t="n">
        <x:v>7.2</x:v>
      </x:c>
      <x:c r="I68" s="19" t="n">
        <x:v>6.4</x:v>
      </x:c>
      <x:c r="J68" s="19" t="n">
        <x:v>0.4</x:v>
      </x:c>
      <x:c r="K68" s="18" t="str">
        <x:f>IF(ISNUMBER(J68),IF(J68&gt;3,"是","否"),"跳过")</x:f>
        <x:v>否</x:v>
      </x:c>
      <x:c r="L68" s="1"/>
      <x:c r="M68" s="1"/>
      <x:c r="N68" s="1"/>
      <x:c r="O68" s="1"/>
    </x:row>
    <x:row r="69">
      <x:c r="A69" s="18" t="str">
        <x:v>SEFR01</x:v>
      </x:c>
      <x:c r="B69" s="18" t="str">
        <x:v>Sugar and sugar substitutes</x:v>
      </x:c>
      <x:c r="C69" s="18" t="str">
        <x:v>Sugar and sugar substitutes</x:v>
      </x:c>
      <x:c r="D69" s="19" t="n">
        <x:v>5.6</x:v>
      </x:c>
      <x:c r="E69" s="19" t="n">
        <x:v>6</x:v>
      </x:c>
      <x:c r="F69" s="19" t="n">
        <x:v>7.5</x:v>
      </x:c>
      <x:c r="G69" s="19" t="n">
        <x:v>6.7</x:v>
      </x:c>
      <x:c r="H69" s="19" t="n">
        <x:v>9.3</x:v>
      </x:c>
      <x:c r="I69" s="19" t="n">
        <x:v>11.4</x:v>
      </x:c>
      <x:c r="J69" s="19" t="n">
        <x:v>-0.5</x:v>
      </x:c>
      <x:c r="K69" s="18" t="str">
        <x:f>IF(ISNUMBER(J69),IF(J69&gt;3,"是","否"),"跳过")</x:f>
        <x:v>否</x:v>
      </x:c>
      <x:c r="L69" s="1"/>
      <x:c r="M69" s="1"/>
      <x:c r="N69" s="1"/>
      <x:c r="O69" s="1"/>
    </x:row>
    <x:row r="70">
      <x:c r="A70" s="18" t="str">
        <x:v>SEFR02</x:v>
      </x:c>
      <x:c r="B70" s="18" t="str">
        <x:v>Candy and chewing gum</x:v>
      </x:c>
      <x:c r="C70" s="18" t="str">
        <x:v>Candy and chewing gum</x:v>
      </x:c>
      <x:c r="D70" s="19" t="n">
        <x:v>4.8</x:v>
      </x:c>
      <x:c r="E70" s="19" t="n">
        <x:v>7.1</x:v>
      </x:c>
      <x:c r="F70" s="19" t="n">
        <x:v>7.6</x:v>
      </x:c>
      <x:c r="G70" s="19" t="n">
        <x:v>7.3</x:v>
      </x:c>
      <x:c r="H70" s="19" t="n">
        <x:v>6.2</x:v>
      </x:c>
      <x:c r="I70" s="19" t="n">
        <x:v>6.9</x:v>
      </x:c>
      <x:c r="J70" s="19" t="n">
        <x:v>8.1</x:v>
      </x:c>
      <x:c r="K70" s="18" t="str">
        <x:f>IF(ISNUMBER(J70),IF(J70&gt;3,"是","否"),"跳过")</x:f>
        <x:v>是</x:v>
      </x:c>
      <x:c r="L70" s="1"/>
      <x:c r="M70" s="1"/>
      <x:c r="N70" s="1"/>
      <x:c r="O70" s="1"/>
    </x:row>
    <x:row r="71">
      <x:c r="A71" s="18" t="str">
        <x:v>SEFR03</x:v>
      </x:c>
      <x:c r="B71" s="18" t="str">
        <x:v>Other sweets</x:v>
      </x:c>
      <x:c r="C71" s="18" t="str">
        <x:v>Other sweets</x:v>
      </x:c>
      <x:c r="D71" s="19" t="n">
        <x:v>7.2</x:v>
      </x:c>
      <x:c r="E71" s="19" t="n">
        <x:v>7.5</x:v>
      </x:c>
      <x:c r="F71" s="19" t="n">
        <x:v>9.4</x:v>
      </x:c>
      <x:c r="G71" s="19" t="n">
        <x:v>10.9</x:v>
      </x:c>
      <x:c r="H71" s="19" t="n">
        <x:v>12.7</x:v>
      </x:c>
      <x:c r="I71" s="19" t="n">
        <x:v>15.7</x:v>
      </x:c>
      <x:c r="J71" s="19" t="n">
        <x:v>1.7</x:v>
      </x:c>
      <x:c r="K71" s="18" t="str">
        <x:f>IF(ISNUMBER(J71),IF(J71&gt;3,"是","否"),"跳过")</x:f>
        <x:v>否</x:v>
      </x:c>
      <x:c r="L71" s="1"/>
      <x:c r="M71" s="1"/>
      <x:c r="N71" s="1"/>
      <x:c r="O71" s="1"/>
    </x:row>
    <x:row r="72">
      <x:c r="A72" s="18" t="str">
        <x:v>SEFS01</x:v>
      </x:c>
      <x:c r="B72" s="18" t="str">
        <x:v>Butter and margarine</x:v>
      </x:c>
      <x:c r="C72" s="18" t="str">
        <x:v>Butter and margarine</x:v>
      </x:c>
      <x:c r="D72" s="19" t="n">
        <x:v>5.5</x:v>
      </x:c>
      <x:c r="E72" s="19" t="n">
        <x:v>7.3</x:v>
      </x:c>
      <x:c r="F72" s="19" t="n">
        <x:v>14</x:v>
      </x:c>
      <x:c r="G72" s="19" t="n">
        <x:v>19.2</x:v>
      </x:c>
      <x:c r="H72" s="19" t="n">
        <x:v>20.2</x:v>
      </x:c>
      <x:c r="I72" s="19" t="n">
        <x:v>26.3</x:v>
      </x:c>
      <x:c r="J72" s="19" t="n">
        <x:v>-5.7</x:v>
      </x:c>
      <x:c r="K72" s="18" t="str">
        <x:f>IF(ISNUMBER(J72),IF(J72&gt;3,"是","否"),"跳过")</x:f>
        <x:v>否</x:v>
      </x:c>
      <x:c r="L72" s="1"/>
      <x:c r="M72" s="1"/>
      <x:c r="N72" s="1"/>
      <x:c r="O72" s="1"/>
    </x:row>
    <x:row r="73">
      <x:c r="A73" s="18" t="str">
        <x:v>SEFS02</x:v>
      </x:c>
      <x:c r="B73" s="18" t="str">
        <x:v>Salad dressing</x:v>
      </x:c>
      <x:c r="C73" s="18" t="str">
        <x:v>Salad dressing</x:v>
      </x:c>
      <x:c r="D73" s="19" t="n">
        <x:v>7.8</x:v>
      </x:c>
      <x:c r="E73" s="19" t="n">
        <x:v>9.4</x:v>
      </x:c>
      <x:c r="F73" s="19" t="n">
        <x:v>13.9</x:v>
      </x:c>
      <x:c r="G73" s="19" t="n">
        <x:v>13.1</x:v>
      </x:c>
      <x:c r="H73" s="19" t="n">
        <x:v>12.4</x:v>
      </x:c>
      <x:c r="I73" s="19" t="n">
        <x:v>15</x:v>
      </x:c>
      <x:c r="J73" s="19" t="n">
        <x:v>-0.7</x:v>
      </x:c>
      <x:c r="K73" s="18" t="str">
        <x:f>IF(ISNUMBER(J73),IF(J73&gt;3,"是","否"),"跳过")</x:f>
        <x:v>否</x:v>
      </x:c>
      <x:c r="L73" s="1"/>
      <x:c r="M73" s="1"/>
      <x:c r="N73" s="1"/>
      <x:c r="O73" s="1"/>
    </x:row>
    <x:row r="74">
      <x:c r="A74" s="18" t="str">
        <x:v>SEFS03</x:v>
      </x:c>
      <x:c r="B74" s="18" t="str">
        <x:v>Other fats and oils including peanut butter</x:v>
      </x:c>
      <x:c r="C74" s="18" t="str">
        <x:v>Other fats and oils including peanut butter</x:v>
      </x:c>
      <x:c r="D74" s="19" t="n">
        <x:v>15.5</x:v>
      </x:c>
      <x:c r="E74" s="19" t="n">
        <x:v>15.6</x:v>
      </x:c>
      <x:c r="F74" s="19" t="n">
        <x:v>15.8</x:v>
      </x:c>
      <x:c r="G74" s="19" t="n">
        <x:v>13.7</x:v>
      </x:c>
      <x:c r="H74" s="19" t="n">
        <x:v>16.8</x:v>
      </x:c>
      <x:c r="I74" s="19" t="n">
        <x:v>17.1</x:v>
      </x:c>
      <x:c r="J74" s="19" t="n">
        <x:v>2.5</x:v>
      </x:c>
      <x:c r="K74" s="18" t="str">
        <x:f>IF(ISNUMBER(J74),IF(J74&gt;3,"是","否"),"跳过")</x:f>
        <x:v>否</x:v>
      </x:c>
      <x:c r="L74" s="1"/>
      <x:c r="M74" s="1"/>
      <x:c r="N74" s="1"/>
      <x:c r="O74" s="1"/>
    </x:row>
    <x:row r="75">
      <x:c r="A75" s="18" t="str">
        <x:v>SEFT01</x:v>
      </x:c>
      <x:c r="B75" s="18" t="str">
        <x:v>Soups</x:v>
      </x:c>
      <x:c r="C75" s="18" t="str">
        <x:v>Soups</x:v>
      </x:c>
      <x:c r="D75" s="19" t="n">
        <x:v>6</x:v>
      </x:c>
      <x:c r="E75" s="19" t="n">
        <x:v>10</x:v>
      </x:c>
      <x:c r="F75" s="19" t="n">
        <x:v>10.3</x:v>
      </x:c>
      <x:c r="G75" s="19" t="n">
        <x:v>13.1</x:v>
      </x:c>
      <x:c r="H75" s="19" t="n">
        <x:v>13.9</x:v>
      </x:c>
      <x:c r="I75" s="19" t="n">
        <x:v>16</x:v>
      </x:c>
      <x:c r="J75" s="19" t="n">
        <x:v>1</x:v>
      </x:c>
      <x:c r="K75" s="18" t="str">
        <x:f>IF(ISNUMBER(J75),IF(J75&gt;3,"是","否"),"跳过")</x:f>
        <x:v>否</x:v>
      </x:c>
      <x:c r="L75" s="1"/>
      <x:c r="M75" s="1"/>
      <x:c r="N75" s="1"/>
      <x:c r="O75" s="1"/>
    </x:row>
    <x:row r="76">
      <x:c r="A76" s="18" t="str">
        <x:v>SEFT02</x:v>
      </x:c>
      <x:c r="B76" s="18" t="str">
        <x:v>Frozen and freeze dried prepared foods</x:v>
      </x:c>
      <x:c r="C76" s="18" t="str">
        <x:v>Frozen and freeze dried prepared foods</x:v>
      </x:c>
      <x:c r="D76" s="19" t="n">
        <x:v>9.8</x:v>
      </x:c>
      <x:c r="E76" s="19" t="n">
        <x:v>11.1</x:v>
      </x:c>
      <x:c r="F76" s="19" t="n">
        <x:v>14</x:v>
      </x:c>
      <x:c r="G76" s="19" t="n">
        <x:v>14.2</x:v>
      </x:c>
      <x:c r="H76" s="19" t="n">
        <x:v>15</x:v>
      </x:c>
      <x:c r="I76" s="19" t="n">
        <x:v>17.7</x:v>
      </x:c>
      <x:c r="J76" s="19" t="n">
        <x:v>0.1</x:v>
      </x:c>
      <x:c r="K76" s="18" t="str">
        <x:f>IF(ISNUMBER(J76),IF(J76&gt;3,"是","否"),"跳过")</x:f>
        <x:v>否</x:v>
      </x:c>
      <x:c r="L76" s="1"/>
      <x:c r="M76" s="1"/>
      <x:c r="N76" s="1"/>
      <x:c r="O76" s="1"/>
    </x:row>
    <x:row r="77">
      <x:c r="A77" s="18" t="str">
        <x:v>SEFT03</x:v>
      </x:c>
      <x:c r="B77" s="18" t="str">
        <x:v>Snacks</x:v>
      </x:c>
      <x:c r="C77" s="18" t="str">
        <x:v>Snacks</x:v>
      </x:c>
      <x:c r="D77" s="19" t="n">
        <x:v>8.2</x:v>
      </x:c>
      <x:c r="E77" s="19" t="n">
        <x:v>8</x:v>
      </x:c>
      <x:c r="F77" s="19" t="n">
        <x:v>9.3</x:v>
      </x:c>
      <x:c r="G77" s="19" t="n">
        <x:v>9.8</x:v>
      </x:c>
      <x:c r="H77" s="19" t="n">
        <x:v>13.6</x:v>
      </x:c>
      <x:c r="I77" s="19" t="n">
        <x:v>14.3</x:v>
      </x:c>
      <x:c r="J77" s="19" t="n">
        <x:v>2</x:v>
      </x:c>
      <x:c r="K77" s="18" t="str">
        <x:f>IF(ISNUMBER(J77),IF(J77&gt;3,"是","否"),"跳过")</x:f>
        <x:v>否</x:v>
      </x:c>
      <x:c r="L77" s="1"/>
      <x:c r="M77" s="1"/>
      <x:c r="N77" s="1"/>
      <x:c r="O77" s="1"/>
    </x:row>
    <x:row r="78">
      <x:c r="A78" s="18" t="str">
        <x:v>SEFT04</x:v>
      </x:c>
      <x:c r="B78" s="18" t="str">
        <x:v>Spices, seasonings, condiments, sauces</x:v>
      </x:c>
      <x:c r="C78" s="18" t="str">
        <x:v>Spices, seasonings, condiments, sauces</x:v>
      </x:c>
      <x:c r="D78" s="19" t="n">
        <x:v>5.7</x:v>
      </x:c>
      <x:c r="E78" s="19" t="n">
        <x:v>5.3</x:v>
      </x:c>
      <x:c r="F78" s="19" t="n">
        <x:v>9.2</x:v>
      </x:c>
      <x:c r="G78" s="19" t="n">
        <x:v>8.5</x:v>
      </x:c>
      <x:c r="H78" s="19" t="n">
        <x:v>10.1</x:v>
      </x:c>
      <x:c r="I78" s="19" t="n">
        <x:v>12.2</x:v>
      </x:c>
      <x:c r="J78" s="19" t="n">
        <x:v>3.1</x:v>
      </x:c>
      <x:c r="K78" s="18" t="str">
        <x:f>IF(ISNUMBER(J78),IF(J78&gt;3,"是","否"),"跳过")</x:f>
        <x:v>是</x:v>
      </x:c>
      <x:c r="L78" s="1"/>
      <x:c r="M78" s="1"/>
      <x:c r="N78" s="1"/>
      <x:c r="O78" s="1"/>
    </x:row>
    <x:row r="79">
      <x:c r="A79" s="18" t="str">
        <x:v>SEFT05</x:v>
      </x:c>
      <x:c r="B79" s="18" t="str">
        <x:v>Baby food and formula</x:v>
      </x:c>
      <x:c r="C79" s="18" t="str">
        <x:v>Baby food</x:v>
      </x:c>
      <x:c r="D79" s="19" t="n">
        <x:v>7.8</x:v>
      </x:c>
      <x:c r="E79" s="19" t="n">
        <x:v>8.4</x:v>
      </x:c>
      <x:c r="F79" s="19" t="n">
        <x:v>10.8</x:v>
      </x:c>
      <x:c r="G79" s="19" t="n">
        <x:v>13</x:v>
      </x:c>
      <x:c r="H79" s="19" t="n">
        <x:v>12.9</x:v>
      </x:c>
      <x:c r="I79" s="19" t="n">
        <x:v>14</x:v>
      </x:c>
      <x:c r="J79" s="19" t="n">
        <x:v>1.3</x:v>
      </x:c>
      <x:c r="K79" s="18" t="str">
        <x:f>IF(ISNUMBER(J79),IF(J79&gt;3,"是","否"),"跳过")</x:f>
        <x:v>否</x:v>
      </x:c>
      <x:c r="L79" s="1"/>
      <x:c r="M79" s="1"/>
      <x:c r="N79" s="1"/>
      <x:c r="O79" s="1"/>
    </x:row>
    <x:row r="80">
      <x:c r="A80" s="18" t="str">
        <x:v>SEFT06</x:v>
      </x:c>
      <x:c r="B80" s="18" t="str">
        <x:v>Other miscellaneous foods</x:v>
      </x:c>
      <x:c r="C80" s="18" t="str">
        <x:v>Other miscellaneous foods</x:v>
      </x:c>
      <x:c r="D80" s="19" t="n">
        <x:v>6.6</x:v>
      </x:c>
      <x:c r="E80" s="19" t="n">
        <x:v>7.6</x:v>
      </x:c>
      <x:c r="F80" s="19" t="n">
        <x:v>9.1</x:v>
      </x:c>
      <x:c r="G80" s="19" t="n">
        <x:v>10.9</x:v>
      </x:c>
      <x:c r="H80" s="19" t="n">
        <x:v>12.6</x:v>
      </x:c>
      <x:c r="I80" s="19" t="n">
        <x:v>14.5</x:v>
      </x:c>
      <x:c r="J80" s="19" t="n">
        <x:v>3.6</x:v>
      </x:c>
      <x:c r="K80" s="18" t="str">
        <x:f>IF(ISNUMBER(J80),IF(J80&gt;3,"是","否"),"跳过")</x:f>
        <x:v>是</x:v>
      </x:c>
      <x:c r="L80" s="1"/>
      <x:c r="M80" s="1"/>
      <x:c r="N80" s="1"/>
      <x:c r="O80" s="1"/>
    </x:row>
    <x:row r="81">
      <x:c r="A81" s="18" t="str">
        <x:v>SEFV01</x:v>
      </x:c>
      <x:c r="B81" s="18" t="str">
        <x:v>Full service meals and snacks</x:v>
      </x:c>
      <x:c r="C81" s="18" t="str">
        <x:v>Full service meals and snacks</x:v>
      </x:c>
      <x:c r="D81" s="19" t="n">
        <x:v>7.1</x:v>
      </x:c>
      <x:c r="E81" s="19" t="n">
        <x:v>7.5</x:v>
      </x:c>
      <x:c r="F81" s="19" t="n">
        <x:v>8</x:v>
      </x:c>
      <x:c r="G81" s="19" t="n">
        <x:v>8.7</x:v>
      </x:c>
      <x:c r="H81" s="19" t="n">
        <x:v>9</x:v>
      </x:c>
      <x:c r="I81" s="19" t="n">
        <x:v>8.9</x:v>
      </x:c>
      <x:c r="J81" s="19" t="n">
        <x:v>3.5</x:v>
      </x:c>
      <x:c r="K81" s="18" t="str">
        <x:f>IF(ISNUMBER(J81),IF(J81&gt;3,"是","否"),"跳过")</x:f>
        <x:v>是</x:v>
      </x:c>
      <x:c r="L81" s="1"/>
      <x:c r="M81" s="1"/>
      <x:c r="N81" s="1"/>
      <x:c r="O81" s="1"/>
    </x:row>
    <x:row r="82">
      <x:c r="A82" s="18" t="str">
        <x:v>SEFV02</x:v>
      </x:c>
      <x:c r="B82" s="18" t="str">
        <x:v>Limited service meals and snacks</x:v>
      </x:c>
      <x:c r="C82" s="18" t="str">
        <x:v>Limited service meals and snacks</x:v>
      </x:c>
      <x:c r="D82" s="19" t="n">
        <x:v>8</x:v>
      </x:c>
      <x:c r="E82" s="19" t="n">
        <x:v>8</x:v>
      </x:c>
      <x:c r="F82" s="19" t="n">
        <x:v>7.2</x:v>
      </x:c>
      <x:c r="G82" s="19" t="n">
        <x:v>7</x:v>
      </x:c>
      <x:c r="H82" s="19" t="n">
        <x:v>7.3</x:v>
      </x:c>
      <x:c r="I82" s="19" t="n">
        <x:v>7.4</x:v>
      </x:c>
      <x:c r="J82" s="19" t="n">
        <x:v>3.2</x:v>
      </x:c>
      <x:c r="K82" s="18" t="str">
        <x:f>IF(ISNUMBER(J82),IF(J82&gt;3,"是","否"),"跳过")</x:f>
        <x:v>是</x:v>
      </x:c>
      <x:c r="L82" s="1"/>
      <x:c r="M82" s="1"/>
      <x:c r="N82" s="1"/>
      <x:c r="O82" s="1"/>
    </x:row>
    <x:row r="83">
      <x:c r="A83" s="18" t="str">
        <x:v>SEFV03</x:v>
      </x:c>
      <x:c r="B83" s="18" t="str">
        <x:v>Food at employee sites and schools</x:v>
      </x:c>
      <x:c r="C83" s="18" t="str">
        <x:v>Food at employee sites and schools</x:v>
      </x:c>
      <x:c r="D83" s="19" t="n">
        <x:v>-46.9</x:v>
      </x:c>
      <x:c r="E83" s="19" t="n">
        <x:v>-40.7</x:v>
      </x:c>
      <x:c r="F83" s="19" t="n">
        <x:v>-30.5</x:v>
      </x:c>
      <x:c r="G83" s="19" t="n">
        <x:v>-30</x:v>
      </x:c>
      <x:c r="H83" s="19" t="n">
        <x:v>-30.5</x:v>
      </x:c>
      <x:c r="I83" s="19" t="n">
        <x:v>-14.1</x:v>
      </x:c>
      <x:c r="J83" s="19" t="n">
        <x:v>3</x:v>
      </x:c>
      <x:c r="K83" s="18" t="str">
        <x:f>IF(ISNUMBER(J83),IF(J83&gt;3,"是","否"),"跳过")</x:f>
        <x:v>否</x:v>
      </x:c>
      <x:c r="L83" s="1"/>
      <x:c r="M83" s="1"/>
      <x:c r="N83" s="1"/>
      <x:c r="O83" s="1"/>
    </x:row>
    <x:row r="84">
      <x:c r="A84" s="18" t="str">
        <x:v>SEFV04</x:v>
      </x:c>
      <x:c r="B84" s="18" t="str">
        <x:v>Food from vending machines and mobile vendors</x:v>
      </x:c>
      <x:c r="C84" s="18" t="str">
        <x:v>Food from vending machines and mobile vendors</x:v>
      </x:c>
      <x:c r="D84" s="19" t="n">
        <x:v>5.6</x:v>
      </x:c>
      <x:c r="E84" s="19" t="n">
        <x:v>5.9</x:v>
      </x:c>
      <x:c r="F84" s="19" t="n">
        <x:v>5.5</x:v>
      </x:c>
      <x:c r="G84" s="19" t="n">
        <x:v>7.1</x:v>
      </x:c>
      <x:c r="H84" s="19" t="n">
        <x:v>8</x:v>
      </x:c>
      <x:c r="I84" s="19" t="n">
        <x:v>7.6</x:v>
      </x:c>
      <x:c r="J84" s="19" t="n">
        <x:v>3.8</x:v>
      </x:c>
      <x:c r="K84" s="18" t="str">
        <x:f>IF(ISNUMBER(J84),IF(J84&gt;3,"是","否"),"跳过")</x:f>
        <x:v>是</x:v>
      </x:c>
      <x:c r="L84" s="1"/>
      <x:c r="M84" s="1"/>
      <x:c r="N84" s="1"/>
      <x:c r="O84" s="1"/>
    </x:row>
    <x:row r="85">
      <x:c r="A85" s="18" t="str">
        <x:v>SEFV05</x:v>
      </x:c>
      <x:c r="B85" s="18" t="str">
        <x:v>Other food away from home</x:v>
      </x:c>
      <x:c r="C85" s="18" t="str">
        <x:v>Other food away from home</x:v>
      </x:c>
      <x:c r="D85" s="19" t="n">
        <x:v>4.9</x:v>
      </x:c>
      <x:c r="E85" s="19" t="n">
        <x:v>5.5</x:v>
      </x:c>
      <x:c r="F85" s="19" t="n">
        <x:v>5.5</x:v>
      </x:c>
      <x:c r="G85" s="19" t="n">
        <x:v>5.5</x:v>
      </x:c>
      <x:c r="H85" s="19" t="n">
        <x:v>5</x:v>
      </x:c>
      <x:c r="I85" s="19" t="n">
        <x:v>6.8</x:v>
      </x:c>
      <x:c r="J85" s="19" t="n">
        <x:v>4.4</x:v>
      </x:c>
      <x:c r="K85" s="18" t="str">
        <x:f>IF(ISNUMBER(J85),IF(J85&gt;3,"是","否"),"跳过")</x:f>
        <x:v>是</x:v>
      </x:c>
      <x:c r="L85" s="1"/>
      <x:c r="M85" s="1"/>
      <x:c r="N85" s="1"/>
      <x:c r="O85" s="1"/>
    </x:row>
    <x:row r="86">
      <x:c r="A86" s="18" t="str">
        <x:v>SEFW01</x:v>
      </x:c>
      <x:c r="B86" s="18" t="str">
        <x:v>Beer, ale, and other malt beverages at home</x:v>
      </x:c>
      <x:c r="C86" s="18" t="str">
        <x:v>Beer, ale, and other malt beverages at home</x:v>
      </x:c>
      <x:c r="D86" s="19" t="n">
        <x:v>1.8</x:v>
      </x:c>
      <x:c r="E86" s="19" t="n">
        <x:v>3.7</x:v>
      </x:c>
      <x:c r="F86" s="19" t="n">
        <x:v>4.1</x:v>
      </x:c>
      <x:c r="G86" s="19" t="n">
        <x:v>5</x:v>
      </x:c>
      <x:c r="H86" s="19" t="n">
        <x:v>4.5</x:v>
      </x:c>
      <x:c r="I86" s="19" t="n">
        <x:v>4.3</x:v>
      </x:c>
      <x:c r="J86" s="19" t="n">
        <x:v>2.4</x:v>
      </x:c>
      <x:c r="K86" s="18" t="str">
        <x:f>IF(ISNUMBER(J86),IF(J86&gt;3,"是","否"),"跳过")</x:f>
        <x:v>否</x:v>
      </x:c>
      <x:c r="L86" s="1"/>
      <x:c r="M86" s="1"/>
      <x:c r="N86" s="1"/>
      <x:c r="O86" s="1"/>
    </x:row>
    <x:row r="87">
      <x:c r="A87" s="18" t="str">
        <x:v>SEFW02</x:v>
      </x:c>
      <x:c r="B87" s="18" t="str">
        <x:v>Distilled spirits at home</x:v>
      </x:c>
      <x:c r="C87" s="18" t="str">
        <x:v>Distilled spirits at home</x:v>
      </x:c>
      <x:c r="D87" s="19" t="n">
        <x:v>2.4</x:v>
      </x:c>
      <x:c r="E87" s="19" t="n">
        <x:v>1.9</x:v>
      </x:c>
      <x:c r="F87" s="19" t="n">
        <x:v>1.5</x:v>
      </x:c>
      <x:c r="G87" s="19" t="n">
        <x:v>1.7</x:v>
      </x:c>
      <x:c r="H87" s="19" t="n">
        <x:v>1.4</x:v>
      </x:c>
      <x:c r="I87" s="19" t="n">
        <x:v>1.3</x:v>
      </x:c>
      <x:c r="J87" s="19" t="n">
        <x:v>-0.7</x:v>
      </x:c>
      <x:c r="K87" s="18" t="str">
        <x:f>IF(ISNUMBER(J87),IF(J87&gt;3,"是","否"),"跳过")</x:f>
        <x:v>否</x:v>
      </x:c>
      <x:c r="L87" s="1"/>
      <x:c r="M87" s="1"/>
      <x:c r="N87" s="1"/>
      <x:c r="O87" s="1"/>
    </x:row>
    <x:row r="88">
      <x:c r="A88" s="18" t="str">
        <x:v>SEFW03</x:v>
      </x:c>
      <x:c r="B88" s="18" t="str">
        <x:v>Wine at home</x:v>
      </x:c>
      <x:c r="C88" s="18" t="str">
        <x:v>Wine at home</x:v>
      </x:c>
      <x:c r="D88" s="19" t="n">
        <x:v>0.9</x:v>
      </x:c>
      <x:c r="E88" s="19" t="n">
        <x:v>1.9</x:v>
      </x:c>
      <x:c r="F88" s="19" t="n">
        <x:v>2</x:v>
      </x:c>
      <x:c r="G88" s="19" t="n">
        <x:v>1.5</x:v>
      </x:c>
      <x:c r="H88" s="19" t="n">
        <x:v>1.8</x:v>
      </x:c>
      <x:c r="I88" s="19" t="n">
        <x:v>2.3</x:v>
      </x:c>
      <x:c r="J88" s="19" t="n">
        <x:v>-1.1</x:v>
      </x:c>
      <x:c r="K88" s="18" t="str">
        <x:f>IF(ISNUMBER(J88),IF(J88&gt;3,"是","否"),"跳过")</x:f>
        <x:v>否</x:v>
      </x:c>
      <x:c r="L88" s="1"/>
      <x:c r="M88" s="1"/>
      <x:c r="N88" s="1"/>
      <x:c r="O88" s="1"/>
    </x:row>
    <x:row r="89">
      <x:c r="A89" s="18" t="str">
        <x:v>SEGA01</x:v>
      </x:c>
      <x:c r="B89" s="18" t="str">
        <x:v>Cigarettes</x:v>
      </x:c>
      <x:c r="C89" s="18" t="str">
        <x:v>Cigarettes</x:v>
      </x:c>
      <x:c r="D89" s="19" t="n">
        <x:v>7.3</x:v>
      </x:c>
      <x:c r="E89" s="19" t="n">
        <x:v>7.3</x:v>
      </x:c>
      <x:c r="F89" s="19" t="n">
        <x:v>7.1</x:v>
      </x:c>
      <x:c r="G89" s="19" t="n">
        <x:v>7.5</x:v>
      </x:c>
      <x:c r="H89" s="19" t="n">
        <x:v>8.2</x:v>
      </x:c>
      <x:c r="I89" s="19" t="n">
        <x:v>8.1</x:v>
      </x:c>
      <x:c r="J89" s="19" t="n">
        <x:v>7</x:v>
      </x:c>
      <x:c r="K89" s="18" t="str">
        <x:f>IF(ISNUMBER(J89),IF(J89&gt;3,"是","否"),"跳过")</x:f>
        <x:v>是</x:v>
      </x:c>
      <x:c r="L89" s="1"/>
      <x:c r="M89" s="1"/>
      <x:c r="N89" s="1"/>
      <x:c r="O89" s="1"/>
    </x:row>
    <x:row r="90">
      <x:c r="A90" s="18" t="str">
        <x:v>SEGA02</x:v>
      </x:c>
      <x:c r="B90" s="18" t="str">
        <x:v>Tobacco products other than cigarettes</x:v>
      </x:c>
      <x:c r="C90" s="18" t="str">
        <x:v>Tobacco products other than cigarettes</x:v>
      </x:c>
      <x:c r="D90" s="19" t="n">
        <x:v>5</x:v>
      </x:c>
      <x:c r="E90" s="19" t="n">
        <x:v>4.1</x:v>
      </x:c>
      <x:c r="F90" s="19" t="n">
        <x:v>4.9</x:v>
      </x:c>
      <x:c r="G90" s="19" t="n">
        <x:v>4.5</x:v>
      </x:c>
      <x:c r="H90" s="19" t="n">
        <x:v>5.2</x:v>
      </x:c>
      <x:c r="I90" s="19" t="n">
        <x:v>6</x:v>
      </x:c>
      <x:c r="J90" s="19" t="n">
        <x:v>4.1</x:v>
      </x:c>
      <x:c r="K90" s="18" t="str">
        <x:f>IF(ISNUMBER(J90),IF(J90&gt;3,"是","否"),"跳过")</x:f>
        <x:v>是</x:v>
      </x:c>
      <x:c r="L90" s="1"/>
      <x:c r="M90" s="1"/>
      <x:c r="N90" s="1"/>
      <x:c r="O90" s="1"/>
    </x:row>
    <x:row r="91">
      <x:c r="A91" s="18" t="str">
        <x:v>SEGB01</x:v>
      </x:c>
      <x:c r="B91" s="18" t="str">
        <x:v>Hair, dental, shaving, and miscellaneous personal care products</x:v>
      </x:c>
      <x:c r="C91" s="18" t="str">
        <x:v>Hair, dental, shaving, and miscellaneous personal care products</x:v>
      </x:c>
      <x:c r="D91" s="19" t="n">
        <x:v>2</x:v>
      </x:c>
      <x:c r="E91" s="19" t="n">
        <x:v>2.2</x:v>
      </x:c>
      <x:c r="F91" s="19" t="n">
        <x:v>3.4</x:v>
      </x:c>
      <x:c r="G91" s="19" t="n">
        <x:v>4.4</x:v>
      </x:c>
      <x:c r="H91" s="19" t="n">
        <x:v>4.4</x:v>
      </x:c>
      <x:c r="I91" s="19" t="n">
        <x:v>6</x:v>
      </x:c>
      <x:c r="J91" s="19" t="n">
        <x:v>3.1</x:v>
      </x:c>
      <x:c r="K91" s="18" t="str">
        <x:f>IF(ISNUMBER(J91),IF(J91&gt;3,"是","否"),"跳过")</x:f>
        <x:v>是</x:v>
      </x:c>
      <x:c r="L91" s="1"/>
      <x:c r="M91" s="1"/>
      <x:c r="N91" s="1"/>
      <x:c r="O91" s="1"/>
    </x:row>
    <x:row r="92">
      <x:c r="A92" s="18" t="str">
        <x:v>SEGB02</x:v>
      </x:c>
      <x:c r="B92" s="18" t="str">
        <x:v>Cosmetics, perfume, bath, nail preparations and implements</x:v>
      </x:c>
      <x:c r="C92" s="18" t="str">
        <x:v>Cosmetics, perfume, bath, nail preparations and implements</x:v>
      </x:c>
      <x:c r="D92" s="19" t="n">
        <x:v>-1.7</x:v>
      </x:c>
      <x:c r="E92" s="19" t="n">
        <x:v>-0.9</x:v>
      </x:c>
      <x:c r="F92" s="19" t="n">
        <x:v>0.4</x:v>
      </x:c>
      <x:c r="G92" s="19" t="n">
        <x:v>-0.5</x:v>
      </x:c>
      <x:c r="H92" s="19" t="n">
        <x:v>1</x:v>
      </x:c>
      <x:c r="I92" s="19" t="n">
        <x:v>1.3</x:v>
      </x:c>
      <x:c r="J92" s="19" t="n">
        <x:v>2.8</x:v>
      </x:c>
      <x:c r="K92" s="18" t="str">
        <x:f>IF(ISNUMBER(J92),IF(J92&gt;3,"是","否"),"跳过")</x:f>
        <x:v>否</x:v>
      </x:c>
      <x:c r="L92" s="1"/>
      <x:c r="M92" s="1"/>
      <x:c r="N92" s="1"/>
      <x:c r="O92" s="1"/>
    </x:row>
    <x:row r="93">
      <x:c r="A93" s="18" t="str">
        <x:v>SEGC01</x:v>
      </x:c>
      <x:c r="B93" s="18" t="str">
        <x:v>Haircuts and other personal care services</x:v>
      </x:c>
      <x:c r="C93" s="18" t="str">
        <x:v>Haircuts and other personal care services</x:v>
      </x:c>
      <x:c r="D93" s="19" t="n">
        <x:v>4.7</x:v>
      </x:c>
      <x:c r="E93" s="19" t="n">
        <x:v>5.6</x:v>
      </x:c>
      <x:c r="F93" s="19" t="n">
        <x:v>4.6</x:v>
      </x:c>
      <x:c r="G93" s="19" t="n">
        <x:v>5.1</x:v>
      </x:c>
      <x:c r="H93" s="19" t="n">
        <x:v>6.2</x:v>
      </x:c>
      <x:c r="I93" s="19" t="n">
        <x:v>6.3</x:v>
      </x:c>
      <x:c r="J93" s="19" t="n">
        <x:v>4.2</x:v>
      </x:c>
      <x:c r="K93" s="18" t="str">
        <x:f>IF(ISNUMBER(J93),IF(J93&gt;3,"是","否"),"跳过")</x:f>
        <x:v>是</x:v>
      </x:c>
      <x:c r="L93" s="1"/>
      <x:c r="M93" s="1"/>
      <x:c r="N93" s="1"/>
      <x:c r="O93" s="1"/>
    </x:row>
    <x:row r="94">
      <x:c r="A94" s="18" t="str">
        <x:v>SEGD01</x:v>
      </x:c>
      <x:c r="B94" s="18" t="str">
        <x:v>Legal services</x:v>
      </x:c>
      <x:c r="C94" s="18" t="str">
        <x:v>Legal services</x:v>
      </x:c>
      <x:c r="D94" s="19" t="n">
        <x:v>3.3</x:v>
      </x:c>
      <x:c r="E94" s="19" t="n">
        <x:v>4.9</x:v>
      </x:c>
      <x:c r="F94" s="19" t="n">
        <x:v>5.4</x:v>
      </x:c>
      <x:c r="G94" s="19" t="n">
        <x:v>6.5</x:v>
      </x:c>
      <x:c r="H94" s="19" t="n">
        <x:v>7.6</x:v>
      </x:c>
      <x:c r="I94" s="19" t="str">
        <x:v>空白</x:v>
      </x:c>
      <x:c r="J94" s="19" t="str">
        <x:v>—</x:v>
      </x:c>
      <x:c r="K94" s="18" t="str">
        <x:f>IF(ISNUMBER(J94),IF(J94&gt;3,"是","否"),"跳过")</x:f>
        <x:v>跳过</x:v>
      </x:c>
      <x:c r="L94" s="1"/>
      <x:c r="M94" s="1"/>
      <x:c r="N94" s="1"/>
      <x:c r="O94" s="1"/>
    </x:row>
    <x:row r="95">
      <x:c r="A95" s="18" t="str">
        <x:v>SEGD02</x:v>
      </x:c>
      <x:c r="B95" s="18" t="str">
        <x:v>Funeral expenses</x:v>
      </x:c>
      <x:c r="C95" s="18" t="str">
        <x:v>Funeral expenses</x:v>
      </x:c>
      <x:c r="D95" s="19" t="n">
        <x:v>2.4</x:v>
      </x:c>
      <x:c r="E95" s="19" t="n">
        <x:v>2</x:v>
      </x:c>
      <x:c r="F95" s="19" t="n">
        <x:v>2.6</x:v>
      </x:c>
      <x:c r="G95" s="19" t="n">
        <x:v>2.9</x:v>
      </x:c>
      <x:c r="H95" s="19" t="n">
        <x:v>2.7</x:v>
      </x:c>
      <x:c r="I95" s="19" t="n">
        <x:v>2.8</x:v>
      </x:c>
      <x:c r="J95" s="19" t="n">
        <x:v>3</x:v>
      </x:c>
      <x:c r="K95" s="18" t="str">
        <x:f>IF(ISNUMBER(J95),IF(J95&gt;3,"是","否"),"跳过")</x:f>
        <x:v>否</x:v>
      </x:c>
      <x:c r="L95" s="1"/>
      <x:c r="M95" s="1"/>
      <x:c r="N95" s="1"/>
      <x:c r="O95" s="1"/>
    </x:row>
    <x:row r="96">
      <x:c r="A96" s="18" t="str">
        <x:v>SEGD03</x:v>
      </x:c>
      <x:c r="B96" s="18" t="str">
        <x:v>Laundry and dry cleaning services</x:v>
      </x:c>
      <x:c r="C96" s="18" t="str">
        <x:v>Laundry and dry cleaning services</x:v>
      </x:c>
      <x:c r="D96" s="19" t="n">
        <x:v>8.5</x:v>
      </x:c>
      <x:c r="E96" s="19" t="n">
        <x:v>9.5</x:v>
      </x:c>
      <x:c r="F96" s="19" t="n">
        <x:v>10.3</x:v>
      </x:c>
      <x:c r="G96" s="19" t="n">
        <x:v>10.3</x:v>
      </x:c>
      <x:c r="H96" s="19" t="n">
        <x:v>10.1</x:v>
      </x:c>
      <x:c r="I96" s="19" t="n">
        <x:v>10.2</x:v>
      </x:c>
      <x:c r="J96" s="19" t="n">
        <x:v>5.1</x:v>
      </x:c>
      <x:c r="K96" s="18" t="str">
        <x:f>IF(ISNUMBER(J96),IF(J96&gt;3,"是","否"),"跳过")</x:f>
        <x:v>是</x:v>
      </x:c>
      <x:c r="L96" s="1"/>
      <x:c r="M96" s="1"/>
      <x:c r="N96" s="1"/>
      <x:c r="O96" s="1"/>
    </x:row>
    <x:row r="97">
      <x:c r="A97" s="18" t="str">
        <x:v>SEGD04</x:v>
      </x:c>
      <x:c r="B97" s="18" t="str">
        <x:v>Apparel services other than laundry and dry cleaning</x:v>
      </x:c>
      <x:c r="C97" s="18" t="str">
        <x:v>Apparel services other than laundry and dry cleaning</x:v>
      </x:c>
      <x:c r="D97" s="19" t="n">
        <x:v>4.9</x:v>
      </x:c>
      <x:c r="E97" s="19" t="n">
        <x:v>6.5</x:v>
      </x:c>
      <x:c r="F97" s="19" t="n">
        <x:v>10.1</x:v>
      </x:c>
      <x:c r="G97" s="19" t="n">
        <x:v>10.5</x:v>
      </x:c>
      <x:c r="H97" s="19" t="n">
        <x:v>7.3</x:v>
      </x:c>
      <x:c r="I97" s="19" t="n">
        <x:v>8.1</x:v>
      </x:c>
      <x:c r="J97" s="19" t="n">
        <x:v>6.3</x:v>
      </x:c>
      <x:c r="K97" s="18" t="str">
        <x:f>IF(ISNUMBER(J97),IF(J97&gt;3,"是","否"),"跳过")</x:f>
        <x:v>是</x:v>
      </x:c>
      <x:c r="L97" s="1"/>
      <x:c r="M97" s="1"/>
      <x:c r="N97" s="1"/>
      <x:c r="O97" s="1"/>
    </x:row>
    <x:row r="98">
      <x:c r="A98" s="18" t="str">
        <x:v>SEGD05</x:v>
      </x:c>
      <x:c r="B98" s="18" t="str">
        <x:v>Financial services</x:v>
      </x:c>
      <x:c r="C98" s="18" t="str">
        <x:v>Financial services</x:v>
      </x:c>
      <x:c r="D98" s="19" t="n">
        <x:v>9.3</x:v>
      </x:c>
      <x:c r="E98" s="19" t="n">
        <x:v>9.1</x:v>
      </x:c>
      <x:c r="F98" s="19" t="n">
        <x:v>6.2</x:v>
      </x:c>
      <x:c r="G98" s="19" t="n">
        <x:v>6.9</x:v>
      </x:c>
      <x:c r="H98" s="19" t="n">
        <x:v>5</x:v>
      </x:c>
      <x:c r="I98" s="19" t="n">
        <x:v>4.6</x:v>
      </x:c>
      <x:c r="J98" s="19" t="n">
        <x:v>1.2</x:v>
      </x:c>
      <x:c r="K98" s="18" t="str">
        <x:f>IF(ISNUMBER(J98),IF(J98&gt;3,"是","否"),"跳过")</x:f>
        <x:v>否</x:v>
      </x:c>
      <x:c r="L98" s="1"/>
      <x:c r="M98" s="1"/>
      <x:c r="N98" s="1"/>
      <x:c r="O98" s="1"/>
    </x:row>
    <x:row r="99">
      <x:c r="A99" s="18" t="str">
        <x:v>SEHB01</x:v>
      </x:c>
      <x:c r="B99" s="18" t="str">
        <x:v>Lodging while at school</x:v>
      </x:c>
      <x:c r="C99" s="18" t="str">
        <x:v>Housing at school, excluding board</x:v>
      </x:c>
      <x:c r="D99" s="19" t="n">
        <x:v>1.7</x:v>
      </x:c>
      <x:c r="E99" s="19" t="n">
        <x:v>1.6</x:v>
      </x:c>
      <x:c r="F99" s="19" t="n">
        <x:v>1.6</x:v>
      </x:c>
      <x:c r="G99" s="19" t="n">
        <x:v>1.6</x:v>
      </x:c>
      <x:c r="H99" s="19" t="n">
        <x:v>1.6</x:v>
      </x:c>
      <x:c r="I99" s="19" t="n">
        <x:v>1.6</x:v>
      </x:c>
      <x:c r="J99" s="19" t="n">
        <x:v>3.1</x:v>
      </x:c>
      <x:c r="K99" s="18" t="str">
        <x:f>IF(ISNUMBER(J99),IF(J99&gt;3,"是","否"),"跳过")</x:f>
        <x:v>是</x:v>
      </x:c>
      <x:c r="L99" s="1"/>
      <x:c r="M99" s="1"/>
      <x:c r="N99" s="1"/>
      <x:c r="O99" s="1"/>
    </x:row>
    <x:row r="100">
      <x:c r="A100" s="18" t="str">
        <x:v>SEHB02</x:v>
      </x:c>
      <x:c r="B100" s="18" t="str">
        <x:v>Other lodging away from home including hotels and motels</x:v>
      </x:c>
      <x:c r="C100" s="18" t="str">
        <x:v>Other lodging away from home including hotels and motels</x:v>
      </x:c>
      <x:c r="D100" s="19" t="n">
        <x:v>23.6</x:v>
      </x:c>
      <x:c r="E100" s="19" t="n">
        <x:v>29</x:v>
      </x:c>
      <x:c r="F100" s="19" t="n">
        <x:v>29</x:v>
      </x:c>
      <x:c r="G100" s="19" t="n">
        <x:v>22.6</x:v>
      </x:c>
      <x:c r="H100" s="19" t="n">
        <x:v>22.2</x:v>
      </x:c>
      <x:c r="I100" s="19" t="n">
        <x:v>11.5</x:v>
      </x:c>
      <x:c r="J100" s="19" t="n">
        <x:v>2.9</x:v>
      </x:c>
      <x:c r="K100" s="18" t="str">
        <x:f>IF(ISNUMBER(J100),IF(J100&gt;3,"是","否"),"跳过")</x:f>
        <x:v>否</x:v>
      </x:c>
      <x:c r="L100" s="1"/>
      <x:c r="M100" s="1"/>
      <x:c r="N100" s="1"/>
      <x:c r="O100" s="1"/>
    </x:row>
    <x:row r="101">
      <x:c r="A101" s="18" t="str">
        <x:v>SEHC01</x:v>
      </x:c>
      <x:c r="B101" s="18" t="str">
        <x:v>Owners' equivalent rent of primary residence</x:v>
      </x:c>
      <x:c r="C101" s="18" t="str">
        <x:v>Owners' equivalent rent of primary residence</x:v>
      </x:c>
      <x:c r="D101" s="19" t="n">
        <x:v>4.1</x:v>
      </x:c>
      <x:c r="E101" s="19" t="n">
        <x:v>4.3</x:v>
      </x:c>
      <x:c r="F101" s="19" t="n">
        <x:v>4.5</x:v>
      </x:c>
      <x:c r="G101" s="19" t="n">
        <x:v>4.8</x:v>
      </x:c>
      <x:c r="H101" s="19" t="n">
        <x:v>5.1</x:v>
      </x:c>
      <x:c r="I101" s="19" t="n">
        <x:v>5.5</x:v>
      </x:c>
      <x:c r="J101" s="19" t="n">
        <x:v>3.1</x:v>
      </x:c>
      <x:c r="K101" s="18" t="str">
        <x:f>IF(ISNUMBER(J101),IF(J101&gt;3,"是","否"),"跳过")</x:f>
        <x:v>是</x:v>
      </x:c>
      <x:c r="L101" s="1"/>
      <x:c r="M101" s="1"/>
      <x:c r="N101" s="1"/>
      <x:c r="O101" s="1"/>
    </x:row>
    <x:row r="102">
      <x:c r="A102" s="18" t="str">
        <x:v>SEHE01</x:v>
      </x:c>
      <x:c r="B102" s="18" t="str">
        <x:v>Fuel oil</x:v>
      </x:c>
      <x:c r="C102" s="18" t="str">
        <x:v>Fuel oil</x:v>
      </x:c>
      <x:c r="D102" s="19" t="n">
        <x:v>46.5</x:v>
      </x:c>
      <x:c r="E102" s="19" t="n">
        <x:v>43.6</x:v>
      </x:c>
      <x:c r="F102" s="19" t="n">
        <x:v>70.1</x:v>
      </x:c>
      <x:c r="G102" s="19" t="n">
        <x:v>80.5</x:v>
      </x:c>
      <x:c r="H102" s="19" t="n">
        <x:v>106.7</x:v>
      </x:c>
      <x:c r="I102" s="19" t="n">
        <x:v>98.5</x:v>
      </x:c>
      <x:c r="J102" s="19" t="n">
        <x:v>52</x:v>
      </x:c>
      <x:c r="K102" s="18" t="str">
        <x:f>IF(ISNUMBER(J102),IF(J102&gt;3,"是","否"),"跳过")</x:f>
        <x:v>是</x:v>
      </x:c>
      <x:c r="L102" s="1"/>
      <x:c r="M102" s="1"/>
      <x:c r="N102" s="1"/>
      <x:c r="O102" s="1"/>
    </x:row>
    <x:row r="103">
      <x:c r="A103" s="18" t="str">
        <x:v>SEHE02</x:v>
      </x:c>
      <x:c r="B103" s="18" t="str">
        <x:v>Propane, kerosene, and firewood</x:v>
      </x:c>
      <x:c r="C103" s="18" t="str">
        <x:v>Propane, kerosene, and firewood</x:v>
      </x:c>
      <x:c r="D103" s="19" t="n">
        <x:v>22.6</x:v>
      </x:c>
      <x:c r="E103" s="19" t="n">
        <x:v>19.1</x:v>
      </x:c>
      <x:c r="F103" s="19" t="n">
        <x:v>24.4</x:v>
      </x:c>
      <x:c r="G103" s="19" t="n">
        <x:v>26.5</x:v>
      </x:c>
      <x:c r="H103" s="19" t="n">
        <x:v>28</x:v>
      </x:c>
      <x:c r="I103" s="19" t="n">
        <x:v>26.1</x:v>
      </x:c>
      <x:c r="J103" s="19" t="n">
        <x:v>0.6</x:v>
      </x:c>
      <x:c r="K103" s="18" t="str">
        <x:f>IF(ISNUMBER(J103),IF(J103&gt;3,"是","否"),"跳过")</x:f>
        <x:v>否</x:v>
      </x:c>
      <x:c r="L103" s="1"/>
      <x:c r="M103" s="1"/>
      <x:c r="N103" s="1"/>
      <x:c r="O103" s="1"/>
    </x:row>
    <x:row r="104">
      <x:c r="A104" s="18" t="str">
        <x:v>SEHF01</x:v>
      </x:c>
      <x:c r="B104" s="18" t="str">
        <x:v>Electricity</x:v>
      </x:c>
      <x:c r="C104" s="18" t="str">
        <x:v>Electricity</x:v>
      </x:c>
      <x:c r="D104" s="19" t="n">
        <x:v>10.7</x:v>
      </x:c>
      <x:c r="E104" s="19" t="n">
        <x:v>9</x:v>
      </x:c>
      <x:c r="F104" s="19" t="n">
        <x:v>11.1</x:v>
      </x:c>
      <x:c r="G104" s="19" t="n">
        <x:v>11</x:v>
      </x:c>
      <x:c r="H104" s="19" t="n">
        <x:v>12</x:v>
      </x:c>
      <x:c r="I104" s="19" t="n">
        <x:v>13.7</x:v>
      </x:c>
      <x:c r="J104" s="19" t="n">
        <x:v>3.8</x:v>
      </x:c>
      <x:c r="K104" s="18" t="str">
        <x:f>IF(ISNUMBER(J104),IF(J104&gt;3,"是","否"),"跳过")</x:f>
        <x:v>是</x:v>
      </x:c>
      <x:c r="L104" s="1"/>
      <x:c r="M104" s="1"/>
      <x:c r="N104" s="1"/>
      <x:c r="O104" s="1"/>
    </x:row>
    <x:row r="105">
      <x:c r="A105" s="18" t="str">
        <x:v>SEHF02</x:v>
      </x:c>
      <x:c r="B105" s="18" t="str">
        <x:v>Utility (piped) gas service</x:v>
      </x:c>
      <x:c r="C105" s="18" t="str">
        <x:v>Utility (piped) gas service</x:v>
      </x:c>
      <x:c r="D105" s="19" t="n">
        <x:v>23.9</x:v>
      </x:c>
      <x:c r="E105" s="19" t="n">
        <x:v>23.8</x:v>
      </x:c>
      <x:c r="F105" s="19" t="n">
        <x:v>21.6</x:v>
      </x:c>
      <x:c r="G105" s="19" t="n">
        <x:v>22.7</x:v>
      </x:c>
      <x:c r="H105" s="19" t="n">
        <x:v>30.2</x:v>
      </x:c>
      <x:c r="I105" s="19" t="n">
        <x:v>38.4</x:v>
      </x:c>
      <x:c r="J105" s="19" t="n">
        <x:v>4.4</x:v>
      </x:c>
      <x:c r="K105" s="18" t="str">
        <x:f>IF(ISNUMBER(J105),IF(J105&gt;3,"是","否"),"跳过")</x:f>
        <x:v>是</x:v>
      </x:c>
      <x:c r="L105" s="1"/>
      <x:c r="M105" s="1"/>
      <x:c r="N105" s="1"/>
      <x:c r="O105" s="1"/>
    </x:row>
    <x:row r="106">
      <x:c r="A106" s="18" t="str">
        <x:v>SEHG01</x:v>
      </x:c>
      <x:c r="B106" s="18" t="str">
        <x:v>Water and sewerage maintenance</x:v>
      </x:c>
      <x:c r="C106" s="18" t="str">
        <x:v>Water and sewerage maintenance</x:v>
      </x:c>
      <x:c r="D106" s="19" t="n">
        <x:v>4.1</x:v>
      </x:c>
      <x:c r="E106" s="19" t="n">
        <x:v>4.2</x:v>
      </x:c>
      <x:c r="F106" s="19" t="n">
        <x:v>3.9</x:v>
      </x:c>
      <x:c r="G106" s="19" t="n">
        <x:v>4</x:v>
      </x:c>
      <x:c r="H106" s="19" t="n">
        <x:v>4</x:v>
      </x:c>
      <x:c r="I106" s="19" t="n">
        <x:v>3.9</x:v>
      </x:c>
      <x:c r="J106" s="19" t="n">
        <x:v>4.9</x:v>
      </x:c>
      <x:c r="K106" s="18" t="str">
        <x:f>IF(ISNUMBER(J106),IF(J106&gt;3,"是","否"),"跳过")</x:f>
        <x:v>是</x:v>
      </x:c>
      <x:c r="L106" s="1"/>
      <x:c r="M106" s="1"/>
      <x:c r="N106" s="1"/>
      <x:c r="O106" s="1"/>
    </x:row>
    <x:row r="107">
      <x:c r="A107" s="18" t="str">
        <x:v>SEHG02</x:v>
      </x:c>
      <x:c r="B107" s="18" t="str">
        <x:v>Garbage and trash collection</x:v>
      </x:c>
      <x:c r="C107" s="18" t="str">
        <x:v>Garbage and trash collection</x:v>
      </x:c>
      <x:c r="D107" s="19" t="n">
        <x:v>4</x:v>
      </x:c>
      <x:c r="E107" s="19" t="n">
        <x:v>4.1</x:v>
      </x:c>
      <x:c r="F107" s="19" t="n">
        <x:v>4.3</x:v>
      </x:c>
      <x:c r="G107" s="19" t="n">
        <x:v>4.6</x:v>
      </x:c>
      <x:c r="H107" s="19" t="n">
        <x:v>5.4</x:v>
      </x:c>
      <x:c r="I107" s="19" t="n">
        <x:v>5.9</x:v>
      </x:c>
      <x:c r="J107" s="19" t="n">
        <x:v>4.4</x:v>
      </x:c>
      <x:c r="K107" s="18" t="str">
        <x:f>IF(ISNUMBER(J107),IF(J107&gt;3,"是","否"),"跳过")</x:f>
        <x:v>是</x:v>
      </x:c>
      <x:c r="L107" s="1"/>
      <x:c r="M107" s="1"/>
      <x:c r="N107" s="1"/>
      <x:c r="O107" s="1"/>
    </x:row>
    <x:row r="108">
      <x:c r="A108" s="18" t="str">
        <x:v>SEHH01</x:v>
      </x:c>
      <x:c r="B108" s="18" t="str">
        <x:v>Floor coverings</x:v>
      </x:c>
      <x:c r="C108" s="18" t="str">
        <x:v>Floor coverings</x:v>
      </x:c>
      <x:c r="D108" s="19" t="n">
        <x:v>7.2</x:v>
      </x:c>
      <x:c r="E108" s="19" t="n">
        <x:v>11.3</x:v>
      </x:c>
      <x:c r="F108" s="19" t="n">
        <x:v>10.3</x:v>
      </x:c>
      <x:c r="G108" s="19" t="n">
        <x:v>11.4</x:v>
      </x:c>
      <x:c r="H108" s="19" t="n">
        <x:v>10.9</x:v>
      </x:c>
      <x:c r="I108" s="19" t="n">
        <x:v>8.8</x:v>
      </x:c>
      <x:c r="J108" s="19" t="n">
        <x:v>0.9</x:v>
      </x:c>
      <x:c r="K108" s="18" t="str">
        <x:f>IF(ISNUMBER(J108),IF(J108&gt;3,"是","否"),"跳过")</x:f>
        <x:v>否</x:v>
      </x:c>
      <x:c r="L108" s="1"/>
      <x:c r="M108" s="1"/>
      <x:c r="N108" s="1"/>
      <x:c r="O108" s="1"/>
    </x:row>
    <x:row r="109">
      <x:c r="A109" s="18" t="str">
        <x:v>SEHH02</x:v>
      </x:c>
      <x:c r="B109" s="18" t="str">
        <x:v>Window coverings</x:v>
      </x:c>
      <x:c r="C109" s="18" t="str">
        <x:v>Window coverings</x:v>
      </x:c>
      <x:c r="D109" s="19" t="n">
        <x:v>16.2</x:v>
      </x:c>
      <x:c r="E109" s="19" t="n">
        <x:v>11.2</x:v>
      </x:c>
      <x:c r="F109" s="19" t="n">
        <x:v>18.4</x:v>
      </x:c>
      <x:c r="G109" s="19" t="n">
        <x:v>24.5</x:v>
      </x:c>
      <x:c r="H109" s="19" t="n">
        <x:v>18.9</x:v>
      </x:c>
      <x:c r="I109" s="19" t="n">
        <x:v>15.9</x:v>
      </x:c>
      <x:c r="J109" s="19" t="n">
        <x:v>5.4</x:v>
      </x:c>
      <x:c r="K109" s="18" t="str">
        <x:f>IF(ISNUMBER(J109),IF(J109&gt;3,"是","否"),"跳过")</x:f>
        <x:v>是</x:v>
      </x:c>
      <x:c r="L109" s="1"/>
      <x:c r="M109" s="1"/>
      <x:c r="N109" s="1"/>
      <x:c r="O109" s="1"/>
    </x:row>
    <x:row r="110">
      <x:c r="A110" s="18" t="str">
        <x:v>SEHH03</x:v>
      </x:c>
      <x:c r="B110" s="18" t="str">
        <x:v>Other linens</x:v>
      </x:c>
      <x:c r="C110" s="18" t="str">
        <x:v>Other linens</x:v>
      </x:c>
      <x:c r="D110" s="19" t="n">
        <x:v>3.9</x:v>
      </x:c>
      <x:c r="E110" s="19" t="n">
        <x:v>3.2</x:v>
      </x:c>
      <x:c r="F110" s="19" t="n">
        <x:v>3.5</x:v>
      </x:c>
      <x:c r="G110" s="19" t="n">
        <x:v>1.6</x:v>
      </x:c>
      <x:c r="H110" s="19" t="n">
        <x:v>1.8</x:v>
      </x:c>
      <x:c r="I110" s="19" t="n">
        <x:v>0.8</x:v>
      </x:c>
      <x:c r="J110" s="19" t="n">
        <x:v>1</x:v>
      </x:c>
      <x:c r="K110" s="18" t="str">
        <x:f>IF(ISNUMBER(J110),IF(J110&gt;3,"是","否"),"跳过")</x:f>
        <x:v>否</x:v>
      </x:c>
      <x:c r="L110" s="1"/>
      <x:c r="M110" s="1"/>
      <x:c r="N110" s="1"/>
      <x:c r="O110" s="1"/>
    </x:row>
    <x:row r="111">
      <x:c r="A111" s="18" t="str">
        <x:v>SEHJ01</x:v>
      </x:c>
      <x:c r="B111" s="18" t="str">
        <x:v>Bedroom furniture</x:v>
      </x:c>
      <x:c r="C111" s="18" t="str">
        <x:v>Bedroom furniture</x:v>
      </x:c>
      <x:c r="D111" s="19" t="n">
        <x:v>13.7</x:v>
      </x:c>
      <x:c r="E111" s="19" t="n">
        <x:v>15.9</x:v>
      </x:c>
      <x:c r="F111" s="19" t="n">
        <x:v>14.7</x:v>
      </x:c>
      <x:c r="G111" s="19" t="n">
        <x:v>14.6</x:v>
      </x:c>
      <x:c r="H111" s="19" t="n">
        <x:v>10.9</x:v>
      </x:c>
      <x:c r="I111" s="19" t="n">
        <x:v>10.3</x:v>
      </x:c>
      <x:c r="J111" s="19" t="n">
        <x:v>-0.5</x:v>
      </x:c>
      <x:c r="K111" s="18" t="str">
        <x:f>IF(ISNUMBER(J111),IF(J111&gt;3,"是","否"),"跳过")</x:f>
        <x:v>否</x:v>
      </x:c>
      <x:c r="L111" s="1"/>
      <x:c r="M111" s="1"/>
      <x:c r="N111" s="1"/>
      <x:c r="O111" s="1"/>
    </x:row>
    <x:row r="112">
      <x:c r="A112" s="18" t="str">
        <x:v>SEHJ02</x:v>
      </x:c>
      <x:c r="B112" s="18" t="str">
        <x:v>Living room, kitchen, and dining room furniture</x:v>
      </x:c>
      <x:c r="C112" s="18" t="str">
        <x:v>Living room, kitchen, and dining room furniture</x:v>
      </x:c>
      <x:c r="D112" s="19" t="n">
        <x:v>19.9</x:v>
      </x:c>
      <x:c r="E112" s="19" t="n">
        <x:v>19.3</x:v>
      </x:c>
      <x:c r="F112" s="19" t="n">
        <x:v>16.8</x:v>
      </x:c>
      <x:c r="G112" s="19" t="n">
        <x:v>14.9</x:v>
      </x:c>
      <x:c r="H112" s="19" t="n">
        <x:v>13.3</x:v>
      </x:c>
      <x:c r="I112" s="19" t="n">
        <x:v>15.4</x:v>
      </x:c>
      <x:c r="J112" s="19" t="n">
        <x:v>-0.8</x:v>
      </x:c>
      <x:c r="K112" s="18" t="str">
        <x:f>IF(ISNUMBER(J112),IF(J112&gt;3,"是","否"),"跳过")</x:f>
        <x:v>否</x:v>
      </x:c>
      <x:c r="L112" s="1"/>
      <x:c r="M112" s="1"/>
      <x:c r="N112" s="1"/>
      <x:c r="O112" s="1"/>
    </x:row>
    <x:row r="113">
      <x:c r="A113" s="18" t="str">
        <x:v>SEHJ03</x:v>
      </x:c>
      <x:c r="B113" s="18" t="str">
        <x:v>Other furniture</x:v>
      </x:c>
      <x:c r="C113" s="18" t="str">
        <x:v>Other furniture</x:v>
      </x:c>
      <x:c r="D113" s="19" t="n">
        <x:v>15.2</x:v>
      </x:c>
      <x:c r="E113" s="19" t="n">
        <x:v>12.9</x:v>
      </x:c>
      <x:c r="F113" s="19" t="n">
        <x:v>14.2</x:v>
      </x:c>
      <x:c r="G113" s="19" t="n">
        <x:v>15.9</x:v>
      </x:c>
      <x:c r="H113" s="19" t="n">
        <x:v>13.7</x:v>
      </x:c>
      <x:c r="I113" s="19" t="n">
        <x:v>12</x:v>
      </x:c>
      <x:c r="J113" s="19" t="n">
        <x:v>-1.9</x:v>
      </x:c>
      <x:c r="K113" s="18" t="str">
        <x:f>IF(ISNUMBER(J113),IF(J113&gt;3,"是","否"),"跳过")</x:f>
        <x:v>否</x:v>
      </x:c>
      <x:c r="L113" s="1"/>
      <x:c r="M113" s="1"/>
      <x:c r="N113" s="1"/>
      <x:c r="O113" s="1"/>
    </x:row>
    <x:row r="114">
      <x:c r="A114" s="18" t="str">
        <x:v>SEHK01</x:v>
      </x:c>
      <x:c r="B114" s="18" t="str">
        <x:v>Major appliances</x:v>
      </x:c>
      <x:c r="C114" s="18" t="str">
        <x:v>Major appliances</x:v>
      </x:c>
      <x:c r="D114" s="19" t="n">
        <x:v>9.9</x:v>
      </x:c>
      <x:c r="E114" s="19" t="n">
        <x:v>11.1</x:v>
      </x:c>
      <x:c r="F114" s="19" t="n">
        <x:v>12.4</x:v>
      </x:c>
      <x:c r="G114" s="19" t="n">
        <x:v>12.1</x:v>
      </x:c>
      <x:c r="H114" s="19" t="n">
        <x:v>9.5</x:v>
      </x:c>
      <x:c r="I114" s="19" t="n">
        <x:v>7.5</x:v>
      </x:c>
      <x:c r="J114" s="19" t="n">
        <x:v>-1.9</x:v>
      </x:c>
      <x:c r="K114" s="18" t="str">
        <x:f>IF(ISNUMBER(J114),IF(J114&gt;3,"是","否"),"跳过")</x:f>
        <x:v>否</x:v>
      </x:c>
      <x:c r="L114" s="1"/>
      <x:c r="M114" s="1"/>
      <x:c r="N114" s="1"/>
      <x:c r="O114" s="1"/>
    </x:row>
    <x:row r="115">
      <x:c r="A115" s="18" t="str">
        <x:v>SEHK02</x:v>
      </x:c>
      <x:c r="B115" s="18" t="str">
        <x:v>Other appliances</x:v>
      </x:c>
      <x:c r="C115" s="18" t="str">
        <x:v>Other appliances</x:v>
      </x:c>
      <x:c r="D115" s="19" t="n">
        <x:v>7.7</x:v>
      </x:c>
      <x:c r="E115" s="19" t="n">
        <x:v>5.3</x:v>
      </x:c>
      <x:c r="F115" s="19" t="n">
        <x:v>5.7</x:v>
      </x:c>
      <x:c r="G115" s="19" t="n">
        <x:v>5.7</x:v>
      </x:c>
      <x:c r="H115" s="19" t="n">
        <x:v>4.8</x:v>
      </x:c>
      <x:c r="I115" s="19" t="n">
        <x:v>6</x:v>
      </x:c>
      <x:c r="J115" s="19" t="n">
        <x:v>1.3</x:v>
      </x:c>
      <x:c r="K115" s="18" t="str">
        <x:f>IF(ISNUMBER(J115),IF(J115&gt;3,"是","否"),"跳过")</x:f>
        <x:v>否</x:v>
      </x:c>
      <x:c r="L115" s="1"/>
      <x:c r="M115" s="1"/>
      <x:c r="N115" s="1"/>
      <x:c r="O115" s="1"/>
    </x:row>
    <x:row r="116">
      <x:c r="A116" s="18" t="str">
        <x:v>SEHL01</x:v>
      </x:c>
      <x:c r="B116" s="18" t="str">
        <x:v>Clocks, lamps, and decorator items</x:v>
      </x:c>
      <x:c r="C116" s="18" t="str">
        <x:v>Clocks, lamps, and decorator items</x:v>
      </x:c>
      <x:c r="D116" s="19" t="n">
        <x:v>6.3</x:v>
      </x:c>
      <x:c r="E116" s="19" t="n">
        <x:v>9.6</x:v>
      </x:c>
      <x:c r="F116" s="19" t="n">
        <x:v>12.2</x:v>
      </x:c>
      <x:c r="G116" s="19" t="n">
        <x:v>10.3</x:v>
      </x:c>
      <x:c r="H116" s="19" t="n">
        <x:v>6.4</x:v>
      </x:c>
      <x:c r="I116" s="19" t="n">
        <x:v>7.9</x:v>
      </x:c>
      <x:c r="J116" s="19" t="n">
        <x:v>-3.1</x:v>
      </x:c>
      <x:c r="K116" s="18" t="str">
        <x:f>IF(ISNUMBER(J116),IF(J116&gt;3,"是","否"),"跳过")</x:f>
        <x:v>否</x:v>
      </x:c>
      <x:c r="L116" s="1"/>
      <x:c r="M116" s="1"/>
      <x:c r="N116" s="1"/>
      <x:c r="O116" s="1"/>
    </x:row>
    <x:row r="117">
      <x:c r="A117" s="18" t="str">
        <x:v>SEHL02</x:v>
      </x:c>
      <x:c r="B117" s="18" t="str">
        <x:v>Indoor plants and flowers</x:v>
      </x:c>
      <x:c r="C117" s="18" t="str">
        <x:v>Indoor plants and flowers</x:v>
      </x:c>
      <x:c r="D117" s="19" t="n">
        <x:v>4</x:v>
      </x:c>
      <x:c r="E117" s="19" t="n">
        <x:v>5.1</x:v>
      </x:c>
      <x:c r="F117" s="19" t="n">
        <x:v>5.8</x:v>
      </x:c>
      <x:c r="G117" s="19" t="n">
        <x:v>4.6</x:v>
      </x:c>
      <x:c r="H117" s="19" t="n">
        <x:v>4.8</x:v>
      </x:c>
      <x:c r="I117" s="19" t="n">
        <x:v>5.6</x:v>
      </x:c>
      <x:c r="J117" s="19" t="n">
        <x:v>0.2</x:v>
      </x:c>
      <x:c r="K117" s="18" t="str">
        <x:f>IF(ISNUMBER(J117),IF(J117&gt;3,"是","否"),"跳过")</x:f>
        <x:v>否</x:v>
      </x:c>
      <x:c r="L117" s="1"/>
      <x:c r="M117" s="1"/>
      <x:c r="N117" s="1"/>
      <x:c r="O117" s="1"/>
    </x:row>
    <x:row r="118">
      <x:c r="A118" s="18" t="str">
        <x:v>SEHL03</x:v>
      </x:c>
      <x:c r="B118" s="18" t="str">
        <x:v>Dishes and flatware</x:v>
      </x:c>
      <x:c r="C118" s="18" t="str">
        <x:v>Dishes and flatware</x:v>
      </x:c>
      <x:c r="D118" s="19" t="n">
        <x:v>1.2</x:v>
      </x:c>
      <x:c r="E118" s="19" t="n">
        <x:v>1.9</x:v>
      </x:c>
      <x:c r="F118" s="19" t="n">
        <x:v>4</x:v>
      </x:c>
      <x:c r="G118" s="19" t="n">
        <x:v>4.8</x:v>
      </x:c>
      <x:c r="H118" s="19" t="n">
        <x:v>6.1</x:v>
      </x:c>
      <x:c r="I118" s="19" t="n">
        <x:v>4.5</x:v>
      </x:c>
      <x:c r="J118" s="19" t="n">
        <x:v>9.8</x:v>
      </x:c>
      <x:c r="K118" s="18" t="str">
        <x:f>IF(ISNUMBER(J118),IF(J118&gt;3,"是","否"),"跳过")</x:f>
        <x:v>是</x:v>
      </x:c>
      <x:c r="L118" s="1"/>
      <x:c r="M118" s="1"/>
      <x:c r="N118" s="1"/>
      <x:c r="O118" s="1"/>
    </x:row>
    <x:row r="119">
      <x:c r="A119" s="18" t="str">
        <x:v>SEHL04</x:v>
      </x:c>
      <x:c r="B119" s="18" t="str">
        <x:v>Nonelectric cookware and tableware</x:v>
      </x:c>
      <x:c r="C119" s="18" t="str">
        <x:v>Nonelectric cookware and tableware</x:v>
      </x:c>
      <x:c r="D119" s="19" t="n">
        <x:v>5.8</x:v>
      </x:c>
      <x:c r="E119" s="19" t="n">
        <x:v>5.6</x:v>
      </x:c>
      <x:c r="F119" s="19" t="n">
        <x:v>8</x:v>
      </x:c>
      <x:c r="G119" s="19" t="n">
        <x:v>5.4</x:v>
      </x:c>
      <x:c r="H119" s="19" t="n">
        <x:v>5.1</x:v>
      </x:c>
      <x:c r="I119" s="19" t="n">
        <x:v>9.6</x:v>
      </x:c>
      <x:c r="J119" s="19" t="n">
        <x:v>4.6</x:v>
      </x:c>
      <x:c r="K119" s="18" t="str">
        <x:f>IF(ISNUMBER(J119),IF(J119&gt;3,"是","否"),"跳过")</x:f>
        <x:v>是</x:v>
      </x:c>
      <x:c r="L119" s="1"/>
      <x:c r="M119" s="1"/>
      <x:c r="N119" s="1"/>
      <x:c r="O119" s="1"/>
    </x:row>
    <x:row r="120">
      <x:c r="A120" s="18" t="str">
        <x:v>SEHM01</x:v>
      </x:c>
      <x:c r="B120" s="18" t="str">
        <x:v>Tools, hardware and supplies</x:v>
      </x:c>
      <x:c r="C120" s="18" t="str">
        <x:v>Tools, hardware and supplies</x:v>
      </x:c>
      <x:c r="D120" s="19" t="n">
        <x:v>8.6</x:v>
      </x:c>
      <x:c r="E120" s="19" t="n">
        <x:v>8.7</x:v>
      </x:c>
      <x:c r="F120" s="19" t="n">
        <x:v>8.6</x:v>
      </x:c>
      <x:c r="G120" s="19" t="n">
        <x:v>10.4</x:v>
      </x:c>
      <x:c r="H120" s="19" t="n">
        <x:v>10.8</x:v>
      </x:c>
      <x:c r="I120" s="19" t="n">
        <x:v>10.2</x:v>
      </x:c>
      <x:c r="J120" s="19" t="n">
        <x:v>2.8</x:v>
      </x:c>
      <x:c r="K120" s="18" t="str">
        <x:f>IF(ISNUMBER(J120),IF(J120&gt;3,"是","否"),"跳过")</x:f>
        <x:v>否</x:v>
      </x:c>
      <x:c r="L120" s="1"/>
      <x:c r="M120" s="1"/>
      <x:c r="N120" s="1"/>
      <x:c r="O120" s="1"/>
    </x:row>
    <x:row r="121">
      <x:c r="A121" s="18" t="str">
        <x:v>SEHM02</x:v>
      </x:c>
      <x:c r="B121" s="18" t="str">
        <x:v>Outdoor equipment and supplies</x:v>
      </x:c>
      <x:c r="C121" s="18" t="str">
        <x:v>Outdoor equipment and supplies</x:v>
      </x:c>
      <x:c r="D121" s="19" t="n">
        <x:v>11.9</x:v>
      </x:c>
      <x:c r="E121" s="19" t="n">
        <x:v>11.7</x:v>
      </x:c>
      <x:c r="F121" s="19" t="n">
        <x:v>12.2</x:v>
      </x:c>
      <x:c r="G121" s="19" t="n">
        <x:v>11.9</x:v>
      </x:c>
      <x:c r="H121" s="19" t="n">
        <x:v>11.1</x:v>
      </x:c>
      <x:c r="I121" s="19" t="n">
        <x:v>10.8</x:v>
      </x:c>
      <x:c r="J121" s="19" t="n">
        <x:v>0.4</x:v>
      </x:c>
      <x:c r="K121" s="18" t="str">
        <x:f>IF(ISNUMBER(J121),IF(J121&gt;3,"是","否"),"跳过")</x:f>
        <x:v>否</x:v>
      </x:c>
      <x:c r="L121" s="1"/>
      <x:c r="M121" s="1"/>
      <x:c r="N121" s="1"/>
      <x:c r="O121" s="1"/>
    </x:row>
    <x:row r="122">
      <x:c r="A122" s="18" t="str">
        <x:v>SEHN01</x:v>
      </x:c>
      <x:c r="B122" s="18" t="str">
        <x:v>Household cleaning products</x:v>
      </x:c>
      <x:c r="C122" s="18" t="str">
        <x:v>Household cleaning products</x:v>
      </x:c>
      <x:c r="D122" s="19" t="n">
        <x:v>3.3</x:v>
      </x:c>
      <x:c r="E122" s="19" t="n">
        <x:v>5.8</x:v>
      </x:c>
      <x:c r="F122" s="19" t="n">
        <x:v>8.7</x:v>
      </x:c>
      <x:c r="G122" s="19" t="n">
        <x:v>10.1</x:v>
      </x:c>
      <x:c r="H122" s="19" t="n">
        <x:v>9.9</x:v>
      </x:c>
      <x:c r="I122" s="19" t="n">
        <x:v>11.3</x:v>
      </x:c>
      <x:c r="J122" s="19" t="n">
        <x:v>2.1</x:v>
      </x:c>
      <x:c r="K122" s="18" t="str">
        <x:f>IF(ISNUMBER(J122),IF(J122&gt;3,"是","否"),"跳过")</x:f>
        <x:v>否</x:v>
      </x:c>
      <x:c r="L122" s="1"/>
      <x:c r="M122" s="1"/>
      <x:c r="N122" s="1"/>
      <x:c r="O122" s="1"/>
    </x:row>
    <x:row r="123">
      <x:c r="A123" s="18" t="str">
        <x:v>SEHN02</x:v>
      </x:c>
      <x:c r="B123" s="18" t="str">
        <x:v>Household paper products</x:v>
      </x:c>
      <x:c r="C123" s="18" t="str">
        <x:v>Household paper products</x:v>
      </x:c>
      <x:c r="D123" s="19" t="n">
        <x:v>3.5</x:v>
      </x:c>
      <x:c r="E123" s="19" t="n">
        <x:v>5.4</x:v>
      </x:c>
      <x:c r="F123" s="19" t="n">
        <x:v>7.4</x:v>
      </x:c>
      <x:c r="G123" s="19" t="n">
        <x:v>8</x:v>
      </x:c>
      <x:c r="H123" s="19" t="n">
        <x:v>7.3</x:v>
      </x:c>
      <x:c r="I123" s="19" t="n">
        <x:v>9.4</x:v>
      </x:c>
      <x:c r="J123" s="19" t="n">
        <x:v>0.2</x:v>
      </x:c>
      <x:c r="K123" s="18" t="str">
        <x:f>IF(ISNUMBER(J123),IF(J123&gt;3,"是","否"),"跳过")</x:f>
        <x:v>否</x:v>
      </x:c>
      <x:c r="L123" s="1"/>
      <x:c r="M123" s="1"/>
      <x:c r="N123" s="1"/>
      <x:c r="O123" s="1"/>
    </x:row>
    <x:row r="124">
      <x:c r="A124" s="18" t="str">
        <x:v>SEHN03</x:v>
      </x:c>
      <x:c r="B124" s="18" t="str">
        <x:v>Miscellaneous household products</x:v>
      </x:c>
      <x:c r="C124" s="18" t="str">
        <x:v>Miscellaneous household products</x:v>
      </x:c>
      <x:c r="D124" s="19" t="n">
        <x:v>3.7</x:v>
      </x:c>
      <x:c r="E124" s="19" t="n">
        <x:v>7.8</x:v>
      </x:c>
      <x:c r="F124" s="19" t="n">
        <x:v>7.7</x:v>
      </x:c>
      <x:c r="G124" s="19" t="n">
        <x:v>7</x:v>
      </x:c>
      <x:c r="H124" s="19" t="n">
        <x:v>9.7</x:v>
      </x:c>
      <x:c r="I124" s="19" t="n">
        <x:v>11</x:v>
      </x:c>
      <x:c r="J124" s="19" t="n">
        <x:v>3.2</x:v>
      </x:c>
      <x:c r="K124" s="18" t="str">
        <x:f>IF(ISNUMBER(J124),IF(J124&gt;3,"是","否"),"跳过")</x:f>
        <x:v>是</x:v>
      </x:c>
      <x:c r="L124" s="1"/>
      <x:c r="M124" s="1"/>
      <x:c r="N124" s="1"/>
      <x:c r="O124" s="1"/>
    </x:row>
    <x:row r="125">
      <x:c r="A125" s="18" t="str">
        <x:v>SEHP01</x:v>
      </x:c>
      <x:c r="B125" s="18" t="str">
        <x:v>Domestic services</x:v>
      </x:c>
      <x:c r="C125" s="18" t="str">
        <x:v>Domestic services</x:v>
      </x:c>
      <x:c r="D125" s="19" t="n">
        <x:v>9</x:v>
      </x:c>
      <x:c r="E125" s="19" t="n">
        <x:v>9.4</x:v>
      </x:c>
      <x:c r="F125" s="19" t="n">
        <x:v>9.4</x:v>
      </x:c>
      <x:c r="G125" s="19" t="n">
        <x:v>7.3</x:v>
      </x:c>
      <x:c r="H125" s="19" t="n">
        <x:v>1.6</x:v>
      </x:c>
      <x:c r="I125" s="19" t="n">
        <x:v>5.1</x:v>
      </x:c>
      <x:c r="J125" s="19" t="str">
        <x:v>—</x:v>
      </x:c>
      <x:c r="K125" s="18" t="str">
        <x:f>IF(ISNUMBER(J125),IF(J125&gt;3,"是","否"),"跳过")</x:f>
        <x:v>跳过</x:v>
      </x:c>
      <x:c r="L125" s="1"/>
      <x:c r="M125" s="1"/>
      <x:c r="N125" s="1"/>
      <x:c r="O125" s="1"/>
    </x:row>
    <x:row r="126">
      <x:c r="A126" s="18" t="str">
        <x:v>SEHP02</x:v>
      </x:c>
      <x:c r="B126" s="18" t="str">
        <x:v>Gardening and lawncare services</x:v>
      </x:c>
      <x:c r="C126" s="18" t="str">
        <x:v>Gardening and lawncare services</x:v>
      </x:c>
      <x:c r="D126" s="19" t="str">
        <x:v>空白</x:v>
      </x:c>
      <x:c r="E126" s="19" t="str">
        <x:v>空白</x:v>
      </x:c>
      <x:c r="F126" s="19" t="str">
        <x:v>空白</x:v>
      </x:c>
      <x:c r="G126" s="19" t="str">
        <x:v>空白</x:v>
      </x:c>
      <x:c r="H126" s="19" t="str">
        <x:v>空白</x:v>
      </x:c>
      <x:c r="I126" s="19" t="str">
        <x:v>空白</x:v>
      </x:c>
      <x:c r="J126" s="19" t="str">
        <x:v>—</x:v>
      </x:c>
      <x:c r="K126" s="18" t="str">
        <x:f>IF(ISNUMBER(J126),IF(J126&gt;3,"是","否"),"跳过")</x:f>
        <x:v>跳过</x:v>
      </x:c>
      <x:c r="L126" s="1"/>
      <x:c r="M126" s="1"/>
      <x:c r="N126" s="1"/>
      <x:c r="O126" s="1"/>
    </x:row>
    <x:row r="127">
      <x:c r="A127" s="18" t="str">
        <x:v>SEHP03</x:v>
      </x:c>
      <x:c r="B127" s="18" t="str">
        <x:v>Moving, storage, freight expense</x:v>
      </x:c>
      <x:c r="C127" s="18" t="str">
        <x:v>Moving, storage, freight expense</x:v>
      </x:c>
      <x:c r="D127" s="19" t="n">
        <x:v>7</x:v>
      </x:c>
      <x:c r="E127" s="19" t="n">
        <x:v>5.7</x:v>
      </x:c>
      <x:c r="F127" s="19" t="n">
        <x:v>6.9</x:v>
      </x:c>
      <x:c r="G127" s="19" t="n">
        <x:v>7.1</x:v>
      </x:c>
      <x:c r="H127" s="19" t="n">
        <x:v>4</x:v>
      </x:c>
      <x:c r="I127" s="19" t="n">
        <x:v>2.7</x:v>
      </x:c>
      <x:c r="J127" s="19" t="n">
        <x:v>-4.6</x:v>
      </x:c>
      <x:c r="K127" s="18" t="str">
        <x:f>IF(ISNUMBER(J127),IF(J127&gt;3,"是","否"),"跳过")</x:f>
        <x:v>否</x:v>
      </x:c>
      <x:c r="L127" s="1"/>
      <x:c r="M127" s="1"/>
      <x:c r="N127" s="1"/>
      <x:c r="O127" s="1"/>
    </x:row>
    <x:row r="128">
      <x:c r="A128" s="18" t="str">
        <x:v>SEHP04</x:v>
      </x:c>
      <x:c r="B128" s="18" t="str">
        <x:v>Repair of household items</x:v>
      </x:c>
      <x:c r="C128" s="18" t="str">
        <x:v>Repair of household items</x:v>
      </x:c>
      <x:c r="D128" s="19" t="str">
        <x:v>空白</x:v>
      </x:c>
      <x:c r="E128" s="19" t="str">
        <x:v>空白</x:v>
      </x:c>
      <x:c r="F128" s="19" t="str">
        <x:v>空白</x:v>
      </x:c>
      <x:c r="G128" s="19" t="str">
        <x:v>空白</x:v>
      </x:c>
      <x:c r="H128" s="19" t="str">
        <x:v>空白</x:v>
      </x:c>
      <x:c r="I128" s="19" t="str">
        <x:v>空白</x:v>
      </x:c>
      <x:c r="J128" s="19" t="str">
        <x:v>—</x:v>
      </x:c>
      <x:c r="K128" s="18" t="str">
        <x:f>IF(ISNUMBER(J128),IF(J128&gt;3,"是","否"),"跳过")</x:f>
        <x:v>跳过</x:v>
      </x:c>
      <x:c r="L128" s="1"/>
      <x:c r="M128" s="1"/>
      <x:c r="N128" s="1"/>
      <x:c r="O128" s="1"/>
    </x:row>
    <x:row r="129">
      <x:c r="A129" s="18" t="str">
        <x:v>SEMC01</x:v>
      </x:c>
      <x:c r="B129" s="18" t="str">
        <x:v>Physicians' services</x:v>
      </x:c>
      <x:c r="C129" s="18" t="str">
        <x:v>Physicians' services</x:v>
      </x:c>
      <x:c r="D129" s="19" t="n">
        <x:v>2.6</x:v>
      </x:c>
      <x:c r="E129" s="19" t="n">
        <x:v>0.5</x:v>
      </x:c>
      <x:c r="F129" s="19" t="n">
        <x:v>0.7</x:v>
      </x:c>
      <x:c r="G129" s="19" t="n">
        <x:v>1.2</x:v>
      </x:c>
      <x:c r="H129" s="19" t="n">
        <x:v>1.1</x:v>
      </x:c>
      <x:c r="I129" s="19" t="n">
        <x:v>1</x:v>
      </x:c>
      <x:c r="J129" s="19" t="n">
        <x:v>2</x:v>
      </x:c>
      <x:c r="K129" s="18" t="str">
        <x:f>IF(ISNUMBER(J129),IF(J129&gt;3,"是","否"),"跳过")</x:f>
        <x:v>否</x:v>
      </x:c>
      <x:c r="L129" s="1"/>
      <x:c r="M129" s="1"/>
      <x:c r="N129" s="1"/>
      <x:c r="O129" s="1"/>
    </x:row>
    <x:row r="130">
      <x:c r="A130" s="18" t="str">
        <x:v>SEMC02</x:v>
      </x:c>
      <x:c r="B130" s="18" t="str">
        <x:v>Dental services</x:v>
      </x:c>
      <x:c r="C130" s="18" t="str">
        <x:v>Dental services</x:v>
      </x:c>
      <x:c r="D130" s="19" t="n">
        <x:v>2.3</x:v>
      </x:c>
      <x:c r="E130" s="19" t="n">
        <x:v>2.1</x:v>
      </x:c>
      <x:c r="F130" s="19" t="n">
        <x:v>2.4</x:v>
      </x:c>
      <x:c r="G130" s="19" t="n">
        <x:v>2</x:v>
      </x:c>
      <x:c r="H130" s="19" t="n">
        <x:v>2.7</x:v>
      </x:c>
      <x:c r="I130" s="19" t="n">
        <x:v>4.7</x:v>
      </x:c>
      <x:c r="J130" s="19" t="n">
        <x:v>5</x:v>
      </x:c>
      <x:c r="K130" s="18" t="str">
        <x:f>IF(ISNUMBER(J130),IF(J130&gt;3,"是","否"),"跳过")</x:f>
        <x:v>是</x:v>
      </x:c>
      <x:c r="L130" s="1"/>
      <x:c r="M130" s="1"/>
      <x:c r="N130" s="1"/>
      <x:c r="O130" s="1"/>
    </x:row>
    <x:row r="131">
      <x:c r="A131" s="18" t="str">
        <x:v>SEMC03</x:v>
      </x:c>
      <x:c r="B131" s="18" t="str">
        <x:v>Eyeglasses and eye care</x:v>
      </x:c>
      <x:c r="C131" s="18" t="str">
        <x:v>Eyeglasses and eye care</x:v>
      </x:c>
      <x:c r="D131" s="19" t="n">
        <x:v>2.2</x:v>
      </x:c>
      <x:c r="E131" s="19" t="n">
        <x:v>1.8</x:v>
      </x:c>
      <x:c r="F131" s="19" t="n">
        <x:v>1.9</x:v>
      </x:c>
      <x:c r="G131" s="19" t="n">
        <x:v>2.1</x:v>
      </x:c>
      <x:c r="H131" s="19" t="n">
        <x:v>1.4</x:v>
      </x:c>
      <x:c r="I131" s="19" t="n">
        <x:v>3.3</x:v>
      </x:c>
      <x:c r="J131" s="19" t="n">
        <x:v>1.3</x:v>
      </x:c>
      <x:c r="K131" s="18" t="str">
        <x:f>IF(ISNUMBER(J131),IF(J131&gt;3,"是","否"),"跳过")</x:f>
        <x:v>否</x:v>
      </x:c>
      <x:c r="L131" s="1"/>
      <x:c r="M131" s="1"/>
      <x:c r="N131" s="1"/>
      <x:c r="O131" s="1"/>
    </x:row>
    <x:row r="132">
      <x:c r="A132" s="18" t="str">
        <x:v>SEMC04</x:v>
      </x:c>
      <x:c r="B132" s="18" t="str">
        <x:v>Services by other medical professionals</x:v>
      </x:c>
      <x:c r="C132" s="18" t="str">
        <x:v>Services by other medical professionals</x:v>
      </x:c>
      <x:c r="D132" s="19" t="n">
        <x:v>3.8</x:v>
      </x:c>
      <x:c r="E132" s="19" t="n">
        <x:v>4.8</x:v>
      </x:c>
      <x:c r="F132" s="19" t="n">
        <x:v>4.4</x:v>
      </x:c>
      <x:c r="G132" s="19" t="n">
        <x:v>4.1</x:v>
      </x:c>
      <x:c r="H132" s="19" t="n">
        <x:v>4.5</x:v>
      </x:c>
      <x:c r="I132" s="19" t="n">
        <x:v>4.7</x:v>
      </x:c>
      <x:c r="J132" s="19" t="str">
        <x:v>—</x:v>
      </x:c>
      <x:c r="K132" s="18" t="str">
        <x:f>IF(ISNUMBER(J132),IF(J132&gt;3,"是","否"),"跳过")</x:f>
        <x:v>跳过</x:v>
      </x:c>
      <x:c r="L132" s="1"/>
      <x:c r="M132" s="1"/>
      <x:c r="N132" s="1"/>
      <x:c r="O132" s="1"/>
    </x:row>
    <x:row r="133">
      <x:c r="A133" s="18" t="str">
        <x:v>SEMD01</x:v>
      </x:c>
      <x:c r="B133" s="18" t="str">
        <x:v>Hospital services</x:v>
      </x:c>
      <x:c r="C133" s="18" t="str">
        <x:v>Hospital services</x:v>
      </x:c>
      <x:c r="D133" s="19" t="n">
        <x:v>3.6</x:v>
      </x:c>
      <x:c r="E133" s="19" t="n">
        <x:v>3.4</x:v>
      </x:c>
      <x:c r="F133" s="19" t="n">
        <x:v>3.3</x:v>
      </x:c>
      <x:c r="G133" s="19" t="n">
        <x:v>3.6</x:v>
      </x:c>
      <x:c r="H133" s="19" t="n">
        <x:v>3.9</x:v>
      </x:c>
      <x:c r="I133" s="19" t="n">
        <x:v>3.9</x:v>
      </x:c>
      <x:c r="J133" s="19" t="n">
        <x:v>5.2</x:v>
      </x:c>
      <x:c r="K133" s="18" t="str">
        <x:f>IF(ISNUMBER(J133),IF(J133&gt;3,"是","否"),"跳过")</x:f>
        <x:v>是</x:v>
      </x:c>
      <x:c r="L133" s="1"/>
      <x:c r="M133" s="1"/>
      <x:c r="N133" s="1"/>
      <x:c r="O133" s="1"/>
    </x:row>
    <x:row r="134">
      <x:c r="A134" s="18" t="str">
        <x:v>SEMD02</x:v>
      </x:c>
      <x:c r="B134" s="18" t="str">
        <x:v>Nursing homes and adult day services</x:v>
      </x:c>
      <x:c r="C134" s="18" t="str">
        <x:v>Nursing homes and adult day services</x:v>
      </x:c>
      <x:c r="D134" s="19" t="n">
        <x:v>4.1</x:v>
      </x:c>
      <x:c r="E134" s="19" t="n">
        <x:v>3.7</x:v>
      </x:c>
      <x:c r="F134" s="19" t="n">
        <x:v>3.7</x:v>
      </x:c>
      <x:c r="G134" s="19" t="n">
        <x:v>3.6</x:v>
      </x:c>
      <x:c r="H134" s="19" t="n">
        <x:v>3.4</x:v>
      </x:c>
      <x:c r="I134" s="19" t="n">
        <x:v>4.6</x:v>
      </x:c>
      <x:c r="J134" s="19" t="n">
        <x:v>4.6</x:v>
      </x:c>
      <x:c r="K134" s="18" t="str">
        <x:f>IF(ISNUMBER(J134),IF(J134&gt;3,"是","否"),"跳过")</x:f>
        <x:v>是</x:v>
      </x:c>
      <x:c r="L134" s="1"/>
      <x:c r="M134" s="1"/>
      <x:c r="N134" s="1"/>
      <x:c r="O134" s="1"/>
    </x:row>
    <x:row r="135">
      <x:c r="A135" s="18" t="str">
        <x:v>SEMD03</x:v>
      </x:c>
      <x:c r="B135" s="18" t="str">
        <x:v>Home health care</x:v>
      </x:c>
      <x:c r="C135" s="18" t="str">
        <x:v>Care of invalids and elderly at home</x:v>
      </x:c>
      <x:c r="D135" s="19" t="n">
        <x:v>2.7</x:v>
      </x:c>
      <x:c r="E135" s="19" t="n">
        <x:v>3.4</x:v>
      </x:c>
      <x:c r="F135" s="19" t="n">
        <x:v>5</x:v>
      </x:c>
      <x:c r="G135" s="19" t="n">
        <x:v>2.5</x:v>
      </x:c>
      <x:c r="H135" s="19" t="n">
        <x:v>2.4</x:v>
      </x:c>
      <x:c r="I135" s="19" t="n">
        <x:v>2</x:v>
      </x:c>
      <x:c r="J135" s="19" t="n">
        <x:v>10.6</x:v>
      </x:c>
      <x:c r="K135" s="18" t="str">
        <x:f>IF(ISNUMBER(J135),IF(J135&gt;3,"是","否"),"跳过")</x:f>
        <x:v>是</x:v>
      </x:c>
      <x:c r="L135" s="1"/>
      <x:c r="M135" s="1"/>
      <x:c r="N135" s="1"/>
      <x:c r="O135" s="1"/>
    </x:row>
    <x:row r="136">
      <x:c r="A136" s="18" t="str">
        <x:v>SEMF01</x:v>
      </x:c>
      <x:c r="B136" s="18" t="str">
        <x:v>Prescription drugs</x:v>
      </x:c>
      <x:c r="C136" s="18" t="str">
        <x:v>Prescription drugs</x:v>
      </x:c>
      <x:c r="D136" s="19" t="n">
        <x:v>1.3</x:v>
      </x:c>
      <x:c r="E136" s="19" t="n">
        <x:v>2.4</x:v>
      </x:c>
      <x:c r="F136" s="19" t="n">
        <x:v>2.2</x:v>
      </x:c>
      <x:c r="G136" s="19" t="n">
        <x:v>1.7</x:v>
      </x:c>
      <x:c r="H136" s="19" t="n">
        <x:v>1.9</x:v>
      </x:c>
      <x:c r="I136" s="19" t="n">
        <x:v>2.5</x:v>
      </x:c>
      <x:c r="J136" s="19" t="n">
        <x:v>-2.9</x:v>
      </x:c>
      <x:c r="K136" s="18" t="str">
        <x:f>IF(ISNUMBER(J136),IF(J136&gt;3,"是","否"),"跳过")</x:f>
        <x:v>否</x:v>
      </x:c>
      <x:c r="L136" s="1"/>
      <x:c r="M136" s="1"/>
      <x:c r="N136" s="1"/>
      <x:c r="O136" s="1"/>
    </x:row>
    <x:row r="137">
      <x:c r="A137" s="18" t="str">
        <x:v>SEMF02</x:v>
      </x:c>
      <x:c r="B137" s="18" t="str">
        <x:v>Nonprescription drugs</x:v>
      </x:c>
      <x:c r="C137" s="18" t="str">
        <x:v>Nonprescription drugs</x:v>
      </x:c>
      <x:c r="D137" s="19" t="n">
        <x:v>1.7</x:v>
      </x:c>
      <x:c r="E137" s="19" t="n">
        <x:v>3</x:v>
      </x:c>
      <x:c r="F137" s="19" t="n">
        <x:v>4.1</x:v>
      </x:c>
      <x:c r="G137" s="19" t="n">
        <x:v>3</x:v>
      </x:c>
      <x:c r="H137" s="19" t="n">
        <x:v>3.2</x:v>
      </x:c>
      <x:c r="I137" s="19" t="n">
        <x:v>4.7</x:v>
      </x:c>
      <x:c r="J137" s="19" t="n">
        <x:v>-2</x:v>
      </x:c>
      <x:c r="K137" s="18" t="str">
        <x:f>IF(ISNUMBER(J137),IF(J137&gt;3,"是","否"),"跳过")</x:f>
        <x:v>否</x:v>
      </x:c>
      <x:c r="L137" s="1"/>
      <x:c r="M137" s="1"/>
      <x:c r="N137" s="1"/>
      <x:c r="O137" s="1"/>
    </x:row>
    <x:row r="138">
      <x:c r="A138" s="18" t="str">
        <x:v>SERA01</x:v>
      </x:c>
      <x:c r="B138" s="18" t="str">
        <x:v>Televisions</x:v>
      </x:c>
      <x:c r="C138" s="18" t="str">
        <x:v>Televisions</x:v>
      </x:c>
      <x:c r="D138" s="19" t="n">
        <x:v>2.4</x:v>
      </x:c>
      <x:c r="E138" s="19" t="n">
        <x:v>0.4</x:v>
      </x:c>
      <x:c r="F138" s="19" t="n">
        <x:v>-1.5</x:v>
      </x:c>
      <x:c r="G138" s="19" t="n">
        <x:v>-5.8</x:v>
      </x:c>
      <x:c r="H138" s="19" t="n">
        <x:v>-9.5</x:v>
      </x:c>
      <x:c r="I138" s="19" t="n">
        <x:v>-12.7</x:v>
      </x:c>
      <x:c r="J138" s="19" t="n">
        <x:v>-1</x:v>
      </x:c>
      <x:c r="K138" s="18" t="str">
        <x:f>IF(ISNUMBER(J138),IF(J138&gt;3,"是","否"),"跳过")</x:f>
        <x:v>否</x:v>
      </x:c>
      <x:c r="L138" s="1"/>
      <x:c r="M138" s="1"/>
      <x:c r="N138" s="1"/>
      <x:c r="O138" s="1"/>
    </x:row>
    <x:row r="139">
      <x:c r="A139" s="18" t="str">
        <x:v>SERA02</x:v>
      </x:c>
      <x:c r="B139" s="18" t="str">
        <x:v>Cable, satellite, and live streaming television service</x:v>
      </x:c>
      <x:c r="C139" s="18" t="str">
        <x:v>Cable and satellite television service</x:v>
      </x:c>
      <x:c r="D139" s="19" t="n">
        <x:v>4.3</x:v>
      </x:c>
      <x:c r="E139" s="19" t="n">
        <x:v>4.4</x:v>
      </x:c>
      <x:c r="F139" s="19" t="n">
        <x:v>4.2</x:v>
      </x:c>
      <x:c r="G139" s="19" t="n">
        <x:v>4.6</x:v>
      </x:c>
      <x:c r="H139" s="19" t="n">
        <x:v>5.8</x:v>
      </x:c>
      <x:c r="I139" s="19" t="n">
        <x:v>4.9</x:v>
      </x:c>
      <x:c r="J139" s="19" t="n">
        <x:v>3</x:v>
      </x:c>
      <x:c r="K139" s="18" t="str">
        <x:f>IF(ISNUMBER(J139),IF(J139&gt;3,"是","否"),"跳过")</x:f>
        <x:v>否</x:v>
      </x:c>
      <x:c r="L139" s="1"/>
      <x:c r="M139" s="1"/>
      <x:c r="N139" s="1"/>
      <x:c r="O139" s="1"/>
    </x:row>
    <x:row r="140">
      <x:c r="A140" s="18" t="str">
        <x:v>SERA03</x:v>
      </x:c>
      <x:c r="B140" s="18" t="str">
        <x:v>Other video equipment</x:v>
      </x:c>
      <x:c r="C140" s="18" t="str">
        <x:v>Other video equipment</x:v>
      </x:c>
      <x:c r="D140" s="19" t="n">
        <x:v>-4.9</x:v>
      </x:c>
      <x:c r="E140" s="19" t="n">
        <x:v>-2.7</x:v>
      </x:c>
      <x:c r="F140" s="19" t="n">
        <x:v>-3.6</x:v>
      </x:c>
      <x:c r="G140" s="19" t="n">
        <x:v>-4.8</x:v>
      </x:c>
      <x:c r="H140" s="19" t="n">
        <x:v>-4.3</x:v>
      </x:c>
      <x:c r="I140" s="19" t="n">
        <x:v>-4.4</x:v>
      </x:c>
      <x:c r="J140" s="19" t="n">
        <x:v>4.6</x:v>
      </x:c>
      <x:c r="K140" s="18" t="str">
        <x:f>IF(ISNUMBER(J140),IF(J140&gt;3,"是","否"),"跳过")</x:f>
        <x:v>是</x:v>
      </x:c>
      <x:c r="L140" s="1"/>
      <x:c r="M140" s="1"/>
      <x:c r="N140" s="1"/>
      <x:c r="O140" s="1"/>
    </x:row>
    <x:row r="141">
      <x:c r="A141" s="18" t="str">
        <x:v>SERA04</x:v>
      </x:c>
      <x:c r="B141" s="18" t="str">
        <x:v>Purchase, subscription, and rental of video</x:v>
      </x:c>
      <x:c r="C141" s="18" t="str">
        <x:v>Video discs and other media, including rental of video</x:v>
      </x:c>
      <x:c r="D141" s="19" t="n">
        <x:v>-1.4</x:v>
      </x:c>
      <x:c r="E141" s="19" t="n">
        <x:v>-3.7</x:v>
      </x:c>
      <x:c r="F141" s="19" t="n">
        <x:v>-2.2</x:v>
      </x:c>
      <x:c r="G141" s="19" t="n">
        <x:v>1.3</x:v>
      </x:c>
      <x:c r="H141" s="19" t="n">
        <x:v>3.1</x:v>
      </x:c>
      <x:c r="I141" s="19" t="n">
        <x:v>4.7</x:v>
      </x:c>
      <x:c r="J141" s="19" t="n">
        <x:v>10.8</x:v>
      </x:c>
      <x:c r="K141" s="18" t="str">
        <x:f>IF(ISNUMBER(J141),IF(J141&gt;3,"是","否"),"跳过")</x:f>
        <x:v>是</x:v>
      </x:c>
      <x:c r="L141" s="1"/>
      <x:c r="M141" s="1"/>
      <x:c r="N141" s="1"/>
      <x:c r="O141" s="1"/>
    </x:row>
    <x:row r="142">
      <x:c r="A142" s="18" t="str">
        <x:v>SERA05</x:v>
      </x:c>
      <x:c r="B142" s="18" t="str">
        <x:v>Audio equipment</x:v>
      </x:c>
      <x:c r="C142" s="18" t="str">
        <x:v>Audio equipment</x:v>
      </x:c>
      <x:c r="D142" s="19" t="n">
        <x:v>-1.2</x:v>
      </x:c>
      <x:c r="E142" s="19" t="n">
        <x:v>0.4</x:v>
      </x:c>
      <x:c r="F142" s="19" t="n">
        <x:v>-3</x:v>
      </x:c>
      <x:c r="G142" s="19" t="n">
        <x:v>-2.6</x:v>
      </x:c>
      <x:c r="H142" s="19" t="n">
        <x:v>-0.7</x:v>
      </x:c>
      <x:c r="I142" s="19" t="n">
        <x:v>3.3</x:v>
      </x:c>
      <x:c r="J142" s="19" t="n">
        <x:v>-2</x:v>
      </x:c>
      <x:c r="K142" s="18" t="str">
        <x:f>IF(ISNUMBER(J142),IF(J142&gt;3,"是","否"),"跳过")</x:f>
        <x:v>否</x:v>
      </x:c>
      <x:c r="L142" s="1"/>
      <x:c r="M142" s="1"/>
      <x:c r="N142" s="1"/>
      <x:c r="O142" s="1"/>
    </x:row>
    <x:row r="143">
      <x:c r="A143" s="18" t="str">
        <x:v>SERA06</x:v>
      </x:c>
      <x:c r="B143" s="18" t="str">
        <x:v>Recorded music and music subscriptions</x:v>
      </x:c>
      <x:c r="C143" s="18" t="str">
        <x:v>Recorded music and music subscriptions</x:v>
      </x:c>
      <x:c r="D143" s="19" t="n">
        <x:v>1.4</x:v>
      </x:c>
      <x:c r="E143" s="19" t="n">
        <x:v>0.3</x:v>
      </x:c>
      <x:c r="F143" s="19" t="n">
        <x:v>0.4</x:v>
      </x:c>
      <x:c r="G143" s="19" t="n">
        <x:v>0</x:v>
      </x:c>
      <x:c r="H143" s="19" t="n">
        <x:v>-0.9</x:v>
      </x:c>
      <x:c r="I143" s="19" t="n">
        <x:v>-1.7</x:v>
      </x:c>
      <x:c r="J143" s="19" t="n">
        <x:v>7.4</x:v>
      </x:c>
      <x:c r="K143" s="18" t="str">
        <x:f>IF(ISNUMBER(J143),IF(J143&gt;3,"是","否"),"跳过")</x:f>
        <x:v>是</x:v>
      </x:c>
      <x:c r="L143" s="1"/>
      <x:c r="M143" s="1"/>
      <x:c r="N143" s="1"/>
      <x:c r="O143" s="1"/>
    </x:row>
    <x:row r="144">
      <x:c r="A144" s="18" t="str">
        <x:v>SERB01</x:v>
      </x:c>
      <x:c r="B144" s="18" t="str">
        <x:v>Pets and pet products</x:v>
      </x:c>
      <x:c r="C144" s="18" t="str">
        <x:v>Pets and pet products</x:v>
      </x:c>
      <x:c r="D144" s="19" t="n">
        <x:v>3.7</x:v>
      </x:c>
      <x:c r="E144" s="19" t="n">
        <x:v>5.2</x:v>
      </x:c>
      <x:c r="F144" s="19" t="n">
        <x:v>6.9</x:v>
      </x:c>
      <x:c r="G144" s="19" t="n">
        <x:v>7.2</x:v>
      </x:c>
      <x:c r="H144" s="19" t="n">
        <x:v>8.3</x:v>
      </x:c>
      <x:c r="I144" s="19" t="n">
        <x:v>9.7</x:v>
      </x:c>
      <x:c r="J144" s="19" t="n">
        <x:v>1.9</x:v>
      </x:c>
      <x:c r="K144" s="18" t="str">
        <x:f>IF(ISNUMBER(J144),IF(J144&gt;3,"是","否"),"跳过")</x:f>
        <x:v>否</x:v>
      </x:c>
      <x:c r="L144" s="1"/>
      <x:c r="M144" s="1"/>
      <x:c r="N144" s="1"/>
      <x:c r="O144" s="1"/>
    </x:row>
    <x:row r="145">
      <x:c r="A145" s="18" t="str">
        <x:v>SERB02</x:v>
      </x:c>
      <x:c r="B145" s="18" t="str">
        <x:v>Pet services including veterinary</x:v>
      </x:c>
      <x:c r="C145" s="18" t="str">
        <x:v>Pet services including veterinary</x:v>
      </x:c>
      <x:c r="D145" s="19" t="n">
        <x:v>5.2</x:v>
      </x:c>
      <x:c r="E145" s="19" t="n">
        <x:v>5.8</x:v>
      </x:c>
      <x:c r="F145" s="19" t="n">
        <x:v>8.2</x:v>
      </x:c>
      <x:c r="G145" s="19" t="n">
        <x:v>9</x:v>
      </x:c>
      <x:c r="H145" s="19" t="n">
        <x:v>7.8</x:v>
      </x:c>
      <x:c r="I145" s="19" t="n">
        <x:v>7.9</x:v>
      </x:c>
      <x:c r="J145" s="19" t="n">
        <x:v>4.8</x:v>
      </x:c>
      <x:c r="K145" s="18" t="str">
        <x:f>IF(ISNUMBER(J145),IF(J145&gt;3,"是","否"),"跳过")</x:f>
        <x:v>是</x:v>
      </x:c>
      <x:c r="L145" s="1"/>
      <x:c r="M145" s="1"/>
      <x:c r="N145" s="1"/>
      <x:c r="O145" s="1"/>
    </x:row>
    <x:row r="146">
      <x:c r="A146" s="18" t="str">
        <x:v>SERC01</x:v>
      </x:c>
      <x:c r="B146" s="18" t="str">
        <x:v>Sports vehicles including bicycles</x:v>
      </x:c>
      <x:c r="C146" s="18" t="str">
        <x:v>Sports vehicles including bicycles</x:v>
      </x:c>
      <x:c r="D146" s="19" t="n">
        <x:v>10.5</x:v>
      </x:c>
      <x:c r="E146" s="19" t="n">
        <x:v>8.1</x:v>
      </x:c>
      <x:c r="F146" s="19" t="n">
        <x:v>8.6</x:v>
      </x:c>
      <x:c r="G146" s="19" t="n">
        <x:v>8</x:v>
      </x:c>
      <x:c r="H146" s="19" t="n">
        <x:v>4.7</x:v>
      </x:c>
      <x:c r="I146" s="19" t="n">
        <x:v>3.6</x:v>
      </x:c>
      <x:c r="J146" s="19" t="n">
        <x:v>6.8</x:v>
      </x:c>
      <x:c r="K146" s="18" t="str">
        <x:f>IF(ISNUMBER(J146),IF(J146&gt;3,"是","否"),"跳过")</x:f>
        <x:v>是</x:v>
      </x:c>
      <x:c r="L146" s="1"/>
      <x:c r="M146" s="1"/>
      <x:c r="N146" s="1"/>
      <x:c r="O146" s="1"/>
    </x:row>
    <x:row r="147">
      <x:c r="A147" s="18" t="str">
        <x:v>SERC02</x:v>
      </x:c>
      <x:c r="B147" s="18" t="str">
        <x:v>Sports equipment</x:v>
      </x:c>
      <x:c r="C147" s="18" t="str">
        <x:v>Sports equipment</x:v>
      </x:c>
      <x:c r="D147" s="19" t="n">
        <x:v>4.7</x:v>
      </x:c>
      <x:c r="E147" s="19" t="n">
        <x:v>5.5</x:v>
      </x:c>
      <x:c r="F147" s="19" t="n">
        <x:v>6.7</x:v>
      </x:c>
      <x:c r="G147" s="19" t="n">
        <x:v>6.8</x:v>
      </x:c>
      <x:c r="H147" s="19" t="n">
        <x:v>7.1</x:v>
      </x:c>
      <x:c r="I147" s="19" t="n">
        <x:v>8</x:v>
      </x:c>
      <x:c r="J147" s="19" t="n">
        <x:v>3.5</x:v>
      </x:c>
      <x:c r="K147" s="18" t="str">
        <x:f>IF(ISNUMBER(J147),IF(J147&gt;3,"是","否"),"跳过")</x:f>
        <x:v>是</x:v>
      </x:c>
      <x:c r="L147" s="1"/>
      <x:c r="M147" s="1"/>
      <x:c r="N147" s="1"/>
      <x:c r="O147" s="1"/>
    </x:row>
    <x:row r="148">
      <x:c r="A148" s="18" t="str">
        <x:v>SERD01</x:v>
      </x:c>
      <x:c r="B148" s="18" t="str">
        <x:v>Photographic equipment and supplies</x:v>
      </x:c>
      <x:c r="C148" s="18" t="str">
        <x:v>Photographic equipment and supplies</x:v>
      </x:c>
      <x:c r="D148" s="19" t="n">
        <x:v>3.6</x:v>
      </x:c>
      <x:c r="E148" s="19" t="n">
        <x:v>2.8</x:v>
      </x:c>
      <x:c r="F148" s="19" t="n">
        <x:v>3.5</x:v>
      </x:c>
      <x:c r="G148" s="19" t="n">
        <x:v>2.6</x:v>
      </x:c>
      <x:c r="H148" s="19" t="n">
        <x:v>3.7</x:v>
      </x:c>
      <x:c r="I148" s="19" t="n">
        <x:v>2.1</x:v>
      </x:c>
      <x:c r="J148" s="19" t="n">
        <x:v>-0.6</x:v>
      </x:c>
      <x:c r="K148" s="18" t="str">
        <x:f>IF(ISNUMBER(J148),IF(J148&gt;3,"是","否"),"跳过")</x:f>
        <x:v>否</x:v>
      </x:c>
      <x:c r="L148" s="1"/>
      <x:c r="M148" s="1"/>
      <x:c r="N148" s="1"/>
      <x:c r="O148" s="1"/>
    </x:row>
    <x:row r="149">
      <x:c r="A149" s="18" t="str">
        <x:v>SERD02</x:v>
      </x:c>
      <x:c r="B149" s="18" t="str">
        <x:v>Photographers and photo processing</x:v>
      </x:c>
      <x:c r="C149" s="18" t="str">
        <x:v>Photographers and photo processing</x:v>
      </x:c>
      <x:c r="D149" s="19" t="n">
        <x:v>3.4</x:v>
      </x:c>
      <x:c r="E149" s="19" t="n">
        <x:v>1.6</x:v>
      </x:c>
      <x:c r="F149" s="19" t="n">
        <x:v>3.1</x:v>
      </x:c>
      <x:c r="G149" s="19" t="n">
        <x:v>5.2</x:v>
      </x:c>
      <x:c r="H149" s="19" t="n">
        <x:v>5.6</x:v>
      </x:c>
      <x:c r="I149" s="19" t="n">
        <x:v>5.6</x:v>
      </x:c>
      <x:c r="J149" s="19" t="n">
        <x:v>3.8</x:v>
      </x:c>
      <x:c r="K149" s="18" t="str">
        <x:f>IF(ISNUMBER(J149),IF(J149&gt;3,"是","否"),"跳过")</x:f>
        <x:v>是</x:v>
      </x:c>
      <x:c r="L149" s="1"/>
      <x:c r="M149" s="1"/>
      <x:c r="N149" s="1"/>
      <x:c r="O149" s="1"/>
    </x:row>
    <x:row r="150">
      <x:c r="A150" s="18" t="str">
        <x:v>SERE01</x:v>
      </x:c>
      <x:c r="B150" s="18" t="str">
        <x:v>Toys</x:v>
      </x:c>
      <x:c r="C150" s="18" t="str">
        <x:v>Toys</x:v>
      </x:c>
      <x:c r="D150" s="19" t="n">
        <x:v>2</x:v>
      </x:c>
      <x:c r="E150" s="19" t="n">
        <x:v>2.6</x:v>
      </x:c>
      <x:c r="F150" s="19" t="n">
        <x:v>2</x:v>
      </x:c>
      <x:c r="G150" s="19" t="n">
        <x:v>-0.3</x:v>
      </x:c>
      <x:c r="H150" s="19" t="n">
        <x:v>0.6</x:v>
      </x:c>
      <x:c r="I150" s="19" t="n">
        <x:v>1.9</x:v>
      </x:c>
      <x:c r="J150" s="19" t="n">
        <x:v>2.3</x:v>
      </x:c>
      <x:c r="K150" s="18" t="str">
        <x:f>IF(ISNUMBER(J150),IF(J150&gt;3,"是","否"),"跳过")</x:f>
        <x:v>否</x:v>
      </x:c>
      <x:c r="L150" s="1"/>
      <x:c r="M150" s="1"/>
      <x:c r="N150" s="1"/>
      <x:c r="O150" s="1"/>
    </x:row>
    <x:row r="151">
      <x:c r="A151" s="18" t="str">
        <x:v>SERE02</x:v>
      </x:c>
      <x:c r="B151" s="18" t="str">
        <x:v>Sewing machines, fabric and supplies</x:v>
      </x:c>
      <x:c r="C151" s="18" t="str">
        <x:v>Sewing machines, fabric and supplies</x:v>
      </x:c>
      <x:c r="D151" s="19" t="n">
        <x:v>1.6</x:v>
      </x:c>
      <x:c r="E151" s="19" t="n">
        <x:v>1.2</x:v>
      </x:c>
      <x:c r="F151" s="19" t="n">
        <x:v>1.7</x:v>
      </x:c>
      <x:c r="G151" s="19" t="n">
        <x:v>1.4</x:v>
      </x:c>
      <x:c r="H151" s="19" t="n">
        <x:v>2.3</x:v>
      </x:c>
      <x:c r="I151" s="19" t="n">
        <x:v>3.7</x:v>
      </x:c>
      <x:c r="J151" s="19" t="n">
        <x:v>3.5</x:v>
      </x:c>
      <x:c r="K151" s="18" t="str">
        <x:f>IF(ISNUMBER(J151),IF(J151&gt;3,"是","否"),"跳过")</x:f>
        <x:v>是</x:v>
      </x:c>
      <x:c r="L151" s="1"/>
      <x:c r="M151" s="1"/>
      <x:c r="N151" s="1"/>
      <x:c r="O151" s="1"/>
    </x:row>
    <x:row r="152">
      <x:c r="A152" s="18" t="str">
        <x:v>SERE03</x:v>
      </x:c>
      <x:c r="B152" s="18" t="str">
        <x:v>Music instruments and accessories</x:v>
      </x:c>
      <x:c r="C152" s="18" t="str">
        <x:v>Music instruments and accessories</x:v>
      </x:c>
      <x:c r="D152" s="19" t="n">
        <x:v>9</x:v>
      </x:c>
      <x:c r="E152" s="19" t="n">
        <x:v>9.7</x:v>
      </x:c>
      <x:c r="F152" s="19" t="n">
        <x:v>6.6</x:v>
      </x:c>
      <x:c r="G152" s="19" t="n">
        <x:v>6.7</x:v>
      </x:c>
      <x:c r="H152" s="19" t="n">
        <x:v>4.6</x:v>
      </x:c>
      <x:c r="I152" s="19" t="n">
        <x:v>5.6</x:v>
      </x:c>
      <x:c r="J152" s="19" t="n">
        <x:v>2.9</x:v>
      </x:c>
      <x:c r="K152" s="18" t="str">
        <x:f>IF(ISNUMBER(J152),IF(J152&gt;3,"是","否"),"跳过")</x:f>
        <x:v>否</x:v>
      </x:c>
      <x:c r="L152" s="1"/>
      <x:c r="M152" s="1"/>
      <x:c r="N152" s="1"/>
      <x:c r="O152" s="1"/>
    </x:row>
    <x:row r="153">
      <x:c r="A153" s="18" t="str">
        <x:v>SERF01</x:v>
      </x:c>
      <x:c r="B153" s="18" t="str">
        <x:v>Club membership for shopping clubs, fraternal, or other organizations, or participant sports fees</x:v>
      </x:c>
      <x:c r="C153" s="18" t="str">
        <x:v>Club membership for shopping clubs, fraternal, or other organizations, or participant sports fees</x:v>
      </x:c>
      <x:c r="D153" s="19" t="n">
        <x:v>2.4</x:v>
      </x:c>
      <x:c r="E153" s="19" t="n">
        <x:v>2.4</x:v>
      </x:c>
      <x:c r="F153" s="19" t="n">
        <x:v>2.6</x:v>
      </x:c>
      <x:c r="G153" s="19" t="n">
        <x:v>2.8</x:v>
      </x:c>
      <x:c r="H153" s="19" t="n">
        <x:v>3.7</x:v>
      </x:c>
      <x:c r="I153" s="19" t="n">
        <x:v>3.5</x:v>
      </x:c>
      <x:c r="J153" s="19" t="n">
        <x:v>-1.3</x:v>
      </x:c>
      <x:c r="K153" s="18" t="str">
        <x:f>IF(ISNUMBER(J153),IF(J153&gt;3,"是","否"),"跳过")</x:f>
        <x:v>否</x:v>
      </x:c>
      <x:c r="L153" s="1"/>
      <x:c r="M153" s="1"/>
      <x:c r="N153" s="1"/>
      <x:c r="O153" s="1"/>
    </x:row>
    <x:row r="154">
      <x:c r="A154" s="18" t="str">
        <x:v>SERF02</x:v>
      </x:c>
      <x:c r="B154" s="18" t="str">
        <x:v>Admissions</x:v>
      </x:c>
      <x:c r="C154" s="18" t="str">
        <x:v>Admissions</x:v>
      </x:c>
      <x:c r="D154" s="19" t="n">
        <x:v>10.8</x:v>
      </x:c>
      <x:c r="E154" s="19" t="n">
        <x:v>11.2</x:v>
      </x:c>
      <x:c r="F154" s="19" t="n">
        <x:v>7</x:v>
      </x:c>
      <x:c r="G154" s="19" t="n">
        <x:v>2</x:v>
      </x:c>
      <x:c r="H154" s="19" t="n">
        <x:v>1.7</x:v>
      </x:c>
      <x:c r="I154" s="19" t="n">
        <x:v>3.8</x:v>
      </x:c>
      <x:c r="J154" s="19" t="n">
        <x:v>2.9</x:v>
      </x:c>
      <x:c r="K154" s="18" t="str">
        <x:f>IF(ISNUMBER(J154),IF(J154&gt;3,"是","否"),"跳过")</x:f>
        <x:v>否</x:v>
      </x:c>
      <x:c r="L154" s="1"/>
      <x:c r="M154" s="1"/>
      <x:c r="N154" s="1"/>
      <x:c r="O154" s="1"/>
    </x:row>
    <x:row r="155">
      <x:c r="A155" s="18" t="str">
        <x:v>SERF03</x:v>
      </x:c>
      <x:c r="B155" s="18" t="str">
        <x:v>Fees for lessons or instructions</x:v>
      </x:c>
      <x:c r="C155" s="18" t="str">
        <x:v>Fees for lessons or instructions</x:v>
      </x:c>
      <x:c r="D155" s="19" t="n">
        <x:v>1.8</x:v>
      </x:c>
      <x:c r="E155" s="19" t="n">
        <x:v>2</x:v>
      </x:c>
      <x:c r="F155" s="19" t="n">
        <x:v>1.2</x:v>
      </x:c>
      <x:c r="G155" s="19" t="n">
        <x:v>3.1</x:v>
      </x:c>
      <x:c r="H155" s="19" t="n">
        <x:v>3.8</x:v>
      </x:c>
      <x:c r="I155" s="19" t="n">
        <x:v>0.8</x:v>
      </x:c>
      <x:c r="J155" s="19" t="n">
        <x:v>1.9</x:v>
      </x:c>
      <x:c r="K155" s="18" t="str">
        <x:f>IF(ISNUMBER(J155),IF(J155&gt;3,"是","否"),"跳过")</x:f>
        <x:v>否</x:v>
      </x:c>
      <x:c r="L155" s="1"/>
      <x:c r="M155" s="1"/>
      <x:c r="N155" s="1"/>
      <x:c r="O155" s="1"/>
    </x:row>
    <x:row r="156">
      <x:c r="A156" s="18" t="str">
        <x:v>SERG01</x:v>
      </x:c>
      <x:c r="B156" s="18" t="str">
        <x:v>Newspapers and magazines</x:v>
      </x:c>
      <x:c r="C156" s="18" t="str">
        <x:v>Newspapers and magazines</x:v>
      </x:c>
      <x:c r="D156" s="19" t="n">
        <x:v>0.8</x:v>
      </x:c>
      <x:c r="E156" s="19" t="n">
        <x:v>6.2</x:v>
      </x:c>
      <x:c r="F156" s="19" t="n">
        <x:v>2</x:v>
      </x:c>
      <x:c r="G156" s="19" t="n">
        <x:v>3.2</x:v>
      </x:c>
      <x:c r="H156" s="19" t="n">
        <x:v>4.8</x:v>
      </x:c>
      <x:c r="I156" s="19" t="n">
        <x:v>10.9</x:v>
      </x:c>
      <x:c r="J156" s="19" t="n">
        <x:v>10.9</x:v>
      </x:c>
      <x:c r="K156" s="18" t="str">
        <x:f>IF(ISNUMBER(J156),IF(J156&gt;3,"是","否"),"跳过")</x:f>
        <x:v>是</x:v>
      </x:c>
      <x:c r="L156" s="1"/>
      <x:c r="M156" s="1"/>
      <x:c r="N156" s="1"/>
      <x:c r="O156" s="1"/>
    </x:row>
    <x:row r="157">
      <x:c r="A157" s="18" t="str">
        <x:v>SERG02</x:v>
      </x:c>
      <x:c r="B157" s="18" t="str">
        <x:v>Recreational books</x:v>
      </x:c>
      <x:c r="C157" s="18" t="str">
        <x:v>Recreational books</x:v>
      </x:c>
      <x:c r="D157" s="19" t="n">
        <x:v>-1.2</x:v>
      </x:c>
      <x:c r="E157" s="19" t="n">
        <x:v>1.2</x:v>
      </x:c>
      <x:c r="F157" s="19" t="n">
        <x:v>1.1</x:v>
      </x:c>
      <x:c r="G157" s="19" t="n">
        <x:v>0.5</x:v>
      </x:c>
      <x:c r="H157" s="19" t="n">
        <x:v>-0.2</x:v>
      </x:c>
      <x:c r="I157" s="19" t="n">
        <x:v>2.6</x:v>
      </x:c>
      <x:c r="J157" s="19" t="n">
        <x:v>-2.2</x:v>
      </x:c>
      <x:c r="K157" s="18" t="str">
        <x:f>IF(ISNUMBER(J157),IF(J157&gt;3,"是","否"),"跳过")</x:f>
        <x:v>否</x:v>
      </x:c>
      <x:c r="L157" s="1"/>
      <x:c r="M157" s="1"/>
      <x:c r="N157" s="1"/>
      <x:c r="O157" s="1"/>
    </x:row>
    <x:row r="158">
      <x:c r="A158" s="18" t="str">
        <x:v>SETA01</x:v>
      </x:c>
      <x:c r="B158" s="18" t="str">
        <x:v>New vehicles</x:v>
      </x:c>
      <x:c r="C158" s="18" t="str">
        <x:v>New vehicles</x:v>
      </x:c>
      <x:c r="D158" s="19" t="n">
        <x:v>12.2</x:v>
      </x:c>
      <x:c r="E158" s="19" t="n">
        <x:v>12.4</x:v>
      </x:c>
      <x:c r="F158" s="19" t="n">
        <x:v>12.5</x:v>
      </x:c>
      <x:c r="G158" s="19" t="n">
        <x:v>13.2</x:v>
      </x:c>
      <x:c r="H158" s="19" t="n">
        <x:v>12.6</x:v>
      </x:c>
      <x:c r="I158" s="19" t="n">
        <x:v>11.4</x:v>
      </x:c>
      <x:c r="J158" s="19" t="n">
        <x:v>0.6</x:v>
      </x:c>
      <x:c r="K158" s="18" t="str">
        <x:f>IF(ISNUMBER(J158),IF(J158&gt;3,"是","否"),"跳过")</x:f>
        <x:v>否</x:v>
      </x:c>
      <x:c r="L158" s="1"/>
      <x:c r="M158" s="1"/>
      <x:c r="N158" s="1"/>
      <x:c r="O158" s="1"/>
    </x:row>
    <x:row r="159">
      <x:c r="A159" s="18" t="str">
        <x:v>SETA02</x:v>
      </x:c>
      <x:c r="B159" s="18" t="str">
        <x:v>Used cars and trucks</x:v>
      </x:c>
      <x:c r="C159" s="18" t="str">
        <x:v>Used cars and trucks</x:v>
      </x:c>
      <x:c r="D159" s="19" t="n">
        <x:v>40.5</x:v>
      </x:c>
      <x:c r="E159" s="19" t="n">
        <x:v>41.2</x:v>
      </x:c>
      <x:c r="F159" s="19" t="n">
        <x:v>35.3</x:v>
      </x:c>
      <x:c r="G159" s="19" t="n">
        <x:v>22.7</x:v>
      </x:c>
      <x:c r="H159" s="19" t="n">
        <x:v>16.1</x:v>
      </x:c>
      <x:c r="I159" s="19" t="n">
        <x:v>7.1</x:v>
      </x:c>
      <x:c r="J159" s="19" t="n">
        <x:v>-2.3</x:v>
      </x:c>
      <x:c r="K159" s="18" t="str">
        <x:f>IF(ISNUMBER(J159),IF(J159&gt;3,"是","否"),"跳过")</x:f>
        <x:v>否</x:v>
      </x:c>
      <x:c r="L159" s="1"/>
      <x:c r="M159" s="1"/>
      <x:c r="N159" s="1"/>
      <x:c r="O159" s="1"/>
    </x:row>
    <x:row r="160">
      <x:c r="A160" s="18" t="str">
        <x:v>SETA03</x:v>
      </x:c>
      <x:c r="B160" s="18" t="str">
        <x:v>Leased cars and trucks</x:v>
      </x:c>
      <x:c r="C160" s="18" t="str">
        <x:v>Leased cars and trucks</x:v>
      </x:c>
      <x:c r="D160" s="19" t="str">
        <x:v>空白</x:v>
      </x:c>
      <x:c r="E160" s="19" t="str">
        <x:v>空白</x:v>
      </x:c>
      <x:c r="F160" s="19" t="str">
        <x:v>空白</x:v>
      </x:c>
      <x:c r="G160" s="19" t="str">
        <x:v>空白</x:v>
      </x:c>
      <x:c r="H160" s="19" t="str">
        <x:v>空白</x:v>
      </x:c>
      <x:c r="I160" s="19" t="str">
        <x:v>空白</x:v>
      </x:c>
      <x:c r="J160" s="19" t="n">
        <x:v>-1</x:v>
      </x:c>
      <x:c r="K160" s="18" t="str">
        <x:f>IF(ISNUMBER(J160),IF(J160&gt;3,"是","否"),"跳过")</x:f>
        <x:v>否</x:v>
      </x:c>
      <x:c r="L160" s="1"/>
      <x:c r="M160" s="1"/>
      <x:c r="N160" s="1"/>
      <x:c r="O160" s="1"/>
    </x:row>
    <x:row r="161">
      <x:c r="A161" s="18" t="str">
        <x:v>SETA04</x:v>
      </x:c>
      <x:c r="B161" s="18" t="str">
        <x:v>Car and truck rental</x:v>
      </x:c>
      <x:c r="C161" s="18" t="str">
        <x:v>Car and truck rental</x:v>
      </x:c>
      <x:c r="D161" s="19" t="n">
        <x:v>29.3</x:v>
      </x:c>
      <x:c r="E161" s="19" t="n">
        <x:v>24.3</x:v>
      </x:c>
      <x:c r="F161" s="19" t="n">
        <x:v>23.4</x:v>
      </x:c>
      <x:c r="G161" s="19" t="n">
        <x:v>10.4</x:v>
      </x:c>
      <x:c r="H161" s="19" t="n">
        <x:v>-0.4</x:v>
      </x:c>
      <x:c r="I161" s="19" t="n">
        <x:v>-7.7</x:v>
      </x:c>
      <x:c r="J161" s="19" t="n">
        <x:v>3.5</x:v>
      </x:c>
      <x:c r="K161" s="18" t="str">
        <x:f>IF(ISNUMBER(J161),IF(J161&gt;3,"是","否"),"跳过")</x:f>
        <x:v>是</x:v>
      </x:c>
      <x:c r="L161" s="1"/>
      <x:c r="M161" s="1"/>
      <x:c r="N161" s="1"/>
      <x:c r="O161" s="1"/>
    </x:row>
    <x:row r="162">
      <x:c r="A162" s="18" t="str">
        <x:v>SETB01</x:v>
      </x:c>
      <x:c r="B162" s="18" t="str">
        <x:v>Gasoline (all types)</x:v>
      </x:c>
      <x:c r="C162" s="18" t="str">
        <x:v>Gasoline (all types)</x:v>
      </x:c>
      <x:c r="D162" s="19" t="n">
        <x:v>40</x:v>
      </x:c>
      <x:c r="E162" s="19" t="n">
        <x:v>38</x:v>
      </x:c>
      <x:c r="F162" s="19" t="n">
        <x:v>48</x:v>
      </x:c>
      <x:c r="G162" s="19" t="n">
        <x:v>43.6</x:v>
      </x:c>
      <x:c r="H162" s="19" t="n">
        <x:v>48.7</x:v>
      </x:c>
      <x:c r="I162" s="19" t="n">
        <x:v>59.9</x:v>
      </x:c>
      <x:c r="J162" s="19" t="n">
        <x:v>27.4</x:v>
      </x:c>
      <x:c r="K162" s="18" t="str">
        <x:f>IF(ISNUMBER(J162),IF(J162&gt;3,"是","否"),"跳过")</x:f>
        <x:v>是</x:v>
      </x:c>
      <x:c r="L162" s="1"/>
      <x:c r="M162" s="1"/>
      <x:c r="N162" s="1"/>
      <x:c r="O162" s="1"/>
    </x:row>
    <x:row r="163">
      <x:c r="A163" s="18" t="str">
        <x:v>SETB02</x:v>
      </x:c>
      <x:c r="B163" s="18" t="str">
        <x:v>Other motor fuels</x:v>
      </x:c>
      <x:c r="C163" s="18" t="str">
        <x:v>Other motor fuels</x:v>
      </x:c>
      <x:c r="D163" s="19" t="n">
        <x:v>39.6</x:v>
      </x:c>
      <x:c r="E163" s="19" t="n">
        <x:v>40.5</x:v>
      </x:c>
      <x:c r="F163" s="19" t="n">
        <x:v>56.5</x:v>
      </x:c>
      <x:c r="G163" s="19" t="n">
        <x:v>64.2</x:v>
      </x:c>
      <x:c r="H163" s="19" t="n">
        <x:v>73.4</x:v>
      </x:c>
      <x:c r="I163" s="19" t="n">
        <x:v>75.8</x:v>
      </x:c>
      <x:c r="J163" s="19" t="n">
        <x:v>44</x:v>
      </x:c>
      <x:c r="K163" s="18" t="str">
        <x:f>IF(ISNUMBER(J163),IF(J163&gt;3,"是","否"),"跳过")</x:f>
        <x:v>是</x:v>
      </x:c>
      <x:c r="L163" s="1"/>
      <x:c r="M163" s="1"/>
      <x:c r="N163" s="1"/>
      <x:c r="O163" s="1"/>
    </x:row>
    <x:row r="164">
      <x:c r="A164" s="18" t="str">
        <x:v>SETC01</x:v>
      </x:c>
      <x:c r="B164" s="18" t="str">
        <x:v>Tires</x:v>
      </x:c>
      <x:c r="C164" s="18" t="str">
        <x:v>Tires</x:v>
      </x:c>
      <x:c r="D164" s="19" t="n">
        <x:v>14</x:v>
      </x:c>
      <x:c r="E164" s="19" t="n">
        <x:v>15.4</x:v>
      </x:c>
      <x:c r="F164" s="19" t="n">
        <x:v>16.4</x:v>
      </x:c>
      <x:c r="G164" s="19" t="n">
        <x:v>15.7</x:v>
      </x:c>
      <x:c r="H164" s="19" t="n">
        <x:v>15.7</x:v>
      </x:c>
      <x:c r="I164" s="19" t="n">
        <x:v>15.4</x:v>
      </x:c>
      <x:c r="J164" s="19" t="n">
        <x:v>0.4</x:v>
      </x:c>
      <x:c r="K164" s="18" t="str">
        <x:f>IF(ISNUMBER(J164),IF(J164&gt;3,"是","否"),"跳过")</x:f>
        <x:v>否</x:v>
      </x:c>
      <x:c r="L164" s="1"/>
      <x:c r="M164" s="1"/>
      <x:c r="N164" s="1"/>
      <x:c r="O164" s="1"/>
    </x:row>
    <x:row r="165">
      <x:c r="A165" s="18" t="str">
        <x:v>SETC02</x:v>
      </x:c>
      <x:c r="B165" s="18" t="str">
        <x:v>Vehicle accessories other than tires</x:v>
      </x:c>
      <x:c r="C165" s="18" t="str">
        <x:v>Vehicle accessories other than tires</x:v>
      </x:c>
      <x:c r="D165" s="19" t="n">
        <x:v>10.2</x:v>
      </x:c>
      <x:c r="E165" s="19" t="n">
        <x:v>12.3</x:v>
      </x:c>
      <x:c r="F165" s="19" t="n">
        <x:v>10.5</x:v>
      </x:c>
      <x:c r="G165" s="19" t="n">
        <x:v>12.5</x:v>
      </x:c>
      <x:c r="H165" s="19" t="n">
        <x:v>14.5</x:v>
      </x:c>
      <x:c r="I165" s="19" t="n">
        <x:v>14.1</x:v>
      </x:c>
      <x:c r="J165" s="19" t="n">
        <x:v>3.9</x:v>
      </x:c>
      <x:c r="K165" s="18" t="str">
        <x:f>IF(ISNUMBER(J165),IF(J165&gt;3,"是","否"),"跳过")</x:f>
        <x:v>是</x:v>
      </x:c>
      <x:c r="L165" s="1"/>
      <x:c r="M165" s="1"/>
      <x:c r="N165" s="1"/>
      <x:c r="O165" s="1"/>
    </x:row>
    <x:row r="166">
      <x:c r="A166" s="18" t="str">
        <x:v>SETD01</x:v>
      </x:c>
      <x:c r="B166" s="18" t="str">
        <x:v>Motor vehicle body work</x:v>
      </x:c>
      <x:c r="C166" s="18" t="str">
        <x:v>Motor vehicle body work</x:v>
      </x:c>
      <x:c r="D166" s="19" t="n">
        <x:v>10.8</x:v>
      </x:c>
      <x:c r="E166" s="19" t="n">
        <x:v>11.9</x:v>
      </x:c>
      <x:c r="F166" s="19" t="n">
        <x:v>12.4</x:v>
      </x:c>
      <x:c r="G166" s="19" t="n">
        <x:v>13</x:v>
      </x:c>
      <x:c r="H166" s="19" t="n">
        <x:v>13.7</x:v>
      </x:c>
      <x:c r="I166" s="19" t="n">
        <x:v>14.4</x:v>
      </x:c>
      <x:c r="J166" s="19" t="str">
        <x:v>—</x:v>
      </x:c>
      <x:c r="K166" s="18" t="str">
        <x:f>IF(ISNUMBER(J166),IF(J166&gt;3,"是","否"),"跳过")</x:f>
        <x:v>跳过</x:v>
      </x:c>
      <x:c r="L166" s="1"/>
      <x:c r="M166" s="1"/>
      <x:c r="N166" s="1"/>
      <x:c r="O166" s="1"/>
    </x:row>
    <x:row r="167">
      <x:c r="A167" s="18" t="str">
        <x:v>SETD02</x:v>
      </x:c>
      <x:c r="B167" s="18" t="str">
        <x:v>Motor vehicle maintenance and servicing</x:v>
      </x:c>
      <x:c r="C167" s="18" t="str">
        <x:v>Motor vehicle maintenance and servicing</x:v>
      </x:c>
      <x:c r="D167" s="19" t="n">
        <x:v>5.6</x:v>
      </x:c>
      <x:c r="E167" s="19" t="n">
        <x:v>5.4</x:v>
      </x:c>
      <x:c r="F167" s="19" t="n">
        <x:v>3.6</x:v>
      </x:c>
      <x:c r="G167" s="19" t="n">
        <x:v>4.5</x:v>
      </x:c>
      <x:c r="H167" s="19" t="n">
        <x:v>4.8</x:v>
      </x:c>
      <x:c r="I167" s="19" t="n">
        <x:v>6.6</x:v>
      </x:c>
      <x:c r="J167" s="19" t="n">
        <x:v>7.9</x:v>
      </x:c>
      <x:c r="K167" s="18" t="str">
        <x:f>IF(ISNUMBER(J167),IF(J167&gt;3,"是","否"),"跳过")</x:f>
        <x:v>是</x:v>
      </x:c>
      <x:c r="L167" s="1"/>
      <x:c r="M167" s="1"/>
      <x:c r="N167" s="1"/>
      <x:c r="O167" s="1"/>
    </x:row>
    <x:row r="168">
      <x:c r="A168" s="18" t="str">
        <x:v>SETD03</x:v>
      </x:c>
      <x:c r="B168" s="18" t="str">
        <x:v>Motor vehicle repair</x:v>
      </x:c>
      <x:c r="C168" s="18" t="str">
        <x:v>Motor vehicle repair</x:v>
      </x:c>
      <x:c r="D168" s="19" t="n">
        <x:v>2.4</x:v>
      </x:c>
      <x:c r="E168" s="19" t="n">
        <x:v>6.7</x:v>
      </x:c>
      <x:c r="F168" s="19" t="n">
        <x:v>5.5</x:v>
      </x:c>
      <x:c r="G168" s="19" t="n">
        <x:v>5.1</x:v>
      </x:c>
      <x:c r="H168" s="19" t="n">
        <x:v>6.9</x:v>
      </x:c>
      <x:c r="I168" s="19" t="n">
        <x:v>9</x:v>
      </x:c>
      <x:c r="J168" s="19" t="n">
        <x:v>2.6</x:v>
      </x:c>
      <x:c r="K168" s="18" t="str">
        <x:f>IF(ISNUMBER(J168),IF(J168&gt;3,"是","否"),"跳过")</x:f>
        <x:v>否</x:v>
      </x:c>
      <x:c r="L168" s="1"/>
      <x:c r="M168" s="1"/>
      <x:c r="N168" s="1"/>
      <x:c r="O168" s="1"/>
    </x:row>
    <x:row r="169">
      <x:c r="A169" s="18" t="str">
        <x:v>SETF01</x:v>
      </x:c>
      <x:c r="B169" s="18" t="str">
        <x:v>State motor vehicle registration and license fees</x:v>
      </x:c>
      <x:c r="C169" s="18" t="str">
        <x:v>State motor vehicle registration and license fees</x:v>
      </x:c>
      <x:c r="D169" s="19" t="n">
        <x:v>0.5</x:v>
      </x:c>
      <x:c r="E169" s="19" t="n">
        <x:v>0.4</x:v>
      </x:c>
      <x:c r="F169" s="19" t="n">
        <x:v>0.5</x:v>
      </x:c>
      <x:c r="G169" s="19" t="n">
        <x:v>0.5</x:v>
      </x:c>
      <x:c r="H169" s="19" t="n">
        <x:v>0.6</x:v>
      </x:c>
      <x:c r="I169" s="19" t="n">
        <x:v>0.7</x:v>
      </x:c>
      <x:c r="J169" s="19" t="n">
        <x:v>3.4</x:v>
      </x:c>
      <x:c r="K169" s="18" t="str">
        <x:f>IF(ISNUMBER(J169),IF(J169&gt;3,"是","否"),"跳过")</x:f>
        <x:v>是</x:v>
      </x:c>
      <x:c r="L169" s="1"/>
      <x:c r="M169" s="1"/>
      <x:c r="N169" s="1"/>
      <x:c r="O169" s="1"/>
    </x:row>
    <x:row r="170">
      <x:c r="A170" s="18" t="str">
        <x:v>SETF03</x:v>
      </x:c>
      <x:c r="B170" s="18" t="str">
        <x:v>Parking and other fees</x:v>
      </x:c>
      <x:c r="C170" s="18" t="str">
        <x:v>Parking and other fees</x:v>
      </x:c>
      <x:c r="D170" s="19" t="n">
        <x:v>2.3</x:v>
      </x:c>
      <x:c r="E170" s="19" t="n">
        <x:v>1.9</x:v>
      </x:c>
      <x:c r="F170" s="19" t="n">
        <x:v>2.1</x:v>
      </x:c>
      <x:c r="G170" s="19" t="n">
        <x:v>1.7</x:v>
      </x:c>
      <x:c r="H170" s="19" t="n">
        <x:v>1.4</x:v>
      </x:c>
      <x:c r="I170" s="19" t="n">
        <x:v>2.6</x:v>
      </x:c>
      <x:c r="J170" s="19" t="n">
        <x:v>-0.1</x:v>
      </x:c>
      <x:c r="K170" s="18" t="str">
        <x:f>IF(ISNUMBER(J170),IF(J170&gt;3,"是","否"),"跳过")</x:f>
        <x:v>否</x:v>
      </x:c>
      <x:c r="L170" s="1"/>
      <x:c r="M170" s="1"/>
      <x:c r="N170" s="1"/>
      <x:c r="O170" s="1"/>
    </x:row>
    <x:row r="171">
      <x:c r="A171" s="18" t="str">
        <x:v>SETG01</x:v>
      </x:c>
      <x:c r="B171" s="18" t="str">
        <x:v>Airline fares</x:v>
      </x:c>
      <x:c r="C171" s="18" t="str">
        <x:v>Airline fares</x:v>
      </x:c>
      <x:c r="D171" s="19" t="n">
        <x:v>4.9</x:v>
      </x:c>
      <x:c r="E171" s="19" t="n">
        <x:v>197.204</x:v>
      </x:c>
      <x:c r="F171" s="19" t="n">
        <x:v>23.6</x:v>
      </x:c>
      <x:c r="G171" s="19" t="n">
        <x:v>33.3</x:v>
      </x:c>
      <x:c r="H171" s="19" t="n">
        <x:v>37.8</x:v>
      </x:c>
      <x:c r="I171" s="19" t="n">
        <x:v>34.1</x:v>
      </x:c>
      <x:c r="J171" s="19" t="n">
        <x:v>23.4</x:v>
      </x:c>
      <x:c r="K171" s="18" t="str">
        <x:f>IF(ISNUMBER(J171),IF(J171&gt;3,"是","否"),"跳过")</x:f>
        <x:v>是</x:v>
      </x:c>
      <x:c r="L171" s="1"/>
      <x:c r="M171" s="1"/>
      <x:c r="N171" s="1"/>
      <x:c r="O171" s="1"/>
    </x:row>
    <x:row r="172">
      <x:c r="A172" s="18" t="str">
        <x:v>SETG02</x:v>
      </x:c>
      <x:c r="B172" s="18" t="str">
        <x:v>Other intercity transportation</x:v>
      </x:c>
      <x:c r="C172" s="18" t="str">
        <x:v>Other intercity transportation</x:v>
      </x:c>
      <x:c r="D172" s="19" t="n">
        <x:v>-2.3</x:v>
      </x:c>
      <x:c r="E172" s="19" t="n">
        <x:v>-1.5</x:v>
      </x:c>
      <x:c r="F172" s="19" t="n">
        <x:v>-1.7</x:v>
      </x:c>
      <x:c r="G172" s="19" t="n">
        <x:v>-2.1</x:v>
      </x:c>
      <x:c r="H172" s="19" t="n">
        <x:v>-3.6</x:v>
      </x:c>
      <x:c r="I172" s="19" t="n">
        <x:v>-4.3</x:v>
      </x:c>
      <x:c r="J172" s="19" t="n">
        <x:v>-3.7</x:v>
      </x:c>
      <x:c r="K172" s="18" t="str">
        <x:f>IF(ISNUMBER(J172),IF(J172&gt;3,"是","否"),"跳过")</x:f>
        <x:v>否</x:v>
      </x:c>
      <x:c r="L172" s="1"/>
      <x:c r="M172" s="1"/>
      <x:c r="N172" s="1"/>
      <x:c r="O172" s="1"/>
    </x:row>
    <x:row r="173">
      <x:c r="A173" s="18" t="str">
        <x:v>SETG03</x:v>
      </x:c>
      <x:c r="B173" s="18" t="str">
        <x:v>Intracity transportation</x:v>
      </x:c>
      <x:c r="C173" s="18" t="str">
        <x:v>Intracity transportation</x:v>
      </x:c>
      <x:c r="D173" s="19" t="n">
        <x:v>5.5</x:v>
      </x:c>
      <x:c r="E173" s="19" t="n">
        <x:v>3.9</x:v>
      </x:c>
      <x:c r="F173" s="19" t="n">
        <x:v>4.3</x:v>
      </x:c>
      <x:c r="G173" s="19" t="n">
        <x:v>2.7</x:v>
      </x:c>
      <x:c r="H173" s="19" t="n">
        <x:v>3.6</x:v>
      </x:c>
      <x:c r="I173" s="19" t="n">
        <x:v>2.8</x:v>
      </x:c>
      <x:c r="J173" s="19" t="n">
        <x:v>8.5</x:v>
      </x:c>
      <x:c r="K173" s="18" t="str">
        <x:f>IF(ISNUMBER(J173),IF(J173&gt;3,"是","否"),"跳过")</x:f>
        <x:v>是</x:v>
      </x:c>
      <x:c r="L173" s="1"/>
      <x:c r="M173" s="1"/>
      <x:c r="N173" s="1"/>
      <x:c r="O173" s="1"/>
    </x:row>
    <x:row r="174">
      <x:c r="A174" s="18" t="str">
        <x:v>SEME</x:v>
      </x:c>
      <x:c r="B174" s="18" t="str">
        <x:v>Health insurance</x:v>
      </x:c>
      <x:c r="C174" s="18" t="str">
        <x:v>Health insurance</x:v>
      </x:c>
      <x:c r="D174" s="19" t="n">
        <x:v>1.7</x:v>
      </x:c>
      <x:c r="E174" s="19" t="n">
        <x:v>4.1</x:v>
      </x:c>
      <x:c r="F174" s="19" t="n">
        <x:v>7.1</x:v>
      </x:c>
      <x:c r="G174" s="19" t="n">
        <x:v>10.4</x:v>
      </x:c>
      <x:c r="H174" s="19" t="n">
        <x:v>13.8</x:v>
      </x:c>
      <x:c r="I174" s="19" t="n">
        <x:v>17.3</x:v>
      </x:c>
      <x:c r="J174" s="19" t="n">
        <x:v>-8.5</x:v>
      </x:c>
      <x:c r="K174" s="18" t="str">
        <x:f>IF(ISNUMBER(J174),IF(J174&gt;3,"是","否"),"跳过")</x:f>
        <x:v>否</x:v>
      </x:c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4" t="str">
        <x:v>因子4汇总：严格按同比&gt;3.0%计数；只纳入数值项目</x:v>
      </x:c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"/>
      <x:c r="M176" s="1"/>
      <x:c r="N176" s="1"/>
      <x:c r="O176" s="1"/>
    </x:row>
    <x:row r="177">
      <x:c r="A177" s="15" t="str">
        <x:v>数值项目数</x:v>
      </x:c>
      <x:c r="B177" s="1"/>
      <x:c r="C177" s="1"/>
      <x:c r="D177" s="1" t="n">
        <x:f>COUNT(D5:D174)</x:f>
        <x:v>167</x:v>
      </x:c>
      <x:c r="E177" s="1" t="n">
        <x:f>COUNT(E5:E174)</x:f>
        <x:v>167</x:v>
      </x:c>
      <x:c r="F177" s="1" t="n">
        <x:f>COUNT(F5:F174)</x:f>
        <x:v>167</x:v>
      </x:c>
      <x:c r="G177" s="1" t="n">
        <x:f>COUNT(G5:G174)</x:f>
        <x:v>167</x:v>
      </x:c>
      <x:c r="H177" s="1" t="n">
        <x:f>COUNT(H5:H174)</x:f>
        <x:v>167</x:v>
      </x:c>
      <x:c r="I177" s="1" t="n">
        <x:f>COUNT(I5:I174)</x:f>
        <x:v>166</x:v>
      </x:c>
      <x:c r="J177" s="1" t="n">
        <x:f>COUNT(J5:J174)</x:f>
        <x:v>164</x:v>
      </x:c>
      <x:c r="K177" s="1"/>
      <x:c r="L177" s="1"/>
      <x:c r="M177" s="1"/>
      <x:c r="N177" s="1"/>
      <x:c r="O177" s="1"/>
    </x:row>
    <x:row r="178">
      <x:c r="A178" s="15" t="str">
        <x:v>同比&gt;3.0%项目数</x:v>
      </x:c>
      <x:c r="B178" s="1"/>
      <x:c r="C178" s="1"/>
      <x:c r="D178" s="1" t="n">
        <x:f>COUNTIF(D5:D174,"&gt;3")</x:f>
        <x:v>120</x:v>
      </x:c>
      <x:c r="E178" s="1" t="n">
        <x:f>COUNTIF(E5:E174,"&gt;3")</x:f>
        <x:v>125</x:v>
      </x:c>
      <x:c r="F178" s="1" t="n">
        <x:f>COUNTIF(F5:F174,"&gt;3")</x:f>
        <x:v>132</x:v>
      </x:c>
      <x:c r="G178" s="1" t="n">
        <x:f>COUNTIF(G5:G174,"&gt;3")</x:f>
        <x:v>125</x:v>
      </x:c>
      <x:c r="H178" s="1" t="n">
        <x:f>COUNTIF(H5:H174,"&gt;3")</x:f>
        <x:v>128</x:v>
      </x:c>
      <x:c r="I178" s="1" t="n">
        <x:f>COUNTIF(I5:I174,"&gt;3")</x:f>
        <x:v>129</x:v>
      </x:c>
      <x:c r="J178" s="1" t="n">
        <x:f>COUNTIF(J5:J174,"&gt;3")</x:f>
        <x:v>82</x:v>
      </x:c>
      <x:c r="K178" s="1"/>
      <x:c r="L178" s="1"/>
      <x:c r="M178" s="1"/>
      <x:c r="N178" s="1"/>
      <x:c r="O178" s="1"/>
    </x:row>
    <x:row r="179">
      <x:c r="A179" s="15" t="str">
        <x:v>因子4广度</x:v>
      </x:c>
      <x:c r="B179" s="1"/>
      <x:c r="C179" s="1"/>
      <x:c r="D179" s="16" t="n">
        <x:f>IF(D177=0,0,D178/D177)</x:f>
        <x:v>0.718562874251497</x:v>
      </x:c>
      <x:c r="E179" s="16" t="n">
        <x:f>IF(E177=0,0,E178/E177)</x:f>
        <x:v>0.7485029940119761</x:v>
      </x:c>
      <x:c r="F179" s="16" t="n">
        <x:f>IF(F177=0,0,F178/F177)</x:f>
        <x:v>0.7904191616766467</x:v>
      </x:c>
      <x:c r="G179" s="16" t="n">
        <x:f>IF(G177=0,0,G178/G177)</x:f>
        <x:v>0.7485029940119761</x:v>
      </x:c>
      <x:c r="H179" s="16" t="n">
        <x:f>IF(H177=0,0,H178/H177)</x:f>
        <x:v>0.7664670658682635</x:v>
      </x:c>
      <x:c r="I179" s="16" t="n">
        <x:f>IF(I177=0,0,I178/I177)</x:f>
        <x:v>0.7771084337349398</x:v>
      </x:c>
      <x:c r="J179" s="16" t="n">
        <x:f>IF(J177=0,0,J178/J177)</x:f>
        <x:v>0.5</x:v>
      </x:c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</x:sheetData>
  <x:mergeCells>
    <x:mergeCell ref="A2:K2"/>
    <x:mergeCell ref="A176:K17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66" hidden="0" customWidth="1"/>
    <x:col min="3" max="3" width="68" hidden="0" customWidth="1"/>
    <x:col min="4" max="4" width="68" hidden="0" customWidth="1"/>
  </x:cols>
  <x:sheetData>
    <x:row r="1" ht="30" customHeight="1">
      <x:c r="A1" s="5" t="str">
        <x:v>口径、数据源与校验规则</x:v>
      </x:c>
      <x:c r="B1" s="5"/>
      <x:c r="C1" s="5"/>
      <x:c r="D1" s="5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1" t="str">
        <x:v>项目</x:v>
      </x:c>
      <x:c r="B3" s="11" t="str">
        <x:v>当前采用口径</x:v>
      </x:c>
      <x:c r="C3" s="11" t="str">
        <x:v>来源</x:v>
      </x:c>
      <x:c r="D3" s="11" t="str">
        <x:v>更新/校验说明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44" customHeight="1">
      <x:c r="A4" s="31" t="str">
        <x:v>因子1｜WGT</x:v>
      </x:c>
      <x:c r="B4" s="18" t="str">
        <x:v>Atlanta Fed Wage Growth Tracker，3个月总体非加权同比工资增长；单位为百分比点。2022H1取月值算术平均。</x:v>
      </x:c>
      <x:c r="C4" s="18" t="str">
        <x:v>https://www.atlantafed.org/research-and-data/data/wage-growth-tracker</x:v>
      </x:c>
      <x:c r="D4" s="18" t="str">
        <x:v>月更；通常在每月第二个周五前后更新。最新值 2026-09=3.9%，对齐值 2026-08=4.1%。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4" customHeight="1">
      <x:c r="A5" s="31" t="str">
        <x:v>因子2｜Sticky CPI</x:v>
      </x:c>
      <x:c r="B5" s="18" t="str">
        <x:v>Atlanta Fed Sticky-Price CPI，12个月变化率。</x:v>
      </x:c>
      <x:c r="C5" s="18" t="str">
        <x:v>https://fred.stlouisfed.org/data/STICKCPIM159SFRBATL</x:v>
      </x:c>
      <x:c r="D5" s="18" t="str">
        <x:v>月更；CPI发布日期当日发布。历史和当前数值取Atlanta Fed序列，经FRED展示。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44" customHeight="1">
      <x:c r="A6" s="31" t="str">
        <x:v>因子3｜Flexible CPI</x:v>
      </x:c>
      <x:c r="B6" s="18" t="str">
        <x:v>Atlanta Fed Flexible-Price CPI，12个月变化率。</x:v>
      </x:c>
      <x:c r="C6" s="18" t="str">
        <x:v>https://fred.stlouisfed.org/data/FLEXCPIM159SFRBATL</x:v>
      </x:c>
      <x:c r="D6" s="18" t="str">
        <x:v>月更；CPI发布日期当日发布。历史和当前数值取Atlanta Fed序列，经FRED展示。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44" customHeight="1">
      <x:c r="A7" s="31" t="str">
        <x:v>因子4｜BLS广度</x:v>
      </x:c>
      <x:c r="B7" s="18" t="str">
        <x:v>BLS CPI-U Table 2，美国城市平均、详细支出类别、未季调12个月同比。169个六字符SE项目代码 + Health insurance一行，只计一次。</x:v>
      </x:c>
      <x:c r="C7" s="18" t="str">
        <x:v>https://www.bls.gov/news.release/cpi.t02.htm</x:v>
      </x:c>
      <x:c r="D7" s="18" t="str">
        <x:v>月更；使用BLS页面显示值（1位小数）。本期 2026-08 为 82/164。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44" customHeight="1">
      <x:c r="A8" s="31" t="str">
        <x:v>211项标准与映射</x:v>
      </x:c>
      <x:c r="B8" s="18" t="str">
        <x:v>BLS称211个 item strata 是最细、完整且互斥的公开商品服务细项；本试算可映射的表格行共170，覆盖80.6%。</x:v>
      </x:c>
      <x:c r="C8" s="18" t="str">
        <x:v>https://www.bls.gov/cpi/additional-resources/cpi-item-aggregation.htm</x:v>
      </x:c>
      <x:c r="D8" s="18" t="str">
        <x:v>其余41项不填补、不代理；覆盖率独立显示。BLS表内汇总行与SS特殊相对指数不作为互斥细项重复计数。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44" customHeight="1">
      <x:c r="A9" s="31" t="str">
        <x:v>健康保险</x:v>
      </x:c>
      <x:c r="B9" s="18" t="str">
        <x:v>Health insurance按一行计入因子4，不展开其ELI子项。</x:v>
      </x:c>
      <x:c r="C9" s="18" t="str">
        <x:v>https://www.bls.gov/cpi/additional-resources/cpi-item-aggregation.htm</x:v>
      </x:c>
      <x:c r="D9" s="18" t="str">
        <x:v>按用户确认只计一次。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44" customHeight="1">
      <x:c r="A10" s="31" t="str">
        <x:v>缺失值</x:v>
      </x:c>
      <x:c r="B10" s="18" t="str">
        <x:v>BLS同比列为破折号或空白时，既不计入&gt;3%项目，也不计入分母。</x:v>
      </x:c>
      <x:c r="C10" s="18" t="str">
        <x:v>https://www.bls.gov/news.release/cpi.t02.htm</x:v>
      </x:c>
      <x:c r="D10" s="18" t="str">
        <x:v>逐月分母为有数值的行数；因子4明细表保留“—”与“空白”状态。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44" customHeight="1">
      <x:c r="A11" s="31" t="str">
        <x:v>阈值</x:v>
      </x:c>
      <x:c r="B11" s="18" t="str">
        <x:v>因子4阈值为同比严格&gt;3.0%；恰好3.0不计入。复合指数100表示2022H1基准。</x:v>
      </x:c>
      <x:c r="C11" s="18" t="str">
        <x:v>https://www.bls.gov/news.release/cpi.t02.htm</x:v>
      </x:c>
      <x:c r="D11" s="18" t="str">
        <x:v>不设红/黄/绿区间，待用历史数据与风险资产结果回测后再定。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44" customHeight="1">
      <x:c r="A12" s="31" t="str">
        <x:v>等权公式</x:v>
      </x:c>
      <x:c r="B12" s="18" t="str">
        <x:v>单因子指数=当期值÷2022H1均值×100；总分=四个单因子指数的算术平均。</x:v>
      </x:c>
      <x:c r="C12" s="18" t="str">
        <x:v>视频口述口径；计算在“因子数据”及“看板”中展示。</x:v>
      </x:c>
      <x:c r="D12" s="18" t="str">
        <x:v>BLS广度基准为2022H1六个月广度的简单平均。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44" customHeight="1">
      <x:c r="A13" s="31" t="str">
        <x:v>数据源优先级</x:v>
      </x:c>
      <x:c r="B13" s="18" t="str">
        <x:v>第一：BLS / Atlanta Fed 官方；第二：FRED（Atlanta Fed来源序列）；官方缺失时再用Wind或iFinD。</x:v>
      </x:c>
      <x:c r="C13" s="18" t="str">
        <x:v>—</x:v>
      </x:c>
      <x:c r="D13" s="18" t="str">
        <x:v>替代数据须对齐代码、地域、频率、单位、同比定义和观测期；对不上就停，不混算。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44" customHeight="1">
      <x:c r="A14" s="31" t="str">
        <x:v>历史标题校验</x:v>
      </x:c>
      <x:c r="B14" s="18" t="str">
        <x:v>2022与现行BLS表的标题变化按六字符项目代码对应；此表另列2022页面名称以便复核。</x:v>
      </x:c>
      <x:c r="C14" s="18" t="str">
        <x:v>https://www.bls.gov/cpi/additional-resources/series-title-changes.htm</x:v>
      </x:c>
      <x:c r="D14" s="18" t="str">
        <x:v>保留代码、历史名称和现行表名；标题变更不改变项目计数。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44" customHeight="1">
      <x:c r="A15" s="18" t="str">
        <x:v>阶段判断边界</x:v>
      </x:c>
      <x:c r="B15" s="18" t="str">
        <x:v>当前 53.77（最新可得混合期）/54.60（2026-08同月对齐）均低于100基准。</x:v>
      </x:c>
      <x:c r="C15" s="18" t="str">
        <x:v>https://www.atlantafed.org/research-and-data/data/wage-growth-tracker</x:v>
      </x:c>
      <x:c r="D15" s="18" t="str">
        <x:v>这说明低于2022H1通胀压力基准，不足以单独定义投资风险阶段；需先回测阈值。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</x:row>
  </x:sheetData>
  <x:pageMargins left="0.7" right="0.7" top="0.75" bottom="0.75" header="0.3" footer="0.3"/>
</x:worksheet>
</file>