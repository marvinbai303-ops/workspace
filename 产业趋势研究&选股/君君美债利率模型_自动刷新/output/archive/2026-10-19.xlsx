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b8282ac37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3d9e910e355145a9"/>
    <x:sheet xmlns:r="http://schemas.openxmlformats.org/officeDocument/2006/relationships" name="因子引擎" sheetId="2" r:id="Rc8c42af98fe543dd"/>
    <x:sheet xmlns:r="http://schemas.openxmlformats.org/officeDocument/2006/relationships" name="风险资产" sheetId="3" r:id="R3155d33d1a604a7b"/>
    <x:sheet xmlns:r="http://schemas.openxmlformats.org/officeDocument/2006/relationships" name="场景与阈值" sheetId="4" r:id="R180ccf8e6ea34513"/>
    <x:sheet xmlns:r="http://schemas.openxmlformats.org/officeDocument/2006/relationships" name="数据字典" sheetId="5" r:id="R5f3fc68ed17340e6"/>
    <x:sheet xmlns:r="http://schemas.openxmlformats.org/officeDocument/2006/relationships" name="方法与信源" sheetId="6" r:id="R7d3b813fe1c0471f"/>
    <x:sheet xmlns:r="http://schemas.openxmlformats.org/officeDocument/2006/relationships" name="审计" sheetId="7" r:id="Rfbb01e8a8454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109e9529e4c8d" /><Relationship Type="http://schemas.openxmlformats.org/officeDocument/2006/relationships/theme" Target="/xl/theme/theme1.xml" Id="R2c6ba7f97bad4c9b" /><Relationship Type="http://schemas.openxmlformats.org/officeDocument/2006/relationships/sharedStrings" Target="/xl/sharedStrings.xml" Id="R811a3b93cbd04571" /><Relationship Type="http://schemas.openxmlformats.org/officeDocument/2006/relationships/worksheet" Target="/xl/worksheets/sheet1.xml" Id="R3d9e910e355145a9" /><Relationship Type="http://schemas.openxmlformats.org/officeDocument/2006/relationships/worksheet" Target="/xl/worksheets/sheet2.xml" Id="Rc8c42af98fe543dd" /><Relationship Type="http://schemas.openxmlformats.org/officeDocument/2006/relationships/worksheet" Target="/xl/worksheets/sheet3.xml" Id="R3155d33d1a604a7b" /><Relationship Type="http://schemas.openxmlformats.org/officeDocument/2006/relationships/worksheet" Target="/xl/worksheets/sheet4.xml" Id="R180ccf8e6ea34513" /><Relationship Type="http://schemas.openxmlformats.org/officeDocument/2006/relationships/worksheet" Target="/xl/worksheets/sheet5.xml" Id="R5f3fc68ed17340e6" /><Relationship Type="http://schemas.openxmlformats.org/officeDocument/2006/relationships/worksheet" Target="/xl/worksheets/sheet6.xml" Id="R7d3b813fe1c0471f" /><Relationship Type="http://schemas.openxmlformats.org/officeDocument/2006/relationships/worksheet" Target="/xl/worksheets/sheet7.xml" Id="Rfbb01e8a845445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0fb534af0e4b6b" /><Relationship Type="http://schemas.openxmlformats.org/officeDocument/2006/relationships/chart" Target="/xl/drawings/charts/chart2.xml" Id="R1c22ae471f6040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0fb534af0e4b6b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22ae471f6040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2ccf8c4ffd49f7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2026-10-16；官方数据经 FRED、纽约联储、BLS、DOL、EIA、Atlanta Fed 交叉核验。高分=利率/金融条件压力更大。</x:v>
      </x:c>
      <x:c r="B3" s="10" t="str">
        <x:v>当前快照截至 2026-10-16；官方数据经 FRED、纽约联储、BLS、DOL、EIA、Atlanta Fed 交叉核验。高分=利率/金融条件压力更大。</x:v>
      </x:c>
      <x:c r="C3" s="10" t="str">
        <x:v>当前快照截至 2026-10-16；官方数据经 FRED、纽约联储、BLS、DOL、EIA、Atlanta Fed 交叉核验。高分=利率/金融条件压力更大。</x:v>
      </x:c>
      <x:c r="D3" s="10" t="str">
        <x:v>当前快照截至 2026-10-16；官方数据经 FRED、纽约联储、BLS、DOL、EIA、Atlanta Fed 交叉核验。高分=利率/金融条件压力更大。</x:v>
      </x:c>
      <x:c r="E3" s="10" t="str">
        <x:v>当前快照截至 2026-10-16；官方数据经 FRED、纽约联储、BLS、DOL、EIA、Atlanta Fed 交叉核验。高分=利率/金融条件压力更大。</x:v>
      </x:c>
      <x:c r="F3" s="10" t="str">
        <x:v>当前快照截至 2026-10-16；官方数据经 FRED、纽约联储、BLS、DOL、EIA、Atlanta Fed 交叉核验。高分=利率/金融条件压力更大。</x:v>
      </x:c>
      <x:c r="G3" s="10" t="str">
        <x:v>当前快照截至 2026-10-16；官方数据经 FRED、纽约联储、BLS、DOL、EIA、Atlanta Fed 交叉核验。高分=利率/金融条件压力更大。</x:v>
      </x:c>
      <x:c r="H3" s="10" t="str">
        <x:v>当前快照截至 2026-10-16；官方数据经 FRED、纽约联储、BLS、DOL、EIA、Atlanta Fed 交叉核验。高分=利率/金融条件压力更大。</x:v>
      </x:c>
      <x:c r="I3" s="10" t="str">
        <x:v>当前快照截至 2026-10-16；官方数据经 FRED、纽约联储、BLS、DOL、EIA、Atlanta Fed 交叉核验。高分=利率/金融条件压力更大。</x:v>
      </x:c>
      <x:c r="J3" s="10" t="str">
        <x:v>当前快照截至 2026-10-16；官方数据经 FRED、纽约联储、BLS、DOL、EIA、Atlanta Fed 交叉核验。高分=利率/金融条件压力更大。</x:v>
      </x:c>
      <x:c r="K3" s="10" t="str">
        <x:v>当前快照截至 2026-10-16；官方数据经 FRED、纽约联储、BLS、DOL、EIA、Atlanta Fed 交叉核验。高分=利率/金融条件压力更大。</x:v>
      </x:c>
      <x:c r="L3" s="10" t="str">
        <x:v>当前快照截至 2026-10-16；官方数据经 FRED、纽约联储、BLS、DOL、EIA、Atlanta Fed 交叉核验。高分=利率/金融条件压力更大。</x:v>
      </x:c>
      <x:c r="M3" s="10" t="str">
        <x:v>当前快照截至 2026-10-16；官方数据经 FRED、纽约联储、BLS、DOL、EIA、Atlanta Fed 交叉核验。高分=利率/金融条件压力更大。</x:v>
      </x:c>
      <x:c r="N3" s="10" t="str">
        <x:v>当前快照截至 2026-10-16；官方数据经 FRED、纽约联储、BLS、DOL、EIA、Atlanta Fed 交叉核验。高分=利率/金融条件压力更大。</x:v>
      </x:c>
      <x:c r="O3" s="10" t="str">
        <x:v>当前快照截至 2026-10-16；官方数据经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57.973801238557876</x:v>
      </x:c>
      <x:c r="B6" s="99"/>
      <x:c r="C6" s="99"/>
      <x:c r="D6" s="99" t="n">
        <x:f>'因子引擎'!$B$43</x:f>
        <x:v>48.50348959521995</x:v>
      </x:c>
      <x:c r="E6" s="99"/>
      <x:c r="F6" s="99"/>
      <x:c r="G6" s="99" t="n">
        <x:f>'因子引擎'!$B$44</x:f>
        <x:v>71.93490484609214</x:v>
      </x:c>
      <x:c r="H6" s="99"/>
      <x:c r="I6" s="99"/>
      <x:c r="J6" s="99" t="n">
        <x:f>'因子引擎'!$B$45</x:f>
        <x:v>54.71244475324007</x:v>
      </x:c>
      <x:c r="K6" s="99"/>
      <x:c r="L6" s="99"/>
      <x:c r="M6" s="99" t="n">
        <x:f>'因子引擎'!$B$47</x:f>
        <x:v>60.234101756450556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0.5188101177361607</x:v>
      </x:c>
      <x:c r="K12" s="50" t="str">
        <x:v>主导</x:v>
      </x:c>
      <x:c r="L12" s="50" t="str">
        <x:v>市场冲击占比</x:v>
      </x:c>
      <x:c r="M12" s="50" t="n">
        <x:f>'因子引擎'!$B$50</x:f>
        <x:v>0.4811898822638393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0.09999999999999964</x:v>
      </x:c>
      <x:c r="K13" s="39" t="str">
        <x:v>+47bp</x:v>
      </x:c>
      <x:c r="L13" s="39" t="str">
        <x:v>10Y实际利率20日</x:v>
      </x:c>
      <x:c r="M13" s="111" t="n">
        <x:f>'因子引擎'!$E$32</x:f>
        <x:v>0.16999999999999993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0.747452546106662</x:v>
      </x:c>
      <x:c r="K14" s="39" t="str">
        <x:v>高于5年中枢</x:v>
      </x:c>
      <x:c r="L14" s="39" t="str">
        <x:v>ACM TP 20日</x:v>
      </x:c>
      <x:c r="M14" s="111" t="n">
        <x:f>'因子引擎'!$E$29</x:f>
        <x:v>0.08162834807678099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0.5299999999999998</x:v>
      </x:c>
      <x:c r="K15" s="39" t="str">
        <x:v>+13bp</x:v>
      </x:c>
      <x:c r="L15" s="39" t="str">
        <x:v>VIX</x:v>
      </x:c>
      <x:c r="M15" s="111" t="n">
        <x:f>'因子引擎'!$E$35</x:f>
        <x:v>16.46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-0.499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57.973801238557876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48.50348959521995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71.93490484609214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54.71244475324007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60.234101756450556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40.9474075886965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40.924331895889104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42.05172814621466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42.172519127152356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41.88540251791109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41.956181722239634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40.27983368120326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44.769420560187015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40.026391001630586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58.20713802182897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f92ccf8c4ffd49f7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2026-10-16。 </x:v>
      </x:c>
      <x:c r="B3" s="53" t="str">
        <x:v>名义利率 = 预期政策路径 + 通胀补偿 + 期限溢价；风险资产压力再经过市场传导门控。蓝色单元格为可更新输入。 数据截至 2026-10-16。 </x:v>
      </x:c>
      <x:c r="C3" s="53" t="str">
        <x:v>名义利率 = 预期政策路径 + 通胀补偿 + 期限溢价；风险资产压力再经过市场传导门控。蓝色单元格为可更新输入。 数据截至 2026-10-16。 </x:v>
      </x:c>
      <x:c r="D3" s="53" t="str">
        <x:v>名义利率 = 预期政策路径 + 通胀补偿 + 期限溢价；风险资产压力再经过市场传导门控。蓝色单元格为可更新输入。 数据截至 2026-10-16。 </x:v>
      </x:c>
      <x:c r="E3" s="53" t="str">
        <x:v>名义利率 = 预期政策路径 + 通胀补偿 + 期限溢价；风险资产压力再经过市场传导门控。蓝色单元格为可更新输入。 数据截至 2026-10-16。 </x:v>
      </x:c>
      <x:c r="F3" s="53" t="str">
        <x:v>名义利率 = 预期政策路径 + 通胀补偿 + 期限溢价；风险资产压力再经过市场传导门控。蓝色单元格为可更新输入。 数据截至 2026-10-16。 </x:v>
      </x:c>
      <x:c r="G3" s="53" t="str">
        <x:v>名义利率 = 预期政策路径 + 通胀补偿 + 期限溢价；风险资产压力再经过市场传导门控。蓝色单元格为可更新输入。 数据截至 2026-10-16。 </x:v>
      </x:c>
      <x:c r="H3" s="53" t="str">
        <x:v>名义利率 = 预期政策路径 + 通胀补偿 + 期限溢价；风险资产压力再经过市场传导门控。蓝色单元格为可更新输入。 数据截至 2026-10-16。 </x:v>
      </x:c>
      <x:c r="I3" s="53" t="str">
        <x:v>名义利率 = 预期政策路径 + 通胀补偿 + 期限溢价；风险资产压力再经过市场传导门控。蓝色单元格为可更新输入。 数据截至 2026-10-16。 </x:v>
      </x:c>
      <x:c r="J3" s="53" t="str">
        <x:v>名义利率 = 预期政策路径 + 通胀补偿 + 期限溢价；风险资产压力再经过市场传导门控。蓝色单元格为可更新输入。 数据截至 2026-10-16。 </x:v>
      </x:c>
      <x:c r="K3" s="53" t="str">
        <x:v>名义利率 = 预期政策路径 + 通胀补偿 + 期限溢价；风险资产压力再经过市场传导门控。蓝色单元格为可更新输入。 数据截至 2026-10-16。 </x:v>
      </x:c>
      <x:c r="L3" s="53" t="str">
        <x:v>名义利率 = 预期政策路径 + 通胀补偿 + 期限溢价；风险资产压力再经过市场传导门控。蓝色单元格为可更新输入。 数据截至 2026-10-16。 </x:v>
      </x:c>
      <x:c r="M3" s="53" t="str">
        <x:v>名义利率 = 预期政策路径 + 通胀补偿 + 期限溢价；风险资产压力再经过市场传导门控。蓝色单元格为可更新输入。 数据截至 2026-10-16。 </x:v>
      </x:c>
      <x:c r="N3" s="53" t="str">
        <x:v>名义利率 = 预期政策路径 + 通胀补偿 + 期限溢价；风险资产压力再经过市场传导门控。蓝色单元格为可更新输入。 数据截至 2026-10-16。 </x:v>
      </x:c>
      <x:c r="O3" s="53" t="str">
        <x:v>名义利率 = 预期政策路径 + 通胀补偿 + 期限溢价；风险资产压力再经过市场传导门控。蓝色单元格为可更新输入。 数据截至 2026-10-16。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0.8899999999999997</x:v>
      </x:c>
      <x:c r="F5" s="57" t="str">
        <x:v>百分点</x:v>
      </x:c>
      <x:c r="G5" s="56" t="n">
        <x:v>-0.11578807947019872</x:v>
      </x:c>
      <x:c r="H5" s="56" t="n">
        <x:v>1.097043080437108</x:v>
      </x:c>
      <x:c r="I5" s="58" t="n">
        <x:f>IFERROR(C5*(E5-G5)/H5,"")</x:f>
        <x:v>0.9168173040838561</x:v>
      </x:c>
      <x:c r="J5" s="58" t="n">
        <x:f>IF(I5="","",MAX(0,MIN(100,50+20*I5)))</x:f>
        <x:v>68.33634608167712</x:v>
      </x:c>
      <x:c r="K5" s="54" t="str">
        <x:v>2026-10-15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0.09999999999999964</x:v>
      </x:c>
      <x:c r="F6" s="57" t="str">
        <x:v>百分点</x:v>
      </x:c>
      <x:c r="G6" s="56" t="n">
        <x:v>0.058867549668874086</x:v>
      </x:c>
      <x:c r="H6" s="56" t="n">
        <x:v>1.0623310963116979</x:v>
      </x:c>
      <x:c r="I6" s="58" t="n">
        <x:f>IFERROR(C6*(E6-G6)/H6,"")</x:f>
        <x:v>0.038719049526021704</x:v>
      </x:c>
      <x:c r="J6" s="58" t="n">
        <x:f>IF(I6="","",MAX(0,MIN(100,50+20*I6)))</x:f>
        <x:v>50.774380990520434</x:v>
      </x:c>
      <x:c r="K6" s="54" t="str">
        <x:v>2026-10-15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0.03585619678334918</x:v>
      </x:c>
      <x:c r="H7" s="56" t="n">
        <x:v>0.18315567444346978</x:v>
      </x:c>
      <x:c r="I7" s="58" t="n">
        <x:f>IFERROR(C7*(E7-G7)/H7,"")</x:f>
        <x:v>-0.19576896480166678</x:v>
      </x:c>
      <x:c r="J7" s="58" t="n">
        <x:f>IF(I7="","",MAX(0,MIN(100,50+20*I7)))</x:f>
        <x:v>46.084620703966664</x:v>
      </x:c>
      <x:c r="K7" s="54" t="str">
        <x:v>2026-10-15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57.973801238557876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2.37</x:v>
      </x:c>
      <x:c r="F10" s="57" t="str">
        <x:v>%</x:v>
      </x:c>
      <x:c r="G10" s="56" t="n">
        <x:v>2.3432230311052313</x:v>
      </x:c>
      <x:c r="H10" s="56" t="n">
        <x:v>0.5576067615760325</x:v>
      </x:c>
      <x:c r="I10" s="58" t="n">
        <x:f>IFERROR(C10*(E10-G10)/H10,"")</x:f>
        <x:v>0.04802124138359753</x:v>
      </x:c>
      <x:c r="J10" s="58" t="n">
        <x:f>IF(I10="","",MAX(0,MIN(100,50+20*I10)))</x:f>
        <x:v>50.96042482767195</x:v>
      </x:c>
      <x:c r="K10" s="54" t="str">
        <x:v>2026-10-16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0.06000000000000005</x:v>
      </x:c>
      <x:c r="F11" s="57" t="str">
        <x:v>百分点</x:v>
      </x:c>
      <x:c r="G11" s="56" t="n">
        <x:v>0.005850430178689616</x:v>
      </x:c>
      <x:c r="H11" s="56" t="n">
        <x:v>0.6971359964035719</x:v>
      </x:c>
      <x:c r="I11" s="58" t="n">
        <x:f>IFERROR(C11*(E11-G11)/H11,"")</x:f>
        <x:v>0.07767432767876077</x:v>
      </x:c>
      <x:c r="J11" s="58" t="n">
        <x:f>IF(I11="","",MAX(0,MIN(100,50+20*I11)))</x:f>
        <x:v>51.55348655357521</x:v>
      </x:c>
      <x:c r="K11" s="54" t="str">
        <x:v>2026-10-16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2.33</x:v>
      </x:c>
      <x:c r="F12" s="57" t="str">
        <x:v>%</x:v>
      </x:c>
      <x:c r="G12" s="56" t="n">
        <x:v>2.1609861019192595</x:v>
      </x:c>
      <x:c r="H12" s="56" t="n">
        <x:v>0.4625797448403</x:v>
      </x:c>
      <x:c r="I12" s="58" t="n">
        <x:f>IFERROR(C12*(E12-G12)/H12,"")</x:f>
        <x:v>0.36537245732428364</x:v>
      </x:c>
      <x:c r="J12" s="58" t="n">
        <x:f>IF(I12="","",MAX(0,MIN(100,50+20*I12)))</x:f>
        <x:v>57.30744914648567</x:v>
      </x:c>
      <x:c r="K12" s="54" t="str">
        <x:v>2026-10-16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53.07210372738221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198500</x:v>
      </x:c>
      <x:c r="F19" s="57" t="str">
        <x:v>人</x:v>
      </x:c>
      <x:c r="G19" s="56" t="n">
        <x:v>264475.99337748345</x:v>
      </x:c>
      <x:c r="H19" s="56" t="n">
        <x:v>129376.24139969035</x:v>
      </x:c>
      <x:c r="I19" s="58" t="n">
        <x:f>IFERROR(C19*(E19-G19)/H19,"")</x:f>
        <x:v>0.5099544759045794</x:v>
      </x:c>
      <x:c r="J19" s="58" t="n">
        <x:f>IF(I19="","",MAX(0,MIN(100,50+20*I19)))</x:f>
        <x:v>60.19908951809159</x:v>
      </x:c>
      <x:c r="K19" s="54" t="str">
        <x:v>2026-10-10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35.520877330750906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3.3810311253439362</x:v>
      </x:c>
      <x:c r="F22" s="57" t="str">
        <x:v>%</x:v>
      </x:c>
      <x:c r="G22" s="56" t="n">
        <x:v>1.7052917625095732</x:v>
      </x:c>
      <x:c r="H22" s="56" t="n">
        <x:v>3.23770758860311</x:v>
      </x:c>
      <x:c r="I22" s="58" t="n">
        <x:f>IFERROR(C22*(E22-G22)/H22,"")</x:f>
        <x:v>0.5175697054091754</x:v>
      </x:c>
      <x:c r="J22" s="58" t="n">
        <x:f>IF(I22="","",MAX(0,MIN(100,50+20*I22)))</x:f>
        <x:v>60.351394108183506</x:v>
      </x:c>
      <x:c r="K22" s="54" t="str">
        <x:v>2026-09-01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16.25598904859684</x:v>
      </x:c>
      <x:c r="F23" s="57" t="str">
        <x:v>%</x:v>
      </x:c>
      <x:c r="G23" s="56" t="n">
        <x:v>0.1142404810583327</x:v>
      </x:c>
      <x:c r="H23" s="56" t="n">
        <x:v>28.66433265996694</x:v>
      </x:c>
      <x:c r="I23" s="58" t="n">
        <x:f>IFERROR(C23*(E23-G23)/H23,"")</x:f>
        <x:v>0.5631301017547263</x:v>
      </x:c>
      <x:c r="J23" s="58" t="n">
        <x:f>IF(I23="","",MAX(0,MIN(100,50+20*I23)))</x:f>
        <x:v>61.26260203509453</x:v>
      </x:c>
      <x:c r="K23" s="54" t="str">
        <x:v>2026-10-14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60.94367926067568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48.50348959521995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0.747452546106662</x:v>
      </x:c>
      <x:c r="F28" s="57" t="str">
        <x:v>%</x:v>
      </x:c>
      <x:c r="G28" s="56" t="n">
        <x:v>-0.04997854866526543</x:v>
      </x:c>
      <x:c r="H28" s="56" t="n">
        <x:v>0.5481787046157713</x:v>
      </x:c>
      <x:c r="I28" s="58" t="n">
        <x:f>IFERROR(C28*(E28-G28)/H28,"")</x:f>
        <x:v>1.4546918515028082</x:v>
      </x:c>
      <x:c r="J28" s="58" t="n">
        <x:f>IF(I28="","",MAX(0,MIN(100,50+20*I28)))</x:f>
        <x:v>79.09383703005616</x:v>
      </x:c>
      <x:c r="K28" s="54" t="str">
        <x:v>2026-10-15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0.08162834807678099</x:v>
      </x:c>
      <x:c r="F29" s="57" t="str">
        <x:v>百分点</x:v>
      </x:c>
      <x:c r="G29" s="56" t="n">
        <x:v>0.022481688081263787</x:v>
      </x:c>
      <x:c r="H29" s="56" t="n">
        <x:v>0.2261507010318255</x:v>
      </x:c>
      <x:c r="I29" s="58" t="n">
        <x:f>IFERROR(C29*(E29-G29)/H29,"")</x:f>
        <x:v>0.2615364875088036</x:v>
      </x:c>
      <x:c r="J29" s="58" t="n">
        <x:f>IF(I29="","",MAX(0,MIN(100,50+20*I29)))</x:f>
        <x:v>55.230729750176074</x:v>
      </x:c>
      <x:c r="K29" s="54" t="str">
        <x:v>2026-10-15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71.93490484609214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0.16999999999999993</x:v>
      </x:c>
      <x:c r="F32" s="57" t="str">
        <x:v>百分点</x:v>
      </x:c>
      <x:c r="G32" s="56" t="n">
        <x:v>0.048245033112582776</x:v>
      </x:c>
      <x:c r="H32" s="56" t="n">
        <x:v>0.5126248732369496</x:v>
      </x:c>
      <x:c r="I32" s="58" t="n">
        <x:f>IFERROR(C32*(E32-G32)/H32,"")</x:f>
        <x:v>0.23751279589419882</x:v>
      </x:c>
      <x:c r="J32" s="58" t="n">
        <x:f>IF(I32="","",MAX(0,MIN(100,50+20*I32)))</x:f>
        <x:v>54.750255917883976</x:v>
      </x:c>
      <x:c r="K32" s="54" t="str">
        <x:v>2026-10-15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0.5299999999999998</x:v>
      </x:c>
      <x:c r="F33" s="57" t="str">
        <x:v>百分点</x:v>
      </x:c>
      <x:c r="G33" s="56" t="n">
        <x:v>-0.03272609819121447</x:v>
      </x:c>
      <x:c r="H33" s="56" t="n">
        <x:v>0.5356010611256622</x:v>
      </x:c>
      <x:c r="I33" s="58" t="n">
        <x:f>IFERROR(C33*(E33-G33)/H33,"")</x:f>
        <x:v>1.0506441062841512</x:v>
      </x:c>
      <x:c r="J33" s="58" t="n">
        <x:f>IF(I33="","",MAX(0,MIN(100,50+20*I33)))</x:f>
        <x:v>71.01288212568302</x:v>
      </x:c>
      <x:c r="K33" s="54" t="str">
        <x:v>2026-10-15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0.05999999999999994</x:v>
      </x:c>
      <x:c r="F34" s="57" t="str">
        <x:v>百分点</x:v>
      </x:c>
      <x:c r="G34" s="56" t="n">
        <x:v>-0.012338501291989686</x:v>
      </x:c>
      <x:c r="H34" s="56" t="n">
        <x:v>0.1542861847190591</x:v>
      </x:c>
      <x:c r="I34" s="58" t="n">
        <x:f>IFERROR(C34*(E34-G34)/H34,"")</x:f>
        <x:v>0.4688592269211359</x:v>
      </x:c>
      <x:c r="J34" s="58" t="n">
        <x:f>IF(I34="","",MAX(0,MIN(100,50+20*I34)))</x:f>
        <x:v>59.37718453842272</x:v>
      </x:c>
      <x:c r="K34" s="54" t="str">
        <x:v>2026-10-15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16.46</x:v>
      </x:c>
      <x:c r="F35" s="57" t="str">
        <x:v>指数</x:v>
      </x:c>
      <x:c r="G35" s="56" t="n">
        <x:v>18.839543046357605</x:v>
      </x:c>
      <x:c r="H35" s="56" t="n">
        <x:v>5.585010445209219</x:v>
      </x:c>
      <x:c r="I35" s="58" t="n">
        <x:f>IFERROR(C35*(E35-G35)/H35,"")</x:f>
        <x:v>-0.4260588354671312</x:v>
      </x:c>
      <x:c r="J35" s="58" t="n">
        <x:f>IF(I35="","",MAX(0,MIN(100,50+20*I35)))</x:f>
        <x:v>41.478823290657374</x:v>
      </x:c>
      <x:c r="K35" s="54" t="str">
        <x:v>2026-10-15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2.8674608290486736</x:v>
      </x:c>
      <x:c r="F36" s="57" t="str">
        <x:v>%</x:v>
      </x:c>
      <x:c r="G36" s="56" t="n">
        <x:v>-3.843107270670175</x:v>
      </x:c>
      <x:c r="H36" s="56" t="n">
        <x:v>19.561548309273117</x:v>
      </x:c>
      <x:c r="I36" s="58" t="n">
        <x:f>IFERROR(C36*(E36-G36)/H36,"")</x:f>
        <x:v>0.3430489240229372</x:v>
      </x:c>
      <x:c r="J36" s="58" t="n">
        <x:f>IF(I36="","",MAX(0,MIN(100,50+20*I36)))</x:f>
        <x:v>56.86097848045874</x:v>
      </x:c>
      <x:c r="K36" s="54" t="str">
        <x:v>2026-10-09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-0.499</x:v>
      </x:c>
      <x:c r="F37" s="57" t="str">
        <x:v>指数</x:v>
      </x:c>
      <x:c r="G37" s="56" t="n">
        <x:v>-0.43043377483443734</x:v>
      </x:c>
      <x:c r="H37" s="56" t="n">
        <x:v>0.1505423216782181</x:v>
      </x:c>
      <x:c r="I37" s="58" t="n">
        <x:f>IFERROR(C37*(E37-G37)/H37,"")</x:f>
        <x:v>-0.455461456959073</x:v>
      </x:c>
      <x:c r="J37" s="58" t="n">
        <x:f>IF(I37="","",MAX(0,MIN(100,50+20*I37)))</x:f>
        <x:v>40.89077086081854</x:v>
      </x:c>
      <x:c r="K37" s="54" t="str">
        <x:v>2026-10-09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54.71244475324007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57.973801238557876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48.50348959521995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71.93490484609214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54.71244475324007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58.84752324564988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60.234101756450556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57.39560071788764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0.5188101177361607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0.4811898822638393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40.9474075886965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40.924331895889104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42.05172814621466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42.172519127152356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41.88540251791109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41.956181722239634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40.27983368120326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44.769420560187015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40.026391001630586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58.20713802182897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57.973801238557876</x:v>
      </x:c>
      <x:c r="C6" s="58" t="n">
        <x:f>'因子引擎'!$B$43</x:f>
        <x:v>48.50348959521995</x:v>
      </x:c>
      <x:c r="D6" s="58" t="n">
        <x:f>'因子引擎'!$B$44</x:f>
        <x:v>71.93490484609214</x:v>
      </x:c>
      <x:c r="E6" s="58" t="n">
        <x:f>'因子引擎'!$B$45</x:f>
        <x:v>54.71244475324007</x:v>
      </x:c>
      <x:c r="F6" s="58" t="n">
        <x:f>MIN(100,MAX(0,(35%*B6+35%*C6+30%*D6)*(0.75+0.5*E6/100)))</x:f>
        <x:v>60.234101756450556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40.9474075886965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40.924331895889104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42.172519127152356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41.956181722239634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58.20713802182897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60.234101756450556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40.026391001630586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