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56d2a96cd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a0307943226845a2"/>
    <x:sheet xmlns:r="http://schemas.openxmlformats.org/officeDocument/2006/relationships" name="因子引擎" sheetId="2" r:id="R8f695d97e364488a"/>
    <x:sheet xmlns:r="http://schemas.openxmlformats.org/officeDocument/2006/relationships" name="风险资产" sheetId="3" r:id="Rb463e7dac12f4686"/>
    <x:sheet xmlns:r="http://schemas.openxmlformats.org/officeDocument/2006/relationships" name="场景与阈值" sheetId="4" r:id="Raca71235387b45bd"/>
    <x:sheet xmlns:r="http://schemas.openxmlformats.org/officeDocument/2006/relationships" name="数据字典" sheetId="5" r:id="Re0531094e338429a"/>
    <x:sheet xmlns:r="http://schemas.openxmlformats.org/officeDocument/2006/relationships" name="方法与信源" sheetId="6" r:id="R3691b17b0dbd436c"/>
    <x:sheet xmlns:r="http://schemas.openxmlformats.org/officeDocument/2006/relationships" name="审计" sheetId="7" r:id="Re0a5f4e7ff4d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d48eeff304169" /><Relationship Type="http://schemas.openxmlformats.org/officeDocument/2006/relationships/theme" Target="/xl/theme/theme1.xml" Id="R4fe2e6a360b7425d" /><Relationship Type="http://schemas.openxmlformats.org/officeDocument/2006/relationships/sharedStrings" Target="/xl/sharedStrings.xml" Id="R8f2fc40be3bf4961" /><Relationship Type="http://schemas.openxmlformats.org/officeDocument/2006/relationships/worksheet" Target="/xl/worksheets/sheet1.xml" Id="Ra0307943226845a2" /><Relationship Type="http://schemas.openxmlformats.org/officeDocument/2006/relationships/worksheet" Target="/xl/worksheets/sheet2.xml" Id="R8f695d97e364488a" /><Relationship Type="http://schemas.openxmlformats.org/officeDocument/2006/relationships/worksheet" Target="/xl/worksheets/sheet3.xml" Id="Rb463e7dac12f4686" /><Relationship Type="http://schemas.openxmlformats.org/officeDocument/2006/relationships/worksheet" Target="/xl/worksheets/sheet4.xml" Id="Raca71235387b45bd" /><Relationship Type="http://schemas.openxmlformats.org/officeDocument/2006/relationships/worksheet" Target="/xl/worksheets/sheet5.xml" Id="Re0531094e338429a" /><Relationship Type="http://schemas.openxmlformats.org/officeDocument/2006/relationships/worksheet" Target="/xl/worksheets/sheet6.xml" Id="R3691b17b0dbd436c" /><Relationship Type="http://schemas.openxmlformats.org/officeDocument/2006/relationships/worksheet" Target="/xl/worksheets/sheet7.xml" Id="Re0a5f4e7ff4d47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8b612ff1b44095" /><Relationship Type="http://schemas.openxmlformats.org/officeDocument/2006/relationships/chart" Target="/xl/drawings/charts/chart2.xml" Id="Rba0b4507a8d943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8b612ff1b44095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0b4507a8d9433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980f8f85a74877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2026-09-22；官方数据经 FRED、纽约联储、BLS、DOL、EIA、Atlanta Fed 交叉核验。高分=利率/金融条件压力更大。</x:v>
      </x:c>
      <x:c r="B3" s="10" t="str">
        <x:v>当前快照截至 2026-09-22；官方数据经 FRED、纽约联储、BLS、DOL、EIA、Atlanta Fed 交叉核验。高分=利率/金融条件压力更大。</x:v>
      </x:c>
      <x:c r="C3" s="10" t="str">
        <x:v>当前快照截至 2026-09-22；官方数据经 FRED、纽约联储、BLS、DOL、EIA、Atlanta Fed 交叉核验。高分=利率/金融条件压力更大。</x:v>
      </x:c>
      <x:c r="D3" s="10" t="str">
        <x:v>当前快照截至 2026-09-22；官方数据经 FRED、纽约联储、BLS、DOL、EIA、Atlanta Fed 交叉核验。高分=利率/金融条件压力更大。</x:v>
      </x:c>
      <x:c r="E3" s="10" t="str">
        <x:v>当前快照截至 2026-09-22；官方数据经 FRED、纽约联储、BLS、DOL、EIA、Atlanta Fed 交叉核验。高分=利率/金融条件压力更大。</x:v>
      </x:c>
      <x:c r="F3" s="10" t="str">
        <x:v>当前快照截至 2026-09-22；官方数据经 FRED、纽约联储、BLS、DOL、EIA、Atlanta Fed 交叉核验。高分=利率/金融条件压力更大。</x:v>
      </x:c>
      <x:c r="G3" s="10" t="str">
        <x:v>当前快照截至 2026-09-22；官方数据经 FRED、纽约联储、BLS、DOL、EIA、Atlanta Fed 交叉核验。高分=利率/金融条件压力更大。</x:v>
      </x:c>
      <x:c r="H3" s="10" t="str">
        <x:v>当前快照截至 2026-09-22；官方数据经 FRED、纽约联储、BLS、DOL、EIA、Atlanta Fed 交叉核验。高分=利率/金融条件压力更大。</x:v>
      </x:c>
      <x:c r="I3" s="10" t="str">
        <x:v>当前快照截至 2026-09-22；官方数据经 FRED、纽约联储、BLS、DOL、EIA、Atlanta Fed 交叉核验。高分=利率/金融条件压力更大。</x:v>
      </x:c>
      <x:c r="J3" s="10" t="str">
        <x:v>当前快照截至 2026-09-22；官方数据经 FRED、纽约联储、BLS、DOL、EIA、Atlanta Fed 交叉核验。高分=利率/金融条件压力更大。</x:v>
      </x:c>
      <x:c r="K3" s="10" t="str">
        <x:v>当前快照截至 2026-09-22；官方数据经 FRED、纽约联储、BLS、DOL、EIA、Atlanta Fed 交叉核验。高分=利率/金融条件压力更大。</x:v>
      </x:c>
      <x:c r="L3" s="10" t="str">
        <x:v>当前快照截至 2026-09-22；官方数据经 FRED、纽约联储、BLS、DOL、EIA、Atlanta Fed 交叉核验。高分=利率/金融条件压力更大。</x:v>
      </x:c>
      <x:c r="M3" s="10" t="str">
        <x:v>当前快照截至 2026-09-22；官方数据经 FRED、纽约联储、BLS、DOL、EIA、Atlanta Fed 交叉核验。高分=利率/金融条件压力更大。</x:v>
      </x:c>
      <x:c r="N3" s="10" t="str">
        <x:v>当前快照截至 2026-09-22；官方数据经 FRED、纽约联储、BLS、DOL、EIA、Atlanta Fed 交叉核验。高分=利率/金融条件压力更大。</x:v>
      </x:c>
      <x:c r="O3" s="10" t="str">
        <x:v>当前快照截至 2026-09-22；官方数据经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65.32916113180913</x:v>
      </x:c>
      <x:c r="B6" s="99"/>
      <x:c r="C6" s="99"/>
      <x:c r="D6" s="99" t="n">
        <x:f>'因子引擎'!$B$43</x:f>
        <x:v>49.38679967198125</x:v>
      </x:c>
      <x:c r="E6" s="99"/>
      <x:c r="F6" s="99"/>
      <x:c r="G6" s="99" t="n">
        <x:f>'因子引擎'!$B$44</x:f>
        <x:v>58.967866929694296</x:v>
      </x:c>
      <x:c r="H6" s="99"/>
      <x:c r="I6" s="99"/>
      <x:c r="J6" s="99" t="n">
        <x:f>'因子引擎'!$B$45</x:f>
        <x:v>47.706690529672926</x:v>
      </x:c>
      <x:c r="K6" s="99"/>
      <x:c r="L6" s="99"/>
      <x:c r="M6" s="99" t="n">
        <x:f>'因子引擎'!$B$47</x:f>
        <x:v>57.177710409931876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偏紧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政策独涨/预防性加息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0.897163667407539</x:v>
      </x:c>
      <x:c r="K12" s="50" t="str">
        <x:v>主导</x:v>
      </x:c>
      <x:c r="L12" s="50" t="str">
        <x:v>市场冲击占比</x:v>
      </x:c>
      <x:c r="M12" s="50" t="n">
        <x:f>'因子引擎'!$B$50</x:f>
        <x:v>0.10283633259246105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0.5199999999999996</x:v>
      </x:c>
      <x:c r="K13" s="39" t="str">
        <x:v>+47bp</x:v>
      </x:c>
      <x:c r="L13" s="39" t="str">
        <x:v>10Y实际利率20日</x:v>
      </x:c>
      <x:c r="M13" s="111" t="n">
        <x:f>'因子引擎'!$E$32</x:f>
        <x:v>0.2400000000000002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0.580044686524528</x:v>
      </x:c>
      <x:c r="K14" s="39" t="str">
        <x:v>高于5年中枢</x:v>
      </x:c>
      <x:c r="L14" s="39" t="str">
        <x:v>ACM TP 20日</x:v>
      </x:c>
      <x:c r="M14" s="111" t="n">
        <x:f>'因子引擎'!$E$29</x:f>
        <x:v>-0.258595810573756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-0.029999999999999805</x:v>
      </x:c>
      <x:c r="K15" s="39" t="str">
        <x:v>+13bp</x:v>
      </x:c>
      <x:c r="L15" s="39" t="str">
        <x:v>VIX</x:v>
      </x:c>
      <x:c r="M15" s="111" t="n">
        <x:f>'因子引擎'!$E$35</x:f>
        <x:v>14.87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-0.56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65.32916113180913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49.38679967198125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58.967866929694296</x:v>
      </x:c>
      <x:c r="C22" s="39" t="str">
        <x:f>IF(B22&gt;=65,"高压",IF(B22&gt;=55,"偏紧",IF(B22&gt;=45,"中性",IF(B22&gt;=35,"偏松","宽松"))))</x:f>
        <x:v>偏紧</x:v>
      </x:c>
    </x:row>
    <x:row r="23" ht="24" customHeight="1">
      <x:c r="A23" s="39" t="str">
        <x:v>市场传导</x:v>
      </x:c>
      <x:c r="B23" s="43" t="n">
        <x:f>'因子引擎'!$B$45</x:f>
        <x:v>47.706690529672926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57.177710409931876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44.16031311152975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44.57476530534674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44.73752860416301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45.39021270053843</x:v>
      </x:c>
      <x:c r="C32" s="39" t="str">
        <x:f>'风险资产'!$G$9</x:f>
        <x:v>中性</x:v>
      </x:c>
    </x:row>
    <x:row r="33" ht="24" customHeight="1">
      <x:c r="A33" s="39" t="str">
        <x:v>新兴市场股票</x:v>
      </x:c>
      <x:c r="B33" s="43" t="n">
        <x:f>'风险资产'!$F$10</x:f>
        <x:v>45.5635899249757</x:v>
      </x:c>
      <x:c r="C33" s="39" t="str">
        <x:f>'风险资产'!$G$10</x:f>
        <x:v>中性</x:v>
      </x:c>
    </x:row>
    <x:row r="34" ht="24" customHeight="1">
      <x:c r="A34" s="39" t="str">
        <x:v>黄金</x:v>
      </x:c>
      <x:c r="B34" s="43" t="n">
        <x:f>'风险资产'!$F$11</x:f>
        <x:v>44.5727768036733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44.2354159269724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47.1855217063404</x:v>
      </x:c>
      <x:c r="C36" s="39" t="str">
        <x:f>'风险资产'!$G$13</x:f>
        <x:v>中性</x:v>
      </x:c>
    </x:row>
    <x:row r="37" ht="24" customHeight="1">
      <x:c r="A37" s="39" t="str">
        <x:v>美国长债</x:v>
      </x:c>
      <x:c r="B37" s="43" t="n">
        <x:f>'风险资产'!$F$14</x:f>
        <x:v>44.0020248249942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55.866933865130115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70980f8f85a74877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2026-09-22。 </x:v>
      </x:c>
      <x:c r="B3" s="53" t="str">
        <x:v>名义利率 = 预期政策路径 + 通胀补偿 + 期限溢价；风险资产压力再经过市场传导门控。蓝色单元格为可更新输入。 数据截至 2026-09-22。 </x:v>
      </x:c>
      <x:c r="C3" s="53" t="str">
        <x:v>名义利率 = 预期政策路径 + 通胀补偿 + 期限溢价；风险资产压力再经过市场传导门控。蓝色单元格为可更新输入。 数据截至 2026-09-22。 </x:v>
      </x:c>
      <x:c r="D3" s="53" t="str">
        <x:v>名义利率 = 预期政策路径 + 通胀补偿 + 期限溢价；风险资产压力再经过市场传导门控。蓝色单元格为可更新输入。 数据截至 2026-09-22。 </x:v>
      </x:c>
      <x:c r="E3" s="53" t="str">
        <x:v>名义利率 = 预期政策路径 + 通胀补偿 + 期限溢价；风险资产压力再经过市场传导门控。蓝色单元格为可更新输入。 数据截至 2026-09-22。 </x:v>
      </x:c>
      <x:c r="F3" s="53" t="str">
        <x:v>名义利率 = 预期政策路径 + 通胀补偿 + 期限溢价；风险资产压力再经过市场传导门控。蓝色单元格为可更新输入。 数据截至 2026-09-22。 </x:v>
      </x:c>
      <x:c r="G3" s="53" t="str">
        <x:v>名义利率 = 预期政策路径 + 通胀补偿 + 期限溢价；风险资产压力再经过市场传导门控。蓝色单元格为可更新输入。 数据截至 2026-09-22。 </x:v>
      </x:c>
      <x:c r="H3" s="53" t="str">
        <x:v>名义利率 = 预期政策路径 + 通胀补偿 + 期限溢价；风险资产压力再经过市场传导门控。蓝色单元格为可更新输入。 数据截至 2026-09-22。 </x:v>
      </x:c>
      <x:c r="I3" s="53" t="str">
        <x:v>名义利率 = 预期政策路径 + 通胀补偿 + 期限溢价；风险资产压力再经过市场传导门控。蓝色单元格为可更新输入。 数据截至 2026-09-22。 </x:v>
      </x:c>
      <x:c r="J3" s="53" t="str">
        <x:v>名义利率 = 预期政策路径 + 通胀补偿 + 期限溢价；风险资产压力再经过市场传导门控。蓝色单元格为可更新输入。 数据截至 2026-09-22。 </x:v>
      </x:c>
      <x:c r="K3" s="53" t="str">
        <x:v>名义利率 = 预期政策路径 + 通胀补偿 + 期限溢价；风险资产压力再经过市场传导门控。蓝色单元格为可更新输入。 数据截至 2026-09-22。 </x:v>
      </x:c>
      <x:c r="L3" s="53" t="str">
        <x:v>名义利率 = 预期政策路径 + 通胀补偿 + 期限溢价；风险资产压力再经过市场传导门控。蓝色单元格为可更新输入。 数据截至 2026-09-22。 </x:v>
      </x:c>
      <x:c r="M3" s="53" t="str">
        <x:v>名义利率 = 预期政策路径 + 通胀补偿 + 期限溢价；风险资产压力再经过市场传导门控。蓝色单元格为可更新输入。 数据截至 2026-09-22。 </x:v>
      </x:c>
      <x:c r="N3" s="53" t="str">
        <x:v>名义利率 = 预期政策路径 + 通胀补偿 + 期限溢价；风险资产压力再经过市场传导门控。蓝色单元格为可更新输入。 数据截至 2026-09-22。 </x:v>
      </x:c>
      <x:c r="O3" s="53" t="str">
        <x:v>名义利率 = 预期政策路径 + 通胀补偿 + 期限溢价；风险资产压力再经过市场传导门控。蓝色单元格为可更新输入。 数据截至 2026-09-22。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0.8799999999999999</x:v>
      </x:c>
      <x:c r="F5" s="57" t="str">
        <x:v>百分点</x:v>
      </x:c>
      <x:c r="G5" s="56" t="n">
        <x:v>-0.12524798927613942</x:v>
      </x:c>
      <x:c r="H5" s="56" t="n">
        <x:v>1.0935251815874685</x:v>
      </x:c>
      <x:c r="I5" s="58" t="n">
        <x:f>IFERROR(C5*(E5-G5)/H5,"")</x:f>
        <x:v>0.9192728308431111</x:v>
      </x:c>
      <x:c r="J5" s="58" t="n">
        <x:f>IF(I5="","",MAX(0,MIN(100,50+20*I5)))</x:f>
        <x:v>68.38545661686223</x:v>
      </x:c>
      <x:c r="K5" s="54" t="str">
        <x:v>2026-09-21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0.5199999999999996</x:v>
      </x:c>
      <x:c r="F6" s="57" t="str">
        <x:v>百分点</x:v>
      </x:c>
      <x:c r="G6" s="56" t="n">
        <x:v>0.055288203753351126</x:v>
      </x:c>
      <x:c r="H6" s="56" t="n">
        <x:v>1.0537537182730328</x:v>
      </x:c>
      <x:c r="I6" s="58" t="n">
        <x:f>IFERROR(C6*(E6-G6)/H6,"")</x:f>
        <x:v>0.44100607968269046</x:v>
      </x:c>
      <x:c r="J6" s="58" t="n">
        <x:f>IF(I6="","",MAX(0,MIN(100,50+20*I6)))</x:f>
        <x:v>58.82012159365381</x:v>
      </x:c>
      <x:c r="K6" s="54" t="str">
        <x:v>2026-09-21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0.25</x:v>
      </x:c>
      <x:c r="F7" s="57" t="str">
        <x:v>百分点</x:v>
      </x:c>
      <x:c r="G7" s="56" t="n">
        <x:v>0.0344736842105264</x:v>
      </x:c>
      <x:c r="H7" s="56" t="n">
        <x:v>0.1832884955358694</x:v>
      </x:c>
      <x:c r="I7" s="58" t="n">
        <x:f>IFERROR(C7*(E7-G7)/H7,"")</x:f>
        <x:v>1.175885672253201</x:v>
      </x:c>
      <x:c r="J7" s="58" t="n">
        <x:f>IF(I7="","",MAX(0,MIN(100,50+20*I7)))</x:f>
        <x:v>73.51771344506402</x:v>
      </x:c>
      <x:c r="K7" s="54" t="str">
        <x:v>2026-09-21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65.32916113180913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2.32</x:v>
      </x:c>
      <x:c r="F10" s="57" t="str">
        <x:v>%</x:v>
      </x:c>
      <x:c r="G10" s="56" t="n">
        <x:v>2.3447019423978595</x:v>
      </x:c>
      <x:c r="H10" s="56" t="n">
        <x:v>0.5576652019411037</x:v>
      </x:c>
      <x:c r="I10" s="58" t="n">
        <x:f>IFERROR(C10*(E10-G10)/H10,"")</x:f>
        <x:v>-0.044295290995166735</x:v>
      </x:c>
      <x:c r="J10" s="58" t="n">
        <x:f>IF(I10="","",MAX(0,MIN(100,50+20*I10)))</x:f>
        <x:v>49.114094180096664</x:v>
      </x:c>
      <x:c r="K10" s="54" t="str">
        <x:v>2026-09-22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0.009999999999999787</x:v>
      </x:c>
      <x:c r="F11" s="57" t="str">
        <x:v>百分点</x:v>
      </x:c>
      <x:c r="G11" s="56" t="n">
        <x:v>0.006041527126590767</x:v>
      </x:c>
      <x:c r="H11" s="56" t="n">
        <x:v>0.6958786687338069</x:v>
      </x:c>
      <x:c r="I11" s="58" t="n">
        <x:f>IFERROR(C11*(E11-G11)/H11,"")</x:f>
        <x:v>0.0056884526732392865</x:v>
      </x:c>
      <x:c r="J11" s="58" t="n">
        <x:f>IF(I11="","",MAX(0,MIN(100,50+20*I11)))</x:f>
        <x:v>50.113769053464786</x:v>
      </x:c>
      <x:c r="K11" s="54" t="str">
        <x:v>2026-09-22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2.34</x:v>
      </x:c>
      <x:c r="F12" s="57" t="str">
        <x:v>%</x:v>
      </x:c>
      <x:c r="G12" s="56" t="n">
        <x:v>2.160361687876759</x:v>
      </x:c>
      <x:c r="H12" s="56" t="n">
        <x:v>0.46157485159509143</x:v>
      </x:c>
      <x:c r="I12" s="58" t="n">
        <x:f>IFERROR(C12*(E12-G12)/H12,"")</x:f>
        <x:v>0.389185657542767</x:v>
      </x:c>
      <x:c r="J12" s="58" t="n">
        <x:f>IF(I12="","",MAX(0,MIN(100,50+20*I12)))</x:f>
        <x:v>57.78371315085534</x:v>
      </x:c>
      <x:c r="K12" s="54" t="str">
        <x:v>2026-09-22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52.06486607700311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3.085745494265435</x:v>
      </x:c>
      <x:c r="F15" s="57" t="str">
        <x:v>%</x:v>
      </x:c>
      <x:c r="G15" s="56" t="n">
        <x:v>4.304672044722189</x:v>
      </x:c>
      <x:c r="H15" s="56" t="n">
        <x:v>0.8463168288520321</x:v>
      </x:c>
      <x:c r="I15" s="58" t="n">
        <x:f>IFERROR(C15*(E15-G15)/H15,"")</x:f>
        <x:v>-1.4402721402930625</x:v>
      </x:c>
      <x:c r="J15" s="58" t="n">
        <x:f>IF(I15="","",MAX(0,MIN(100,50+20*I15)))</x:f>
        <x:v>21.19455719413875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4.788059701492538</x:v>
      </x:c>
      <x:c r="H16" s="56" t="n">
        <x:v>1.0265450126752333</x:v>
      </x:c>
      <x:c r="I16" s="58" t="n">
        <x:f>IFERROR(C16*(E16-G16)/H16,"")</x:f>
        <x:v>-0.6702674437036296</x:v>
      </x:c>
      <x:c r="J16" s="58" t="n">
        <x:f>IF(I16="","",MAX(0,MIN(100,50+20*I16)))</x:f>
        <x:v>36.59465112592741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4.127941176470588</x:v>
      </x:c>
      <x:c r="H17" s="56" t="n">
        <x:v>0.8688378905585538</x:v>
      </x:c>
      <x:c r="I17" s="58" t="n">
        <x:f>IFERROR(C17*(E17-G17)/H17,"")</x:f>
        <x:v>0.03215925177092117</x:v>
      </x:c>
      <x:c r="J17" s="58" t="n">
        <x:f>IF(I17="","",MAX(0,MIN(100,50+20*I17)))</x:f>
        <x:v>50.643185035418426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8847.611940298508</x:v>
      </x:c>
      <x:c r="H18" s="56" t="n">
        <x:v>1703.0436741959686</x:v>
      </x:c>
      <x:c r="I18" s="58" t="n">
        <x:f>IFERROR(C18*(E18-G18)/H18,"")</x:f>
        <x:v>-0.9257613085247792</x:v>
      </x:c>
      <x:c r="J18" s="58" t="n">
        <x:f>IF(I18="","",MAX(0,MIN(100,50+20*I18)))</x:f>
        <x:v>31.484773829504416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203250</x:v>
      </x:c>
      <x:c r="F19" s="57" t="str">
        <x:v>人</x:v>
      </x:c>
      <x:c r="G19" s="56" t="n">
        <x:v>265338.92617449665</x:v>
      </x:c>
      <x:c r="H19" s="56" t="n">
        <x:v>130027.55009105332</x:v>
      </x:c>
      <x:c r="I19" s="58" t="n">
        <x:f>IFERROR(C19*(E19-G19)/H19,"")</x:f>
        <x:v>0.47750592955891386</x:v>
      </x:c>
      <x:c r="J19" s="58" t="n">
        <x:f>IF(I19="","",MAX(0,MIN(100,50+20*I19)))</x:f>
        <x:v>59.550118591178276</x:v>
      </x:c>
      <x:c r="K19" s="54" t="str">
        <x:v>2026-09-12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37.27325238990693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43.41999463950683</x:v>
      </x:c>
      <x:c r="F23" s="57" t="str">
        <x:v>%</x:v>
      </x:c>
      <x:c r="G23" s="56" t="n">
        <x:v>-0.308425441981964</x:v>
      </x:c>
      <x:c r="H23" s="56" t="n">
        <x:v>28.616253813956888</x:v>
      </x:c>
      <x:c r="I23" s="58" t="n">
        <x:f>IFERROR(C23*(E23-G23)/H23,"")</x:f>
        <x:v>1.5280972962352366</x:v>
      </x:c>
      <x:c r="J23" s="58" t="n">
        <x:f>IF(I23="","",MAX(0,MIN(100,50+20*I23)))</x:f>
        <x:v>80.56194592470473</x:v>
      </x:c>
      <x:c r="K23" s="54" t="str">
        <x:v>2026-09-15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64.55985800431216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49.38679967198125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0.580044686524528</x:v>
      </x:c>
      <x:c r="F28" s="57" t="str">
        <x:v>%</x:v>
      </x:c>
      <x:c r="G28" s="56" t="n">
        <x:v>-0.05284555933419673</x:v>
      </x:c>
      <x:c r="H28" s="56" t="n">
        <x:v>0.5403446936180114</x:v>
      </x:c>
      <x:c r="I28" s="58" t="n">
        <x:f>IFERROR(C28*(E28-G28)/H28,"")</x:f>
        <x:v>1.1712713261252772</x:v>
      </x:c>
      <x:c r="J28" s="58" t="n">
        <x:f>IF(I28="","",MAX(0,MIN(100,50+20*I28)))</x:f>
        <x:v>73.42542652250555</x:v>
      </x:c>
      <x:c r="K28" s="54" t="str">
        <x:v>2026-09-21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-0.258595810573756</x:v>
      </x:c>
      <x:c r="F29" s="57" t="str">
        <x:v>百分点</x:v>
      </x:c>
      <x:c r="G29" s="56" t="n">
        <x:v>0.021371124470566633</x:v>
      </x:c>
      <x:c r="H29" s="56" t="n">
        <x:v>0.22608574244658974</x:v>
      </x:c>
      <x:c r="I29" s="58" t="n">
        <x:f>IFERROR(C29*(E29-G29)/H29,"")</x:f>
        <x:v>-1.2383219393432638</x:v>
      </x:c>
      <x:c r="J29" s="58" t="n">
        <x:f>IF(I29="","",MAX(0,MIN(100,50+20*I29)))</x:f>
        <x:v>25.233561213134724</x:v>
      </x:c>
      <x:c r="K29" s="54" t="str">
        <x:v>2026-09-21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58.967866929694296</x:v>
      </x:c>
      <x:c r="K30" s="64" t="str">
        <x:f>IF(J30&gt;=65,"高压",IF(J30&gt;=55,"偏紧",IF(J30&gt;=45,"中性",IF(J30&gt;=35,"偏松","宽松"))))</x:f>
        <x:v>偏紧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0.2400000000000002</x:v>
      </x:c>
      <x:c r="F32" s="57" t="str">
        <x:v>百分点</x:v>
      </x:c>
      <x:c r="G32" s="56" t="n">
        <x:v>0.04445710455764074</x:v>
      </x:c>
      <x:c r="H32" s="56" t="n">
        <x:v>0.5042188613395765</x:v>
      </x:c>
      <x:c r="I32" s="58" t="n">
        <x:f>IFERROR(C32*(E32-G32)/H32,"")</x:f>
        <x:v>0.3878135278851997</x:v>
      </x:c>
      <x:c r="J32" s="58" t="n">
        <x:f>IF(I32="","",MAX(0,MIN(100,50+20*I32)))</x:f>
        <x:v>57.75627055770399</x:v>
      </x:c>
      <x:c r="K32" s="54" t="str">
        <x:v>2026-09-21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-0.029999999999999805</x:v>
      </x:c>
      <x:c r="F33" s="57" t="str">
        <x:v>百分点</x:v>
      </x:c>
      <x:c r="G33" s="56" t="n">
        <x:v>-0.03979301423027162</x:v>
      </x:c>
      <x:c r="H33" s="56" t="n">
        <x:v>0.5341299240393148</x:v>
      </x:c>
      <x:c r="I33" s="58" t="n">
        <x:f>IFERROR(C33*(E33-G33)/H33,"")</x:f>
        <x:v>0.018334517108146518</x:v>
      </x:c>
      <x:c r="J33" s="58" t="n">
        <x:f>IF(I33="","",MAX(0,MIN(100,50+20*I33)))</x:f>
        <x:v>50.36669034216293</x:v>
      </x:c>
      <x:c r="K33" s="54" t="str">
        <x:v>2026-09-21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-0.040000000000000036</x:v>
      </x:c>
      <x:c r="F34" s="57" t="str">
        <x:v>百分点</x:v>
      </x:c>
      <x:c r="G34" s="56" t="n">
        <x:v>-0.01201811125485126</x:v>
      </x:c>
      <x:c r="H34" s="56" t="n">
        <x:v>0.15459981661858618</x:v>
      </x:c>
      <x:c r="I34" s="58" t="n">
        <x:f>IFERROR(C34*(E34-G34)/H34,"")</x:f>
        <x:v>-0.18099561407749276</x:v>
      </x:c>
      <x:c r="J34" s="58" t="n">
        <x:f>IF(I34="","",MAX(0,MIN(100,50+20*I34)))</x:f>
        <x:v>46.38008771845014</x:v>
      </x:c>
      <x:c r="K34" s="54" t="str">
        <x:v>2026-09-21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14.87</x:v>
      </x:c>
      <x:c r="F35" s="57" t="str">
        <x:v>指数</x:v>
      </x:c>
      <x:c r="G35" s="56" t="n">
        <x:v>18.87932975871313</x:v>
      </x:c>
      <x:c r="H35" s="56" t="n">
        <x:v>5.606298946761153</x:v>
      </x:c>
      <x:c r="I35" s="58" t="n">
        <x:f>IFERROR(C35*(E35-G35)/H35,"")</x:f>
        <x:v>-0.715147336377662</x:v>
      </x:c>
      <x:c r="J35" s="58" t="n">
        <x:f>IF(I35="","",MAX(0,MIN(100,50+20*I35)))</x:f>
        <x:v>35.69705327244676</x:v>
      </x:c>
      <x:c r="K35" s="54" t="str">
        <x:v>2026-09-21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1.2285834318684685</x:v>
      </x:c>
      <x:c r="F36" s="57" t="str">
        <x:v>%</x:v>
      </x:c>
      <x:c r="G36" s="56" t="n">
        <x:v>-3.901467110763167</x:v>
      </x:c>
      <x:c r="H36" s="56" t="n">
        <x:v>19.648216098472613</x:v>
      </x:c>
      <x:c r="I36" s="58" t="n">
        <x:f>IFERROR(C36*(E36-G36)/H36,"")</x:f>
        <x:v>0.26109497762651485</x:v>
      </x:c>
      <x:c r="J36" s="58" t="n">
        <x:f>IF(I36="","",MAX(0,MIN(100,50+20*I36)))</x:f>
        <x:v>55.221899552530296</x:v>
      </x:c>
      <x:c r="K36" s="54" t="str">
        <x:v>2026-09-18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-0.56</x:v>
      </x:c>
      <x:c r="F37" s="57" t="str">
        <x:v>指数</x:v>
      </x:c>
      <x:c r="G37" s="56" t="n">
        <x:v>-0.42970469798657746</x:v>
      </x:c>
      <x:c r="H37" s="56" t="n">
        <x:v>0.15141420894835894</x:v>
      </x:c>
      <x:c r="I37" s="58" t="n">
        <x:f>IFERROR(C37*(E37-G37)/H37,"")</x:f>
        <x:v>-0.8605222912590778</x:v>
      </x:c>
      <x:c r="J37" s="58" t="n">
        <x:f>IF(I37="","",MAX(0,MIN(100,50+20*I37)))</x:f>
        <x:v>32.78955417481845</x:v>
      </x:c>
      <x:c r="K37" s="54" t="str">
        <x:v>2026-09-11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47.706690529672926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65.32916113180913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49.38679967198125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58.967866929694296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47.706690529672926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57.84094636023491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57.177710409931876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51.75708710660267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0.897163667407539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0.10283633259246105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政策独涨/预防性加息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44.16031311152975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44.57476530534674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44.73752860416301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45.39021270053843</x:v>
      </x:c>
      <x:c r="G9" s="54" t="str">
        <x:f>IF(F9&gt;=65,"明显有利",IF(F9&gt;=55,"偏有利",IF(F9&gt;=45,"中性",IF(F9&gt;=35,"偏不利","明显不利"))))</x:f>
        <x:v>中性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45.5635899249757</x:v>
      </x:c>
      <x:c r="G10" s="54" t="str">
        <x:f>IF(F10&gt;=65,"明显有利",IF(F10&gt;=55,"偏有利",IF(F10&gt;=45,"中性",IF(F10&gt;=35,"偏不利","明显不利"))))</x:f>
        <x:v>中性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44.5727768036733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44.2354159269724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47.1855217063404</x:v>
      </x:c>
      <x:c r="G13" s="54" t="str">
        <x:f>IF(F13&gt;=65,"明显有利",IF(F13&gt;=55,"偏有利",IF(F13&gt;=45,"中性",IF(F13&gt;=35,"偏不利","明显不利"))))</x:f>
        <x:v>中性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44.0020248249942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55.866933865130115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65.32916113180913</x:v>
      </x:c>
      <x:c r="C6" s="58" t="n">
        <x:f>'因子引擎'!$B$43</x:f>
        <x:v>49.38679967198125</x:v>
      </x:c>
      <x:c r="D6" s="58" t="n">
        <x:f>'因子引擎'!$B$44</x:f>
        <x:v>58.967866929694296</x:v>
      </x:c>
      <x:c r="E6" s="58" t="n">
        <x:f>'因子引擎'!$B$45</x:f>
        <x:v>47.706690529672926</x:v>
      </x:c>
      <x:c r="F6" s="58" t="n">
        <x:f>MIN(100,MAX(0,(35%*B6+35%*C6+30%*D6)*(0.75+0.5*E6/100)))</x:f>
        <x:v>57.177710409931876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44.16031311152975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44.57476530534674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45.39021270053843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44.5727768036733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55.866933865130115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57.177710409931876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44.0020248249942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