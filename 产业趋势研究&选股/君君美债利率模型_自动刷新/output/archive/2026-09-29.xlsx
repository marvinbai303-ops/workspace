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9f0919039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d36d21a6f96248d2"/>
    <x:sheet xmlns:r="http://schemas.openxmlformats.org/officeDocument/2006/relationships" name="因子引擎" sheetId="2" r:id="R0df6d91c110b4cec"/>
    <x:sheet xmlns:r="http://schemas.openxmlformats.org/officeDocument/2006/relationships" name="风险资产" sheetId="3" r:id="R23e20136f99544a7"/>
    <x:sheet xmlns:r="http://schemas.openxmlformats.org/officeDocument/2006/relationships" name="场景与阈值" sheetId="4" r:id="R4742ec61330d4f62"/>
    <x:sheet xmlns:r="http://schemas.openxmlformats.org/officeDocument/2006/relationships" name="数据字典" sheetId="5" r:id="R2da4583d61bc4e73"/>
    <x:sheet xmlns:r="http://schemas.openxmlformats.org/officeDocument/2006/relationships" name="方法与信源" sheetId="6" r:id="Rf4b0355ee71a45a9"/>
    <x:sheet xmlns:r="http://schemas.openxmlformats.org/officeDocument/2006/relationships" name="审计" sheetId="7" r:id="R8754272b4010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854bd3908463e" /><Relationship Type="http://schemas.openxmlformats.org/officeDocument/2006/relationships/theme" Target="/xl/theme/theme1.xml" Id="R55e74c399a06406f" /><Relationship Type="http://schemas.openxmlformats.org/officeDocument/2006/relationships/sharedStrings" Target="/xl/sharedStrings.xml" Id="R32635f56443f4eb9" /><Relationship Type="http://schemas.openxmlformats.org/officeDocument/2006/relationships/worksheet" Target="/xl/worksheets/sheet1.xml" Id="Rd36d21a6f96248d2" /><Relationship Type="http://schemas.openxmlformats.org/officeDocument/2006/relationships/worksheet" Target="/xl/worksheets/sheet2.xml" Id="R0df6d91c110b4cec" /><Relationship Type="http://schemas.openxmlformats.org/officeDocument/2006/relationships/worksheet" Target="/xl/worksheets/sheet3.xml" Id="R23e20136f99544a7" /><Relationship Type="http://schemas.openxmlformats.org/officeDocument/2006/relationships/worksheet" Target="/xl/worksheets/sheet4.xml" Id="R4742ec61330d4f62" /><Relationship Type="http://schemas.openxmlformats.org/officeDocument/2006/relationships/worksheet" Target="/xl/worksheets/sheet5.xml" Id="R2da4583d61bc4e73" /><Relationship Type="http://schemas.openxmlformats.org/officeDocument/2006/relationships/worksheet" Target="/xl/worksheets/sheet6.xml" Id="Rf4b0355ee71a45a9" /><Relationship Type="http://schemas.openxmlformats.org/officeDocument/2006/relationships/worksheet" Target="/xl/worksheets/sheet7.xml" Id="R8754272b401040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6a1380958a4fee" /><Relationship Type="http://schemas.openxmlformats.org/officeDocument/2006/relationships/chart" Target="/xl/drawings/charts/chart2.xml" Id="Raae1f08487ce4f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a1380958a4fee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e1f08487ce4f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fa4662246d4694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2026-09-28；官方数据经 FRED、纽约联储、BLS、DOL、EIA、Atlanta Fed 交叉核验。高分=利率/金融条件压力更大。</x:v>
      </x:c>
      <x:c r="B3" s="10" t="str">
        <x:v>当前快照截至 2026-09-28；官方数据经 FRED、纽约联储、BLS、DOL、EIA、Atlanta Fed 交叉核验。高分=利率/金融条件压力更大。</x:v>
      </x:c>
      <x:c r="C3" s="10" t="str">
        <x:v>当前快照截至 2026-09-28；官方数据经 FRED、纽约联储、BLS、DOL、EIA、Atlanta Fed 交叉核验。高分=利率/金融条件压力更大。</x:v>
      </x:c>
      <x:c r="D3" s="10" t="str">
        <x:v>当前快照截至 2026-09-28；官方数据经 FRED、纽约联储、BLS、DOL、EIA、Atlanta Fed 交叉核验。高分=利率/金融条件压力更大。</x:v>
      </x:c>
      <x:c r="E3" s="10" t="str">
        <x:v>当前快照截至 2026-09-28；官方数据经 FRED、纽约联储、BLS、DOL、EIA、Atlanta Fed 交叉核验。高分=利率/金融条件压力更大。</x:v>
      </x:c>
      <x:c r="F3" s="10" t="str">
        <x:v>当前快照截至 2026-09-28；官方数据经 FRED、纽约联储、BLS、DOL、EIA、Atlanta Fed 交叉核验。高分=利率/金融条件压力更大。</x:v>
      </x:c>
      <x:c r="G3" s="10" t="str">
        <x:v>当前快照截至 2026-09-28；官方数据经 FRED、纽约联储、BLS、DOL、EIA、Atlanta Fed 交叉核验。高分=利率/金融条件压力更大。</x:v>
      </x:c>
      <x:c r="H3" s="10" t="str">
        <x:v>当前快照截至 2026-09-28；官方数据经 FRED、纽约联储、BLS、DOL、EIA、Atlanta Fed 交叉核验。高分=利率/金融条件压力更大。</x:v>
      </x:c>
      <x:c r="I3" s="10" t="str">
        <x:v>当前快照截至 2026-09-28；官方数据经 FRED、纽约联储、BLS、DOL、EIA、Atlanta Fed 交叉核验。高分=利率/金融条件压力更大。</x:v>
      </x:c>
      <x:c r="J3" s="10" t="str">
        <x:v>当前快照截至 2026-09-28；官方数据经 FRED、纽约联储、BLS、DOL、EIA、Atlanta Fed 交叉核验。高分=利率/金融条件压力更大。</x:v>
      </x:c>
      <x:c r="K3" s="10" t="str">
        <x:v>当前快照截至 2026-09-28；官方数据经 FRED、纽约联储、BLS、DOL、EIA、Atlanta Fed 交叉核验。高分=利率/金融条件压力更大。</x:v>
      </x:c>
      <x:c r="L3" s="10" t="str">
        <x:v>当前快照截至 2026-09-28；官方数据经 FRED、纽约联储、BLS、DOL、EIA、Atlanta Fed 交叉核验。高分=利率/金融条件压力更大。</x:v>
      </x:c>
      <x:c r="M3" s="10" t="str">
        <x:v>当前快照截至 2026-09-28；官方数据经 FRED、纽约联储、BLS、DOL、EIA、Atlanta Fed 交叉核验。高分=利率/金融条件压力更大。</x:v>
      </x:c>
      <x:c r="N3" s="10" t="str">
        <x:v>当前快照截至 2026-09-28；官方数据经 FRED、纽约联储、BLS、DOL、EIA、Atlanta Fed 交叉核验。高分=利率/金融条件压力更大。</x:v>
      </x:c>
      <x:c r="O3" s="10" t="str">
        <x:v>当前快照截至 2026-09-28；官方数据经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65.32299469571282</x:v>
      </x:c>
      <x:c r="B6" s="99"/>
      <x:c r="C6" s="99"/>
      <x:c r="D6" s="99" t="n">
        <x:f>'因子引擎'!$B$43</x:f>
        <x:v>48.91671823107495</x:v>
      </x:c>
      <x:c r="E6" s="99"/>
      <x:c r="F6" s="99"/>
      <x:c r="G6" s="99" t="n">
        <x:f>'因子引擎'!$B$44</x:f>
        <x:v>71.28428515504083</x:v>
      </x:c>
      <x:c r="H6" s="99"/>
      <x:c r="I6" s="99"/>
      <x:c r="J6" s="99" t="n">
        <x:f>'因子引擎'!$B$45</x:f>
        <x:v>52.647580671820606</x:v>
      </x:c>
      <x:c r="K6" s="99"/>
      <x:c r="L6" s="99"/>
      <x:c r="M6" s="99" t="n">
        <x:f>'因子引擎'!$B$47</x:f>
        <x:v>62.18158441208329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高压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政策重定价 + 期限溢价冲击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0.6943145069899606</x:v>
      </x:c>
      <x:c r="K12" s="50" t="str">
        <x:v>主导</x:v>
      </x:c>
      <x:c r="L12" s="50" t="str">
        <x:v>市场冲击占比</x:v>
      </x:c>
      <x:c r="M12" s="50" t="n">
        <x:f>'因子引擎'!$B$50</x:f>
        <x:v>0.30568549301003944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0.46999999999999975</x:v>
      </x:c>
      <x:c r="K13" s="39" t="str">
        <x:v>+47bp</x:v>
      </x:c>
      <x:c r="L13" s="39" t="str">
        <x:v>10Y实际利率20日</x:v>
      </x:c>
      <x:c r="M13" s="111" t="n">
        <x:f>'因子引擎'!$E$32</x:f>
        <x:v>0.41000000000000014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0.774716048106752</x:v>
      </x:c>
      <x:c r="K14" s="39" t="str">
        <x:v>高于5年中枢</x:v>
      </x:c>
      <x:c r="L14" s="39" t="str">
        <x:v>ACM TP 20日</x:v>
      </x:c>
      <x:c r="M14" s="111" t="n">
        <x:f>'因子引擎'!$E$29</x:f>
        <x:v>0.018141375726758002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0.33000000000000007</x:v>
      </x:c>
      <x:c r="K15" s="39" t="str">
        <x:v>+13bp</x:v>
      </x:c>
      <x:c r="L15" s="39" t="str">
        <x:v>VIX</x:v>
      </x:c>
      <x:c r="M15" s="111" t="n">
        <x:f>'因子引擎'!$E$35</x:f>
        <x:v>14.21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-0.555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65.32299469571282</x:v>
      </x:c>
      <x:c r="C20" s="39" t="str">
        <x:f>IF(B20&gt;=65,"高压",IF(B20&gt;=55,"偏紧",IF(B20&gt;=45,"中性",IF(B20&gt;=35,"偏松","宽松"))))</x:f>
        <x:v>高压</x:v>
      </x:c>
    </x:row>
    <x:row r="21" ht="24" customHeight="1">
      <x:c r="A21" s="39" t="str">
        <x:v>通胀预期</x:v>
      </x:c>
      <x:c r="B21" s="43" t="n">
        <x:f>'因子引擎'!$B$43</x:f>
        <x:v>48.91671823107495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71.28428515504083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52.647580671820606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62.18158441208329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39.62102299900034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39.83821519529273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40.698219889503235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41.16767966816591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41.08507122303323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40.822352022500645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39.183431979326244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44.58881650551649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38.904219631234625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59.834116065590855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3bfa4662246d4694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2026-09-28。 </x:v>
      </x:c>
      <x:c r="B3" s="53" t="str">
        <x:v>名义利率 = 预期政策路径 + 通胀补偿 + 期限溢价；风险资产压力再经过市场传导门控。蓝色单元格为可更新输入。 数据截至 2026-09-28。 </x:v>
      </x:c>
      <x:c r="C3" s="53" t="str">
        <x:v>名义利率 = 预期政策路径 + 通胀补偿 + 期限溢价；风险资产压力再经过市场传导门控。蓝色单元格为可更新输入。 数据截至 2026-09-28。 </x:v>
      </x:c>
      <x:c r="D3" s="53" t="str">
        <x:v>名义利率 = 预期政策路径 + 通胀补偿 + 期限溢价；风险资产压力再经过市场传导门控。蓝色单元格为可更新输入。 数据截至 2026-09-28。 </x:v>
      </x:c>
      <x:c r="E3" s="53" t="str">
        <x:v>名义利率 = 预期政策路径 + 通胀补偿 + 期限溢价；风险资产压力再经过市场传导门控。蓝色单元格为可更新输入。 数据截至 2026-09-28。 </x:v>
      </x:c>
      <x:c r="F3" s="53" t="str">
        <x:v>名义利率 = 预期政策路径 + 通胀补偿 + 期限溢价；风险资产压力再经过市场传导门控。蓝色单元格为可更新输入。 数据截至 2026-09-28。 </x:v>
      </x:c>
      <x:c r="G3" s="53" t="str">
        <x:v>名义利率 = 预期政策路径 + 通胀补偿 + 期限溢价；风险资产压力再经过市场传导门控。蓝色单元格为可更新输入。 数据截至 2026-09-28。 </x:v>
      </x:c>
      <x:c r="H3" s="53" t="str">
        <x:v>名义利率 = 预期政策路径 + 通胀补偿 + 期限溢价；风险资产压力再经过市场传导门控。蓝色单元格为可更新输入。 数据截至 2026-09-28。 </x:v>
      </x:c>
      <x:c r="I3" s="53" t="str">
        <x:v>名义利率 = 预期政策路径 + 通胀补偿 + 期限溢价；风险资产压力再经过市场传导门控。蓝色单元格为可更新输入。 数据截至 2026-09-28。 </x:v>
      </x:c>
      <x:c r="J3" s="53" t="str">
        <x:v>名义利率 = 预期政策路径 + 通胀补偿 + 期限溢价；风险资产压力再经过市场传导门控。蓝色单元格为可更新输入。 数据截至 2026-09-28。 </x:v>
      </x:c>
      <x:c r="K3" s="53" t="str">
        <x:v>名义利率 = 预期政策路径 + 通胀补偿 + 期限溢价；风险资产压力再经过市场传导门控。蓝色单元格为可更新输入。 数据截至 2026-09-28。 </x:v>
      </x:c>
      <x:c r="L3" s="53" t="str">
        <x:v>名义利率 = 预期政策路径 + 通胀补偿 + 期限溢价；风险资产压力再经过市场传导门控。蓝色单元格为可更新输入。 数据截至 2026-09-28。 </x:v>
      </x:c>
      <x:c r="M3" s="53" t="str">
        <x:v>名义利率 = 预期政策路径 + 通胀补偿 + 期限溢价；风险资产压力再经过市场传导门控。蓝色单元格为可更新输入。 数据截至 2026-09-28。 </x:v>
      </x:c>
      <x:c r="N3" s="53" t="str">
        <x:v>名义利率 = 预期政策路径 + 通胀补偿 + 期限溢价；风险资产压力再经过市场传导门控。蓝色单元格为可更新输入。 数据截至 2026-09-28。 </x:v>
      </x:c>
      <x:c r="O3" s="53" t="str">
        <x:v>名义利率 = 预期政策路径 + 通胀补偿 + 期限溢价；风险资产压力再经过市场传导门控。蓝色单元格为可更新输入。 数据截至 2026-09-28。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0.9299999999999997</x:v>
      </x:c>
      <x:c r="F5" s="57" t="str">
        <x:v>百分点</x:v>
      </x:c>
      <x:c r="G5" s="56" t="n">
        <x:v>-0.1224264705882353</x:v>
      </x:c>
      <x:c r="H5" s="56" t="n">
        <x:v>1.0934255619257973</x:v>
      </x:c>
      <x:c r="I5" s="58" t="n">
        <x:f>IFERROR(C5*(E5-G5)/H5,"")</x:f>
        <x:v>0.9625039940850181</x:v>
      </x:c>
      <x:c r="J5" s="58" t="n">
        <x:f>IF(I5="","",MAX(0,MIN(100,50+20*I5)))</x:f>
        <x:v>69.25007988170036</x:v>
      </x:c>
      <x:c r="K5" s="54" t="str">
        <x:v>2026-09-25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0.46999999999999975</x:v>
      </x:c>
      <x:c r="F6" s="57" t="str">
        <x:v>百分点</x:v>
      </x:c>
      <x:c r="G6" s="56" t="n">
        <x:v>0.056704545454545376</x:v>
      </x:c>
      <x:c r="H6" s="56" t="n">
        <x:v>1.0527076899791303</x:v>
      </x:c>
      <x:c r="I6" s="58" t="n">
        <x:f>IFERROR(C6*(E6-G6)/H6,"")</x:f>
        <x:v>0.39260229452075895</x:v>
      </x:c>
      <x:c r="J6" s="58" t="n">
        <x:f>IF(I6="","",MAX(0,MIN(100,50+20*I6)))</x:f>
        <x:v>57.85204589041518</x:v>
      </x:c>
      <x:c r="K6" s="54" t="str">
        <x:v>2026-09-25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0.25</x:v>
      </x:c>
      <x:c r="F7" s="57" t="str">
        <x:v>百分点</x:v>
      </x:c>
      <x:c r="G7" s="56" t="n">
        <x:v>0.03488538681948432</x:v>
      </x:c>
      <x:c r="H7" s="56" t="n">
        <x:v>0.18335504981278167</x:v>
      </x:c>
      <x:c r="I7" s="58" t="n">
        <x:f>IFERROR(C7*(E7-G7)/H7,"")</x:f>
        <x:v>1.1732134642605303</x:v>
      </x:c>
      <x:c r="J7" s="58" t="n">
        <x:f>IF(I7="","",MAX(0,MIN(100,50+20*I7)))</x:f>
        <x:v>73.4642692852106</x:v>
      </x:c>
      <x:c r="K7" s="54" t="str">
        <x:v>2026-09-25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65.32299469571282</x:v>
      </x:c>
      <x:c r="K8" s="64" t="str">
        <x:f>IF(J8&gt;=65,"高压",IF(J8&gt;=55,"偏紧",IF(J8&gt;=45,"中性",IF(J8&gt;=35,"偏松","宽松"))))</x:f>
        <x:v>高压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2.33</x:v>
      </x:c>
      <x:c r="F10" s="57" t="str">
        <x:v>%</x:v>
      </x:c>
      <x:c r="G10" s="56" t="n">
        <x:v>2.344676018704078</x:v>
      </x:c>
      <x:c r="H10" s="56" t="n">
        <x:v>0.5569194465683137</x:v>
      </x:c>
      <x:c r="I10" s="58" t="n">
        <x:f>IFERROR(C10*(E10-G10)/H10,"")</x:f>
        <x:v>-0.02635213906519201</x:v>
      </x:c>
      <x:c r="J10" s="58" t="n">
        <x:f>IF(I10="","",MAX(0,MIN(100,50+20*I10)))</x:f>
        <x:v>49.47295721869616</x:v>
      </x:c>
      <x:c r="K10" s="54" t="str">
        <x:v>2026-09-28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0.020000000000000018</x:v>
      </x:c>
      <x:c r="F11" s="57" t="str">
        <x:v>百分点</x:v>
      </x:c>
      <x:c r="G11" s="56" t="n">
        <x:v>0.006098864395457591</x:v>
      </x:c>
      <x:c r="H11" s="56" t="n">
        <x:v>0.6949487426603344</x:v>
      </x:c>
      <x:c r="I11" s="58" t="n">
        <x:f>IFERROR(C11*(E11-G11)/H11,"")</x:f>
        <x:v>0.02000310922403783</x:v>
      </x:c>
      <x:c r="J11" s="58" t="n">
        <x:f>IF(I11="","",MAX(0,MIN(100,50+20*I11)))</x:f>
        <x:v>50.40006218448076</x:v>
      </x:c>
      <x:c r="K11" s="54" t="str">
        <x:v>2026-09-28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2.35</x:v>
      </x:c>
      <x:c r="F12" s="57" t="str">
        <x:v>%</x:v>
      </x:c>
      <x:c r="G12" s="56" t="n">
        <x:v>2.1608550434201743</x:v>
      </x:c>
      <x:c r="H12" s="56" t="n">
        <x:v>0.4610563214116585</x:v>
      </x:c>
      <x:c r="I12" s="58" t="n">
        <x:f>IFERROR(C12*(E12-G12)/H12,"")</x:f>
        <x:v>0.410242627192928</x:v>
      </x:c>
      <x:c r="J12" s="58" t="n">
        <x:f>IF(I12="","",MAX(0,MIN(100,50+20*I12)))</x:f>
        <x:v>58.20485254385856</x:v>
      </x:c>
      <x:c r="K12" s="54" t="str">
        <x:v>2026-09-28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52.41701255426948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3.085745494265435</x:v>
      </x:c>
      <x:c r="F15" s="57" t="str">
        <x:v>%</x:v>
      </x:c>
      <x:c r="G15" s="56" t="n">
        <x:v>4.304672044722189</x:v>
      </x:c>
      <x:c r="H15" s="56" t="n">
        <x:v>0.8463168288520321</x:v>
      </x:c>
      <x:c r="I15" s="58" t="n">
        <x:f>IFERROR(C15*(E15-G15)/H15,"")</x:f>
        <x:v>-1.4402721402930625</x:v>
      </x:c>
      <x:c r="J15" s="58" t="n">
        <x:f>IF(I15="","",MAX(0,MIN(100,50+20*I15)))</x:f>
        <x:v>21.19455719413875</x:v>
      </x:c>
      <x:c r="K15" s="54" t="str">
        <x:v>2026-08-01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4.1</x:v>
      </x:c>
      <x:c r="F16" s="57" t="str">
        <x:v>%</x:v>
      </x:c>
      <x:c r="G16" s="56" t="n">
        <x:v>4.788059701492538</x:v>
      </x:c>
      <x:c r="H16" s="56" t="n">
        <x:v>1.0265450126752333</x:v>
      </x:c>
      <x:c r="I16" s="58" t="n">
        <x:f>IFERROR(C16*(E16-G16)/H16,"")</x:f>
        <x:v>-0.6702674437036296</x:v>
      </x:c>
      <x:c r="J16" s="58" t="n">
        <x:f>IF(I16="","",MAX(0,MIN(100,50+20*I16)))</x:f>
        <x:v>36.59465112592741</x:v>
      </x:c>
      <x:c r="K16" s="54" t="str">
        <x:v>2026-08-01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4.1</x:v>
      </x:c>
      <x:c r="F17" s="57" t="str">
        <x:v>%</x:v>
      </x:c>
      <x:c r="G17" s="56" t="n">
        <x:v>4.127941176470588</x:v>
      </x:c>
      <x:c r="H17" s="56" t="n">
        <x:v>0.8688378905585538</x:v>
      </x:c>
      <x:c r="I17" s="58" t="n">
        <x:f>IFERROR(C17*(E17-G17)/H17,"")</x:f>
        <x:v>0.03215925177092117</x:v>
      </x:c>
      <x:c r="J17" s="58" t="n">
        <x:f>IF(I17="","",MAX(0,MIN(100,50+20*I17)))</x:f>
        <x:v>50.643185035418426</x:v>
      </x:c>
      <x:c r="K17" s="54" t="str">
        <x:v>2026-08-01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7271</x:v>
      </x:c>
      <x:c r="F18" s="57" t="str">
        <x:v>千人</x:v>
      </x:c>
      <x:c r="G18" s="56" t="n">
        <x:v>8847.611940298508</x:v>
      </x:c>
      <x:c r="H18" s="56" t="n">
        <x:v>1703.0436741959686</x:v>
      </x:c>
      <x:c r="I18" s="58" t="n">
        <x:f>IFERROR(C18*(E18-G18)/H18,"")</x:f>
        <x:v>-0.9257613085247792</x:v>
      </x:c>
      <x:c r="J18" s="58" t="n">
        <x:f>IF(I18="","",MAX(0,MIN(100,50+20*I18)))</x:f>
        <x:v>31.484773829504416</x:v>
      </x:c>
      <x:c r="K18" s="54" t="str">
        <x:v>2026-07-01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202250</x:v>
      </x:c>
      <x:c r="F19" s="57" t="str">
        <x:v>人</x:v>
      </x:c>
      <x:c r="G19" s="56" t="n">
        <x:v>265131.27090301004</x:v>
      </x:c>
      <x:c r="H19" s="56" t="n">
        <x:v>129858.89069941026</x:v>
      </x:c>
      <x:c r="I19" s="58" t="n">
        <x:f>IFERROR(C19*(E19-G19)/H19,"")</x:f>
        <x:v>0.4842276917994311</x:v>
      </x:c>
      <x:c r="J19" s="58" t="n">
        <x:f>IF(I19="","",MAX(0,MIN(100,50+20*I19)))</x:f>
        <x:v>59.68455383598862</x:v>
      </x:c>
      <x:c r="K19" s="54" t="str">
        <x:v>2026-09-19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37.29341767662848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36.63548752834467</x:v>
      </x:c>
      <x:c r="F23" s="57" t="str">
        <x:v>%</x:v>
      </x:c>
      <x:c r="G23" s="56" t="n">
        <x:v>-0.1652120921194438</x:v>
      </x:c>
      <x:c r="H23" s="56" t="n">
        <x:v>28.669158522884732</x:v>
      </x:c>
      <x:c r="I23" s="58" t="n">
        <x:f>IFERROR(C23*(E23-G23)/H23,"")</x:f>
        <x:v>1.2836337554549604</x:v>
      </x:c>
      <x:c r="J23" s="58" t="n">
        <x:f>IF(I23="","",MAX(0,MIN(100,50+20*I23)))</x:f>
        <x:v>75.6726751090992</x:v>
      </x:c>
      <x:c r="K23" s="54" t="str">
        <x:v>2026-09-22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61.38183197416857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48.91671823107495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0.774716048106752</x:v>
      </x:c>
      <x:c r="F28" s="57" t="str">
        <x:v>%</x:v>
      </x:c>
      <x:c r="G28" s="56" t="n">
        <x:v>-0.050797336118081786</x:v>
      </x:c>
      <x:c r="H28" s="56" t="n">
        <x:v>0.5409941050893963</x:v>
      </x:c>
      <x:c r="I28" s="58" t="n">
        <x:f>IFERROR(C28*(E28-G28)/H28,"")</x:f>
        <x:v>1.52591937039392</x:v>
      </x:c>
      <x:c r="J28" s="58" t="n">
        <x:f>IF(I28="","",MAX(0,MIN(100,50+20*I28)))</x:f>
        <x:v>80.51838740787841</x:v>
      </x:c>
      <x:c r="K28" s="54" t="str">
        <x:v>2026-09-25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0.018141375726758002</x:v>
      </x:c>
      <x:c r="F29" s="57" t="str">
        <x:v>百分点</x:v>
      </x:c>
      <x:c r="G29" s="56" t="n">
        <x:v>0.021099820959779688</x:v>
      </x:c>
      <x:c r="H29" s="56" t="n">
        <x:v>0.22587565870238316</x:v>
      </x:c>
      <x:c r="I29" s="58" t="n">
        <x:f>IFERROR(C29*(E29-G29)/H29,"")</x:f>
        <x:v>-0.013097671745673905</x:v>
      </x:c>
      <x:c r="J29" s="58" t="n">
        <x:f>IF(I29="","",MAX(0,MIN(100,50+20*I29)))</x:f>
        <x:v>49.73804656508652</x:v>
      </x:c>
      <x:c r="K29" s="54" t="str">
        <x:v>2026-09-25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71.28428515504083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0.41000000000000014</x:v>
      </x:c>
      <x:c r="F32" s="57" t="str">
        <x:v>百分点</x:v>
      </x:c>
      <x:c r="G32" s="56" t="n">
        <x:v>0.04544117647058823</x:v>
      </x:c>
      <x:c r="H32" s="56" t="n">
        <x:v>0.5039159753866237</x:v>
      </x:c>
      <x:c r="I32" s="58" t="n">
        <x:f>IFERROR(C32*(E32-G32)/H32,"")</x:f>
        <x:v>0.7234516096651002</x:v>
      </x:c>
      <x:c r="J32" s="58" t="n">
        <x:f>IF(I32="","",MAX(0,MIN(100,50+20*I32)))</x:f>
        <x:v>64.46903219330201</x:v>
      </x:c>
      <x:c r="K32" s="54" t="str">
        <x:v>2026-09-25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0.33000000000000007</x:v>
      </x:c>
      <x:c r="F33" s="57" t="str">
        <x:v>百分点</x:v>
      </x:c>
      <x:c r="G33" s="56" t="n">
        <x:v>-0.04126778783958602</x:v>
      </x:c>
      <x:c r="H33" s="56" t="n">
        <x:v>0.5332843266170838</x:v>
      </x:c>
      <x:c r="I33" s="58" t="n">
        <x:f>IFERROR(C33*(E33-G33)/H33,"")</x:f>
        <x:v>0.6961910735212155</x:v>
      </x:c>
      <x:c r="J33" s="58" t="n">
        <x:f>IF(I33="","",MAX(0,MIN(100,50+20*I33)))</x:f>
        <x:v>63.92382147042431</x:v>
      </x:c>
      <x:c r="K33" s="54" t="str">
        <x:v>2026-09-25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0.020000000000000018</x:v>
      </x:c>
      <x:c r="F34" s="57" t="str">
        <x:v>百分点</x:v>
      </x:c>
      <x:c r="G34" s="56" t="n">
        <x:v>-0.01265200517464427</x:v>
      </x:c>
      <x:c r="H34" s="56" t="n">
        <x:v>0.1543457837801703</x:v>
      </x:c>
      <x:c r="I34" s="58" t="n">
        <x:f>IFERROR(C34*(E34-G34)/H34,"")</x:f>
        <x:v>0.21155100175039107</x:v>
      </x:c>
      <x:c r="J34" s="58" t="n">
        <x:f>IF(I34="","",MAX(0,MIN(100,50+20*I34)))</x:f>
        <x:v>54.23102003500782</x:v>
      </x:c>
      <x:c r="K34" s="54" t="str">
        <x:v>2026-09-25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14.21</x:v>
      </x:c>
      <x:c r="F35" s="57" t="str">
        <x:v>指数</x:v>
      </x:c>
      <x:c r="G35" s="56" t="n">
        <x:v>18.87620227729403</x:v>
      </x:c>
      <x:c r="H35" s="56" t="n">
        <x:v>5.605722526565804</x:v>
      </x:c>
      <x:c r="I35" s="58" t="n">
        <x:f>IFERROR(C35*(E35-G35)/H35,"")</x:f>
        <x:v>-0.8323997941711634</x:v>
      </x:c>
      <x:c r="J35" s="58" t="n">
        <x:f>IF(I35="","",MAX(0,MIN(100,50+20*I35)))</x:f>
        <x:v>33.35200411657674</x:v>
      </x:c>
      <x:c r="K35" s="54" t="str">
        <x:v>2026-09-22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1.3323182978393744</x:v>
      </x:c>
      <x:c r="F36" s="57" t="str">
        <x:v>%</x:v>
      </x:c>
      <x:c r="G36" s="56" t="n">
        <x:v>-3.883202831496552</x:v>
      </x:c>
      <x:c r="H36" s="56" t="n">
        <x:v>19.616322888282035</x:v>
      </x:c>
      <x:c r="I36" s="58" t="n">
        <x:f>IFERROR(C36*(E36-G36)/H36,"")</x:f>
        <x:v>0.26587659466247154</x:v>
      </x:c>
      <x:c r="J36" s="58" t="n">
        <x:f>IF(I36="","",MAX(0,MIN(100,50+20*I36)))</x:f>
        <x:v>55.31753189324943</x:v>
      </x:c>
      <x:c r="K36" s="54" t="str">
        <x:v>2026-09-25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-0.555</x:v>
      </x:c>
      <x:c r="F37" s="57" t="str">
        <x:v>指数</x:v>
      </x:c>
      <x:c r="G37" s="56" t="n">
        <x:v>-0.4300602006688966</x:v>
      </x:c>
      <x:c r="H37" s="56" t="n">
        <x:v>0.15126041942465757</x:v>
      </x:c>
      <x:c r="I37" s="58" t="n">
        <x:f>IFERROR(C37*(E37-G37)/H37,"")</x:f>
        <x:v>-0.8259913585214911</x:v>
      </x:c>
      <x:c r="J37" s="58" t="n">
        <x:f>IF(I37="","",MAX(0,MIN(100,50+20*I37)))</x:f>
        <x:v>33.48017282957018</x:v>
      </x:c>
      <x:c r="K37" s="54" t="str">
        <x:v>2026-09-18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52.647580671820606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65.32299469571282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48.91671823107495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71.28428515504083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52.647580671820606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61.369185070887966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62.18158441208329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56.74624704048841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0.6943145069899606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0.30568549301003944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政策重定价 + 期限溢价冲击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39.62102299900034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39.83821519529273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40.698219889503235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41.16767966816591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41.08507122303323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40.822352022500645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39.183431979326244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44.58881650551649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38.904219631234625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59.834116065590855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65.32299469571282</x:v>
      </x:c>
      <x:c r="C6" s="58" t="n">
        <x:f>'因子引擎'!$B$43</x:f>
        <x:v>48.91671823107495</x:v>
      </x:c>
      <x:c r="D6" s="58" t="n">
        <x:f>'因子引擎'!$B$44</x:f>
        <x:v>71.28428515504083</x:v>
      </x:c>
      <x:c r="E6" s="58" t="n">
        <x:f>'因子引擎'!$B$45</x:f>
        <x:v>52.647580671820606</x:v>
      </x:c>
      <x:c r="F6" s="58" t="n">
        <x:f>MIN(100,MAX(0,(35%*B6+35%*C6+30%*D6)*(0.75+0.5*E6/100)))</x:f>
        <x:v>62.18158441208329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39.62102299900034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39.83821519529273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41.16767966816591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40.822352022500645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59.834116065590855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62.18158441208329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38.904219631234625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