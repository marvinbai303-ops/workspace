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58f481f18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56125fca07f24b0a"/>
    <x:sheet xmlns:r="http://schemas.openxmlformats.org/officeDocument/2006/relationships" name="因子引擎" sheetId="2" r:id="R6420639445164efe"/>
    <x:sheet xmlns:r="http://schemas.openxmlformats.org/officeDocument/2006/relationships" name="风险资产" sheetId="3" r:id="R30db3398c7124fda"/>
    <x:sheet xmlns:r="http://schemas.openxmlformats.org/officeDocument/2006/relationships" name="场景与阈值" sheetId="4" r:id="Raa4d6d5a9bd74b52"/>
    <x:sheet xmlns:r="http://schemas.openxmlformats.org/officeDocument/2006/relationships" name="数据字典" sheetId="5" r:id="Rb22c9f4e2f9d4a58"/>
    <x:sheet xmlns:r="http://schemas.openxmlformats.org/officeDocument/2006/relationships" name="方法与信源" sheetId="6" r:id="R3f02925efa144d87"/>
    <x:sheet xmlns:r="http://schemas.openxmlformats.org/officeDocument/2006/relationships" name="审计" sheetId="7" r:id="Rb56bee35f03f43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  <x:diagonal/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91c0b704f4786" /><Relationship Type="http://schemas.openxmlformats.org/officeDocument/2006/relationships/theme" Target="/xl/theme/theme1.xml" Id="Ra2d74c0b761b41c5" /><Relationship Type="http://schemas.openxmlformats.org/officeDocument/2006/relationships/sharedStrings" Target="/xl/sharedStrings.xml" Id="Rd6e3b61bea674e60" /><Relationship Type="http://schemas.openxmlformats.org/officeDocument/2006/relationships/worksheet" Target="/xl/worksheets/sheet1.xml" Id="R56125fca07f24b0a" /><Relationship Type="http://schemas.openxmlformats.org/officeDocument/2006/relationships/worksheet" Target="/xl/worksheets/sheet2.xml" Id="R6420639445164efe" /><Relationship Type="http://schemas.openxmlformats.org/officeDocument/2006/relationships/worksheet" Target="/xl/worksheets/sheet3.xml" Id="R30db3398c7124fda" /><Relationship Type="http://schemas.openxmlformats.org/officeDocument/2006/relationships/worksheet" Target="/xl/worksheets/sheet4.xml" Id="Raa4d6d5a9bd74b52" /><Relationship Type="http://schemas.openxmlformats.org/officeDocument/2006/relationships/worksheet" Target="/xl/worksheets/sheet5.xml" Id="Rb22c9f4e2f9d4a58" /><Relationship Type="http://schemas.openxmlformats.org/officeDocument/2006/relationships/worksheet" Target="/xl/worksheets/sheet6.xml" Id="R3f02925efa144d87" /><Relationship Type="http://schemas.openxmlformats.org/officeDocument/2006/relationships/worksheet" Target="/xl/worksheets/sheet7.xml" Id="Rb56bee35f03f43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c0622c13f644e0" /><Relationship Type="http://schemas.openxmlformats.org/officeDocument/2006/relationships/chart" Target="/xl/drawings/charts/chart2.xml" Id="Rbd6f9244081243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invertIfNegative val="0"/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c0622c13f644e0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6f9244081243f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400d5e36f14c9c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2026-10-15；官方数据经 FRED、纽约联储、BLS、DOL、EIA、Atlanta Fed 交叉核验。高分=利率/金融条件压力更大。</x:v>
      </x:c>
      <x:c r="B3" s="10" t="str">
        <x:v>当前快照截至 2026-10-15；官方数据经 FRED、纽约联储、BLS、DOL、EIA、Atlanta Fed 交叉核验。高分=利率/金融条件压力更大。</x:v>
      </x:c>
      <x:c r="C3" s="10" t="str">
        <x:v>当前快照截至 2026-10-15；官方数据经 FRED、纽约联储、BLS、DOL、EIA、Atlanta Fed 交叉核验。高分=利率/金融条件压力更大。</x:v>
      </x:c>
      <x:c r="D3" s="10" t="str">
        <x:v>当前快照截至 2026-10-15；官方数据经 FRED、纽约联储、BLS、DOL、EIA、Atlanta Fed 交叉核验。高分=利率/金融条件压力更大。</x:v>
      </x:c>
      <x:c r="E3" s="10" t="str">
        <x:v>当前快照截至 2026-10-15；官方数据经 FRED、纽约联储、BLS、DOL、EIA、Atlanta Fed 交叉核验。高分=利率/金融条件压力更大。</x:v>
      </x:c>
      <x:c r="F3" s="10" t="str">
        <x:v>当前快照截至 2026-10-15；官方数据经 FRED、纽约联储、BLS、DOL、EIA、Atlanta Fed 交叉核验。高分=利率/金融条件压力更大。</x:v>
      </x:c>
      <x:c r="G3" s="10" t="str">
        <x:v>当前快照截至 2026-10-15；官方数据经 FRED、纽约联储、BLS、DOL、EIA、Atlanta Fed 交叉核验。高分=利率/金融条件压力更大。</x:v>
      </x:c>
      <x:c r="H3" s="10" t="str">
        <x:v>当前快照截至 2026-10-15；官方数据经 FRED、纽约联储、BLS、DOL、EIA、Atlanta Fed 交叉核验。高分=利率/金融条件压力更大。</x:v>
      </x:c>
      <x:c r="I3" s="10" t="str">
        <x:v>当前快照截至 2026-10-15；官方数据经 FRED、纽约联储、BLS、DOL、EIA、Atlanta Fed 交叉核验。高分=利率/金融条件压力更大。</x:v>
      </x:c>
      <x:c r="J3" s="10" t="str">
        <x:v>当前快照截至 2026-10-15；官方数据经 FRED、纽约联储、BLS、DOL、EIA、Atlanta Fed 交叉核验。高分=利率/金融条件压力更大。</x:v>
      </x:c>
      <x:c r="K3" s="10" t="str">
        <x:v>当前快照截至 2026-10-15；官方数据经 FRED、纽约联储、BLS、DOL、EIA、Atlanta Fed 交叉核验。高分=利率/金融条件压力更大。</x:v>
      </x:c>
      <x:c r="L3" s="10" t="str">
        <x:v>当前快照截至 2026-10-15；官方数据经 FRED、纽约联储、BLS、DOL、EIA、Atlanta Fed 交叉核验。高分=利率/金融条件压力更大。</x:v>
      </x:c>
      <x:c r="M3" s="10" t="str">
        <x:v>当前快照截至 2026-10-15；官方数据经 FRED、纽约联储、BLS、DOL、EIA、Atlanta Fed 交叉核验。高分=利率/金融条件压力更大。</x:v>
      </x:c>
      <x:c r="N3" s="10" t="str">
        <x:v>当前快照截至 2026-10-15；官方数据经 FRED、纽约联储、BLS、DOL、EIA、Atlanta Fed 交叉核验。高分=利率/金融条件压力更大。</x:v>
      </x:c>
      <x:c r="O3" s="10" t="str">
        <x:v>当前快照截至 2026-10-15；官方数据经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58.23840246940734</x:v>
      </x:c>
      <x:c r="B6" s="99"/>
      <x:c r="C6" s="99"/>
      <x:c r="D6" s="99" t="n">
        <x:f>'因子引擎'!$B$43</x:f>
        <x:v>46.14986813431763</x:v>
      </x:c>
      <x:c r="E6" s="99"/>
      <x:c r="F6" s="99"/>
      <x:c r="G6" s="99" t="n">
        <x:f>'因子引擎'!$B$44</x:f>
        <x:v>74.09596329714101</x:v>
      </x:c>
      <x:c r="H6" s="99"/>
      <x:c r="I6" s="99"/>
      <x:c r="J6" s="99" t="n">
        <x:f>'因子引擎'!$B$45</x:f>
        <x:v>54.99599293274533</x:v>
      </x:c>
      <x:c r="K6" s="99"/>
      <x:c r="L6" s="99"/>
      <x:c r="M6" s="99" t="n">
        <x:f>'因子引擎'!$B$47</x:f>
        <x:v>60.232623422758266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偏紧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混合状态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0.5340617355853953</x:v>
      </x:c>
      <x:c r="K12" s="50" t="str">
        <x:v>主导</x:v>
      </x:c>
      <x:c r="L12" s="50" t="str">
        <x:v>市场冲击占比</x:v>
      </x:c>
      <x:c r="M12" s="50" t="n">
        <x:f>'因子引擎'!$B$50</x:f>
        <x:v>0.46593826441460473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0.08000000000000007</x:v>
      </x:c>
      <x:c r="K13" s="39" t="str">
        <x:v>+47bp</x:v>
      </x:c>
      <x:c r="L13" s="39" t="str">
        <x:v>10Y实际利率20日</x:v>
      </x:c>
      <x:c r="M13" s="111" t="n">
        <x:f>'因子引擎'!$E$32</x:f>
        <x:v>0.1599999999999997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0.808602871528321</x:v>
      </x:c>
      <x:c r="K14" s="39" t="str">
        <x:v>高于5年中枢</x:v>
      </x:c>
      <x:c r="L14" s="39" t="str">
        <x:v>ACM TP 20日</x:v>
      </x:c>
      <x:c r="M14" s="111" t="n">
        <x:f>'因子引擎'!$E$29</x:f>
        <x:v>0.10335259064235802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0.5499999999999998</x:v>
      </x:c>
      <x:c r="K15" s="39" t="str">
        <x:v>+13bp</x:v>
      </x:c>
      <x:c r="L15" s="39" t="str">
        <x:v>VIX</x:v>
      </x:c>
      <x:c r="M15" s="111" t="n">
        <x:f>'因子引擎'!$E$35</x:f>
        <x:v>16.87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-0.499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58.23840246940734</x:v>
      </x:c>
      <x:c r="C20" s="39" t="str">
        <x:f>IF(B20&gt;=65,"高压",IF(B20&gt;=55,"偏紧",IF(B20&gt;=45,"中性",IF(B20&gt;=35,"偏松","宽松"))))</x:f>
        <x:v>偏紧</x:v>
      </x:c>
    </x:row>
    <x:row r="21" ht="24" customHeight="1">
      <x:c r="A21" s="39" t="str">
        <x:v>通胀预期</x:v>
      </x:c>
      <x:c r="B21" s="43" t="n">
        <x:f>'因子引擎'!$B$43</x:f>
        <x:v>46.14986813431763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74.09596329714101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54.99599293274533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60.232623422758266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40.73508160764057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40.64706203611054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41.81679858867824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41.93688783077683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41.677205014876606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40.59619787952772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39.3844589704711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43.049527706579035</x:v>
      </x:c>
      <x:c r="C36" s="39" t="str">
        <x:f>'风险资产'!$G$13</x:f>
        <x:v>偏不利</x:v>
      </x:c>
    </x:row>
    <x:row r="37" ht="24" customHeight="1">
      <x:c r="A37" s="39" t="str">
        <x:v>美国长债</x:v>
      </x:c>
      <x:c r="B37" s="43" t="n">
        <x:f>'风险资产'!$F$14</x:f>
        <x:v>39.78335894775367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58.438178089607874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0c400d5e36f14c9c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2026-10-15。 </x:v>
      </x:c>
      <x:c r="B3" s="53" t="str">
        <x:v>名义利率 = 预期政策路径 + 通胀补偿 + 期限溢价；风险资产压力再经过市场传导门控。蓝色单元格为可更新输入。 数据截至 2026-10-15。 </x:v>
      </x:c>
      <x:c r="C3" s="53" t="str">
        <x:v>名义利率 = 预期政策路径 + 通胀补偿 + 期限溢价；风险资产压力再经过市场传导门控。蓝色单元格为可更新输入。 数据截至 2026-10-15。 </x:v>
      </x:c>
      <x:c r="D3" s="53" t="str">
        <x:v>名义利率 = 预期政策路径 + 通胀补偿 + 期限溢价；风险资产压力再经过市场传导门控。蓝色单元格为可更新输入。 数据截至 2026-10-15。 </x:v>
      </x:c>
      <x:c r="E3" s="53" t="str">
        <x:v>名义利率 = 预期政策路径 + 通胀补偿 + 期限溢价；风险资产压力再经过市场传导门控。蓝色单元格为可更新输入。 数据截至 2026-10-15。 </x:v>
      </x:c>
      <x:c r="F3" s="53" t="str">
        <x:v>名义利率 = 预期政策路径 + 通胀补偿 + 期限溢价；风险资产压力再经过市场传导门控。蓝色单元格为可更新输入。 数据截至 2026-10-15。 </x:v>
      </x:c>
      <x:c r="G3" s="53" t="str">
        <x:v>名义利率 = 预期政策路径 + 通胀补偿 + 期限溢价；风险资产压力再经过市场传导门控。蓝色单元格为可更新输入。 数据截至 2026-10-15。 </x:v>
      </x:c>
      <x:c r="H3" s="53" t="str">
        <x:v>名义利率 = 预期政策路径 + 通胀补偿 + 期限溢价；风险资产压力再经过市场传导门控。蓝色单元格为可更新输入。 数据截至 2026-10-15。 </x:v>
      </x:c>
      <x:c r="I3" s="53" t="str">
        <x:v>名义利率 = 预期政策路径 + 通胀补偿 + 期限溢价；风险资产压力再经过市场传导门控。蓝色单元格为可更新输入。 数据截至 2026-10-15。 </x:v>
      </x:c>
      <x:c r="J3" s="53" t="str">
        <x:v>名义利率 = 预期政策路径 + 通胀补偿 + 期限溢价；风险资产压力再经过市场传导门控。蓝色单元格为可更新输入。 数据截至 2026-10-15。 </x:v>
      </x:c>
      <x:c r="K3" s="53" t="str">
        <x:v>名义利率 = 预期政策路径 + 通胀补偿 + 期限溢价；风险资产压力再经过市场传导门控。蓝色单元格为可更新输入。 数据截至 2026-10-15。 </x:v>
      </x:c>
      <x:c r="L3" s="53" t="str">
        <x:v>名义利率 = 预期政策路径 + 通胀补偿 + 期限溢价；风险资产压力再经过市场传导门控。蓝色单元格为可更新输入。 数据截至 2026-10-15。 </x:v>
      </x:c>
      <x:c r="M3" s="53" t="str">
        <x:v>名义利率 = 预期政策路径 + 通胀补偿 + 期限溢价；风险资产压力再经过市场传导门控。蓝色单元格为可更新输入。 数据截至 2026-10-15。 </x:v>
      </x:c>
      <x:c r="N3" s="53" t="str">
        <x:v>名义利率 = 预期政策路径 + 通胀补偿 + 期限溢价；风险资产压力再经过市场传导门控。蓝色单元格为可更新输入。 数据截至 2026-10-15。 </x:v>
      </x:c>
      <x:c r="O3" s="53" t="str">
        <x:v>名义利率 = 预期政策路径 + 通胀补偿 + 期限溢价；风险资产压力再经过市场传导门控。蓝色单元格为可更新输入。 数据截至 2026-10-15。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0.9400000000000004</x:v>
      </x:c>
      <x:c r="F5" s="57" t="str">
        <x:v>百分点</x:v>
      </x:c>
      <x:c r="G5" s="56" t="n">
        <x:v>-0.11645460569913853</x:v>
      </x:c>
      <x:c r="H5" s="56" t="n">
        <x:v>1.0971008733717773</x:v>
      </x:c>
      <x:c r="I5" s="58" t="n">
        <x:f>IFERROR(C5*(E5-G5)/H5,"")</x:f>
        <x:v>0.9629512028846371</x:v>
      </x:c>
      <x:c r="J5" s="58" t="n">
        <x:f>IF(I5="","",MAX(0,MIN(100,50+20*I5)))</x:f>
        <x:v>69.25902405769274</x:v>
      </x:c>
      <x:c r="K5" s="54" t="str">
        <x:v>2026-10-14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0.08000000000000007</x:v>
      </x:c>
      <x:c r="F6" s="57" t="str">
        <x:v>百分点</x:v>
      </x:c>
      <x:c r="G6" s="56" t="n">
        <x:v>0.05884029158383027</x:v>
      </x:c>
      <x:c r="H6" s="56" t="n">
        <x:v>1.0626827415045803</x:v>
      </x:c>
      <x:c r="I6" s="58" t="n">
        <x:f>IFERROR(C6*(E6-G6)/H6,"")</x:f>
        <x:v>0.01991159505066508</x:v>
      </x:c>
      <x:c r="J6" s="58" t="n">
        <x:f>IF(I6="","",MAX(0,MIN(100,50+20*I6)))</x:f>
        <x:v>50.398231901013304</x:v>
      </x:c>
      <x:c r="K6" s="54" t="str">
        <x:v>2026-10-14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</x:v>
      </x:c>
      <x:c r="F7" s="57" t="str">
        <x:v>百分点</x:v>
      </x:c>
      <x:c r="G7" s="56" t="n">
        <x:v>0.03587316611452918</x:v>
      </x:c>
      <x:c r="H7" s="56" t="n">
        <x:v>0.1831973678091879</x:v>
      </x:c>
      <x:c r="I7" s="58" t="n">
        <x:f>IFERROR(C7*(E7-G7)/H7,"")</x:f>
        <x:v>-0.19581703898657235</x:v>
      </x:c>
      <x:c r="J7" s="58" t="n">
        <x:f>IF(I7="","",MAX(0,MIN(100,50+20*I7)))</x:f>
        <x:v>46.08365922026855</x:v>
      </x:c>
      <x:c r="K7" s="54" t="str">
        <x:v>2026-10-14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58.23840246940734</x:v>
      </x:c>
      <x:c r="K8" s="64" t="str">
        <x:f>IF(J8&gt;=65,"高压",IF(J8&gt;=55,"偏紧",IF(J8&gt;=45,"中性",IF(J8&gt;=35,"偏松","宽松"))))</x:f>
        <x:v>偏紧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2.33</x:v>
      </x:c>
      <x:c r="F10" s="57" t="str">
        <x:v>%</x:v>
      </x:c>
      <x:c r="G10" s="56" t="n">
        <x:v>2.343205298013248</x:v>
      </x:c>
      <x:c r="H10" s="56" t="n">
        <x:v>0.5577910651289777</x:v>
      </x:c>
      <x:c r="I10" s="58" t="n">
        <x:f>IFERROR(C10*(E10-G10)/H10,"")</x:f>
        <x:v>-0.023674273108326926</x:v>
      </x:c>
      <x:c r="J10" s="58" t="n">
        <x:f>IF(I10="","",MAX(0,MIN(100,50+20*I10)))</x:f>
        <x:v>49.526514537833464</x:v>
      </x:c>
      <x:c r="K10" s="54" t="str">
        <x:v>2026-10-15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0.010000000000000231</x:v>
      </x:c>
      <x:c r="F11" s="57" t="str">
        <x:v>百分点</x:v>
      </x:c>
      <x:c r="G11" s="56" t="n">
        <x:v>0.0058145695364238475</x:v>
      </x:c>
      <x:c r="H11" s="56" t="n">
        <x:v>0.697365556745222</x:v>
      </x:c>
      <x:c r="I11" s="58" t="n">
        <x:f>IFERROR(C11*(E11-G11)/H11,"")</x:f>
        <x:v>0.006001773995135099</x:v>
      </x:c>
      <x:c r="J11" s="58" t="n">
        <x:f>IF(I11="","",MAX(0,MIN(100,50+20*I11)))</x:f>
        <x:v>50.120035479902704</x:v>
      </x:c>
      <x:c r="K11" s="54" t="str">
        <x:v>2026-10-15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2.31</x:v>
      </x:c>
      <x:c r="F12" s="57" t="str">
        <x:v>%</x:v>
      </x:c>
      <x:c r="G12" s="56" t="n">
        <x:v>2.1608741721854314</x:v>
      </x:c>
      <x:c r="H12" s="56" t="n">
        <x:v>0.46271252426799164</x:v>
      </x:c>
      <x:c r="I12" s="58" t="n">
        <x:f>IFERROR(C12*(E12-G12)/H12,"")</x:f>
        <x:v>0.3222861279808338</x:v>
      </x:c>
      <x:c r="J12" s="58" t="n">
        <x:f>IF(I12="","",MAX(0,MIN(100,50+20*I12)))</x:f>
        <x:v>56.44572255961668</x:v>
      </x:c>
      <x:c r="K12" s="54" t="str">
        <x:v>2026-10-15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51.810009274092664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3.0245231607629375</x:v>
      </x:c>
      <x:c r="F15" s="57" t="str">
        <x:v>%</x:v>
      </x:c>
      <x:c r="G15" s="56" t="n">
        <x:v>4.286117534594615</x:v>
      </x:c>
      <x:c r="H15" s="56" t="n">
        <x:v>0.8540343631541617</x:v>
      </x:c>
      <x:c r="I15" s="58" t="n">
        <x:f>IFERROR(C15*(E15-G15)/H15,"")</x:f>
        <x:v>-1.4772173442439656</x:v>
      </x:c>
      <x:c r="J15" s="58" t="n">
        <x:f>IF(I15="","",MAX(0,MIN(100,50+20*I15)))</x:f>
        <x:v>20.45565311512069</x:v>
      </x:c>
      <x:c r="K15" s="54" t="str">
        <x:v>2026-09-01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3.9</x:v>
      </x:c>
      <x:c r="F16" s="57" t="str">
        <x:v>%</x:v>
      </x:c>
      <x:c r="G16" s="56" t="n">
        <x:v>4.776470588235295</x:v>
      </x:c>
      <x:c r="H16" s="56" t="n">
        <x:v>1.0237650218763872</x:v>
      </x:c>
      <x:c r="I16" s="58" t="n">
        <x:f>IFERROR(C16*(E16-G16)/H16,"")</x:f>
        <x:v>-0.8561247644785456</x:v>
      </x:c>
      <x:c r="J16" s="58" t="n">
        <x:f>IF(I16="","",MAX(0,MIN(100,50+20*I16)))</x:f>
        <x:v>32.87750471042909</x:v>
      </x:c>
      <x:c r="K16" s="54" t="str">
        <x:v>2026-09-01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4.2</x:v>
      </x:c>
      <x:c r="F17" s="57" t="str">
        <x:v>%</x:v>
      </x:c>
      <x:c r="G17" s="56" t="n">
        <x:v>4.128985507246377</x:v>
      </x:c>
      <x:c r="H17" s="56" t="n">
        <x:v>0.862469342895114</x:v>
      </x:c>
      <x:c r="I17" s="58" t="n">
        <x:f>IFERROR(C17*(E17-G17)/H17,"")</x:f>
        <x:v>-0.08233857045311783</x:v>
      </x:c>
      <x:c r="J17" s="58" t="n">
        <x:f>IF(I17="","",MAX(0,MIN(100,50+20*I17)))</x:f>
        <x:v>48.35322859093765</x:v>
      </x:c>
      <x:c r="K17" s="54" t="str">
        <x:v>2026-09-01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7079</x:v>
      </x:c>
      <x:c r="F18" s="57" t="str">
        <x:v>千人</x:v>
      </x:c>
      <x:c r="G18" s="56" t="n">
        <x:v>8822.54411764706</x:v>
      </x:c>
      <x:c r="H18" s="56" t="n">
        <x:v>1702.9875367316663</x:v>
      </x:c>
      <x:c r="I18" s="58" t="n">
        <x:f>IFERROR(C18*(E18-G18)/H18,"")</x:f>
        <x:v>-1.0238149604977311</x:v>
      </x:c>
      <x:c r="J18" s="58" t="n">
        <x:f>IF(I18="","",MAX(0,MIN(100,50+20*I18)))</x:f>
        <x:v>29.52370079004538</x:v>
      </x:c>
      <x:c r="K18" s="54" t="str">
        <x:v>2026-08-01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198500</x:v>
      </x:c>
      <x:c r="F19" s="57" t="str">
        <x:v>人</x:v>
      </x:c>
      <x:c r="G19" s="56" t="n">
        <x:v>264475.99337748345</x:v>
      </x:c>
      <x:c r="H19" s="56" t="n">
        <x:v>129376.24139969035</x:v>
      </x:c>
      <x:c r="I19" s="58" t="n">
        <x:f>IFERROR(C19*(E19-G19)/H19,"")</x:f>
        <x:v>0.5099544759045794</x:v>
      </x:c>
      <x:c r="J19" s="58" t="n">
        <x:f>IF(I19="","",MAX(0,MIN(100,50+20*I19)))</x:f>
        <x:v>60.19908951809159</x:v>
      </x:c>
      <x:c r="K19" s="54" t="str">
        <x:v>2026-10-10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35.520877330750906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-0.7829083390764935</x:v>
      </x:c>
      <x:c r="F22" s="57" t="str">
        <x:v>%</x:v>
      </x:c>
      <x:c r="G22" s="56" t="n">
        <x:v>1.6825988471851845</x:v>
      </x:c>
      <x:c r="H22" s="56" t="n">
        <x:v>3.253011654406362</x:v>
      </x:c>
      <x:c r="I22" s="58" t="n">
        <x:f>IFERROR(C22*(E22-G22)/H22,"")</x:f>
        <x:v>-0.757915263820844</x:v>
      </x:c>
      <x:c r="J22" s="58" t="n">
        <x:f>IF(I22="","",MAX(0,MIN(100,50+20*I22)))</x:f>
        <x:v>34.84169472358312</x:v>
      </x:c>
      <x:c r="K22" s="54" t="str">
        <x:v>2026-08-01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16.25598904859684</x:v>
      </x:c>
      <x:c r="F23" s="57" t="str">
        <x:v>%</x:v>
      </x:c>
      <x:c r="G23" s="56" t="n">
        <x:v>0.1142404810583327</x:v>
      </x:c>
      <x:c r="H23" s="56" t="n">
        <x:v>28.66433265996694</x:v>
      </x:c>
      <x:c r="I23" s="58" t="n">
        <x:f>IFERROR(C23*(E23-G23)/H23,"")</x:f>
        <x:v>0.5631301017547263</x:v>
      </x:c>
      <x:c r="J23" s="58" t="n">
        <x:f>IF(I23="","",MAX(0,MIN(100,50+20*I23)))</x:f>
        <x:v>61.26260203509453</x:v>
      </x:c>
      <x:c r="K23" s="54" t="str">
        <x:v>2026-10-14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52.01528447606554</x:v>
      </x:c>
      <x:c r="K24" s="64" t="str">
        <x:f>IF(J24&gt;=65,"高压",IF(J24&gt;=55,"偏紧",IF(J24&gt;=45,"中性",IF(J24&gt;=35,"偏松","宽松"))))</x:f>
        <x:v>中性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46.14986813431763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0.808602871528321</x:v>
      </x:c>
      <x:c r="F28" s="57" t="str">
        <x:v>%</x:v>
      </x:c>
      <x:c r="G28" s="56" t="n">
        <x:v>-0.050530022451414754</x:v>
      </x:c>
      <x:c r="H28" s="56" t="n">
        <x:v>0.547966677439874</x:v>
      </x:c>
      <x:c r="I28" s="58" t="n">
        <x:f>IFERROR(C28*(E28-G28)/H28,"")</x:f>
        <x:v>1.5678560929902616</x:v>
      </x:c>
      <x:c r="J28" s="58" t="n">
        <x:f>IF(I28="","",MAX(0,MIN(100,50+20*I28)))</x:f>
        <x:v>81.35712185980523</x:v>
      </x:c>
      <x:c r="K28" s="54" t="str">
        <x:v>2026-10-14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0.10335259064235802</x:v>
      </x:c>
      <x:c r="F29" s="57" t="str">
        <x:v>百分点</x:v>
      </x:c>
      <x:c r="G29" s="56" t="n">
        <x:v>0.02244078444364586</x:v>
      </x:c>
      <x:c r="H29" s="56" t="n">
        <x:v>0.22622358582457355</x:v>
      </x:c>
      <x:c r="I29" s="58" t="n">
        <x:f>IFERROR(C29*(E29-G29)/H29,"")</x:f>
        <x:v>0.35766299921289246</x:v>
      </x:c>
      <x:c r="J29" s="58" t="n">
        <x:f>IF(I29="","",MAX(0,MIN(100,50+20*I29)))</x:f>
        <x:v>57.15325998425785</x:v>
      </x:c>
      <x:c r="K29" s="54" t="str">
        <x:v>2026-10-14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74.09596329714101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0.1599999999999997</x:v>
      </x:c>
      <x:c r="F32" s="57" t="str">
        <x:v>百分点</x:v>
      </x:c>
      <x:c r="G32" s="56" t="n">
        <x:v>0.04816434724983432</x:v>
      </x:c>
      <x:c r="H32" s="56" t="n">
        <x:v>0.5127852219471633</x:v>
      </x:c>
      <x:c r="I32" s="58" t="n">
        <x:f>IFERROR(C32*(E32-G32)/H32,"")</x:f>
        <x:v>0.2180945315184781</x:v>
      </x:c>
      <x:c r="J32" s="58" t="n">
        <x:f>IF(I32="","",MAX(0,MIN(100,50+20*I32)))</x:f>
        <x:v>54.36189063036956</x:v>
      </x:c>
      <x:c r="K32" s="54" t="str">
        <x:v>2026-10-14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0.5499999999999998</x:v>
      </x:c>
      <x:c r="F33" s="57" t="str">
        <x:v>百分点</x:v>
      </x:c>
      <x:c r="G33" s="56" t="n">
        <x:v>-0.033720930232558136</x:v>
      </x:c>
      <x:c r="H33" s="56" t="n">
        <x:v>0.5352694956892594</x:v>
      </x:c>
      <x:c r="I33" s="58" t="n">
        <x:f>IFERROR(C33*(E33-G33)/H33,"")</x:f>
        <x:v>1.090517832481577</x:v>
      </x:c>
      <x:c r="J33" s="58" t="n">
        <x:f>IF(I33="","",MAX(0,MIN(100,50+20*I33)))</x:f>
        <x:v>71.81035664963154</x:v>
      </x:c>
      <x:c r="K33" s="54" t="str">
        <x:v>2026-10-14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0.05999999999999994</x:v>
      </x:c>
      <x:c r="F34" s="57" t="str">
        <x:v>百分点</x:v>
      </x:c>
      <x:c r="G34" s="56" t="n">
        <x:v>-0.0124418604651163</x:v>
      </x:c>
      <x:c r="H34" s="56" t="n">
        <x:v>0.1542644563360042</x:v>
      </x:c>
      <x:c r="I34" s="58" t="n">
        <x:f>IFERROR(C34*(E34-G34)/H34,"")</x:f>
        <x:v>0.46959527933855527</x:v>
      </x:c>
      <x:c r="J34" s="58" t="n">
        <x:f>IF(I34="","",MAX(0,MIN(100,50+20*I34)))</x:f>
        <x:v>59.3919055867711</x:v>
      </x:c>
      <x:c r="K34" s="54" t="str">
        <x:v>2026-10-14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16.87</x:v>
      </x:c>
      <x:c r="F35" s="57" t="str">
        <x:v>指数</x:v>
      </x:c>
      <x:c r="G35" s="56" t="n">
        <x:v>18.841119946984747</x:v>
      </x:c>
      <x:c r="H35" s="56" t="n">
        <x:v>5.586525661835913</x:v>
      </x:c>
      <x:c r="I35" s="58" t="n">
        <x:f>IFERROR(C35*(E35-G35)/H35,"")</x:f>
        <x:v>-0.35283467154735537</x:v>
      </x:c>
      <x:c r="J35" s="58" t="n">
        <x:f>IF(I35="","",MAX(0,MIN(100,50+20*I35)))</x:f>
        <x:v>42.94330656905289</x:v>
      </x:c>
      <x:c r="K35" s="54" t="str">
        <x:v>2026-10-14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2.8674608290486736</x:v>
      </x:c>
      <x:c r="F36" s="57" t="str">
        <x:v>%</x:v>
      </x:c>
      <x:c r="G36" s="56" t="n">
        <x:v>-3.843107270670175</x:v>
      </x:c>
      <x:c r="H36" s="56" t="n">
        <x:v>19.561548309273117</x:v>
      </x:c>
      <x:c r="I36" s="58" t="n">
        <x:f>IFERROR(C36*(E36-G36)/H36,"")</x:f>
        <x:v>0.3430489240229372</x:v>
      </x:c>
      <x:c r="J36" s="58" t="n">
        <x:f>IF(I36="","",MAX(0,MIN(100,50+20*I36)))</x:f>
        <x:v>56.86097848045874</x:v>
      </x:c>
      <x:c r="K36" s="54" t="str">
        <x:v>2026-10-09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-0.499</x:v>
      </x:c>
      <x:c r="F37" s="57" t="str">
        <x:v>指数</x:v>
      </x:c>
      <x:c r="G37" s="56" t="n">
        <x:v>-0.43043377483443734</x:v>
      </x:c>
      <x:c r="H37" s="56" t="n">
        <x:v>0.1505423216782181</x:v>
      </x:c>
      <x:c r="I37" s="58" t="n">
        <x:f>IFERROR(C37*(E37-G37)/H37,"")</x:f>
        <x:v>-0.455461456959073</x:v>
      </x:c>
      <x:c r="J37" s="58" t="n">
        <x:f>IF(I37="","",MAX(0,MIN(100,50+20*I37)))</x:f>
        <x:v>40.89077086081854</x:v>
      </x:c>
      <x:c r="K37" s="54" t="str">
        <x:v>2026-10-09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54.99599293274533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58.23840246940734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46.14986813431763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74.09596329714101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54.99599293274533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58.76468370044604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60.232623422758266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57.18753412269295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0.5340617355853953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0.46593826441460473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混合状态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40.73508160764057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40.64706203611054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41.81679858867824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41.93688783077683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41.677205014876606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40.59619787952772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39.3844589704711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43.049527706579035</x:v>
      </x:c>
      <x:c r="G13" s="54" t="str">
        <x:f>IF(F13&gt;=65,"明显有利",IF(F13&gt;=55,"偏有利",IF(F13&gt;=45,"中性",IF(F13&gt;=35,"偏不利","明显不利"))))</x:f>
        <x:v>偏不利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39.78335894775367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58.438178089607874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58.23840246940734</x:v>
      </x:c>
      <x:c r="C6" s="58" t="n">
        <x:f>'因子引擎'!$B$43</x:f>
        <x:v>46.14986813431763</x:v>
      </x:c>
      <x:c r="D6" s="58" t="n">
        <x:f>'因子引擎'!$B$44</x:f>
        <x:v>74.09596329714101</x:v>
      </x:c>
      <x:c r="E6" s="58" t="n">
        <x:f>'因子引擎'!$B$45</x:f>
        <x:v>54.99599293274533</x:v>
      </x:c>
      <x:c r="F6" s="58" t="n">
        <x:f>MIN(100,MAX(0,(35%*B6+35%*C6+30%*D6)*(0.75+0.5*E6/100)))</x:f>
        <x:v>60.232623422758266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40.73508160764057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40.64706203611054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41.93688783077683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40.59619787952772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58.438178089607874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60.232623422758266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39.3844589704711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