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616d04a09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173c94c5ce454940"/>
    <x:sheet xmlns:r="http://schemas.openxmlformats.org/officeDocument/2006/relationships" name="因子引擎" sheetId="2" r:id="R8afd7d03e6824d2d"/>
    <x:sheet xmlns:r="http://schemas.openxmlformats.org/officeDocument/2006/relationships" name="风险资产" sheetId="3" r:id="Rc920da1da1344e90"/>
    <x:sheet xmlns:r="http://schemas.openxmlformats.org/officeDocument/2006/relationships" name="场景与阈值" sheetId="4" r:id="R4ffc202d012f45a7"/>
    <x:sheet xmlns:r="http://schemas.openxmlformats.org/officeDocument/2006/relationships" name="数据字典" sheetId="5" r:id="R1b7a80c8467e4628"/>
    <x:sheet xmlns:r="http://schemas.openxmlformats.org/officeDocument/2006/relationships" name="方法与信源" sheetId="6" r:id="Rc60b1677aee049bf"/>
    <x:sheet xmlns:r="http://schemas.openxmlformats.org/officeDocument/2006/relationships" name="审计" sheetId="7" r:id="R7dbfbd481c2d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3a02fa0ae47b6" /><Relationship Type="http://schemas.openxmlformats.org/officeDocument/2006/relationships/theme" Target="/xl/theme/theme1.xml" Id="Rabcddee27c5440d6" /><Relationship Type="http://schemas.openxmlformats.org/officeDocument/2006/relationships/sharedStrings" Target="/xl/sharedStrings.xml" Id="R71099612067b4005" /><Relationship Type="http://schemas.openxmlformats.org/officeDocument/2006/relationships/worksheet" Target="/xl/worksheets/sheet1.xml" Id="R173c94c5ce454940" /><Relationship Type="http://schemas.openxmlformats.org/officeDocument/2006/relationships/worksheet" Target="/xl/worksheets/sheet2.xml" Id="R8afd7d03e6824d2d" /><Relationship Type="http://schemas.openxmlformats.org/officeDocument/2006/relationships/worksheet" Target="/xl/worksheets/sheet3.xml" Id="Rc920da1da1344e90" /><Relationship Type="http://schemas.openxmlformats.org/officeDocument/2006/relationships/worksheet" Target="/xl/worksheets/sheet4.xml" Id="R4ffc202d012f45a7" /><Relationship Type="http://schemas.openxmlformats.org/officeDocument/2006/relationships/worksheet" Target="/xl/worksheets/sheet5.xml" Id="R1b7a80c8467e4628" /><Relationship Type="http://schemas.openxmlformats.org/officeDocument/2006/relationships/worksheet" Target="/xl/worksheets/sheet6.xml" Id="Rc60b1677aee049bf" /><Relationship Type="http://schemas.openxmlformats.org/officeDocument/2006/relationships/worksheet" Target="/xl/worksheets/sheet7.xml" Id="R7dbfbd481c2d47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71f7cb5fde4070" /><Relationship Type="http://schemas.openxmlformats.org/officeDocument/2006/relationships/chart" Target="/xl/drawings/charts/chart2.xml" Id="R22404c6116df4d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71f7cb5fde4070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404c6116df4d5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b2db1c345744b7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2026-09-29；官方数据经 FRED、纽约联储、BLS、DOL、EIA、Atlanta Fed 交叉核验。高分=利率/金融条件压力更大。</x:v>
      </x:c>
      <x:c r="B3" s="10" t="str">
        <x:v>当前快照截至 2026-09-29；官方数据经 FRED、纽约联储、BLS、DOL、EIA、Atlanta Fed 交叉核验。高分=利率/金融条件压力更大。</x:v>
      </x:c>
      <x:c r="C3" s="10" t="str">
        <x:v>当前快照截至 2026-09-29；官方数据经 FRED、纽约联储、BLS、DOL、EIA、Atlanta Fed 交叉核验。高分=利率/金融条件压力更大。</x:v>
      </x:c>
      <x:c r="D3" s="10" t="str">
        <x:v>当前快照截至 2026-09-29；官方数据经 FRED、纽约联储、BLS、DOL、EIA、Atlanta Fed 交叉核验。高分=利率/金融条件压力更大。</x:v>
      </x:c>
      <x:c r="E3" s="10" t="str">
        <x:v>当前快照截至 2026-09-29；官方数据经 FRED、纽约联储、BLS、DOL、EIA、Atlanta Fed 交叉核验。高分=利率/金融条件压力更大。</x:v>
      </x:c>
      <x:c r="F3" s="10" t="str">
        <x:v>当前快照截至 2026-09-29；官方数据经 FRED、纽约联储、BLS、DOL、EIA、Atlanta Fed 交叉核验。高分=利率/金融条件压力更大。</x:v>
      </x:c>
      <x:c r="G3" s="10" t="str">
        <x:v>当前快照截至 2026-09-29；官方数据经 FRED、纽约联储、BLS、DOL、EIA、Atlanta Fed 交叉核验。高分=利率/金融条件压力更大。</x:v>
      </x:c>
      <x:c r="H3" s="10" t="str">
        <x:v>当前快照截至 2026-09-29；官方数据经 FRED、纽约联储、BLS、DOL、EIA、Atlanta Fed 交叉核验。高分=利率/金融条件压力更大。</x:v>
      </x:c>
      <x:c r="I3" s="10" t="str">
        <x:v>当前快照截至 2026-09-29；官方数据经 FRED、纽约联储、BLS、DOL、EIA、Atlanta Fed 交叉核验。高分=利率/金融条件压力更大。</x:v>
      </x:c>
      <x:c r="J3" s="10" t="str">
        <x:v>当前快照截至 2026-09-29；官方数据经 FRED、纽约联储、BLS、DOL、EIA、Atlanta Fed 交叉核验。高分=利率/金融条件压力更大。</x:v>
      </x:c>
      <x:c r="K3" s="10" t="str">
        <x:v>当前快照截至 2026-09-29；官方数据经 FRED、纽约联储、BLS、DOL、EIA、Atlanta Fed 交叉核验。高分=利率/金融条件压力更大。</x:v>
      </x:c>
      <x:c r="L3" s="10" t="str">
        <x:v>当前快照截至 2026-09-29；官方数据经 FRED、纽约联储、BLS、DOL、EIA、Atlanta Fed 交叉核验。高分=利率/金融条件压力更大。</x:v>
      </x:c>
      <x:c r="M3" s="10" t="str">
        <x:v>当前快照截至 2026-09-29；官方数据经 FRED、纽约联储、BLS、DOL、EIA、Atlanta Fed 交叉核验。高分=利率/金融条件压力更大。</x:v>
      </x:c>
      <x:c r="N3" s="10" t="str">
        <x:v>当前快照截至 2026-09-29；官方数据经 FRED、纽约联储、BLS、DOL、EIA、Atlanta Fed 交叉核验。高分=利率/金融条件压力更大。</x:v>
      </x:c>
      <x:c r="O3" s="10" t="str">
        <x:v>当前快照截至 2026-09-29；官方数据经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67.04990806519942</x:v>
      </x:c>
      <x:c r="B6" s="99"/>
      <x:c r="C6" s="99"/>
      <x:c r="D6" s="99" t="n">
        <x:f>'因子引擎'!$B$43</x:f>
        <x:v>48.66753187252903</x:v>
      </x:c>
      <x:c r="E6" s="99"/>
      <x:c r="F6" s="99"/>
      <x:c r="G6" s="99" t="n">
        <x:f>'因子引擎'!$B$44</x:f>
        <x:v>72.99356435513207</x:v>
      </x:c>
      <x:c r="H6" s="99"/>
      <x:c r="I6" s="99"/>
      <x:c r="J6" s="99" t="n">
        <x:f>'因子引擎'!$B$45</x:f>
        <x:v>54.721971353191776</x:v>
      </x:c>
      <x:c r="K6" s="99"/>
      <x:c r="L6" s="99"/>
      <x:c r="M6" s="99" t="n">
        <x:f>'因子引擎'!$B$47</x:f>
        <x:v>63.872408828311634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高压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高压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政策重定价 + 期限溢价冲击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0.6866219151954133</x:v>
      </x:c>
      <x:c r="K12" s="50" t="str">
        <x:v>主导</x:v>
      </x:c>
      <x:c r="L12" s="50" t="str">
        <x:v>市场冲击占比</x:v>
      </x:c>
      <x:c r="M12" s="50" t="n">
        <x:f>'因子引擎'!$B$50</x:f>
        <x:v>0.31337808480458673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0.5800000000000001</x:v>
      </x:c>
      <x:c r="K13" s="39" t="str">
        <x:v>+47bp</x:v>
      </x:c>
      <x:c r="L13" s="39" t="str">
        <x:v>10Y实际利率20日</x:v>
      </x:c>
      <x:c r="M13" s="111" t="n">
        <x:f>'因子引擎'!$E$32</x:f>
        <x:v>0.45999999999999996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0.792749194213457</x:v>
      </x:c>
      <x:c r="K14" s="39" t="str">
        <x:v>高于5年中枢</x:v>
      </x:c>
      <x:c r="L14" s="39" t="str">
        <x:v>ACM TP 20日</x:v>
      </x:c>
      <x:c r="M14" s="111" t="n">
        <x:f>'因子引擎'!$E$29</x:f>
        <x:v>0.06591862656869607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0.3900000000000001</x:v>
      </x:c>
      <x:c r="K15" s="39" t="str">
        <x:v>+13bp</x:v>
      </x:c>
      <x:c r="L15" s="39" t="str">
        <x:v>VIX</x:v>
      </x:c>
      <x:c r="M15" s="111" t="n">
        <x:f>'因子引擎'!$E$35</x:f>
        <x:v>16.07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-0.555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67.04990806519942</x:v>
      </x:c>
      <x:c r="C20" s="39" t="str">
        <x:f>IF(B20&gt;=65,"高压",IF(B20&gt;=55,"偏紧",IF(B20&gt;=45,"中性",IF(B20&gt;=35,"偏松","宽松"))))</x:f>
        <x:v>高压</x:v>
      </x:c>
    </x:row>
    <x:row r="21" ht="24" customHeight="1">
      <x:c r="A21" s="39" t="str">
        <x:v>通胀预期</x:v>
      </x:c>
      <x:c r="B21" s="43" t="n">
        <x:f>'因子引擎'!$B$43</x:f>
        <x:v>48.66753187252903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72.99356435513207</x:v>
      </x:c>
      <x:c r="C22" s="39" t="str">
        <x:f>IF(B22&gt;=65,"高压",IF(B22&gt;=55,"偏紧",IF(B22&gt;=45,"中性",IF(B22&gt;=35,"偏松","宽松"))))</x:f>
        <x:v>高压</x:v>
      </x:c>
    </x:row>
    <x:row r="23" ht="24" customHeight="1">
      <x:c r="A23" s="39" t="str">
        <x:v>市场传导</x:v>
      </x:c>
      <x:c r="B23" s="43" t="n">
        <x:f>'因子引擎'!$B$45</x:f>
        <x:v>54.721971353191776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63.872408828311634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38.27140451588909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38.41416569151566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39.13863232150779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39.595222570100674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39.59932565123882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39.51929700197569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37.429970137586736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43.67190940147365</x:v>
      </x:c>
      <x:c r="C36" s="39" t="str">
        <x:f>'风险资产'!$G$13</x:f>
        <x:v>偏不利</x:v>
      </x:c>
    </x:row>
    <x:row r="37" ht="24" customHeight="1">
      <x:c r="A37" s="39" t="str">
        <x:v>美国长债</x:v>
      </x:c>
      <x:c r="B37" s="43" t="n">
        <x:f>'风险资产'!$F$14</x:f>
        <x:v>37.67000689888785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61.35251938451624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28b2db1c345744b7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2026-09-29。 </x:v>
      </x:c>
      <x:c r="B3" s="53" t="str">
        <x:v>名义利率 = 预期政策路径 + 通胀补偿 + 期限溢价；风险资产压力再经过市场传导门控。蓝色单元格为可更新输入。 数据截至 2026-09-29。 </x:v>
      </x:c>
      <x:c r="C3" s="53" t="str">
        <x:v>名义利率 = 预期政策路径 + 通胀补偿 + 期限溢价；风险资产压力再经过市场传导门控。蓝色单元格为可更新输入。 数据截至 2026-09-29。 </x:v>
      </x:c>
      <x:c r="D3" s="53" t="str">
        <x:v>名义利率 = 预期政策路径 + 通胀补偿 + 期限溢价；风险资产压力再经过市场传导门控。蓝色单元格为可更新输入。 数据截至 2026-09-29。 </x:v>
      </x:c>
      <x:c r="E3" s="53" t="str">
        <x:v>名义利率 = 预期政策路径 + 通胀补偿 + 期限溢价；风险资产压力再经过市场传导门控。蓝色单元格为可更新输入。 数据截至 2026-09-29。 </x:v>
      </x:c>
      <x:c r="F3" s="53" t="str">
        <x:v>名义利率 = 预期政策路径 + 通胀补偿 + 期限溢价；风险资产压力再经过市场传导门控。蓝色单元格为可更新输入。 数据截至 2026-09-29。 </x:v>
      </x:c>
      <x:c r="G3" s="53" t="str">
        <x:v>名义利率 = 预期政策路径 + 通胀补偿 + 期限溢价；风险资产压力再经过市场传导门控。蓝色单元格为可更新输入。 数据截至 2026-09-29。 </x:v>
      </x:c>
      <x:c r="H3" s="53" t="str">
        <x:v>名义利率 = 预期政策路径 + 通胀补偿 + 期限溢价；风险资产压力再经过市场传导门控。蓝色单元格为可更新输入。 数据截至 2026-09-29。 </x:v>
      </x:c>
      <x:c r="I3" s="53" t="str">
        <x:v>名义利率 = 预期政策路径 + 通胀补偿 + 期限溢价；风险资产压力再经过市场传导门控。蓝色单元格为可更新输入。 数据截至 2026-09-29。 </x:v>
      </x:c>
      <x:c r="J3" s="53" t="str">
        <x:v>名义利率 = 预期政策路径 + 通胀补偿 + 期限溢价；风险资产压力再经过市场传导门控。蓝色单元格为可更新输入。 数据截至 2026-09-29。 </x:v>
      </x:c>
      <x:c r="K3" s="53" t="str">
        <x:v>名义利率 = 预期政策路径 + 通胀补偿 + 期限溢价；风险资产压力再经过市场传导门控。蓝色单元格为可更新输入。 数据截至 2026-09-29。 </x:v>
      </x:c>
      <x:c r="L3" s="53" t="str">
        <x:v>名义利率 = 预期政策路径 + 通胀补偿 + 期限溢价；风险资产压力再经过市场传导门控。蓝色单元格为可更新输入。 数据截至 2026-09-29。 </x:v>
      </x:c>
      <x:c r="M3" s="53" t="str">
        <x:v>名义利率 = 预期政策路径 + 通胀补偿 + 期限溢价；风险资产压力再经过市场传导门控。蓝色单元格为可更新输入。 数据截至 2026-09-29。 </x:v>
      </x:c>
      <x:c r="N3" s="53" t="str">
        <x:v>名义利率 = 预期政策路径 + 通胀补偿 + 期限溢价；风险资产压力再经过市场传导门控。蓝色单元格为可更新输入。 数据截至 2026-09-29。 </x:v>
      </x:c>
      <x:c r="O3" s="53" t="str">
        <x:v>名义利率 = 预期政策路径 + 通胀补偿 + 期限溢价；风险资产压力再经过市场传导门控。蓝色单元格为可更新输入。 数据截至 2026-09-29。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1.04</x:v>
      </x:c>
      <x:c r="F5" s="57" t="str">
        <x:v>百分点</x:v>
      </x:c>
      <x:c r="G5" s="56" t="n">
        <x:v>-0.1216499665998664</x:v>
      </x:c>
      <x:c r="H5" s="56" t="n">
        <x:v>1.0934728639214981</x:v>
      </x:c>
      <x:c r="I5" s="58" t="n">
        <x:f>IFERROR(C5*(E5-G5)/H5,"")</x:f>
        <x:v>1.0623491491447408</x:v>
      </x:c>
      <x:c r="J5" s="58" t="n">
        <x:f>IF(I5="","",MAX(0,MIN(100,50+20*I5)))</x:f>
        <x:v>71.24698298289482</x:v>
      </x:c>
      <x:c r="K5" s="54" t="str">
        <x:v>2026-09-28</x:v>
      </x:c>
      <x:c r="L5" s="54" t="n">
        <x:v>5</x:v>
      </x:c>
      <x:c r="M5" s="54" t="n">
        <x:v>4</x:v>
      </x:c>
      <x:c r="N5" s="54" t="str">
        <x:v>2Y与有效联邦基金利率之差，包含2Y期限溢价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0.5800000000000001</x:v>
      </x:c>
      <x:c r="F6" s="57" t="str">
        <x:v>百分点</x:v>
      </x:c>
      <x:c r="G6" s="56" t="n">
        <x:v>0.05705410821643279</x:v>
      </x:c>
      <x:c r="H6" s="56" t="n">
        <x:v>1.0524426987263638</x:v>
      </x:c>
      <x:c r="I6" s="58" t="n">
        <x:f>IFERROR(C6*(E6-G6)/H6,"")</x:f>
        <x:v>0.49688775685025094</x:v>
      </x:c>
      <x:c r="J6" s="58" t="n">
        <x:f>IF(I6="","",MAX(0,MIN(100,50+20*I6)))</x:f>
        <x:v>59.93775513700502</x:v>
      </x:c>
      <x:c r="K6" s="54" t="str">
        <x:v>2026-09-28</x:v>
      </x:c>
      <x:c r="L6" s="54" t="n">
        <x:v>5</x:v>
      </x:c>
      <x:c r="M6" s="54" t="n">
        <x:v>4</x:v>
      </x:c>
      <x:c r="N6" s="54" t="str">
        <x:v>捕捉政策路径重定价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0.25</x:v>
      </x:c>
      <x:c r="F7" s="57" t="str">
        <x:v>百分点</x:v>
      </x:c>
      <x:c r="G7" s="56" t="n">
        <x:v>0.03519313304721038</x:v>
      </x:c>
      <x:c r="H7" s="56" t="n">
        <x:v>0.18340417915064805</x:v>
      </x:c>
      <x:c r="I7" s="58" t="n">
        <x:f>IFERROR(C7*(E7-G7)/H7,"")</x:f>
        <x:v>1.171221222698243</x:v>
      </x:c>
      <x:c r="J7" s="58" t="n">
        <x:f>IF(I7="","",MAX(0,MIN(100,50+20*I7)))</x:f>
        <x:v>73.42442445396486</x:v>
      </x:c>
      <x:c r="K7" s="54" t="str">
        <x:v>2026-09-28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67.04990806519942</x:v>
      </x:c>
      <x:c r="K8" s="64" t="str">
        <x:f>IF(J8&gt;=65,"高压",IF(J8&gt;=55,"偏紧",IF(J8&gt;=45,"中性",IF(J8&gt;=35,"偏松","宽松"))))</x:f>
        <x:v>高压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2.34</x:v>
      </x:c>
      <x:c r="F10" s="57" t="str">
        <x:v>%</x:v>
      </x:c>
      <x:c r="G10" s="56" t="n">
        <x:v>2.344672897196265</x:v>
      </x:c>
      <x:c r="H10" s="56" t="n">
        <x:v>0.556733416763447</x:v>
      </x:c>
      <x:c r="I10" s="58" t="n">
        <x:f>IFERROR(C10*(E10-G10)/H10,"")</x:f>
        <x:v>-0.008393419643158508</x:v>
      </x:c>
      <x:c r="J10" s="58" t="n">
        <x:f>IF(I10="","",MAX(0,MIN(100,50+20*I10)))</x:f>
        <x:v>49.83213160713683</x:v>
      </x:c>
      <x:c r="K10" s="54" t="str">
        <x:v>2026-09-29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-0.03000000000000025</x:v>
      </x:c>
      <x:c r="F11" s="57" t="str">
        <x:v>百分点</x:v>
      </x:c>
      <x:c r="G11" s="56" t="n">
        <x:v>0.006074766355140195</x:v>
      </x:c>
      <x:c r="H11" s="56" t="n">
        <x:v>0.6947172161666386</x:v>
      </x:c>
      <x:c r="I11" s="58" t="n">
        <x:f>IFERROR(C11*(E11-G11)/H11,"")</x:f>
        <x:v>-0.05192726697374282</x:v>
      </x:c>
      <x:c r="J11" s="58" t="n">
        <x:f>IF(I11="","",MAX(0,MIN(100,50+20*I11)))</x:f>
        <x:v>48.96145466052514</x:v>
      </x:c>
      <x:c r="K11" s="54" t="str">
        <x:v>2026-09-29</x:v>
      </x:c>
      <x:c r="L11" s="54" t="n">
        <x:v>5</x:v>
      </x:c>
      <x:c r="M11" s="54" t="n">
        <x:v>3</x:v>
      </x:c>
      <x:c r="N11" s="54" t="str">
        <x:v>适合看边际再定价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2.36</x:v>
      </x:c>
      <x:c r="F12" s="57" t="str">
        <x:v>%</x:v>
      </x:c>
      <x:c r="G12" s="56" t="n">
        <x:v>2.160987983978639</x:v>
      </x:c>
      <x:c r="H12" s="56" t="n">
        <x:v>0.460931021595581</x:v>
      </x:c>
      <x:c r="I12" s="58" t="n">
        <x:f>IFERROR(C12*(E12-G12)/H12,"")</x:f>
        <x:v>0.43176095054841673</x:v>
      </x:c>
      <x:c r="J12" s="58" t="n">
        <x:f>IF(I12="","",MAX(0,MIN(100,50+20*I12)))</x:f>
        <x:v>58.635219010968335</x:v>
      </x:c>
      <x:c r="K12" s="54" t="str">
        <x:v>2026-09-29</x:v>
      </x:c>
      <x:c r="L12" s="54" t="n">
        <x:v>5</x:v>
      </x:c>
      <x:c r="M12" s="54" t="n">
        <x:v>3</x:v>
      </x:c>
      <x:c r="N12" s="54" t="str">
        <x:v>长期通胀锚，含风险与流动性成分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52.16832089697219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3.085745494265435</x:v>
      </x:c>
      <x:c r="F15" s="57" t="str">
        <x:v>%</x:v>
      </x:c>
      <x:c r="G15" s="56" t="n">
        <x:v>4.304672044722189</x:v>
      </x:c>
      <x:c r="H15" s="56" t="n">
        <x:v>0.8463168288520321</x:v>
      </x:c>
      <x:c r="I15" s="58" t="n">
        <x:f>IFERROR(C15*(E15-G15)/H15,"")</x:f>
        <x:v>-1.4402721402930625</x:v>
      </x:c>
      <x:c r="J15" s="58" t="n">
        <x:f>IF(I15="","",MAX(0,MIN(100,50+20*I15)))</x:f>
        <x:v>21.19455719413875</x:v>
      </x:c>
      <x:c r="K15" s="54" t="str">
        <x:v>2026-08-01</x:v>
      </x:c>
      <x:c r="L15" s="54" t="n">
        <x:v>5</x:v>
      </x:c>
      <x:c r="M15" s="54" t="n">
        <x:v>3</x:v>
      </x:c>
      <x:c r="N15" s="54" t="str">
        <x:v>平均时薪同比；CES会月度及年度修订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4.1</x:v>
      </x:c>
      <x:c r="F16" s="57" t="str">
        <x:v>%</x:v>
      </x:c>
      <x:c r="G16" s="56" t="n">
        <x:v>4.788059701492538</x:v>
      </x:c>
      <x:c r="H16" s="56" t="n">
        <x:v>1.0265450126752333</x:v>
      </x:c>
      <x:c r="I16" s="58" t="n">
        <x:f>IFERROR(C16*(E16-G16)/H16,"")</x:f>
        <x:v>-0.6702674437036296</x:v>
      </x:c>
      <x:c r="J16" s="58" t="n">
        <x:f>IF(I16="","",MAX(0,MIN(100,50+20*I16)))</x:f>
        <x:v>36.59465112592741</x:v>
      </x:c>
      <x:c r="K16" s="54" t="str">
        <x:v>2026-08-01</x:v>
      </x:c>
      <x:c r="L16" s="54" t="n">
        <x:v>5</x:v>
      </x:c>
      <x:c r="M16" s="54" t="n">
        <x:v>4</x:v>
      </x:c>
      <x:c r="N16" s="54" t="str">
        <x:v>匹配同一劳动者的工资增速；官方三个月移动平均序列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4.1</x:v>
      </x:c>
      <x:c r="F17" s="57" t="str">
        <x:v>%</x:v>
      </x:c>
      <x:c r="G17" s="56" t="n">
        <x:v>4.127941176470588</x:v>
      </x:c>
      <x:c r="H17" s="56" t="n">
        <x:v>0.8688378905585538</x:v>
      </x:c>
      <x:c r="I17" s="58" t="n">
        <x:f>IFERROR(C17*(E17-G17)/H17,"")</x:f>
        <x:v>0.03215925177092117</x:v>
      </x:c>
      <x:c r="J17" s="58" t="n">
        <x:f>IF(I17="","",MAX(0,MIN(100,50+20*I17)))</x:f>
        <x:v>50.643185035418426</x:v>
      </x:c>
      <x:c r="K17" s="54" t="str">
        <x:v>2026-08-01</x:v>
      </x:c>
      <x:c r="L17" s="54" t="n">
        <x:v>5</x:v>
      </x:c>
      <x:c r="M17" s="54" t="n">
        <x:v>4</x:v>
      </x:c>
      <x:c r="N17" s="54" t="str">
        <x:v>家庭调查月频；单月变化需谨慎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7079</x:v>
      </x:c>
      <x:c r="F18" s="57" t="str">
        <x:v>千人</x:v>
      </x:c>
      <x:c r="G18" s="56" t="n">
        <x:v>8822.54411764706</x:v>
      </x:c>
      <x:c r="H18" s="56" t="n">
        <x:v>1702.9875367316663</x:v>
      </x:c>
      <x:c r="I18" s="58" t="n">
        <x:f>IFERROR(C18*(E18-G18)/H18,"")</x:f>
        <x:v>-1.0238149604977311</x:v>
      </x:c>
      <x:c r="J18" s="58" t="n">
        <x:f>IF(I18="","",MAX(0,MIN(100,50+20*I18)))</x:f>
        <x:v>29.52370079004538</x:v>
      </x:c>
      <x:c r="K18" s="54" t="str">
        <x:v>2026-08-01</x:v>
      </x:c>
      <x:c r="L18" s="54" t="n">
        <x:v>5</x:v>
      </x:c>
      <x:c r="M18" s="54" t="n">
        <x:v>3</x:v>
      </x:c>
      <x:c r="N18" s="54" t="str">
        <x:v>约1个月滞后，月度与年度修订较大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202250</x:v>
      </x:c>
      <x:c r="F19" s="57" t="str">
        <x:v>人</x:v>
      </x:c>
      <x:c r="G19" s="56" t="n">
        <x:v>265131.27090301004</x:v>
      </x:c>
      <x:c r="H19" s="56" t="n">
        <x:v>129858.89069941026</x:v>
      </x:c>
      <x:c r="I19" s="58" t="n">
        <x:f>IFERROR(C19*(E19-G19)/H19,"")</x:f>
        <x:v>0.4842276917994311</x:v>
      </x:c>
      <x:c r="J19" s="58" t="n">
        <x:f>IF(I19="","",MAX(0,MIN(100,50+20*I19)))</x:f>
        <x:v>59.68455383598862</x:v>
      </x:c>
      <x:c r="K19" s="54" t="str">
        <x:v>2026-09-19</x:v>
      </x:c>
      <x:c r="L19" s="54" t="n">
        <x:v>5</x:v>
      </x:c>
      <x:c r="M19" s="54" t="n">
        <x:v>4</x:v>
      </x:c>
      <x:c r="N19" s="54" t="str">
        <x:v>周频四周均值；受季调、假期与州级申报扰动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36.90120306873667</x:v>
      </x:c>
      <x:c r="K20" s="64" t="str">
        <x:f>IF(J20&gt;=65,"高压",IF(J20&gt;=55,"偏紧",IF(J20&gt;=45,"中性",IF(J20&gt;=35,"偏松","宽松"))))</x:f>
        <x:v>偏松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-0.7829083390764935</x:v>
      </x:c>
      <x:c r="F22" s="57" t="str">
        <x:v>%</x:v>
      </x:c>
      <x:c r="G22" s="56" t="n">
        <x:v>1.6825988471851845</x:v>
      </x:c>
      <x:c r="H22" s="56" t="n">
        <x:v>3.253011654406362</x:v>
      </x:c>
      <x:c r="I22" s="58" t="n">
        <x:f>IFERROR(C22*(E22-G22)/H22,"")</x:f>
        <x:v>-0.757915263820844</x:v>
      </x:c>
      <x:c r="J22" s="58" t="n">
        <x:f>IF(I22="","",MAX(0,MIN(100,50+20*I22)))</x:f>
        <x:v>34.84169472358312</x:v>
      </x:c>
      <x:c r="K22" s="54" t="str">
        <x:v>2026-08-01</x:v>
      </x:c>
      <x:c r="L22" s="54" t="n">
        <x:v>5</x:v>
      </x:c>
      <x:c r="M22" s="54" t="n">
        <x:v>4</x:v>
      </x:c>
      <x:c r="N22" s="54" t="str">
        <x:v>广谱上游价格三个月变化，不等于最终消费价格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36.63548752834467</x:v>
      </x:c>
      <x:c r="F23" s="57" t="str">
        <x:v>%</x:v>
      </x:c>
      <x:c r="G23" s="56" t="n">
        <x:v>-0.1652120921194438</x:v>
      </x:c>
      <x:c r="H23" s="56" t="n">
        <x:v>28.669158522884732</x:v>
      </x:c>
      <x:c r="I23" s="58" t="n">
        <x:f>IFERROR(C23*(E23-G23)/H23,"")</x:f>
        <x:v>1.2836337554549604</x:v>
      </x:c>
      <x:c r="J23" s="58" t="n">
        <x:f>IF(I23="","",MAX(0,MIN(100,50+20*I23)))</x:f>
        <x:v>75.6726751090992</x:v>
      </x:c>
      <x:c r="K23" s="54" t="str">
        <x:v>2026-09-22</x:v>
      </x:c>
      <x:c r="L23" s="54" t="n">
        <x:v>5</x:v>
      </x:c>
      <x:c r="M23" s="54" t="n">
        <x:v>5</x:v>
      </x:c>
      <x:c r="N23" s="54" t="str">
        <x:v>高频能源价格变化，不能代表核心服务通胀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61.38183197416857</x:v>
      </x:c>
      <x:c r="K24" s="64" t="str">
        <x:f>IF(J24&gt;=65,"高压",IF(J24&gt;=55,"偏紧",IF(J24&gt;=45,"中性",IF(J24&gt;=35,"偏松","宽松"))))</x:f>
        <x:v>偏紧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48.66753187252903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0.792749194213457</x:v>
      </x:c>
      <x:c r="F28" s="57" t="str">
        <x:v>%</x:v>
      </x:c>
      <x:c r="G28" s="56" t="n">
        <x:v>-0.050209498814714856</x:v>
      </x:c>
      <x:c r="H28" s="56" t="n">
        <x:v>0.5412637002342298</x:v>
      </x:c>
      <x:c r="I28" s="58" t="n">
        <x:f>IFERROR(C28*(E28-G28)/H28,"")</x:f>
        <x:v>1.5573900349559462</x:v>
      </x:c>
      <x:c r="J28" s="58" t="n">
        <x:f>IF(I28="","",MAX(0,MIN(100,50+20*I28)))</x:f>
        <x:v>81.14780069911893</x:v>
      </x:c>
      <x:c r="K28" s="54" t="str">
        <x:v>2026-09-28</x:v>
      </x:c>
      <x:c r="L28" s="54" t="n">
        <x:v>5</x:v>
      </x:c>
      <x:c r="M28" s="54" t="n">
        <x:v>3</x:v>
      </x:c>
      <x:c r="N28" s="54" t="str">
        <x:v>模型估计值；存在模型风险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0.06591862656869607</x:v>
      </x:c>
      <x:c r="F29" s="57" t="str">
        <x:v>百分点</x:v>
      </x:c>
      <x:c r="G29" s="56" t="n">
        <x:v>0.021131053576928755</x:v>
      </x:c>
      <x:c r="H29" s="56" t="n">
        <x:v>0.2257999874502728</x:v>
      </x:c>
      <x:c r="I29" s="58" t="n">
        <x:f>IFERROR(C29*(E29-G29)/H29,"")</x:f>
        <x:v>0.19835064429146942</x:v>
      </x:c>
      <x:c r="J29" s="58" t="n">
        <x:f>IF(I29="","",MAX(0,MIN(100,50+20*I29)))</x:f>
        <x:v>53.96701288582939</x:v>
      </x:c>
      <x:c r="K29" s="54" t="str">
        <x:v>2026-09-28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72.99356435513207</x:v>
      </x:c>
      <x:c r="K30" s="64" t="str">
        <x:f>IF(J30&gt;=65,"高压",IF(J30&gt;=55,"偏紧",IF(J30&gt;=45,"中性",IF(J30&gt;=35,"偏松","宽松"))))</x:f>
        <x:v>高压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0.45999999999999996</x:v>
      </x:c>
      <x:c r="F32" s="57" t="str">
        <x:v>百分点</x:v>
      </x:c>
      <x:c r="G32" s="56" t="n">
        <x:v>0.04571810287241148</x:v>
      </x:c>
      <x:c r="H32" s="56" t="n">
        <x:v>0.5038614614678806</x:v>
      </x:c>
      <x:c r="I32" s="58" t="n">
        <x:f>IFERROR(C32*(E32-G32)/H32,"")</x:f>
        <x:v>0.8222138996713039</x:v>
      </x:c>
      <x:c r="J32" s="58" t="n">
        <x:f>IF(I32="","",MAX(0,MIN(100,50+20*I32)))</x:f>
        <x:v>66.44427799342608</x:v>
      </x:c>
      <x:c r="K32" s="54" t="str">
        <x:v>2026-09-28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0.3900000000000001</x:v>
      </x:c>
      <x:c r="F33" s="57" t="str">
        <x:v>百分点</x:v>
      </x:c>
      <x:c r="G33" s="56" t="n">
        <x:v>-0.04137128072445022</x:v>
      </x:c>
      <x:c r="H33" s="56" t="n">
        <x:v>0.5331927327059182</x:v>
      </x:c>
      <x:c r="I33" s="58" t="n">
        <x:f>IFERROR(C33*(E33-G33)/H33,"")</x:f>
        <x:v>0.809034434012762</x:v>
      </x:c>
      <x:c r="J33" s="58" t="n">
        <x:f>IF(I33="","",MAX(0,MIN(100,50+20*I33)))</x:f>
        <x:v>66.18068868025524</x:v>
      </x:c>
      <x:c r="K33" s="54" t="str">
        <x:v>2026-09-28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0.029999999999999916</x:v>
      </x:c>
      <x:c r="F34" s="57" t="str">
        <x:v>百分点</x:v>
      </x:c>
      <x:c r="G34" s="56" t="n">
        <x:v>-0.012690815006468327</x:v>
      </x:c>
      <x:c r="H34" s="56" t="n">
        <x:v>0.1543312629922082</x:v>
      </x:c>
      <x:c r="I34" s="58" t="n">
        <x:f>IFERROR(C34*(E34-G34)/H34,"")</x:f>
        <x:v>0.2766180628523956</x:v>
      </x:c>
      <x:c r="J34" s="58" t="n">
        <x:f>IF(I34="","",MAX(0,MIN(100,50+20*I34)))</x:f>
        <x:v>55.53236125704791</x:v>
      </x:c>
      <x:c r="K34" s="54" t="str">
        <x:v>2026-09-28</x:v>
      </x:c>
      <x:c r="L34" s="54" t="n">
        <x:v>5</x:v>
      </x:c>
      <x:c r="M34" s="54" t="n">
        <x:v>5</x:v>
      </x:c>
      <x:c r="N34" s="54" t="str">
        <x:v>投资级信用条件确认指标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16.07</x:v>
      </x:c>
      <x:c r="F35" s="57" t="str">
        <x:v>指数</x:v>
      </x:c>
      <x:c r="G35" s="56" t="n">
        <x:v>18.86704074816298</x:v>
      </x:c>
      <x:c r="H35" s="56" t="n">
        <x:v>5.601072697974099</x:v>
      </x:c>
      <x:c r="I35" s="58" t="n">
        <x:f>IFERROR(C35*(E35-G35)/H35,"")</x:f>
        <x:v>-0.49937590511450913</x:v>
      </x:c>
      <x:c r="J35" s="58" t="n">
        <x:f>IF(I35="","",MAX(0,MIN(100,50+20*I35)))</x:f>
        <x:v>40.01248189770982</x:v>
      </x:c>
      <x:c r="K35" s="54" t="str">
        <x:v>2026-09-28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1.3323182978393744</x:v>
      </x:c>
      <x:c r="F36" s="57" t="str">
        <x:v>%</x:v>
      </x:c>
      <x:c r="G36" s="56" t="n">
        <x:v>-3.883202831496552</x:v>
      </x:c>
      <x:c r="H36" s="56" t="n">
        <x:v>19.616322888282035</x:v>
      </x:c>
      <x:c r="I36" s="58" t="n">
        <x:f>IFERROR(C36*(E36-G36)/H36,"")</x:f>
        <x:v>0.26587659466247154</x:v>
      </x:c>
      <x:c r="J36" s="58" t="n">
        <x:f>IF(I36="","",MAX(0,MIN(100,50+20*I36)))</x:f>
        <x:v>55.31753189324943</x:v>
      </x:c>
      <x:c r="K36" s="54" t="str">
        <x:v>2026-09-25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-0.555</x:v>
      </x:c>
      <x:c r="F37" s="57" t="str">
        <x:v>指数</x:v>
      </x:c>
      <x:c r="G37" s="56" t="n">
        <x:v>-0.4300602006688966</x:v>
      </x:c>
      <x:c r="H37" s="56" t="n">
        <x:v>0.15126041942465757</x:v>
      </x:c>
      <x:c r="I37" s="58" t="n">
        <x:f>IFERROR(C37*(E37-G37)/H37,"")</x:f>
        <x:v>-0.8259913585214911</x:v>
      </x:c>
      <x:c r="J37" s="58" t="n">
        <x:f>IF(I37="","",MAX(0,MIN(100,50+20*I37)))</x:f>
        <x:v>33.48017282957018</x:v>
      </x:c>
      <x:c r="K37" s="54" t="str">
        <x:v>2026-09-18</x:v>
      </x:c>
      <x:c r="L37" s="54" t="n">
        <x:v>5</x:v>
      </x:c>
      <x:c r="M37" s="54" t="n">
        <x:v>4</x:v>
      </x:c>
      <x:c r="N37" s="54" t="str">
        <x:v>周频综合金融条件；负值代表相对宽松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54.721971353191776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67.04990806519942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48.66753187252903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72.99356435513207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54.721971353191776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62.39917328474457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63.872408828311634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57.78167346150877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0.6866219151954133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0.31337808480458673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政策重定价 + 期限溢价冲击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38.27140451588909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38.41416569151566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39.13863232150779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39.595222570100674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39.59932565123882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39.51929700197569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37.429970137586736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43.67190940147365</x:v>
      </x:c>
      <x:c r="G13" s="54" t="str">
        <x:f>IF(F13&gt;=65,"明显有利",IF(F13&gt;=55,"偏有利",IF(F13&gt;=45,"中性",IF(F13&gt;=35,"偏不利","明显不利"))))</x:f>
        <x:v>偏不利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37.67000689888785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61.35251938451624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67.04990806519942</x:v>
      </x:c>
      <x:c r="C6" s="58" t="n">
        <x:f>'因子引擎'!$B$43</x:f>
        <x:v>48.66753187252903</x:v>
      </x:c>
      <x:c r="D6" s="58" t="n">
        <x:f>'因子引擎'!$B$44</x:f>
        <x:v>72.99356435513207</x:v>
      </x:c>
      <x:c r="E6" s="58" t="n">
        <x:f>'因子引擎'!$B$45</x:f>
        <x:v>54.721971353191776</x:v>
      </x:c>
      <x:c r="F6" s="58" t="n">
        <x:f>MIN(100,MAX(0,(35%*B6+35%*C6+30%*D6)*(0.75+0.5*E6/100)))</x:f>
        <x:v>63.872408828311634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38.27140451588909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38.41416569151566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39.595222570100674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39.51929700197569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61.35251938451624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63.872408828311634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37.429970137586736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