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8fe062c6246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模型总览" sheetId="1" r:id="R10f6ff3d37fd4940"/>
    <x:sheet xmlns:r="http://schemas.openxmlformats.org/officeDocument/2006/relationships" name="因子引擎" sheetId="2" r:id="R1a26450581f246f0"/>
    <x:sheet xmlns:r="http://schemas.openxmlformats.org/officeDocument/2006/relationships" name="风险资产" sheetId="3" r:id="R4d0b084c839c4e8b"/>
    <x:sheet xmlns:r="http://schemas.openxmlformats.org/officeDocument/2006/relationships" name="场景与阈值" sheetId="4" r:id="Rc59934df13954711"/>
    <x:sheet xmlns:r="http://schemas.openxmlformats.org/officeDocument/2006/relationships" name="数据字典" sheetId="5" r:id="R08c6c8a4f1db42c2"/>
    <x:sheet xmlns:r="http://schemas.openxmlformats.org/officeDocument/2006/relationships" name="方法与信源" sheetId="6" r:id="R60f611ebca5b4bc7"/>
    <x:sheet xmlns:r="http://schemas.openxmlformats.org/officeDocument/2006/relationships" name="审计" sheetId="7" r:id="R7b2704b8b7984e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%"/>
    <x:numFmt numFmtId="202" formatCode="0.000"/>
    <x:numFmt numFmtId="203" formatCode="0"/>
    <x:numFmt numFmtId="204" formatCode="0.0000"/>
    <x:numFmt numFmtId="205" formatCode="0.00"/>
  </x:numFmts>
  <x:fonts count="11">
    <x:font>
      <x:sz val="11"/>
      <x:name val="Carlito"/>
    </x:font>
    <x:font>
      <x:sz val="10"/>
      <x:color rgb="FF1F2937"/>
      <x:name val="Arial"/>
    </x:font>
    <x:font>
      <x:b/>
      <x:sz val="20"/>
      <x:color rgb="FFFFFFFF"/>
      <x:name val="Arial"/>
    </x:font>
    <x:font>
      <x:i/>
      <x:sz val="10"/>
      <x:color rgb="FF16324F"/>
      <x:name val="Arial"/>
    </x:font>
    <x:font>
      <x:b/>
      <x:sz val="10"/>
      <x:color rgb="FFFFFFFF"/>
      <x:name val="Arial"/>
    </x:font>
    <x:font>
      <x:b/>
      <x:sz val="11"/>
      <x:color rgb="FF16324F"/>
      <x:name val="Arial"/>
    </x:font>
    <x:font>
      <x:b/>
      <x:sz val="11"/>
      <x:color rgb="FFFFFFFF"/>
      <x:name val="Arial"/>
    </x:font>
    <x:font>
      <x:b/>
      <x:sz val="24"/>
      <x:color rgb="FF16324F"/>
      <x:name val="Arial"/>
    </x:font>
    <x:font>
      <x:b/>
      <x:sz val="10"/>
      <x:color rgb="FF1B7F79"/>
      <x:name val="Arial"/>
    </x:font>
    <x:font>
      <x:b/>
      <x:sz val="16"/>
      <x:color rgb="FF16324F"/>
      <x:name val="Arial"/>
    </x:font>
    <x:font>
      <x:sz val="11"/>
      <x:color rgb="FF1F2937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9EAF7"/>
      </x:patternFill>
    </x:fill>
    <x:fill>
      <x:patternFill patternType="solid">
        <x:fgColor rgb="FFDDEFEA"/>
      </x:patternFill>
    </x:fill>
    <x:fill>
      <x:patternFill patternType="solid">
        <x:fgColor rgb="FF1B7F79"/>
      </x:patternFill>
    </x:fill>
    <x:fill>
      <x:patternFill patternType="solid">
        <x:fgColor rgb="FFFCE4D6"/>
      </x:patternFill>
    </x:fill>
    <x:fill>
      <x:patternFill patternType="solid">
        <x:fgColor rgb="FFDDEBF7"/>
      </x:patternFill>
    </x:fill>
    <x:fill>
      <x:patternFill patternType="solid">
        <x:fgColor rgb="FFED7D31"/>
      </x:patternFill>
    </x:fill>
    <x:fill>
      <x:patternFill patternType="solid">
        <x:fgColor rgb="FFFFF7E6"/>
      </x:patternFill>
    </x:fill>
  </x:fills>
  <x:borders count="5">
    <x:border>
      <x:left/>
      <x:right/>
      <x:top/>
      <x:bottom/>
      <x:diagonal/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  <x:diagonal/>
    </x:border>
    <x:border>
      <x:left style="thin">
        <x:color rgb="FFA8C8C2"/>
      </x:left>
      <x:right style="thin">
        <x:color rgb="FFA8C8C2"/>
      </x:right>
      <x:top style="thin">
        <x:color rgb="FFA8C8C2"/>
      </x:top>
      <x:bottom style="thin">
        <x:color rgb="FFA8C8C2"/>
      </x:bottom>
      <x:diagonal/>
    </x:border>
    <x:border>
      <x:left style="thin">
        <x:color rgb="FFE6B8AF"/>
      </x:left>
      <x:right style="thin">
        <x:color rgb="FFE6B8AF"/>
      </x:right>
      <x:top style="thin">
        <x:color rgb="FFE6B8AF"/>
      </x:top>
      <x:bottom style="thin">
        <x:color rgb="FFE6B8AF"/>
      </x:bottom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11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3" fillId="3" borderId="0" xfId="0" applyNumberFormat="1" applyFont="1" applyFill="1" applyBorder="1" applyAlignment="1">
      <x:alignment horizontal="left" vertic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2" xfId="0" applyNumberFormat="1" applyFont="1" applyFill="1" applyBorder="1"/>
    <x:xf numFmtId="200" fontId="5" fillId="4" borderId="2" xfId="0" applyNumberFormat="1" applyFont="1" applyFill="1" applyBorder="1"/>
    <x:xf numFmtId="0" fontId="5" fillId="4" borderId="2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left"/>
    </x:xf>
    <x:xf numFmtId="0" fontId="6" fillId="5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5" fillId="7" borderId="2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5" fillId="7" borderId="2" xfId="0" applyNumberFormat="1" applyFont="1" applyFill="1" applyBorder="1"/>
    <x:xf numFmtId="202" fontId="5" fillId="4" borderId="2" xfId="0" applyNumberFormat="1" applyFont="1" applyFill="1" applyBorder="1"/>
    <x:xf numFmtId="201" fontId="0" fillId="7" borderId="0" xfId="0" applyNumberFormat="1" applyFont="1" applyFill="1" applyBorder="1"/>
    <x:xf numFmtId="201" fontId="5" fillId="7" borderId="2" xfId="0" applyNumberFormat="1" applyFont="1" applyFill="1" applyBorder="1"/>
    <x:xf numFmtId="0" fontId="4" fillId="2" borderId="4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201" fontId="0" fillId="7" borderId="4" xfId="0" applyNumberFormat="1" applyFont="1" applyFill="1" applyBorder="1"/>
    <x:xf numFmtId="202" fontId="0" fillId="7" borderId="4" xfId="0" applyNumberFormat="1" applyFont="1" applyFill="1" applyBorder="1"/>
    <x:xf numFmtId="202" fontId="0" fillId="0" borderId="4" xfId="0" applyNumberFormat="1" applyFont="1" applyFill="1" applyBorder="1"/>
    <x:xf numFmtId="200" fontId="0" fillId="0" borderId="4" xfId="0" applyNumberFormat="1" applyFont="1" applyFill="1" applyBorder="1"/>
    <x:xf numFmtId="0" fontId="5" fillId="4" borderId="4" xfId="0" applyNumberFormat="1" applyFont="1" applyFill="1" applyBorder="1"/>
    <x:xf numFmtId="201" fontId="5" fillId="7" borderId="4" xfId="0" applyNumberFormat="1" applyFont="1" applyFill="1" applyBorder="1"/>
    <x:xf numFmtId="202" fontId="5" fillId="7" borderId="4" xfId="0" applyNumberFormat="1" applyFont="1" applyFill="1" applyBorder="1"/>
    <x:xf numFmtId="202" fontId="5" fillId="4" borderId="4" xfId="0" applyNumberFormat="1" applyFont="1" applyFill="1" applyBorder="1"/>
    <x:xf numFmtId="200" fontId="5" fillId="4" borderId="4" xfId="0" applyNumberFormat="1" applyFont="1" applyFill="1" applyBorder="1"/>
    <x:xf numFmtId="0" fontId="5" fillId="4" borderId="4" xfId="0" applyNumberFormat="1" applyFont="1" applyFill="1" applyBorder="1" applyAlignment="1">
      <x:alignment horizontal="center"/>
    </x:xf>
    <x:xf numFmtId="201" fontId="0" fillId="0" borderId="4" xfId="0" applyNumberFormat="1" applyFont="1" applyFill="1" applyBorder="1"/>
    <x:xf numFmtId="0" fontId="5" fillId="6" borderId="4" xfId="0" applyNumberFormat="1" applyFont="1" applyFill="1" applyBorder="1"/>
    <x:xf numFmtId="0" fontId="2" fillId="2" borderId="0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0" fillId="0" borderId="4" xfId="0" applyNumberFormat="1" applyFont="1" applyFill="1" applyBorder="1" applyAlignment="1">
      <x:alignment wrapText="1"/>
    </x:xf>
    <x:xf numFmtId="201" fontId="0" fillId="7" borderId="4" xfId="0" applyNumberFormat="1" applyFont="1" applyFill="1" applyBorder="1" applyAlignment="1">
      <x:alignment wrapText="1"/>
    </x:xf>
    <x:xf numFmtId="202" fontId="0" fillId="7" borderId="4" xfId="0" applyNumberFormat="1" applyFont="1" applyFill="1" applyBorder="1" applyAlignment="1">
      <x:alignment wrapText="1"/>
    </x:xf>
    <x:xf numFmtId="202" fontId="0" fillId="0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wrapText="1"/>
    </x:xf>
    <x:xf numFmtId="201" fontId="5" fillId="7" borderId="4" xfId="0" applyNumberFormat="1" applyFont="1" applyFill="1" applyBorder="1" applyAlignment="1">
      <x:alignment wrapText="1"/>
    </x:xf>
    <x:xf numFmtId="202" fontId="5" fillId="7" borderId="4" xfId="0" applyNumberFormat="1" applyFont="1" applyFill="1" applyBorder="1" applyAlignment="1">
      <x:alignment wrapText="1"/>
    </x:xf>
    <x:xf numFmtId="202" fontId="5" fillId="4" borderId="4" xfId="0" applyNumberFormat="1" applyFont="1" applyFill="1" applyBorder="1" applyAlignment="1">
      <x:alignment wrapText="1"/>
    </x:xf>
    <x:xf numFmtId="200" fontId="5" fillId="4" borderId="4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horizontal="left" vertical="center" wrapText="1"/>
    </x:xf>
    <x:xf numFmtId="201" fontId="0" fillId="0" borderId="4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200" fontId="0" fillId="7" borderId="0" xfId="0" applyNumberFormat="1" applyFont="1" applyFill="1" applyBorder="1"/>
    <x:xf numFmtId="200" fontId="0" fillId="7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7" borderId="4" xfId="0" applyNumberFormat="1" applyFont="1" applyFill="1" applyBorder="1" applyAlignment="1">
      <x:alignment wrapText="1"/>
    </x:xf>
    <x:xf numFmtId="200" fontId="0" fillId="7" borderId="4" xfId="0" applyNumberFormat="1" applyFont="1" applyFill="1" applyBorder="1"/>
    <x:xf numFmtId="203" fontId="0" fillId="0" borderId="0" xfId="0" applyNumberFormat="1" applyFont="1" applyFill="1" applyBorder="1"/>
    <x:xf numFmtId="203" fontId="0" fillId="3" borderId="0" xfId="0" applyNumberFormat="1" applyFont="1" applyFill="1" applyBorder="1"/>
    <x:xf numFmtId="203" fontId="0" fillId="3" borderId="0" xfId="0" applyNumberFormat="1" applyFont="1" applyFill="1" applyBorder="1" applyAlignment="1">
      <x:alignment wrapText="1"/>
    </x:xf>
    <x:xf numFmtId="203" fontId="0" fillId="3" borderId="4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left"/>
    </x:xf>
    <x:xf numFmtId="0" fontId="6" fillId="8" borderId="0" xfId="0" applyNumberFormat="1" applyFont="1" applyFill="1" applyBorder="1" applyAlignment="1">
      <x:alignment horizontal="left" vertical="center"/>
    </x:xf>
    <x:xf numFmtId="0" fontId="6" fillId="2" borderId="0" xfId="0" applyNumberFormat="1" applyFont="1" applyFill="1" applyBorder="1" applyAlignment="1">
      <x:alignment horizontal="left" vertical="center" wrapText="1"/>
    </x:xf>
    <x:xf numFmtId="0" fontId="6" fillId="8" borderId="0" xfId="0" applyNumberFormat="1" applyFont="1" applyFill="1" applyBorder="1" applyAlignment="1">
      <x:alignment horizontal="left" vertical="center" wrapText="1"/>
    </x:xf>
    <x:xf numFmtId="204" fontId="0" fillId="0" borderId="0" xfId="0" applyNumberFormat="1" applyFont="1" applyFill="1" applyBorder="1"/>
    <x:xf numFmtId="204" fontId="0" fillId="0" borderId="4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200" fontId="7" fillId="3" borderId="0" xfId="0" applyNumberFormat="1" applyFont="1" applyFill="1" applyBorder="1"/>
    <x:xf numFmtId="200" fontId="7" fillId="3" borderId="0" xfId="0" applyNumberFormat="1" applyFont="1" applyFill="1" applyBorder="1" applyAlignment="1">
      <x:alignment horizontal="center"/>
    </x:xf>
    <x:xf numFmtId="200" fontId="7" fillId="3" borderId="0" xfId="0" applyNumberFormat="1" applyFont="1" applyFill="1" applyBorder="1" applyAlignment="1">
      <x:alignment horizontal="center"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 vertical="center"/>
    </x:xf>
    <x:xf numFmtId="0" fontId="6" fillId="2" borderId="4" xfId="0" applyNumberFormat="1" applyFont="1" applyFill="1" applyBorder="1" applyAlignment="1">
      <x:alignment horizontal="center" vertical="center"/>
    </x:xf>
    <x:xf numFmtId="200" fontId="7" fillId="3" borderId="4" xfId="0" applyNumberFormat="1" applyFont="1" applyFill="1" applyBorder="1" applyAlignment="1">
      <x:alignment horizontal="center" vertical="center"/>
    </x:xf>
    <x:xf numFmtId="0" fontId="8" fillId="4" borderId="4" xfId="0" applyNumberFormat="1" applyFont="1" applyFill="1" applyBorder="1" applyAlignment="1">
      <x:alignment horizontal="center" vertical="center"/>
    </x:xf>
    <x:xf numFmtId="0" fontId="9" fillId="6" borderId="0" xfId="0" applyNumberFormat="1" applyFont="1" applyFill="1" applyBorder="1"/>
    <x:xf numFmtId="0" fontId="9" fillId="6" borderId="3" xfId="0" applyNumberFormat="1" applyFont="1" applyFill="1" applyBorder="1"/>
    <x:xf numFmtId="0" fontId="9" fillId="6" borderId="3" xfId="0" applyNumberFormat="1" applyFont="1" applyFill="1" applyBorder="1" applyAlignment="1">
      <x:alignment horizontal="center"/>
    </x:xf>
    <x:xf numFmtId="0" fontId="9" fillId="6" borderId="3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3" xfId="0" applyNumberFormat="1" applyFont="1" applyFill="1" applyBorder="1"/>
    <x:xf numFmtId="0" fontId="10" fillId="9" borderId="3" xfId="0" applyNumberFormat="1" applyFont="1" applyFill="1" applyBorder="1" applyAlignment="1">
      <x:alignment wrapText="1"/>
    </x:xf>
    <x:xf numFmtId="0" fontId="10" fillId="9" borderId="3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0" borderId="4" xfId="0" applyNumberFormat="1" applyFont="1" applyFill="1" applyBorder="1"/>
    <x:xf numFmtId="0" fontId="10" fillId="9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2dc691d072b4fbb" /><Relationship Type="http://schemas.openxmlformats.org/officeDocument/2006/relationships/theme" Target="/xl/theme/theme1.xml" Id="R56152729bec54e91" /><Relationship Type="http://schemas.openxmlformats.org/officeDocument/2006/relationships/sharedStrings" Target="/xl/sharedStrings.xml" Id="R15b3d0a461c14d90" /><Relationship Type="http://schemas.openxmlformats.org/officeDocument/2006/relationships/worksheet" Target="/xl/worksheets/sheet1.xml" Id="R10f6ff3d37fd4940" /><Relationship Type="http://schemas.openxmlformats.org/officeDocument/2006/relationships/worksheet" Target="/xl/worksheets/sheet2.xml" Id="R1a26450581f246f0" /><Relationship Type="http://schemas.openxmlformats.org/officeDocument/2006/relationships/worksheet" Target="/xl/worksheets/sheet3.xml" Id="R4d0b084c839c4e8b" /><Relationship Type="http://schemas.openxmlformats.org/officeDocument/2006/relationships/worksheet" Target="/xl/worksheets/sheet4.xml" Id="Rc59934df13954711" /><Relationship Type="http://schemas.openxmlformats.org/officeDocument/2006/relationships/worksheet" Target="/xl/worksheets/sheet5.xml" Id="R08c6c8a4f1db42c2" /><Relationship Type="http://schemas.openxmlformats.org/officeDocument/2006/relationships/worksheet" Target="/xl/worksheets/sheet6.xml" Id="R60f611ebca5b4bc7" /><Relationship Type="http://schemas.openxmlformats.org/officeDocument/2006/relationships/worksheet" Target="/xl/worksheets/sheet7.xml" Id="R7b2704b8b7984ee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29d605b2bf84b29" /><Relationship Type="http://schemas.openxmlformats.org/officeDocument/2006/relationships/chart" Target="/xl/drawings/charts/chart2.xml" Id="R896e10b5f35a478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利率压力因子（0-100）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分数</c:v>
          </c:tx>
          <c:spPr>
            <a:solidFill xmlns:a="http://schemas.openxmlformats.org/drawingml/2006/main">
              <a:srgbClr val="2F75B5"/>
            </a:solidFill>
          </c:spPr>
          <c:cat>
            <c:strRef>
              <c:f>'模型总览'!$A$20:$A$24</c:f>
              <c:strCache>
                <c:ptCount val="0"/>
              </c:strCache>
            </c:strRef>
          </c:cat>
          <c:val>
            <c:numRef>
              <c:f>'模型总览'!$B$20:$B$24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风险资产环境分（&gt;50有利）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环境分</c:v>
          </c:tx>
          <c:spPr>
            <a:solidFill xmlns:a="http://schemas.openxmlformats.org/drawingml/2006/main">
              <a:srgbClr val="1B7F79"/>
            </a:solidFill>
          </c:spPr>
          <c:cat>
            <c:strRef>
              <c:f>'模型总览'!$A$29:$A$38</c:f>
              <c:strCache>
                <c:ptCount val="0"/>
              </c:strCache>
            </c:strRef>
          </c:cat>
          <c:val>
            <c:numRef>
              <c:f>'模型总览'!$B$29:$B$38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18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29d605b2bf84b29"/>
        </a:graphicData>
      </a:graphic>
    </xdr:graphicFrame>
    <xdr:clientData/>
  </xdr:twoCellAnchor>
  <xdr:twoCellAnchor>
    <xdr:from>
      <xdr:col>4</xdr:col>
      <xdr:colOff>0</xdr:colOff>
      <xdr:row>27</xdr:row>
      <xdr:rowOff>0</xdr:rowOff>
    </xdr:from>
    <xdr:to>
      <xdr:col>15</xdr:col>
      <xdr:colOff>0</xdr:colOff>
      <xdr:row>40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96e10b5f35a478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156ba05c7b842ae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5" hidden="0" customWidth="1"/>
    <x:col min="2" max="2" width="14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9" hidden="0" customWidth="1"/>
    <x:col min="10" max="10" width="12" hidden="0" customWidth="1"/>
    <x:col min="11" max="11" width="17" hidden="0" customWidth="1"/>
    <x:col min="12" max="12" width="20" hidden="0" customWidth="1"/>
    <x:col min="13" max="13" width="12" hidden="0" customWidth="1"/>
    <x:col min="14" max="14" width="16" hidden="0" customWidth="1"/>
    <x:col min="15" max="15" width="16" hidden="0" customWidth="1"/>
  </x:cols>
  <x:sheetData>
    <x:row r="1" ht="24" customHeight="1">
      <x:c r="A1" s="6" t="str">
        <x:v>君君美债利率模型｜风险资产监测总览</x:v>
      </x:c>
      <x:c r="B1" s="6" t="str">
        <x:v>君君美债利率模型｜风险资产监测总览</x:v>
      </x:c>
      <x:c r="C1" s="6" t="str">
        <x:v>君君美债利率模型｜风险资产监测总览</x:v>
      </x:c>
      <x:c r="D1" s="6" t="str">
        <x:v>君君美债利率模型｜风险资产监测总览</x:v>
      </x:c>
      <x:c r="E1" s="6" t="str">
        <x:v>君君美债利率模型｜风险资产监测总览</x:v>
      </x:c>
      <x:c r="F1" s="6" t="str">
        <x:v>君君美债利率模型｜风险资产监测总览</x:v>
      </x:c>
      <x:c r="G1" s="6" t="str">
        <x:v>君君美债利率模型｜风险资产监测总览</x:v>
      </x:c>
      <x:c r="H1" s="6" t="str">
        <x:v>君君美债利率模型｜风险资产监测总览</x:v>
      </x:c>
      <x:c r="I1" s="6" t="str">
        <x:v>君君美债利率模型｜风险资产监测总览</x:v>
      </x:c>
      <x:c r="J1" s="6" t="str">
        <x:v>君君美债利率模型｜风险资产监测总览</x:v>
      </x:c>
      <x:c r="K1" s="6" t="str">
        <x:v>君君美债利率模型｜风险资产监测总览</x:v>
      </x:c>
      <x:c r="L1" s="6" t="str">
        <x:v>君君美债利率模型｜风险资产监测总览</x:v>
      </x:c>
      <x:c r="M1" s="6" t="str">
        <x:v>君君美债利率模型｜风险资产监测总览</x:v>
      </x:c>
      <x:c r="N1" s="6" t="str">
        <x:v>君君美债利率模型｜风险资产监测总览</x:v>
      </x:c>
      <x:c r="O1" s="6" t="str">
        <x:v>君君美债利率模型｜风险资产监测总览</x:v>
      </x:c>
    </x:row>
    <x:row r="2" ht="24" customHeight="1">
      <x:c r="A2" s="6" t="str">
        <x:v>君君美债利率模型｜风险资产监测总览</x:v>
      </x:c>
      <x:c r="B2" s="6" t="str">
        <x:v>君君美债利率模型｜风险资产监测总览</x:v>
      </x:c>
      <x:c r="C2" s="6" t="str">
        <x:v>君君美债利率模型｜风险资产监测总览</x:v>
      </x:c>
      <x:c r="D2" s="6" t="str">
        <x:v>君君美债利率模型｜风险资产监测总览</x:v>
      </x:c>
      <x:c r="E2" s="6" t="str">
        <x:v>君君美债利率模型｜风险资产监测总览</x:v>
      </x:c>
      <x:c r="F2" s="6" t="str">
        <x:v>君君美债利率模型｜风险资产监测总览</x:v>
      </x:c>
      <x:c r="G2" s="6" t="str">
        <x:v>君君美债利率模型｜风险资产监测总览</x:v>
      </x:c>
      <x:c r="H2" s="6" t="str">
        <x:v>君君美债利率模型｜风险资产监测总览</x:v>
      </x:c>
      <x:c r="I2" s="6" t="str">
        <x:v>君君美债利率模型｜风险资产监测总览</x:v>
      </x:c>
      <x:c r="J2" s="6" t="str">
        <x:v>君君美债利率模型｜风险资产监测总览</x:v>
      </x:c>
      <x:c r="K2" s="6" t="str">
        <x:v>君君美债利率模型｜风险资产监测总览</x:v>
      </x:c>
      <x:c r="L2" s="6" t="str">
        <x:v>君君美债利率模型｜风险资产监测总览</x:v>
      </x:c>
      <x:c r="M2" s="6" t="str">
        <x:v>君君美债利率模型｜风险资产监测总览</x:v>
      </x:c>
      <x:c r="N2" s="6" t="str">
        <x:v>君君美债利率模型｜风险资产监测总览</x:v>
      </x:c>
      <x:c r="O2" s="6" t="str">
        <x:v>君君美债利率模型｜风险资产监测总览</x:v>
      </x:c>
    </x:row>
    <x:row r="3" ht="24" customHeight="1">
      <x:c r="A3" s="10" t="str">
        <x:v>当前快照截至 2026-10-08；官方数据经 FRED、纽约联储、BLS、DOL、EIA、Atlanta Fed 交叉核验。高分=利率/金融条件压力更大。</x:v>
      </x:c>
      <x:c r="B3" s="10" t="str">
        <x:v>当前快照截至 2026-10-08；官方数据经 FRED、纽约联储、BLS、DOL、EIA、Atlanta Fed 交叉核验。高分=利率/金融条件压力更大。</x:v>
      </x:c>
      <x:c r="C3" s="10" t="str">
        <x:v>当前快照截至 2026-10-08；官方数据经 FRED、纽约联储、BLS、DOL、EIA、Atlanta Fed 交叉核验。高分=利率/金融条件压力更大。</x:v>
      </x:c>
      <x:c r="D3" s="10" t="str">
        <x:v>当前快照截至 2026-10-08；官方数据经 FRED、纽约联储、BLS、DOL、EIA、Atlanta Fed 交叉核验。高分=利率/金融条件压力更大。</x:v>
      </x:c>
      <x:c r="E3" s="10" t="str">
        <x:v>当前快照截至 2026-10-08；官方数据经 FRED、纽约联储、BLS、DOL、EIA、Atlanta Fed 交叉核验。高分=利率/金融条件压力更大。</x:v>
      </x:c>
      <x:c r="F3" s="10" t="str">
        <x:v>当前快照截至 2026-10-08；官方数据经 FRED、纽约联储、BLS、DOL、EIA、Atlanta Fed 交叉核验。高分=利率/金融条件压力更大。</x:v>
      </x:c>
      <x:c r="G3" s="10" t="str">
        <x:v>当前快照截至 2026-10-08；官方数据经 FRED、纽约联储、BLS、DOL、EIA、Atlanta Fed 交叉核验。高分=利率/金融条件压力更大。</x:v>
      </x:c>
      <x:c r="H3" s="10" t="str">
        <x:v>当前快照截至 2026-10-08；官方数据经 FRED、纽约联储、BLS、DOL、EIA、Atlanta Fed 交叉核验。高分=利率/金融条件压力更大。</x:v>
      </x:c>
      <x:c r="I3" s="10" t="str">
        <x:v>当前快照截至 2026-10-08；官方数据经 FRED、纽约联储、BLS、DOL、EIA、Atlanta Fed 交叉核验。高分=利率/金融条件压力更大。</x:v>
      </x:c>
      <x:c r="J3" s="10" t="str">
        <x:v>当前快照截至 2026-10-08；官方数据经 FRED、纽约联储、BLS、DOL、EIA、Atlanta Fed 交叉核验。高分=利率/金融条件压力更大。</x:v>
      </x:c>
      <x:c r="K3" s="10" t="str">
        <x:v>当前快照截至 2026-10-08；官方数据经 FRED、纽约联储、BLS、DOL、EIA、Atlanta Fed 交叉核验。高分=利率/金融条件压力更大。</x:v>
      </x:c>
      <x:c r="L3" s="10" t="str">
        <x:v>当前快照截至 2026-10-08；官方数据经 FRED、纽约联储、BLS、DOL、EIA、Atlanta Fed 交叉核验。高分=利率/金融条件压力更大。</x:v>
      </x:c>
      <x:c r="M3" s="10" t="str">
        <x:v>当前快照截至 2026-10-08；官方数据经 FRED、纽约联储、BLS、DOL、EIA、Atlanta Fed 交叉核验。高分=利率/金融条件压力更大。</x:v>
      </x:c>
      <x:c r="N3" s="10" t="str">
        <x:v>当前快照截至 2026-10-08；官方数据经 FRED、纽约联储、BLS、DOL、EIA、Atlanta Fed 交叉核验。高分=利率/金融条件压力更大。</x:v>
      </x:c>
      <x:c r="O3" s="10" t="str">
        <x:v>当前快照截至 2026-10-08；官方数据经 FRED、纽约联储、BLS、DOL、EIA、Atlanta Fed 交叉核验。高分=利率/金融条件压力更大。</x:v>
      </x:c>
    </x:row>
    <x:row r="4" ht="24" customHeight="1"/>
    <x:row r="5" ht="24" customHeight="1">
      <x:c r="A5" s="98" t="str">
        <x:v>政策路径</x:v>
      </x:c>
      <x:c r="B5" s="98" t="str">
        <x:v>政策路径</x:v>
      </x:c>
      <x:c r="C5" s="98" t="str">
        <x:v>政策路径</x:v>
      </x:c>
      <x:c r="D5" s="98" t="str">
        <x:v>通胀预期</x:v>
      </x:c>
      <x:c r="E5" s="98" t="str">
        <x:v>通胀预期</x:v>
      </x:c>
      <x:c r="F5" s="98" t="str">
        <x:v>通胀预期</x:v>
      </x:c>
      <x:c r="G5" s="98" t="str">
        <x:v>期限溢价</x:v>
      </x:c>
      <x:c r="H5" s="98" t="str">
        <x:v>期限溢价</x:v>
      </x:c>
      <x:c r="I5" s="98" t="str">
        <x:v>期限溢价</x:v>
      </x:c>
      <x:c r="J5" s="98" t="str">
        <x:v>市场传导</x:v>
      </x:c>
      <x:c r="K5" s="98" t="str">
        <x:v>市场传导</x:v>
      </x:c>
      <x:c r="L5" s="98" t="str">
        <x:v>市场传导</x:v>
      </x:c>
      <x:c r="M5" s="98" t="str">
        <x:v>有效利率压力</x:v>
      </x:c>
      <x:c r="N5" s="98" t="str">
        <x:v>有效利率压力</x:v>
      </x:c>
      <x:c r="O5" s="98" t="str">
        <x:v>有效利率压力</x:v>
      </x:c>
    </x:row>
    <x:row r="6" ht="24" customHeight="1">
      <x:c r="A6" s="99" t="n">
        <x:f>'因子引擎'!$B$42</x:f>
        <x:v>59.80311682482056</x:v>
      </x:c>
      <x:c r="B6" s="99"/>
      <x:c r="C6" s="99"/>
      <x:c r="D6" s="99" t="n">
        <x:f>'因子引擎'!$B$43</x:f>
        <x:v>46.3406640711772</x:v>
      </x:c>
      <x:c r="E6" s="99"/>
      <x:c r="F6" s="99"/>
      <x:c r="G6" s="99" t="n">
        <x:f>'因子引擎'!$B$44</x:f>
        <x:v>83.45640641965412</x:v>
      </x:c>
      <x:c r="H6" s="99"/>
      <x:c r="I6" s="99"/>
      <x:c r="J6" s="99" t="n">
        <x:f>'因子引擎'!$B$45</x:f>
        <x:v>55.18861521182057</x:v>
      </x:c>
      <x:c r="K6" s="99"/>
      <x:c r="L6" s="99"/>
      <x:c r="M6" s="99" t="n">
        <x:f>'因子引擎'!$B$47</x:f>
        <x:v>63.80057367264977</x:v>
      </x:c>
      <x:c r="N6" s="99"/>
      <x:c r="O6" s="99"/>
    </x:row>
    <x:row r="7" ht="24" customHeight="1">
      <x:c r="A7" s="99"/>
      <x:c r="B7" s="99"/>
      <x:c r="C7" s="99"/>
      <x:c r="D7" s="99"/>
      <x:c r="E7" s="99"/>
      <x:c r="F7" s="99"/>
      <x:c r="G7" s="99"/>
      <x:c r="H7" s="99"/>
      <x:c r="I7" s="99"/>
      <x:c r="J7" s="99"/>
      <x:c r="K7" s="99"/>
      <x:c r="L7" s="99"/>
      <x:c r="M7" s="99"/>
      <x:c r="N7" s="99"/>
      <x:c r="O7" s="99"/>
    </x:row>
    <x:row r="8" ht="24" customHeight="1">
      <x:c r="A8" s="100" t="str">
        <x:f>IF(A6&gt;=65,"高压",IF(A6&gt;=55,"偏紧",IF(A6&gt;=45,"中性",IF(A6&gt;=35,"偏松","宽松"))))</x:f>
        <x:v>偏紧</x:v>
      </x:c>
      <x:c r="B8" s="100"/>
      <x:c r="C8" s="100"/>
      <x:c r="D8" s="100" t="str">
        <x:f>IF(D6&gt;=65,"高压",IF(D6&gt;=55,"偏紧",IF(D6&gt;=45,"中性",IF(D6&gt;=35,"偏松","宽松"))))</x:f>
        <x:v>中性</x:v>
      </x:c>
      <x:c r="E8" s="100"/>
      <x:c r="F8" s="100"/>
      <x:c r="G8" s="100" t="str">
        <x:f>IF(G6&gt;=65,"高压",IF(G6&gt;=55,"偏紧",IF(G6&gt;=45,"中性",IF(G6&gt;=35,"偏松","宽松"))))</x:f>
        <x:v>高压</x:v>
      </x:c>
      <x:c r="H8" s="100"/>
      <x:c r="I8" s="100"/>
      <x:c r="J8" s="100" t="str">
        <x:f>IF(J6&gt;=65,"高压",IF(J6&gt;=55,"偏紧",IF(J6&gt;=45,"中性",IF(J6&gt;=35,"偏松","宽松"))))</x:f>
        <x:v>偏紧</x:v>
      </x:c>
      <x:c r="K8" s="100"/>
      <x:c r="L8" s="100"/>
      <x:c r="M8" s="100" t="str">
        <x:f>IF(M6&gt;=65,"高压",IF(M6&gt;=55,"偏紧",IF(M6&gt;=45,"中性",IF(M6&gt;=35,"偏松","宽松"))))</x:f>
        <x:v>偏紧</x:v>
      </x:c>
      <x:c r="N8" s="100"/>
      <x:c r="O8" s="100"/>
    </x:row>
    <x:row r="9" ht="24" customHeight="1"/>
    <x:row r="10" ht="24" customHeight="1">
      <x:c r="A10" s="24" t="str">
        <x:v>当前制度判断</x:v>
      </x:c>
      <x:c r="B10" s="24" t="str">
        <x:v>当前制度判断</x:v>
      </x:c>
      <x:c r="C10" s="24" t="str">
        <x:v>当前制度判断</x:v>
      </x:c>
      <x:c r="D10" s="24" t="str">
        <x:v>当前制度判断</x:v>
      </x:c>
      <x:c r="E10" s="24" t="str">
        <x:v>当前制度判断</x:v>
      </x:c>
      <x:c r="F10" s="24" t="str">
        <x:v>当前制度判断</x:v>
      </x:c>
      <x:c r="G10" s="24" t="str">
        <x:v>当前制度判断</x:v>
      </x:c>
      <x:c r="H10" s="24" t="str">
        <x:v>当前制度判断</x:v>
      </x:c>
      <x:c r="I10" s="80" t="str">
        <x:v>政策性利率 → 市场性利率传导</x:v>
      </x:c>
      <x:c r="J10" s="80" t="str">
        <x:v>政策性利率 → 市场性利率传导</x:v>
      </x:c>
      <x:c r="K10" s="80" t="str">
        <x:v>政策性利率 → 市场性利率传导</x:v>
      </x:c>
      <x:c r="L10" s="80" t="str">
        <x:v>政策性利率 → 市场性利率传导</x:v>
      </x:c>
      <x:c r="M10" s="80" t="str">
        <x:v>政策性利率 → 市场性利率传导</x:v>
      </x:c>
      <x:c r="N10" s="80" t="str">
        <x:v>政策性利率 → 市场性利率传导</x:v>
      </x:c>
      <x:c r="O10" s="80" t="str">
        <x:v>政策性利率 → 市场性利率传导</x:v>
      </x:c>
    </x:row>
    <x:row r="11" ht="24" customHeight="1">
      <x:c r="A11" s="104" t="str">
        <x:f>'因子引擎'!$B$53</x:f>
        <x:v>混合状态</x:v>
      </x:c>
      <x:c r="B11" s="104"/>
      <x:c r="C11" s="104"/>
      <x:c r="D11" s="104"/>
      <x:c r="E11" s="104"/>
      <x:c r="F11" s="104"/>
      <x:c r="G11" s="104"/>
      <x:c r="H11" s="104"/>
      <x:c r="I11" s="38" t="str">
        <x:v>指标</x:v>
      </x:c>
      <x:c r="J11" s="38" t="str">
        <x:v>当前</x:v>
      </x:c>
      <x:c r="K11" s="38" t="str">
        <x:v>判断</x:v>
      </x:c>
      <x:c r="L11" s="38" t="str">
        <x:v>指标</x:v>
      </x:c>
      <x:c r="M11" s="38" t="str">
        <x:v>当前</x:v>
      </x:c>
      <x:c r="N11" s="38" t="str">
        <x:v>判断</x:v>
      </x:c>
      <x:c r="O11" s="38" t="str"/>
    </x:row>
    <x:row r="12" ht="28" customHeight="1">
      <x:c r="A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2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2" s="39" t="str">
        <x:v>政策冲击占比</x:v>
      </x:c>
      <x:c r="J12" s="50" t="n">
        <x:f>'因子引擎'!$B$49</x:f>
        <x:v>0.49180612268419316</x:v>
      </x:c>
      <x:c r="K12" s="50" t="str">
        <x:v>主导</x:v>
      </x:c>
      <x:c r="L12" s="50" t="str">
        <x:v>市场冲击占比</x:v>
      </x:c>
      <x:c r="M12" s="50" t="n">
        <x:f>'因子引擎'!$B$50</x:f>
        <x:v>0.5081938773158068</x:v>
      </x:c>
      <x:c r="N12" s="39" t="str">
        <x:v>未完全确认</x:v>
      </x:c>
      <x:c r="O12" s="39" t="str"/>
    </x:row>
    <x:row r="13" ht="28" customHeight="1">
      <x:c r="A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3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3" s="39" t="str">
        <x:v>2Y 20日</x:v>
      </x:c>
      <x:c r="J13" s="111" t="n">
        <x:f>'因子引擎'!$E$6</x:f>
        <x:v>0.33999999999999986</x:v>
      </x:c>
      <x:c r="K13" s="39" t="str">
        <x:v>+47bp</x:v>
      </x:c>
      <x:c r="L13" s="39" t="str">
        <x:v>10Y实际利率20日</x:v>
      </x:c>
      <x:c r="M13" s="111" t="n">
        <x:f>'因子引擎'!$E$32</x:f>
        <x:v>0.45999999999999996</x:v>
      </x:c>
      <x:c r="N13" s="39" t="str">
        <x:v>+28bp</x:v>
      </x:c>
      <x:c r="O13" s="39" t="str"/>
    </x:row>
    <x:row r="14" ht="28" customHeight="1">
      <x:c r="A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4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4" s="39" t="str">
        <x:v>ACM TP水平</x:v>
      </x:c>
      <x:c r="J14" s="111" t="n">
        <x:f>'因子引擎'!$E$28</x:f>
        <x:v>0.984785831461947</x:v>
      </x:c>
      <x:c r="K14" s="39" t="str">
        <x:v>高于5年中枢</x:v>
      </x:c>
      <x:c r="L14" s="39" t="str">
        <x:v>ACM TP 20日</x:v>
      </x:c>
      <x:c r="M14" s="111" t="n">
        <x:f>'因子引擎'!$E$29</x:f>
        <x:v>0.28140627728938594</x:v>
      </x:c>
      <x:c r="N14" s="39" t="str">
        <x:v>边际回落</x:v>
      </x:c>
      <x:c r="O14" s="39" t="str"/>
    </x:row>
    <x:row r="15" ht="28" customHeight="1">
      <x:c r="A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5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5" s="39" t="str">
        <x:v>HY OAS 20日</x:v>
      </x:c>
      <x:c r="J15" s="111" t="n">
        <x:f>'因子引擎'!$E$33</x:f>
        <x:v>0.3799999999999999</x:v>
      </x:c>
      <x:c r="K15" s="39" t="str">
        <x:v>+13bp</x:v>
      </x:c>
      <x:c r="L15" s="39" t="str">
        <x:v>VIX</x:v>
      </x:c>
      <x:c r="M15" s="111" t="n">
        <x:f>'因子引擎'!$E$35</x:f>
        <x:v>15.08</x:v>
      </x:c>
      <x:c r="N15" s="39" t="str">
        <x:v>低于5年均值</x:v>
      </x:c>
      <x:c r="O15" s="39" t="str"/>
    </x:row>
    <x:row r="16" ht="28" customHeight="1">
      <x:c r="A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B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C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D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E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F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G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H16" s="109" t="str">
        <x:v>结论：当前不是‘所有市场性利率全面失控’，而是政策路径和期限溢价偏紧、实际利率上行，但信用利差、VIX与NFCI只给出中等确认。对长久期成长、长债和高杠杆资产不利；尚不足以单独定义为系统性风险出清。原油冲击很强，但工资、失业与JOLTS没有同步显示广谱再通胀。</x:v>
      </x:c>
      <x:c r="I16" s="39" t="str">
        <x:v>NFCI</x:v>
      </x:c>
      <x:c r="J16" s="39" t="n">
        <x:f>'因子引擎'!$E$37</x:f>
        <x:v>-0.494</x:v>
      </x:c>
      <x:c r="K16" s="39" t="str">
        <x:v>仍偏宽松</x:v>
      </x:c>
      <x:c r="L16" s="39" t="str">
        <x:v>方向</x:v>
      </x:c>
      <x:c r="M16" s="39" t="str">
        <x:f>'因子引擎'!$B$51</x:f>
        <x:v>同向</x:v>
      </x:c>
      <x:c r="N16" s="39" t="str">
        <x:v>政策/市场</x:v>
      </x:c>
      <x:c r="O16" s="39" t="str"/>
    </x:row>
    <x:row r="17" ht="24" customHeight="1"/>
    <x:row r="18" ht="24" customHeight="1">
      <x:c r="A18" s="80" t="str">
        <x:v>因子压力分</x:v>
      </x:c>
      <x:c r="B18" s="80" t="str">
        <x:v>因子压力分</x:v>
      </x:c>
      <x:c r="C18" s="80" t="str">
        <x:v>因子压力分</x:v>
      </x:c>
      <x:c r="D18" s="80" t="str">
        <x:v>因子压力分</x:v>
      </x:c>
      <x:c r="E18" s="80" t="str">
        <x:v>因子压力分</x:v>
      </x:c>
      <x:c r="F18" s="80" t="str">
        <x:v>因子压力分</x:v>
      </x:c>
      <x:c r="G18" s="80" t="str">
        <x:v>因子压力分</x:v>
      </x:c>
    </x:row>
    <x:row r="19" ht="24" customHeight="1">
      <x:c r="A19" s="38" t="str">
        <x:v>因子</x:v>
      </x:c>
      <x:c r="B19" s="38" t="str">
        <x:v>分数</x:v>
      </x:c>
      <x:c r="C19" s="38" t="str">
        <x:v>信号</x:v>
      </x:c>
    </x:row>
    <x:row r="20" ht="24" customHeight="1">
      <x:c r="A20" s="39" t="str">
        <x:v>政策路径</x:v>
      </x:c>
      <x:c r="B20" s="43" t="n">
        <x:f>'因子引擎'!$B$42</x:f>
        <x:v>59.80311682482056</x:v>
      </x:c>
      <x:c r="C20" s="39" t="str">
        <x:f>IF(B20&gt;=65,"高压",IF(B20&gt;=55,"偏紧",IF(B20&gt;=45,"中性",IF(B20&gt;=35,"偏松","宽松"))))</x:f>
        <x:v>偏紧</x:v>
      </x:c>
    </x:row>
    <x:row r="21" ht="24" customHeight="1">
      <x:c r="A21" s="39" t="str">
        <x:v>通胀预期</x:v>
      </x:c>
      <x:c r="B21" s="43" t="n">
        <x:f>'因子引擎'!$B$43</x:f>
        <x:v>46.3406640711772</x:v>
      </x:c>
      <x:c r="C21" s="39" t="str">
        <x:f>IF(B21&gt;=65,"高压",IF(B21&gt;=55,"偏紧",IF(B21&gt;=45,"中性",IF(B21&gt;=35,"偏松","宽松"))))</x:f>
        <x:v>中性</x:v>
      </x:c>
    </x:row>
    <x:row r="22" ht="24" customHeight="1">
      <x:c r="A22" s="39" t="str">
        <x:v>期限溢价</x:v>
      </x:c>
      <x:c r="B22" s="43" t="n">
        <x:f>'因子引擎'!$B$44</x:f>
        <x:v>83.45640641965412</x:v>
      </x:c>
      <x:c r="C22" s="39" t="str">
        <x:f>IF(B22&gt;=65,"高压",IF(B22&gt;=55,"偏紧",IF(B22&gt;=45,"中性",IF(B22&gt;=35,"偏松","宽松"))))</x:f>
        <x:v>高压</x:v>
      </x:c>
    </x:row>
    <x:row r="23" ht="24" customHeight="1">
      <x:c r="A23" s="39" t="str">
        <x:v>市场传导</x:v>
      </x:c>
      <x:c r="B23" s="43" t="n">
        <x:f>'因子引擎'!$B$45</x:f>
        <x:v>55.18861521182057</x:v>
      </x:c>
      <x:c r="C23" s="39" t="str">
        <x:f>IF(B23&gt;=65,"高压",IF(B23&gt;=55,"偏紧",IF(B23&gt;=45,"中性",IF(B23&gt;=35,"偏松","宽松"))))</x:f>
        <x:v>偏紧</x:v>
      </x:c>
    </x:row>
    <x:row r="24" ht="24" customHeight="1">
      <x:c r="A24" s="39" t="str">
        <x:v>有效利率压力</x:v>
      </x:c>
      <x:c r="B24" s="43" t="n">
        <x:f>'因子引擎'!$B$47</x:f>
        <x:v>63.80057367264977</x:v>
      </x:c>
      <x:c r="C24" s="39" t="str">
        <x:f>IF(B24&gt;=65,"高压",IF(B24&gt;=55,"偏紧",IF(B24&gt;=45,"中性",IF(B24&gt;=35,"偏松","宽松"))))</x:f>
        <x:v>偏紧</x:v>
      </x:c>
    </x:row>
    <x:row r="25" ht="24" customHeight="1"/>
    <x:row r="26" ht="24" customHeight="1"/>
    <x:row r="27" ht="24" customHeight="1">
      <x:c r="A27" s="24" t="str">
        <x:v>风险资产环境分</x:v>
      </x:c>
      <x:c r="B27" s="24" t="str">
        <x:v>风险资产环境分</x:v>
      </x:c>
      <x:c r="C27" s="24" t="str">
        <x:v>风险资产环境分</x:v>
      </x:c>
      <x:c r="D27" s="24" t="str">
        <x:v>风险资产环境分</x:v>
      </x:c>
      <x:c r="E27" s="24" t="str">
        <x:v>风险资产环境分</x:v>
      </x:c>
      <x:c r="F27" s="24" t="str">
        <x:v>风险资产环境分</x:v>
      </x:c>
      <x:c r="G27" s="24" t="str">
        <x:v>风险资产环境分</x:v>
      </x:c>
    </x:row>
    <x:row r="28" ht="24" customHeight="1">
      <x:c r="A28" s="38" t="str">
        <x:v>资产</x:v>
      </x:c>
      <x:c r="B28" s="38" t="str">
        <x:v>环境分</x:v>
      </x:c>
      <x:c r="C28" s="38" t="str">
        <x:v>判断</x:v>
      </x:c>
    </x:row>
    <x:row r="29" ht="24" customHeight="1">
      <x:c r="A29" s="39" t="str">
        <x:v>纳斯达克/长久期成长</x:v>
      </x:c>
      <x:c r="B29" s="43" t="n">
        <x:f>'风险资产'!$F$6</x:f>
        <x:v>37.57067571760262</x:v>
      </x:c>
      <x:c r="C29" s="39" t="str">
        <x:f>'风险资产'!$G$6</x:f>
        <x:v>偏不利</x:v>
      </x:c>
    </x:row>
    <x:row r="30" ht="24" customHeight="1">
      <x:c r="A30" s="39" t="str">
        <x:v>标普500</x:v>
      </x:c>
      <x:c r="B30" s="43" t="n">
        <x:f>'风险资产'!$F$7</x:f>
        <x:v>37.558513090994715</x:v>
      </x:c>
      <x:c r="C30" s="39" t="str">
        <x:f>'风险资产'!$G$7</x:f>
        <x:v>偏不利</x:v>
      </x:c>
    </x:row>
    <x:row r="31" ht="24" customHeight="1">
      <x:c r="A31" s="39" t="str">
        <x:v>罗素2000</x:v>
      </x:c>
      <x:c r="B31" s="43" t="n">
        <x:f>'风险资产'!$F$8</x:f>
        <x:v>39.520156477787054</x:v>
      </x:c>
      <x:c r="C31" s="39" t="str">
        <x:f>'风险资产'!$G$8</x:f>
        <x:v>偏不利</x:v>
      </x:c>
    </x:row>
    <x:row r="32" ht="24" customHeight="1">
      <x:c r="A32" s="39" t="str">
        <x:v>高收益信用</x:v>
      </x:c>
      <x:c r="B32" s="43" t="n">
        <x:f>'风险资产'!$F$9</x:f>
        <x:v>39.6910639449352</x:v>
      </x:c>
      <x:c r="C32" s="39" t="str">
        <x:f>'风险资产'!$G$9</x:f>
        <x:v>偏不利</x:v>
      </x:c>
    </x:row>
    <x:row r="33" ht="24" customHeight="1">
      <x:c r="A33" s="39" t="str">
        <x:v>新兴市场股票</x:v>
      </x:c>
      <x:c r="B33" s="43" t="n">
        <x:f>'风险资产'!$F$10</x:f>
        <x:v>39.14271807626149</x:v>
      </x:c>
      <x:c r="C33" s="39" t="str">
        <x:f>'风险资产'!$G$10</x:f>
        <x:v>偏不利</x:v>
      </x:c>
    </x:row>
    <x:row r="34" ht="24" customHeight="1">
      <x:c r="A34" s="39" t="str">
        <x:v>黄金</x:v>
      </x:c>
      <x:c r="B34" s="43" t="n">
        <x:f>'风险资产'!$F$11</x:f>
        <x:v>38.27839597763003</x:v>
      </x:c>
      <x:c r="C34" s="39" t="str">
        <x:f>'风险资产'!$G$11</x:f>
        <x:v>偏不利</x:v>
      </x:c>
    </x:row>
    <x:row r="35" ht="24" customHeight="1">
      <x:c r="A35" s="39" t="str">
        <x:v>比特币</x:v>
      </x:c>
      <x:c r="B35" s="43" t="n">
        <x:f>'风险资产'!$F$12</x:f>
        <x:v>36.53524218843517</x:v>
      </x:c>
      <x:c r="C35" s="39" t="str">
        <x:f>'风险资产'!$G$12</x:f>
        <x:v>偏不利</x:v>
      </x:c>
    </x:row>
    <x:row r="36" ht="24" customHeight="1">
      <x:c r="A36" s="39" t="str">
        <x:v>原油/大宗商品</x:v>
      </x:c>
      <x:c r="B36" s="43" t="n">
        <x:f>'风险资产'!$F$13</x:f>
        <x:v>41.84245579925653</x:v>
      </x:c>
      <x:c r="C36" s="39" t="str">
        <x:f>'风险资产'!$G$13</x:f>
        <x:v>偏不利</x:v>
      </x:c>
    </x:row>
    <x:row r="37" ht="24" customHeight="1">
      <x:c r="A37" s="39" t="str">
        <x:v>美国长债</x:v>
      </x:c>
      <x:c r="B37" s="43" t="n">
        <x:f>'风险资产'!$F$14</x:f>
        <x:v>35.96643189365785</x:v>
      </x:c>
      <x:c r="C37" s="39" t="str">
        <x:f>'风险资产'!$G$14</x:f>
        <x:v>偏不利</x:v>
      </x:c>
    </x:row>
    <x:row r="38" ht="24" customHeight="1">
      <x:c r="A38" s="39" t="str">
        <x:v>美元指数</x:v>
      </x:c>
      <x:c r="B38" s="43" t="n">
        <x:f>'风险资产'!$F$15</x:f>
        <x:v>60.90314178704433</x:v>
      </x:c>
      <x:c r="C38" s="39" t="str">
        <x:f>'风险资产'!$G$15</x:f>
        <x:v>偏有利</x:v>
      </x:c>
    </x:row>
    <x:row r="39" ht="24" customHeight="1"/>
    <x:row r="40" ht="24" customHeight="1"/>
    <x:row r="41" ht="24" customHeight="1">
      <x:c r="A41" s="84" t="str">
        <x:v>使用纪律</x:v>
      </x:c>
      <x:c r="B41" s="84" t="str">
        <x:v>使用纪律</x:v>
      </x:c>
      <x:c r="C41" s="84" t="str">
        <x:v>使用纪律</x:v>
      </x:c>
      <x:c r="D41" s="84" t="str">
        <x:v>使用纪律</x:v>
      </x:c>
      <x:c r="E41" s="84" t="str">
        <x:v>使用纪律</x:v>
      </x:c>
      <x:c r="F41" s="84" t="str">
        <x:v>使用纪律</x:v>
      </x:c>
      <x:c r="G41" s="84" t="str">
        <x:v>使用纪律</x:v>
      </x:c>
      <x:c r="H41" s="84" t="str">
        <x:v>使用纪律</x:v>
      </x:c>
      <x:c r="I41" s="84" t="str">
        <x:v>使用纪律</x:v>
      </x:c>
      <x:c r="J41" s="84" t="str">
        <x:v>使用纪律</x:v>
      </x:c>
      <x:c r="K41" s="84" t="str">
        <x:v>使用纪律</x:v>
      </x:c>
      <x:c r="L41" s="84" t="str">
        <x:v>使用纪律</x:v>
      </x:c>
      <x:c r="M41" s="84" t="str">
        <x:v>使用纪律</x:v>
      </x:c>
      <x:c r="N41" s="84" t="str">
        <x:v>使用纪律</x:v>
      </x:c>
      <x:c r="O41" s="84" t="str">
        <x:v>使用纪律</x:v>
      </x:c>
    </x:row>
    <x:row r="42" ht="30" customHeight="1">
      <x:c r="A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2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3" ht="30" customHeight="1">
      <x:c r="A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3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  <x:row r="44" ht="30" customHeight="1">
      <x:c r="A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B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C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D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E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F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G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H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I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J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K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L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M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N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  <x:c r="O44" s="112" t="str">
        <x:v>1）先看制度：政策、通胀、期限溢价谁在驱动；2）再看传导：实际利率、信用、波动率、美元、NFCI是否至少两条独立链确认；3）最后才做资产映射。任何单一数据、单日K线或自媒体观点都不能独立触发结论。该模型是研究与监测工具，不是收益预测或买卖指令。</x:v>
      </x:c>
    </x:row>
  </x:sheetData>
  <x:mergeCells>
    <x:mergeCell ref="A1:O2"/>
    <x:mergeCell ref="A3:O3"/>
    <x:mergeCell ref="A5:C5"/>
    <x:mergeCell ref="A6:C7"/>
    <x:mergeCell ref="A8:C8"/>
    <x:mergeCell ref="D5:F5"/>
    <x:mergeCell ref="D6:F7"/>
    <x:mergeCell ref="D8:F8"/>
    <x:mergeCell ref="G5:I5"/>
    <x:mergeCell ref="G6:I7"/>
    <x:mergeCell ref="G8:I8"/>
    <x:mergeCell ref="J5:L5"/>
    <x:mergeCell ref="J6:L7"/>
    <x:mergeCell ref="J8:L8"/>
    <x:mergeCell ref="M5:O5"/>
    <x:mergeCell ref="M6:O7"/>
    <x:mergeCell ref="M8:O8"/>
    <x:mergeCell ref="A10:H10"/>
    <x:mergeCell ref="A11:H11"/>
    <x:mergeCell ref="A12:H16"/>
    <x:mergeCell ref="I10:O10"/>
    <x:mergeCell ref="A18:G18"/>
    <x:mergeCell ref="A27:G27"/>
    <x:mergeCell ref="A41:O41"/>
    <x:mergeCell ref="A42:O44"/>
  </x:mergeCells>
  <x:pageMargins left="0.7" right="0.7" top="0.75" bottom="0.75" header="0.3" footer="0.3"/>
  <x:drawing xmlns:r="http://schemas.openxmlformats.org/officeDocument/2006/relationships" r:id="R9156ba05c7b842ae"/>
</x:worksheet>
</file>

<file path=xl/worksheets/sheet2.xml><?xml version="1.0" encoding="utf-8"?>
<x:worksheet xmlns:x="http://schemas.openxmlformats.org/spreadsheetml/2006/main">
  <x:sheetPr>
    <x:tabColor rgb="FF2F75B5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31" hidden="0" customWidth="1"/>
    <x:col min="3" max="3" width="12" hidden="0" customWidth="1"/>
    <x:col min="4" max="4" width="10" hidden="0" customWidth="1"/>
    <x:col min="5" max="5" width="13" hidden="0" customWidth="1"/>
    <x:col min="6" max="6" width="11" hidden="0" customWidth="1"/>
    <x:col min="7" max="7" width="16" hidden="0" customWidth="1"/>
    <x:col min="8" max="8" width="16" hidden="0" customWidth="1"/>
    <x:col min="9" max="9" width="12" hidden="0" customWidth="1"/>
    <x:col min="10" max="10" width="12" hidden="0" customWidth="1"/>
    <x:col min="11" max="11" width="13" hidden="0" customWidth="1"/>
    <x:col min="12" max="12" width="11" hidden="0" customWidth="1"/>
    <x:col min="13" max="13" width="11" hidden="0" customWidth="1"/>
    <x:col min="14" max="14" width="46" hidden="0" customWidth="1"/>
    <x:col min="15" max="15" width="24" hidden="0" customWidth="1"/>
  </x:cols>
  <x:sheetData>
    <x:row r="1" ht="31" customHeight="1">
      <x:c r="A1" s="52" t="str">
        <x:v>君君美债利率模型｜因子引擎</x:v>
      </x:c>
      <x:c r="B1" s="52" t="str">
        <x:v>君君美债利率模型｜因子引擎</x:v>
      </x:c>
      <x:c r="C1" s="52" t="str">
        <x:v>君君美债利率模型｜因子引擎</x:v>
      </x:c>
      <x:c r="D1" s="52" t="str">
        <x:v>君君美债利率模型｜因子引擎</x:v>
      </x:c>
      <x:c r="E1" s="52" t="str">
        <x:v>君君美债利率模型｜因子引擎</x:v>
      </x:c>
      <x:c r="F1" s="52" t="str">
        <x:v>君君美债利率模型｜因子引擎</x:v>
      </x:c>
      <x:c r="G1" s="52" t="str">
        <x:v>君君美债利率模型｜因子引擎</x:v>
      </x:c>
      <x:c r="H1" s="52" t="str">
        <x:v>君君美债利率模型｜因子引擎</x:v>
      </x:c>
      <x:c r="I1" s="52" t="str">
        <x:v>君君美债利率模型｜因子引擎</x:v>
      </x:c>
      <x:c r="J1" s="52" t="str">
        <x:v>君君美债利率模型｜因子引擎</x:v>
      </x:c>
      <x:c r="K1" s="52" t="str">
        <x:v>君君美债利率模型｜因子引擎</x:v>
      </x:c>
      <x:c r="L1" s="52" t="str">
        <x:v>君君美债利率模型｜因子引擎</x:v>
      </x:c>
      <x:c r="M1" s="52" t="str">
        <x:v>君君美债利率模型｜因子引擎</x:v>
      </x:c>
      <x:c r="N1" s="52" t="str">
        <x:v>君君美债利率模型｜因子引擎</x:v>
      </x:c>
      <x:c r="O1" s="52" t="str">
        <x:v>君君美债利率模型｜因子引擎</x:v>
      </x:c>
    </x:row>
    <x:row r="2" ht="31" customHeight="1">
      <x:c r="A2" s="52" t="str">
        <x:v>君君美债利率模型｜因子引擎</x:v>
      </x:c>
      <x:c r="B2" s="52" t="str">
        <x:v>君君美债利率模型｜因子引擎</x:v>
      </x:c>
      <x:c r="C2" s="52" t="str">
        <x:v>君君美债利率模型｜因子引擎</x:v>
      </x:c>
      <x:c r="D2" s="52" t="str">
        <x:v>君君美债利率模型｜因子引擎</x:v>
      </x:c>
      <x:c r="E2" s="52" t="str">
        <x:v>君君美债利率模型｜因子引擎</x:v>
      </x:c>
      <x:c r="F2" s="52" t="str">
        <x:v>君君美债利率模型｜因子引擎</x:v>
      </x:c>
      <x:c r="G2" s="52" t="str">
        <x:v>君君美债利率模型｜因子引擎</x:v>
      </x:c>
      <x:c r="H2" s="52" t="str">
        <x:v>君君美债利率模型｜因子引擎</x:v>
      </x:c>
      <x:c r="I2" s="52" t="str">
        <x:v>君君美债利率模型｜因子引擎</x:v>
      </x:c>
      <x:c r="J2" s="52" t="str">
        <x:v>君君美债利率模型｜因子引擎</x:v>
      </x:c>
      <x:c r="K2" s="52" t="str">
        <x:v>君君美债利率模型｜因子引擎</x:v>
      </x:c>
      <x:c r="L2" s="52" t="str">
        <x:v>君君美债利率模型｜因子引擎</x:v>
      </x:c>
      <x:c r="M2" s="52" t="str">
        <x:v>君君美债利率模型｜因子引擎</x:v>
      </x:c>
      <x:c r="N2" s="52" t="str">
        <x:v>君君美债利率模型｜因子引擎</x:v>
      </x:c>
      <x:c r="O2" s="52" t="str">
        <x:v>君君美债利率模型｜因子引擎</x:v>
      </x:c>
    </x:row>
    <x:row r="3">
      <x:c r="A3" s="53" t="str">
        <x:v>名义利率 = 预期政策路径 + 通胀补偿 + 期限溢价；风险资产压力再经过市场传导门控。蓝色单元格为可更新输入。 数据截至 2026-10-08。 </x:v>
      </x:c>
      <x:c r="B3" s="53" t="str">
        <x:v>名义利率 = 预期政策路径 + 通胀补偿 + 期限溢价；风险资产压力再经过市场传导门控。蓝色单元格为可更新输入。 数据截至 2026-10-08。 </x:v>
      </x:c>
      <x:c r="C3" s="53" t="str">
        <x:v>名义利率 = 预期政策路径 + 通胀补偿 + 期限溢价；风险资产压力再经过市场传导门控。蓝色单元格为可更新输入。 数据截至 2026-10-08。 </x:v>
      </x:c>
      <x:c r="D3" s="53" t="str">
        <x:v>名义利率 = 预期政策路径 + 通胀补偿 + 期限溢价；风险资产压力再经过市场传导门控。蓝色单元格为可更新输入。 数据截至 2026-10-08。 </x:v>
      </x:c>
      <x:c r="E3" s="53" t="str">
        <x:v>名义利率 = 预期政策路径 + 通胀补偿 + 期限溢价；风险资产压力再经过市场传导门控。蓝色单元格为可更新输入。 数据截至 2026-10-08。 </x:v>
      </x:c>
      <x:c r="F3" s="53" t="str">
        <x:v>名义利率 = 预期政策路径 + 通胀补偿 + 期限溢价；风险资产压力再经过市场传导门控。蓝色单元格为可更新输入。 数据截至 2026-10-08。 </x:v>
      </x:c>
      <x:c r="G3" s="53" t="str">
        <x:v>名义利率 = 预期政策路径 + 通胀补偿 + 期限溢价；风险资产压力再经过市场传导门控。蓝色单元格为可更新输入。 数据截至 2026-10-08。 </x:v>
      </x:c>
      <x:c r="H3" s="53" t="str">
        <x:v>名义利率 = 预期政策路径 + 通胀补偿 + 期限溢价；风险资产压力再经过市场传导门控。蓝色单元格为可更新输入。 数据截至 2026-10-08。 </x:v>
      </x:c>
      <x:c r="I3" s="53" t="str">
        <x:v>名义利率 = 预期政策路径 + 通胀补偿 + 期限溢价；风险资产压力再经过市场传导门控。蓝色单元格为可更新输入。 数据截至 2026-10-08。 </x:v>
      </x:c>
      <x:c r="J3" s="53" t="str">
        <x:v>名义利率 = 预期政策路径 + 通胀补偿 + 期限溢价；风险资产压力再经过市场传导门控。蓝色单元格为可更新输入。 数据截至 2026-10-08。 </x:v>
      </x:c>
      <x:c r="K3" s="53" t="str">
        <x:v>名义利率 = 预期政策路径 + 通胀补偿 + 期限溢价；风险资产压力再经过市场传导门控。蓝色单元格为可更新输入。 数据截至 2026-10-08。 </x:v>
      </x:c>
      <x:c r="L3" s="53" t="str">
        <x:v>名义利率 = 预期政策路径 + 通胀补偿 + 期限溢价；风险资产压力再经过市场传导门控。蓝色单元格为可更新输入。 数据截至 2026-10-08。 </x:v>
      </x:c>
      <x:c r="M3" s="53" t="str">
        <x:v>名义利率 = 预期政策路径 + 通胀补偿 + 期限溢价；风险资产压力再经过市场传导门控。蓝色单元格为可更新输入。 数据截至 2026-10-08。 </x:v>
      </x:c>
      <x:c r="N3" s="53" t="str">
        <x:v>名义利率 = 预期政策路径 + 通胀补偿 + 期限溢价；风险资产压力再经过市场传导门控。蓝色单元格为可更新输入。 数据截至 2026-10-08。 </x:v>
      </x:c>
      <x:c r="O3" s="53" t="str">
        <x:v>名义利率 = 预期政策路径 + 通胀补偿 + 期限溢价；风险资产压力再经过市场传导门控。蓝色单元格为可更新输入。 数据截至 2026-10-08。 </x:v>
      </x:c>
    </x:row>
    <x:row r="4" ht="25" customHeight="1">
      <x:c r="A4" s="38" t="str">
        <x:v>模块</x:v>
      </x:c>
      <x:c r="B4" s="38" t="str">
        <x:v>指标</x:v>
      </x:c>
      <x:c r="C4" s="38" t="str">
        <x:v>正向=收紧</x:v>
      </x:c>
      <x:c r="D4" s="38" t="str">
        <x:v>权重</x:v>
      </x:c>
      <x:c r="E4" s="38" t="str">
        <x:v>当前值</x:v>
      </x:c>
      <x:c r="F4" s="38" t="str">
        <x:v>单位</x:v>
      </x:c>
      <x:c r="G4" s="38" t="str">
        <x:v>5年均值/中枢</x:v>
      </x:c>
      <x:c r="H4" s="38" t="str">
        <x:v>5年标准差/尺度</x:v>
      </x:c>
      <x:c r="I4" s="38" t="str">
        <x:v>标准化Z</x:v>
      </x:c>
      <x:c r="J4" s="38" t="str">
        <x:v>压力分</x:v>
      </x:c>
      <x:c r="K4" s="38" t="str">
        <x:v>数据日期</x:v>
      </x:c>
      <x:c r="L4" s="38" t="str">
        <x:v>可得性(1-5)</x:v>
      </x:c>
      <x:c r="M4" s="38" t="str">
        <x:v>准确性(1-5)</x:v>
      </x:c>
      <x:c r="N4" s="38" t="str">
        <x:v>口径与局限</x:v>
      </x:c>
      <x:c r="O4" s="38" t="str">
        <x:v>主要来源</x:v>
      </x:c>
    </x:row>
    <x:row r="5" ht="25" customHeight="1">
      <x:c r="A5" s="54" t="str">
        <x:v>政策路径</x:v>
      </x:c>
      <x:c r="B5" s="54" t="str">
        <x:v>2Y-有效联邦基金利率利差</x:v>
      </x:c>
      <x:c r="C5" s="54" t="n">
        <x:v>1</x:v>
      </x:c>
      <x:c r="D5" s="55" t="n">
        <x:v>0.45</x:v>
      </x:c>
      <x:c r="E5" s="56" t="n">
        <x:v>0.8899999999999997</x:v>
      </x:c>
      <x:c r="F5" s="57" t="str">
        <x:v>百分点</x:v>
      </x:c>
      <x:c r="G5" s="56" t="n">
        <x:v>-0.11668218085106385</x:v>
      </x:c>
      <x:c r="H5" s="56" t="n">
        <x:v>1.0933456087386109</x:v>
      </x:c>
      <x:c r="I5" s="58" t="n">
        <x:f>IFERROR(C5*(E5-G5)/H5,"")</x:f>
        <x:v>0.9207355595569359</x:v>
      </x:c>
      <x:c r="J5" s="58" t="n">
        <x:f>IF(I5="","",MAX(0,MIN(100,50+20*I5)))</x:f>
        <x:v>68.41471119113872</x:v>
      </x:c>
      <x:c r="K5" s="54" t="str">
        <x:v>2026-10-07</x:v>
      </x:c>
      <x:c r="L5" s="54" t="n">
        <x:v>5</x:v>
      </x:c>
      <x:c r="M5" s="54" t="n">
        <x:v>4</x:v>
      </x:c>
      <x:c r="N5" s="54" t="str">
        <x:v>2Y与有效联邦基金利率之差，包含2Y期限溢价</x:v>
      </x:c>
      <x:c r="O5" s="54" t="str">
        <x:v>FRED: DGS2-DFF</x:v>
      </x:c>
    </x:row>
    <x:row r="6" ht="25" customHeight="1">
      <x:c r="A6" s="54" t="str">
        <x:v>政策路径</x:v>
      </x:c>
      <x:c r="B6" s="54" t="str">
        <x:v>2Y美债20日变动</x:v>
      </x:c>
      <x:c r="C6" s="54" t="n">
        <x:v>1</x:v>
      </x:c>
      <x:c r="D6" s="55" t="n">
        <x:v>0.4</x:v>
      </x:c>
      <x:c r="E6" s="56" t="n">
        <x:v>0.33999999999999986</x:v>
      </x:c>
      <x:c r="F6" s="57" t="str">
        <x:v>百分点</x:v>
      </x:c>
      <x:c r="G6" s="56" t="n">
        <x:v>0.06175531914893609</x:v>
      </x:c>
      <x:c r="H6" s="56" t="n">
        <x:v>1.0574818398543389</x:v>
      </x:c>
      <x:c r="I6" s="58" t="n">
        <x:f>IFERROR(C6*(E6-G6)/H6,"")</x:f>
        <x:v>0.2631200559334335</x:v>
      </x:c>
      <x:c r="J6" s="58" t="n">
        <x:f>IF(I6="","",MAX(0,MIN(100,50+20*I6)))</x:f>
        <x:v>55.26240111866867</x:v>
      </x:c>
      <x:c r="K6" s="54" t="str">
        <x:v>2026-10-07</x:v>
      </x:c>
      <x:c r="L6" s="54" t="n">
        <x:v>5</x:v>
      </x:c>
      <x:c r="M6" s="54" t="n">
        <x:v>4</x:v>
      </x:c>
      <x:c r="N6" s="54" t="str">
        <x:v>捕捉政策路径重定价</x:v>
      </x:c>
      <x:c r="O6" s="54" t="str">
        <x:v>FRED: DGS2</x:v>
      </x:c>
    </x:row>
    <x:row r="7" ht="25" customHeight="1">
      <x:c r="A7" s="54" t="str">
        <x:v>政策路径</x:v>
      </x:c>
      <x:c r="B7" s="54" t="str">
        <x:v>有效联邦基金利率20日变动</x:v>
      </x:c>
      <x:c r="C7" s="54" t="n">
        <x:v>1</x:v>
      </x:c>
      <x:c r="D7" s="55" t="n">
        <x:v>0.15</x:v>
      </x:c>
      <x:c r="E7" s="56" t="n">
        <x:v>0</x:v>
      </x:c>
      <x:c r="F7" s="57" t="str">
        <x:v>百分点</x:v>
      </x:c>
      <x:c r="G7" s="56" t="n">
        <x:v>0.0359924026590694</x:v>
      </x:c>
      <x:c r="H7" s="56" t="n">
        <x:v>0.18349001911725</x:v>
      </x:c>
      <x:c r="I7" s="58" t="n">
        <x:f>IFERROR(C7*(E7-G7)/H7,"")</x:f>
        <x:v>-0.19615455288644493</x:v>
      </x:c>
      <x:c r="J7" s="58" t="n">
        <x:f>IF(I7="","",MAX(0,MIN(100,50+20*I7)))</x:f>
        <x:v>46.0769089422711</x:v>
      </x:c>
      <x:c r="K7" s="54" t="str">
        <x:v>2026-10-07</x:v>
      </x:c>
      <x:c r="L7" s="54" t="n">
        <x:v>5</x:v>
      </x:c>
      <x:c r="M7" s="54" t="n">
        <x:v>5</x:v>
      </x:c>
      <x:c r="N7" s="54" t="str">
        <x:v>实际政策动作，离散且滞后于市场定价</x:v>
      </x:c>
      <x:c r="O7" s="54" t="str">
        <x:v>FRED: DFF</x:v>
      </x:c>
    </x:row>
    <x:row r="8" ht="25" customHeight="1">
      <x:c r="A8" s="59" t="str">
        <x:v>政策性利率得分</x:v>
      </x:c>
      <x:c r="B8" s="59" t="str">
        <x:v>政策性利率得分</x:v>
      </x:c>
      <x:c r="C8" s="59" t="str">
        <x:v>政策性利率得分</x:v>
      </x:c>
      <x:c r="D8" s="60" t="str">
        <x:v>政策性利率得分</x:v>
      </x:c>
      <x:c r="E8" s="61" t="str">
        <x:v>政策性利率得分</x:v>
      </x:c>
      <x:c r="F8" s="62" t="str">
        <x:v>政策性利率得分</x:v>
      </x:c>
      <x:c r="G8" s="61" t="str">
        <x:v>政策性利率得分</x:v>
      </x:c>
      <x:c r="H8" s="61" t="str">
        <x:v>政策性利率得分</x:v>
      </x:c>
      <x:c r="I8" s="63" t="str">
        <x:v>政策性利率得分</x:v>
      </x:c>
      <x:c r="J8" s="63" t="n">
        <x:f>SUMPRODUCT(D5:D7,J5:J7)/SUM(D5:D7)</x:f>
        <x:v>59.80311682482056</x:v>
      </x:c>
      <x:c r="K8" s="64" t="str">
        <x:f>IF(J8&gt;=65,"高压",IF(J8&gt;=55,"偏紧",IF(J8&gt;=45,"中性",IF(J8&gt;=35,"偏松","宽松"))))</x:f>
        <x:v>偏紧</x:v>
      </x:c>
      <x:c r="L8" s="64"/>
      <x:c r="M8" s="64"/>
      <x:c r="N8" s="64"/>
      <x:c r="O8" s="64"/>
    </x:row>
    <x:row r="9" ht="25" customHeight="1">
      <x:c r="A9" s="54"/>
      <x:c r="B9" s="54"/>
      <x:c r="C9" s="54"/>
      <x:c r="D9" s="55"/>
      <x:c r="E9" s="56"/>
      <x:c r="F9" s="57"/>
      <x:c r="G9" s="56"/>
      <x:c r="H9" s="56"/>
      <x:c r="I9" s="58"/>
      <x:c r="J9" s="58"/>
      <x:c r="K9" s="54"/>
      <x:c r="L9" s="54"/>
      <x:c r="M9" s="54"/>
      <x:c r="N9" s="54"/>
      <x:c r="O9" s="54"/>
    </x:row>
    <x:row r="10" ht="25" customHeight="1">
      <x:c r="A10" s="54" t="str">
        <x:v>市场通胀</x:v>
      </x:c>
      <x:c r="B10" s="54" t="str">
        <x:v>5Y盈亏平衡通胀水平</x:v>
      </x:c>
      <x:c r="C10" s="54" t="n">
        <x:v>1</x:v>
      </x:c>
      <x:c r="D10" s="55" t="n">
        <x:v>0.35</x:v>
      </x:c>
      <x:c r="E10" s="56" t="n">
        <x:v>2.37</x:v>
      </x:c>
      <x:c r="F10" s="57" t="str">
        <x:v>%</x:v>
      </x:c>
      <x:c r="G10" s="56" t="n">
        <x:v>2.3447707641196045</x:v>
      </x:c>
      <x:c r="H10" s="56" t="n">
        <x:v>0.5554382649457756</x:v>
      </x:c>
      <x:c r="I10" s="58" t="n">
        <x:f>IFERROR(C10*(E10-G10)/H10,"")</x:f>
        <x:v>0.04542221426328738</x:v>
      </x:c>
      <x:c r="J10" s="58" t="n">
        <x:f>IF(I10="","",MAX(0,MIN(100,50+20*I10)))</x:f>
        <x:v>50.908444285265745</x:v>
      </x:c>
      <x:c r="K10" s="54" t="str">
        <x:v>2026-10-08</x:v>
      </x:c>
      <x:c r="L10" s="54" t="n">
        <x:v>5</x:v>
      </x:c>
      <x:c r="M10" s="54" t="n">
        <x:v>3</x:v>
      </x:c>
      <x:c r="N10" s="54" t="str">
        <x:v>含通胀风险与TIPS流动性溢价，不是纯预期</x:v>
      </x:c>
      <x:c r="O10" s="54" t="str">
        <x:v>FRED: T5YIE</x:v>
      </x:c>
    </x:row>
    <x:row r="11" ht="25" customHeight="1">
      <x:c r="A11" s="54" t="str">
        <x:v>市场通胀</x:v>
      </x:c>
      <x:c r="B11" s="54" t="str">
        <x:v>5Y盈亏平衡通胀20日变动</x:v>
      </x:c>
      <x:c r="C11" s="54" t="n">
        <x:v>1</x:v>
      </x:c>
      <x:c r="D11" s="55" t="n">
        <x:v>0.35</x:v>
      </x:c>
      <x:c r="E11" s="56" t="n">
        <x:v>-0.08999999999999986</x:v>
      </x:c>
      <x:c r="F11" s="57" t="str">
        <x:v>百分点</x:v>
      </x:c>
      <x:c r="G11" s="56" t="n">
        <x:v>0.007508305647840539</x:v>
      </x:c>
      <x:c r="H11" s="56" t="n">
        <x:v>0.6957560158617611</x:v>
      </x:c>
      <x:c r="I11" s="58" t="n">
        <x:f>IFERROR(C11*(E11-G11)/H11,"")</x:f>
        <x:v>-0.14014726919330614</x:v>
      </x:c>
      <x:c r="J11" s="58" t="n">
        <x:f>IF(I11="","",MAX(0,MIN(100,50+20*I11)))</x:f>
        <x:v>47.197054616133876</x:v>
      </x:c>
      <x:c r="K11" s="54" t="str">
        <x:v>2026-10-08</x:v>
      </x:c>
      <x:c r="L11" s="54" t="n">
        <x:v>5</x:v>
      </x:c>
      <x:c r="M11" s="54" t="n">
        <x:v>3</x:v>
      </x:c>
      <x:c r="N11" s="54" t="str">
        <x:v>适合看边际再定价</x:v>
      </x:c>
      <x:c r="O11" s="54" t="str">
        <x:v>FRED: T5YIE</x:v>
      </x:c>
    </x:row>
    <x:row r="12" ht="25" customHeight="1">
      <x:c r="A12" s="54" t="str">
        <x:v>市场通胀</x:v>
      </x:c>
      <x:c r="B12" s="54" t="str">
        <x:v>5Y5Y远期通胀补偿</x:v>
      </x:c>
      <x:c r="C12" s="54" t="n">
        <x:v>1</x:v>
      </x:c>
      <x:c r="D12" s="55" t="n">
        <x:v>0.3</x:v>
      </x:c>
      <x:c r="E12" s="56" t="n">
        <x:v>2.33</x:v>
      </x:c>
      <x:c r="F12" s="57" t="str">
        <x:v>%</x:v>
      </x:c>
      <x:c r="G12" s="56" t="n">
        <x:v>2.1618737541528246</x:v>
      </x:c>
      <x:c r="H12" s="56" t="n">
        <x:v>0.46004026478298776</x:v>
      </x:c>
      <x:c r="I12" s="58" t="n">
        <x:f>IFERROR(C12*(E12-G12)/H12,"")</x:f>
        <x:v>0.36545984931663483</x:v>
      </x:c>
      <x:c r="J12" s="58" t="n">
        <x:f>IF(I12="","",MAX(0,MIN(100,50+20*I12)))</x:f>
        <x:v>57.309196986332694</x:v>
      </x:c>
      <x:c r="K12" s="54" t="str">
        <x:v>2026-10-08</x:v>
      </x:c>
      <x:c r="L12" s="54" t="n">
        <x:v>5</x:v>
      </x:c>
      <x:c r="M12" s="54" t="n">
        <x:v>3</x:v>
      </x:c>
      <x:c r="N12" s="54" t="str">
        <x:v>长期通胀锚，含风险与流动性成分</x:v>
      </x:c>
      <x:c r="O12" s="54" t="str">
        <x:v>FRED: T5YIFR</x:v>
      </x:c>
    </x:row>
    <x:row r="13" ht="25" customHeight="1">
      <x:c r="A13" s="59" t="str">
        <x:v>市场通胀预期子分</x:v>
      </x:c>
      <x:c r="B13" s="59" t="str">
        <x:v>市场通胀预期子分</x:v>
      </x:c>
      <x:c r="C13" s="59" t="str">
        <x:v>市场通胀预期子分</x:v>
      </x:c>
      <x:c r="D13" s="60" t="str">
        <x:v>市场通胀预期子分</x:v>
      </x:c>
      <x:c r="E13" s="61" t="str">
        <x:v>市场通胀预期子分</x:v>
      </x:c>
      <x:c r="F13" s="62" t="str">
        <x:v>市场通胀预期子分</x:v>
      </x:c>
      <x:c r="G13" s="61" t="str">
        <x:v>市场通胀预期子分</x:v>
      </x:c>
      <x:c r="H13" s="61" t="str">
        <x:v>市场通胀预期子分</x:v>
      </x:c>
      <x:c r="I13" s="63" t="str">
        <x:v>市场通胀预期子分</x:v>
      </x:c>
      <x:c r="J13" s="63" t="n">
        <x:f>SUMPRODUCT(D10:D12,J10:J12)/SUM(D10:D12)</x:f>
        <x:v>51.529683711389666</x:v>
      </x:c>
      <x:c r="K13" s="64" t="str">
        <x:f>IF(J13&gt;=65,"高压",IF(J13&gt;=55,"偏紧",IF(J13&gt;=45,"中性",IF(J13&gt;=35,"偏松","宽松"))))</x:f>
        <x:v>中性</x:v>
      </x:c>
      <x:c r="L13" s="64"/>
      <x:c r="M13" s="64"/>
      <x:c r="N13" s="64"/>
      <x:c r="O13" s="64"/>
    </x:row>
    <x:row r="14" ht="25" customHeight="1">
      <x:c r="A14" s="54"/>
      <x:c r="B14" s="54"/>
      <x:c r="C14" s="54"/>
      <x:c r="D14" s="55"/>
      <x:c r="E14" s="56"/>
      <x:c r="F14" s="57"/>
      <x:c r="G14" s="56"/>
      <x:c r="H14" s="56"/>
      <x:c r="I14" s="58"/>
      <x:c r="J14" s="58"/>
      <x:c r="K14" s="54"/>
      <x:c r="L14" s="54"/>
      <x:c r="M14" s="54"/>
      <x:c r="N14" s="54"/>
      <x:c r="O14" s="54"/>
    </x:row>
    <x:row r="15" ht="25" customHeight="1">
      <x:c r="A15" s="54" t="str">
        <x:v>劳动力粘性</x:v>
      </x:c>
      <x:c r="B15" s="54" t="str">
        <x:v>平均时薪同比</x:v>
      </x:c>
      <x:c r="C15" s="54" t="n">
        <x:v>1</x:v>
      </x:c>
      <x:c r="D15" s="55" t="n">
        <x:v>0.25</x:v>
      </x:c>
      <x:c r="E15" s="56" t="n">
        <x:v>3.0245231607629375</x:v>
      </x:c>
      <x:c r="F15" s="57" t="str">
        <x:v>%</x:v>
      </x:c>
      <x:c r="G15" s="56" t="n">
        <x:v>4.286117534594615</x:v>
      </x:c>
      <x:c r="H15" s="56" t="n">
        <x:v>0.8540343631541617</x:v>
      </x:c>
      <x:c r="I15" s="58" t="n">
        <x:f>IFERROR(C15*(E15-G15)/H15,"")</x:f>
        <x:v>-1.4772173442439656</x:v>
      </x:c>
      <x:c r="J15" s="58" t="n">
        <x:f>IF(I15="","",MAX(0,MIN(100,50+20*I15)))</x:f>
        <x:v>20.45565311512069</x:v>
      </x:c>
      <x:c r="K15" s="54" t="str">
        <x:v>2026-09-01</x:v>
      </x:c>
      <x:c r="L15" s="54" t="n">
        <x:v>5</x:v>
      </x:c>
      <x:c r="M15" s="54" t="n">
        <x:v>3</x:v>
      </x:c>
      <x:c r="N15" s="54" t="str">
        <x:v>平均时薪同比；CES会月度及年度修订</x:v>
      </x:c>
      <x:c r="O15" s="54" t="str">
        <x:v>BLS/FRED: CES0500000003</x:v>
      </x:c>
    </x:row>
    <x:row r="16" ht="25" customHeight="1">
      <x:c r="A16" s="54" t="str">
        <x:v>劳动力粘性</x:v>
      </x:c>
      <x:c r="B16" s="54" t="str">
        <x:v>Atlanta Fed工资增长追踪器</x:v>
      </x:c>
      <x:c r="C16" s="54" t="n">
        <x:v>1</x:v>
      </x:c>
      <x:c r="D16" s="55" t="n">
        <x:v>0.25</x:v>
      </x:c>
      <x:c r="E16" s="56" t="n">
        <x:v>3.9</x:v>
      </x:c>
      <x:c r="F16" s="57" t="str">
        <x:v>%</x:v>
      </x:c>
      <x:c r="G16" s="56" t="n">
        <x:v>4.776470588235295</x:v>
      </x:c>
      <x:c r="H16" s="56" t="n">
        <x:v>1.0237650218763872</x:v>
      </x:c>
      <x:c r="I16" s="58" t="n">
        <x:f>IFERROR(C16*(E16-G16)/H16,"")</x:f>
        <x:v>-0.8561247644785456</x:v>
      </x:c>
      <x:c r="J16" s="58" t="n">
        <x:f>IF(I16="","",MAX(0,MIN(100,50+20*I16)))</x:f>
        <x:v>32.87750471042909</x:v>
      </x:c>
      <x:c r="K16" s="54" t="str">
        <x:v>2026-09-01</x:v>
      </x:c>
      <x:c r="L16" s="54" t="n">
        <x:v>5</x:v>
      </x:c>
      <x:c r="M16" s="54" t="n">
        <x:v>4</x:v>
      </x:c>
      <x:c r="N16" s="54" t="str">
        <x:v>匹配同一劳动者的工资增速；官方三个月移动平均序列</x:v>
      </x:c>
      <x:c r="O16" s="54" t="str">
        <x:v>Atlanta Fed WGT</x:v>
      </x:c>
    </x:row>
    <x:row r="17" ht="25" customHeight="1">
      <x:c r="A17" s="54" t="str">
        <x:v>劳动力粘性</x:v>
      </x:c>
      <x:c r="B17" s="54" t="str">
        <x:v>失业率（反向）</x:v>
      </x:c>
      <x:c r="C17" s="54" t="n">
        <x:v>-1</x:v>
      </x:c>
      <x:c r="D17" s="55" t="n">
        <x:v>0.15</x:v>
      </x:c>
      <x:c r="E17" s="56" t="n">
        <x:v>4.2</x:v>
      </x:c>
      <x:c r="F17" s="57" t="str">
        <x:v>%</x:v>
      </x:c>
      <x:c r="G17" s="56" t="n">
        <x:v>4.128985507246377</x:v>
      </x:c>
      <x:c r="H17" s="56" t="n">
        <x:v>0.862469342895114</x:v>
      </x:c>
      <x:c r="I17" s="58" t="n">
        <x:f>IFERROR(C17*(E17-G17)/H17,"")</x:f>
        <x:v>-0.08233857045311783</x:v>
      </x:c>
      <x:c r="J17" s="58" t="n">
        <x:f>IF(I17="","",MAX(0,MIN(100,50+20*I17)))</x:f>
        <x:v>48.35322859093765</x:v>
      </x:c>
      <x:c r="K17" s="54" t="str">
        <x:v>2026-09-01</x:v>
      </x:c>
      <x:c r="L17" s="54" t="n">
        <x:v>5</x:v>
      </x:c>
      <x:c r="M17" s="54" t="n">
        <x:v>4</x:v>
      </x:c>
      <x:c r="N17" s="54" t="str">
        <x:v>家庭调查月频；单月变化需谨慎</x:v>
      </x:c>
      <x:c r="O17" s="54" t="str">
        <x:v>BLS/FRED: UNRATE</x:v>
      </x:c>
    </x:row>
    <x:row r="18" ht="25" customHeight="1">
      <x:c r="A18" s="54" t="str">
        <x:v>劳动力粘性</x:v>
      </x:c>
      <x:c r="B18" s="54" t="str">
        <x:v>JOLTS职位空缺数</x:v>
      </x:c>
      <x:c r="C18" s="54" t="n">
        <x:v>1</x:v>
      </x:c>
      <x:c r="D18" s="55" t="n">
        <x:v>0.2</x:v>
      </x:c>
      <x:c r="E18" s="56" t="n">
        <x:v>7079</x:v>
      </x:c>
      <x:c r="F18" s="57" t="str">
        <x:v>千人</x:v>
      </x:c>
      <x:c r="G18" s="56" t="n">
        <x:v>8822.54411764706</x:v>
      </x:c>
      <x:c r="H18" s="56" t="n">
        <x:v>1702.9875367316663</x:v>
      </x:c>
      <x:c r="I18" s="58" t="n">
        <x:f>IFERROR(C18*(E18-G18)/H18,"")</x:f>
        <x:v>-1.0238149604977311</x:v>
      </x:c>
      <x:c r="J18" s="58" t="n">
        <x:f>IF(I18="","",MAX(0,MIN(100,50+20*I18)))</x:f>
        <x:v>29.52370079004538</x:v>
      </x:c>
      <x:c r="K18" s="54" t="str">
        <x:v>2026-08-01</x:v>
      </x:c>
      <x:c r="L18" s="54" t="n">
        <x:v>5</x:v>
      </x:c>
      <x:c r="M18" s="54" t="n">
        <x:v>3</x:v>
      </x:c>
      <x:c r="N18" s="54" t="str">
        <x:v>约1个月滞后，月度与年度修订较大</x:v>
      </x:c>
      <x:c r="O18" s="54" t="str">
        <x:v>BLS/FRED: JTSJOL</x:v>
      </x:c>
    </x:row>
    <x:row r="19" ht="25" customHeight="1">
      <x:c r="A19" s="54" t="str">
        <x:v>劳动力粘性</x:v>
      </x:c>
      <x:c r="B19" s="54" t="str">
        <x:v>初请失业金4周均值（反向）</x:v>
      </x:c>
      <x:c r="C19" s="54" t="n">
        <x:v>-1</x:v>
      </x:c>
      <x:c r="D19" s="55" t="n">
        <x:v>0.15</x:v>
      </x:c>
      <x:c r="E19" s="56" t="n">
        <x:v>198000</x:v>
      </x:c>
      <x:c r="F19" s="57" t="str">
        <x:v>人</x:v>
      </x:c>
      <x:c r="G19" s="56" t="n">
        <x:v>264694.35215946846</x:v>
      </x:c>
      <x:c r="H19" s="56" t="n">
        <x:v>129535.93781133559</x:v>
      </x:c>
      <x:c r="I19" s="58" t="n">
        <x:f>IFERROR(C19*(E19-G19)/H19,"")</x:f>
        <x:v>0.5148714193632223</x:v>
      </x:c>
      <x:c r="J19" s="58" t="n">
        <x:f>IF(I19="","",MAX(0,MIN(100,50+20*I19)))</x:f>
        <x:v>60.297428387264446</x:v>
      </x:c>
      <x:c r="K19" s="54" t="str">
        <x:v>2026-10-03</x:v>
      </x:c>
      <x:c r="L19" s="54" t="n">
        <x:v>5</x:v>
      </x:c>
      <x:c r="M19" s="54" t="n">
        <x:v>4</x:v>
      </x:c>
      <x:c r="N19" s="54" t="str">
        <x:v>周频四周均值；受季调、假期与州级申报扰动</x:v>
      </x:c>
      <x:c r="O19" s="54" t="str">
        <x:v>DOL/FRED: ICSA</x:v>
      </x:c>
    </x:row>
    <x:row r="20" ht="25" customHeight="1">
      <x:c r="A20" s="59" t="str">
        <x:v>劳动力粘性子分</x:v>
      </x:c>
      <x:c r="B20" s="59" t="str">
        <x:v>劳动力粘性子分</x:v>
      </x:c>
      <x:c r="C20" s="59" t="str">
        <x:v>劳动力粘性子分</x:v>
      </x:c>
      <x:c r="D20" s="60" t="str">
        <x:v>劳动力粘性子分</x:v>
      </x:c>
      <x:c r="E20" s="61" t="str">
        <x:v>劳动力粘性子分</x:v>
      </x:c>
      <x:c r="F20" s="62" t="str">
        <x:v>劳动力粘性子分</x:v>
      </x:c>
      <x:c r="G20" s="61" t="str">
        <x:v>劳动力粘性子分</x:v>
      </x:c>
      <x:c r="H20" s="61" t="str">
        <x:v>劳动力粘性子分</x:v>
      </x:c>
      <x:c r="I20" s="63" t="str">
        <x:v>劳动力粘性子分</x:v>
      </x:c>
      <x:c r="J20" s="63" t="n">
        <x:f>SUMPRODUCT(D15:D19,J15:J19)/SUM(D15:D19)</x:f>
        <x:v>35.53562816112684</x:v>
      </x:c>
      <x:c r="K20" s="64" t="str">
        <x:f>IF(J20&gt;=65,"高压",IF(J20&gt;=55,"偏紧",IF(J20&gt;=45,"中性",IF(J20&gt;=35,"偏松","宽松"))))</x:f>
        <x:v>偏松</x:v>
      </x:c>
      <x:c r="L20" s="64"/>
      <x:c r="M20" s="64"/>
      <x:c r="N20" s="64"/>
      <x:c r="O20" s="64"/>
    </x:row>
    <x:row r="21" ht="25" customHeight="1">
      <x:c r="A21" s="54"/>
      <x:c r="B21" s="54"/>
      <x:c r="C21" s="54"/>
      <x:c r="D21" s="55"/>
      <x:c r="E21" s="56"/>
      <x:c r="F21" s="57"/>
      <x:c r="G21" s="56"/>
      <x:c r="H21" s="56"/>
      <x:c r="I21" s="58"/>
      <x:c r="J21" s="58"/>
      <x:c r="K21" s="54"/>
      <x:c r="L21" s="54"/>
      <x:c r="M21" s="54"/>
      <x:c r="N21" s="54"/>
      <x:c r="O21" s="54"/>
    </x:row>
    <x:row r="22" ht="25" customHeight="1">
      <x:c r="A22" s="54" t="str">
        <x:v>原材料传导</x:v>
      </x:c>
      <x:c r="B22" s="54" t="str">
        <x:v>PPI大宗商品3个月变动</x:v>
      </x:c>
      <x:c r="C22" s="54" t="n">
        <x:v>1</x:v>
      </x:c>
      <x:c r="D22" s="55" t="n">
        <x:v>0.35</x:v>
      </x:c>
      <x:c r="E22" s="56" t="n">
        <x:v>-0.7829083390764935</x:v>
      </x:c>
      <x:c r="F22" s="57" t="str">
        <x:v>%</x:v>
      </x:c>
      <x:c r="G22" s="56" t="n">
        <x:v>1.6825988471851845</x:v>
      </x:c>
      <x:c r="H22" s="56" t="n">
        <x:v>3.253011654406362</x:v>
      </x:c>
      <x:c r="I22" s="58" t="n">
        <x:f>IFERROR(C22*(E22-G22)/H22,"")</x:f>
        <x:v>-0.757915263820844</x:v>
      </x:c>
      <x:c r="J22" s="58" t="n">
        <x:f>IF(I22="","",MAX(0,MIN(100,50+20*I22)))</x:f>
        <x:v>34.84169472358312</x:v>
      </x:c>
      <x:c r="K22" s="54" t="str">
        <x:v>2026-08-01</x:v>
      </x:c>
      <x:c r="L22" s="54" t="n">
        <x:v>5</x:v>
      </x:c>
      <x:c r="M22" s="54" t="n">
        <x:v>4</x:v>
      </x:c>
      <x:c r="N22" s="54" t="str">
        <x:v>广谱上游价格三个月变化，不等于最终消费价格</x:v>
      </x:c>
      <x:c r="O22" s="54" t="str">
        <x:v>BLS/FRED: PPIACO</x:v>
      </x:c>
    </x:row>
    <x:row r="23" ht="25" customHeight="1">
      <x:c r="A23" s="54" t="str">
        <x:v>原材料传导</x:v>
      </x:c>
      <x:c r="B23" s="54" t="str">
        <x:v>WTI现货60日变动</x:v>
      </x:c>
      <x:c r="C23" s="54" t="n">
        <x:v>1</x:v>
      </x:c>
      <x:c r="D23" s="55" t="n">
        <x:v>0.65</x:v>
      </x:c>
      <x:c r="E23" s="56" t="n">
        <x:v>19.641969169567375</x:v>
      </x:c>
      <x:c r="F23" s="57" t="str">
        <x:v>%</x:v>
      </x:c>
      <x:c r="G23" s="56" t="n">
        <x:v>0.03865234184929262</x:v>
      </x:c>
      <x:c r="H23" s="56" t="n">
        <x:v>28.69987590646968</x:v>
      </x:c>
      <x:c r="I23" s="58" t="n">
        <x:f>IFERROR(C23*(E23-G23)/H23,"")</x:f>
        <x:v>0.6830453515410148</x:v>
      </x:c>
      <x:c r="J23" s="58" t="n">
        <x:f>IF(I23="","",MAX(0,MIN(100,50+20*I23)))</x:f>
        <x:v>63.6609070308203</x:v>
      </x:c>
      <x:c r="K23" s="54" t="str">
        <x:v>2026-10-06</x:v>
      </x:c>
      <x:c r="L23" s="54" t="n">
        <x:v>5</x:v>
      </x:c>
      <x:c r="M23" s="54" t="n">
        <x:v>5</x:v>
      </x:c>
      <x:c r="N23" s="54" t="str">
        <x:v>高频能源价格变化，不能代表核心服务通胀</x:v>
      </x:c>
      <x:c r="O23" s="54" t="str">
        <x:v>EIA/FRED: DCOILWTICO</x:v>
      </x:c>
    </x:row>
    <x:row r="24" ht="25" customHeight="1">
      <x:c r="A24" s="59" t="str">
        <x:v>原材料传导子分</x:v>
      </x:c>
      <x:c r="B24" s="59" t="str">
        <x:v>原材料传导子分</x:v>
      </x:c>
      <x:c r="C24" s="59" t="str">
        <x:v>原材料传导子分</x:v>
      </x:c>
      <x:c r="D24" s="60" t="str">
        <x:v>原材料传导子分</x:v>
      </x:c>
      <x:c r="E24" s="61" t="str">
        <x:v>原材料传导子分</x:v>
      </x:c>
      <x:c r="F24" s="62" t="str">
        <x:v>原材料传导子分</x:v>
      </x:c>
      <x:c r="G24" s="61" t="str">
        <x:v>原材料传导子分</x:v>
      </x:c>
      <x:c r="H24" s="61" t="str">
        <x:v>原材料传导子分</x:v>
      </x:c>
      <x:c r="I24" s="63" t="str">
        <x:v>原材料传导子分</x:v>
      </x:c>
      <x:c r="J24" s="63" t="n">
        <x:f>SUMPRODUCT(D22:D23,J22:J23)/SUM(D22:D23)</x:f>
        <x:v>53.57418272328729</x:v>
      </x:c>
      <x:c r="K24" s="64" t="str">
        <x:f>IF(J24&gt;=65,"高压",IF(J24&gt;=55,"偏紧",IF(J24&gt;=45,"中性",IF(J24&gt;=35,"偏松","宽松"))))</x:f>
        <x:v>中性</x:v>
      </x:c>
      <x:c r="L24" s="64"/>
      <x:c r="M24" s="64"/>
      <x:c r="N24" s="64"/>
      <x:c r="O24" s="64"/>
    </x:row>
    <x:row r="25" ht="25" customHeight="1">
      <x:c r="A25" s="54"/>
      <x:c r="B25" s="54"/>
      <x:c r="C25" s="54"/>
      <x:c r="D25" s="55"/>
      <x:c r="E25" s="56"/>
      <x:c r="F25" s="57"/>
      <x:c r="G25" s="56"/>
      <x:c r="H25" s="56"/>
      <x:c r="I25" s="58"/>
      <x:c r="J25" s="58"/>
      <x:c r="K25" s="54"/>
      <x:c r="L25" s="54"/>
      <x:c r="M25" s="54"/>
      <x:c r="N25" s="54"/>
      <x:c r="O25" s="54"/>
    </x:row>
    <x:row r="26" ht="25" customHeight="1">
      <x:c r="A26" s="59" t="str">
        <x:v>通胀预期与粘性综合</x:v>
      </x:c>
      <x:c r="B26" s="59" t="str">
        <x:v>通胀预期与粘性综合</x:v>
      </x:c>
      <x:c r="C26" s="59" t="str">
        <x:v>通胀预期与粘性综合</x:v>
      </x:c>
      <x:c r="D26" s="60" t="str">
        <x:v>通胀预期与粘性综合</x:v>
      </x:c>
      <x:c r="E26" s="61" t="str">
        <x:v>通胀预期与粘性综合</x:v>
      </x:c>
      <x:c r="F26" s="62" t="str">
        <x:v>通胀预期与粘性综合</x:v>
      </x:c>
      <x:c r="G26" s="61" t="str">
        <x:v>通胀预期与粘性综合</x:v>
      </x:c>
      <x:c r="H26" s="61" t="str">
        <x:v>通胀预期与粘性综合</x:v>
      </x:c>
      <x:c r="I26" s="63" t="str">
        <x:v>通胀预期与粘性综合</x:v>
      </x:c>
      <x:c r="J26" s="63" t="n">
        <x:f>45%*J13+35%*J20+20%*J24</x:f>
        <x:v>46.3406640711772</x:v>
      </x:c>
      <x:c r="K26" s="64" t="str">
        <x:f>IF(J26&gt;=65,"高压",IF(J26&gt;=55,"偏紧",IF(J26&gt;=45,"中性",IF(J26&gt;=35,"偏松","宽松"))))</x:f>
        <x:v>中性</x:v>
      </x:c>
      <x:c r="L26" s="64"/>
      <x:c r="M26" s="64"/>
      <x:c r="N26" s="64"/>
      <x:c r="O26" s="64"/>
    </x:row>
    <x:row r="27" ht="25" customHeight="1">
      <x:c r="A27" s="54"/>
      <x:c r="B27" s="54"/>
      <x:c r="C27" s="54"/>
      <x:c r="D27" s="55"/>
      <x:c r="E27" s="56"/>
      <x:c r="F27" s="57"/>
      <x:c r="G27" s="56"/>
      <x:c r="H27" s="56"/>
      <x:c r="I27" s="58"/>
      <x:c r="J27" s="58"/>
      <x:c r="K27" s="54"/>
      <x:c r="L27" s="54"/>
      <x:c r="M27" s="54"/>
      <x:c r="N27" s="54"/>
      <x:c r="O27" s="54"/>
    </x:row>
    <x:row r="28" ht="25" customHeight="1">
      <x:c r="A28" s="54" t="str">
        <x:v>期限溢价</x:v>
      </x:c>
      <x:c r="B28" s="54" t="str">
        <x:v>ACM 10Y期限溢价水平</x:v>
      </x:c>
      <x:c r="C28" s="54" t="n">
        <x:v>1</x:v>
      </x:c>
      <x:c r="D28" s="55" t="n">
        <x:v>0.7</x:v>
      </x:c>
      <x:c r="E28" s="56" t="n">
        <x:v>0.984785831461947</x:v>
      </x:c>
      <x:c r="F28" s="57" t="str">
        <x:v>%</x:v>
      </x:c>
      <x:c r="G28" s="56" t="n">
        <x:v>-0.05308498660245277</x:v>
      </x:c>
      <x:c r="H28" s="56" t="n">
        <x:v>0.5465658488117167</x:v>
      </x:c>
      <x:c r="I28" s="58" t="n">
        <x:f>IFERROR(C28*(E28-G28)/H28,"")</x:f>
        <x:v>1.898894379004514</x:v>
      </x:c>
      <x:c r="J28" s="58" t="n">
        <x:f>IF(I28="","",MAX(0,MIN(100,50+20*I28)))</x:f>
        <x:v>87.97788758009028</x:v>
      </x:c>
      <x:c r="K28" s="54" t="str">
        <x:v>2026-10-07</x:v>
      </x:c>
      <x:c r="L28" s="54" t="n">
        <x:v>5</x:v>
      </x:c>
      <x:c r="M28" s="54" t="n">
        <x:v>3</x:v>
      </x:c>
      <x:c r="N28" s="54" t="str">
        <x:v>模型估计值；存在模型风险</x:v>
      </x:c>
      <x:c r="O28" s="54" t="str">
        <x:v>NY Fed ACMTP10</x:v>
      </x:c>
    </x:row>
    <x:row r="29" ht="25" customHeight="1">
      <x:c r="A29" s="54" t="str">
        <x:v>期限溢价</x:v>
      </x:c>
      <x:c r="B29" s="54" t="str">
        <x:v>ACM 10Y期限溢价20日变动</x:v>
      </x:c>
      <x:c r="C29" s="54" t="n">
        <x:v>1</x:v>
      </x:c>
      <x:c r="D29" s="55" t="n">
        <x:v>0.3</x:v>
      </x:c>
      <x:c r="E29" s="56" t="n">
        <x:v>0.28140627728938594</x:v>
      </x:c>
      <x:c r="F29" s="57" t="str">
        <x:v>百分点</x:v>
      </x:c>
      <x:c r="G29" s="56" t="n">
        <x:v>0.02207740418154717</x:v>
      </x:c>
      <x:c r="H29" s="56" t="n">
        <x:v>0.22642596797343048</x:v>
      </x:c>
      <x:c r="I29" s="58" t="n">
        <x:f>IFERROR(C29*(E29-G29)/H29,"")</x:f>
        <x:v>1.1453141855984876</x:v>
      </x:c>
      <x:c r="J29" s="58" t="n">
        <x:f>IF(I29="","",MAX(0,MIN(100,50+20*I29)))</x:f>
        <x:v>72.90628371196975</x:v>
      </x:c>
      <x:c r="K29" s="54" t="str">
        <x:v>2026-10-07</x:v>
      </x:c>
      <x:c r="L29" s="54" t="n">
        <x:v>5</x:v>
      </x:c>
      <x:c r="M29" s="54" t="n">
        <x:v>3</x:v>
      </x:c>
      <x:c r="N29" s="54" t="str">
        <x:v>判断长端上行是否来自期限溢价边际扩张</x:v>
      </x:c>
      <x:c r="O29" s="54" t="str">
        <x:v>NY Fed ACMTP10</x:v>
      </x:c>
    </x:row>
    <x:row r="30" ht="25" customHeight="1">
      <x:c r="A30" s="59" t="str">
        <x:v>期限溢价得分</x:v>
      </x:c>
      <x:c r="B30" s="59" t="str">
        <x:v>期限溢价得分</x:v>
      </x:c>
      <x:c r="C30" s="59" t="str">
        <x:v>期限溢价得分</x:v>
      </x:c>
      <x:c r="D30" s="60" t="str">
        <x:v>期限溢价得分</x:v>
      </x:c>
      <x:c r="E30" s="61" t="str">
        <x:v>期限溢价得分</x:v>
      </x:c>
      <x:c r="F30" s="62" t="str">
        <x:v>期限溢价得分</x:v>
      </x:c>
      <x:c r="G30" s="61" t="str">
        <x:v>期限溢价得分</x:v>
      </x:c>
      <x:c r="H30" s="61" t="str">
        <x:v>期限溢价得分</x:v>
      </x:c>
      <x:c r="I30" s="63" t="str">
        <x:v>期限溢价得分</x:v>
      </x:c>
      <x:c r="J30" s="63" t="n">
        <x:f>SUMPRODUCT(D28:D29,J28:J29)/SUM(D28:D29)</x:f>
        <x:v>83.45640641965412</x:v>
      </x:c>
      <x:c r="K30" s="64" t="str">
        <x:f>IF(J30&gt;=65,"高压",IF(J30&gt;=55,"偏紧",IF(J30&gt;=45,"中性",IF(J30&gt;=35,"偏松","宽松"))))</x:f>
        <x:v>高压</x:v>
      </x:c>
      <x:c r="L30" s="64"/>
      <x:c r="M30" s="64"/>
      <x:c r="N30" s="64"/>
      <x:c r="O30" s="64"/>
    </x:row>
    <x:row r="31" ht="25" customHeight="1">
      <x:c r="A31" s="54"/>
      <x:c r="B31" s="54"/>
      <x:c r="C31" s="54"/>
      <x:c r="D31" s="55"/>
      <x:c r="E31" s="56"/>
      <x:c r="F31" s="57"/>
      <x:c r="G31" s="56"/>
      <x:c r="H31" s="56"/>
      <x:c r="I31" s="58"/>
      <x:c r="J31" s="58"/>
      <x:c r="K31" s="54"/>
      <x:c r="L31" s="54"/>
      <x:c r="M31" s="54"/>
      <x:c r="N31" s="54"/>
      <x:c r="O31" s="54"/>
    </x:row>
    <x:row r="32" ht="25" customHeight="1">
      <x:c r="A32" s="54" t="str">
        <x:v>市场传导</x:v>
      </x:c>
      <x:c r="B32" s="54" t="str">
        <x:v>10Y实际利率20日变动</x:v>
      </x:c>
      <x:c r="C32" s="54" t="n">
        <x:v>1</x:v>
      </x:c>
      <x:c r="D32" s="55" t="n">
        <x:v>0.25</x:v>
      </x:c>
      <x:c r="E32" s="56" t="n">
        <x:v>0.45999999999999996</x:v>
      </x:c>
      <x:c r="F32" s="57" t="str">
        <x:v>百分点</x:v>
      </x:c>
      <x:c r="G32" s="56" t="n">
        <x:v>0.04935505319148935</x:v>
      </x:c>
      <x:c r="H32" s="56" t="n">
        <x:v>0.5089432219753734</x:v>
      </x:c>
      <x:c r="I32" s="58" t="n">
        <x:f>IFERROR(C32*(E32-G32)/H32,"")</x:f>
        <x:v>0.8068580719371103</x:v>
      </x:c>
      <x:c r="J32" s="58" t="n">
        <x:f>IF(I32="","",MAX(0,MIN(100,50+20*I32)))</x:f>
        <x:v>66.13716143874221</x:v>
      </x:c>
      <x:c r="K32" s="54" t="str">
        <x:v>2026-10-07</x:v>
      </x:c>
      <x:c r="L32" s="54" t="n">
        <x:v>5</x:v>
      </x:c>
      <x:c r="M32" s="54" t="n">
        <x:v>4</x:v>
      </x:c>
      <x:c r="N32" s="54" t="str">
        <x:v>长久期估值的直接折现率通道</x:v>
      </x:c>
      <x:c r="O32" s="54" t="str">
        <x:v>FRED: DFII10</x:v>
      </x:c>
    </x:row>
    <x:row r="33" ht="25" customHeight="1">
      <x:c r="A33" s="54" t="str">
        <x:v>市场传导</x:v>
      </x:c>
      <x:c r="B33" s="54" t="str">
        <x:v>美高收益债OAS 20日变动</x:v>
      </x:c>
      <x:c r="C33" s="54" t="n">
        <x:v>1</x:v>
      </x:c>
      <x:c r="D33" s="55" t="n">
        <x:v>0.2</x:v>
      </x:c>
      <x:c r="E33" s="56" t="n">
        <x:v>0.3799999999999999</x:v>
      </x:c>
      <x:c r="F33" s="57" t="str">
        <x:v>百分点</x:v>
      </x:c>
      <x:c r="G33" s="56" t="n">
        <x:v>-0.0381524547803618</x:v>
      </x:c>
      <x:c r="H33" s="56" t="n">
        <x:v>0.5340727574341289</x:v>
      </x:c>
      <x:c r="I33" s="58" t="n">
        <x:f>IFERROR(C33*(E33-G33)/H33,"")</x:f>
        <x:v>0.7829503545346731</x:v>
      </x:c>
      <x:c r="J33" s="58" t="n">
        <x:f>IF(I33="","",MAX(0,MIN(100,50+20*I33)))</x:f>
        <x:v>65.65900709069346</x:v>
      </x:c>
      <x:c r="K33" s="54" t="str">
        <x:v>2026-10-07</x:v>
      </x:c>
      <x:c r="L33" s="54" t="n">
        <x:v>5</x:v>
      </x:c>
      <x:c r="M33" s="54" t="n">
        <x:v>5</x:v>
      </x:c>
      <x:c r="N33" s="54" t="str">
        <x:v>信用风险与融资条件核心确认指标</x:v>
      </x:c>
      <x:c r="O33" s="54" t="str">
        <x:v>FRED: BAMLH0A0HYM2</x:v>
      </x:c>
    </x:row>
    <x:row r="34" ht="25" customHeight="1">
      <x:c r="A34" s="54" t="str">
        <x:v>市场传导</x:v>
      </x:c>
      <x:c r="B34" s="54" t="str">
        <x:v>美投资级债OAS 20日变动</x:v>
      </x:c>
      <x:c r="C34" s="54" t="n">
        <x:v>1</x:v>
      </x:c>
      <x:c r="D34" s="55" t="n">
        <x:v>0.1</x:v>
      </x:c>
      <x:c r="E34" s="56" t="n">
        <x:v>0.009999999999999898</x:v>
      </x:c>
      <x:c r="F34" s="57" t="str">
        <x:v>百分点</x:v>
      </x:c>
      <x:c r="G34" s="56" t="n">
        <x:v>-0.012661498708010355</x:v>
      </x:c>
      <x:c r="H34" s="56" t="n">
        <x:v>0.1542201401680597</x:v>
      </x:c>
      <x:c r="I34" s="58" t="n">
        <x:f>IFERROR(C34*(E34-G34)/H34,"")</x:f>
        <x:v>0.1469425373580593</x:v>
      </x:c>
      <x:c r="J34" s="58" t="n">
        <x:f>IF(I34="","",MAX(0,MIN(100,50+20*I34)))</x:f>
        <x:v>52.93885074716118</x:v>
      </x:c>
      <x:c r="K34" s="54" t="str">
        <x:v>2026-10-07</x:v>
      </x:c>
      <x:c r="L34" s="54" t="n">
        <x:v>5</x:v>
      </x:c>
      <x:c r="M34" s="54" t="n">
        <x:v>5</x:v>
      </x:c>
      <x:c r="N34" s="54" t="str">
        <x:v>投资级信用条件确认指标</x:v>
      </x:c>
      <x:c r="O34" s="54" t="str">
        <x:v>FRED: BAMLC0A0CM</x:v>
      </x:c>
    </x:row>
    <x:row r="35" ht="25" customHeight="1">
      <x:c r="A35" s="54" t="str">
        <x:v>市场传导</x:v>
      </x:c>
      <x:c r="B35" s="54" t="str">
        <x:v>VIX水平</x:v>
      </x:c>
      <x:c r="C35" s="54" t="n">
        <x:v>1</x:v>
      </x:c>
      <x:c r="D35" s="55" t="n">
        <x:v>0.15</x:v>
      </x:c>
      <x:c r="E35" s="56" t="n">
        <x:v>15.08</x:v>
      </x:c>
      <x:c r="F35" s="57" t="str">
        <x:v>指数</x:v>
      </x:c>
      <x:c r="G35" s="56" t="n">
        <x:v>18.85216090425531</x:v>
      </x:c>
      <x:c r="H35" s="56" t="n">
        <x:v>5.592373708660112</x:v>
      </x:c>
      <x:c r="I35" s="58" t="n">
        <x:f>IFERROR(C35*(E35-G35)/H35,"")</x:f>
        <x:v>-0.6745187465590688</x:v>
      </x:c>
      <x:c r="J35" s="58" t="n">
        <x:f>IF(I35="","",MAX(0,MIN(100,50+20*I35)))</x:f>
        <x:v>36.50962506881862</x:v>
      </x:c>
      <x:c r="K35" s="54" t="str">
        <x:v>2026-10-07</x:v>
      </x:c>
      <x:c r="L35" s="54" t="n">
        <x:v>5</x:v>
      </x:c>
      <x:c r="M35" s="54" t="n">
        <x:v>5</x:v>
      </x:c>
      <x:c r="N35" s="54" t="str">
        <x:v>股票隐含波动；事件冲击快、均值回归也快</x:v>
      </x:c>
      <x:c r="O35" s="54" t="str">
        <x:v>CBOE/FRED: VIXCLS</x:v>
      </x:c>
    </x:row>
    <x:row r="36" ht="25" customHeight="1">
      <x:c r="A36" s="54" t="str">
        <x:v>市场传导</x:v>
      </x:c>
      <x:c r="B36" s="54" t="str">
        <x:v>美元广义指数20日变动</x:v>
      </x:c>
      <x:c r="C36" s="54" t="n">
        <x:v>1</x:v>
      </x:c>
      <x:c r="D36" s="55" t="n">
        <x:v>0.15</x:v>
      </x:c>
      <x:c r="E36" s="56" t="n">
        <x:v>2.8047008127161766</x:v>
      </x:c>
      <x:c r="F36" s="57" t="str">
        <x:v>%</x:v>
      </x:c>
      <x:c r="G36" s="56" t="n">
        <x:v>-3.8615249593235617</x:v>
      </x:c>
      <x:c r="H36" s="56" t="n">
        <x:v>19.585629739935477</x:v>
      </x:c>
      <x:c r="I36" s="58" t="n">
        <x:f>IFERROR(C36*(E36-G36)/H36,"")</x:f>
        <x:v>0.3403631060403013</x:v>
      </x:c>
      <x:c r="J36" s="58" t="n">
        <x:f>IF(I36="","",MAX(0,MIN(100,50+20*I36)))</x:f>
        <x:v>56.80726212080603</x:v>
      </x:c>
      <x:c r="K36" s="54" t="str">
        <x:v>2026-10-02</x:v>
      </x:c>
      <x:c r="L36" s="54" t="n">
        <x:v>5</x:v>
      </x:c>
      <x:c r="M36" s="54" t="n">
        <x:v>4</x:v>
      </x:c>
      <x:c r="N36" s="54" t="str">
        <x:v>全球美元流动性与风险偏好代理</x:v>
      </x:c>
      <x:c r="O36" s="54" t="str">
        <x:v>Fed/FRED: DTWEXBGS</x:v>
      </x:c>
    </x:row>
    <x:row r="37" ht="25" customHeight="1">
      <x:c r="A37" s="54" t="str">
        <x:v>市场传导</x:v>
      </x:c>
      <x:c r="B37" s="54" t="str">
        <x:v>芝加哥联储NFCI水平</x:v>
      </x:c>
      <x:c r="C37" s="54" t="n">
        <x:v>1</x:v>
      </x:c>
      <x:c r="D37" s="55" t="n">
        <x:v>0.15</x:v>
      </x:c>
      <x:c r="E37" s="56" t="n">
        <x:v>-0.494</x:v>
      </x:c>
      <x:c r="F37" s="57" t="str">
        <x:v>指数</x:v>
      </x:c>
      <x:c r="G37" s="56" t="n">
        <x:v>-0.43021926910299024</x:v>
      </x:c>
      <x:c r="H37" s="56" t="n">
        <x:v>0.15079438018086308</x:v>
      </x:c>
      <x:c r="I37" s="58" t="n">
        <x:f>IFERROR(C37*(E37-G37)/H37,"")</x:f>
        <x:v>-0.422964906387831</x:v>
      </x:c>
      <x:c r="J37" s="58" t="n">
        <x:f>IF(I37="","",MAX(0,MIN(100,50+20*I37)))</x:f>
        <x:v>41.54070187224338</x:v>
      </x:c>
      <x:c r="K37" s="54" t="str">
        <x:v>2026-10-02</x:v>
      </x:c>
      <x:c r="L37" s="54" t="n">
        <x:v>5</x:v>
      </x:c>
      <x:c r="M37" s="54" t="n">
        <x:v>4</x:v>
      </x:c>
      <x:c r="N37" s="54" t="str">
        <x:v>周频综合金融条件；负值代表相对宽松</x:v>
      </x:c>
      <x:c r="O37" s="54" t="str">
        <x:v>Chicago Fed/FRED: NFCI</x:v>
      </x:c>
    </x:row>
    <x:row r="38" ht="25" customHeight="1">
      <x:c r="A38" s="59" t="str">
        <x:v>市场传导得分</x:v>
      </x:c>
      <x:c r="B38" s="59" t="str">
        <x:v>市场传导得分</x:v>
      </x:c>
      <x:c r="C38" s="59" t="str">
        <x:v>市场传导得分</x:v>
      </x:c>
      <x:c r="D38" s="59" t="str">
        <x:v>市场传导得分</x:v>
      </x:c>
      <x:c r="E38" s="59" t="str">
        <x:v>市场传导得分</x:v>
      </x:c>
      <x:c r="F38" s="59" t="str">
        <x:v>市场传导得分</x:v>
      </x:c>
      <x:c r="G38" s="59" t="str">
        <x:v>市场传导得分</x:v>
      </x:c>
      <x:c r="H38" s="59" t="str">
        <x:v>市场传导得分</x:v>
      </x:c>
      <x:c r="I38" s="59" t="str">
        <x:v>市场传导得分</x:v>
      </x:c>
      <x:c r="J38" s="63" t="n">
        <x:f>SUMPRODUCT(D32:D37,J32:J37)/SUM(D32:D37)</x:f>
        <x:v>55.18861521182057</x:v>
      </x:c>
      <x:c r="K38" s="64" t="str">
        <x:f>IF(J38&gt;=65,"高压",IF(J38&gt;=55,"偏紧",IF(J38&gt;=45,"中性",IF(J38&gt;=35,"偏松","宽松"))))</x:f>
        <x:v>偏紧</x:v>
      </x:c>
      <x:c r="L38" s="64"/>
      <x:c r="M38" s="64"/>
      <x:c r="N38" s="64"/>
      <x:c r="O38" s="64"/>
    </x:row>
    <x:row r="39" ht="25" customHeight="1">
      <x:c r="A39" s="65"/>
      <x:c r="B39" s="65"/>
      <x:c r="C39" s="65"/>
      <x:c r="D39" s="65"/>
      <x:c r="E39" s="65"/>
      <x:c r="F39" s="65"/>
      <x:c r="G39" s="65"/>
      <x:c r="H39" s="65"/>
      <x:c r="I39" s="65"/>
      <x:c r="J39" s="65"/>
      <x:c r="K39" s="65"/>
      <x:c r="L39" s="65"/>
      <x:c r="M39" s="65"/>
      <x:c r="N39" s="65"/>
      <x:c r="O39" s="65"/>
    </x:row>
    <x:row r="40" ht="25" customHeight="1">
      <x:c r="A40" s="66" t="str">
        <x:v>综合输出与传导门控</x:v>
      </x:c>
      <x:c r="B40" s="66" t="str">
        <x:v>综合输出与传导门控</x:v>
      </x:c>
      <x:c r="C40" s="66" t="str">
        <x:v>综合输出与传导门控</x:v>
      </x:c>
      <x:c r="D40" s="66" t="str">
        <x:v>综合输出与传导门控</x:v>
      </x:c>
      <x:c r="E40" s="66" t="str">
        <x:v>综合输出与传导门控</x:v>
      </x:c>
      <x:c r="F40" s="66" t="str">
        <x:v>综合输出与传导门控</x:v>
      </x:c>
      <x:c r="G40" s="66" t="str">
        <x:v>综合输出与传导门控</x:v>
      </x:c>
      <x:c r="H40" s="66" t="str">
        <x:v>综合输出与传导门控</x:v>
      </x:c>
      <x:c r="I40" s="66" t="str">
        <x:v>综合输出与传导门控</x:v>
      </x:c>
      <x:c r="J40" s="66" t="str">
        <x:v>综合输出与传导门控</x:v>
      </x:c>
      <x:c r="K40" s="66" t="str">
        <x:v>综合输出与传导门控</x:v>
      </x:c>
      <x:c r="L40" s="66" t="str">
        <x:v>综合输出与传导门控</x:v>
      </x:c>
      <x:c r="M40" s="66" t="str">
        <x:v>综合输出与传导门控</x:v>
      </x:c>
      <x:c r="N40" s="66" t="str">
        <x:v>综合输出与传导门控</x:v>
      </x:c>
      <x:c r="O40" s="66" t="str">
        <x:v>综合输出与传导门控</x:v>
      </x:c>
    </x:row>
    <x:row r="41" ht="25" customHeight="1">
      <x:c r="A41" s="38" t="str">
        <x:v>输出</x:v>
      </x:c>
      <x:c r="B41" s="38" t="str">
        <x:v>值</x:v>
      </x:c>
      <x:c r="C41" s="38" t="str">
        <x:v>定义</x:v>
      </x:c>
      <x:c r="D41" s="38" t="str">
        <x:v>解释</x:v>
      </x:c>
      <x:c r="E41" s="38" t="str">
        <x:v>辅助</x:v>
      </x:c>
      <x:c r="F41" s="38" t="str"/>
      <x:c r="G41" s="65"/>
      <x:c r="H41" s="65"/>
      <x:c r="I41" s="65"/>
      <x:c r="J41" s="65"/>
      <x:c r="K41" s="65"/>
      <x:c r="L41" s="65"/>
      <x:c r="M41" s="65"/>
      <x:c r="N41" s="65"/>
      <x:c r="O41" s="65"/>
    </x:row>
    <x:row r="42" ht="25" customHeight="1">
      <x:c r="A42" s="54" t="str">
        <x:v>政策路径得分</x:v>
      </x:c>
      <x:c r="B42" s="58" t="n">
        <x:f>J8</x:f>
        <x:v>59.80311682482056</x:v>
      </x:c>
      <x:c r="C42" s="54" t="str">
        <x:v>0-100，越高越收紧</x:v>
      </x:c>
      <x:c r="D42" s="54" t="str">
        <x:v>市场对未来政策路径的定价</x:v>
      </x:c>
      <x:c r="E42" s="54"/>
      <x:c r="F42" s="54" t="str"/>
      <x:c r="G42" s="65"/>
      <x:c r="H42" s="65"/>
      <x:c r="I42" s="65"/>
      <x:c r="J42" s="65"/>
      <x:c r="K42" s="65"/>
      <x:c r="L42" s="65"/>
      <x:c r="M42" s="65"/>
      <x:c r="N42" s="65"/>
      <x:c r="O42" s="65"/>
    </x:row>
    <x:row r="43" ht="25" customHeight="1">
      <x:c r="A43" s="54" t="str">
        <x:v>通胀预期得分</x:v>
      </x:c>
      <x:c r="B43" s="58" t="n">
        <x:f>J26</x:f>
        <x:v>46.3406640711772</x:v>
      </x:c>
      <x:c r="C43" s="54" t="str">
        <x:v>市场预期45%+工资劳动力35%+原材料20%</x:v>
      </x:c>
      <x:c r="D43" s="54" t="str">
        <x:v>避免只看油价或只看BEI</x:v>
      </x:c>
      <x:c r="E43" s="54"/>
      <x:c r="F43" s="54" t="str"/>
      <x:c r="G43" s="65"/>
      <x:c r="H43" s="65"/>
      <x:c r="I43" s="65"/>
      <x:c r="J43" s="65"/>
      <x:c r="K43" s="65"/>
      <x:c r="L43" s="65"/>
      <x:c r="M43" s="65"/>
      <x:c r="N43" s="65"/>
      <x:c r="O43" s="65"/>
    </x:row>
    <x:row r="44" ht="25" customHeight="1">
      <x:c r="A44" s="54" t="str">
        <x:v>期限溢价得分</x:v>
      </x:c>
      <x:c r="B44" s="58" t="n">
        <x:f>J30</x:f>
        <x:v>83.45640641965412</x:v>
      </x:c>
      <x:c r="C44" s="54" t="str">
        <x:v>ACM水平70%+20日变化30%</x:v>
      </x:c>
      <x:c r="D44" s="54" t="str">
        <x:v>识别财政供给/久期风险</x:v>
      </x:c>
      <x:c r="E44" s="54"/>
      <x:c r="F44" s="54" t="str"/>
      <x:c r="G44" s="65"/>
      <x:c r="H44" s="65"/>
      <x:c r="I44" s="65"/>
      <x:c r="J44" s="65"/>
      <x:c r="K44" s="65"/>
      <x:c r="L44" s="65"/>
      <x:c r="M44" s="65"/>
      <x:c r="N44" s="65"/>
      <x:c r="O44" s="65"/>
    </x:row>
    <x:row r="45" ht="25" customHeight="1">
      <x:c r="A45" s="54" t="str">
        <x:v>市场传导得分</x:v>
      </x:c>
      <x:c r="B45" s="58" t="n">
        <x:f>J38</x:f>
        <x:v>55.18861521182057</x:v>
      </x:c>
      <x:c r="C45" s="54" t="str">
        <x:v>实际利率+信用+波动率+美元+NFCI</x:v>
      </x:c>
      <x:c r="D45" s="54" t="str">
        <x:v>确认政策是否真正压到风险资产</x:v>
      </x:c>
      <x:c r="E45" s="54"/>
      <x:c r="F45" s="54" t="str"/>
      <x:c r="G45" s="65"/>
      <x:c r="H45" s="65"/>
      <x:c r="I45" s="65"/>
      <x:c r="J45" s="65"/>
      <x:c r="K45" s="65"/>
      <x:c r="L45" s="65"/>
      <x:c r="M45" s="65"/>
      <x:c r="N45" s="65"/>
      <x:c r="O45" s="65"/>
    </x:row>
    <x:row r="46" ht="25" customHeight="1">
      <x:c r="A46" s="54" t="str">
        <x:v>基础利率压力</x:v>
      </x:c>
      <x:c r="B46" s="58" t="n">
        <x:f>35%*B42+35%*B43+30%*B44</x:f>
        <x:v>62.187245239495454</x:v>
      </x:c>
      <x:c r="C46" s="54" t="str">
        <x:v>政策35%+通胀35%+期限溢价30%</x:v>
      </x:c>
      <x:c r="D46" s="54" t="str">
        <x:v>不含传导门控</x:v>
      </x:c>
      <x:c r="E46" s="54"/>
      <x:c r="F46" s="54" t="str"/>
      <x:c r="G46" s="65"/>
      <x:c r="H46" s="65"/>
      <x:c r="I46" s="65"/>
      <x:c r="J46" s="65"/>
      <x:c r="K46" s="65"/>
      <x:c r="L46" s="65"/>
      <x:c r="M46" s="65"/>
      <x:c r="N46" s="65"/>
      <x:c r="O46" s="65"/>
    </x:row>
    <x:row r="47" ht="25" customHeight="1">
      <x:c r="A47" s="54" t="str">
        <x:v>有效风险资产利率压力</x:v>
      </x:c>
      <x:c r="B47" s="58" t="n">
        <x:f>MIN(100,MAX(0,B46*(0.75+0.5*B45/100)))</x:f>
        <x:v>63.80057367264977</x:v>
      </x:c>
      <x:c r="C47" s="54" t="str">
        <x:v>基础压力×(0.75+0.5×传导/100)</x:v>
      </x:c>
      <x:c r="D47" s="54" t="str">
        <x:v>核心总分：0-100</x:v>
      </x:c>
      <x:c r="E47" s="54"/>
      <x:c r="F47" s="54" t="str"/>
      <x:c r="G47" s="65"/>
      <x:c r="H47" s="65"/>
      <x:c r="I47" s="65"/>
      <x:c r="J47" s="65"/>
      <x:c r="K47" s="65"/>
      <x:c r="L47" s="65"/>
      <x:c r="M47" s="65"/>
      <x:c r="N47" s="65"/>
      <x:c r="O47" s="65"/>
    </x:row>
    <x:row r="48" ht="25" customHeight="1">
      <x:c r="A48" s="54" t="str">
        <x:v>市场确认分</x:v>
      </x:c>
      <x:c r="B48" s="58" t="n">
        <x:f>40%*B43+30%*B44+30%*B45</x:f>
        <x:v>60.12977211791329</x:v>
      </x:c>
      <x:c r="C48" s="54" t="str">
        <x:v>通胀40%+期限30%+传导30%</x:v>
      </x:c>
      <x:c r="D48" s="54" t="str">
        <x:v>政策之外的市场性利率确认</x:v>
      </x:c>
      <x:c r="E48" s="54"/>
      <x:c r="F48" s="54" t="str"/>
      <x:c r="G48" s="65"/>
      <x:c r="H48" s="65"/>
      <x:c r="I48" s="65"/>
      <x:c r="J48" s="65"/>
      <x:c r="K48" s="65"/>
      <x:c r="L48" s="65"/>
      <x:c r="M48" s="65"/>
      <x:c r="N48" s="65"/>
      <x:c r="O48" s="65"/>
    </x:row>
    <x:row r="49" ht="25" customHeight="1">
      <x:c r="A49" s="54" t="str">
        <x:v>政策冲击占比</x:v>
      </x:c>
      <x:c r="B49" s="67" t="n">
        <x:f>IFERROR(ABS(B42-50)/(ABS(B42-50)+ABS(B48-50)),50%)</x:f>
        <x:v>0.49180612268419316</x:v>
      </x:c>
      <x:c r="C49" s="54" t="str">
        <x:v>|政策-50|÷(|政策-50|+|市场-50|)</x:v>
      </x:c>
      <x:c r="D49" s="54" t="str">
        <x:v>对应视频中的政策:市场权重</x:v>
      </x:c>
      <x:c r="E49" s="54"/>
      <x:c r="F49" s="54" t="str"/>
      <x:c r="G49" s="65"/>
      <x:c r="H49" s="65"/>
      <x:c r="I49" s="65"/>
      <x:c r="J49" s="65"/>
      <x:c r="K49" s="65"/>
      <x:c r="L49" s="65"/>
      <x:c r="M49" s="65"/>
      <x:c r="N49" s="65"/>
      <x:c r="O49" s="65"/>
    </x:row>
    <x:row r="50" ht="25" customHeight="1">
      <x:c r="A50" s="54" t="str">
        <x:v>市场冲击占比</x:v>
      </x:c>
      <x:c r="B50" s="67" t="n">
        <x:f>1-B49</x:f>
        <x:v>0.5081938773158068</x:v>
      </x:c>
      <x:c r="C50" s="54" t="str">
        <x:v>1-政策冲击占比</x:v>
      </x:c>
      <x:c r="D50" s="54" t="str">
        <x:v>与上一项合计100%</x:v>
      </x:c>
      <x:c r="E50" s="54"/>
      <x:c r="F50" s="54" t="str"/>
      <x:c r="G50" s="65"/>
      <x:c r="H50" s="65"/>
      <x:c r="I50" s="65"/>
      <x:c r="J50" s="65"/>
      <x:c r="K50" s="65"/>
      <x:c r="L50" s="65"/>
      <x:c r="M50" s="65"/>
      <x:c r="N50" s="65"/>
      <x:c r="O50" s="65"/>
    </x:row>
    <x:row r="51" ht="25" customHeight="1">
      <x:c r="A51" s="54" t="str">
        <x:v>政策/市场方向</x:v>
      </x:c>
      <x:c r="B51" s="54" t="str">
        <x:f>IF(SIGN(B42-50)=SIGN(B48-50),"同向","背离")</x:f>
        <x:v>同向</x:v>
      </x:c>
      <x:c r="C51" s="54" t="str">
        <x:v>政策分与市场确认分同向或背离</x:v>
      </x:c>
      <x:c r="D51" s="54" t="str">
        <x:v>背离意味着传导不完整</x:v>
      </x:c>
      <x:c r="E51" s="54"/>
      <x:c r="F51" s="54" t="str"/>
      <x:c r="G51" s="65"/>
      <x:c r="H51" s="65"/>
      <x:c r="I51" s="65"/>
      <x:c r="J51" s="65"/>
      <x:c r="K51" s="65"/>
      <x:c r="L51" s="65"/>
      <x:c r="M51" s="65"/>
      <x:c r="N51" s="65"/>
      <x:c r="O51" s="65"/>
    </x:row>
    <x:row r="52" ht="25" customHeight="1">
      <x:c r="A52" s="54" t="str">
        <x:v>数据置信度</x:v>
      </x:c>
      <x:c r="B52" s="58" t="n">
        <x:f>AVERAGE(L5:L7,L10:L12,L15:L19,L22:L23,L28:L29,L32:L37)*10+AVERAGE(M5:M7,M10:M12,M15:M19,M22:M23,M28:M29,M32:M37)*10</x:f>
        <x:v>89.04761904761904</x:v>
      </x:c>
      <x:c r="C52" s="54" t="str">
        <x:v>可得性与准确性均值</x:v>
      </x:c>
      <x:c r="D52" s="54" t="str">
        <x:v>仅衡量数据质量，不衡量预测正确率</x:v>
      </x:c>
      <x:c r="E52" s="54"/>
      <x:c r="F52" s="54" t="str"/>
      <x:c r="G52" s="65"/>
      <x:c r="H52" s="65"/>
      <x:c r="I52" s="65"/>
      <x:c r="J52" s="65"/>
      <x:c r="K52" s="65"/>
      <x:c r="L52" s="65"/>
      <x:c r="M52" s="65"/>
      <x:c r="N52" s="65"/>
      <x:c r="O52" s="65"/>
    </x:row>
    <x:row r="53" ht="25" customHeight="1">
      <x:c r="A53" s="68" t="str">
        <x:v>当前制度识别</x:v>
      </x:c>
      <x:c r="B53" s="68" t="str">
        <x:f>IF(AND(B42&gt;=60,B44&gt;=60,B43&lt;60),"政策重定价 + 期限溢价冲击",IF(AND(B46&gt;=65,B45&gt;=60),"全面收紧传导",IF(AND(B43&gt;=60,B44&gt;=60),"通胀与期限溢价共振",IF(AND(B42&gt;=60,B43&lt;55,B45&lt;55),"政策独涨/预防性加息",IF(AND(B46&lt;=40,B45&lt;=45),"宽松传导","混合状态")))))</x:f>
        <x:v>混合状态</x:v>
      </x:c>
      <x:c r="C53" s="68" t="str">
        <x:v>规则优先于主观叙事</x:v>
      </x:c>
      <x:c r="D53" s="68" t="str"/>
      <x:c r="E53" s="68"/>
      <x:c r="F53" s="68" t="str"/>
      <x:c r="G53" s="65"/>
      <x:c r="H53" s="65"/>
      <x:c r="I53" s="65"/>
      <x:c r="J53" s="65"/>
      <x:c r="K53" s="65"/>
      <x:c r="L53" s="65"/>
      <x:c r="M53" s="65"/>
      <x:c r="N53" s="65"/>
      <x:c r="O53" s="65"/>
    </x:row>
  </x:sheetData>
  <x:mergeCells>
    <x:mergeCell ref="A1:O2"/>
    <x:mergeCell ref="A3:O3"/>
    <x:mergeCell ref="A8:I8"/>
    <x:mergeCell ref="K8:O8"/>
    <x:mergeCell ref="A13:I13"/>
    <x:mergeCell ref="K13:O13"/>
    <x:mergeCell ref="A20:I20"/>
    <x:mergeCell ref="K20:O20"/>
    <x:mergeCell ref="A24:I24"/>
    <x:mergeCell ref="K24:O24"/>
    <x:mergeCell ref="A26:I26"/>
    <x:mergeCell ref="K26:O26"/>
    <x:mergeCell ref="A30:I30"/>
    <x:mergeCell ref="K30:O30"/>
    <x:mergeCell ref="A38:I38"/>
    <x:mergeCell ref="K38:O38"/>
    <x:mergeCell ref="A40:O4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7F79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4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24" hidden="0" customWidth="1"/>
    <x:col min="9" max="9" width="31" hidden="0" customWidth="1"/>
    <x:col min="10" max="10" width="26" hidden="0" customWidth="1"/>
  </x:cols>
  <x:sheetData>
    <x:row r="1" ht="31" customHeight="1">
      <x:c r="A1" s="6" t="str">
        <x:v>风险资产映射</x:v>
      </x:c>
      <x:c r="B1" s="6" t="str">
        <x:v>风险资产映射</x:v>
      </x:c>
      <x:c r="C1" s="6" t="str">
        <x:v>风险资产映射</x:v>
      </x:c>
      <x:c r="D1" s="6" t="str">
        <x:v>风险资产映射</x:v>
      </x:c>
      <x:c r="E1" s="6" t="str">
        <x:v>风险资产映射</x:v>
      </x:c>
      <x:c r="F1" s="6" t="str">
        <x:v>风险资产映射</x:v>
      </x:c>
      <x:c r="G1" s="6" t="str">
        <x:v>风险资产映射</x:v>
      </x:c>
      <x:c r="H1" s="6" t="str">
        <x:v>风险资产映射</x:v>
      </x:c>
      <x:c r="I1" s="6" t="str">
        <x:v>风险资产映射</x:v>
      </x:c>
      <x:c r="J1" s="6" t="str">
        <x:v>风险资产映射</x:v>
      </x:c>
    </x:row>
    <x:row r="2" ht="31" customHeight="1">
      <x:c r="A2" s="6" t="str">
        <x:v>风险资产映射</x:v>
      </x:c>
      <x:c r="B2" s="6" t="str">
        <x:v>风险资产映射</x:v>
      </x:c>
      <x:c r="C2" s="6" t="str">
        <x:v>风险资产映射</x:v>
      </x:c>
      <x:c r="D2" s="6" t="str">
        <x:v>风险资产映射</x:v>
      </x:c>
      <x:c r="E2" s="6" t="str">
        <x:v>风险资产映射</x:v>
      </x:c>
      <x:c r="F2" s="6" t="str">
        <x:v>风险资产映射</x:v>
      </x:c>
      <x:c r="G2" s="6" t="str">
        <x:v>风险资产映射</x:v>
      </x:c>
      <x:c r="H2" s="6" t="str">
        <x:v>风险资产映射</x:v>
      </x:c>
      <x:c r="I2" s="6" t="str">
        <x:v>风险资产映射</x:v>
      </x:c>
      <x:c r="J2" s="6" t="str">
        <x:v>风险资产映射</x:v>
      </x:c>
    </x:row>
    <x:row r="3">
      <x:c r="A3" s="10" t="str">
        <x:v>环境分&gt;50表示当前利率结构相对有利；&lt;50表示相对不利。敏感度为可编辑的结构性假设，不是回归系数，也不是交易建议。</x:v>
      </x:c>
      <x:c r="B3" s="10" t="str">
        <x:v>环境分&gt;50表示当前利率结构相对有利；&lt;50表示相对不利。敏感度为可编辑的结构性假设，不是回归系数，也不是交易建议。</x:v>
      </x:c>
      <x:c r="C3" s="10" t="str">
        <x:v>环境分&gt;50表示当前利率结构相对有利；&lt;50表示相对不利。敏感度为可编辑的结构性假设，不是回归系数，也不是交易建议。</x:v>
      </x:c>
      <x:c r="D3" s="10" t="str">
        <x:v>环境分&gt;50表示当前利率结构相对有利；&lt;50表示相对不利。敏感度为可编辑的结构性假设，不是回归系数，也不是交易建议。</x:v>
      </x:c>
      <x:c r="E3" s="10" t="str">
        <x:v>环境分&gt;50表示当前利率结构相对有利；&lt;50表示相对不利。敏感度为可编辑的结构性假设，不是回归系数，也不是交易建议。</x:v>
      </x:c>
      <x:c r="F3" s="10" t="str">
        <x:v>环境分&gt;50表示当前利率结构相对有利；&lt;50表示相对不利。敏感度为可编辑的结构性假设，不是回归系数，也不是交易建议。</x:v>
      </x:c>
      <x:c r="G3" s="10" t="str">
        <x:v>环境分&gt;50表示当前利率结构相对有利；&lt;50表示相对不利。敏感度为可编辑的结构性假设，不是回归系数，也不是交易建议。</x:v>
      </x:c>
      <x:c r="H3" s="10" t="str">
        <x:v>环境分&gt;50表示当前利率结构相对有利；&lt;50表示相对不利。敏感度为可编辑的结构性假设，不是回归系数，也不是交易建议。</x:v>
      </x:c>
      <x:c r="I3" s="10" t="str">
        <x:v>环境分&gt;50表示当前利率结构相对有利；&lt;50表示相对不利。敏感度为可编辑的结构性假设，不是回归系数，也不是交易建议。</x:v>
      </x:c>
      <x:c r="J3" s="10" t="str">
        <x:v>环境分&gt;50表示当前利率结构相对有利；&lt;50表示相对不利。敏感度为可编辑的结构性假设，不是回归系数，也不是交易建议。</x:v>
      </x:c>
    </x:row>
    <x:row r="5" ht="31" customHeight="1">
      <x:c r="A5" s="38" t="str">
        <x:v>资产</x:v>
      </x:c>
      <x:c r="B5" s="38" t="str">
        <x:v>政策敏感度</x:v>
      </x:c>
      <x:c r="C5" s="38" t="str">
        <x:v>通胀敏感度</x:v>
      </x:c>
      <x:c r="D5" s="38" t="str">
        <x:v>期限溢价敏感度</x:v>
      </x:c>
      <x:c r="E5" s="38" t="str">
        <x:v>传导敏感度</x:v>
      </x:c>
      <x:c r="F5" s="38" t="str">
        <x:v>环境分</x:v>
      </x:c>
      <x:c r="G5" s="38" t="str">
        <x:v>判断</x:v>
      </x:c>
      <x:c r="H5" s="38" t="str">
        <x:v>主要受力通道</x:v>
      </x:c>
      <x:c r="I5" s="38" t="str">
        <x:v>反转条件</x:v>
      </x:c>
      <x:c r="J5" s="38" t="str">
        <x:v>说明</x:v>
      </x:c>
    </x:row>
    <x:row r="6" ht="31" customHeight="1">
      <x:c r="A6" s="54" t="str">
        <x:v>纳斯达克/长久期成长</x:v>
      </x:c>
      <x:c r="B6" s="72" t="n">
        <x:v>-0.9</x:v>
      </x:c>
      <x:c r="C6" s="72" t="n">
        <x:v>-0.8</x:v>
      </x:c>
      <x:c r="D6" s="72" t="n">
        <x:v>-1</x:v>
      </x:c>
      <x:c r="E6" s="72" t="n">
        <x:v>-0.8</x:v>
      </x:c>
      <x:c r="F6" s="58" t="n">
        <x:f>MAX(0,MIN(100,50+((B6*('因子引擎'!$B$42-50))+(C6*('因子引擎'!$B$43-50))+(D6*('因子引擎'!$B$44-50))+(E6*('因子引擎'!$B$45-50)))/(ABS(B6)+ABS(C6)+ABS(D6)+ABS(E6))))</x:f>
        <x:v>37.57067571760262</x:v>
      </x:c>
      <x:c r="G6" s="54" t="str">
        <x:f>IF(F6&gt;=65,"明显有利",IF(F6&gt;=55,"偏有利",IF(F6&gt;=45,"中性",IF(F6&gt;=35,"偏不利","明显不利"))))</x:f>
        <x:v>偏不利</x:v>
      </x:c>
      <x:c r="H6" s="54" t="str">
        <x:v>真实利率与久期折现</x:v>
      </x:c>
      <x:c r="I6" s="54" t="str">
        <x:v>实际利率回落，且信用条件未恶化</x:v>
      </x:c>
      <x:c r="J6" s="54" t="str">
        <x:v>估值久期最长</x:v>
      </x:c>
    </x:row>
    <x:row r="7" ht="31" customHeight="1">
      <x:c r="A7" s="54" t="str">
        <x:v>标普500</x:v>
      </x:c>
      <x:c r="B7" s="72" t="n">
        <x:v>-0.6</x:v>
      </x:c>
      <x:c r="C7" s="72" t="n">
        <x:v>-0.5</x:v>
      </x:c>
      <x:c r="D7" s="72" t="n">
        <x:v>-0.7</x:v>
      </x:c>
      <x:c r="E7" s="72" t="n">
        <x:v>-0.7</x:v>
      </x:c>
      <x:c r="F7" s="58" t="n">
        <x:f>MAX(0,MIN(100,50+((B7*('因子引擎'!$B$42-50))+(C7*('因子引擎'!$B$43-50))+(D7*('因子引擎'!$B$44-50))+(E7*('因子引擎'!$B$45-50)))/(ABS(B7)+ABS(C7)+ABS(D7)+ABS(E7))))</x:f>
        <x:v>37.558513090994715</x:v>
      </x:c>
      <x:c r="G7" s="54" t="str">
        <x:f>IF(F7&gt;=65,"明显有利",IF(F7&gt;=55,"偏有利",IF(F7&gt;=45,"中性",IF(F7&gt;=35,"偏不利","明显不利"))))</x:f>
        <x:v>偏不利</x:v>
      </x:c>
      <x:c r="H7" s="54" t="str">
        <x:v>折现率+盈利预期</x:v>
      </x:c>
      <x:c r="I7" s="54" t="str">
        <x:v>期限溢价和实际利率同步回落</x:v>
      </x:c>
      <x:c r="J7" s="54" t="str">
        <x:v>盈利缓冲更强</x:v>
      </x:c>
    </x:row>
    <x:row r="8" ht="31" customHeight="1">
      <x:c r="A8" s="54" t="str">
        <x:v>罗素2000</x:v>
      </x:c>
      <x:c r="B8" s="72" t="n">
        <x:v>-0.8</x:v>
      </x:c>
      <x:c r="C8" s="72" t="n">
        <x:v>-0.4</x:v>
      </x:c>
      <x:c r="D8" s="72" t="n">
        <x:v>-0.5</x:v>
      </x:c>
      <x:c r="E8" s="72" t="n">
        <x:v>-1</x:v>
      </x:c>
      <x:c r="F8" s="58" t="n">
        <x:f>MAX(0,MIN(100,50+((B8*('因子引擎'!$B$42-50))+(C8*('因子引擎'!$B$43-50))+(D8*('因子引擎'!$B$44-50))+(E8*('因子引擎'!$B$45-50)))/(ABS(B8)+ABS(C8)+ABS(D8)+ABS(E8))))</x:f>
        <x:v>39.520156477787054</x:v>
      </x:c>
      <x:c r="G8" s="54" t="str">
        <x:f>IF(F8&gt;=65,"明显有利",IF(F8&gt;=55,"偏有利",IF(F8&gt;=45,"中性",IF(F8&gt;=35,"偏不利","明显不利"))))</x:f>
        <x:v>偏不利</x:v>
      </x:c>
      <x:c r="H8" s="54" t="str">
        <x:v>融资成本+信用传导</x:v>
      </x:c>
      <x:c r="I8" s="54" t="str">
        <x:v>HY OAS/NFCI转松</x:v>
      </x:c>
      <x:c r="J8" s="54" t="str">
        <x:v>对银行与信用更敏感</x:v>
      </x:c>
    </x:row>
    <x:row r="9" ht="31" customHeight="1">
      <x:c r="A9" s="54" t="str">
        <x:v>高收益信用</x:v>
      </x:c>
      <x:c r="B9" s="72" t="n">
        <x:v>-0.7</x:v>
      </x:c>
      <x:c r="C9" s="72" t="n">
        <x:v>-0.4</x:v>
      </x:c>
      <x:c r="D9" s="72" t="n">
        <x:v>-0.5</x:v>
      </x:c>
      <x:c r="E9" s="72" t="n">
        <x:v>-1.1</x:v>
      </x:c>
      <x:c r="F9" s="58" t="n">
        <x:f>MAX(0,MIN(100,50+((B9*('因子引擎'!$B$42-50))+(C9*('因子引擎'!$B$43-50))+(D9*('因子引擎'!$B$44-50))+(E9*('因子引擎'!$B$45-50)))/(ABS(B9)+ABS(C9)+ABS(D9)+ABS(E9))))</x:f>
        <x:v>39.6910639449352</x:v>
      </x:c>
      <x:c r="G9" s="54" t="str">
        <x:f>IF(F9&gt;=65,"明显有利",IF(F9&gt;=55,"偏有利",IF(F9&gt;=45,"中性",IF(F9&gt;=35,"偏不利","明显不利"))))</x:f>
        <x:v>偏不利</x:v>
      </x:c>
      <x:c r="H9" s="54" t="str">
        <x:v>信用利差与再融资</x:v>
      </x:c>
      <x:c r="I9" s="54" t="str">
        <x:v>HY OAS不再扩张且政策路径回落</x:v>
      </x:c>
      <x:c r="J9" s="54" t="str">
        <x:v>传导权重最高</x:v>
      </x:c>
    </x:row>
    <x:row r="10" ht="31" customHeight="1">
      <x:c r="A10" s="54" t="str">
        <x:v>新兴市场股票</x:v>
      </x:c>
      <x:c r="B10" s="72" t="n">
        <x:v>-0.6</x:v>
      </x:c>
      <x:c r="C10" s="72" t="n">
        <x:v>-0.5</x:v>
      </x:c>
      <x:c r="D10" s="72" t="n">
        <x:v>-0.6</x:v>
      </x:c>
      <x:c r="E10" s="72" t="n">
        <x:v>-1</x:v>
      </x:c>
      <x:c r="F10" s="58" t="n">
        <x:f>MAX(0,MIN(100,50+((B10*('因子引擎'!$B$42-50))+(C10*('因子引擎'!$B$43-50))+(D10*('因子引擎'!$B$44-50))+(E10*('因子引擎'!$B$45-50)))/(ABS(B10)+ABS(C10)+ABS(D10)+ABS(E10))))</x:f>
        <x:v>39.14271807626149</x:v>
      </x:c>
      <x:c r="G10" s="54" t="str">
        <x:f>IF(F10&gt;=65,"明显有利",IF(F10&gt;=55,"偏有利",IF(F10&gt;=45,"中性",IF(F10&gt;=35,"偏不利","明显不利"))))</x:f>
        <x:v>偏不利</x:v>
      </x:c>
      <x:c r="H10" s="54" t="str">
        <x:v>美元+全球流动性</x:v>
      </x:c>
      <x:c r="I10" s="54" t="str">
        <x:v>美元转弱且真实利率回落</x:v>
      </x:c>
      <x:c r="J10" s="54" t="str">
        <x:v>需叠加本地基本面</x:v>
      </x:c>
    </x:row>
    <x:row r="11" ht="31" customHeight="1">
      <x:c r="A11" s="54" t="str">
        <x:v>黄金</x:v>
      </x:c>
      <x:c r="B11" s="72" t="n">
        <x:v>-0.6</x:v>
      </x:c>
      <x:c r="C11" s="72" t="n">
        <x:v>0.8</x:v>
      </x:c>
      <x:c r="D11" s="72" t="n">
        <x:v>-0.5</x:v>
      </x:c>
      <x:c r="E11" s="72" t="n">
        <x:v>-0.5</x:v>
      </x:c>
      <x:c r="F11" s="58" t="n">
        <x:f>MAX(0,MIN(100,50+((B11*('因子引擎'!$B$42-50))+(C11*('因子引擎'!$B$43-50))+(D11*('因子引擎'!$B$44-50))+(E11*('因子引擎'!$B$45-50)))/(ABS(B11)+ABS(C11)+ABS(D11)+ABS(E11))))</x:f>
        <x:v>38.27839597763003</x:v>
      </x:c>
      <x:c r="G11" s="54" t="str">
        <x:f>IF(F11&gt;=65,"明显有利",IF(F11&gt;=55,"偏有利",IF(F11&gt;=45,"中性",IF(F11&gt;=35,"偏不利","明显不利"))))</x:f>
        <x:v>偏不利</x:v>
      </x:c>
      <x:c r="H11" s="54" t="str">
        <x:v>实际利率/美元 vs 通胀</x:v>
      </x:c>
      <x:c r="I11" s="54" t="str">
        <x:v>通胀补偿上行快于实际利率</x:v>
      </x:c>
      <x:c r="J11" s="54" t="str">
        <x:v>两条通道方向可能相反</x:v>
      </x:c>
    </x:row>
    <x:row r="12" ht="31" customHeight="1">
      <x:c r="A12" s="54" t="str">
        <x:v>比特币</x:v>
      </x:c>
      <x:c r="B12" s="72" t="n">
        <x:v>-0.8</x:v>
      </x:c>
      <x:c r="C12" s="72" t="n">
        <x:v>0.2</x:v>
      </x:c>
      <x:c r="D12" s="72" t="n">
        <x:v>-0.7</x:v>
      </x:c>
      <x:c r="E12" s="72" t="n">
        <x:v>-1.1</x:v>
      </x:c>
      <x:c r="F12" s="58" t="n">
        <x:f>MAX(0,MIN(100,50+((B12*('因子引擎'!$B$42-50))+(C12*('因子引擎'!$B$43-50))+(D12*('因子引擎'!$B$44-50))+(E12*('因子引擎'!$B$45-50)))/(ABS(B12)+ABS(C12)+ABS(D12)+ABS(E12))))</x:f>
        <x:v>36.53524218843517</x:v>
      </x:c>
      <x:c r="G12" s="54" t="str">
        <x:f>IF(F12&gt;=65,"明显有利",IF(F12&gt;=55,"偏有利",IF(F12&gt;=45,"中性",IF(F12&gt;=35,"偏不利","明显不利"))))</x:f>
        <x:v>偏不利</x:v>
      </x:c>
      <x:c r="H12" s="54" t="str">
        <x:v>全球流动性+风险偏好</x:v>
      </x:c>
      <x:c r="I12" s="54" t="str">
        <x:v>美元/NFCI转松且真实利率回落</x:v>
      </x:c>
      <x:c r="J12" s="54" t="str">
        <x:v>高波动，不等同黄金</x:v>
      </x:c>
    </x:row>
    <x:row r="13" ht="31" customHeight="1">
      <x:c r="A13" s="54" t="str">
        <x:v>原油/大宗商品</x:v>
      </x:c>
      <x:c r="B13" s="72" t="n">
        <x:v>-0.2</x:v>
      </x:c>
      <x:c r="C13" s="72" t="n">
        <x:v>1</x:v>
      </x:c>
      <x:c r="D13" s="72" t="n">
        <x:v>-0.2</x:v>
      </x:c>
      <x:c r="E13" s="72" t="n">
        <x:v>-0.3</x:v>
      </x:c>
      <x:c r="F13" s="58" t="n">
        <x:f>MAX(0,MIN(100,50+((B13*('因子引擎'!$B$42-50))+(C13*('因子引擎'!$B$43-50))+(D13*('因子引擎'!$B$44-50))+(E13*('因子引擎'!$B$45-50)))/(ABS(B13)+ABS(C13)+ABS(D13)+ABS(E13))))</x:f>
        <x:v>41.84245579925653</x:v>
      </x:c>
      <x:c r="G13" s="54" t="str">
        <x:f>IF(F13&gt;=65,"明显有利",IF(F13&gt;=55,"偏有利",IF(F13&gt;=45,"中性",IF(F13&gt;=35,"偏不利","明显不利"))))</x:f>
        <x:v>偏不利</x:v>
      </x:c>
      <x:c r="H13" s="54" t="str">
        <x:v>通胀与实物供需</x:v>
      </x:c>
      <x:c r="I13" s="54" t="str">
        <x:v>需求未衰退且库存继续去化</x:v>
      </x:c>
      <x:c r="J13" s="54" t="str">
        <x:v>需结合曲线与库存</x:v>
      </x:c>
    </x:row>
    <x:row r="14" ht="31" customHeight="1">
      <x:c r="A14" s="54" t="str">
        <x:v>美国长债</x:v>
      </x:c>
      <x:c r="B14" s="72" t="n">
        <x:v>-0.7</x:v>
      </x:c>
      <x:c r="C14" s="72" t="n">
        <x:v>-0.9</x:v>
      </x:c>
      <x:c r="D14" s="72" t="n">
        <x:v>-1.2</x:v>
      </x:c>
      <x:c r="E14" s="72" t="n">
        <x:v>-0.5</x:v>
      </x:c>
      <x:c r="F14" s="58" t="n">
        <x:f>MAX(0,MIN(100,50+((B14*('因子引擎'!$B$42-50))+(C14*('因子引擎'!$B$43-50))+(D14*('因子引擎'!$B$44-50))+(E14*('因子引擎'!$B$45-50)))/(ABS(B14)+ABS(C14)+ABS(D14)+ABS(E14))))</x:f>
        <x:v>35.96643189365785</x:v>
      </x:c>
      <x:c r="G14" s="54" t="str">
        <x:f>IF(F14&gt;=65,"明显有利",IF(F14&gt;=55,"偏有利",IF(F14&gt;=45,"中性",IF(F14&gt;=35,"偏不利","明显不利"))))</x:f>
        <x:v>偏不利</x:v>
      </x:c>
      <x:c r="H14" s="54" t="str">
        <x:v>通胀+期限溢价+实际利率</x:v>
      </x:c>
      <x:c r="I14" s="54" t="str">
        <x:v>ACM期限溢价和BEI同步下行</x:v>
      </x:c>
      <x:c r="J14" s="54" t="str">
        <x:v>期限溢价权重最高</x:v>
      </x:c>
    </x:row>
    <x:row r="15" ht="31" customHeight="1">
      <x:c r="A15" s="54" t="str">
        <x:v>美元指数</x:v>
      </x:c>
      <x:c r="B15" s="72" t="n">
        <x:v>0.8</x:v>
      </x:c>
      <x:c r="C15" s="72" t="n">
        <x:v>0.4</x:v>
      </x:c>
      <x:c r="D15" s="72" t="n">
        <x:v>0.5</x:v>
      </x:c>
      <x:c r="E15" s="72" t="n">
        <x:v>0.8</x:v>
      </x:c>
      <x:c r="F15" s="58" t="n">
        <x:f>MAX(0,MIN(100,50+((B15*('因子引擎'!$B$42-50))+(C15*('因子引擎'!$B$43-50))+(D15*('因子引擎'!$B$44-50))+(E15*('因子引擎'!$B$45-50)))/(ABS(B15)+ABS(C15)+ABS(D15)+ABS(E15))))</x:f>
        <x:v>60.90314178704433</x:v>
      </x:c>
      <x:c r="G15" s="54" t="str">
        <x:f>IF(F15&gt;=65,"明显有利",IF(F15&gt;=55,"偏有利",IF(F15&gt;=45,"中性",IF(F15&gt;=35,"偏不利","明显不利"))))</x:f>
        <x:v>偏有利</x:v>
      </x:c>
      <x:c r="H15" s="54" t="str">
        <x:v>政策差+避险需求</x:v>
      </x:c>
      <x:c r="I15" s="54" t="str">
        <x:v>美外利差收窄且风险偏好修复</x:v>
      </x:c>
      <x:c r="J15" s="54" t="str">
        <x:v>正敏感度表示利率紧缩利好美元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ED7D31"/>
  </x:sheetPr>
  <x:sheetViews>
    <x:sheetView showGridLines="0" workbookViewId="0"/>
  </x:sheetViews>
  <x:sheetFormatPr defaultRowHeight="15"/>
  <x:cols>
    <x:col min="1" max="1" width="22" hidden="0" customWidth="1"/>
    <x:col min="2" max="2" width="3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40" hidden="0" customWidth="1"/>
  </x:cols>
  <x:sheetData>
    <x:row r="1" ht="31" customHeight="1">
      <x:c r="A1" s="6" t="str">
        <x:v>场景仿真与证伪阈值</x:v>
      </x:c>
      <x:c r="B1" s="6" t="str">
        <x:v>场景仿真与证伪阈值</x:v>
      </x:c>
      <x:c r="C1" s="6" t="str">
        <x:v>场景仿真与证伪阈值</x:v>
      </x:c>
      <x:c r="D1" s="6" t="str">
        <x:v>场景仿真与证伪阈值</x:v>
      </x:c>
      <x:c r="E1" s="6" t="str">
        <x:v>场景仿真与证伪阈值</x:v>
      </x:c>
      <x:c r="F1" s="6" t="str">
        <x:v>场景仿真与证伪阈值</x:v>
      </x:c>
      <x:c r="G1" s="6" t="str">
        <x:v>场景仿真与证伪阈值</x:v>
      </x:c>
      <x:c r="H1" s="6" t="str">
        <x:v>场景仿真与证伪阈值</x:v>
      </x:c>
      <x:c r="I1" s="6" t="str">
        <x:v>场景仿真与证伪阈值</x:v>
      </x:c>
      <x:c r="J1" s="6" t="str">
        <x:v>场景仿真与证伪阈值</x:v>
      </x:c>
      <x:c r="K1" s="6" t="str">
        <x:v>场景仿真与证伪阈值</x:v>
      </x:c>
      <x:c r="L1" s="6" t="str">
        <x:v>场景仿真与证伪阈值</x:v>
      </x:c>
    </x:row>
    <x:row r="2" ht="31" customHeight="1">
      <x:c r="A2" s="6" t="str">
        <x:v>场景仿真与证伪阈值</x:v>
      </x:c>
      <x:c r="B2" s="6" t="str">
        <x:v>场景仿真与证伪阈值</x:v>
      </x:c>
      <x:c r="C2" s="6" t="str">
        <x:v>场景仿真与证伪阈值</x:v>
      </x:c>
      <x:c r="D2" s="6" t="str">
        <x:v>场景仿真与证伪阈值</x:v>
      </x:c>
      <x:c r="E2" s="6" t="str">
        <x:v>场景仿真与证伪阈值</x:v>
      </x:c>
      <x:c r="F2" s="6" t="str">
        <x:v>场景仿真与证伪阈值</x:v>
      </x:c>
      <x:c r="G2" s="6" t="str">
        <x:v>场景仿真与证伪阈值</x:v>
      </x:c>
      <x:c r="H2" s="6" t="str">
        <x:v>场景仿真与证伪阈值</x:v>
      </x:c>
      <x:c r="I2" s="6" t="str">
        <x:v>场景仿真与证伪阈值</x:v>
      </x:c>
      <x:c r="J2" s="6" t="str">
        <x:v>场景仿真与证伪阈值</x:v>
      </x:c>
      <x:c r="K2" s="6" t="str">
        <x:v>场景仿真与证伪阈值</x:v>
      </x:c>
      <x:c r="L2" s="6" t="str">
        <x:v>场景仿真与证伪阈值</x:v>
      </x:c>
    </x:row>
    <x:row r="3">
      <x:c r="A3" s="10" t="str">
        <x:v>先定制度，再看资产；场景分数均为0-100压力分。蓝色为假设，可自行覆盖。 </x:v>
      </x:c>
      <x:c r="B3" s="10" t="str">
        <x:v>先定制度，再看资产；场景分数均为0-100压力分。蓝色为假设，可自行覆盖。 </x:v>
      </x:c>
      <x:c r="C3" s="10" t="str">
        <x:v>先定制度，再看资产；场景分数均为0-100压力分。蓝色为假设，可自行覆盖。 </x:v>
      </x:c>
      <x:c r="D3" s="10" t="str">
        <x:v>先定制度，再看资产；场景分数均为0-100压力分。蓝色为假设，可自行覆盖。 </x:v>
      </x:c>
      <x:c r="E3" s="10" t="str">
        <x:v>先定制度，再看资产；场景分数均为0-100压力分。蓝色为假设，可自行覆盖。 </x:v>
      </x:c>
      <x:c r="F3" s="10" t="str">
        <x:v>先定制度，再看资产；场景分数均为0-100压力分。蓝色为假设，可自行覆盖。 </x:v>
      </x:c>
      <x:c r="G3" s="10" t="str">
        <x:v>先定制度，再看资产；场景分数均为0-100压力分。蓝色为假设，可自行覆盖。 </x:v>
      </x:c>
      <x:c r="H3" s="10" t="str">
        <x:v>先定制度，再看资产；场景分数均为0-100压力分。蓝色为假设，可自行覆盖。 </x:v>
      </x:c>
      <x:c r="I3" s="10" t="str">
        <x:v>先定制度，再看资产；场景分数均为0-100压力分。蓝色为假设，可自行覆盖。 </x:v>
      </x:c>
      <x:c r="J3" s="10" t="str">
        <x:v>先定制度，再看资产；场景分数均为0-100压力分。蓝色为假设，可自行覆盖。 </x:v>
      </x:c>
      <x:c r="K3" s="10" t="str">
        <x:v>先定制度，再看资产；场景分数均为0-100压力分。蓝色为假设，可自行覆盖。 </x:v>
      </x:c>
      <x:c r="L3" s="10" t="str">
        <x:v>先定制度，再看资产；场景分数均为0-100压力分。蓝色为假设，可自行覆盖。 </x:v>
      </x:c>
    </x:row>
    <x:row r="5" ht="33" customHeight="1">
      <x:c r="A5" s="38" t="str">
        <x:v>场景</x:v>
      </x:c>
      <x:c r="B5" s="38" t="str">
        <x:v>政策</x:v>
      </x:c>
      <x:c r="C5" s="38" t="str">
        <x:v>通胀</x:v>
      </x:c>
      <x:c r="D5" s="38" t="str">
        <x:v>期限溢价</x:v>
      </x:c>
      <x:c r="E5" s="38" t="str">
        <x:v>市场传导</x:v>
      </x:c>
      <x:c r="F5" s="38" t="str">
        <x:v>有效利率压力</x:v>
      </x:c>
      <x:c r="G5" s="38" t="str">
        <x:v>纳斯达克</x:v>
      </x:c>
      <x:c r="H5" s="38" t="str">
        <x:v>标普500</x:v>
      </x:c>
      <x:c r="I5" s="38" t="str">
        <x:v>高收益信用</x:v>
      </x:c>
      <x:c r="J5" s="38" t="str">
        <x:v>黄金</x:v>
      </x:c>
      <x:c r="K5" s="38" t="str">
        <x:v>美元</x:v>
      </x:c>
      <x:c r="L5" s="38" t="str">
        <x:v>场景解释</x:v>
      </x:c>
    </x:row>
    <x:row r="6" ht="33" customHeight="1">
      <x:c r="A6" s="54" t="str">
        <x:v>当前快照</x:v>
      </x:c>
      <x:c r="B6" s="58" t="n">
        <x:f>'因子引擎'!$B$42</x:f>
        <x:v>59.80311682482056</x:v>
      </x:c>
      <x:c r="C6" s="58" t="n">
        <x:f>'因子引擎'!$B$43</x:f>
        <x:v>46.3406640711772</x:v>
      </x:c>
      <x:c r="D6" s="58" t="n">
        <x:f>'因子引擎'!$B$44</x:f>
        <x:v>83.45640641965412</x:v>
      </x:c>
      <x:c r="E6" s="58" t="n">
        <x:f>'因子引擎'!$B$45</x:f>
        <x:v>55.18861521182057</x:v>
      </x:c>
      <x:c r="F6" s="58" t="n">
        <x:f>MIN(100,MAX(0,(35%*B6+35%*C6+30%*D6)*(0.75+0.5*E6/100)))</x:f>
        <x:v>63.80057367264977</x:v>
      </x:c>
      <x:c r="G6" s="58" t="n">
        <x:f>MAX(0,MIN(100,50+((B6-50)*'风险资产'!$B$6+(C6-50)*'风险资产'!$C$6+(D6-50)*'风险资产'!$D$6+(E6-50)*'风险资产'!$E$6)/(ABS('风险资产'!$B$6)+ABS('风险资产'!$C$6)+ABS('风险资产'!$D$6)+ABS('风险资产'!$E$6))))</x:f>
        <x:v>37.57067571760262</x:v>
      </x:c>
      <x:c r="H6" s="58" t="n">
        <x:f>MAX(0,MIN(100,50+((B6-50)*'风险资产'!$B$7+(C6-50)*'风险资产'!$C$7+(D6-50)*'风险资产'!$D$7+(E6-50)*'风险资产'!$E$7)/(ABS('风险资产'!$B$7)+ABS('风险资产'!$C$7)+ABS('风险资产'!$D$7)+ABS('风险资产'!$E$7))))</x:f>
        <x:v>37.558513090994715</x:v>
      </x:c>
      <x:c r="I6" s="58" t="n">
        <x:f>MAX(0,MIN(100,50+((B6-50)*'风险资产'!$B$9+(C6-50)*'风险资产'!$C$9+(D6-50)*'风险资产'!$D$9+(E6-50)*'风险资产'!$E$9)/(ABS('风险资产'!$B$9)+ABS('风险资产'!$C$9)+ABS('风险资产'!$D$9)+ABS('风险资产'!$E$9))))</x:f>
        <x:v>39.6910639449352</x:v>
      </x:c>
      <x:c r="J6" s="58" t="n">
        <x:f>MAX(0,MIN(100,50+((B6-50)*'风险资产'!$B$11+(C6-50)*'风险资产'!$C$11+(D6-50)*'风险资产'!$D$11+(E6-50)*'风险资产'!$E$11)/(ABS('风险资产'!$B$11)+ABS('风险资产'!$C$11)+ABS('风险资产'!$D$11)+ABS('风险资产'!$E$11))))</x:f>
        <x:v>38.27839597763003</x:v>
      </x:c>
      <x:c r="K6" s="58" t="n">
        <x:f>MAX(0,MIN(100,50+((B6-50)*'风险资产'!$B$15+(C6-50)*'风险资产'!$C$15+(D6-50)*'风险资产'!$D$15+(E6-50)*'风险资产'!$E$15)/(ABS('风险资产'!$B$15)+ABS('风险资产'!$C$15)+ABS('风险资产'!$D$15)+ABS('风险资产'!$E$15))))</x:f>
        <x:v>60.90314178704433</x:v>
      </x:c>
      <x:c r="L6" s="54" t="str">
        <x:v>政策重定价与期限溢价偏紧，但信用/波动传导仅中等</x:v>
      </x:c>
    </x:row>
    <x:row r="7" ht="33" customHeight="1">
      <x:c r="A7" s="54" t="str">
        <x:v>预防性加息/政策独涨</x:v>
      </x:c>
      <x:c r="B7" s="72" t="n">
        <x:v>80</x:v>
      </x:c>
      <x:c r="C7" s="72" t="n">
        <x:v>50</x:v>
      </x:c>
      <x:c r="D7" s="72" t="n">
        <x:v>50</x:v>
      </x:c>
      <x:c r="E7" s="72" t="n">
        <x:v>45</x:v>
      </x:c>
      <x:c r="F7" s="58" t="n">
        <x:f>MIN(100,MAX(0,(35%*B7+35%*C7+30%*D7)*(0.75+0.5*E7/100)))</x:f>
        <x:v>58.9875</x:v>
      </x:c>
      <x:c r="G7" s="58" t="n">
        <x:f>MAX(0,MIN(100,50+((B7-50)*'风险资产'!$B$6+(C7-50)*'风险资产'!$C$6+(D7-50)*'风险资产'!$D$6+(E7-50)*'风险资产'!$E$6)/(ABS('风险资产'!$B$6)+ABS('风险资产'!$C$6)+ABS('风险资产'!$D$6)+ABS('风险资产'!$E$6))))</x:f>
        <x:v>43.42857142857143</x:v>
      </x:c>
      <x:c r="H7" s="58" t="n">
        <x:f>MAX(0,MIN(100,50+((B7-50)*'风险资产'!$B$7+(C7-50)*'风险资产'!$C$7+(D7-50)*'风险资产'!$D$7+(E7-50)*'风险资产'!$E$7)/(ABS('风险资产'!$B$7)+ABS('风险资产'!$C$7)+ABS('风险资产'!$D$7)+ABS('风险资产'!$E$7))))</x:f>
        <x:v>44.2</x:v>
      </x:c>
      <x:c r="I7" s="58" t="n">
        <x:f>MAX(0,MIN(100,50+((B7-50)*'风险资产'!$B$9+(C7-50)*'风险资产'!$C$9+(D7-50)*'风险资产'!$D$9+(E7-50)*'风险资产'!$E$9)/(ABS('风险资产'!$B$9)+ABS('风险资产'!$C$9)+ABS('风险资产'!$D$9)+ABS('风险资产'!$E$9))))</x:f>
        <x:v>44.25925925925926</x:v>
      </x:c>
      <x:c r="J7" s="58" t="n">
        <x:f>MAX(0,MIN(100,50+((B7-50)*'风险资产'!$B$11+(C7-50)*'风险资产'!$C$11+(D7-50)*'风险资产'!$D$11+(E7-50)*'风险资产'!$E$11)/(ABS('风险资产'!$B$11)+ABS('风险资产'!$C$11)+ABS('风险资产'!$D$11)+ABS('风险资产'!$E$11))))</x:f>
        <x:v>43.541666666666664</x:v>
      </x:c>
      <x:c r="K7" s="58" t="n">
        <x:f>MAX(0,MIN(100,50+((B7-50)*'风险资产'!$B$15+(C7-50)*'风险资产'!$C$15+(D7-50)*'风险资产'!$D$15+(E7-50)*'风险资产'!$E$15)/(ABS('风险资产'!$B$15)+ABS('风险资产'!$C$15)+ABS('风险资产'!$D$15)+ABS('风险资产'!$E$15))))</x:f>
        <x:v>58</x:v>
      </x:c>
      <x:c r="L7" s="54" t="str">
        <x:v>政策路径上修，通胀与信用条件未确认</x:v>
      </x:c>
    </x:row>
    <x:row r="8" ht="33" customHeight="1">
      <x:c r="A8" s="54" t="str">
        <x:v>通胀再锚定失败</x:v>
      </x:c>
      <x:c r="B8" s="72" t="n">
        <x:v>75</x:v>
      </x:c>
      <x:c r="C8" s="72" t="n">
        <x:v>75</x:v>
      </x:c>
      <x:c r="D8" s="72" t="n">
        <x:v>70</x:v>
      </x:c>
      <x:c r="E8" s="72" t="n">
        <x:v>70</x:v>
      </x:c>
      <x:c r="F8" s="58" t="n">
        <x:f>MIN(100,MAX(0,(35%*B8+35%*C8+30%*D8)*(0.75+0.5*E8/100)))</x:f>
        <x:v>80.85000000000001</x:v>
      </x:c>
      <x:c r="G8" s="58" t="n">
        <x:f>MAX(0,MIN(100,50+((B8-50)*'风险资产'!$B$6+(C8-50)*'风险资产'!$C$6+(D8-50)*'风险资产'!$D$6+(E8-50)*'风险资产'!$E$6)/(ABS('风险资产'!$B$6)+ABS('风险资产'!$C$6)+ABS('风险资产'!$D$6)+ABS('风险资产'!$E$6))))</x:f>
        <x:v>27.571428571428573</x:v>
      </x:c>
      <x:c r="H8" s="58" t="n">
        <x:f>MAX(0,MIN(100,50+((B8-50)*'风险资产'!$B$7+(C8-50)*'风险资产'!$C$7+(D8-50)*'风险资产'!$D$7+(E8-50)*'风险资产'!$E$7)/(ABS('风险资产'!$B$7)+ABS('风险资产'!$C$7)+ABS('风险资产'!$D$7)+ABS('风险资产'!$E$7))))</x:f>
        <x:v>27.8</x:v>
      </x:c>
      <x:c r="I8" s="58" t="n">
        <x:f>MAX(0,MIN(100,50+((B8-50)*'风险资产'!$B$9+(C8-50)*'风险资产'!$C$9+(D8-50)*'风险资产'!$D$9+(E8-50)*'风险资产'!$E$9)/(ABS('风险资产'!$B$9)+ABS('风险资产'!$C$9)+ABS('风险资产'!$D$9)+ABS('风险资产'!$E$9))))</x:f>
        <x:v>27.962962962962965</x:v>
      </x:c>
      <x:c r="J8" s="58" t="n">
        <x:f>MAX(0,MIN(100,50+((B8-50)*'风险资产'!$B$11+(C8-50)*'风险资产'!$C$11+(D8-50)*'风险资产'!$D$11+(E8-50)*'风险资产'!$E$11)/(ABS('风险资产'!$B$11)+ABS('风险资产'!$C$11)+ABS('风险资产'!$D$11)+ABS('风险资产'!$E$11))))</x:f>
        <x:v>43.75</x:v>
      </x:c>
      <x:c r="K8" s="58" t="n">
        <x:f>MAX(0,MIN(100,50+((B8-50)*'风险资产'!$B$15+(C8-50)*'风险资产'!$C$15+(D8-50)*'风险资产'!$D$15+(E8-50)*'风险资产'!$E$15)/(ABS('风险资产'!$B$15)+ABS('风险资产'!$C$15)+ABS('风险资产'!$D$15)+ABS('风险资产'!$E$15))))</x:f>
        <x:v>72.4</x:v>
      </x:c>
      <x:c r="L8" s="54" t="str">
        <x:v>工资、商品、BEI、实际利率与信用同时收紧</x:v>
      </x:c>
    </x:row>
    <x:row r="9" ht="33" customHeight="1">
      <x:c r="A9" s="54" t="str">
        <x:v>财政供给/期限溢价冲击</x:v>
      </x:c>
      <x:c r="B9" s="72" t="n">
        <x:v>55</x:v>
      </x:c>
      <x:c r="C9" s="72" t="n">
        <x:v>55</x:v>
      </x:c>
      <x:c r="D9" s="72" t="n">
        <x:v>85</x:v>
      </x:c>
      <x:c r="E9" s="72" t="n">
        <x:v>65</x:v>
      </x:c>
      <x:c r="F9" s="58" t="n">
        <x:f>MIN(100,MAX(0,(35%*B9+35%*C9+30%*D9)*(0.75+0.5*E9/100)))</x:f>
        <x:v>68.8</x:v>
      </x:c>
      <x:c r="G9" s="58" t="n">
        <x:f>MAX(0,MIN(100,50+((B9-50)*'风险资产'!$B$6+(C9-50)*'风险资产'!$C$6+(D9-50)*'风险资产'!$D$6+(E9-50)*'风险资产'!$E$6)/(ABS('风险资产'!$B$6)+ABS('风险资产'!$C$6)+ABS('风险资产'!$D$6)+ABS('风险资产'!$E$6))))</x:f>
        <x:v>34.14285714285714</x:v>
      </x:c>
      <x:c r="H9" s="58" t="n">
        <x:f>MAX(0,MIN(100,50+((B9-50)*'风险资产'!$B$7+(C9-50)*'风险资产'!$C$7+(D9-50)*'风险资产'!$D$7+(E9-50)*'风险资产'!$E$7)/(ABS('风险资产'!$B$7)+ABS('风险资产'!$C$7)+ABS('风险资产'!$D$7)+ABS('风险资产'!$E$7))))</x:f>
        <x:v>33.8</x:v>
      </x:c>
      <x:c r="I9" s="58" t="n">
        <x:f>MAX(0,MIN(100,50+((B9-50)*'风险资产'!$B$9+(C9-50)*'风险资产'!$C$9+(D9-50)*'风险资产'!$D$9+(E9-50)*'风险资产'!$E$9)/(ABS('风险资产'!$B$9)+ABS('风险资产'!$C$9)+ABS('风险资产'!$D$9)+ABS('风险资产'!$E$9))))</x:f>
        <x:v>35.370370370370374</x:v>
      </x:c>
      <x:c r="J9" s="58" t="n">
        <x:f>MAX(0,MIN(100,50+((B9-50)*'风险资产'!$B$11+(C9-50)*'风险资产'!$C$11+(D9-50)*'风险资产'!$D$11+(E9-50)*'风险资产'!$E$11)/(ABS('风险资产'!$B$11)+ABS('风险资产'!$C$11)+ABS('风险资产'!$D$11)+ABS('风险资产'!$E$11))))</x:f>
        <x:v>40</x:v>
      </x:c>
      <x:c r="K9" s="58" t="n">
        <x:f>MAX(0,MIN(100,50+((B9-50)*'风险资产'!$B$15+(C9-50)*'风险资产'!$C$15+(D9-50)*'风险资产'!$D$15+(E9-50)*'风险资产'!$E$15)/(ABS('风险资产'!$B$15)+ABS('风险资产'!$C$15)+ABS('风险资产'!$D$15)+ABS('风险资产'!$E$15))))</x:f>
        <x:v>64.2</x:v>
      </x:c>
      <x:c r="L9" s="54" t="str">
        <x:v>长端受供给与久期风险驱动，短端不一定同步</x:v>
      </x:c>
    </x:row>
    <x:row r="10" ht="33" customHeight="1">
      <x:c r="A10" s="54" t="str">
        <x:v>软着陆式降息</x:v>
      </x:c>
      <x:c r="B10" s="72" t="n">
        <x:v>35</x:v>
      </x:c>
      <x:c r="C10" s="72" t="n">
        <x:v>40</x:v>
      </x:c>
      <x:c r="D10" s="72" t="n">
        <x:v>45</x:v>
      </x:c>
      <x:c r="E10" s="72" t="n">
        <x:v>35</x:v>
      </x:c>
      <x:c r="F10" s="58" t="n">
        <x:f>MIN(100,MAX(0,(35%*B10+35%*C10+30%*D10)*(0.75+0.5*E10/100)))</x:f>
        <x:v>36.768750000000004</x:v>
      </x:c>
      <x:c r="G10" s="58" t="n">
        <x:f>MAX(0,MIN(100,50+((B10-50)*'风险资产'!$B$6+(C10-50)*'风险资产'!$C$6+(D10-50)*'风险资产'!$D$6+(E10-50)*'风险资产'!$E$6)/(ABS('风险资产'!$B$6)+ABS('风险资产'!$C$6)+ABS('风险资产'!$D$6)+ABS('风险资产'!$E$6))))</x:f>
        <x:v>61</x:v>
      </x:c>
      <x:c r="H10" s="58" t="n">
        <x:f>MAX(0,MIN(100,50+((B10-50)*'风险资产'!$B$7+(C10-50)*'风险资产'!$C$7+(D10-50)*'风险资产'!$D$7+(E10-50)*'风险资产'!$E$7)/(ABS('风险资产'!$B$7)+ABS('风险资产'!$C$7)+ABS('风险资产'!$D$7)+ABS('风险资产'!$E$7))))</x:f>
        <x:v>61.2</x:v>
      </x:c>
      <x:c r="I10" s="58" t="n">
        <x:f>MAX(0,MIN(100,50+((B10-50)*'风险资产'!$B$9+(C10-50)*'风险资产'!$C$9+(D10-50)*'风险资产'!$D$9+(E10-50)*'风险资产'!$E$9)/(ABS('风险资产'!$B$9)+ABS('风险资产'!$C$9)+ABS('风险资产'!$D$9)+ABS('风险资产'!$E$9))))</x:f>
        <x:v>62.407407407407405</x:v>
      </x:c>
      <x:c r="J10" s="58" t="n">
        <x:f>MAX(0,MIN(100,50+((B10-50)*'风险资产'!$B$11+(C10-50)*'风险资产'!$C$11+(D10-50)*'风险资产'!$D$11+(E10-50)*'风险资产'!$E$11)/(ABS('风险资产'!$B$11)+ABS('风险资产'!$C$11)+ABS('风险资产'!$D$11)+ABS('风险资产'!$E$11))))</x:f>
        <x:v>54.583333333333336</x:v>
      </x:c>
      <x:c r="K10" s="58" t="n">
        <x:f>MAX(0,MIN(100,50+((B10-50)*'风险资产'!$B$15+(C10-50)*'风险资产'!$C$15+(D10-50)*'风险资产'!$D$15+(E10-50)*'风险资产'!$E$15)/(ABS('风险资产'!$B$15)+ABS('风险资产'!$C$15)+ABS('风险资产'!$D$15)+ABS('风险资产'!$E$15))))</x:f>
        <x:v>37.8</x:v>
      </x:c>
      <x:c r="L10" s="54" t="str">
        <x:v>政策回落，通胀温和，信用条件保持稳定</x:v>
      </x:c>
    </x:row>
    <x:row r="11" ht="33" customHeight="1">
      <x:c r="A11" s="54" t="str">
        <x:v>衰退式降息</x:v>
      </x:c>
      <x:c r="B11" s="72" t="n">
        <x:v>25</x:v>
      </x:c>
      <x:c r="C11" s="72" t="n">
        <x:v>25</x:v>
      </x:c>
      <x:c r="D11" s="72" t="n">
        <x:v>35</x:v>
      </x:c>
      <x:c r="E11" s="72" t="n">
        <x:v>80</x:v>
      </x:c>
      <x:c r="F11" s="58" t="n">
        <x:f>MIN(100,MAX(0,(35%*B11+35%*C11+30%*D11)*(0.75+0.5*E11/100)))</x:f>
        <x:v>32.199999999999996</x:v>
      </x:c>
      <x:c r="G11" s="58" t="n">
        <x:f>MAX(0,MIN(100,50+((B11-50)*'风险资产'!$B$6+(C11-50)*'风险资产'!$C$6+(D11-50)*'风险资产'!$D$6+(E11-50)*'风险资产'!$E$6)/(ABS('风险资产'!$B$6)+ABS('风险资产'!$C$6)+ABS('风险资产'!$D$6)+ABS('风险资产'!$E$6))))</x:f>
        <x:v>59.57142857142857</x:v>
      </x:c>
      <x:c r="H11" s="58" t="n">
        <x:f>MAX(0,MIN(100,50+((B11-50)*'风险资产'!$B$7+(C11-50)*'风险资产'!$C$7+(D11-50)*'风险资产'!$D$7+(E11-50)*'风险资产'!$E$7)/(ABS('风险资产'!$B$7)+ABS('风险资产'!$C$7)+ABS('风险资产'!$D$7)+ABS('风险资产'!$E$7))))</x:f>
        <x:v>56.8</x:v>
      </x:c>
      <x:c r="I11" s="58" t="n">
        <x:f>MAX(0,MIN(100,50+((B11-50)*'风险资产'!$B$9+(C11-50)*'风险资产'!$C$9+(D11-50)*'风险资产'!$D$9+(E11-50)*'风险资产'!$E$9)/(ABS('风险资产'!$B$9)+ABS('风险资产'!$C$9)+ABS('风险资产'!$D$9)+ABS('风险资产'!$E$9))))</x:f>
        <x:v>50.74074074074074</x:v>
      </x:c>
      <x:c r="J11" s="58" t="n">
        <x:f>MAX(0,MIN(100,50+((B11-50)*'风险资产'!$B$11+(C11-50)*'风险资产'!$C$11+(D11-50)*'风险资产'!$D$11+(E11-50)*'风险资产'!$E$11)/(ABS('风险资产'!$B$11)+ABS('风险资产'!$C$11)+ABS('风险资产'!$D$11)+ABS('风险资产'!$E$11))))</x:f>
        <x:v>44.791666666666664</x:v>
      </x:c>
      <x:c r="K11" s="58" t="n">
        <x:f>MAX(0,MIN(100,50+((B11-50)*'风险资产'!$B$15+(C11-50)*'风险资产'!$C$15+(D11-50)*'风险资产'!$D$15+(E11-50)*'风险资产'!$E$15)/(ABS('风险资产'!$B$15)+ABS('风险资产'!$C$15)+ABS('风险资产'!$D$15)+ABS('风险资产'!$E$15))))</x:f>
        <x:v>44.6</x:v>
      </x:c>
      <x:c r="L11" s="54" t="str">
        <x:v>政策宽松但信用利差和波动率快速恶化</x:v>
      </x:c>
    </x:row>
    <x:row r="12" ht="33" customHeight="1">
      <x:c r="A12" s="65"/>
      <x:c r="B12" s="65"/>
      <x:c r="C12" s="65"/>
      <x:c r="D12" s="65"/>
      <x:c r="E12" s="65"/>
      <x:c r="F12" s="65"/>
      <x:c r="G12" s="65"/>
      <x:c r="H12" s="65"/>
      <x:c r="I12" s="65"/>
      <x:c r="J12" s="65"/>
      <x:c r="K12" s="65"/>
      <x:c r="L12" s="65"/>
    </x:row>
    <x:row r="13" ht="33" customHeight="1">
      <x:c r="A13" s="65"/>
      <x:c r="B13" s="65"/>
      <x:c r="C13" s="65"/>
      <x:c r="D13" s="65"/>
      <x:c r="E13" s="65"/>
      <x:c r="F13" s="65"/>
      <x:c r="G13" s="65"/>
      <x:c r="H13" s="65"/>
      <x:c r="I13" s="65"/>
      <x:c r="J13" s="65"/>
      <x:c r="K13" s="65"/>
      <x:c r="L13" s="65"/>
    </x:row>
    <x:row r="14" ht="33" customHeight="1">
      <x:c r="A14" s="66" t="str">
        <x:v>制度判别阈值与证伪条件</x:v>
      </x:c>
      <x:c r="B14" s="66" t="str">
        <x:v>制度判别阈值与证伪条件</x:v>
      </x:c>
      <x:c r="C14" s="66" t="str">
        <x:v>制度判别阈值与证伪条件</x:v>
      </x:c>
      <x:c r="D14" s="66" t="str">
        <x:v>制度判别阈值与证伪条件</x:v>
      </x:c>
      <x:c r="E14" s="66" t="str">
        <x:v>制度判别阈值与证伪条件</x:v>
      </x:c>
      <x:c r="F14" s="66" t="str">
        <x:v>制度判别阈值与证伪条件</x:v>
      </x:c>
      <x:c r="G14" s="66" t="str">
        <x:v>制度判别阈值与证伪条件</x:v>
      </x:c>
      <x:c r="H14" s="66" t="str">
        <x:v>制度判别阈值与证伪条件</x:v>
      </x:c>
      <x:c r="I14" s="66" t="str">
        <x:v>制度判别阈值与证伪条件</x:v>
      </x:c>
      <x:c r="J14" s="66" t="str">
        <x:v>制度判别阈值与证伪条件</x:v>
      </x:c>
      <x:c r="K14" s="66" t="str">
        <x:v>制度判别阈值与证伪条件</x:v>
      </x:c>
      <x:c r="L14" s="66" t="str">
        <x:v>制度判别阈值与证伪条件</x:v>
      </x:c>
    </x:row>
    <x:row r="15" ht="33" customHeight="1">
      <x:c r="A15" s="38" t="str">
        <x:v>判别</x:v>
      </x:c>
      <x:c r="B15" s="38" t="str">
        <x:v>硬条件</x:v>
      </x:c>
      <x:c r="C15" s="38" t="str">
        <x:v>含义</x:v>
      </x:c>
      <x:c r="D15" s="38" t="str">
        <x:v>优先跟踪</x:v>
      </x:c>
      <x:c r="E15" s="38" t="str">
        <x:v>证伪条件</x:v>
      </x:c>
      <x:c r="F15" s="38" t="str">
        <x:v>观察窗</x:v>
      </x:c>
      <x:c r="G15" s="65"/>
      <x:c r="H15" s="65"/>
      <x:c r="I15" s="65"/>
      <x:c r="J15" s="65"/>
      <x:c r="K15" s="65"/>
      <x:c r="L15" s="65"/>
    </x:row>
    <x:row r="16" ht="33" customHeight="1">
      <x:c r="A16" s="54" t="str">
        <x:v>政策独涨</x:v>
      </x:c>
      <x:c r="B16" s="54" t="str">
        <x:v>政策≥60；通胀&lt;55；传导&lt;55</x:v>
      </x:c>
      <x:c r="C16" s="54" t="str">
        <x:v>预防性或单点政策重定价</x:v>
      </x:c>
      <x:c r="D16" s="54" t="str">
        <x:v>2Y/OIS、实际利率、信用利差</x:v>
      </x:c>
      <x:c r="E16" s="54" t="str">
        <x:v>BEI/工资/信用同时转强</x:v>
      </x:c>
      <x:c r="F16" s="54" t="str">
        <x:v>1-4周</x:v>
      </x:c>
      <x:c r="G16" s="65"/>
      <x:c r="H16" s="65"/>
      <x:c r="I16" s="65"/>
      <x:c r="J16" s="65"/>
      <x:c r="K16" s="65"/>
      <x:c r="L16" s="65"/>
    </x:row>
    <x:row r="17" ht="33" customHeight="1">
      <x:c r="A17" s="54" t="str">
        <x:v>全面收紧传导</x:v>
      </x:c>
      <x:c r="B17" s="54" t="str">
        <x:v>基础压力≥65；传导≥60</x:v>
      </x:c>
      <x:c r="C17" s="54" t="str">
        <x:v>风险资产进入广谱压力</x:v>
      </x:c>
      <x:c r="D17" s="54" t="str">
        <x:v>真实利率、HY OAS、VIX、美元、NFCI</x:v>
      </x:c>
      <x:c r="E17" s="54" t="str">
        <x:v>信用利差与NFCI不确认</x:v>
      </x:c>
      <x:c r="F17" s="54" t="str">
        <x:v>数日-4周</x:v>
      </x:c>
      <x:c r="G17" s="65"/>
      <x:c r="H17" s="65"/>
      <x:c r="I17" s="65"/>
      <x:c r="J17" s="65"/>
      <x:c r="K17" s="65"/>
      <x:c r="L17" s="65"/>
    </x:row>
    <x:row r="18" ht="33" customHeight="1">
      <x:c r="A18" s="54" t="str">
        <x:v>通胀再锚定失败</x:v>
      </x:c>
      <x:c r="B18" s="54" t="str">
        <x:v>通胀≥60；期限≥60</x:v>
      </x:c>
      <x:c r="C18" s="54" t="str">
        <x:v>名义+真实折现率双升</x:v>
      </x:c>
      <x:c r="D18" s="54" t="str">
        <x:v>5Y BEI、WGT、油价/PPI、ACM TP</x:v>
      </x:c>
      <x:c r="E18" s="54" t="str">
        <x:v>工资/BEI回落或油价冲击逆转</x:v>
      </x:c>
      <x:c r="F18" s="54" t="str">
        <x:v>1-3月</x:v>
      </x:c>
      <x:c r="G18" s="65"/>
      <x:c r="H18" s="65"/>
      <x:c r="I18" s="65"/>
      <x:c r="J18" s="65"/>
      <x:c r="K18" s="65"/>
      <x:c r="L18" s="65"/>
    </x:row>
    <x:row r="19" ht="33" customHeight="1">
      <x:c r="A19" s="54" t="str">
        <x:v>期限溢价冲击</x:v>
      </x:c>
      <x:c r="B19" s="54" t="str">
        <x:v>期限≥65；政策&lt;60</x:v>
      </x:c>
      <x:c r="C19" s="54" t="str">
        <x:v>财政供给/久期风险主导长端</x:v>
      </x:c>
      <x:c r="D19" s="54" t="str">
        <x:v>ACM TP、拍卖尾差、期限曲线</x:v>
      </x:c>
      <x:c r="E19" s="54" t="str">
        <x:v>TP回落且长端收益率不再上行</x:v>
      </x:c>
      <x:c r="F19" s="54" t="str">
        <x:v>1-8周</x:v>
      </x:c>
      <x:c r="G19" s="65"/>
      <x:c r="H19" s="65"/>
      <x:c r="I19" s="65"/>
      <x:c r="J19" s="65"/>
      <x:c r="K19" s="65"/>
      <x:c r="L19" s="65"/>
    </x:row>
    <x:row r="20" ht="33" customHeight="1">
      <x:c r="A20" s="54" t="str">
        <x:v>软着陆宽松</x:v>
      </x:c>
      <x:c r="B20" s="54" t="str">
        <x:v>政策≤40；通胀≤45；传导≤45</x:v>
      </x:c>
      <x:c r="C20" s="54" t="str">
        <x:v>折现率下行且信用稳定</x:v>
      </x:c>
      <x:c r="D20" s="54" t="str">
        <x:v>2Y、实际利率、HY OAS、NFCI</x:v>
      </x:c>
      <x:c r="E20" s="54" t="str">
        <x:v>信用快速恶化</x:v>
      </x:c>
      <x:c r="F20" s="54" t="str">
        <x:v>1-3月</x:v>
      </x:c>
      <x:c r="G20" s="65"/>
      <x:c r="H20" s="65"/>
      <x:c r="I20" s="65"/>
      <x:c r="J20" s="65"/>
      <x:c r="K20" s="65"/>
      <x:c r="L20" s="65"/>
    </x:row>
    <x:row r="21" ht="33" customHeight="1">
      <x:c r="A21" s="54" t="str">
        <x:v>衰退式宽松</x:v>
      </x:c>
      <x:c r="B21" s="54" t="str">
        <x:v>政策≤35；传导≥65</x:v>
      </x:c>
      <x:c r="C21" s="54" t="str">
        <x:v>降息不能抵消盈利/信用风险</x:v>
      </x:c>
      <x:c r="D21" s="54" t="str">
        <x:v>初请、失业率、HY OAS、VIX</x:v>
      </x:c>
      <x:c r="E21" s="54" t="str">
        <x:v>信用与就业企稳</x:v>
      </x:c>
      <x:c r="F21" s="54" t="str">
        <x:v>数周-2季</x:v>
      </x:c>
      <x:c r="G21" s="65"/>
      <x:c r="H21" s="65"/>
      <x:c r="I21" s="65"/>
      <x:c r="J21" s="65"/>
      <x:c r="K21" s="65"/>
      <x:c r="L21" s="65"/>
    </x:row>
  </x:sheetData>
  <x:mergeCells>
    <x:mergeCell ref="A1:L2"/>
    <x:mergeCell ref="A3:L3"/>
    <x:mergeCell ref="A14:L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8064A2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5" hidden="0" customWidth="1"/>
    <x:col min="4" max="4" width="15" hidden="0" customWidth="1"/>
    <x:col min="5" max="5" width="15" hidden="0" customWidth="1"/>
    <x:col min="6" max="6" width="13" hidden="0" customWidth="1"/>
    <x:col min="7" max="7" width="13" hidden="0" customWidth="1"/>
    <x:col min="8" max="8" width="13" hidden="0" customWidth="1"/>
    <x:col min="9" max="9" width="39" hidden="0" customWidth="1"/>
    <x:col min="10" max="10" width="48" hidden="0" customWidth="1"/>
  </x:cols>
  <x:sheetData>
    <x:row r="1" ht="31" customHeight="1">
      <x:c r="A1" s="6" t="str">
        <x:v>高频指标可得性与准确性</x:v>
      </x:c>
      <x:c r="B1" s="6" t="str">
        <x:v>高频指标可得性与准确性</x:v>
      </x:c>
      <x:c r="C1" s="6" t="str">
        <x:v>高频指标可得性与准确性</x:v>
      </x:c>
      <x:c r="D1" s="6" t="str">
        <x:v>高频指标可得性与准确性</x:v>
      </x:c>
      <x:c r="E1" s="6" t="str">
        <x:v>高频指标可得性与准确性</x:v>
      </x:c>
      <x:c r="F1" s="6" t="str">
        <x:v>高频指标可得性与准确性</x:v>
      </x:c>
      <x:c r="G1" s="6" t="str">
        <x:v>高频指标可得性与准确性</x:v>
      </x:c>
      <x:c r="H1" s="6" t="str">
        <x:v>高频指标可得性与准确性</x:v>
      </x:c>
      <x:c r="I1" s="6" t="str">
        <x:v>高频指标可得性与准确性</x:v>
      </x:c>
      <x:c r="J1" s="6" t="str">
        <x:v>高频指标可得性与准确性</x:v>
      </x:c>
    </x:row>
    <x:row r="2" ht="31" customHeight="1">
      <x:c r="A2" s="6" t="str">
        <x:v>高频指标可得性与准确性</x:v>
      </x:c>
      <x:c r="B2" s="6" t="str">
        <x:v>高频指标可得性与准确性</x:v>
      </x:c>
      <x:c r="C2" s="6" t="str">
        <x:v>高频指标可得性与准确性</x:v>
      </x:c>
      <x:c r="D2" s="6" t="str">
        <x:v>高频指标可得性与准确性</x:v>
      </x:c>
      <x:c r="E2" s="6" t="str">
        <x:v>高频指标可得性与准确性</x:v>
      </x:c>
      <x:c r="F2" s="6" t="str">
        <x:v>高频指标可得性与准确性</x:v>
      </x:c>
      <x:c r="G2" s="6" t="str">
        <x:v>高频指标可得性与准确性</x:v>
      </x:c>
      <x:c r="H2" s="6" t="str">
        <x:v>高频指标可得性与准确性</x:v>
      </x:c>
      <x:c r="I2" s="6" t="str">
        <x:v>高频指标可得性与准确性</x:v>
      </x:c>
      <x:c r="J2" s="6" t="str">
        <x:v>高频指标可得性与准确性</x:v>
      </x:c>
    </x:row>
    <x:row r="3">
      <x:c r="A3" s="10" t="str">
        <x:v>“可得性”衡量免费、更新频率与获取难度；“准确性”衡量对目标概念的贴合度与修订/模型风险。两者必须分开。</x:v>
      </x:c>
      <x:c r="B3" s="10" t="str">
        <x:v>“可得性”衡量免费、更新频率与获取难度；“准确性”衡量对目标概念的贴合度与修订/模型风险。两者必须分开。</x:v>
      </x:c>
      <x:c r="C3" s="10" t="str">
        <x:v>“可得性”衡量免费、更新频率与获取难度；“准确性”衡量对目标概念的贴合度与修订/模型风险。两者必须分开。</x:v>
      </x:c>
      <x:c r="D3" s="10" t="str">
        <x:v>“可得性”衡量免费、更新频率与获取难度；“准确性”衡量对目标概念的贴合度与修订/模型风险。两者必须分开。</x:v>
      </x:c>
      <x:c r="E3" s="10" t="str">
        <x:v>“可得性”衡量免费、更新频率与获取难度；“准确性”衡量对目标概念的贴合度与修订/模型风险。两者必须分开。</x:v>
      </x:c>
      <x:c r="F3" s="10" t="str">
        <x:v>“可得性”衡量免费、更新频率与获取难度；“准确性”衡量对目标概念的贴合度与修订/模型风险。两者必须分开。</x:v>
      </x:c>
      <x:c r="G3" s="10" t="str">
        <x:v>“可得性”衡量免费、更新频率与获取难度；“准确性”衡量对目标概念的贴合度与修订/模型风险。两者必须分开。</x:v>
      </x:c>
      <x:c r="H3" s="10" t="str">
        <x:v>“可得性”衡量免费、更新频率与获取难度；“准确性”衡量对目标概念的贴合度与修订/模型风险。两者必须分开。</x:v>
      </x:c>
      <x:c r="I3" s="10" t="str">
        <x:v>“可得性”衡量免费、更新频率与获取难度；“准确性”衡量对目标概念的贴合度与修订/模型风险。两者必须分开。</x:v>
      </x:c>
      <x:c r="J3" s="10" t="str">
        <x:v>“可得性”衡量免费、更新频率与获取难度；“准确性”衡量对目标概念的贴合度与修订/模型风险。两者必须分开。</x:v>
      </x:c>
    </x:row>
    <x:row r="5" ht="32" customHeight="1">
      <x:c r="A5" s="38" t="str">
        <x:v>维度</x:v>
      </x:c>
      <x:c r="B5" s="38" t="str">
        <x:v>指标</x:v>
      </x:c>
      <x:c r="C5" s="38" t="str">
        <x:v>频率</x:v>
      </x:c>
      <x:c r="D5" s="38" t="str">
        <x:v>典型滞后</x:v>
      </x:c>
      <x:c r="E5" s="38" t="str">
        <x:v>修订风险</x:v>
      </x:c>
      <x:c r="F5" s="38" t="str">
        <x:v>可得性</x:v>
      </x:c>
      <x:c r="G5" s="38" t="str">
        <x:v>准确性</x:v>
      </x:c>
      <x:c r="H5" s="38" t="str">
        <x:v>是否入模</x:v>
      </x:c>
      <x:c r="I5" s="38" t="str">
        <x:v>主要局限</x:v>
      </x:c>
      <x:c r="J5" s="38" t="str">
        <x:v>官方来源</x:v>
      </x:c>
    </x:row>
    <x:row r="6" ht="32" customHeight="1">
      <x:c r="A6" s="54" t="str">
        <x:v>政策</x:v>
      </x:c>
      <x:c r="B6" s="54" t="str">
        <x:v>有效联邦基金利率 EFFR</x:v>
      </x:c>
      <x:c r="C6" s="54" t="str">
        <x:v>日</x:v>
      </x:c>
      <x:c r="D6" s="54" t="str">
        <x:v>1日</x:v>
      </x:c>
      <x:c r="E6" s="54" t="str">
        <x:v>低</x:v>
      </x:c>
      <x:c r="F6" s="77" t="n">
        <x:v>5</x:v>
      </x:c>
      <x:c r="G6" s="77" t="n">
        <x:v>5</x:v>
      </x:c>
      <x:c r="H6" s="54" t="str">
        <x:v>是</x:v>
      </x:c>
      <x:c r="I6" s="54" t="str">
        <x:v>准确描述当前政策落点，不代表未来路径</x:v>
      </x:c>
      <x:c r="J6" s="54" t="str">
        <x:v>https://www.newyorkfed.org/markets/reference-rates/effr</x:v>
      </x:c>
    </x:row>
    <x:row r="7" ht="32" customHeight="1">
      <x:c r="A7" s="54" t="str">
        <x:v>政策</x:v>
      </x:c>
      <x:c r="B7" s="54" t="str">
        <x:v>SOFR</x:v>
      </x:c>
      <x:c r="C7" s="54" t="str">
        <x:v>日</x:v>
      </x:c>
      <x:c r="D7" s="54" t="str">
        <x:v>1日</x:v>
      </x:c>
      <x:c r="E7" s="54" t="str">
        <x:v>低</x:v>
      </x:c>
      <x:c r="F7" s="77" t="n">
        <x:v>5</x:v>
      </x:c>
      <x:c r="G7" s="77" t="n">
        <x:v>5</x:v>
      </x:c>
      <x:c r="H7" s="54" t="str">
        <x:v>辅助</x:v>
      </x:c>
      <x:c r="I7" s="54" t="str">
        <x:v>交易基础强，但仍是隔夜融资现状</x:v>
      </x:c>
      <x:c r="J7" s="54" t="str">
        <x:v>https://www.newyorkfed.org/markets/reference-rates/sofr</x:v>
      </x:c>
    </x:row>
    <x:row r="8" ht="32" customHeight="1">
      <x:c r="A8" s="54" t="str">
        <x:v>政策</x:v>
      </x:c>
      <x:c r="B8" s="54" t="str">
        <x:v>Fed funds futures / OIS</x:v>
      </x:c>
      <x:c r="C8" s="54" t="str">
        <x:v>日内</x:v>
      </x:c>
      <x:c r="D8" s="54" t="str">
        <x:v>实时</x:v>
      </x:c>
      <x:c r="E8" s="54" t="str">
        <x:v>低</x:v>
      </x:c>
      <x:c r="F8" s="77" t="n">
        <x:v>3</x:v>
      </x:c>
      <x:c r="G8" s="77" t="n">
        <x:v>4</x:v>
      </x:c>
      <x:c r="H8" s="54" t="str">
        <x:v>首选但需终端</x:v>
      </x:c>
      <x:c r="I8" s="54" t="str">
        <x:v>含风险溢价、合约技术因素；免费历史不完整</x:v>
      </x:c>
      <x:c r="J8" s="54" t="str">
        <x:v>https://www.cmegroup.com/markets/interest-rates/cme-fedwatch-tool.html</x:v>
      </x:c>
    </x:row>
    <x:row r="9" ht="32" customHeight="1">
      <x:c r="A9" s="54" t="str">
        <x:v>政策</x:v>
      </x:c>
      <x:c r="B9" s="54" t="str">
        <x:v>2Y美债</x:v>
      </x:c>
      <x:c r="C9" s="54" t="str">
        <x:v>日内</x:v>
      </x:c>
      <x:c r="D9" s="54" t="str">
        <x:v>实时</x:v>
      </x:c>
      <x:c r="E9" s="54" t="str">
        <x:v>低</x:v>
      </x:c>
      <x:c r="F9" s="77" t="n">
        <x:v>5</x:v>
      </x:c>
      <x:c r="G9" s="77" t="n">
        <x:v>4</x:v>
      </x:c>
      <x:c r="H9" s="54" t="str">
        <x:v>是</x:v>
      </x:c>
      <x:c r="I9" s="54" t="str">
        <x:v>政策路径代理，仍含期限溢价</x:v>
      </x:c>
      <x:c r="J9" s="54" t="str">
        <x:v>https://fred.stlouisfed.org/series/DGS2</x:v>
      </x:c>
    </x:row>
    <x:row r="10" ht="32" customHeight="1">
      <x:c r="A10" s="54" t="str">
        <x:v>通胀</x:v>
      </x:c>
      <x:c r="B10" s="54" t="str">
        <x:v>5Y/10Y盈亏平衡通胀</x:v>
      </x:c>
      <x:c r="C10" s="54" t="str">
        <x:v>日</x:v>
      </x:c>
      <x:c r="D10" s="54" t="str">
        <x:v>1日</x:v>
      </x:c>
      <x:c r="E10" s="54" t="str">
        <x:v>低</x:v>
      </x:c>
      <x:c r="F10" s="77" t="n">
        <x:v>5</x:v>
      </x:c>
      <x:c r="G10" s="77" t="n">
        <x:v>3</x:v>
      </x:c>
      <x:c r="H10" s="54" t="str">
        <x:v>是</x:v>
      </x:c>
      <x:c r="I10" s="54" t="str">
        <x:v>含通胀风险溢价与TIPS流动性溢价</x:v>
      </x:c>
      <x:c r="J10" s="54" t="str">
        <x:v>https://www.federalreserve.gov/data/tips-yield-curve-and-inflation-compensation.htm</x:v>
      </x:c>
    </x:row>
    <x:row r="11" ht="32" customHeight="1">
      <x:c r="A11" s="54" t="str">
        <x:v>通胀</x:v>
      </x:c>
      <x:c r="B11" s="54" t="str">
        <x:v>5Y5Y远期通胀补偿</x:v>
      </x:c>
      <x:c r="C11" s="54" t="str">
        <x:v>日</x:v>
      </x:c>
      <x:c r="D11" s="54" t="str">
        <x:v>1日</x:v>
      </x:c>
      <x:c r="E11" s="54" t="str">
        <x:v>低</x:v>
      </x:c>
      <x:c r="F11" s="77" t="n">
        <x:v>5</x:v>
      </x:c>
      <x:c r="G11" s="77" t="n">
        <x:v>3</x:v>
      </x:c>
      <x:c r="H11" s="54" t="str">
        <x:v>是</x:v>
      </x:c>
      <x:c r="I11" s="54" t="str">
        <x:v>长期锚但对短期油价不敏感</x:v>
      </x:c>
      <x:c r="J11" s="54" t="str">
        <x:v>https://fred.stlouisfed.org/series/T5YIFR</x:v>
      </x:c>
    </x:row>
    <x:row r="12" ht="32" customHeight="1">
      <x:c r="A12" s="54" t="str">
        <x:v>通胀</x:v>
      </x:c>
      <x:c r="B12" s="54" t="str">
        <x:v>Cleveland Fed Inflation Nowcast</x:v>
      </x:c>
      <x:c r="C12" s="54" t="str">
        <x:v>工作日</x:v>
      </x:c>
      <x:c r="D12" s="54" t="str">
        <x:v>当日</x:v>
      </x:c>
      <x:c r="E12" s="54" t="str">
        <x:v>模型会重估</x:v>
      </x:c>
      <x:c r="F12" s="77" t="n">
        <x:v>5</x:v>
      </x:c>
      <x:c r="G12" s="77" t="n">
        <x:v>3</x:v>
      </x:c>
      <x:c r="H12" s="54" t="str">
        <x:v>辅助</x:v>
      </x:c>
      <x:c r="I12" s="54" t="str">
        <x:v>headline受油价驱动，core在月内变化很少</x:v>
      </x:c>
      <x:c r="J12" s="54" t="str">
        <x:v>https://www.clevelandfed.org/indicators-and-data/inflation-nowcasting</x:v>
      </x:c>
    </x:row>
    <x:row r="13" ht="32" customHeight="1">
      <x:c r="A13" s="54" t="str">
        <x:v>期限</x:v>
      </x:c>
      <x:c r="B13" s="54" t="str">
        <x:v>NY Fed ACM 10Y期限溢价</x:v>
      </x:c>
      <x:c r="C13" s="54" t="str">
        <x:v>日度估计/周更</x:v>
      </x:c>
      <x:c r="D13" s="54" t="str">
        <x:v>数日</x:v>
      </x:c>
      <x:c r="E13" s="54" t="str">
        <x:v>模型修订</x:v>
      </x:c>
      <x:c r="F13" s="77" t="n">
        <x:v>5</x:v>
      </x:c>
      <x:c r="G13" s="77" t="n">
        <x:v>3</x:v>
      </x:c>
      <x:c r="H13" s="54" t="str">
        <x:v>是</x:v>
      </x:c>
      <x:c r="I13" s="54" t="str">
        <x:v>模型依赖强，不能视为可观测价格</x:v>
      </x:c>
      <x:c r="J13" s="54" t="str">
        <x:v>https://www.newyorkfed.org/research/data_indicators/term-premia-tabs</x:v>
      </x:c>
    </x:row>
    <x:row r="14" ht="32" customHeight="1">
      <x:c r="A14" s="54" t="str">
        <x:v>期限</x:v>
      </x:c>
      <x:c r="B14" s="54" t="str">
        <x:v>SF Fed期限溢价</x:v>
      </x:c>
      <x:c r="C14" s="54" t="str">
        <x:v>日</x:v>
      </x:c>
      <x:c r="D14" s="54" t="str">
        <x:v>1日</x:v>
      </x:c>
      <x:c r="E14" s="54" t="str">
        <x:v>模型修订</x:v>
      </x:c>
      <x:c r="F14" s="77" t="n">
        <x:v>5</x:v>
      </x:c>
      <x:c r="G14" s="77" t="n">
        <x:v>3</x:v>
      </x:c>
      <x:c r="H14" s="54" t="str">
        <x:v>交叉核验</x:v>
      </x:c>
      <x:c r="I14" s="54" t="str">
        <x:v>不同模型可能给出不同水平</x:v>
      </x:c>
      <x:c r="J14" s="54" t="str">
        <x:v>https://www.frbsf.org/research-and-insights/data-and-indicators/treasury-yield-premiums/</x:v>
      </x:c>
    </x:row>
    <x:row r="15" ht="32" customHeight="1">
      <x:c r="A15" s="54" t="str">
        <x:v>工资</x:v>
      </x:c>
      <x:c r="B15" s="54" t="str">
        <x:v>平均时薪 AHE</x:v>
      </x:c>
      <x:c r="C15" s="54" t="str">
        <x:v>月</x:v>
      </x:c>
      <x:c r="D15" s="54" t="str">
        <x:v>约1周</x:v>
      </x:c>
      <x:c r="E15" s="54" t="str">
        <x:v>中高</x:v>
      </x:c>
      <x:c r="F15" s="77" t="n">
        <x:v>5</x:v>
      </x:c>
      <x:c r="G15" s="77" t="n">
        <x:v>3</x:v>
      </x:c>
      <x:c r="H15" s="54" t="str">
        <x:v>是</x:v>
      </x:c>
      <x:c r="I15" s="54" t="str">
        <x:v>构成效应、月度修订和年度基准修订</x:v>
      </x:c>
      <x:c r="J15" s="54" t="str">
        <x:v>https://www.bls.gov/news.release/empsit.htm</x:v>
      </x:c>
    </x:row>
    <x:row r="16" ht="32" customHeight="1">
      <x:c r="A16" s="54" t="str">
        <x:v>工资</x:v>
      </x:c>
      <x:c r="B16" s="54" t="str">
        <x:v>Atlanta Fed Wage Growth Tracker</x:v>
      </x:c>
      <x:c r="C16" s="54" t="str">
        <x:v>月</x:v>
      </x:c>
      <x:c r="D16" s="54" t="str">
        <x:v>约2周</x:v>
      </x:c>
      <x:c r="E16" s="54" t="str">
        <x:v>方法变更风险</x:v>
      </x:c>
      <x:c r="F16" s="77" t="n">
        <x:v>5</x:v>
      </x:c>
      <x:c r="G16" s="77" t="n">
        <x:v>4</x:v>
      </x:c>
      <x:c r="H16" s="54" t="str">
        <x:v>是</x:v>
      </x:c>
      <x:c r="I16" s="54" t="str">
        <x:v>匹配样本、3个月均值；不等于中位工资增速</x:v>
      </x:c>
      <x:c r="J16" s="54" t="str">
        <x:v>https://www.atlantafed.org/research-and-data/data/wage-growth-tracker</x:v>
      </x:c>
    </x:row>
    <x:row r="17" ht="32" customHeight="1">
      <x:c r="A17" s="54" t="str">
        <x:v>工资</x:v>
      </x:c>
      <x:c r="B17" s="54" t="str">
        <x:v>就业成本指数 ECI</x:v>
      </x:c>
      <x:c r="C17" s="54" t="str">
        <x:v>季</x:v>
      </x:c>
      <x:c r="D17" s="54" t="str">
        <x:v>约1月</x:v>
      </x:c>
      <x:c r="E17" s="54" t="str">
        <x:v>低</x:v>
      </x:c>
      <x:c r="F17" s="77" t="n">
        <x:v>5</x:v>
      </x:c>
      <x:c r="G17" s="77" t="n">
        <x:v>5</x:v>
      </x:c>
      <x:c r="H17" s="54" t="str">
        <x:v>慢变量</x:v>
      </x:c>
      <x:c r="I17" s="54" t="str">
        <x:v>口径最稳健，但频率太低</x:v>
      </x:c>
      <x:c r="J17" s="54" t="str">
        <x:v>https://www.bls.gov/eci/</x:v>
      </x:c>
    </x:row>
    <x:row r="18" ht="32" customHeight="1">
      <x:c r="A18" s="54" t="str">
        <x:v>就业</x:v>
      </x:c>
      <x:c r="B18" s="54" t="str">
        <x:v>失业率</x:v>
      </x:c>
      <x:c r="C18" s="54" t="str">
        <x:v>月</x:v>
      </x:c>
      <x:c r="D18" s="54" t="str">
        <x:v>约1周</x:v>
      </x:c>
      <x:c r="E18" s="54" t="str">
        <x:v>中</x:v>
      </x:c>
      <x:c r="F18" s="77" t="n">
        <x:v>5</x:v>
      </x:c>
      <x:c r="G18" s="77" t="n">
        <x:v>4</x:v>
      </x:c>
      <x:c r="H18" s="54" t="str">
        <x:v>是</x:v>
      </x:c>
      <x:c r="I18" s="54" t="str">
        <x:v>家庭调查月度噪声；定义不含未主动求职者</x:v>
      </x:c>
      <x:c r="J18" s="54" t="str">
        <x:v>https://www.bls.gov/news.release/empsit.htm</x:v>
      </x:c>
    </x:row>
    <x:row r="19" ht="32" customHeight="1">
      <x:c r="A19" s="54" t="str">
        <x:v>就业</x:v>
      </x:c>
      <x:c r="B19" s="54" t="str">
        <x:v>初请失业金</x:v>
      </x:c>
      <x:c r="C19" s="54" t="str">
        <x:v>周</x:v>
      </x:c>
      <x:c r="D19" s="54" t="str">
        <x:v>5日左右</x:v>
      </x:c>
      <x:c r="E19" s="54" t="str">
        <x:v>中</x:v>
      </x:c>
      <x:c r="F19" s="77" t="n">
        <x:v>5</x:v>
      </x:c>
      <x:c r="G19" s="77" t="n">
        <x:v>4</x:v>
      </x:c>
      <x:c r="H19" s="54" t="str">
        <x:v>是</x:v>
      </x:c>
      <x:c r="I19" s="54" t="str">
        <x:v>及时，但季调、假日与州申报扰动明显</x:v>
      </x:c>
      <x:c r="J19" s="54" t="str">
        <x:v>https://www.dol.gov/ui/data.pdf</x:v>
      </x:c>
    </x:row>
    <x:row r="20" ht="32" customHeight="1">
      <x:c r="A20" s="54" t="str">
        <x:v>就业</x:v>
      </x:c>
      <x:c r="B20" s="54" t="str">
        <x:v>JOLTS职位空缺</x:v>
      </x:c>
      <x:c r="C20" s="54" t="str">
        <x:v>月</x:v>
      </x:c>
      <x:c r="D20" s="54" t="str">
        <x:v>约1月</x:v>
      </x:c>
      <x:c r="E20" s="54" t="str">
        <x:v>高</x:v>
      </x:c>
      <x:c r="F20" s="77" t="n">
        <x:v>5</x:v>
      </x:c>
      <x:c r="G20" s="77" t="n">
        <x:v>3</x:v>
      </x:c>
      <x:c r="H20" s="54" t="str">
        <x:v>是</x:v>
      </x:c>
      <x:c r="I20" s="54" t="str">
        <x:v>不是高频；5年数据可年度重修</x:v>
      </x:c>
      <x:c r="J20" s="54" t="str">
        <x:v>https://www.bls.gov/jlt/</x:v>
      </x:c>
    </x:row>
    <x:row r="21" ht="32" customHeight="1">
      <x:c r="A21" s="54" t="str">
        <x:v>就业</x:v>
      </x:c>
      <x:c r="B21" s="54" t="str">
        <x:v>Indeed职位发布</x:v>
      </x:c>
      <x:c r="C21" s="54" t="str">
        <x:v>日/周</x:v>
      </x:c>
      <x:c r="D21" s="54" t="str">
        <x:v>较短</x:v>
      </x:c>
      <x:c r="E21" s="54" t="str">
        <x:v>口径变更风险</x:v>
      </x:c>
      <x:c r="F21" s="77" t="n">
        <x:v>4</x:v>
      </x:c>
      <x:c r="G21" s="77" t="n">
        <x:v>3</x:v>
      </x:c>
      <x:c r="H21" s="54" t="str">
        <x:v>交叉核验</x:v>
      </x:c>
      <x:c r="I21" s="54" t="str">
        <x:v>私人平台覆盖偏差、定义可能变化</x:v>
      </x:c>
      <x:c r="J21" s="54" t="str">
        <x:v>https://data.indeed.com/</x:v>
      </x:c>
    </x:row>
    <x:row r="22" ht="32" customHeight="1">
      <x:c r="A22" s="54" t="str">
        <x:v>原材料</x:v>
      </x:c>
      <x:c r="B22" s="54" t="str">
        <x:v>WTI/Brent现货与期货</x:v>
      </x:c>
      <x:c r="C22" s="54" t="str">
        <x:v>日内</x:v>
      </x:c>
      <x:c r="D22" s="54" t="str">
        <x:v>实时</x:v>
      </x:c>
      <x:c r="E22" s="54" t="str">
        <x:v>低</x:v>
      </x:c>
      <x:c r="F22" s="77" t="n">
        <x:v>5</x:v>
      </x:c>
      <x:c r="G22" s="77" t="n">
        <x:v>5</x:v>
      </x:c>
      <x:c r="H22" s="54" t="str">
        <x:v>是</x:v>
      </x:c>
      <x:c r="I22" s="54" t="str">
        <x:v>准确反映能源价格，但不代表核心服务通胀</x:v>
      </x:c>
      <x:c r="J22" s="54" t="str">
        <x:v>https://www.eia.gov/finance/</x:v>
      </x:c>
    </x:row>
    <x:row r="23" ht="32" customHeight="1">
      <x:c r="A23" s="54" t="str">
        <x:v>原材料</x:v>
      </x:c>
      <x:c r="B23" s="54" t="str">
        <x:v>EIA库存与成品油价格</x:v>
      </x:c>
      <x:c r="C23" s="54" t="str">
        <x:v>周</x:v>
      </x:c>
      <x:c r="D23" s="54" t="str">
        <x:v>数日</x:v>
      </x:c>
      <x:c r="E23" s="54" t="str">
        <x:v>中</x:v>
      </x:c>
      <x:c r="F23" s="77" t="n">
        <x:v>5</x:v>
      </x:c>
      <x:c r="G23" s="77" t="n">
        <x:v>4</x:v>
      </x:c>
      <x:c r="H23" s="54" t="str">
        <x:v>跟踪</x:v>
      </x:c>
      <x:c r="I23" s="54" t="str">
        <x:v>用于区分供给冲击、去库与需求变化</x:v>
      </x:c>
      <x:c r="J23" s="54" t="str">
        <x:v>https://www.eia.gov/petroleum/supply/weekly/</x:v>
      </x:c>
    </x:row>
    <x:row r="24" ht="32" customHeight="1">
      <x:c r="A24" s="54" t="str">
        <x:v>原材料</x:v>
      </x:c>
      <x:c r="B24" s="54" t="str">
        <x:v>PPI大宗商品</x:v>
      </x:c>
      <x:c r="C24" s="54" t="str">
        <x:v>月</x:v>
      </x:c>
      <x:c r="D24" s="54" t="str">
        <x:v>约2周</x:v>
      </x:c>
      <x:c r="E24" s="54" t="str">
        <x:v>中</x:v>
      </x:c>
      <x:c r="F24" s="77" t="n">
        <x:v>5</x:v>
      </x:c>
      <x:c r="G24" s="77" t="n">
        <x:v>4</x:v>
      </x:c>
      <x:c r="H24" s="54" t="str">
        <x:v>是</x:v>
      </x:c>
      <x:c r="I24" s="54" t="str">
        <x:v>广谱但滞后；不能直接映射CPI权重</x:v>
      </x:c>
      <x:c r="J24" s="54" t="str">
        <x:v>https://www.bls.gov/ppi/</x:v>
      </x:c>
    </x:row>
    <x:row r="25" ht="32" customHeight="1">
      <x:c r="A25" s="54" t="str">
        <x:v>原材料</x:v>
      </x:c>
      <x:c r="B25" s="54" t="str">
        <x:v>ISM Prices Paid</x:v>
      </x:c>
      <x:c r="C25" s="54" t="str">
        <x:v>月</x:v>
      </x:c>
      <x:c r="D25" s="54" t="str">
        <x:v>1-3工作日</x:v>
      </x:c>
      <x:c r="E25" s="54" t="str">
        <x:v>低</x:v>
      </x:c>
      <x:c r="F25" s="77" t="n">
        <x:v>4</x:v>
      </x:c>
      <x:c r="G25" s="77" t="n">
        <x:v>3</x:v>
      </x:c>
      <x:c r="H25" s="54" t="str">
        <x:v>辅助</x:v>
      </x:c>
      <x:c r="I25" s="54" t="str">
        <x:v>扩散指数，不是价格水平或涨幅</x:v>
      </x:c>
      <x:c r="J25" s="54" t="str">
        <x:v>https://www.ismworld.org/supply-management-news-and-reports/reports/ism-pmi-reports/</x:v>
      </x:c>
    </x:row>
    <x:row r="26" ht="32" customHeight="1">
      <x:c r="A26" s="54" t="str">
        <x:v>传导</x:v>
      </x:c>
      <x:c r="B26" s="54" t="str">
        <x:v>10Y实际利率</x:v>
      </x:c>
      <x:c r="C26" s="54" t="str">
        <x:v>日</x:v>
      </x:c>
      <x:c r="D26" s="54" t="str">
        <x:v>1日</x:v>
      </x:c>
      <x:c r="E26" s="54" t="str">
        <x:v>低</x:v>
      </x:c>
      <x:c r="F26" s="77" t="n">
        <x:v>5</x:v>
      </x:c>
      <x:c r="G26" s="77" t="n">
        <x:v>4</x:v>
      </x:c>
      <x:c r="H26" s="54" t="str">
        <x:v>是</x:v>
      </x:c>
      <x:c r="I26" s="54" t="str">
        <x:v>长久期资产折现率关键变量</x:v>
      </x:c>
      <x:c r="J26" s="54" t="str">
        <x:v>https://fred.stlouisfed.org/series/DFII10</x:v>
      </x:c>
    </x:row>
    <x:row r="27" ht="32" customHeight="1">
      <x:c r="A27" s="54" t="str">
        <x:v>传导</x:v>
      </x:c>
      <x:c r="B27" s="54" t="str">
        <x:v>IG/HY OAS</x:v>
      </x:c>
      <x:c r="C27" s="54" t="str">
        <x:v>日</x:v>
      </x:c>
      <x:c r="D27" s="54" t="str">
        <x:v>1日</x:v>
      </x:c>
      <x:c r="E27" s="54" t="str">
        <x:v>低</x:v>
      </x:c>
      <x:c r="F27" s="77" t="n">
        <x:v>5</x:v>
      </x:c>
      <x:c r="G27" s="77" t="n">
        <x:v>5</x:v>
      </x:c>
      <x:c r="H27" s="54" t="str">
        <x:v>是</x:v>
      </x:c>
      <x:c r="I27" s="54" t="str">
        <x:v>信用传导确认；指数构成随时间变化</x:v>
      </x:c>
      <x:c r="J27" s="54" t="str">
        <x:v>https://fred.stlouisfed.org/series/BAMLH0A0HYM2</x:v>
      </x:c>
    </x:row>
    <x:row r="28" ht="32" customHeight="1">
      <x:c r="A28" s="54" t="str">
        <x:v>传导</x:v>
      </x:c>
      <x:c r="B28" s="54" t="str">
        <x:v>VIX</x:v>
      </x:c>
      <x:c r="C28" s="54" t="str">
        <x:v>日内</x:v>
      </x:c>
      <x:c r="D28" s="54" t="str">
        <x:v>实时</x:v>
      </x:c>
      <x:c r="E28" s="54" t="str">
        <x:v>低</x:v>
      </x:c>
      <x:c r="F28" s="77" t="n">
        <x:v>5</x:v>
      </x:c>
      <x:c r="G28" s="77" t="n">
        <x:v>5</x:v>
      </x:c>
      <x:c r="H28" s="54" t="str">
        <x:v>是</x:v>
      </x:c>
      <x:c r="I28" s="54" t="str">
        <x:v>高频风险偏好，但均值回归很快</x:v>
      </x:c>
      <x:c r="J28" s="54" t="str">
        <x:v>https://fred.stlouisfed.org/series/VIXCLS</x:v>
      </x:c>
    </x:row>
    <x:row r="29" ht="32" customHeight="1">
      <x:c r="A29" s="54" t="str">
        <x:v>传导</x:v>
      </x:c>
      <x:c r="B29" s="54" t="str">
        <x:v>NFCI</x:v>
      </x:c>
      <x:c r="C29" s="54" t="str">
        <x:v>周</x:v>
      </x:c>
      <x:c r="D29" s="54" t="str">
        <x:v>约1周</x:v>
      </x:c>
      <x:c r="E29" s="54" t="str">
        <x:v>低</x:v>
      </x:c>
      <x:c r="F29" s="77" t="n">
        <x:v>5</x:v>
      </x:c>
      <x:c r="G29" s="77" t="n">
        <x:v>4</x:v>
      </x:c>
      <x:c r="H29" s="54" t="str">
        <x:v>是</x:v>
      </x:c>
      <x:c r="I29" s="54" t="str">
        <x:v>综合性强但反应不如市场价格快</x:v>
      </x:c>
      <x:c r="J29" s="54" t="str">
        <x:v>https://www.chicagofed.org/research/data/nfci/current-data</x:v>
      </x:c>
    </x:row>
  </x:sheetData>
  <x:mergeCells>
    <x:mergeCell ref="A1:J2"/>
    <x:mergeCell ref="A3:J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5B9BD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</x:cols>
  <x:sheetData>
    <x:row r="1" ht="31" customHeight="1">
      <x:c r="A1" s="6" t="str">
        <x:v>方法、视频要点与更新规则</x:v>
      </x:c>
      <x:c r="B1" s="6" t="str">
        <x:v>方法、视频要点与更新规则</x:v>
      </x:c>
      <x:c r="C1" s="6" t="str">
        <x:v>方法、视频要点与更新规则</x:v>
      </x:c>
      <x:c r="D1" s="6" t="str">
        <x:v>方法、视频要点与更新规则</x:v>
      </x:c>
      <x:c r="E1" s="6" t="str">
        <x:v>方法、视频要点与更新规则</x:v>
      </x:c>
      <x:c r="F1" s="6" t="str">
        <x:v>方法、视频要点与更新规则</x:v>
      </x:c>
      <x:c r="G1" s="6" t="str">
        <x:v>方法、视频要点与更新规则</x:v>
      </x:c>
      <x:c r="H1" s="6" t="str">
        <x:v>方法、视频要点与更新规则</x:v>
      </x:c>
    </x:row>
    <x:row r="2" ht="31" customHeight="1">
      <x:c r="A2" s="6" t="str">
        <x:v>方法、视频要点与更新规则</x:v>
      </x:c>
      <x:c r="B2" s="6" t="str">
        <x:v>方法、视频要点与更新规则</x:v>
      </x:c>
      <x:c r="C2" s="6" t="str">
        <x:v>方法、视频要点与更新规则</x:v>
      </x:c>
      <x:c r="D2" s="6" t="str">
        <x:v>方法、视频要点与更新规则</x:v>
      </x:c>
      <x:c r="E2" s="6" t="str">
        <x:v>方法、视频要点与更新规则</x:v>
      </x:c>
      <x:c r="F2" s="6" t="str">
        <x:v>方法、视频要点与更新规则</x:v>
      </x:c>
      <x:c r="G2" s="6" t="str">
        <x:v>方法、视频要点与更新规则</x:v>
      </x:c>
      <x:c r="H2" s="6" t="str">
        <x:v>方法、视频要点与更新规则</x:v>
      </x:c>
    </x:row>
    <x:row r="3">
      <x:c r="A3" s="10" t="str">
        <x:v>自媒体内容只用于提出假设；模型打分只使用可复核的官方/市场数据。转写与概括可能存在语音识别误差。</x:v>
      </x:c>
      <x:c r="B3" s="10" t="str">
        <x:v>自媒体内容只用于提出假设；模型打分只使用可复核的官方/市场数据。转写与概括可能存在语音识别误差。</x:v>
      </x:c>
      <x:c r="C3" s="10" t="str">
        <x:v>自媒体内容只用于提出假设；模型打分只使用可复核的官方/市场数据。转写与概括可能存在语音识别误差。</x:v>
      </x:c>
      <x:c r="D3" s="10" t="str">
        <x:v>自媒体内容只用于提出假设；模型打分只使用可复核的官方/市场数据。转写与概括可能存在语音识别误差。</x:v>
      </x:c>
      <x:c r="E3" s="10" t="str">
        <x:v>自媒体内容只用于提出假设；模型打分只使用可复核的官方/市场数据。转写与概括可能存在语音识别误差。</x:v>
      </x:c>
      <x:c r="F3" s="10" t="str">
        <x:v>自媒体内容只用于提出假设；模型打分只使用可复核的官方/市场数据。转写与概括可能存在语音识别误差。</x:v>
      </x:c>
      <x:c r="G3" s="10" t="str">
        <x:v>自媒体内容只用于提出假设；模型打分只使用可复核的官方/市场数据。转写与概括可能存在语音识别误差。</x:v>
      </x:c>
      <x:c r="H3" s="10" t="str">
        <x:v>自媒体内容只用于提出假设；模型打分只使用可复核的官方/市场数据。转写与概括可能存在语音识别误差。</x:v>
      </x:c>
    </x:row>
    <x:row r="5" ht="47" customHeight="1">
      <x:c r="A5" s="66" t="str">
        <x:v>两条视频的可执行要点</x:v>
      </x:c>
      <x:c r="B5" s="66" t="str">
        <x:v>两条视频的可执行要点</x:v>
      </x:c>
      <x:c r="C5" s="66" t="str">
        <x:v>两条视频的可执行要点</x:v>
      </x:c>
      <x:c r="D5" s="66" t="str">
        <x:v>两条视频的可执行要点</x:v>
      </x:c>
      <x:c r="E5" s="66" t="str">
        <x:v>两条视频的可执行要点</x:v>
      </x:c>
      <x:c r="F5" s="66" t="str">
        <x:v>两条视频的可执行要点</x:v>
      </x:c>
      <x:c r="G5" s="66" t="str">
        <x:v>两条视频的可执行要点</x:v>
      </x:c>
      <x:c r="H5" s="66" t="str">
        <x:v>两条视频的可执行要点</x:v>
      </x:c>
    </x:row>
    <x:row r="6" ht="47" customHeight="1">
      <x:c r="A6" s="38" t="str">
        <x:v>视频</x:v>
      </x:c>
      <x:c r="B6" s="38" t="str">
        <x:v>核心命题</x:v>
      </x:c>
      <x:c r="C6" s="38" t="str">
        <x:v>模型化处理</x:v>
      </x:c>
      <x:c r="D6" s="38" t="str">
        <x:v>我做的校正</x:v>
      </x:c>
      <x:c r="E6" s="38" t="str">
        <x:v>硬验证</x:v>
      </x:c>
      <x:c r="F6" s="38" t="str">
        <x:v>不采用的简化</x:v>
      </x:c>
      <x:c r="G6" s="38" t="str">
        <x:v>久期</x:v>
      </x:c>
      <x:c r="H6" s="38" t="str">
        <x:v>结论用途</x:v>
      </x:c>
    </x:row>
    <x:row r="7" ht="47" customHeight="1">
      <x:c r="A7" s="54" t="str">
        <x:v>视频1</x:v>
      </x:c>
      <x:c r="B7" s="54" t="str">
        <x:v>风险资产受政策性利率与市场性利率共同影响；市场利率往往先于政策动作</x:v>
      </x:c>
      <x:c r="C7" s="54" t="str">
        <x:v>政策路径分与市场确认分分开，并计算政策:市场冲击占比</x:v>
      </x:c>
      <x:c r="D7" s="54" t="str">
        <x:v>政策并非只有加息/降息；资产负债表、前瞻指引也会改变预期短端</x:v>
      </x:c>
      <x:c r="E7" s="54" t="str">
        <x:v>2Y/OIS、实际利率、信用利差、美元、VIX/NFCI</x:v>
      </x:c>
      <x:c r="F7" s="54" t="str">
        <x:v>加息=立即利空全部风险资产</x:v>
      </x:c>
      <x:c r="G7" s="54" t="str">
        <x:v>数日-3月</x:v>
      </x:c>
      <x:c r="H7" s="54" t="str">
        <x:v>识别传导是否落地</x:v>
      </x:c>
    </x:row>
    <x:row r="8" ht="47" customHeight="1">
      <x:c r="A8" s="54" t="str">
        <x:v>视频1</x:v>
      </x:c>
      <x:c r="B8" s="54" t="str">
        <x:v>预防性、一次性加息与连续加息的资产含义不同</x:v>
      </x:c>
      <x:c r="C8" s="54" t="str">
        <x:v>制度识别与场景仿真</x:v>
      </x:c>
      <x:c r="D8" s="54" t="str">
        <x:v>用市场确认而非主观语气判断是否‘连续收紧’</x:v>
      </x:c>
      <x:c r="E8" s="54" t="str">
        <x:v>BEI、ACM TP、信用条件是否共振</x:v>
      </x:c>
      <x:c r="F8" s="54" t="str">
        <x:v>只看FOMC文字或点阵图</x:v>
      </x:c>
      <x:c r="G8" s="54" t="str">
        <x:v>1-4周</x:v>
      </x:c>
      <x:c r="H8" s="54" t="str">
        <x:v>区分政策独涨与全面收紧</x:v>
      </x:c>
    </x:row>
    <x:row r="9" ht="47" customHeight="1">
      <x:c r="A9" s="54" t="str">
        <x:v>视频2</x:v>
      </x:c>
      <x:c r="B9" s="54" t="str">
        <x:v>10Y名义利率应拆为政策路径、通胀预期/补偿、期限溢价</x:v>
      </x:c>
      <x:c r="C9" s="54" t="str">
        <x:v>三大因子各自0-100打分</x:v>
      </x:c>
      <x:c r="D9" s="54" t="str">
        <x:v>BEI不是纯通胀预期；期限溢价是模型估计而非可观察价格</x:v>
      </x:c>
      <x:c r="E9" s="54" t="str">
        <x:v>TIPS/BEI、ACM TP、实际利率</x:v>
      </x:c>
      <x:c r="F9" s="54" t="str">
        <x:v>把10Y变动全部归因于Fed</x:v>
      </x:c>
      <x:c r="G9" s="54" t="str">
        <x:v>数周-数年</x:v>
      </x:c>
      <x:c r="H9" s="54" t="str">
        <x:v>解释长端上行来源</x:v>
      </x:c>
    </x:row>
    <x:row r="10" ht="47" customHeight="1">
      <x:c r="A10" s="54" t="str">
        <x:v>视频2</x:v>
      </x:c>
      <x:c r="B10" s="54" t="str">
        <x:v>工资、失业、职位空缺、原材料价格决定通胀粘性与二次传导</x:v>
      </x:c>
      <x:c r="C10" s="54" t="str">
        <x:v>市场通胀45%+劳动力35%+原材料20%</x:v>
      </x:c>
      <x:c r="D10" s="54" t="str">
        <x:v>JOLTS并非高频；油价对headline强、对core弱</x:v>
      </x:c>
      <x:c r="E10" s="54" t="str">
        <x:v>AHE/WGT/UNRATE/JOLTS/ICSA、PPI/WTI</x:v>
      </x:c>
      <x:c r="F10" s="54" t="str">
        <x:v>用单一油价或单月就业数据定性</x:v>
      </x:c>
      <x:c r="G10" s="54" t="str">
        <x:v>1-6月</x:v>
      </x:c>
      <x:c r="H10" s="54" t="str">
        <x:v>判断通胀冲击能否扩散</x:v>
      </x:c>
    </x:row>
    <x:row r="11" ht="47" customHeight="1">
      <x:c r="A11" s="54" t="str">
        <x:v>视频2</x:v>
      </x:c>
      <x:c r="B11" s="54" t="str">
        <x:v>政策冲击只有传导到市场利率与信用条件，才构成广谱风险资产压力</x:v>
      </x:c>
      <x:c r="C11" s="54" t="str">
        <x:v>有效压力=基础压力×传导门控</x:v>
      </x:c>
      <x:c r="D11" s="54" t="str">
        <x:v>信用、波动率、美元、NFCI必须至少两条独立链确认</x:v>
      </x:c>
      <x:c r="E11" s="54" t="str">
        <x:v>实际利率链 + 信用/风险偏好链</x:v>
      </x:c>
      <x:c r="F11" s="54" t="str">
        <x:v>用股债同跌一天证明制度切换</x:v>
      </x:c>
      <x:c r="G11" s="54" t="str">
        <x:v>数日-8周</x:v>
      </x:c>
      <x:c r="H11" s="54" t="str">
        <x:v>风险资产总开关</x:v>
      </x:c>
    </x:row>
    <x:row r="12" ht="47" customHeight="1">
      <x:c r="A12" s="65"/>
      <x:c r="B12" s="65"/>
      <x:c r="C12" s="65"/>
      <x:c r="D12" s="65"/>
      <x:c r="E12" s="65"/>
      <x:c r="F12" s="65"/>
      <x:c r="G12" s="65"/>
      <x:c r="H12" s="65"/>
    </x:row>
    <x:row r="13" ht="47" customHeight="1">
      <x:c r="A13" s="65"/>
      <x:c r="B13" s="65"/>
      <x:c r="C13" s="65"/>
      <x:c r="D13" s="65"/>
      <x:c r="E13" s="65"/>
      <x:c r="F13" s="65"/>
      <x:c r="G13" s="65"/>
      <x:c r="H13" s="65"/>
    </x:row>
    <x:row r="14" ht="47" customHeight="1">
      <x:c r="A14" s="85" t="str">
        <x:v>模型恒等式、打分与信源闸门</x:v>
      </x:c>
      <x:c r="B14" s="85" t="str">
        <x:v>模型恒等式、打分与信源闸门</x:v>
      </x:c>
      <x:c r="C14" s="85" t="str">
        <x:v>模型恒等式、打分与信源闸门</x:v>
      </x:c>
      <x:c r="D14" s="85" t="str">
        <x:v>模型恒等式、打分与信源闸门</x:v>
      </x:c>
      <x:c r="E14" s="85" t="str">
        <x:v>模型恒等式、打分与信源闸门</x:v>
      </x:c>
      <x:c r="F14" s="85" t="str">
        <x:v>模型恒等式、打分与信源闸门</x:v>
      </x:c>
      <x:c r="G14" s="85" t="str">
        <x:v>模型恒等式、打分与信源闸门</x:v>
      </x:c>
      <x:c r="H14" s="85" t="str">
        <x:v>模型恒等式、打分与信源闸门</x:v>
      </x:c>
    </x:row>
    <x:row r="15" ht="47" customHeight="1">
      <x:c r="A15" s="38" t="str">
        <x:v>项目</x:v>
      </x:c>
      <x:c r="B15" s="38" t="str">
        <x:v>规则</x:v>
      </x:c>
      <x:c r="C15" s="38" t="str">
        <x:v>解释</x:v>
      </x:c>
      <x:c r="D15" s="38" t="str">
        <x:v>事实/观点</x:v>
      </x:c>
      <x:c r="E15" s="38" t="str">
        <x:v>数据要求</x:v>
      </x:c>
      <x:c r="F15" s="38" t="str">
        <x:v>失效条件</x:v>
      </x:c>
      <x:c r="G15" s="38" t="str">
        <x:v>更新频率</x:v>
      </x:c>
      <x:c r="H15" s="38" t="str">
        <x:v>备注</x:v>
      </x:c>
    </x:row>
    <x:row r="16" ht="47" customHeight="1">
      <x:c r="A16" s="54" t="str">
        <x:v>利率恒等式</x:v>
      </x:c>
      <x:c r="B16" s="54" t="str">
        <x:v>名义收益率≈预期平均短端利率+通胀补偿+期限溢价</x:v>
      </x:c>
      <x:c r="C16" s="54" t="str">
        <x:v>实务中三者不可完全无误差分离</x:v>
      </x:c>
      <x:c r="D16" s="54" t="str">
        <x:v>理论框架</x:v>
      </x:c>
      <x:c r="E16" s="54" t="str">
        <x:v>至少两套独立来源</x:v>
      </x:c>
      <x:c r="F16" s="54" t="str">
        <x:v>模型残差持续扩大</x:v>
      </x:c>
      <x:c r="G16" s="54" t="str">
        <x:v>周/月</x:v>
      </x:c>
      <x:c r="H16" s="54" t="str">
        <x:v>用于分解，不做点预测</x:v>
      </x:c>
    </x:row>
    <x:row r="17" ht="47" customHeight="1">
      <x:c r="A17" s="54" t="str">
        <x:v>标准化</x:v>
      </x:c>
      <x:c r="B17" s="54" t="str">
        <x:v>压力分=50+20×Z，截断至0-100</x:v>
      </x:c>
      <x:c r="C17" s="54" t="str">
        <x:v>50约等于5年中枢，1个标准差≈20分</x:v>
      </x:c>
      <x:c r="D17" s="54" t="str">
        <x:v>模型规则</x:v>
      </x:c>
      <x:c r="E17" s="54" t="str">
        <x:v>当前、5年均值、5年标准差</x:v>
      </x:c>
      <x:c r="F17" s="54" t="str">
        <x:v>结构突变使5年样本失真</x:v>
      </x:c>
      <x:c r="G17" s="54" t="str">
        <x:v>每月复核</x:v>
      </x:c>
      <x:c r="H17" s="54" t="str">
        <x:v>权重与中枢可编辑</x:v>
      </x:c>
    </x:row>
    <x:row r="18" ht="47" customHeight="1">
      <x:c r="A18" s="54" t="str">
        <x:v>通胀层</x:v>
      </x:c>
      <x:c r="B18" s="54" t="str">
        <x:v>市场45%+劳动力35%+原材料20%</x:v>
      </x:c>
      <x:c r="C18" s="54" t="str">
        <x:v>避免油价、工资或BEI单因子支配</x:v>
      </x:c>
      <x:c r="D18" s="54" t="str">
        <x:v>模型观点</x:v>
      </x:c>
      <x:c r="E18" s="54" t="str">
        <x:v>三条链至少两条确认</x:v>
      </x:c>
      <x:c r="F18" s="54" t="str">
        <x:v>只有单一链抬升</x:v>
      </x:c>
      <x:c r="G18" s="54" t="str">
        <x:v>日/周/月混合</x:v>
      </x:c>
      <x:c r="H18" s="54" t="str">
        <x:v>headline与core分开理解</x:v>
      </x:c>
    </x:row>
    <x:row r="19" ht="47" customHeight="1">
      <x:c r="A19" s="54" t="str">
        <x:v>传导门控</x:v>
      </x:c>
      <x:c r="B19" s="54" t="str">
        <x:v>有效压力=基础压力×(0.75+0.5×传导/100)</x:v>
      </x:c>
      <x:c r="C19" s="54" t="str">
        <x:v>政策信号未传导时自动降权</x:v>
      </x:c>
      <x:c r="D19" s="54" t="str">
        <x:v>模型观点</x:v>
      </x:c>
      <x:c r="E19" s="54" t="str">
        <x:v>实际利率+信用/波动/美元/NFCI</x:v>
      </x:c>
      <x:c r="F19" s="54" t="str">
        <x:v>传导指标长期背离</x:v>
      </x:c>
      <x:c r="G19" s="54" t="str">
        <x:v>日/周</x:v>
      </x:c>
      <x:c r="H19" s="54" t="str">
        <x:v>门控范围0.75-1.25</x:v>
      </x:c>
    </x:row>
    <x:row r="20" ht="47" customHeight="1">
      <x:c r="A20" s="54" t="str">
        <x:v>信源闸门</x:v>
      </x:c>
      <x:c r="B20" s="54" t="str">
        <x:v>视频/研报只进假设，不直接进分数</x:v>
      </x:c>
      <x:c r="C20" s="54" t="str">
        <x:v>已发生数据优先于远期叙事</x:v>
      </x:c>
      <x:c r="D20" s="54" t="str">
        <x:v>研究纪律</x:v>
      </x:c>
      <x:c r="E20" s="54" t="str">
        <x:v>官方统计、联储、交易价格</x:v>
      </x:c>
      <x:c r="F20" s="54" t="str">
        <x:v>无法交叉核验</x:v>
      </x:c>
      <x:c r="G20" s="54" t="str">
        <x:v>持续</x:v>
      </x:c>
      <x:c r="H20" s="54" t="str">
        <x:v>价量不等于基本面</x:v>
      </x:c>
    </x:row>
    <x:row r="21" ht="47" customHeight="1">
      <x:c r="A21" s="54" t="str">
        <x:v>双链验证</x:v>
      </x:c>
      <x:c r="B21" s="54" t="str">
        <x:v>实际利率链与信用/风险偏好链至少两条同向</x:v>
      </x:c>
      <x:c r="C21" s="54" t="str">
        <x:v>防止把局部利率波动误判为系统性风险</x:v>
      </x:c>
      <x:c r="D21" s="54" t="str">
        <x:v>模型规则</x:v>
      </x:c>
      <x:c r="E21" s="54" t="str">
        <x:v>DFII10 + HY OAS/VIX/NFCI/USD</x:v>
      </x:c>
      <x:c r="F21" s="54" t="str">
        <x:v>只有一条链确认</x:v>
      </x:c>
      <x:c r="G21" s="54" t="str">
        <x:v>事件后数日</x:v>
      </x:c>
      <x:c r="H21" s="54" t="str">
        <x:v>对应君君‘传导’核心</x:v>
      </x:c>
    </x:row>
    <x:row r="22" ht="47" customHeight="1">
      <x:c r="A22" s="54" t="str">
        <x:v>风险资产分</x:v>
      </x:c>
      <x:c r="B22" s="54" t="str">
        <x:v>50+各因子偏离×结构敏感度</x:v>
      </x:c>
      <x:c r="C22" s="54" t="str">
        <x:v>是环境映射，不是收益率预测</x:v>
      </x:c>
      <x:c r="D22" s="54" t="str">
        <x:v>模型观点</x:v>
      </x:c>
      <x:c r="E22" s="54" t="str">
        <x:v>敏感度透明可编辑</x:v>
      </x:c>
      <x:c r="F22" s="54" t="str">
        <x:v>回归关系发生制度切换</x:v>
      </x:c>
      <x:c r="G22" s="54" t="str">
        <x:v>季度复核</x:v>
      </x:c>
      <x:c r="H22" s="54" t="str">
        <x:v>不输出买卖指令</x:v>
      </x:c>
    </x:row>
    <x:row r="23" ht="47" customHeight="1">
      <x:c r="A23" s="54" t="str">
        <x:v>可证伪性</x:v>
      </x:c>
      <x:c r="B23" s="54" t="str">
        <x:v>预先写明什么出现=模型错</x:v>
      </x:c>
      <x:c r="C23" s="54" t="str">
        <x:v>不以更多叙事自证</x:v>
      </x:c>
      <x:c r="D23" s="54" t="str">
        <x:v>研究纪律</x:v>
      </x:c>
      <x:c r="E23" s="54" t="str">
        <x:v>阈值、观察窗、反转条件</x:v>
      </x:c>
      <x:c r="F23" s="54" t="str">
        <x:v>证伪后不改口径硬解释</x:v>
      </x:c>
      <x:c r="G23" s="54" t="str">
        <x:v>每次事件</x:v>
      </x:c>
      <x:c r="H23" s="54" t="str">
        <x:v>场景页给出阈值</x:v>
      </x:c>
    </x:row>
    <x:row r="24" ht="47" customHeight="1">
      <x:c r="A24" s="65"/>
      <x:c r="B24" s="65"/>
      <x:c r="C24" s="65"/>
      <x:c r="D24" s="65"/>
      <x:c r="E24" s="65"/>
      <x:c r="F24" s="65"/>
      <x:c r="G24" s="65"/>
      <x:c r="H24" s="65"/>
    </x:row>
    <x:row r="25" ht="47" customHeight="1">
      <x:c r="A25" s="65"/>
      <x:c r="B25" s="65"/>
      <x:c r="C25" s="65"/>
      <x:c r="D25" s="65"/>
      <x:c r="E25" s="65"/>
      <x:c r="F25" s="65"/>
      <x:c r="G25" s="65"/>
      <x:c r="H25" s="65"/>
    </x:row>
    <x:row r="26" ht="47" customHeight="1">
      <x:c r="A26" s="86" t="str">
        <x:v>更新SOP</x:v>
      </x:c>
      <x:c r="B26" s="86" t="str">
        <x:v>更新SOP</x:v>
      </x:c>
      <x:c r="C26" s="86" t="str">
        <x:v>更新SOP</x:v>
      </x:c>
      <x:c r="D26" s="86" t="str">
        <x:v>更新SOP</x:v>
      </x:c>
      <x:c r="E26" s="86" t="str">
        <x:v>更新SOP</x:v>
      </x:c>
      <x:c r="F26" s="86" t="str">
        <x:v>更新SOP</x:v>
      </x:c>
      <x:c r="G26" s="86" t="str">
        <x:v>更新SOP</x:v>
      </x:c>
      <x:c r="H26" s="86" t="str">
        <x:v>更新SOP</x:v>
      </x:c>
    </x:row>
    <x:row r="27" ht="47" customHeight="1">
      <x:c r="A27" s="38" t="str">
        <x:v>频率</x:v>
      </x:c>
      <x:c r="B27" s="38" t="str">
        <x:v>更新项</x:v>
      </x:c>
      <x:c r="C27" s="38" t="str">
        <x:v>动作</x:v>
      </x:c>
      <x:c r="D27" s="38" t="str">
        <x:v>检查</x:v>
      </x:c>
      <x:c r="E27" s="65"/>
      <x:c r="F27" s="65"/>
      <x:c r="G27" s="65"/>
      <x:c r="H27" s="65"/>
    </x:row>
    <x:row r="28" ht="47" customHeight="1">
      <x:c r="A28" s="54" t="str">
        <x:v>每日</x:v>
      </x:c>
      <x:c r="B28" s="54" t="str">
        <x:v>2Y/10Y、TIPS/BEI、实际利率、OAS、VIX、美元、油价</x:v>
      </x:c>
      <x:c r="C28" s="54" t="str">
        <x:v>覆盖因子引擎当前值；保留事件前快照</x:v>
      </x:c>
      <x:c r="D28" s="54" t="str">
        <x:v>确认日期和单位</x:v>
      </x:c>
      <x:c r="E28" s="65"/>
      <x:c r="F28" s="65"/>
      <x:c r="G28" s="65"/>
      <x:c r="H28" s="65"/>
    </x:row>
    <x:row r="29" ht="47" customHeight="1">
      <x:c r="A29" s="54" t="str">
        <x:v>每周</x:v>
      </x:c>
      <x:c r="B29" s="54" t="str">
        <x:v>ACM期限溢价、NFCI、初请4周均值、EIA库存</x:v>
      </x:c>
      <x:c r="C29" s="54" t="str">
        <x:v>更新当前值及5年统计</x:v>
      </x:c>
      <x:c r="D29" s="54" t="str">
        <x:v>检查模型修订</x:v>
      </x:c>
      <x:c r="E29" s="65"/>
      <x:c r="F29" s="65"/>
      <x:c r="G29" s="65"/>
      <x:c r="H29" s="65"/>
    </x:row>
    <x:row r="30" ht="47" customHeight="1">
      <x:c r="A30" s="54" t="str">
        <x:v>每月</x:v>
      </x:c>
      <x:c r="B30" s="54" t="str">
        <x:v>AHE、失业率、JOLTS、WGT、PPI</x:v>
      </x:c>
      <x:c r="C30" s="54" t="str">
        <x:v>先记录首次发布，再记录修订值</x:v>
      </x:c>
      <x:c r="D30" s="54" t="str">
        <x:v>JOLTS和CES修订单列</x:v>
      </x:c>
      <x:c r="E30" s="65"/>
      <x:c r="F30" s="65"/>
      <x:c r="G30" s="65"/>
      <x:c r="H30" s="65"/>
    </x:row>
    <x:row r="31" ht="47" customHeight="1">
      <x:c r="A31" s="54" t="str">
        <x:v>事件日</x:v>
      </x:c>
      <x:c r="B31" s="54" t="str">
        <x:v>FOMC/CPI/NFP/拍卖</x:v>
      </x:c>
      <x:c r="C31" s="54" t="str">
        <x:v>T-1、T+1、T+5冻结快照</x:v>
      </x:c>
      <x:c r="D31" s="54" t="str">
        <x:v>区分政策冲击和市场确认</x:v>
      </x:c>
      <x:c r="E31" s="65"/>
      <x:c r="F31" s="65"/>
      <x:c r="G31" s="65"/>
      <x:c r="H31" s="65"/>
    </x:row>
    <x:row r="32" ht="47" customHeight="1">
      <x:c r="A32" s="54" t="str">
        <x:v>季度</x:v>
      </x:c>
      <x:c r="B32" s="54" t="str">
        <x:v>敏感度、权重、5年窗口</x:v>
      </x:c>
      <x:c r="C32" s="54" t="str">
        <x:v>只在有证据时调整，不追涨杀跌</x:v>
      </x:c>
      <x:c r="D32" s="54" t="str">
        <x:v>留痕并做回测</x:v>
      </x:c>
      <x:c r="E32" s="65"/>
      <x:c r="F32" s="65"/>
      <x:c r="G32" s="65"/>
      <x:c r="H32" s="65"/>
    </x:row>
  </x:sheetData>
  <x:mergeCells>
    <x:mergeCell ref="A1:H2"/>
    <x:mergeCell ref="A3:H3"/>
    <x:mergeCell ref="A5:H5"/>
    <x:mergeCell ref="A14:H14"/>
    <x:mergeCell ref="A26:H26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A5A5A5"/>
  </x:sheetPr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8" hidden="0" customWidth="1"/>
    <x:col min="4" max="4" width="23" hidden="0" customWidth="1"/>
    <x:col min="5" max="5" width="23" hidden="0" customWidth="1"/>
    <x:col min="6" max="6" width="30" hidden="0" customWidth="1"/>
  </x:cols>
  <x:sheetData>
    <x:row r="1" ht="31" customHeight="1">
      <x:c r="A1" s="6" t="str">
        <x:v>模型审计</x:v>
      </x:c>
      <x:c r="B1" s="6" t="str">
        <x:v>模型审计</x:v>
      </x:c>
      <x:c r="C1" s="6" t="str">
        <x:v>模型审计</x:v>
      </x:c>
      <x:c r="D1" s="6" t="str">
        <x:v>模型审计</x:v>
      </x:c>
      <x:c r="E1" s="6" t="str">
        <x:v>模型审计</x:v>
      </x:c>
      <x:c r="F1" s="6" t="str">
        <x:v>模型审计</x:v>
      </x:c>
    </x:row>
    <x:row r="2" ht="31" customHeight="1">
      <x:c r="A2" s="6" t="str">
        <x:v>模型审计</x:v>
      </x:c>
      <x:c r="B2" s="6" t="str">
        <x:v>模型审计</x:v>
      </x:c>
      <x:c r="C2" s="6" t="str">
        <x:v>模型审计</x:v>
      </x:c>
      <x:c r="D2" s="6" t="str">
        <x:v>模型审计</x:v>
      </x:c>
      <x:c r="E2" s="6" t="str">
        <x:v>模型审计</x:v>
      </x:c>
      <x:c r="F2" s="6" t="str">
        <x:v>模型审计</x:v>
      </x:c>
    </x:row>
    <x:row r="3">
      <x:c r="A3" s="10" t="str">
        <x:v>审计只读取模型，不向业务计算回写。容差：权重合计±0.0001；分数必须在0-100。</x:v>
      </x:c>
      <x:c r="B3" s="10" t="str">
        <x:v>审计只读取模型，不向业务计算回写。容差：权重合计±0.0001；分数必须在0-100。</x:v>
      </x:c>
      <x:c r="C3" s="10" t="str">
        <x:v>审计只读取模型，不向业务计算回写。容差：权重合计±0.0001；分数必须在0-100。</x:v>
      </x:c>
      <x:c r="D3" s="10" t="str">
        <x:v>审计只读取模型，不向业务计算回写。容差：权重合计±0.0001；分数必须在0-100。</x:v>
      </x:c>
      <x:c r="E3" s="10" t="str">
        <x:v>审计只读取模型，不向业务计算回写。容差：权重合计±0.0001；分数必须在0-100。</x:v>
      </x:c>
      <x:c r="F3" s="10" t="str">
        <x:v>审计只读取模型，不向业务计算回写。容差：权重合计±0.0001；分数必须在0-100。</x:v>
      </x:c>
    </x:row>
    <x:row r="5">
      <x:c r="A5" s="38" t="str">
        <x:v>检查项</x:v>
      </x:c>
      <x:c r="B5" s="38" t="str">
        <x:v>实测值</x:v>
      </x:c>
      <x:c r="C5" s="38" t="str">
        <x:v>目标/范围</x:v>
      </x:c>
      <x:c r="D5" s="38" t="str">
        <x:v>差异</x:v>
      </x:c>
      <x:c r="E5" s="38" t="str">
        <x:v>状态</x:v>
      </x:c>
      <x:c r="F5" s="38" t="str">
        <x:v>定位</x:v>
      </x:c>
    </x:row>
    <x:row r="6">
      <x:c r="A6" s="39" t="str">
        <x:v>政策权重</x:v>
      </x:c>
      <x:c r="B6" s="88" t="n">
        <x:f>SUM('因子引擎'!D5:D7)</x:f>
        <x:v>1</x:v>
      </x:c>
      <x:c r="C6" s="88" t="n">
        <x:v>1</x:v>
      </x:c>
      <x:c r="D6" s="88" t="n">
        <x:f>B6-1</x:f>
        <x:v>0</x:v>
      </x:c>
      <x:c r="E6" s="39" t="str">
        <x:f>IF(ABS(D6)&lt;=0.0001,"PASS","FAIL")</x:f>
        <x:v>PASS</x:v>
      </x:c>
      <x:c r="F6" s="39" t="str">
        <x:v>因子引擎 D5:D7</x:v>
      </x:c>
    </x:row>
    <x:row r="7">
      <x:c r="A7" s="39" t="str">
        <x:v>市场通胀权重</x:v>
      </x:c>
      <x:c r="B7" s="88" t="n">
        <x:f>SUM('因子引擎'!D10:D12)</x:f>
        <x:v>1</x:v>
      </x:c>
      <x:c r="C7" s="88" t="n">
        <x:v>1</x:v>
      </x:c>
      <x:c r="D7" s="88" t="n">
        <x:f>B7-1</x:f>
        <x:v>0</x:v>
      </x:c>
      <x:c r="E7" s="39" t="str">
        <x:f>IF(ABS(D7)&lt;=0.0001,"PASS","FAIL")</x:f>
        <x:v>PASS</x:v>
      </x:c>
      <x:c r="F7" s="39" t="str">
        <x:v>因子引擎 D10:D12</x:v>
      </x:c>
    </x:row>
    <x:row r="8">
      <x:c r="A8" s="39" t="str">
        <x:v>劳动力权重</x:v>
      </x:c>
      <x:c r="B8" s="88" t="n">
        <x:f>SUM('因子引擎'!D15:D19)</x:f>
        <x:v>1</x:v>
      </x:c>
      <x:c r="C8" s="88" t="n">
        <x:v>1</x:v>
      </x:c>
      <x:c r="D8" s="88" t="n">
        <x:f>B8-1</x:f>
        <x:v>0</x:v>
      </x:c>
      <x:c r="E8" s="39" t="str">
        <x:f>IF(ABS(D8)&lt;=0.0001,"PASS","FAIL")</x:f>
        <x:v>PASS</x:v>
      </x:c>
      <x:c r="F8" s="39" t="str">
        <x:v>因子引擎 D15:D19</x:v>
      </x:c>
    </x:row>
    <x:row r="9">
      <x:c r="A9" s="39" t="str">
        <x:v>原材料权重</x:v>
      </x:c>
      <x:c r="B9" s="88" t="n">
        <x:f>SUM('因子引擎'!D22:D23)</x:f>
        <x:v>1</x:v>
      </x:c>
      <x:c r="C9" s="88" t="n">
        <x:v>1</x:v>
      </x:c>
      <x:c r="D9" s="88" t="n">
        <x:f>B9-1</x:f>
        <x:v>0</x:v>
      </x:c>
      <x:c r="E9" s="39" t="str">
        <x:f>IF(ABS(D9)&lt;=0.0001,"PASS","FAIL")</x:f>
        <x:v>PASS</x:v>
      </x:c>
      <x:c r="F9" s="39" t="str">
        <x:v>因子引擎 D22:D23</x:v>
      </x:c>
    </x:row>
    <x:row r="10">
      <x:c r="A10" s="39" t="str">
        <x:v>期限溢价权重</x:v>
      </x:c>
      <x:c r="B10" s="88" t="n">
        <x:f>SUM('因子引擎'!D28:D29)</x:f>
        <x:v>1</x:v>
      </x:c>
      <x:c r="C10" s="88" t="n">
        <x:v>1</x:v>
      </x:c>
      <x:c r="D10" s="88" t="n">
        <x:f>B10-1</x:f>
        <x:v>0</x:v>
      </x:c>
      <x:c r="E10" s="39" t="str">
        <x:f>IF(ABS(D10)&lt;=0.0001,"PASS","FAIL")</x:f>
        <x:v>PASS</x:v>
      </x:c>
      <x:c r="F10" s="39" t="str">
        <x:v>因子引擎 D28:D29</x:v>
      </x:c>
    </x:row>
    <x:row r="11">
      <x:c r="A11" s="39" t="str">
        <x:v>市场传导权重</x:v>
      </x:c>
      <x:c r="B11" s="88" t="n">
        <x:f>SUM('因子引擎'!D32:D37)</x:f>
        <x:v>1</x:v>
      </x:c>
      <x:c r="C11" s="88" t="n">
        <x:v>1</x:v>
      </x:c>
      <x:c r="D11" s="88" t="n">
        <x:f>B11-1</x:f>
        <x:v>0</x:v>
      </x:c>
      <x:c r="E11" s="39" t="str">
        <x:f>IF(ABS(D11)&lt;=0.0001,"PASS","FAIL")</x:f>
        <x:v>PASS</x:v>
      </x:c>
      <x:c r="F11" s="39" t="str">
        <x:v>因子引擎 D32:D37</x:v>
      </x:c>
    </x:row>
    <x:row r="12">
      <x:c r="A12" s="39" t="str">
        <x:v>有效压力范围</x:v>
      </x:c>
      <x:c r="B12" s="88" t="n">
        <x:f>'因子引擎'!B47</x:f>
        <x:v>63.80057367264977</x:v>
      </x:c>
      <x:c r="C12" s="88" t="str">
        <x:v>0-100</x:v>
      </x:c>
      <x:c r="D12" s="88" t="n">
        <x:f>IF(AND(B12&gt;=0,B12&lt;=100),0,1)</x:f>
        <x:v>0</x:v>
      </x:c>
      <x:c r="E12" s="39" t="str">
        <x:f>IF(D12=0,"PASS","FAIL")</x:f>
        <x:v>PASS</x:v>
      </x:c>
      <x:c r="F12" s="39" t="str">
        <x:v>因子引擎 B47</x:v>
      </x:c>
    </x:row>
    <x:row r="13">
      <x:c r="A13" s="39" t="str">
        <x:v>风险资产分范围</x:v>
      </x:c>
      <x:c r="B13" s="88" t="n">
        <x:f>MIN('风险资产'!F6:F15)</x:f>
        <x:v>35.96643189365785</x:v>
      </x:c>
      <x:c r="C13" s="88" t="str">
        <x:v>0-100（并检查最大值）</x:v>
      </x:c>
      <x:c r="D13" s="88" t="n">
        <x:f>IF(AND(B13&gt;=0,MAX('风险资产'!F6:F15)&lt;=100),0,1)</x:f>
        <x:v>0</x:v>
      </x:c>
      <x:c r="E13" s="39" t="str">
        <x:f>IF(D13=0,"PASS","FAIL")</x:f>
        <x:v>PASS</x:v>
      </x:c>
      <x:c r="F13" s="39" t="str">
        <x:v>风险资产 F6:F15</x:v>
      </x:c>
    </x:row>
    <x:row r="14">
      <x:c r="A14" s="39" t="str">
        <x:v>关键输入完整性</x:v>
      </x:c>
      <x:c r="B14" s="88" t="n">
        <x:f>COUNTBLANK('因子引擎'!E5:E7)+COUNTBLANK('因子引擎'!E10:E12)+COUNTBLANK('因子引擎'!E15:E19)+COUNTBLANK('因子引擎'!E22:E23)+COUNTBLANK('因子引擎'!E28:E29)+COUNTBLANK('因子引擎'!E32:E37)</x:f>
        <x:v>0</x:v>
      </x:c>
      <x:c r="C14" s="88" t="n">
        <x:v>0</x:v>
      </x:c>
      <x:c r="D14" s="88" t="n">
        <x:f>B14</x:f>
        <x:v>0</x:v>
      </x:c>
      <x:c r="E14" s="39" t="str">
        <x:f>IF(D14=0,"PASS","FAIL")</x:f>
        <x:v>PASS</x:v>
      </x:c>
      <x:c r="F14" s="39" t="str">
        <x:v>因子引擎 E列</x:v>
      </x:c>
    </x:row>
  </x:sheetData>
  <x:mergeCells>
    <x:mergeCell ref="A1:F2"/>
    <x:mergeCell ref="A3:F3"/>
  </x:mergeCells>
  <x:pageMargins left="0.7" right="0.7" top="0.75" bottom="0.75" header="0.3" footer="0.3"/>
</x:worksheet>
</file>