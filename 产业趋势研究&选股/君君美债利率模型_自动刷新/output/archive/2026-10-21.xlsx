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60d54bdea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6673cd89eef340a4"/>
    <x:sheet xmlns:r="http://schemas.openxmlformats.org/officeDocument/2006/relationships" name="因子引擎" sheetId="2" r:id="Rd83757af55d24571"/>
    <x:sheet xmlns:r="http://schemas.openxmlformats.org/officeDocument/2006/relationships" name="风险资产" sheetId="3" r:id="Rc905ebfc2fd94fdf"/>
    <x:sheet xmlns:r="http://schemas.openxmlformats.org/officeDocument/2006/relationships" name="场景与阈值" sheetId="4" r:id="R41258653d9e547b2"/>
    <x:sheet xmlns:r="http://schemas.openxmlformats.org/officeDocument/2006/relationships" name="数据字典" sheetId="5" r:id="R4ceb9e17094f46de"/>
    <x:sheet xmlns:r="http://schemas.openxmlformats.org/officeDocument/2006/relationships" name="方法与信源" sheetId="6" r:id="Rad92ca3bd4644b74"/>
    <x:sheet xmlns:r="http://schemas.openxmlformats.org/officeDocument/2006/relationships" name="审计" sheetId="7" r:id="Ra628941b4f0c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22e30db15437c" /><Relationship Type="http://schemas.openxmlformats.org/officeDocument/2006/relationships/theme" Target="/xl/theme/theme1.xml" Id="R94628a08a5524706" /><Relationship Type="http://schemas.openxmlformats.org/officeDocument/2006/relationships/sharedStrings" Target="/xl/sharedStrings.xml" Id="R6585f607660445cd" /><Relationship Type="http://schemas.openxmlformats.org/officeDocument/2006/relationships/worksheet" Target="/xl/worksheets/sheet1.xml" Id="R6673cd89eef340a4" /><Relationship Type="http://schemas.openxmlformats.org/officeDocument/2006/relationships/worksheet" Target="/xl/worksheets/sheet2.xml" Id="Rd83757af55d24571" /><Relationship Type="http://schemas.openxmlformats.org/officeDocument/2006/relationships/worksheet" Target="/xl/worksheets/sheet3.xml" Id="Rc905ebfc2fd94fdf" /><Relationship Type="http://schemas.openxmlformats.org/officeDocument/2006/relationships/worksheet" Target="/xl/worksheets/sheet4.xml" Id="R41258653d9e547b2" /><Relationship Type="http://schemas.openxmlformats.org/officeDocument/2006/relationships/worksheet" Target="/xl/worksheets/sheet5.xml" Id="R4ceb9e17094f46de" /><Relationship Type="http://schemas.openxmlformats.org/officeDocument/2006/relationships/worksheet" Target="/xl/worksheets/sheet6.xml" Id="Rad92ca3bd4644b74" /><Relationship Type="http://schemas.openxmlformats.org/officeDocument/2006/relationships/worksheet" Target="/xl/worksheets/sheet7.xml" Id="Ra628941b4f0c44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fca21ce6694b22" /><Relationship Type="http://schemas.openxmlformats.org/officeDocument/2006/relationships/chart" Target="/xl/drawings/charts/chart2.xml" Id="Ra55e63258cb842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fca21ce6694b22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5e63258cb842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21b21991384931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2026-10-20；官方数据经 FRED、纽约联储、BLS、DOL、EIA、Atlanta Fed 交叉核验。高分=利率/金融条件压力更大。</x:v>
      </x:c>
      <x:c r="B3" s="10" t="str">
        <x:v>当前快照截至 2026-10-20；官方数据经 FRED、纽约联储、BLS、DOL、EIA、Atlanta Fed 交叉核验。高分=利率/金融条件压力更大。</x:v>
      </x:c>
      <x:c r="C3" s="10" t="str">
        <x:v>当前快照截至 2026-10-20；官方数据经 FRED、纽约联储、BLS、DOL、EIA、Atlanta Fed 交叉核验。高分=利率/金融条件压力更大。</x:v>
      </x:c>
      <x:c r="D3" s="10" t="str">
        <x:v>当前快照截至 2026-10-20；官方数据经 FRED、纽约联储、BLS、DOL、EIA、Atlanta Fed 交叉核验。高分=利率/金融条件压力更大。</x:v>
      </x:c>
      <x:c r="E3" s="10" t="str">
        <x:v>当前快照截至 2026-10-20；官方数据经 FRED、纽约联储、BLS、DOL、EIA、Atlanta Fed 交叉核验。高分=利率/金融条件压力更大。</x:v>
      </x:c>
      <x:c r="F3" s="10" t="str">
        <x:v>当前快照截至 2026-10-20；官方数据经 FRED、纽约联储、BLS、DOL、EIA、Atlanta Fed 交叉核验。高分=利率/金融条件压力更大。</x:v>
      </x:c>
      <x:c r="G3" s="10" t="str">
        <x:v>当前快照截至 2026-10-20；官方数据经 FRED、纽约联储、BLS、DOL、EIA、Atlanta Fed 交叉核验。高分=利率/金融条件压力更大。</x:v>
      </x:c>
      <x:c r="H3" s="10" t="str">
        <x:v>当前快照截至 2026-10-20；官方数据经 FRED、纽约联储、BLS、DOL、EIA、Atlanta Fed 交叉核验。高分=利率/金融条件压力更大。</x:v>
      </x:c>
      <x:c r="I3" s="10" t="str">
        <x:v>当前快照截至 2026-10-20；官方数据经 FRED、纽约联储、BLS、DOL、EIA、Atlanta Fed 交叉核验。高分=利率/金融条件压力更大。</x:v>
      </x:c>
      <x:c r="J3" s="10" t="str">
        <x:v>当前快照截至 2026-10-20；官方数据经 FRED、纽约联储、BLS、DOL、EIA、Atlanta Fed 交叉核验。高分=利率/金融条件压力更大。</x:v>
      </x:c>
      <x:c r="K3" s="10" t="str">
        <x:v>当前快照截至 2026-10-20；官方数据经 FRED、纽约联储、BLS、DOL、EIA、Atlanta Fed 交叉核验。高分=利率/金融条件压力更大。</x:v>
      </x:c>
      <x:c r="L3" s="10" t="str">
        <x:v>当前快照截至 2026-10-20；官方数据经 FRED、纽约联储、BLS、DOL、EIA、Atlanta Fed 交叉核验。高分=利率/金融条件压力更大。</x:v>
      </x:c>
      <x:c r="M3" s="10" t="str">
        <x:v>当前快照截至 2026-10-20；官方数据经 FRED、纽约联储、BLS、DOL、EIA、Atlanta Fed 交叉核验。高分=利率/金融条件压力更大。</x:v>
      </x:c>
      <x:c r="N3" s="10" t="str">
        <x:v>当前快照截至 2026-10-20；官方数据经 FRED、纽约联储、BLS、DOL、EIA、Atlanta Fed 交叉核验。高分=利率/金融条件压力更大。</x:v>
      </x:c>
      <x:c r="O3" s="10" t="str">
        <x:v>当前快照截至 2026-10-20；官方数据经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57.287274644304446</x:v>
      </x:c>
      <x:c r="B6" s="99"/>
      <x:c r="C6" s="99"/>
      <x:c r="D6" s="99" t="n">
        <x:f>'因子引擎'!$B$43</x:f>
        <x:v>48.543972455397935</x:v>
      </x:c>
      <x:c r="E6" s="99"/>
      <x:c r="F6" s="99"/>
      <x:c r="G6" s="99" t="n">
        <x:f>'因子引擎'!$B$44</x:f>
        <x:v>75.49397141841702</x:v>
      </x:c>
      <x:c r="H6" s="99"/>
      <x:c r="I6" s="99"/>
      <x:c r="J6" s="99" t="n">
        <x:f>'因子引擎'!$B$45</x:f>
        <x:v>56.89659166645898</x:v>
      </x:c>
      <x:c r="K6" s="99"/>
      <x:c r="L6" s="99"/>
      <x:c r="M6" s="99" t="n">
        <x:f>'因子引擎'!$B$47</x:f>
        <x:v>61.74738562104701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偏紧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0.4437498599069332</x:v>
      </x:c>
      <x:c r="K12" s="50" t="str">
        <x:v>主导</x:v>
      </x:c>
      <x:c r="L12" s="50" t="str">
        <x:v>市场冲击占比</x:v>
      </x:c>
      <x:c r="M12" s="50" t="n">
        <x:f>'因子引擎'!$B$50</x:f>
        <x:v>0.5562501400930668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0.009999999999999787</x:v>
      </x:c>
      <x:c r="K13" s="39" t="str">
        <x:v>+47bp</x:v>
      </x:c>
      <x:c r="L13" s="39" t="str">
        <x:v>10Y实际利率20日</x:v>
      </x:c>
      <x:c r="M13" s="111" t="n">
        <x:f>'因子引擎'!$E$32</x:f>
        <x:v>0.17999999999999972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0.799555387883543</x:v>
      </x:c>
      <x:c r="K14" s="39" t="str">
        <x:v>高于5年中枢</x:v>
      </x:c>
      <x:c r="L14" s="39" t="str">
        <x:v>ACM TP 20日</x:v>
      </x:c>
      <x:c r="M14" s="111" t="n">
        <x:f>'因子引擎'!$E$29</x:f>
        <x:v>0.16756527592149095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0.6299999999999999</x:v>
      </x:c>
      <x:c r="K15" s="39" t="str">
        <x:v>+13bp</x:v>
      </x:c>
      <x:c r="L15" s="39" t="str">
        <x:v>VIX</x:v>
      </x:c>
      <x:c r="M15" s="111" t="n">
        <x:f>'因子引擎'!$E$35</x:f>
        <x:v>18.44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-0.499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57.287274644304446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48.543972455397935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75.49397141841702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56.89659166645898</x:v>
      </x:c>
      <x:c r="C23" s="39" t="str">
        <x:f>IF(B23&gt;=65,"高压",IF(B23&gt;=55,"偏紧",IF(B23&gt;=45,"中性",IF(B23&gt;=35,"偏松","宽松"))))</x:f>
        <x:v>偏紧</x:v>
      </x:c>
    </x:row>
    <x:row r="24" ht="24" customHeight="1">
      <x:c r="A24" s="39" t="str">
        <x:v>有效利率压力</x:v>
      </x:c>
      <x:c r="B24" s="43" t="n">
        <x:f>'因子引擎'!$B$47</x:f>
        <x:v>61.74738562104701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39.59858002977813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39.47290193052207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40.78111626915918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40.79558600907938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40.4306201734108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40.9448048480407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38.731051410585444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44.06985043700938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38.53583969812086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59.40466709599137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4221b21991384931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2026-10-20。 </x:v>
      </x:c>
      <x:c r="B3" s="53" t="str">
        <x:v>名义利率 = 预期政策路径 + 通胀补偿 + 期限溢价；风险资产压力再经过市场传导门控。蓝色单元格为可更新输入。 数据截至 2026-10-20。 </x:v>
      </x:c>
      <x:c r="C3" s="53" t="str">
        <x:v>名义利率 = 预期政策路径 + 通胀补偿 + 期限溢价；风险资产压力再经过市场传导门控。蓝色单元格为可更新输入。 数据截至 2026-10-20。 </x:v>
      </x:c>
      <x:c r="D3" s="53" t="str">
        <x:v>名义利率 = 预期政策路径 + 通胀补偿 + 期限溢价；风险资产压力再经过市场传导门控。蓝色单元格为可更新输入。 数据截至 2026-10-20。 </x:v>
      </x:c>
      <x:c r="E3" s="53" t="str">
        <x:v>名义利率 = 预期政策路径 + 通胀补偿 + 期限溢价；风险资产压力再经过市场传导门控。蓝色单元格为可更新输入。 数据截至 2026-10-20。 </x:v>
      </x:c>
      <x:c r="F3" s="53" t="str">
        <x:v>名义利率 = 预期政策路径 + 通胀补偿 + 期限溢价；风险资产压力再经过市场传导门控。蓝色单元格为可更新输入。 数据截至 2026-10-20。 </x:v>
      </x:c>
      <x:c r="G3" s="53" t="str">
        <x:v>名义利率 = 预期政策路径 + 通胀补偿 + 期限溢价；风险资产压力再经过市场传导门控。蓝色单元格为可更新输入。 数据截至 2026-10-20。 </x:v>
      </x:c>
      <x:c r="H3" s="53" t="str">
        <x:v>名义利率 = 预期政策路径 + 通胀补偿 + 期限溢价；风险资产压力再经过市场传导门控。蓝色单元格为可更新输入。 数据截至 2026-10-20。 </x:v>
      </x:c>
      <x:c r="I3" s="53" t="str">
        <x:v>名义利率 = 预期政策路径 + 通胀补偿 + 期限溢价；风险资产压力再经过市场传导门控。蓝色单元格为可更新输入。 数据截至 2026-10-20。 </x:v>
      </x:c>
      <x:c r="J3" s="53" t="str">
        <x:v>名义利率 = 预期政策路径 + 通胀补偿 + 期限溢价；风险资产压力再经过市场传导门控。蓝色单元格为可更新输入。 数据截至 2026-10-20。 </x:v>
      </x:c>
      <x:c r="K3" s="53" t="str">
        <x:v>名义利率 = 预期政策路径 + 通胀补偿 + 期限溢价；风险资产压力再经过市场传导门控。蓝色单元格为可更新输入。 数据截至 2026-10-20。 </x:v>
      </x:c>
      <x:c r="L3" s="53" t="str">
        <x:v>名义利率 = 预期政策路径 + 通胀补偿 + 期限溢价；风险资产压力再经过市场传导门控。蓝色单元格为可更新输入。 数据截至 2026-10-20。 </x:v>
      </x:c>
      <x:c r="M3" s="53" t="str">
        <x:v>名义利率 = 预期政策路径 + 通胀补偿 + 期限溢价；风险资产压力再经过市场传导门控。蓝色单元格为可更新输入。 数据截至 2026-10-20。 </x:v>
      </x:c>
      <x:c r="N3" s="53" t="str">
        <x:v>名义利率 = 预期政策路径 + 通胀补偿 + 期限溢价；风险资产压力再经过市场传导门控。蓝色单元格为可更新输入。 数据截至 2026-10-20。 </x:v>
      </x:c>
      <x:c r="O3" s="53" t="str">
        <x:v>名义利率 = 预期政策路径 + 通胀补偿 + 期限溢价；风险资产压力再经过市场传导门控。蓝色单元格为可更新输入。 数据截至 2026-10-20。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0.8899999999999997</x:v>
      </x:c>
      <x:c r="F5" s="57" t="str">
        <x:v>百分点</x:v>
      </x:c>
      <x:c r="G5" s="56" t="n">
        <x:v>-0.11447751322751326</x:v>
      </x:c>
      <x:c r="H5" s="56" t="n">
        <x:v>1.0969085936227185</x:v>
      </x:c>
      <x:c r="I5" s="58" t="n">
        <x:f>IFERROR(C5*(E5-G5)/H5,"")</x:f>
        <x:v>0.9157349291157098</x:v>
      </x:c>
      <x:c r="J5" s="58" t="n">
        <x:f>IF(I5="","",MAX(0,MIN(100,50+20*I5)))</x:f>
        <x:v>68.3146985823142</x:v>
      </x:c>
      <x:c r="K5" s="54" t="str">
        <x:v>2026-10-19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0.009999999999999787</x:v>
      </x:c>
      <x:c r="F6" s="57" t="str">
        <x:v>百分点</x:v>
      </x:c>
      <x:c r="G6" s="56" t="n">
        <x:v>0.05878306878306871</x:v>
      </x:c>
      <x:c r="H6" s="56" t="n">
        <x:v>1.0616304783518418</x:v>
      </x:c>
      <x:c r="I6" s="58" t="n">
        <x:f>IFERROR(C6*(E6-G6)/H6,"")</x:f>
        <x:v>-0.0459510816407641</x:v>
      </x:c>
      <x:c r="J6" s="58" t="n">
        <x:f>IF(I6="","",MAX(0,MIN(100,50+20*I6)))</x:f>
        <x:v>49.08097836718472</x:v>
      </x:c>
      <x:c r="K6" s="54" t="str">
        <x:v>2026-10-19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0.03578847969782822</x:v>
      </x:c>
      <x:c r="H7" s="56" t="n">
        <x:v>0.18298918460146443</x:v>
      </x:c>
      <x:c r="I7" s="58" t="n">
        <x:f>IFERROR(C7*(E7-G7)/H7,"")</x:f>
        <x:v>-0.19557702153694284</x:v>
      </x:c>
      <x:c r="J7" s="58" t="n">
        <x:f>IF(I7="","",MAX(0,MIN(100,50+20*I7)))</x:f>
        <x:v>46.08845956926115</x:v>
      </x:c>
      <x:c r="K7" s="54" t="str">
        <x:v>2026-10-19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57.287274644304446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2.39</x:v>
      </x:c>
      <x:c r="F10" s="57" t="str">
        <x:v>%</x:v>
      </x:c>
      <x:c r="G10" s="56" t="n">
        <x:v>2.343278255122277</x:v>
      </x:c>
      <x:c r="H10" s="56" t="n">
        <x:v>0.5572399504142661</x:v>
      </x:c>
      <x:c r="I10" s="58" t="n">
        <x:f>IFERROR(C10*(E10-G10)/H10,"")</x:f>
        <x:v>0.08384493043434732</x:v>
      </x:c>
      <x:c r="J10" s="58" t="n">
        <x:f>IF(I10="","",MAX(0,MIN(100,50+20*I10)))</x:f>
        <x:v>51.67689860868695</x:v>
      </x:c>
      <x:c r="K10" s="54" t="str">
        <x:v>2026-10-20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0.07000000000000028</x:v>
      </x:c>
      <x:c r="F11" s="57" t="str">
        <x:v>百分点</x:v>
      </x:c>
      <x:c r="G11" s="56" t="n">
        <x:v>0.005922009253139466</x:v>
      </x:c>
      <x:c r="H11" s="56" t="n">
        <x:v>0.6966776499082454</x:v>
      </x:c>
      <x:c r="I11" s="58" t="n">
        <x:f>IFERROR(C11*(E11-G11)/H11,"")</x:f>
        <x:v>0.09197652710015901</x:v>
      </x:c>
      <x:c r="J11" s="58" t="n">
        <x:f>IF(I11="","",MAX(0,MIN(100,50+20*I11)))</x:f>
        <x:v>51.83953054200318</x:v>
      </x:c>
      <x:c r="K11" s="54" t="str">
        <x:v>2026-10-20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2.31</x:v>
      </x:c>
      <x:c r="F12" s="57" t="str">
        <x:v>%</x:v>
      </x:c>
      <x:c r="G12" s="56" t="n">
        <x:v>2.1611896893588907</x:v>
      </x:c>
      <x:c r="H12" s="56" t="n">
        <x:v>0.4623076309211272</x:v>
      </x:c>
      <x:c r="I12" s="58" t="n">
        <x:f>IFERROR(C12*(E12-G12)/H12,"")</x:f>
        <x:v>0.32188590602454803</x:v>
      </x:c>
      <x:c r="J12" s="58" t="n">
        <x:f>IF(I12="","",MAX(0,MIN(100,50+20*I12)))</x:f>
        <x:v>56.43771812049096</x:v>
      </x:c>
      <x:c r="K12" s="54" t="str">
        <x:v>2026-10-20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53.16206563888883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198500</x:v>
      </x:c>
      <x:c r="F19" s="57" t="str">
        <x:v>人</x:v>
      </x:c>
      <x:c r="G19" s="56" t="n">
        <x:v>264475.99337748345</x:v>
      </x:c>
      <x:c r="H19" s="56" t="n">
        <x:v>129376.24139969035</x:v>
      </x:c>
      <x:c r="I19" s="58" t="n">
        <x:f>IFERROR(C19*(E19-G19)/H19,"")</x:f>
        <x:v>0.5099544759045794</x:v>
      </x:c>
      <x:c r="J19" s="58" t="n">
        <x:f>IF(I19="","",MAX(0,MIN(100,50+20*I19)))</x:f>
        <x:v>60.19908951809159</x:v>
      </x:c>
      <x:c r="K19" s="54" t="str">
        <x:v>2026-10-10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35.520877330750906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3.3810311253439362</x:v>
      </x:c>
      <x:c r="F22" s="57" t="str">
        <x:v>%</x:v>
      </x:c>
      <x:c r="G22" s="56" t="n">
        <x:v>1.7052917625095732</x:v>
      </x:c>
      <x:c r="H22" s="56" t="n">
        <x:v>3.23770758860311</x:v>
      </x:c>
      <x:c r="I22" s="58" t="n">
        <x:f>IFERROR(C22*(E22-G22)/H22,"")</x:f>
        <x:v>0.5175697054091754</x:v>
      </x:c>
      <x:c r="J22" s="58" t="n">
        <x:f>IF(I22="","",MAX(0,MIN(100,50+20*I22)))</x:f>
        <x:v>60.351394108183506</x:v>
      </x:c>
      <x:c r="K22" s="54" t="str">
        <x:v>2026-09-01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16.25598904859684</x:v>
      </x:c>
      <x:c r="F23" s="57" t="str">
        <x:v>%</x:v>
      </x:c>
      <x:c r="G23" s="56" t="n">
        <x:v>0.1142404810583327</x:v>
      </x:c>
      <x:c r="H23" s="56" t="n">
        <x:v>28.66433265996694</x:v>
      </x:c>
      <x:c r="I23" s="58" t="n">
        <x:f>IFERROR(C23*(E23-G23)/H23,"")</x:f>
        <x:v>0.5631301017547263</x:v>
      </x:c>
      <x:c r="J23" s="58" t="n">
        <x:f>IF(I23="","",MAX(0,MIN(100,50+20*I23)))</x:f>
        <x:v>61.26260203509453</x:v>
      </x:c>
      <x:c r="K23" s="54" t="str">
        <x:v>2026-10-14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60.94367926067568</x:v>
      </x:c>
      <x:c r="K24" s="64" t="str">
        <x:f>IF(J24&gt;=65,"高压",IF(J24&gt;=55,"偏紧",IF(J24&gt;=45,"中性",IF(J24&gt;=35,"偏松","宽松"))))</x:f>
        <x:v>偏紧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48.543972455397935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0.799555387883543</x:v>
      </x:c>
      <x:c r="F28" s="57" t="str">
        <x:v>%</x:v>
      </x:c>
      <x:c r="G28" s="56" t="n">
        <x:v>-0.048835888650052665</x:v>
      </x:c>
      <x:c r="H28" s="56" t="n">
        <x:v>0.5486627307505725</x:v>
      </x:c>
      <x:c r="I28" s="58" t="n">
        <x:f>IFERROR(C28*(E28-G28)/H28,"")</x:f>
        <x:v>1.5462892392435577</x:v>
      </x:c>
      <x:c r="J28" s="58" t="n">
        <x:f>IF(I28="","",MAX(0,MIN(100,50+20*I28)))</x:f>
        <x:v>80.92578478487115</x:v>
      </x:c>
      <x:c r="K28" s="54" t="str">
        <x:v>2026-10-19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0.16756527592149095</x:v>
      </x:c>
      <x:c r="F29" s="57" t="str">
        <x:v>百分点</x:v>
      </x:c>
      <x:c r="G29" s="56" t="n">
        <x:v>0.02266941743332502</x:v>
      </x:c>
      <x:c r="H29" s="56" t="n">
        <x:v>0.22605116154977523</x:v>
      </x:c>
      <x:c r="I29" s="58" t="n">
        <x:f>IFERROR(C29*(E29-G29)/H29,"")</x:f>
        <x:v>0.6409870115012024</x:v>
      </x:c>
      <x:c r="J29" s="58" t="n">
        <x:f>IF(I29="","",MAX(0,MIN(100,50+20*I29)))</x:f>
        <x:v>62.81974023002405</x:v>
      </x:c>
      <x:c r="K29" s="54" t="str">
        <x:v>2026-10-19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75.49397141841702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0.17999999999999972</x:v>
      </x:c>
      <x:c r="F32" s="57" t="str">
        <x:v>百分点</x:v>
      </x:c>
      <x:c r="G32" s="56" t="n">
        <x:v>0.04833994708994709</x:v>
      </x:c>
      <x:c r="H32" s="56" t="n">
        <x:v>0.5122967923829889</x:v>
      </x:c>
      <x:c r="I32" s="58" t="n">
        <x:f>IFERROR(C32*(E32-G32)/H32,"")</x:f>
        <x:v>0.25699956522785455</x:v>
      </x:c>
      <x:c r="J32" s="58" t="n">
        <x:f>IF(I32="","",MAX(0,MIN(100,50+20*I32)))</x:f>
        <x:v>55.13999130455709</x:v>
      </x:c>
      <x:c r="K32" s="54" t="str">
        <x:v>2026-10-19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0.6299999999999999</x:v>
      </x:c>
      <x:c r="F33" s="57" t="str">
        <x:v>百分点</x:v>
      </x:c>
      <x:c r="G33" s="56" t="n">
        <x:v>-0.02905440414507766</x:v>
      </x:c>
      <x:c r="H33" s="56" t="n">
        <x:v>0.5366263565856542</x:v>
      </x:c>
      <x:c r="I33" s="58" t="n">
        <x:f>IFERROR(C33*(E33-G33)/H33,"")</x:f>
        <x:v>1.2281439330307695</x:v>
      </x:c>
      <x:c r="J33" s="58" t="n">
        <x:f>IF(I33="","",MAX(0,MIN(100,50+20*I33)))</x:f>
        <x:v>74.56287866061538</x:v>
      </x:c>
      <x:c r="K33" s="54" t="str">
        <x:v>2026-10-19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0.09999999999999998</x:v>
      </x:c>
      <x:c r="F34" s="57" t="str">
        <x:v>百分点</x:v>
      </x:c>
      <x:c r="G34" s="56" t="n">
        <x:v>-0.011696891191709876</x:v>
      </x:c>
      <x:c r="H34" s="56" t="n">
        <x:v>0.15446605691865978</x:v>
      </x:c>
      <x:c r="I34" s="58" t="n">
        <x:f>IFERROR(C34*(E34-G34)/H34,"")</x:f>
        <x:v>0.7231160904853567</x:v>
      </x:c>
      <x:c r="J34" s="58" t="n">
        <x:f>IF(I34="","",MAX(0,MIN(100,50+20*I34)))</x:f>
        <x:v>64.46232180970713</x:v>
      </x:c>
      <x:c r="K34" s="54" t="str">
        <x:v>2026-10-19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18.44</x:v>
      </x:c>
      <x:c r="F35" s="57" t="str">
        <x:v>指数</x:v>
      </x:c>
      <x:c r="G35" s="56" t="n">
        <x:v>18.840039682539672</x:v>
      </x:c>
      <x:c r="H35" s="56" t="n">
        <x:v>5.581400899511828</x:v>
      </x:c>
      <x:c r="I35" s="58" t="n">
        <x:f>IFERROR(C35*(E35-G35)/H35,"")</x:f>
        <x:v>-0.07167370517582058</x:v>
      </x:c>
      <x:c r="J35" s="58" t="n">
        <x:f>IF(I35="","",MAX(0,MIN(100,50+20*I35)))</x:f>
        <x:v>48.56652589648359</x:v>
      </x:c>
      <x:c r="K35" s="54" t="str">
        <x:v>2026-10-19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1.5826690418555778</x:v>
      </x:c>
      <x:c r="F36" s="57" t="str">
        <x:v>%</x:v>
      </x:c>
      <x:c r="G36" s="56" t="n">
        <x:v>-3.8932762266238274</x:v>
      </x:c>
      <x:c r="H36" s="56" t="n">
        <x:v>19.693125027432618</x:v>
      </x:c>
      <x:c r="I36" s="58" t="n">
        <x:f>IFERROR(C36*(E36-G36)/H36,"")</x:f>
        <x:v>0.2780638045435342</x:v>
      </x:c>
      <x:c r="J36" s="58" t="n">
        <x:f>IF(I36="","",MAX(0,MIN(100,50+20*I36)))</x:f>
        <x:v>55.561276090870685</x:v>
      </x:c>
      <x:c r="K36" s="54" t="str">
        <x:v>2026-10-16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-0.499</x:v>
      </x:c>
      <x:c r="F37" s="57" t="str">
        <x:v>指数</x:v>
      </x:c>
      <x:c r="G37" s="56" t="n">
        <x:v>-0.43043377483443734</x:v>
      </x:c>
      <x:c r="H37" s="56" t="n">
        <x:v>0.1505423216782181</x:v>
      </x:c>
      <x:c r="I37" s="58" t="n">
        <x:f>IFERROR(C37*(E37-G37)/H37,"")</x:f>
        <x:v>-0.455461456959073</x:v>
      </x:c>
      <x:c r="J37" s="58" t="n">
        <x:f>IF(I37="","",MAX(0,MIN(100,50+20*I37)))</x:f>
        <x:v>40.89077086081854</x:v>
      </x:c>
      <x:c r="K37" s="54" t="str">
        <x:v>2026-10-09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56.89659166645898</x:v>
      </x:c>
      <x:c r="K38" s="64" t="str">
        <x:f>IF(J38&gt;=65,"高压",IF(J38&gt;=55,"偏紧",IF(J38&gt;=45,"中性",IF(J38&gt;=35,"偏松","宽松"))))</x:f>
        <x:v>偏紧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57.287274644304446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48.543972455397935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75.49397141841702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56.89659166645898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59.689127910420936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61.74738562104701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59.134757907621974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0.4437498599069332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0.5562501400930668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39.59858002977813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39.47290193052207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40.78111626915918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40.79558600907938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40.4306201734108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40.9448048480407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38.731051410585444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44.06985043700938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38.53583969812086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59.40466709599137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57.287274644304446</x:v>
      </x:c>
      <x:c r="C6" s="58" t="n">
        <x:f>'因子引擎'!$B$43</x:f>
        <x:v>48.543972455397935</x:v>
      </x:c>
      <x:c r="D6" s="58" t="n">
        <x:f>'因子引擎'!$B$44</x:f>
        <x:v>75.49397141841702</x:v>
      </x:c>
      <x:c r="E6" s="58" t="n">
        <x:f>'因子引擎'!$B$45</x:f>
        <x:v>56.89659166645898</x:v>
      </x:c>
      <x:c r="F6" s="58" t="n">
        <x:f>MIN(100,MAX(0,(35%*B6+35%*C6+30%*D6)*(0.75+0.5*E6/100)))</x:f>
        <x:v>61.74738562104701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39.59858002977813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39.47290193052207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40.79558600907938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40.9448048480407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59.40466709599137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61.74738562104701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38.53583969812086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