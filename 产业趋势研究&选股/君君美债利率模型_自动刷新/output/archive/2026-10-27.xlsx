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2725a9bf0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ad0be1389c4444e6"/>
    <x:sheet xmlns:r="http://schemas.openxmlformats.org/officeDocument/2006/relationships" name="因子引擎" sheetId="2" r:id="R19cb2779bc0341a0"/>
    <x:sheet xmlns:r="http://schemas.openxmlformats.org/officeDocument/2006/relationships" name="风险资产" sheetId="3" r:id="Rd5fc300349654dbf"/>
    <x:sheet xmlns:r="http://schemas.openxmlformats.org/officeDocument/2006/relationships" name="场景与阈值" sheetId="4" r:id="Rcac17792e93a457b"/>
    <x:sheet xmlns:r="http://schemas.openxmlformats.org/officeDocument/2006/relationships" name="数据字典" sheetId="5" r:id="R3163750e9e4b4058"/>
    <x:sheet xmlns:r="http://schemas.openxmlformats.org/officeDocument/2006/relationships" name="方法与信源" sheetId="6" r:id="R1a18343be299468e"/>
    <x:sheet xmlns:r="http://schemas.openxmlformats.org/officeDocument/2006/relationships" name="审计" sheetId="7" r:id="R248bfebb55f8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edb8ae9a0401b" /><Relationship Type="http://schemas.openxmlformats.org/officeDocument/2006/relationships/theme" Target="/xl/theme/theme1.xml" Id="R11c74baeadf5465c" /><Relationship Type="http://schemas.openxmlformats.org/officeDocument/2006/relationships/sharedStrings" Target="/xl/sharedStrings.xml" Id="R3cb9a1f2c76d4169" /><Relationship Type="http://schemas.openxmlformats.org/officeDocument/2006/relationships/worksheet" Target="/xl/worksheets/sheet1.xml" Id="Rad0be1389c4444e6" /><Relationship Type="http://schemas.openxmlformats.org/officeDocument/2006/relationships/worksheet" Target="/xl/worksheets/sheet2.xml" Id="R19cb2779bc0341a0" /><Relationship Type="http://schemas.openxmlformats.org/officeDocument/2006/relationships/worksheet" Target="/xl/worksheets/sheet3.xml" Id="Rd5fc300349654dbf" /><Relationship Type="http://schemas.openxmlformats.org/officeDocument/2006/relationships/worksheet" Target="/xl/worksheets/sheet4.xml" Id="Rcac17792e93a457b" /><Relationship Type="http://schemas.openxmlformats.org/officeDocument/2006/relationships/worksheet" Target="/xl/worksheets/sheet5.xml" Id="R3163750e9e4b4058" /><Relationship Type="http://schemas.openxmlformats.org/officeDocument/2006/relationships/worksheet" Target="/xl/worksheets/sheet6.xml" Id="R1a18343be299468e" /><Relationship Type="http://schemas.openxmlformats.org/officeDocument/2006/relationships/worksheet" Target="/xl/worksheets/sheet7.xml" Id="R248bfebb55f84f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c152484c0348e9" /><Relationship Type="http://schemas.openxmlformats.org/officeDocument/2006/relationships/chart" Target="/xl/drawings/charts/chart2.xml" Id="R1cfa1b23893940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152484c0348e9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fa1b238939402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a5d523652145d4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2026-10-22；官方数据经 FRED、纽约联储、BLS、DOL、EIA、Atlanta Fed 交叉核验。高分=利率/金融条件压力更大。</x:v>
      </x:c>
      <x:c r="B3" s="10" t="str">
        <x:v>当前快照截至 2026-10-22；官方数据经 FRED、纽约联储、BLS、DOL、EIA、Atlanta Fed 交叉核验。高分=利率/金融条件压力更大。</x:v>
      </x:c>
      <x:c r="C3" s="10" t="str">
        <x:v>当前快照截至 2026-10-22；官方数据经 FRED、纽约联储、BLS、DOL、EIA、Atlanta Fed 交叉核验。高分=利率/金融条件压力更大。</x:v>
      </x:c>
      <x:c r="D3" s="10" t="str">
        <x:v>当前快照截至 2026-10-22；官方数据经 FRED、纽约联储、BLS、DOL、EIA、Atlanta Fed 交叉核验。高分=利率/金融条件压力更大。</x:v>
      </x:c>
      <x:c r="E3" s="10" t="str">
        <x:v>当前快照截至 2026-10-22；官方数据经 FRED、纽约联储、BLS、DOL、EIA、Atlanta Fed 交叉核验。高分=利率/金融条件压力更大。</x:v>
      </x:c>
      <x:c r="F3" s="10" t="str">
        <x:v>当前快照截至 2026-10-22；官方数据经 FRED、纽约联储、BLS、DOL、EIA、Atlanta Fed 交叉核验。高分=利率/金融条件压力更大。</x:v>
      </x:c>
      <x:c r="G3" s="10" t="str">
        <x:v>当前快照截至 2026-10-22；官方数据经 FRED、纽约联储、BLS、DOL、EIA、Atlanta Fed 交叉核验。高分=利率/金融条件压力更大。</x:v>
      </x:c>
      <x:c r="H3" s="10" t="str">
        <x:v>当前快照截至 2026-10-22；官方数据经 FRED、纽约联储、BLS、DOL、EIA、Atlanta Fed 交叉核验。高分=利率/金融条件压力更大。</x:v>
      </x:c>
      <x:c r="I3" s="10" t="str">
        <x:v>当前快照截至 2026-10-22；官方数据经 FRED、纽约联储、BLS、DOL、EIA、Atlanta Fed 交叉核验。高分=利率/金融条件压力更大。</x:v>
      </x:c>
      <x:c r="J3" s="10" t="str">
        <x:v>当前快照截至 2026-10-22；官方数据经 FRED、纽约联储、BLS、DOL、EIA、Atlanta Fed 交叉核验。高分=利率/金融条件压力更大。</x:v>
      </x:c>
      <x:c r="K3" s="10" t="str">
        <x:v>当前快照截至 2026-10-22；官方数据经 FRED、纽约联储、BLS、DOL、EIA、Atlanta Fed 交叉核验。高分=利率/金融条件压力更大。</x:v>
      </x:c>
      <x:c r="L3" s="10" t="str">
        <x:v>当前快照截至 2026-10-22；官方数据经 FRED、纽约联储、BLS、DOL、EIA、Atlanta Fed 交叉核验。高分=利率/金融条件压力更大。</x:v>
      </x:c>
      <x:c r="M3" s="10" t="str">
        <x:v>当前快照截至 2026-10-22；官方数据经 FRED、纽约联储、BLS、DOL、EIA、Atlanta Fed 交叉核验。高分=利率/金融条件压力更大。</x:v>
      </x:c>
      <x:c r="N3" s="10" t="str">
        <x:v>当前快照截至 2026-10-22；官方数据经 FRED、纽约联储、BLS、DOL、EIA、Atlanta Fed 交叉核验。高分=利率/金融条件压力更大。</x:v>
      </x:c>
      <x:c r="O3" s="10" t="str">
        <x:v>当前快照截至 2026-10-22；官方数据经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57.22829360240057</x:v>
      </x:c>
      <x:c r="B6" s="99"/>
      <x:c r="C6" s="99"/>
      <x:c r="D6" s="99" t="n">
        <x:f>'因子引擎'!$B$43</x:f>
        <x:v>47.08238984612924</x:v>
      </x:c>
      <x:c r="E6" s="99"/>
      <x:c r="F6" s="99"/>
      <x:c r="G6" s="99" t="n">
        <x:f>'因子引擎'!$B$44</x:f>
        <x:v>72.8049594006678</x:v>
      </x:c>
      <x:c r="H6" s="99"/>
      <x:c r="I6" s="99"/>
      <x:c r="J6" s="99" t="n">
        <x:f>'因子引擎'!$B$45</x:f>
        <x:v>53.73195428302721</x:v>
      </x:c>
      <x:c r="K6" s="99"/>
      <x:c r="L6" s="99"/>
      <x:c r="M6" s="99" t="n">
        <x:f>'因子引擎'!$B$47</x:f>
        <x:v>59.439028925534345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0.515484721712491</x:v>
      </x:c>
      <x:c r="K12" s="50" t="str">
        <x:v>主导</x:v>
      </x:c>
      <x:c r="L12" s="50" t="str">
        <x:v>市场冲击占比</x:v>
      </x:c>
      <x:c r="M12" s="50" t="n">
        <x:f>'因子引擎'!$B$50</x:f>
        <x:v>0.48451527828750895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-0.040000000000000036</x:v>
      </x:c>
      <x:c r="K13" s="39" t="str">
        <x:v>+47bp</x:v>
      </x:c>
      <x:c r="L13" s="39" t="str">
        <x:v>10Y实际利率20日</x:v>
      </x:c>
      <x:c r="M13" s="111" t="n">
        <x:f>'因子引擎'!$E$32</x:f>
        <x:v>0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0.718008053968759</x:v>
      </x:c>
      <x:c r="K14" s="39" t="str">
        <x:v>高于5年中枢</x:v>
      </x:c>
      <x:c r="L14" s="39" t="str">
        <x:v>ACM TP 20日</x:v>
      </x:c>
      <x:c r="M14" s="111" t="n">
        <x:f>'因子引擎'!$E$29</x:f>
        <x:v>0.14629031404763104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0.54</x:v>
      </x:c>
      <x:c r="K15" s="39" t="str">
        <x:v>+13bp</x:v>
      </x:c>
      <x:c r="L15" s="39" t="str">
        <x:v>VIX</x:v>
      </x:c>
      <x:c r="M15" s="111" t="n">
        <x:f>'因子引擎'!$E$35</x:f>
        <x:v>16.68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57.22829360240057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47.08238984612924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72.8049594006678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53.73195428302721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59.439028925534345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41.43945744395615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41.418395734763415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42.68517599861731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42.81467004748299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42.484036663728574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41.69186619733981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40.55900778411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44.091854682710235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40.40427733166313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57.60145357885113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ffa5d523652145d4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2026-10-22。 </x:v>
      </x:c>
      <x:c r="B3" s="53" t="str">
        <x:v>名义利率 = 预期政策路径 + 通胀补偿 + 期限溢价；风险资产压力再经过市场传导门控。蓝色单元格为可更新输入。 数据截至 2026-10-22。 </x:v>
      </x:c>
      <x:c r="C3" s="53" t="str">
        <x:v>名义利率 = 预期政策路径 + 通胀补偿 + 期限溢价；风险资产压力再经过市场传导门控。蓝色单元格为可更新输入。 数据截至 2026-10-22。 </x:v>
      </x:c>
      <x:c r="D3" s="53" t="str">
        <x:v>名义利率 = 预期政策路径 + 通胀补偿 + 期限溢价；风险资产压力再经过市场传导门控。蓝色单元格为可更新输入。 数据截至 2026-10-22。 </x:v>
      </x:c>
      <x:c r="E3" s="53" t="str">
        <x:v>名义利率 = 预期政策路径 + 通胀补偿 + 期限溢价；风险资产压力再经过市场传导门控。蓝色单元格为可更新输入。 数据截至 2026-10-22。 </x:v>
      </x:c>
      <x:c r="F3" s="53" t="str">
        <x:v>名义利率 = 预期政策路径 + 通胀补偿 + 期限溢价；风险资产压力再经过市场传导门控。蓝色单元格为可更新输入。 数据截至 2026-10-22。 </x:v>
      </x:c>
      <x:c r="G3" s="53" t="str">
        <x:v>名义利率 = 预期政策路径 + 通胀补偿 + 期限溢价；风险资产压力再经过市场传导门控。蓝色单元格为可更新输入。 数据截至 2026-10-22。 </x:v>
      </x:c>
      <x:c r="H3" s="53" t="str">
        <x:v>名义利率 = 预期政策路径 + 通胀补偿 + 期限溢价；风险资产压力再经过市场传导门控。蓝色单元格为可更新输入。 数据截至 2026-10-22。 </x:v>
      </x:c>
      <x:c r="I3" s="53" t="str">
        <x:v>名义利率 = 预期政策路径 + 通胀补偿 + 期限溢价；风险资产压力再经过市场传导门控。蓝色单元格为可更新输入。 数据截至 2026-10-22。 </x:v>
      </x:c>
      <x:c r="J3" s="53" t="str">
        <x:v>名义利率 = 预期政策路径 + 通胀补偿 + 期限溢价；风险资产压力再经过市场传导门控。蓝色单元格为可更新输入。 数据截至 2026-10-22。 </x:v>
      </x:c>
      <x:c r="K3" s="53" t="str">
        <x:v>名义利率 = 预期政策路径 + 通胀补偿 + 期限溢价；风险资产压力再经过市场传导门控。蓝色单元格为可更新输入。 数据截至 2026-10-22。 </x:v>
      </x:c>
      <x:c r="L3" s="53" t="str">
        <x:v>名义利率 = 预期政策路径 + 通胀补偿 + 期限溢价；风险资产压力再经过市场传导门控。蓝色单元格为可更新输入。 数据截至 2026-10-22。 </x:v>
      </x:c>
      <x:c r="M3" s="53" t="str">
        <x:v>名义利率 = 预期政策路径 + 通胀补偿 + 期限溢价；风险资产压力再经过市场传导门控。蓝色单元格为可更新输入。 数据截至 2026-10-22。 </x:v>
      </x:c>
      <x:c r="N3" s="53" t="str">
        <x:v>名义利率 = 预期政策路径 + 通胀补偿 + 期限溢价；风险资产压力再经过市场传导门控。蓝色单元格为可更新输入。 数据截至 2026-10-22。 </x:v>
      </x:c>
      <x:c r="O3" s="53" t="str">
        <x:v>名义利率 = 预期政策路径 + 通胀补偿 + 期限溢价；风险资产压力再经过市场传导门控。蓝色单元格为可更新输入。 数据截至 2026-10-22。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0.9299999999999997</x:v>
      </x:c>
      <x:c r="F5" s="57" t="str">
        <x:v>百分点</x:v>
      </x:c>
      <x:c r="G5" s="56" t="n">
        <x:v>-0.11311096433289304</x:v>
      </x:c>
      <x:c r="H5" s="56" t="n">
        <x:v>1.0968276213864914</x:v>
      </x:c>
      <x:c r="I5" s="58" t="n">
        <x:f>IFERROR(C5*(E5-G5)/H5,"")</x:f>
        <x:v>0.9510254337088122</x:v>
      </x:c>
      <x:c r="J5" s="58" t="n">
        <x:f>IF(I5="","",MAX(0,MIN(100,50+20*I5)))</x:f>
        <x:v>69.02050867417624</x:v>
      </x:c>
      <x:c r="K5" s="54" t="str">
        <x:v>2026-10-21</x:v>
      </x:c>
      <x:c r="L5" s="54" t="n">
        <x:v>5</x:v>
      </x:c>
      <x:c r="M5" s="54" t="n">
        <x:v>4</x:v>
      </x:c>
      <x:c r="N5" s="54" t="str">
        <x:v>2Y与有效联邦基金利率之差，包含2Y期限溢价；本次来源未更新，沿用上一有效值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-0.040000000000000036</x:v>
      </x:c>
      <x:c r="F6" s="57" t="str">
        <x:v>百分点</x:v>
      </x:c>
      <x:c r="G6" s="56" t="n">
        <x:v>0.0587318361955085</x:v>
      </x:c>
      <x:c r="H6" s="56" t="n">
        <x:v>1.060931752358709</x:v>
      </x:c>
      <x:c r="I6" s="58" t="n">
        <x:f>IFERROR(C6*(E6-G6)/H6,"")</x:f>
        <x:v>-0.0930614396034464</x:v>
      </x:c>
      <x:c r="J6" s="58" t="n">
        <x:f>IF(I6="","",MAX(0,MIN(100,50+20*I6)))</x:f>
        <x:v>48.13877120793107</x:v>
      </x:c>
      <x:c r="K6" s="54" t="str">
        <x:v>2026-10-21</x:v>
      </x:c>
      <x:c r="L6" s="54" t="n">
        <x:v>5</x:v>
      </x:c>
      <x:c r="M6" s="54" t="n">
        <x:v>4</x:v>
      </x:c>
      <x:c r="N6" s="54" t="str">
        <x:v>捕捉政策路径重定价；本次来源未更新，沿用上一有效值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0.035754716981132154</x:v>
      </x:c>
      <x:c r="H7" s="56" t="n">
        <x:v>0.18290610940425073</x:v>
      </x:c>
      <x:c r="I7" s="58" t="n">
        <x:f>IFERROR(C7*(E7-G7)/H7,"")</x:f>
        <x:v>-0.1954812613837229</x:v>
      </x:c>
      <x:c r="J7" s="58" t="n">
        <x:f>IF(I7="","",MAX(0,MIN(100,50+20*I7)))</x:f>
        <x:v>46.09037477232554</x:v>
      </x:c>
      <x:c r="K7" s="54" t="str">
        <x:v>2026-10-21</x:v>
      </x:c>
      <x:c r="L7" s="54" t="n">
        <x:v>5</x:v>
      </x:c>
      <x:c r="M7" s="54" t="n">
        <x:v>5</x:v>
      </x:c>
      <x:c r="N7" s="54" t="str">
        <x:v>实际政策动作，离散且滞后于市场定价；本次来源未更新，沿用上一有效值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57.22829360240057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2.45</x:v>
      </x:c>
      <x:c r="F10" s="57" t="str">
        <x:v>%</x:v>
      </x:c>
      <x:c r="G10" s="56" t="n">
        <x:v>2.3433861386138646</x:v>
      </x:c>
      <x:c r="H10" s="56" t="n">
        <x:v>0.556880422733508</x:v>
      </x:c>
      <x:c r="I10" s="58" t="n">
        <x:f>IFERROR(C10*(E10-G10)/H10,"")</x:f>
        <x:v>0.19144839185189863</x:v>
      </x:c>
      <x:c r="J10" s="58" t="n">
        <x:f>IF(I10="","",MAX(0,MIN(100,50+20*I10)))</x:f>
        <x:v>53.82896783703797</x:v>
      </x:c>
      <x:c r="K10" s="54" t="str">
        <x:v>2026-10-22</x:v>
      </x:c>
      <x:c r="L10" s="54" t="n">
        <x:v>5</x:v>
      </x:c>
      <x:c r="M10" s="54" t="n">
        <x:v>3</x:v>
      </x:c>
      <x:c r="N10" s="54" t="str">
        <x:v>含通胀风险与TIPS流动性溢价，不是纯预期；本次来源未更新，沿用上一有效值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0.1200000000000001</x:v>
      </x:c>
      <x:c r="F11" s="57" t="str">
        <x:v>百分点</x:v>
      </x:c>
      <x:c r="G11" s="56" t="n">
        <x:v>0.006033003300330041</x:v>
      </x:c>
      <x:c r="H11" s="56" t="n">
        <x:v>0.6962248922778974</x:v>
      </x:c>
      <x:c r="I11" s="58" t="n">
        <x:f>IFERROR(C11*(E11-G11)/H11,"")</x:f>
        <x:v>0.1636927923200141</x:v>
      </x:c>
      <x:c r="J11" s="58" t="n">
        <x:f>IF(I11="","",MAX(0,MIN(100,50+20*I11)))</x:f>
        <x:v>53.27385584640028</x:v>
      </x:c>
      <x:c r="K11" s="54" t="str">
        <x:v>2026-10-22</x:v>
      </x:c>
      <x:c r="L11" s="54" t="n">
        <x:v>5</x:v>
      </x:c>
      <x:c r="M11" s="54" t="n">
        <x:v>3</x:v>
      </x:c>
      <x:c r="N11" s="54" t="str">
        <x:v>适合看边际再定价；本次来源未更新，沿用上一有效值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2.19</x:v>
      </x:c>
      <x:c r="F12" s="57" t="str">
        <x:v>%</x:v>
      </x:c>
      <x:c r="G12" s="56" t="n">
        <x:v>2.1613267326732686</x:v>
      </x:c>
      <x:c r="H12" s="56" t="n">
        <x:v>0.4620256025114206</x:v>
      </x:c>
      <x:c r="I12" s="58" t="n">
        <x:f>IFERROR(C12*(E12-G12)/H12,"")</x:f>
        <x:v>0.06205991003717722</x:v>
      </x:c>
      <x:c r="J12" s="58" t="n">
        <x:f>IF(I12="","",MAX(0,MIN(100,50+20*I12)))</x:f>
        <x:v>51.24119820074355</x:v>
      </x:c>
      <x:c r="K12" s="54" t="str">
        <x:v>2026-10-22</x:v>
      </x:c>
      <x:c r="L12" s="54" t="n">
        <x:v>5</x:v>
      </x:c>
      <x:c r="M12" s="54" t="n">
        <x:v>3</x:v>
      </x:c>
      <x:c r="N12" s="54" t="str">
        <x:v>长期通胀锚，含风险与流动性成分；本次来源未更新，沿用上一有效值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52.85834774942646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平均时薪同比；CES会月度及年度修订；本次来源未更新，沿用上一有效值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1</x:v>
      </x:c>
      <x:c r="F16" s="57" t="str">
        <x:v>%</x:v>
      </x:c>
      <x:c r="G16" s="56" t="n">
        <x:v>3.5</x:v>
      </x:c>
      <x:c r="H16" s="56" t="n">
        <x:v>0.75</x:v>
      </x:c>
      <x:c r="I16" s="58" t="n">
        <x:f>IFERROR(C16*(E16-G16)/H16,"")</x:f>
        <x:v>-3.3333333333333335</x:v>
      </x:c>
      <x:c r="J16" s="58" t="n">
        <x:f>IF(I16="","",MAX(0,MIN(100,50+20*I16)))</x:f>
        <x:v>0</x:v>
      </x:c>
      <x:c r="K16" s="54" t="str">
        <x:v>2026-09-18</x:v>
      </x:c>
      <x:c r="L16" s="54" t="n">
        <x:v>4</x:v>
      </x:c>
      <x:c r="M16" s="54" t="n">
        <x:v>4</x:v>
      </x:c>
      <x:c r="N16" s="54" t="str">
        <x:v>Atlanta Fed匹配同一劳动者的工资增速；页面字段自动识别；本次来源未更新，沿用上一有效值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家庭调查月频；单月变化需谨慎；本次来源未更新，沿用上一有效值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约1个月滞后，月度与年度修订较大；本次来源未更新，沿用上一有效值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197750</x:v>
      </x:c>
      <x:c r="F19" s="57" t="str">
        <x:v>人</x:v>
      </x:c>
      <x:c r="G19" s="56" t="n">
        <x:v>264256.600660066</x:v>
      </x:c>
      <x:c r="H19" s="56" t="n">
        <x:v>129218.31482708087</x:v>
      </x:c>
      <x:c r="I19" s="58" t="n">
        <x:f>IFERROR(C19*(E19-G19)/H19,"")</x:f>
        <x:v>0.5146840116980687</x:v>
      </x:c>
      <x:c r="J19" s="58" t="n">
        <x:f>IF(I19="","",MAX(0,MIN(100,50+20*I19)))</x:f>
        <x:v>60.293680233961375</x:v>
      </x:c>
      <x:c r="K19" s="54" t="str">
        <x:v>2026-10-17</x:v>
      </x:c>
      <x:c r="L19" s="54" t="n">
        <x:v>5</x:v>
      </x:c>
      <x:c r="M19" s="54" t="n">
        <x:v>4</x:v>
      </x:c>
      <x:c r="N19" s="54" t="str">
        <x:v>周频四周均值；受季调、假期与州级申报扰动；本次来源未更新，沿用上一有效值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27.3156897605241</x:v>
      </x:c>
      <x:c r="K20" s="64" t="str">
        <x:f>IF(J20&gt;=65,"高压",IF(J20&gt;=55,"偏紧",IF(J20&gt;=45,"中性",IF(J20&gt;=35,"偏松","宽松"))))</x:f>
        <x:v>宽松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3.3810311253439362</x:v>
      </x:c>
      <x:c r="F22" s="57" t="str">
        <x:v>%</x:v>
      </x:c>
      <x:c r="G22" s="56" t="n">
        <x:v>1.7052917625095732</x:v>
      </x:c>
      <x:c r="H22" s="56" t="n">
        <x:v>3.23770758860311</x:v>
      </x:c>
      <x:c r="I22" s="58" t="n">
        <x:f>IFERROR(C22*(E22-G22)/H22,"")</x:f>
        <x:v>0.5175697054091754</x:v>
      </x:c>
      <x:c r="J22" s="58" t="n">
        <x:f>IF(I22="","",MAX(0,MIN(100,50+20*I22)))</x:f>
        <x:v>60.351394108183506</x:v>
      </x:c>
      <x:c r="K22" s="54" t="str">
        <x:v>2026-09-01</x:v>
      </x:c>
      <x:c r="L22" s="54" t="n">
        <x:v>5</x:v>
      </x:c>
      <x:c r="M22" s="54" t="n">
        <x:v>4</x:v>
      </x:c>
      <x:c r="N22" s="54" t="str">
        <x:v>广谱上游价格三个月变化，不等于最终消费价格；本次来源未更新，沿用上一有效值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33.345692745025346</x:v>
      </x:c>
      <x:c r="F23" s="57" t="str">
        <x:v>%</x:v>
      </x:c>
      <x:c r="G23" s="56" t="n">
        <x:v>0.1672936971689474</x:v>
      </x:c>
      <x:c r="H23" s="56" t="n">
        <x:v>28.649142075049937</x:v>
      </x:c>
      <x:c r="I23" s="58" t="n">
        <x:f>IFERROR(C23*(E23-G23)/H23,"")</x:f>
        <x:v>1.1580939827427124</x:v>
      </x:c>
      <x:c r="J23" s="58" t="n">
        <x:f>IF(I23="","",MAX(0,MIN(100,50+20*I23)))</x:f>
        <x:v>73.16187965485425</x:v>
      </x:c>
      <x:c r="K23" s="54" t="str">
        <x:v>2026-10-20</x:v>
      </x:c>
      <x:c r="L23" s="54" t="n">
        <x:v>5</x:v>
      </x:c>
      <x:c r="M23" s="54" t="n">
        <x:v>5</x:v>
      </x:c>
      <x:c r="N23" s="54" t="str">
        <x:v>高频能源价格变化，不能代表核心服务通胀；本次来源未更新，沿用上一有效值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68.6782097135195</x:v>
      </x:c>
      <x:c r="K24" s="64" t="str">
        <x:f>IF(J24&gt;=65,"高压",IF(J24&gt;=55,"偏紧",IF(J24&gt;=45,"中性",IF(J24&gt;=35,"偏松","宽松"))))</x:f>
        <x:v>高压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47.08238984612924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0.718008053968759</x:v>
      </x:c>
      <x:c r="F28" s="57" t="str">
        <x:v>%</x:v>
      </x:c>
      <x:c r="G28" s="56" t="n">
        <x:v>-0.0477707425113568</x:v>
      </x:c>
      <x:c r="H28" s="56" t="n">
        <x:v>0.5490338459384495</x:v>
      </x:c>
      <x:c r="I28" s="58" t="n">
        <x:f>IFERROR(C28*(E28-G28)/H28,"")</x:f>
        <x:v>1.394775207658081</x:v>
      </x:c>
      <x:c r="J28" s="58" t="n">
        <x:f>IF(I28="","",MAX(0,MIN(100,50+20*I28)))</x:f>
        <x:v>77.89550415316162</x:v>
      </x:c>
      <x:c r="K28" s="54" t="str">
        <x:v>2026-10-21</x:v>
      </x:c>
      <x:c r="L28" s="54" t="n">
        <x:v>5</x:v>
      </x:c>
      <x:c r="M28" s="54" t="n">
        <x:v>3</x:v>
      </x:c>
      <x:c r="N28" s="54" t="str">
        <x:v>模型估计值；存在模型风险；本次来源未更新，沿用上一有效值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0.14629031404763104</x:v>
      </x:c>
      <x:c r="F29" s="57" t="str">
        <x:v>百分点</x:v>
      </x:c>
      <x:c r="G29" s="56" t="n">
        <x:v>0.022845130102360126</x:v>
      </x:c>
      <x:c r="H29" s="56" t="n">
        <x:v>0.2259447962262693</x:v>
      </x:c>
      <x:c r="I29" s="58" t="n">
        <x:f>IFERROR(C29*(E29-G29)/H29,"")</x:f>
        <x:v>0.5463510822424449</x:v>
      </x:c>
      <x:c r="J29" s="58" t="n">
        <x:f>IF(I29="","",MAX(0,MIN(100,50+20*I29)))</x:f>
        <x:v>60.9270216448489</x:v>
      </x:c>
      <x:c r="K29" s="54" t="str">
        <x:v>2026-10-21</x:v>
      </x:c>
      <x:c r="L29" s="54" t="n">
        <x:v>5</x:v>
      </x:c>
      <x:c r="M29" s="54" t="n">
        <x:v>3</x:v>
      </x:c>
      <x:c r="N29" s="54" t="str">
        <x:v>判断长端上行是否来自期限溢价边际扩张；本次来源未更新，沿用上一有效值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72.8049594006678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</x:v>
      </x:c>
      <x:c r="F32" s="57" t="str">
        <x:v>百分点</x:v>
      </x:c>
      <x:c r="G32" s="56" t="n">
        <x:v>0.04836856010568032</x:v>
      </x:c>
      <x:c r="H32" s="56" t="n">
        <x:v>0.5119650144654966</x:v>
      </x:c>
      <x:c r="I32" s="58" t="n">
        <x:f>IFERROR(C32*(E32-G32)/H32,"")</x:f>
        <x:v>-0.09447629962797013</x:v>
      </x:c>
      <x:c r="J32" s="58" t="n">
        <x:f>IF(I32="","",MAX(0,MIN(100,50+20*I32)))</x:f>
        <x:v>48.1104740074406</x:v>
      </x:c>
      <x:c r="K32" s="54" t="str">
        <x:v>2026-10-21</x:v>
      </x:c>
      <x:c r="L32" s="54" t="n">
        <x:v>5</x:v>
      </x:c>
      <x:c r="M32" s="54" t="n">
        <x:v>4</x:v>
      </x:c>
      <x:c r="N32" s="54" t="str">
        <x:v>长久期估值的直接折现率通道；本次来源未更新，沿用上一有效值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0.54</x:v>
      </x:c>
      <x:c r="F33" s="57" t="str">
        <x:v>百分点</x:v>
      </x:c>
      <x:c r="G33" s="56" t="n">
        <x:v>-0.027441860465116222</x:v>
      </x:c>
      <x:c r="H33" s="56" t="n">
        <x:v>0.5368757964435378</x:v>
      </x:c>
      <x:c r="I33" s="58" t="n">
        <x:f>IFERROR(C33*(E33-G33)/H33,"")</x:f>
        <x:v>1.0569332129033555</x:v>
      </x:c>
      <x:c r="J33" s="58" t="n">
        <x:f>IF(I33="","",MAX(0,MIN(100,50+20*I33)))</x:f>
        <x:v>71.13866425806711</x:v>
      </x:c>
      <x:c r="K33" s="54" t="str">
        <x:v>2026-10-21</x:v>
      </x:c>
      <x:c r="L33" s="54" t="n">
        <x:v>5</x:v>
      </x:c>
      <x:c r="M33" s="54" t="n">
        <x:v>5</x:v>
      </x:c>
      <x:c r="N33" s="54" t="str">
        <x:v>信用风险与融资条件核心确认指标；本次来源未更新，沿用上一有效值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0.10999999999999999</x:v>
      </x:c>
      <x:c r="F34" s="57" t="str">
        <x:v>百分点</x:v>
      </x:c>
      <x:c r="G34" s="56" t="n">
        <x:v>-0.011395348837209334</x:v>
      </x:c>
      <x:c r="H34" s="56" t="n">
        <x:v>0.1543801738038932</x:v>
      </x:c>
      <x:c r="I34" s="58" t="n">
        <x:f>IFERROR(C34*(E34-G34)/H34,"")</x:f>
        <x:v>0.7863402783275525</x:v>
      </x:c>
      <x:c r="J34" s="58" t="n">
        <x:f>IF(I34="","",MAX(0,MIN(100,50+20*I34)))</x:f>
        <x:v>65.72680556655105</x:v>
      </x:c>
      <x:c r="K34" s="54" t="str">
        <x:v>2026-10-21</x:v>
      </x:c>
      <x:c r="L34" s="54" t="n">
        <x:v>5</x:v>
      </x:c>
      <x:c r="M34" s="54" t="n">
        <x:v>5</x:v>
      </x:c>
      <x:c r="N34" s="54" t="str">
        <x:v>投资级信用条件确认指标；本次来源未更新，沿用上一有效值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16.68</x:v>
      </x:c>
      <x:c r="F35" s="57" t="str">
        <x:v>指数</x:v>
      </x:c>
      <x:c r="G35" s="56" t="n">
        <x:v>18.837602377807123</x:v>
      </x:c>
      <x:c r="H35" s="56" t="n">
        <x:v>5.578125308215269</x:v>
      </x:c>
      <x:c r="I35" s="58" t="n">
        <x:f>IFERROR(C35*(E35-G35)/H35,"")</x:f>
        <x:v>-0.3867970435568167</x:v>
      </x:c>
      <x:c r="J35" s="58" t="n">
        <x:f>IF(I35="","",MAX(0,MIN(100,50+20*I35)))</x:f>
        <x:v>42.264059128863664</x:v>
      </x:c>
      <x:c r="K35" s="54" t="str">
        <x:v>2026-10-21</x:v>
      </x:c>
      <x:c r="L35" s="54" t="n">
        <x:v>5</x:v>
      </x:c>
      <x:c r="M35" s="54" t="n">
        <x:v>5</x:v>
      </x:c>
      <x:c r="N35" s="54" t="str">
        <x:v>股票隐含波动；事件冲击快、均值回归也快；本次来源未更新，沿用上一有效值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1.5826690418555778</x:v>
      </x:c>
      <x:c r="F36" s="57" t="str">
        <x:v>%</x:v>
      </x:c>
      <x:c r="G36" s="56" t="n">
        <x:v>-3.8932762266238274</x:v>
      </x:c>
      <x:c r="H36" s="56" t="n">
        <x:v>19.693125027432618</x:v>
      </x:c>
      <x:c r="I36" s="58" t="n">
        <x:f>IFERROR(C36*(E36-G36)/H36,"")</x:f>
        <x:v>0.2780638045435342</x:v>
      </x:c>
      <x:c r="J36" s="58" t="n">
        <x:f>IF(I36="","",MAX(0,MIN(100,50+20*I36)))</x:f>
        <x:v>55.561276090870685</x:v>
      </x:c>
      <x:c r="K36" s="54" t="str">
        <x:v>2026-10-16</x:v>
      </x:c>
      <x:c r="L36" s="54" t="n">
        <x:v>5</x:v>
      </x:c>
      <x:c r="M36" s="54" t="n">
        <x:v>4</x:v>
      </x:c>
      <x:c r="N36" s="54" t="str">
        <x:v>全球美元流动性与风险偏好代理；本次来源未更新，沿用上一有效值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-0.496</x:v>
      </x:c>
      <x:c r="F37" s="57" t="str">
        <x:v>指数</x:v>
      </x:c>
      <x:c r="G37" s="56" t="n">
        <x:v>-0.4309405940594058</x:v>
      </x:c>
      <x:c r="H37" s="56" t="n">
        <x:v>0.15369841169401138</x:v>
      </x:c>
      <x:c r="I37" s="58" t="n">
        <x:f>IFERROR(C37*(E37-G37)/H37,"")</x:f>
        <x:v>-0.42329263668720857</x:v>
      </x:c>
      <x:c r="J37" s="58" t="n">
        <x:f>IF(I37="","",MAX(0,MIN(100,50+20*I37)))</x:f>
        <x:v>41.53414726625583</x:v>
      </x:c>
      <x:c r="K37" s="54" t="str">
        <x:v>2026-10-16</x:v>
      </x:c>
      <x:c r="L37" s="54" t="n">
        <x:v>5</x:v>
      </x:c>
      <x:c r="M37" s="54" t="n">
        <x:v>4</x:v>
      </x:c>
      <x:c r="N37" s="54" t="str">
        <x:v>周频综合金融条件；负值代表相对宽松；本次来源未更新，沿用上一有效值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53.73195428302721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57.22829360240057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47.08238984612924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72.8049594006678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53.73195428302721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58.35022702718577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59.439028925534345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56.7940300435602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0.515484721712491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0.48451527828750895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88.57142857142857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41.43945744395615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41.418395734763415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42.68517599861731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42.81467004748299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42.484036663728574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41.69186619733981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40.55900778411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44.091854682710235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40.40427733166313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57.60145357885113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57.22829360240057</x:v>
      </x:c>
      <x:c r="C6" s="58" t="n">
        <x:f>'因子引擎'!$B$43</x:f>
        <x:v>47.08238984612924</x:v>
      </x:c>
      <x:c r="D6" s="58" t="n">
        <x:f>'因子引擎'!$B$44</x:f>
        <x:v>72.8049594006678</x:v>
      </x:c>
      <x:c r="E6" s="58" t="n">
        <x:f>'因子引擎'!$B$45</x:f>
        <x:v>53.73195428302721</x:v>
      </x:c>
      <x:c r="F6" s="58" t="n">
        <x:f>MIN(100,MAX(0,(35%*B6+35%*C6+30%*D6)*(0.75+0.5*E6/100)))</x:f>
        <x:v>59.439028925534345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41.43945744395615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41.418395734763415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42.81467004748299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41.69186619733981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57.60145357885113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59.439028925534345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40.40427733166313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