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d5b629867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41a5ae9845824078"/>
    <x:sheet xmlns:r="http://schemas.openxmlformats.org/officeDocument/2006/relationships" name="因子引擎" sheetId="2" r:id="R843fd2cfff6f4f0a"/>
    <x:sheet xmlns:r="http://schemas.openxmlformats.org/officeDocument/2006/relationships" name="风险资产" sheetId="3" r:id="R5a325c6e9e584cd6"/>
    <x:sheet xmlns:r="http://schemas.openxmlformats.org/officeDocument/2006/relationships" name="场景与阈值" sheetId="4" r:id="Rddddca0718a94eec"/>
    <x:sheet xmlns:r="http://schemas.openxmlformats.org/officeDocument/2006/relationships" name="数据字典" sheetId="5" r:id="Rf0d5ab85369a4ad6"/>
    <x:sheet xmlns:r="http://schemas.openxmlformats.org/officeDocument/2006/relationships" name="方法与信源" sheetId="6" r:id="R7e2478a392e142fa"/>
    <x:sheet xmlns:r="http://schemas.openxmlformats.org/officeDocument/2006/relationships" name="审计" sheetId="7" r:id="Ra97f2013f6c7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01b69571c47a4" /><Relationship Type="http://schemas.openxmlformats.org/officeDocument/2006/relationships/theme" Target="/xl/theme/theme1.xml" Id="Rdb3e672ddb1a4573" /><Relationship Type="http://schemas.openxmlformats.org/officeDocument/2006/relationships/sharedStrings" Target="/xl/sharedStrings.xml" Id="R68b80aeee21149b8" /><Relationship Type="http://schemas.openxmlformats.org/officeDocument/2006/relationships/worksheet" Target="/xl/worksheets/sheet1.xml" Id="R41a5ae9845824078" /><Relationship Type="http://schemas.openxmlformats.org/officeDocument/2006/relationships/worksheet" Target="/xl/worksheets/sheet2.xml" Id="R843fd2cfff6f4f0a" /><Relationship Type="http://schemas.openxmlformats.org/officeDocument/2006/relationships/worksheet" Target="/xl/worksheets/sheet3.xml" Id="R5a325c6e9e584cd6" /><Relationship Type="http://schemas.openxmlformats.org/officeDocument/2006/relationships/worksheet" Target="/xl/worksheets/sheet4.xml" Id="Rddddca0718a94eec" /><Relationship Type="http://schemas.openxmlformats.org/officeDocument/2006/relationships/worksheet" Target="/xl/worksheets/sheet5.xml" Id="Rf0d5ab85369a4ad6" /><Relationship Type="http://schemas.openxmlformats.org/officeDocument/2006/relationships/worksheet" Target="/xl/worksheets/sheet6.xml" Id="R7e2478a392e142fa" /><Relationship Type="http://schemas.openxmlformats.org/officeDocument/2006/relationships/worksheet" Target="/xl/worksheets/sheet7.xml" Id="Ra97f2013f6c742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b13066f2d54bc9" /><Relationship Type="http://schemas.openxmlformats.org/officeDocument/2006/relationships/chart" Target="/xl/drawings/charts/chart2.xml" Id="R279814f11e1c42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b13066f2d54bc9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9814f11e1c421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947daf854c4621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2026-09-23；官方数据经 FRED、纽约联储、BLS、DOL、EIA、Atlanta Fed 交叉核验。高分=利率/金融条件压力更大。</x:v>
      </x:c>
      <x:c r="B3" s="10" t="str">
        <x:v>当前快照截至 2026-09-23；官方数据经 FRED、纽约联储、BLS、DOL、EIA、Atlanta Fed 交叉核验。高分=利率/金融条件压力更大。</x:v>
      </x:c>
      <x:c r="C3" s="10" t="str">
        <x:v>当前快照截至 2026-09-23；官方数据经 FRED、纽约联储、BLS、DOL、EIA、Atlanta Fed 交叉核验。高分=利率/金融条件压力更大。</x:v>
      </x:c>
      <x:c r="D3" s="10" t="str">
        <x:v>当前快照截至 2026-09-23；官方数据经 FRED、纽约联储、BLS、DOL、EIA、Atlanta Fed 交叉核验。高分=利率/金融条件压力更大。</x:v>
      </x:c>
      <x:c r="E3" s="10" t="str">
        <x:v>当前快照截至 2026-09-23；官方数据经 FRED、纽约联储、BLS、DOL、EIA、Atlanta Fed 交叉核验。高分=利率/金融条件压力更大。</x:v>
      </x:c>
      <x:c r="F3" s="10" t="str">
        <x:v>当前快照截至 2026-09-23；官方数据经 FRED、纽约联储、BLS、DOL、EIA、Atlanta Fed 交叉核验。高分=利率/金融条件压力更大。</x:v>
      </x:c>
      <x:c r="G3" s="10" t="str">
        <x:v>当前快照截至 2026-09-23；官方数据经 FRED、纽约联储、BLS、DOL、EIA、Atlanta Fed 交叉核验。高分=利率/金融条件压力更大。</x:v>
      </x:c>
      <x:c r="H3" s="10" t="str">
        <x:v>当前快照截至 2026-09-23；官方数据经 FRED、纽约联储、BLS、DOL、EIA、Atlanta Fed 交叉核验。高分=利率/金融条件压力更大。</x:v>
      </x:c>
      <x:c r="I3" s="10" t="str">
        <x:v>当前快照截至 2026-09-23；官方数据经 FRED、纽约联储、BLS、DOL、EIA、Atlanta Fed 交叉核验。高分=利率/金融条件压力更大。</x:v>
      </x:c>
      <x:c r="J3" s="10" t="str">
        <x:v>当前快照截至 2026-09-23；官方数据经 FRED、纽约联储、BLS、DOL、EIA、Atlanta Fed 交叉核验。高分=利率/金融条件压力更大。</x:v>
      </x:c>
      <x:c r="K3" s="10" t="str">
        <x:v>当前快照截至 2026-09-23；官方数据经 FRED、纽约联储、BLS、DOL、EIA、Atlanta Fed 交叉核验。高分=利率/金融条件压力更大。</x:v>
      </x:c>
      <x:c r="L3" s="10" t="str">
        <x:v>当前快照截至 2026-09-23；官方数据经 FRED、纽约联储、BLS、DOL、EIA、Atlanta Fed 交叉核验。高分=利率/金融条件压力更大。</x:v>
      </x:c>
      <x:c r="M3" s="10" t="str">
        <x:v>当前快照截至 2026-09-23；官方数据经 FRED、纽约联储、BLS、DOL、EIA、Atlanta Fed 交叉核验。高分=利率/金融条件压力更大。</x:v>
      </x:c>
      <x:c r="N3" s="10" t="str">
        <x:v>当前快照截至 2026-09-23；官方数据经 FRED、纽约联储、BLS、DOL、EIA、Atlanta Fed 交叉核验。高分=利率/金融条件压力更大。</x:v>
      </x:c>
      <x:c r="O3" s="10" t="str">
        <x:v>当前快照截至 2026-09-23；官方数据经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65.0613435682638</x:v>
      </x:c>
      <x:c r="B6" s="99"/>
      <x:c r="C6" s="99"/>
      <x:c r="D6" s="99" t="n">
        <x:f>'因子引擎'!$B$43</x:f>
        <x:v>49.07119807724607</x:v>
      </x:c>
      <x:c r="E6" s="99"/>
      <x:c r="F6" s="99"/>
      <x:c r="G6" s="99" t="n">
        <x:f>'因子引擎'!$B$44</x:f>
        <x:v>60.10683706811089</x:v>
      </x:c>
      <x:c r="H6" s="99"/>
      <x:c r="I6" s="99"/>
      <x:c r="J6" s="99" t="n">
        <x:f>'因子引擎'!$B$45</x:f>
        <x:v>48.22657656540506</x:v>
      </x:c>
      <x:c r="K6" s="99"/>
      <x:c r="L6" s="99"/>
      <x:c r="M6" s="99" t="n">
        <x:f>'因子引擎'!$B$47</x:f>
        <x:v>57.46433906920071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偏紧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0.8761767143901439</x:v>
      </x:c>
      <x:c r="K12" s="50" t="str">
        <x:v>主导</x:v>
      </x:c>
      <x:c r="L12" s="50" t="str">
        <x:v>市场冲击占比</x:v>
      </x:c>
      <x:c r="M12" s="50" t="n">
        <x:f>'因子引擎'!$B$50</x:f>
        <x:v>0.12382328560985612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0.54</x:v>
      </x:c>
      <x:c r="K13" s="39" t="str">
        <x:v>+47bp</x:v>
      </x:c>
      <x:c r="L13" s="39" t="str">
        <x:v>10Y实际利率20日</x:v>
      </x:c>
      <x:c r="M13" s="111" t="n">
        <x:f>'因子引擎'!$E$32</x:f>
        <x:v>0.31000000000000005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0.575837816270495</x:v>
      </x:c>
      <x:c r="K14" s="39" t="str">
        <x:v>高于5年中枢</x:v>
      </x:c>
      <x:c r="L14" s="39" t="str">
        <x:v>ACM TP 20日</x:v>
      </x:c>
      <x:c r="M14" s="111" t="n">
        <x:f>'因子引擎'!$E$29</x:f>
        <x:v>-0.21123388797450693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-0.020000000000000018</x:v>
      </x:c>
      <x:c r="K15" s="39" t="str">
        <x:v>+13bp</x:v>
      </x:c>
      <x:c r="L15" s="39" t="str">
        <x:v>VIX</x:v>
      </x:c>
      <x:c r="M15" s="111" t="n">
        <x:f>'因子引擎'!$E$35</x:f>
        <x:v>14.21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-0.555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65.0613435682638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49.07119807724607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60.10683706811089</x:v>
      </x:c>
      <x:c r="C22" s="39" t="str">
        <x:f>IF(B22&gt;=65,"高压",IF(B22&gt;=55,"偏紧",IF(B22&gt;=45,"中性",IF(B22&gt;=35,"偏松","宽松"))))</x:f>
        <x:v>偏紧</x:v>
      </x:c>
    </x:row>
    <x:row r="23" ht="24" customHeight="1">
      <x:c r="A23" s="39" t="str">
        <x:v>市场传导</x:v>
      </x:c>
      <x:c r="B23" s="43" t="n">
        <x:f>'因子引擎'!$B$45</x:f>
        <x:v>48.22657656540506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57.46433906920071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43.857066858951654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44.237682110783005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44.46016696852964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45.08367685752441</x:v>
      </x:c>
      <x:c r="C32" s="39" t="str">
        <x:f>'风险资产'!$G$9</x:f>
        <x:v>中性</x:v>
      </x:c>
    </x:row>
    <x:row r="33" ht="24" customHeight="1">
      <x:c r="A33" s="39" t="str">
        <x:v>新兴市场股票</x:v>
      </x:c>
      <x:c r="B33" s="43" t="n">
        <x:f>'风险资产'!$F$10</x:f>
        <x:v>45.235894820054476</x:v>
      </x:c>
      <x:c r="C33" s="39" t="str">
        <x:f>'风险资产'!$G$10</x:f>
        <x:v>中性</x:v>
      </x:c>
    </x:row>
    <x:row r="34" ht="24" customHeight="1">
      <x:c r="A34" s="39" t="str">
        <x:v>黄金</x:v>
      </x:c>
      <x:c r="B34" s="43" t="n">
        <x:f>'风险资产'!$F$11</x:f>
        <x:v>44.18893562670025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43.80040878257678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46.80564057667625</x:v>
      </x:c>
      <x:c r="C36" s="39" t="str">
        <x:f>'风险资产'!$G$13</x:f>
        <x:v>中性</x:v>
      </x:c>
    </x:row>
    <x:row r="37" ht="24" customHeight="1">
      <x:c r="A37" s="39" t="str">
        <x:v>美国长债</x:v>
      </x:c>
      <x:c r="B37" s="43" t="n">
        <x:f>'风险资产'!$F$14</x:f>
        <x:v>43.65196620250251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56.12489354875558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dc947daf854c4621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2026-09-23。 </x:v>
      </x:c>
      <x:c r="B3" s="53" t="str">
        <x:v>名义利率 = 预期政策路径 + 通胀补偿 + 期限溢价；风险资产压力再经过市场传导门控。蓝色单元格为可更新输入。 数据截至 2026-09-23。 </x:v>
      </x:c>
      <x:c r="C3" s="53" t="str">
        <x:v>名义利率 = 预期政策路径 + 通胀补偿 + 期限溢价；风险资产压力再经过市场传导门控。蓝色单元格为可更新输入。 数据截至 2026-09-23。 </x:v>
      </x:c>
      <x:c r="D3" s="53" t="str">
        <x:v>名义利率 = 预期政策路径 + 通胀补偿 + 期限溢价；风险资产压力再经过市场传导门控。蓝色单元格为可更新输入。 数据截至 2026-09-23。 </x:v>
      </x:c>
      <x:c r="E3" s="53" t="str">
        <x:v>名义利率 = 预期政策路径 + 通胀补偿 + 期限溢价；风险资产压力再经过市场传导门控。蓝色单元格为可更新输入。 数据截至 2026-09-23。 </x:v>
      </x:c>
      <x:c r="F3" s="53" t="str">
        <x:v>名义利率 = 预期政策路径 + 通胀补偿 + 期限溢价；风险资产压力再经过市场传导门控。蓝色单元格为可更新输入。 数据截至 2026-09-23。 </x:v>
      </x:c>
      <x:c r="G3" s="53" t="str">
        <x:v>名义利率 = 预期政策路径 + 通胀补偿 + 期限溢价；风险资产压力再经过市场传导门控。蓝色单元格为可更新输入。 数据截至 2026-09-23。 </x:v>
      </x:c>
      <x:c r="H3" s="53" t="str">
        <x:v>名义利率 = 预期政策路径 + 通胀补偿 + 期限溢价；风险资产压力再经过市场传导门控。蓝色单元格为可更新输入。 数据截至 2026-09-23。 </x:v>
      </x:c>
      <x:c r="I3" s="53" t="str">
        <x:v>名义利率 = 预期政策路径 + 通胀补偿 + 期限溢价；风险资产压力再经过市场传导门控。蓝色单元格为可更新输入。 数据截至 2026-09-23。 </x:v>
      </x:c>
      <x:c r="J3" s="53" t="str">
        <x:v>名义利率 = 预期政策路径 + 通胀补偿 + 期限溢价；风险资产压力再经过市场传导门控。蓝色单元格为可更新输入。 数据截至 2026-09-23。 </x:v>
      </x:c>
      <x:c r="K3" s="53" t="str">
        <x:v>名义利率 = 预期政策路径 + 通胀补偿 + 期限溢价；风险资产压力再经过市场传导门控。蓝色单元格为可更新输入。 数据截至 2026-09-23。 </x:v>
      </x:c>
      <x:c r="L3" s="53" t="str">
        <x:v>名义利率 = 预期政策路径 + 通胀补偿 + 期限溢价；风险资产压力再经过市场传导门控。蓝色单元格为可更新输入。 数据截至 2026-09-23。 </x:v>
      </x:c>
      <x:c r="M3" s="53" t="str">
        <x:v>名义利率 = 预期政策路径 + 通胀补偿 + 期限溢价；风险资产压力再经过市场传导门控。蓝色单元格为可更新输入。 数据截至 2026-09-23。 </x:v>
      </x:c>
      <x:c r="N3" s="53" t="str">
        <x:v>名义利率 = 预期政策路径 + 通胀补偿 + 期限溢价；风险资产压力再经过市场传导门控。蓝色单元格为可更新输入。 数据截至 2026-09-23。 </x:v>
      </x:c>
      <x:c r="O3" s="53" t="str">
        <x:v>名义利率 = 预期政策路径 + 通胀补偿 + 期限溢价；风险资产压力再经过市场传导门控。蓝色单元格为可更新输入。 数据截至 2026-09-23。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0.8300000000000001</x:v>
      </x:c>
      <x:c r="F5" s="57" t="str">
        <x:v>百分点</x:v>
      </x:c>
      <x:c r="G5" s="56" t="n">
        <x:v>-0.12460817146684529</x:v>
      </x:c>
      <x:c r="H5" s="56" t="n">
        <x:v>1.0934381714140495</x:v>
      </x:c>
      <x:c r="I5" s="58" t="n">
        <x:f>IFERROR(C5*(E5-G5)/H5,"")</x:f>
        <x:v>0.8730335161359264</x:v>
      </x:c>
      <x:c r="J5" s="58" t="n">
        <x:f>IF(I5="","",MAX(0,MIN(100,50+20*I5)))</x:f>
        <x:v>67.46067032271853</x:v>
      </x:c>
      <x:c r="K5" s="54" t="str">
        <x:v>2026-09-22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0.54</x:v>
      </x:c>
      <x:c r="F6" s="57" t="str">
        <x:v>百分点</x:v>
      </x:c>
      <x:c r="G6" s="56" t="n">
        <x:v>0.05561286001339577</x:v>
      </x:c>
      <x:c r="H6" s="56" t="n">
        <x:v>1.0534752154876932</x:v>
      </x:c>
      <x:c r="I6" s="58" t="n">
        <x:f>IFERROR(C6*(E6-G6)/H6,"")</x:f>
        <x:v>0.4597992746913968</x:v>
      </x:c>
      <x:c r="J6" s="58" t="n">
        <x:f>IF(I6="","",MAX(0,MIN(100,50+20*I6)))</x:f>
        <x:v>59.19598549382793</x:v>
      </x:c>
      <x:c r="K6" s="54" t="str">
        <x:v>2026-09-22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0.25</x:v>
      </x:c>
      <x:c r="F7" s="57" t="str">
        <x:v>百分点</x:v>
      </x:c>
      <x:c r="G7" s="56" t="n">
        <x:v>0.03457675753228129</x:v>
      </x:c>
      <x:c r="H7" s="56" t="n">
        <x:v>0.18330524706911913</x:v>
      </x:c>
      <x:c r="I7" s="58" t="n">
        <x:f>IFERROR(C7*(E7-G7)/H7,"")</x:f>
        <x:v>1.1752159085030927</x:v>
      </x:c>
      <x:c r="J7" s="58" t="n">
        <x:f>IF(I7="","",MAX(0,MIN(100,50+20*I7)))</x:f>
        <x:v>73.50431817006185</x:v>
      </x:c>
      <x:c r="K7" s="54" t="str">
        <x:v>2026-09-22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65.0613435682638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2.34</x:v>
      </x:c>
      <x:c r="F10" s="57" t="str">
        <x:v>%</x:v>
      </x:c>
      <x:c r="G10" s="56" t="n">
        <x:v>2.344698795180726</x:v>
      </x:c>
      <x:c r="H10" s="56" t="n">
        <x:v>0.5574784239832543</x:v>
      </x:c>
      <x:c r="I10" s="58" t="n">
        <x:f>IFERROR(C10*(E10-G10)/H10,"")</x:f>
        <x:v>-0.008428658363408099</x:v>
      </x:c>
      <x:c r="J10" s="58" t="n">
        <x:f>IF(I10="","",MAX(0,MIN(100,50+20*I10)))</x:f>
        <x:v>49.831426832731836</x:v>
      </x:c>
      <x:c r="K10" s="54" t="str">
        <x:v>2026-09-23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0.029999999999999805</x:v>
      </x:c>
      <x:c r="F11" s="57" t="str">
        <x:v>百分点</x:v>
      </x:c>
      <x:c r="G11" s="56" t="n">
        <x:v>0.0060575635876840795</x:v>
      </x:c>
      <x:c r="H11" s="56" t="n">
        <x:v>0.695645858740884</x:v>
      </x:c>
      <x:c r="I11" s="58" t="n">
        <x:f>IFERROR(C11*(E11-G11)/H11,"")</x:f>
        <x:v>0.034417564787421334</x:v>
      </x:c>
      <x:c r="J11" s="58" t="n">
        <x:f>IF(I11="","",MAX(0,MIN(100,50+20*I11)))</x:f>
        <x:v>50.688351295748426</x:v>
      </x:c>
      <x:c r="K11" s="54" t="str">
        <x:v>2026-09-23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2.36</x:v>
      </x:c>
      <x:c r="F12" s="57" t="str">
        <x:v>%</x:v>
      </x:c>
      <x:c r="G12" s="56" t="n">
        <x:v>2.1604953145917007</x:v>
      </x:c>
      <x:c r="H12" s="56" t="n">
        <x:v>0.4614491526416313</x:v>
      </x:c>
      <x:c r="I12" s="58" t="n">
        <x:f>IFERROR(C12*(E12-G12)/H12,"")</x:f>
        <x:v>0.43234381137381267</x:v>
      </x:c>
      <x:c r="J12" s="58" t="n">
        <x:f>IF(I12="","",MAX(0,MIN(100,50+20*I12)))</x:f>
        <x:v>58.646876227476255</x:v>
      </x:c>
      <x:c r="K12" s="54" t="str">
        <x:v>2026-09-23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52.77598521321096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3.085745494265435</x:v>
      </x:c>
      <x:c r="F15" s="57" t="str">
        <x:v>%</x:v>
      </x:c>
      <x:c r="G15" s="56" t="n">
        <x:v>4.304672044722189</x:v>
      </x:c>
      <x:c r="H15" s="56" t="n">
        <x:v>0.8463168288520321</x:v>
      </x:c>
      <x:c r="I15" s="58" t="n">
        <x:f>IFERROR(C15*(E15-G15)/H15,"")</x:f>
        <x:v>-1.4402721402930625</x:v>
      </x:c>
      <x:c r="J15" s="58" t="n">
        <x:f>IF(I15="","",MAX(0,MIN(100,50+20*I15)))</x:f>
        <x:v>21.19455719413875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4.1</x:v>
      </x:c>
      <x:c r="F16" s="57" t="str">
        <x:v>%</x:v>
      </x:c>
      <x:c r="G16" s="56" t="n">
        <x:v>4.788059701492538</x:v>
      </x:c>
      <x:c r="H16" s="56" t="n">
        <x:v>1.0265450126752333</x:v>
      </x:c>
      <x:c r="I16" s="58" t="n">
        <x:f>IFERROR(C16*(E16-G16)/H16,"")</x:f>
        <x:v>-0.6702674437036296</x:v>
      </x:c>
      <x:c r="J16" s="58" t="n">
        <x:f>IF(I16="","",MAX(0,MIN(100,50+20*I16)))</x:f>
        <x:v>36.59465112592741</x:v>
      </x:c>
      <x:c r="K16" s="54" t="str">
        <x:v>2026-08-01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4.127941176470588</x:v>
      </x:c>
      <x:c r="H17" s="56" t="n">
        <x:v>0.8688378905585538</x:v>
      </x:c>
      <x:c r="I17" s="58" t="n">
        <x:f>IFERROR(C17*(E17-G17)/H17,"")</x:f>
        <x:v>0.03215925177092117</x:v>
      </x:c>
      <x:c r="J17" s="58" t="n">
        <x:f>IF(I17="","",MAX(0,MIN(100,50+20*I17)))</x:f>
        <x:v>50.643185035418426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8847.611940298508</x:v>
      </x:c>
      <x:c r="H18" s="56" t="n">
        <x:v>1703.0436741959686</x:v>
      </x:c>
      <x:c r="I18" s="58" t="n">
        <x:f>IFERROR(C18*(E18-G18)/H18,"")</x:f>
        <x:v>-0.9257613085247792</x:v>
      </x:c>
      <x:c r="J18" s="58" t="n">
        <x:f>IF(I18="","",MAX(0,MIN(100,50+20*I18)))</x:f>
        <x:v>31.484773829504416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203250</x:v>
      </x:c>
      <x:c r="F19" s="57" t="str">
        <x:v>人</x:v>
      </x:c>
      <x:c r="G19" s="56" t="n">
        <x:v>265338.92617449665</x:v>
      </x:c>
      <x:c r="H19" s="56" t="n">
        <x:v>130027.55009105332</x:v>
      </x:c>
      <x:c r="I19" s="58" t="n">
        <x:f>IFERROR(C19*(E19-G19)/H19,"")</x:f>
        <x:v>0.47750592955891386</x:v>
      </x:c>
      <x:c r="J19" s="58" t="n">
        <x:f>IF(I19="","",MAX(0,MIN(100,50+20*I19)))</x:f>
        <x:v>59.550118591178276</x:v>
      </x:c>
      <x:c r="K19" s="54" t="str">
        <x:v>2026-09-12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37.27325238990693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36.63548752834467</x:v>
      </x:c>
      <x:c r="F23" s="57" t="str">
        <x:v>%</x:v>
      </x:c>
      <x:c r="G23" s="56" t="n">
        <x:v>-0.1652120921194438</x:v>
      </x:c>
      <x:c r="H23" s="56" t="n">
        <x:v>28.669158522884732</x:v>
      </x:c>
      <x:c r="I23" s="58" t="n">
        <x:f>IFERROR(C23*(E23-G23)/H23,"")</x:f>
        <x:v>1.2836337554549604</x:v>
      </x:c>
      <x:c r="J23" s="58" t="n">
        <x:f>IF(I23="","",MAX(0,MIN(100,50+20*I23)))</x:f>
        <x:v>75.6726751090992</x:v>
      </x:c>
      <x:c r="K23" s="54" t="str">
        <x:v>2026-09-22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61.38183197416857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49.07119807724607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0.575837816270495</x:v>
      </x:c>
      <x:c r="F28" s="57" t="str">
        <x:v>%</x:v>
      </x:c>
      <x:c r="G28" s="56" t="n">
        <x:v>-0.052406227834822385</x:v>
      </x:c>
      <x:c r="H28" s="56" t="n">
        <x:v>0.5404113357768594</x:v>
      </x:c>
      <x:c r="I28" s="58" t="n">
        <x:f>IFERROR(C28*(E28-G28)/H28,"")</x:f>
        <x:v>1.162529359607521</x:v>
      </x:c>
      <x:c r="J28" s="58" t="n">
        <x:f>IF(I28="","",MAX(0,MIN(100,50+20*I28)))</x:f>
        <x:v>73.25058719215042</x:v>
      </x:c>
      <x:c r="K28" s="54" t="str">
        <x:v>2026-09-22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-0.21123388797450693</x:v>
      </x:c>
      <x:c r="F29" s="57" t="str">
        <x:v>百分点</x:v>
      </x:c>
      <x:c r="G29" s="56" t="n">
        <x:v>0.021208577292058543</x:v>
      </x:c>
      <x:c r="H29" s="56" t="n">
        <x:v>0.22609030858627835</x:v>
      </x:c>
      <x:c r="I29" s="58" t="n">
        <x:f>IFERROR(C29*(E29-G29)/H29,"")</x:f>
        <x:v>-1.0280956610657332</x:v>
      </x:c>
      <x:c r="J29" s="58" t="n">
        <x:f>IF(I29="","",MAX(0,MIN(100,50+20*I29)))</x:f>
        <x:v>29.438086778685335</x:v>
      </x:c>
      <x:c r="K29" s="54" t="str">
        <x:v>2026-09-22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60.10683706811089</x:v>
      </x:c>
      <x:c r="K30" s="64" t="str">
        <x:f>IF(J30&gt;=65,"高压",IF(J30&gt;=55,"偏紧",IF(J30&gt;=45,"中性",IF(J30&gt;=35,"偏松","宽松"))))</x:f>
        <x:v>偏紧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0.31000000000000005</x:v>
      </x:c>
      <x:c r="F32" s="57" t="str">
        <x:v>百分点</x:v>
      </x:c>
      <x:c r="G32" s="56" t="n">
        <x:v>0.044634963161419954</x:v>
      </x:c>
      <x:c r="H32" s="56" t="n">
        <x:v>0.5040967063103585</x:v>
      </x:c>
      <x:c r="I32" s="58" t="n">
        <x:f>IFERROR(C32*(E32-G32)/H32,"")</x:f>
        <x:v>0.5264169226196096</x:v>
      </x:c>
      <x:c r="J32" s="58" t="n">
        <x:f>IF(I32="","",MAX(0,MIN(100,50+20*I32)))</x:f>
        <x:v>60.52833845239219</x:v>
      </x:c>
      <x:c r="K32" s="54" t="str">
        <x:v>2026-09-22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-0.020000000000000018</x:v>
      </x:c>
      <x:c r="F33" s="57" t="str">
        <x:v>百分点</x:v>
      </x:c>
      <x:c r="G33" s="56" t="n">
        <x:v>-0.03976744186046507</x:v>
      </x:c>
      <x:c r="H33" s="56" t="n">
        <x:v>0.533784794806185</x:v>
      </x:c>
      <x:c r="I33" s="58" t="n">
        <x:f>IFERROR(C33*(E33-G33)/H33,"")</x:f>
        <x:v>0.037032605748244525</x:v>
      </x:c>
      <x:c r="J33" s="58" t="n">
        <x:f>IF(I33="","",MAX(0,MIN(100,50+20*I33)))</x:f>
        <x:v>50.74065211496489</x:v>
      </x:c>
      <x:c r="K33" s="54" t="str">
        <x:v>2026-09-22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-0.040000000000000036</x:v>
      </x:c>
      <x:c r="F34" s="57" t="str">
        <x:v>百分点</x:v>
      </x:c>
      <x:c r="G34" s="56" t="n">
        <x:v>-0.012054263565891503</x:v>
      </x:c>
      <x:c r="H34" s="56" t="n">
        <x:v>0.1545030581632562</x:v>
      </x:c>
      <x:c r="I34" s="58" t="n">
        <x:f>IFERROR(C34*(E34-G34)/H34,"")</x:f>
        <x:v>-0.18087497274377293</x:v>
      </x:c>
      <x:c r="J34" s="58" t="n">
        <x:f>IF(I34="","",MAX(0,MIN(100,50+20*I34)))</x:f>
        <x:v>46.38250054512454</x:v>
      </x:c>
      <x:c r="K34" s="54" t="str">
        <x:v>2026-09-22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14.21</x:v>
      </x:c>
      <x:c r="F35" s="57" t="str">
        <x:v>指数</x:v>
      </x:c>
      <x:c r="G35" s="56" t="n">
        <x:v>18.87620227729403</x:v>
      </x:c>
      <x:c r="H35" s="56" t="n">
        <x:v>5.605722526565804</x:v>
      </x:c>
      <x:c r="I35" s="58" t="n">
        <x:f>IFERROR(C35*(E35-G35)/H35,"")</x:f>
        <x:v>-0.8323997941711634</x:v>
      </x:c>
      <x:c r="J35" s="58" t="n">
        <x:f>IF(I35="","",MAX(0,MIN(100,50+20*I35)))</x:f>
        <x:v>33.35200411657674</x:v>
      </x:c>
      <x:c r="K35" s="54" t="str">
        <x:v>2026-09-22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1.2285834318684685</x:v>
      </x:c>
      <x:c r="F36" s="57" t="str">
        <x:v>%</x:v>
      </x:c>
      <x:c r="G36" s="56" t="n">
        <x:v>-3.901467110763167</x:v>
      </x:c>
      <x:c r="H36" s="56" t="n">
        <x:v>19.648216098472613</x:v>
      </x:c>
      <x:c r="I36" s="58" t="n">
        <x:f>IFERROR(C36*(E36-G36)/H36,"")</x:f>
        <x:v>0.26109497762651485</x:v>
      </x:c>
      <x:c r="J36" s="58" t="n">
        <x:f>IF(I36="","",MAX(0,MIN(100,50+20*I36)))</x:f>
        <x:v>55.221899552530296</x:v>
      </x:c>
      <x:c r="K36" s="54" t="str">
        <x:v>2026-09-18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-0.555</x:v>
      </x:c>
      <x:c r="F37" s="57" t="str">
        <x:v>指数</x:v>
      </x:c>
      <x:c r="G37" s="56" t="n">
        <x:v>-0.4300602006688966</x:v>
      </x:c>
      <x:c r="H37" s="56" t="n">
        <x:v>0.15126041942465757</x:v>
      </x:c>
      <x:c r="I37" s="58" t="n">
        <x:f>IFERROR(C37*(E37-G37)/H37,"")</x:f>
        <x:v>-0.8259913585214911</x:v>
      </x:c>
      <x:c r="J37" s="58" t="n">
        <x:f>IF(I37="","",MAX(0,MIN(100,50+20*I37)))</x:f>
        <x:v>33.48017282957018</x:v>
      </x:c>
      <x:c r="K37" s="54" t="str">
        <x:v>2026-09-18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48.22657656540506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65.0613435682638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49.07119807724607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60.10683706811089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48.22657656540506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57.978440696361716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57.46433906920071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52.128503320953214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0.8761767143901439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0.12382328560985612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43.857066858951654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44.237682110783005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44.46016696852964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45.08367685752441</x:v>
      </x:c>
      <x:c r="G9" s="54" t="str">
        <x:f>IF(F9&gt;=65,"明显有利",IF(F9&gt;=55,"偏有利",IF(F9&gt;=45,"中性",IF(F9&gt;=35,"偏不利","明显不利"))))</x:f>
        <x:v>中性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45.235894820054476</x:v>
      </x:c>
      <x:c r="G10" s="54" t="str">
        <x:f>IF(F10&gt;=65,"明显有利",IF(F10&gt;=55,"偏有利",IF(F10&gt;=45,"中性",IF(F10&gt;=35,"偏不利","明显不利"))))</x:f>
        <x:v>中性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44.18893562670025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43.80040878257678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46.80564057667625</x:v>
      </x:c>
      <x:c r="G13" s="54" t="str">
        <x:f>IF(F13&gt;=65,"明显有利",IF(F13&gt;=55,"偏有利",IF(F13&gt;=45,"中性",IF(F13&gt;=35,"偏不利","明显不利"))))</x:f>
        <x:v>中性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43.65196620250251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56.12489354875558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65.0613435682638</x:v>
      </x:c>
      <x:c r="C6" s="58" t="n">
        <x:f>'因子引擎'!$B$43</x:f>
        <x:v>49.07119807724607</x:v>
      </x:c>
      <x:c r="D6" s="58" t="n">
        <x:f>'因子引擎'!$B$44</x:f>
        <x:v>60.10683706811089</x:v>
      </x:c>
      <x:c r="E6" s="58" t="n">
        <x:f>'因子引擎'!$B$45</x:f>
        <x:v>48.22657656540506</x:v>
      </x:c>
      <x:c r="F6" s="58" t="n">
        <x:f>MIN(100,MAX(0,(35%*B6+35%*C6+30%*D6)*(0.75+0.5*E6/100)))</x:f>
        <x:v>57.46433906920071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43.857066858951654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44.237682110783005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45.08367685752441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44.18893562670025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56.12489354875558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57.46433906920071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43.65196620250251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