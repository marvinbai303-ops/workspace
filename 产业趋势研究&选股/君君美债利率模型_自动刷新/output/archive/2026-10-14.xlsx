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ffd2da6db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26678c6ccb234df4"/>
    <x:sheet xmlns:r="http://schemas.openxmlformats.org/officeDocument/2006/relationships" name="因子引擎" sheetId="2" r:id="R1c35a216f42844a9"/>
    <x:sheet xmlns:r="http://schemas.openxmlformats.org/officeDocument/2006/relationships" name="风险资产" sheetId="3" r:id="Rb5385ff3bb6d4afe"/>
    <x:sheet xmlns:r="http://schemas.openxmlformats.org/officeDocument/2006/relationships" name="场景与阈值" sheetId="4" r:id="R86aaa2e817154065"/>
    <x:sheet xmlns:r="http://schemas.openxmlformats.org/officeDocument/2006/relationships" name="数据字典" sheetId="5" r:id="Rde867f4881d94cfd"/>
    <x:sheet xmlns:r="http://schemas.openxmlformats.org/officeDocument/2006/relationships" name="方法与信源" sheetId="6" r:id="Rcecdce5dbb1240bd"/>
    <x:sheet xmlns:r="http://schemas.openxmlformats.org/officeDocument/2006/relationships" name="审计" sheetId="7" r:id="Reca5f147a7d8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3179ceb114cdf" /><Relationship Type="http://schemas.openxmlformats.org/officeDocument/2006/relationships/theme" Target="/xl/theme/theme1.xml" Id="Rf7fbd71110e24937" /><Relationship Type="http://schemas.openxmlformats.org/officeDocument/2006/relationships/sharedStrings" Target="/xl/sharedStrings.xml" Id="R4091a5f021ae434e" /><Relationship Type="http://schemas.openxmlformats.org/officeDocument/2006/relationships/worksheet" Target="/xl/worksheets/sheet1.xml" Id="R26678c6ccb234df4" /><Relationship Type="http://schemas.openxmlformats.org/officeDocument/2006/relationships/worksheet" Target="/xl/worksheets/sheet2.xml" Id="R1c35a216f42844a9" /><Relationship Type="http://schemas.openxmlformats.org/officeDocument/2006/relationships/worksheet" Target="/xl/worksheets/sheet3.xml" Id="Rb5385ff3bb6d4afe" /><Relationship Type="http://schemas.openxmlformats.org/officeDocument/2006/relationships/worksheet" Target="/xl/worksheets/sheet4.xml" Id="R86aaa2e817154065" /><Relationship Type="http://schemas.openxmlformats.org/officeDocument/2006/relationships/worksheet" Target="/xl/worksheets/sheet5.xml" Id="Rde867f4881d94cfd" /><Relationship Type="http://schemas.openxmlformats.org/officeDocument/2006/relationships/worksheet" Target="/xl/worksheets/sheet6.xml" Id="Rcecdce5dbb1240bd" /><Relationship Type="http://schemas.openxmlformats.org/officeDocument/2006/relationships/worksheet" Target="/xl/worksheets/sheet7.xml" Id="Reca5f147a7d841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d4c80a5a954c2d" /><Relationship Type="http://schemas.openxmlformats.org/officeDocument/2006/relationships/chart" Target="/xl/drawings/charts/chart2.xml" Id="R869db1e30fe64c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4c80a5a954c2d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9db1e30fe64c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811f571040414f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2026-10-13；官方数据经 FRED、纽约联储、BLS、DOL、EIA、Atlanta Fed 交叉核验。高分=利率/金融条件压力更大。</x:v>
      </x:c>
      <x:c r="B3" s="10" t="str">
        <x:v>当前快照截至 2026-10-13；官方数据经 FRED、纽约联储、BLS、DOL、EIA、Atlanta Fed 交叉核验。高分=利率/金融条件压力更大。</x:v>
      </x:c>
      <x:c r="C3" s="10" t="str">
        <x:v>当前快照截至 2026-10-13；官方数据经 FRED、纽约联储、BLS、DOL、EIA、Atlanta Fed 交叉核验。高分=利率/金融条件压力更大。</x:v>
      </x:c>
      <x:c r="D3" s="10" t="str">
        <x:v>当前快照截至 2026-10-13；官方数据经 FRED、纽约联储、BLS、DOL、EIA、Atlanta Fed 交叉核验。高分=利率/金融条件压力更大。</x:v>
      </x:c>
      <x:c r="E3" s="10" t="str">
        <x:v>当前快照截至 2026-10-13；官方数据经 FRED、纽约联储、BLS、DOL、EIA、Atlanta Fed 交叉核验。高分=利率/金融条件压力更大。</x:v>
      </x:c>
      <x:c r="F3" s="10" t="str">
        <x:v>当前快照截至 2026-10-13；官方数据经 FRED、纽约联储、BLS、DOL、EIA、Atlanta Fed 交叉核验。高分=利率/金融条件压力更大。</x:v>
      </x:c>
      <x:c r="G3" s="10" t="str">
        <x:v>当前快照截至 2026-10-13；官方数据经 FRED、纽约联储、BLS、DOL、EIA、Atlanta Fed 交叉核验。高分=利率/金融条件压力更大。</x:v>
      </x:c>
      <x:c r="H3" s="10" t="str">
        <x:v>当前快照截至 2026-10-13；官方数据经 FRED、纽约联储、BLS、DOL、EIA、Atlanta Fed 交叉核验。高分=利率/金融条件压力更大。</x:v>
      </x:c>
      <x:c r="I3" s="10" t="str">
        <x:v>当前快照截至 2026-10-13；官方数据经 FRED、纽约联储、BLS、DOL、EIA、Atlanta Fed 交叉核验。高分=利率/金融条件压力更大。</x:v>
      </x:c>
      <x:c r="J3" s="10" t="str">
        <x:v>当前快照截至 2026-10-13；官方数据经 FRED、纽约联储、BLS、DOL、EIA、Atlanta Fed 交叉核验。高分=利率/金融条件压力更大。</x:v>
      </x:c>
      <x:c r="K3" s="10" t="str">
        <x:v>当前快照截至 2026-10-13；官方数据经 FRED、纽约联储、BLS、DOL、EIA、Atlanta Fed 交叉核验。高分=利率/金融条件压力更大。</x:v>
      </x:c>
      <x:c r="L3" s="10" t="str">
        <x:v>当前快照截至 2026-10-13；官方数据经 FRED、纽约联储、BLS、DOL、EIA、Atlanta Fed 交叉核验。高分=利率/金融条件压力更大。</x:v>
      </x:c>
      <x:c r="M3" s="10" t="str">
        <x:v>当前快照截至 2026-10-13；官方数据经 FRED、纽约联储、BLS、DOL、EIA、Atlanta Fed 交叉核验。高分=利率/金融条件压力更大。</x:v>
      </x:c>
      <x:c r="N3" s="10" t="str">
        <x:v>当前快照截至 2026-10-13；官方数据经 FRED、纽约联储、BLS、DOL、EIA、Atlanta Fed 交叉核验。高分=利率/金融条件压力更大。</x:v>
      </x:c>
      <x:c r="O3" s="10" t="str">
        <x:v>当前快照截至 2026-10-13；官方数据经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58.753822467813286</x:v>
      </x:c>
      <x:c r="B6" s="99"/>
      <x:c r="C6" s="99"/>
      <x:c r="D6" s="99" t="n">
        <x:f>'因子引擎'!$B$43</x:f>
        <x:v>46.17802682129179</x:v>
      </x:c>
      <x:c r="E6" s="99"/>
      <x:c r="F6" s="99"/>
      <x:c r="G6" s="99" t="n">
        <x:f>'因子引擎'!$B$44</x:f>
        <x:v>78.80996983584953</x:v>
      </x:c>
      <x:c r="H6" s="99"/>
      <x:c r="I6" s="99"/>
      <x:c r="J6" s="99" t="n">
        <x:f>'因子引擎'!$B$45</x:f>
        <x:v>54.16995501879927</x:v>
      </x:c>
      <x:c r="K6" s="99"/>
      <x:c r="L6" s="99"/>
      <x:c r="M6" s="99" t="n">
        <x:f>'因子引擎'!$B$47</x:f>
        <x:v>61.6278211560705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0.5113509562785417</x:v>
      </x:c>
      <x:c r="K12" s="50" t="str">
        <x:v>主导</x:v>
      </x:c>
      <x:c r="L12" s="50" t="str">
        <x:v>市场冲击占比</x:v>
      </x:c>
      <x:c r="M12" s="50" t="n">
        <x:f>'因子引擎'!$B$50</x:f>
        <x:v>0.48864904372145834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0.16999999999999993</x:v>
      </x:c>
      <x:c r="K13" s="39" t="str">
        <x:v>+47bp</x:v>
      </x:c>
      <x:c r="L13" s="39" t="str">
        <x:v>10Y实际利率20日</x:v>
      </x:c>
      <x:c r="M13" s="111" t="n">
        <x:f>'因子引擎'!$E$32</x:f>
        <x:v>0.31000000000000005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0.902297147892582</x:v>
      </x:c>
      <x:c r="K14" s="39" t="str">
        <x:v>高于5年中枢</x:v>
      </x:c>
      <x:c r="L14" s="39" t="str">
        <x:v>ACM TP 20日</x:v>
      </x:c>
      <x:c r="M14" s="111" t="n">
        <x:f>'因子引擎'!$E$29</x:f>
        <x:v>0.18858293392940095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0.3999999999999999</x:v>
      </x:c>
      <x:c r="K15" s="39" t="str">
        <x:v>+13bp</x:v>
      </x:c>
      <x:c r="L15" s="39" t="str">
        <x:v>VIX</x:v>
      </x:c>
      <x:c r="M15" s="111" t="n">
        <x:f>'因子引擎'!$E$35</x:f>
        <x:v>15.21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-0.494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58.753822467813286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46.17802682129179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78.80996983584953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54.16995501879927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61.6278211560705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39.43805842029876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39.429098284164795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41.092885689077264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41.26265855755927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40.81583562531746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39.66673564542544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38.38522070865495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42.59663638524673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38.07732085483303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59.28608705429261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b1811f571040414f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2026-10-13。 </x:v>
      </x:c>
      <x:c r="B3" s="53" t="str">
        <x:v>名义利率 = 预期政策路径 + 通胀补偿 + 期限溢价；风险资产压力再经过市场传导门控。蓝色单元格为可更新输入。 数据截至 2026-10-13。 </x:v>
      </x:c>
      <x:c r="C3" s="53" t="str">
        <x:v>名义利率 = 预期政策路径 + 通胀补偿 + 期限溢价；风险资产压力再经过市场传导门控。蓝色单元格为可更新输入。 数据截至 2026-10-13。 </x:v>
      </x:c>
      <x:c r="D3" s="53" t="str">
        <x:v>名义利率 = 预期政策路径 + 通胀补偿 + 期限溢价；风险资产压力再经过市场传导门控。蓝色单元格为可更新输入。 数据截至 2026-10-13。 </x:v>
      </x:c>
      <x:c r="E3" s="53" t="str">
        <x:v>名义利率 = 预期政策路径 + 通胀补偿 + 期限溢价；风险资产压力再经过市场传导门控。蓝色单元格为可更新输入。 数据截至 2026-10-13。 </x:v>
      </x:c>
      <x:c r="F3" s="53" t="str">
        <x:v>名义利率 = 预期政策路径 + 通胀补偿 + 期限溢价；风险资产压力再经过市场传导门控。蓝色单元格为可更新输入。 数据截至 2026-10-13。 </x:v>
      </x:c>
      <x:c r="G3" s="53" t="str">
        <x:v>名义利率 = 预期政策路径 + 通胀补偿 + 期限溢价；风险资产压力再经过市场传导门控。蓝色单元格为可更新输入。 数据截至 2026-10-13。 </x:v>
      </x:c>
      <x:c r="H3" s="53" t="str">
        <x:v>名义利率 = 预期政策路径 + 通胀补偿 + 期限溢价；风险资产压力再经过市场传导门控。蓝色单元格为可更新输入。 数据截至 2026-10-13。 </x:v>
      </x:c>
      <x:c r="I3" s="53" t="str">
        <x:v>名义利率 = 预期政策路径 + 通胀补偿 + 期限溢价；风险资产压力再经过市场传导门控。蓝色单元格为可更新输入。 数据截至 2026-10-13。 </x:v>
      </x:c>
      <x:c r="J3" s="53" t="str">
        <x:v>名义利率 = 预期政策路径 + 通胀补偿 + 期限溢价；风险资产压力再经过市场传导门控。蓝色单元格为可更新输入。 数据截至 2026-10-13。 </x:v>
      </x:c>
      <x:c r="K3" s="53" t="str">
        <x:v>名义利率 = 预期政策路径 + 通胀补偿 + 期限溢价；风险资产压力再经过市场传导门控。蓝色单元格为可更新输入。 数据截至 2026-10-13。 </x:v>
      </x:c>
      <x:c r="L3" s="53" t="str">
        <x:v>名义利率 = 预期政策路径 + 通胀补偿 + 期限溢价；风险资产压力再经过市场传导门控。蓝色单元格为可更新输入。 数据截至 2026-10-13。 </x:v>
      </x:c>
      <x:c r="M3" s="53" t="str">
        <x:v>名义利率 = 预期政策路径 + 通胀补偿 + 期限溢价；风险资产压力再经过市场传导门控。蓝色单元格为可更新输入。 数据截至 2026-10-13。 </x:v>
      </x:c>
      <x:c r="N3" s="53" t="str">
        <x:v>名义利率 = 预期政策路径 + 通胀补偿 + 期限溢价；风险资产压力再经过市场传导门控。蓝色单元格为可更新输入。 数据截至 2026-10-13。 </x:v>
      </x:c>
      <x:c r="O3" s="53" t="str">
        <x:v>名义利率 = 预期政策路径 + 通胀补偿 + 期限溢价；风险资产压力再经过市场传导门控。蓝色单元格为可更新输入。 数据截至 2026-10-13。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0.9199999999999999</x:v>
      </x:c>
      <x:c r="F5" s="57" t="str">
        <x:v>百分点</x:v>
      </x:c>
      <x:c r="G5" s="56" t="n">
        <x:v>-0.11533864541832672</x:v>
      </x:c>
      <x:c r="H5" s="56" t="n">
        <x:v>1.0932406875238847</x:v>
      </x:c>
      <x:c r="I5" s="58" t="n">
        <x:f>IFERROR(C5*(E5-G5)/H5,"")</x:f>
        <x:v>0.9470363271635067</x:v>
      </x:c>
      <x:c r="J5" s="58" t="n">
        <x:f>IF(I5="","",MAX(0,MIN(100,50+20*I5)))</x:f>
        <x:v>68.94072654327013</x:v>
      </x:c>
      <x:c r="K5" s="54" t="str">
        <x:v>2026-10-09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0.16999999999999993</x:v>
      </x:c>
      <x:c r="F6" s="57" t="str">
        <x:v>百分点</x:v>
      </x:c>
      <x:c r="G6" s="56" t="n">
        <x:v>0.06191235059760948</x:v>
      </x:c>
      <x:c r="H6" s="56" t="n">
        <x:v>1.0567878027714774</x:v>
      </x:c>
      <x:c r="I6" s="58" t="n">
        <x:f>IFERROR(C6*(E6-G6)/H6,"")</x:f>
        <x:v>0.10227942555631823</x:v>
      </x:c>
      <x:c r="J6" s="58" t="n">
        <x:f>IF(I6="","",MAX(0,MIN(100,50+20*I6)))</x:f>
        <x:v>52.04558851112637</x:v>
      </x:c>
      <x:c r="K6" s="54" t="str">
        <x:v>2026-10-09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0.03590715300805313</x:v>
      </x:c>
      <x:c r="H7" s="56" t="n">
        <x:v>0.18328083985203292</x:v>
      </x:c>
      <x:c r="I7" s="58" t="n">
        <x:f>IFERROR(C7*(E7-G7)/H7,"")</x:f>
        <x:v>-0.1959132937029416</x:v>
      </x:c>
      <x:c r="J7" s="58" t="n">
        <x:f>IF(I7="","",MAX(0,MIN(100,50+20*I7)))</x:f>
        <x:v>46.08173412594117</x:v>
      </x:c>
      <x:c r="K7" s="54" t="str">
        <x:v>2026-10-12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58.753822467813286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2.33</x:v>
      </x:c>
      <x:c r="F10" s="57" t="str">
        <x:v>%</x:v>
      </x:c>
      <x:c r="G10" s="56" t="n">
        <x:v>2.3432029177718863</x:v>
      </x:c>
      <x:c r="H10" s="56" t="n">
        <x:v>0.5581608045007573</x:v>
      </x:c>
      <x:c r="I10" s="58" t="n">
        <x:f>IFERROR(C10*(E10-G10)/H10,"")</x:f>
        <x:v>-0.023654326254054066</x:v>
      </x:c>
      <x:c r="J10" s="58" t="n">
        <x:f>IF(I10="","",MAX(0,MIN(100,50+20*I10)))</x:f>
        <x:v>49.52691347491892</x:v>
      </x:c>
      <x:c r="K10" s="54" t="str">
        <x:v>2026-10-13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-0.08000000000000007</x:v>
      </x:c>
      <x:c r="F11" s="57" t="str">
        <x:v>百分点</x:v>
      </x:c>
      <x:c r="G11" s="56" t="n">
        <x:v>0.005809018567639265</x:v>
      </x:c>
      <x:c r="H11" s="56" t="n">
        <x:v>0.697828137500412</x:v>
      </x:c>
      <x:c r="I11" s="58" t="n">
        <x:f>IFERROR(C11*(E11-G11)/H11,"")</x:f>
        <x:v>-0.12296583350021291</x:v>
      </x:c>
      <x:c r="J11" s="58" t="n">
        <x:f>IF(I11="","",MAX(0,MIN(100,50+20*I11)))</x:f>
        <x:v>47.540683329995744</x:v>
      </x:c>
      <x:c r="K11" s="54" t="str">
        <x:v>2026-10-13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2.33</x:v>
      </x:c>
      <x:c r="F12" s="57" t="str">
        <x:v>%</x:v>
      </x:c>
      <x:c r="G12" s="56" t="n">
        <x:v>2.160656498673741</x:v>
      </x:c>
      <x:c r="H12" s="56" t="n">
        <x:v>0.46298048451528995</x:v>
      </x:c>
      <x:c r="I12" s="58" t="n">
        <x:f>IFERROR(C12*(E12-G12)/H12,"")</x:f>
        <x:v>0.36576811980217844</x:v>
      </x:c>
      <x:c r="J12" s="58" t="n">
        <x:f>IF(I12="","",MAX(0,MIN(100,50+20*I12)))</x:f>
        <x:v>57.31536239604357</x:v>
      </x:c>
      <x:c r="K12" s="54" t="str">
        <x:v>2026-10-13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51.1682676005332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198000</x:v>
      </x:c>
      <x:c r="F19" s="57" t="str">
        <x:v>人</x:v>
      </x:c>
      <x:c r="G19" s="56" t="n">
        <x:v>264694.35215946846</x:v>
      </x:c>
      <x:c r="H19" s="56" t="n">
        <x:v>129535.93781133559</x:v>
      </x:c>
      <x:c r="I19" s="58" t="n">
        <x:f>IFERROR(C19*(E19-G19)/H19,"")</x:f>
        <x:v>0.5148714193632223</x:v>
      </x:c>
      <x:c r="J19" s="58" t="n">
        <x:f>IF(I19="","",MAX(0,MIN(100,50+20*I19)))</x:f>
        <x:v>60.297428387264446</x:v>
      </x:c>
      <x:c r="K19" s="54" t="str">
        <x:v>2026-10-03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35.53562816112684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19.641969169567375</x:v>
      </x:c>
      <x:c r="F23" s="57" t="str">
        <x:v>%</x:v>
      </x:c>
      <x:c r="G23" s="56" t="n">
        <x:v>0.03865234184929262</x:v>
      </x:c>
      <x:c r="H23" s="56" t="n">
        <x:v>28.69987590646968</x:v>
      </x:c>
      <x:c r="I23" s="58" t="n">
        <x:f>IFERROR(C23*(E23-G23)/H23,"")</x:f>
        <x:v>0.6830453515410148</x:v>
      </x:c>
      <x:c r="J23" s="58" t="n">
        <x:f>IF(I23="","",MAX(0,MIN(100,50+20*I23)))</x:f>
        <x:v>63.6609070308203</x:v>
      </x:c>
      <x:c r="K23" s="54" t="str">
        <x:v>2026-10-06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53.57418272328729</x:v>
      </x:c>
      <x:c r="K24" s="64" t="str">
        <x:f>IF(J24&gt;=65,"高压",IF(J24&gt;=55,"偏紧",IF(J24&gt;=45,"中性",IF(J24&gt;=35,"偏松","宽松"))))</x:f>
        <x:v>中性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46.17802682129179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0.902297147892582</x:v>
      </x:c>
      <x:c r="F28" s="57" t="str">
        <x:v>%</x:v>
      </x:c>
      <x:c r="G28" s="56" t="n">
        <x:v>-0.05174963345459093</x:v>
      </x:c>
      <x:c r="H28" s="56" t="n">
        <x:v>0.5473635374154877</x:v>
      </x:c>
      <x:c r="I28" s="58" t="n">
        <x:f>IFERROR(C28*(E28-G28)/H28,"")</x:f>
        <x:v>1.7429856322763857</x:v>
      </x:c>
      <x:c r="J28" s="58" t="n">
        <x:f>IF(I28="","",MAX(0,MIN(100,50+20*I28)))</x:f>
        <x:v>84.85971264552771</x:v>
      </x:c>
      <x:c r="K28" s="54" t="str">
        <x:v>2026-10-09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0.18858293392940095</x:v>
      </x:c>
      <x:c r="F29" s="57" t="str">
        <x:v>百分点</x:v>
      </x:c>
      <x:c r="G29" s="56" t="n">
        <x:v>0.022290603716649596</x:v>
      </x:c>
      <x:c r="H29" s="56" t="n">
        <x:v>0.22634194202141292</x:v>
      </x:c>
      <x:c r="I29" s="58" t="n">
        <x:f>IFERROR(C29*(E29-G29)/H29,"")</x:f>
        <x:v>0.7346951639966904</x:v>
      </x:c>
      <x:c r="J29" s="58" t="n">
        <x:f>IF(I29="","",MAX(0,MIN(100,50+20*I29)))</x:f>
        <x:v>64.6939032799338</x:v>
      </x:c>
      <x:c r="K29" s="54" t="str">
        <x:v>2026-10-09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78.80996983584953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0.31000000000000005</x:v>
      </x:c>
      <x:c r="F32" s="57" t="str">
        <x:v>百分点</x:v>
      </x:c>
      <x:c r="G32" s="56" t="n">
        <x:v>0.0497078353253652</x:v>
      </x:c>
      <x:c r="H32" s="56" t="n">
        <x:v>0.5086970336636214</x:v>
      </x:c>
      <x:c r="I32" s="58" t="n">
        <x:f>IFERROR(C32*(E32-G32)/H32,"")</x:f>
        <x:v>0.5116840623190156</x:v>
      </x:c>
      <x:c r="J32" s="58" t="n">
        <x:f>IF(I32="","",MAX(0,MIN(100,50+20*I32)))</x:f>
        <x:v>60.233681246380314</x:v>
      </x:c>
      <x:c r="K32" s="54" t="str">
        <x:v>2026-10-09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0.3999999999999999</x:v>
      </x:c>
      <x:c r="F33" s="57" t="str">
        <x:v>百分点</x:v>
      </x:c>
      <x:c r="G33" s="56" t="n">
        <x:v>-0.035038860103626945</x:v>
      </x:c>
      <x:c r="H33" s="56" t="n">
        <x:v>0.5353213985868223</x:v>
      </x:c>
      <x:c r="I33" s="58" t="n">
        <x:f>IFERROR(C33*(E33-G33)/H33,"")</x:f>
        <x:v>0.8126685412764593</x:v>
      </x:c>
      <x:c r="J33" s="58" t="n">
        <x:f>IF(I33="","",MAX(0,MIN(100,50+20*I33)))</x:f>
        <x:v>66.25337082552919</x:v>
      </x:c>
      <x:c r="K33" s="54" t="str">
        <x:v>2026-10-12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0.029999999999999916</x:v>
      </x:c>
      <x:c r="F34" s="57" t="str">
        <x:v>百分点</x:v>
      </x:c>
      <x:c r="G34" s="56" t="n">
        <x:v>-0.012590673575129555</x:v>
      </x:c>
      <x:c r="H34" s="56" t="n">
        <x:v>0.15443474040481875</x:v>
      </x:c>
      <x:c r="I34" s="58" t="n">
        <x:f>IFERROR(C34*(E34-G34)/H34,"")</x:f>
        <x:v>0.27578427925923155</x:v>
      </x:c>
      <x:c r="J34" s="58" t="n">
        <x:f>IF(I34="","",MAX(0,MIN(100,50+20*I34)))</x:f>
        <x:v>55.51568558518463</x:v>
      </x:c>
      <x:c r="K34" s="54" t="str">
        <x:v>2026-10-12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15.21</x:v>
      </x:c>
      <x:c r="F35" s="57" t="str">
        <x:v>指数</x:v>
      </x:c>
      <x:c r="G35" s="56" t="n">
        <x:v>18.844797611147968</x:v>
      </x:c>
      <x:c r="H35" s="56" t="n">
        <x:v>5.589244498076386</x:v>
      </x:c>
      <x:c r="I35" s="58" t="n">
        <x:f>IFERROR(C35*(E35-G35)/H35,"")</x:f>
        <x:v>-0.6503200231084776</x:v>
      </x:c>
      <x:c r="J35" s="58" t="n">
        <x:f>IF(I35="","",MAX(0,MIN(100,50+20*I35)))</x:f>
        <x:v>36.99359953783045</x:v>
      </x:c>
      <x:c r="K35" s="54" t="str">
        <x:v>2026-10-12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2.8674608290486736</x:v>
      </x:c>
      <x:c r="F36" s="57" t="str">
        <x:v>%</x:v>
      </x:c>
      <x:c r="G36" s="56" t="n">
        <x:v>-3.843107270670175</x:v>
      </x:c>
      <x:c r="H36" s="56" t="n">
        <x:v>19.561548309273117</x:v>
      </x:c>
      <x:c r="I36" s="58" t="n">
        <x:f>IFERROR(C36*(E36-G36)/H36,"")</x:f>
        <x:v>0.3430489240229372</x:v>
      </x:c>
      <x:c r="J36" s="58" t="n">
        <x:f>IF(I36="","",MAX(0,MIN(100,50+20*I36)))</x:f>
        <x:v>56.86097848045874</x:v>
      </x:c>
      <x:c r="K36" s="54" t="str">
        <x:v>2026-10-09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-0.494</x:v>
      </x:c>
      <x:c r="F37" s="57" t="str">
        <x:v>指数</x:v>
      </x:c>
      <x:c r="G37" s="56" t="n">
        <x:v>-0.43021926910299024</x:v>
      </x:c>
      <x:c r="H37" s="56" t="n">
        <x:v>0.15079438018086308</x:v>
      </x:c>
      <x:c r="I37" s="58" t="n">
        <x:f>IFERROR(C37*(E37-G37)/H37,"")</x:f>
        <x:v>-0.422964906387831</x:v>
      </x:c>
      <x:c r="J37" s="58" t="n">
        <x:f>IF(I37="","",MAX(0,MIN(100,50+20*I37)))</x:f>
        <x:v>41.54070187224338</x:v>
      </x:c>
      <x:c r="K37" s="54" t="str">
        <x:v>2026-10-02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54.16995501879927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58.753822467813286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46.17802682129179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78.80996983584953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54.16995501879927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60.36913820194163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61.6278211560705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58.365188184911354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0.5113509562785417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0.48864904372145834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39.43805842029876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39.429098284164795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41.092885689077264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41.26265855755927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40.81583562531746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39.66673564542544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38.38522070865495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42.59663638524673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38.07732085483303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59.28608705429261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58.753822467813286</x:v>
      </x:c>
      <x:c r="C6" s="58" t="n">
        <x:f>'因子引擎'!$B$43</x:f>
        <x:v>46.17802682129179</x:v>
      </x:c>
      <x:c r="D6" s="58" t="n">
        <x:f>'因子引擎'!$B$44</x:f>
        <x:v>78.80996983584953</x:v>
      </x:c>
      <x:c r="E6" s="58" t="n">
        <x:f>'因子引擎'!$B$45</x:f>
        <x:v>54.16995501879927</x:v>
      </x:c>
      <x:c r="F6" s="58" t="n">
        <x:f>MIN(100,MAX(0,(35%*B6+35%*C6+30%*D6)*(0.75+0.5*E6/100)))</x:f>
        <x:v>61.6278211560705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39.43805842029876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39.429098284164795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41.26265855755927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39.66673564542544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59.28608705429261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61.6278211560705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38.07732085483303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