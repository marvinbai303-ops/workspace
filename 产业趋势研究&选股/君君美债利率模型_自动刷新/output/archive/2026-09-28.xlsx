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a632a0d01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7eaffa9d11c647f1"/>
    <x:sheet xmlns:r="http://schemas.openxmlformats.org/officeDocument/2006/relationships" name="因子引擎" sheetId="2" r:id="R382f5aa9fc3c477a"/>
    <x:sheet xmlns:r="http://schemas.openxmlformats.org/officeDocument/2006/relationships" name="风险资产" sheetId="3" r:id="Rf5c7ca6b1aa44244"/>
    <x:sheet xmlns:r="http://schemas.openxmlformats.org/officeDocument/2006/relationships" name="场景与阈值" sheetId="4" r:id="R5d41152389d74448"/>
    <x:sheet xmlns:r="http://schemas.openxmlformats.org/officeDocument/2006/relationships" name="数据字典" sheetId="5" r:id="R9b0e7948107c42d2"/>
    <x:sheet xmlns:r="http://schemas.openxmlformats.org/officeDocument/2006/relationships" name="方法与信源" sheetId="6" r:id="R1e3060db09ca4f99"/>
    <x:sheet xmlns:r="http://schemas.openxmlformats.org/officeDocument/2006/relationships" name="审计" sheetId="7" r:id="Re22e6ee5b684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5a79f58694382" /><Relationship Type="http://schemas.openxmlformats.org/officeDocument/2006/relationships/theme" Target="/xl/theme/theme1.xml" Id="Rf6ec645a25d84a83" /><Relationship Type="http://schemas.openxmlformats.org/officeDocument/2006/relationships/sharedStrings" Target="/xl/sharedStrings.xml" Id="R6c2d593ca0d04eed" /><Relationship Type="http://schemas.openxmlformats.org/officeDocument/2006/relationships/worksheet" Target="/xl/worksheets/sheet1.xml" Id="R7eaffa9d11c647f1" /><Relationship Type="http://schemas.openxmlformats.org/officeDocument/2006/relationships/worksheet" Target="/xl/worksheets/sheet2.xml" Id="R382f5aa9fc3c477a" /><Relationship Type="http://schemas.openxmlformats.org/officeDocument/2006/relationships/worksheet" Target="/xl/worksheets/sheet3.xml" Id="Rf5c7ca6b1aa44244" /><Relationship Type="http://schemas.openxmlformats.org/officeDocument/2006/relationships/worksheet" Target="/xl/worksheets/sheet4.xml" Id="R5d41152389d74448" /><Relationship Type="http://schemas.openxmlformats.org/officeDocument/2006/relationships/worksheet" Target="/xl/worksheets/sheet5.xml" Id="R9b0e7948107c42d2" /><Relationship Type="http://schemas.openxmlformats.org/officeDocument/2006/relationships/worksheet" Target="/xl/worksheets/sheet6.xml" Id="R1e3060db09ca4f99" /><Relationship Type="http://schemas.openxmlformats.org/officeDocument/2006/relationships/worksheet" Target="/xl/worksheets/sheet7.xml" Id="Re22e6ee5b68445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da3caf42144f25" /><Relationship Type="http://schemas.openxmlformats.org/officeDocument/2006/relationships/chart" Target="/xl/drawings/charts/chart2.xml" Id="Rffe3915d06f347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da3caf42144f25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e3915d06f347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a9199e92a24cfd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2026-09-25；官方数据经 FRED、纽约联储、BLS、DOL、EIA、Atlanta Fed 交叉核验。高分=利率/金融条件压力更大。</x:v>
      </x:c>
      <x:c r="B3" s="10" t="str">
        <x:v>当前快照截至 2026-09-25；官方数据经 FRED、纽约联储、BLS、DOL、EIA、Atlanta Fed 交叉核验。高分=利率/金融条件压力更大。</x:v>
      </x:c>
      <x:c r="C3" s="10" t="str">
        <x:v>当前快照截至 2026-09-25；官方数据经 FRED、纽约联储、BLS、DOL、EIA、Atlanta Fed 交叉核验。高分=利率/金融条件压力更大。</x:v>
      </x:c>
      <x:c r="D3" s="10" t="str">
        <x:v>当前快照截至 2026-09-25；官方数据经 FRED、纽约联储、BLS、DOL、EIA、Atlanta Fed 交叉核验。高分=利率/金融条件压力更大。</x:v>
      </x:c>
      <x:c r="E3" s="10" t="str">
        <x:v>当前快照截至 2026-09-25；官方数据经 FRED、纽约联储、BLS、DOL、EIA、Atlanta Fed 交叉核验。高分=利率/金融条件压力更大。</x:v>
      </x:c>
      <x:c r="F3" s="10" t="str">
        <x:v>当前快照截至 2026-09-25；官方数据经 FRED、纽约联储、BLS、DOL、EIA、Atlanta Fed 交叉核验。高分=利率/金融条件压力更大。</x:v>
      </x:c>
      <x:c r="G3" s="10" t="str">
        <x:v>当前快照截至 2026-09-25；官方数据经 FRED、纽约联储、BLS、DOL、EIA、Atlanta Fed 交叉核验。高分=利率/金融条件压力更大。</x:v>
      </x:c>
      <x:c r="H3" s="10" t="str">
        <x:v>当前快照截至 2026-09-25；官方数据经 FRED、纽约联储、BLS、DOL、EIA、Atlanta Fed 交叉核验。高分=利率/金融条件压力更大。</x:v>
      </x:c>
      <x:c r="I3" s="10" t="str">
        <x:v>当前快照截至 2026-09-25；官方数据经 FRED、纽约联储、BLS、DOL、EIA、Atlanta Fed 交叉核验。高分=利率/金融条件压力更大。</x:v>
      </x:c>
      <x:c r="J3" s="10" t="str">
        <x:v>当前快照截至 2026-09-25；官方数据经 FRED、纽约联储、BLS、DOL、EIA、Atlanta Fed 交叉核验。高分=利率/金融条件压力更大。</x:v>
      </x:c>
      <x:c r="K3" s="10" t="str">
        <x:v>当前快照截至 2026-09-25；官方数据经 FRED、纽约联储、BLS、DOL、EIA、Atlanta Fed 交叉核验。高分=利率/金融条件压力更大。</x:v>
      </x:c>
      <x:c r="L3" s="10" t="str">
        <x:v>当前快照截至 2026-09-25；官方数据经 FRED、纽约联储、BLS、DOL、EIA、Atlanta Fed 交叉核验。高分=利率/金融条件压力更大。</x:v>
      </x:c>
      <x:c r="M3" s="10" t="str">
        <x:v>当前快照截至 2026-09-25；官方数据经 FRED、纽约联储、BLS、DOL、EIA、Atlanta Fed 交叉核验。高分=利率/金融条件压力更大。</x:v>
      </x:c>
      <x:c r="N3" s="10" t="str">
        <x:v>当前快照截至 2026-09-25；官方数据经 FRED、纽约联储、BLS、DOL、EIA、Atlanta Fed 交叉核验。高分=利率/金融条件压力更大。</x:v>
      </x:c>
      <x:c r="O3" s="10" t="str">
        <x:v>当前快照截至 2026-09-25；官方数据经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67.34509683959806</x:v>
      </x:c>
      <x:c r="B6" s="99"/>
      <x:c r="C6" s="99"/>
      <x:c r="D6" s="99" t="n">
        <x:f>'因子引擎'!$B$43</x:f>
        <x:v>49.00576504006303</x:v>
      </x:c>
      <x:c r="E6" s="99"/>
      <x:c r="F6" s="99"/>
      <x:c r="G6" s="99" t="n">
        <x:f>'因子引擎'!$B$44</x:f>
        <x:v>69.16444937879773</x:v>
      </x:c>
      <x:c r="H6" s="99"/>
      <x:c r="I6" s="99"/>
      <x:c r="J6" s="99" t="n">
        <x:f>'因子引擎'!$B$45</x:f>
        <x:v>52.15486628472387</x:v>
      </x:c>
      <x:c r="K6" s="99"/>
      <x:c r="L6" s="99"/>
      <x:c r="M6" s="99" t="n">
        <x:f>'因子引擎'!$B$47</x:f>
        <x:v>62.13445764318282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0.7430471681940071</x:v>
      </x:c>
      <x:c r="K12" s="50" t="str">
        <x:v>主导</x:v>
      </x:c>
      <x:c r="L12" s="50" t="str">
        <x:v>市场冲击占比</x:v>
      </x:c>
      <x:c r="M12" s="50" t="n">
        <x:f>'因子引擎'!$B$50</x:f>
        <x:v>0.25695283180599293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0.6699999999999999</x:v>
      </x:c>
      <x:c r="K13" s="39" t="str">
        <x:v>+47bp</x:v>
      </x:c>
      <x:c r="L13" s="39" t="str">
        <x:v>10Y实际利率20日</x:v>
      </x:c>
      <x:c r="M13" s="111" t="n">
        <x:f>'因子引擎'!$E$32</x:f>
        <x:v>0.5100000000000002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0.729813598483351</x:v>
      </x:c>
      <x:c r="K14" s="39" t="str">
        <x:v>高于5年中枢</x:v>
      </x:c>
      <x:c r="L14" s="39" t="str">
        <x:v>ACM TP 20日</x:v>
      </x:c>
      <x:c r="M14" s="111" t="n">
        <x:f>'因子引擎'!$E$29</x:f>
        <x:v>-0.018844084244058923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0.16999999999999993</x:v>
      </x:c>
      <x:c r="K15" s="39" t="str">
        <x:v>+13bp</x:v>
      </x:c>
      <x:c r="L15" s="39" t="str">
        <x:v>VIX</x:v>
      </x:c>
      <x:c r="M15" s="111" t="n">
        <x:f>'因子引擎'!$E$35</x:f>
        <x:v>14.21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-0.555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67.34509683959806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49.00576504006303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69.16444937879773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52.15486628472387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62.13445764318282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39.798988115924146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40.06661536469781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40.66093538450875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41.22353651617075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41.272786468224865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40.89079004022116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39.33557430642124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44.73964465350983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39.29650644827437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59.91380048195265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c5a9199e92a24cfd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2026-09-25。 </x:v>
      </x:c>
      <x:c r="B3" s="53" t="str">
        <x:v>名义利率 = 预期政策路径 + 通胀补偿 + 期限溢价；风险资产压力再经过市场传导门控。蓝色单元格为可更新输入。 数据截至 2026-09-25。 </x:v>
      </x:c>
      <x:c r="C3" s="53" t="str">
        <x:v>名义利率 = 预期政策路径 + 通胀补偿 + 期限溢价；风险资产压力再经过市场传导门控。蓝色单元格为可更新输入。 数据截至 2026-09-25。 </x:v>
      </x:c>
      <x:c r="D3" s="53" t="str">
        <x:v>名义利率 = 预期政策路径 + 通胀补偿 + 期限溢价；风险资产压力再经过市场传导门控。蓝色单元格为可更新输入。 数据截至 2026-09-25。 </x:v>
      </x:c>
      <x:c r="E3" s="53" t="str">
        <x:v>名义利率 = 预期政策路径 + 通胀补偿 + 期限溢价；风险资产压力再经过市场传导门控。蓝色单元格为可更新输入。 数据截至 2026-09-25。 </x:v>
      </x:c>
      <x:c r="F3" s="53" t="str">
        <x:v>名义利率 = 预期政策路径 + 通胀补偿 + 期限溢价；风险资产压力再经过市场传导门控。蓝色单元格为可更新输入。 数据截至 2026-09-25。 </x:v>
      </x:c>
      <x:c r="G3" s="53" t="str">
        <x:v>名义利率 = 预期政策路径 + 通胀补偿 + 期限溢价；风险资产压力再经过市场传导门控。蓝色单元格为可更新输入。 数据截至 2026-09-25。 </x:v>
      </x:c>
      <x:c r="H3" s="53" t="str">
        <x:v>名义利率 = 预期政策路径 + 通胀补偿 + 期限溢价；风险资产压力再经过市场传导门控。蓝色单元格为可更新输入。 数据截至 2026-09-25。 </x:v>
      </x:c>
      <x:c r="I3" s="53" t="str">
        <x:v>名义利率 = 预期政策路径 + 通胀补偿 + 期限溢价；风险资产压力再经过市场传导门控。蓝色单元格为可更新输入。 数据截至 2026-09-25。 </x:v>
      </x:c>
      <x:c r="J3" s="53" t="str">
        <x:v>名义利率 = 预期政策路径 + 通胀补偿 + 期限溢价；风险资产压力再经过市场传导门控。蓝色单元格为可更新输入。 数据截至 2026-09-25。 </x:v>
      </x:c>
      <x:c r="K3" s="53" t="str">
        <x:v>名义利率 = 预期政策路径 + 通胀补偿 + 期限溢价；风险资产压力再经过市场传导门控。蓝色单元格为可更新输入。 数据截至 2026-09-25。 </x:v>
      </x:c>
      <x:c r="L3" s="53" t="str">
        <x:v>名义利率 = 预期政策路径 + 通胀补偿 + 期限溢价；风险资产压力再经过市场传导门控。蓝色单元格为可更新输入。 数据截至 2026-09-25。 </x:v>
      </x:c>
      <x:c r="M3" s="53" t="str">
        <x:v>名义利率 = 预期政策路径 + 通胀补偿 + 期限溢价；风险资产压力再经过市场传导门控。蓝色单元格为可更新输入。 数据截至 2026-09-25。 </x:v>
      </x:c>
      <x:c r="N3" s="53" t="str">
        <x:v>名义利率 = 预期政策路径 + 通胀补偿 + 期限溢价；风险资产压力再经过市场传导门控。蓝色单元格为可更新输入。 数据截至 2026-09-25。 </x:v>
      </x:c>
      <x:c r="O3" s="53" t="str">
        <x:v>名义利率 = 预期政策路径 + 通胀补偿 + 期限溢价；风险资产压力再经过市场传导门控。蓝色单元格为可更新输入。 数据截至 2026-09-25。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0.9900000000000002</x:v>
      </x:c>
      <x:c r="F5" s="57" t="str">
        <x:v>百分点</x:v>
      </x:c>
      <x:c r="G5" s="56" t="n">
        <x:v>-0.12313043478260871</x:v>
      </x:c>
      <x:c r="H5" s="56" t="n">
        <x:v>1.0934522628421421</x:v>
      </x:c>
      <x:c r="I5" s="58" t="n">
        <x:f>IFERROR(C5*(E5-G5)/H5,"")</x:f>
        <x:v>1.0179963704033304</x:v>
      </x:c>
      <x:c r="J5" s="58" t="n">
        <x:f>IF(I5="","",MAX(0,MIN(100,50+20*I5)))</x:f>
        <x:v>70.35992740806661</x:v>
      </x:c>
      <x:c r="K5" s="54" t="str">
        <x:v>2026-09-24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0.6699999999999999</x:v>
      </x:c>
      <x:c r="F6" s="57" t="str">
        <x:v>百分点</x:v>
      </x:c>
      <x:c r="G6" s="56" t="n">
        <x:v>0.05642809364548487</x:v>
      </x:c>
      <x:c r="H6" s="56" t="n">
        <x:v>1.0530056191759425</x:v>
      </x:c>
      <x:c r="I6" s="58" t="n">
        <x:f>IFERROR(C6*(E6-G6)/H6,"")</x:f>
        <x:v>0.582686260339885</x:v>
      </x:c>
      <x:c r="J6" s="58" t="n">
        <x:f>IF(I6="","",MAX(0,MIN(100,50+20*I6)))</x:f>
        <x:v>61.6537252067977</x:v>
      </x:c>
      <x:c r="K6" s="54" t="str">
        <x:v>2026-09-24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0.03478260869565225</x:v>
      </x:c>
      <x:c r="H7" s="56" t="n">
        <x:v>0.1833385239983982</x:v>
      </x:c>
      <x:c r="I7" s="58" t="n">
        <x:f>IFERROR(C7*(E7-G7)/H7,"")</x:f>
        <x:v>1.173879807749669</x:v>
      </x:c>
      <x:c r="J7" s="58" t="n">
        <x:f>IF(I7="","",MAX(0,MIN(100,50+20*I7)))</x:f>
        <x:v>73.47759615499338</x:v>
      </x:c>
      <x:c r="K7" s="54" t="str">
        <x:v>2026-09-24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67.34509683959806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2.34</x:v>
      </x:c>
      <x:c r="F10" s="57" t="str">
        <x:v>%</x:v>
      </x:c>
      <x:c r="G10" s="56" t="n">
        <x:v>2.3446858288770085</x:v>
      </x:c>
      <x:c r="H10" s="56" t="n">
        <x:v>0.5571055467267341</x:v>
      </x:c>
      <x:c r="I10" s="58" t="n">
        <x:f>IFERROR(C10*(E10-G10)/H10,"")</x:f>
        <x:v>-0.008411025351551709</x:v>
      </x:c>
      <x:c r="J10" s="58" t="n">
        <x:f>IF(I10="","",MAX(0,MIN(100,50+20*I10)))</x:f>
        <x:v>49.83177949296896</x:v>
      </x:c>
      <x:c r="K10" s="54" t="str">
        <x:v>2026-09-25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0.040000000000000036</x:v>
      </x:c>
      <x:c r="F11" s="57" t="str">
        <x:v>百分点</x:v>
      </x:c>
      <x:c r="G11" s="56" t="n">
        <x:v>0.006089572192513378</x:v>
      </x:c>
      <x:c r="H11" s="56" t="n">
        <x:v>0.695181035105329</x:v>
      </x:c>
      <x:c r="I11" s="58" t="n">
        <x:f>IFERROR(C11*(E11-G11)/H11,"")</x:f>
        <x:v>0.04877927632526509</x:v>
      </x:c>
      <x:c r="J11" s="58" t="n">
        <x:f>IF(I11="","",MAX(0,MIN(100,50+20*I11)))</x:f>
        <x:v>50.9755855265053</x:v>
      </x:c>
      <x:c r="K11" s="54" t="str">
        <x:v>2026-09-25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2.34</x:v>
      </x:c>
      <x:c r="F12" s="57" t="str">
        <x:v>%</x:v>
      </x:c>
      <x:c r="G12" s="56" t="n">
        <x:v>2.1607286096256693</x:v>
      </x:c>
      <x:c r="H12" s="56" t="n">
        <x:v>0.46118453406259535</x:v>
      </x:c>
      <x:c r="I12" s="58" t="n">
        <x:f>IFERROR(C12*(E12-G12)/H12,"")</x:f>
        <x:v>0.388719432534133</x:v>
      </x:c>
      <x:c r="J12" s="58" t="n">
        <x:f>IF(I12="","",MAX(0,MIN(100,50+20*I12)))</x:f>
        <x:v>57.77438865068266</x:v>
      </x:c>
      <x:c r="K12" s="54" t="str">
        <x:v>2026-09-25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52.614894352020784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202250</x:v>
      </x:c>
      <x:c r="F19" s="57" t="str">
        <x:v>人</x:v>
      </x:c>
      <x:c r="G19" s="56" t="n">
        <x:v>265131.27090301004</x:v>
      </x:c>
      <x:c r="H19" s="56" t="n">
        <x:v>129858.89069941026</x:v>
      </x:c>
      <x:c r="I19" s="58" t="n">
        <x:f>IFERROR(C19*(E19-G19)/H19,"")</x:f>
        <x:v>0.4842276917994311</x:v>
      </x:c>
      <x:c r="J19" s="58" t="n">
        <x:f>IF(I19="","",MAX(0,MIN(100,50+20*I19)))</x:f>
        <x:v>59.68455383598862</x:v>
      </x:c>
      <x:c r="K19" s="54" t="str">
        <x:v>2026-09-19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37.29341767662848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36.63548752834467</x:v>
      </x:c>
      <x:c r="F23" s="57" t="str">
        <x:v>%</x:v>
      </x:c>
      <x:c r="G23" s="56" t="n">
        <x:v>-0.1652120921194438</x:v>
      </x:c>
      <x:c r="H23" s="56" t="n">
        <x:v>28.669158522884732</x:v>
      </x:c>
      <x:c r="I23" s="58" t="n">
        <x:f>IFERROR(C23*(E23-G23)/H23,"")</x:f>
        <x:v>1.2836337554549604</x:v>
      </x:c>
      <x:c r="J23" s="58" t="n">
        <x:f>IF(I23="","",MAX(0,MIN(100,50+20*I23)))</x:f>
        <x:v>75.6726751090992</x:v>
      </x:c>
      <x:c r="K23" s="54" t="str">
        <x:v>2026-09-22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61.38183197416857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49.00576504006303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0.729813598483351</x:v>
      </x:c>
      <x:c r="F28" s="57" t="str">
        <x:v>%</x:v>
      </x:c>
      <x:c r="G28" s="56" t="n">
        <x:v>-0.05137340965906213</x:v>
      </x:c>
      <x:c r="H28" s="56" t="n">
        <x:v>0.540742806570047</x:v>
      </x:c>
      <x:c r="I28" s="58" t="n">
        <x:f>IFERROR(C28*(E28-G28)/H28,"")</x:f>
        <x:v>1.4446553863518097</x:v>
      </x:c>
      <x:c r="J28" s="58" t="n">
        <x:f>IF(I28="","",MAX(0,MIN(100,50+20*I28)))</x:f>
        <x:v>78.8931077270362</x:v>
      </x:c>
      <x:c r="K28" s="54" t="str">
        <x:v>2026-09-24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-0.018844084244058923</x:v>
      </x:c>
      <x:c r="F29" s="57" t="str">
        <x:v>百分点</x:v>
      </x:c>
      <x:c r="G29" s="56" t="n">
        <x:v>0.021101885471456604</x:v>
      </x:c>
      <x:c r="H29" s="56" t="n">
        <x:v>0.22595449860343444</x:v>
      </x:c>
      <x:c r="I29" s="58" t="n">
        <x:f>IFERROR(C29*(E29-G29)/H29,"")</x:f>
        <x:v>-0.1767876716879332</x:v>
      </x:c>
      <x:c r="J29" s="58" t="n">
        <x:f>IF(I29="","",MAX(0,MIN(100,50+20*I29)))</x:f>
        <x:v>46.464246566241336</x:v>
      </x:c>
      <x:c r="K29" s="54" t="str">
        <x:v>2026-09-24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69.16444937879773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0.5100000000000002</x:v>
      </x:c>
      <x:c r="F32" s="57" t="str">
        <x:v>百分点</x:v>
      </x:c>
      <x:c r="G32" s="56" t="n">
        <x:v>0.04519732441471572</x:v>
      </x:c>
      <x:c r="H32" s="56" t="n">
        <x:v>0.5039962899008285</x:v>
      </x:c>
      <x:c r="I32" s="58" t="n">
        <x:f>IFERROR(C32*(E32-G32)/H32,"")</x:f>
        <x:v>0.922234319773949</x:v>
      </x:c>
      <x:c r="J32" s="58" t="n">
        <x:f>IF(I32="","",MAX(0,MIN(100,50+20*I32)))</x:f>
        <x:v>68.44468639547898</x:v>
      </x:c>
      <x:c r="K32" s="54" t="str">
        <x:v>2026-09-24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0.16999999999999993</x:v>
      </x:c>
      <x:c r="F33" s="57" t="str">
        <x:v>百分点</x:v>
      </x:c>
      <x:c r="G33" s="56" t="n">
        <x:v>-0.04012903225806448</x:v>
      </x:c>
      <x:c r="H33" s="56" t="n">
        <x:v>0.5330837437990474</x:v>
      </x:c>
      <x:c r="I33" s="58" t="n">
        <x:f>IFERROR(C33*(E33-G33)/H33,"")</x:f>
        <x:v>0.39417640230514167</x:v>
      </x:c>
      <x:c r="J33" s="58" t="n">
        <x:f>IF(I33="","",MAX(0,MIN(100,50+20*I33)))</x:f>
        <x:v>57.88352804610283</x:v>
      </x:c>
      <x:c r="K33" s="54" t="str">
        <x:v>2026-09-24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</x:v>
      </x:c>
      <x:c r="F34" s="57" t="str">
        <x:v>百分点</x:v>
      </x:c>
      <x:c r="G34" s="56" t="n">
        <x:v>-0.012258064516129062</x:v>
      </x:c>
      <x:c r="H34" s="56" t="n">
        <x:v>0.15430827724971066</x:v>
      </x:c>
      <x:c r="I34" s="58" t="n">
        <x:f>IFERROR(C34*(E34-G34)/H34,"")</x:f>
        <x:v>0.0794388009159894</x:v>
      </x:c>
      <x:c r="J34" s="58" t="n">
        <x:f>IF(I34="","",MAX(0,MIN(100,50+20*I34)))</x:f>
        <x:v>51.58877601831979</x:v>
      </x:c>
      <x:c r="K34" s="54" t="str">
        <x:v>2026-09-24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14.21</x:v>
      </x:c>
      <x:c r="F35" s="57" t="str">
        <x:v>指数</x:v>
      </x:c>
      <x:c r="G35" s="56" t="n">
        <x:v>18.87620227729403</x:v>
      </x:c>
      <x:c r="H35" s="56" t="n">
        <x:v>5.605722526565804</x:v>
      </x:c>
      <x:c r="I35" s="58" t="n">
        <x:f>IFERROR(C35*(E35-G35)/H35,"")</x:f>
        <x:v>-0.8323997941711634</x:v>
      </x:c>
      <x:c r="J35" s="58" t="n">
        <x:f>IF(I35="","",MAX(0,MIN(100,50+20*I35)))</x:f>
        <x:v>33.35200411657674</x:v>
      </x:c>
      <x:c r="K35" s="54" t="str">
        <x:v>2026-09-22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1.2285834318684685</x:v>
      </x:c>
      <x:c r="F36" s="57" t="str">
        <x:v>%</x:v>
      </x:c>
      <x:c r="G36" s="56" t="n">
        <x:v>-3.901467110763167</x:v>
      </x:c>
      <x:c r="H36" s="56" t="n">
        <x:v>19.648216098472613</x:v>
      </x:c>
      <x:c r="I36" s="58" t="n">
        <x:f>IFERROR(C36*(E36-G36)/H36,"")</x:f>
        <x:v>0.26109497762651485</x:v>
      </x:c>
      <x:c r="J36" s="58" t="n">
        <x:f>IF(I36="","",MAX(0,MIN(100,50+20*I36)))</x:f>
        <x:v>55.221899552530296</x:v>
      </x:c>
      <x:c r="K36" s="54" t="str">
        <x:v>2026-09-18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-0.555</x:v>
      </x:c>
      <x:c r="F37" s="57" t="str">
        <x:v>指数</x:v>
      </x:c>
      <x:c r="G37" s="56" t="n">
        <x:v>-0.4300602006688966</x:v>
      </x:c>
      <x:c r="H37" s="56" t="n">
        <x:v>0.15126041942465757</x:v>
      </x:c>
      <x:c r="I37" s="58" t="n">
        <x:f>IFERROR(C37*(E37-G37)/H37,"")</x:f>
        <x:v>-0.8259913585214911</x:v>
      </x:c>
      <x:c r="J37" s="58" t="n">
        <x:f>IF(I37="","",MAX(0,MIN(100,50+20*I37)))</x:f>
        <x:v>33.48017282957018</x:v>
      </x:c>
      <x:c r="K37" s="54" t="str">
        <x:v>2026-09-18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52.15486628472387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67.34509683959806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49.00576504006303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69.16444937879773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52.15486628472387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61.4721364715207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62.13445764318282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55.99810071508169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0.7430471681940071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0.25695283180599293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39.798988115924146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40.06661536469781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40.66093538450875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41.22353651617075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41.272786468224865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40.89079004022116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39.33557430642124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44.73964465350983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39.29650644827437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59.91380048195265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67.34509683959806</x:v>
      </x:c>
      <x:c r="C6" s="58" t="n">
        <x:f>'因子引擎'!$B$43</x:f>
        <x:v>49.00576504006303</x:v>
      </x:c>
      <x:c r="D6" s="58" t="n">
        <x:f>'因子引擎'!$B$44</x:f>
        <x:v>69.16444937879773</x:v>
      </x:c>
      <x:c r="E6" s="58" t="n">
        <x:f>'因子引擎'!$B$45</x:f>
        <x:v>52.15486628472387</x:v>
      </x:c>
      <x:c r="F6" s="58" t="n">
        <x:f>MIN(100,MAX(0,(35%*B6+35%*C6+30%*D6)*(0.75+0.5*E6/100)))</x:f>
        <x:v>62.13445764318282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39.798988115924146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40.06661536469781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41.22353651617075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40.89079004022116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59.91380048195265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62.13445764318282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39.29650644827437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