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f0439ad17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c3b69a05020e4dca"/>
    <x:sheet xmlns:r="http://schemas.openxmlformats.org/officeDocument/2006/relationships" name="因子引擎" sheetId="2" r:id="R1a70c8b840774903"/>
    <x:sheet xmlns:r="http://schemas.openxmlformats.org/officeDocument/2006/relationships" name="风险资产" sheetId="3" r:id="Rd9c44d64a59248db"/>
    <x:sheet xmlns:r="http://schemas.openxmlformats.org/officeDocument/2006/relationships" name="场景与阈值" sheetId="4" r:id="Rfe04e9c96bc84c5e"/>
    <x:sheet xmlns:r="http://schemas.openxmlformats.org/officeDocument/2006/relationships" name="数据字典" sheetId="5" r:id="R45d3d496d0284b09"/>
    <x:sheet xmlns:r="http://schemas.openxmlformats.org/officeDocument/2006/relationships" name="方法与信源" sheetId="6" r:id="R775cf2a7ae544213"/>
    <x:sheet xmlns:r="http://schemas.openxmlformats.org/officeDocument/2006/relationships" name="审计" sheetId="7" r:id="R74c232aa2742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c84b4affe4291" /><Relationship Type="http://schemas.openxmlformats.org/officeDocument/2006/relationships/theme" Target="/xl/theme/theme1.xml" Id="Rbf862ea18fd74150" /><Relationship Type="http://schemas.openxmlformats.org/officeDocument/2006/relationships/sharedStrings" Target="/xl/sharedStrings.xml" Id="R34509e6e7def473f" /><Relationship Type="http://schemas.openxmlformats.org/officeDocument/2006/relationships/worksheet" Target="/xl/worksheets/sheet1.xml" Id="Rc3b69a05020e4dca" /><Relationship Type="http://schemas.openxmlformats.org/officeDocument/2006/relationships/worksheet" Target="/xl/worksheets/sheet2.xml" Id="R1a70c8b840774903" /><Relationship Type="http://schemas.openxmlformats.org/officeDocument/2006/relationships/worksheet" Target="/xl/worksheets/sheet3.xml" Id="Rd9c44d64a59248db" /><Relationship Type="http://schemas.openxmlformats.org/officeDocument/2006/relationships/worksheet" Target="/xl/worksheets/sheet4.xml" Id="Rfe04e9c96bc84c5e" /><Relationship Type="http://schemas.openxmlformats.org/officeDocument/2006/relationships/worksheet" Target="/xl/worksheets/sheet5.xml" Id="R45d3d496d0284b09" /><Relationship Type="http://schemas.openxmlformats.org/officeDocument/2006/relationships/worksheet" Target="/xl/worksheets/sheet6.xml" Id="R775cf2a7ae544213" /><Relationship Type="http://schemas.openxmlformats.org/officeDocument/2006/relationships/worksheet" Target="/xl/worksheets/sheet7.xml" Id="R74c232aa274240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c528c5115f46aa" /><Relationship Type="http://schemas.openxmlformats.org/officeDocument/2006/relationships/chart" Target="/xl/drawings/charts/chart2.xml" Id="R7ec2ee917f3d4e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invertIfNegative val="0"/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invertIfNegative val="0"/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c528c5115f46aa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c2ee917f3d4e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d8bc89a171425b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2026-10-14；官方数据经 FRED、纽约联储、BLS、DOL、EIA、Atlanta Fed 交叉核验。高分=利率/金融条件压力更大。</x:v>
      </x:c>
      <x:c r="B3" s="10" t="str">
        <x:v>当前快照截至 2026-10-14；官方数据经 FRED、纽约联储、BLS、DOL、EIA、Atlanta Fed 交叉核验。高分=利率/金融条件压力更大。</x:v>
      </x:c>
      <x:c r="C3" s="10" t="str">
        <x:v>当前快照截至 2026-10-14；官方数据经 FRED、纽约联储、BLS、DOL、EIA、Atlanta Fed 交叉核验。高分=利率/金融条件压力更大。</x:v>
      </x:c>
      <x:c r="D3" s="10" t="str">
        <x:v>当前快照截至 2026-10-14；官方数据经 FRED、纽约联储、BLS、DOL、EIA、Atlanta Fed 交叉核验。高分=利率/金融条件压力更大。</x:v>
      </x:c>
      <x:c r="E3" s="10" t="str">
        <x:v>当前快照截至 2026-10-14；官方数据经 FRED、纽约联储、BLS、DOL、EIA、Atlanta Fed 交叉核验。高分=利率/金融条件压力更大。</x:v>
      </x:c>
      <x:c r="F3" s="10" t="str">
        <x:v>当前快照截至 2026-10-14；官方数据经 FRED、纽约联储、BLS、DOL、EIA、Atlanta Fed 交叉核验。高分=利率/金融条件压力更大。</x:v>
      </x:c>
      <x:c r="G3" s="10" t="str">
        <x:v>当前快照截至 2026-10-14；官方数据经 FRED、纽约联储、BLS、DOL、EIA、Atlanta Fed 交叉核验。高分=利率/金融条件压力更大。</x:v>
      </x:c>
      <x:c r="H3" s="10" t="str">
        <x:v>当前快照截至 2026-10-14；官方数据经 FRED、纽约联储、BLS、DOL、EIA、Atlanta Fed 交叉核验。高分=利率/金融条件压力更大。</x:v>
      </x:c>
      <x:c r="I3" s="10" t="str">
        <x:v>当前快照截至 2026-10-14；官方数据经 FRED、纽约联储、BLS、DOL、EIA、Atlanta Fed 交叉核验。高分=利率/金融条件压力更大。</x:v>
      </x:c>
      <x:c r="J3" s="10" t="str">
        <x:v>当前快照截至 2026-10-14；官方数据经 FRED、纽约联储、BLS、DOL、EIA、Atlanta Fed 交叉核验。高分=利率/金融条件压力更大。</x:v>
      </x:c>
      <x:c r="K3" s="10" t="str">
        <x:v>当前快照截至 2026-10-14；官方数据经 FRED、纽约联储、BLS、DOL、EIA、Atlanta Fed 交叉核验。高分=利率/金融条件压力更大。</x:v>
      </x:c>
      <x:c r="L3" s="10" t="str">
        <x:v>当前快照截至 2026-10-14；官方数据经 FRED、纽约联储、BLS、DOL、EIA、Atlanta Fed 交叉核验。高分=利率/金融条件压力更大。</x:v>
      </x:c>
      <x:c r="M3" s="10" t="str">
        <x:v>当前快照截至 2026-10-14；官方数据经 FRED、纽约联储、BLS、DOL、EIA、Atlanta Fed 交叉核验。高分=利率/金融条件压力更大。</x:v>
      </x:c>
      <x:c r="N3" s="10" t="str">
        <x:v>当前快照截至 2026-10-14；官方数据经 FRED、纽约联储、BLS、DOL、EIA、Atlanta Fed 交叉核验。高分=利率/金融条件压力更大。</x:v>
      </x:c>
      <x:c r="O3" s="10" t="str">
        <x:v>当前快照截至 2026-10-14；官方数据经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58.29877809250063</x:v>
      </x:c>
      <x:c r="B6" s="99"/>
      <x:c r="C6" s="99"/>
      <x:c r="D6" s="99" t="n">
        <x:f>'因子引擎'!$B$43</x:f>
        <x:v>46.81147506908014</x:v>
      </x:c>
      <x:c r="E6" s="99"/>
      <x:c r="F6" s="99"/>
      <x:c r="G6" s="99" t="n">
        <x:f>'因子引擎'!$B$44</x:f>
        <x:v>76.67777879995337</x:v>
      </x:c>
      <x:c r="H6" s="99"/>
      <x:c r="I6" s="99"/>
      <x:c r="J6" s="99" t="n">
        <x:f>'因子引擎'!$B$45</x:f>
        <x:v>53.7063730206702</x:v>
      </x:c>
      <x:c r="K6" s="99"/>
      <x:c r="L6" s="99"/>
      <x:c r="M6" s="99" t="n">
        <x:f>'因子引擎'!$B$47</x:f>
        <x:v>60.899978083882196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中性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0.5142187714561656</x:v>
      </x:c>
      <x:c r="K12" s="50" t="str">
        <x:v>主导</x:v>
      </x:c>
      <x:c r="L12" s="50" t="str">
        <x:v>市场冲击占比</x:v>
      </x:c>
      <x:c r="M12" s="50" t="n">
        <x:f>'因子引擎'!$B$50</x:f>
        <x:v>0.48578122854383443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0.1200000000000001</x:v>
      </x:c>
      <x:c r="K13" s="39" t="str">
        <x:v>+47bp</x:v>
      </x:c>
      <x:c r="L13" s="39" t="str">
        <x:v>10Y实际利率20日</x:v>
      </x:c>
      <x:c r="M13" s="111" t="n">
        <x:f>'因子引擎'!$E$32</x:f>
        <x:v>0.2599999999999998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0.851455372155241</x:v>
      </x:c>
      <x:c r="K14" s="39" t="str">
        <x:v>高于5年中枢</x:v>
      </x:c>
      <x:c r="L14" s="39" t="str">
        <x:v>ACM TP 20日</x:v>
      </x:c>
      <x:c r="M14" s="111" t="n">
        <x:f>'因子引擎'!$E$29</x:f>
        <x:v>0.15838994802753903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0.40000000000000036</x:v>
      </x:c>
      <x:c r="K15" s="39" t="str">
        <x:v>+13bp</x:v>
      </x:c>
      <x:c r="L15" s="39" t="str">
        <x:v>VIX</x:v>
      </x:c>
      <x:c r="M15" s="111" t="n">
        <x:f>'因子引擎'!$E$35</x:f>
        <x:v>15.27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-0.494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58.29877809250063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46.81147506908014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76.67777879995337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53.7063730206702</x:v>
      </x:c>
      <x:c r="C23" s="39" t="str">
        <x:f>IF(B23&gt;=65,"高压",IF(B23&gt;=55,"偏紧",IF(B23&gt;=45,"中性",IF(B23&gt;=35,"偏松","宽松"))))</x:f>
        <x:v>中性</x:v>
      </x:c>
    </x:row>
    <x:row r="24" ht="24" customHeight="1">
      <x:c r="A24" s="39" t="str">
        <x:v>有效利率压力</x:v>
      </x:c>
      <x:c r="B24" s="43" t="n">
        <x:f>'因子引擎'!$B$47</x:f>
        <x:v>60.899978083882196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40.12544069857022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40.138435734209224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41.700416695452056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41.87050577218652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41.44516863308049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40.53243220393831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39.2756489489682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43.35544222611075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38.84666869781766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58.66704012725816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34d8bc89a171425b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2026-10-14。 </x:v>
      </x:c>
      <x:c r="B3" s="53" t="str">
        <x:v>名义利率 = 预期政策路径 + 通胀补偿 + 期限溢价；风险资产压力再经过市场传导门控。蓝色单元格为可更新输入。 数据截至 2026-10-14。 </x:v>
      </x:c>
      <x:c r="C3" s="53" t="str">
        <x:v>名义利率 = 预期政策路径 + 通胀补偿 + 期限溢价；风险资产压力再经过市场传导门控。蓝色单元格为可更新输入。 数据截至 2026-10-14。 </x:v>
      </x:c>
      <x:c r="D3" s="53" t="str">
        <x:v>名义利率 = 预期政策路径 + 通胀补偿 + 期限溢价；风险资产压力再经过市场传导门控。蓝色单元格为可更新输入。 数据截至 2026-10-14。 </x:v>
      </x:c>
      <x:c r="E3" s="53" t="str">
        <x:v>名义利率 = 预期政策路径 + 通胀补偿 + 期限溢价；风险资产压力再经过市场传导门控。蓝色单元格为可更新输入。 数据截至 2026-10-14。 </x:v>
      </x:c>
      <x:c r="F3" s="53" t="str">
        <x:v>名义利率 = 预期政策路径 + 通胀补偿 + 期限溢价；风险资产压力再经过市场传导门控。蓝色单元格为可更新输入。 数据截至 2026-10-14。 </x:v>
      </x:c>
      <x:c r="G3" s="53" t="str">
        <x:v>名义利率 = 预期政策路径 + 通胀补偿 + 期限溢价；风险资产压力再经过市场传导门控。蓝色单元格为可更新输入。 数据截至 2026-10-14。 </x:v>
      </x:c>
      <x:c r="H3" s="53" t="str">
        <x:v>名义利率 = 预期政策路径 + 通胀补偿 + 期限溢价；风险资产压力再经过市场传导门控。蓝色单元格为可更新输入。 数据截至 2026-10-14。 </x:v>
      </x:c>
      <x:c r="I3" s="53" t="str">
        <x:v>名义利率 = 预期政策路径 + 通胀补偿 + 期限溢价；风险资产压力再经过市场传导门控。蓝色单元格为可更新输入。 数据截至 2026-10-14。 </x:v>
      </x:c>
      <x:c r="J3" s="53" t="str">
        <x:v>名义利率 = 预期政策路径 + 通胀补偿 + 期限溢价；风险资产压力再经过市场传导门控。蓝色单元格为可更新输入。 数据截至 2026-10-14。 </x:v>
      </x:c>
      <x:c r="K3" s="53" t="str">
        <x:v>名义利率 = 预期政策路径 + 通胀补偿 + 期限溢价；风险资产压力再经过市场传导门控。蓝色单元格为可更新输入。 数据截至 2026-10-14。 </x:v>
      </x:c>
      <x:c r="L3" s="53" t="str">
        <x:v>名义利率 = 预期政策路径 + 通胀补偿 + 期限溢价；风险资产压力再经过市场传导门控。蓝色单元格为可更新输入。 数据截至 2026-10-14。 </x:v>
      </x:c>
      <x:c r="M3" s="53" t="str">
        <x:v>名义利率 = 预期政策路径 + 通胀补偿 + 期限溢价；风险资产压力再经过市场传导门控。蓝色单元格为可更新输入。 数据截至 2026-10-14。 </x:v>
      </x:c>
      <x:c r="N3" s="53" t="str">
        <x:v>名义利率 = 预期政策路径 + 通胀补偿 + 期限溢价；风险资产压力再经过市场传导门控。蓝色单元格为可更新输入。 数据截至 2026-10-14。 </x:v>
      </x:c>
      <x:c r="O3" s="53" t="str">
        <x:v>名义利率 = 预期政策路径 + 通胀补偿 + 期限溢价；风险资产压力再经过市场传导门控。蓝色单元格为可更新输入。 数据截至 2026-10-14。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0.9100000000000001</x:v>
      </x:c>
      <x:c r="F5" s="57" t="str">
        <x:v>百分点</x:v>
      </x:c>
      <x:c r="G5" s="56" t="n">
        <x:v>-0.11715517241379313</x:v>
      </x:c>
      <x:c r="H5" s="56" t="n">
        <x:v>1.0971271212424134</x:v>
      </x:c>
      <x:c r="I5" s="58" t="n">
        <x:f>IFERROR(C5*(E5-G5)/H5,"")</x:f>
        <x:v>0.9362225694052826</x:v>
      </x:c>
      <x:c r="J5" s="58" t="n">
        <x:f>IF(I5="","",MAX(0,MIN(100,50+20*I5)))</x:f>
        <x:v>68.72445138810565</x:v>
      </x:c>
      <x:c r="K5" s="54" t="str">
        <x:v>2026-10-13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0.1200000000000001</x:v>
      </x:c>
      <x:c r="F6" s="57" t="str">
        <x:v>百分点</x:v>
      </x:c>
      <x:c r="G6" s="56" t="n">
        <x:v>0.058826259946949525</x:v>
      </x:c>
      <x:c r="H6" s="56" t="n">
        <x:v>1.063035125394999</x:v>
      </x:c>
      <x:c r="I6" s="58" t="n">
        <x:f>IFERROR(C6*(E6-G6)/H6,"")</x:f>
        <x:v>0.05754630170881687</x:v>
      </x:c>
      <x:c r="J6" s="58" t="n">
        <x:f>IF(I6="","",MAX(0,MIN(100,50+20*I6)))</x:f>
        <x:v>51.15092603417634</x:v>
      </x:c>
      <x:c r="K6" s="54" t="str">
        <x:v>2026-10-13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0.0358901515151516</x:v>
      </x:c>
      <x:c r="H7" s="56" t="n">
        <x:v>0.18323908960129281</x:v>
      </x:c>
      <x:c r="I7" s="58" t="n">
        <x:f>IFERROR(C7*(E7-G7)/H7,"")</x:f>
        <x:v>-0.19586514860581572</x:v>
      </x:c>
      <x:c r="J7" s="58" t="n">
        <x:f>IF(I7="","",MAX(0,MIN(100,50+20*I7)))</x:f>
        <x:v>46.08269702788368</x:v>
      </x:c>
      <x:c r="K7" s="54" t="str">
        <x:v>2026-10-13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58.29877809250063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2.36</x:v>
      </x:c>
      <x:c r="F10" s="57" t="str">
        <x:v>%</x:v>
      </x:c>
      <x:c r="G10" s="56" t="n">
        <x:v>2.343214049039102</x:v>
      </x:c>
      <x:c r="H10" s="56" t="n">
        <x:v>0.5579758747756678</x:v>
      </x:c>
      <x:c r="I10" s="58" t="n">
        <x:f>IFERROR(C10*(E10-G10)/H10,"")</x:f>
        <x:v>0.030083650063986743</x:v>
      </x:c>
      <x:c r="J10" s="58" t="n">
        <x:f>IF(I10="","",MAX(0,MIN(100,50+20*I10)))</x:f>
        <x:v>50.601673001279735</x:v>
      </x:c>
      <x:c r="K10" s="54" t="str">
        <x:v>2026-10-14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0.009999999999999787</x:v>
      </x:c>
      <x:c r="F11" s="57" t="str">
        <x:v>百分点</x:v>
      </x:c>
      <x:c r="G11" s="56" t="n">
        <x:v>0.005811795891318761</x:v>
      </x:c>
      <x:c r="H11" s="56" t="n">
        <x:v>0.6975967320952671</x:v>
      </x:c>
      <x:c r="I11" s="58" t="n">
        <x:f>IFERROR(C11*(E11-G11)/H11,"")</x:f>
        <x:v>0.006003761078555433</x:v>
      </x:c>
      <x:c r="J11" s="58" t="n">
        <x:f>IF(I11="","",MAX(0,MIN(100,50+20*I11)))</x:f>
        <x:v>50.120075221571106</x:v>
      </x:c>
      <x:c r="K11" s="54" t="str">
        <x:v>2026-10-14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2.34</x:v>
      </x:c>
      <x:c r="F12" s="57" t="str">
        <x:v>%</x:v>
      </x:c>
      <x:c r="G12" s="56" t="n">
        <x:v>2.160775347912526</x:v>
      </x:c>
      <x:c r="H12" s="56" t="n">
        <x:v>0.46284997715754084</x:v>
      </x:c>
      <x:c r="I12" s="58" t="n">
        <x:f>IFERROR(C12*(E12-G12)/H12,"")</x:f>
        <x:v>0.3872197492330672</x:v>
      </x:c>
      <x:c r="J12" s="58" t="n">
        <x:f>IF(I12="","",MAX(0,MIN(100,50+20*I12)))</x:f>
        <x:v>57.74439498466134</x:v>
      </x:c>
      <x:c r="K12" s="54" t="str">
        <x:v>2026-10-14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52.57593037339619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198000</x:v>
      </x:c>
      <x:c r="F19" s="57" t="str">
        <x:v>人</x:v>
      </x:c>
      <x:c r="G19" s="56" t="n">
        <x:v>264694.35215946846</x:v>
      </x:c>
      <x:c r="H19" s="56" t="n">
        <x:v>129535.93781133559</x:v>
      </x:c>
      <x:c r="I19" s="58" t="n">
        <x:f>IFERROR(C19*(E19-G19)/H19,"")</x:f>
        <x:v>0.5148714193632223</x:v>
      </x:c>
      <x:c r="J19" s="58" t="n">
        <x:f>IF(I19="","",MAX(0,MIN(100,50+20*I19)))</x:f>
        <x:v>60.297428387264446</x:v>
      </x:c>
      <x:c r="K19" s="54" t="str">
        <x:v>2026-10-03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35.53562816112684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19.641969169567375</x:v>
      </x:c>
      <x:c r="F23" s="57" t="str">
        <x:v>%</x:v>
      </x:c>
      <x:c r="G23" s="56" t="n">
        <x:v>0.03865234184929262</x:v>
      </x:c>
      <x:c r="H23" s="56" t="n">
        <x:v>28.69987590646968</x:v>
      </x:c>
      <x:c r="I23" s="58" t="n">
        <x:f>IFERROR(C23*(E23-G23)/H23,"")</x:f>
        <x:v>0.6830453515410148</x:v>
      </x:c>
      <x:c r="J23" s="58" t="n">
        <x:f>IF(I23="","",MAX(0,MIN(100,50+20*I23)))</x:f>
        <x:v>63.6609070308203</x:v>
      </x:c>
      <x:c r="K23" s="54" t="str">
        <x:v>2026-10-06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53.57418272328729</x:v>
      </x:c>
      <x:c r="K24" s="64" t="str">
        <x:f>IF(J24&gt;=65,"高压",IF(J24&gt;=55,"偏紧",IF(J24&gt;=45,"中性",IF(J24&gt;=35,"偏松","宽松"))))</x:f>
        <x:v>中性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46.81147506908014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0.851455372155241</x:v>
      </x:c>
      <x:c r="F28" s="57" t="str">
        <x:v>%</x:v>
      </x:c>
      <x:c r="G28" s="56" t="n">
        <x:v>-0.05112457808738689</x:v>
      </x:c>
      <x:c r="H28" s="56" t="n">
        <x:v>0.5476896121579915</x:v>
      </x:c>
      <x:c r="I28" s="58" t="n">
        <x:f>IFERROR(C28*(E28-G28)/H28,"")</x:f>
        <x:v>1.64797712099433</x:v>
      </x:c>
      <x:c r="J28" s="58" t="n">
        <x:f>IF(I28="","",MAX(0,MIN(100,50+20*I28)))</x:f>
        <x:v>82.95954241988659</x:v>
      </x:c>
      <x:c r="K28" s="54" t="str">
        <x:v>2026-10-13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0.15838994802753903</x:v>
      </x:c>
      <x:c r="F29" s="57" t="str">
        <x:v>百分点</x:v>
      </x:c>
      <x:c r="G29" s="56" t="n">
        <x:v>0.02238479011409658</x:v>
      </x:c>
      <x:c r="H29" s="56" t="n">
        <x:v>0.2262918803633237</x:v>
      </x:c>
      <x:c r="I29" s="58" t="n">
        <x:f>IFERROR(C29*(E29-G29)/H29,"")</x:f>
        <x:v>0.6010165176721273</x:v>
      </x:c>
      <x:c r="J29" s="58" t="n">
        <x:f>IF(I29="","",MAX(0,MIN(100,50+20*I29)))</x:f>
        <x:v>62.020330353442546</x:v>
      </x:c>
      <x:c r="K29" s="54" t="str">
        <x:v>2026-10-13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76.67777879995337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0.2599999999999998</x:v>
      </x:c>
      <x:c r="F32" s="57" t="str">
        <x:v>百分点</x:v>
      </x:c>
      <x:c r="G32" s="56" t="n">
        <x:v>0.04809018567639257</x:v>
      </x:c>
      <x:c r="H32" s="56" t="n">
        <x:v>0.5129472329510478</x:v>
      </x:c>
      <x:c r="I32" s="58" t="n">
        <x:f>IFERROR(C32*(E32-G32)/H32,"")</x:f>
        <x:v>0.41312205371391575</x:v>
      </x:c>
      <x:c r="J32" s="58" t="n">
        <x:f>IF(I32="","",MAX(0,MIN(100,50+20*I32)))</x:f>
        <x:v>58.262441074278314</x:v>
      </x:c>
      <x:c r="K32" s="54" t="str">
        <x:v>2026-10-13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0.40000000000000036</x:v>
      </x:c>
      <x:c r="F33" s="57" t="str">
        <x:v>百分点</x:v>
      </x:c>
      <x:c r="G33" s="56" t="n">
        <x:v>-0.03447606727037516</x:v>
      </x:c>
      <x:c r="H33" s="56" t="n">
        <x:v>0.5352033568373857</x:v>
      </x:c>
      <x:c r="I33" s="58" t="n">
        <x:f>IFERROR(C33*(E33-G33)/H33,"")</x:f>
        <x:v>0.81179622982519</x:v>
      </x:c>
      <x:c r="J33" s="58" t="n">
        <x:f>IF(I33="","",MAX(0,MIN(100,50+20*I33)))</x:f>
        <x:v>66.23592459650379</x:v>
      </x:c>
      <x:c r="K33" s="54" t="str">
        <x:v>2026-10-13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0.029999999999999916</x:v>
      </x:c>
      <x:c r="F34" s="57" t="str">
        <x:v>百分点</x:v>
      </x:c>
      <x:c r="G34" s="56" t="n">
        <x:v>-0.01253557567917208</x:v>
      </x:c>
      <x:c r="H34" s="56" t="n">
        <x:v>0.15434228779786802</x:v>
      </x:c>
      <x:c r="I34" s="58" t="n">
        <x:f>IFERROR(C34*(E34-G34)/H34,"")</x:f>
        <x:v>0.275592491766599</x:v>
      </x:c>
      <x:c r="J34" s="58" t="n">
        <x:f>IF(I34="","",MAX(0,MIN(100,50+20*I34)))</x:f>
        <x:v>55.51184983533198</x:v>
      </x:c>
      <x:c r="K34" s="54" t="str">
        <x:v>2026-10-13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15.27</x:v>
      </x:c>
      <x:c r="F35" s="57" t="str">
        <x:v>指数</x:v>
      </x:c>
      <x:c r="G35" s="56" t="n">
        <x:v>18.84242705570291</x:v>
      </x:c>
      <x:c r="H35" s="56" t="n">
        <x:v>5.5881480490201705</x:v>
      </x:c>
      <x:c r="I35" s="58" t="n">
        <x:f>IFERROR(C35*(E35-G35)/H35,"")</x:f>
        <x:v>-0.6392864012128852</x:v>
      </x:c>
      <x:c r="J35" s="58" t="n">
        <x:f>IF(I35="","",MAX(0,MIN(100,50+20*I35)))</x:f>
        <x:v>37.21427197574229</x:v>
      </x:c>
      <x:c r="K35" s="54" t="str">
        <x:v>2026-10-13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2.8674608290486736</x:v>
      </x:c>
      <x:c r="F36" s="57" t="str">
        <x:v>%</x:v>
      </x:c>
      <x:c r="G36" s="56" t="n">
        <x:v>-3.843107270670175</x:v>
      </x:c>
      <x:c r="H36" s="56" t="n">
        <x:v>19.561548309273117</x:v>
      </x:c>
      <x:c r="I36" s="58" t="n">
        <x:f>IFERROR(C36*(E36-G36)/H36,"")</x:f>
        <x:v>0.3430489240229372</x:v>
      </x:c>
      <x:c r="J36" s="58" t="n">
        <x:f>IF(I36="","",MAX(0,MIN(100,50+20*I36)))</x:f>
        <x:v>56.86097848045874</x:v>
      </x:c>
      <x:c r="K36" s="54" t="str">
        <x:v>2026-10-09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-0.494</x:v>
      </x:c>
      <x:c r="F37" s="57" t="str">
        <x:v>指数</x:v>
      </x:c>
      <x:c r="G37" s="56" t="n">
        <x:v>-0.43021926910299024</x:v>
      </x:c>
      <x:c r="H37" s="56" t="n">
        <x:v>0.15079438018086308</x:v>
      </x:c>
      <x:c r="I37" s="58" t="n">
        <x:f>IFERROR(C37*(E37-G37)/H37,"")</x:f>
        <x:v>-0.422964906387831</x:v>
      </x:c>
      <x:c r="J37" s="58" t="n">
        <x:f>IF(I37="","",MAX(0,MIN(100,50+20*I37)))</x:f>
        <x:v>41.54070187224338</x:v>
      </x:c>
      <x:c r="K37" s="54" t="str">
        <x:v>2026-10-02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53.7063730206702</x:v>
      </x:c>
      <x:c r="K38" s="64" t="str">
        <x:f>IF(J38&gt;=65,"高压",IF(J38&gt;=55,"偏紧",IF(J38&gt;=45,"中性",IF(J38&gt;=35,"偏松","宽松"))))</x:f>
        <x:v>中性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58.29877809250063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46.81147506908014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76.67777879995337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53.7063730206702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59.79192224653928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60.899978083882196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57.83983557381913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0.5142187714561656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0.48578122854383443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40.12544069857022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40.138435734209224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41.700416695452056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41.87050577218652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41.44516863308049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40.53243220393831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39.2756489489682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43.35544222611075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38.84666869781766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58.66704012725816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58.29877809250063</x:v>
      </x:c>
      <x:c r="C6" s="58" t="n">
        <x:f>'因子引擎'!$B$43</x:f>
        <x:v>46.81147506908014</x:v>
      </x:c>
      <x:c r="D6" s="58" t="n">
        <x:f>'因子引擎'!$B$44</x:f>
        <x:v>76.67777879995337</x:v>
      </x:c>
      <x:c r="E6" s="58" t="n">
        <x:f>'因子引擎'!$B$45</x:f>
        <x:v>53.7063730206702</x:v>
      </x:c>
      <x:c r="F6" s="58" t="n">
        <x:f>MIN(100,MAX(0,(35%*B6+35%*C6+30%*D6)*(0.75+0.5*E6/100)))</x:f>
        <x:v>60.899978083882196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40.12544069857022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40.138435734209224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41.87050577218652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40.53243220393831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58.66704012725816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60.899978083882196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38.84666869781766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