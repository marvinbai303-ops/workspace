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ae20f3f12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e4f4d76ef8b348b7"/>
    <x:sheet xmlns:r="http://schemas.openxmlformats.org/officeDocument/2006/relationships" name="因子引擎" sheetId="2" r:id="R70c0be9ed9e645af"/>
    <x:sheet xmlns:r="http://schemas.openxmlformats.org/officeDocument/2006/relationships" name="风险资产" sheetId="3" r:id="R2f00e376ec89412b"/>
    <x:sheet xmlns:r="http://schemas.openxmlformats.org/officeDocument/2006/relationships" name="场景与阈值" sheetId="4" r:id="R78832e063adc47f3"/>
    <x:sheet xmlns:r="http://schemas.openxmlformats.org/officeDocument/2006/relationships" name="数据字典" sheetId="5" r:id="Rc435d777cd4c42b0"/>
    <x:sheet xmlns:r="http://schemas.openxmlformats.org/officeDocument/2006/relationships" name="方法与信源" sheetId="6" r:id="R2484796737584f35"/>
    <x:sheet xmlns:r="http://schemas.openxmlformats.org/officeDocument/2006/relationships" name="审计" sheetId="7" r:id="R6f6c6938cf014b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  <x:diagonal/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9c707b2a74409" /><Relationship Type="http://schemas.openxmlformats.org/officeDocument/2006/relationships/theme" Target="/xl/theme/theme1.xml" Id="Ree51502f7f4d43ee" /><Relationship Type="http://schemas.openxmlformats.org/officeDocument/2006/relationships/sharedStrings" Target="/xl/sharedStrings.xml" Id="Rc641e5f8b8c84766" /><Relationship Type="http://schemas.openxmlformats.org/officeDocument/2006/relationships/worksheet" Target="/xl/worksheets/sheet1.xml" Id="Re4f4d76ef8b348b7" /><Relationship Type="http://schemas.openxmlformats.org/officeDocument/2006/relationships/worksheet" Target="/xl/worksheets/sheet2.xml" Id="R70c0be9ed9e645af" /><Relationship Type="http://schemas.openxmlformats.org/officeDocument/2006/relationships/worksheet" Target="/xl/worksheets/sheet3.xml" Id="R2f00e376ec89412b" /><Relationship Type="http://schemas.openxmlformats.org/officeDocument/2006/relationships/worksheet" Target="/xl/worksheets/sheet4.xml" Id="R78832e063adc47f3" /><Relationship Type="http://schemas.openxmlformats.org/officeDocument/2006/relationships/worksheet" Target="/xl/worksheets/sheet5.xml" Id="Rc435d777cd4c42b0" /><Relationship Type="http://schemas.openxmlformats.org/officeDocument/2006/relationships/worksheet" Target="/xl/worksheets/sheet6.xml" Id="R2484796737584f35" /><Relationship Type="http://schemas.openxmlformats.org/officeDocument/2006/relationships/worksheet" Target="/xl/worksheets/sheet7.xml" Id="R6f6c6938cf014b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a0d9f96026448d" /><Relationship Type="http://schemas.openxmlformats.org/officeDocument/2006/relationships/chart" Target="/xl/drawings/charts/chart2.xml" Id="R640023285cbc4a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invertIfNegative val="0"/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a0d9f96026448d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0023285cbc4af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057fb4ed8f4b02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2026-10-22；官方数据经 FRED、纽约联储、BLS、DOL、EIA、Atlanta Fed 交叉核验。高分=利率/金融条件压力更大。</x:v>
      </x:c>
      <x:c r="B3" s="10" t="str">
        <x:v>当前快照截至 2026-10-22；官方数据经 FRED、纽约联储、BLS、DOL、EIA、Atlanta Fed 交叉核验。高分=利率/金融条件压力更大。</x:v>
      </x:c>
      <x:c r="C3" s="10" t="str">
        <x:v>当前快照截至 2026-10-22；官方数据经 FRED、纽约联储、BLS、DOL、EIA、Atlanta Fed 交叉核验。高分=利率/金融条件压力更大。</x:v>
      </x:c>
      <x:c r="D3" s="10" t="str">
        <x:v>当前快照截至 2026-10-22；官方数据经 FRED、纽约联储、BLS、DOL、EIA、Atlanta Fed 交叉核验。高分=利率/金融条件压力更大。</x:v>
      </x:c>
      <x:c r="E3" s="10" t="str">
        <x:v>当前快照截至 2026-10-22；官方数据经 FRED、纽约联储、BLS、DOL、EIA、Atlanta Fed 交叉核验。高分=利率/金融条件压力更大。</x:v>
      </x:c>
      <x:c r="F3" s="10" t="str">
        <x:v>当前快照截至 2026-10-22；官方数据经 FRED、纽约联储、BLS、DOL、EIA、Atlanta Fed 交叉核验。高分=利率/金融条件压力更大。</x:v>
      </x:c>
      <x:c r="G3" s="10" t="str">
        <x:v>当前快照截至 2026-10-22；官方数据经 FRED、纽约联储、BLS、DOL、EIA、Atlanta Fed 交叉核验。高分=利率/金融条件压力更大。</x:v>
      </x:c>
      <x:c r="H3" s="10" t="str">
        <x:v>当前快照截至 2026-10-22；官方数据经 FRED、纽约联储、BLS、DOL、EIA、Atlanta Fed 交叉核验。高分=利率/金融条件压力更大。</x:v>
      </x:c>
      <x:c r="I3" s="10" t="str">
        <x:v>当前快照截至 2026-10-22；官方数据经 FRED、纽约联储、BLS、DOL、EIA、Atlanta Fed 交叉核验。高分=利率/金融条件压力更大。</x:v>
      </x:c>
      <x:c r="J3" s="10" t="str">
        <x:v>当前快照截至 2026-10-22；官方数据经 FRED、纽约联储、BLS、DOL、EIA、Atlanta Fed 交叉核验。高分=利率/金融条件压力更大。</x:v>
      </x:c>
      <x:c r="K3" s="10" t="str">
        <x:v>当前快照截至 2026-10-22；官方数据经 FRED、纽约联储、BLS、DOL、EIA、Atlanta Fed 交叉核验。高分=利率/金融条件压力更大。</x:v>
      </x:c>
      <x:c r="L3" s="10" t="str">
        <x:v>当前快照截至 2026-10-22；官方数据经 FRED、纽约联储、BLS、DOL、EIA、Atlanta Fed 交叉核验。高分=利率/金融条件压力更大。</x:v>
      </x:c>
      <x:c r="M3" s="10" t="str">
        <x:v>当前快照截至 2026-10-22；官方数据经 FRED、纽约联储、BLS、DOL、EIA、Atlanta Fed 交叉核验。高分=利率/金融条件压力更大。</x:v>
      </x:c>
      <x:c r="N3" s="10" t="str">
        <x:v>当前快照截至 2026-10-22；官方数据经 FRED、纽约联储、BLS、DOL、EIA、Atlanta Fed 交叉核验。高分=利率/金融条件压力更大。</x:v>
      </x:c>
      <x:c r="O3" s="10" t="str">
        <x:v>当前快照截至 2026-10-22；官方数据经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57.22829360240057</x:v>
      </x:c>
      <x:c r="B6" s="99"/>
      <x:c r="C6" s="99"/>
      <x:c r="D6" s="99" t="n">
        <x:f>'因子引擎'!$B$43</x:f>
        <x:v>49.95917150829179</x:v>
      </x:c>
      <x:c r="E6" s="99"/>
      <x:c r="F6" s="99"/>
      <x:c r="G6" s="99" t="n">
        <x:f>'因子引擎'!$B$44</x:f>
        <x:v>72.8049594006678</x:v>
      </x:c>
      <x:c r="H6" s="99"/>
      <x:c r="I6" s="99"/>
      <x:c r="J6" s="99" t="n">
        <x:f>'因子引擎'!$B$45</x:f>
        <x:v>53.73195428302721</x:v>
      </x:c>
      <x:c r="K6" s="99"/>
      <x:c r="L6" s="99"/>
      <x:c r="M6" s="99" t="n">
        <x:f>'因子引擎'!$B$47</x:f>
        <x:v>60.46469053817076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偏紧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混合状态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0.47639071404866157</x:v>
      </x:c>
      <x:c r="K12" s="50" t="str">
        <x:v>主导</x:v>
      </x:c>
      <x:c r="L12" s="50" t="str">
        <x:v>市场冲击占比</x:v>
      </x:c>
      <x:c r="M12" s="50" t="n">
        <x:f>'因子引擎'!$B$50</x:f>
        <x:v>0.5236092859513384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-0.040000000000000036</x:v>
      </x:c>
      <x:c r="K13" s="39" t="str">
        <x:v>+47bp</x:v>
      </x:c>
      <x:c r="L13" s="39" t="str">
        <x:v>10Y实际利率20日</x:v>
      </x:c>
      <x:c r="M13" s="111" t="n">
        <x:f>'因子引擎'!$E$32</x:f>
        <x:v>0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0.718008053968759</x:v>
      </x:c>
      <x:c r="K14" s="39" t="str">
        <x:v>高于5年中枢</x:v>
      </x:c>
      <x:c r="L14" s="39" t="str">
        <x:v>ACM TP 20日</x:v>
      </x:c>
      <x:c r="M14" s="111" t="n">
        <x:f>'因子引擎'!$E$29</x:f>
        <x:v>0.14629031404763104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0.54</x:v>
      </x:c>
      <x:c r="K15" s="39" t="str">
        <x:v>+13bp</x:v>
      </x:c>
      <x:c r="L15" s="39" t="str">
        <x:v>VIX</x:v>
      </x:c>
      <x:c r="M15" s="111" t="n">
        <x:f>'因子引擎'!$E$35</x:f>
        <x:v>16.68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-0.496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57.22829360240057</x:v>
      </x:c>
      <x:c r="C20" s="39" t="str">
        <x:f>IF(B20&gt;=65,"高压",IF(B20&gt;=55,"偏紧",IF(B20&gt;=45,"中性",IF(B20&gt;=35,"偏松","宽松"))))</x:f>
        <x:v>偏紧</x:v>
      </x:c>
    </x:row>
    <x:row r="21" ht="24" customHeight="1">
      <x:c r="A21" s="39" t="str">
        <x:v>通胀预期</x:v>
      </x:c>
      <x:c r="B21" s="43" t="n">
        <x:f>'因子引擎'!$B$43</x:f>
        <x:v>49.95917150829179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72.8049594006678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53.73195428302721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60.46469053817076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40.78190734974757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40.8430394023309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42.258986122741376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42.38848017160706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41.951299318883656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42.65079341806066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40.764492188550186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45.78407918986468</x:v>
      </x:c>
      <x:c r="C36" s="39" t="str">
        <x:f>'风险资产'!$G$13</x:f>
        <x:v>中性</x:v>
      </x:c>
    </x:row>
    <x:row r="37" ht="24" customHeight="1">
      <x:c r="A37" s="39" t="str">
        <x:v>美国长债</x:v>
      </x:c>
      <x:c r="B37" s="43" t="n">
        <x:f>'风险资产'!$F$14</x:f>
        <x:v>39.619700514709706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58.06173864479713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27057fb4ed8f4b02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2026-10-22。 </x:v>
      </x:c>
      <x:c r="B3" s="53" t="str">
        <x:v>名义利率 = 预期政策路径 + 通胀补偿 + 期限溢价；风险资产压力再经过市场传导门控。蓝色单元格为可更新输入。 数据截至 2026-10-22。 </x:v>
      </x:c>
      <x:c r="C3" s="53" t="str">
        <x:v>名义利率 = 预期政策路径 + 通胀补偿 + 期限溢价；风险资产压力再经过市场传导门控。蓝色单元格为可更新输入。 数据截至 2026-10-22。 </x:v>
      </x:c>
      <x:c r="D3" s="53" t="str">
        <x:v>名义利率 = 预期政策路径 + 通胀补偿 + 期限溢价；风险资产压力再经过市场传导门控。蓝色单元格为可更新输入。 数据截至 2026-10-22。 </x:v>
      </x:c>
      <x:c r="E3" s="53" t="str">
        <x:v>名义利率 = 预期政策路径 + 通胀补偿 + 期限溢价；风险资产压力再经过市场传导门控。蓝色单元格为可更新输入。 数据截至 2026-10-22。 </x:v>
      </x:c>
      <x:c r="F3" s="53" t="str">
        <x:v>名义利率 = 预期政策路径 + 通胀补偿 + 期限溢价；风险资产压力再经过市场传导门控。蓝色单元格为可更新输入。 数据截至 2026-10-22。 </x:v>
      </x:c>
      <x:c r="G3" s="53" t="str">
        <x:v>名义利率 = 预期政策路径 + 通胀补偿 + 期限溢价；风险资产压力再经过市场传导门控。蓝色单元格为可更新输入。 数据截至 2026-10-22。 </x:v>
      </x:c>
      <x:c r="H3" s="53" t="str">
        <x:v>名义利率 = 预期政策路径 + 通胀补偿 + 期限溢价；风险资产压力再经过市场传导门控。蓝色单元格为可更新输入。 数据截至 2026-10-22。 </x:v>
      </x:c>
      <x:c r="I3" s="53" t="str">
        <x:v>名义利率 = 预期政策路径 + 通胀补偿 + 期限溢价；风险资产压力再经过市场传导门控。蓝色单元格为可更新输入。 数据截至 2026-10-22。 </x:v>
      </x:c>
      <x:c r="J3" s="53" t="str">
        <x:v>名义利率 = 预期政策路径 + 通胀补偿 + 期限溢价；风险资产压力再经过市场传导门控。蓝色单元格为可更新输入。 数据截至 2026-10-22。 </x:v>
      </x:c>
      <x:c r="K3" s="53" t="str">
        <x:v>名义利率 = 预期政策路径 + 通胀补偿 + 期限溢价；风险资产压力再经过市场传导门控。蓝色单元格为可更新输入。 数据截至 2026-10-22。 </x:v>
      </x:c>
      <x:c r="L3" s="53" t="str">
        <x:v>名义利率 = 预期政策路径 + 通胀补偿 + 期限溢价；风险资产压力再经过市场传导门控。蓝色单元格为可更新输入。 数据截至 2026-10-22。 </x:v>
      </x:c>
      <x:c r="M3" s="53" t="str">
        <x:v>名义利率 = 预期政策路径 + 通胀补偿 + 期限溢价；风险资产压力再经过市场传导门控。蓝色单元格为可更新输入。 数据截至 2026-10-22。 </x:v>
      </x:c>
      <x:c r="N3" s="53" t="str">
        <x:v>名义利率 = 预期政策路径 + 通胀补偿 + 期限溢价；风险资产压力再经过市场传导门控。蓝色单元格为可更新输入。 数据截至 2026-10-22。 </x:v>
      </x:c>
      <x:c r="O3" s="53" t="str">
        <x:v>名义利率 = 预期政策路径 + 通胀补偿 + 期限溢价；风险资产压力再经过市场传导门控。蓝色单元格为可更新输入。 数据截至 2026-10-22。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0.9299999999999997</x:v>
      </x:c>
      <x:c r="F5" s="57" t="str">
        <x:v>百分点</x:v>
      </x:c>
      <x:c r="G5" s="56" t="n">
        <x:v>-0.11311096433289304</x:v>
      </x:c>
      <x:c r="H5" s="56" t="n">
        <x:v>1.0968276213864914</x:v>
      </x:c>
      <x:c r="I5" s="58" t="n">
        <x:f>IFERROR(C5*(E5-G5)/H5,"")</x:f>
        <x:v>0.9510254337088122</x:v>
      </x:c>
      <x:c r="J5" s="58" t="n">
        <x:f>IF(I5="","",MAX(0,MIN(100,50+20*I5)))</x:f>
        <x:v>69.02050867417624</x:v>
      </x:c>
      <x:c r="K5" s="54" t="str">
        <x:v>2026-10-21</x:v>
      </x:c>
      <x:c r="L5" s="54" t="n">
        <x:v>5</x:v>
      </x:c>
      <x:c r="M5" s="54" t="n">
        <x:v>4</x:v>
      </x:c>
      <x:c r="N5" s="54" t="str">
        <x:v>2Y与有效联邦基金利率之差，包含2Y期限溢价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-0.040000000000000036</x:v>
      </x:c>
      <x:c r="F6" s="57" t="str">
        <x:v>百分点</x:v>
      </x:c>
      <x:c r="G6" s="56" t="n">
        <x:v>0.0587318361955085</x:v>
      </x:c>
      <x:c r="H6" s="56" t="n">
        <x:v>1.060931752358709</x:v>
      </x:c>
      <x:c r="I6" s="58" t="n">
        <x:f>IFERROR(C6*(E6-G6)/H6,"")</x:f>
        <x:v>-0.0930614396034464</x:v>
      </x:c>
      <x:c r="J6" s="58" t="n">
        <x:f>IF(I6="","",MAX(0,MIN(100,50+20*I6)))</x:f>
        <x:v>48.13877120793107</x:v>
      </x:c>
      <x:c r="K6" s="54" t="str">
        <x:v>2026-10-21</x:v>
      </x:c>
      <x:c r="L6" s="54" t="n">
        <x:v>5</x:v>
      </x:c>
      <x:c r="M6" s="54" t="n">
        <x:v>4</x:v>
      </x:c>
      <x:c r="N6" s="54" t="str">
        <x:v>捕捉政策路径重定价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</x:v>
      </x:c>
      <x:c r="F7" s="57" t="str">
        <x:v>百分点</x:v>
      </x:c>
      <x:c r="G7" s="56" t="n">
        <x:v>0.035754716981132154</x:v>
      </x:c>
      <x:c r="H7" s="56" t="n">
        <x:v>0.18290610940425073</x:v>
      </x:c>
      <x:c r="I7" s="58" t="n">
        <x:f>IFERROR(C7*(E7-G7)/H7,"")</x:f>
        <x:v>-0.1954812613837229</x:v>
      </x:c>
      <x:c r="J7" s="58" t="n">
        <x:f>IF(I7="","",MAX(0,MIN(100,50+20*I7)))</x:f>
        <x:v>46.09037477232554</x:v>
      </x:c>
      <x:c r="K7" s="54" t="str">
        <x:v>2026-10-21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57.22829360240057</x:v>
      </x:c>
      <x:c r="K8" s="64" t="str">
        <x:f>IF(J8&gt;=65,"高压",IF(J8&gt;=55,"偏紧",IF(J8&gt;=45,"中性",IF(J8&gt;=35,"偏松","宽松"))))</x:f>
        <x:v>偏紧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2.45</x:v>
      </x:c>
      <x:c r="F10" s="57" t="str">
        <x:v>%</x:v>
      </x:c>
      <x:c r="G10" s="56" t="n">
        <x:v>2.3433861386138646</x:v>
      </x:c>
      <x:c r="H10" s="56" t="n">
        <x:v>0.556880422733508</x:v>
      </x:c>
      <x:c r="I10" s="58" t="n">
        <x:f>IFERROR(C10*(E10-G10)/H10,"")</x:f>
        <x:v>0.19144839185189863</x:v>
      </x:c>
      <x:c r="J10" s="58" t="n">
        <x:f>IF(I10="","",MAX(0,MIN(100,50+20*I10)))</x:f>
        <x:v>53.82896783703797</x:v>
      </x:c>
      <x:c r="K10" s="54" t="str">
        <x:v>2026-10-22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0.1200000000000001</x:v>
      </x:c>
      <x:c r="F11" s="57" t="str">
        <x:v>百分点</x:v>
      </x:c>
      <x:c r="G11" s="56" t="n">
        <x:v>0.006033003300330041</x:v>
      </x:c>
      <x:c r="H11" s="56" t="n">
        <x:v>0.6962248922778974</x:v>
      </x:c>
      <x:c r="I11" s="58" t="n">
        <x:f>IFERROR(C11*(E11-G11)/H11,"")</x:f>
        <x:v>0.1636927923200141</x:v>
      </x:c>
      <x:c r="J11" s="58" t="n">
        <x:f>IF(I11="","",MAX(0,MIN(100,50+20*I11)))</x:f>
        <x:v>53.27385584640028</x:v>
      </x:c>
      <x:c r="K11" s="54" t="str">
        <x:v>2026-10-22</x:v>
      </x:c>
      <x:c r="L11" s="54" t="n">
        <x:v>5</x:v>
      </x:c>
      <x:c r="M11" s="54" t="n">
        <x:v>3</x:v>
      </x:c>
      <x:c r="N11" s="54" t="str">
        <x:v>适合看边际再定价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2.19</x:v>
      </x:c>
      <x:c r="F12" s="57" t="str">
        <x:v>%</x:v>
      </x:c>
      <x:c r="G12" s="56" t="n">
        <x:v>2.1613267326732686</x:v>
      </x:c>
      <x:c r="H12" s="56" t="n">
        <x:v>0.4620256025114206</x:v>
      </x:c>
      <x:c r="I12" s="58" t="n">
        <x:f>IFERROR(C12*(E12-G12)/H12,"")</x:f>
        <x:v>0.06205991003717722</x:v>
      </x:c>
      <x:c r="J12" s="58" t="n">
        <x:f>IF(I12="","",MAX(0,MIN(100,50+20*I12)))</x:f>
        <x:v>51.24119820074355</x:v>
      </x:c>
      <x:c r="K12" s="54" t="str">
        <x:v>2026-10-22</x:v>
      </x:c>
      <x:c r="L12" s="54" t="n">
        <x:v>5</x:v>
      </x:c>
      <x:c r="M12" s="54" t="n">
        <x:v>3</x:v>
      </x:c>
      <x:c r="N12" s="54" t="str">
        <x:v>长期通胀锚，含风险与流动性成分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52.85834774942646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3.0245231607629375</x:v>
      </x:c>
      <x:c r="F15" s="57" t="str">
        <x:v>%</x:v>
      </x:c>
      <x:c r="G15" s="56" t="n">
        <x:v>4.286117534594615</x:v>
      </x:c>
      <x:c r="H15" s="56" t="n">
        <x:v>0.8540343631541617</x:v>
      </x:c>
      <x:c r="I15" s="58" t="n">
        <x:f>IFERROR(C15*(E15-G15)/H15,"")</x:f>
        <x:v>-1.4772173442439656</x:v>
      </x:c>
      <x:c r="J15" s="58" t="n">
        <x:f>IF(I15="","",MAX(0,MIN(100,50+20*I15)))</x:f>
        <x:v>20.45565311512069</x:v>
      </x:c>
      <x:c r="K15" s="54" t="str">
        <x:v>2026-09-01</x:v>
      </x:c>
      <x:c r="L15" s="54" t="n">
        <x:v>5</x:v>
      </x:c>
      <x:c r="M15" s="54" t="n">
        <x:v>3</x:v>
      </x:c>
      <x:c r="N15" s="54" t="str">
        <x:v>平均时薪同比；CES会月度及年度修订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3.9</x:v>
      </x:c>
      <x:c r="F16" s="57" t="str">
        <x:v>%</x:v>
      </x:c>
      <x:c r="G16" s="56" t="n">
        <x:v>4.776470588235295</x:v>
      </x:c>
      <x:c r="H16" s="56" t="n">
        <x:v>1.0237650218763872</x:v>
      </x:c>
      <x:c r="I16" s="58" t="n">
        <x:f>IFERROR(C16*(E16-G16)/H16,"")</x:f>
        <x:v>-0.8561247644785456</x:v>
      </x:c>
      <x:c r="J16" s="58" t="n">
        <x:f>IF(I16="","",MAX(0,MIN(100,50+20*I16)))</x:f>
        <x:v>32.87750471042909</x:v>
      </x:c>
      <x:c r="K16" s="54" t="str">
        <x:v>2026-09-01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4.2</x:v>
      </x:c>
      <x:c r="F17" s="57" t="str">
        <x:v>%</x:v>
      </x:c>
      <x:c r="G17" s="56" t="n">
        <x:v>4.128985507246377</x:v>
      </x:c>
      <x:c r="H17" s="56" t="n">
        <x:v>0.862469342895114</x:v>
      </x:c>
      <x:c r="I17" s="58" t="n">
        <x:f>IFERROR(C17*(E17-G17)/H17,"")</x:f>
        <x:v>-0.08233857045311783</x:v>
      </x:c>
      <x:c r="J17" s="58" t="n">
        <x:f>IF(I17="","",MAX(0,MIN(100,50+20*I17)))</x:f>
        <x:v>48.35322859093765</x:v>
      </x:c>
      <x:c r="K17" s="54" t="str">
        <x:v>2026-09-01</x:v>
      </x:c>
      <x:c r="L17" s="54" t="n">
        <x:v>5</x:v>
      </x:c>
      <x:c r="M17" s="54" t="n">
        <x:v>4</x:v>
      </x:c>
      <x:c r="N17" s="54" t="str">
        <x:v>家庭调查月频；单月变化需谨慎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7079</x:v>
      </x:c>
      <x:c r="F18" s="57" t="str">
        <x:v>千人</x:v>
      </x:c>
      <x:c r="G18" s="56" t="n">
        <x:v>8822.54411764706</x:v>
      </x:c>
      <x:c r="H18" s="56" t="n">
        <x:v>1702.9875367316663</x:v>
      </x:c>
      <x:c r="I18" s="58" t="n">
        <x:f>IFERROR(C18*(E18-G18)/H18,"")</x:f>
        <x:v>-1.0238149604977311</x:v>
      </x:c>
      <x:c r="J18" s="58" t="n">
        <x:f>IF(I18="","",MAX(0,MIN(100,50+20*I18)))</x:f>
        <x:v>29.52370079004538</x:v>
      </x:c>
      <x:c r="K18" s="54" t="str">
        <x:v>2026-08-01</x:v>
      </x:c>
      <x:c r="L18" s="54" t="n">
        <x:v>5</x:v>
      </x:c>
      <x:c r="M18" s="54" t="n">
        <x:v>3</x:v>
      </x:c>
      <x:c r="N18" s="54" t="str">
        <x:v>约1个月滞后，月度与年度修订较大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197750</x:v>
      </x:c>
      <x:c r="F19" s="57" t="str">
        <x:v>人</x:v>
      </x:c>
      <x:c r="G19" s="56" t="n">
        <x:v>264256.600660066</x:v>
      </x:c>
      <x:c r="H19" s="56" t="n">
        <x:v>129218.31482708087</x:v>
      </x:c>
      <x:c r="I19" s="58" t="n">
        <x:f>IFERROR(C19*(E19-G19)/H19,"")</x:f>
        <x:v>0.5146840116980687</x:v>
      </x:c>
      <x:c r="J19" s="58" t="n">
        <x:f>IF(I19="","",MAX(0,MIN(100,50+20*I19)))</x:f>
        <x:v>60.293680233961375</x:v>
      </x:c>
      <x:c r="K19" s="54" t="str">
        <x:v>2026-10-17</x:v>
      </x:c>
      <x:c r="L19" s="54" t="n">
        <x:v>5</x:v>
      </x:c>
      <x:c r="M19" s="54" t="n">
        <x:v>4</x:v>
      </x:c>
      <x:c r="N19" s="54" t="str">
        <x:v>周频四周均值；受季调、假期与州级申报扰动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35.535065938131375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3.3810311253439362</x:v>
      </x:c>
      <x:c r="F22" s="57" t="str">
        <x:v>%</x:v>
      </x:c>
      <x:c r="G22" s="56" t="n">
        <x:v>1.7052917625095732</x:v>
      </x:c>
      <x:c r="H22" s="56" t="n">
        <x:v>3.23770758860311</x:v>
      </x:c>
      <x:c r="I22" s="58" t="n">
        <x:f>IFERROR(C22*(E22-G22)/H22,"")</x:f>
        <x:v>0.5175697054091754</x:v>
      </x:c>
      <x:c r="J22" s="58" t="n">
        <x:f>IF(I22="","",MAX(0,MIN(100,50+20*I22)))</x:f>
        <x:v>60.351394108183506</x:v>
      </x:c>
      <x:c r="K22" s="54" t="str">
        <x:v>2026-09-01</x:v>
      </x:c>
      <x:c r="L22" s="54" t="n">
        <x:v>5</x:v>
      </x:c>
      <x:c r="M22" s="54" t="n">
        <x:v>4</x:v>
      </x:c>
      <x:c r="N22" s="54" t="str">
        <x:v>广谱上游价格三个月变化，不等于最终消费价格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33.345692745025346</x:v>
      </x:c>
      <x:c r="F23" s="57" t="str">
        <x:v>%</x:v>
      </x:c>
      <x:c r="G23" s="56" t="n">
        <x:v>0.1672936971689474</x:v>
      </x:c>
      <x:c r="H23" s="56" t="n">
        <x:v>28.649142075049937</x:v>
      </x:c>
      <x:c r="I23" s="58" t="n">
        <x:f>IFERROR(C23*(E23-G23)/H23,"")</x:f>
        <x:v>1.1580939827427124</x:v>
      </x:c>
      <x:c r="J23" s="58" t="n">
        <x:f>IF(I23="","",MAX(0,MIN(100,50+20*I23)))</x:f>
        <x:v>73.16187965485425</x:v>
      </x:c>
      <x:c r="K23" s="54" t="str">
        <x:v>2026-10-20</x:v>
      </x:c>
      <x:c r="L23" s="54" t="n">
        <x:v>5</x:v>
      </x:c>
      <x:c r="M23" s="54" t="n">
        <x:v>5</x:v>
      </x:c>
      <x:c r="N23" s="54" t="str">
        <x:v>高频能源价格变化，不能代表核心服务通胀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68.6782097135195</x:v>
      </x:c>
      <x:c r="K24" s="64" t="str">
        <x:f>IF(J24&gt;=65,"高压",IF(J24&gt;=55,"偏紧",IF(J24&gt;=45,"中性",IF(J24&gt;=35,"偏松","宽松"))))</x:f>
        <x:v>高压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49.95917150829179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0.718008053968759</x:v>
      </x:c>
      <x:c r="F28" s="57" t="str">
        <x:v>%</x:v>
      </x:c>
      <x:c r="G28" s="56" t="n">
        <x:v>-0.0477707425113568</x:v>
      </x:c>
      <x:c r="H28" s="56" t="n">
        <x:v>0.5490338459384495</x:v>
      </x:c>
      <x:c r="I28" s="58" t="n">
        <x:f>IFERROR(C28*(E28-G28)/H28,"")</x:f>
        <x:v>1.394775207658081</x:v>
      </x:c>
      <x:c r="J28" s="58" t="n">
        <x:f>IF(I28="","",MAX(0,MIN(100,50+20*I28)))</x:f>
        <x:v>77.89550415316162</x:v>
      </x:c>
      <x:c r="K28" s="54" t="str">
        <x:v>2026-10-21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0.14629031404763104</x:v>
      </x:c>
      <x:c r="F29" s="57" t="str">
        <x:v>百分点</x:v>
      </x:c>
      <x:c r="G29" s="56" t="n">
        <x:v>0.022845130102360126</x:v>
      </x:c>
      <x:c r="H29" s="56" t="n">
        <x:v>0.2259447962262693</x:v>
      </x:c>
      <x:c r="I29" s="58" t="n">
        <x:f>IFERROR(C29*(E29-G29)/H29,"")</x:f>
        <x:v>0.5463510822424449</x:v>
      </x:c>
      <x:c r="J29" s="58" t="n">
        <x:f>IF(I29="","",MAX(0,MIN(100,50+20*I29)))</x:f>
        <x:v>60.9270216448489</x:v>
      </x:c>
      <x:c r="K29" s="54" t="str">
        <x:v>2026-10-21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72.8049594006678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</x:v>
      </x:c>
      <x:c r="F32" s="57" t="str">
        <x:v>百分点</x:v>
      </x:c>
      <x:c r="G32" s="56" t="n">
        <x:v>0.04836856010568032</x:v>
      </x:c>
      <x:c r="H32" s="56" t="n">
        <x:v>0.5119650144654966</x:v>
      </x:c>
      <x:c r="I32" s="58" t="n">
        <x:f>IFERROR(C32*(E32-G32)/H32,"")</x:f>
        <x:v>-0.09447629962797013</x:v>
      </x:c>
      <x:c r="J32" s="58" t="n">
        <x:f>IF(I32="","",MAX(0,MIN(100,50+20*I32)))</x:f>
        <x:v>48.1104740074406</x:v>
      </x:c>
      <x:c r="K32" s="54" t="str">
        <x:v>2026-10-21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0.54</x:v>
      </x:c>
      <x:c r="F33" s="57" t="str">
        <x:v>百分点</x:v>
      </x:c>
      <x:c r="G33" s="56" t="n">
        <x:v>-0.027441860465116222</x:v>
      </x:c>
      <x:c r="H33" s="56" t="n">
        <x:v>0.5368757964435378</x:v>
      </x:c>
      <x:c r="I33" s="58" t="n">
        <x:f>IFERROR(C33*(E33-G33)/H33,"")</x:f>
        <x:v>1.0569332129033555</x:v>
      </x:c>
      <x:c r="J33" s="58" t="n">
        <x:f>IF(I33="","",MAX(0,MIN(100,50+20*I33)))</x:f>
        <x:v>71.13866425806711</x:v>
      </x:c>
      <x:c r="K33" s="54" t="str">
        <x:v>2026-10-21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0.10999999999999999</x:v>
      </x:c>
      <x:c r="F34" s="57" t="str">
        <x:v>百分点</x:v>
      </x:c>
      <x:c r="G34" s="56" t="n">
        <x:v>-0.011395348837209334</x:v>
      </x:c>
      <x:c r="H34" s="56" t="n">
        <x:v>0.1543801738038932</x:v>
      </x:c>
      <x:c r="I34" s="58" t="n">
        <x:f>IFERROR(C34*(E34-G34)/H34,"")</x:f>
        <x:v>0.7863402783275525</x:v>
      </x:c>
      <x:c r="J34" s="58" t="n">
        <x:f>IF(I34="","",MAX(0,MIN(100,50+20*I34)))</x:f>
        <x:v>65.72680556655105</x:v>
      </x:c>
      <x:c r="K34" s="54" t="str">
        <x:v>2026-10-21</x:v>
      </x:c>
      <x:c r="L34" s="54" t="n">
        <x:v>5</x:v>
      </x:c>
      <x:c r="M34" s="54" t="n">
        <x:v>5</x:v>
      </x:c>
      <x:c r="N34" s="54" t="str">
        <x:v>投资级信用条件确认指标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16.68</x:v>
      </x:c>
      <x:c r="F35" s="57" t="str">
        <x:v>指数</x:v>
      </x:c>
      <x:c r="G35" s="56" t="n">
        <x:v>18.837602377807123</x:v>
      </x:c>
      <x:c r="H35" s="56" t="n">
        <x:v>5.578125308215269</x:v>
      </x:c>
      <x:c r="I35" s="58" t="n">
        <x:f>IFERROR(C35*(E35-G35)/H35,"")</x:f>
        <x:v>-0.3867970435568167</x:v>
      </x:c>
      <x:c r="J35" s="58" t="n">
        <x:f>IF(I35="","",MAX(0,MIN(100,50+20*I35)))</x:f>
        <x:v>42.264059128863664</x:v>
      </x:c>
      <x:c r="K35" s="54" t="str">
        <x:v>2026-10-21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1.5826690418555778</x:v>
      </x:c>
      <x:c r="F36" s="57" t="str">
        <x:v>%</x:v>
      </x:c>
      <x:c r="G36" s="56" t="n">
        <x:v>-3.8932762266238274</x:v>
      </x:c>
      <x:c r="H36" s="56" t="n">
        <x:v>19.693125027432618</x:v>
      </x:c>
      <x:c r="I36" s="58" t="n">
        <x:f>IFERROR(C36*(E36-G36)/H36,"")</x:f>
        <x:v>0.2780638045435342</x:v>
      </x:c>
      <x:c r="J36" s="58" t="n">
        <x:f>IF(I36="","",MAX(0,MIN(100,50+20*I36)))</x:f>
        <x:v>55.561276090870685</x:v>
      </x:c>
      <x:c r="K36" s="54" t="str">
        <x:v>2026-10-16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-0.496</x:v>
      </x:c>
      <x:c r="F37" s="57" t="str">
        <x:v>指数</x:v>
      </x:c>
      <x:c r="G37" s="56" t="n">
        <x:v>-0.4309405940594058</x:v>
      </x:c>
      <x:c r="H37" s="56" t="n">
        <x:v>0.15369841169401138</x:v>
      </x:c>
      <x:c r="I37" s="58" t="n">
        <x:f>IFERROR(C37*(E37-G37)/H37,"")</x:f>
        <x:v>-0.42329263668720857</x:v>
      </x:c>
      <x:c r="J37" s="58" t="n">
        <x:f>IF(I37="","",MAX(0,MIN(100,50+20*I37)))</x:f>
        <x:v>41.53414726625583</x:v>
      </x:c>
      <x:c r="K37" s="54" t="str">
        <x:v>2026-10-16</x:v>
      </x:c>
      <x:c r="L37" s="54" t="n">
        <x:v>5</x:v>
      </x:c>
      <x:c r="M37" s="54" t="n">
        <x:v>4</x:v>
      </x:c>
      <x:c r="N37" s="54" t="str">
        <x:v>周频综合金融条件；负值代表相对宽松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53.73195428302721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57.22829360240057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49.95917150829179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72.8049594006678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53.73195428302721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59.35710060894266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60.46469053817076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57.944742708425224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0.47639071404866157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0.5236092859513384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混合状态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40.78190734974757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40.8430394023309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42.258986122741376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42.38848017160706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41.951299318883656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42.65079341806066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40.764492188550186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45.78407918986468</x:v>
      </x:c>
      <x:c r="G13" s="54" t="str">
        <x:f>IF(F13&gt;=65,"明显有利",IF(F13&gt;=55,"偏有利",IF(F13&gt;=45,"中性",IF(F13&gt;=35,"偏不利","明显不利"))))</x:f>
        <x:v>中性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39.619700514709706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58.06173864479713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57.22829360240057</x:v>
      </x:c>
      <x:c r="C6" s="58" t="n">
        <x:f>'因子引擎'!$B$43</x:f>
        <x:v>49.95917150829179</x:v>
      </x:c>
      <x:c r="D6" s="58" t="n">
        <x:f>'因子引擎'!$B$44</x:f>
        <x:v>72.8049594006678</x:v>
      </x:c>
      <x:c r="E6" s="58" t="n">
        <x:f>'因子引擎'!$B$45</x:f>
        <x:v>53.73195428302721</x:v>
      </x:c>
      <x:c r="F6" s="58" t="n">
        <x:f>MIN(100,MAX(0,(35%*B6+35%*C6+30%*D6)*(0.75+0.5*E6/100)))</x:f>
        <x:v>60.46469053817076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40.78190734974757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40.8430394023309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42.38848017160706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42.65079341806066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58.06173864479713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60.46469053817076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39.619700514709706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