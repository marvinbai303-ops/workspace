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157172c67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6a81f2cd860c4776"/>
    <x:sheet xmlns:r="http://schemas.openxmlformats.org/officeDocument/2006/relationships" name="因子引擎" sheetId="2" r:id="R1635af7caeec44d1"/>
    <x:sheet xmlns:r="http://schemas.openxmlformats.org/officeDocument/2006/relationships" name="风险资产" sheetId="3" r:id="Rf4fc6c600d3b4992"/>
    <x:sheet xmlns:r="http://schemas.openxmlformats.org/officeDocument/2006/relationships" name="场景与阈值" sheetId="4" r:id="R0a39083202e44581"/>
    <x:sheet xmlns:r="http://schemas.openxmlformats.org/officeDocument/2006/relationships" name="数据字典" sheetId="5" r:id="Re2d5bd8a8688433a"/>
    <x:sheet xmlns:r="http://schemas.openxmlformats.org/officeDocument/2006/relationships" name="方法与信源" sheetId="6" r:id="R7e065670144c4669"/>
    <x:sheet xmlns:r="http://schemas.openxmlformats.org/officeDocument/2006/relationships" name="审计" sheetId="7" r:id="R920952360b93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53cc301e644d1" /><Relationship Type="http://schemas.openxmlformats.org/officeDocument/2006/relationships/theme" Target="/xl/theme/theme1.xml" Id="Rd773fe69abe54511" /><Relationship Type="http://schemas.openxmlformats.org/officeDocument/2006/relationships/sharedStrings" Target="/xl/sharedStrings.xml" Id="R1abb1c2a1f084d2c" /><Relationship Type="http://schemas.openxmlformats.org/officeDocument/2006/relationships/worksheet" Target="/xl/worksheets/sheet1.xml" Id="R6a81f2cd860c4776" /><Relationship Type="http://schemas.openxmlformats.org/officeDocument/2006/relationships/worksheet" Target="/xl/worksheets/sheet2.xml" Id="R1635af7caeec44d1" /><Relationship Type="http://schemas.openxmlformats.org/officeDocument/2006/relationships/worksheet" Target="/xl/worksheets/sheet3.xml" Id="Rf4fc6c600d3b4992" /><Relationship Type="http://schemas.openxmlformats.org/officeDocument/2006/relationships/worksheet" Target="/xl/worksheets/sheet4.xml" Id="R0a39083202e44581" /><Relationship Type="http://schemas.openxmlformats.org/officeDocument/2006/relationships/worksheet" Target="/xl/worksheets/sheet5.xml" Id="Re2d5bd8a8688433a" /><Relationship Type="http://schemas.openxmlformats.org/officeDocument/2006/relationships/worksheet" Target="/xl/worksheets/sheet6.xml" Id="R7e065670144c4669" /><Relationship Type="http://schemas.openxmlformats.org/officeDocument/2006/relationships/worksheet" Target="/xl/worksheets/sheet7.xml" Id="R920952360b9342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5dd23ae4104fe6" /><Relationship Type="http://schemas.openxmlformats.org/officeDocument/2006/relationships/chart" Target="/xl/drawings/charts/chart2.xml" Id="R7bd875f16d7d4a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5dd23ae4104fe6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d875f16d7d4a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e0972293f743b4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2026-10-20；官方数据经 FRED、纽约联储、BLS、DOL、EIA、Atlanta Fed 交叉核验。高分=利率/金融条件压力更大。</x:v>
      </x:c>
      <x:c r="B3" s="10" t="str">
        <x:v>当前快照截至 2026-10-20；官方数据经 FRED、纽约联储、BLS、DOL、EIA、Atlanta Fed 交叉核验。高分=利率/金融条件压力更大。</x:v>
      </x:c>
      <x:c r="C3" s="10" t="str">
        <x:v>当前快照截至 2026-10-20；官方数据经 FRED、纽约联储、BLS、DOL、EIA、Atlanta Fed 交叉核验。高分=利率/金融条件压力更大。</x:v>
      </x:c>
      <x:c r="D3" s="10" t="str">
        <x:v>当前快照截至 2026-10-20；官方数据经 FRED、纽约联储、BLS、DOL、EIA、Atlanta Fed 交叉核验。高分=利率/金融条件压力更大。</x:v>
      </x:c>
      <x:c r="E3" s="10" t="str">
        <x:v>当前快照截至 2026-10-20；官方数据经 FRED、纽约联储、BLS、DOL、EIA、Atlanta Fed 交叉核验。高分=利率/金融条件压力更大。</x:v>
      </x:c>
      <x:c r="F3" s="10" t="str">
        <x:v>当前快照截至 2026-10-20；官方数据经 FRED、纽约联储、BLS、DOL、EIA、Atlanta Fed 交叉核验。高分=利率/金融条件压力更大。</x:v>
      </x:c>
      <x:c r="G3" s="10" t="str">
        <x:v>当前快照截至 2026-10-20；官方数据经 FRED、纽约联储、BLS、DOL、EIA、Atlanta Fed 交叉核验。高分=利率/金融条件压力更大。</x:v>
      </x:c>
      <x:c r="H3" s="10" t="str">
        <x:v>当前快照截至 2026-10-20；官方数据经 FRED、纽约联储、BLS、DOL、EIA、Atlanta Fed 交叉核验。高分=利率/金融条件压力更大。</x:v>
      </x:c>
      <x:c r="I3" s="10" t="str">
        <x:v>当前快照截至 2026-10-20；官方数据经 FRED、纽约联储、BLS、DOL、EIA、Atlanta Fed 交叉核验。高分=利率/金融条件压力更大。</x:v>
      </x:c>
      <x:c r="J3" s="10" t="str">
        <x:v>当前快照截至 2026-10-20；官方数据经 FRED、纽约联储、BLS、DOL、EIA、Atlanta Fed 交叉核验。高分=利率/金融条件压力更大。</x:v>
      </x:c>
      <x:c r="K3" s="10" t="str">
        <x:v>当前快照截至 2026-10-20；官方数据经 FRED、纽约联储、BLS、DOL、EIA、Atlanta Fed 交叉核验。高分=利率/金融条件压力更大。</x:v>
      </x:c>
      <x:c r="L3" s="10" t="str">
        <x:v>当前快照截至 2026-10-20；官方数据经 FRED、纽约联储、BLS、DOL、EIA、Atlanta Fed 交叉核验。高分=利率/金融条件压力更大。</x:v>
      </x:c>
      <x:c r="M3" s="10" t="str">
        <x:v>当前快照截至 2026-10-20；官方数据经 FRED、纽约联储、BLS、DOL、EIA、Atlanta Fed 交叉核验。高分=利率/金融条件压力更大。</x:v>
      </x:c>
      <x:c r="N3" s="10" t="str">
        <x:v>当前快照截至 2026-10-20；官方数据经 FRED、纽约联储、BLS、DOL、EIA、Atlanta Fed 交叉核验。高分=利率/金融条件压力更大。</x:v>
      </x:c>
      <x:c r="O3" s="10" t="str">
        <x:v>当前快照截至 2026-10-20；官方数据经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74.83655499836406</x:v>
      </x:c>
      <x:c r="B6" s="99"/>
      <x:c r="C6" s="99"/>
      <x:c r="D6" s="99" t="n">
        <x:f>'因子引擎'!$B$43</x:f>
        <x:v>50.00654275843186</x:v>
      </x:c>
      <x:c r="E6" s="99"/>
      <x:c r="F6" s="99"/>
      <x:c r="G6" s="99" t="n">
        <x:f>'因子引擎'!$B$44</x:f>
        <x:v>73.33315387563516</x:v>
      </x:c>
      <x:c r="H6" s="99"/>
      <x:c r="I6" s="99"/>
      <x:c r="J6" s="99" t="n">
        <x:f>'因子引擎'!$B$45</x:f>
        <x:v>53.867597841647815</x:v>
      </x:c>
      <x:c r="K6" s="99"/>
      <x:c r="L6" s="99"/>
      <x:c r="M6" s="99" t="n">
        <x:f>'因子引擎'!$B$47</x:f>
        <x:v>66.9654401660455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高压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0.7526366173917118</x:v>
      </x:c>
      <x:c r="K12" s="50" t="str">
        <x:v>主导</x:v>
      </x:c>
      <x:c r="L12" s="50" t="str">
        <x:v>市场冲击占比</x:v>
      </x:c>
      <x:c r="M12" s="50" t="n">
        <x:f>'因子引擎'!$B$50</x:f>
        <x:v>0.24736338260828816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0.47</x:v>
      </x:c>
      <x:c r="K13" s="39" t="str">
        <x:v>+47bp</x:v>
      </x:c>
      <x:c r="L13" s="39" t="str">
        <x:v>10Y实际利率20日</x:v>
      </x:c>
      <x:c r="M13" s="111" t="n">
        <x:f>'因子引擎'!$E$32</x:f>
        <x:v>0.28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0.729847215978831</x:v>
      </x:c>
      <x:c r="K14" s="39" t="str">
        <x:v>高于5年中枢</x:v>
      </x:c>
      <x:c r="L14" s="39" t="str">
        <x:v>ACM TP 20日</x:v>
      </x:c>
      <x:c r="M14" s="111" t="n">
        <x:f>'因子引擎'!$E$29</x:f>
        <x:v>0.15400760358896093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0.13</x:v>
      </x:c>
      <x:c r="K15" s="39" t="str">
        <x:v>+13bp</x:v>
      </x:c>
      <x:c r="L15" s="39" t="str">
        <x:v>VIX</x:v>
      </x:c>
      <x:c r="M15" s="111" t="n">
        <x:f>'因子引擎'!$E$35</x:f>
        <x:v>17.2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74.83655499836406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50.00654275843186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73.33315387563516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53.867597841647815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66.9654401660455</x:v>
      </x:c>
      <x:c r="C24" s="39" t="str">
        <x:f>IF(B24&gt;=65,"高压",IF(B24&gt;=55,"偏紧",IF(B24&gt;=45,"中性",IF(B24&gt;=35,"偏松","宽松"))))</x:f>
        <x:v>高压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36.061324041649556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36.42170776786702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36.88665337721134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37.66328142005268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37.86196498323582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38.12621889545232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35.55160686222782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43.65430684184569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35.65907255968799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63.85300652527993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2ce0972293f743b4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2026-10-20。 </x:v>
      </x:c>
      <x:c r="B3" s="53" t="str">
        <x:v>名义利率 = 预期政策路径 + 通胀补偿 + 期限溢价；风险资产压力再经过市场传导门控。蓝色单元格为可更新输入。 数据截至 2026-10-20。 </x:v>
      </x:c>
      <x:c r="C3" s="53" t="str">
        <x:v>名义利率 = 预期政策路径 + 通胀补偿 + 期限溢价；风险资产压力再经过市场传导门控。蓝色单元格为可更新输入。 数据截至 2026-10-20。 </x:v>
      </x:c>
      <x:c r="D3" s="53" t="str">
        <x:v>名义利率 = 预期政策路径 + 通胀补偿 + 期限溢价；风险资产压力再经过市场传导门控。蓝色单元格为可更新输入。 数据截至 2026-10-20。 </x:v>
      </x:c>
      <x:c r="E3" s="53" t="str">
        <x:v>名义利率 = 预期政策路径 + 通胀补偿 + 期限溢价；风险资产压力再经过市场传导门控。蓝色单元格为可更新输入。 数据截至 2026-10-20。 </x:v>
      </x:c>
      <x:c r="F3" s="53" t="str">
        <x:v>名义利率 = 预期政策路径 + 通胀补偿 + 期限溢价；风险资产压力再经过市场传导门控。蓝色单元格为可更新输入。 数据截至 2026-10-20。 </x:v>
      </x:c>
      <x:c r="G3" s="53" t="str">
        <x:v>名义利率 = 预期政策路径 + 通胀补偿 + 期限溢价；风险资产压力再经过市场传导门控。蓝色单元格为可更新输入。 数据截至 2026-10-20。 </x:v>
      </x:c>
      <x:c r="H3" s="53" t="str">
        <x:v>名义利率 = 预期政策路径 + 通胀补偿 + 期限溢价；风险资产压力再经过市场传导门控。蓝色单元格为可更新输入。 数据截至 2026-10-20。 </x:v>
      </x:c>
      <x:c r="I3" s="53" t="str">
        <x:v>名义利率 = 预期政策路径 + 通胀补偿 + 期限溢价；风险资产压力再经过市场传导门控。蓝色单元格为可更新输入。 数据截至 2026-10-20。 </x:v>
      </x:c>
      <x:c r="J3" s="53" t="str">
        <x:v>名义利率 = 预期政策路径 + 通胀补偿 + 期限溢价；风险资产压力再经过市场传导门控。蓝色单元格为可更新输入。 数据截至 2026-10-20。 </x:v>
      </x:c>
      <x:c r="K3" s="53" t="str">
        <x:v>名义利率 = 预期政策路径 + 通胀补偿 + 期限溢价；风险资产压力再经过市场传导门控。蓝色单元格为可更新输入。 数据截至 2026-10-20。 </x:v>
      </x:c>
      <x:c r="L3" s="53" t="str">
        <x:v>名义利率 = 预期政策路径 + 通胀补偿 + 期限溢价；风险资产压力再经过市场传导门控。蓝色单元格为可更新输入。 数据截至 2026-10-20。 </x:v>
      </x:c>
      <x:c r="M3" s="53" t="str">
        <x:v>名义利率 = 预期政策路径 + 通胀补偿 + 期限溢价；风险资产压力再经过市场传导门控。蓝色单元格为可更新输入。 数据截至 2026-10-20。 </x:v>
      </x:c>
      <x:c r="N3" s="53" t="str">
        <x:v>名义利率 = 预期政策路径 + 通胀补偿 + 期限溢价；风险资产压力再经过市场传导门控。蓝色单元格为可更新输入。 数据截至 2026-10-20。 </x:v>
      </x:c>
      <x:c r="O3" s="53" t="str">
        <x:v>名义利率 = 预期政策路径 + 通胀补偿 + 期限溢价；风险资产压力再经过市场传导门控。蓝色单元格为可更新输入。 数据截至 2026-10-20。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1.04</x:v>
      </x:c>
      <x:c r="F5" s="57" t="str">
        <x:v>百分点</x:v>
      </x:c>
      <x:c r="G5" s="56" t="n">
        <x:v>0.0017077</x:v>
      </x:c>
      <x:c r="H5" s="56" t="n">
        <x:v>0.8294249</x:v>
      </x:c>
      <x:c r="I5" s="58" t="n">
        <x:f>IFERROR(C5*(E5-G5)/H5,"")</x:f>
        <x:v>1.2518219551884684</x:v>
      </x:c>
      <x:c r="J5" s="58" t="n">
        <x:f>IF(I5="","",MAX(0,MIN(100,50+20*I5)))</x:f>
        <x:v>75.03643910376937</x:v>
      </x:c>
      <x:c r="K5" s="54" t="str">
        <x:v>2026-09-15</x:v>
      </x:c>
      <x:c r="L5" s="54" t="n">
        <x:v>5</x:v>
      </x:c>
      <x:c r="M5" s="54" t="n">
        <x:v>4</x:v>
      </x:c>
      <x:c r="N5" s="54" t="str">
        <x:v>可交易的政策路径代理；仍混有2Y期限溢价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0.47</x:v>
      </x:c>
      <x:c r="F6" s="57" t="str">
        <x:v>百分点</x:v>
      </x:c>
      <x:c r="G6" s="56" t="n">
        <x:v>0.046486</x:v>
      </x:c>
      <x:c r="H6" s="56" t="n">
        <x:v>0.2391424</x:v>
      </x:c>
      <x:c r="I6" s="58" t="n">
        <x:f>IFERROR(C6*(E6-G6)/H6,"")</x:f>
        <x:v>1.7709699325590107</x:v>
      </x:c>
      <x:c r="J6" s="58" t="n">
        <x:f>IF(I6="","",MAX(0,MIN(100,50+20*I6)))</x:f>
        <x:v>85.41939865118022</x:v>
      </x:c>
      <x:c r="K6" s="54" t="str">
        <x:v>2026-09-15</x:v>
      </x:c>
      <x:c r="L6" s="54" t="n">
        <x:v>5</x:v>
      </x:c>
      <x:c r="M6" s="54" t="n">
        <x:v>4</x:v>
      </x:c>
      <x:c r="N6" s="54" t="str">
        <x:v>捕捉政策路径重定价；事件窗口内最有用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0.0388725</x:v>
      </x:c>
      <x:c r="H7" s="56" t="n">
        <x:v>0.1951424</x:v>
      </x:c>
      <x:c r="I7" s="58" t="n">
        <x:f>IFERROR(C7*(E7-G7)/H7,"")</x:f>
        <x:v>-0.1992006862680791</x:v>
      </x:c>
      <x:c r="J7" s="58" t="n">
        <x:f>IF(I7="","",MAX(0,MIN(100,50+20*I7)))</x:f>
        <x:v>46.015986274638415</x:v>
      </x:c>
      <x:c r="K7" s="54" t="str">
        <x:v>2026-09-15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74.83655499836406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2.35</x:v>
      </x:c>
      <x:c r="F10" s="57" t="str">
        <x:v>%</x:v>
      </x:c>
      <x:c r="G10" s="56" t="n">
        <x:v>2.4457966</x:v>
      </x:c>
      <x:c r="H10" s="56" t="n">
        <x:v>0.2887521</x:v>
      </x:c>
      <x:c r="I10" s="58" t="n">
        <x:f>IFERROR(C10*(E10-G10)/H10,"")</x:f>
        <x:v>-0.33176070407799596</x:v>
      </x:c>
      <x:c r="J10" s="58" t="n">
        <x:f>IF(I10="","",MAX(0,MIN(100,50+20*I10)))</x:f>
        <x:v>43.36478591844008</x:v>
      </x:c>
      <x:c r="K10" s="54" t="str">
        <x:v>2026-09-16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0.04</x:v>
      </x:c>
      <x:c r="F11" s="57" t="str">
        <x:v>百分点</x:v>
      </x:c>
      <x:c r="G11" s="56" t="n">
        <x:v>-0.001538</x:v>
      </x:c>
      <x:c r="H11" s="56" t="n">
        <x:v>0.1527151</x:v>
      </x:c>
      <x:c r="I11" s="58" t="n">
        <x:f>IFERROR(C11*(E11-G11)/H11,"")</x:f>
        <x:v>0.2719966787829101</x:v>
      </x:c>
      <x:c r="J11" s="58" t="n">
        <x:f>IF(I11="","",MAX(0,MIN(100,50+20*I11)))</x:f>
        <x:v>55.4399335756582</x:v>
      </x:c>
      <x:c r="K11" s="54" t="str">
        <x:v>2026-09-16</x:v>
      </x:c>
      <x:c r="L11" s="54" t="n">
        <x:v>5</x:v>
      </x:c>
      <x:c r="M11" s="54" t="n">
        <x:v>3</x:v>
      </x:c>
      <x:c r="N11" s="54" t="str">
        <x:v>适合看边际再定价，不宜单独解释水平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2.31</x:v>
      </x:c>
      <x:c r="F12" s="57" t="str">
        <x:v>%</x:v>
      </x:c>
      <x:c r="G12" s="56" t="n">
        <x:v>2.2678783</x:v>
      </x:c>
      <x:c r="H12" s="56" t="n">
        <x:v>0.0987903</x:v>
      </x:c>
      <x:c r="I12" s="58" t="n">
        <x:f>IFERROR(C12*(E12-G12)/H12,"")</x:f>
        <x:v>0.42637485664078395</x:v>
      </x:c>
      <x:c r="J12" s="58" t="n">
        <x:f>IF(I12="","",MAX(0,MIN(100,50+20*I12)))</x:f>
        <x:v>58.52749713281568</x:v>
      </x:c>
      <x:c r="K12" s="54" t="str">
        <x:v>2026-09-16</x:v>
      </x:c>
      <x:c r="L12" s="54" t="n">
        <x:v>5</x:v>
      </x:c>
      <x:c r="M12" s="54" t="n">
        <x:v>3</x:v>
      </x:c>
      <x:c r="N12" s="54" t="str">
        <x:v>长期锚；同样含风险与流动性成分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52.139900962779095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3.0857455</x:v>
      </x:c>
      <x:c r="F15" s="57" t="str">
        <x:v>%</x:v>
      </x:c>
      <x:c r="G15" s="56" t="n">
        <x:v>4.3677958</x:v>
      </x:c>
      <x:c r="H15" s="56" t="n">
        <x:v>0.6830206</x:v>
      </x:c>
      <x:c r="I15" s="58" t="n">
        <x:f>IFERROR(C15*(E15-G15)/H15,"")</x:f>
        <x:v>-1.8770302096305733</x:v>
      </x:c>
      <x:c r="J15" s="58" t="n">
        <x:f>IF(I15="","",MAX(0,MIN(100,50+20*I15)))</x:f>
        <x:v>12.459395807388532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月频、构成效应明显；CES会月度及年度修订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3.98</x:v>
      </x:c>
      <x:c r="H17" s="56" t="n">
        <x:v>0.3550125</x:v>
      </x:c>
      <x:c r="I17" s="58" t="n">
        <x:f>IFERROR(C17*(E17-G17)/H17,"")</x:f>
        <x:v>-0.33801626703285</x:v>
      </x:c>
      <x:c r="J17" s="58" t="n">
        <x:f>IF(I17="","",MAX(0,MIN(100,50+20*I17)))</x:f>
        <x:v>43.239674659343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家庭调查月频；样本波动大，单月变化需谨慎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8847.2623</x:v>
      </x:c>
      <x:c r="H18" s="56" t="n">
        <x:v>1750.1508</x:v>
      </x:c>
      <x:c r="I18" s="58" t="n">
        <x:f>IFERROR(C18*(E18-G18)/H18,"")</x:f>
        <x:v>-0.9006437045310612</x:v>
      </x:c>
      <x:c r="J18" s="58" t="n">
        <x:f>IF(I18="","",MAX(0,MIN(100,50+20*I18)))</x:f>
        <x:v>31.987125909378776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并非高频；约1个月滞后、月度与年度修订较大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206000</x:v>
      </x:c>
      <x:c r="F19" s="57" t="str">
        <x:v>人</x:v>
      </x:c>
      <x:c r="G19" s="56" t="n">
        <x:v>223663.7931</x:v>
      </x:c>
      <x:c r="H19" s="56" t="n">
        <x:v>22445.2484</x:v>
      </x:c>
      <x:c r="I19" s="58" t="n">
        <x:f>IFERROR(C19*(E19-G19)/H19,"")</x:f>
        <x:v>0.7869724934743877</x:v>
      </x:c>
      <x:c r="J19" s="58" t="n">
        <x:f>IF(I19="","",MAX(0,MIN(100,50+20*I19)))</x:f>
        <x:v>65.73944986948776</x:v>
      </x:c>
      <x:c r="K19" s="54" t="str">
        <x:v>2026-09-05</x:v>
      </x:c>
      <x:c r="L19" s="54" t="n">
        <x:v>5</x:v>
      </x:c>
      <x:c r="M19" s="54" t="n">
        <x:v>4</x:v>
      </x:c>
      <x:c r="N19" s="54" t="str">
        <x:v>周频且及时；受季调、假期与州级申报扰动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34.07851899065477</x:v>
      </x:c>
      <x:c r="K20" s="64" t="str">
        <x:f>IF(J20&gt;=65,"高压",IF(J20&gt;=55,"偏紧",IF(J20&gt;=45,"中性",IF(J20&gt;=35,"偏松","宽松"))))</x:f>
        <x:v>宽松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</x:v>
      </x:c>
      <x:c r="F22" s="57" t="str">
        <x:v>%</x:v>
      </x:c>
      <x:c r="G22" s="56" t="n">
        <x:v>1.1590888</x:v>
      </x:c>
      <x:c r="H22" s="56" t="n">
        <x:v>3.0031765</x:v>
      </x:c>
      <x:c r="I22" s="58" t="n">
        <x:f>IFERROR(C22*(E22-G22)/H22,"")</x:f>
        <x:v>-0.6466476745539265</x:v>
      </x:c>
      <x:c r="J22" s="58" t="n">
        <x:f>IF(I22="","",MAX(0,MIN(100,50+20*I22)))</x:f>
        <x:v>37.06704650892147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广谱上游价格月频代理；不等于最终消费价格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43.4199946</x:v>
      </x:c>
      <x:c r="F23" s="57" t="str">
        <x:v>%</x:v>
      </x:c>
      <x:c r="G23" s="56" t="n">
        <x:v>2.3565562</x:v>
      </x:c>
      <x:c r="H23" s="56" t="n">
        <x:v>19.3365269</x:v>
      </x:c>
      <x:c r="I23" s="58" t="n">
        <x:f>IFERROR(C23*(E23-G23)/H23,"")</x:f>
        <x:v>2.123620162625999</x:v>
      </x:c>
      <x:c r="J23" s="58" t="n">
        <x:f>IF(I23="","",MAX(0,MIN(100,50+20*I23)))</x:f>
        <x:v>92.47240325251998</x:v>
      </x:c>
      <x:c r="K23" s="54" t="str">
        <x:v>2026-09-15</x:v>
      </x:c>
      <x:c r="L23" s="54" t="n">
        <x:v>5</x:v>
      </x:c>
      <x:c r="M23" s="54" t="n">
        <x:v>5</x:v>
      </x:c>
      <x:c r="N23" s="54" t="str">
        <x:v>高频且准确反映能源；不能代表核心服务通胀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73.0805283922605</x:v>
      </x:c>
      <x:c r="K24" s="64" t="str">
        <x:f>IF(J24&gt;=65,"高压",IF(J24&gt;=55,"偏紧",IF(J24&gt;=45,"中性",IF(J24&gt;=35,"偏松","宽松"))))</x:f>
        <x:v>高压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50.00654275843186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0.729847215978831</x:v>
      </x:c>
      <x:c r="F28" s="57" t="str">
        <x:v>%</x:v>
      </x:c>
      <x:c r="G28" s="56" t="n">
        <x:v>-0.048298865819274124</x:v>
      </x:c>
      <x:c r="H28" s="56" t="n">
        <x:v>0.5488544542960424</x:v>
      </x:c>
      <x:c r="I28" s="58" t="n">
        <x:f>IFERROR(C28*(E28-G28)/H28,"")</x:f>
        <x:v>1.4177639913593318</x:v>
      </x:c>
      <x:c r="J28" s="58" t="n">
        <x:f>IF(I28="","",MAX(0,MIN(100,50+20*I28)))</x:f>
        <x:v>78.35527982718664</x:v>
      </x:c>
      <x:c r="K28" s="54" t="str">
        <x:v>2026-10-20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0.15400760358896093</x:v>
      </x:c>
      <x:c r="F29" s="57" t="str">
        <x:v>百分点</x:v>
      </x:c>
      <x:c r="G29" s="56" t="n">
        <x:v>0.022759995492742695</x:v>
      </x:c>
      <x:c r="H29" s="56" t="n">
        <x:v>0.22599946658696593</x:v>
      </x:c>
      <x:c r="I29" s="58" t="n">
        <x:f>IFERROR(C29*(E29-G29)/H29,"")</x:f>
        <x:v>0.5807429994340867</x:v>
      </x:c>
      <x:c r="J29" s="58" t="n">
        <x:f>IF(I29="","",MAX(0,MIN(100,50+20*I29)))</x:f>
        <x:v>61.61485998868173</x:v>
      </x:c>
      <x:c r="K29" s="54" t="str">
        <x:v>2026-10-20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73.33315387563516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0.28</x:v>
      </x:c>
      <x:c r="F32" s="57" t="str">
        <x:v>百分点</x:v>
      </x:c>
      <x:c r="G32" s="56" t="n">
        <x:v>0.038659</x:v>
      </x:c>
      <x:c r="H32" s="56" t="n">
        <x:v>0.1966126</x:v>
      </x:c>
      <x:c r="I32" s="58" t="n">
        <x:f>IFERROR(C32*(E32-G32)/H32,"")</x:f>
        <x:v>1.2274950842418035</x:v>
      </x:c>
      <x:c r="J32" s="58" t="n">
        <x:f>IF(I32="","",MAX(0,MIN(100,50+20*I32)))</x:f>
        <x:v>74.54990168483607</x:v>
      </x:c>
      <x:c r="K32" s="54" t="str">
        <x:v>2026-09-15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0.13</x:v>
      </x:c>
      <x:c r="F33" s="57" t="str">
        <x:v>百分点</x:v>
      </x:c>
      <x:c r="G33" s="56" t="n">
        <x:v>-0.025786</x:v>
      </x:c>
      <x:c r="H33" s="56" t="n">
        <x:v>0.2641338</x:v>
      </x:c>
      <x:c r="I33" s="58" t="n">
        <x:f>IFERROR(C33*(E33-G33)/H33,"")</x:f>
        <x:v>0.5897995637059703</x:v>
      </x:c>
      <x:c r="J33" s="58" t="n">
        <x:f>IF(I33="","",MAX(0,MIN(100,50+20*I33)))</x:f>
        <x:v>61.7959912741194</x:v>
      </x:c>
      <x:c r="K33" s="54" t="str">
        <x:v>2026-09-15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0.01</x:v>
      </x:c>
      <x:c r="F34" s="57" t="str">
        <x:v>百分点</x:v>
      </x:c>
      <x:c r="G34" s="56" t="n">
        <x:v>-0.0080372</x:v>
      </x:c>
      <x:c r="H34" s="56" t="n">
        <x:v>0.0636386</x:v>
      </x:c>
      <x:c r="I34" s="58" t="n">
        <x:f>IFERROR(C34*(E34-G34)/H34,"")</x:f>
        <x:v>0.2834317536840848</x:v>
      </x:c>
      <x:c r="J34" s="58" t="n">
        <x:f>IF(I34="","",MAX(0,MIN(100,50+20*I34)))</x:f>
        <x:v>55.6686350736817</x:v>
      </x:c>
      <x:c r="K34" s="54" t="str">
        <x:v>2026-09-15</x:v>
      </x:c>
      <x:c r="L34" s="54" t="n">
        <x:v>5</x:v>
      </x:c>
      <x:c r="M34" s="54" t="n">
        <x:v>5</x:v>
      </x:c>
      <x:c r="N34" s="54" t="str">
        <x:v>比高收益更稳健，但对早期风险反应较弱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17.2</x:v>
      </x:c>
      <x:c r="F35" s="57" t="str">
        <x:v>指数</x:v>
      </x:c>
      <x:c r="G35" s="56" t="n">
        <x:v>19.129697</x:v>
      </x:c>
      <x:c r="H35" s="56" t="n">
        <x:v>5.2749403</x:v>
      </x:c>
      <x:c r="I35" s="58" t="n">
        <x:f>IFERROR(C35*(E35-G35)/H35,"")</x:f>
        <x:v>-0.36582347671309207</x:v>
      </x:c>
      <x:c r="J35" s="58" t="n">
        <x:f>IF(I35="","",MAX(0,MIN(100,50+20*I35)))</x:f>
        <x:v>42.68353046573816</x:v>
      </x:c>
      <x:c r="K35" s="54" t="str">
        <x:v>2026-09-15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-0.1231008</x:v>
      </x:c>
      <x:c r="F36" s="57" t="str">
        <x:v>%</x:v>
      </x:c>
      <x:c r="G36" s="56" t="n">
        <x:v>0.0573589</x:v>
      </x:c>
      <x:c r="H36" s="56" t="n">
        <x:v>1.1875496</x:v>
      </x:c>
      <x:c r="I36" s="58" t="n">
        <x:f>IFERROR(C36*(E36-G36)/H36,"")</x:f>
        <x:v>-0.1519597160404921</x:v>
      </x:c>
      <x:c r="J36" s="58" t="n">
        <x:f>IF(I36="","",MAX(0,MIN(100,50+20*I36)))</x:f>
        <x:v>46.96080567919016</x:v>
      </x:c>
      <x:c r="K36" s="54" t="str">
        <x:v>2026-09-11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-0.56</x:v>
      </x:c>
      <x:c r="F37" s="57" t="str">
        <x:v>指数</x:v>
      </x:c>
      <x:c r="G37" s="56" t="n">
        <x:v>-0.3977854</x:v>
      </x:c>
      <x:c r="H37" s="56" t="n">
        <x:v>0.1335983</x:v>
      </x:c>
      <x:c r="I37" s="58" t="n">
        <x:f>IFERROR(C37*(E37-G37)/H37,"")</x:f>
        <x:v>-1.2141965878308334</x:v>
      </x:c>
      <x:c r="J37" s="58" t="n">
        <x:f>IF(I37="","",MAX(0,MIN(100,50+20*I37)))</x:f>
        <x:v>25.716068243383333</x:v>
      </x:c>
      <x:c r="K37" s="54" t="str">
        <x:v>2026-09-11</x:v>
      </x:c>
      <x:c r="L37" s="54" t="n">
        <x:v>5</x:v>
      </x:c>
      <x:c r="M37" s="54" t="n">
        <x:v>4</x:v>
      </x:c>
      <x:c r="N37" s="54" t="str">
        <x:v>周频综合金融条件；负值代表较历史均值宽松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53.867597841647815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74.83655499836406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50.00654275843186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73.33315387563516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53.867597841647815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65.69503037756913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66.9654401660455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58.16284261855763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0.7526366173917118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0.24736338260828816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36.061324041649556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36.42170776786702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36.88665337721134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37.66328142005268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37.86196498323582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38.12621889545232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35.55160686222782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43.65430684184569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35.65907255968799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63.85300652527993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74.83655499836406</x:v>
      </x:c>
      <x:c r="C6" s="58" t="n">
        <x:f>'因子引擎'!$B$43</x:f>
        <x:v>50.00654275843186</x:v>
      </x:c>
      <x:c r="D6" s="58" t="n">
        <x:f>'因子引擎'!$B$44</x:f>
        <x:v>73.33315387563516</x:v>
      </x:c>
      <x:c r="E6" s="58" t="n">
        <x:f>'因子引擎'!$B$45</x:f>
        <x:v>53.867597841647815</x:v>
      </x:c>
      <x:c r="F6" s="58" t="n">
        <x:f>MIN(100,MAX(0,(35%*B6+35%*C6+30%*D6)*(0.75+0.5*E6/100)))</x:f>
        <x:v>66.9654401660455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36.061324041649556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36.42170776786702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37.66328142005268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38.12621889545232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63.85300652527993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66.9654401660455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35.55160686222782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