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总览" sheetId="1" state="visible" r:id="rId1"/>
    <sheet xmlns:r="http://schemas.openxmlformats.org/officeDocument/2006/relationships" name="分年度" sheetId="2" state="visible" r:id="rId2"/>
    <sheet xmlns:r="http://schemas.openxmlformats.org/officeDocument/2006/relationships" name="调仓记录" sheetId="3" state="visible" r:id="rId3"/>
    <sheet xmlns:r="http://schemas.openxmlformats.org/officeDocument/2006/relationships" name="调仓因子打分" sheetId="4" state="visible" r:id="rId4"/>
    <sheet xmlns:r="http://schemas.openxmlformats.org/officeDocument/2006/relationships" name="月度持仓" sheetId="5" state="visible" r:id="rId5"/>
    <sheet xmlns:r="http://schemas.openxmlformats.org/officeDocument/2006/relationships" name="参数快照" sheetId="6" state="visible" r:id="rId6"/>
    <sheet xmlns:r="http://schemas.openxmlformats.org/officeDocument/2006/relationships" name="净值曲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000"/>
    <numFmt numFmtId="167" formatCode="0.0%"/>
    <numFmt numFmtId="168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C00000"/>
      <sz val="9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7" fontId="6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7" fontId="2" fillId="0" borderId="0" pivotButton="0" quotePrefix="0" xfId="0"/>
    <xf numFmtId="2" fontId="2" fillId="0" borderId="0" pivotButton="0" quotePrefix="0" xfId="0"/>
    <xf numFmtId="167" fontId="0" fillId="0" borderId="0" pivotButton="0" quotePrefix="0" xfId="0"/>
    <xf numFmtId="165" fontId="2" fillId="0" borderId="0" pivotButton="0" quotePrefix="0" xfId="0"/>
    <xf numFmtId="168" fontId="2" fillId="0" borderId="0" pivotButton="0" quotePrefix="0" xfId="0"/>
    <xf numFmtId="165" fontId="2" fillId="3" borderId="0" pivotButton="0" quotePrefix="0" xfId="0"/>
    <xf numFmtId="0" fontId="2" fillId="3" borderId="0" pivotButton="0" quotePrefix="0" xfId="0"/>
    <xf numFmtId="2" fontId="2" fillId="3" borderId="0" pivotButton="0" quotePrefix="0" xfId="0"/>
    <xf numFmtId="165" fontId="2" fillId="4" borderId="0" pivotButton="0" quotePrefix="0" xfId="0"/>
    <xf numFmtId="0" fontId="2" fillId="4" borderId="0" pivotButton="0" quotePrefix="0" xfId="0"/>
    <xf numFmtId="2" fontId="2" fillId="4" borderId="0" pivotButton="0" quotePrefix="0" xfId="0"/>
    <xf numFmtId="166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策略 vs 基准 净值(建仓日=1)</a:t>
            </a:r>
          </a:p>
        </rich>
      </tx>
    </title>
    <plotArea>
      <lineChart>
        <grouping val="standard"/>
        <ser>
          <idx val="0"/>
          <order val="0"/>
          <tx>
            <strRef>
              <f>'净值曲线'!B1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'净值曲线'!$A$2:$A$1693</f>
            </numRef>
          </cat>
          <val>
            <numRef>
              <f>'净值曲线'!$B$2:$B$1693</f>
            </numRef>
          </val>
          <smooth val="0"/>
        </ser>
        <ser>
          <idx val="1"/>
          <order val="1"/>
          <tx>
            <strRef>
              <f>'净值曲线'!C1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'净值曲线'!$A$2:$A$1693</f>
            </numRef>
          </cat>
          <val>
            <numRef>
              <f>'净值曲线'!$C$2:$C$1693</f>
            </numRef>
          </val>
          <smooth val="0"/>
        </ser>
        <ser>
          <idx val="2"/>
          <order val="2"/>
          <tx>
            <strRef>
              <f>'净值曲线'!D1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'净值曲线'!$A$2:$A$1693</f>
            </numRef>
          </cat>
          <val>
            <numRef>
              <f>'净值曲线'!$D$2:$D$1693</f>
            </numRef>
          </val>
          <smooth val="0"/>
        </ser>
        <ser>
          <idx val="3"/>
          <order val="3"/>
          <tx>
            <strRef>
              <f>'净值曲线'!E1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'净值曲线'!$A$2:$A$1693</f>
            </numRef>
          </cat>
          <val>
            <numRef>
              <f>'净值曲线'!$E$2:$E$1693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组合仓位结构(月末)</a:t>
            </a:r>
          </a:p>
        </rich>
      </tx>
    </title>
    <plotArea>
      <areaChart>
        <grouping val="stacked"/>
        <ser>
          <idx val="0"/>
          <order val="0"/>
          <tx>
            <strRef>
              <f>'月度持仓'!B1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'月度持仓'!$B$2:$B$86</f>
            </numRef>
          </val>
        </ser>
        <ser>
          <idx val="1"/>
          <order val="1"/>
          <tx>
            <strRef>
              <f>'月度持仓'!C1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'月度持仓'!$C$2:$C$86</f>
            </numRef>
          </val>
        </ser>
        <ser>
          <idx val="2"/>
          <order val="2"/>
          <tx>
            <strRef>
              <f>'月度持仓'!D1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'月度持仓'!$D$2:$D$86</f>
            </numRef>
          </val>
        </ser>
        <ser>
          <idx val="3"/>
          <order val="3"/>
          <tx>
            <strRef>
              <f>'月度持仓'!E1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'月度持仓'!$E$2:$E$86</f>
            </numRef>
          </val>
        </ser>
        <ser>
          <idx val="4"/>
          <order val="4"/>
          <tx>
            <strRef>
              <f>'月度持仓'!F1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'月度持仓'!$F$2:$F$86</f>
            </numRef>
          </val>
        </ser>
        <ser>
          <idx val="5"/>
          <order val="5"/>
          <tx>
            <strRef>
              <f>'月度持仓'!G1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'月度持仓'!$G$2:$G$86</f>
            </numRef>
          </val>
        </ser>
        <ser>
          <idx val="6"/>
          <order val="6"/>
          <tx>
            <strRef>
              <f>'月度持仓'!H1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'月度持仓'!$H$2:$H$86</f>
            </numRef>
          </val>
        </ser>
        <ser>
          <idx val="7"/>
          <order val="7"/>
          <tx>
            <strRef>
              <f>'月度持仓'!I1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'月度持仓'!$I$2:$I$86</f>
            </numRef>
          </val>
        </ser>
        <ser>
          <idx val="8"/>
          <order val="8"/>
          <tx>
            <strRef>
              <f>'月度持仓'!J1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'月度持仓'!$J$2:$J$86</f>
            </numRef>
          </val>
        </ser>
        <ser>
          <idx val="9"/>
          <order val="9"/>
          <tx>
            <strRef>
              <f>'月度持仓'!K1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'月度持仓'!$K$2:$K$86</f>
            </numRef>
          </val>
        </ser>
        <ser>
          <idx val="10"/>
          <order val="10"/>
          <tx>
            <strRef>
              <f>'月度持仓'!L1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'月度持仓'!$L$2:$L$86</f>
            </numRef>
          </val>
        </ser>
        <ser>
          <idx val="11"/>
          <order val="11"/>
          <tx>
            <strRef>
              <f>'月度持仓'!M1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'月度持仓'!$M$2:$M$86</f>
            </numRef>
          </val>
        </ser>
        <ser>
          <idx val="12"/>
          <order val="12"/>
          <tx>
            <strRef>
              <f>'月度持仓'!N1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'月度持仓'!$A$2:$A$86</f>
            </numRef>
          </cat>
          <val>
            <numRef>
              <f>'月度持仓'!$N$2:$N$86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88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玄驹组合·卫星轮动引擎V1 历史回测绩效报告</t>
        </is>
      </c>
    </row>
    <row r="2">
      <c r="A2" s="2" t="inlineStr">
        <is>
          <t>区间: 2019-07-15 ~ 2026-07-07(建仓完成日起) | 参数: K=3/持续期12日/3窗口风险调整动量/无即时止损/T+3/最短持有7天/只动进出腿</t>
        </is>
      </c>
    </row>
    <row r="3">
      <c r="A3" s="3" t="inlineStr">
        <is>
          <t>⚠️ 指数池确定于2026年(含后见之明),收益水平系统性偏乐观;本报告用于理解策略机制、换手结构与仓位行为,不构成收益预期。</t>
        </is>
      </c>
    </row>
    <row r="5">
      <c r="A5" t="inlineStr">
        <is>
          <t>无风险利率(夏普)</t>
        </is>
      </c>
      <c r="B5" s="4" t="n">
        <v>0.015</v>
      </c>
      <c r="C5" t="inlineStr">
        <is>
          <t>区间自然日数</t>
        </is>
      </c>
      <c r="D5" s="5" t="n">
        <v>2549</v>
      </c>
    </row>
    <row r="7">
      <c r="A7" s="6" t="inlineStr">
        <is>
          <t>指标</t>
        </is>
      </c>
      <c r="B7" s="6" t="inlineStr">
        <is>
          <t>策略</t>
        </is>
      </c>
      <c r="C7" s="6" t="inlineStr">
        <is>
          <t>科技100</t>
        </is>
      </c>
      <c r="D7" s="6" t="inlineStr">
        <is>
          <t>创业板指</t>
        </is>
      </c>
      <c r="E7" s="6" t="inlineStr">
        <is>
          <t>万得全A</t>
        </is>
      </c>
    </row>
    <row r="8">
      <c r="A8" s="7" t="inlineStr">
        <is>
          <t>累计收益</t>
        </is>
      </c>
      <c r="B8" s="8">
        <f>'净值曲线'!B1693/'净值曲线'!B2-1</f>
        <v/>
      </c>
      <c r="C8" s="8">
        <f>'净值曲线'!C1693/'净值曲线'!C2-1</f>
        <v/>
      </c>
      <c r="D8" s="8">
        <f>'净值曲线'!D1693/'净值曲线'!D2-1</f>
        <v/>
      </c>
      <c r="E8" s="8">
        <f>'净值曲线'!E1693/'净值曲线'!E2-1</f>
        <v/>
      </c>
    </row>
    <row r="9">
      <c r="A9" s="7" t="inlineStr">
        <is>
          <t>年化收益</t>
        </is>
      </c>
      <c r="B9" s="8">
        <f>(1+B8)^(365/$D$5)-1</f>
        <v/>
      </c>
      <c r="C9" s="8">
        <f>(1+C8)^(365/$D$5)-1</f>
        <v/>
      </c>
      <c r="D9" s="8">
        <f>(1+D8)^(365/$D$5)-1</f>
        <v/>
      </c>
      <c r="E9" s="8">
        <f>(1+E8)^(365/$D$5)-1</f>
        <v/>
      </c>
    </row>
    <row r="10">
      <c r="A10" s="7" t="inlineStr">
        <is>
          <t>年化波动</t>
        </is>
      </c>
      <c r="B10" s="8">
        <f>STDEV.S('净值曲线'!F3:F1693)*SQRT(250)</f>
        <v/>
      </c>
      <c r="C10" s="8">
        <f>STDEV.S('净值曲线'!H3:H1693)*SQRT(250)</f>
        <v/>
      </c>
      <c r="D10" s="8">
        <f>STDEV.S('净值曲线'!J3:J1693)*SQRT(250)</f>
        <v/>
      </c>
      <c r="E10" s="8">
        <f>STDEV.S('净值曲线'!L3:L1693)*SQRT(250)</f>
        <v/>
      </c>
    </row>
    <row r="11">
      <c r="A11" s="7" t="inlineStr">
        <is>
          <t>夏普比率</t>
        </is>
      </c>
      <c r="B11" s="9">
        <f>(B9-$B$5)/B10</f>
        <v/>
      </c>
      <c r="C11" s="9">
        <f>(C9-$B$5)/C10</f>
        <v/>
      </c>
      <c r="D11" s="9">
        <f>(D9-$B$5)/D10</f>
        <v/>
      </c>
      <c r="E11" s="9">
        <f>(E9-$B$5)/E10</f>
        <v/>
      </c>
    </row>
    <row r="12">
      <c r="A12" s="7" t="inlineStr">
        <is>
          <t>最大回撤</t>
        </is>
      </c>
      <c r="B12" s="8">
        <f>MIN('净值曲线'!G3:G1693)</f>
        <v/>
      </c>
      <c r="C12" s="8">
        <f>MIN('净值曲线'!I3:I1693)</f>
        <v/>
      </c>
      <c r="D12" s="8">
        <f>MIN('净值曲线'!K3:K1693)</f>
        <v/>
      </c>
      <c r="E12" s="8">
        <f>MIN('净值曲线'!M3:M1693)</f>
        <v/>
      </c>
    </row>
    <row r="13">
      <c r="A13" s="7" t="inlineStr">
        <is>
          <t>卡玛比率</t>
        </is>
      </c>
      <c r="B13" s="9">
        <f>B9/ABS(B12)</f>
        <v/>
      </c>
      <c r="C13" s="9">
        <f>C9/ABS(C12)</f>
        <v/>
      </c>
      <c r="D13" s="9">
        <f>D9/ABS(D12)</f>
        <v/>
      </c>
      <c r="E13" s="9">
        <f>E9/ABS(E12)</f>
        <v/>
      </c>
    </row>
    <row r="14">
      <c r="A14" s="7" t="inlineStr">
        <is>
          <t>年均监管换手率</t>
        </is>
      </c>
      <c r="B14" s="10" t="n">
        <v>0.931657435761211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s="7" t="inlineStr">
        <is>
          <t>最差年监管换手</t>
        </is>
      </c>
      <c r="B15" s="10" t="n">
        <v>1.057998949784384</v>
      </c>
      <c r="F15" s="2" t="inlineStr">
        <is>
          <t>口径:(申购+赎回)/(2×年均资产),不含建仓;上限200% | Source:调仓记录汇总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年份</t>
        </is>
      </c>
      <c r="B1" s="6" t="inlineStr">
        <is>
          <t>策略收益</t>
        </is>
      </c>
      <c r="C1" s="6" t="inlineStr">
        <is>
          <t>科技100收益</t>
        </is>
      </c>
      <c r="D1" s="6" t="inlineStr">
        <is>
          <t>创业板指收益</t>
        </is>
      </c>
      <c r="E1" s="6" t="inlineStr">
        <is>
          <t>万得全A收益</t>
        </is>
      </c>
      <c r="F1" s="6" t="inlineStr">
        <is>
          <t>超额(vs科技100)</t>
        </is>
      </c>
      <c r="G1" s="6" t="inlineStr">
        <is>
          <t>监管换手率</t>
        </is>
      </c>
      <c r="H1" s="6" t="inlineStr">
        <is>
          <t>备注</t>
        </is>
      </c>
    </row>
    <row r="2">
      <c r="A2" s="7" t="inlineStr">
        <is>
          <t>2019</t>
        </is>
      </c>
      <c r="B2" s="8">
        <f>'净值曲线'!B117/'净值曲线'!B2-1</f>
        <v/>
      </c>
      <c r="C2" s="8">
        <f>'净值曲线'!C117/'净值曲线'!C2-1</f>
        <v/>
      </c>
      <c r="D2" s="8">
        <f>'净值曲线'!D117/'净值曲线'!D2-1</f>
        <v/>
      </c>
      <c r="E2" s="8">
        <f>'净值曲线'!E117/'净值曲线'!E2-1</f>
        <v/>
      </c>
      <c r="F2" s="8">
        <f>B2-C2</f>
        <v/>
      </c>
      <c r="G2" s="8" t="n">
        <v>0.3136711160464479</v>
      </c>
      <c r="H2" s="2" t="inlineStr">
        <is>
          <t>建仓年(不满整年)</t>
        </is>
      </c>
    </row>
    <row r="3">
      <c r="A3" s="7" t="inlineStr">
        <is>
          <t>2020</t>
        </is>
      </c>
      <c r="B3" s="8">
        <f>'净值曲线'!B360/'净值曲线'!B117-1</f>
        <v/>
      </c>
      <c r="C3" s="8">
        <f>'净值曲线'!C360/'净值曲线'!C117-1</f>
        <v/>
      </c>
      <c r="D3" s="8">
        <f>'净值曲线'!D360/'净值曲线'!D117-1</f>
        <v/>
      </c>
      <c r="E3" s="8">
        <f>'净值曲线'!E360/'净值曲线'!E117-1</f>
        <v/>
      </c>
      <c r="F3" s="8">
        <f>B3-C3</f>
        <v/>
      </c>
      <c r="G3" s="8" t="n">
        <v>0.8088611725679107</v>
      </c>
      <c r="H3" s="2" t="inlineStr"/>
    </row>
    <row r="4">
      <c r="A4" s="7" t="inlineStr">
        <is>
          <t>2021</t>
        </is>
      </c>
      <c r="B4" s="8">
        <f>'净值曲线'!B603/'净值曲线'!B360-1</f>
        <v/>
      </c>
      <c r="C4" s="8">
        <f>'净值曲线'!C603/'净值曲线'!C360-1</f>
        <v/>
      </c>
      <c r="D4" s="8">
        <f>'净值曲线'!D603/'净值曲线'!D360-1</f>
        <v/>
      </c>
      <c r="E4" s="8">
        <f>'净值曲线'!E603/'净值曲线'!E360-1</f>
        <v/>
      </c>
      <c r="F4" s="8">
        <f>B4-C4</f>
        <v/>
      </c>
      <c r="G4" s="8" t="n">
        <v>0.8825371864778235</v>
      </c>
      <c r="H4" s="2" t="inlineStr"/>
    </row>
    <row r="5">
      <c r="A5" s="7" t="inlineStr">
        <is>
          <t>2022</t>
        </is>
      </c>
      <c r="B5" s="8">
        <f>'净值曲线'!B845/'净值曲线'!B603-1</f>
        <v/>
      </c>
      <c r="C5" s="8">
        <f>'净值曲线'!C845/'净值曲线'!C603-1</f>
        <v/>
      </c>
      <c r="D5" s="8">
        <f>'净值曲线'!D845/'净值曲线'!D603-1</f>
        <v/>
      </c>
      <c r="E5" s="8">
        <f>'净值曲线'!E845/'净值曲线'!E603-1</f>
        <v/>
      </c>
      <c r="F5" s="8">
        <f>B5-C5</f>
        <v/>
      </c>
      <c r="G5" s="8" t="n">
        <v>1.057998949784384</v>
      </c>
      <c r="H5" s="2" t="inlineStr"/>
    </row>
    <row r="6">
      <c r="A6" s="7" t="inlineStr">
        <is>
          <t>2023</t>
        </is>
      </c>
      <c r="B6" s="8">
        <f>'净值曲线'!B1087/'净值曲线'!B845-1</f>
        <v/>
      </c>
      <c r="C6" s="8">
        <f>'净值曲线'!C1087/'净值曲线'!C845-1</f>
        <v/>
      </c>
      <c r="D6" s="8">
        <f>'净值曲线'!D1087/'净值曲线'!D845-1</f>
        <v/>
      </c>
      <c r="E6" s="8">
        <f>'净值曲线'!E1087/'净值曲线'!E845-1</f>
        <v/>
      </c>
      <c r="F6" s="8">
        <f>B6-C6</f>
        <v/>
      </c>
      <c r="G6" s="8" t="n">
        <v>0.9073798552571889</v>
      </c>
      <c r="H6" s="2" t="inlineStr"/>
    </row>
    <row r="7">
      <c r="A7" s="7" t="inlineStr">
        <is>
          <t>2024</t>
        </is>
      </c>
      <c r="B7" s="8">
        <f>'净值曲线'!B1329/'净值曲线'!B1087-1</f>
        <v/>
      </c>
      <c r="C7" s="8">
        <f>'净值曲线'!C1329/'净值曲线'!C1087-1</f>
        <v/>
      </c>
      <c r="D7" s="8">
        <f>'净值曲线'!D1329/'净值曲线'!D1087-1</f>
        <v/>
      </c>
      <c r="E7" s="8">
        <f>'净值曲线'!E1329/'净值曲线'!E1087-1</f>
        <v/>
      </c>
      <c r="F7" s="8">
        <f>B7-C7</f>
        <v/>
      </c>
      <c r="G7" s="8" t="n">
        <v>1.019763052177887</v>
      </c>
      <c r="H7" s="2" t="inlineStr"/>
    </row>
    <row r="8">
      <c r="A8" s="7" t="inlineStr">
        <is>
          <t>2025</t>
        </is>
      </c>
      <c r="B8" s="8">
        <f>'净值曲线'!B1572/'净值曲线'!B1329-1</f>
        <v/>
      </c>
      <c r="C8" s="8">
        <f>'净值曲线'!C1572/'净值曲线'!C1329-1</f>
        <v/>
      </c>
      <c r="D8" s="8">
        <f>'净值曲线'!D1572/'净值曲线'!D1329-1</f>
        <v/>
      </c>
      <c r="E8" s="8">
        <f>'净值曲线'!E1572/'净值曲线'!E1329-1</f>
        <v/>
      </c>
      <c r="F8" s="8">
        <f>B8-C8</f>
        <v/>
      </c>
      <c r="G8" s="8" t="n">
        <v>0.913404398302072</v>
      </c>
      <c r="H8" s="2" t="inlineStr"/>
    </row>
    <row r="9">
      <c r="A9" s="7" t="inlineStr">
        <is>
          <t>2026</t>
        </is>
      </c>
      <c r="B9" s="8">
        <f>'净值曲线'!B1693/'净值曲线'!B1572-1</f>
        <v/>
      </c>
      <c r="C9" s="8">
        <f>'净值曲线'!C1693/'净值曲线'!C1572-1</f>
        <v/>
      </c>
      <c r="D9" s="8">
        <f>'净值曲线'!D1693/'净值曲线'!D1572-1</f>
        <v/>
      </c>
      <c r="E9" s="8">
        <f>'净值曲线'!E1693/'净值曲线'!E1572-1</f>
        <v/>
      </c>
      <c r="F9" s="8">
        <f>B9-C9</f>
        <v/>
      </c>
      <c r="G9" s="8" t="n">
        <v>0.2914963282585482</v>
      </c>
      <c r="H9" s="2" t="inlineStr">
        <is>
          <t>半年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0" customWidth="1" min="4" max="4"/>
    <col width="30" customWidth="1" min="5" max="5"/>
    <col width="30" customWidth="1" min="6" max="6"/>
    <col width="10" customWidth="1" min="7" max="7"/>
    <col width="9" customWidth="1" min="8" max="8"/>
    <col width="44" customWidth="1" min="9" max="9"/>
    <col width="11" customWidth="1" min="10" max="10"/>
    <col width="11" customWidth="1" min="11" max="11"/>
  </cols>
  <sheetData>
    <row r="1">
      <c r="A1" s="6" t="inlineStr">
        <is>
          <t>序号</t>
        </is>
      </c>
      <c r="B1" s="6" t="inlineStr">
        <is>
          <t>信号日</t>
        </is>
      </c>
      <c r="C1" s="6" t="inlineStr">
        <is>
          <t>执行日</t>
        </is>
      </c>
      <c r="D1" s="6" t="inlineStr">
        <is>
          <t>类型</t>
        </is>
      </c>
      <c r="E1" s="6" t="inlineStr">
        <is>
          <t>卖出(占组合)</t>
        </is>
      </c>
      <c r="F1" s="6" t="inlineStr">
        <is>
          <t>买入(占组合)</t>
        </is>
      </c>
      <c r="G1" s="6" t="inlineStr">
        <is>
          <t>金额(元)</t>
        </is>
      </c>
      <c r="H1" s="6" t="inlineStr">
        <is>
          <t>占组合</t>
        </is>
      </c>
      <c r="I1" s="6" t="inlineStr">
        <is>
          <t>执行后持仓</t>
        </is>
      </c>
      <c r="J1" s="6" t="inlineStr">
        <is>
          <t>卫星现金占比</t>
        </is>
      </c>
      <c r="K1" s="6" t="inlineStr">
        <is>
          <t>当年累计换手</t>
        </is>
      </c>
    </row>
    <row r="2">
      <c r="A2" s="7" t="n">
        <v>1</v>
      </c>
      <c r="B2" s="11" t="n">
        <v>43656</v>
      </c>
      <c r="C2" s="11" t="n">
        <v>43661</v>
      </c>
      <c r="D2" s="7" t="inlineStr">
        <is>
          <t>建仓</t>
        </is>
      </c>
      <c r="E2" s="7" t="inlineStr"/>
      <c r="F2" s="7" t="inlineStr">
        <is>
          <t>半导体材料设备(14.4%), 港股通创新药(14.4%)</t>
        </is>
      </c>
      <c r="G2" s="12" t="n">
        <v>3300</v>
      </c>
      <c r="H2" s="8" t="n">
        <v>0.2877441549206003</v>
      </c>
      <c r="I2" s="7" t="inlineStr">
        <is>
          <t>半导体材料设备/港股通创新药</t>
        </is>
      </c>
      <c r="J2" s="8" t="n">
        <v>0.1438720774603001</v>
      </c>
      <c r="K2" s="8" t="n">
        <v>0</v>
      </c>
    </row>
    <row r="3">
      <c r="A3" s="7" t="n">
        <v>2</v>
      </c>
      <c r="B3" s="11" t="n">
        <v>43661</v>
      </c>
      <c r="C3" s="11" t="n">
        <v>43664</v>
      </c>
      <c r="D3" s="7" t="inlineStr">
        <is>
          <t>核心再平衡</t>
        </is>
      </c>
      <c r="E3" s="7" t="inlineStr"/>
      <c r="F3" s="7" t="inlineStr"/>
      <c r="G3" s="12" t="n">
        <v>1372.336807763246</v>
      </c>
      <c r="H3" s="8" t="n">
        <v>0.1200181413495416</v>
      </c>
      <c r="I3" s="7" t="inlineStr">
        <is>
          <t>半导体材料设备/港股通创新药</t>
        </is>
      </c>
      <c r="J3" s="8" t="n">
        <v>0.163736110365605</v>
      </c>
      <c r="K3" s="8" t="n">
        <v>0.06078649522343764</v>
      </c>
    </row>
    <row r="4">
      <c r="A4" s="7" t="n">
        <v>3</v>
      </c>
      <c r="B4" s="11" t="n">
        <v>43719</v>
      </c>
      <c r="C4" s="11" t="n">
        <v>43725</v>
      </c>
      <c r="D4" s="7" t="inlineStr">
        <is>
          <t>卫星调仓</t>
        </is>
      </c>
      <c r="E4" s="7" t="inlineStr"/>
      <c r="F4" s="7" t="inlineStr">
        <is>
          <t>计算机(15.0%)</t>
        </is>
      </c>
      <c r="G4" s="12" t="n">
        <v>1872.226052562204</v>
      </c>
      <c r="H4" s="8" t="n">
        <v>0.149877362103033</v>
      </c>
      <c r="I4" s="7" t="inlineStr">
        <is>
          <t>半导体材料设备/港股通创新药/计算机</t>
        </is>
      </c>
      <c r="J4" s="8" t="n">
        <v>0</v>
      </c>
      <c r="K4" s="8" t="n">
        <v>0.1419452796518828</v>
      </c>
    </row>
    <row r="5">
      <c r="A5" s="7" t="n">
        <v>4</v>
      </c>
      <c r="B5" s="11" t="n">
        <v>43749</v>
      </c>
      <c r="C5" s="11" t="n">
        <v>43754</v>
      </c>
      <c r="D5" s="7" t="inlineStr">
        <is>
          <t>复核撤销</t>
        </is>
      </c>
      <c r="E5" s="7" t="inlineStr"/>
      <c r="F5" s="7" t="inlineStr"/>
      <c r="G5" s="12" t="n">
        <v>0</v>
      </c>
      <c r="H5" s="8" t="n">
        <v>0</v>
      </c>
      <c r="I5" s="7" t="inlineStr">
        <is>
          <t>半导体材料设备/港股通创新药/计算机</t>
        </is>
      </c>
      <c r="J5" s="8" t="n">
        <v>0</v>
      </c>
      <c r="K5" s="8" t="n">
        <v>0.1409077588628931</v>
      </c>
    </row>
    <row r="6">
      <c r="A6" s="7" t="n">
        <v>5</v>
      </c>
      <c r="B6" s="11" t="n">
        <v>43815</v>
      </c>
      <c r="C6" s="11" t="n">
        <v>43818</v>
      </c>
      <c r="D6" s="7" t="inlineStr">
        <is>
          <t>卫星调仓</t>
        </is>
      </c>
      <c r="E6" s="7" t="inlineStr">
        <is>
          <t>港股通创新药(15.4%)</t>
        </is>
      </c>
      <c r="F6" s="7" t="inlineStr">
        <is>
          <t>新能源电池(15.4%)</t>
        </is>
      </c>
      <c r="G6" s="12" t="n">
        <v>4155.458820020149</v>
      </c>
      <c r="H6" s="8" t="n">
        <v>0.307180483500978</v>
      </c>
      <c r="I6" s="7" t="inlineStr">
        <is>
          <t>半导体材料设备/计算机/新能源电池</t>
        </is>
      </c>
      <c r="J6" s="8" t="n">
        <v>0</v>
      </c>
      <c r="K6" s="8" t="n">
        <v>0.314978362384838</v>
      </c>
    </row>
    <row r="7">
      <c r="A7" s="7" t="n">
        <v>6</v>
      </c>
      <c r="B7" s="11" t="n">
        <v>43844</v>
      </c>
      <c r="C7" s="11" t="n">
        <v>43847</v>
      </c>
      <c r="D7" s="7" t="inlineStr">
        <is>
          <t>卫星调仓</t>
        </is>
      </c>
      <c r="E7" s="7" t="inlineStr">
        <is>
          <t>计算机(14.0%)</t>
        </is>
      </c>
      <c r="F7" s="7" t="inlineStr">
        <is>
          <t>工业有色(14.0%)</t>
        </is>
      </c>
      <c r="G7" s="12" t="n">
        <v>4187.931934877965</v>
      </c>
      <c r="H7" s="8" t="n">
        <v>0.2806344537174424</v>
      </c>
      <c r="I7" s="7" t="inlineStr">
        <is>
          <t>半导体材料设备/新能源电池/工业有色</t>
        </is>
      </c>
      <c r="J7" s="8" t="n">
        <v>0</v>
      </c>
      <c r="K7" s="8" t="n">
        <v>0.145017161332678</v>
      </c>
    </row>
    <row r="8">
      <c r="A8" s="7" t="n">
        <v>7</v>
      </c>
      <c r="B8" s="11" t="n">
        <v>43874</v>
      </c>
      <c r="C8" s="11" t="n">
        <v>43879</v>
      </c>
      <c r="D8" s="7" t="inlineStr">
        <is>
          <t>卫星调仓</t>
        </is>
      </c>
      <c r="E8" s="7" t="inlineStr">
        <is>
          <t>工业有色(13.0%)</t>
        </is>
      </c>
      <c r="F8" s="7" t="inlineStr"/>
      <c r="G8" s="12" t="n">
        <v>2159.870017747146</v>
      </c>
      <c r="H8" s="8" t="n">
        <v>0.1295182707282745</v>
      </c>
      <c r="I8" s="7" t="inlineStr">
        <is>
          <t>半导体材料设备/新能源电池</t>
        </is>
      </c>
      <c r="J8" s="8" t="n">
        <v>0.1295182707282745</v>
      </c>
      <c r="K8" s="8" t="n">
        <v>0.2128176957039372</v>
      </c>
    </row>
    <row r="9">
      <c r="A9" s="7" t="n">
        <v>8</v>
      </c>
      <c r="B9" s="11" t="n">
        <v>43907</v>
      </c>
      <c r="C9" s="11" t="n">
        <v>43910</v>
      </c>
      <c r="D9" s="7" t="inlineStr">
        <is>
          <t>核心再平衡</t>
        </is>
      </c>
      <c r="E9" s="7" t="inlineStr"/>
      <c r="F9" s="7" t="inlineStr"/>
      <c r="G9" s="12" t="n">
        <v>1591.626946688416</v>
      </c>
      <c r="H9" s="8" t="n">
        <v>0.1060554286169579</v>
      </c>
      <c r="I9" s="7" t="inlineStr">
        <is>
          <t>半导体材料设备/新能源电池</t>
        </is>
      </c>
      <c r="J9" s="8" t="n">
        <v>0.1299935826738069</v>
      </c>
      <c r="K9" s="8" t="n">
        <v>0.2562401061927338</v>
      </c>
    </row>
    <row r="10">
      <c r="A10" s="7" t="n">
        <v>9</v>
      </c>
      <c r="B10" s="11" t="n">
        <v>43921</v>
      </c>
      <c r="C10" s="11" t="n">
        <v>43924</v>
      </c>
      <c r="D10" s="7" t="inlineStr">
        <is>
          <t>卫星调仓</t>
        </is>
      </c>
      <c r="E10" s="7" t="inlineStr">
        <is>
          <t>新能源电池(13.4%)</t>
        </is>
      </c>
      <c r="F10" s="7" t="inlineStr"/>
      <c r="G10" s="12" t="n">
        <v>1943.927727536868</v>
      </c>
      <c r="H10" s="8" t="n">
        <v>0.1337991555039975</v>
      </c>
      <c r="I10" s="7" t="inlineStr">
        <is>
          <t>半导体材料设备</t>
        </is>
      </c>
      <c r="J10" s="8" t="n">
        <v>0.2680767495017737</v>
      </c>
      <c r="K10" s="8" t="n">
        <v>0.3226995177829977</v>
      </c>
    </row>
    <row r="11">
      <c r="A11" s="7" t="n">
        <v>10</v>
      </c>
      <c r="B11" s="11" t="n">
        <v>43943</v>
      </c>
      <c r="C11" s="11" t="n">
        <v>43948</v>
      </c>
      <c r="D11" s="7" t="inlineStr">
        <is>
          <t>卫星调仓</t>
        </is>
      </c>
      <c r="E11" s="7" t="inlineStr">
        <is>
          <t>半导体材料设备(20.6%)</t>
        </is>
      </c>
      <c r="F11" s="7" t="inlineStr"/>
      <c r="G11" s="12" t="n">
        <v>3018.011290748597</v>
      </c>
      <c r="H11" s="8" t="n">
        <v>0.2055383733998445</v>
      </c>
      <c r="I11" s="7" t="inlineStr"/>
      <c r="J11" s="8" t="n">
        <v>0.4707899330127685</v>
      </c>
      <c r="K11" s="8" t="n">
        <v>0.4240819042011937</v>
      </c>
    </row>
    <row r="12">
      <c r="A12" s="7" t="n">
        <v>11</v>
      </c>
      <c r="B12" s="11" t="n">
        <v>43969</v>
      </c>
      <c r="C12" s="11" t="n">
        <v>43972</v>
      </c>
      <c r="D12" s="7" t="inlineStr">
        <is>
          <t>卫星调仓</t>
        </is>
      </c>
      <c r="E12" s="7" t="inlineStr"/>
      <c r="F12" s="7" t="inlineStr">
        <is>
          <t>港股通互联网(15.4%)</t>
        </is>
      </c>
      <c r="G12" s="12" t="n">
        <v>2304.272611647167</v>
      </c>
      <c r="H12" s="8" t="n">
        <v>0.1542582244482443</v>
      </c>
      <c r="I12" s="7" t="inlineStr">
        <is>
          <t>港股通互联网</t>
        </is>
      </c>
      <c r="J12" s="8" t="n">
        <v>0.3085164488964885</v>
      </c>
      <c r="K12" s="8" t="n">
        <v>0.5007330774671455</v>
      </c>
    </row>
    <row r="13">
      <c r="A13" s="7" t="n">
        <v>12</v>
      </c>
      <c r="B13" s="11" t="n">
        <v>43990</v>
      </c>
      <c r="C13" s="11" t="n">
        <v>43993</v>
      </c>
      <c r="D13" s="7" t="inlineStr">
        <is>
          <t>卫星调仓</t>
        </is>
      </c>
      <c r="E13" s="7" t="inlineStr"/>
      <c r="F13" s="7" t="inlineStr">
        <is>
          <t>半导体材料设备(15.2%)</t>
        </is>
      </c>
      <c r="G13" s="12" t="n">
        <v>2352.482048152702</v>
      </c>
      <c r="H13" s="8" t="n">
        <v>0.1519858876902561</v>
      </c>
      <c r="I13" s="7" t="inlineStr">
        <is>
          <t>港股通互联网/半导体材料设备</t>
        </is>
      </c>
      <c r="J13" s="8" t="n">
        <v>0.1457565912685516</v>
      </c>
      <c r="K13" s="8" t="n">
        <v>0.5789889291058791</v>
      </c>
    </row>
    <row r="14">
      <c r="A14" s="7" t="n">
        <v>13</v>
      </c>
      <c r="B14" s="11" t="n">
        <v>44013</v>
      </c>
      <c r="C14" s="11" t="n">
        <v>44018</v>
      </c>
      <c r="D14" s="7" t="inlineStr">
        <is>
          <t>卫星调仓</t>
        </is>
      </c>
      <c r="E14" s="7" t="inlineStr"/>
      <c r="F14" s="7" t="inlineStr">
        <is>
          <t>新能源电池(12.8%)</t>
        </is>
      </c>
      <c r="G14" s="12" t="n">
        <v>2256.063175141631</v>
      </c>
      <c r="H14" s="8" t="n">
        <v>0.1276181336354843</v>
      </c>
      <c r="I14" s="7" t="inlineStr">
        <is>
          <t>港股通互联网/半导体材料设备/新能源电池</t>
        </is>
      </c>
      <c r="J14" s="8" t="n">
        <v>0</v>
      </c>
      <c r="K14" s="8" t="n">
        <v>0.6473307174853737</v>
      </c>
    </row>
    <row r="15">
      <c r="A15" s="7" t="n">
        <v>14</v>
      </c>
      <c r="B15" s="11" t="n">
        <v>44028</v>
      </c>
      <c r="C15" s="11" t="n">
        <v>44033</v>
      </c>
      <c r="D15" s="7" t="inlineStr">
        <is>
          <t>核心再平衡</t>
        </is>
      </c>
      <c r="E15" s="7" t="inlineStr"/>
      <c r="F15" s="7" t="inlineStr"/>
      <c r="G15" s="12" t="n">
        <v>1888.410199906</v>
      </c>
      <c r="H15" s="8" t="n">
        <v>0.1016515297316257</v>
      </c>
      <c r="I15" s="7" t="inlineStr">
        <is>
          <t>港股通互联网/半导体材料设备/新能源电池</t>
        </is>
      </c>
      <c r="J15" s="8" t="n">
        <v>0</v>
      </c>
      <c r="K15" s="8" t="n">
        <v>0.6963838244674935</v>
      </c>
    </row>
    <row r="16">
      <c r="A16" s="7" t="n">
        <v>15</v>
      </c>
      <c r="B16" s="11" t="n">
        <v>44050</v>
      </c>
      <c r="C16" s="11" t="n">
        <v>44055</v>
      </c>
      <c r="D16" s="7" t="inlineStr">
        <is>
          <t>卫星调仓</t>
        </is>
      </c>
      <c r="E16" s="7" t="inlineStr">
        <is>
          <t>半导体材料设备(16.9%)</t>
        </is>
      </c>
      <c r="F16" s="7" t="inlineStr"/>
      <c r="G16" s="12" t="n">
        <v>3102.671993454969</v>
      </c>
      <c r="H16" s="8" t="n">
        <v>0.1689770444066667</v>
      </c>
      <c r="I16" s="7" t="inlineStr">
        <is>
          <t>港股通互联网/新能源电池</t>
        </is>
      </c>
      <c r="J16" s="8" t="n">
        <v>0.1689770444066667</v>
      </c>
      <c r="K16" s="8" t="n">
        <v>0.7792902317044975</v>
      </c>
    </row>
    <row r="17">
      <c r="A17" s="7" t="n">
        <v>16</v>
      </c>
      <c r="B17" s="11" t="n">
        <v>44071</v>
      </c>
      <c r="C17" s="11" t="n">
        <v>44076</v>
      </c>
      <c r="D17" s="7" t="inlineStr">
        <is>
          <t>卫星调仓</t>
        </is>
      </c>
      <c r="E17" s="7" t="inlineStr"/>
      <c r="F17" s="7" t="inlineStr">
        <is>
          <t>机器人(15.9%)</t>
        </is>
      </c>
      <c r="G17" s="12" t="n">
        <v>3102.671993454969</v>
      </c>
      <c r="H17" s="8" t="n">
        <v>0.1585341196864636</v>
      </c>
      <c r="I17" s="7" t="inlineStr">
        <is>
          <t>港股通互联网/新能源电池/机器人</t>
        </is>
      </c>
      <c r="J17" s="8" t="n">
        <v>0</v>
      </c>
      <c r="K17" s="8" t="n">
        <v>0.8620643339709291</v>
      </c>
    </row>
    <row r="18">
      <c r="A18" s="7" t="n">
        <v>17</v>
      </c>
      <c r="B18" s="11" t="n">
        <v>44228</v>
      </c>
      <c r="C18" s="11" t="n">
        <v>44231</v>
      </c>
      <c r="D18" s="7" t="inlineStr">
        <is>
          <t>核心再平衡</t>
        </is>
      </c>
      <c r="E18" s="7" t="inlineStr"/>
      <c r="F18" s="7" t="inlineStr"/>
      <c r="G18" s="12" t="n">
        <v>2565.898241802508</v>
      </c>
      <c r="H18" s="8" t="n">
        <v>0.1114103177638913</v>
      </c>
      <c r="I18" s="7" t="inlineStr">
        <is>
          <t>港股通互联网/新能源电池/机器人</t>
        </is>
      </c>
      <c r="J18" s="8" t="n">
        <v>0</v>
      </c>
      <c r="K18" s="8" t="n">
        <v>0.05592528848280209</v>
      </c>
    </row>
    <row r="19">
      <c r="A19" s="7" t="n">
        <v>18</v>
      </c>
      <c r="B19" s="11" t="n">
        <v>44237</v>
      </c>
      <c r="C19" s="11" t="n">
        <v>44249</v>
      </c>
      <c r="D19" s="7" t="inlineStr">
        <is>
          <t>卫星调仓</t>
        </is>
      </c>
      <c r="E19" s="7" t="inlineStr">
        <is>
          <t>机器人(13.6%)</t>
        </is>
      </c>
      <c r="F19" s="7" t="inlineStr"/>
      <c r="G19" s="12" t="n">
        <v>3160.852640363368</v>
      </c>
      <c r="H19" s="8" t="n">
        <v>0.1357863021506839</v>
      </c>
      <c r="I19" s="7" t="inlineStr">
        <is>
          <t>港股通互联网/新能源电池</t>
        </is>
      </c>
      <c r="J19" s="8" t="n">
        <v>0.1357863021506839</v>
      </c>
      <c r="K19" s="8" t="n">
        <v>0.1239663608927609</v>
      </c>
    </row>
    <row r="20">
      <c r="A20" s="7" t="n">
        <v>19</v>
      </c>
      <c r="B20" s="11" t="n">
        <v>44274</v>
      </c>
      <c r="C20" s="11" t="n">
        <v>44279</v>
      </c>
      <c r="D20" s="7" t="inlineStr">
        <is>
          <t>卫星调仓</t>
        </is>
      </c>
      <c r="E20" s="7" t="inlineStr">
        <is>
          <t>新能源电池(16.0%)</t>
        </is>
      </c>
      <c r="F20" s="7" t="inlineStr"/>
      <c r="G20" s="12" t="n">
        <v>3273.429510004477</v>
      </c>
      <c r="H20" s="8" t="n">
        <v>0.1602131250829472</v>
      </c>
      <c r="I20" s="7" t="inlineStr">
        <is>
          <t>港股通互联网</t>
        </is>
      </c>
      <c r="J20" s="8" t="n">
        <v>0.3149163431884769</v>
      </c>
      <c r="K20" s="8" t="n">
        <v>0.2005819839680797</v>
      </c>
    </row>
    <row r="21">
      <c r="A21" s="7" t="n">
        <v>20</v>
      </c>
      <c r="B21" s="11" t="n">
        <v>44298</v>
      </c>
      <c r="C21" s="11" t="n">
        <v>44301</v>
      </c>
      <c r="D21" s="7" t="inlineStr">
        <is>
          <t>卫星调仓</t>
        </is>
      </c>
      <c r="E21" s="7" t="inlineStr">
        <is>
          <t>港股通互联网(17.8%)</t>
        </is>
      </c>
      <c r="F21" s="7" t="inlineStr"/>
      <c r="G21" s="12" t="n">
        <v>3706.829297394783</v>
      </c>
      <c r="H21" s="8" t="n">
        <v>0.17826255605793</v>
      </c>
      <c r="I21" s="7" t="inlineStr"/>
      <c r="J21" s="8" t="n">
        <v>0.487689155046076</v>
      </c>
      <c r="K21" s="8" t="n">
        <v>0.2876153261800939</v>
      </c>
    </row>
    <row r="22">
      <c r="A22" s="7" t="n">
        <v>21</v>
      </c>
      <c r="B22" s="11" t="n">
        <v>44322</v>
      </c>
      <c r="C22" s="11" t="n">
        <v>44327</v>
      </c>
      <c r="D22" s="7" t="inlineStr">
        <is>
          <t>卫星调仓</t>
        </is>
      </c>
      <c r="E22" s="7" t="inlineStr"/>
      <c r="F22" s="7" t="inlineStr">
        <is>
          <t>港股通创新药(16.1%)</t>
        </is>
      </c>
      <c r="G22" s="12" t="n">
        <v>3380.370482587543</v>
      </c>
      <c r="H22" s="8" t="n">
        <v>0.1606343112873595</v>
      </c>
      <c r="I22" s="7" t="inlineStr">
        <is>
          <t>港股通创新药</t>
        </is>
      </c>
      <c r="J22" s="8" t="n">
        <v>0.321268622574719</v>
      </c>
      <c r="K22" s="8" t="n">
        <v>0.3668078095567583</v>
      </c>
    </row>
    <row r="23">
      <c r="A23" s="7" t="n">
        <v>22</v>
      </c>
      <c r="B23" s="11" t="n">
        <v>44347</v>
      </c>
      <c r="C23" s="11" t="n">
        <v>44350</v>
      </c>
      <c r="D23" s="7" t="inlineStr">
        <is>
          <t>卫星调仓</t>
        </is>
      </c>
      <c r="E23" s="7" t="inlineStr"/>
      <c r="F23" s="7" t="inlineStr">
        <is>
          <t>新能源电池(16.3%)</t>
        </is>
      </c>
      <c r="G23" s="12" t="n">
        <v>3596.050427872252</v>
      </c>
      <c r="H23" s="8" t="n">
        <v>0.162926408089296</v>
      </c>
      <c r="I23" s="7" t="inlineStr">
        <is>
          <t>港股通创新药/新能源电池</t>
        </is>
      </c>
      <c r="J23" s="8" t="n">
        <v>0.1433827673718183</v>
      </c>
      <c r="K23" s="8" t="n">
        <v>0.4490514028953114</v>
      </c>
    </row>
    <row r="24">
      <c r="A24" s="7" t="n">
        <v>23</v>
      </c>
      <c r="B24" s="11" t="n">
        <v>44369</v>
      </c>
      <c r="C24" s="11" t="n">
        <v>44372</v>
      </c>
      <c r="D24" s="7" t="inlineStr">
        <is>
          <t>卫星调仓</t>
        </is>
      </c>
      <c r="E24" s="7" t="inlineStr"/>
      <c r="F24" s="7" t="inlineStr">
        <is>
          <t>半导体材料设备(13.6%)</t>
        </is>
      </c>
      <c r="G24" s="12" t="n">
        <v>3164.690537302833</v>
      </c>
      <c r="H24" s="8" t="n">
        <v>0.1364859844339267</v>
      </c>
      <c r="I24" s="7" t="inlineStr">
        <is>
          <t>港股通创新药/新能源电池/半导体材料设备</t>
        </is>
      </c>
      <c r="J24" s="8" t="n">
        <v>0</v>
      </c>
      <c r="K24" s="8" t="n">
        <v>0.5197101886091546</v>
      </c>
    </row>
    <row r="25">
      <c r="A25" s="7" t="n">
        <v>24</v>
      </c>
      <c r="B25" s="11" t="n">
        <v>44413</v>
      </c>
      <c r="C25" s="11" t="n">
        <v>44418</v>
      </c>
      <c r="D25" s="7" t="inlineStr">
        <is>
          <t>卫星调仓</t>
        </is>
      </c>
      <c r="E25" s="7" t="inlineStr">
        <is>
          <t>港股通创新药(14.8%)</t>
        </is>
      </c>
      <c r="F25" s="7" t="inlineStr">
        <is>
          <t>工业有色(14.8%)</t>
        </is>
      </c>
      <c r="G25" s="12" t="n">
        <v>7400.039683764168</v>
      </c>
      <c r="H25" s="8" t="n">
        <v>0.296114721229678</v>
      </c>
      <c r="I25" s="7" t="inlineStr">
        <is>
          <t>新能源电池/半导体材料设备/工业有色</t>
        </is>
      </c>
      <c r="J25" s="8" t="n">
        <v>0</v>
      </c>
      <c r="K25" s="8" t="n">
        <v>0.6738131689847365</v>
      </c>
    </row>
    <row r="26">
      <c r="A26" s="7" t="n">
        <v>25</v>
      </c>
      <c r="B26" s="11" t="n">
        <v>44469</v>
      </c>
      <c r="C26" s="11" t="n">
        <v>44481</v>
      </c>
      <c r="D26" s="7" t="inlineStr">
        <is>
          <t>卫星调仓</t>
        </is>
      </c>
      <c r="E26" s="7" t="inlineStr">
        <is>
          <t>半导体材料设备(14.2%)</t>
        </is>
      </c>
      <c r="F26" s="7" t="inlineStr"/>
      <c r="G26" s="12" t="n">
        <v>3246.393825838271</v>
      </c>
      <c r="H26" s="8" t="n">
        <v>0.1424452916898853</v>
      </c>
      <c r="I26" s="7" t="inlineStr">
        <is>
          <t>新能源电池/工业有色</t>
        </is>
      </c>
      <c r="J26" s="8" t="n">
        <v>0.1424452916898853</v>
      </c>
      <c r="K26" s="8" t="n">
        <v>0.7327085378547044</v>
      </c>
    </row>
    <row r="27">
      <c r="A27" s="7" t="n">
        <v>26</v>
      </c>
      <c r="B27" s="11" t="n">
        <v>44497</v>
      </c>
      <c r="C27" s="11" t="n">
        <v>44502</v>
      </c>
      <c r="D27" s="7" t="inlineStr">
        <is>
          <t>卫星调仓</t>
        </is>
      </c>
      <c r="E27" s="7" t="inlineStr">
        <is>
          <t>工业有色(14.3%)</t>
        </is>
      </c>
      <c r="F27" s="7" t="inlineStr"/>
      <c r="G27" s="12" t="n">
        <v>3429.161766445758</v>
      </c>
      <c r="H27" s="8" t="n">
        <v>0.1427678470189117</v>
      </c>
      <c r="I27" s="7" t="inlineStr">
        <is>
          <t>新能源电池</t>
        </is>
      </c>
      <c r="J27" s="8" t="n">
        <v>0.277926433477434</v>
      </c>
      <c r="K27" s="8" t="n">
        <v>0.8049930460420388</v>
      </c>
    </row>
    <row r="28">
      <c r="A28" s="7" t="n">
        <v>27</v>
      </c>
      <c r="B28" s="11" t="n">
        <v>44531</v>
      </c>
      <c r="C28" s="11" t="n">
        <v>44536</v>
      </c>
      <c r="D28" s="7" t="inlineStr">
        <is>
          <t>卫星调仓</t>
        </is>
      </c>
      <c r="E28" s="7" t="inlineStr"/>
      <c r="F28" s="7" t="inlineStr">
        <is>
          <t>通信设备(16.7%)</t>
        </is>
      </c>
      <c r="G28" s="12" t="n">
        <v>4143.202761714779</v>
      </c>
      <c r="H28" s="8" t="n">
        <v>0.1666096158089616</v>
      </c>
      <c r="I28" s="7" t="inlineStr">
        <is>
          <t>新能源电池/通信设备</t>
        </is>
      </c>
      <c r="J28" s="8" t="n">
        <v>0.1018328950956912</v>
      </c>
      <c r="K28" s="8" t="n">
        <v>0.8876413921827744</v>
      </c>
    </row>
    <row r="29">
      <c r="A29" s="7" t="n">
        <v>28</v>
      </c>
      <c r="B29" s="11" t="n">
        <v>44572</v>
      </c>
      <c r="C29" s="11" t="n">
        <v>44575</v>
      </c>
      <c r="D29" s="7" t="inlineStr">
        <is>
          <t>卫星调仓</t>
        </is>
      </c>
      <c r="E29" s="7" t="inlineStr">
        <is>
          <t>新能源电池(20.8%)</t>
        </is>
      </c>
      <c r="F29" s="7" t="inlineStr"/>
      <c r="G29" s="12" t="n">
        <v>4918.825607561886</v>
      </c>
      <c r="H29" s="8" t="n">
        <v>0.2075947584146131</v>
      </c>
      <c r="I29" s="7" t="inlineStr">
        <is>
          <t>通信设备</t>
        </is>
      </c>
      <c r="J29" s="8" t="n">
        <v>0.3144705080395649</v>
      </c>
      <c r="K29" s="8" t="n">
        <v>0.1029538364508086</v>
      </c>
    </row>
    <row r="30">
      <c r="A30" s="7" t="n">
        <v>29</v>
      </c>
      <c r="B30" s="11" t="n">
        <v>44603</v>
      </c>
      <c r="C30" s="11" t="n">
        <v>44608</v>
      </c>
      <c r="D30" s="7" t="inlineStr">
        <is>
          <t>卫星调仓</t>
        </is>
      </c>
      <c r="E30" s="7" t="inlineStr">
        <is>
          <t>通信设备(17.1%)</t>
        </is>
      </c>
      <c r="F30" s="7" t="inlineStr"/>
      <c r="G30" s="12" t="n">
        <v>3876.491967449969</v>
      </c>
      <c r="H30" s="8" t="n">
        <v>0.1713400492269864</v>
      </c>
      <c r="I30" s="7" t="inlineStr"/>
      <c r="J30" s="8" t="n">
        <v>0.5006804144614527</v>
      </c>
      <c r="K30" s="8" t="n">
        <v>0.1886090111946829</v>
      </c>
    </row>
    <row r="31">
      <c r="A31" s="7" t="n">
        <v>30</v>
      </c>
      <c r="B31" s="11" t="n">
        <v>44672</v>
      </c>
      <c r="C31" s="11" t="n">
        <v>44677</v>
      </c>
      <c r="D31" s="7" t="inlineStr">
        <is>
          <t>核心再平衡</t>
        </is>
      </c>
      <c r="E31" s="7" t="inlineStr"/>
      <c r="F31" s="7" t="inlineStr"/>
      <c r="G31" s="12" t="n">
        <v>2977.220534121486</v>
      </c>
      <c r="H31" s="8" t="n">
        <v>0.1493138351628231</v>
      </c>
      <c r="I31" s="7" t="inlineStr"/>
      <c r="J31" s="8" t="n">
        <v>0.495</v>
      </c>
      <c r="K31" s="8" t="n">
        <v>0.2633857529943271</v>
      </c>
    </row>
    <row r="32">
      <c r="A32" s="7" t="n">
        <v>31</v>
      </c>
      <c r="B32" s="11" t="n">
        <v>44727</v>
      </c>
      <c r="C32" s="11" t="n">
        <v>44732</v>
      </c>
      <c r="D32" s="7" t="inlineStr">
        <is>
          <t>卫星调仓</t>
        </is>
      </c>
      <c r="E32" s="7" t="inlineStr"/>
      <c r="F32" s="7" t="inlineStr">
        <is>
          <t>港股通互联网(15.0%)</t>
        </is>
      </c>
      <c r="G32" s="12" t="n">
        <v>3289.992435023576</v>
      </c>
      <c r="H32" s="8" t="n">
        <v>0.1502710547173499</v>
      </c>
      <c r="I32" s="7" t="inlineStr">
        <is>
          <t>港股通互联网</t>
        </is>
      </c>
      <c r="J32" s="8" t="n">
        <v>0.3005421094346998</v>
      </c>
      <c r="K32" s="8" t="n">
        <v>0.3432257633731127</v>
      </c>
    </row>
    <row r="33">
      <c r="A33" s="7" t="n">
        <v>32</v>
      </c>
      <c r="B33" s="11" t="n">
        <v>44742</v>
      </c>
      <c r="C33" s="11" t="n">
        <v>44747</v>
      </c>
      <c r="D33" s="7" t="inlineStr">
        <is>
          <t>核心再平衡</t>
        </is>
      </c>
      <c r="E33" s="7" t="inlineStr"/>
      <c r="F33" s="7" t="inlineStr"/>
      <c r="G33" s="12" t="n">
        <v>2467.586541515877</v>
      </c>
      <c r="H33" s="8" t="n">
        <v>0.1090581862623107</v>
      </c>
      <c r="I33" s="7" t="inlineStr">
        <is>
          <t>港股通互联网</t>
        </is>
      </c>
      <c r="J33" s="8" t="n">
        <v>0.325933818262619</v>
      </c>
      <c r="K33" s="8" t="n">
        <v>0.3988886224435888</v>
      </c>
    </row>
    <row r="34">
      <c r="A34" s="7" t="n">
        <v>33</v>
      </c>
      <c r="B34" s="11" t="n">
        <v>44748</v>
      </c>
      <c r="C34" s="11" t="n">
        <v>44753</v>
      </c>
      <c r="D34" s="7" t="inlineStr">
        <is>
          <t>卫星调仓</t>
        </is>
      </c>
      <c r="E34" s="7" t="inlineStr"/>
      <c r="F34" s="7" t="inlineStr">
        <is>
          <t>新能源电池(16.6%), 工业有色(16.6%)</t>
        </is>
      </c>
      <c r="G34" s="12" t="n">
        <v>7324.988974372517</v>
      </c>
      <c r="H34" s="8" t="n">
        <v>0.3326268176756598</v>
      </c>
      <c r="I34" s="7" t="inlineStr">
        <is>
          <t>港股通互联网/新能源电池/工业有色</t>
        </is>
      </c>
      <c r="J34" s="8" t="n">
        <v>0.002256745587588823</v>
      </c>
      <c r="K34" s="8" t="n">
        <v>0.5652777794550856</v>
      </c>
    </row>
    <row r="35">
      <c r="A35" s="7" t="n">
        <v>34</v>
      </c>
      <c r="B35" s="11" t="n">
        <v>44769</v>
      </c>
      <c r="C35" s="11" t="n">
        <v>44774</v>
      </c>
      <c r="D35" s="7" t="inlineStr">
        <is>
          <t>卫星调仓</t>
        </is>
      </c>
      <c r="E35" s="7" t="inlineStr">
        <is>
          <t>港股通互联网(15.4%)</t>
        </is>
      </c>
      <c r="F35" s="7" t="inlineStr"/>
      <c r="G35" s="12" t="n">
        <v>3336.798584426854</v>
      </c>
      <c r="H35" s="8" t="n">
        <v>0.1537362594302171</v>
      </c>
      <c r="I35" s="7" t="inlineStr">
        <is>
          <t>新能源电池/工业有色</t>
        </is>
      </c>
      <c r="J35" s="8" t="n">
        <v>0.1560259596926371</v>
      </c>
      <c r="K35" s="8" t="n">
        <v>0.6417604675881587</v>
      </c>
    </row>
    <row r="36">
      <c r="A36" s="7" t="n">
        <v>35</v>
      </c>
      <c r="B36" s="11" t="n">
        <v>44790</v>
      </c>
      <c r="C36" s="11" t="n">
        <v>44795</v>
      </c>
      <c r="D36" s="7" t="inlineStr">
        <is>
          <t>卫星调仓</t>
        </is>
      </c>
      <c r="E36" s="7" t="inlineStr">
        <is>
          <t>工业有色(16.1%)</t>
        </is>
      </c>
      <c r="F36" s="7" t="inlineStr"/>
      <c r="G36" s="12" t="n">
        <v>3590.526063344464</v>
      </c>
      <c r="H36" s="8" t="n">
        <v>0.160982749110219</v>
      </c>
      <c r="I36" s="7" t="inlineStr">
        <is>
          <t>新能源电池</t>
        </is>
      </c>
      <c r="J36" s="8" t="n">
        <v>0.3128177167165582</v>
      </c>
      <c r="K36" s="8" t="n">
        <v>0.7240944011604327</v>
      </c>
    </row>
    <row r="37">
      <c r="A37" s="7" t="n">
        <v>36</v>
      </c>
      <c r="B37" s="11" t="n">
        <v>44832</v>
      </c>
      <c r="C37" s="11" t="n">
        <v>44844</v>
      </c>
      <c r="D37" s="7" t="inlineStr">
        <is>
          <t>卫星调仓</t>
        </is>
      </c>
      <c r="E37" s="7" t="inlineStr">
        <is>
          <t>新能源电池(17.0%)</t>
        </is>
      </c>
      <c r="F37" s="7" t="inlineStr"/>
      <c r="G37" s="12" t="n">
        <v>3311.791300382458</v>
      </c>
      <c r="H37" s="8" t="n">
        <v>0.1701455975537883</v>
      </c>
      <c r="I37" s="7" t="inlineStr"/>
      <c r="J37" s="8" t="n">
        <v>0.5285949838430675</v>
      </c>
      <c r="K37" s="8" t="n">
        <v>0.8066888971549926</v>
      </c>
    </row>
    <row r="38">
      <c r="A38" s="7" t="n">
        <v>37</v>
      </c>
      <c r="B38" s="11" t="n">
        <v>44866</v>
      </c>
      <c r="C38" s="11" t="n">
        <v>44869</v>
      </c>
      <c r="D38" s="7" t="inlineStr">
        <is>
          <t>卫星调仓</t>
        </is>
      </c>
      <c r="E38" s="7" t="inlineStr"/>
      <c r="F38" s="7" t="inlineStr">
        <is>
          <t>计算机(16.7%)</t>
        </is>
      </c>
      <c r="G38" s="12" t="n">
        <v>3429.604397813582</v>
      </c>
      <c r="H38" s="8" t="n">
        <v>0.167330250141053</v>
      </c>
      <c r="I38" s="7" t="inlineStr">
        <is>
          <t>计算机</t>
        </is>
      </c>
      <c r="J38" s="8" t="n">
        <v>0.3346605002821061</v>
      </c>
      <c r="K38" s="8" t="n">
        <v>0.891822878789886</v>
      </c>
    </row>
    <row r="39">
      <c r="A39" s="7" t="n">
        <v>38</v>
      </c>
      <c r="B39" s="11" t="n">
        <v>44887</v>
      </c>
      <c r="C39" s="11" t="n">
        <v>44890</v>
      </c>
      <c r="D39" s="7" t="inlineStr">
        <is>
          <t>卫星调仓</t>
        </is>
      </c>
      <c r="E39" s="7" t="inlineStr"/>
      <c r="F39" s="7" t="inlineStr">
        <is>
          <t>卫星产业(16.9%)</t>
        </is>
      </c>
      <c r="G39" s="12" t="n">
        <v>3394.655435932893</v>
      </c>
      <c r="H39" s="8" t="n">
        <v>0.1688633039657284</v>
      </c>
      <c r="I39" s="7" t="inlineStr">
        <is>
          <t>计算机/卫星产业</t>
        </is>
      </c>
      <c r="J39" s="8" t="n">
        <v>0.172340297307012</v>
      </c>
      <c r="K39" s="8" t="n">
        <v>0.9740695725144827</v>
      </c>
    </row>
    <row r="40">
      <c r="A40" s="7" t="n">
        <v>39</v>
      </c>
      <c r="B40" s="11" t="n">
        <v>44915</v>
      </c>
      <c r="C40" s="11" t="n">
        <v>44918</v>
      </c>
      <c r="D40" s="7" t="inlineStr">
        <is>
          <t>卫星调仓</t>
        </is>
      </c>
      <c r="E40" s="7" t="inlineStr"/>
      <c r="F40" s="7" t="inlineStr">
        <is>
          <t>港股通互联网(16.9%)</t>
        </is>
      </c>
      <c r="G40" s="12" t="n">
        <v>3281.213118354106</v>
      </c>
      <c r="H40" s="8" t="n">
        <v>0.16945951167502</v>
      </c>
      <c r="I40" s="7" t="inlineStr">
        <is>
          <t>计算机/卫星产业/港股通互联网</t>
        </is>
      </c>
      <c r="J40" s="8" t="n">
        <v>0.009468677177381615</v>
      </c>
      <c r="K40" s="8" t="n">
        <v>1.056276708572308</v>
      </c>
    </row>
    <row r="41">
      <c r="A41" s="7" t="n">
        <v>40</v>
      </c>
      <c r="B41" s="11" t="n">
        <v>44985</v>
      </c>
      <c r="C41" s="11" t="n">
        <v>44988</v>
      </c>
      <c r="D41" s="7" t="inlineStr">
        <is>
          <t>卫星调仓</t>
        </is>
      </c>
      <c r="E41" s="7" t="inlineStr">
        <is>
          <t>港股通互联网(14.7%)</t>
        </is>
      </c>
      <c r="F41" s="7" t="inlineStr"/>
      <c r="G41" s="12" t="n">
        <v>3250.376389703336</v>
      </c>
      <c r="H41" s="8" t="n">
        <v>0.1466068123633946</v>
      </c>
      <c r="I41" s="7" t="inlineStr">
        <is>
          <t>计算机/卫星产业</t>
        </is>
      </c>
      <c r="J41" s="8" t="n">
        <v>0.1548762941520161</v>
      </c>
      <c r="K41" s="8" t="n">
        <v>0.07566500549189246</v>
      </c>
    </row>
    <row r="42">
      <c r="A42" s="7" t="n">
        <v>41</v>
      </c>
      <c r="B42" s="11" t="n">
        <v>45006</v>
      </c>
      <c r="C42" s="11" t="n">
        <v>45009</v>
      </c>
      <c r="D42" s="7" t="inlineStr">
        <is>
          <t>卫星调仓</t>
        </is>
      </c>
      <c r="E42" s="7" t="inlineStr"/>
      <c r="F42" s="7" t="inlineStr">
        <is>
          <t>通信设备(14.8%)</t>
        </is>
      </c>
      <c r="G42" s="12" t="n">
        <v>3433.716631043501</v>
      </c>
      <c r="H42" s="8" t="n">
        <v>0.1480676259255886</v>
      </c>
      <c r="I42" s="7" t="inlineStr">
        <is>
          <t>计算机/卫星产业/通信设备</t>
        </is>
      </c>
      <c r="J42" s="8" t="n">
        <v>0</v>
      </c>
      <c r="K42" s="8" t="n">
        <v>0.153913965100684</v>
      </c>
    </row>
    <row r="43">
      <c r="A43" s="7" t="n">
        <v>42</v>
      </c>
      <c r="B43" s="11" t="n">
        <v>45037</v>
      </c>
      <c r="C43" s="11" t="n">
        <v>45042</v>
      </c>
      <c r="D43" s="7" t="inlineStr">
        <is>
          <t>卫星调仓</t>
        </is>
      </c>
      <c r="E43" s="7" t="inlineStr">
        <is>
          <t>卫星产业(16.9%)</t>
        </is>
      </c>
      <c r="F43" s="7" t="inlineStr">
        <is>
          <t>科创芯片设计(16.7%)</t>
        </is>
      </c>
      <c r="G43" s="12" t="n">
        <v>7374.136680530596</v>
      </c>
      <c r="H43" s="8" t="n">
        <v>0.3358254694549548</v>
      </c>
      <c r="I43" s="7" t="inlineStr">
        <is>
          <t>计算机/通信设备/科创芯片设计</t>
        </is>
      </c>
      <c r="J43" s="8" t="n">
        <v>0.001196547412337867</v>
      </c>
      <c r="K43" s="8" t="n">
        <v>0.3166379411240715</v>
      </c>
    </row>
    <row r="44">
      <c r="A44" s="7" t="n">
        <v>43</v>
      </c>
      <c r="B44" s="11" t="n">
        <v>45068</v>
      </c>
      <c r="C44" s="11" t="n">
        <v>45071</v>
      </c>
      <c r="D44" s="7" t="inlineStr">
        <is>
          <t>卫星调仓</t>
        </is>
      </c>
      <c r="E44" s="7" t="inlineStr">
        <is>
          <t>科创芯片设计(16.7%)</t>
        </is>
      </c>
      <c r="F44" s="7" t="inlineStr"/>
      <c r="G44" s="12" t="n">
        <v>3582.283641894923</v>
      </c>
      <c r="H44" s="8" t="n">
        <v>0.1674834161013388</v>
      </c>
      <c r="I44" s="7" t="inlineStr">
        <is>
          <t>计算机/通信设备</t>
        </is>
      </c>
      <c r="J44" s="8" t="n">
        <v>0.1687118146791775</v>
      </c>
      <c r="K44" s="8" t="n">
        <v>0.3994944442095409</v>
      </c>
    </row>
    <row r="45">
      <c r="A45" s="7" t="n">
        <v>44</v>
      </c>
      <c r="B45" s="11" t="n">
        <v>45111</v>
      </c>
      <c r="C45" s="11" t="n">
        <v>45114</v>
      </c>
      <c r="D45" s="7" t="inlineStr">
        <is>
          <t>卫星调仓</t>
        </is>
      </c>
      <c r="E45" s="7" t="inlineStr"/>
      <c r="F45" s="7" t="inlineStr">
        <is>
          <t>机器人(16.1%)</t>
        </is>
      </c>
      <c r="G45" s="12" t="n">
        <v>3608.557718657579</v>
      </c>
      <c r="H45" s="8" t="n">
        <v>0.161232132547078</v>
      </c>
      <c r="I45" s="7" t="inlineStr">
        <is>
          <t>计算机/通信设备/机器人</t>
        </is>
      </c>
      <c r="J45" s="8" t="n">
        <v>0</v>
      </c>
      <c r="K45" s="8" t="n">
        <v>0.478922502982785</v>
      </c>
    </row>
    <row r="46">
      <c r="A46" s="7" t="n">
        <v>45</v>
      </c>
      <c r="B46" s="11" t="n">
        <v>45132</v>
      </c>
      <c r="C46" s="11" t="n">
        <v>45135</v>
      </c>
      <c r="D46" s="7" t="inlineStr">
        <is>
          <t>卫星调仓</t>
        </is>
      </c>
      <c r="E46" s="7" t="inlineStr">
        <is>
          <t>计算机(17.5%)</t>
        </is>
      </c>
      <c r="F46" s="7" t="inlineStr"/>
      <c r="G46" s="12" t="n">
        <v>3809.460841685437</v>
      </c>
      <c r="H46" s="8" t="n">
        <v>0.175122355812155</v>
      </c>
      <c r="I46" s="7" t="inlineStr">
        <is>
          <t>通信设备/机器人</t>
        </is>
      </c>
      <c r="J46" s="8" t="n">
        <v>0.175122355812155</v>
      </c>
      <c r="K46" s="8" t="n">
        <v>0.5651298361175711</v>
      </c>
    </row>
    <row r="47">
      <c r="A47" s="7" t="n">
        <v>46</v>
      </c>
      <c r="B47" s="11" t="n">
        <v>45162</v>
      </c>
      <c r="C47" s="11" t="n">
        <v>45167</v>
      </c>
      <c r="D47" s="7" t="inlineStr">
        <is>
          <t>卫星调仓</t>
        </is>
      </c>
      <c r="E47" s="7" t="inlineStr">
        <is>
          <t>通信设备(16.6%), 机器人(16.0%)</t>
        </is>
      </c>
      <c r="F47" s="7" t="inlineStr"/>
      <c r="G47" s="12" t="n">
        <v>6768.49732310266</v>
      </c>
      <c r="H47" s="8" t="n">
        <v>0.3265793644282964</v>
      </c>
      <c r="I47" s="7" t="inlineStr"/>
      <c r="J47" s="8" t="n">
        <v>0.5103854946672347</v>
      </c>
      <c r="K47" s="8" t="n">
        <v>0.7226891361548714</v>
      </c>
    </row>
    <row r="48">
      <c r="A48" s="7" t="n">
        <v>47</v>
      </c>
      <c r="B48" s="11" t="n">
        <v>45239</v>
      </c>
      <c r="C48" s="11" t="n">
        <v>45244</v>
      </c>
      <c r="D48" s="7" t="inlineStr">
        <is>
          <t>卫星调仓</t>
        </is>
      </c>
      <c r="E48" s="7" t="inlineStr"/>
      <c r="F48" s="7" t="inlineStr">
        <is>
          <t>卫星产业(17.3%)</t>
        </is>
      </c>
      <c r="G48" s="12" t="n">
        <v>3525.986054929366</v>
      </c>
      <c r="H48" s="8" t="n">
        <v>0.172505427310124</v>
      </c>
      <c r="I48" s="7" t="inlineStr">
        <is>
          <t>卫星产业</t>
        </is>
      </c>
      <c r="J48" s="8" t="n">
        <v>0.3450108546202481</v>
      </c>
      <c r="K48" s="8" t="n">
        <v>0.8174531551562466</v>
      </c>
    </row>
    <row r="49">
      <c r="A49" s="7" t="n">
        <v>48</v>
      </c>
      <c r="B49" s="11" t="n">
        <v>45273</v>
      </c>
      <c r="C49" s="11" t="n">
        <v>45278</v>
      </c>
      <c r="D49" s="7" t="inlineStr">
        <is>
          <t>卫星调仓</t>
        </is>
      </c>
      <c r="E49" s="7" t="inlineStr"/>
      <c r="F49" s="7" t="inlineStr">
        <is>
          <t>科创芯片设计(17.7%)</t>
        </is>
      </c>
      <c r="G49" s="12" t="n">
        <v>3419.412277269446</v>
      </c>
      <c r="H49" s="8" t="n">
        <v>0.1773956847242808</v>
      </c>
      <c r="I49" s="7" t="inlineStr">
        <is>
          <t>卫星产业/科创芯片设计</t>
        </is>
      </c>
      <c r="J49" s="8" t="n">
        <v>0.1884535664470029</v>
      </c>
      <c r="K49" s="8" t="n">
        <v>0.903898443430359</v>
      </c>
    </row>
    <row r="50">
      <c r="A50" s="7" t="n">
        <v>49</v>
      </c>
      <c r="B50" s="11" t="n">
        <v>45295</v>
      </c>
      <c r="C50" s="11" t="n">
        <v>45300</v>
      </c>
      <c r="D50" s="7" t="inlineStr">
        <is>
          <t>卫星调仓</t>
        </is>
      </c>
      <c r="E50" s="7" t="inlineStr">
        <is>
          <t>卫星产业(15.9%)</t>
        </is>
      </c>
      <c r="F50" s="7" t="inlineStr"/>
      <c r="G50" s="12" t="n">
        <v>2927.116117119611</v>
      </c>
      <c r="H50" s="8" t="n">
        <v>0.1590863366706183</v>
      </c>
      <c r="I50" s="7" t="inlineStr">
        <is>
          <t>科创芯片设计</t>
        </is>
      </c>
      <c r="J50" s="8" t="n">
        <v>0.3565129550147274</v>
      </c>
      <c r="K50" s="8" t="n">
        <v>0.0774852851966091</v>
      </c>
    </row>
    <row r="51">
      <c r="A51" s="7" t="n">
        <v>50</v>
      </c>
      <c r="B51" s="11" t="n">
        <v>45316</v>
      </c>
      <c r="C51" s="11" t="n">
        <v>45321</v>
      </c>
      <c r="D51" s="7" t="inlineStr">
        <is>
          <t>卫星调仓</t>
        </is>
      </c>
      <c r="E51" s="7" t="inlineStr">
        <is>
          <t>科创芯片设计(14.9%)</t>
        </is>
      </c>
      <c r="F51" s="7" t="inlineStr"/>
      <c r="G51" s="12" t="n">
        <v>2583.901255885029</v>
      </c>
      <c r="H51" s="8" t="n">
        <v>0.148794848329966</v>
      </c>
      <c r="I51" s="7" t="inlineStr"/>
      <c r="J51" s="8" t="n">
        <v>0.5265360587603731</v>
      </c>
      <c r="K51" s="8" t="n">
        <v>0.1503829759920529</v>
      </c>
    </row>
    <row r="52">
      <c r="A52" s="7" t="n">
        <v>51</v>
      </c>
      <c r="B52" s="11" t="n">
        <v>45356</v>
      </c>
      <c r="C52" s="11" t="n">
        <v>45359</v>
      </c>
      <c r="D52" s="7" t="inlineStr">
        <is>
          <t>卫星调仓</t>
        </is>
      </c>
      <c r="E52" s="7" t="inlineStr"/>
      <c r="F52" s="7" t="inlineStr">
        <is>
          <t>通信设备(16.4%)</t>
        </is>
      </c>
      <c r="G52" s="12" t="n">
        <v>3047.859068531308</v>
      </c>
      <c r="H52" s="8" t="n">
        <v>0.1644735409823226</v>
      </c>
      <c r="I52" s="7" t="inlineStr">
        <is>
          <t>通信设备</t>
        </is>
      </c>
      <c r="J52" s="8" t="n">
        <v>0.3289470819646452</v>
      </c>
      <c r="K52" s="8" t="n">
        <v>0.2359178108280731</v>
      </c>
    </row>
    <row r="53">
      <c r="A53" s="7" t="n">
        <v>52</v>
      </c>
      <c r="B53" s="11" t="n">
        <v>45377</v>
      </c>
      <c r="C53" s="11" t="n">
        <v>45380</v>
      </c>
      <c r="D53" s="7" t="inlineStr">
        <is>
          <t>卫星调仓</t>
        </is>
      </c>
      <c r="E53" s="7" t="inlineStr"/>
      <c r="F53" s="7" t="inlineStr">
        <is>
          <t>工业有色(16.4%)</t>
        </is>
      </c>
      <c r="G53" s="12" t="n">
        <v>3005.342750752653</v>
      </c>
      <c r="H53" s="8" t="n">
        <v>0.1641308088545312</v>
      </c>
      <c r="I53" s="7" t="inlineStr">
        <is>
          <t>通信设备/工业有色</t>
        </is>
      </c>
      <c r="J53" s="8" t="n">
        <v>0.1687746968934441</v>
      </c>
      <c r="K53" s="8" t="n">
        <v>0.3166887009920929</v>
      </c>
    </row>
    <row r="54">
      <c r="A54" s="7" t="n">
        <v>53</v>
      </c>
      <c r="B54" s="11" t="n">
        <v>45407</v>
      </c>
      <c r="C54" s="11" t="n">
        <v>45412</v>
      </c>
      <c r="D54" s="7" t="inlineStr">
        <is>
          <t>卫星调仓</t>
        </is>
      </c>
      <c r="E54" s="7" t="inlineStr"/>
      <c r="F54" s="7" t="inlineStr">
        <is>
          <t>港股通互联网(16.4%)</t>
        </is>
      </c>
      <c r="G54" s="12" t="n">
        <v>3059.209428211379</v>
      </c>
      <c r="H54" s="8" t="n">
        <v>0.1643772739795778</v>
      </c>
      <c r="I54" s="7" t="inlineStr">
        <is>
          <t>通信设备/工业有色/港股通互联网</t>
        </is>
      </c>
      <c r="J54" s="8" t="n">
        <v>0.001674607559052313</v>
      </c>
      <c r="K54" s="8" t="n">
        <v>0.4000224399621906</v>
      </c>
    </row>
    <row r="55">
      <c r="A55" s="7" t="n">
        <v>54</v>
      </c>
      <c r="B55" s="11" t="n">
        <v>45454</v>
      </c>
      <c r="C55" s="11" t="n">
        <v>45457</v>
      </c>
      <c r="D55" s="7" t="inlineStr">
        <is>
          <t>复核撤销</t>
        </is>
      </c>
      <c r="E55" s="7" t="inlineStr"/>
      <c r="F55" s="7" t="inlineStr"/>
      <c r="G55" s="12" t="n">
        <v>0</v>
      </c>
      <c r="H55" s="8" t="n">
        <v>0</v>
      </c>
      <c r="I55" s="7" t="inlineStr">
        <is>
          <t>通信设备/工业有色/港股通互联网</t>
        </is>
      </c>
      <c r="J55" s="8" t="n">
        <v>0.001706456285208672</v>
      </c>
      <c r="K55" s="8" t="n">
        <v>0.3983304727857922</v>
      </c>
    </row>
    <row r="56">
      <c r="A56" s="7" t="n">
        <v>55</v>
      </c>
      <c r="B56" s="11" t="n">
        <v>45461</v>
      </c>
      <c r="C56" s="11" t="n">
        <v>45464</v>
      </c>
      <c r="D56" s="7" t="inlineStr">
        <is>
          <t>卫星调仓</t>
        </is>
      </c>
      <c r="E56" s="7" t="inlineStr">
        <is>
          <t>工业有色(15.6%)</t>
        </is>
      </c>
      <c r="F56" s="7" t="inlineStr"/>
      <c r="G56" s="12" t="n">
        <v>2844.998608836831</v>
      </c>
      <c r="H56" s="8" t="n">
        <v>0.1556744160506878</v>
      </c>
      <c r="I56" s="7" t="inlineStr">
        <is>
          <t>通信设备/港股通互联网</t>
        </is>
      </c>
      <c r="J56" s="8" t="n">
        <v>0.1573797744689968</v>
      </c>
      <c r="K56" s="8" t="n">
        <v>0.4757907563671021</v>
      </c>
    </row>
    <row r="57">
      <c r="A57" s="7" t="n">
        <v>56</v>
      </c>
      <c r="B57" s="11" t="n">
        <v>45483</v>
      </c>
      <c r="C57" s="11" t="n">
        <v>45488</v>
      </c>
      <c r="D57" s="7" t="inlineStr">
        <is>
          <t>卫星调仓</t>
        </is>
      </c>
      <c r="E57" s="7" t="inlineStr">
        <is>
          <t>港股通互联网(16.5%)</t>
        </is>
      </c>
      <c r="F57" s="7" t="inlineStr"/>
      <c r="G57" s="12" t="n">
        <v>2980.200512154433</v>
      </c>
      <c r="H57" s="8" t="n">
        <v>0.1654866156485523</v>
      </c>
      <c r="I57" s="7" t="inlineStr">
        <is>
          <t>通信设备</t>
        </is>
      </c>
      <c r="J57" s="8" t="n">
        <v>0.3251962520603461</v>
      </c>
      <c r="K57" s="8" t="n">
        <v>0.5586475459765293</v>
      </c>
    </row>
    <row r="58">
      <c r="A58" s="7" t="n">
        <v>57</v>
      </c>
      <c r="B58" s="11" t="n">
        <v>45509</v>
      </c>
      <c r="C58" s="11" t="n">
        <v>45512</v>
      </c>
      <c r="D58" s="7" t="inlineStr">
        <is>
          <t>卫星调仓</t>
        </is>
      </c>
      <c r="E58" s="7" t="inlineStr">
        <is>
          <t>通信设备(15.1%)</t>
        </is>
      </c>
      <c r="F58" s="7" t="inlineStr"/>
      <c r="G58" s="12" t="n">
        <v>2596.776573789006</v>
      </c>
      <c r="H58" s="8" t="n">
        <v>0.1514098065812192</v>
      </c>
      <c r="I58" s="7" t="inlineStr"/>
      <c r="J58" s="8" t="n">
        <v>0.4928758814234547</v>
      </c>
      <c r="K58" s="8" t="n">
        <v>0.6324656931348833</v>
      </c>
    </row>
    <row r="59">
      <c r="A59" s="7" t="n">
        <v>58</v>
      </c>
      <c r="B59" s="11" t="n">
        <v>45530</v>
      </c>
      <c r="C59" s="11" t="n">
        <v>45533</v>
      </c>
      <c r="D59" s="7" t="inlineStr">
        <is>
          <t>卫星调仓</t>
        </is>
      </c>
      <c r="E59" s="7" t="inlineStr"/>
      <c r="F59" s="7" t="inlineStr">
        <is>
          <t>港股通创新药(16.7%)</t>
        </is>
      </c>
      <c r="G59" s="12" t="n">
        <v>2817.713884292951</v>
      </c>
      <c r="H59" s="8" t="n">
        <v>0.1667569318807518</v>
      </c>
      <c r="I59" s="7" t="inlineStr">
        <is>
          <t>港股通创新药</t>
        </is>
      </c>
      <c r="J59" s="8" t="n">
        <v>0.3335138637615036</v>
      </c>
      <c r="K59" s="8" t="n">
        <v>0.7142904777914392</v>
      </c>
    </row>
    <row r="60">
      <c r="A60" s="7" t="n">
        <v>59</v>
      </c>
      <c r="B60" s="11" t="n">
        <v>45575</v>
      </c>
      <c r="C60" s="11" t="n">
        <v>45580</v>
      </c>
      <c r="D60" s="7" t="inlineStr">
        <is>
          <t>卫星调仓</t>
        </is>
      </c>
      <c r="E60" s="7" t="inlineStr"/>
      <c r="F60" s="7" t="inlineStr">
        <is>
          <t>港股通互联网(15.7%)</t>
        </is>
      </c>
      <c r="G60" s="12" t="n">
        <v>2991.546608854881</v>
      </c>
      <c r="H60" s="8" t="n">
        <v>0.1571229294843664</v>
      </c>
      <c r="I60" s="7" t="inlineStr">
        <is>
          <t>港股通创新药/港股通互联网</t>
        </is>
      </c>
      <c r="J60" s="8" t="n">
        <v>0.1388627380218143</v>
      </c>
      <c r="K60" s="8" t="n">
        <v>0.7992907057830211</v>
      </c>
    </row>
    <row r="61">
      <c r="A61" s="7" t="n">
        <v>60</v>
      </c>
      <c r="B61" s="11" t="n">
        <v>45596</v>
      </c>
      <c r="C61" s="11" t="n">
        <v>45601</v>
      </c>
      <c r="D61" s="7" t="inlineStr">
        <is>
          <t>卫星调仓</t>
        </is>
      </c>
      <c r="E61" s="7" t="inlineStr"/>
      <c r="F61" s="7" t="inlineStr">
        <is>
          <t>计算机(13.1%)</t>
        </is>
      </c>
      <c r="G61" s="12" t="n">
        <v>2643.881159731022</v>
      </c>
      <c r="H61" s="8" t="n">
        <v>0.1313857044011945</v>
      </c>
      <c r="I61" s="7" t="inlineStr">
        <is>
          <t>港股通创新药/港股通互联网/计算机</t>
        </is>
      </c>
      <c r="J61" s="8" t="n">
        <v>0</v>
      </c>
      <c r="K61" s="8" t="n">
        <v>0.8672178695535705</v>
      </c>
    </row>
    <row r="62">
      <c r="A62" s="7" t="n">
        <v>61</v>
      </c>
      <c r="B62" s="11" t="n">
        <v>45617</v>
      </c>
      <c r="C62" s="11" t="n">
        <v>45622</v>
      </c>
      <c r="D62" s="7" t="inlineStr">
        <is>
          <t>卫星调仓</t>
        </is>
      </c>
      <c r="E62" s="7" t="inlineStr">
        <is>
          <t>港股通创新药(16.6%)</t>
        </is>
      </c>
      <c r="F62" s="7" t="inlineStr"/>
      <c r="G62" s="12" t="n">
        <v>3129.371378059389</v>
      </c>
      <c r="H62" s="8" t="n">
        <v>0.1659303706690035</v>
      </c>
      <c r="I62" s="7" t="inlineStr">
        <is>
          <t>港股通互联网/计算机</t>
        </is>
      </c>
      <c r="J62" s="8" t="n">
        <v>0.1659303706690035</v>
      </c>
      <c r="K62" s="8" t="n">
        <v>0.9475082893546625</v>
      </c>
    </row>
    <row r="63">
      <c r="A63" s="7" t="n">
        <v>62</v>
      </c>
      <c r="B63" s="11" t="n">
        <v>45638</v>
      </c>
      <c r="C63" s="11" t="n">
        <v>45643</v>
      </c>
      <c r="D63" s="7" t="inlineStr">
        <is>
          <t>卫星调仓</t>
        </is>
      </c>
      <c r="E63" s="7" t="inlineStr"/>
      <c r="F63" s="7" t="inlineStr">
        <is>
          <t>科创芯片设计(15.2%)</t>
        </is>
      </c>
      <c r="G63" s="12" t="n">
        <v>2931.622733496616</v>
      </c>
      <c r="H63" s="8" t="n">
        <v>0.1524847007682979</v>
      </c>
      <c r="I63" s="7" t="inlineStr">
        <is>
          <t>港股通互联网/计算机/科创芯片设计</t>
        </is>
      </c>
      <c r="J63" s="8" t="n">
        <v>0.01028564915565586</v>
      </c>
      <c r="K63" s="8" t="n">
        <v>1.023076522549742</v>
      </c>
    </row>
    <row r="64">
      <c r="A64" s="7" t="n">
        <v>63</v>
      </c>
      <c r="B64" s="11" t="n">
        <v>45660</v>
      </c>
      <c r="C64" s="11" t="n">
        <v>45665</v>
      </c>
      <c r="D64" s="7" t="inlineStr">
        <is>
          <t>卫星调仓</t>
        </is>
      </c>
      <c r="E64" s="7" t="inlineStr">
        <is>
          <t>港股通互联网(15.6%)</t>
        </is>
      </c>
      <c r="F64" s="7" t="inlineStr"/>
      <c r="G64" s="12" t="n">
        <v>2869.077814222786</v>
      </c>
      <c r="H64" s="8" t="n">
        <v>0.1555059094328807</v>
      </c>
      <c r="I64" s="7" t="inlineStr">
        <is>
          <t>计算机/科创芯片设计</t>
        </is>
      </c>
      <c r="J64" s="8" t="n">
        <v>0.1662240163658514</v>
      </c>
      <c r="K64" s="8" t="n">
        <v>0.07781119114061212</v>
      </c>
    </row>
    <row r="65">
      <c r="A65" s="7" t="n">
        <v>64</v>
      </c>
      <c r="B65" s="11" t="n">
        <v>45681</v>
      </c>
      <c r="C65" s="11" t="n">
        <v>45694</v>
      </c>
      <c r="D65" s="7" t="inlineStr">
        <is>
          <t>复核撤销</t>
        </is>
      </c>
      <c r="E65" s="7" t="inlineStr"/>
      <c r="F65" s="7" t="inlineStr"/>
      <c r="G65" s="12" t="n">
        <v>0</v>
      </c>
      <c r="H65" s="8" t="n">
        <v>0</v>
      </c>
      <c r="I65" s="7" t="inlineStr">
        <is>
          <t>计算机/科创芯片设计</t>
        </is>
      </c>
      <c r="J65" s="8" t="n">
        <v>0.1529496746586678</v>
      </c>
      <c r="K65" s="8" t="n">
        <v>0.07591566413744576</v>
      </c>
    </row>
    <row r="66">
      <c r="A66" s="7" t="n">
        <v>65</v>
      </c>
      <c r="B66" s="11" t="n">
        <v>45694</v>
      </c>
      <c r="C66" s="11" t="n">
        <v>45699</v>
      </c>
      <c r="D66" s="7" t="inlineStr">
        <is>
          <t>卫星调仓</t>
        </is>
      </c>
      <c r="E66" s="7" t="inlineStr"/>
      <c r="F66" s="7" t="inlineStr">
        <is>
          <t>机器人(15.1%)</t>
        </is>
      </c>
      <c r="G66" s="12" t="n">
        <v>3066.82645878556</v>
      </c>
      <c r="H66" s="8" t="n">
        <v>0.150847313636183</v>
      </c>
      <c r="I66" s="7" t="inlineStr">
        <is>
          <t>计算机/科创芯片设计/机器人</t>
        </is>
      </c>
      <c r="J66" s="8" t="n">
        <v>0</v>
      </c>
      <c r="K66" s="8" t="n">
        <v>0.1554955214900473</v>
      </c>
    </row>
    <row r="67">
      <c r="A67" s="7" t="n">
        <v>66</v>
      </c>
      <c r="B67" s="11" t="n">
        <v>45741</v>
      </c>
      <c r="C67" s="11" t="n">
        <v>45744</v>
      </c>
      <c r="D67" s="7" t="inlineStr">
        <is>
          <t>卫星调仓</t>
        </is>
      </c>
      <c r="E67" s="7" t="inlineStr">
        <is>
          <t>计算机(13.6%)</t>
        </is>
      </c>
      <c r="F67" s="7" t="inlineStr">
        <is>
          <t>港股通互联网(13.6%)</t>
        </is>
      </c>
      <c r="G67" s="12" t="n">
        <v>5449.476654341508</v>
      </c>
      <c r="H67" s="8" t="n">
        <v>0.271251429175534</v>
      </c>
      <c r="I67" s="7" t="inlineStr">
        <is>
          <t>科创芯片设计/机器人/港股通互联网</t>
        </is>
      </c>
      <c r="J67" s="8" t="n">
        <v>0</v>
      </c>
      <c r="K67" s="8" t="n">
        <v>0.2821246398245317</v>
      </c>
    </row>
    <row r="68">
      <c r="A68" s="7" t="n">
        <v>67</v>
      </c>
      <c r="B68" s="11" t="n">
        <v>45768</v>
      </c>
      <c r="C68" s="11" t="n">
        <v>45771</v>
      </c>
      <c r="D68" s="7" t="inlineStr">
        <is>
          <t>卫星调仓</t>
        </is>
      </c>
      <c r="E68" s="7" t="inlineStr">
        <is>
          <t>机器人(15.0%)</t>
        </is>
      </c>
      <c r="F68" s="7" t="inlineStr"/>
      <c r="G68" s="12" t="n">
        <v>2808.98833626335</v>
      </c>
      <c r="H68" s="8" t="n">
        <v>0.1498252780336145</v>
      </c>
      <c r="I68" s="7" t="inlineStr">
        <is>
          <t>科创芯片设计/港股通互联网</t>
        </is>
      </c>
      <c r="J68" s="8" t="n">
        <v>0.1498252780336145</v>
      </c>
      <c r="K68" s="8" t="n">
        <v>0.358236573729822</v>
      </c>
    </row>
    <row r="69">
      <c r="A69" s="7" t="n">
        <v>68</v>
      </c>
      <c r="B69" s="11" t="n">
        <v>45792</v>
      </c>
      <c r="C69" s="11" t="n">
        <v>45797</v>
      </c>
      <c r="D69" s="7" t="inlineStr">
        <is>
          <t>卫星调仓</t>
        </is>
      </c>
      <c r="E69" s="7" t="inlineStr"/>
      <c r="F69" s="7" t="inlineStr">
        <is>
          <t>港股通创新药(14.6%)</t>
        </is>
      </c>
      <c r="G69" s="12" t="n">
        <v>2808.98833626335</v>
      </c>
      <c r="H69" s="8" t="n">
        <v>0.14571078176601</v>
      </c>
      <c r="I69" s="7" t="inlineStr">
        <is>
          <t>科创芯片设计/港股通互联网/港股通创新药</t>
        </is>
      </c>
      <c r="J69" s="8" t="n">
        <v>0</v>
      </c>
      <c r="K69" s="8" t="n">
        <v>0.4314196900115442</v>
      </c>
    </row>
    <row r="70">
      <c r="A70" s="7" t="n">
        <v>69</v>
      </c>
      <c r="B70" s="11" t="n">
        <v>45814</v>
      </c>
      <c r="C70" s="11" t="n">
        <v>45819</v>
      </c>
      <c r="D70" s="7" t="inlineStr">
        <is>
          <t>卫星调仓</t>
        </is>
      </c>
      <c r="E70" s="7" t="inlineStr">
        <is>
          <t>科创芯片设计(16.7%)</t>
        </is>
      </c>
      <c r="F70" s="7" t="inlineStr"/>
      <c r="G70" s="12" t="n">
        <v>3341.596306019046</v>
      </c>
      <c r="H70" s="8" t="n">
        <v>0.1667973082725785</v>
      </c>
      <c r="I70" s="7" t="inlineStr">
        <is>
          <t>港股通互联网/港股通创新药</t>
        </is>
      </c>
      <c r="J70" s="8" t="n">
        <v>0.1667973082725785</v>
      </c>
      <c r="K70" s="8" t="n">
        <v>0.5172487756442137</v>
      </c>
    </row>
    <row r="71">
      <c r="A71" s="7" t="n">
        <v>70</v>
      </c>
      <c r="B71" s="11" t="n">
        <v>45841</v>
      </c>
      <c r="C71" s="11" t="n">
        <v>45846</v>
      </c>
      <c r="D71" s="7" t="inlineStr">
        <is>
          <t>卫星调仓</t>
        </is>
      </c>
      <c r="E71" s="7" t="inlineStr"/>
      <c r="F71" s="7" t="inlineStr">
        <is>
          <t>通信设备(15.6%)</t>
        </is>
      </c>
      <c r="G71" s="12" t="n">
        <v>3205.534646999436</v>
      </c>
      <c r="H71" s="8" t="n">
        <v>0.1555507596595277</v>
      </c>
      <c r="I71" s="7" t="inlineStr">
        <is>
          <t>港股通互联网/港股通创新药/通信设备</t>
        </is>
      </c>
      <c r="J71" s="8" t="n">
        <v>0.00660248499913958</v>
      </c>
      <c r="K71" s="8" t="n">
        <v>0.5966061809717091</v>
      </c>
    </row>
    <row r="72">
      <c r="A72" s="7" t="n">
        <v>71</v>
      </c>
      <c r="B72" s="11" t="n">
        <v>45887</v>
      </c>
      <c r="C72" s="11" t="n">
        <v>45890</v>
      </c>
      <c r="D72" s="7" t="inlineStr">
        <is>
          <t>卫星调仓</t>
        </is>
      </c>
      <c r="E72" s="7" t="inlineStr">
        <is>
          <t>港股通互联网(12.0%)</t>
        </is>
      </c>
      <c r="F72" s="7" t="inlineStr"/>
      <c r="G72" s="12" t="n">
        <v>2998.66878068311</v>
      </c>
      <c r="H72" s="8" t="n">
        <v>0.1202127613336252</v>
      </c>
      <c r="I72" s="7" t="inlineStr">
        <is>
          <t>港股通创新药/通信设备</t>
        </is>
      </c>
      <c r="J72" s="8" t="n">
        <v>0.125667297642452</v>
      </c>
      <c r="K72" s="8" t="n">
        <v>0.65187727246771</v>
      </c>
    </row>
    <row r="73">
      <c r="A73" s="7" t="n">
        <v>72</v>
      </c>
      <c r="B73" s="11" t="n">
        <v>45908</v>
      </c>
      <c r="C73" s="11" t="n">
        <v>45911</v>
      </c>
      <c r="D73" s="7" t="inlineStr">
        <is>
          <t>卫星调仓</t>
        </is>
      </c>
      <c r="E73" s="7" t="inlineStr"/>
      <c r="F73" s="7" t="inlineStr">
        <is>
          <t>工业有色(11.2%)</t>
        </is>
      </c>
      <c r="G73" s="12" t="n">
        <v>3134.73043970272</v>
      </c>
      <c r="H73" s="8" t="n">
        <v>0.1117684378428283</v>
      </c>
      <c r="I73" s="7" t="inlineStr">
        <is>
          <t>港股通创新药/通信设备/工业有色</t>
        </is>
      </c>
      <c r="J73" s="8" t="n">
        <v>0</v>
      </c>
      <c r="K73" s="8" t="n">
        <v>0.7086356901017886</v>
      </c>
    </row>
    <row r="74">
      <c r="A74" s="7" t="n">
        <v>73</v>
      </c>
      <c r="B74" s="11" t="n">
        <v>45929</v>
      </c>
      <c r="C74" s="11" t="n">
        <v>45940</v>
      </c>
      <c r="D74" s="7" t="inlineStr">
        <is>
          <t>卫星调仓</t>
        </is>
      </c>
      <c r="E74" s="7" t="inlineStr">
        <is>
          <t>港股通创新药(15.0%)</t>
        </is>
      </c>
      <c r="F74" s="7" t="inlineStr">
        <is>
          <t>新能源电池(15.0%)</t>
        </is>
      </c>
      <c r="G74" s="12" t="n">
        <v>8725.313098897277</v>
      </c>
      <c r="H74" s="8" t="n">
        <v>0.2990722667093623</v>
      </c>
      <c r="I74" s="7" t="inlineStr">
        <is>
          <t>通信设备/工业有色/新能源电池</t>
        </is>
      </c>
      <c r="J74" s="8" t="n">
        <v>0</v>
      </c>
      <c r="K74" s="8" t="n">
        <v>0.8899971262075179</v>
      </c>
    </row>
    <row r="75">
      <c r="A75" s="7" t="n">
        <v>74</v>
      </c>
      <c r="B75" s="11" t="n">
        <v>46008</v>
      </c>
      <c r="C75" s="11" t="n">
        <v>46013</v>
      </c>
      <c r="D75" s="7" t="inlineStr">
        <is>
          <t>卫星调仓</t>
        </is>
      </c>
      <c r="E75" s="7" t="inlineStr">
        <is>
          <t>新能源电池(14.5%)</t>
        </is>
      </c>
      <c r="F75" s="7" t="inlineStr"/>
      <c r="G75" s="12" t="n">
        <v>4368.263368944395</v>
      </c>
      <c r="H75" s="8" t="n">
        <v>0.144634727202365</v>
      </c>
      <c r="I75" s="7" t="inlineStr">
        <is>
          <t>通信设备/工业有色</t>
        </is>
      </c>
      <c r="J75" s="8" t="n">
        <v>0.144634727202365</v>
      </c>
      <c r="K75" s="8" t="n">
        <v>0.9216777732250218</v>
      </c>
    </row>
    <row r="76">
      <c r="A76" s="7" t="n">
        <v>75</v>
      </c>
      <c r="B76" s="11" t="n">
        <v>46031</v>
      </c>
      <c r="C76" s="11" t="n">
        <v>46036</v>
      </c>
      <c r="D76" s="7" t="inlineStr">
        <is>
          <t>卫星调仓</t>
        </is>
      </c>
      <c r="E76" s="7" t="inlineStr"/>
      <c r="F76" s="7" t="inlineStr">
        <is>
          <t>卫星产业(13.3%)</t>
        </is>
      </c>
      <c r="G76" s="12" t="n">
        <v>4368.263368944395</v>
      </c>
      <c r="H76" s="8" t="n">
        <v>0.1332786752301934</v>
      </c>
      <c r="I76" s="7" t="inlineStr">
        <is>
          <t>通信设备/工业有色/卫星产业</t>
        </is>
      </c>
      <c r="J76" s="8" t="n">
        <v>0</v>
      </c>
      <c r="K76" s="8" t="n">
        <v>0.06792497080494166</v>
      </c>
    </row>
    <row r="77">
      <c r="A77" s="7" t="n">
        <v>76</v>
      </c>
      <c r="B77" s="11" t="n">
        <v>46052</v>
      </c>
      <c r="C77" s="11" t="n">
        <v>46057</v>
      </c>
      <c r="D77" s="7" t="inlineStr">
        <is>
          <t>复核撤销</t>
        </is>
      </c>
      <c r="E77" s="7" t="inlineStr"/>
      <c r="F77" s="7" t="inlineStr"/>
      <c r="G77" s="12" t="n">
        <v>0</v>
      </c>
      <c r="H77" s="8" t="n">
        <v>0</v>
      </c>
      <c r="I77" s="7" t="inlineStr">
        <is>
          <t>通信设备/工业有色/卫星产业</t>
        </is>
      </c>
      <c r="J77" s="8" t="n">
        <v>0</v>
      </c>
      <c r="K77" s="8" t="n">
        <v>0.06736676886996697</v>
      </c>
    </row>
    <row r="78">
      <c r="A78" s="7" t="n">
        <v>77</v>
      </c>
      <c r="B78" s="11" t="n">
        <v>46111</v>
      </c>
      <c r="C78" s="11" t="n">
        <v>46114</v>
      </c>
      <c r="D78" s="7" t="inlineStr">
        <is>
          <t>卫星调仓</t>
        </is>
      </c>
      <c r="E78" s="7" t="inlineStr">
        <is>
          <t>卫星产业(10.9%)</t>
        </is>
      </c>
      <c r="F78" s="7" t="inlineStr"/>
      <c r="G78" s="12" t="n">
        <v>3209.264569380827</v>
      </c>
      <c r="H78" s="8" t="n">
        <v>0.1086303407318053</v>
      </c>
      <c r="I78" s="7" t="inlineStr">
        <is>
          <t>通信设备/工业有色</t>
        </is>
      </c>
      <c r="J78" s="8" t="n">
        <v>0.1086303407318053</v>
      </c>
      <c r="K78" s="8" t="n">
        <v>0.1191456383263503</v>
      </c>
    </row>
    <row r="79">
      <c r="A79" s="7" t="n">
        <v>78</v>
      </c>
      <c r="B79" s="11" t="n">
        <v>46133</v>
      </c>
      <c r="C79" s="11" t="n">
        <v>46136</v>
      </c>
      <c r="D79" s="7" t="inlineStr">
        <is>
          <t>卫星调仓</t>
        </is>
      </c>
      <c r="E79" s="7" t="inlineStr">
        <is>
          <t>工业有色(13.3%)</t>
        </is>
      </c>
      <c r="F79" s="7" t="inlineStr"/>
      <c r="G79" s="12" t="n">
        <v>4353.232270559038</v>
      </c>
      <c r="H79" s="8" t="n">
        <v>0.1329350330022131</v>
      </c>
      <c r="I79" s="7" t="inlineStr">
        <is>
          <t>通信设备</t>
        </is>
      </c>
      <c r="J79" s="8" t="n">
        <v>0.2309366246766878</v>
      </c>
      <c r="K79" s="8" t="n">
        <v>0.1875495104540611</v>
      </c>
    </row>
    <row r="80">
      <c r="A80" s="7" t="n">
        <v>79</v>
      </c>
      <c r="B80" s="11" t="n">
        <v>46157</v>
      </c>
      <c r="C80" s="11" t="n">
        <v>46162</v>
      </c>
      <c r="D80" s="7" t="inlineStr">
        <is>
          <t>卫星调仓</t>
        </is>
      </c>
      <c r="E80" s="7" t="inlineStr"/>
      <c r="F80" s="7" t="inlineStr">
        <is>
          <t>半导体材料设备(10.7%), 科创芯片设计(10.7%)</t>
        </is>
      </c>
      <c r="G80" s="12" t="n">
        <v>7562.496839939864</v>
      </c>
      <c r="H80" s="8" t="n">
        <v>0.2140105690271266</v>
      </c>
      <c r="I80" s="7" t="inlineStr">
        <is>
          <t>通信设备/半导体材料设备/科创芯片设计</t>
        </is>
      </c>
      <c r="J80" s="8" t="n">
        <v>0</v>
      </c>
      <c r="K80" s="8" t="n">
        <v>0.3024419913979233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6" t="inlineStr">
        <is>
          <t>信号日</t>
        </is>
      </c>
      <c r="B1" s="6" t="inlineStr">
        <is>
          <t>标的</t>
        </is>
      </c>
      <c r="C1" s="6" t="inlineStr">
        <is>
          <t>综合分</t>
        </is>
      </c>
      <c r="D1" s="6" t="inlineStr">
        <is>
          <t>z(r20/σ)</t>
        </is>
      </c>
      <c r="E1" s="6" t="inlineStr">
        <is>
          <t>z(r60/σ)</t>
        </is>
      </c>
      <c r="F1" s="6" t="inlineStr">
        <is>
          <t>z(r120/σ)</t>
        </is>
      </c>
      <c r="G1" s="6" t="inlineStr">
        <is>
          <t>合格排名</t>
        </is>
      </c>
      <c r="H1" s="6" t="inlineStr">
        <is>
          <t>过资格线</t>
        </is>
      </c>
      <c r="I1" s="6" t="inlineStr">
        <is>
          <t>当时持有</t>
        </is>
      </c>
      <c r="J1" s="6" t="inlineStr">
        <is>
          <t>计划动作</t>
        </is>
      </c>
    </row>
    <row r="2">
      <c r="A2" s="13" t="n">
        <v>43656</v>
      </c>
      <c r="B2" s="14" t="inlineStr">
        <is>
          <t>港股通创新药</t>
        </is>
      </c>
      <c r="C2" s="15" t="n">
        <v>1.379761440526055</v>
      </c>
      <c r="D2" s="15" t="n">
        <v>2.275795127570071</v>
      </c>
      <c r="E2" s="15" t="n">
        <v>0.1012108801749529</v>
      </c>
      <c r="F2" s="15" t="n">
        <v>1.762278313833141</v>
      </c>
      <c r="G2" s="14" t="n">
        <v>1</v>
      </c>
      <c r="H2" s="14" t="inlineStr">
        <is>
          <t>是</t>
        </is>
      </c>
      <c r="I2" s="14" t="inlineStr">
        <is>
          <t>否</t>
        </is>
      </c>
      <c r="J2" s="14" t="inlineStr">
        <is>
          <t>买入</t>
        </is>
      </c>
    </row>
    <row r="3">
      <c r="A3" s="13" t="n">
        <v>43656</v>
      </c>
      <c r="B3" s="14" t="inlineStr">
        <is>
          <t>半导体材料设备</t>
        </is>
      </c>
      <c r="C3" s="15" t="n">
        <v>1.21822639253241</v>
      </c>
      <c r="D3" s="15" t="n">
        <v>-0.2937620773369932</v>
      </c>
      <c r="E3" s="15" t="n">
        <v>2.390764145396127</v>
      </c>
      <c r="F3" s="15" t="n">
        <v>1.557677109538098</v>
      </c>
      <c r="G3" s="14" t="n">
        <v>2</v>
      </c>
      <c r="H3" s="14" t="inlineStr">
        <is>
          <t>是</t>
        </is>
      </c>
      <c r="I3" s="14" t="inlineStr">
        <is>
          <t>否</t>
        </is>
      </c>
      <c r="J3" s="14" t="inlineStr">
        <is>
          <t>买入</t>
        </is>
      </c>
    </row>
    <row r="4">
      <c r="A4" s="11" t="n">
        <v>43656</v>
      </c>
      <c r="B4" s="7" t="inlineStr">
        <is>
          <t>计算机</t>
        </is>
      </c>
      <c r="C4" s="9" t="n">
        <v>-0.02925075709137613</v>
      </c>
      <c r="D4" s="9" t="n">
        <v>0.08728920773141201</v>
      </c>
      <c r="E4" s="9" t="n">
        <v>-0.3747738563204969</v>
      </c>
      <c r="F4" s="9" t="n">
        <v>0.1997323773149564</v>
      </c>
      <c r="G4" s="7" t="n"/>
      <c r="H4" s="7" t="inlineStr">
        <is>
          <t>否</t>
        </is>
      </c>
      <c r="I4" s="7" t="inlineStr">
        <is>
          <t>否</t>
        </is>
      </c>
      <c r="J4" s="7" t="inlineStr"/>
    </row>
    <row r="5">
      <c r="A5" s="11" t="n">
        <v>43656</v>
      </c>
      <c r="B5" s="7" t="inlineStr">
        <is>
          <t>机器人</t>
        </is>
      </c>
      <c r="C5" s="9" t="n">
        <v>-0.1426403728175177</v>
      </c>
      <c r="D5" s="9" t="n">
        <v>0.4665561332155501</v>
      </c>
      <c r="E5" s="9" t="n">
        <v>-0.2981503743039762</v>
      </c>
      <c r="F5" s="9" t="n">
        <v>-0.5963268773641269</v>
      </c>
      <c r="G5" s="7" t="n"/>
      <c r="H5" s="7" t="inlineStr">
        <is>
          <t>否</t>
        </is>
      </c>
      <c r="I5" s="7" t="inlineStr">
        <is>
          <t>否</t>
        </is>
      </c>
      <c r="J5" s="7" t="inlineStr"/>
    </row>
    <row r="6">
      <c r="A6" s="11" t="n">
        <v>43656</v>
      </c>
      <c r="B6" s="7" t="inlineStr">
        <is>
          <t>卫星产业</t>
        </is>
      </c>
      <c r="C6" s="9" t="n">
        <v>-0.2074232008195845</v>
      </c>
      <c r="D6" s="9" t="n">
        <v>-0.3749295926970885</v>
      </c>
      <c r="E6" s="9" t="n">
        <v>0.06497842929640883</v>
      </c>
      <c r="F6" s="9" t="n">
        <v>-0.3123184390580738</v>
      </c>
      <c r="G6" s="7" t="n"/>
      <c r="H6" s="7" t="inlineStr">
        <is>
          <t>否</t>
        </is>
      </c>
      <c r="I6" s="7" t="inlineStr">
        <is>
          <t>否</t>
        </is>
      </c>
      <c r="J6" s="7" t="inlineStr"/>
    </row>
    <row r="7">
      <c r="A7" s="11" t="n">
        <v>43656</v>
      </c>
      <c r="B7" s="7" t="inlineStr">
        <is>
          <t>通信设备</t>
        </is>
      </c>
      <c r="C7" s="9" t="n">
        <v>-0.3269268947598291</v>
      </c>
      <c r="D7" s="9" t="n">
        <v>-0.6686718112568955</v>
      </c>
      <c r="E7" s="9" t="n">
        <v>0.2064818762185038</v>
      </c>
      <c r="F7" s="9" t="n">
        <v>-0.5185907492410955</v>
      </c>
      <c r="G7" s="7" t="n"/>
      <c r="H7" s="7" t="inlineStr">
        <is>
          <t>否</t>
        </is>
      </c>
      <c r="I7" s="7" t="inlineStr">
        <is>
          <t>否</t>
        </is>
      </c>
      <c r="J7" s="7" t="inlineStr"/>
    </row>
    <row r="8">
      <c r="A8" s="11" t="n">
        <v>43656</v>
      </c>
      <c r="B8" s="7" t="inlineStr">
        <is>
          <t>新能源电池</t>
        </is>
      </c>
      <c r="C8" s="9" t="n">
        <v>-0.3553566579203775</v>
      </c>
      <c r="D8" s="9" t="n">
        <v>0.1118782630567199</v>
      </c>
      <c r="E8" s="9" t="n">
        <v>-0.7846988523262044</v>
      </c>
      <c r="F8" s="9" t="n">
        <v>-0.393249384491648</v>
      </c>
      <c r="G8" s="7" t="n"/>
      <c r="H8" s="7" t="inlineStr">
        <is>
          <t>否</t>
        </is>
      </c>
      <c r="I8" s="7" t="inlineStr">
        <is>
          <t>否</t>
        </is>
      </c>
      <c r="J8" s="7" t="inlineStr"/>
    </row>
    <row r="9">
      <c r="A9" s="11" t="n">
        <v>43656</v>
      </c>
      <c r="B9" s="7" t="inlineStr">
        <is>
          <t>工业有色</t>
        </is>
      </c>
      <c r="C9" s="9" t="n">
        <v>-0.7052525573465532</v>
      </c>
      <c r="D9" s="9" t="n">
        <v>-1.359885109010369</v>
      </c>
      <c r="E9" s="9" t="n">
        <v>-0.1383810975962058</v>
      </c>
      <c r="F9" s="9" t="n">
        <v>-0.6174914654330848</v>
      </c>
      <c r="G9" s="7" t="n"/>
      <c r="H9" s="7" t="inlineStr">
        <is>
          <t>否</t>
        </is>
      </c>
      <c r="I9" s="7" t="inlineStr">
        <is>
          <t>否</t>
        </is>
      </c>
      <c r="J9" s="7" t="inlineStr"/>
    </row>
    <row r="10">
      <c r="A10" s="11" t="n">
        <v>43656</v>
      </c>
      <c r="B10" s="7" t="inlineStr">
        <is>
          <t>港股通互联网</t>
        </is>
      </c>
      <c r="C10" s="9" t="n">
        <v>-0.8311373923032267</v>
      </c>
      <c r="D10" s="9" t="n">
        <v>-0.244270141272407</v>
      </c>
      <c r="E10" s="9" t="n">
        <v>-1.167431150539108</v>
      </c>
      <c r="F10" s="9" t="n">
        <v>-1.081710885098165</v>
      </c>
      <c r="G10" s="7" t="n"/>
      <c r="H10" s="7" t="inlineStr">
        <is>
          <t>否</t>
        </is>
      </c>
      <c r="I10" s="7" t="inlineStr">
        <is>
          <t>否</t>
        </is>
      </c>
      <c r="J10" s="7" t="inlineStr"/>
    </row>
    <row r="11">
      <c r="A11" s="11" t="n">
        <v>43656</v>
      </c>
      <c r="B11" s="7" t="inlineStr">
        <is>
          <t>科创芯片设计</t>
        </is>
      </c>
      <c r="C11" s="7" t="n"/>
      <c r="D11" s="7" t="n"/>
      <c r="E11" s="7" t="n"/>
      <c r="F11" s="7" t="n"/>
      <c r="G11" s="7" t="n"/>
      <c r="H11" s="7" t="inlineStr">
        <is>
          <t>否</t>
        </is>
      </c>
      <c r="I11" s="7" t="inlineStr">
        <is>
          <t>否</t>
        </is>
      </c>
      <c r="J11" s="7" t="inlineStr"/>
    </row>
    <row r="13">
      <c r="A13" s="11" t="n">
        <v>43719</v>
      </c>
      <c r="B13" s="7" t="inlineStr">
        <is>
          <t>半导体材料设备</t>
        </is>
      </c>
      <c r="C13" s="9" t="n">
        <v>1.566861250939892</v>
      </c>
      <c r="D13" s="9" t="n">
        <v>1.179547240076969</v>
      </c>
      <c r="E13" s="9" t="n">
        <v>1.605351487081605</v>
      </c>
      <c r="F13" s="9" t="n">
        <v>1.915685025661102</v>
      </c>
      <c r="G13" s="7" t="n">
        <v>1</v>
      </c>
      <c r="H13" s="7" t="inlineStr">
        <is>
          <t>是</t>
        </is>
      </c>
      <c r="I13" s="7" t="inlineStr">
        <is>
          <t>是</t>
        </is>
      </c>
      <c r="J13" s="7" t="inlineStr">
        <is>
          <t>保留</t>
        </is>
      </c>
    </row>
    <row r="14">
      <c r="A14" s="13" t="n">
        <v>43719</v>
      </c>
      <c r="B14" s="14" t="inlineStr">
        <is>
          <t>计算机</t>
        </is>
      </c>
      <c r="C14" s="15" t="n">
        <v>0.5325351025307365</v>
      </c>
      <c r="D14" s="15" t="n">
        <v>0.9702709274472596</v>
      </c>
      <c r="E14" s="15" t="n">
        <v>0.4425489539015768</v>
      </c>
      <c r="F14" s="15" t="n">
        <v>0.1847854262433733</v>
      </c>
      <c r="G14" s="14" t="n">
        <v>2</v>
      </c>
      <c r="H14" s="14" t="inlineStr">
        <is>
          <t>是</t>
        </is>
      </c>
      <c r="I14" s="14" t="inlineStr">
        <is>
          <t>否</t>
        </is>
      </c>
      <c r="J14" s="14" t="inlineStr">
        <is>
          <t>买入</t>
        </is>
      </c>
    </row>
    <row r="15">
      <c r="A15" s="11" t="n">
        <v>43719</v>
      </c>
      <c r="B15" s="7" t="inlineStr">
        <is>
          <t>新能源电池</t>
        </is>
      </c>
      <c r="C15" s="9" t="n">
        <v>0.3180681326654021</v>
      </c>
      <c r="D15" s="9" t="n">
        <v>0.6727061062158144</v>
      </c>
      <c r="E15" s="9" t="n">
        <v>0.4657193708312324</v>
      </c>
      <c r="F15" s="9" t="n">
        <v>-0.1842210790508406</v>
      </c>
      <c r="G15" s="7" t="n">
        <v>3</v>
      </c>
      <c r="H15" s="7" t="inlineStr">
        <is>
          <t>是</t>
        </is>
      </c>
      <c r="I15" s="7" t="inlineStr">
        <is>
          <t>否</t>
        </is>
      </c>
      <c r="J15" s="7" t="inlineStr"/>
    </row>
    <row r="16">
      <c r="A16" s="11" t="n">
        <v>43719</v>
      </c>
      <c r="B16" s="7" t="inlineStr">
        <is>
          <t>卫星产业</t>
        </is>
      </c>
      <c r="C16" s="9" t="n">
        <v>0.2498383915946489</v>
      </c>
      <c r="D16" s="9" t="n">
        <v>0.6710571860745139</v>
      </c>
      <c r="E16" s="9" t="n">
        <v>-0.005129038395833195</v>
      </c>
      <c r="F16" s="9" t="n">
        <v>0.08358702710526592</v>
      </c>
      <c r="G16" s="7" t="n">
        <v>4</v>
      </c>
      <c r="H16" s="7" t="inlineStr">
        <is>
          <t>是</t>
        </is>
      </c>
      <c r="I16" s="7" t="inlineStr">
        <is>
          <t>否</t>
        </is>
      </c>
      <c r="J16" s="7" t="inlineStr"/>
    </row>
    <row r="17">
      <c r="A17" s="11" t="n">
        <v>43719</v>
      </c>
      <c r="B17" s="7" t="inlineStr">
        <is>
          <t>通信设备</t>
        </is>
      </c>
      <c r="C17" s="9" t="n">
        <v>0.2150453777513274</v>
      </c>
      <c r="D17" s="9" t="n">
        <v>-0.008320062840921544</v>
      </c>
      <c r="E17" s="9" t="n">
        <v>0.3403012960905392</v>
      </c>
      <c r="F17" s="9" t="n">
        <v>0.3131549000043646</v>
      </c>
      <c r="G17" s="7" t="n">
        <v>5</v>
      </c>
      <c r="H17" s="7" t="inlineStr">
        <is>
          <t>是</t>
        </is>
      </c>
      <c r="I17" s="7" t="inlineStr">
        <is>
          <t>否</t>
        </is>
      </c>
      <c r="J17" s="7" t="inlineStr"/>
    </row>
    <row r="18">
      <c r="A18" s="11" t="n">
        <v>43719</v>
      </c>
      <c r="B18" s="7" t="inlineStr">
        <is>
          <t>机器人</t>
        </is>
      </c>
      <c r="C18" s="9" t="n">
        <v>-0.2429841958921325</v>
      </c>
      <c r="D18" s="9" t="n">
        <v>-0.2836718002242904</v>
      </c>
      <c r="E18" s="9" t="n">
        <v>0.09082475594112906</v>
      </c>
      <c r="F18" s="9" t="n">
        <v>-0.536105543393236</v>
      </c>
      <c r="G18" s="7" t="n">
        <v>6</v>
      </c>
      <c r="H18" s="7" t="inlineStr">
        <is>
          <t>是</t>
        </is>
      </c>
      <c r="I18" s="7" t="inlineStr">
        <is>
          <t>否</t>
        </is>
      </c>
      <c r="J18" s="7" t="inlineStr"/>
    </row>
    <row r="19">
      <c r="A19" s="11" t="n">
        <v>43719</v>
      </c>
      <c r="B19" s="7" t="inlineStr">
        <is>
          <t>港股通创新药</t>
        </is>
      </c>
      <c r="C19" s="9" t="n">
        <v>-0.3592243996606861</v>
      </c>
      <c r="D19" s="9" t="n">
        <v>-1.395464933121032</v>
      </c>
      <c r="E19" s="9" t="n">
        <v>-0.132574232844098</v>
      </c>
      <c r="F19" s="9" t="n">
        <v>0.4503659669830721</v>
      </c>
      <c r="G19" s="7" t="n">
        <v>7</v>
      </c>
      <c r="H19" s="7" t="inlineStr">
        <is>
          <t>是</t>
        </is>
      </c>
      <c r="I19" s="7" t="inlineStr">
        <is>
          <t>是</t>
        </is>
      </c>
      <c r="J19" s="7" t="inlineStr">
        <is>
          <t>保留</t>
        </is>
      </c>
    </row>
    <row r="20">
      <c r="A20" s="11" t="n">
        <v>43719</v>
      </c>
      <c r="B20" s="7" t="inlineStr">
        <is>
          <t>工业有色</t>
        </is>
      </c>
      <c r="C20" s="9" t="n">
        <v>-0.9040107273837609</v>
      </c>
      <c r="D20" s="9" t="n">
        <v>-1.646529526757301</v>
      </c>
      <c r="E20" s="9" t="n">
        <v>-0.7220882134021231</v>
      </c>
      <c r="F20" s="9" t="n">
        <v>-0.3434144419918589</v>
      </c>
      <c r="G20" s="7" t="n">
        <v>8</v>
      </c>
      <c r="H20" s="7" t="inlineStr">
        <is>
          <t>是</t>
        </is>
      </c>
      <c r="I20" s="7" t="inlineStr">
        <is>
          <t>否</t>
        </is>
      </c>
      <c r="J20" s="7" t="inlineStr"/>
    </row>
    <row r="21">
      <c r="A21" s="11" t="n">
        <v>43719</v>
      </c>
      <c r="B21" s="7" t="inlineStr">
        <is>
          <t>港股通互联网</t>
        </is>
      </c>
      <c r="C21" s="9" t="n">
        <v>-1.376128932545428</v>
      </c>
      <c r="D21" s="9" t="n">
        <v>-0.1595951368710145</v>
      </c>
      <c r="E21" s="9" t="n">
        <v>-2.084954379204028</v>
      </c>
      <c r="F21" s="9" t="n">
        <v>-1.883837281561242</v>
      </c>
      <c r="G21" s="7" t="n"/>
      <c r="H21" s="7" t="inlineStr">
        <is>
          <t>否</t>
        </is>
      </c>
      <c r="I21" s="7" t="inlineStr">
        <is>
          <t>否</t>
        </is>
      </c>
      <c r="J21" s="7" t="inlineStr"/>
    </row>
    <row r="22">
      <c r="A22" s="11" t="n">
        <v>43719</v>
      </c>
      <c r="B22" s="7" t="inlineStr">
        <is>
          <t>科创芯片设计</t>
        </is>
      </c>
      <c r="C22" s="7" t="n"/>
      <c r="D22" s="7" t="n"/>
      <c r="E22" s="7" t="n"/>
      <c r="F22" s="7" t="n"/>
      <c r="G22" s="7" t="n"/>
      <c r="H22" s="7" t="inlineStr">
        <is>
          <t>否</t>
        </is>
      </c>
      <c r="I22" s="7" t="inlineStr">
        <is>
          <t>否</t>
        </is>
      </c>
      <c r="J22" s="7" t="inlineStr"/>
    </row>
    <row r="24">
      <c r="A24" s="11" t="n">
        <v>43815</v>
      </c>
      <c r="B24" s="7" t="inlineStr">
        <is>
          <t>半导体材料设备</t>
        </is>
      </c>
      <c r="C24" s="9" t="n">
        <v>1.438726161622316</v>
      </c>
      <c r="D24" s="9" t="n">
        <v>0.3541533187280251</v>
      </c>
      <c r="E24" s="9" t="n">
        <v>1.824638410532098</v>
      </c>
      <c r="F24" s="9" t="n">
        <v>2.137386755606826</v>
      </c>
      <c r="G24" s="7" t="n">
        <v>1</v>
      </c>
      <c r="H24" s="7" t="inlineStr">
        <is>
          <t>是</t>
        </is>
      </c>
      <c r="I24" s="7" t="inlineStr">
        <is>
          <t>是</t>
        </is>
      </c>
      <c r="J24" s="7" t="inlineStr">
        <is>
          <t>保留</t>
        </is>
      </c>
    </row>
    <row r="25">
      <c r="A25" s="13" t="n">
        <v>43815</v>
      </c>
      <c r="B25" s="14" t="inlineStr">
        <is>
          <t>新能源电池</t>
        </is>
      </c>
      <c r="C25" s="15" t="n">
        <v>0.612273446877899</v>
      </c>
      <c r="D25" s="15" t="n">
        <v>1.204347832651585</v>
      </c>
      <c r="E25" s="15" t="n">
        <v>0.347379520379417</v>
      </c>
      <c r="F25" s="15" t="n">
        <v>0.2850929876026946</v>
      </c>
      <c r="G25" s="14" t="n">
        <v>2</v>
      </c>
      <c r="H25" s="14" t="inlineStr">
        <is>
          <t>是</t>
        </is>
      </c>
      <c r="I25" s="14" t="inlineStr">
        <is>
          <t>否</t>
        </is>
      </c>
      <c r="J25" s="14" t="inlineStr">
        <is>
          <t>买入</t>
        </is>
      </c>
    </row>
    <row r="26">
      <c r="A26" s="11" t="n">
        <v>43815</v>
      </c>
      <c r="B26" s="7" t="inlineStr">
        <is>
          <t>通信设备</t>
        </is>
      </c>
      <c r="C26" s="9" t="n">
        <v>0.07401778031571733</v>
      </c>
      <c r="D26" s="9" t="n">
        <v>0.2991278737553459</v>
      </c>
      <c r="E26" s="9" t="n">
        <v>-0.2654830371065847</v>
      </c>
      <c r="F26" s="9" t="n">
        <v>0.1884085042983908</v>
      </c>
      <c r="G26" s="7" t="n">
        <v>3</v>
      </c>
      <c r="H26" s="7" t="inlineStr">
        <is>
          <t>是</t>
        </is>
      </c>
      <c r="I26" s="7" t="inlineStr">
        <is>
          <t>否</t>
        </is>
      </c>
      <c r="J26" s="7" t="inlineStr"/>
    </row>
    <row r="27">
      <c r="A27" s="11" t="n">
        <v>43815</v>
      </c>
      <c r="B27" s="7" t="inlineStr">
        <is>
          <t>港股通互联网</t>
        </is>
      </c>
      <c r="C27" s="9" t="n">
        <v>-0.1493840200365416</v>
      </c>
      <c r="D27" s="9" t="n">
        <v>-0.1295446724158785</v>
      </c>
      <c r="E27" s="9" t="n">
        <v>0.7792183203085034</v>
      </c>
      <c r="F27" s="9" t="n">
        <v>-1.09782570800225</v>
      </c>
      <c r="G27" s="7" t="n">
        <v>4</v>
      </c>
      <c r="H27" s="7" t="inlineStr">
        <is>
          <t>是</t>
        </is>
      </c>
      <c r="I27" s="7" t="inlineStr">
        <is>
          <t>否</t>
        </is>
      </c>
      <c r="J27" s="7" t="inlineStr"/>
    </row>
    <row r="28">
      <c r="A28" s="11" t="n">
        <v>43815</v>
      </c>
      <c r="B28" s="7" t="inlineStr">
        <is>
          <t>计算机</t>
        </is>
      </c>
      <c r="C28" s="9" t="n">
        <v>-0.1495609952022771</v>
      </c>
      <c r="D28" s="9" t="n">
        <v>-0.1540491446477328</v>
      </c>
      <c r="E28" s="9" t="n">
        <v>-0.326264695627043</v>
      </c>
      <c r="F28" s="9" t="n">
        <v>0.03163085466794428</v>
      </c>
      <c r="G28" s="7" t="n">
        <v>5</v>
      </c>
      <c r="H28" s="7" t="inlineStr">
        <is>
          <t>是</t>
        </is>
      </c>
      <c r="I28" s="7" t="inlineStr">
        <is>
          <t>是</t>
        </is>
      </c>
      <c r="J28" s="7" t="inlineStr">
        <is>
          <t>保留</t>
        </is>
      </c>
    </row>
    <row r="29">
      <c r="A29" s="11" t="n">
        <v>43815</v>
      </c>
      <c r="B29" s="7" t="inlineStr">
        <is>
          <t>机器人</t>
        </is>
      </c>
      <c r="C29" s="9" t="n">
        <v>-0.2624529995867527</v>
      </c>
      <c r="D29" s="9" t="n">
        <v>-0.1180782981319239</v>
      </c>
      <c r="E29" s="9" t="n">
        <v>-0.4431538093421138</v>
      </c>
      <c r="F29" s="9" t="n">
        <v>-0.2261268912862202</v>
      </c>
      <c r="G29" s="7" t="n">
        <v>6</v>
      </c>
      <c r="H29" s="7" t="inlineStr">
        <is>
          <t>是</t>
        </is>
      </c>
      <c r="I29" s="7" t="inlineStr">
        <is>
          <t>否</t>
        </is>
      </c>
      <c r="J29" s="7" t="inlineStr"/>
    </row>
    <row r="30">
      <c r="A30" s="16" t="n">
        <v>43815</v>
      </c>
      <c r="B30" s="17" t="inlineStr">
        <is>
          <t>港股通创新药</t>
        </is>
      </c>
      <c r="C30" s="18" t="n">
        <v>-0.4296610209240634</v>
      </c>
      <c r="D30" s="18" t="n">
        <v>-2.392649290691984</v>
      </c>
      <c r="E30" s="18" t="n">
        <v>0.606484728292815</v>
      </c>
      <c r="F30" s="18" t="n">
        <v>0.497181499626979</v>
      </c>
      <c r="G30" s="17" t="n"/>
      <c r="H30" s="17" t="inlineStr">
        <is>
          <t>否</t>
        </is>
      </c>
      <c r="I30" s="17" t="inlineStr">
        <is>
          <t>是</t>
        </is>
      </c>
      <c r="J30" s="17" t="inlineStr">
        <is>
          <t>卖出</t>
        </is>
      </c>
    </row>
    <row r="31">
      <c r="A31" s="11" t="n">
        <v>43815</v>
      </c>
      <c r="B31" s="7" t="inlineStr">
        <is>
          <t>工业有色</t>
        </is>
      </c>
      <c r="C31" s="9" t="n">
        <v>-0.5484347844463119</v>
      </c>
      <c r="D31" s="9" t="n">
        <v>0.7099262578770864</v>
      </c>
      <c r="E31" s="9" t="n">
        <v>-1.162938725574681</v>
      </c>
      <c r="F31" s="9" t="n">
        <v>-1.192291885641341</v>
      </c>
      <c r="G31" s="7" t="n">
        <v>7</v>
      </c>
      <c r="H31" s="7" t="inlineStr">
        <is>
          <t>是</t>
        </is>
      </c>
      <c r="I31" s="7" t="inlineStr">
        <is>
          <t>否</t>
        </is>
      </c>
      <c r="J31" s="7" t="inlineStr"/>
    </row>
    <row r="32">
      <c r="A32" s="11" t="n">
        <v>43815</v>
      </c>
      <c r="B32" s="7" t="inlineStr">
        <is>
          <t>卫星产业</t>
        </is>
      </c>
      <c r="C32" s="9" t="n">
        <v>-0.5855235686199852</v>
      </c>
      <c r="D32" s="9" t="n">
        <v>0.2267661228754781</v>
      </c>
      <c r="E32" s="9" t="n">
        <v>-1.359880711862411</v>
      </c>
      <c r="F32" s="9" t="n">
        <v>-0.6234561168730232</v>
      </c>
      <c r="G32" s="7" t="n">
        <v>8</v>
      </c>
      <c r="H32" s="7" t="inlineStr">
        <is>
          <t>是</t>
        </is>
      </c>
      <c r="I32" s="7" t="inlineStr">
        <is>
          <t>否</t>
        </is>
      </c>
      <c r="J32" s="7" t="inlineStr"/>
    </row>
    <row r="33">
      <c r="A33" s="11" t="n">
        <v>43815</v>
      </c>
      <c r="B33" s="7" t="inlineStr">
        <is>
          <t>科创芯片设计</t>
        </is>
      </c>
      <c r="C33" s="7" t="n"/>
      <c r="D33" s="7" t="n"/>
      <c r="E33" s="7" t="n"/>
      <c r="F33" s="7" t="n"/>
      <c r="G33" s="7" t="n"/>
      <c r="H33" s="7" t="inlineStr">
        <is>
          <t>否</t>
        </is>
      </c>
      <c r="I33" s="7" t="inlineStr">
        <is>
          <t>否</t>
        </is>
      </c>
      <c r="J33" s="7" t="inlineStr"/>
    </row>
    <row r="35">
      <c r="A35" s="13" t="n">
        <v>43844</v>
      </c>
      <c r="B35" s="14" t="inlineStr">
        <is>
          <t>工业有色</t>
        </is>
      </c>
      <c r="C35" s="15" t="n">
        <v>0.8864628396735088</v>
      </c>
      <c r="D35" s="15" t="n">
        <v>1.841326659467128</v>
      </c>
      <c r="E35" s="15" t="n">
        <v>1.096331593148381</v>
      </c>
      <c r="F35" s="15" t="n">
        <v>-0.2782697335949824</v>
      </c>
      <c r="G35" s="14" t="n">
        <v>1</v>
      </c>
      <c r="H35" s="14" t="inlineStr">
        <is>
          <t>是</t>
        </is>
      </c>
      <c r="I35" s="14" t="inlineStr">
        <is>
          <t>否</t>
        </is>
      </c>
      <c r="J35" s="14" t="inlineStr">
        <is>
          <t>买入</t>
        </is>
      </c>
    </row>
    <row r="36">
      <c r="A36" s="11" t="n">
        <v>43844</v>
      </c>
      <c r="B36" s="7" t="inlineStr">
        <is>
          <t>半导体材料设备</t>
        </is>
      </c>
      <c r="C36" s="9" t="n">
        <v>0.8550261333131145</v>
      </c>
      <c r="D36" s="9" t="n">
        <v>-0.7099706601490335</v>
      </c>
      <c r="E36" s="9" t="n">
        <v>1.14356402856244</v>
      </c>
      <c r="F36" s="9" t="n">
        <v>2.131485031525937</v>
      </c>
      <c r="G36" s="7" t="n">
        <v>2</v>
      </c>
      <c r="H36" s="7" t="inlineStr">
        <is>
          <t>是</t>
        </is>
      </c>
      <c r="I36" s="7" t="inlineStr">
        <is>
          <t>是</t>
        </is>
      </c>
      <c r="J36" s="7" t="inlineStr">
        <is>
          <t>保留</t>
        </is>
      </c>
    </row>
    <row r="37">
      <c r="A37" s="11" t="n">
        <v>43844</v>
      </c>
      <c r="B37" s="7" t="inlineStr">
        <is>
          <t>新能源电池</t>
        </is>
      </c>
      <c r="C37" s="9" t="n">
        <v>0.7723903994545468</v>
      </c>
      <c r="D37" s="9" t="n">
        <v>0.550838112817837</v>
      </c>
      <c r="E37" s="9" t="n">
        <v>1.137782014089136</v>
      </c>
      <c r="F37" s="9" t="n">
        <v>0.6285510714566672</v>
      </c>
      <c r="G37" s="7" t="n">
        <v>3</v>
      </c>
      <c r="H37" s="7" t="inlineStr">
        <is>
          <t>是</t>
        </is>
      </c>
      <c r="I37" s="7" t="inlineStr">
        <is>
          <t>是</t>
        </is>
      </c>
      <c r="J37" s="7" t="inlineStr">
        <is>
          <t>保留</t>
        </is>
      </c>
    </row>
    <row r="38">
      <c r="A38" s="11" t="n">
        <v>43844</v>
      </c>
      <c r="B38" s="7" t="inlineStr">
        <is>
          <t>机器人</t>
        </is>
      </c>
      <c r="C38" s="9" t="n">
        <v>0.3718357746737495</v>
      </c>
      <c r="D38" s="9" t="n">
        <v>0.7364097075412056</v>
      </c>
      <c r="E38" s="9" t="n">
        <v>0.2524366297653741</v>
      </c>
      <c r="F38" s="9" t="n">
        <v>0.1266609867146686</v>
      </c>
      <c r="G38" s="7" t="n">
        <v>4</v>
      </c>
      <c r="H38" s="7" t="inlineStr">
        <is>
          <t>是</t>
        </is>
      </c>
      <c r="I38" s="7" t="inlineStr">
        <is>
          <t>否</t>
        </is>
      </c>
      <c r="J38" s="7" t="inlineStr"/>
    </row>
    <row r="39">
      <c r="A39" s="11" t="n">
        <v>43844</v>
      </c>
      <c r="B39" s="7" t="inlineStr">
        <is>
          <t>港股通互联网</t>
        </is>
      </c>
      <c r="C39" s="9" t="n">
        <v>-0.2062772818723554</v>
      </c>
      <c r="D39" s="9" t="n">
        <v>0.6806394169299119</v>
      </c>
      <c r="E39" s="9" t="n">
        <v>-0.1574514760438567</v>
      </c>
      <c r="F39" s="9" t="n">
        <v>-1.142019786503121</v>
      </c>
      <c r="G39" s="7" t="n">
        <v>5</v>
      </c>
      <c r="H39" s="7" t="inlineStr">
        <is>
          <t>是</t>
        </is>
      </c>
      <c r="I39" s="7" t="inlineStr">
        <is>
          <t>否</t>
        </is>
      </c>
      <c r="J39" s="7" t="inlineStr"/>
    </row>
    <row r="40">
      <c r="A40" s="16" t="n">
        <v>43844</v>
      </c>
      <c r="B40" s="17" t="inlineStr">
        <is>
          <t>计算机</t>
        </is>
      </c>
      <c r="C40" s="18" t="n">
        <v>-0.3347943657614322</v>
      </c>
      <c r="D40" s="18" t="n">
        <v>-0.5663407776803343</v>
      </c>
      <c r="E40" s="18" t="n">
        <v>-0.603779231955356</v>
      </c>
      <c r="F40" s="18" t="n">
        <v>0.1657369123513937</v>
      </c>
      <c r="G40" s="17" t="n">
        <v>6</v>
      </c>
      <c r="H40" s="17" t="inlineStr">
        <is>
          <t>是</t>
        </is>
      </c>
      <c r="I40" s="17" t="inlineStr">
        <is>
          <t>是</t>
        </is>
      </c>
      <c r="J40" s="17" t="inlineStr">
        <is>
          <t>卖出</t>
        </is>
      </c>
    </row>
    <row r="41">
      <c r="A41" s="11" t="n">
        <v>43844</v>
      </c>
      <c r="B41" s="7" t="inlineStr">
        <is>
          <t>通信设备</t>
        </is>
      </c>
      <c r="C41" s="9" t="n">
        <v>-0.45234501035852</v>
      </c>
      <c r="D41" s="9" t="n">
        <v>-1.006436050296703</v>
      </c>
      <c r="E41" s="9" t="n">
        <v>-0.5101706926362526</v>
      </c>
      <c r="F41" s="9" t="n">
        <v>0.1595717118573957</v>
      </c>
      <c r="G41" s="7" t="n">
        <v>7</v>
      </c>
      <c r="H41" s="7" t="inlineStr">
        <is>
          <t>是</t>
        </is>
      </c>
      <c r="I41" s="7" t="inlineStr">
        <is>
          <t>否</t>
        </is>
      </c>
      <c r="J41" s="7" t="inlineStr"/>
    </row>
    <row r="42">
      <c r="A42" s="11" t="n">
        <v>43844</v>
      </c>
      <c r="B42" s="7" t="inlineStr">
        <is>
          <t>卫星产业</t>
        </is>
      </c>
      <c r="C42" s="9" t="n">
        <v>-0.6020491137975227</v>
      </c>
      <c r="D42" s="9" t="n">
        <v>-0.3773830734659003</v>
      </c>
      <c r="E42" s="9" t="n">
        <v>-0.5874660146746261</v>
      </c>
      <c r="F42" s="9" t="n">
        <v>-0.8412982532520416</v>
      </c>
      <c r="G42" s="7" t="n">
        <v>8</v>
      </c>
      <c r="H42" s="7" t="inlineStr">
        <is>
          <t>是</t>
        </is>
      </c>
      <c r="I42" s="7" t="inlineStr">
        <is>
          <t>否</t>
        </is>
      </c>
      <c r="J42" s="7" t="inlineStr"/>
    </row>
    <row r="43">
      <c r="A43" s="11" t="n">
        <v>43844</v>
      </c>
      <c r="B43" s="7" t="inlineStr">
        <is>
          <t>港股通创新药</t>
        </is>
      </c>
      <c r="C43" s="9" t="n">
        <v>-1.29024937532509</v>
      </c>
      <c r="D43" s="9" t="n">
        <v>-1.149083335164112</v>
      </c>
      <c r="E43" s="9" t="n">
        <v>-1.771246850255242</v>
      </c>
      <c r="F43" s="9" t="n">
        <v>-0.950417940555917</v>
      </c>
      <c r="G43" s="7" t="n">
        <v>9</v>
      </c>
      <c r="H43" s="7" t="inlineStr">
        <is>
          <t>是</t>
        </is>
      </c>
      <c r="I43" s="7" t="inlineStr">
        <is>
          <t>否</t>
        </is>
      </c>
      <c r="J43" s="7" t="inlineStr"/>
    </row>
    <row r="44">
      <c r="A44" s="11" t="n">
        <v>43844</v>
      </c>
      <c r="B44" s="7" t="inlineStr">
        <is>
          <t>科创芯片设计</t>
        </is>
      </c>
      <c r="C44" s="7" t="n"/>
      <c r="D44" s="7" t="n"/>
      <c r="E44" s="7" t="n"/>
      <c r="F44" s="7" t="n"/>
      <c r="G44" s="7" t="n"/>
      <c r="H44" s="7" t="inlineStr">
        <is>
          <t>否</t>
        </is>
      </c>
      <c r="I44" s="7" t="inlineStr">
        <is>
          <t>否</t>
        </is>
      </c>
      <c r="J44" s="7" t="inlineStr"/>
    </row>
    <row r="46">
      <c r="A46" s="11" t="n">
        <v>43874</v>
      </c>
      <c r="B46" s="7" t="inlineStr">
        <is>
          <t>半导体材料设备</t>
        </is>
      </c>
      <c r="C46" s="9" t="n">
        <v>1.985646778079748</v>
      </c>
      <c r="D46" s="9" t="n">
        <v>1.966927944604349</v>
      </c>
      <c r="E46" s="9" t="n">
        <v>1.754646765960394</v>
      </c>
      <c r="F46" s="9" t="n">
        <v>2.2353656236745</v>
      </c>
      <c r="G46" s="7" t="n">
        <v>1</v>
      </c>
      <c r="H46" s="7" t="inlineStr">
        <is>
          <t>是</t>
        </is>
      </c>
      <c r="I46" s="7" t="inlineStr">
        <is>
          <t>是</t>
        </is>
      </c>
      <c r="J46" s="7" t="inlineStr">
        <is>
          <t>保留</t>
        </is>
      </c>
    </row>
    <row r="47">
      <c r="A47" s="11" t="n">
        <v>43874</v>
      </c>
      <c r="B47" s="7" t="inlineStr">
        <is>
          <t>新能源电池</t>
        </is>
      </c>
      <c r="C47" s="9" t="n">
        <v>0.6934440699001895</v>
      </c>
      <c r="D47" s="9" t="n">
        <v>0.3896264654931775</v>
      </c>
      <c r="E47" s="9" t="n">
        <v>0.9947420363003833</v>
      </c>
      <c r="F47" s="9" t="n">
        <v>0.6959637079070078</v>
      </c>
      <c r="G47" s="7" t="n">
        <v>2</v>
      </c>
      <c r="H47" s="7" t="inlineStr">
        <is>
          <t>是</t>
        </is>
      </c>
      <c r="I47" s="7" t="inlineStr">
        <is>
          <t>是</t>
        </is>
      </c>
      <c r="J47" s="7" t="inlineStr">
        <is>
          <t>保留</t>
        </is>
      </c>
    </row>
    <row r="48">
      <c r="A48" s="11" t="n">
        <v>43874</v>
      </c>
      <c r="B48" s="7" t="inlineStr">
        <is>
          <t>港股通互联网</t>
        </is>
      </c>
      <c r="C48" s="9" t="n">
        <v>0.4873142636815412</v>
      </c>
      <c r="D48" s="9" t="n">
        <v>0.7893064456933994</v>
      </c>
      <c r="E48" s="9" t="n">
        <v>0.3367737337422254</v>
      </c>
      <c r="F48" s="9" t="n">
        <v>0.335862611608999</v>
      </c>
      <c r="G48" s="7" t="n">
        <v>3</v>
      </c>
      <c r="H48" s="7" t="inlineStr">
        <is>
          <t>是</t>
        </is>
      </c>
      <c r="I48" s="7" t="inlineStr">
        <is>
          <t>否</t>
        </is>
      </c>
      <c r="J48" s="7" t="inlineStr"/>
    </row>
    <row r="49">
      <c r="A49" s="11" t="n">
        <v>43874</v>
      </c>
      <c r="B49" s="7" t="inlineStr">
        <is>
          <t>计算机</t>
        </is>
      </c>
      <c r="C49" s="9" t="n">
        <v>-0.1026115074078832</v>
      </c>
      <c r="D49" s="9" t="n">
        <v>-0.1534525131414219</v>
      </c>
      <c r="E49" s="9" t="n">
        <v>-0.09908823966124712</v>
      </c>
      <c r="F49" s="9" t="n">
        <v>-0.05529376942098053</v>
      </c>
      <c r="G49" s="7" t="n">
        <v>4</v>
      </c>
      <c r="H49" s="7" t="inlineStr">
        <is>
          <t>是</t>
        </is>
      </c>
      <c r="I49" s="7" t="inlineStr">
        <is>
          <t>否</t>
        </is>
      </c>
      <c r="J49" s="7" t="inlineStr"/>
    </row>
    <row r="50">
      <c r="A50" s="11" t="n">
        <v>43874</v>
      </c>
      <c r="B50" s="7" t="inlineStr">
        <is>
          <t>卫星产业</t>
        </is>
      </c>
      <c r="C50" s="9" t="n">
        <v>-0.142986517913271</v>
      </c>
      <c r="D50" s="9" t="n">
        <v>-0.1948761475510919</v>
      </c>
      <c r="E50" s="9" t="n">
        <v>0.0840560055001205</v>
      </c>
      <c r="F50" s="9" t="n">
        <v>-0.3181394116888415</v>
      </c>
      <c r="G50" s="7" t="n">
        <v>5</v>
      </c>
      <c r="H50" s="7" t="inlineStr">
        <is>
          <t>是</t>
        </is>
      </c>
      <c r="I50" s="7" t="inlineStr">
        <is>
          <t>否</t>
        </is>
      </c>
      <c r="J50" s="7" t="inlineStr"/>
    </row>
    <row r="51">
      <c r="A51" s="11" t="n">
        <v>43874</v>
      </c>
      <c r="B51" s="7" t="inlineStr">
        <is>
          <t>港股通创新药</t>
        </is>
      </c>
      <c r="C51" s="9" t="n">
        <v>-0.5975150474898171</v>
      </c>
      <c r="D51" s="9" t="n">
        <v>0.2705043423276132</v>
      </c>
      <c r="E51" s="9" t="n">
        <v>-1.619759413905815</v>
      </c>
      <c r="F51" s="9" t="n">
        <v>-0.4432900708912497</v>
      </c>
      <c r="G51" s="7" t="n">
        <v>6</v>
      </c>
      <c r="H51" s="7" t="inlineStr">
        <is>
          <t>是</t>
        </is>
      </c>
      <c r="I51" s="7" t="inlineStr">
        <is>
          <t>否</t>
        </is>
      </c>
      <c r="J51" s="7" t="inlineStr"/>
    </row>
    <row r="52">
      <c r="A52" s="11" t="n">
        <v>43874</v>
      </c>
      <c r="B52" s="7" t="inlineStr">
        <is>
          <t>机器人</t>
        </is>
      </c>
      <c r="C52" s="9" t="n">
        <v>-0.6985259470152553</v>
      </c>
      <c r="D52" s="9" t="n">
        <v>-0.9257210785195589</v>
      </c>
      <c r="E52" s="9" t="n">
        <v>-0.5783717275840984</v>
      </c>
      <c r="F52" s="9" t="n">
        <v>-0.5914850349421087</v>
      </c>
      <c r="G52" s="7" t="n">
        <v>7</v>
      </c>
      <c r="H52" s="7" t="inlineStr">
        <is>
          <t>是</t>
        </is>
      </c>
      <c r="I52" s="7" t="inlineStr">
        <is>
          <t>否</t>
        </is>
      </c>
      <c r="J52" s="7" t="inlineStr"/>
    </row>
    <row r="53">
      <c r="A53" s="16" t="n">
        <v>43874</v>
      </c>
      <c r="B53" s="17" t="inlineStr">
        <is>
          <t>工业有色</t>
        </is>
      </c>
      <c r="C53" s="18" t="n">
        <v>-0.7535229436260543</v>
      </c>
      <c r="D53" s="18" t="n">
        <v>-1.258196160085229</v>
      </c>
      <c r="E53" s="18" t="n">
        <v>0.04423131527930098</v>
      </c>
      <c r="F53" s="18" t="n">
        <v>-1.046603986072235</v>
      </c>
      <c r="G53" s="17" t="n">
        <v>8</v>
      </c>
      <c r="H53" s="17" t="inlineStr">
        <is>
          <t>是</t>
        </is>
      </c>
      <c r="I53" s="17" t="inlineStr">
        <is>
          <t>是</t>
        </is>
      </c>
      <c r="J53" s="17" t="inlineStr">
        <is>
          <t>卖出</t>
        </is>
      </c>
    </row>
    <row r="54">
      <c r="A54" s="11" t="n">
        <v>43874</v>
      </c>
      <c r="B54" s="7" t="inlineStr">
        <is>
          <t>通信设备</t>
        </is>
      </c>
      <c r="C54" s="9" t="n">
        <v>-0.871243148209199</v>
      </c>
      <c r="D54" s="9" t="n">
        <v>-0.884119298821238</v>
      </c>
      <c r="E54" s="9" t="n">
        <v>-0.9172304756312655</v>
      </c>
      <c r="F54" s="9" t="n">
        <v>-0.8123796701750936</v>
      </c>
      <c r="G54" s="7" t="n">
        <v>9</v>
      </c>
      <c r="H54" s="7" t="inlineStr">
        <is>
          <t>是</t>
        </is>
      </c>
      <c r="I54" s="7" t="inlineStr">
        <is>
          <t>否</t>
        </is>
      </c>
      <c r="J54" s="7" t="inlineStr"/>
    </row>
    <row r="55">
      <c r="A55" s="11" t="n">
        <v>43874</v>
      </c>
      <c r="B55" s="7" t="inlineStr">
        <is>
          <t>科创芯片设计</t>
        </is>
      </c>
      <c r="C55" s="7" t="n"/>
      <c r="D55" s="7" t="n"/>
      <c r="E55" s="7" t="n"/>
      <c r="F55" s="7" t="n"/>
      <c r="G55" s="7" t="n"/>
      <c r="H55" s="7" t="inlineStr">
        <is>
          <t>否</t>
        </is>
      </c>
      <c r="I55" s="7" t="inlineStr">
        <is>
          <t>否</t>
        </is>
      </c>
      <c r="J55" s="7" t="inlineStr"/>
    </row>
    <row r="57">
      <c r="A57" s="11" t="n">
        <v>43921</v>
      </c>
      <c r="B57" s="7" t="inlineStr">
        <is>
          <t>半导体材料设备</t>
        </is>
      </c>
      <c r="C57" s="9" t="n">
        <v>1.063628773674815</v>
      </c>
      <c r="D57" s="9" t="n">
        <v>-0.07441896515536503</v>
      </c>
      <c r="E57" s="9" t="n">
        <v>1.266601751442908</v>
      </c>
      <c r="F57" s="9" t="n">
        <v>1.998703534736902</v>
      </c>
      <c r="G57" s="7" t="n"/>
      <c r="H57" s="7" t="inlineStr">
        <is>
          <t>否</t>
        </is>
      </c>
      <c r="I57" s="7" t="inlineStr">
        <is>
          <t>是</t>
        </is>
      </c>
      <c r="J57" s="7" t="inlineStr">
        <is>
          <t>保留</t>
        </is>
      </c>
    </row>
    <row r="58">
      <c r="A58" s="11" t="n">
        <v>43921</v>
      </c>
      <c r="B58" s="7" t="inlineStr">
        <is>
          <t>港股通互联网</t>
        </is>
      </c>
      <c r="C58" s="9" t="n">
        <v>0.8642445901285097</v>
      </c>
      <c r="D58" s="9" t="n">
        <v>1.774763988447171</v>
      </c>
      <c r="E58" s="9" t="n">
        <v>0.271966734890202</v>
      </c>
      <c r="F58" s="9" t="n">
        <v>0.5460030470481557</v>
      </c>
      <c r="G58" s="7" t="n"/>
      <c r="H58" s="7" t="inlineStr">
        <is>
          <t>否</t>
        </is>
      </c>
      <c r="I58" s="7" t="inlineStr">
        <is>
          <t>否</t>
        </is>
      </c>
      <c r="J58" s="7" t="inlineStr"/>
    </row>
    <row r="59">
      <c r="A59" s="16" t="n">
        <v>43921</v>
      </c>
      <c r="B59" s="17" t="inlineStr">
        <is>
          <t>新能源电池</t>
        </is>
      </c>
      <c r="C59" s="18" t="n">
        <v>0.298047325957544</v>
      </c>
      <c r="D59" s="18" t="n">
        <v>-0.445520277203435</v>
      </c>
      <c r="E59" s="18" t="n">
        <v>0.5099051990242115</v>
      </c>
      <c r="F59" s="18" t="n">
        <v>0.8297570560518556</v>
      </c>
      <c r="G59" s="17" t="n"/>
      <c r="H59" s="17" t="inlineStr">
        <is>
          <t>否</t>
        </is>
      </c>
      <c r="I59" s="17" t="inlineStr">
        <is>
          <t>是</t>
        </is>
      </c>
      <c r="J59" s="17" t="inlineStr">
        <is>
          <t>卖出</t>
        </is>
      </c>
    </row>
    <row r="60">
      <c r="A60" s="11" t="n">
        <v>43921</v>
      </c>
      <c r="B60" s="7" t="inlineStr">
        <is>
          <t>卫星产业</t>
        </is>
      </c>
      <c r="C60" s="9" t="n">
        <v>0.1301099247094535</v>
      </c>
      <c r="D60" s="9" t="n">
        <v>0.03751039891561835</v>
      </c>
      <c r="E60" s="9" t="n">
        <v>0.6053892707062403</v>
      </c>
      <c r="F60" s="9" t="n">
        <v>-0.2525698954934981</v>
      </c>
      <c r="G60" s="7" t="n"/>
      <c r="H60" s="7" t="inlineStr">
        <is>
          <t>否</t>
        </is>
      </c>
      <c r="I60" s="7" t="inlineStr">
        <is>
          <t>否</t>
        </is>
      </c>
      <c r="J60" s="7" t="inlineStr"/>
    </row>
    <row r="61">
      <c r="A61" s="11" t="n">
        <v>43921</v>
      </c>
      <c r="B61" s="7" t="inlineStr">
        <is>
          <t>通信设备</t>
        </is>
      </c>
      <c r="C61" s="9" t="n">
        <v>-0.01327330371831213</v>
      </c>
      <c r="D61" s="9" t="n">
        <v>0.01428701038046793</v>
      </c>
      <c r="E61" s="9" t="n">
        <v>0.3279899316908582</v>
      </c>
      <c r="F61" s="9" t="n">
        <v>-0.3820968532262625</v>
      </c>
      <c r="G61" s="7" t="n"/>
      <c r="H61" s="7" t="inlineStr">
        <is>
          <t>否</t>
        </is>
      </c>
      <c r="I61" s="7" t="inlineStr">
        <is>
          <t>否</t>
        </is>
      </c>
      <c r="J61" s="7" t="inlineStr"/>
    </row>
    <row r="62">
      <c r="A62" s="11" t="n">
        <v>43921</v>
      </c>
      <c r="B62" s="7" t="inlineStr">
        <is>
          <t>计算机</t>
        </is>
      </c>
      <c r="C62" s="9" t="n">
        <v>-0.03258831154981053</v>
      </c>
      <c r="D62" s="9" t="n">
        <v>-0.8089161222303504</v>
      </c>
      <c r="E62" s="9" t="n">
        <v>0.60302499344428</v>
      </c>
      <c r="F62" s="9" t="n">
        <v>0.1081261941366388</v>
      </c>
      <c r="G62" s="7" t="n"/>
      <c r="H62" s="7" t="inlineStr">
        <is>
          <t>否</t>
        </is>
      </c>
      <c r="I62" s="7" t="inlineStr">
        <is>
          <t>否</t>
        </is>
      </c>
      <c r="J62" s="7" t="inlineStr"/>
    </row>
    <row r="63">
      <c r="A63" s="11" t="n">
        <v>43921</v>
      </c>
      <c r="B63" s="7" t="inlineStr">
        <is>
          <t>港股通创新药</t>
        </is>
      </c>
      <c r="C63" s="9" t="n">
        <v>-0.335427378281824</v>
      </c>
      <c r="D63" s="9" t="n">
        <v>1.337692823689246</v>
      </c>
      <c r="E63" s="9" t="n">
        <v>-1.418436892715562</v>
      </c>
      <c r="F63" s="9" t="n">
        <v>-0.9255380658191557</v>
      </c>
      <c r="G63" s="7" t="n"/>
      <c r="H63" s="7" t="inlineStr">
        <is>
          <t>否</t>
        </is>
      </c>
      <c r="I63" s="7" t="inlineStr">
        <is>
          <t>否</t>
        </is>
      </c>
      <c r="J63" s="7" t="inlineStr"/>
    </row>
    <row r="64">
      <c r="A64" s="11" t="n">
        <v>43921</v>
      </c>
      <c r="B64" s="7" t="inlineStr">
        <is>
          <t>机器人</t>
        </is>
      </c>
      <c r="C64" s="9" t="n">
        <v>-0.8657425950779517</v>
      </c>
      <c r="D64" s="9" t="n">
        <v>-1.425864397521085</v>
      </c>
      <c r="E64" s="9" t="n">
        <v>-0.4254433350298628</v>
      </c>
      <c r="F64" s="9" t="n">
        <v>-0.7459200526829077</v>
      </c>
      <c r="G64" s="7" t="n"/>
      <c r="H64" s="7" t="inlineStr">
        <is>
          <t>否</t>
        </is>
      </c>
      <c r="I64" s="7" t="inlineStr">
        <is>
          <t>否</t>
        </is>
      </c>
      <c r="J64" s="7" t="inlineStr"/>
    </row>
    <row r="65">
      <c r="A65" s="11" t="n">
        <v>43921</v>
      </c>
      <c r="B65" s="7" t="inlineStr">
        <is>
          <t>工业有色</t>
        </is>
      </c>
      <c r="C65" s="9" t="n">
        <v>-1.108999025842424</v>
      </c>
      <c r="D65" s="9" t="n">
        <v>-0.4095344593222718</v>
      </c>
      <c r="E65" s="9" t="n">
        <v>-1.740997653453275</v>
      </c>
      <c r="F65" s="9" t="n">
        <v>-1.176464964751727</v>
      </c>
      <c r="G65" s="7" t="n"/>
      <c r="H65" s="7" t="inlineStr">
        <is>
          <t>否</t>
        </is>
      </c>
      <c r="I65" s="7" t="inlineStr">
        <is>
          <t>否</t>
        </is>
      </c>
      <c r="J65" s="7" t="inlineStr"/>
    </row>
    <row r="66">
      <c r="A66" s="11" t="n">
        <v>43921</v>
      </c>
      <c r="B66" s="7" t="inlineStr">
        <is>
          <t>科创芯片设计</t>
        </is>
      </c>
      <c r="C66" s="7" t="n"/>
      <c r="D66" s="7" t="n"/>
      <c r="E66" s="7" t="n"/>
      <c r="F66" s="7" t="n"/>
      <c r="G66" s="7" t="n"/>
      <c r="H66" s="7" t="inlineStr">
        <is>
          <t>否</t>
        </is>
      </c>
      <c r="I66" s="7" t="inlineStr">
        <is>
          <t>否</t>
        </is>
      </c>
      <c r="J66" s="7" t="inlineStr"/>
    </row>
    <row r="68">
      <c r="A68" s="11" t="n">
        <v>43943</v>
      </c>
      <c r="B68" s="7" t="inlineStr">
        <is>
          <t>港股通互联网</t>
        </is>
      </c>
      <c r="C68" s="9" t="n">
        <v>1.039946604204518</v>
      </c>
      <c r="D68" s="9" t="n">
        <v>1.931588647190143</v>
      </c>
      <c r="E68" s="9" t="n">
        <v>0.704225749552628</v>
      </c>
      <c r="F68" s="9" t="n">
        <v>0.4840254158707846</v>
      </c>
      <c r="G68" s="7" t="n">
        <v>1</v>
      </c>
      <c r="H68" s="7" t="inlineStr">
        <is>
          <t>是</t>
        </is>
      </c>
      <c r="I68" s="7" t="inlineStr">
        <is>
          <t>否</t>
        </is>
      </c>
      <c r="J68" s="7" t="inlineStr"/>
    </row>
    <row r="69">
      <c r="A69" s="16" t="n">
        <v>43943</v>
      </c>
      <c r="B69" s="17" t="inlineStr">
        <is>
          <t>半导体材料设备</t>
        </is>
      </c>
      <c r="C69" s="18" t="n">
        <v>0.7920142628630509</v>
      </c>
      <c r="D69" s="18" t="n">
        <v>-0.4346388565583114</v>
      </c>
      <c r="E69" s="18" t="n">
        <v>0.857489467398862</v>
      </c>
      <c r="F69" s="18" t="n">
        <v>1.953192177748602</v>
      </c>
      <c r="G69" s="17" t="n"/>
      <c r="H69" s="17" t="inlineStr">
        <is>
          <t>否</t>
        </is>
      </c>
      <c r="I69" s="17" t="inlineStr">
        <is>
          <t>是</t>
        </is>
      </c>
      <c r="J69" s="17" t="inlineStr">
        <is>
          <t>卖出</t>
        </is>
      </c>
    </row>
    <row r="70">
      <c r="A70" s="11" t="n">
        <v>43943</v>
      </c>
      <c r="B70" s="7" t="inlineStr">
        <is>
          <t>卫星产业</t>
        </is>
      </c>
      <c r="C70" s="9" t="n">
        <v>0.451052314134982</v>
      </c>
      <c r="D70" s="9" t="n">
        <v>-0.1181871274990895</v>
      </c>
      <c r="E70" s="9" t="n">
        <v>1.147893561988205</v>
      </c>
      <c r="F70" s="9" t="n">
        <v>0.3234505079158307</v>
      </c>
      <c r="G70" s="7" t="n"/>
      <c r="H70" s="7" t="inlineStr">
        <is>
          <t>否</t>
        </is>
      </c>
      <c r="I70" s="7" t="inlineStr">
        <is>
          <t>否</t>
        </is>
      </c>
      <c r="J70" s="7" t="inlineStr"/>
    </row>
    <row r="71">
      <c r="A71" s="11" t="n">
        <v>43943</v>
      </c>
      <c r="B71" s="7" t="inlineStr">
        <is>
          <t>新能源电池</t>
        </is>
      </c>
      <c r="C71" s="9" t="n">
        <v>0.3551793033876345</v>
      </c>
      <c r="D71" s="9" t="n">
        <v>0.08266621434050347</v>
      </c>
      <c r="E71" s="9" t="n">
        <v>0.3291231247552177</v>
      </c>
      <c r="F71" s="9" t="n">
        <v>0.6537485710671826</v>
      </c>
      <c r="G71" s="7" t="n"/>
      <c r="H71" s="7" t="inlineStr">
        <is>
          <t>否</t>
        </is>
      </c>
      <c r="I71" s="7" t="inlineStr">
        <is>
          <t>否</t>
        </is>
      </c>
      <c r="J71" s="7" t="inlineStr"/>
    </row>
    <row r="72">
      <c r="A72" s="11" t="n">
        <v>43943</v>
      </c>
      <c r="B72" s="7" t="inlineStr">
        <is>
          <t>计算机</t>
        </is>
      </c>
      <c r="C72" s="9" t="n">
        <v>0.04571992245472414</v>
      </c>
      <c r="D72" s="9" t="n">
        <v>-0.4595313877219133</v>
      </c>
      <c r="E72" s="9" t="n">
        <v>0.5204284452130895</v>
      </c>
      <c r="F72" s="9" t="n">
        <v>0.07626270987299619</v>
      </c>
      <c r="G72" s="7" t="n"/>
      <c r="H72" s="7" t="inlineStr">
        <is>
          <t>否</t>
        </is>
      </c>
      <c r="I72" s="7" t="inlineStr">
        <is>
          <t>否</t>
        </is>
      </c>
      <c r="J72" s="7" t="inlineStr"/>
    </row>
    <row r="73">
      <c r="A73" s="11" t="n">
        <v>43943</v>
      </c>
      <c r="B73" s="7" t="inlineStr">
        <is>
          <t>港股通创新药</t>
        </is>
      </c>
      <c r="C73" s="9" t="n">
        <v>-0.4107719544384174</v>
      </c>
      <c r="D73" s="9" t="n">
        <v>1.202502507934186</v>
      </c>
      <c r="E73" s="9" t="n">
        <v>-1.112551369584086</v>
      </c>
      <c r="F73" s="9" t="n">
        <v>-1.322267001665352</v>
      </c>
      <c r="G73" s="7" t="n"/>
      <c r="H73" s="7" t="inlineStr">
        <is>
          <t>否</t>
        </is>
      </c>
      <c r="I73" s="7" t="inlineStr">
        <is>
          <t>否</t>
        </is>
      </c>
      <c r="J73" s="7" t="inlineStr"/>
    </row>
    <row r="74">
      <c r="A74" s="11" t="n">
        <v>43943</v>
      </c>
      <c r="B74" s="7" t="inlineStr">
        <is>
          <t>机器人</t>
        </is>
      </c>
      <c r="C74" s="9" t="n">
        <v>-0.5272238220057366</v>
      </c>
      <c r="D74" s="9" t="n">
        <v>-0.4805622221672062</v>
      </c>
      <c r="E74" s="9" t="n">
        <v>-0.3849744360520244</v>
      </c>
      <c r="F74" s="9" t="n">
        <v>-0.7161348077979793</v>
      </c>
      <c r="G74" s="7" t="n"/>
      <c r="H74" s="7" t="inlineStr">
        <is>
          <t>否</t>
        </is>
      </c>
      <c r="I74" s="7" t="inlineStr">
        <is>
          <t>否</t>
        </is>
      </c>
      <c r="J74" s="7" t="inlineStr"/>
    </row>
    <row r="75">
      <c r="A75" s="11" t="n">
        <v>43943</v>
      </c>
      <c r="B75" s="7" t="inlineStr">
        <is>
          <t>通信设备</t>
        </is>
      </c>
      <c r="C75" s="9" t="n">
        <v>-0.7001516977240795</v>
      </c>
      <c r="D75" s="9" t="n">
        <v>-1.447291716347946</v>
      </c>
      <c r="E75" s="9" t="n">
        <v>-0.1474130272227258</v>
      </c>
      <c r="F75" s="9" t="n">
        <v>-0.5057503496015668</v>
      </c>
      <c r="G75" s="7" t="n"/>
      <c r="H75" s="7" t="inlineStr">
        <is>
          <t>否</t>
        </is>
      </c>
      <c r="I75" s="7" t="inlineStr">
        <is>
          <t>否</t>
        </is>
      </c>
      <c r="J75" s="7" t="inlineStr"/>
    </row>
    <row r="76">
      <c r="A76" s="11" t="n">
        <v>43943</v>
      </c>
      <c r="B76" s="7" t="inlineStr">
        <is>
          <t>工业有色</t>
        </is>
      </c>
      <c r="C76" s="9" t="n">
        <v>-1.045764932876676</v>
      </c>
      <c r="D76" s="9" t="n">
        <v>-0.2765460591703665</v>
      </c>
      <c r="E76" s="9" t="n">
        <v>-1.914221516049166</v>
      </c>
      <c r="F76" s="9" t="n">
        <v>-0.946527223410497</v>
      </c>
      <c r="G76" s="7" t="n"/>
      <c r="H76" s="7" t="inlineStr">
        <is>
          <t>否</t>
        </is>
      </c>
      <c r="I76" s="7" t="inlineStr">
        <is>
          <t>否</t>
        </is>
      </c>
      <c r="J76" s="7" t="inlineStr"/>
    </row>
    <row r="77">
      <c r="A77" s="11" t="n">
        <v>43943</v>
      </c>
      <c r="B77" s="7" t="inlineStr">
        <is>
          <t>科创芯片设计</t>
        </is>
      </c>
      <c r="C77" s="7" t="n"/>
      <c r="D77" s="7" t="n"/>
      <c r="E77" s="7" t="n"/>
      <c r="F77" s="7" t="n"/>
      <c r="G77" s="7" t="n"/>
      <c r="H77" s="7" t="inlineStr">
        <is>
          <t>否</t>
        </is>
      </c>
      <c r="I77" s="7" t="inlineStr">
        <is>
          <t>否</t>
        </is>
      </c>
      <c r="J77" s="7" t="inlineStr"/>
    </row>
    <row r="79">
      <c r="A79" s="13" t="n">
        <v>43969</v>
      </c>
      <c r="B79" s="14" t="inlineStr">
        <is>
          <t>港股通互联网</t>
        </is>
      </c>
      <c r="C79" s="15" t="n">
        <v>1.600139357211023</v>
      </c>
      <c r="D79" s="15" t="n">
        <v>1.805373220613461</v>
      </c>
      <c r="E79" s="15" t="n">
        <v>1.950938605153493</v>
      </c>
      <c r="F79" s="15" t="n">
        <v>1.044106245866113</v>
      </c>
      <c r="G79" s="14" t="n">
        <v>1</v>
      </c>
      <c r="H79" s="14" t="inlineStr">
        <is>
          <t>是</t>
        </is>
      </c>
      <c r="I79" s="14" t="inlineStr">
        <is>
          <t>否</t>
        </is>
      </c>
      <c r="J79" s="14" t="inlineStr">
        <is>
          <t>买入</t>
        </is>
      </c>
    </row>
    <row r="80">
      <c r="A80" s="11" t="n">
        <v>43969</v>
      </c>
      <c r="B80" s="7" t="inlineStr">
        <is>
          <t>半导体材料设备</t>
        </is>
      </c>
      <c r="C80" s="9" t="n">
        <v>1.072860506257998</v>
      </c>
      <c r="D80" s="9" t="n">
        <v>1.045032646452479</v>
      </c>
      <c r="E80" s="9" t="n">
        <v>0.3810539490984617</v>
      </c>
      <c r="F80" s="9" t="n">
        <v>1.792494923223053</v>
      </c>
      <c r="G80" s="7" t="n">
        <v>2</v>
      </c>
      <c r="H80" s="7" t="inlineStr">
        <is>
          <t>是</t>
        </is>
      </c>
      <c r="I80" s="7" t="inlineStr">
        <is>
          <t>否</t>
        </is>
      </c>
      <c r="J80" s="7" t="inlineStr"/>
    </row>
    <row r="81">
      <c r="A81" s="11" t="n">
        <v>43969</v>
      </c>
      <c r="B81" s="7" t="inlineStr">
        <is>
          <t>港股通创新药</t>
        </is>
      </c>
      <c r="C81" s="9" t="n">
        <v>0.04782719300137791</v>
      </c>
      <c r="D81" s="9" t="n">
        <v>0.90515026404927</v>
      </c>
      <c r="E81" s="9" t="n">
        <v>0.6344024342360793</v>
      </c>
      <c r="F81" s="9" t="n">
        <v>-1.396071119281216</v>
      </c>
      <c r="G81" s="7" t="n">
        <v>3</v>
      </c>
      <c r="H81" s="7" t="inlineStr">
        <is>
          <t>是</t>
        </is>
      </c>
      <c r="I81" s="7" t="inlineStr">
        <is>
          <t>否</t>
        </is>
      </c>
      <c r="J81" s="7" t="inlineStr"/>
    </row>
    <row r="82">
      <c r="A82" s="11" t="n">
        <v>43969</v>
      </c>
      <c r="B82" s="7" t="inlineStr">
        <is>
          <t>卫星产业</t>
        </is>
      </c>
      <c r="C82" s="9" t="n">
        <v>0.03777429415241227</v>
      </c>
      <c r="D82" s="9" t="n">
        <v>-0.2568508301410871</v>
      </c>
      <c r="E82" s="9" t="n">
        <v>0.0660133554990739</v>
      </c>
      <c r="F82" s="9" t="n">
        <v>0.30416035709925</v>
      </c>
      <c r="G82" s="7" t="n">
        <v>4</v>
      </c>
      <c r="H82" s="7" t="inlineStr">
        <is>
          <t>是</t>
        </is>
      </c>
      <c r="I82" s="7" t="inlineStr">
        <is>
          <t>否</t>
        </is>
      </c>
      <c r="J82" s="7" t="inlineStr"/>
    </row>
    <row r="83">
      <c r="A83" s="11" t="n">
        <v>43969</v>
      </c>
      <c r="B83" s="7" t="inlineStr">
        <is>
          <t>新能源电池</t>
        </is>
      </c>
      <c r="C83" s="9" t="n">
        <v>-0.2547886589221461</v>
      </c>
      <c r="D83" s="9" t="n">
        <v>-0.4058535265666001</v>
      </c>
      <c r="E83" s="9" t="n">
        <v>-0.8273885465004388</v>
      </c>
      <c r="F83" s="9" t="n">
        <v>0.4688760963006006</v>
      </c>
      <c r="G83" s="7" t="n"/>
      <c r="H83" s="7" t="inlineStr">
        <is>
          <t>否</t>
        </is>
      </c>
      <c r="I83" s="7" t="inlineStr">
        <is>
          <t>否</t>
        </is>
      </c>
      <c r="J83" s="7" t="inlineStr"/>
    </row>
    <row r="84">
      <c r="A84" s="11" t="n">
        <v>43969</v>
      </c>
      <c r="B84" s="7" t="inlineStr">
        <is>
          <t>计算机</t>
        </is>
      </c>
      <c r="C84" s="9" t="n">
        <v>-0.3391020231797359</v>
      </c>
      <c r="D84" s="9" t="n">
        <v>-0.5392194312491758</v>
      </c>
      <c r="E84" s="9" t="n">
        <v>-0.3190033654019297</v>
      </c>
      <c r="F84" s="9" t="n">
        <v>-0.1590832728881022</v>
      </c>
      <c r="G84" s="7" t="n"/>
      <c r="H84" s="7" t="inlineStr">
        <is>
          <t>否</t>
        </is>
      </c>
      <c r="I84" s="7" t="inlineStr">
        <is>
          <t>否</t>
        </is>
      </c>
      <c r="J84" s="7" t="inlineStr"/>
    </row>
    <row r="85">
      <c r="A85" s="11" t="n">
        <v>43969</v>
      </c>
      <c r="B85" s="7" t="inlineStr">
        <is>
          <t>通信设备</t>
        </is>
      </c>
      <c r="C85" s="9" t="n">
        <v>-0.4642270353784537</v>
      </c>
      <c r="D85" s="9" t="n">
        <v>-0.8880504622856148</v>
      </c>
      <c r="E85" s="9" t="n">
        <v>0.2260125769349</v>
      </c>
      <c r="F85" s="9" t="n">
        <v>-0.7306432207846464</v>
      </c>
      <c r="G85" s="7" t="n"/>
      <c r="H85" s="7" t="inlineStr">
        <is>
          <t>否</t>
        </is>
      </c>
      <c r="I85" s="7" t="inlineStr">
        <is>
          <t>否</t>
        </is>
      </c>
      <c r="J85" s="7" t="inlineStr"/>
    </row>
    <row r="86">
      <c r="A86" s="11" t="n">
        <v>43969</v>
      </c>
      <c r="B86" s="7" t="inlineStr">
        <is>
          <t>机器人</t>
        </is>
      </c>
      <c r="C86" s="9" t="n">
        <v>-0.5866658338423293</v>
      </c>
      <c r="D86" s="9" t="n">
        <v>-0.5758131708599121</v>
      </c>
      <c r="E86" s="9" t="n">
        <v>-0.5202616096466921</v>
      </c>
      <c r="F86" s="9" t="n">
        <v>-0.6639227210203834</v>
      </c>
      <c r="G86" s="7" t="n"/>
      <c r="H86" s="7" t="inlineStr">
        <is>
          <t>否</t>
        </is>
      </c>
      <c r="I86" s="7" t="inlineStr">
        <is>
          <t>否</t>
        </is>
      </c>
      <c r="J86" s="7" t="inlineStr"/>
    </row>
    <row r="87">
      <c r="A87" s="11" t="n">
        <v>43969</v>
      </c>
      <c r="B87" s="7" t="inlineStr">
        <is>
          <t>工业有色</t>
        </is>
      </c>
      <c r="C87" s="9" t="n">
        <v>-1.113817799300145</v>
      </c>
      <c r="D87" s="9" t="n">
        <v>-1.08976871001282</v>
      </c>
      <c r="E87" s="9" t="n">
        <v>-1.591767399372946</v>
      </c>
      <c r="F87" s="9" t="n">
        <v>-0.659917288514668</v>
      </c>
      <c r="G87" s="7" t="n">
        <v>5</v>
      </c>
      <c r="H87" s="7" t="inlineStr">
        <is>
          <t>是</t>
        </is>
      </c>
      <c r="I87" s="7" t="inlineStr">
        <is>
          <t>否</t>
        </is>
      </c>
      <c r="J87" s="7" t="inlineStr"/>
    </row>
    <row r="88">
      <c r="A88" s="11" t="n">
        <v>43969</v>
      </c>
      <c r="B88" s="7" t="inlineStr">
        <is>
          <t>科创芯片设计</t>
        </is>
      </c>
      <c r="C88" s="7" t="n"/>
      <c r="D88" s="7" t="n"/>
      <c r="E88" s="7" t="n"/>
      <c r="F88" s="7" t="n"/>
      <c r="G88" s="7" t="n"/>
      <c r="H88" s="7" t="inlineStr">
        <is>
          <t>否</t>
        </is>
      </c>
      <c r="I88" s="7" t="inlineStr">
        <is>
          <t>否</t>
        </is>
      </c>
      <c r="J88" s="7" t="inlineStr"/>
    </row>
    <row r="90">
      <c r="A90" s="11" t="n">
        <v>43990</v>
      </c>
      <c r="B90" s="7" t="inlineStr">
        <is>
          <t>港股通互联网</t>
        </is>
      </c>
      <c r="C90" s="9" t="n">
        <v>1.671296021559678</v>
      </c>
      <c r="D90" s="9" t="n">
        <v>1.470419642010043</v>
      </c>
      <c r="E90" s="9" t="n">
        <v>2.08161515994992</v>
      </c>
      <c r="F90" s="9" t="n">
        <v>1.461853262719071</v>
      </c>
      <c r="G90" s="7" t="n">
        <v>1</v>
      </c>
      <c r="H90" s="7" t="inlineStr">
        <is>
          <t>是</t>
        </is>
      </c>
      <c r="I90" s="7" t="inlineStr">
        <is>
          <t>是</t>
        </is>
      </c>
      <c r="J90" s="7" t="inlineStr">
        <is>
          <t>保留</t>
        </is>
      </c>
    </row>
    <row r="91">
      <c r="A91" s="13" t="n">
        <v>43990</v>
      </c>
      <c r="B91" s="14" t="inlineStr">
        <is>
          <t>半导体材料设备</t>
        </is>
      </c>
      <c r="C91" s="15" t="n">
        <v>0.8333438244225558</v>
      </c>
      <c r="D91" s="15" t="n">
        <v>0.2384637634721935</v>
      </c>
      <c r="E91" s="15" t="n">
        <v>0.6784719964373894</v>
      </c>
      <c r="F91" s="15" t="n">
        <v>1.583095713358085</v>
      </c>
      <c r="G91" s="14" t="n">
        <v>2</v>
      </c>
      <c r="H91" s="14" t="inlineStr">
        <is>
          <t>是</t>
        </is>
      </c>
      <c r="I91" s="14" t="inlineStr">
        <is>
          <t>否</t>
        </is>
      </c>
      <c r="J91" s="14" t="inlineStr">
        <is>
          <t>买入</t>
        </is>
      </c>
    </row>
    <row r="92">
      <c r="A92" s="11" t="n">
        <v>43990</v>
      </c>
      <c r="B92" s="7" t="inlineStr">
        <is>
          <t>新能源电池</t>
        </is>
      </c>
      <c r="C92" s="9" t="n">
        <v>0.411742401529503</v>
      </c>
      <c r="D92" s="9" t="n">
        <v>0.9145588957078518</v>
      </c>
      <c r="E92" s="9" t="n">
        <v>-0.1303317233228217</v>
      </c>
      <c r="F92" s="9" t="n">
        <v>0.4510000322034791</v>
      </c>
      <c r="G92" s="7" t="n">
        <v>3</v>
      </c>
      <c r="H92" s="7" t="inlineStr">
        <is>
          <t>是</t>
        </is>
      </c>
      <c r="I92" s="7" t="inlineStr">
        <is>
          <t>否</t>
        </is>
      </c>
      <c r="J92" s="7" t="inlineStr"/>
    </row>
    <row r="93">
      <c r="A93" s="11" t="n">
        <v>43990</v>
      </c>
      <c r="B93" s="7" t="inlineStr">
        <is>
          <t>港股通创新药</t>
        </is>
      </c>
      <c r="C93" s="9" t="n">
        <v>0.1569377565877201</v>
      </c>
      <c r="D93" s="9" t="n">
        <v>0.5220738283043642</v>
      </c>
      <c r="E93" s="9" t="n">
        <v>0.7579372365930119</v>
      </c>
      <c r="F93" s="9" t="n">
        <v>-0.8091977951342157</v>
      </c>
      <c r="G93" s="7" t="n">
        <v>4</v>
      </c>
      <c r="H93" s="7" t="inlineStr">
        <is>
          <t>是</t>
        </is>
      </c>
      <c r="I93" s="7" t="inlineStr">
        <is>
          <t>否</t>
        </is>
      </c>
      <c r="J93" s="7" t="inlineStr"/>
    </row>
    <row r="94">
      <c r="A94" s="11" t="n">
        <v>43990</v>
      </c>
      <c r="B94" s="7" t="inlineStr">
        <is>
          <t>工业有色</t>
        </is>
      </c>
      <c r="C94" s="9" t="n">
        <v>-0.3335723689764354</v>
      </c>
      <c r="D94" s="9" t="n">
        <v>0.5368899980006377</v>
      </c>
      <c r="E94" s="9" t="n">
        <v>-0.3853251643063838</v>
      </c>
      <c r="F94" s="9" t="n">
        <v>-1.15228194062356</v>
      </c>
      <c r="G94" s="7" t="n">
        <v>5</v>
      </c>
      <c r="H94" s="7" t="inlineStr">
        <is>
          <t>是</t>
        </is>
      </c>
      <c r="I94" s="7" t="inlineStr">
        <is>
          <t>否</t>
        </is>
      </c>
      <c r="J94" s="7" t="inlineStr"/>
    </row>
    <row r="95">
      <c r="A95" s="11" t="n">
        <v>43990</v>
      </c>
      <c r="B95" s="7" t="inlineStr">
        <is>
          <t>卫星产业</t>
        </is>
      </c>
      <c r="C95" s="9" t="n">
        <v>-0.3851864731013557</v>
      </c>
      <c r="D95" s="9" t="n">
        <v>-0.8327452185482535</v>
      </c>
      <c r="E95" s="9" t="n">
        <v>-0.488906046994486</v>
      </c>
      <c r="F95" s="9" t="n">
        <v>0.1660918462386724</v>
      </c>
      <c r="G95" s="7" t="n">
        <v>6</v>
      </c>
      <c r="H95" s="7" t="inlineStr">
        <is>
          <t>是</t>
        </is>
      </c>
      <c r="I95" s="7" t="inlineStr">
        <is>
          <t>否</t>
        </is>
      </c>
      <c r="J95" s="7" t="inlineStr"/>
    </row>
    <row r="96">
      <c r="A96" s="11" t="n">
        <v>43990</v>
      </c>
      <c r="B96" s="7" t="inlineStr">
        <is>
          <t>机器人</t>
        </is>
      </c>
      <c r="C96" s="9" t="n">
        <v>-0.4948432087826797</v>
      </c>
      <c r="D96" s="9" t="n">
        <v>-0.1444214000089937</v>
      </c>
      <c r="E96" s="9" t="n">
        <v>-0.8279323795039178</v>
      </c>
      <c r="F96" s="9" t="n">
        <v>-0.5121758468351276</v>
      </c>
      <c r="G96" s="7" t="n">
        <v>7</v>
      </c>
      <c r="H96" s="7" t="inlineStr">
        <is>
          <t>是</t>
        </is>
      </c>
      <c r="I96" s="7" t="inlineStr">
        <is>
          <t>否</t>
        </is>
      </c>
      <c r="J96" s="7" t="inlineStr"/>
    </row>
    <row r="97">
      <c r="A97" s="11" t="n">
        <v>43990</v>
      </c>
      <c r="B97" s="7" t="inlineStr">
        <is>
          <t>计算机</t>
        </is>
      </c>
      <c r="C97" s="9" t="n">
        <v>-0.7252086156431267</v>
      </c>
      <c r="D97" s="9" t="n">
        <v>-1.28089582584255</v>
      </c>
      <c r="E97" s="9" t="n">
        <v>-0.5961696334542202</v>
      </c>
      <c r="F97" s="9" t="n">
        <v>-0.2985603876326101</v>
      </c>
      <c r="G97" s="7" t="n">
        <v>8</v>
      </c>
      <c r="H97" s="7" t="inlineStr">
        <is>
          <t>是</t>
        </is>
      </c>
      <c r="I97" s="7" t="inlineStr">
        <is>
          <t>否</t>
        </is>
      </c>
      <c r="J97" s="7" t="inlineStr"/>
    </row>
    <row r="98">
      <c r="A98" s="11" t="n">
        <v>43990</v>
      </c>
      <c r="B98" s="7" t="inlineStr">
        <is>
          <t>通信设备</t>
        </is>
      </c>
      <c r="C98" s="9" t="n">
        <v>-1.134509337595859</v>
      </c>
      <c r="D98" s="9" t="n">
        <v>-1.424343683095293</v>
      </c>
      <c r="E98" s="9" t="n">
        <v>-1.089359445398492</v>
      </c>
      <c r="F98" s="9" t="n">
        <v>-0.8898248842937938</v>
      </c>
      <c r="G98" s="7" t="n"/>
      <c r="H98" s="7" t="inlineStr">
        <is>
          <t>否</t>
        </is>
      </c>
      <c r="I98" s="7" t="inlineStr">
        <is>
          <t>否</t>
        </is>
      </c>
      <c r="J98" s="7" t="inlineStr"/>
    </row>
    <row r="99">
      <c r="A99" s="11" t="n">
        <v>43990</v>
      </c>
      <c r="B99" s="7" t="inlineStr">
        <is>
          <t>科创芯片设计</t>
        </is>
      </c>
      <c r="C99" s="7" t="n"/>
      <c r="D99" s="7" t="n"/>
      <c r="E99" s="7" t="n"/>
      <c r="F99" s="7" t="n"/>
      <c r="G99" s="7" t="n"/>
      <c r="H99" s="7" t="inlineStr">
        <is>
          <t>否</t>
        </is>
      </c>
      <c r="I99" s="7" t="inlineStr">
        <is>
          <t>否</t>
        </is>
      </c>
      <c r="J99" s="7" t="inlineStr"/>
    </row>
    <row r="101">
      <c r="A101" s="11" t="n">
        <v>44013</v>
      </c>
      <c r="B101" s="7" t="inlineStr">
        <is>
          <t>港股通互联网</t>
        </is>
      </c>
      <c r="C101" s="9" t="n">
        <v>1.355571285415554</v>
      </c>
      <c r="D101" s="9" t="n">
        <v>0.4443223547503488</v>
      </c>
      <c r="E101" s="9" t="n">
        <v>1.981437688724496</v>
      </c>
      <c r="F101" s="9" t="n">
        <v>1.640953812771818</v>
      </c>
      <c r="G101" s="7" t="n">
        <v>1</v>
      </c>
      <c r="H101" s="7" t="inlineStr">
        <is>
          <t>是</t>
        </is>
      </c>
      <c r="I101" s="7" t="inlineStr">
        <is>
          <t>是</t>
        </is>
      </c>
      <c r="J101" s="7" t="inlineStr">
        <is>
          <t>保留</t>
        </is>
      </c>
    </row>
    <row r="102">
      <c r="A102" s="13" t="n">
        <v>44013</v>
      </c>
      <c r="B102" s="14" t="inlineStr">
        <is>
          <t>新能源电池</t>
        </is>
      </c>
      <c r="C102" s="15" t="n">
        <v>0.599847590813641</v>
      </c>
      <c r="D102" s="15" t="n">
        <v>0.8435332677682065</v>
      </c>
      <c r="E102" s="15" t="n">
        <v>0.4765612529447987</v>
      </c>
      <c r="F102" s="15" t="n">
        <v>0.4794482517279177</v>
      </c>
      <c r="G102" s="14" t="n">
        <v>2</v>
      </c>
      <c r="H102" s="14" t="inlineStr">
        <is>
          <t>是</t>
        </is>
      </c>
      <c r="I102" s="14" t="inlineStr">
        <is>
          <t>否</t>
        </is>
      </c>
      <c r="J102" s="14" t="inlineStr">
        <is>
          <t>买入</t>
        </is>
      </c>
    </row>
    <row r="103">
      <c r="A103" s="11" t="n">
        <v>44013</v>
      </c>
      <c r="B103" s="7" t="inlineStr">
        <is>
          <t>计算机</t>
        </is>
      </c>
      <c r="C103" s="9" t="n">
        <v>0.3834657093684605</v>
      </c>
      <c r="D103" s="9" t="n">
        <v>1.358568120710051</v>
      </c>
      <c r="E103" s="9" t="n">
        <v>-0.3120539312759622</v>
      </c>
      <c r="F103" s="9" t="n">
        <v>0.1038829386712928</v>
      </c>
      <c r="G103" s="7" t="n">
        <v>3</v>
      </c>
      <c r="H103" s="7" t="inlineStr">
        <is>
          <t>是</t>
        </is>
      </c>
      <c r="I103" s="7" t="inlineStr">
        <is>
          <t>否</t>
        </is>
      </c>
      <c r="J103" s="7" t="inlineStr"/>
    </row>
    <row r="104">
      <c r="A104" s="11" t="n">
        <v>44013</v>
      </c>
      <c r="B104" s="7" t="inlineStr">
        <is>
          <t>半导体材料设备</t>
        </is>
      </c>
      <c r="C104" s="9" t="n">
        <v>0.3765093966614163</v>
      </c>
      <c r="D104" s="9" t="n">
        <v>-0.5373627487900877</v>
      </c>
      <c r="E104" s="9" t="n">
        <v>0.4228106393581949</v>
      </c>
      <c r="F104" s="9" t="n">
        <v>1.244080299416142</v>
      </c>
      <c r="G104" s="7" t="n">
        <v>4</v>
      </c>
      <c r="H104" s="7" t="inlineStr">
        <is>
          <t>是</t>
        </is>
      </c>
      <c r="I104" s="7" t="inlineStr">
        <is>
          <t>是</t>
        </is>
      </c>
      <c r="J104" s="7" t="inlineStr">
        <is>
          <t>保留</t>
        </is>
      </c>
    </row>
    <row r="105">
      <c r="A105" s="11" t="n">
        <v>44013</v>
      </c>
      <c r="B105" s="7" t="inlineStr">
        <is>
          <t>机器人</t>
        </is>
      </c>
      <c r="C105" s="9" t="n">
        <v>0.1481387497221909</v>
      </c>
      <c r="D105" s="9" t="n">
        <v>1.065472348200044</v>
      </c>
      <c r="E105" s="9" t="n">
        <v>-0.1353343046435187</v>
      </c>
      <c r="F105" s="9" t="n">
        <v>-0.4857217943899526</v>
      </c>
      <c r="G105" s="7" t="n">
        <v>5</v>
      </c>
      <c r="H105" s="7" t="inlineStr">
        <is>
          <t>是</t>
        </is>
      </c>
      <c r="I105" s="7" t="inlineStr">
        <is>
          <t>否</t>
        </is>
      </c>
      <c r="J105" s="7" t="inlineStr"/>
    </row>
    <row r="106">
      <c r="A106" s="11" t="n">
        <v>44013</v>
      </c>
      <c r="B106" s="7" t="inlineStr">
        <is>
          <t>港股通创新药</t>
        </is>
      </c>
      <c r="C106" s="9" t="n">
        <v>-0.03981304327313937</v>
      </c>
      <c r="D106" s="9" t="n">
        <v>-0.1678073834023953</v>
      </c>
      <c r="E106" s="9" t="n">
        <v>0.5258792295505992</v>
      </c>
      <c r="F106" s="9" t="n">
        <v>-0.477510975967622</v>
      </c>
      <c r="G106" s="7" t="n">
        <v>6</v>
      </c>
      <c r="H106" s="7" t="inlineStr">
        <is>
          <t>是</t>
        </is>
      </c>
      <c r="I106" s="7" t="inlineStr">
        <is>
          <t>否</t>
        </is>
      </c>
      <c r="J106" s="7" t="inlineStr"/>
    </row>
    <row r="107">
      <c r="A107" s="11" t="n">
        <v>44013</v>
      </c>
      <c r="B107" s="7" t="inlineStr">
        <is>
          <t>卫星产业</t>
        </is>
      </c>
      <c r="C107" s="9" t="n">
        <v>-0.8716948049989083</v>
      </c>
      <c r="D107" s="9" t="n">
        <v>-1.680650514804662</v>
      </c>
      <c r="E107" s="9" t="n">
        <v>-0.7272773309602057</v>
      </c>
      <c r="F107" s="9" t="n">
        <v>-0.2071565692318573</v>
      </c>
      <c r="G107" s="7" t="n">
        <v>7</v>
      </c>
      <c r="H107" s="7" t="inlineStr">
        <is>
          <t>是</t>
        </is>
      </c>
      <c r="I107" s="7" t="inlineStr">
        <is>
          <t>否</t>
        </is>
      </c>
      <c r="J107" s="7" t="inlineStr"/>
    </row>
    <row r="108">
      <c r="A108" s="11" t="n">
        <v>44013</v>
      </c>
      <c r="B108" s="7" t="inlineStr">
        <is>
          <t>通信设备</t>
        </is>
      </c>
      <c r="C108" s="9" t="n">
        <v>-0.8810936725235118</v>
      </c>
      <c r="D108" s="9" t="n">
        <v>-0.451675035038043</v>
      </c>
      <c r="E108" s="9" t="n">
        <v>-1.47370354983675</v>
      </c>
      <c r="F108" s="9" t="n">
        <v>-0.7179024326957422</v>
      </c>
      <c r="G108" s="7" t="n">
        <v>8</v>
      </c>
      <c r="H108" s="7" t="inlineStr">
        <is>
          <t>是</t>
        </is>
      </c>
      <c r="I108" s="7" t="inlineStr">
        <is>
          <t>否</t>
        </is>
      </c>
      <c r="J108" s="7" t="inlineStr"/>
    </row>
    <row r="109">
      <c r="A109" s="11" t="n">
        <v>44013</v>
      </c>
      <c r="B109" s="7" t="inlineStr">
        <is>
          <t>工业有色</t>
        </is>
      </c>
      <c r="C109" s="9" t="n">
        <v>-1.070931211185702</v>
      </c>
      <c r="D109" s="9" t="n">
        <v>-0.8744004093934604</v>
      </c>
      <c r="E109" s="9" t="n">
        <v>-0.7583196938616499</v>
      </c>
      <c r="F109" s="9" t="n">
        <v>-1.580073530301995</v>
      </c>
      <c r="G109" s="7" t="n">
        <v>9</v>
      </c>
      <c r="H109" s="7" t="inlineStr">
        <is>
          <t>是</t>
        </is>
      </c>
      <c r="I109" s="7" t="inlineStr">
        <is>
          <t>否</t>
        </is>
      </c>
      <c r="J109" s="7" t="inlineStr"/>
    </row>
    <row r="110">
      <c r="A110" s="11" t="n">
        <v>44013</v>
      </c>
      <c r="B110" s="7" t="inlineStr">
        <is>
          <t>科创芯片设计</t>
        </is>
      </c>
      <c r="C110" s="7" t="n"/>
      <c r="D110" s="7" t="n"/>
      <c r="E110" s="7" t="n"/>
      <c r="F110" s="7" t="n"/>
      <c r="G110" s="7" t="n"/>
      <c r="H110" s="7" t="inlineStr">
        <is>
          <t>否</t>
        </is>
      </c>
      <c r="I110" s="7" t="inlineStr">
        <is>
          <t>否</t>
        </is>
      </c>
      <c r="J110" s="7" t="inlineStr"/>
    </row>
    <row r="112">
      <c r="A112" s="11" t="n">
        <v>44050</v>
      </c>
      <c r="B112" s="7" t="inlineStr">
        <is>
          <t>卫星产业</t>
        </is>
      </c>
      <c r="C112" s="9" t="n">
        <v>0.9431996973061714</v>
      </c>
      <c r="D112" s="9" t="n">
        <v>1.59973942043736</v>
      </c>
      <c r="E112" s="9" t="n">
        <v>0.579883115000515</v>
      </c>
      <c r="F112" s="9" t="n">
        <v>0.6499765564806385</v>
      </c>
      <c r="G112" s="7" t="n">
        <v>1</v>
      </c>
      <c r="H112" s="7" t="inlineStr">
        <is>
          <t>是</t>
        </is>
      </c>
      <c r="I112" s="7" t="inlineStr">
        <is>
          <t>否</t>
        </is>
      </c>
      <c r="J112" s="7" t="inlineStr"/>
    </row>
    <row r="113">
      <c r="A113" s="11" t="n">
        <v>44050</v>
      </c>
      <c r="B113" s="7" t="inlineStr">
        <is>
          <t>港股通互联网</t>
        </is>
      </c>
      <c r="C113" s="9" t="n">
        <v>0.8474515270625251</v>
      </c>
      <c r="D113" s="9" t="n">
        <v>0.07390662295323511</v>
      </c>
      <c r="E113" s="9" t="n">
        <v>0.7700356803423543</v>
      </c>
      <c r="F113" s="9" t="n">
        <v>1.698412277891986</v>
      </c>
      <c r="G113" s="7" t="n">
        <v>2</v>
      </c>
      <c r="H113" s="7" t="inlineStr">
        <is>
          <t>是</t>
        </is>
      </c>
      <c r="I113" s="7" t="inlineStr">
        <is>
          <t>是</t>
        </is>
      </c>
      <c r="J113" s="7" t="inlineStr">
        <is>
          <t>保留</t>
        </is>
      </c>
    </row>
    <row r="114">
      <c r="A114" s="11" t="n">
        <v>44050</v>
      </c>
      <c r="B114" s="7" t="inlineStr">
        <is>
          <t>工业有色</t>
        </is>
      </c>
      <c r="C114" s="9" t="n">
        <v>0.8147849374765359</v>
      </c>
      <c r="D114" s="9" t="n">
        <v>1.303061267797774</v>
      </c>
      <c r="E114" s="9" t="n">
        <v>1.204341127277444</v>
      </c>
      <c r="F114" s="9" t="n">
        <v>-0.06304758264561104</v>
      </c>
      <c r="G114" s="7" t="n">
        <v>3</v>
      </c>
      <c r="H114" s="7" t="inlineStr">
        <is>
          <t>是</t>
        </is>
      </c>
      <c r="I114" s="7" t="inlineStr">
        <is>
          <t>否</t>
        </is>
      </c>
      <c r="J114" s="7" t="inlineStr"/>
    </row>
    <row r="115">
      <c r="A115" s="11" t="n">
        <v>44050</v>
      </c>
      <c r="B115" s="7" t="inlineStr">
        <is>
          <t>新能源电池</t>
        </is>
      </c>
      <c r="C115" s="9" t="n">
        <v>0.6849033886727035</v>
      </c>
      <c r="D115" s="9" t="n">
        <v>0.3251666414454954</v>
      </c>
      <c r="E115" s="9" t="n">
        <v>1.221224017633675</v>
      </c>
      <c r="F115" s="9" t="n">
        <v>0.5083195069389399</v>
      </c>
      <c r="G115" s="7" t="n">
        <v>4</v>
      </c>
      <c r="H115" s="7" t="inlineStr">
        <is>
          <t>是</t>
        </is>
      </c>
      <c r="I115" s="7" t="inlineStr">
        <is>
          <t>是</t>
        </is>
      </c>
      <c r="J115" s="7" t="inlineStr">
        <is>
          <t>保留</t>
        </is>
      </c>
    </row>
    <row r="116">
      <c r="A116" s="11" t="n">
        <v>44050</v>
      </c>
      <c r="B116" s="7" t="inlineStr">
        <is>
          <t>机器人</t>
        </is>
      </c>
      <c r="C116" s="9" t="n">
        <v>0.09890092297139312</v>
      </c>
      <c r="D116" s="9" t="n">
        <v>-0.116978474177688</v>
      </c>
      <c r="E116" s="9" t="n">
        <v>0.2723490244931772</v>
      </c>
      <c r="F116" s="9" t="n">
        <v>0.1413322185986902</v>
      </c>
      <c r="G116" s="7" t="n">
        <v>5</v>
      </c>
      <c r="H116" s="7" t="inlineStr">
        <is>
          <t>是</t>
        </is>
      </c>
      <c r="I116" s="7" t="inlineStr">
        <is>
          <t>否</t>
        </is>
      </c>
      <c r="J116" s="7" t="inlineStr"/>
    </row>
    <row r="117">
      <c r="A117" s="11" t="n">
        <v>44050</v>
      </c>
      <c r="B117" s="7" t="inlineStr">
        <is>
          <t>港股通创新药</t>
        </is>
      </c>
      <c r="C117" s="9" t="n">
        <v>0.07660134402140924</v>
      </c>
      <c r="D117" s="9" t="n">
        <v>0.592175314620932</v>
      </c>
      <c r="E117" s="9" t="n">
        <v>-0.2105074321762299</v>
      </c>
      <c r="F117" s="9" t="n">
        <v>-0.1518638503804743</v>
      </c>
      <c r="G117" s="7" t="n">
        <v>6</v>
      </c>
      <c r="H117" s="7" t="inlineStr">
        <is>
          <t>是</t>
        </is>
      </c>
      <c r="I117" s="7" t="inlineStr">
        <is>
          <t>否</t>
        </is>
      </c>
      <c r="J117" s="7" t="inlineStr"/>
    </row>
    <row r="118">
      <c r="A118" s="16" t="n">
        <v>44050</v>
      </c>
      <c r="B118" s="17" t="inlineStr">
        <is>
          <t>半导体材料设备</t>
        </is>
      </c>
      <c r="C118" s="18" t="n">
        <v>-0.2936615371853599</v>
      </c>
      <c r="D118" s="18" t="n">
        <v>-0.7712702468979685</v>
      </c>
      <c r="E118" s="18" t="n">
        <v>-0.3495633564386363</v>
      </c>
      <c r="F118" s="18" t="n">
        <v>0.2398489917805251</v>
      </c>
      <c r="G118" s="17" t="n">
        <v>7</v>
      </c>
      <c r="H118" s="17" t="inlineStr">
        <is>
          <t>是</t>
        </is>
      </c>
      <c r="I118" s="17" t="inlineStr">
        <is>
          <t>是</t>
        </is>
      </c>
      <c r="J118" s="17" t="inlineStr">
        <is>
          <t>卖出</t>
        </is>
      </c>
    </row>
    <row r="119">
      <c r="A119" s="11" t="n">
        <v>44050</v>
      </c>
      <c r="B119" s="7" t="inlineStr">
        <is>
          <t>通信设备</t>
        </is>
      </c>
      <c r="C119" s="9" t="n">
        <v>-0.5887674200462619</v>
      </c>
      <c r="D119" s="9" t="n">
        <v>-0.3723551374258309</v>
      </c>
      <c r="E119" s="9" t="n">
        <v>-1.056331440582783</v>
      </c>
      <c r="F119" s="9" t="n">
        <v>-0.3376156821301717</v>
      </c>
      <c r="G119" s="7" t="n">
        <v>8</v>
      </c>
      <c r="H119" s="7" t="inlineStr">
        <is>
          <t>是</t>
        </is>
      </c>
      <c r="I119" s="7" t="inlineStr">
        <is>
          <t>否</t>
        </is>
      </c>
      <c r="J119" s="7" t="inlineStr"/>
    </row>
    <row r="120">
      <c r="A120" s="11" t="n">
        <v>44050</v>
      </c>
      <c r="B120" s="7" t="inlineStr">
        <is>
          <t>计算机</t>
        </is>
      </c>
      <c r="C120" s="9" t="n">
        <v>-0.7189252724111889</v>
      </c>
      <c r="D120" s="9" t="n">
        <v>-1.134664312353716</v>
      </c>
      <c r="E120" s="9" t="n">
        <v>-0.5767673110908933</v>
      </c>
      <c r="F120" s="9" t="n">
        <v>-0.4453441937889569</v>
      </c>
      <c r="G120" s="7" t="n">
        <v>9</v>
      </c>
      <c r="H120" s="7" t="inlineStr">
        <is>
          <t>是</t>
        </is>
      </c>
      <c r="I120" s="7" t="inlineStr">
        <is>
          <t>否</t>
        </is>
      </c>
      <c r="J120" s="7" t="inlineStr"/>
    </row>
    <row r="121">
      <c r="A121" s="11" t="n">
        <v>44050</v>
      </c>
      <c r="B121" s="7" t="inlineStr">
        <is>
          <t>科创芯片设计</t>
        </is>
      </c>
      <c r="C121" s="9" t="n">
        <v>-1.864487587867925</v>
      </c>
      <c r="D121" s="9" t="n">
        <v>-1.498781096399593</v>
      </c>
      <c r="E121" s="9" t="n">
        <v>-1.854663424458619</v>
      </c>
      <c r="F121" s="9" t="n">
        <v>-2.240018242745564</v>
      </c>
      <c r="G121" s="7" t="n">
        <v>10</v>
      </c>
      <c r="H121" s="7" t="inlineStr">
        <is>
          <t>是</t>
        </is>
      </c>
      <c r="I121" s="7" t="inlineStr">
        <is>
          <t>否</t>
        </is>
      </c>
      <c r="J121" s="7" t="inlineStr"/>
    </row>
    <row r="123">
      <c r="A123" s="11" t="n">
        <v>44071</v>
      </c>
      <c r="B123" s="7" t="inlineStr">
        <is>
          <t>港股通互联网</t>
        </is>
      </c>
      <c r="C123" s="9" t="n">
        <v>1.951911691213359</v>
      </c>
      <c r="D123" s="9" t="n">
        <v>2.26407656674883</v>
      </c>
      <c r="E123" s="9" t="n">
        <v>1.17066778367356</v>
      </c>
      <c r="F123" s="9" t="n">
        <v>2.420990723217685</v>
      </c>
      <c r="G123" s="7" t="n">
        <v>1</v>
      </c>
      <c r="H123" s="7" t="inlineStr">
        <is>
          <t>是</t>
        </is>
      </c>
      <c r="I123" s="7" t="inlineStr">
        <is>
          <t>是</t>
        </is>
      </c>
      <c r="J123" s="7" t="inlineStr">
        <is>
          <t>保留</t>
        </is>
      </c>
    </row>
    <row r="124">
      <c r="A124" s="13" t="n">
        <v>44071</v>
      </c>
      <c r="B124" s="14" t="inlineStr">
        <is>
          <t>机器人</t>
        </is>
      </c>
      <c r="C124" s="15" t="n">
        <v>0.8294569930016675</v>
      </c>
      <c r="D124" s="15" t="n">
        <v>1.162865017574698</v>
      </c>
      <c r="E124" s="15" t="n">
        <v>1.269323902384002</v>
      </c>
      <c r="F124" s="15" t="n">
        <v>0.05618205904630306</v>
      </c>
      <c r="G124" s="14" t="n">
        <v>2</v>
      </c>
      <c r="H124" s="14" t="inlineStr">
        <is>
          <t>是</t>
        </is>
      </c>
      <c r="I124" s="14" t="inlineStr">
        <is>
          <t>否</t>
        </is>
      </c>
      <c r="J124" s="14" t="inlineStr">
        <is>
          <t>买入</t>
        </is>
      </c>
    </row>
    <row r="125">
      <c r="A125" s="11" t="n">
        <v>44071</v>
      </c>
      <c r="B125" s="7" t="inlineStr">
        <is>
          <t>新能源电池</t>
        </is>
      </c>
      <c r="C125" s="9" t="n">
        <v>0.4945620679882718</v>
      </c>
      <c r="D125" s="9" t="n">
        <v>-0.2866426088337812</v>
      </c>
      <c r="E125" s="9" t="n">
        <v>1.257183161695842</v>
      </c>
      <c r="F125" s="9" t="n">
        <v>0.5131456511027545</v>
      </c>
      <c r="G125" s="7" t="n">
        <v>3</v>
      </c>
      <c r="H125" s="7" t="inlineStr">
        <is>
          <t>是</t>
        </is>
      </c>
      <c r="I125" s="7" t="inlineStr">
        <is>
          <t>是</t>
        </is>
      </c>
      <c r="J125" s="7" t="inlineStr">
        <is>
          <t>保留</t>
        </is>
      </c>
    </row>
    <row r="126">
      <c r="A126" s="11" t="n">
        <v>44071</v>
      </c>
      <c r="B126" s="7" t="inlineStr">
        <is>
          <t>港股通创新药</t>
        </is>
      </c>
      <c r="C126" s="9" t="n">
        <v>0.125266497305641</v>
      </c>
      <c r="D126" s="9" t="n">
        <v>0.2563594665117589</v>
      </c>
      <c r="E126" s="9" t="n">
        <v>-0.09785173942077463</v>
      </c>
      <c r="F126" s="9" t="n">
        <v>0.2172917648259388</v>
      </c>
      <c r="G126" s="7" t="n">
        <v>4</v>
      </c>
      <c r="H126" s="7" t="inlineStr">
        <is>
          <t>是</t>
        </is>
      </c>
      <c r="I126" s="7" t="inlineStr">
        <is>
          <t>否</t>
        </is>
      </c>
      <c r="J126" s="7" t="inlineStr"/>
    </row>
    <row r="127">
      <c r="A127" s="11" t="n">
        <v>44071</v>
      </c>
      <c r="B127" s="7" t="inlineStr">
        <is>
          <t>工业有色</t>
        </is>
      </c>
      <c r="C127" s="9" t="n">
        <v>-0.1936190247369229</v>
      </c>
      <c r="D127" s="9" t="n">
        <v>-0.6912378852321356</v>
      </c>
      <c r="E127" s="9" t="n">
        <v>0.260490418277639</v>
      </c>
      <c r="F127" s="9" t="n">
        <v>-0.1501096072562723</v>
      </c>
      <c r="G127" s="7" t="n">
        <v>5</v>
      </c>
      <c r="H127" s="7" t="inlineStr">
        <is>
          <t>是</t>
        </is>
      </c>
      <c r="I127" s="7" t="inlineStr">
        <is>
          <t>否</t>
        </is>
      </c>
      <c r="J127" s="7" t="inlineStr"/>
    </row>
    <row r="128">
      <c r="A128" s="11" t="n">
        <v>44071</v>
      </c>
      <c r="B128" s="7" t="inlineStr">
        <is>
          <t>卫星产业</t>
        </is>
      </c>
      <c r="C128" s="9" t="n">
        <v>-0.3033067841736216</v>
      </c>
      <c r="D128" s="9" t="n">
        <v>-0.1818105420481229</v>
      </c>
      <c r="E128" s="9" t="n">
        <v>-0.3735397512654898</v>
      </c>
      <c r="F128" s="9" t="n">
        <v>-0.354570059207252</v>
      </c>
      <c r="G128" s="7" t="n">
        <v>6</v>
      </c>
      <c r="H128" s="7" t="inlineStr">
        <is>
          <t>是</t>
        </is>
      </c>
      <c r="I128" s="7" t="inlineStr">
        <is>
          <t>否</t>
        </is>
      </c>
      <c r="J128" s="7" t="inlineStr"/>
    </row>
    <row r="129">
      <c r="A129" s="11" t="n">
        <v>44071</v>
      </c>
      <c r="B129" s="7" t="inlineStr">
        <is>
          <t>计算机</t>
        </is>
      </c>
      <c r="C129" s="9" t="n">
        <v>-0.3887838041024382</v>
      </c>
      <c r="D129" s="9" t="n">
        <v>-0.4555826634208984</v>
      </c>
      <c r="E129" s="9" t="n">
        <v>-0.1171725299639238</v>
      </c>
      <c r="F129" s="9" t="n">
        <v>-0.5935962189224924</v>
      </c>
      <c r="G129" s="7" t="n">
        <v>7</v>
      </c>
      <c r="H129" s="7" t="inlineStr">
        <is>
          <t>是</t>
        </is>
      </c>
      <c r="I129" s="7" t="inlineStr">
        <is>
          <t>否</t>
        </is>
      </c>
      <c r="J129" s="7" t="inlineStr"/>
    </row>
    <row r="130">
      <c r="A130" s="11" t="n">
        <v>44071</v>
      </c>
      <c r="B130" s="7" t="inlineStr">
        <is>
          <t>半导体材料设备</t>
        </is>
      </c>
      <c r="C130" s="9" t="n">
        <v>-0.673302212850309</v>
      </c>
      <c r="D130" s="9" t="n">
        <v>-1.062434244493524</v>
      </c>
      <c r="E130" s="9" t="n">
        <v>-1.002154711071535</v>
      </c>
      <c r="F130" s="9" t="n">
        <v>0.0446823170141328</v>
      </c>
      <c r="G130" s="7" t="n"/>
      <c r="H130" s="7" t="inlineStr">
        <is>
          <t>否</t>
        </is>
      </c>
      <c r="I130" s="7" t="inlineStr">
        <is>
          <t>否</t>
        </is>
      </c>
      <c r="J130" s="7" t="inlineStr"/>
    </row>
    <row r="131">
      <c r="A131" s="11" t="n">
        <v>44071</v>
      </c>
      <c r="B131" s="7" t="inlineStr">
        <is>
          <t>通信设备</t>
        </is>
      </c>
      <c r="C131" s="9" t="n">
        <v>-0.7254950031211717</v>
      </c>
      <c r="D131" s="9" t="n">
        <v>-0.4002724902775742</v>
      </c>
      <c r="E131" s="9" t="n">
        <v>-0.7353545956423901</v>
      </c>
      <c r="F131" s="9" t="n">
        <v>-1.04085792344355</v>
      </c>
      <c r="G131" s="7" t="n">
        <v>8</v>
      </c>
      <c r="H131" s="7" t="inlineStr">
        <is>
          <t>是</t>
        </is>
      </c>
      <c r="I131" s="7" t="inlineStr">
        <is>
          <t>否</t>
        </is>
      </c>
      <c r="J131" s="7" t="inlineStr"/>
    </row>
    <row r="132">
      <c r="A132" s="11" t="n">
        <v>44071</v>
      </c>
      <c r="B132" s="7" t="inlineStr">
        <is>
          <t>科创芯片设计</t>
        </is>
      </c>
      <c r="C132" s="9" t="n">
        <v>-1.116690420524476</v>
      </c>
      <c r="D132" s="9" t="n">
        <v>-0.6053206165292505</v>
      </c>
      <c r="E132" s="9" t="n">
        <v>-1.631591938666931</v>
      </c>
      <c r="F132" s="9" t="n">
        <v>-1.113158706377248</v>
      </c>
      <c r="G132" s="7" t="n"/>
      <c r="H132" s="7" t="inlineStr">
        <is>
          <t>否</t>
        </is>
      </c>
      <c r="I132" s="7" t="inlineStr">
        <is>
          <t>否</t>
        </is>
      </c>
      <c r="J132" s="7" t="inlineStr"/>
    </row>
    <row r="134">
      <c r="A134" s="11" t="n">
        <v>44237</v>
      </c>
      <c r="B134" s="7" t="inlineStr">
        <is>
          <t>港股通互联网</t>
        </is>
      </c>
      <c r="C134" s="9" t="n">
        <v>1.32995160563378</v>
      </c>
      <c r="D134" s="9" t="n">
        <v>1.497495954992828</v>
      </c>
      <c r="E134" s="9" t="n">
        <v>1.227385514351422</v>
      </c>
      <c r="F134" s="9" t="n">
        <v>1.264973347557091</v>
      </c>
      <c r="G134" s="7" t="n">
        <v>1</v>
      </c>
      <c r="H134" s="7" t="inlineStr">
        <is>
          <t>是</t>
        </is>
      </c>
      <c r="I134" s="7" t="inlineStr">
        <is>
          <t>是</t>
        </is>
      </c>
      <c r="J134" s="7" t="inlineStr">
        <is>
          <t>保留</t>
        </is>
      </c>
    </row>
    <row r="135">
      <c r="A135" s="11" t="n">
        <v>44237</v>
      </c>
      <c r="B135" s="7" t="inlineStr">
        <is>
          <t>新能源电池</t>
        </is>
      </c>
      <c r="C135" s="9" t="n">
        <v>0.9217422254847535</v>
      </c>
      <c r="D135" s="9" t="n">
        <v>0.5841555814892611</v>
      </c>
      <c r="E135" s="9" t="n">
        <v>0.9662166744554174</v>
      </c>
      <c r="F135" s="9" t="n">
        <v>1.214854420509582</v>
      </c>
      <c r="G135" s="7" t="n">
        <v>2</v>
      </c>
      <c r="H135" s="7" t="inlineStr">
        <is>
          <t>是</t>
        </is>
      </c>
      <c r="I135" s="7" t="inlineStr">
        <is>
          <t>是</t>
        </is>
      </c>
      <c r="J135" s="7" t="inlineStr">
        <is>
          <t>保留</t>
        </is>
      </c>
    </row>
    <row r="136">
      <c r="A136" s="11" t="n">
        <v>44237</v>
      </c>
      <c r="B136" s="7" t="inlineStr">
        <is>
          <t>港股通创新药</t>
        </is>
      </c>
      <c r="C136" s="9" t="n">
        <v>0.8978191540385558</v>
      </c>
      <c r="D136" s="9" t="n">
        <v>1.126488692323271</v>
      </c>
      <c r="E136" s="9" t="n">
        <v>0.9435323823622177</v>
      </c>
      <c r="F136" s="9" t="n">
        <v>0.6234363874301786</v>
      </c>
      <c r="G136" s="7" t="n">
        <v>3</v>
      </c>
      <c r="H136" s="7" t="inlineStr">
        <is>
          <t>是</t>
        </is>
      </c>
      <c r="I136" s="7" t="inlineStr">
        <is>
          <t>否</t>
        </is>
      </c>
      <c r="J136" s="7" t="inlineStr"/>
    </row>
    <row r="137">
      <c r="A137" s="11" t="n">
        <v>44237</v>
      </c>
      <c r="B137" s="7" t="inlineStr">
        <is>
          <t>工业有色</t>
        </is>
      </c>
      <c r="C137" s="9" t="n">
        <v>0.6399795048619379</v>
      </c>
      <c r="D137" s="9" t="n">
        <v>0.4359710727873589</v>
      </c>
      <c r="E137" s="9" t="n">
        <v>0.7092486107615975</v>
      </c>
      <c r="F137" s="9" t="n">
        <v>0.7747188310368575</v>
      </c>
      <c r="G137" s="7" t="n">
        <v>4</v>
      </c>
      <c r="H137" s="7" t="inlineStr">
        <is>
          <t>是</t>
        </is>
      </c>
      <c r="I137" s="7" t="inlineStr">
        <is>
          <t>否</t>
        </is>
      </c>
      <c r="J137" s="7" t="inlineStr"/>
    </row>
    <row r="138">
      <c r="A138" s="16" t="n">
        <v>44237</v>
      </c>
      <c r="B138" s="17" t="inlineStr">
        <is>
          <t>机器人</t>
        </is>
      </c>
      <c r="C138" s="18" t="n">
        <v>0.3298269335796865</v>
      </c>
      <c r="D138" s="18" t="n">
        <v>0.3754624301541749</v>
      </c>
      <c r="E138" s="18" t="n">
        <v>0.2021130559415124</v>
      </c>
      <c r="F138" s="18" t="n">
        <v>0.4119053146433721</v>
      </c>
      <c r="G138" s="17" t="n">
        <v>5</v>
      </c>
      <c r="H138" s="17" t="inlineStr">
        <is>
          <t>是</t>
        </is>
      </c>
      <c r="I138" s="17" t="inlineStr">
        <is>
          <t>是</t>
        </is>
      </c>
      <c r="J138" s="17" t="inlineStr">
        <is>
          <t>卖出</t>
        </is>
      </c>
    </row>
    <row r="139">
      <c r="A139" s="11" t="n">
        <v>44237</v>
      </c>
      <c r="B139" s="7" t="inlineStr">
        <is>
          <t>科创芯片设计</t>
        </is>
      </c>
      <c r="C139" s="9" t="n">
        <v>0.0161772910880526</v>
      </c>
      <c r="D139" s="9" t="n">
        <v>-0.01950011250160029</v>
      </c>
      <c r="E139" s="9" t="n">
        <v>0.1962865498654806</v>
      </c>
      <c r="F139" s="9" t="n">
        <v>-0.1282545640997225</v>
      </c>
      <c r="G139" s="7" t="n">
        <v>6</v>
      </c>
      <c r="H139" s="7" t="inlineStr">
        <is>
          <t>是</t>
        </is>
      </c>
      <c r="I139" s="7" t="inlineStr">
        <is>
          <t>否</t>
        </is>
      </c>
      <c r="J139" s="7" t="inlineStr"/>
    </row>
    <row r="140">
      <c r="A140" s="11" t="n">
        <v>44237</v>
      </c>
      <c r="B140" s="7" t="inlineStr">
        <is>
          <t>半导体材料设备</t>
        </is>
      </c>
      <c r="C140" s="9" t="n">
        <v>-0.5959049430645799</v>
      </c>
      <c r="D140" s="9" t="n">
        <v>-0.8567445764831811</v>
      </c>
      <c r="E140" s="9" t="n">
        <v>-0.4352410252558371</v>
      </c>
      <c r="F140" s="9" t="n">
        <v>-0.4957292274547213</v>
      </c>
      <c r="G140" s="7" t="n"/>
      <c r="H140" s="7" t="inlineStr">
        <is>
          <t>否</t>
        </is>
      </c>
      <c r="I140" s="7" t="inlineStr">
        <is>
          <t>否</t>
        </is>
      </c>
      <c r="J140" s="7" t="inlineStr"/>
    </row>
    <row r="141">
      <c r="A141" s="11" t="n">
        <v>44237</v>
      </c>
      <c r="B141" s="7" t="inlineStr">
        <is>
          <t>计算机</t>
        </is>
      </c>
      <c r="C141" s="9" t="n">
        <v>-0.9453355742027213</v>
      </c>
      <c r="D141" s="9" t="n">
        <v>-0.5291187415768341</v>
      </c>
      <c r="E141" s="9" t="n">
        <v>-1.160877232347049</v>
      </c>
      <c r="F141" s="9" t="n">
        <v>-1.146010748684281</v>
      </c>
      <c r="G141" s="7" t="n"/>
      <c r="H141" s="7" t="inlineStr">
        <is>
          <t>否</t>
        </is>
      </c>
      <c r="I141" s="7" t="inlineStr">
        <is>
          <t>否</t>
        </is>
      </c>
      <c r="J141" s="7" t="inlineStr"/>
    </row>
    <row r="142">
      <c r="A142" s="11" t="n">
        <v>44237</v>
      </c>
      <c r="B142" s="7" t="inlineStr">
        <is>
          <t>通信设备</t>
        </is>
      </c>
      <c r="C142" s="9" t="n">
        <v>-1.073474023980444</v>
      </c>
      <c r="D142" s="9" t="n">
        <v>-0.8684466166064387</v>
      </c>
      <c r="E142" s="9" t="n">
        <v>-1.178554186388484</v>
      </c>
      <c r="F142" s="9" t="n">
        <v>-1.173421268946409</v>
      </c>
      <c r="G142" s="7" t="n"/>
      <c r="H142" s="7" t="inlineStr">
        <is>
          <t>否</t>
        </is>
      </c>
      <c r="I142" s="7" t="inlineStr">
        <is>
          <t>否</t>
        </is>
      </c>
      <c r="J142" s="7" t="inlineStr"/>
    </row>
    <row r="143">
      <c r="A143" s="11" t="n">
        <v>44237</v>
      </c>
      <c r="B143" s="7" t="inlineStr">
        <is>
          <t>卫星产业</t>
        </is>
      </c>
      <c r="C143" s="9" t="n">
        <v>-1.520782173439022</v>
      </c>
      <c r="D143" s="9" t="n">
        <v>-1.74576368457884</v>
      </c>
      <c r="E143" s="9" t="n">
        <v>-1.470110343746279</v>
      </c>
      <c r="F143" s="9" t="n">
        <v>-1.346472491991947</v>
      </c>
      <c r="G143" s="7" t="n"/>
      <c r="H143" s="7" t="inlineStr">
        <is>
          <t>否</t>
        </is>
      </c>
      <c r="I143" s="7" t="inlineStr">
        <is>
          <t>否</t>
        </is>
      </c>
      <c r="J143" s="7" t="inlineStr"/>
    </row>
    <row r="145">
      <c r="A145" s="11" t="n">
        <v>44274</v>
      </c>
      <c r="B145" s="7" t="inlineStr">
        <is>
          <t>港股通创新药</t>
        </is>
      </c>
      <c r="C145" s="9" t="n">
        <v>1.195663913719292</v>
      </c>
      <c r="D145" s="9" t="n">
        <v>1.687012331599</v>
      </c>
      <c r="E145" s="9" t="n">
        <v>1.279972039913044</v>
      </c>
      <c r="F145" s="9" t="n">
        <v>0.620007369645831</v>
      </c>
      <c r="G145" s="7" t="n">
        <v>1</v>
      </c>
      <c r="H145" s="7" t="inlineStr">
        <is>
          <t>是</t>
        </is>
      </c>
      <c r="I145" s="7" t="inlineStr">
        <is>
          <t>否</t>
        </is>
      </c>
      <c r="J145" s="7" t="inlineStr"/>
    </row>
    <row r="146">
      <c r="A146" s="16" t="n">
        <v>44274</v>
      </c>
      <c r="B146" s="17" t="inlineStr">
        <is>
          <t>新能源电池</t>
        </is>
      </c>
      <c r="C146" s="18" t="n">
        <v>1.030063643479485</v>
      </c>
      <c r="D146" s="18" t="n">
        <v>0.8480095290529565</v>
      </c>
      <c r="E146" s="18" t="n">
        <v>0.8332475806071038</v>
      </c>
      <c r="F146" s="18" t="n">
        <v>1.408933820778396</v>
      </c>
      <c r="G146" s="17" t="n"/>
      <c r="H146" s="17" t="inlineStr">
        <is>
          <t>否</t>
        </is>
      </c>
      <c r="I146" s="17" t="inlineStr">
        <is>
          <t>是</t>
        </is>
      </c>
      <c r="J146" s="17" t="inlineStr">
        <is>
          <t>卖出</t>
        </is>
      </c>
    </row>
    <row r="147">
      <c r="A147" s="11" t="n">
        <v>44274</v>
      </c>
      <c r="B147" s="7" t="inlineStr">
        <is>
          <t>工业有色</t>
        </is>
      </c>
      <c r="C147" s="9" t="n">
        <v>0.9786269981812253</v>
      </c>
      <c r="D147" s="9" t="n">
        <v>0.555129267649787</v>
      </c>
      <c r="E147" s="9" t="n">
        <v>1.247393389864027</v>
      </c>
      <c r="F147" s="9" t="n">
        <v>1.133358337029862</v>
      </c>
      <c r="G147" s="7" t="n"/>
      <c r="H147" s="7" t="inlineStr">
        <is>
          <t>否</t>
        </is>
      </c>
      <c r="I147" s="7" t="inlineStr">
        <is>
          <t>否</t>
        </is>
      </c>
      <c r="J147" s="7" t="inlineStr"/>
    </row>
    <row r="148">
      <c r="A148" s="11" t="n">
        <v>44274</v>
      </c>
      <c r="B148" s="7" t="inlineStr">
        <is>
          <t>港股通互联网</t>
        </is>
      </c>
      <c r="C148" s="9" t="n">
        <v>0.4842481797447037</v>
      </c>
      <c r="D148" s="9" t="n">
        <v>0.04927189879896511</v>
      </c>
      <c r="E148" s="9" t="n">
        <v>0.757329507841455</v>
      </c>
      <c r="F148" s="9" t="n">
        <v>0.646143132593691</v>
      </c>
      <c r="G148" s="7" t="n"/>
      <c r="H148" s="7" t="inlineStr">
        <is>
          <t>否</t>
        </is>
      </c>
      <c r="I148" s="7" t="inlineStr">
        <is>
          <t>是</t>
        </is>
      </c>
      <c r="J148" s="7" t="inlineStr">
        <is>
          <t>保留</t>
        </is>
      </c>
    </row>
    <row r="149">
      <c r="A149" s="11" t="n">
        <v>44274</v>
      </c>
      <c r="B149" s="7" t="inlineStr">
        <is>
          <t>机器人</t>
        </is>
      </c>
      <c r="C149" s="9" t="n">
        <v>0.2452490064012129</v>
      </c>
      <c r="D149" s="9" t="n">
        <v>-0.09558957925176192</v>
      </c>
      <c r="E149" s="9" t="n">
        <v>0.3197113035815138</v>
      </c>
      <c r="F149" s="9" t="n">
        <v>0.511625294873887</v>
      </c>
      <c r="G149" s="7" t="n"/>
      <c r="H149" s="7" t="inlineStr">
        <is>
          <t>否</t>
        </is>
      </c>
      <c r="I149" s="7" t="inlineStr">
        <is>
          <t>否</t>
        </is>
      </c>
      <c r="J149" s="7" t="inlineStr"/>
    </row>
    <row r="150">
      <c r="A150" s="11" t="n">
        <v>44274</v>
      </c>
      <c r="B150" s="7" t="inlineStr">
        <is>
          <t>卫星产业</t>
        </is>
      </c>
      <c r="C150" s="9" t="n">
        <v>-0.4745063246673835</v>
      </c>
      <c r="D150" s="9" t="n">
        <v>0.4330179459559745</v>
      </c>
      <c r="E150" s="9" t="n">
        <v>-0.765047479900579</v>
      </c>
      <c r="F150" s="9" t="n">
        <v>-1.091489440057546</v>
      </c>
      <c r="G150" s="7" t="n"/>
      <c r="H150" s="7" t="inlineStr">
        <is>
          <t>否</t>
        </is>
      </c>
      <c r="I150" s="7" t="inlineStr">
        <is>
          <t>否</t>
        </is>
      </c>
      <c r="J150" s="7" t="inlineStr"/>
    </row>
    <row r="151">
      <c r="A151" s="11" t="n">
        <v>44274</v>
      </c>
      <c r="B151" s="7" t="inlineStr">
        <is>
          <t>半导体材料设备</t>
        </is>
      </c>
      <c r="C151" s="9" t="n">
        <v>-0.5152118720013568</v>
      </c>
      <c r="D151" s="9" t="n">
        <v>-0.5458540816092995</v>
      </c>
      <c r="E151" s="9" t="n">
        <v>-0.602524739722094</v>
      </c>
      <c r="F151" s="9" t="n">
        <v>-0.3972567946726767</v>
      </c>
      <c r="G151" s="7" t="n"/>
      <c r="H151" s="7" t="inlineStr">
        <is>
          <t>否</t>
        </is>
      </c>
      <c r="I151" s="7" t="inlineStr">
        <is>
          <t>否</t>
        </is>
      </c>
      <c r="J151" s="7" t="inlineStr"/>
    </row>
    <row r="152">
      <c r="A152" s="11" t="n">
        <v>44274</v>
      </c>
      <c r="B152" s="7" t="inlineStr">
        <is>
          <t>通信设备</t>
        </is>
      </c>
      <c r="C152" s="9" t="n">
        <v>-0.5264835078945437</v>
      </c>
      <c r="D152" s="9" t="n">
        <v>0.08358361049532996</v>
      </c>
      <c r="E152" s="9" t="n">
        <v>-0.5702274193877335</v>
      </c>
      <c r="F152" s="9" t="n">
        <v>-1.092806714791227</v>
      </c>
      <c r="G152" s="7" t="n"/>
      <c r="H152" s="7" t="inlineStr">
        <is>
          <t>否</t>
        </is>
      </c>
      <c r="I152" s="7" t="inlineStr">
        <is>
          <t>否</t>
        </is>
      </c>
      <c r="J152" s="7" t="inlineStr"/>
    </row>
    <row r="153">
      <c r="A153" s="11" t="n">
        <v>44274</v>
      </c>
      <c r="B153" s="7" t="inlineStr">
        <is>
          <t>科创芯片设计</t>
        </is>
      </c>
      <c r="C153" s="9" t="n">
        <v>-1.136232295219385</v>
      </c>
      <c r="D153" s="9" t="n">
        <v>-1.705834071913922</v>
      </c>
      <c r="E153" s="9" t="n">
        <v>-1.386835802529987</v>
      </c>
      <c r="F153" s="9" t="n">
        <v>-0.3160270112142456</v>
      </c>
      <c r="G153" s="7" t="n"/>
      <c r="H153" s="7" t="inlineStr">
        <is>
          <t>否</t>
        </is>
      </c>
      <c r="I153" s="7" t="inlineStr">
        <is>
          <t>否</t>
        </is>
      </c>
      <c r="J153" s="7" t="inlineStr"/>
    </row>
    <row r="154">
      <c r="A154" s="11" t="n">
        <v>44274</v>
      </c>
      <c r="B154" s="7" t="inlineStr">
        <is>
          <t>计算机</t>
        </is>
      </c>
      <c r="C154" s="9" t="n">
        <v>-1.281417741743249</v>
      </c>
      <c r="D154" s="9" t="n">
        <v>-1.308746850777027</v>
      </c>
      <c r="E154" s="9" t="n">
        <v>-1.113018380266749</v>
      </c>
      <c r="F154" s="9" t="n">
        <v>-1.422487994185971</v>
      </c>
      <c r="G154" s="7" t="n"/>
      <c r="H154" s="7" t="inlineStr">
        <is>
          <t>否</t>
        </is>
      </c>
      <c r="I154" s="7" t="inlineStr">
        <is>
          <t>否</t>
        </is>
      </c>
      <c r="J154" s="7" t="inlineStr"/>
    </row>
    <row r="156">
      <c r="A156" s="11" t="n">
        <v>44298</v>
      </c>
      <c r="B156" s="7" t="inlineStr">
        <is>
          <t>港股通创新药</t>
        </is>
      </c>
      <c r="C156" s="9" t="n">
        <v>1.373914620806332</v>
      </c>
      <c r="D156" s="9" t="n">
        <v>0.9920378458620768</v>
      </c>
      <c r="E156" s="9" t="n">
        <v>2.17888406556571</v>
      </c>
      <c r="F156" s="9" t="n">
        <v>0.9508219509912103</v>
      </c>
      <c r="G156" s="7" t="n">
        <v>1</v>
      </c>
      <c r="H156" s="7" t="inlineStr">
        <is>
          <t>是</t>
        </is>
      </c>
      <c r="I156" s="7" t="inlineStr">
        <is>
          <t>否</t>
        </is>
      </c>
      <c r="J156" s="7" t="inlineStr"/>
    </row>
    <row r="157">
      <c r="A157" s="16" t="n">
        <v>44298</v>
      </c>
      <c r="B157" s="17" t="inlineStr">
        <is>
          <t>港股通互联网</t>
        </is>
      </c>
      <c r="C157" s="18" t="n">
        <v>0.3722169923346548</v>
      </c>
      <c r="D157" s="18" t="n">
        <v>-0.4560285820356307</v>
      </c>
      <c r="E157" s="18" t="n">
        <v>1.003259183974911</v>
      </c>
      <c r="F157" s="18" t="n">
        <v>0.5694203750646842</v>
      </c>
      <c r="G157" s="17" t="n"/>
      <c r="H157" s="17" t="inlineStr">
        <is>
          <t>否</t>
        </is>
      </c>
      <c r="I157" s="17" t="inlineStr">
        <is>
          <t>是</t>
        </is>
      </c>
      <c r="J157" s="17" t="inlineStr">
        <is>
          <t>卖出</t>
        </is>
      </c>
    </row>
    <row r="158">
      <c r="A158" s="11" t="n">
        <v>44298</v>
      </c>
      <c r="B158" s="7" t="inlineStr">
        <is>
          <t>半导体材料设备</t>
        </is>
      </c>
      <c r="C158" s="9" t="n">
        <v>0.3123587346824086</v>
      </c>
      <c r="D158" s="9" t="n">
        <v>1.104438129587962</v>
      </c>
      <c r="E158" s="9" t="n">
        <v>0.008724464643708027</v>
      </c>
      <c r="F158" s="9" t="n">
        <v>-0.1760863901844445</v>
      </c>
      <c r="G158" s="7" t="n"/>
      <c r="H158" s="7" t="inlineStr">
        <is>
          <t>否</t>
        </is>
      </c>
      <c r="I158" s="7" t="inlineStr">
        <is>
          <t>否</t>
        </is>
      </c>
      <c r="J158" s="7" t="inlineStr"/>
    </row>
    <row r="159">
      <c r="A159" s="11" t="n">
        <v>44298</v>
      </c>
      <c r="B159" s="7" t="inlineStr">
        <is>
          <t>机器人</t>
        </is>
      </c>
      <c r="C159" s="9" t="n">
        <v>0.2621043619227818</v>
      </c>
      <c r="D159" s="9" t="n">
        <v>0.250685138801066</v>
      </c>
      <c r="E159" s="9" t="n">
        <v>0.04231643157004811</v>
      </c>
      <c r="F159" s="9" t="n">
        <v>0.4933115153972312</v>
      </c>
      <c r="G159" s="7" t="n"/>
      <c r="H159" s="7" t="inlineStr">
        <is>
          <t>否</t>
        </is>
      </c>
      <c r="I159" s="7" t="inlineStr">
        <is>
          <t>否</t>
        </is>
      </c>
      <c r="J159" s="7" t="inlineStr"/>
    </row>
    <row r="160">
      <c r="A160" s="11" t="n">
        <v>44298</v>
      </c>
      <c r="B160" s="7" t="inlineStr">
        <is>
          <t>工业有色</t>
        </is>
      </c>
      <c r="C160" s="9" t="n">
        <v>0.05980274682124957</v>
      </c>
      <c r="D160" s="9" t="n">
        <v>-1.542503011725691</v>
      </c>
      <c r="E160" s="9" t="n">
        <v>0.4436218238371225</v>
      </c>
      <c r="F160" s="9" t="n">
        <v>1.278289428352318</v>
      </c>
      <c r="G160" s="7" t="n"/>
      <c r="H160" s="7" t="inlineStr">
        <is>
          <t>否</t>
        </is>
      </c>
      <c r="I160" s="7" t="inlineStr">
        <is>
          <t>否</t>
        </is>
      </c>
      <c r="J160" s="7" t="inlineStr"/>
    </row>
    <row r="161">
      <c r="A161" s="11" t="n">
        <v>44298</v>
      </c>
      <c r="B161" s="7" t="inlineStr">
        <is>
          <t>新能源电池</t>
        </is>
      </c>
      <c r="C161" s="9" t="n">
        <v>-0.1840780747764596</v>
      </c>
      <c r="D161" s="9" t="n">
        <v>-1.244159673689584</v>
      </c>
      <c r="E161" s="9" t="n">
        <v>-0.3434964996462168</v>
      </c>
      <c r="F161" s="9" t="n">
        <v>1.035421949006422</v>
      </c>
      <c r="G161" s="7" t="n"/>
      <c r="H161" s="7" t="inlineStr">
        <is>
          <t>否</t>
        </is>
      </c>
      <c r="I161" s="7" t="inlineStr">
        <is>
          <t>否</t>
        </is>
      </c>
      <c r="J161" s="7" t="inlineStr"/>
    </row>
    <row r="162">
      <c r="A162" s="11" t="n">
        <v>44298</v>
      </c>
      <c r="B162" s="7" t="inlineStr">
        <is>
          <t>卫星产业</t>
        </is>
      </c>
      <c r="C162" s="9" t="n">
        <v>-0.1872128476579058</v>
      </c>
      <c r="D162" s="9" t="n">
        <v>1.480922812096712</v>
      </c>
      <c r="E162" s="9" t="n">
        <v>-0.8503499567560086</v>
      </c>
      <c r="F162" s="9" t="n">
        <v>-1.19221139831442</v>
      </c>
      <c r="G162" s="7" t="n"/>
      <c r="H162" s="7" t="inlineStr">
        <is>
          <t>否</t>
        </is>
      </c>
      <c r="I162" s="7" t="inlineStr">
        <is>
          <t>否</t>
        </is>
      </c>
      <c r="J162" s="7" t="inlineStr"/>
    </row>
    <row r="163">
      <c r="A163" s="11" t="n">
        <v>44298</v>
      </c>
      <c r="B163" s="7" t="inlineStr">
        <is>
          <t>科创芯片设计</t>
        </is>
      </c>
      <c r="C163" s="9" t="n">
        <v>-0.575896839822754</v>
      </c>
      <c r="D163" s="9" t="n">
        <v>-0.1320492543827436</v>
      </c>
      <c r="E163" s="9" t="n">
        <v>-1.144645766151846</v>
      </c>
      <c r="F163" s="9" t="n">
        <v>-0.4509954989336722</v>
      </c>
      <c r="G163" s="7" t="n"/>
      <c r="H163" s="7" t="inlineStr">
        <is>
          <t>否</t>
        </is>
      </c>
      <c r="I163" s="7" t="inlineStr">
        <is>
          <t>否</t>
        </is>
      </c>
      <c r="J163" s="7" t="inlineStr"/>
    </row>
    <row r="164">
      <c r="A164" s="11" t="n">
        <v>44298</v>
      </c>
      <c r="B164" s="7" t="inlineStr">
        <is>
          <t>计算机</t>
        </is>
      </c>
      <c r="C164" s="9" t="n">
        <v>-0.6205185030609993</v>
      </c>
      <c r="D164" s="9" t="n">
        <v>0.1506172366495018</v>
      </c>
      <c r="E164" s="9" t="n">
        <v>-0.6545374960192304</v>
      </c>
      <c r="F164" s="9" t="n">
        <v>-1.35763524981327</v>
      </c>
      <c r="G164" s="7" t="n"/>
      <c r="H164" s="7" t="inlineStr">
        <is>
          <t>否</t>
        </is>
      </c>
      <c r="I164" s="7" t="inlineStr">
        <is>
          <t>否</t>
        </is>
      </c>
      <c r="J164" s="7" t="inlineStr"/>
    </row>
    <row r="165">
      <c r="A165" s="11" t="n">
        <v>44298</v>
      </c>
      <c r="B165" s="7" t="inlineStr">
        <is>
          <t>通信设备</t>
        </is>
      </c>
      <c r="C165" s="9" t="n">
        <v>-0.8126911912493089</v>
      </c>
      <c r="D165" s="9" t="n">
        <v>-0.6039606411636685</v>
      </c>
      <c r="E165" s="9" t="n">
        <v>-0.6837762510181988</v>
      </c>
      <c r="F165" s="9" t="n">
        <v>-1.15033668156606</v>
      </c>
      <c r="G165" s="7" t="n"/>
      <c r="H165" s="7" t="inlineStr">
        <is>
          <t>否</t>
        </is>
      </c>
      <c r="I165" s="7" t="inlineStr">
        <is>
          <t>否</t>
        </is>
      </c>
      <c r="J165" s="7" t="inlineStr"/>
    </row>
    <row r="167">
      <c r="A167" s="11" t="n">
        <v>44322</v>
      </c>
      <c r="B167" s="7" t="inlineStr">
        <is>
          <t>工业有色</t>
        </is>
      </c>
      <c r="C167" s="9" t="n">
        <v>1.480792241053381</v>
      </c>
      <c r="D167" s="9" t="n">
        <v>1.605759123808454</v>
      </c>
      <c r="E167" s="9" t="n">
        <v>1.371247468110663</v>
      </c>
      <c r="F167" s="9" t="n">
        <v>1.465370131241025</v>
      </c>
      <c r="G167" s="7" t="n">
        <v>1</v>
      </c>
      <c r="H167" s="7" t="inlineStr">
        <is>
          <t>是</t>
        </is>
      </c>
      <c r="I167" s="7" t="inlineStr">
        <is>
          <t>否</t>
        </is>
      </c>
      <c r="J167" s="7" t="inlineStr"/>
    </row>
    <row r="168">
      <c r="A168" s="13" t="n">
        <v>44322</v>
      </c>
      <c r="B168" s="14" t="inlineStr">
        <is>
          <t>港股通创新药</t>
        </is>
      </c>
      <c r="C168" s="15" t="n">
        <v>1.23503109783528</v>
      </c>
      <c r="D168" s="15" t="n">
        <v>0.969727188006144</v>
      </c>
      <c r="E168" s="15" t="n">
        <v>1.598838552773441</v>
      </c>
      <c r="F168" s="15" t="n">
        <v>1.136527552726255</v>
      </c>
      <c r="G168" s="14" t="n">
        <v>2</v>
      </c>
      <c r="H168" s="14" t="inlineStr">
        <is>
          <t>是</t>
        </is>
      </c>
      <c r="I168" s="14" t="inlineStr">
        <is>
          <t>否</t>
        </is>
      </c>
      <c r="J168" s="14" t="inlineStr">
        <is>
          <t>买入</t>
        </is>
      </c>
    </row>
    <row r="169">
      <c r="A169" s="11" t="n">
        <v>44322</v>
      </c>
      <c r="B169" s="7" t="inlineStr">
        <is>
          <t>新能源电池</t>
        </is>
      </c>
      <c r="C169" s="9" t="n">
        <v>0.8619098552307886</v>
      </c>
      <c r="D169" s="9" t="n">
        <v>1.079861016806125</v>
      </c>
      <c r="E169" s="9" t="n">
        <v>0.4736757727472492</v>
      </c>
      <c r="F169" s="9" t="n">
        <v>1.032192776138992</v>
      </c>
      <c r="G169" s="7" t="n">
        <v>3</v>
      </c>
      <c r="H169" s="7" t="inlineStr">
        <is>
          <t>是</t>
        </is>
      </c>
      <c r="I169" s="7" t="inlineStr">
        <is>
          <t>否</t>
        </is>
      </c>
      <c r="J169" s="7" t="inlineStr"/>
    </row>
    <row r="170">
      <c r="A170" s="11" t="n">
        <v>44322</v>
      </c>
      <c r="B170" s="7" t="inlineStr">
        <is>
          <t>机器人</t>
        </is>
      </c>
      <c r="C170" s="9" t="n">
        <v>0.1944462412498125</v>
      </c>
      <c r="D170" s="9" t="n">
        <v>0.1272106565398427</v>
      </c>
      <c r="E170" s="9" t="n">
        <v>0.2923736540281153</v>
      </c>
      <c r="F170" s="9" t="n">
        <v>0.1637544131814796</v>
      </c>
      <c r="G170" s="7" t="n"/>
      <c r="H170" s="7" t="inlineStr">
        <is>
          <t>否</t>
        </is>
      </c>
      <c r="I170" s="7" t="inlineStr">
        <is>
          <t>否</t>
        </is>
      </c>
      <c r="J170" s="7" t="inlineStr"/>
    </row>
    <row r="171">
      <c r="A171" s="11" t="n">
        <v>44322</v>
      </c>
      <c r="B171" s="7" t="inlineStr">
        <is>
          <t>半导体材料设备</t>
        </is>
      </c>
      <c r="C171" s="9" t="n">
        <v>0.1147164842951857</v>
      </c>
      <c r="D171" s="9" t="n">
        <v>0.2708277176783878</v>
      </c>
      <c r="E171" s="9" t="n">
        <v>0.07339478146828141</v>
      </c>
      <c r="F171" s="9" t="n">
        <v>-7.304626111223836e-05</v>
      </c>
      <c r="G171" s="7" t="n">
        <v>4</v>
      </c>
      <c r="H171" s="7" t="inlineStr">
        <is>
          <t>是</t>
        </is>
      </c>
      <c r="I171" s="7" t="inlineStr">
        <is>
          <t>否</t>
        </is>
      </c>
      <c r="J171" s="7" t="inlineStr"/>
    </row>
    <row r="172">
      <c r="A172" s="11" t="n">
        <v>44322</v>
      </c>
      <c r="B172" s="7" t="inlineStr">
        <is>
          <t>港股通互联网</t>
        </is>
      </c>
      <c r="C172" s="9" t="n">
        <v>-0.2891520360237952</v>
      </c>
      <c r="D172" s="9" t="n">
        <v>-0.776215727230994</v>
      </c>
      <c r="E172" s="9" t="n">
        <v>-0.2875125698552612</v>
      </c>
      <c r="F172" s="9" t="n">
        <v>0.1962721890148694</v>
      </c>
      <c r="G172" s="7" t="n"/>
      <c r="H172" s="7" t="inlineStr">
        <is>
          <t>否</t>
        </is>
      </c>
      <c r="I172" s="7" t="inlineStr">
        <is>
          <t>否</t>
        </is>
      </c>
      <c r="J172" s="7" t="inlineStr"/>
    </row>
    <row r="173">
      <c r="A173" s="11" t="n">
        <v>44322</v>
      </c>
      <c r="B173" s="7" t="inlineStr">
        <is>
          <t>卫星产业</t>
        </is>
      </c>
      <c r="C173" s="9" t="n">
        <v>-0.6497064828411565</v>
      </c>
      <c r="D173" s="9" t="n">
        <v>-0.722512586327555</v>
      </c>
      <c r="E173" s="9" t="n">
        <v>-0.1412425094009997</v>
      </c>
      <c r="F173" s="9" t="n">
        <v>-1.085364352794915</v>
      </c>
      <c r="G173" s="7" t="n"/>
      <c r="H173" s="7" t="inlineStr">
        <is>
          <t>否</t>
        </is>
      </c>
      <c r="I173" s="7" t="inlineStr">
        <is>
          <t>否</t>
        </is>
      </c>
      <c r="J173" s="7" t="inlineStr"/>
    </row>
    <row r="174">
      <c r="A174" s="11" t="n">
        <v>44322</v>
      </c>
      <c r="B174" s="7" t="inlineStr">
        <is>
          <t>科创芯片设计</t>
        </is>
      </c>
      <c r="C174" s="9" t="n">
        <v>-0.7779457142720628</v>
      </c>
      <c r="D174" s="9" t="n">
        <v>-0.3092796721205192</v>
      </c>
      <c r="E174" s="9" t="n">
        <v>-1.585017323802973</v>
      </c>
      <c r="F174" s="9" t="n">
        <v>-0.4395401468926968</v>
      </c>
      <c r="G174" s="7" t="n"/>
      <c r="H174" s="7" t="inlineStr">
        <is>
          <t>否</t>
        </is>
      </c>
      <c r="I174" s="7" t="inlineStr">
        <is>
          <t>否</t>
        </is>
      </c>
      <c r="J174" s="7" t="inlineStr"/>
    </row>
    <row r="175">
      <c r="A175" s="11" t="n">
        <v>44322</v>
      </c>
      <c r="B175" s="7" t="inlineStr">
        <is>
          <t>计算机</t>
        </is>
      </c>
      <c r="C175" s="9" t="n">
        <v>-0.8625365188328159</v>
      </c>
      <c r="D175" s="9" t="n">
        <v>-0.6305064517522816</v>
      </c>
      <c r="E175" s="9" t="n">
        <v>-0.7956735996307284</v>
      </c>
      <c r="F175" s="9" t="n">
        <v>-1.161429505115438</v>
      </c>
      <c r="G175" s="7" t="n"/>
      <c r="H175" s="7" t="inlineStr">
        <is>
          <t>否</t>
        </is>
      </c>
      <c r="I175" s="7" t="inlineStr">
        <is>
          <t>否</t>
        </is>
      </c>
      <c r="J175" s="7" t="inlineStr"/>
    </row>
    <row r="176">
      <c r="A176" s="11" t="n">
        <v>44322</v>
      </c>
      <c r="B176" s="7" t="inlineStr">
        <is>
          <t>通信设备</t>
        </is>
      </c>
      <c r="C176" s="9" t="n">
        <v>-1.307555167694617</v>
      </c>
      <c r="D176" s="9" t="n">
        <v>-1.614871265407604</v>
      </c>
      <c r="E176" s="9" t="n">
        <v>-1.000084226437788</v>
      </c>
      <c r="F176" s="9" t="n">
        <v>-1.307710011238459</v>
      </c>
      <c r="G176" s="7" t="n"/>
      <c r="H176" s="7" t="inlineStr">
        <is>
          <t>否</t>
        </is>
      </c>
      <c r="I176" s="7" t="inlineStr">
        <is>
          <t>否</t>
        </is>
      </c>
      <c r="J176" s="7" t="inlineStr"/>
    </row>
    <row r="178">
      <c r="A178" s="11" t="n">
        <v>44347</v>
      </c>
      <c r="B178" s="7" t="inlineStr">
        <is>
          <t>港股通创新药</t>
        </is>
      </c>
      <c r="C178" s="9" t="n">
        <v>2.002838705801741</v>
      </c>
      <c r="D178" s="9" t="n">
        <v>1.637507628503731</v>
      </c>
      <c r="E178" s="9" t="n">
        <v>2.33115390110912</v>
      </c>
      <c r="F178" s="9" t="n">
        <v>2.039854587792373</v>
      </c>
      <c r="G178" s="7" t="n">
        <v>1</v>
      </c>
      <c r="H178" s="7" t="inlineStr">
        <is>
          <t>是</t>
        </is>
      </c>
      <c r="I178" s="7" t="inlineStr">
        <is>
          <t>是</t>
        </is>
      </c>
      <c r="J178" s="7" t="inlineStr">
        <is>
          <t>保留</t>
        </is>
      </c>
    </row>
    <row r="179">
      <c r="A179" s="13" t="n">
        <v>44347</v>
      </c>
      <c r="B179" s="14" t="inlineStr">
        <is>
          <t>新能源电池</t>
        </is>
      </c>
      <c r="C179" s="15" t="n">
        <v>0.8216190450865457</v>
      </c>
      <c r="D179" s="15" t="n">
        <v>0.7897781629367747</v>
      </c>
      <c r="E179" s="15" t="n">
        <v>0.7161952287507327</v>
      </c>
      <c r="F179" s="15" t="n">
        <v>0.9588837435721299</v>
      </c>
      <c r="G179" s="14" t="n">
        <v>2</v>
      </c>
      <c r="H179" s="14" t="inlineStr">
        <is>
          <t>是</t>
        </is>
      </c>
      <c r="I179" s="14" t="inlineStr">
        <is>
          <t>否</t>
        </is>
      </c>
      <c r="J179" s="14" t="inlineStr">
        <is>
          <t>买入</t>
        </is>
      </c>
    </row>
    <row r="180">
      <c r="A180" s="11" t="n">
        <v>44347</v>
      </c>
      <c r="B180" s="7" t="inlineStr">
        <is>
          <t>工业有色</t>
        </is>
      </c>
      <c r="C180" s="9" t="n">
        <v>0.328613748001663</v>
      </c>
      <c r="D180" s="9" t="n">
        <v>0.27988495520227</v>
      </c>
      <c r="E180" s="9" t="n">
        <v>0.1388790356220288</v>
      </c>
      <c r="F180" s="9" t="n">
        <v>0.5670772531806904</v>
      </c>
      <c r="G180" s="7" t="n">
        <v>3</v>
      </c>
      <c r="H180" s="7" t="inlineStr">
        <is>
          <t>是</t>
        </is>
      </c>
      <c r="I180" s="7" t="inlineStr">
        <is>
          <t>否</t>
        </is>
      </c>
      <c r="J180" s="7" t="inlineStr"/>
    </row>
    <row r="181">
      <c r="A181" s="11" t="n">
        <v>44347</v>
      </c>
      <c r="B181" s="7" t="inlineStr">
        <is>
          <t>半导体材料设备</t>
        </is>
      </c>
      <c r="C181" s="9" t="n">
        <v>0.09950401719086603</v>
      </c>
      <c r="D181" s="9" t="n">
        <v>0.2629274134541215</v>
      </c>
      <c r="E181" s="9" t="n">
        <v>0.1587895679753134</v>
      </c>
      <c r="F181" s="9" t="n">
        <v>-0.1232049298568367</v>
      </c>
      <c r="G181" s="7" t="n">
        <v>4</v>
      </c>
      <c r="H181" s="7" t="inlineStr">
        <is>
          <t>是</t>
        </is>
      </c>
      <c r="I181" s="7" t="inlineStr">
        <is>
          <t>否</t>
        </is>
      </c>
      <c r="J181" s="7" t="inlineStr"/>
    </row>
    <row r="182">
      <c r="A182" s="11" t="n">
        <v>44347</v>
      </c>
      <c r="B182" s="7" t="inlineStr">
        <is>
          <t>机器人</t>
        </is>
      </c>
      <c r="C182" s="9" t="n">
        <v>-0.05661080448685226</v>
      </c>
      <c r="D182" s="9" t="n">
        <v>-0.4006369010712951</v>
      </c>
      <c r="E182" s="9" t="n">
        <v>-0.005770303758057476</v>
      </c>
      <c r="F182" s="9" t="n">
        <v>0.2365747913687958</v>
      </c>
      <c r="G182" s="7" t="n">
        <v>5</v>
      </c>
      <c r="H182" s="7" t="inlineStr">
        <is>
          <t>是</t>
        </is>
      </c>
      <c r="I182" s="7" t="inlineStr">
        <is>
          <t>否</t>
        </is>
      </c>
      <c r="J182" s="7" t="inlineStr"/>
    </row>
    <row r="183">
      <c r="A183" s="11" t="n">
        <v>44347</v>
      </c>
      <c r="B183" s="7" t="inlineStr">
        <is>
          <t>计算机</t>
        </is>
      </c>
      <c r="C183" s="9" t="n">
        <v>-0.08444472011205895</v>
      </c>
      <c r="D183" s="9" t="n">
        <v>0.5956846839201135</v>
      </c>
      <c r="E183" s="9" t="n">
        <v>-0.09242505231884783</v>
      </c>
      <c r="F183" s="9" t="n">
        <v>-0.7565937919374426</v>
      </c>
      <c r="G183" s="7" t="n">
        <v>6</v>
      </c>
      <c r="H183" s="7" t="inlineStr">
        <is>
          <t>是</t>
        </is>
      </c>
      <c r="I183" s="7" t="inlineStr">
        <is>
          <t>否</t>
        </is>
      </c>
      <c r="J183" s="7" t="inlineStr"/>
    </row>
    <row r="184">
      <c r="A184" s="11" t="n">
        <v>44347</v>
      </c>
      <c r="B184" s="7" t="inlineStr">
        <is>
          <t>卫星产业</t>
        </is>
      </c>
      <c r="C184" s="9" t="n">
        <v>-0.4434533839170225</v>
      </c>
      <c r="D184" s="9" t="n">
        <v>0.1376882531471656</v>
      </c>
      <c r="E184" s="9" t="n">
        <v>-0.3384424576286099</v>
      </c>
      <c r="F184" s="9" t="n">
        <v>-1.129605947269623</v>
      </c>
      <c r="G184" s="7" t="n">
        <v>7</v>
      </c>
      <c r="H184" s="7" t="inlineStr">
        <is>
          <t>是</t>
        </is>
      </c>
      <c r="I184" s="7" t="inlineStr">
        <is>
          <t>否</t>
        </is>
      </c>
      <c r="J184" s="7" t="inlineStr"/>
    </row>
    <row r="185">
      <c r="A185" s="11" t="n">
        <v>44347</v>
      </c>
      <c r="B185" s="7" t="inlineStr">
        <is>
          <t>通信设备</t>
        </is>
      </c>
      <c r="C185" s="9" t="n">
        <v>-0.7950116163253064</v>
      </c>
      <c r="D185" s="9" t="n">
        <v>-0.1476842650753441</v>
      </c>
      <c r="E185" s="9" t="n">
        <v>-1.065955191677125</v>
      </c>
      <c r="F185" s="9" t="n">
        <v>-1.17139539222345</v>
      </c>
      <c r="G185" s="7" t="n">
        <v>8</v>
      </c>
      <c r="H185" s="7" t="inlineStr">
        <is>
          <t>是</t>
        </is>
      </c>
      <c r="I185" s="7" t="inlineStr">
        <is>
          <t>否</t>
        </is>
      </c>
      <c r="J185" s="7" t="inlineStr"/>
    </row>
    <row r="186">
      <c r="A186" s="11" t="n">
        <v>44347</v>
      </c>
      <c r="B186" s="7" t="inlineStr">
        <is>
          <t>科创芯片设计</t>
        </is>
      </c>
      <c r="C186" s="9" t="n">
        <v>-0.9345654163247792</v>
      </c>
      <c r="D186" s="9" t="n">
        <v>-1.494664178865877</v>
      </c>
      <c r="E186" s="9" t="n">
        <v>-0.7605255935421451</v>
      </c>
      <c r="F186" s="9" t="n">
        <v>-0.5485064765663157</v>
      </c>
      <c r="G186" s="7" t="n">
        <v>9</v>
      </c>
      <c r="H186" s="7" t="inlineStr">
        <is>
          <t>是</t>
        </is>
      </c>
      <c r="I186" s="7" t="inlineStr">
        <is>
          <t>否</t>
        </is>
      </c>
      <c r="J186" s="7" t="inlineStr"/>
    </row>
    <row r="187">
      <c r="A187" s="11" t="n">
        <v>44347</v>
      </c>
      <c r="B187" s="7" t="inlineStr">
        <is>
          <t>港股通互联网</t>
        </is>
      </c>
      <c r="C187" s="9" t="n">
        <v>-0.9384895749147968</v>
      </c>
      <c r="D187" s="9" t="n">
        <v>-1.66048575215166</v>
      </c>
      <c r="E187" s="9" t="n">
        <v>-1.08189913453241</v>
      </c>
      <c r="F187" s="9" t="n">
        <v>-0.07308383806032066</v>
      </c>
      <c r="G187" s="7" t="n"/>
      <c r="H187" s="7" t="inlineStr">
        <is>
          <t>否</t>
        </is>
      </c>
      <c r="I187" s="7" t="inlineStr">
        <is>
          <t>否</t>
        </is>
      </c>
      <c r="J187" s="7" t="inlineStr"/>
    </row>
    <row r="189">
      <c r="A189" s="13" t="n">
        <v>44369</v>
      </c>
      <c r="B189" s="14" t="inlineStr">
        <is>
          <t>半导体材料设备</t>
        </is>
      </c>
      <c r="C189" s="15" t="n">
        <v>1.086943588210665</v>
      </c>
      <c r="D189" s="15" t="n">
        <v>1.166629663778322</v>
      </c>
      <c r="E189" s="15" t="n">
        <v>1.482078787016378</v>
      </c>
      <c r="F189" s="15" t="n">
        <v>0.6121223138372931</v>
      </c>
      <c r="G189" s="14" t="n">
        <v>1</v>
      </c>
      <c r="H189" s="14" t="inlineStr">
        <is>
          <t>是</t>
        </is>
      </c>
      <c r="I189" s="14" t="inlineStr">
        <is>
          <t>否</t>
        </is>
      </c>
      <c r="J189" s="14" t="inlineStr">
        <is>
          <t>买入</t>
        </is>
      </c>
    </row>
    <row r="190">
      <c r="A190" s="11" t="n">
        <v>44369</v>
      </c>
      <c r="B190" s="7" t="inlineStr">
        <is>
          <t>港股通创新药</t>
        </is>
      </c>
      <c r="C190" s="9" t="n">
        <v>1.031474387592149</v>
      </c>
      <c r="D190" s="9" t="n">
        <v>-0.5751787657111508</v>
      </c>
      <c r="E190" s="9" t="n">
        <v>1.451717294967007</v>
      </c>
      <c r="F190" s="9" t="n">
        <v>2.217884633520591</v>
      </c>
      <c r="G190" s="7" t="n">
        <v>2</v>
      </c>
      <c r="H190" s="7" t="inlineStr">
        <is>
          <t>是</t>
        </is>
      </c>
      <c r="I190" s="7" t="inlineStr">
        <is>
          <t>是</t>
        </is>
      </c>
      <c r="J190" s="7" t="inlineStr">
        <is>
          <t>保留</t>
        </is>
      </c>
    </row>
    <row r="191">
      <c r="A191" s="11" t="n">
        <v>44369</v>
      </c>
      <c r="B191" s="7" t="inlineStr">
        <is>
          <t>新能源电池</t>
        </is>
      </c>
      <c r="C191" s="9" t="n">
        <v>0.3925264846406569</v>
      </c>
      <c r="D191" s="9" t="n">
        <v>-0.1796720314364718</v>
      </c>
      <c r="E191" s="9" t="n">
        <v>0.6435750862475885</v>
      </c>
      <c r="F191" s="9" t="n">
        <v>0.7136763991108542</v>
      </c>
      <c r="G191" s="7" t="n">
        <v>3</v>
      </c>
      <c r="H191" s="7" t="inlineStr">
        <is>
          <t>是</t>
        </is>
      </c>
      <c r="I191" s="7" t="inlineStr">
        <is>
          <t>是</t>
        </is>
      </c>
      <c r="J191" s="7" t="inlineStr">
        <is>
          <t>保留</t>
        </is>
      </c>
    </row>
    <row r="192">
      <c r="A192" s="11" t="n">
        <v>44369</v>
      </c>
      <c r="B192" s="7" t="inlineStr">
        <is>
          <t>机器人</t>
        </is>
      </c>
      <c r="C192" s="9" t="n">
        <v>0.2440951599690201</v>
      </c>
      <c r="D192" s="9" t="n">
        <v>0.7143392877497472</v>
      </c>
      <c r="E192" s="9" t="n">
        <v>-0.1082769711632089</v>
      </c>
      <c r="F192" s="9" t="n">
        <v>0.1262231633205221</v>
      </c>
      <c r="G192" s="7" t="n">
        <v>4</v>
      </c>
      <c r="H192" s="7" t="inlineStr">
        <is>
          <t>是</t>
        </is>
      </c>
      <c r="I192" s="7" t="inlineStr">
        <is>
          <t>否</t>
        </is>
      </c>
      <c r="J192" s="7" t="inlineStr"/>
    </row>
    <row r="193">
      <c r="A193" s="11" t="n">
        <v>44369</v>
      </c>
      <c r="B193" s="7" t="inlineStr">
        <is>
          <t>卫星产业</t>
        </is>
      </c>
      <c r="C193" s="9" t="n">
        <v>0.1287920966509347</v>
      </c>
      <c r="D193" s="9" t="n">
        <v>0.9221791538449108</v>
      </c>
      <c r="E193" s="9" t="n">
        <v>0.08212883052386898</v>
      </c>
      <c r="F193" s="9" t="n">
        <v>-0.6179316944159755</v>
      </c>
      <c r="G193" s="7" t="n">
        <v>5</v>
      </c>
      <c r="H193" s="7" t="inlineStr">
        <is>
          <t>是</t>
        </is>
      </c>
      <c r="I193" s="7" t="inlineStr">
        <is>
          <t>否</t>
        </is>
      </c>
      <c r="J193" s="7" t="inlineStr"/>
    </row>
    <row r="194">
      <c r="A194" s="11" t="n">
        <v>44369</v>
      </c>
      <c r="B194" s="7" t="inlineStr">
        <is>
          <t>计算机</t>
        </is>
      </c>
      <c r="C194" s="9" t="n">
        <v>-0.1757750639373085</v>
      </c>
      <c r="D194" s="9" t="n">
        <v>0.04397357900087047</v>
      </c>
      <c r="E194" s="9" t="n">
        <v>0.1076501526085002</v>
      </c>
      <c r="F194" s="9" t="n">
        <v>-0.6789489234212961</v>
      </c>
      <c r="G194" s="7" t="n">
        <v>6</v>
      </c>
      <c r="H194" s="7" t="inlineStr">
        <is>
          <t>是</t>
        </is>
      </c>
      <c r="I194" s="7" t="inlineStr">
        <is>
          <t>否</t>
        </is>
      </c>
      <c r="J194" s="7" t="inlineStr"/>
    </row>
    <row r="195">
      <c r="A195" s="11" t="n">
        <v>44369</v>
      </c>
      <c r="B195" s="7" t="inlineStr">
        <is>
          <t>通信设备</t>
        </is>
      </c>
      <c r="C195" s="9" t="n">
        <v>-0.2770520322323711</v>
      </c>
      <c r="D195" s="9" t="n">
        <v>0.777161985148119</v>
      </c>
      <c r="E195" s="9" t="n">
        <v>-0.7860759153445364</v>
      </c>
      <c r="F195" s="9" t="n">
        <v>-0.822242166500696</v>
      </c>
      <c r="G195" s="7" t="n">
        <v>7</v>
      </c>
      <c r="H195" s="7" t="inlineStr">
        <is>
          <t>是</t>
        </is>
      </c>
      <c r="I195" s="7" t="inlineStr">
        <is>
          <t>否</t>
        </is>
      </c>
      <c r="J195" s="7" t="inlineStr"/>
    </row>
    <row r="196">
      <c r="A196" s="11" t="n">
        <v>44369</v>
      </c>
      <c r="B196" s="7" t="inlineStr">
        <is>
          <t>科创芯片设计</t>
        </is>
      </c>
      <c r="C196" s="9" t="n">
        <v>-0.4117139192957</v>
      </c>
      <c r="D196" s="9" t="n">
        <v>0.3479267601815918</v>
      </c>
      <c r="E196" s="9" t="n">
        <v>-0.4522307285817648</v>
      </c>
      <c r="F196" s="9" t="n">
        <v>-1.130837789486927</v>
      </c>
      <c r="G196" s="7" t="n">
        <v>8</v>
      </c>
      <c r="H196" s="7" t="inlineStr">
        <is>
          <t>是</t>
        </is>
      </c>
      <c r="I196" s="7" t="inlineStr">
        <is>
          <t>否</t>
        </is>
      </c>
      <c r="J196" s="7" t="inlineStr"/>
    </row>
    <row r="197">
      <c r="A197" s="11" t="n">
        <v>44369</v>
      </c>
      <c r="B197" s="7" t="inlineStr">
        <is>
          <t>工业有色</t>
        </is>
      </c>
      <c r="C197" s="9" t="n">
        <v>-0.741322805178151</v>
      </c>
      <c r="D197" s="9" t="n">
        <v>-1.687732351081819</v>
      </c>
      <c r="E197" s="9" t="n">
        <v>-0.7104264309003336</v>
      </c>
      <c r="F197" s="9" t="n">
        <v>0.1741903664477004</v>
      </c>
      <c r="G197" s="7" t="n">
        <v>9</v>
      </c>
      <c r="H197" s="7" t="inlineStr">
        <is>
          <t>是</t>
        </is>
      </c>
      <c r="I197" s="7" t="inlineStr">
        <is>
          <t>否</t>
        </is>
      </c>
      <c r="J197" s="7" t="inlineStr"/>
    </row>
    <row r="198">
      <c r="A198" s="11" t="n">
        <v>44369</v>
      </c>
      <c r="B198" s="7" t="inlineStr">
        <is>
          <t>港股通互联网</t>
        </is>
      </c>
      <c r="C198" s="9" t="n">
        <v>-1.277967896419894</v>
      </c>
      <c r="D198" s="9" t="n">
        <v>-1.529627281474118</v>
      </c>
      <c r="E198" s="9" t="n">
        <v>-1.7101401053735</v>
      </c>
      <c r="F198" s="9" t="n">
        <v>-0.5941363024120659</v>
      </c>
      <c r="G198" s="7" t="n"/>
      <c r="H198" s="7" t="inlineStr">
        <is>
          <t>否</t>
        </is>
      </c>
      <c r="I198" s="7" t="inlineStr">
        <is>
          <t>否</t>
        </is>
      </c>
      <c r="J198" s="7" t="inlineStr"/>
    </row>
    <row r="200">
      <c r="A200" s="11" t="n">
        <v>44413</v>
      </c>
      <c r="B200" s="7" t="inlineStr">
        <is>
          <t>新能源电池</t>
        </is>
      </c>
      <c r="C200" s="9" t="n">
        <v>1.133979010241587</v>
      </c>
      <c r="D200" s="9" t="n">
        <v>1.083831101566159</v>
      </c>
      <c r="E200" s="9" t="n">
        <v>1.20135975104472</v>
      </c>
      <c r="F200" s="9" t="n">
        <v>1.116746178113881</v>
      </c>
      <c r="G200" s="7" t="n">
        <v>1</v>
      </c>
      <c r="H200" s="7" t="inlineStr">
        <is>
          <t>是</t>
        </is>
      </c>
      <c r="I200" s="7" t="inlineStr">
        <is>
          <t>是</t>
        </is>
      </c>
      <c r="J200" s="7" t="inlineStr">
        <is>
          <t>保留</t>
        </is>
      </c>
    </row>
    <row r="201">
      <c r="A201" s="11" t="n">
        <v>44413</v>
      </c>
      <c r="B201" s="7" t="inlineStr">
        <is>
          <t>半导体材料设备</t>
        </is>
      </c>
      <c r="C201" s="9" t="n">
        <v>1.125272286217836</v>
      </c>
      <c r="D201" s="9" t="n">
        <v>0.5123261053902678</v>
      </c>
      <c r="E201" s="9" t="n">
        <v>1.429217812371202</v>
      </c>
      <c r="F201" s="9" t="n">
        <v>1.434272940892039</v>
      </c>
      <c r="G201" s="7" t="n">
        <v>2</v>
      </c>
      <c r="H201" s="7" t="inlineStr">
        <is>
          <t>是</t>
        </is>
      </c>
      <c r="I201" s="7" t="inlineStr">
        <is>
          <t>是</t>
        </is>
      </c>
      <c r="J201" s="7" t="inlineStr">
        <is>
          <t>保留</t>
        </is>
      </c>
    </row>
    <row r="202">
      <c r="A202" s="13" t="n">
        <v>44413</v>
      </c>
      <c r="B202" s="14" t="inlineStr">
        <is>
          <t>工业有色</t>
        </is>
      </c>
      <c r="C202" s="15" t="n">
        <v>0.6493838923409716</v>
      </c>
      <c r="D202" s="15" t="n">
        <v>1.178923792462142</v>
      </c>
      <c r="E202" s="15" t="n">
        <v>0.02010690741639968</v>
      </c>
      <c r="F202" s="15" t="n">
        <v>0.7491209771443735</v>
      </c>
      <c r="G202" s="14" t="n">
        <v>3</v>
      </c>
      <c r="H202" s="14" t="inlineStr">
        <is>
          <t>是</t>
        </is>
      </c>
      <c r="I202" s="14" t="inlineStr">
        <is>
          <t>否</t>
        </is>
      </c>
      <c r="J202" s="14" t="inlineStr">
        <is>
          <t>买入</t>
        </is>
      </c>
    </row>
    <row r="203">
      <c r="A203" s="11" t="n">
        <v>44413</v>
      </c>
      <c r="B203" s="7" t="inlineStr">
        <is>
          <t>卫星产业</t>
        </is>
      </c>
      <c r="C203" s="9" t="n">
        <v>0.2789234382819842</v>
      </c>
      <c r="D203" s="9" t="n">
        <v>0.4777520164850872</v>
      </c>
      <c r="E203" s="9" t="n">
        <v>0.02783424432879935</v>
      </c>
      <c r="F203" s="9" t="n">
        <v>0.331184054032066</v>
      </c>
      <c r="G203" s="7" t="n">
        <v>4</v>
      </c>
      <c r="H203" s="7" t="inlineStr">
        <is>
          <t>是</t>
        </is>
      </c>
      <c r="I203" s="7" t="inlineStr">
        <is>
          <t>否</t>
        </is>
      </c>
      <c r="J203" s="7" t="inlineStr"/>
    </row>
    <row r="204">
      <c r="A204" s="11" t="n">
        <v>44413</v>
      </c>
      <c r="B204" s="7" t="inlineStr">
        <is>
          <t>通信设备</t>
        </is>
      </c>
      <c r="C204" s="9" t="n">
        <v>0.134450218554332</v>
      </c>
      <c r="D204" s="9" t="n">
        <v>0.3614750577286341</v>
      </c>
      <c r="E204" s="9" t="n">
        <v>0.1727791525076683</v>
      </c>
      <c r="F204" s="9" t="n">
        <v>-0.1309035545733066</v>
      </c>
      <c r="G204" s="7" t="n">
        <v>5</v>
      </c>
      <c r="H204" s="7" t="inlineStr">
        <is>
          <t>是</t>
        </is>
      </c>
      <c r="I204" s="7" t="inlineStr">
        <is>
          <t>否</t>
        </is>
      </c>
      <c r="J204" s="7" t="inlineStr"/>
    </row>
    <row r="205">
      <c r="A205" s="11" t="n">
        <v>44413</v>
      </c>
      <c r="B205" s="7" t="inlineStr">
        <is>
          <t>科创芯片设计</t>
        </is>
      </c>
      <c r="C205" s="9" t="n">
        <v>0.125774058287434</v>
      </c>
      <c r="D205" s="9" t="n">
        <v>0.2221662203732553</v>
      </c>
      <c r="E205" s="9" t="n">
        <v>0.4596115552916874</v>
      </c>
      <c r="F205" s="9" t="n">
        <v>-0.3044556008026408</v>
      </c>
      <c r="G205" s="7" t="n">
        <v>6</v>
      </c>
      <c r="H205" s="7" t="inlineStr">
        <is>
          <t>是</t>
        </is>
      </c>
      <c r="I205" s="7" t="inlineStr">
        <is>
          <t>否</t>
        </is>
      </c>
      <c r="J205" s="7" t="inlineStr"/>
    </row>
    <row r="206">
      <c r="A206" s="11" t="n">
        <v>44413</v>
      </c>
      <c r="B206" s="7" t="inlineStr">
        <is>
          <t>机器人</t>
        </is>
      </c>
      <c r="C206" s="9" t="n">
        <v>0.1042941661259995</v>
      </c>
      <c r="D206" s="9" t="n">
        <v>0.05492593537583909</v>
      </c>
      <c r="E206" s="9" t="n">
        <v>0.3332538892098478</v>
      </c>
      <c r="F206" s="9" t="n">
        <v>-0.07529732620768835</v>
      </c>
      <c r="G206" s="7" t="n">
        <v>7</v>
      </c>
      <c r="H206" s="7" t="inlineStr">
        <is>
          <t>是</t>
        </is>
      </c>
      <c r="I206" s="7" t="inlineStr">
        <is>
          <t>否</t>
        </is>
      </c>
      <c r="J206" s="7" t="inlineStr"/>
    </row>
    <row r="207">
      <c r="A207" s="16" t="n">
        <v>44413</v>
      </c>
      <c r="B207" s="17" t="inlineStr">
        <is>
          <t>港股通创新药</t>
        </is>
      </c>
      <c r="C207" s="18" t="n">
        <v>-0.5889672836472943</v>
      </c>
      <c r="D207" s="18" t="n">
        <v>-0.6372668917840538</v>
      </c>
      <c r="E207" s="18" t="n">
        <v>-0.8333397058780969</v>
      </c>
      <c r="F207" s="18" t="n">
        <v>-0.2962952532797323</v>
      </c>
      <c r="G207" s="17" t="n"/>
      <c r="H207" s="17" t="inlineStr">
        <is>
          <t>否</t>
        </is>
      </c>
      <c r="I207" s="17" t="inlineStr">
        <is>
          <t>是</t>
        </is>
      </c>
      <c r="J207" s="17" t="inlineStr">
        <is>
          <t>卖出</t>
        </is>
      </c>
    </row>
    <row r="208">
      <c r="A208" s="11" t="n">
        <v>44413</v>
      </c>
      <c r="B208" s="7" t="inlineStr">
        <is>
          <t>计算机</t>
        </is>
      </c>
      <c r="C208" s="9" t="n">
        <v>-1.038968647891344</v>
      </c>
      <c r="D208" s="9" t="n">
        <v>-1.452590422109331</v>
      </c>
      <c r="E208" s="9" t="n">
        <v>-0.8975147415887417</v>
      </c>
      <c r="F208" s="9" t="n">
        <v>-0.7668007799759607</v>
      </c>
      <c r="G208" s="7" t="n"/>
      <c r="H208" s="7" t="inlineStr">
        <is>
          <t>否</t>
        </is>
      </c>
      <c r="I208" s="7" t="inlineStr">
        <is>
          <t>否</t>
        </is>
      </c>
      <c r="J208" s="7" t="inlineStr"/>
    </row>
    <row r="209">
      <c r="A209" s="11" t="n">
        <v>44413</v>
      </c>
      <c r="B209" s="7" t="inlineStr">
        <is>
          <t>港股通互联网</t>
        </is>
      </c>
      <c r="C209" s="9" t="n">
        <v>-1.924141138511505</v>
      </c>
      <c r="D209" s="9" t="n">
        <v>-1.801542915488</v>
      </c>
      <c r="E209" s="9" t="n">
        <v>-1.913308864703485</v>
      </c>
      <c r="F209" s="9" t="n">
        <v>-2.05757163534303</v>
      </c>
      <c r="G209" s="7" t="n"/>
      <c r="H209" s="7" t="inlineStr">
        <is>
          <t>否</t>
        </is>
      </c>
      <c r="I209" s="7" t="inlineStr">
        <is>
          <t>否</t>
        </is>
      </c>
      <c r="J209" s="7" t="inlineStr"/>
    </row>
    <row r="211">
      <c r="A211" s="11" t="n">
        <v>44469</v>
      </c>
      <c r="B211" s="7" t="inlineStr">
        <is>
          <t>新能源电池</t>
        </is>
      </c>
      <c r="C211" s="9" t="n">
        <v>1.326496674247469</v>
      </c>
      <c r="D211" s="9" t="n">
        <v>0.4996526083171245</v>
      </c>
      <c r="E211" s="9" t="n">
        <v>1.720932977376414</v>
      </c>
      <c r="F211" s="9" t="n">
        <v>1.75890443704887</v>
      </c>
      <c r="G211" s="7" t="n"/>
      <c r="H211" s="7" t="inlineStr">
        <is>
          <t>否</t>
        </is>
      </c>
      <c r="I211" s="7" t="inlineStr">
        <is>
          <t>是</t>
        </is>
      </c>
      <c r="J211" s="7" t="inlineStr">
        <is>
          <t>保留</t>
        </is>
      </c>
    </row>
    <row r="212">
      <c r="A212" s="16" t="n">
        <v>44469</v>
      </c>
      <c r="B212" s="17" t="inlineStr">
        <is>
          <t>半导体材料设备</t>
        </is>
      </c>
      <c r="C212" s="18" t="n">
        <v>0.6713321296982605</v>
      </c>
      <c r="D212" s="18" t="n">
        <v>0.3591916676103682</v>
      </c>
      <c r="E212" s="18" t="n">
        <v>0.5353424732358392</v>
      </c>
      <c r="F212" s="18" t="n">
        <v>1.119462248248574</v>
      </c>
      <c r="G212" s="17" t="n"/>
      <c r="H212" s="17" t="inlineStr">
        <is>
          <t>否</t>
        </is>
      </c>
      <c r="I212" s="17" t="inlineStr">
        <is>
          <t>是</t>
        </is>
      </c>
      <c r="J212" s="17" t="inlineStr">
        <is>
          <t>卖出</t>
        </is>
      </c>
    </row>
    <row r="213">
      <c r="A213" s="11" t="n">
        <v>44469</v>
      </c>
      <c r="B213" s="7" t="inlineStr">
        <is>
          <t>工业有色</t>
        </is>
      </c>
      <c r="C213" s="9" t="n">
        <v>0.5008237899066589</v>
      </c>
      <c r="D213" s="9" t="n">
        <v>-1.05250268297654</v>
      </c>
      <c r="E213" s="9" t="n">
        <v>1.570120561170215</v>
      </c>
      <c r="F213" s="9" t="n">
        <v>0.9848534915263014</v>
      </c>
      <c r="G213" s="7" t="n"/>
      <c r="H213" s="7" t="inlineStr">
        <is>
          <t>否</t>
        </is>
      </c>
      <c r="I213" s="7" t="inlineStr">
        <is>
          <t>是</t>
        </is>
      </c>
      <c r="J213" s="7" t="inlineStr">
        <is>
          <t>保留</t>
        </is>
      </c>
    </row>
    <row r="214">
      <c r="A214" s="11" t="n">
        <v>44469</v>
      </c>
      <c r="B214" s="7" t="inlineStr">
        <is>
          <t>港股通创新药</t>
        </is>
      </c>
      <c r="C214" s="9" t="n">
        <v>0.1401383983260272</v>
      </c>
      <c r="D214" s="9" t="n">
        <v>1.38181491461672</v>
      </c>
      <c r="E214" s="9" t="n">
        <v>-0.6900674127994907</v>
      </c>
      <c r="F214" s="9" t="n">
        <v>-0.2713323068391473</v>
      </c>
      <c r="G214" s="7" t="n"/>
      <c r="H214" s="7" t="inlineStr">
        <is>
          <t>否</t>
        </is>
      </c>
      <c r="I214" s="7" t="inlineStr">
        <is>
          <t>否</t>
        </is>
      </c>
      <c r="J214" s="7" t="inlineStr"/>
    </row>
    <row r="215">
      <c r="A215" s="11" t="n">
        <v>44469</v>
      </c>
      <c r="B215" s="7" t="inlineStr">
        <is>
          <t>计算机</t>
        </is>
      </c>
      <c r="C215" s="9" t="n">
        <v>0.1113474462544095</v>
      </c>
      <c r="D215" s="9" t="n">
        <v>1.713780046407537</v>
      </c>
      <c r="E215" s="9" t="n">
        <v>-0.753936181185541</v>
      </c>
      <c r="F215" s="9" t="n">
        <v>-0.6258015264587681</v>
      </c>
      <c r="G215" s="7" t="n"/>
      <c r="H215" s="7" t="inlineStr">
        <is>
          <t>否</t>
        </is>
      </c>
      <c r="I215" s="7" t="inlineStr">
        <is>
          <t>否</t>
        </is>
      </c>
      <c r="J215" s="7" t="inlineStr"/>
    </row>
    <row r="216">
      <c r="A216" s="11" t="n">
        <v>44469</v>
      </c>
      <c r="B216" s="7" t="inlineStr">
        <is>
          <t>科创芯片设计</t>
        </is>
      </c>
      <c r="C216" s="9" t="n">
        <v>-0.2940916495282686</v>
      </c>
      <c r="D216" s="9" t="n">
        <v>-0.3153665038577844</v>
      </c>
      <c r="E216" s="9" t="n">
        <v>-0.3620702649208731</v>
      </c>
      <c r="F216" s="9" t="n">
        <v>-0.2048381798061481</v>
      </c>
      <c r="G216" s="7" t="n"/>
      <c r="H216" s="7" t="inlineStr">
        <is>
          <t>否</t>
        </is>
      </c>
      <c r="I216" s="7" t="inlineStr">
        <is>
          <t>否</t>
        </is>
      </c>
      <c r="J216" s="7" t="inlineStr"/>
    </row>
    <row r="217">
      <c r="A217" s="11" t="n">
        <v>44469</v>
      </c>
      <c r="B217" s="7" t="inlineStr">
        <is>
          <t>卫星产业</t>
        </is>
      </c>
      <c r="C217" s="9" t="n">
        <v>-0.4234490061465826</v>
      </c>
      <c r="D217" s="9" t="n">
        <v>-1.130961904055497</v>
      </c>
      <c r="E217" s="9" t="n">
        <v>0.1043329017578606</v>
      </c>
      <c r="F217" s="9" t="n">
        <v>-0.2437180161421118</v>
      </c>
      <c r="G217" s="7" t="n"/>
      <c r="H217" s="7" t="inlineStr">
        <is>
          <t>否</t>
        </is>
      </c>
      <c r="I217" s="7" t="inlineStr">
        <is>
          <t>否</t>
        </is>
      </c>
      <c r="J217" s="7" t="inlineStr"/>
    </row>
    <row r="218">
      <c r="A218" s="11" t="n">
        <v>44469</v>
      </c>
      <c r="B218" s="7" t="inlineStr">
        <is>
          <t>机器人</t>
        </is>
      </c>
      <c r="C218" s="9" t="n">
        <v>-0.4653335759803405</v>
      </c>
      <c r="D218" s="9" t="n">
        <v>-1.00719365145479</v>
      </c>
      <c r="E218" s="9" t="n">
        <v>-0.1688753351268834</v>
      </c>
      <c r="F218" s="9" t="n">
        <v>-0.2199317413593483</v>
      </c>
      <c r="G218" s="7" t="n"/>
      <c r="H218" s="7" t="inlineStr">
        <is>
          <t>否</t>
        </is>
      </c>
      <c r="I218" s="7" t="inlineStr">
        <is>
          <t>否</t>
        </is>
      </c>
      <c r="J218" s="7" t="inlineStr"/>
    </row>
    <row r="219">
      <c r="A219" s="11" t="n">
        <v>44469</v>
      </c>
      <c r="B219" s="7" t="inlineStr">
        <is>
          <t>通信设备</t>
        </is>
      </c>
      <c r="C219" s="9" t="n">
        <v>-0.6335712637308543</v>
      </c>
      <c r="D219" s="9" t="n">
        <v>-0.5188294819774762</v>
      </c>
      <c r="E219" s="9" t="n">
        <v>-0.6960472777612704</v>
      </c>
      <c r="F219" s="9" t="n">
        <v>-0.6858370314538161</v>
      </c>
      <c r="G219" s="7" t="n"/>
      <c r="H219" s="7" t="inlineStr">
        <is>
          <t>否</t>
        </is>
      </c>
      <c r="I219" s="7" t="inlineStr">
        <is>
          <t>否</t>
        </is>
      </c>
      <c r="J219" s="7" t="inlineStr"/>
    </row>
    <row r="220">
      <c r="A220" s="11" t="n">
        <v>44469</v>
      </c>
      <c r="B220" s="7" t="inlineStr">
        <is>
          <t>港股通互联网</t>
        </is>
      </c>
      <c r="C220" s="9" t="n">
        <v>-0.9336929430467796</v>
      </c>
      <c r="D220" s="9" t="n">
        <v>0.07041498737033501</v>
      </c>
      <c r="E220" s="9" t="n">
        <v>-1.25973244174627</v>
      </c>
      <c r="F220" s="9" t="n">
        <v>-1.611761374764405</v>
      </c>
      <c r="G220" s="7" t="n"/>
      <c r="H220" s="7" t="inlineStr">
        <is>
          <t>否</t>
        </is>
      </c>
      <c r="I220" s="7" t="inlineStr">
        <is>
          <t>否</t>
        </is>
      </c>
      <c r="J220" s="7" t="inlineStr"/>
    </row>
    <row r="222">
      <c r="A222" s="11" t="n">
        <v>44497</v>
      </c>
      <c r="B222" s="7" t="inlineStr">
        <is>
          <t>新能源电池</t>
        </is>
      </c>
      <c r="C222" s="9" t="n">
        <v>1.964989204167718</v>
      </c>
      <c r="D222" s="9" t="n">
        <v>2.062473683580178</v>
      </c>
      <c r="E222" s="9" t="n">
        <v>1.859819163662327</v>
      </c>
      <c r="F222" s="9" t="n">
        <v>1.972674765260648</v>
      </c>
      <c r="G222" s="7" t="n">
        <v>1</v>
      </c>
      <c r="H222" s="7" t="inlineStr">
        <is>
          <t>是</t>
        </is>
      </c>
      <c r="I222" s="7" t="inlineStr">
        <is>
          <t>是</t>
        </is>
      </c>
      <c r="J222" s="7" t="inlineStr">
        <is>
          <t>保留</t>
        </is>
      </c>
    </row>
    <row r="223">
      <c r="A223" s="11" t="n">
        <v>44497</v>
      </c>
      <c r="B223" s="7" t="inlineStr">
        <is>
          <t>机器人</t>
        </is>
      </c>
      <c r="C223" s="9" t="n">
        <v>0.6411806662237419</v>
      </c>
      <c r="D223" s="9" t="n">
        <v>1.00316500531381</v>
      </c>
      <c r="E223" s="9" t="n">
        <v>0.7989651275619035</v>
      </c>
      <c r="F223" s="9" t="n">
        <v>0.1214118657955119</v>
      </c>
      <c r="G223" s="7" t="n"/>
      <c r="H223" s="7" t="inlineStr">
        <is>
          <t>否</t>
        </is>
      </c>
      <c r="I223" s="7" t="inlineStr">
        <is>
          <t>否</t>
        </is>
      </c>
      <c r="J223" s="7" t="inlineStr"/>
    </row>
    <row r="224">
      <c r="A224" s="11" t="n">
        <v>44497</v>
      </c>
      <c r="B224" s="7" t="inlineStr">
        <is>
          <t>港股通互联网</t>
        </is>
      </c>
      <c r="C224" s="9" t="n">
        <v>0.07456971207113121</v>
      </c>
      <c r="D224" s="9" t="n">
        <v>0.744500571039689</v>
      </c>
      <c r="E224" s="9" t="n">
        <v>0.8849128977227736</v>
      </c>
      <c r="F224" s="9" t="n">
        <v>-1.405704332549069</v>
      </c>
      <c r="G224" s="7" t="n"/>
      <c r="H224" s="7" t="inlineStr">
        <is>
          <t>否</t>
        </is>
      </c>
      <c r="I224" s="7" t="inlineStr">
        <is>
          <t>否</t>
        </is>
      </c>
      <c r="J224" s="7" t="inlineStr"/>
    </row>
    <row r="225">
      <c r="A225" s="16" t="n">
        <v>44497</v>
      </c>
      <c r="B225" s="17" t="inlineStr">
        <is>
          <t>工业有色</t>
        </is>
      </c>
      <c r="C225" s="18" t="n">
        <v>0.06149513346231084</v>
      </c>
      <c r="D225" s="18" t="n">
        <v>-0.7095474936905235</v>
      </c>
      <c r="E225" s="18" t="n">
        <v>0.1312980824294815</v>
      </c>
      <c r="F225" s="18" t="n">
        <v>0.7627348116479745</v>
      </c>
      <c r="G225" s="17" t="n"/>
      <c r="H225" s="17" t="inlineStr">
        <is>
          <t>否</t>
        </is>
      </c>
      <c r="I225" s="17" t="inlineStr">
        <is>
          <t>是</t>
        </is>
      </c>
      <c r="J225" s="17" t="inlineStr">
        <is>
          <t>卖出</t>
        </is>
      </c>
    </row>
    <row r="226">
      <c r="A226" s="11" t="n">
        <v>44497</v>
      </c>
      <c r="B226" s="7" t="inlineStr">
        <is>
          <t>半导体材料设备</t>
        </is>
      </c>
      <c r="C226" s="9" t="n">
        <v>0.04116540347191774</v>
      </c>
      <c r="D226" s="9" t="n">
        <v>-0.15510630901541</v>
      </c>
      <c r="E226" s="9" t="n">
        <v>-0.7444996708625395</v>
      </c>
      <c r="F226" s="9" t="n">
        <v>1.023102190293703</v>
      </c>
      <c r="G226" s="7" t="n"/>
      <c r="H226" s="7" t="inlineStr">
        <is>
          <t>否</t>
        </is>
      </c>
      <c r="I226" s="7" t="inlineStr">
        <is>
          <t>否</t>
        </is>
      </c>
      <c r="J226" s="7" t="inlineStr"/>
    </row>
    <row r="227">
      <c r="A227" s="11" t="n">
        <v>44497</v>
      </c>
      <c r="B227" s="7" t="inlineStr">
        <is>
          <t>通信设备</t>
        </is>
      </c>
      <c r="C227" s="9" t="n">
        <v>-0.1862340433781317</v>
      </c>
      <c r="D227" s="9" t="n">
        <v>-0.1299378887146865</v>
      </c>
      <c r="E227" s="9" t="n">
        <v>-0.22523798827424</v>
      </c>
      <c r="F227" s="9" t="n">
        <v>-0.2035262531454685</v>
      </c>
      <c r="G227" s="7" t="n"/>
      <c r="H227" s="7" t="inlineStr">
        <is>
          <t>否</t>
        </is>
      </c>
      <c r="I227" s="7" t="inlineStr">
        <is>
          <t>否</t>
        </is>
      </c>
      <c r="J227" s="7" t="inlineStr"/>
    </row>
    <row r="228">
      <c r="A228" s="11" t="n">
        <v>44497</v>
      </c>
      <c r="B228" s="7" t="inlineStr">
        <is>
          <t>计算机</t>
        </is>
      </c>
      <c r="C228" s="9" t="n">
        <v>-0.3748268266622244</v>
      </c>
      <c r="D228" s="9" t="n">
        <v>-0.1788150363703187</v>
      </c>
      <c r="E228" s="9" t="n">
        <v>-0.3777222056283193</v>
      </c>
      <c r="F228" s="9" t="n">
        <v>-0.5679432379880351</v>
      </c>
      <c r="G228" s="7" t="n"/>
      <c r="H228" s="7" t="inlineStr">
        <is>
          <t>否</t>
        </is>
      </c>
      <c r="I228" s="7" t="inlineStr">
        <is>
          <t>否</t>
        </is>
      </c>
      <c r="J228" s="7" t="inlineStr"/>
    </row>
    <row r="229">
      <c r="A229" s="11" t="n">
        <v>44497</v>
      </c>
      <c r="B229" s="7" t="inlineStr">
        <is>
          <t>港股通创新药</t>
        </is>
      </c>
      <c r="C229" s="9" t="n">
        <v>-0.5372370247128333</v>
      </c>
      <c r="D229" s="9" t="n">
        <v>-0.8334859224769151</v>
      </c>
      <c r="E229" s="9" t="n">
        <v>0.04110709238902337</v>
      </c>
      <c r="F229" s="9" t="n">
        <v>-0.8193322440506081</v>
      </c>
      <c r="G229" s="7" t="n"/>
      <c r="H229" s="7" t="inlineStr">
        <is>
          <t>否</t>
        </is>
      </c>
      <c r="I229" s="7" t="inlineStr">
        <is>
          <t>否</t>
        </is>
      </c>
      <c r="J229" s="7" t="inlineStr"/>
    </row>
    <row r="230">
      <c r="A230" s="11" t="n">
        <v>44497</v>
      </c>
      <c r="B230" s="7" t="inlineStr">
        <is>
          <t>卫星产业</t>
        </is>
      </c>
      <c r="C230" s="9" t="n">
        <v>-0.7351963910155734</v>
      </c>
      <c r="D230" s="9" t="n">
        <v>-1.281530491338418</v>
      </c>
      <c r="E230" s="9" t="n">
        <v>-0.6609628792473414</v>
      </c>
      <c r="F230" s="9" t="n">
        <v>-0.2630958024609615</v>
      </c>
      <c r="G230" s="7" t="n"/>
      <c r="H230" s="7" t="inlineStr">
        <is>
          <t>否</t>
        </is>
      </c>
      <c r="I230" s="7" t="inlineStr">
        <is>
          <t>否</t>
        </is>
      </c>
      <c r="J230" s="7" t="inlineStr"/>
    </row>
    <row r="231">
      <c r="A231" s="11" t="n">
        <v>44497</v>
      </c>
      <c r="B231" s="7" t="inlineStr">
        <is>
          <t>科创芯片设计</t>
        </is>
      </c>
      <c r="C231" s="9" t="n">
        <v>-0.9499058336280569</v>
      </c>
      <c r="D231" s="9" t="n">
        <v>-0.5217161183274062</v>
      </c>
      <c r="E231" s="9" t="n">
        <v>-1.707679619753069</v>
      </c>
      <c r="F231" s="9" t="n">
        <v>-0.6203217628036952</v>
      </c>
      <c r="G231" s="7" t="n"/>
      <c r="H231" s="7" t="inlineStr">
        <is>
          <t>否</t>
        </is>
      </c>
      <c r="I231" s="7" t="inlineStr">
        <is>
          <t>否</t>
        </is>
      </c>
      <c r="J231" s="7" t="inlineStr"/>
    </row>
    <row r="233">
      <c r="A233" s="11" t="n">
        <v>44531</v>
      </c>
      <c r="B233" s="7" t="inlineStr">
        <is>
          <t>新能源电池</t>
        </is>
      </c>
      <c r="C233" s="9" t="n">
        <v>0.8609432839508786</v>
      </c>
      <c r="D233" s="9" t="n">
        <v>-0.05053227729528904</v>
      </c>
      <c r="E233" s="9" t="n">
        <v>0.9704869845067189</v>
      </c>
      <c r="F233" s="9" t="n">
        <v>1.662875144641206</v>
      </c>
      <c r="G233" s="7" t="n">
        <v>1</v>
      </c>
      <c r="H233" s="7" t="inlineStr">
        <is>
          <t>是</t>
        </is>
      </c>
      <c r="I233" s="7" t="inlineStr">
        <is>
          <t>是</t>
        </is>
      </c>
      <c r="J233" s="7" t="inlineStr">
        <is>
          <t>保留</t>
        </is>
      </c>
    </row>
    <row r="234">
      <c r="A234" s="13" t="n">
        <v>44531</v>
      </c>
      <c r="B234" s="14" t="inlineStr">
        <is>
          <t>通信设备</t>
        </is>
      </c>
      <c r="C234" s="15" t="n">
        <v>0.7422909785133998</v>
      </c>
      <c r="D234" s="15" t="n">
        <v>0.7624257522305405</v>
      </c>
      <c r="E234" s="15" t="n">
        <v>1.187387841498269</v>
      </c>
      <c r="F234" s="15" t="n">
        <v>0.2770593418113897</v>
      </c>
      <c r="G234" s="14" t="n">
        <v>2</v>
      </c>
      <c r="H234" s="14" t="inlineStr">
        <is>
          <t>是</t>
        </is>
      </c>
      <c r="I234" s="14" t="inlineStr">
        <is>
          <t>否</t>
        </is>
      </c>
      <c r="J234" s="14" t="inlineStr">
        <is>
          <t>买入</t>
        </is>
      </c>
    </row>
    <row r="235">
      <c r="A235" s="11" t="n">
        <v>44531</v>
      </c>
      <c r="B235" s="7" t="inlineStr">
        <is>
          <t>科创芯片设计</t>
        </is>
      </c>
      <c r="C235" s="9" t="n">
        <v>0.6903557378571002</v>
      </c>
      <c r="D235" s="9" t="n">
        <v>1.41746862769918</v>
      </c>
      <c r="E235" s="9" t="n">
        <v>0.4095831292476719</v>
      </c>
      <c r="F235" s="9" t="n">
        <v>0.2440154566244492</v>
      </c>
      <c r="G235" s="7" t="n">
        <v>3</v>
      </c>
      <c r="H235" s="7" t="inlineStr">
        <is>
          <t>是</t>
        </is>
      </c>
      <c r="I235" s="7" t="inlineStr">
        <is>
          <t>否</t>
        </is>
      </c>
      <c r="J235" s="7" t="inlineStr"/>
    </row>
    <row r="236">
      <c r="A236" s="11" t="n">
        <v>44531</v>
      </c>
      <c r="B236" s="7" t="inlineStr">
        <is>
          <t>计算机</t>
        </is>
      </c>
      <c r="C236" s="9" t="n">
        <v>0.5227690543597742</v>
      </c>
      <c r="D236" s="9" t="n">
        <v>0.5194054621577164</v>
      </c>
      <c r="E236" s="9" t="n">
        <v>1.357774859981404</v>
      </c>
      <c r="F236" s="9" t="n">
        <v>-0.3088731590597977</v>
      </c>
      <c r="G236" s="7" t="n">
        <v>4</v>
      </c>
      <c r="H236" s="7" t="inlineStr">
        <is>
          <t>是</t>
        </is>
      </c>
      <c r="I236" s="7" t="inlineStr">
        <is>
          <t>否</t>
        </is>
      </c>
      <c r="J236" s="7" t="inlineStr"/>
    </row>
    <row r="237">
      <c r="A237" s="11" t="n">
        <v>44531</v>
      </c>
      <c r="B237" s="7" t="inlineStr">
        <is>
          <t>卫星产业</t>
        </is>
      </c>
      <c r="C237" s="9" t="n">
        <v>0.3664187646501456</v>
      </c>
      <c r="D237" s="9" t="n">
        <v>1.001105673883876</v>
      </c>
      <c r="E237" s="9" t="n">
        <v>-0.1360530176083413</v>
      </c>
      <c r="F237" s="9" t="n">
        <v>0.2342036376749024</v>
      </c>
      <c r="G237" s="7" t="n">
        <v>5</v>
      </c>
      <c r="H237" s="7" t="inlineStr">
        <is>
          <t>是</t>
        </is>
      </c>
      <c r="I237" s="7" t="inlineStr">
        <is>
          <t>否</t>
        </is>
      </c>
      <c r="J237" s="7" t="inlineStr"/>
    </row>
    <row r="238">
      <c r="A238" s="11" t="n">
        <v>44531</v>
      </c>
      <c r="B238" s="7" t="inlineStr">
        <is>
          <t>机器人</t>
        </is>
      </c>
      <c r="C238" s="9" t="n">
        <v>0.1455915788535013</v>
      </c>
      <c r="D238" s="9" t="n">
        <v>0.0004781532424915167</v>
      </c>
      <c r="E238" s="9" t="n">
        <v>0.1535567698555887</v>
      </c>
      <c r="F238" s="9" t="n">
        <v>0.2827398134624237</v>
      </c>
      <c r="G238" s="7" t="n">
        <v>6</v>
      </c>
      <c r="H238" s="7" t="inlineStr">
        <is>
          <t>是</t>
        </is>
      </c>
      <c r="I238" s="7" t="inlineStr">
        <is>
          <t>否</t>
        </is>
      </c>
      <c r="J238" s="7" t="inlineStr"/>
    </row>
    <row r="239">
      <c r="A239" s="11" t="n">
        <v>44531</v>
      </c>
      <c r="B239" s="7" t="inlineStr">
        <is>
          <t>半导体材料设备</t>
        </is>
      </c>
      <c r="C239" s="9" t="n">
        <v>-0.1570149726467472</v>
      </c>
      <c r="D239" s="9" t="n">
        <v>-0.7564400908527851</v>
      </c>
      <c r="E239" s="9" t="n">
        <v>-0.2911954358261463</v>
      </c>
      <c r="F239" s="9" t="n">
        <v>0.5765906087386896</v>
      </c>
      <c r="G239" s="7" t="n">
        <v>7</v>
      </c>
      <c r="H239" s="7" t="inlineStr">
        <is>
          <t>是</t>
        </is>
      </c>
      <c r="I239" s="7" t="inlineStr">
        <is>
          <t>否</t>
        </is>
      </c>
      <c r="J239" s="7" t="inlineStr"/>
    </row>
    <row r="240">
      <c r="A240" s="11" t="n">
        <v>44531</v>
      </c>
      <c r="B240" s="7" t="inlineStr">
        <is>
          <t>工业有色</t>
        </is>
      </c>
      <c r="C240" s="9" t="n">
        <v>-0.3815013963901269</v>
      </c>
      <c r="D240" s="9" t="n">
        <v>-0.1374802018032391</v>
      </c>
      <c r="E240" s="9" t="n">
        <v>-1.32711019630222</v>
      </c>
      <c r="F240" s="9" t="n">
        <v>0.3200862089350783</v>
      </c>
      <c r="G240" s="7" t="n"/>
      <c r="H240" s="7" t="inlineStr">
        <is>
          <t>否</t>
        </is>
      </c>
      <c r="I240" s="7" t="inlineStr">
        <is>
          <t>否</t>
        </is>
      </c>
      <c r="J240" s="7" t="inlineStr"/>
    </row>
    <row r="241">
      <c r="A241" s="11" t="n">
        <v>44531</v>
      </c>
      <c r="B241" s="7" t="inlineStr">
        <is>
          <t>港股通创新药</t>
        </is>
      </c>
      <c r="C241" s="9" t="n">
        <v>-1.102443371590524</v>
      </c>
      <c r="D241" s="9" t="n">
        <v>-0.7679358193782146</v>
      </c>
      <c r="E241" s="9" t="n">
        <v>-1.008335206034013</v>
      </c>
      <c r="F241" s="9" t="n">
        <v>-1.531059089359343</v>
      </c>
      <c r="G241" s="7" t="n"/>
      <c r="H241" s="7" t="inlineStr">
        <is>
          <t>否</t>
        </is>
      </c>
      <c r="I241" s="7" t="inlineStr">
        <is>
          <t>否</t>
        </is>
      </c>
      <c r="J241" s="7" t="inlineStr"/>
    </row>
    <row r="242">
      <c r="A242" s="11" t="n">
        <v>44531</v>
      </c>
      <c r="B242" s="7" t="inlineStr">
        <is>
          <t>港股通互联网</t>
        </is>
      </c>
      <c r="C242" s="9" t="n">
        <v>-1.687409657557402</v>
      </c>
      <c r="D242" s="9" t="n">
        <v>-1.988495279884277</v>
      </c>
      <c r="E242" s="9" t="n">
        <v>-1.316095729318932</v>
      </c>
      <c r="F242" s="9" t="n">
        <v>-1.757637963468997</v>
      </c>
      <c r="G242" s="7" t="n"/>
      <c r="H242" s="7" t="inlineStr">
        <is>
          <t>否</t>
        </is>
      </c>
      <c r="I242" s="7" t="inlineStr">
        <is>
          <t>否</t>
        </is>
      </c>
      <c r="J242" s="7" t="inlineStr"/>
    </row>
    <row r="244">
      <c r="A244" s="11" t="n">
        <v>44572</v>
      </c>
      <c r="B244" s="7" t="inlineStr">
        <is>
          <t>通信设备</t>
        </is>
      </c>
      <c r="C244" s="9" t="n">
        <v>1.100779032844008</v>
      </c>
      <c r="D244" s="9" t="n">
        <v>0.7076843270881782</v>
      </c>
      <c r="E244" s="9" t="n">
        <v>1.54512080667322</v>
      </c>
      <c r="F244" s="9" t="n">
        <v>1.049531964770626</v>
      </c>
      <c r="G244" s="7" t="n">
        <v>1</v>
      </c>
      <c r="H244" s="7" t="inlineStr">
        <is>
          <t>是</t>
        </is>
      </c>
      <c r="I244" s="7" t="inlineStr">
        <is>
          <t>是</t>
        </is>
      </c>
      <c r="J244" s="7" t="inlineStr">
        <is>
          <t>保留</t>
        </is>
      </c>
    </row>
    <row r="245">
      <c r="A245" s="11" t="n">
        <v>44572</v>
      </c>
      <c r="B245" s="7" t="inlineStr">
        <is>
          <t>卫星产业</t>
        </is>
      </c>
      <c r="C245" s="9" t="n">
        <v>1.044568254510959</v>
      </c>
      <c r="D245" s="9" t="n">
        <v>1.31695450196119</v>
      </c>
      <c r="E245" s="9" t="n">
        <v>0.6481875756301289</v>
      </c>
      <c r="F245" s="9" t="n">
        <v>1.168562685941558</v>
      </c>
      <c r="G245" s="7" t="n"/>
      <c r="H245" s="7" t="inlineStr">
        <is>
          <t>否</t>
        </is>
      </c>
      <c r="I245" s="7" t="inlineStr">
        <is>
          <t>否</t>
        </is>
      </c>
      <c r="J245" s="7" t="inlineStr"/>
    </row>
    <row r="246">
      <c r="A246" s="11" t="n">
        <v>44572</v>
      </c>
      <c r="B246" s="7" t="inlineStr">
        <is>
          <t>计算机</t>
        </is>
      </c>
      <c r="C246" s="9" t="n">
        <v>0.6931217947300707</v>
      </c>
      <c r="D246" s="9" t="n">
        <v>1.124135347338694</v>
      </c>
      <c r="E246" s="9" t="n">
        <v>0.9538722801009729</v>
      </c>
      <c r="F246" s="9" t="n">
        <v>0.001357756750545611</v>
      </c>
      <c r="G246" s="7" t="n"/>
      <c r="H246" s="7" t="inlineStr">
        <is>
          <t>否</t>
        </is>
      </c>
      <c r="I246" s="7" t="inlineStr">
        <is>
          <t>否</t>
        </is>
      </c>
      <c r="J246" s="7" t="inlineStr"/>
    </row>
    <row r="247">
      <c r="A247" s="11" t="n">
        <v>44572</v>
      </c>
      <c r="B247" s="7" t="inlineStr">
        <is>
          <t>科创芯片设计</t>
        </is>
      </c>
      <c r="C247" s="9" t="n">
        <v>0.2529075090381988</v>
      </c>
      <c r="D247" s="9" t="n">
        <v>-0.9717608243712168</v>
      </c>
      <c r="E247" s="9" t="n">
        <v>0.9581641520113616</v>
      </c>
      <c r="F247" s="9" t="n">
        <v>0.7723191994744516</v>
      </c>
      <c r="G247" s="7" t="n"/>
      <c r="H247" s="7" t="inlineStr">
        <is>
          <t>否</t>
        </is>
      </c>
      <c r="I247" s="7" t="inlineStr">
        <is>
          <t>否</t>
        </is>
      </c>
      <c r="J247" s="7" t="inlineStr"/>
    </row>
    <row r="248">
      <c r="A248" s="11" t="n">
        <v>44572</v>
      </c>
      <c r="B248" s="7" t="inlineStr">
        <is>
          <t>机器人</t>
        </is>
      </c>
      <c r="C248" s="9" t="n">
        <v>-0.05045507165063388</v>
      </c>
      <c r="D248" s="9" t="n">
        <v>-0.5596969705011534</v>
      </c>
      <c r="E248" s="9" t="n">
        <v>0.2816786258931136</v>
      </c>
      <c r="F248" s="9" t="n">
        <v>0.1266531296561382</v>
      </c>
      <c r="G248" s="7" t="n"/>
      <c r="H248" s="7" t="inlineStr">
        <is>
          <t>否</t>
        </is>
      </c>
      <c r="I248" s="7" t="inlineStr">
        <is>
          <t>否</t>
        </is>
      </c>
      <c r="J248" s="7" t="inlineStr"/>
    </row>
    <row r="249">
      <c r="A249" s="16" t="n">
        <v>44572</v>
      </c>
      <c r="B249" s="17" t="inlineStr">
        <is>
          <t>新能源电池</t>
        </is>
      </c>
      <c r="C249" s="18" t="n">
        <v>-0.2747111993882277</v>
      </c>
      <c r="D249" s="18" t="n">
        <v>-0.9577028323299839</v>
      </c>
      <c r="E249" s="18" t="n">
        <v>-0.3601223032152059</v>
      </c>
      <c r="F249" s="18" t="n">
        <v>0.4936915373805068</v>
      </c>
      <c r="G249" s="17" t="n"/>
      <c r="H249" s="17" t="inlineStr">
        <is>
          <t>否</t>
        </is>
      </c>
      <c r="I249" s="17" t="inlineStr">
        <is>
          <t>是</t>
        </is>
      </c>
      <c r="J249" s="17" t="inlineStr">
        <is>
          <t>卖出</t>
        </is>
      </c>
    </row>
    <row r="250">
      <c r="A250" s="11" t="n">
        <v>44572</v>
      </c>
      <c r="B250" s="7" t="inlineStr">
        <is>
          <t>工业有色</t>
        </is>
      </c>
      <c r="C250" s="9" t="n">
        <v>-0.5228508274440762</v>
      </c>
      <c r="D250" s="9" t="n">
        <v>-0.5816426714074655</v>
      </c>
      <c r="E250" s="9" t="n">
        <v>-0.9646854464711657</v>
      </c>
      <c r="F250" s="9" t="n">
        <v>-0.02222436445359725</v>
      </c>
      <c r="G250" s="7" t="n"/>
      <c r="H250" s="7" t="inlineStr">
        <is>
          <t>否</t>
        </is>
      </c>
      <c r="I250" s="7" t="inlineStr">
        <is>
          <t>否</t>
        </is>
      </c>
      <c r="J250" s="7" t="inlineStr"/>
    </row>
    <row r="251">
      <c r="A251" s="11" t="n">
        <v>44572</v>
      </c>
      <c r="B251" s="7" t="inlineStr">
        <is>
          <t>港股通创新药</t>
        </is>
      </c>
      <c r="C251" s="9" t="n">
        <v>-0.7087340484764684</v>
      </c>
      <c r="D251" s="9" t="n">
        <v>0.7025074567608952</v>
      </c>
      <c r="E251" s="9" t="n">
        <v>-1.079759705362143</v>
      </c>
      <c r="F251" s="9" t="n">
        <v>-1.748949896828157</v>
      </c>
      <c r="G251" s="7" t="n"/>
      <c r="H251" s="7" t="inlineStr">
        <is>
          <t>否</t>
        </is>
      </c>
      <c r="I251" s="7" t="inlineStr">
        <is>
          <t>否</t>
        </is>
      </c>
      <c r="J251" s="7" t="inlineStr"/>
    </row>
    <row r="252">
      <c r="A252" s="11" t="n">
        <v>44572</v>
      </c>
      <c r="B252" s="7" t="inlineStr">
        <is>
          <t>港股通互联网</t>
        </is>
      </c>
      <c r="C252" s="9" t="n">
        <v>-0.7171641378875293</v>
      </c>
      <c r="D252" s="9" t="n">
        <v>0.6561739444718655</v>
      </c>
      <c r="E252" s="9" t="n">
        <v>-1.207916559907378</v>
      </c>
      <c r="F252" s="9" t="n">
        <v>-1.599749798227075</v>
      </c>
      <c r="G252" s="7" t="n"/>
      <c r="H252" s="7" t="inlineStr">
        <is>
          <t>否</t>
        </is>
      </c>
      <c r="I252" s="7" t="inlineStr">
        <is>
          <t>否</t>
        </is>
      </c>
      <c r="J252" s="7" t="inlineStr"/>
    </row>
    <row r="253">
      <c r="A253" s="11" t="n">
        <v>44572</v>
      </c>
      <c r="B253" s="7" t="inlineStr">
        <is>
          <t>半导体材料设备</t>
        </is>
      </c>
      <c r="C253" s="9" t="n">
        <v>-0.8174613062763019</v>
      </c>
      <c r="D253" s="9" t="n">
        <v>-1.436652279011004</v>
      </c>
      <c r="E253" s="9" t="n">
        <v>-0.7745394253529048</v>
      </c>
      <c r="F253" s="9" t="n">
        <v>-0.2411922144649971</v>
      </c>
      <c r="G253" s="7" t="n"/>
      <c r="H253" s="7" t="inlineStr">
        <is>
          <t>否</t>
        </is>
      </c>
      <c r="I253" s="7" t="inlineStr">
        <is>
          <t>否</t>
        </is>
      </c>
      <c r="J253" s="7" t="inlineStr"/>
    </row>
    <row r="255">
      <c r="A255" s="11" t="n">
        <v>44603</v>
      </c>
      <c r="B255" s="7" t="inlineStr">
        <is>
          <t>计算机</t>
        </is>
      </c>
      <c r="C255" s="9" t="n">
        <v>0.9954431442401503</v>
      </c>
      <c r="D255" s="9" t="n">
        <v>0.5539372878299631</v>
      </c>
      <c r="E255" s="9" t="n">
        <v>0.9923825870964638</v>
      </c>
      <c r="F255" s="9" t="n">
        <v>1.440009557794024</v>
      </c>
      <c r="G255" s="7" t="n"/>
      <c r="H255" s="7" t="inlineStr">
        <is>
          <t>否</t>
        </is>
      </c>
      <c r="I255" s="7" t="inlineStr">
        <is>
          <t>否</t>
        </is>
      </c>
      <c r="J255" s="7" t="inlineStr"/>
    </row>
    <row r="256">
      <c r="A256" s="11" t="n">
        <v>44603</v>
      </c>
      <c r="B256" s="7" t="inlineStr">
        <is>
          <t>工业有色</t>
        </is>
      </c>
      <c r="C256" s="9" t="n">
        <v>0.9893527576675574</v>
      </c>
      <c r="D256" s="9" t="n">
        <v>1.317330920739073</v>
      </c>
      <c r="E256" s="9" t="n">
        <v>0.7929142081036709</v>
      </c>
      <c r="F256" s="9" t="n">
        <v>0.8578131441599277</v>
      </c>
      <c r="G256" s="7" t="n"/>
      <c r="H256" s="7" t="inlineStr">
        <is>
          <t>否</t>
        </is>
      </c>
      <c r="I256" s="7" t="inlineStr">
        <is>
          <t>否</t>
        </is>
      </c>
      <c r="J256" s="7" t="inlineStr"/>
    </row>
    <row r="257">
      <c r="A257" s="11" t="n">
        <v>44603</v>
      </c>
      <c r="B257" s="7" t="inlineStr">
        <is>
          <t>卫星产业</t>
        </is>
      </c>
      <c r="C257" s="9" t="n">
        <v>0.7280435652341382</v>
      </c>
      <c r="D257" s="9" t="n">
        <v>0.08250097870121968</v>
      </c>
      <c r="E257" s="9" t="n">
        <v>1.269003306154037</v>
      </c>
      <c r="F257" s="9" t="n">
        <v>0.8326264108471573</v>
      </c>
      <c r="G257" s="7" t="n"/>
      <c r="H257" s="7" t="inlineStr">
        <is>
          <t>否</t>
        </is>
      </c>
      <c r="I257" s="7" t="inlineStr">
        <is>
          <t>否</t>
        </is>
      </c>
      <c r="J257" s="7" t="inlineStr"/>
    </row>
    <row r="258">
      <c r="A258" s="11" t="n">
        <v>44603</v>
      </c>
      <c r="B258" s="7" t="inlineStr">
        <is>
          <t>港股通互联网</t>
        </is>
      </c>
      <c r="C258" s="9" t="n">
        <v>0.5834374650807966</v>
      </c>
      <c r="D258" s="9" t="n">
        <v>1.860429226195232</v>
      </c>
      <c r="E258" s="9" t="n">
        <v>0.1714316069821526</v>
      </c>
      <c r="F258" s="9" t="n">
        <v>-0.2815484379349951</v>
      </c>
      <c r="G258" s="7" t="n"/>
      <c r="H258" s="7" t="inlineStr">
        <is>
          <t>否</t>
        </is>
      </c>
      <c r="I258" s="7" t="inlineStr">
        <is>
          <t>否</t>
        </is>
      </c>
      <c r="J258" s="7" t="inlineStr"/>
    </row>
    <row r="259">
      <c r="A259" s="16" t="n">
        <v>44603</v>
      </c>
      <c r="B259" s="17" t="inlineStr">
        <is>
          <t>通信设备</t>
        </is>
      </c>
      <c r="C259" s="18" t="n">
        <v>0.4018121911340927</v>
      </c>
      <c r="D259" s="18" t="n">
        <v>-0.3150743353978018</v>
      </c>
      <c r="E259" s="18" t="n">
        <v>0.8247903119684478</v>
      </c>
      <c r="F259" s="18" t="n">
        <v>0.695720596831632</v>
      </c>
      <c r="G259" s="17" t="n"/>
      <c r="H259" s="17" t="inlineStr">
        <is>
          <t>否</t>
        </is>
      </c>
      <c r="I259" s="17" t="inlineStr">
        <is>
          <t>是</t>
        </is>
      </c>
      <c r="J259" s="17" t="inlineStr">
        <is>
          <t>卖出</t>
        </is>
      </c>
    </row>
    <row r="260">
      <c r="A260" s="11" t="n">
        <v>44603</v>
      </c>
      <c r="B260" s="7" t="inlineStr">
        <is>
          <t>新能源电池</t>
        </is>
      </c>
      <c r="C260" s="9" t="n">
        <v>-0.3584567434902564</v>
      </c>
      <c r="D260" s="9" t="n">
        <v>-0.5460786900475042</v>
      </c>
      <c r="E260" s="9" t="n">
        <v>-0.686522542739057</v>
      </c>
      <c r="F260" s="9" t="n">
        <v>0.1572310023157922</v>
      </c>
      <c r="G260" s="7" t="n"/>
      <c r="H260" s="7" t="inlineStr">
        <is>
          <t>否</t>
        </is>
      </c>
      <c r="I260" s="7" t="inlineStr">
        <is>
          <t>否</t>
        </is>
      </c>
      <c r="J260" s="7" t="inlineStr"/>
    </row>
    <row r="261">
      <c r="A261" s="11" t="n">
        <v>44603</v>
      </c>
      <c r="B261" s="7" t="inlineStr">
        <is>
          <t>科创芯片设计</t>
        </is>
      </c>
      <c r="C261" s="9" t="n">
        <v>-0.5630398597937464</v>
      </c>
      <c r="D261" s="9" t="n">
        <v>-1.402360479890698</v>
      </c>
      <c r="E261" s="9" t="n">
        <v>-0.03052537207155176</v>
      </c>
      <c r="F261" s="9" t="n">
        <v>-0.2562337274189894</v>
      </c>
      <c r="G261" s="7" t="n"/>
      <c r="H261" s="7" t="inlineStr">
        <is>
          <t>否</t>
        </is>
      </c>
      <c r="I261" s="7" t="inlineStr">
        <is>
          <t>否</t>
        </is>
      </c>
      <c r="J261" s="7" t="inlineStr"/>
    </row>
    <row r="262">
      <c r="A262" s="11" t="n">
        <v>44603</v>
      </c>
      <c r="B262" s="7" t="inlineStr">
        <is>
          <t>机器人</t>
        </is>
      </c>
      <c r="C262" s="9" t="n">
        <v>-0.7990272662108797</v>
      </c>
      <c r="D262" s="9" t="n">
        <v>-0.956898385480438</v>
      </c>
      <c r="E262" s="9" t="n">
        <v>-0.7269118091794131</v>
      </c>
      <c r="F262" s="9" t="n">
        <v>-0.7132716039727878</v>
      </c>
      <c r="G262" s="7" t="n"/>
      <c r="H262" s="7" t="inlineStr">
        <is>
          <t>否</t>
        </is>
      </c>
      <c r="I262" s="7" t="inlineStr">
        <is>
          <t>否</t>
        </is>
      </c>
      <c r="J262" s="7" t="inlineStr"/>
    </row>
    <row r="263">
      <c r="A263" s="11" t="n">
        <v>44603</v>
      </c>
      <c r="B263" s="7" t="inlineStr">
        <is>
          <t>港股通创新药</t>
        </is>
      </c>
      <c r="C263" s="9" t="n">
        <v>-0.935609172298705</v>
      </c>
      <c r="D263" s="9" t="n">
        <v>-0.166979859853093</v>
      </c>
      <c r="E263" s="9" t="n">
        <v>-0.7250522431563421</v>
      </c>
      <c r="F263" s="9" t="n">
        <v>-1.91479541388668</v>
      </c>
      <c r="G263" s="7" t="n"/>
      <c r="H263" s="7" t="inlineStr">
        <is>
          <t>否</t>
        </is>
      </c>
      <c r="I263" s="7" t="inlineStr">
        <is>
          <t>否</t>
        </is>
      </c>
      <c r="J263" s="7" t="inlineStr"/>
    </row>
    <row r="264">
      <c r="A264" s="11" t="n">
        <v>44603</v>
      </c>
      <c r="B264" s="7" t="inlineStr">
        <is>
          <t>半导体材料设备</t>
        </is>
      </c>
      <c r="C264" s="9" t="n">
        <v>-1.041956081563147</v>
      </c>
      <c r="D264" s="9" t="n">
        <v>-0.4268066627959523</v>
      </c>
      <c r="E264" s="9" t="n">
        <v>-1.881510053158406</v>
      </c>
      <c r="F264" s="9" t="n">
        <v>-0.8175515287350813</v>
      </c>
      <c r="G264" s="7" t="n"/>
      <c r="H264" s="7" t="inlineStr">
        <is>
          <t>否</t>
        </is>
      </c>
      <c r="I264" s="7" t="inlineStr">
        <is>
          <t>否</t>
        </is>
      </c>
      <c r="J264" s="7" t="inlineStr"/>
    </row>
    <row r="266">
      <c r="A266" s="11" t="n">
        <v>44727</v>
      </c>
      <c r="B266" s="7" t="inlineStr">
        <is>
          <t>工业有色</t>
        </is>
      </c>
      <c r="C266" s="9" t="n">
        <v>1.468532609665434</v>
      </c>
      <c r="D266" s="9" t="n">
        <v>1.584601340698162</v>
      </c>
      <c r="E266" s="9" t="n">
        <v>1.010116923649242</v>
      </c>
      <c r="F266" s="9" t="n">
        <v>1.810879564648899</v>
      </c>
      <c r="G266" s="7" t="n">
        <v>1</v>
      </c>
      <c r="H266" s="7" t="inlineStr">
        <is>
          <t>是</t>
        </is>
      </c>
      <c r="I266" s="7" t="inlineStr">
        <is>
          <t>否</t>
        </is>
      </c>
      <c r="J266" s="7" t="inlineStr"/>
    </row>
    <row r="267">
      <c r="A267" s="13" t="n">
        <v>44727</v>
      </c>
      <c r="B267" s="14" t="inlineStr">
        <is>
          <t>港股通互联网</t>
        </is>
      </c>
      <c r="C267" s="15" t="n">
        <v>1.064749787265513</v>
      </c>
      <c r="D267" s="15" t="n">
        <v>-0.2980601266706809</v>
      </c>
      <c r="E267" s="15" t="n">
        <v>2.068381560071276</v>
      </c>
      <c r="F267" s="15" t="n">
        <v>1.423927928395943</v>
      </c>
      <c r="G267" s="14" t="n">
        <v>2</v>
      </c>
      <c r="H267" s="14" t="inlineStr">
        <is>
          <t>是</t>
        </is>
      </c>
      <c r="I267" s="14" t="inlineStr">
        <is>
          <t>否</t>
        </is>
      </c>
      <c r="J267" s="14" t="inlineStr">
        <is>
          <t>买入</t>
        </is>
      </c>
    </row>
    <row r="268">
      <c r="A268" s="11" t="n">
        <v>44727</v>
      </c>
      <c r="B268" s="7" t="inlineStr">
        <is>
          <t>新能源电池</t>
        </is>
      </c>
      <c r="C268" s="9" t="n">
        <v>0.4504102449379967</v>
      </c>
      <c r="D268" s="9" t="n">
        <v>1.430255557542072</v>
      </c>
      <c r="E268" s="9" t="n">
        <v>-0.01366937801236651</v>
      </c>
      <c r="F268" s="9" t="n">
        <v>-0.06535544471571543</v>
      </c>
      <c r="G268" s="7" t="n">
        <v>3</v>
      </c>
      <c r="H268" s="7" t="inlineStr">
        <is>
          <t>是</t>
        </is>
      </c>
      <c r="I268" s="7" t="inlineStr">
        <is>
          <t>否</t>
        </is>
      </c>
      <c r="J268" s="7" t="inlineStr"/>
    </row>
    <row r="269">
      <c r="A269" s="11" t="n">
        <v>44727</v>
      </c>
      <c r="B269" s="7" t="inlineStr">
        <is>
          <t>卫星产业</t>
        </is>
      </c>
      <c r="C269" s="9" t="n">
        <v>0.05397609221027962</v>
      </c>
      <c r="D269" s="9" t="n">
        <v>0.05051602111184066</v>
      </c>
      <c r="E269" s="9" t="n">
        <v>-0.3882546981862449</v>
      </c>
      <c r="F269" s="9" t="n">
        <v>0.4996669537052431</v>
      </c>
      <c r="G269" s="7" t="n">
        <v>4</v>
      </c>
      <c r="H269" s="7" t="inlineStr">
        <is>
          <t>是</t>
        </is>
      </c>
      <c r="I269" s="7" t="inlineStr">
        <is>
          <t>否</t>
        </is>
      </c>
      <c r="J269" s="7" t="inlineStr"/>
    </row>
    <row r="270">
      <c r="A270" s="11" t="n">
        <v>44727</v>
      </c>
      <c r="B270" s="7" t="inlineStr">
        <is>
          <t>机器人</t>
        </is>
      </c>
      <c r="C270" s="9" t="n">
        <v>-0.1190974559545242</v>
      </c>
      <c r="D270" s="9" t="n">
        <v>0.4142514583771773</v>
      </c>
      <c r="E270" s="9" t="n">
        <v>0.1385260908801466</v>
      </c>
      <c r="F270" s="9" t="n">
        <v>-0.9100699171208966</v>
      </c>
      <c r="G270" s="7" t="n">
        <v>5</v>
      </c>
      <c r="H270" s="7" t="inlineStr">
        <is>
          <t>是</t>
        </is>
      </c>
      <c r="I270" s="7" t="inlineStr">
        <is>
          <t>否</t>
        </is>
      </c>
      <c r="J270" s="7" t="inlineStr"/>
    </row>
    <row r="271">
      <c r="A271" s="11" t="n">
        <v>44727</v>
      </c>
      <c r="B271" s="7" t="inlineStr">
        <is>
          <t>港股通创新药</t>
        </is>
      </c>
      <c r="C271" s="9" t="n">
        <v>-0.2293441973768587</v>
      </c>
      <c r="D271" s="9" t="n">
        <v>-1.222514535997651</v>
      </c>
      <c r="E271" s="9" t="n">
        <v>0.5835795249405216</v>
      </c>
      <c r="F271" s="9" t="n">
        <v>-0.04909758107344673</v>
      </c>
      <c r="G271" s="7" t="n"/>
      <c r="H271" s="7" t="inlineStr">
        <is>
          <t>否</t>
        </is>
      </c>
      <c r="I271" s="7" t="inlineStr">
        <is>
          <t>否</t>
        </is>
      </c>
      <c r="J271" s="7" t="inlineStr"/>
    </row>
    <row r="272">
      <c r="A272" s="11" t="n">
        <v>44727</v>
      </c>
      <c r="B272" s="7" t="inlineStr">
        <is>
          <t>计算机</t>
        </is>
      </c>
      <c r="C272" s="9" t="n">
        <v>-0.2721209225965204</v>
      </c>
      <c r="D272" s="9" t="n">
        <v>0.3283949459032705</v>
      </c>
      <c r="E272" s="9" t="n">
        <v>-0.8021215680251346</v>
      </c>
      <c r="F272" s="9" t="n">
        <v>-0.3426361456676971</v>
      </c>
      <c r="G272" s="7" t="n">
        <v>6</v>
      </c>
      <c r="H272" s="7" t="inlineStr">
        <is>
          <t>是</t>
        </is>
      </c>
      <c r="I272" s="7" t="inlineStr">
        <is>
          <t>否</t>
        </is>
      </c>
      <c r="J272" s="7" t="inlineStr"/>
    </row>
    <row r="273">
      <c r="A273" s="11" t="n">
        <v>44727</v>
      </c>
      <c r="B273" s="7" t="inlineStr">
        <is>
          <t>通信设备</t>
        </is>
      </c>
      <c r="C273" s="9" t="n">
        <v>-0.3542907345035068</v>
      </c>
      <c r="D273" s="9" t="n">
        <v>-0.01859754805924584</v>
      </c>
      <c r="E273" s="9" t="n">
        <v>-0.4901015034048364</v>
      </c>
      <c r="F273" s="9" t="n">
        <v>-0.5541731520464381</v>
      </c>
      <c r="G273" s="7" t="n">
        <v>7</v>
      </c>
      <c r="H273" s="7" t="inlineStr">
        <is>
          <t>是</t>
        </is>
      </c>
      <c r="I273" s="7" t="inlineStr">
        <is>
          <t>否</t>
        </is>
      </c>
      <c r="J273" s="7" t="inlineStr"/>
    </row>
    <row r="274">
      <c r="A274" s="11" t="n">
        <v>44727</v>
      </c>
      <c r="B274" s="7" t="inlineStr">
        <is>
          <t>半导体材料设备</t>
        </is>
      </c>
      <c r="C274" s="9" t="n">
        <v>-0.7733737038657115</v>
      </c>
      <c r="D274" s="9" t="n">
        <v>-1.090565022349401</v>
      </c>
      <c r="E274" s="9" t="n">
        <v>-0.8427534400138205</v>
      </c>
      <c r="F274" s="9" t="n">
        <v>-0.3868026492339126</v>
      </c>
      <c r="G274" s="7" t="n">
        <v>8</v>
      </c>
      <c r="H274" s="7" t="inlineStr">
        <is>
          <t>是</t>
        </is>
      </c>
      <c r="I274" s="7" t="inlineStr">
        <is>
          <t>否</t>
        </is>
      </c>
      <c r="J274" s="7" t="inlineStr"/>
    </row>
    <row r="275">
      <c r="A275" s="11" t="n">
        <v>44727</v>
      </c>
      <c r="B275" s="7" t="inlineStr">
        <is>
          <t>科创芯片设计</t>
        </is>
      </c>
      <c r="C275" s="9" t="n">
        <v>-1.289441719782103</v>
      </c>
      <c r="D275" s="9" t="n">
        <v>-1.178282090555543</v>
      </c>
      <c r="E275" s="9" t="n">
        <v>-1.263703511898784</v>
      </c>
      <c r="F275" s="9" t="n">
        <v>-1.426339556891981</v>
      </c>
      <c r="G275" s="7" t="n"/>
      <c r="H275" s="7" t="inlineStr">
        <is>
          <t>否</t>
        </is>
      </c>
      <c r="I275" s="7" t="inlineStr">
        <is>
          <t>否</t>
        </is>
      </c>
      <c r="J275" s="7" t="inlineStr"/>
    </row>
    <row r="277">
      <c r="A277" s="13" t="n">
        <v>44748</v>
      </c>
      <c r="B277" s="14" t="inlineStr">
        <is>
          <t>新能源电池</t>
        </is>
      </c>
      <c r="C277" s="15" t="n">
        <v>1.35978196859238</v>
      </c>
      <c r="D277" s="15" t="n">
        <v>1.539939974834442</v>
      </c>
      <c r="E277" s="15" t="n">
        <v>1.645848033865694</v>
      </c>
      <c r="F277" s="15" t="n">
        <v>0.8935578970770048</v>
      </c>
      <c r="G277" s="14" t="n">
        <v>1</v>
      </c>
      <c r="H277" s="14" t="inlineStr">
        <is>
          <t>是</t>
        </is>
      </c>
      <c r="I277" s="14" t="inlineStr">
        <is>
          <t>否</t>
        </is>
      </c>
      <c r="J277" s="14" t="inlineStr">
        <is>
          <t>买入</t>
        </is>
      </c>
    </row>
    <row r="278">
      <c r="A278" s="13" t="n">
        <v>44748</v>
      </c>
      <c r="B278" s="14" t="inlineStr">
        <is>
          <t>工业有色</t>
        </is>
      </c>
      <c r="C278" s="15" t="n">
        <v>1.181459885949904</v>
      </c>
      <c r="D278" s="15" t="n">
        <v>0.664299323446053</v>
      </c>
      <c r="E278" s="15" t="n">
        <v>1.092249538079785</v>
      </c>
      <c r="F278" s="15" t="n">
        <v>1.787830796323873</v>
      </c>
      <c r="G278" s="14" t="n">
        <v>2</v>
      </c>
      <c r="H278" s="14" t="inlineStr">
        <is>
          <t>是</t>
        </is>
      </c>
      <c r="I278" s="14" t="inlineStr">
        <is>
          <t>否</t>
        </is>
      </c>
      <c r="J278" s="14" t="inlineStr">
        <is>
          <t>买入</t>
        </is>
      </c>
    </row>
    <row r="279">
      <c r="A279" s="11" t="n">
        <v>44748</v>
      </c>
      <c r="B279" s="7" t="inlineStr">
        <is>
          <t>港股通创新药</t>
        </is>
      </c>
      <c r="C279" s="9" t="n">
        <v>0.4661701755138705</v>
      </c>
      <c r="D279" s="9" t="n">
        <v>0.8692324499386529</v>
      </c>
      <c r="E279" s="9" t="n">
        <v>-0.136674397319075</v>
      </c>
      <c r="F279" s="9" t="n">
        <v>0.6659524739220334</v>
      </c>
      <c r="G279" s="7" t="n">
        <v>3</v>
      </c>
      <c r="H279" s="7" t="inlineStr">
        <is>
          <t>是</t>
        </is>
      </c>
      <c r="I279" s="7" t="inlineStr">
        <is>
          <t>否</t>
        </is>
      </c>
      <c r="J279" s="7" t="inlineStr"/>
    </row>
    <row r="280">
      <c r="A280" s="11" t="n">
        <v>44748</v>
      </c>
      <c r="B280" s="7" t="inlineStr">
        <is>
          <t>机器人</t>
        </is>
      </c>
      <c r="C280" s="9" t="n">
        <v>0.4116714618574917</v>
      </c>
      <c r="D280" s="9" t="n">
        <v>0.7622013916279696</v>
      </c>
      <c r="E280" s="9" t="n">
        <v>0.7860255280404823</v>
      </c>
      <c r="F280" s="9" t="n">
        <v>-0.3132125340959768</v>
      </c>
      <c r="G280" s="7" t="n">
        <v>4</v>
      </c>
      <c r="H280" s="7" t="inlineStr">
        <is>
          <t>是</t>
        </is>
      </c>
      <c r="I280" s="7" t="inlineStr">
        <is>
          <t>否</t>
        </is>
      </c>
      <c r="J280" s="7" t="inlineStr"/>
    </row>
    <row r="281">
      <c r="A281" s="11" t="n">
        <v>44748</v>
      </c>
      <c r="B281" s="7" t="inlineStr">
        <is>
          <t>港股通互联网</t>
        </is>
      </c>
      <c r="C281" s="9" t="n">
        <v>0.06452935808279255</v>
      </c>
      <c r="D281" s="9" t="n">
        <v>-0.6382786686785947</v>
      </c>
      <c r="E281" s="9" t="n">
        <v>0.1662738236420984</v>
      </c>
      <c r="F281" s="9" t="n">
        <v>0.665592919284874</v>
      </c>
      <c r="G281" s="7" t="n">
        <v>5</v>
      </c>
      <c r="H281" s="7" t="inlineStr">
        <is>
          <t>是</t>
        </is>
      </c>
      <c r="I281" s="7" t="inlineStr">
        <is>
          <t>是</t>
        </is>
      </c>
      <c r="J281" s="7" t="inlineStr">
        <is>
          <t>保留</t>
        </is>
      </c>
    </row>
    <row r="282">
      <c r="A282" s="11" t="n">
        <v>44748</v>
      </c>
      <c r="B282" s="7" t="inlineStr">
        <is>
          <t>半导体材料设备</t>
        </is>
      </c>
      <c r="C282" s="9" t="n">
        <v>0.04499728643587081</v>
      </c>
      <c r="D282" s="9" t="n">
        <v>-0.2209158517048718</v>
      </c>
      <c r="E282" s="9" t="n">
        <v>0.2412007859006406</v>
      </c>
      <c r="F282" s="9" t="n">
        <v>0.1147069251118437</v>
      </c>
      <c r="G282" s="7" t="n">
        <v>6</v>
      </c>
      <c r="H282" s="7" t="inlineStr">
        <is>
          <t>是</t>
        </is>
      </c>
      <c r="I282" s="7" t="inlineStr">
        <is>
          <t>否</t>
        </is>
      </c>
      <c r="J282" s="7" t="inlineStr"/>
    </row>
    <row r="283">
      <c r="A283" s="11" t="n">
        <v>44748</v>
      </c>
      <c r="B283" s="7" t="inlineStr">
        <is>
          <t>通信设备</t>
        </is>
      </c>
      <c r="C283" s="9" t="n">
        <v>-0.3120902234653896</v>
      </c>
      <c r="D283" s="9" t="n">
        <v>0.01324978972492039</v>
      </c>
      <c r="E283" s="9" t="n">
        <v>-0.2155471767233668</v>
      </c>
      <c r="F283" s="9" t="n">
        <v>-0.7339732833977224</v>
      </c>
      <c r="G283" s="7" t="n">
        <v>7</v>
      </c>
      <c r="H283" s="7" t="inlineStr">
        <is>
          <t>是</t>
        </is>
      </c>
      <c r="I283" s="7" t="inlineStr">
        <is>
          <t>否</t>
        </is>
      </c>
      <c r="J283" s="7" t="inlineStr"/>
    </row>
    <row r="284">
      <c r="A284" s="11" t="n">
        <v>44748</v>
      </c>
      <c r="B284" s="7" t="inlineStr">
        <is>
          <t>卫星产业</t>
        </is>
      </c>
      <c r="C284" s="9" t="n">
        <v>-0.761219400804766</v>
      </c>
      <c r="D284" s="9" t="n">
        <v>-0.5288557808715498</v>
      </c>
      <c r="E284" s="9" t="n">
        <v>-1.139649484812346</v>
      </c>
      <c r="F284" s="9" t="n">
        <v>-0.6151529367304023</v>
      </c>
      <c r="G284" s="7" t="n">
        <v>8</v>
      </c>
      <c r="H284" s="7" t="inlineStr">
        <is>
          <t>是</t>
        </is>
      </c>
      <c r="I284" s="7" t="inlineStr">
        <is>
          <t>否</t>
        </is>
      </c>
      <c r="J284" s="7" t="inlineStr"/>
    </row>
    <row r="285">
      <c r="A285" s="11" t="n">
        <v>44748</v>
      </c>
      <c r="B285" s="7" t="inlineStr">
        <is>
          <t>计算机</t>
        </is>
      </c>
      <c r="C285" s="9" t="n">
        <v>-0.9834613210813471</v>
      </c>
      <c r="D285" s="9" t="n">
        <v>-0.4932929235497149</v>
      </c>
      <c r="E285" s="9" t="n">
        <v>-1.384847827931428</v>
      </c>
      <c r="F285" s="9" t="n">
        <v>-1.072243211762898</v>
      </c>
      <c r="G285" s="7" t="n">
        <v>9</v>
      </c>
      <c r="H285" s="7" t="inlineStr">
        <is>
          <t>是</t>
        </is>
      </c>
      <c r="I285" s="7" t="inlineStr">
        <is>
          <t>否</t>
        </is>
      </c>
      <c r="J285" s="7" t="inlineStr"/>
    </row>
    <row r="286">
      <c r="A286" s="11" t="n">
        <v>44748</v>
      </c>
      <c r="B286" s="7" t="inlineStr">
        <is>
          <t>科创芯片设计</t>
        </is>
      </c>
      <c r="C286" s="9" t="n">
        <v>-1.471839191080807</v>
      </c>
      <c r="D286" s="9" t="n">
        <v>-1.967579704767308</v>
      </c>
      <c r="E286" s="9" t="n">
        <v>-1.054878822742484</v>
      </c>
      <c r="F286" s="9" t="n">
        <v>-1.39305904573263</v>
      </c>
      <c r="G286" s="7" t="n">
        <v>10</v>
      </c>
      <c r="H286" s="7" t="inlineStr">
        <is>
          <t>是</t>
        </is>
      </c>
      <c r="I286" s="7" t="inlineStr">
        <is>
          <t>否</t>
        </is>
      </c>
      <c r="J286" s="7" t="inlineStr"/>
    </row>
    <row r="288">
      <c r="A288" s="11" t="n">
        <v>44769</v>
      </c>
      <c r="B288" s="7" t="inlineStr">
        <is>
          <t>新能源电池</t>
        </is>
      </c>
      <c r="C288" s="9" t="n">
        <v>1.825827026258666</v>
      </c>
      <c r="D288" s="9" t="n">
        <v>1.638201080117728</v>
      </c>
      <c r="E288" s="9" t="n">
        <v>2.018758885066125</v>
      </c>
      <c r="F288" s="9" t="n">
        <v>1.820521113592144</v>
      </c>
      <c r="G288" s="7" t="n">
        <v>1</v>
      </c>
      <c r="H288" s="7" t="inlineStr">
        <is>
          <t>是</t>
        </is>
      </c>
      <c r="I288" s="7" t="inlineStr">
        <is>
          <t>是</t>
        </is>
      </c>
      <c r="J288" s="7" t="inlineStr">
        <is>
          <t>保留</t>
        </is>
      </c>
    </row>
    <row r="289">
      <c r="A289" s="11" t="n">
        <v>44769</v>
      </c>
      <c r="B289" s="7" t="inlineStr">
        <is>
          <t>机器人</t>
        </is>
      </c>
      <c r="C289" s="9" t="n">
        <v>0.8570171328554023</v>
      </c>
      <c r="D289" s="9" t="n">
        <v>1.213665157796725</v>
      </c>
      <c r="E289" s="9" t="n">
        <v>1.025603590624776</v>
      </c>
      <c r="F289" s="9" t="n">
        <v>0.3317826501447052</v>
      </c>
      <c r="G289" s="7" t="n">
        <v>2</v>
      </c>
      <c r="H289" s="7" t="inlineStr">
        <is>
          <t>是</t>
        </is>
      </c>
      <c r="I289" s="7" t="inlineStr">
        <is>
          <t>否</t>
        </is>
      </c>
      <c r="J289" s="7" t="inlineStr"/>
    </row>
    <row r="290">
      <c r="A290" s="11" t="n">
        <v>44769</v>
      </c>
      <c r="B290" s="7" t="inlineStr">
        <is>
          <t>工业有色</t>
        </is>
      </c>
      <c r="C290" s="9" t="n">
        <v>0.4371413177525936</v>
      </c>
      <c r="D290" s="9" t="n">
        <v>-0.1289089149989053</v>
      </c>
      <c r="E290" s="9" t="n">
        <v>0.1461742585528332</v>
      </c>
      <c r="F290" s="9" t="n">
        <v>1.294158609703853</v>
      </c>
      <c r="G290" s="7" t="n">
        <v>3</v>
      </c>
      <c r="H290" s="7" t="inlineStr">
        <is>
          <t>是</t>
        </is>
      </c>
      <c r="I290" s="7" t="inlineStr">
        <is>
          <t>是</t>
        </is>
      </c>
      <c r="J290" s="7" t="inlineStr">
        <is>
          <t>保留</t>
        </is>
      </c>
    </row>
    <row r="291">
      <c r="A291" s="11" t="n">
        <v>44769</v>
      </c>
      <c r="B291" s="7" t="inlineStr">
        <is>
          <t>通信设备</t>
        </is>
      </c>
      <c r="C291" s="9" t="n">
        <v>0.2145370287166493</v>
      </c>
      <c r="D291" s="9" t="n">
        <v>0.5285801913663909</v>
      </c>
      <c r="E291" s="9" t="n">
        <v>0.2202620286226338</v>
      </c>
      <c r="F291" s="9" t="n">
        <v>-0.1052311338390767</v>
      </c>
      <c r="G291" s="7" t="n">
        <v>4</v>
      </c>
      <c r="H291" s="7" t="inlineStr">
        <is>
          <t>是</t>
        </is>
      </c>
      <c r="I291" s="7" t="inlineStr">
        <is>
          <t>否</t>
        </is>
      </c>
      <c r="J291" s="7" t="inlineStr"/>
    </row>
    <row r="292">
      <c r="A292" s="11" t="n">
        <v>44769</v>
      </c>
      <c r="B292" s="7" t="inlineStr">
        <is>
          <t>卫星产业</t>
        </is>
      </c>
      <c r="C292" s="9" t="n">
        <v>0.1983332842127546</v>
      </c>
      <c r="D292" s="9" t="n">
        <v>0.3820631385278617</v>
      </c>
      <c r="E292" s="9" t="n">
        <v>0.220526732388108</v>
      </c>
      <c r="F292" s="9" t="n">
        <v>-0.007590018277705876</v>
      </c>
      <c r="G292" s="7" t="n">
        <v>5</v>
      </c>
      <c r="H292" s="7" t="inlineStr">
        <is>
          <t>是</t>
        </is>
      </c>
      <c r="I292" s="7" t="inlineStr">
        <is>
          <t>否</t>
        </is>
      </c>
      <c r="J292" s="7" t="inlineStr"/>
    </row>
    <row r="293">
      <c r="A293" s="11" t="n">
        <v>44769</v>
      </c>
      <c r="B293" s="7" t="inlineStr">
        <is>
          <t>计算机</t>
        </is>
      </c>
      <c r="C293" s="9" t="n">
        <v>-0.4393263411240465</v>
      </c>
      <c r="D293" s="9" t="n">
        <v>-0.1765968047108597</v>
      </c>
      <c r="E293" s="9" t="n">
        <v>0.120888660884258</v>
      </c>
      <c r="F293" s="9" t="n">
        <v>-1.262270879545538</v>
      </c>
      <c r="G293" s="7" t="n">
        <v>6</v>
      </c>
      <c r="H293" s="7" t="inlineStr">
        <is>
          <t>是</t>
        </is>
      </c>
      <c r="I293" s="7" t="inlineStr">
        <is>
          <t>否</t>
        </is>
      </c>
      <c r="J293" s="7" t="inlineStr"/>
    </row>
    <row r="294">
      <c r="A294" s="11" t="n">
        <v>44769</v>
      </c>
      <c r="B294" s="7" t="inlineStr">
        <is>
          <t>港股通创新药</t>
        </is>
      </c>
      <c r="C294" s="9" t="n">
        <v>-0.4745674073453392</v>
      </c>
      <c r="D294" s="9" t="n">
        <v>-0.09994517068680893</v>
      </c>
      <c r="E294" s="9" t="n">
        <v>-1.165273547562847</v>
      </c>
      <c r="F294" s="9" t="n">
        <v>-0.1584835037863617</v>
      </c>
      <c r="G294" s="7" t="n">
        <v>7</v>
      </c>
      <c r="H294" s="7" t="inlineStr">
        <is>
          <t>是</t>
        </is>
      </c>
      <c r="I294" s="7" t="inlineStr">
        <is>
          <t>否</t>
        </is>
      </c>
      <c r="J294" s="7" t="inlineStr"/>
    </row>
    <row r="295">
      <c r="A295" s="11" t="n">
        <v>44769</v>
      </c>
      <c r="B295" s="7" t="inlineStr">
        <is>
          <t>半导体材料设备</t>
        </is>
      </c>
      <c r="C295" s="9" t="n">
        <v>-0.4867829878116383</v>
      </c>
      <c r="D295" s="9" t="n">
        <v>-0.6477237665517998</v>
      </c>
      <c r="E295" s="9" t="n">
        <v>-0.563358782006523</v>
      </c>
      <c r="F295" s="9" t="n">
        <v>-0.2492664148765919</v>
      </c>
      <c r="G295" s="7" t="n"/>
      <c r="H295" s="7" t="inlineStr">
        <is>
          <t>否</t>
        </is>
      </c>
      <c r="I295" s="7" t="inlineStr">
        <is>
          <t>否</t>
        </is>
      </c>
      <c r="J295" s="7" t="inlineStr"/>
    </row>
    <row r="296">
      <c r="A296" s="16" t="n">
        <v>44769</v>
      </c>
      <c r="B296" s="17" t="inlineStr">
        <is>
          <t>港股通互联网</t>
        </is>
      </c>
      <c r="C296" s="18" t="n">
        <v>-0.9438441407442563</v>
      </c>
      <c r="D296" s="18" t="n">
        <v>-1.722334397798825</v>
      </c>
      <c r="E296" s="18" t="n">
        <v>-0.9197469200122533</v>
      </c>
      <c r="F296" s="18" t="n">
        <v>-0.1894511044216909</v>
      </c>
      <c r="G296" s="17" t="n">
        <v>8</v>
      </c>
      <c r="H296" s="17" t="inlineStr">
        <is>
          <t>是</t>
        </is>
      </c>
      <c r="I296" s="17" t="inlineStr">
        <is>
          <t>是</t>
        </is>
      </c>
      <c r="J296" s="17" t="inlineStr">
        <is>
          <t>卖出</t>
        </is>
      </c>
    </row>
    <row r="297">
      <c r="A297" s="11" t="n">
        <v>44769</v>
      </c>
      <c r="B297" s="7" t="inlineStr">
        <is>
          <t>科创芯片设计</t>
        </is>
      </c>
      <c r="C297" s="9" t="n">
        <v>-1.188334912770785</v>
      </c>
      <c r="D297" s="9" t="n">
        <v>-0.987000513061508</v>
      </c>
      <c r="E297" s="9" t="n">
        <v>-1.103834906557111</v>
      </c>
      <c r="F297" s="9" t="n">
        <v>-1.474169318693737</v>
      </c>
      <c r="G297" s="7" t="n"/>
      <c r="H297" s="7" t="inlineStr">
        <is>
          <t>否</t>
        </is>
      </c>
      <c r="I297" s="7" t="inlineStr">
        <is>
          <t>否</t>
        </is>
      </c>
      <c r="J297" s="7" t="inlineStr"/>
    </row>
    <row r="299">
      <c r="A299" s="11" t="n">
        <v>44790</v>
      </c>
      <c r="B299" s="7" t="inlineStr">
        <is>
          <t>新能源电池</t>
        </is>
      </c>
      <c r="C299" s="9" t="n">
        <v>1.709709174398662</v>
      </c>
      <c r="D299" s="9" t="n">
        <v>0.7961635024581788</v>
      </c>
      <c r="E299" s="9" t="n">
        <v>1.911757902648152</v>
      </c>
      <c r="F299" s="9" t="n">
        <v>2.421206118089656</v>
      </c>
      <c r="G299" s="7" t="n">
        <v>1</v>
      </c>
      <c r="H299" s="7" t="inlineStr">
        <is>
          <t>是</t>
        </is>
      </c>
      <c r="I299" s="7" t="inlineStr">
        <is>
          <t>是</t>
        </is>
      </c>
      <c r="J299" s="7" t="inlineStr">
        <is>
          <t>保留</t>
        </is>
      </c>
    </row>
    <row r="300">
      <c r="A300" s="11" t="n">
        <v>44790</v>
      </c>
      <c r="B300" s="7" t="inlineStr">
        <is>
          <t>机器人</t>
        </is>
      </c>
      <c r="C300" s="9" t="n">
        <v>0.7355277935197013</v>
      </c>
      <c r="D300" s="9" t="n">
        <v>0.653196575515946</v>
      </c>
      <c r="E300" s="9" t="n">
        <v>1.072091672149635</v>
      </c>
      <c r="F300" s="9" t="n">
        <v>0.4812951328935231</v>
      </c>
      <c r="G300" s="7" t="n">
        <v>2</v>
      </c>
      <c r="H300" s="7" t="inlineStr">
        <is>
          <t>是</t>
        </is>
      </c>
      <c r="I300" s="7" t="inlineStr">
        <is>
          <t>否</t>
        </is>
      </c>
      <c r="J300" s="7" t="inlineStr"/>
    </row>
    <row r="301">
      <c r="A301" s="11" t="n">
        <v>44790</v>
      </c>
      <c r="B301" s="7" t="inlineStr">
        <is>
          <t>半导体材料设备</t>
        </is>
      </c>
      <c r="C301" s="9" t="n">
        <v>0.5077384187346649</v>
      </c>
      <c r="D301" s="9" t="n">
        <v>1.323596304632461</v>
      </c>
      <c r="E301" s="9" t="n">
        <v>-0.3247655622793717</v>
      </c>
      <c r="F301" s="9" t="n">
        <v>0.5243845138509058</v>
      </c>
      <c r="G301" s="7" t="n">
        <v>3</v>
      </c>
      <c r="H301" s="7" t="inlineStr">
        <is>
          <t>是</t>
        </is>
      </c>
      <c r="I301" s="7" t="inlineStr">
        <is>
          <t>否</t>
        </is>
      </c>
      <c r="J301" s="7" t="inlineStr"/>
    </row>
    <row r="302">
      <c r="A302" s="11" t="n">
        <v>44790</v>
      </c>
      <c r="B302" s="7" t="inlineStr">
        <is>
          <t>通信设备</t>
        </is>
      </c>
      <c r="C302" s="9" t="n">
        <v>0.1611232607711262</v>
      </c>
      <c r="D302" s="9" t="n">
        <v>0.03734915447471755</v>
      </c>
      <c r="E302" s="9" t="n">
        <v>0.638573786493313</v>
      </c>
      <c r="F302" s="9" t="n">
        <v>-0.1925531586546521</v>
      </c>
      <c r="G302" s="7" t="n">
        <v>4</v>
      </c>
      <c r="H302" s="7" t="inlineStr">
        <is>
          <t>是</t>
        </is>
      </c>
      <c r="I302" s="7" t="inlineStr">
        <is>
          <t>否</t>
        </is>
      </c>
      <c r="J302" s="7" t="inlineStr"/>
    </row>
    <row r="303">
      <c r="A303" s="11" t="n">
        <v>44790</v>
      </c>
      <c r="B303" s="7" t="inlineStr">
        <is>
          <t>卫星产业</t>
        </is>
      </c>
      <c r="C303" s="9" t="n">
        <v>0.1277061450987123</v>
      </c>
      <c r="D303" s="9" t="n">
        <v>0.2368855334280496</v>
      </c>
      <c r="E303" s="9" t="n">
        <v>0.2956209660555563</v>
      </c>
      <c r="F303" s="9" t="n">
        <v>-0.1493880641874691</v>
      </c>
      <c r="G303" s="7" t="n">
        <v>5</v>
      </c>
      <c r="H303" s="7" t="inlineStr">
        <is>
          <t>是</t>
        </is>
      </c>
      <c r="I303" s="7" t="inlineStr">
        <is>
          <t>否</t>
        </is>
      </c>
      <c r="J303" s="7" t="inlineStr"/>
    </row>
    <row r="304">
      <c r="A304" s="11" t="n">
        <v>44790</v>
      </c>
      <c r="B304" s="7" t="inlineStr">
        <is>
          <t>科创芯片设计</t>
        </is>
      </c>
      <c r="C304" s="9" t="n">
        <v>-0.2801373546518898</v>
      </c>
      <c r="D304" s="9" t="n">
        <v>0.8771715567127082</v>
      </c>
      <c r="E304" s="9" t="n">
        <v>-0.9496460112906064</v>
      </c>
      <c r="F304" s="9" t="n">
        <v>-0.7679376093777712</v>
      </c>
      <c r="G304" s="7" t="n">
        <v>6</v>
      </c>
      <c r="H304" s="7" t="inlineStr">
        <is>
          <t>是</t>
        </is>
      </c>
      <c r="I304" s="7" t="inlineStr">
        <is>
          <t>否</t>
        </is>
      </c>
      <c r="J304" s="7" t="inlineStr"/>
    </row>
    <row r="305">
      <c r="A305" s="11" t="n">
        <v>44790</v>
      </c>
      <c r="B305" s="7" t="inlineStr">
        <is>
          <t>计算机</t>
        </is>
      </c>
      <c r="C305" s="9" t="n">
        <v>-0.3862927630048099</v>
      </c>
      <c r="D305" s="9" t="n">
        <v>-0.03285904838639519</v>
      </c>
      <c r="E305" s="9" t="n">
        <v>0.09087227907109083</v>
      </c>
      <c r="F305" s="9" t="n">
        <v>-1.216891519699125</v>
      </c>
      <c r="G305" s="7" t="n">
        <v>7</v>
      </c>
      <c r="H305" s="7" t="inlineStr">
        <is>
          <t>是</t>
        </is>
      </c>
      <c r="I305" s="7" t="inlineStr">
        <is>
          <t>否</t>
        </is>
      </c>
      <c r="J305" s="7" t="inlineStr"/>
    </row>
    <row r="306">
      <c r="A306" s="16" t="n">
        <v>44790</v>
      </c>
      <c r="B306" s="17" t="inlineStr">
        <is>
          <t>工业有色</t>
        </is>
      </c>
      <c r="C306" s="18" t="n">
        <v>-0.541503294662519</v>
      </c>
      <c r="D306" s="18" t="n">
        <v>-0.8789055397770088</v>
      </c>
      <c r="E306" s="18" t="n">
        <v>-0.6131515554950483</v>
      </c>
      <c r="F306" s="18" t="n">
        <v>-0.1324527887155001</v>
      </c>
      <c r="G306" s="17" t="n"/>
      <c r="H306" s="17" t="inlineStr">
        <is>
          <t>否</t>
        </is>
      </c>
      <c r="I306" s="17" t="inlineStr">
        <is>
          <t>是</t>
        </is>
      </c>
      <c r="J306" s="17" t="inlineStr">
        <is>
          <t>卖出</t>
        </is>
      </c>
    </row>
    <row r="307">
      <c r="A307" s="11" t="n">
        <v>44790</v>
      </c>
      <c r="B307" s="7" t="inlineStr">
        <is>
          <t>港股通创新药</t>
        </is>
      </c>
      <c r="C307" s="9" t="n">
        <v>-0.8780797204199113</v>
      </c>
      <c r="D307" s="9" t="n">
        <v>-1.349482341723379</v>
      </c>
      <c r="E307" s="9" t="n">
        <v>-0.888848589714811</v>
      </c>
      <c r="F307" s="9" t="n">
        <v>-0.3959082298215441</v>
      </c>
      <c r="G307" s="7" t="n"/>
      <c r="H307" s="7" t="inlineStr">
        <is>
          <t>否</t>
        </is>
      </c>
      <c r="I307" s="7" t="inlineStr">
        <is>
          <t>否</t>
        </is>
      </c>
      <c r="J307" s="7" t="inlineStr"/>
    </row>
    <row r="308">
      <c r="A308" s="11" t="n">
        <v>44790</v>
      </c>
      <c r="B308" s="7" t="inlineStr">
        <is>
          <t>港股通互联网</t>
        </is>
      </c>
      <c r="C308" s="9" t="n">
        <v>-1.155791659783737</v>
      </c>
      <c r="D308" s="9" t="n">
        <v>-1.663115697335278</v>
      </c>
      <c r="E308" s="9" t="n">
        <v>-1.23250488763791</v>
      </c>
      <c r="F308" s="9" t="n">
        <v>-0.5717543943780221</v>
      </c>
      <c r="G308" s="7" t="n"/>
      <c r="H308" s="7" t="inlineStr">
        <is>
          <t>否</t>
        </is>
      </c>
      <c r="I308" s="7" t="inlineStr">
        <is>
          <t>否</t>
        </is>
      </c>
      <c r="J308" s="7" t="inlineStr"/>
    </row>
    <row r="310">
      <c r="A310" s="16" t="n">
        <v>44832</v>
      </c>
      <c r="B310" s="17" t="inlineStr">
        <is>
          <t>新能源电池</t>
        </is>
      </c>
      <c r="C310" s="18" t="n">
        <v>1.733790651353738</v>
      </c>
      <c r="D310" s="18" t="n">
        <v>1.347030081737506</v>
      </c>
      <c r="E310" s="18" t="n">
        <v>1.568993291211989</v>
      </c>
      <c r="F310" s="18" t="n">
        <v>2.285348581111719</v>
      </c>
      <c r="G310" s="17" t="n"/>
      <c r="H310" s="17" t="inlineStr">
        <is>
          <t>否</t>
        </is>
      </c>
      <c r="I310" s="17" t="inlineStr">
        <is>
          <t>是</t>
        </is>
      </c>
      <c r="J310" s="17" t="inlineStr">
        <is>
          <t>卖出</t>
        </is>
      </c>
    </row>
    <row r="311">
      <c r="A311" s="11" t="n">
        <v>44832</v>
      </c>
      <c r="B311" s="7" t="inlineStr">
        <is>
          <t>卫星产业</t>
        </is>
      </c>
      <c r="C311" s="9" t="n">
        <v>0.6884559601178127</v>
      </c>
      <c r="D311" s="9" t="n">
        <v>1.291855723281136</v>
      </c>
      <c r="E311" s="9" t="n">
        <v>0.7782443910315789</v>
      </c>
      <c r="F311" s="9" t="n">
        <v>-0.004732233959276506</v>
      </c>
      <c r="G311" s="7" t="n"/>
      <c r="H311" s="7" t="inlineStr">
        <is>
          <t>否</t>
        </is>
      </c>
      <c r="I311" s="7" t="inlineStr">
        <is>
          <t>否</t>
        </is>
      </c>
      <c r="J311" s="7" t="inlineStr"/>
    </row>
    <row r="312">
      <c r="A312" s="11" t="n">
        <v>44832</v>
      </c>
      <c r="B312" s="7" t="inlineStr">
        <is>
          <t>半导体材料设备</t>
        </is>
      </c>
      <c r="C312" s="9" t="n">
        <v>0.5841330751833708</v>
      </c>
      <c r="D312" s="9" t="n">
        <v>0.5987545495424189</v>
      </c>
      <c r="E312" s="9" t="n">
        <v>0.6629307187169987</v>
      </c>
      <c r="F312" s="9" t="n">
        <v>0.4907139572906947</v>
      </c>
      <c r="G312" s="7" t="n"/>
      <c r="H312" s="7" t="inlineStr">
        <is>
          <t>否</t>
        </is>
      </c>
      <c r="I312" s="7" t="inlineStr">
        <is>
          <t>否</t>
        </is>
      </c>
      <c r="J312" s="7" t="inlineStr"/>
    </row>
    <row r="313">
      <c r="A313" s="11" t="n">
        <v>44832</v>
      </c>
      <c r="B313" s="7" t="inlineStr">
        <is>
          <t>通信设备</t>
        </is>
      </c>
      <c r="C313" s="9" t="n">
        <v>0.1238209785596511</v>
      </c>
      <c r="D313" s="9" t="n">
        <v>-0.2648857701176329</v>
      </c>
      <c r="E313" s="9" t="n">
        <v>0.4563782826293497</v>
      </c>
      <c r="F313" s="9" t="n">
        <v>0.1799704231672364</v>
      </c>
      <c r="G313" s="7" t="n"/>
      <c r="H313" s="7" t="inlineStr">
        <is>
          <t>否</t>
        </is>
      </c>
      <c r="I313" s="7" t="inlineStr">
        <is>
          <t>否</t>
        </is>
      </c>
      <c r="J313" s="7" t="inlineStr"/>
    </row>
    <row r="314">
      <c r="A314" s="11" t="n">
        <v>44832</v>
      </c>
      <c r="B314" s="7" t="inlineStr">
        <is>
          <t>计算机</t>
        </is>
      </c>
      <c r="C314" s="9" t="n">
        <v>0.03379932262051352</v>
      </c>
      <c r="D314" s="9" t="n">
        <v>0.5212877057381848</v>
      </c>
      <c r="E314" s="9" t="n">
        <v>0.2407586104450668</v>
      </c>
      <c r="F314" s="9" t="n">
        <v>-0.660648348321711</v>
      </c>
      <c r="G314" s="7" t="n"/>
      <c r="H314" s="7" t="inlineStr">
        <is>
          <t>否</t>
        </is>
      </c>
      <c r="I314" s="7" t="inlineStr">
        <is>
          <t>否</t>
        </is>
      </c>
      <c r="J314" s="7" t="inlineStr"/>
    </row>
    <row r="315">
      <c r="A315" s="11" t="n">
        <v>44832</v>
      </c>
      <c r="B315" s="7" t="inlineStr">
        <is>
          <t>科创芯片设计</t>
        </is>
      </c>
      <c r="C315" s="9" t="n">
        <v>-0.07745791178800543</v>
      </c>
      <c r="D315" s="9" t="n">
        <v>-0.1788317680533889</v>
      </c>
      <c r="E315" s="9" t="n">
        <v>0.4832262266621242</v>
      </c>
      <c r="F315" s="9" t="n">
        <v>-0.5367681939727517</v>
      </c>
      <c r="G315" s="7" t="n"/>
      <c r="H315" s="7" t="inlineStr">
        <is>
          <t>否</t>
        </is>
      </c>
      <c r="I315" s="7" t="inlineStr">
        <is>
          <t>否</t>
        </is>
      </c>
      <c r="J315" s="7" t="inlineStr"/>
    </row>
    <row r="316">
      <c r="A316" s="11" t="n">
        <v>44832</v>
      </c>
      <c r="B316" s="7" t="inlineStr">
        <is>
          <t>工业有色</t>
        </is>
      </c>
      <c r="C316" s="9" t="n">
        <v>-0.1354490071580866</v>
      </c>
      <c r="D316" s="9" t="n">
        <v>0.3569354979131104</v>
      </c>
      <c r="E316" s="9" t="n">
        <v>-0.9553676484066582</v>
      </c>
      <c r="F316" s="9" t="n">
        <v>0.1920851290192881</v>
      </c>
      <c r="G316" s="7" t="n"/>
      <c r="H316" s="7" t="inlineStr">
        <is>
          <t>否</t>
        </is>
      </c>
      <c r="I316" s="7" t="inlineStr">
        <is>
          <t>否</t>
        </is>
      </c>
      <c r="J316" s="7" t="inlineStr"/>
    </row>
    <row r="317">
      <c r="A317" s="11" t="n">
        <v>44832</v>
      </c>
      <c r="B317" s="7" t="inlineStr">
        <is>
          <t>机器人</t>
        </is>
      </c>
      <c r="C317" s="9" t="n">
        <v>-0.371855232990117</v>
      </c>
      <c r="D317" s="9" t="n">
        <v>-0.9242777065714188</v>
      </c>
      <c r="E317" s="9" t="n">
        <v>-0.4512030923980428</v>
      </c>
      <c r="F317" s="9" t="n">
        <v>0.2599150999991109</v>
      </c>
      <c r="G317" s="7" t="n"/>
      <c r="H317" s="7" t="inlineStr">
        <is>
          <t>否</t>
        </is>
      </c>
      <c r="I317" s="7" t="inlineStr">
        <is>
          <t>否</t>
        </is>
      </c>
      <c r="J317" s="7" t="inlineStr"/>
    </row>
    <row r="318">
      <c r="A318" s="11" t="n">
        <v>44832</v>
      </c>
      <c r="B318" s="7" t="inlineStr">
        <is>
          <t>港股通互联网</t>
        </is>
      </c>
      <c r="C318" s="9" t="n">
        <v>-1.202410324301329</v>
      </c>
      <c r="D318" s="9" t="n">
        <v>-1.490431434109097</v>
      </c>
      <c r="E318" s="9" t="n">
        <v>-1.361692071681925</v>
      </c>
      <c r="F318" s="9" t="n">
        <v>-0.7551074671129655</v>
      </c>
      <c r="G318" s="7" t="n"/>
      <c r="H318" s="7" t="inlineStr">
        <is>
          <t>否</t>
        </is>
      </c>
      <c r="I318" s="7" t="inlineStr">
        <is>
          <t>否</t>
        </is>
      </c>
      <c r="J318" s="7" t="inlineStr"/>
    </row>
    <row r="319">
      <c r="A319" s="11" t="n">
        <v>44832</v>
      </c>
      <c r="B319" s="7" t="inlineStr">
        <is>
          <t>港股通创新药</t>
        </is>
      </c>
      <c r="C319" s="9" t="n">
        <v>-1.376827511597549</v>
      </c>
      <c r="D319" s="9" t="n">
        <v>-1.257436879360822</v>
      </c>
      <c r="E319" s="9" t="n">
        <v>-1.422268708210482</v>
      </c>
      <c r="F319" s="9" t="n">
        <v>-1.450776947221344</v>
      </c>
      <c r="G319" s="7" t="n"/>
      <c r="H319" s="7" t="inlineStr">
        <is>
          <t>否</t>
        </is>
      </c>
      <c r="I319" s="7" t="inlineStr">
        <is>
          <t>否</t>
        </is>
      </c>
      <c r="J319" s="7" t="inlineStr"/>
    </row>
    <row r="321">
      <c r="A321" s="13" t="n">
        <v>44866</v>
      </c>
      <c r="B321" s="14" t="inlineStr">
        <is>
          <t>计算机</t>
        </is>
      </c>
      <c r="C321" s="15" t="n">
        <v>1.664766196019286</v>
      </c>
      <c r="D321" s="15" t="n">
        <v>2.005184685915308</v>
      </c>
      <c r="E321" s="15" t="n">
        <v>1.938816147643664</v>
      </c>
      <c r="F321" s="15" t="n">
        <v>1.050297754498886</v>
      </c>
      <c r="G321" s="14" t="n">
        <v>1</v>
      </c>
      <c r="H321" s="14" t="inlineStr">
        <is>
          <t>是</t>
        </is>
      </c>
      <c r="I321" s="14" t="inlineStr">
        <is>
          <t>否</t>
        </is>
      </c>
      <c r="J321" s="14" t="inlineStr">
        <is>
          <t>买入</t>
        </is>
      </c>
    </row>
    <row r="322">
      <c r="A322" s="11" t="n">
        <v>44866</v>
      </c>
      <c r="B322" s="7" t="inlineStr">
        <is>
          <t>卫星产业</t>
        </is>
      </c>
      <c r="C322" s="9" t="n">
        <v>0.9565740325892848</v>
      </c>
      <c r="D322" s="9" t="n">
        <v>1.140044076878801</v>
      </c>
      <c r="E322" s="9" t="n">
        <v>0.9873407608149579</v>
      </c>
      <c r="F322" s="9" t="n">
        <v>0.7423372600740953</v>
      </c>
      <c r="G322" s="7" t="n">
        <v>2</v>
      </c>
      <c r="H322" s="7" t="inlineStr">
        <is>
          <t>是</t>
        </is>
      </c>
      <c r="I322" s="7" t="inlineStr">
        <is>
          <t>否</t>
        </is>
      </c>
      <c r="J322" s="7" t="inlineStr"/>
    </row>
    <row r="323">
      <c r="A323" s="11" t="n">
        <v>44866</v>
      </c>
      <c r="B323" s="7" t="inlineStr">
        <is>
          <t>新能源电池</t>
        </is>
      </c>
      <c r="C323" s="9" t="n">
        <v>0.3377540959908909</v>
      </c>
      <c r="D323" s="9" t="n">
        <v>-0.6700296502915064</v>
      </c>
      <c r="E323" s="9" t="n">
        <v>-0.06296811505557968</v>
      </c>
      <c r="F323" s="9" t="n">
        <v>1.746260053319759</v>
      </c>
      <c r="G323" s="7" t="n"/>
      <c r="H323" s="7" t="inlineStr">
        <is>
          <t>否</t>
        </is>
      </c>
      <c r="I323" s="7" t="inlineStr">
        <is>
          <t>否</t>
        </is>
      </c>
      <c r="J323" s="7" t="inlineStr"/>
    </row>
    <row r="324">
      <c r="A324" s="11" t="n">
        <v>44866</v>
      </c>
      <c r="B324" s="7" t="inlineStr">
        <is>
          <t>科创芯片设计</t>
        </is>
      </c>
      <c r="C324" s="9" t="n">
        <v>-0.009833636692721933</v>
      </c>
      <c r="D324" s="9" t="n">
        <v>0.1413431234901404</v>
      </c>
      <c r="E324" s="9" t="n">
        <v>0.4829617569996446</v>
      </c>
      <c r="F324" s="9" t="n">
        <v>-0.6538057905679509</v>
      </c>
      <c r="G324" s="7" t="n"/>
      <c r="H324" s="7" t="inlineStr">
        <is>
          <t>否</t>
        </is>
      </c>
      <c r="I324" s="7" t="inlineStr">
        <is>
          <t>否</t>
        </is>
      </c>
      <c r="J324" s="7" t="inlineStr"/>
    </row>
    <row r="325">
      <c r="A325" s="11" t="n">
        <v>44866</v>
      </c>
      <c r="B325" s="7" t="inlineStr">
        <is>
          <t>通信设备</t>
        </is>
      </c>
      <c r="C325" s="9" t="n">
        <v>-0.1099439740622163</v>
      </c>
      <c r="D325" s="9" t="n">
        <v>-0.2291004108407904</v>
      </c>
      <c r="E325" s="9" t="n">
        <v>-0.2001832212465331</v>
      </c>
      <c r="F325" s="9" t="n">
        <v>0.09945170990067474</v>
      </c>
      <c r="G325" s="7" t="n"/>
      <c r="H325" s="7" t="inlineStr">
        <is>
          <t>否</t>
        </is>
      </c>
      <c r="I325" s="7" t="inlineStr">
        <is>
          <t>否</t>
        </is>
      </c>
      <c r="J325" s="7" t="inlineStr"/>
    </row>
    <row r="326">
      <c r="A326" s="11" t="n">
        <v>44866</v>
      </c>
      <c r="B326" s="7" t="inlineStr">
        <is>
          <t>半导体材料设备</t>
        </is>
      </c>
      <c r="C326" s="9" t="n">
        <v>-0.1270596154391121</v>
      </c>
      <c r="D326" s="9" t="n">
        <v>-0.535584780982254</v>
      </c>
      <c r="E326" s="9" t="n">
        <v>0.3816405112254217</v>
      </c>
      <c r="F326" s="9" t="n">
        <v>-0.227234576560504</v>
      </c>
      <c r="G326" s="7" t="n"/>
      <c r="H326" s="7" t="inlineStr">
        <is>
          <t>否</t>
        </is>
      </c>
      <c r="I326" s="7" t="inlineStr">
        <is>
          <t>否</t>
        </is>
      </c>
      <c r="J326" s="7" t="inlineStr"/>
    </row>
    <row r="327">
      <c r="A327" s="11" t="n">
        <v>44866</v>
      </c>
      <c r="B327" s="7" t="inlineStr">
        <is>
          <t>港股通创新药</t>
        </is>
      </c>
      <c r="C327" s="9" t="n">
        <v>-0.2167893543205837</v>
      </c>
      <c r="D327" s="9" t="n">
        <v>0.415536499312778</v>
      </c>
      <c r="E327" s="9" t="n">
        <v>-0.1546473632649616</v>
      </c>
      <c r="F327" s="9" t="n">
        <v>-0.9112571990095676</v>
      </c>
      <c r="G327" s="7" t="n"/>
      <c r="H327" s="7" t="inlineStr">
        <is>
          <t>否</t>
        </is>
      </c>
      <c r="I327" s="7" t="inlineStr">
        <is>
          <t>否</t>
        </is>
      </c>
      <c r="J327" s="7" t="inlineStr"/>
    </row>
    <row r="328">
      <c r="A328" s="11" t="n">
        <v>44866</v>
      </c>
      <c r="B328" s="7" t="inlineStr">
        <is>
          <t>机器人</t>
        </is>
      </c>
      <c r="C328" s="9" t="n">
        <v>-0.3090386950051594</v>
      </c>
      <c r="D328" s="9" t="n">
        <v>0.04896638594096783</v>
      </c>
      <c r="E328" s="9" t="n">
        <v>-1.216393723089561</v>
      </c>
      <c r="F328" s="9" t="n">
        <v>0.2403112521331153</v>
      </c>
      <c r="G328" s="7" t="n"/>
      <c r="H328" s="7" t="inlineStr">
        <is>
          <t>否</t>
        </is>
      </c>
      <c r="I328" s="7" t="inlineStr">
        <is>
          <t>否</t>
        </is>
      </c>
      <c r="J328" s="7" t="inlineStr"/>
    </row>
    <row r="329">
      <c r="A329" s="11" t="n">
        <v>44866</v>
      </c>
      <c r="B329" s="7" t="inlineStr">
        <is>
          <t>工业有色</t>
        </is>
      </c>
      <c r="C329" s="9" t="n">
        <v>-0.8345610139139481</v>
      </c>
      <c r="D329" s="9" t="n">
        <v>-1.076179169237443</v>
      </c>
      <c r="E329" s="9" t="n">
        <v>-0.9937530725932643</v>
      </c>
      <c r="F329" s="9" t="n">
        <v>-0.4337507999111376</v>
      </c>
      <c r="G329" s="7" t="n"/>
      <c r="H329" s="7" t="inlineStr">
        <is>
          <t>否</t>
        </is>
      </c>
      <c r="I329" s="7" t="inlineStr">
        <is>
          <t>否</t>
        </is>
      </c>
      <c r="J329" s="7" t="inlineStr"/>
    </row>
    <row r="330">
      <c r="A330" s="11" t="n">
        <v>44866</v>
      </c>
      <c r="B330" s="7" t="inlineStr">
        <is>
          <t>港股通互联网</t>
        </is>
      </c>
      <c r="C330" s="9" t="n">
        <v>-1.35186803516572</v>
      </c>
      <c r="D330" s="9" t="n">
        <v>-1.240180760186001</v>
      </c>
      <c r="E330" s="9" t="n">
        <v>-1.162813681433789</v>
      </c>
      <c r="F330" s="9" t="n">
        <v>-1.65260966387737</v>
      </c>
      <c r="G330" s="7" t="n"/>
      <c r="H330" s="7" t="inlineStr">
        <is>
          <t>否</t>
        </is>
      </c>
      <c r="I330" s="7" t="inlineStr">
        <is>
          <t>否</t>
        </is>
      </c>
      <c r="J330" s="7" t="inlineStr"/>
    </row>
    <row r="332">
      <c r="A332" s="11" t="n">
        <v>44887</v>
      </c>
      <c r="B332" s="7" t="inlineStr">
        <is>
          <t>计算机</t>
        </is>
      </c>
      <c r="C332" s="9" t="n">
        <v>1.568598649037153</v>
      </c>
      <c r="D332" s="9" t="n">
        <v>0.9643035288746132</v>
      </c>
      <c r="E332" s="9" t="n">
        <v>1.937887168318868</v>
      </c>
      <c r="F332" s="9" t="n">
        <v>1.803605249917978</v>
      </c>
      <c r="G332" s="7" t="n">
        <v>1</v>
      </c>
      <c r="H332" s="7" t="inlineStr">
        <is>
          <t>是</t>
        </is>
      </c>
      <c r="I332" s="7" t="inlineStr">
        <is>
          <t>是</t>
        </is>
      </c>
      <c r="J332" s="7" t="inlineStr">
        <is>
          <t>保留</t>
        </is>
      </c>
    </row>
    <row r="333">
      <c r="A333" s="13" t="n">
        <v>44887</v>
      </c>
      <c r="B333" s="14" t="inlineStr">
        <is>
          <t>卫星产业</t>
        </is>
      </c>
      <c r="C333" s="15" t="n">
        <v>0.550196634047568</v>
      </c>
      <c r="D333" s="15" t="n">
        <v>0.1112216078622266</v>
      </c>
      <c r="E333" s="15" t="n">
        <v>0.7872513248721834</v>
      </c>
      <c r="F333" s="15" t="n">
        <v>0.7521169694082941</v>
      </c>
      <c r="G333" s="14" t="n">
        <v>2</v>
      </c>
      <c r="H333" s="14" t="inlineStr">
        <is>
          <t>是</t>
        </is>
      </c>
      <c r="I333" s="14" t="inlineStr">
        <is>
          <t>否</t>
        </is>
      </c>
      <c r="J333" s="14" t="inlineStr">
        <is>
          <t>买入</t>
        </is>
      </c>
    </row>
    <row r="334">
      <c r="A334" s="11" t="n">
        <v>44887</v>
      </c>
      <c r="B334" s="7" t="inlineStr">
        <is>
          <t>港股通创新药</t>
        </is>
      </c>
      <c r="C334" s="9" t="n">
        <v>0.5099817303632569</v>
      </c>
      <c r="D334" s="9" t="n">
        <v>0.9344399065641529</v>
      </c>
      <c r="E334" s="9" t="n">
        <v>0.8231106931034602</v>
      </c>
      <c r="F334" s="9" t="n">
        <v>-0.2276054085778424</v>
      </c>
      <c r="G334" s="7" t="n">
        <v>3</v>
      </c>
      <c r="H334" s="7" t="inlineStr">
        <is>
          <t>是</t>
        </is>
      </c>
      <c r="I334" s="7" t="inlineStr">
        <is>
          <t>否</t>
        </is>
      </c>
      <c r="J334" s="7" t="inlineStr"/>
    </row>
    <row r="335">
      <c r="A335" s="11" t="n">
        <v>44887</v>
      </c>
      <c r="B335" s="7" t="inlineStr">
        <is>
          <t>科创芯片设计</t>
        </is>
      </c>
      <c r="C335" s="9" t="n">
        <v>0.4469341198773332</v>
      </c>
      <c r="D335" s="9" t="n">
        <v>1.04666812200661</v>
      </c>
      <c r="E335" s="9" t="n">
        <v>0.5438318395203752</v>
      </c>
      <c r="F335" s="9" t="n">
        <v>-0.2496976018949858</v>
      </c>
      <c r="G335" s="7" t="n">
        <v>4</v>
      </c>
      <c r="H335" s="7" t="inlineStr">
        <is>
          <t>是</t>
        </is>
      </c>
      <c r="I335" s="7" t="inlineStr">
        <is>
          <t>否</t>
        </is>
      </c>
      <c r="J335" s="7" t="inlineStr"/>
    </row>
    <row r="336">
      <c r="A336" s="11" t="n">
        <v>44887</v>
      </c>
      <c r="B336" s="7" t="inlineStr">
        <is>
          <t>港股通互联网</t>
        </is>
      </c>
      <c r="C336" s="9" t="n">
        <v>-0.1200879174311032</v>
      </c>
      <c r="D336" s="9" t="n">
        <v>1.000236777088956</v>
      </c>
      <c r="E336" s="9" t="n">
        <v>0.04371759372520349</v>
      </c>
      <c r="F336" s="9" t="n">
        <v>-1.404218123107469</v>
      </c>
      <c r="G336" s="7" t="n">
        <v>5</v>
      </c>
      <c r="H336" s="7" t="inlineStr">
        <is>
          <t>是</t>
        </is>
      </c>
      <c r="I336" s="7" t="inlineStr">
        <is>
          <t>否</t>
        </is>
      </c>
      <c r="J336" s="7" t="inlineStr"/>
    </row>
    <row r="337">
      <c r="A337" s="11" t="n">
        <v>44887</v>
      </c>
      <c r="B337" s="7" t="inlineStr">
        <is>
          <t>通信设备</t>
        </is>
      </c>
      <c r="C337" s="9" t="n">
        <v>-0.3095840774469366</v>
      </c>
      <c r="D337" s="9" t="n">
        <v>-0.3948297987758957</v>
      </c>
      <c r="E337" s="9" t="n">
        <v>-0.6338567756339367</v>
      </c>
      <c r="F337" s="9" t="n">
        <v>0.09993434206902273</v>
      </c>
      <c r="G337" s="7" t="n"/>
      <c r="H337" s="7" t="inlineStr">
        <is>
          <t>否</t>
        </is>
      </c>
      <c r="I337" s="7" t="inlineStr">
        <is>
          <t>否</t>
        </is>
      </c>
      <c r="J337" s="7" t="inlineStr"/>
    </row>
    <row r="338">
      <c r="A338" s="11" t="n">
        <v>44887</v>
      </c>
      <c r="B338" s="7" t="inlineStr">
        <is>
          <t>半导体材料设备</t>
        </is>
      </c>
      <c r="C338" s="9" t="n">
        <v>-0.4724214964583289</v>
      </c>
      <c r="D338" s="9" t="n">
        <v>-0.2644420502002712</v>
      </c>
      <c r="E338" s="9" t="n">
        <v>-0.5218246023360946</v>
      </c>
      <c r="F338" s="9" t="n">
        <v>-0.630997836838621</v>
      </c>
      <c r="G338" s="7" t="n"/>
      <c r="H338" s="7" t="inlineStr">
        <is>
          <t>否</t>
        </is>
      </c>
      <c r="I338" s="7" t="inlineStr">
        <is>
          <t>否</t>
        </is>
      </c>
      <c r="J338" s="7" t="inlineStr"/>
    </row>
    <row r="339">
      <c r="A339" s="11" t="n">
        <v>44887</v>
      </c>
      <c r="B339" s="7" t="inlineStr">
        <is>
          <t>机器人</t>
        </is>
      </c>
      <c r="C339" s="9" t="n">
        <v>-0.5976111514815891</v>
      </c>
      <c r="D339" s="9" t="n">
        <v>-0.8757035578817379</v>
      </c>
      <c r="E339" s="9" t="n">
        <v>-0.8956468159099124</v>
      </c>
      <c r="F339" s="9" t="n">
        <v>-0.02148308065311673</v>
      </c>
      <c r="G339" s="7" t="n"/>
      <c r="H339" s="7" t="inlineStr">
        <is>
          <t>否</t>
        </is>
      </c>
      <c r="I339" s="7" t="inlineStr">
        <is>
          <t>否</t>
        </is>
      </c>
      <c r="J339" s="7" t="inlineStr"/>
    </row>
    <row r="340">
      <c r="A340" s="11" t="n">
        <v>44887</v>
      </c>
      <c r="B340" s="7" t="inlineStr">
        <is>
          <t>新能源电池</t>
        </is>
      </c>
      <c r="C340" s="9" t="n">
        <v>-0.6207501462006674</v>
      </c>
      <c r="D340" s="9" t="n">
        <v>-1.937678321403859</v>
      </c>
      <c r="E340" s="9" t="n">
        <v>-1.021185992205085</v>
      </c>
      <c r="F340" s="9" t="n">
        <v>1.096613875006942</v>
      </c>
      <c r="G340" s="7" t="n"/>
      <c r="H340" s="7" t="inlineStr">
        <is>
          <t>否</t>
        </is>
      </c>
      <c r="I340" s="7" t="inlineStr">
        <is>
          <t>否</t>
        </is>
      </c>
      <c r="J340" s="7" t="inlineStr"/>
    </row>
    <row r="341">
      <c r="A341" s="11" t="n">
        <v>44887</v>
      </c>
      <c r="B341" s="7" t="inlineStr">
        <is>
          <t>工业有色</t>
        </is>
      </c>
      <c r="C341" s="9" t="n">
        <v>-0.9552563443066863</v>
      </c>
      <c r="D341" s="9" t="n">
        <v>-0.5842162141347949</v>
      </c>
      <c r="E341" s="9" t="n">
        <v>-1.063284433455062</v>
      </c>
      <c r="F341" s="9" t="n">
        <v>-1.218268385330202</v>
      </c>
      <c r="G341" s="7" t="n"/>
      <c r="H341" s="7" t="inlineStr">
        <is>
          <t>否</t>
        </is>
      </c>
      <c r="I341" s="7" t="inlineStr">
        <is>
          <t>否</t>
        </is>
      </c>
      <c r="J341" s="7" t="inlineStr"/>
    </row>
    <row r="343">
      <c r="A343" s="13" t="n">
        <v>44915</v>
      </c>
      <c r="B343" s="14" t="inlineStr">
        <is>
          <t>港股通互联网</t>
        </is>
      </c>
      <c r="C343" s="15" t="n">
        <v>1.041196301176191</v>
      </c>
      <c r="D343" s="15" t="n">
        <v>2.156457204823289</v>
      </c>
      <c r="E343" s="15" t="n">
        <v>1.006391505333111</v>
      </c>
      <c r="F343" s="15" t="n">
        <v>-0.03925980662782728</v>
      </c>
      <c r="G343" s="14" t="n">
        <v>1</v>
      </c>
      <c r="H343" s="14" t="inlineStr">
        <is>
          <t>是</t>
        </is>
      </c>
      <c r="I343" s="14" t="inlineStr">
        <is>
          <t>否</t>
        </is>
      </c>
      <c r="J343" s="14" t="inlineStr">
        <is>
          <t>买入</t>
        </is>
      </c>
    </row>
    <row r="344">
      <c r="A344" s="11" t="n">
        <v>44915</v>
      </c>
      <c r="B344" s="7" t="inlineStr">
        <is>
          <t>港股通创新药</t>
        </is>
      </c>
      <c r="C344" s="9" t="n">
        <v>0.9679450081895563</v>
      </c>
      <c r="D344" s="9" t="n">
        <v>0.9035407548699402</v>
      </c>
      <c r="E344" s="9" t="n">
        <v>1.629117014074002</v>
      </c>
      <c r="F344" s="9" t="n">
        <v>0.3711772556247268</v>
      </c>
      <c r="G344" s="7" t="n">
        <v>2</v>
      </c>
      <c r="H344" s="7" t="inlineStr">
        <is>
          <t>是</t>
        </is>
      </c>
      <c r="I344" s="7" t="inlineStr">
        <is>
          <t>否</t>
        </is>
      </c>
      <c r="J344" s="7" t="inlineStr"/>
    </row>
    <row r="345">
      <c r="A345" s="11" t="n">
        <v>44915</v>
      </c>
      <c r="B345" s="7" t="inlineStr">
        <is>
          <t>新能源电池</t>
        </is>
      </c>
      <c r="C345" s="9" t="n">
        <v>0.3479901028876185</v>
      </c>
      <c r="D345" s="9" t="n">
        <v>0.641770047715513</v>
      </c>
      <c r="E345" s="9" t="n">
        <v>-0.5335639582409725</v>
      </c>
      <c r="F345" s="9" t="n">
        <v>0.9357642191883151</v>
      </c>
      <c r="G345" s="7" t="n"/>
      <c r="H345" s="7" t="inlineStr">
        <is>
          <t>否</t>
        </is>
      </c>
      <c r="I345" s="7" t="inlineStr">
        <is>
          <t>否</t>
        </is>
      </c>
      <c r="J345" s="7" t="inlineStr"/>
    </row>
    <row r="346">
      <c r="A346" s="11" t="n">
        <v>44915</v>
      </c>
      <c r="B346" s="7" t="inlineStr">
        <is>
          <t>计算机</t>
        </is>
      </c>
      <c r="C346" s="9" t="n">
        <v>0.3355780633488437</v>
      </c>
      <c r="D346" s="9" t="n">
        <v>-1.006233570977102</v>
      </c>
      <c r="E346" s="9" t="n">
        <v>0.9330502960590649</v>
      </c>
      <c r="F346" s="9" t="n">
        <v>1.079917464964568</v>
      </c>
      <c r="G346" s="7" t="n"/>
      <c r="H346" s="7" t="inlineStr">
        <is>
          <t>否</t>
        </is>
      </c>
      <c r="I346" s="7" t="inlineStr">
        <is>
          <t>是</t>
        </is>
      </c>
      <c r="J346" s="7" t="inlineStr">
        <is>
          <t>保留</t>
        </is>
      </c>
    </row>
    <row r="347">
      <c r="A347" s="11" t="n">
        <v>44915</v>
      </c>
      <c r="B347" s="7" t="inlineStr">
        <is>
          <t>科创芯片设计</t>
        </is>
      </c>
      <c r="C347" s="9" t="n">
        <v>0.1910652258570742</v>
      </c>
      <c r="D347" s="9" t="n">
        <v>-0.4823481048404292</v>
      </c>
      <c r="E347" s="9" t="n">
        <v>0.5023781868829484</v>
      </c>
      <c r="F347" s="9" t="n">
        <v>0.5531655955287033</v>
      </c>
      <c r="G347" s="7" t="n">
        <v>3</v>
      </c>
      <c r="H347" s="7" t="inlineStr">
        <is>
          <t>是</t>
        </is>
      </c>
      <c r="I347" s="7" t="inlineStr">
        <is>
          <t>否</t>
        </is>
      </c>
      <c r="J347" s="7" t="inlineStr"/>
    </row>
    <row r="348">
      <c r="A348" s="11" t="n">
        <v>44915</v>
      </c>
      <c r="B348" s="7" t="inlineStr">
        <is>
          <t>卫星产业</t>
        </is>
      </c>
      <c r="C348" s="9" t="n">
        <v>0.06442827101013411</v>
      </c>
      <c r="D348" s="9" t="n">
        <v>-0.8796047481673355</v>
      </c>
      <c r="E348" s="9" t="n">
        <v>0.1684232019138397</v>
      </c>
      <c r="F348" s="9" t="n">
        <v>0.9044663592838981</v>
      </c>
      <c r="G348" s="7" t="n"/>
      <c r="H348" s="7" t="inlineStr">
        <is>
          <t>否</t>
        </is>
      </c>
      <c r="I348" s="7" t="inlineStr">
        <is>
          <t>是</t>
        </is>
      </c>
      <c r="J348" s="7" t="inlineStr">
        <is>
          <t>保留</t>
        </is>
      </c>
    </row>
    <row r="349">
      <c r="A349" s="11" t="n">
        <v>44915</v>
      </c>
      <c r="B349" s="7" t="inlineStr">
        <is>
          <t>半导体材料设备</t>
        </is>
      </c>
      <c r="C349" s="9" t="n">
        <v>-0.3295758668502785</v>
      </c>
      <c r="D349" s="9" t="n">
        <v>-0.1037967966720472</v>
      </c>
      <c r="E349" s="9" t="n">
        <v>-0.8798071953539421</v>
      </c>
      <c r="F349" s="9" t="n">
        <v>-0.005123608524845915</v>
      </c>
      <c r="G349" s="7" t="n"/>
      <c r="H349" s="7" t="inlineStr">
        <is>
          <t>否</t>
        </is>
      </c>
      <c r="I349" s="7" t="inlineStr">
        <is>
          <t>否</t>
        </is>
      </c>
      <c r="J349" s="7" t="inlineStr"/>
    </row>
    <row r="350">
      <c r="A350" s="11" t="n">
        <v>44915</v>
      </c>
      <c r="B350" s="7" t="inlineStr">
        <is>
          <t>通信设备</t>
        </is>
      </c>
      <c r="C350" s="9" t="n">
        <v>-0.7182263179519265</v>
      </c>
      <c r="D350" s="9" t="n">
        <v>-0.7998551297955556</v>
      </c>
      <c r="E350" s="9" t="n">
        <v>-0.8216335660754378</v>
      </c>
      <c r="F350" s="9" t="n">
        <v>-0.5331902579847859</v>
      </c>
      <c r="G350" s="7" t="n"/>
      <c r="H350" s="7" t="inlineStr">
        <is>
          <t>否</t>
        </is>
      </c>
      <c r="I350" s="7" t="inlineStr">
        <is>
          <t>否</t>
        </is>
      </c>
      <c r="J350" s="7" t="inlineStr"/>
    </row>
    <row r="351">
      <c r="A351" s="11" t="n">
        <v>44915</v>
      </c>
      <c r="B351" s="7" t="inlineStr">
        <is>
          <t>机器人</t>
        </is>
      </c>
      <c r="C351" s="9" t="n">
        <v>-0.8711807675207158</v>
      </c>
      <c r="D351" s="9" t="n">
        <v>-0.6389964715674791</v>
      </c>
      <c r="E351" s="9" t="n">
        <v>-0.5335267793543119</v>
      </c>
      <c r="F351" s="9" t="n">
        <v>-1.441019051640357</v>
      </c>
      <c r="G351" s="7" t="n"/>
      <c r="H351" s="7" t="inlineStr">
        <is>
          <t>否</t>
        </is>
      </c>
      <c r="I351" s="7" t="inlineStr">
        <is>
          <t>否</t>
        </is>
      </c>
      <c r="J351" s="7" t="inlineStr"/>
    </row>
    <row r="352">
      <c r="A352" s="11" t="n">
        <v>44915</v>
      </c>
      <c r="B352" s="7" t="inlineStr">
        <is>
          <t>工业有色</t>
        </is>
      </c>
      <c r="C352" s="9" t="n">
        <v>-1.029220020146497</v>
      </c>
      <c r="D352" s="9" t="n">
        <v>0.2090668146112064</v>
      </c>
      <c r="E352" s="9" t="n">
        <v>-1.470828705238301</v>
      </c>
      <c r="F352" s="9" t="n">
        <v>-1.825898169812397</v>
      </c>
      <c r="G352" s="7" t="n"/>
      <c r="H352" s="7" t="inlineStr">
        <is>
          <t>否</t>
        </is>
      </c>
      <c r="I352" s="7" t="inlineStr">
        <is>
          <t>否</t>
        </is>
      </c>
      <c r="J352" s="7" t="inlineStr"/>
    </row>
    <row r="354">
      <c r="A354" s="11" t="n">
        <v>44985</v>
      </c>
      <c r="B354" s="7" t="inlineStr">
        <is>
          <t>卫星产业</t>
        </is>
      </c>
      <c r="C354" s="9" t="n">
        <v>1.236540563364328</v>
      </c>
      <c r="D354" s="9" t="n">
        <v>1.232289474458579</v>
      </c>
      <c r="E354" s="9" t="n">
        <v>1.166449815868078</v>
      </c>
      <c r="F354" s="9" t="n">
        <v>1.310882399766327</v>
      </c>
      <c r="G354" s="7" t="n">
        <v>1</v>
      </c>
      <c r="H354" s="7" t="inlineStr">
        <is>
          <t>是</t>
        </is>
      </c>
      <c r="I354" s="7" t="inlineStr">
        <is>
          <t>是</t>
        </is>
      </c>
      <c r="J354" s="7" t="inlineStr">
        <is>
          <t>保留</t>
        </is>
      </c>
    </row>
    <row r="355">
      <c r="A355" s="11" t="n">
        <v>44985</v>
      </c>
      <c r="B355" s="7" t="inlineStr">
        <is>
          <t>计算机</t>
        </is>
      </c>
      <c r="C355" s="9" t="n">
        <v>1.111438029938677</v>
      </c>
      <c r="D355" s="9" t="n">
        <v>0.5693437351033889</v>
      </c>
      <c r="E355" s="9" t="n">
        <v>0.8067833045457699</v>
      </c>
      <c r="F355" s="9" t="n">
        <v>1.958187050166873</v>
      </c>
      <c r="G355" s="7" t="n">
        <v>2</v>
      </c>
      <c r="H355" s="7" t="inlineStr">
        <is>
          <t>是</t>
        </is>
      </c>
      <c r="I355" s="7" t="inlineStr">
        <is>
          <t>是</t>
        </is>
      </c>
      <c r="J355" s="7" t="inlineStr">
        <is>
          <t>保留</t>
        </is>
      </c>
    </row>
    <row r="356">
      <c r="A356" s="11" t="n">
        <v>44985</v>
      </c>
      <c r="B356" s="7" t="inlineStr">
        <is>
          <t>通信设备</t>
        </is>
      </c>
      <c r="C356" s="9" t="n">
        <v>0.7366599271832405</v>
      </c>
      <c r="D356" s="9" t="n">
        <v>1.172598425903384</v>
      </c>
      <c r="E356" s="9" t="n">
        <v>0.9857137377920804</v>
      </c>
      <c r="F356" s="9" t="n">
        <v>0.05166761785425699</v>
      </c>
      <c r="G356" s="7" t="n">
        <v>3</v>
      </c>
      <c r="H356" s="7" t="inlineStr">
        <is>
          <t>是</t>
        </is>
      </c>
      <c r="I356" s="7" t="inlineStr">
        <is>
          <t>否</t>
        </is>
      </c>
      <c r="J356" s="7" t="inlineStr"/>
    </row>
    <row r="357">
      <c r="A357" s="11" t="n">
        <v>44985</v>
      </c>
      <c r="B357" s="7" t="inlineStr">
        <is>
          <t>机器人</t>
        </is>
      </c>
      <c r="C357" s="9" t="n">
        <v>0.7237051040196283</v>
      </c>
      <c r="D357" s="9" t="n">
        <v>0.8606434796819594</v>
      </c>
      <c r="E357" s="9" t="n">
        <v>1.246034461781887</v>
      </c>
      <c r="F357" s="9" t="n">
        <v>0.0644373705950379</v>
      </c>
      <c r="G357" s="7" t="n">
        <v>4</v>
      </c>
      <c r="H357" s="7" t="inlineStr">
        <is>
          <t>是</t>
        </is>
      </c>
      <c r="I357" s="7" t="inlineStr">
        <is>
          <t>否</t>
        </is>
      </c>
      <c r="J357" s="7" t="inlineStr"/>
    </row>
    <row r="358">
      <c r="A358" s="11" t="n">
        <v>44985</v>
      </c>
      <c r="B358" s="7" t="inlineStr">
        <is>
          <t>科创芯片设计</t>
        </is>
      </c>
      <c r="C358" s="9" t="n">
        <v>-0.2151355046998813</v>
      </c>
      <c r="D358" s="9" t="n">
        <v>0.3933302805909341</v>
      </c>
      <c r="E358" s="9" t="n">
        <v>-0.9959060953598499</v>
      </c>
      <c r="F358" s="9" t="n">
        <v>-0.04283069933072798</v>
      </c>
      <c r="G358" s="7" t="n">
        <v>5</v>
      </c>
      <c r="H358" s="7" t="inlineStr">
        <is>
          <t>是</t>
        </is>
      </c>
      <c r="I358" s="7" t="inlineStr">
        <is>
          <t>否</t>
        </is>
      </c>
      <c r="J358" s="7" t="inlineStr"/>
    </row>
    <row r="359">
      <c r="A359" s="11" t="n">
        <v>44985</v>
      </c>
      <c r="B359" s="7" t="inlineStr">
        <is>
          <t>港股通创新药</t>
        </is>
      </c>
      <c r="C359" s="9" t="n">
        <v>-0.4778217819635338</v>
      </c>
      <c r="D359" s="9" t="n">
        <v>-1.19290164663338</v>
      </c>
      <c r="E359" s="9" t="n">
        <v>-0.3343898602828</v>
      </c>
      <c r="F359" s="9" t="n">
        <v>0.09382616102557871</v>
      </c>
      <c r="G359" s="7" t="n"/>
      <c r="H359" s="7" t="inlineStr">
        <is>
          <t>否</t>
        </is>
      </c>
      <c r="I359" s="7" t="inlineStr">
        <is>
          <t>否</t>
        </is>
      </c>
      <c r="J359" s="7" t="inlineStr"/>
    </row>
    <row r="360">
      <c r="A360" s="16" t="n">
        <v>44985</v>
      </c>
      <c r="B360" s="17" t="inlineStr">
        <is>
          <t>港股通互联网</t>
        </is>
      </c>
      <c r="C360" s="18" t="n">
        <v>-0.5633506011264285</v>
      </c>
      <c r="D360" s="18" t="n">
        <v>-1.340359743713945</v>
      </c>
      <c r="E360" s="18" t="n">
        <v>-0.04610618620760235</v>
      </c>
      <c r="F360" s="18" t="n">
        <v>-0.3035858734577387</v>
      </c>
      <c r="G360" s="17" t="n"/>
      <c r="H360" s="17" t="inlineStr">
        <is>
          <t>否</t>
        </is>
      </c>
      <c r="I360" s="17" t="inlineStr">
        <is>
          <t>是</t>
        </is>
      </c>
      <c r="J360" s="17" t="inlineStr">
        <is>
          <t>卖出</t>
        </is>
      </c>
    </row>
    <row r="361">
      <c r="A361" s="11" t="n">
        <v>44985</v>
      </c>
      <c r="B361" s="7" t="inlineStr">
        <is>
          <t>半导体材料设备</t>
        </is>
      </c>
      <c r="C361" s="9" t="n">
        <v>-0.6213851492225125</v>
      </c>
      <c r="D361" s="9" t="n">
        <v>0.04774332401492362</v>
      </c>
      <c r="E361" s="9" t="n">
        <v>-1.064685428287426</v>
      </c>
      <c r="F361" s="9" t="n">
        <v>-0.8472133433950355</v>
      </c>
      <c r="G361" s="7" t="n"/>
      <c r="H361" s="7" t="inlineStr">
        <is>
          <t>否</t>
        </is>
      </c>
      <c r="I361" s="7" t="inlineStr">
        <is>
          <t>否</t>
        </is>
      </c>
      <c r="J361" s="7" t="inlineStr"/>
    </row>
    <row r="362">
      <c r="A362" s="11" t="n">
        <v>44985</v>
      </c>
      <c r="B362" s="7" t="inlineStr">
        <is>
          <t>工业有色</t>
        </is>
      </c>
      <c r="C362" s="9" t="n">
        <v>-0.6608701185816134</v>
      </c>
      <c r="D362" s="9" t="n">
        <v>-0.6006318113201793</v>
      </c>
      <c r="E362" s="9" t="n">
        <v>-0.3034682139883858</v>
      </c>
      <c r="F362" s="9" t="n">
        <v>-1.078510330436275</v>
      </c>
      <c r="G362" s="7" t="n">
        <v>6</v>
      </c>
      <c r="H362" s="7" t="inlineStr">
        <is>
          <t>是</t>
        </is>
      </c>
      <c r="I362" s="7" t="inlineStr">
        <is>
          <t>否</t>
        </is>
      </c>
      <c r="J362" s="7" t="inlineStr"/>
    </row>
    <row r="363">
      <c r="A363" s="11" t="n">
        <v>44985</v>
      </c>
      <c r="B363" s="7" t="inlineStr">
        <is>
          <t>新能源电池</t>
        </is>
      </c>
      <c r="C363" s="9" t="n">
        <v>-1.269780468911904</v>
      </c>
      <c r="D363" s="9" t="n">
        <v>-1.142055518085666</v>
      </c>
      <c r="E363" s="9" t="n">
        <v>-1.460425535861751</v>
      </c>
      <c r="F363" s="9" t="n">
        <v>-1.206860352788296</v>
      </c>
      <c r="G363" s="7" t="n"/>
      <c r="H363" s="7" t="inlineStr">
        <is>
          <t>否</t>
        </is>
      </c>
      <c r="I363" s="7" t="inlineStr">
        <is>
          <t>否</t>
        </is>
      </c>
      <c r="J363" s="7" t="inlineStr"/>
    </row>
    <row r="365">
      <c r="A365" s="11" t="n">
        <v>45006</v>
      </c>
      <c r="B365" s="7" t="inlineStr">
        <is>
          <t>计算机</t>
        </is>
      </c>
      <c r="C365" s="9" t="n">
        <v>1.066112400453831</v>
      </c>
      <c r="D365" s="9" t="n">
        <v>0.5329605159232195</v>
      </c>
      <c r="E365" s="9" t="n">
        <v>1.042275852776127</v>
      </c>
      <c r="F365" s="9" t="n">
        <v>1.623100832662147</v>
      </c>
      <c r="G365" s="7" t="n">
        <v>1</v>
      </c>
      <c r="H365" s="7" t="inlineStr">
        <is>
          <t>是</t>
        </is>
      </c>
      <c r="I365" s="7" t="inlineStr">
        <is>
          <t>是</t>
        </is>
      </c>
      <c r="J365" s="7" t="inlineStr">
        <is>
          <t>保留</t>
        </is>
      </c>
    </row>
    <row r="366">
      <c r="A366" s="11" t="n">
        <v>45006</v>
      </c>
      <c r="B366" s="7" t="inlineStr">
        <is>
          <t>卫星产业</t>
        </is>
      </c>
      <c r="C366" s="9" t="n">
        <v>0.9679273537142246</v>
      </c>
      <c r="D366" s="9" t="n">
        <v>0.8261502195447505</v>
      </c>
      <c r="E366" s="9" t="n">
        <v>1.04662917593208</v>
      </c>
      <c r="F366" s="9" t="n">
        <v>1.031002665665843</v>
      </c>
      <c r="G366" s="7" t="n">
        <v>2</v>
      </c>
      <c r="H366" s="7" t="inlineStr">
        <is>
          <t>是</t>
        </is>
      </c>
      <c r="I366" s="7" t="inlineStr">
        <is>
          <t>是</t>
        </is>
      </c>
      <c r="J366" s="7" t="inlineStr">
        <is>
          <t>保留</t>
        </is>
      </c>
    </row>
    <row r="367">
      <c r="A367" s="13" t="n">
        <v>45006</v>
      </c>
      <c r="B367" s="14" t="inlineStr">
        <is>
          <t>通信设备</t>
        </is>
      </c>
      <c r="C367" s="15" t="n">
        <v>0.9085276962389043</v>
      </c>
      <c r="D367" s="15" t="n">
        <v>0.9168162772396413</v>
      </c>
      <c r="E367" s="15" t="n">
        <v>1.23516792107347</v>
      </c>
      <c r="F367" s="15" t="n">
        <v>0.5735988904036015</v>
      </c>
      <c r="G367" s="14" t="n">
        <v>3</v>
      </c>
      <c r="H367" s="14" t="inlineStr">
        <is>
          <t>是</t>
        </is>
      </c>
      <c r="I367" s="14" t="inlineStr">
        <is>
          <t>否</t>
        </is>
      </c>
      <c r="J367" s="14" t="inlineStr">
        <is>
          <t>买入</t>
        </is>
      </c>
    </row>
    <row r="368">
      <c r="A368" s="11" t="n">
        <v>45006</v>
      </c>
      <c r="B368" s="7" t="inlineStr">
        <is>
          <t>科创芯片设计</t>
        </is>
      </c>
      <c r="C368" s="9" t="n">
        <v>0.6383805309174736</v>
      </c>
      <c r="D368" s="9" t="n">
        <v>1.259664423255932</v>
      </c>
      <c r="E368" s="9" t="n">
        <v>0.3356122181530962</v>
      </c>
      <c r="F368" s="9" t="n">
        <v>0.3198649513433923</v>
      </c>
      <c r="G368" s="7" t="n">
        <v>4</v>
      </c>
      <c r="H368" s="7" t="inlineStr">
        <is>
          <t>是</t>
        </is>
      </c>
      <c r="I368" s="7" t="inlineStr">
        <is>
          <t>否</t>
        </is>
      </c>
      <c r="J368" s="7" t="inlineStr"/>
    </row>
    <row r="369">
      <c r="A369" s="11" t="n">
        <v>45006</v>
      </c>
      <c r="B369" s="7" t="inlineStr">
        <is>
          <t>机器人</t>
        </is>
      </c>
      <c r="C369" s="9" t="n">
        <v>0.07982496400532309</v>
      </c>
      <c r="D369" s="9" t="n">
        <v>-0.4539045007048959</v>
      </c>
      <c r="E369" s="9" t="n">
        <v>0.5398749675093415</v>
      </c>
      <c r="F369" s="9" t="n">
        <v>0.1535044252115237</v>
      </c>
      <c r="G369" s="7" t="n">
        <v>5</v>
      </c>
      <c r="H369" s="7" t="inlineStr">
        <is>
          <t>是</t>
        </is>
      </c>
      <c r="I369" s="7" t="inlineStr">
        <is>
          <t>否</t>
        </is>
      </c>
      <c r="J369" s="7" t="inlineStr"/>
    </row>
    <row r="370">
      <c r="A370" s="11" t="n">
        <v>45006</v>
      </c>
      <c r="B370" s="7" t="inlineStr">
        <is>
          <t>半导体材料设备</t>
        </is>
      </c>
      <c r="C370" s="9" t="n">
        <v>0.03437380969543687</v>
      </c>
      <c r="D370" s="9" t="n">
        <v>0.7921825155612096</v>
      </c>
      <c r="E370" s="9" t="n">
        <v>0.05560153592851757</v>
      </c>
      <c r="F370" s="9" t="n">
        <v>-0.7446626224034165</v>
      </c>
      <c r="G370" s="7" t="n">
        <v>6</v>
      </c>
      <c r="H370" s="7" t="inlineStr">
        <is>
          <t>是</t>
        </is>
      </c>
      <c r="I370" s="7" t="inlineStr">
        <is>
          <t>否</t>
        </is>
      </c>
      <c r="J370" s="7" t="inlineStr"/>
    </row>
    <row r="371">
      <c r="A371" s="11" t="n">
        <v>45006</v>
      </c>
      <c r="B371" s="7" t="inlineStr">
        <is>
          <t>港股通创新药</t>
        </is>
      </c>
      <c r="C371" s="9" t="n">
        <v>-0.2766845781318432</v>
      </c>
      <c r="D371" s="9" t="n">
        <v>-0.5423442947627749</v>
      </c>
      <c r="E371" s="9" t="n">
        <v>-0.5980799978638278</v>
      </c>
      <c r="F371" s="9" t="n">
        <v>0.3103705582310734</v>
      </c>
      <c r="G371" s="7" t="n"/>
      <c r="H371" s="7" t="inlineStr">
        <is>
          <t>否</t>
        </is>
      </c>
      <c r="I371" s="7" t="inlineStr">
        <is>
          <t>否</t>
        </is>
      </c>
      <c r="J371" s="7" t="inlineStr"/>
    </row>
    <row r="372">
      <c r="A372" s="11" t="n">
        <v>45006</v>
      </c>
      <c r="B372" s="7" t="inlineStr">
        <is>
          <t>港股通互联网</t>
        </is>
      </c>
      <c r="C372" s="9" t="n">
        <v>-0.6889569807333671</v>
      </c>
      <c r="D372" s="9" t="n">
        <v>-0.3964383500935008</v>
      </c>
      <c r="E372" s="9" t="n">
        <v>-1.230420433761144</v>
      </c>
      <c r="F372" s="9" t="n">
        <v>-0.4400121583454564</v>
      </c>
      <c r="G372" s="7" t="n"/>
      <c r="H372" s="7" t="inlineStr">
        <is>
          <t>否</t>
        </is>
      </c>
      <c r="I372" s="7" t="inlineStr">
        <is>
          <t>否</t>
        </is>
      </c>
      <c r="J372" s="7" t="inlineStr"/>
    </row>
    <row r="373">
      <c r="A373" s="11" t="n">
        <v>45006</v>
      </c>
      <c r="B373" s="7" t="inlineStr">
        <is>
          <t>工业有色</t>
        </is>
      </c>
      <c r="C373" s="9" t="n">
        <v>-1.351379486128346</v>
      </c>
      <c r="D373" s="9" t="n">
        <v>-1.550825890055532</v>
      </c>
      <c r="E373" s="9" t="n">
        <v>-1.027024372883119</v>
      </c>
      <c r="F373" s="9" t="n">
        <v>-1.476288195446388</v>
      </c>
      <c r="G373" s="7" t="n"/>
      <c r="H373" s="7" t="inlineStr">
        <is>
          <t>否</t>
        </is>
      </c>
      <c r="I373" s="7" t="inlineStr">
        <is>
          <t>否</t>
        </is>
      </c>
      <c r="J373" s="7" t="inlineStr"/>
    </row>
    <row r="374">
      <c r="A374" s="11" t="n">
        <v>45006</v>
      </c>
      <c r="B374" s="7" t="inlineStr">
        <is>
          <t>新能源电池</t>
        </is>
      </c>
      <c r="C374" s="9" t="n">
        <v>-1.378125710031637</v>
      </c>
      <c r="D374" s="9" t="n">
        <v>-1.384260915908049</v>
      </c>
      <c r="E374" s="9" t="n">
        <v>-1.399636866864541</v>
      </c>
      <c r="F374" s="9" t="n">
        <v>-1.350479347322319</v>
      </c>
      <c r="G374" s="7" t="n"/>
      <c r="H374" s="7" t="inlineStr">
        <is>
          <t>否</t>
        </is>
      </c>
      <c r="I374" s="7" t="inlineStr">
        <is>
          <t>否</t>
        </is>
      </c>
      <c r="J374" s="7" t="inlineStr"/>
    </row>
    <row r="376">
      <c r="A376" s="11" t="n">
        <v>45037</v>
      </c>
      <c r="B376" s="7" t="inlineStr">
        <is>
          <t>通信设备</t>
        </is>
      </c>
      <c r="C376" s="9" t="n">
        <v>1.079624979578365</v>
      </c>
      <c r="D376" s="9" t="n">
        <v>0.6873459156552219</v>
      </c>
      <c r="E376" s="9" t="n">
        <v>1.482521949678193</v>
      </c>
      <c r="F376" s="9" t="n">
        <v>1.069007073401679</v>
      </c>
      <c r="G376" s="7" t="n">
        <v>1</v>
      </c>
      <c r="H376" s="7" t="inlineStr">
        <is>
          <t>是</t>
        </is>
      </c>
      <c r="I376" s="7" t="inlineStr">
        <is>
          <t>是</t>
        </is>
      </c>
      <c r="J376" s="7" t="inlineStr">
        <is>
          <t>保留</t>
        </is>
      </c>
    </row>
    <row r="377">
      <c r="A377" s="11" t="n">
        <v>45037</v>
      </c>
      <c r="B377" s="7" t="inlineStr">
        <is>
          <t>半导体材料设备</t>
        </is>
      </c>
      <c r="C377" s="9" t="n">
        <v>0.7521553162859328</v>
      </c>
      <c r="D377" s="9" t="n">
        <v>1.314123251260443</v>
      </c>
      <c r="E377" s="9" t="n">
        <v>0.6924803313834739</v>
      </c>
      <c r="F377" s="9" t="n">
        <v>0.2498623662138814</v>
      </c>
      <c r="G377" s="7" t="n">
        <v>2</v>
      </c>
      <c r="H377" s="7" t="inlineStr">
        <is>
          <t>是</t>
        </is>
      </c>
      <c r="I377" s="7" t="inlineStr">
        <is>
          <t>否</t>
        </is>
      </c>
      <c r="J377" s="7" t="inlineStr"/>
    </row>
    <row r="378">
      <c r="A378" s="13" t="n">
        <v>45037</v>
      </c>
      <c r="B378" s="14" t="inlineStr">
        <is>
          <t>科创芯片设计</t>
        </is>
      </c>
      <c r="C378" s="15" t="n">
        <v>0.6911279426777853</v>
      </c>
      <c r="D378" s="15" t="n">
        <v>0.4771500245834163</v>
      </c>
      <c r="E378" s="15" t="n">
        <v>0.7571253392942071</v>
      </c>
      <c r="F378" s="15" t="n">
        <v>0.8391084641557325</v>
      </c>
      <c r="G378" s="14" t="n">
        <v>3</v>
      </c>
      <c r="H378" s="14" t="inlineStr">
        <is>
          <t>是</t>
        </is>
      </c>
      <c r="I378" s="14" t="inlineStr">
        <is>
          <t>否</t>
        </is>
      </c>
      <c r="J378" s="14" t="inlineStr">
        <is>
          <t>买入</t>
        </is>
      </c>
    </row>
    <row r="379">
      <c r="A379" s="11" t="n">
        <v>45037</v>
      </c>
      <c r="B379" s="7" t="inlineStr">
        <is>
          <t>计算机</t>
        </is>
      </c>
      <c r="C379" s="9" t="n">
        <v>0.58592582346482</v>
      </c>
      <c r="D379" s="9" t="n">
        <v>0.2764910933761089</v>
      </c>
      <c r="E379" s="9" t="n">
        <v>0.6411562447676382</v>
      </c>
      <c r="F379" s="9" t="n">
        <v>0.840130132250713</v>
      </c>
      <c r="G379" s="7" t="n">
        <v>4</v>
      </c>
      <c r="H379" s="7" t="inlineStr">
        <is>
          <t>是</t>
        </is>
      </c>
      <c r="I379" s="7" t="inlineStr">
        <is>
          <t>是</t>
        </is>
      </c>
      <c r="J379" s="7" t="inlineStr">
        <is>
          <t>保留</t>
        </is>
      </c>
    </row>
    <row r="380">
      <c r="A380" s="11" t="n">
        <v>45037</v>
      </c>
      <c r="B380" s="7" t="inlineStr">
        <is>
          <t>港股通创新药</t>
        </is>
      </c>
      <c r="C380" s="9" t="n">
        <v>-0.01028556065051185</v>
      </c>
      <c r="D380" s="9" t="n">
        <v>0.9738398455423932</v>
      </c>
      <c r="E380" s="9" t="n">
        <v>-1.169590037688975</v>
      </c>
      <c r="F380" s="9" t="n">
        <v>0.1648935101950462</v>
      </c>
      <c r="G380" s="7" t="n"/>
      <c r="H380" s="7" t="inlineStr">
        <is>
          <t>否</t>
        </is>
      </c>
      <c r="I380" s="7" t="inlineStr">
        <is>
          <t>否</t>
        </is>
      </c>
      <c r="J380" s="7" t="inlineStr"/>
    </row>
    <row r="381">
      <c r="A381" s="16" t="n">
        <v>45037</v>
      </c>
      <c r="B381" s="17" t="inlineStr">
        <is>
          <t>卫星产业</t>
        </is>
      </c>
      <c r="C381" s="18" t="n">
        <v>-0.1428255808026367</v>
      </c>
      <c r="D381" s="18" t="n">
        <v>-1.138276536170006</v>
      </c>
      <c r="E381" s="18" t="n">
        <v>0.5597373437116595</v>
      </c>
      <c r="F381" s="18" t="n">
        <v>0.1500624500504368</v>
      </c>
      <c r="G381" s="17" t="n"/>
      <c r="H381" s="17" t="inlineStr">
        <is>
          <t>否</t>
        </is>
      </c>
      <c r="I381" s="17" t="inlineStr">
        <is>
          <t>是</t>
        </is>
      </c>
      <c r="J381" s="17" t="inlineStr">
        <is>
          <t>卖出</t>
        </is>
      </c>
    </row>
    <row r="382">
      <c r="A382" s="11" t="n">
        <v>45037</v>
      </c>
      <c r="B382" s="7" t="inlineStr">
        <is>
          <t>机器人</t>
        </is>
      </c>
      <c r="C382" s="9" t="n">
        <v>-0.3011175319491486</v>
      </c>
      <c r="D382" s="9" t="n">
        <v>-0.6096949824103922</v>
      </c>
      <c r="E382" s="9" t="n">
        <v>0.1998065388117712</v>
      </c>
      <c r="F382" s="9" t="n">
        <v>-0.493464152248825</v>
      </c>
      <c r="G382" s="7" t="n"/>
      <c r="H382" s="7" t="inlineStr">
        <is>
          <t>否</t>
        </is>
      </c>
      <c r="I382" s="7" t="inlineStr">
        <is>
          <t>否</t>
        </is>
      </c>
      <c r="J382" s="7" t="inlineStr"/>
    </row>
    <row r="383">
      <c r="A383" s="11" t="n">
        <v>45037</v>
      </c>
      <c r="B383" s="7" t="inlineStr">
        <is>
          <t>工业有色</t>
        </is>
      </c>
      <c r="C383" s="9" t="n">
        <v>-0.4853454715958292</v>
      </c>
      <c r="D383" s="9" t="n">
        <v>0.3130663098941249</v>
      </c>
      <c r="E383" s="9" t="n">
        <v>-0.7371968541057211</v>
      </c>
      <c r="F383" s="9" t="n">
        <v>-1.031905870575892</v>
      </c>
      <c r="G383" s="7" t="n"/>
      <c r="H383" s="7" t="inlineStr">
        <is>
          <t>否</t>
        </is>
      </c>
      <c r="I383" s="7" t="inlineStr">
        <is>
          <t>否</t>
        </is>
      </c>
      <c r="J383" s="7" t="inlineStr"/>
    </row>
    <row r="384">
      <c r="A384" s="11" t="n">
        <v>45037</v>
      </c>
      <c r="B384" s="7" t="inlineStr">
        <is>
          <t>港股通互联网</t>
        </is>
      </c>
      <c r="C384" s="9" t="n">
        <v>-0.815842380669952</v>
      </c>
      <c r="D384" s="9" t="n">
        <v>-1.905777739945654</v>
      </c>
      <c r="E384" s="9" t="n">
        <v>-0.9572726735182397</v>
      </c>
      <c r="F384" s="9" t="n">
        <v>0.4155232714540376</v>
      </c>
      <c r="G384" s="7" t="n"/>
      <c r="H384" s="7" t="inlineStr">
        <is>
          <t>否</t>
        </is>
      </c>
      <c r="I384" s="7" t="inlineStr">
        <is>
          <t>否</t>
        </is>
      </c>
      <c r="J384" s="7" t="inlineStr"/>
    </row>
    <row r="385">
      <c r="A385" s="11" t="n">
        <v>45037</v>
      </c>
      <c r="B385" s="7" t="inlineStr">
        <is>
          <t>新能源电池</t>
        </is>
      </c>
      <c r="C385" s="9" t="n">
        <v>-1.353417536338825</v>
      </c>
      <c r="D385" s="9" t="n">
        <v>-0.3882671817856559</v>
      </c>
      <c r="E385" s="9" t="n">
        <v>-1.468768182334007</v>
      </c>
      <c r="F385" s="9" t="n">
        <v>-2.203217244896811</v>
      </c>
      <c r="G385" s="7" t="n"/>
      <c r="H385" s="7" t="inlineStr">
        <is>
          <t>否</t>
        </is>
      </c>
      <c r="I385" s="7" t="inlineStr">
        <is>
          <t>否</t>
        </is>
      </c>
      <c r="J385" s="7" t="inlineStr"/>
    </row>
    <row r="387">
      <c r="A387" s="11" t="n">
        <v>45068</v>
      </c>
      <c r="B387" s="7" t="inlineStr">
        <is>
          <t>通信设备</t>
        </is>
      </c>
      <c r="C387" s="9" t="n">
        <v>1.164480496531032</v>
      </c>
      <c r="D387" s="9" t="n">
        <v>0.6304223192330347</v>
      </c>
      <c r="E387" s="9" t="n">
        <v>1.32561825845661</v>
      </c>
      <c r="F387" s="9" t="n">
        <v>1.537400911903451</v>
      </c>
      <c r="G387" s="7" t="n">
        <v>1</v>
      </c>
      <c r="H387" s="7" t="inlineStr">
        <is>
          <t>是</t>
        </is>
      </c>
      <c r="I387" s="7" t="inlineStr">
        <is>
          <t>是</t>
        </is>
      </c>
      <c r="J387" s="7" t="inlineStr">
        <is>
          <t>保留</t>
        </is>
      </c>
    </row>
    <row r="388">
      <c r="A388" s="11" t="n">
        <v>45068</v>
      </c>
      <c r="B388" s="7" t="inlineStr">
        <is>
          <t>机器人</t>
        </is>
      </c>
      <c r="C388" s="9" t="n">
        <v>0.9516759722080996</v>
      </c>
      <c r="D388" s="9" t="n">
        <v>1.923153762463324</v>
      </c>
      <c r="E388" s="9" t="n">
        <v>0.1527438835503232</v>
      </c>
      <c r="F388" s="9" t="n">
        <v>0.7791302706106513</v>
      </c>
      <c r="G388" s="7" t="n">
        <v>2</v>
      </c>
      <c r="H388" s="7" t="inlineStr">
        <is>
          <t>是</t>
        </is>
      </c>
      <c r="I388" s="7" t="inlineStr">
        <is>
          <t>否</t>
        </is>
      </c>
      <c r="J388" s="7" t="inlineStr"/>
    </row>
    <row r="389">
      <c r="A389" s="11" t="n">
        <v>45068</v>
      </c>
      <c r="B389" s="7" t="inlineStr">
        <is>
          <t>计算机</t>
        </is>
      </c>
      <c r="C389" s="9" t="n">
        <v>0.3671935565291269</v>
      </c>
      <c r="D389" s="9" t="n">
        <v>-0.2105350997018561</v>
      </c>
      <c r="E389" s="9" t="n">
        <v>0.5145392200739627</v>
      </c>
      <c r="F389" s="9" t="n">
        <v>0.7975765492152743</v>
      </c>
      <c r="G389" s="7" t="n"/>
      <c r="H389" s="7" t="inlineStr">
        <is>
          <t>否</t>
        </is>
      </c>
      <c r="I389" s="7" t="inlineStr">
        <is>
          <t>是</t>
        </is>
      </c>
      <c r="J389" s="7" t="inlineStr">
        <is>
          <t>保留</t>
        </is>
      </c>
    </row>
    <row r="390">
      <c r="A390" s="11" t="n">
        <v>45068</v>
      </c>
      <c r="B390" s="7" t="inlineStr">
        <is>
          <t>卫星产业</t>
        </is>
      </c>
      <c r="C390" s="9" t="n">
        <v>0.2617349784136691</v>
      </c>
      <c r="D390" s="9" t="n">
        <v>0.1852301097453156</v>
      </c>
      <c r="E390" s="9" t="n">
        <v>0.3018800487116762</v>
      </c>
      <c r="F390" s="9" t="n">
        <v>0.2980947767840155</v>
      </c>
      <c r="G390" s="7" t="n"/>
      <c r="H390" s="7" t="inlineStr">
        <is>
          <t>否</t>
        </is>
      </c>
      <c r="I390" s="7" t="inlineStr">
        <is>
          <t>否</t>
        </is>
      </c>
      <c r="J390" s="7" t="inlineStr"/>
    </row>
    <row r="391">
      <c r="A391" s="16" t="n">
        <v>45068</v>
      </c>
      <c r="B391" s="17" t="inlineStr">
        <is>
          <t>科创芯片设计</t>
        </is>
      </c>
      <c r="C391" s="18" t="n">
        <v>0.2416064734782359</v>
      </c>
      <c r="D391" s="18" t="n">
        <v>-0.6580105042501935</v>
      </c>
      <c r="E391" s="18" t="n">
        <v>1.081614500112832</v>
      </c>
      <c r="F391" s="18" t="n">
        <v>0.3012154245720692</v>
      </c>
      <c r="G391" s="17" t="n"/>
      <c r="H391" s="17" t="inlineStr">
        <is>
          <t>否</t>
        </is>
      </c>
      <c r="I391" s="17" t="inlineStr">
        <is>
          <t>是</t>
        </is>
      </c>
      <c r="J391" s="17" t="inlineStr">
        <is>
          <t>卖出</t>
        </is>
      </c>
    </row>
    <row r="392">
      <c r="A392" s="11" t="n">
        <v>45068</v>
      </c>
      <c r="B392" s="7" t="inlineStr">
        <is>
          <t>半导体材料设备</t>
        </is>
      </c>
      <c r="C392" s="9" t="n">
        <v>0.008242848681590309</v>
      </c>
      <c r="D392" s="9" t="n">
        <v>-1.109734524573839</v>
      </c>
      <c r="E392" s="9" t="n">
        <v>0.8803311122533641</v>
      </c>
      <c r="F392" s="9" t="n">
        <v>0.2541319583652454</v>
      </c>
      <c r="G392" s="7" t="n"/>
      <c r="H392" s="7" t="inlineStr">
        <is>
          <t>否</t>
        </is>
      </c>
      <c r="I392" s="7" t="inlineStr">
        <is>
          <t>否</t>
        </is>
      </c>
      <c r="J392" s="7" t="inlineStr"/>
    </row>
    <row r="393">
      <c r="A393" s="11" t="n">
        <v>45068</v>
      </c>
      <c r="B393" s="7" t="inlineStr">
        <is>
          <t>港股通互联网</t>
        </is>
      </c>
      <c r="C393" s="9" t="n">
        <v>-0.3695881109586198</v>
      </c>
      <c r="D393" s="9" t="n">
        <v>-0.2481660940795831</v>
      </c>
      <c r="E393" s="9" t="n">
        <v>-0.6849337977102239</v>
      </c>
      <c r="F393" s="9" t="n">
        <v>-0.1756644410860525</v>
      </c>
      <c r="G393" s="7" t="n"/>
      <c r="H393" s="7" t="inlineStr">
        <is>
          <t>否</t>
        </is>
      </c>
      <c r="I393" s="7" t="inlineStr">
        <is>
          <t>否</t>
        </is>
      </c>
      <c r="J393" s="7" t="inlineStr"/>
    </row>
    <row r="394">
      <c r="A394" s="11" t="n">
        <v>45068</v>
      </c>
      <c r="B394" s="7" t="inlineStr">
        <is>
          <t>新能源电池</t>
        </is>
      </c>
      <c r="C394" s="9" t="n">
        <v>-0.4809230014154939</v>
      </c>
      <c r="D394" s="9" t="n">
        <v>1.224269258858145</v>
      </c>
      <c r="E394" s="9" t="n">
        <v>-1.1023616106773</v>
      </c>
      <c r="F394" s="9" t="n">
        <v>-1.564676652427327</v>
      </c>
      <c r="G394" s="7" t="n"/>
      <c r="H394" s="7" t="inlineStr">
        <is>
          <t>否</t>
        </is>
      </c>
      <c r="I394" s="7" t="inlineStr">
        <is>
          <t>否</t>
        </is>
      </c>
      <c r="J394" s="7" t="inlineStr"/>
    </row>
    <row r="395">
      <c r="A395" s="11" t="n">
        <v>45068</v>
      </c>
      <c r="B395" s="7" t="inlineStr">
        <is>
          <t>港股通创新药</t>
        </is>
      </c>
      <c r="C395" s="9" t="n">
        <v>-0.9397954379810143</v>
      </c>
      <c r="D395" s="9" t="n">
        <v>-1.083444085516718</v>
      </c>
      <c r="E395" s="9" t="n">
        <v>-0.9303567315658673</v>
      </c>
      <c r="F395" s="9" t="n">
        <v>-0.8055854968604576</v>
      </c>
      <c r="G395" s="7" t="n"/>
      <c r="H395" s="7" t="inlineStr">
        <is>
          <t>否</t>
        </is>
      </c>
      <c r="I395" s="7" t="inlineStr">
        <is>
          <t>否</t>
        </is>
      </c>
      <c r="J395" s="7" t="inlineStr"/>
    </row>
    <row r="396">
      <c r="A396" s="11" t="n">
        <v>45068</v>
      </c>
      <c r="B396" s="7" t="inlineStr">
        <is>
          <t>工业有色</t>
        </is>
      </c>
      <c r="C396" s="9" t="n">
        <v>-1.204627775486625</v>
      </c>
      <c r="D396" s="9" t="n">
        <v>-0.6531851421776274</v>
      </c>
      <c r="E396" s="9" t="n">
        <v>-1.539074883205377</v>
      </c>
      <c r="F396" s="9" t="n">
        <v>-1.42162330107687</v>
      </c>
      <c r="G396" s="7" t="n"/>
      <c r="H396" s="7" t="inlineStr">
        <is>
          <t>否</t>
        </is>
      </c>
      <c r="I396" s="7" t="inlineStr">
        <is>
          <t>否</t>
        </is>
      </c>
      <c r="J396" s="7" t="inlineStr"/>
    </row>
    <row r="398">
      <c r="A398" s="11" t="n">
        <v>45111</v>
      </c>
      <c r="B398" s="7" t="inlineStr">
        <is>
          <t>通信设备</t>
        </is>
      </c>
      <c r="C398" s="9" t="n">
        <v>1.950570674491217</v>
      </c>
      <c r="D398" s="9" t="n">
        <v>1.736299135585978</v>
      </c>
      <c r="E398" s="9" t="n">
        <v>2.395297715168915</v>
      </c>
      <c r="F398" s="9" t="n">
        <v>1.720115172718758</v>
      </c>
      <c r="G398" s="7" t="n">
        <v>1</v>
      </c>
      <c r="H398" s="7" t="inlineStr">
        <is>
          <t>是</t>
        </is>
      </c>
      <c r="I398" s="7" t="inlineStr">
        <is>
          <t>是</t>
        </is>
      </c>
      <c r="J398" s="7" t="inlineStr">
        <is>
          <t>保留</t>
        </is>
      </c>
    </row>
    <row r="399">
      <c r="A399" s="13" t="n">
        <v>45111</v>
      </c>
      <c r="B399" s="14" t="inlineStr">
        <is>
          <t>机器人</t>
        </is>
      </c>
      <c r="C399" s="15" t="n">
        <v>1.040884162356409</v>
      </c>
      <c r="D399" s="15" t="n">
        <v>1.295208018553917</v>
      </c>
      <c r="E399" s="15" t="n">
        <v>0.7962186074146552</v>
      </c>
      <c r="F399" s="15" t="n">
        <v>1.031225861100655</v>
      </c>
      <c r="G399" s="14" t="n">
        <v>2</v>
      </c>
      <c r="H399" s="14" t="inlineStr">
        <is>
          <t>是</t>
        </is>
      </c>
      <c r="I399" s="14" t="inlineStr">
        <is>
          <t>否</t>
        </is>
      </c>
      <c r="J399" s="14" t="inlineStr">
        <is>
          <t>买入</t>
        </is>
      </c>
    </row>
    <row r="400">
      <c r="A400" s="11" t="n">
        <v>45111</v>
      </c>
      <c r="B400" s="7" t="inlineStr">
        <is>
          <t>卫星产业</t>
        </is>
      </c>
      <c r="C400" s="9" t="n">
        <v>0.4527228059603773</v>
      </c>
      <c r="D400" s="9" t="n">
        <v>0.6986777142960443</v>
      </c>
      <c r="E400" s="9" t="n">
        <v>0.0952307955177613</v>
      </c>
      <c r="F400" s="9" t="n">
        <v>0.5642599080673265</v>
      </c>
      <c r="G400" s="7" t="n">
        <v>3</v>
      </c>
      <c r="H400" s="7" t="inlineStr">
        <is>
          <t>是</t>
        </is>
      </c>
      <c r="I400" s="7" t="inlineStr">
        <is>
          <t>否</t>
        </is>
      </c>
      <c r="J400" s="7" t="inlineStr"/>
    </row>
    <row r="401">
      <c r="A401" s="11" t="n">
        <v>45111</v>
      </c>
      <c r="B401" s="7" t="inlineStr">
        <is>
          <t>新能源电池</t>
        </is>
      </c>
      <c r="C401" s="9" t="n">
        <v>-0.07684140885102642</v>
      </c>
      <c r="D401" s="9" t="n">
        <v>0.5210770829288418</v>
      </c>
      <c r="E401" s="9" t="n">
        <v>0.2382173679654365</v>
      </c>
      <c r="F401" s="9" t="n">
        <v>-0.9898186774473575</v>
      </c>
      <c r="G401" s="7" t="n">
        <v>4</v>
      </c>
      <c r="H401" s="7" t="inlineStr">
        <is>
          <t>是</t>
        </is>
      </c>
      <c r="I401" s="7" t="inlineStr">
        <is>
          <t>否</t>
        </is>
      </c>
      <c r="J401" s="7" t="inlineStr"/>
    </row>
    <row r="402">
      <c r="A402" s="11" t="n">
        <v>45111</v>
      </c>
      <c r="B402" s="7" t="inlineStr">
        <is>
          <t>科创芯片设计</t>
        </is>
      </c>
      <c r="C402" s="9" t="n">
        <v>-0.3006259092542163</v>
      </c>
      <c r="D402" s="9" t="n">
        <v>-0.9798176654831339</v>
      </c>
      <c r="E402" s="9" t="n">
        <v>-0.2491336125800328</v>
      </c>
      <c r="F402" s="9" t="n">
        <v>0.3270735503005178</v>
      </c>
      <c r="G402" s="7" t="n"/>
      <c r="H402" s="7" t="inlineStr">
        <is>
          <t>否</t>
        </is>
      </c>
      <c r="I402" s="7" t="inlineStr">
        <is>
          <t>否</t>
        </is>
      </c>
      <c r="J402" s="7" t="inlineStr"/>
    </row>
    <row r="403">
      <c r="A403" s="11" t="n">
        <v>45111</v>
      </c>
      <c r="B403" s="7" t="inlineStr">
        <is>
          <t>计算机</t>
        </is>
      </c>
      <c r="C403" s="9" t="n">
        <v>-0.3248171140129706</v>
      </c>
      <c r="D403" s="9" t="n">
        <v>-0.6290488325830789</v>
      </c>
      <c r="E403" s="9" t="n">
        <v>-0.7618913510069651</v>
      </c>
      <c r="F403" s="9" t="n">
        <v>0.4164888415511323</v>
      </c>
      <c r="G403" s="7" t="n"/>
      <c r="H403" s="7" t="inlineStr">
        <is>
          <t>否</t>
        </is>
      </c>
      <c r="I403" s="7" t="inlineStr">
        <is>
          <t>是</t>
        </is>
      </c>
      <c r="J403" s="7" t="inlineStr">
        <is>
          <t>保留</t>
        </is>
      </c>
    </row>
    <row r="404">
      <c r="A404" s="11" t="n">
        <v>45111</v>
      </c>
      <c r="B404" s="7" t="inlineStr">
        <is>
          <t>半导体材料设备</t>
        </is>
      </c>
      <c r="C404" s="9" t="n">
        <v>-0.3390491057262318</v>
      </c>
      <c r="D404" s="9" t="n">
        <v>-0.7093689602728691</v>
      </c>
      <c r="E404" s="9" t="n">
        <v>-0.4011260266769804</v>
      </c>
      <c r="F404" s="9" t="n">
        <v>0.09334766977115415</v>
      </c>
      <c r="G404" s="7" t="n"/>
      <c r="H404" s="7" t="inlineStr">
        <is>
          <t>否</t>
        </is>
      </c>
      <c r="I404" s="7" t="inlineStr">
        <is>
          <t>否</t>
        </is>
      </c>
      <c r="J404" s="7" t="inlineStr"/>
    </row>
    <row r="405">
      <c r="A405" s="11" t="n">
        <v>45111</v>
      </c>
      <c r="B405" s="7" t="inlineStr">
        <is>
          <t>港股通互联网</t>
        </is>
      </c>
      <c r="C405" s="9" t="n">
        <v>-0.7358916065470797</v>
      </c>
      <c r="D405" s="9" t="n">
        <v>-0.1317394361786749</v>
      </c>
      <c r="E405" s="9" t="n">
        <v>-1.005693741896613</v>
      </c>
      <c r="F405" s="9" t="n">
        <v>-1.070241641565951</v>
      </c>
      <c r="G405" s="7" t="n"/>
      <c r="H405" s="7" t="inlineStr">
        <is>
          <t>否</t>
        </is>
      </c>
      <c r="I405" s="7" t="inlineStr">
        <is>
          <t>否</t>
        </is>
      </c>
      <c r="J405" s="7" t="inlineStr"/>
    </row>
    <row r="406">
      <c r="A406" s="11" t="n">
        <v>45111</v>
      </c>
      <c r="B406" s="7" t="inlineStr">
        <is>
          <t>港股通创新药</t>
        </is>
      </c>
      <c r="C406" s="9" t="n">
        <v>-0.7501963590267402</v>
      </c>
      <c r="D406" s="9" t="n">
        <v>-0.7434694166288199</v>
      </c>
      <c r="E406" s="9" t="n">
        <v>-0.293710582236699</v>
      </c>
      <c r="F406" s="9" t="n">
        <v>-1.213409078214702</v>
      </c>
      <c r="G406" s="7" t="n"/>
      <c r="H406" s="7" t="inlineStr">
        <is>
          <t>否</t>
        </is>
      </c>
      <c r="I406" s="7" t="inlineStr">
        <is>
          <t>否</t>
        </is>
      </c>
      <c r="J406" s="7" t="inlineStr"/>
    </row>
    <row r="407">
      <c r="A407" s="11" t="n">
        <v>45111</v>
      </c>
      <c r="B407" s="7" t="inlineStr">
        <is>
          <t>工业有色</t>
        </is>
      </c>
      <c r="C407" s="9" t="n">
        <v>-0.9167561393897384</v>
      </c>
      <c r="D407" s="9" t="n">
        <v>-1.057817640218205</v>
      </c>
      <c r="E407" s="9" t="n">
        <v>-0.8134091716694776</v>
      </c>
      <c r="F407" s="9" t="n">
        <v>-0.8790416062815331</v>
      </c>
      <c r="G407" s="7" t="n"/>
      <c r="H407" s="7" t="inlineStr">
        <is>
          <t>否</t>
        </is>
      </c>
      <c r="I407" s="7" t="inlineStr">
        <is>
          <t>否</t>
        </is>
      </c>
      <c r="J407" s="7" t="inlineStr"/>
    </row>
    <row r="409">
      <c r="A409" s="11" t="n">
        <v>45132</v>
      </c>
      <c r="B409" s="7" t="inlineStr">
        <is>
          <t>通信设备</t>
        </is>
      </c>
      <c r="C409" s="9" t="n">
        <v>0.9361581306603405</v>
      </c>
      <c r="D409" s="9" t="n">
        <v>-0.3242883425685118</v>
      </c>
      <c r="E409" s="9" t="n">
        <v>1.238807793350381</v>
      </c>
      <c r="F409" s="9" t="n">
        <v>1.893954941199152</v>
      </c>
      <c r="G409" s="7" t="n">
        <v>1</v>
      </c>
      <c r="H409" s="7" t="inlineStr">
        <is>
          <t>是</t>
        </is>
      </c>
      <c r="I409" s="7" t="inlineStr">
        <is>
          <t>是</t>
        </is>
      </c>
      <c r="J409" s="7" t="inlineStr">
        <is>
          <t>保留</t>
        </is>
      </c>
    </row>
    <row r="410">
      <c r="A410" s="11" t="n">
        <v>45132</v>
      </c>
      <c r="B410" s="7" t="inlineStr">
        <is>
          <t>机器人</t>
        </is>
      </c>
      <c r="C410" s="9" t="n">
        <v>0.5827727392650238</v>
      </c>
      <c r="D410" s="9" t="n">
        <v>-0.5153518405617253</v>
      </c>
      <c r="E410" s="9" t="n">
        <v>1.538249959175479</v>
      </c>
      <c r="F410" s="9" t="n">
        <v>0.725420099181318</v>
      </c>
      <c r="G410" s="7" t="n">
        <v>2</v>
      </c>
      <c r="H410" s="7" t="inlineStr">
        <is>
          <t>是</t>
        </is>
      </c>
      <c r="I410" s="7" t="inlineStr">
        <is>
          <t>是</t>
        </is>
      </c>
      <c r="J410" s="7" t="inlineStr">
        <is>
          <t>保留</t>
        </is>
      </c>
    </row>
    <row r="411">
      <c r="A411" s="11" t="n">
        <v>45132</v>
      </c>
      <c r="B411" s="7" t="inlineStr">
        <is>
          <t>港股通互联网</t>
        </is>
      </c>
      <c r="C411" s="9" t="n">
        <v>0.4797943226025003</v>
      </c>
      <c r="D411" s="9" t="n">
        <v>1.451006191592347</v>
      </c>
      <c r="E411" s="9" t="n">
        <v>0.542988656353891</v>
      </c>
      <c r="F411" s="9" t="n">
        <v>-0.5546118801387367</v>
      </c>
      <c r="G411" s="7" t="n">
        <v>3</v>
      </c>
      <c r="H411" s="7" t="inlineStr">
        <is>
          <t>是</t>
        </is>
      </c>
      <c r="I411" s="7" t="inlineStr">
        <is>
          <t>否</t>
        </is>
      </c>
      <c r="J411" s="7" t="inlineStr"/>
    </row>
    <row r="412">
      <c r="A412" s="11" t="n">
        <v>45132</v>
      </c>
      <c r="B412" s="7" t="inlineStr">
        <is>
          <t>卫星产业</t>
        </is>
      </c>
      <c r="C412" s="9" t="n">
        <v>0.3620193876492107</v>
      </c>
      <c r="D412" s="9" t="n">
        <v>0.08348965333689028</v>
      </c>
      <c r="E412" s="9" t="n">
        <v>0.4778376410260251</v>
      </c>
      <c r="F412" s="9" t="n">
        <v>0.5247308685847166</v>
      </c>
      <c r="G412" s="7" t="n"/>
      <c r="H412" s="7" t="inlineStr">
        <is>
          <t>否</t>
        </is>
      </c>
      <c r="I412" s="7" t="inlineStr">
        <is>
          <t>否</t>
        </is>
      </c>
      <c r="J412" s="7" t="inlineStr"/>
    </row>
    <row r="413">
      <c r="A413" s="11" t="n">
        <v>45132</v>
      </c>
      <c r="B413" s="7" t="inlineStr">
        <is>
          <t>科创芯片设计</t>
        </is>
      </c>
      <c r="C413" s="9" t="n">
        <v>0.02441365574306309</v>
      </c>
      <c r="D413" s="9" t="n">
        <v>0.2127770306423473</v>
      </c>
      <c r="E413" s="9" t="n">
        <v>-0.601103822646225</v>
      </c>
      <c r="F413" s="9" t="n">
        <v>0.461567759233067</v>
      </c>
      <c r="G413" s="7" t="n"/>
      <c r="H413" s="7" t="inlineStr">
        <is>
          <t>否</t>
        </is>
      </c>
      <c r="I413" s="7" t="inlineStr">
        <is>
          <t>否</t>
        </is>
      </c>
      <c r="J413" s="7" t="inlineStr"/>
    </row>
    <row r="414">
      <c r="A414" s="11" t="n">
        <v>45132</v>
      </c>
      <c r="B414" s="7" t="inlineStr">
        <is>
          <t>工业有色</t>
        </is>
      </c>
      <c r="C414" s="9" t="n">
        <v>-0.09088881839853476</v>
      </c>
      <c r="D414" s="9" t="n">
        <v>1.048705848983614</v>
      </c>
      <c r="E414" s="9" t="n">
        <v>-0.2441851446183133</v>
      </c>
      <c r="F414" s="9" t="n">
        <v>-1.077187159560905</v>
      </c>
      <c r="G414" s="7" t="n"/>
      <c r="H414" s="7" t="inlineStr">
        <is>
          <t>否</t>
        </is>
      </c>
      <c r="I414" s="7" t="inlineStr">
        <is>
          <t>否</t>
        </is>
      </c>
      <c r="J414" s="7" t="inlineStr"/>
    </row>
    <row r="415">
      <c r="A415" s="11" t="n">
        <v>45132</v>
      </c>
      <c r="B415" s="7" t="inlineStr">
        <is>
          <t>新能源电池</t>
        </is>
      </c>
      <c r="C415" s="9" t="n">
        <v>-0.3613128653057936</v>
      </c>
      <c r="D415" s="9" t="n">
        <v>-0.1547631591920309</v>
      </c>
      <c r="E415" s="9" t="n">
        <v>0.2083990880892489</v>
      </c>
      <c r="F415" s="9" t="n">
        <v>-1.137574524814599</v>
      </c>
      <c r="G415" s="7" t="n"/>
      <c r="H415" s="7" t="inlineStr">
        <is>
          <t>否</t>
        </is>
      </c>
      <c r="I415" s="7" t="inlineStr">
        <is>
          <t>否</t>
        </is>
      </c>
      <c r="J415" s="7" t="inlineStr"/>
    </row>
    <row r="416">
      <c r="A416" s="11" t="n">
        <v>45132</v>
      </c>
      <c r="B416" s="7" t="inlineStr">
        <is>
          <t>港股通创新药</t>
        </is>
      </c>
      <c r="C416" s="9" t="n">
        <v>-0.4289424011899172</v>
      </c>
      <c r="D416" s="9" t="n">
        <v>1.069384698185464</v>
      </c>
      <c r="E416" s="9" t="n">
        <v>-1.135760179034764</v>
      </c>
      <c r="F416" s="9" t="n">
        <v>-1.220451722720451</v>
      </c>
      <c r="G416" s="7" t="n"/>
      <c r="H416" s="7" t="inlineStr">
        <is>
          <t>否</t>
        </is>
      </c>
      <c r="I416" s="7" t="inlineStr">
        <is>
          <t>否</t>
        </is>
      </c>
      <c r="J416" s="7" t="inlineStr"/>
    </row>
    <row r="417">
      <c r="A417" s="16" t="n">
        <v>45132</v>
      </c>
      <c r="B417" s="17" t="inlineStr">
        <is>
          <t>计算机</t>
        </is>
      </c>
      <c r="C417" s="18" t="n">
        <v>-0.5493012952507511</v>
      </c>
      <c r="D417" s="18" t="n">
        <v>-1.639270224902231</v>
      </c>
      <c r="E417" s="18" t="n">
        <v>-0.3917881519177884</v>
      </c>
      <c r="F417" s="18" t="n">
        <v>0.3831544910677662</v>
      </c>
      <c r="G417" s="17" t="n"/>
      <c r="H417" s="17" t="inlineStr">
        <is>
          <t>否</t>
        </is>
      </c>
      <c r="I417" s="17" t="inlineStr">
        <is>
          <t>是</t>
        </is>
      </c>
      <c r="J417" s="17" t="inlineStr">
        <is>
          <t>卖出</t>
        </is>
      </c>
    </row>
    <row r="418">
      <c r="A418" s="11" t="n">
        <v>45132</v>
      </c>
      <c r="B418" s="7" t="inlineStr">
        <is>
          <t>半导体材料设备</t>
        </is>
      </c>
      <c r="C418" s="9" t="n">
        <v>-0.9547128557751416</v>
      </c>
      <c r="D418" s="9" t="n">
        <v>-1.231689855516163</v>
      </c>
      <c r="E418" s="9" t="n">
        <v>-1.633445839777934</v>
      </c>
      <c r="F418" s="9" t="n">
        <v>0.0009971279686724233</v>
      </c>
      <c r="G418" s="7" t="n"/>
      <c r="H418" s="7" t="inlineStr">
        <is>
          <t>否</t>
        </is>
      </c>
      <c r="I418" s="7" t="inlineStr">
        <is>
          <t>否</t>
        </is>
      </c>
      <c r="J418" s="7" t="inlineStr"/>
    </row>
    <row r="420">
      <c r="A420" s="11" t="n">
        <v>45162</v>
      </c>
      <c r="B420" s="7" t="inlineStr">
        <is>
          <t>港股通互联网</t>
        </is>
      </c>
      <c r="C420" s="9" t="n">
        <v>1.335525171072328</v>
      </c>
      <c r="D420" s="9" t="n">
        <v>1.68626989586668</v>
      </c>
      <c r="E420" s="9" t="n">
        <v>1.879804809296002</v>
      </c>
      <c r="F420" s="9" t="n">
        <v>0.440500808054303</v>
      </c>
      <c r="G420" s="7" t="n">
        <v>1</v>
      </c>
      <c r="H420" s="7" t="inlineStr">
        <is>
          <t>是</t>
        </is>
      </c>
      <c r="I420" s="7" t="inlineStr">
        <is>
          <t>否</t>
        </is>
      </c>
      <c r="J420" s="7" t="inlineStr"/>
    </row>
    <row r="421">
      <c r="A421" s="16" t="n">
        <v>45162</v>
      </c>
      <c r="B421" s="17" t="inlineStr">
        <is>
          <t>通信设备</t>
        </is>
      </c>
      <c r="C421" s="18" t="n">
        <v>1.169291641555804</v>
      </c>
      <c r="D421" s="18" t="n">
        <v>0.6045000736083838</v>
      </c>
      <c r="E421" s="18" t="n">
        <v>0.904540895448062</v>
      </c>
      <c r="F421" s="18" t="n">
        <v>1.998833955610967</v>
      </c>
      <c r="G421" s="17" t="n"/>
      <c r="H421" s="17" t="inlineStr">
        <is>
          <t>否</t>
        </is>
      </c>
      <c r="I421" s="17" t="inlineStr">
        <is>
          <t>是</t>
        </is>
      </c>
      <c r="J421" s="17" t="inlineStr">
        <is>
          <t>卖出</t>
        </is>
      </c>
    </row>
    <row r="422">
      <c r="A422" s="11" t="n">
        <v>45162</v>
      </c>
      <c r="B422" s="7" t="inlineStr">
        <is>
          <t>计算机</t>
        </is>
      </c>
      <c r="C422" s="9" t="n">
        <v>0.5123466832943974</v>
      </c>
      <c r="D422" s="9" t="n">
        <v>1.042813981947888</v>
      </c>
      <c r="E422" s="9" t="n">
        <v>0.05766026128104262</v>
      </c>
      <c r="F422" s="9" t="n">
        <v>0.4365658066542616</v>
      </c>
      <c r="G422" s="7" t="n"/>
      <c r="H422" s="7" t="inlineStr">
        <is>
          <t>否</t>
        </is>
      </c>
      <c r="I422" s="7" t="inlineStr">
        <is>
          <t>否</t>
        </is>
      </c>
      <c r="J422" s="7" t="inlineStr"/>
    </row>
    <row r="423">
      <c r="A423" s="16" t="n">
        <v>45162</v>
      </c>
      <c r="B423" s="17" t="inlineStr">
        <is>
          <t>机器人</t>
        </is>
      </c>
      <c r="C423" s="18" t="n">
        <v>0.135149571169025</v>
      </c>
      <c r="D423" s="18" t="n">
        <v>-0.1413588802536335</v>
      </c>
      <c r="E423" s="18" t="n">
        <v>0.3566691446995662</v>
      </c>
      <c r="F423" s="18" t="n">
        <v>0.1901384490611421</v>
      </c>
      <c r="G423" s="17" t="n"/>
      <c r="H423" s="17" t="inlineStr">
        <is>
          <t>否</t>
        </is>
      </c>
      <c r="I423" s="17" t="inlineStr">
        <is>
          <t>是</t>
        </is>
      </c>
      <c r="J423" s="17" t="inlineStr">
        <is>
          <t>卖出</t>
        </is>
      </c>
    </row>
    <row r="424">
      <c r="A424" s="11" t="n">
        <v>45162</v>
      </c>
      <c r="B424" s="7" t="inlineStr">
        <is>
          <t>港股通创新药</t>
        </is>
      </c>
      <c r="C424" s="9" t="n">
        <v>0.06871593170646284</v>
      </c>
      <c r="D424" s="9" t="n">
        <v>0.7945600585393401</v>
      </c>
      <c r="E424" s="9" t="n">
        <v>0.2366590822844236</v>
      </c>
      <c r="F424" s="9" t="n">
        <v>-0.8250713457043751</v>
      </c>
      <c r="G424" s="7" t="n"/>
      <c r="H424" s="7" t="inlineStr">
        <is>
          <t>否</t>
        </is>
      </c>
      <c r="I424" s="7" t="inlineStr">
        <is>
          <t>否</t>
        </is>
      </c>
      <c r="J424" s="7" t="inlineStr"/>
    </row>
    <row r="425">
      <c r="A425" s="11" t="n">
        <v>45162</v>
      </c>
      <c r="B425" s="7" t="inlineStr">
        <is>
          <t>卫星产业</t>
        </is>
      </c>
      <c r="C425" s="9" t="n">
        <v>-0.148880521296271</v>
      </c>
      <c r="D425" s="9" t="n">
        <v>-0.222717836338708</v>
      </c>
      <c r="E425" s="9" t="n">
        <v>-0.006927923650349524</v>
      </c>
      <c r="F425" s="9" t="n">
        <v>-0.2169958038997555</v>
      </c>
      <c r="G425" s="7" t="n"/>
      <c r="H425" s="7" t="inlineStr">
        <is>
          <t>否</t>
        </is>
      </c>
      <c r="I425" s="7" t="inlineStr">
        <is>
          <t>否</t>
        </is>
      </c>
      <c r="J425" s="7" t="inlineStr"/>
    </row>
    <row r="426">
      <c r="A426" s="11" t="n">
        <v>45162</v>
      </c>
      <c r="B426" s="7" t="inlineStr">
        <is>
          <t>工业有色</t>
        </is>
      </c>
      <c r="C426" s="9" t="n">
        <v>-0.6393348073959323</v>
      </c>
      <c r="D426" s="9" t="n">
        <v>-0.5408443603476044</v>
      </c>
      <c r="E426" s="9" t="n">
        <v>0.02462028366283932</v>
      </c>
      <c r="F426" s="9" t="n">
        <v>-1.401780345503032</v>
      </c>
      <c r="G426" s="7" t="n"/>
      <c r="H426" s="7" t="inlineStr">
        <is>
          <t>否</t>
        </is>
      </c>
      <c r="I426" s="7" t="inlineStr">
        <is>
          <t>否</t>
        </is>
      </c>
      <c r="J426" s="7" t="inlineStr"/>
    </row>
    <row r="427">
      <c r="A427" s="11" t="n">
        <v>45162</v>
      </c>
      <c r="B427" s="7" t="inlineStr">
        <is>
          <t>科创芯片设计</t>
        </is>
      </c>
      <c r="C427" s="9" t="n">
        <v>-0.6602190354890182</v>
      </c>
      <c r="D427" s="9" t="n">
        <v>-1.32645945697615</v>
      </c>
      <c r="E427" s="9" t="n">
        <v>-1.16686551350468</v>
      </c>
      <c r="F427" s="9" t="n">
        <v>0.5126678640137756</v>
      </c>
      <c r="G427" s="7" t="n"/>
      <c r="H427" s="7" t="inlineStr">
        <is>
          <t>否</t>
        </is>
      </c>
      <c r="I427" s="7" t="inlineStr">
        <is>
          <t>否</t>
        </is>
      </c>
      <c r="J427" s="7" t="inlineStr"/>
    </row>
    <row r="428">
      <c r="A428" s="11" t="n">
        <v>45162</v>
      </c>
      <c r="B428" s="7" t="inlineStr">
        <is>
          <t>半导体材料设备</t>
        </is>
      </c>
      <c r="C428" s="9" t="n">
        <v>-0.7249438069614401</v>
      </c>
      <c r="D428" s="9" t="n">
        <v>-0.6728476304007047</v>
      </c>
      <c r="E428" s="9" t="n">
        <v>-1.636081083281165</v>
      </c>
      <c r="F428" s="9" t="n">
        <v>0.1340972927975494</v>
      </c>
      <c r="G428" s="7" t="n"/>
      <c r="H428" s="7" t="inlineStr">
        <is>
          <t>否</t>
        </is>
      </c>
      <c r="I428" s="7" t="inlineStr">
        <is>
          <t>否</t>
        </is>
      </c>
      <c r="J428" s="7" t="inlineStr"/>
    </row>
    <row r="429">
      <c r="A429" s="11" t="n">
        <v>45162</v>
      </c>
      <c r="B429" s="7" t="inlineStr">
        <is>
          <t>新能源电池</t>
        </is>
      </c>
      <c r="C429" s="9" t="n">
        <v>-1.047650827655356</v>
      </c>
      <c r="D429" s="9" t="n">
        <v>-1.223915845645489</v>
      </c>
      <c r="E429" s="9" t="n">
        <v>-0.6500799562357403</v>
      </c>
      <c r="F429" s="9" t="n">
        <v>-1.268956681084838</v>
      </c>
      <c r="G429" s="7" t="n"/>
      <c r="H429" s="7" t="inlineStr">
        <is>
          <t>否</t>
        </is>
      </c>
      <c r="I429" s="7" t="inlineStr">
        <is>
          <t>否</t>
        </is>
      </c>
      <c r="J429" s="7" t="inlineStr"/>
    </row>
    <row r="431">
      <c r="A431" s="13" t="n">
        <v>45239</v>
      </c>
      <c r="B431" s="14" t="inlineStr">
        <is>
          <t>卫星产业</t>
        </is>
      </c>
      <c r="C431" s="15" t="n">
        <v>1.201545682033331</v>
      </c>
      <c r="D431" s="15" t="n">
        <v>0.84686439458623</v>
      </c>
      <c r="E431" s="15" t="n">
        <v>1.271814954198708</v>
      </c>
      <c r="F431" s="15" t="n">
        <v>1.485957697315053</v>
      </c>
      <c r="G431" s="14" t="n">
        <v>1</v>
      </c>
      <c r="H431" s="14" t="inlineStr">
        <is>
          <t>是</t>
        </is>
      </c>
      <c r="I431" s="14" t="inlineStr">
        <is>
          <t>否</t>
        </is>
      </c>
      <c r="J431" s="14" t="inlineStr">
        <is>
          <t>买入</t>
        </is>
      </c>
    </row>
    <row r="432">
      <c r="A432" s="11" t="n">
        <v>45239</v>
      </c>
      <c r="B432" s="7" t="inlineStr">
        <is>
          <t>港股通创新药</t>
        </is>
      </c>
      <c r="C432" s="9" t="n">
        <v>1.142658472747311</v>
      </c>
      <c r="D432" s="9" t="n">
        <v>1.200832751895598</v>
      </c>
      <c r="E432" s="9" t="n">
        <v>1.801788507292718</v>
      </c>
      <c r="F432" s="9" t="n">
        <v>0.4253541590536153</v>
      </c>
      <c r="G432" s="7" t="n">
        <v>2</v>
      </c>
      <c r="H432" s="7" t="inlineStr">
        <is>
          <t>是</t>
        </is>
      </c>
      <c r="I432" s="7" t="inlineStr">
        <is>
          <t>否</t>
        </is>
      </c>
      <c r="J432" s="7" t="inlineStr"/>
    </row>
    <row r="433">
      <c r="A433" s="11" t="n">
        <v>45239</v>
      </c>
      <c r="B433" s="7" t="inlineStr">
        <is>
          <t>科创芯片设计</t>
        </is>
      </c>
      <c r="C433" s="9" t="n">
        <v>0.4582817615086115</v>
      </c>
      <c r="D433" s="9" t="n">
        <v>1.138865083979106</v>
      </c>
      <c r="E433" s="9" t="n">
        <v>0.2000331555025399</v>
      </c>
      <c r="F433" s="9" t="n">
        <v>0.03594704504418876</v>
      </c>
      <c r="G433" s="7" t="n">
        <v>3</v>
      </c>
      <c r="H433" s="7" t="inlineStr">
        <is>
          <t>是</t>
        </is>
      </c>
      <c r="I433" s="7" t="inlineStr">
        <is>
          <t>否</t>
        </is>
      </c>
      <c r="J433" s="7" t="inlineStr"/>
    </row>
    <row r="434">
      <c r="A434" s="11" t="n">
        <v>45239</v>
      </c>
      <c r="B434" s="7" t="inlineStr">
        <is>
          <t>半导体材料设备</t>
        </is>
      </c>
      <c r="C434" s="9" t="n">
        <v>0.4330765452761303</v>
      </c>
      <c r="D434" s="9" t="n">
        <v>0.6343594233155309</v>
      </c>
      <c r="E434" s="9" t="n">
        <v>0.6231210523787492</v>
      </c>
      <c r="F434" s="9" t="n">
        <v>0.04174916013411088</v>
      </c>
      <c r="G434" s="7" t="n">
        <v>4</v>
      </c>
      <c r="H434" s="7" t="inlineStr">
        <is>
          <t>是</t>
        </is>
      </c>
      <c r="I434" s="7" t="inlineStr">
        <is>
          <t>否</t>
        </is>
      </c>
      <c r="J434" s="7" t="inlineStr"/>
    </row>
    <row r="435">
      <c r="A435" s="11" t="n">
        <v>45239</v>
      </c>
      <c r="B435" s="7" t="inlineStr">
        <is>
          <t>港股通互联网</t>
        </is>
      </c>
      <c r="C435" s="9" t="n">
        <v>0.2632022137718686</v>
      </c>
      <c r="D435" s="9" t="n">
        <v>0.3859986759955781</v>
      </c>
      <c r="E435" s="9" t="n">
        <v>-0.1335679296821017</v>
      </c>
      <c r="F435" s="9" t="n">
        <v>0.5371758950021295</v>
      </c>
      <c r="G435" s="7" t="n">
        <v>5</v>
      </c>
      <c r="H435" s="7" t="inlineStr">
        <is>
          <t>是</t>
        </is>
      </c>
      <c r="I435" s="7" t="inlineStr">
        <is>
          <t>否</t>
        </is>
      </c>
      <c r="J435" s="7" t="inlineStr"/>
    </row>
    <row r="436">
      <c r="A436" s="11" t="n">
        <v>45239</v>
      </c>
      <c r="B436" s="7" t="inlineStr">
        <is>
          <t>机器人</t>
        </is>
      </c>
      <c r="C436" s="9" t="n">
        <v>-0.2439554553861132</v>
      </c>
      <c r="D436" s="9" t="n">
        <v>-0.592525029094613</v>
      </c>
      <c r="E436" s="9" t="n">
        <v>-0.3740344502303352</v>
      </c>
      <c r="F436" s="9" t="n">
        <v>0.2346931131666087</v>
      </c>
      <c r="G436" s="7" t="n"/>
      <c r="H436" s="7" t="inlineStr">
        <is>
          <t>否</t>
        </is>
      </c>
      <c r="I436" s="7" t="inlineStr">
        <is>
          <t>否</t>
        </is>
      </c>
      <c r="J436" s="7" t="inlineStr"/>
    </row>
    <row r="437">
      <c r="A437" s="11" t="n">
        <v>45239</v>
      </c>
      <c r="B437" s="7" t="inlineStr">
        <is>
          <t>通信设备</t>
        </is>
      </c>
      <c r="C437" s="9" t="n">
        <v>-0.2903939526764102</v>
      </c>
      <c r="D437" s="9" t="n">
        <v>-1.44106427539345</v>
      </c>
      <c r="E437" s="9" t="n">
        <v>-0.3356541992961276</v>
      </c>
      <c r="F437" s="9" t="n">
        <v>0.9055366166603468</v>
      </c>
      <c r="G437" s="7" t="n"/>
      <c r="H437" s="7" t="inlineStr">
        <is>
          <t>否</t>
        </is>
      </c>
      <c r="I437" s="7" t="inlineStr">
        <is>
          <t>否</t>
        </is>
      </c>
      <c r="J437" s="7" t="inlineStr"/>
    </row>
    <row r="438">
      <c r="A438" s="11" t="n">
        <v>45239</v>
      </c>
      <c r="B438" s="7" t="inlineStr">
        <is>
          <t>计算机</t>
        </is>
      </c>
      <c r="C438" s="9" t="n">
        <v>-0.4293602278434019</v>
      </c>
      <c r="D438" s="9" t="n">
        <v>-0.3070406200151433</v>
      </c>
      <c r="E438" s="9" t="n">
        <v>-0.5553708877188226</v>
      </c>
      <c r="F438" s="9" t="n">
        <v>-0.4256691757962397</v>
      </c>
      <c r="G438" s="7" t="n"/>
      <c r="H438" s="7" t="inlineStr">
        <is>
          <t>否</t>
        </is>
      </c>
      <c r="I438" s="7" t="inlineStr">
        <is>
          <t>否</t>
        </is>
      </c>
      <c r="J438" s="7" t="inlineStr"/>
    </row>
    <row r="439">
      <c r="A439" s="11" t="n">
        <v>45239</v>
      </c>
      <c r="B439" s="7" t="inlineStr">
        <is>
          <t>新能源电池</t>
        </is>
      </c>
      <c r="C439" s="9" t="n">
        <v>-1.113876890570003</v>
      </c>
      <c r="D439" s="9" t="n">
        <v>-0.3294669658338474</v>
      </c>
      <c r="E439" s="9" t="n">
        <v>-1.314570091995708</v>
      </c>
      <c r="F439" s="9" t="n">
        <v>-1.697593613880454</v>
      </c>
      <c r="G439" s="7" t="n"/>
      <c r="H439" s="7" t="inlineStr">
        <is>
          <t>否</t>
        </is>
      </c>
      <c r="I439" s="7" t="inlineStr">
        <is>
          <t>否</t>
        </is>
      </c>
      <c r="J439" s="7" t="inlineStr"/>
    </row>
    <row r="440">
      <c r="A440" s="11" t="n">
        <v>45239</v>
      </c>
      <c r="B440" s="7" t="inlineStr">
        <is>
          <t>工业有色</t>
        </is>
      </c>
      <c r="C440" s="9" t="n">
        <v>-1.421178148861323</v>
      </c>
      <c r="D440" s="9" t="n">
        <v>-1.536823439434989</v>
      </c>
      <c r="E440" s="9" t="n">
        <v>-1.183560110449621</v>
      </c>
      <c r="F440" s="9" t="n">
        <v>-1.543150896699358</v>
      </c>
      <c r="G440" s="7" t="n"/>
      <c r="H440" s="7" t="inlineStr">
        <is>
          <t>否</t>
        </is>
      </c>
      <c r="I440" s="7" t="inlineStr">
        <is>
          <t>否</t>
        </is>
      </c>
      <c r="J440" s="7" t="inlineStr"/>
    </row>
    <row r="442">
      <c r="A442" s="11" t="n">
        <v>45273</v>
      </c>
      <c r="B442" s="7" t="inlineStr">
        <is>
          <t>卫星产业</t>
        </is>
      </c>
      <c r="C442" s="9" t="n">
        <v>1.161685923587556</v>
      </c>
      <c r="D442" s="9" t="n">
        <v>0.4631203168369866</v>
      </c>
      <c r="E442" s="9" t="n">
        <v>1.12696944322685</v>
      </c>
      <c r="F442" s="9" t="n">
        <v>1.894968010698833</v>
      </c>
      <c r="G442" s="7" t="n">
        <v>1</v>
      </c>
      <c r="H442" s="7" t="inlineStr">
        <is>
          <t>是</t>
        </is>
      </c>
      <c r="I442" s="7" t="inlineStr">
        <is>
          <t>是</t>
        </is>
      </c>
      <c r="J442" s="7" t="inlineStr">
        <is>
          <t>保留</t>
        </is>
      </c>
    </row>
    <row r="443">
      <c r="A443" s="13" t="n">
        <v>45273</v>
      </c>
      <c r="B443" s="14" t="inlineStr">
        <is>
          <t>科创芯片设计</t>
        </is>
      </c>
      <c r="C443" s="15" t="n">
        <v>0.9042333462696938</v>
      </c>
      <c r="D443" s="15" t="n">
        <v>0.9777302568417542</v>
      </c>
      <c r="E443" s="15" t="n">
        <v>1.352525830976658</v>
      </c>
      <c r="F443" s="15" t="n">
        <v>0.382443950990669</v>
      </c>
      <c r="G443" s="14" t="n">
        <v>2</v>
      </c>
      <c r="H443" s="14" t="inlineStr">
        <is>
          <t>是</t>
        </is>
      </c>
      <c r="I443" s="14" t="inlineStr">
        <is>
          <t>否</t>
        </is>
      </c>
      <c r="J443" s="14" t="inlineStr">
        <is>
          <t>买入</t>
        </is>
      </c>
    </row>
    <row r="444">
      <c r="A444" s="11" t="n">
        <v>45273</v>
      </c>
      <c r="B444" s="7" t="inlineStr">
        <is>
          <t>计算机</t>
        </is>
      </c>
      <c r="C444" s="9" t="n">
        <v>0.5191367412188298</v>
      </c>
      <c r="D444" s="9" t="n">
        <v>1.31499893631773</v>
      </c>
      <c r="E444" s="9" t="n">
        <v>0.4903128801153595</v>
      </c>
      <c r="F444" s="9" t="n">
        <v>-0.2479015927766</v>
      </c>
      <c r="G444" s="7" t="n">
        <v>3</v>
      </c>
      <c r="H444" s="7" t="inlineStr">
        <is>
          <t>是</t>
        </is>
      </c>
      <c r="I444" s="7" t="inlineStr">
        <is>
          <t>否</t>
        </is>
      </c>
      <c r="J444" s="7" t="inlineStr"/>
    </row>
    <row r="445">
      <c r="A445" s="11" t="n">
        <v>45273</v>
      </c>
      <c r="B445" s="7" t="inlineStr">
        <is>
          <t>港股通创新药</t>
        </is>
      </c>
      <c r="C445" s="9" t="n">
        <v>0.4179618929643312</v>
      </c>
      <c r="D445" s="9" t="n">
        <v>-0.5070099511042697</v>
      </c>
      <c r="E445" s="9" t="n">
        <v>0.8707479061332013</v>
      </c>
      <c r="F445" s="9" t="n">
        <v>0.8901477238640622</v>
      </c>
      <c r="G445" s="7" t="n"/>
      <c r="H445" s="7" t="inlineStr">
        <is>
          <t>否</t>
        </is>
      </c>
      <c r="I445" s="7" t="inlineStr">
        <is>
          <t>否</t>
        </is>
      </c>
      <c r="J445" s="7" t="inlineStr"/>
    </row>
    <row r="446">
      <c r="A446" s="11" t="n">
        <v>45273</v>
      </c>
      <c r="B446" s="7" t="inlineStr">
        <is>
          <t>通信设备</t>
        </is>
      </c>
      <c r="C446" s="9" t="n">
        <v>0.3592114020483361</v>
      </c>
      <c r="D446" s="9" t="n">
        <v>1.00001759078238</v>
      </c>
      <c r="E446" s="9" t="n">
        <v>0.03307595868419673</v>
      </c>
      <c r="F446" s="9" t="n">
        <v>0.04454065667843113</v>
      </c>
      <c r="G446" s="7" t="n"/>
      <c r="H446" s="7" t="inlineStr">
        <is>
          <t>否</t>
        </is>
      </c>
      <c r="I446" s="7" t="inlineStr">
        <is>
          <t>否</t>
        </is>
      </c>
      <c r="J446" s="7" t="inlineStr"/>
    </row>
    <row r="447">
      <c r="A447" s="11" t="n">
        <v>45273</v>
      </c>
      <c r="B447" s="7" t="inlineStr">
        <is>
          <t>机器人</t>
        </is>
      </c>
      <c r="C447" s="9" t="n">
        <v>0.1018908287825983</v>
      </c>
      <c r="D447" s="9" t="n">
        <v>0.6205380909721183</v>
      </c>
      <c r="E447" s="9" t="n">
        <v>-0.2874295703888098</v>
      </c>
      <c r="F447" s="9" t="n">
        <v>-0.02743603423551353</v>
      </c>
      <c r="G447" s="7" t="n"/>
      <c r="H447" s="7" t="inlineStr">
        <is>
          <t>否</t>
        </is>
      </c>
      <c r="I447" s="7" t="inlineStr">
        <is>
          <t>否</t>
        </is>
      </c>
      <c r="J447" s="7" t="inlineStr"/>
    </row>
    <row r="448">
      <c r="A448" s="11" t="n">
        <v>45273</v>
      </c>
      <c r="B448" s="7" t="inlineStr">
        <is>
          <t>半导体材料设备</t>
        </is>
      </c>
      <c r="C448" s="9" t="n">
        <v>-0.3074504483235981</v>
      </c>
      <c r="D448" s="9" t="n">
        <v>-0.4943482135672425</v>
      </c>
      <c r="E448" s="9" t="n">
        <v>-0.07951204962333748</v>
      </c>
      <c r="F448" s="9" t="n">
        <v>-0.3484910817802144</v>
      </c>
      <c r="G448" s="7" t="n"/>
      <c r="H448" s="7" t="inlineStr">
        <is>
          <t>否</t>
        </is>
      </c>
      <c r="I448" s="7" t="inlineStr">
        <is>
          <t>否</t>
        </is>
      </c>
      <c r="J448" s="7" t="inlineStr"/>
    </row>
    <row r="449">
      <c r="A449" s="11" t="n">
        <v>45273</v>
      </c>
      <c r="B449" s="7" t="inlineStr">
        <is>
          <t>港股通互联网</t>
        </is>
      </c>
      <c r="C449" s="9" t="n">
        <v>-0.4841695910603545</v>
      </c>
      <c r="D449" s="9" t="n">
        <v>-1.166655738872012</v>
      </c>
      <c r="E449" s="9" t="n">
        <v>-0.4836751896893868</v>
      </c>
      <c r="F449" s="9" t="n">
        <v>0.1978221553803348</v>
      </c>
      <c r="G449" s="7" t="n"/>
      <c r="H449" s="7" t="inlineStr">
        <is>
          <t>否</t>
        </is>
      </c>
      <c r="I449" s="7" t="inlineStr">
        <is>
          <t>否</t>
        </is>
      </c>
      <c r="J449" s="7" t="inlineStr"/>
    </row>
    <row r="450">
      <c r="A450" s="11" t="n">
        <v>45273</v>
      </c>
      <c r="B450" s="7" t="inlineStr">
        <is>
          <t>工业有色</t>
        </is>
      </c>
      <c r="C450" s="9" t="n">
        <v>-1.064253970684506</v>
      </c>
      <c r="D450" s="9" t="n">
        <v>-0.6491037250826627</v>
      </c>
      <c r="E450" s="9" t="n">
        <v>-1.577541701067275</v>
      </c>
      <c r="F450" s="9" t="n">
        <v>-0.9661164859035803</v>
      </c>
      <c r="G450" s="7" t="n"/>
      <c r="H450" s="7" t="inlineStr">
        <is>
          <t>否</t>
        </is>
      </c>
      <c r="I450" s="7" t="inlineStr">
        <is>
          <t>否</t>
        </is>
      </c>
      <c r="J450" s="7" t="inlineStr"/>
    </row>
    <row r="451">
      <c r="A451" s="11" t="n">
        <v>45273</v>
      </c>
      <c r="B451" s="7" t="inlineStr">
        <is>
          <t>新能源电池</t>
        </is>
      </c>
      <c r="C451" s="9" t="n">
        <v>-1.608246124802887</v>
      </c>
      <c r="D451" s="9" t="n">
        <v>-1.559287563124783</v>
      </c>
      <c r="E451" s="9" t="n">
        <v>-1.445473508367455</v>
      </c>
      <c r="F451" s="9" t="n">
        <v>-1.819977302916424</v>
      </c>
      <c r="G451" s="7" t="n"/>
      <c r="H451" s="7" t="inlineStr">
        <is>
          <t>否</t>
        </is>
      </c>
      <c r="I451" s="7" t="inlineStr">
        <is>
          <t>否</t>
        </is>
      </c>
      <c r="J451" s="7" t="inlineStr"/>
    </row>
    <row r="453">
      <c r="A453" s="11" t="n">
        <v>45295</v>
      </c>
      <c r="B453" s="7" t="inlineStr">
        <is>
          <t>港股通创新药</t>
        </is>
      </c>
      <c r="C453" s="9" t="n">
        <v>1.338229048279557</v>
      </c>
      <c r="D453" s="9" t="n">
        <v>0.7488129291242894</v>
      </c>
      <c r="E453" s="9" t="n">
        <v>1.353042260540515</v>
      </c>
      <c r="F453" s="9" t="n">
        <v>1.912831955173868</v>
      </c>
      <c r="G453" s="7" t="n"/>
      <c r="H453" s="7" t="inlineStr">
        <is>
          <t>否</t>
        </is>
      </c>
      <c r="I453" s="7" t="inlineStr">
        <is>
          <t>否</t>
        </is>
      </c>
      <c r="J453" s="7" t="inlineStr"/>
    </row>
    <row r="454">
      <c r="A454" s="11" t="n">
        <v>45295</v>
      </c>
      <c r="B454" s="7" t="inlineStr">
        <is>
          <t>工业有色</t>
        </is>
      </c>
      <c r="C454" s="9" t="n">
        <v>0.740360470161466</v>
      </c>
      <c r="D454" s="9" t="n">
        <v>1.722945036934713</v>
      </c>
      <c r="E454" s="9" t="n">
        <v>0.6430288251126418</v>
      </c>
      <c r="F454" s="9" t="n">
        <v>-0.1448924515629567</v>
      </c>
      <c r="G454" s="7" t="n"/>
      <c r="H454" s="7" t="inlineStr">
        <is>
          <t>否</t>
        </is>
      </c>
      <c r="I454" s="7" t="inlineStr">
        <is>
          <t>否</t>
        </is>
      </c>
      <c r="J454" s="7" t="inlineStr"/>
    </row>
    <row r="455">
      <c r="A455" s="16" t="n">
        <v>45295</v>
      </c>
      <c r="B455" s="17" t="inlineStr">
        <is>
          <t>卫星产业</t>
        </is>
      </c>
      <c r="C455" s="18" t="n">
        <v>0.2605019381436762</v>
      </c>
      <c r="D455" s="18" t="n">
        <v>-0.8304278501134644</v>
      </c>
      <c r="E455" s="18" t="n">
        <v>0.6254521156326456</v>
      </c>
      <c r="F455" s="18" t="n">
        <v>0.9864815489118474</v>
      </c>
      <c r="G455" s="17" t="n"/>
      <c r="H455" s="17" t="inlineStr">
        <is>
          <t>否</t>
        </is>
      </c>
      <c r="I455" s="17" t="inlineStr">
        <is>
          <t>是</t>
        </is>
      </c>
      <c r="J455" s="17" t="inlineStr">
        <is>
          <t>卖出</t>
        </is>
      </c>
    </row>
    <row r="456">
      <c r="A456" s="11" t="n">
        <v>45295</v>
      </c>
      <c r="B456" s="7" t="inlineStr">
        <is>
          <t>科创芯片设计</t>
        </is>
      </c>
      <c r="C456" s="9" t="n">
        <v>0.1134261942936771</v>
      </c>
      <c r="D456" s="9" t="n">
        <v>-0.8210213032764064</v>
      </c>
      <c r="E456" s="9" t="n">
        <v>1.486368813045343</v>
      </c>
      <c r="F456" s="9" t="n">
        <v>-0.3250689268879047</v>
      </c>
      <c r="G456" s="7" t="n"/>
      <c r="H456" s="7" t="inlineStr">
        <is>
          <t>否</t>
        </is>
      </c>
      <c r="I456" s="7" t="inlineStr">
        <is>
          <t>是</t>
        </is>
      </c>
      <c r="J456" s="7" t="inlineStr">
        <is>
          <t>保留</t>
        </is>
      </c>
    </row>
    <row r="457">
      <c r="A457" s="11" t="n">
        <v>45295</v>
      </c>
      <c r="B457" s="7" t="inlineStr">
        <is>
          <t>港股通互联网</t>
        </is>
      </c>
      <c r="C457" s="9" t="n">
        <v>-0.1796560103818736</v>
      </c>
      <c r="D457" s="9" t="n">
        <v>-0.6499859878203207</v>
      </c>
      <c r="E457" s="9" t="n">
        <v>-0.68768670275841</v>
      </c>
      <c r="F457" s="9" t="n">
        <v>0.7987046594331096</v>
      </c>
      <c r="G457" s="7" t="n"/>
      <c r="H457" s="7" t="inlineStr">
        <is>
          <t>否</t>
        </is>
      </c>
      <c r="I457" s="7" t="inlineStr">
        <is>
          <t>否</t>
        </is>
      </c>
      <c r="J457" s="7" t="inlineStr"/>
    </row>
    <row r="458">
      <c r="A458" s="11" t="n">
        <v>45295</v>
      </c>
      <c r="B458" s="7" t="inlineStr">
        <is>
          <t>新能源电池</t>
        </is>
      </c>
      <c r="C458" s="9" t="n">
        <v>-0.2151847967620647</v>
      </c>
      <c r="D458" s="9" t="n">
        <v>1.045674416375067</v>
      </c>
      <c r="E458" s="9" t="n">
        <v>-0.02836816955345916</v>
      </c>
      <c r="F458" s="9" t="n">
        <v>-1.662860637107802</v>
      </c>
      <c r="G458" s="7" t="n"/>
      <c r="H458" s="7" t="inlineStr">
        <is>
          <t>否</t>
        </is>
      </c>
      <c r="I458" s="7" t="inlineStr">
        <is>
          <t>否</t>
        </is>
      </c>
      <c r="J458" s="7" t="inlineStr"/>
    </row>
    <row r="459">
      <c r="A459" s="11" t="n">
        <v>45295</v>
      </c>
      <c r="B459" s="7" t="inlineStr">
        <is>
          <t>通信设备</t>
        </is>
      </c>
      <c r="C459" s="9" t="n">
        <v>-0.217022527476608</v>
      </c>
      <c r="D459" s="9" t="n">
        <v>0.8478156686023572</v>
      </c>
      <c r="E459" s="9" t="n">
        <v>-1.15981241258956</v>
      </c>
      <c r="F459" s="9" t="n">
        <v>-0.3390708384426209</v>
      </c>
      <c r="G459" s="7" t="n"/>
      <c r="H459" s="7" t="inlineStr">
        <is>
          <t>否</t>
        </is>
      </c>
      <c r="I459" s="7" t="inlineStr">
        <is>
          <t>否</t>
        </is>
      </c>
      <c r="J459" s="7" t="inlineStr"/>
    </row>
    <row r="460">
      <c r="A460" s="11" t="n">
        <v>45295</v>
      </c>
      <c r="B460" s="7" t="inlineStr">
        <is>
          <t>半导体材料设备</t>
        </is>
      </c>
      <c r="C460" s="9" t="n">
        <v>-0.4125523900905104</v>
      </c>
      <c r="D460" s="9" t="n">
        <v>-0.9548028750143631</v>
      </c>
      <c r="E460" s="9" t="n">
        <v>-0.1218734840584058</v>
      </c>
      <c r="F460" s="9" t="n">
        <v>-0.1609808111987626</v>
      </c>
      <c r="G460" s="7" t="n"/>
      <c r="H460" s="7" t="inlineStr">
        <is>
          <t>否</t>
        </is>
      </c>
      <c r="I460" s="7" t="inlineStr">
        <is>
          <t>否</t>
        </is>
      </c>
      <c r="J460" s="7" t="inlineStr"/>
    </row>
    <row r="461">
      <c r="A461" s="11" t="n">
        <v>45295</v>
      </c>
      <c r="B461" s="7" t="inlineStr">
        <is>
          <t>计算机</t>
        </is>
      </c>
      <c r="C461" s="9" t="n">
        <v>-0.6949084780008349</v>
      </c>
      <c r="D461" s="9" t="n">
        <v>-0.9702843254868074</v>
      </c>
      <c r="E461" s="9" t="n">
        <v>-0.836897825873564</v>
      </c>
      <c r="F461" s="9" t="n">
        <v>-0.2775432826421331</v>
      </c>
      <c r="G461" s="7" t="n"/>
      <c r="H461" s="7" t="inlineStr">
        <is>
          <t>否</t>
        </is>
      </c>
      <c r="I461" s="7" t="inlineStr">
        <is>
          <t>否</t>
        </is>
      </c>
      <c r="J461" s="7" t="inlineStr"/>
    </row>
    <row r="462">
      <c r="A462" s="11" t="n">
        <v>45295</v>
      </c>
      <c r="B462" s="7" t="inlineStr">
        <is>
          <t>机器人</t>
        </is>
      </c>
      <c r="C462" s="9" t="n">
        <v>-0.7331934481664849</v>
      </c>
      <c r="D462" s="9" t="n">
        <v>-0.1387257093250625</v>
      </c>
      <c r="E462" s="9" t="n">
        <v>-1.273253419497745</v>
      </c>
      <c r="F462" s="9" t="n">
        <v>-0.7876012156766472</v>
      </c>
      <c r="G462" s="7" t="n"/>
      <c r="H462" s="7" t="inlineStr">
        <is>
          <t>否</t>
        </is>
      </c>
      <c r="I462" s="7" t="inlineStr">
        <is>
          <t>否</t>
        </is>
      </c>
      <c r="J462" s="7" t="inlineStr"/>
    </row>
    <row r="464">
      <c r="A464" s="11" t="n">
        <v>45316</v>
      </c>
      <c r="B464" s="7" t="inlineStr">
        <is>
          <t>通信设备</t>
        </is>
      </c>
      <c r="C464" s="9" t="n">
        <v>1.564439494418917</v>
      </c>
      <c r="D464" s="9" t="n">
        <v>1.594388299421192</v>
      </c>
      <c r="E464" s="9" t="n">
        <v>2.165481547567624</v>
      </c>
      <c r="F464" s="9" t="n">
        <v>0.933448636267935</v>
      </c>
      <c r="G464" s="7" t="n"/>
      <c r="H464" s="7" t="inlineStr">
        <is>
          <t>否</t>
        </is>
      </c>
      <c r="I464" s="7" t="inlineStr">
        <is>
          <t>否</t>
        </is>
      </c>
      <c r="J464" s="7" t="inlineStr"/>
    </row>
    <row r="465">
      <c r="A465" s="11" t="n">
        <v>45316</v>
      </c>
      <c r="B465" s="7" t="inlineStr">
        <is>
          <t>工业有色</t>
        </is>
      </c>
      <c r="C465" s="9" t="n">
        <v>0.6581723350157044</v>
      </c>
      <c r="D465" s="9" t="n">
        <v>1.408053589277604</v>
      </c>
      <c r="E465" s="9" t="n">
        <v>0.863147385182527</v>
      </c>
      <c r="F465" s="9" t="n">
        <v>-0.2966839694130181</v>
      </c>
      <c r="G465" s="7" t="n"/>
      <c r="H465" s="7" t="inlineStr">
        <is>
          <t>否</t>
        </is>
      </c>
      <c r="I465" s="7" t="inlineStr">
        <is>
          <t>否</t>
        </is>
      </c>
      <c r="J465" s="7" t="inlineStr"/>
    </row>
    <row r="466">
      <c r="A466" s="11" t="n">
        <v>45316</v>
      </c>
      <c r="B466" s="7" t="inlineStr">
        <is>
          <t>港股通创新药</t>
        </is>
      </c>
      <c r="C466" s="9" t="n">
        <v>0.3466393021672828</v>
      </c>
      <c r="D466" s="9" t="n">
        <v>-0.004825986334974823</v>
      </c>
      <c r="E466" s="9" t="n">
        <v>-0.5231058083361512</v>
      </c>
      <c r="F466" s="9" t="n">
        <v>1.567849701172974</v>
      </c>
      <c r="G466" s="7" t="n"/>
      <c r="H466" s="7" t="inlineStr">
        <is>
          <t>否</t>
        </is>
      </c>
      <c r="I466" s="7" t="inlineStr">
        <is>
          <t>否</t>
        </is>
      </c>
      <c r="J466" s="7" t="inlineStr"/>
    </row>
    <row r="467">
      <c r="A467" s="11" t="n">
        <v>45316</v>
      </c>
      <c r="B467" s="7" t="inlineStr">
        <is>
          <t>新能源电池</t>
        </is>
      </c>
      <c r="C467" s="9" t="n">
        <v>0.1269450897504501</v>
      </c>
      <c r="D467" s="9" t="n">
        <v>1.068444221266687</v>
      </c>
      <c r="E467" s="9" t="n">
        <v>0.6071998725937579</v>
      </c>
      <c r="F467" s="9" t="n">
        <v>-1.294808824609095</v>
      </c>
      <c r="G467" s="7" t="n"/>
      <c r="H467" s="7" t="inlineStr">
        <is>
          <t>否</t>
        </is>
      </c>
      <c r="I467" s="7" t="inlineStr">
        <is>
          <t>否</t>
        </is>
      </c>
      <c r="J467" s="7" t="inlineStr"/>
    </row>
    <row r="468">
      <c r="A468" s="11" t="n">
        <v>45316</v>
      </c>
      <c r="B468" s="7" t="inlineStr">
        <is>
          <t>卫星产业</t>
        </is>
      </c>
      <c r="C468" s="9" t="n">
        <v>-0.3063980210849007</v>
      </c>
      <c r="D468" s="9" t="n">
        <v>-1.053862360840237</v>
      </c>
      <c r="E468" s="9" t="n">
        <v>-1.138036160160284</v>
      </c>
      <c r="F468" s="9" t="n">
        <v>1.272704457745818</v>
      </c>
      <c r="G468" s="7" t="n"/>
      <c r="H468" s="7" t="inlineStr">
        <is>
          <t>否</t>
        </is>
      </c>
      <c r="I468" s="7" t="inlineStr">
        <is>
          <t>否</t>
        </is>
      </c>
      <c r="J468" s="7" t="inlineStr"/>
    </row>
    <row r="469">
      <c r="A469" s="16" t="n">
        <v>45316</v>
      </c>
      <c r="B469" s="17" t="inlineStr">
        <is>
          <t>科创芯片设计</t>
        </is>
      </c>
      <c r="C469" s="18" t="n">
        <v>-0.3552111933724938</v>
      </c>
      <c r="D469" s="18" t="n">
        <v>-1.091595654275336</v>
      </c>
      <c r="E469" s="18" t="n">
        <v>-0.1584910521193472</v>
      </c>
      <c r="F469" s="18" t="n">
        <v>0.1844531262772022</v>
      </c>
      <c r="G469" s="17" t="n"/>
      <c r="H469" s="17" t="inlineStr">
        <is>
          <t>否</t>
        </is>
      </c>
      <c r="I469" s="17" t="inlineStr">
        <is>
          <t>是</t>
        </is>
      </c>
      <c r="J469" s="17" t="inlineStr">
        <is>
          <t>卖出</t>
        </is>
      </c>
    </row>
    <row r="470">
      <c r="A470" s="11" t="n">
        <v>45316</v>
      </c>
      <c r="B470" s="7" t="inlineStr">
        <is>
          <t>计算机</t>
        </is>
      </c>
      <c r="C470" s="9" t="n">
        <v>-0.4438850456208483</v>
      </c>
      <c r="D470" s="9" t="n">
        <v>-0.5908806230395686</v>
      </c>
      <c r="E470" s="9" t="n">
        <v>-0.09973569360096829</v>
      </c>
      <c r="F470" s="9" t="n">
        <v>-0.6410388202220082</v>
      </c>
      <c r="G470" s="7" t="n"/>
      <c r="H470" s="7" t="inlineStr">
        <is>
          <t>否</t>
        </is>
      </c>
      <c r="I470" s="7" t="inlineStr">
        <is>
          <t>否</t>
        </is>
      </c>
      <c r="J470" s="7" t="inlineStr"/>
    </row>
    <row r="471">
      <c r="A471" s="11" t="n">
        <v>45316</v>
      </c>
      <c r="B471" s="7" t="inlineStr">
        <is>
          <t>机器人</t>
        </is>
      </c>
      <c r="C471" s="9" t="n">
        <v>-0.502986024449974</v>
      </c>
      <c r="D471" s="9" t="n">
        <v>-0.3898379671409282</v>
      </c>
      <c r="E471" s="9" t="n">
        <v>-0.2401790022032578</v>
      </c>
      <c r="F471" s="9" t="n">
        <v>-0.878941104005736</v>
      </c>
      <c r="G471" s="7" t="n"/>
      <c r="H471" s="7" t="inlineStr">
        <is>
          <t>否</t>
        </is>
      </c>
      <c r="I471" s="7" t="inlineStr">
        <is>
          <t>否</t>
        </is>
      </c>
      <c r="J471" s="7" t="inlineStr"/>
    </row>
    <row r="472">
      <c r="A472" s="11" t="n">
        <v>45316</v>
      </c>
      <c r="B472" s="7" t="inlineStr">
        <is>
          <t>港股通互联网</t>
        </is>
      </c>
      <c r="C472" s="9" t="n">
        <v>-0.5149002474422257</v>
      </c>
      <c r="D472" s="9" t="n">
        <v>-0.2593429902559895</v>
      </c>
      <c r="E472" s="9" t="n">
        <v>-0.2660425235304136</v>
      </c>
      <c r="F472" s="9" t="n">
        <v>-1.019315228540274</v>
      </c>
      <c r="G472" s="7" t="n"/>
      <c r="H472" s="7" t="inlineStr">
        <is>
          <t>否</t>
        </is>
      </c>
      <c r="I472" s="7" t="inlineStr">
        <is>
          <t>否</t>
        </is>
      </c>
      <c r="J472" s="7" t="inlineStr"/>
    </row>
    <row r="473">
      <c r="A473" s="11" t="n">
        <v>45316</v>
      </c>
      <c r="B473" s="7" t="inlineStr">
        <is>
          <t>半导体材料设备</t>
        </is>
      </c>
      <c r="C473" s="9" t="n">
        <v>-0.5728156893819135</v>
      </c>
      <c r="D473" s="9" t="n">
        <v>-0.6805405280784508</v>
      </c>
      <c r="E473" s="9" t="n">
        <v>-1.210238565393489</v>
      </c>
      <c r="F473" s="9" t="n">
        <v>0.1723320253261997</v>
      </c>
      <c r="G473" s="7" t="n"/>
      <c r="H473" s="7" t="inlineStr">
        <is>
          <t>否</t>
        </is>
      </c>
      <c r="I473" s="7" t="inlineStr">
        <is>
          <t>否</t>
        </is>
      </c>
      <c r="J473" s="7" t="inlineStr"/>
    </row>
    <row r="475">
      <c r="A475" s="13" t="n">
        <v>45356</v>
      </c>
      <c r="B475" s="14" t="inlineStr">
        <is>
          <t>通信设备</t>
        </is>
      </c>
      <c r="C475" s="15" t="n">
        <v>2.018515361051636</v>
      </c>
      <c r="D475" s="15" t="n">
        <v>2.080519771777867</v>
      </c>
      <c r="E475" s="15" t="n">
        <v>1.940139042894044</v>
      </c>
      <c r="F475" s="15" t="n">
        <v>2.034887268482995</v>
      </c>
      <c r="G475" s="14" t="n">
        <v>1</v>
      </c>
      <c r="H475" s="14" t="inlineStr">
        <is>
          <t>是</t>
        </is>
      </c>
      <c r="I475" s="14" t="inlineStr">
        <is>
          <t>否</t>
        </is>
      </c>
      <c r="J475" s="14" t="inlineStr">
        <is>
          <t>买入</t>
        </is>
      </c>
    </row>
    <row r="476">
      <c r="A476" s="11" t="n">
        <v>45356</v>
      </c>
      <c r="B476" s="7" t="inlineStr">
        <is>
          <t>机器人</t>
        </is>
      </c>
      <c r="C476" s="9" t="n">
        <v>0.6032979992928332</v>
      </c>
      <c r="D476" s="9" t="n">
        <v>1.181047079414124</v>
      </c>
      <c r="E476" s="9" t="n">
        <v>0.395011831528835</v>
      </c>
      <c r="F476" s="9" t="n">
        <v>0.2338350869355413</v>
      </c>
      <c r="G476" s="7" t="n">
        <v>2</v>
      </c>
      <c r="H476" s="7" t="inlineStr">
        <is>
          <t>是</t>
        </is>
      </c>
      <c r="I476" s="7" t="inlineStr">
        <is>
          <t>否</t>
        </is>
      </c>
      <c r="J476" s="7" t="inlineStr"/>
    </row>
    <row r="477">
      <c r="A477" s="11" t="n">
        <v>45356</v>
      </c>
      <c r="B477" s="7" t="inlineStr">
        <is>
          <t>工业有色</t>
        </is>
      </c>
      <c r="C477" s="9" t="n">
        <v>0.5571032077360477</v>
      </c>
      <c r="D477" s="9" t="n">
        <v>-0.3121512378569334</v>
      </c>
      <c r="E477" s="9" t="n">
        <v>1.254283453174364</v>
      </c>
      <c r="F477" s="9" t="n">
        <v>0.7291774078907127</v>
      </c>
      <c r="G477" s="7" t="n">
        <v>3</v>
      </c>
      <c r="H477" s="7" t="inlineStr">
        <is>
          <t>是</t>
        </is>
      </c>
      <c r="I477" s="7" t="inlineStr">
        <is>
          <t>否</t>
        </is>
      </c>
      <c r="J477" s="7" t="inlineStr"/>
    </row>
    <row r="478">
      <c r="A478" s="11" t="n">
        <v>45356</v>
      </c>
      <c r="B478" s="7" t="inlineStr">
        <is>
          <t>科创芯片设计</t>
        </is>
      </c>
      <c r="C478" s="9" t="n">
        <v>0.007002784675344829</v>
      </c>
      <c r="D478" s="9" t="n">
        <v>0.1154485113978681</v>
      </c>
      <c r="E478" s="9" t="n">
        <v>-0.2675748961420112</v>
      </c>
      <c r="F478" s="9" t="n">
        <v>0.1731347387701776</v>
      </c>
      <c r="G478" s="7" t="n">
        <v>4</v>
      </c>
      <c r="H478" s="7" t="inlineStr">
        <is>
          <t>是</t>
        </is>
      </c>
      <c r="I478" s="7" t="inlineStr">
        <is>
          <t>否</t>
        </is>
      </c>
      <c r="J478" s="7" t="inlineStr"/>
    </row>
    <row r="479">
      <c r="A479" s="11" t="n">
        <v>45356</v>
      </c>
      <c r="B479" s="7" t="inlineStr">
        <is>
          <t>半导体材料设备</t>
        </is>
      </c>
      <c r="C479" s="9" t="n">
        <v>-0.01134426360860684</v>
      </c>
      <c r="D479" s="9" t="n">
        <v>0.2869048388363359</v>
      </c>
      <c r="E479" s="9" t="n">
        <v>-0.1973511697768533</v>
      </c>
      <c r="F479" s="9" t="n">
        <v>-0.1235864598853032</v>
      </c>
      <c r="G479" s="7" t="n">
        <v>5</v>
      </c>
      <c r="H479" s="7" t="inlineStr">
        <is>
          <t>是</t>
        </is>
      </c>
      <c r="I479" s="7" t="inlineStr">
        <is>
          <t>否</t>
        </is>
      </c>
      <c r="J479" s="7" t="inlineStr"/>
    </row>
    <row r="480">
      <c r="A480" s="11" t="n">
        <v>45356</v>
      </c>
      <c r="B480" s="7" t="inlineStr">
        <is>
          <t>卫星产业</t>
        </is>
      </c>
      <c r="C480" s="9" t="n">
        <v>-0.2744751019087949</v>
      </c>
      <c r="D480" s="9" t="n">
        <v>-0.5946530821986105</v>
      </c>
      <c r="E480" s="9" t="n">
        <v>-0.629574068237829</v>
      </c>
      <c r="F480" s="9" t="n">
        <v>0.4008018447100547</v>
      </c>
      <c r="G480" s="7" t="n"/>
      <c r="H480" s="7" t="inlineStr">
        <is>
          <t>否</t>
        </is>
      </c>
      <c r="I480" s="7" t="inlineStr">
        <is>
          <t>否</t>
        </is>
      </c>
      <c r="J480" s="7" t="inlineStr"/>
    </row>
    <row r="481">
      <c r="A481" s="11" t="n">
        <v>45356</v>
      </c>
      <c r="B481" s="7" t="inlineStr">
        <is>
          <t>新能源电池</t>
        </is>
      </c>
      <c r="C481" s="9" t="n">
        <v>-0.3827698529133101</v>
      </c>
      <c r="D481" s="9" t="n">
        <v>-0.2892901654538483</v>
      </c>
      <c r="E481" s="9" t="n">
        <v>0.1642626332127374</v>
      </c>
      <c r="F481" s="9" t="n">
        <v>-1.023282026498819</v>
      </c>
      <c r="G481" s="7" t="n"/>
      <c r="H481" s="7" t="inlineStr">
        <is>
          <t>否</t>
        </is>
      </c>
      <c r="I481" s="7" t="inlineStr">
        <is>
          <t>否</t>
        </is>
      </c>
      <c r="J481" s="7" t="inlineStr"/>
    </row>
    <row r="482">
      <c r="A482" s="11" t="n">
        <v>45356</v>
      </c>
      <c r="B482" s="7" t="inlineStr">
        <is>
          <t>计算机</t>
        </is>
      </c>
      <c r="C482" s="9" t="n">
        <v>-0.3951508646103201</v>
      </c>
      <c r="D482" s="9" t="n">
        <v>-0.2902389730427965</v>
      </c>
      <c r="E482" s="9" t="n">
        <v>-0.2966547780434413</v>
      </c>
      <c r="F482" s="9" t="n">
        <v>-0.5985588427447226</v>
      </c>
      <c r="G482" s="7" t="n"/>
      <c r="H482" s="7" t="inlineStr">
        <is>
          <t>否</t>
        </is>
      </c>
      <c r="I482" s="7" t="inlineStr">
        <is>
          <t>否</t>
        </is>
      </c>
      <c r="J482" s="7" t="inlineStr"/>
    </row>
    <row r="483">
      <c r="A483" s="11" t="n">
        <v>45356</v>
      </c>
      <c r="B483" s="7" t="inlineStr">
        <is>
          <t>港股通创新药</t>
        </is>
      </c>
      <c r="C483" s="9" t="n">
        <v>-1.001369572739542</v>
      </c>
      <c r="D483" s="9" t="n">
        <v>-1.397826034744271</v>
      </c>
      <c r="E483" s="9" t="n">
        <v>-1.397954103821285</v>
      </c>
      <c r="F483" s="9" t="n">
        <v>-0.2083285796530713</v>
      </c>
      <c r="G483" s="7" t="n"/>
      <c r="H483" s="7" t="inlineStr">
        <is>
          <t>否</t>
        </is>
      </c>
      <c r="I483" s="7" t="inlineStr">
        <is>
          <t>否</t>
        </is>
      </c>
      <c r="J483" s="7" t="inlineStr"/>
    </row>
    <row r="484">
      <c r="A484" s="11" t="n">
        <v>45356</v>
      </c>
      <c r="B484" s="7" t="inlineStr">
        <is>
          <t>港股通互联网</t>
        </is>
      </c>
      <c r="C484" s="9" t="n">
        <v>-1.120809696975288</v>
      </c>
      <c r="D484" s="9" t="n">
        <v>-0.7797607081297345</v>
      </c>
      <c r="E484" s="9" t="n">
        <v>-0.9645879447885619</v>
      </c>
      <c r="F484" s="9" t="n">
        <v>-1.618080438007568</v>
      </c>
      <c r="G484" s="7" t="n"/>
      <c r="H484" s="7" t="inlineStr">
        <is>
          <t>否</t>
        </is>
      </c>
      <c r="I484" s="7" t="inlineStr">
        <is>
          <t>否</t>
        </is>
      </c>
      <c r="J484" s="7" t="inlineStr"/>
    </row>
    <row r="486">
      <c r="A486" s="11" t="n">
        <v>45377</v>
      </c>
      <c r="B486" s="7" t="inlineStr">
        <is>
          <t>通信设备</t>
        </is>
      </c>
      <c r="C486" s="9" t="n">
        <v>1.350867264258577</v>
      </c>
      <c r="D486" s="9" t="n">
        <v>0.2018723146978448</v>
      </c>
      <c r="E486" s="9" t="n">
        <v>1.568666699789847</v>
      </c>
      <c r="F486" s="9" t="n">
        <v>2.28206277828804</v>
      </c>
      <c r="G486" s="7" t="n">
        <v>1</v>
      </c>
      <c r="H486" s="7" t="inlineStr">
        <is>
          <t>是</t>
        </is>
      </c>
      <c r="I486" s="7" t="inlineStr">
        <is>
          <t>是</t>
        </is>
      </c>
      <c r="J486" s="7" t="inlineStr">
        <is>
          <t>保留</t>
        </is>
      </c>
    </row>
    <row r="487">
      <c r="A487" s="13" t="n">
        <v>45377</v>
      </c>
      <c r="B487" s="14" t="inlineStr">
        <is>
          <t>工业有色</t>
        </is>
      </c>
      <c r="C487" s="15" t="n">
        <v>1.338086731940645</v>
      </c>
      <c r="D487" s="15" t="n">
        <v>1.673544003874472</v>
      </c>
      <c r="E487" s="15" t="n">
        <v>1.458987339302231</v>
      </c>
      <c r="F487" s="15" t="n">
        <v>0.8817288526452309</v>
      </c>
      <c r="G487" s="14" t="n">
        <v>2</v>
      </c>
      <c r="H487" s="14" t="inlineStr">
        <is>
          <t>是</t>
        </is>
      </c>
      <c r="I487" s="14" t="inlineStr">
        <is>
          <t>否</t>
        </is>
      </c>
      <c r="J487" s="14" t="inlineStr">
        <is>
          <t>买入</t>
        </is>
      </c>
    </row>
    <row r="488">
      <c r="A488" s="11" t="n">
        <v>45377</v>
      </c>
      <c r="B488" s="7" t="inlineStr">
        <is>
          <t>新能源电池</t>
        </is>
      </c>
      <c r="C488" s="9" t="n">
        <v>0.6488749391816319</v>
      </c>
      <c r="D488" s="9" t="n">
        <v>1.182394068863402</v>
      </c>
      <c r="E488" s="9" t="n">
        <v>0.5561995872485549</v>
      </c>
      <c r="F488" s="9" t="n">
        <v>0.208031161432939</v>
      </c>
      <c r="G488" s="7" t="n">
        <v>3</v>
      </c>
      <c r="H488" s="7" t="inlineStr">
        <is>
          <t>是</t>
        </is>
      </c>
      <c r="I488" s="7" t="inlineStr">
        <is>
          <t>否</t>
        </is>
      </c>
      <c r="J488" s="7" t="inlineStr"/>
    </row>
    <row r="489">
      <c r="A489" s="11" t="n">
        <v>45377</v>
      </c>
      <c r="B489" s="7" t="inlineStr">
        <is>
          <t>半导体材料设备</t>
        </is>
      </c>
      <c r="C489" s="9" t="n">
        <v>0.1176450809374319</v>
      </c>
      <c r="D489" s="9" t="n">
        <v>0.3615799926917427</v>
      </c>
      <c r="E489" s="9" t="n">
        <v>-0.1461610361146947</v>
      </c>
      <c r="F489" s="9" t="n">
        <v>0.1375162862352477</v>
      </c>
      <c r="G489" s="7" t="n">
        <v>4</v>
      </c>
      <c r="H489" s="7" t="inlineStr">
        <is>
          <t>是</t>
        </is>
      </c>
      <c r="I489" s="7" t="inlineStr">
        <is>
          <t>否</t>
        </is>
      </c>
      <c r="J489" s="7" t="inlineStr"/>
    </row>
    <row r="490">
      <c r="A490" s="11" t="n">
        <v>45377</v>
      </c>
      <c r="B490" s="7" t="inlineStr">
        <is>
          <t>港股通互联网</t>
        </is>
      </c>
      <c r="C490" s="9" t="n">
        <v>0.05435751240642642</v>
      </c>
      <c r="D490" s="9" t="n">
        <v>0.5960723016087276</v>
      </c>
      <c r="E490" s="9" t="n">
        <v>0.2225535111772347</v>
      </c>
      <c r="F490" s="9" t="n">
        <v>-0.655553275566683</v>
      </c>
      <c r="G490" s="7" t="n">
        <v>5</v>
      </c>
      <c r="H490" s="7" t="inlineStr">
        <is>
          <t>是</t>
        </is>
      </c>
      <c r="I490" s="7" t="inlineStr">
        <is>
          <t>否</t>
        </is>
      </c>
      <c r="J490" s="7" t="inlineStr"/>
    </row>
    <row r="491">
      <c r="A491" s="11" t="n">
        <v>45377</v>
      </c>
      <c r="B491" s="7" t="inlineStr">
        <is>
          <t>机器人</t>
        </is>
      </c>
      <c r="C491" s="9" t="n">
        <v>0.007551386814361062</v>
      </c>
      <c r="D491" s="9" t="n">
        <v>-0.343469580568305</v>
      </c>
      <c r="E491" s="9" t="n">
        <v>0.224108790402213</v>
      </c>
      <c r="F491" s="9" t="n">
        <v>0.1420149506091752</v>
      </c>
      <c r="G491" s="7" t="n">
        <v>6</v>
      </c>
      <c r="H491" s="7" t="inlineStr">
        <is>
          <t>是</t>
        </is>
      </c>
      <c r="I491" s="7" t="inlineStr">
        <is>
          <t>否</t>
        </is>
      </c>
      <c r="J491" s="7" t="inlineStr"/>
    </row>
    <row r="492">
      <c r="A492" s="11" t="n">
        <v>45377</v>
      </c>
      <c r="B492" s="7" t="inlineStr">
        <is>
          <t>计算机</t>
        </is>
      </c>
      <c r="C492" s="9" t="n">
        <v>-0.6087853029741606</v>
      </c>
      <c r="D492" s="9" t="n">
        <v>-0.4423771432450105</v>
      </c>
      <c r="E492" s="9" t="n">
        <v>-0.621031862997113</v>
      </c>
      <c r="F492" s="9" t="n">
        <v>-0.7629469026803581</v>
      </c>
      <c r="G492" s="7" t="n">
        <v>7</v>
      </c>
      <c r="H492" s="7" t="inlineStr">
        <is>
          <t>是</t>
        </is>
      </c>
      <c r="I492" s="7" t="inlineStr">
        <is>
          <t>否</t>
        </is>
      </c>
      <c r="J492" s="7" t="inlineStr"/>
    </row>
    <row r="493">
      <c r="A493" s="11" t="n">
        <v>45377</v>
      </c>
      <c r="B493" s="7" t="inlineStr">
        <is>
          <t>卫星产业</t>
        </is>
      </c>
      <c r="C493" s="9" t="n">
        <v>-0.6698338773619538</v>
      </c>
      <c r="D493" s="9" t="n">
        <v>-0.5101202046442886</v>
      </c>
      <c r="E493" s="9" t="n">
        <v>-0.9228497366752403</v>
      </c>
      <c r="F493" s="9" t="n">
        <v>-0.576531690766332</v>
      </c>
      <c r="G493" s="7" t="n"/>
      <c r="H493" s="7" t="inlineStr">
        <is>
          <t>否</t>
        </is>
      </c>
      <c r="I493" s="7" t="inlineStr">
        <is>
          <t>否</t>
        </is>
      </c>
      <c r="J493" s="7" t="inlineStr"/>
    </row>
    <row r="494">
      <c r="A494" s="11" t="n">
        <v>45377</v>
      </c>
      <c r="B494" s="7" t="inlineStr">
        <is>
          <t>科创芯片设计</t>
        </is>
      </c>
      <c r="C494" s="9" t="n">
        <v>-0.9827522747167395</v>
      </c>
      <c r="D494" s="9" t="n">
        <v>-1.323142324922012</v>
      </c>
      <c r="E494" s="9" t="n">
        <v>-1.12593621047868</v>
      </c>
      <c r="F494" s="9" t="n">
        <v>-0.4991782887495274</v>
      </c>
      <c r="G494" s="7" t="n"/>
      <c r="H494" s="7" t="inlineStr">
        <is>
          <t>否</t>
        </is>
      </c>
      <c r="I494" s="7" t="inlineStr">
        <is>
          <t>否</t>
        </is>
      </c>
      <c r="J494" s="7" t="inlineStr"/>
    </row>
    <row r="495">
      <c r="A495" s="11" t="n">
        <v>45377</v>
      </c>
      <c r="B495" s="7" t="inlineStr">
        <is>
          <t>港股通创新药</t>
        </is>
      </c>
      <c r="C495" s="9" t="n">
        <v>-1.256011460486219</v>
      </c>
      <c r="D495" s="9" t="n">
        <v>-1.396353428356574</v>
      </c>
      <c r="E495" s="9" t="n">
        <v>-1.214537081654352</v>
      </c>
      <c r="F495" s="9" t="n">
        <v>-1.157143871447732</v>
      </c>
      <c r="G495" s="7" t="n"/>
      <c r="H495" s="7" t="inlineStr">
        <is>
          <t>否</t>
        </is>
      </c>
      <c r="I495" s="7" t="inlineStr">
        <is>
          <t>否</t>
        </is>
      </c>
      <c r="J495" s="7" t="inlineStr"/>
    </row>
    <row r="497">
      <c r="A497" s="13" t="n">
        <v>45407</v>
      </c>
      <c r="B497" s="14" t="inlineStr">
        <is>
          <t>港股通互联网</t>
        </is>
      </c>
      <c r="C497" s="15" t="n">
        <v>1.447371718519452</v>
      </c>
      <c r="D497" s="15" t="n">
        <v>2.161898914594213</v>
      </c>
      <c r="E497" s="15" t="n">
        <v>1.650597348922458</v>
      </c>
      <c r="F497" s="15" t="n">
        <v>0.5296188920416848</v>
      </c>
      <c r="G497" s="14" t="n">
        <v>1</v>
      </c>
      <c r="H497" s="14" t="inlineStr">
        <is>
          <t>是</t>
        </is>
      </c>
      <c r="I497" s="14" t="inlineStr">
        <is>
          <t>否</t>
        </is>
      </c>
      <c r="J497" s="14" t="inlineStr">
        <is>
          <t>买入</t>
        </is>
      </c>
    </row>
    <row r="498">
      <c r="A498" s="11" t="n">
        <v>45407</v>
      </c>
      <c r="B498" s="7" t="inlineStr">
        <is>
          <t>工业有色</t>
        </is>
      </c>
      <c r="C498" s="9" t="n">
        <v>1.294175366338768</v>
      </c>
      <c r="D498" s="9" t="n">
        <v>1.197521221404545</v>
      </c>
      <c r="E498" s="9" t="n">
        <v>1.285131905990928</v>
      </c>
      <c r="F498" s="9" t="n">
        <v>1.399872971620832</v>
      </c>
      <c r="G498" s="7" t="n">
        <v>2</v>
      </c>
      <c r="H498" s="7" t="inlineStr">
        <is>
          <t>是</t>
        </is>
      </c>
      <c r="I498" s="7" t="inlineStr">
        <is>
          <t>是</t>
        </is>
      </c>
      <c r="J498" s="7" t="inlineStr">
        <is>
          <t>保留</t>
        </is>
      </c>
    </row>
    <row r="499">
      <c r="A499" s="11" t="n">
        <v>45407</v>
      </c>
      <c r="B499" s="7" t="inlineStr">
        <is>
          <t>通信设备</t>
        </is>
      </c>
      <c r="C499" s="9" t="n">
        <v>1.020969294197216</v>
      </c>
      <c r="D499" s="9" t="n">
        <v>0.3155194632694247</v>
      </c>
      <c r="E499" s="9" t="n">
        <v>0.9421908190845003</v>
      </c>
      <c r="F499" s="9" t="n">
        <v>1.805197600237722</v>
      </c>
      <c r="G499" s="7" t="n">
        <v>3</v>
      </c>
      <c r="H499" s="7" t="inlineStr">
        <is>
          <t>是</t>
        </is>
      </c>
      <c r="I499" s="7" t="inlineStr">
        <is>
          <t>是</t>
        </is>
      </c>
      <c r="J499" s="7" t="inlineStr">
        <is>
          <t>保留</t>
        </is>
      </c>
    </row>
    <row r="500">
      <c r="A500" s="11" t="n">
        <v>45407</v>
      </c>
      <c r="B500" s="7" t="inlineStr">
        <is>
          <t>机器人</t>
        </is>
      </c>
      <c r="C500" s="9" t="n">
        <v>0.07855340397351507</v>
      </c>
      <c r="D500" s="9" t="n">
        <v>-0.275610372545911</v>
      </c>
      <c r="E500" s="9" t="n">
        <v>0.3892727960145012</v>
      </c>
      <c r="F500" s="9" t="n">
        <v>0.121997788451955</v>
      </c>
      <c r="G500" s="7" t="n"/>
      <c r="H500" s="7" t="inlineStr">
        <is>
          <t>否</t>
        </is>
      </c>
      <c r="I500" s="7" t="inlineStr">
        <is>
          <t>否</t>
        </is>
      </c>
      <c r="J500" s="7" t="inlineStr"/>
    </row>
    <row r="501">
      <c r="A501" s="11" t="n">
        <v>45407</v>
      </c>
      <c r="B501" s="7" t="inlineStr">
        <is>
          <t>新能源电池</t>
        </is>
      </c>
      <c r="C501" s="9" t="n">
        <v>-0.3612010362476962</v>
      </c>
      <c r="D501" s="9" t="n">
        <v>-0.6150115565163981</v>
      </c>
      <c r="E501" s="9" t="n">
        <v>-0.4406796518476602</v>
      </c>
      <c r="F501" s="9" t="n">
        <v>-0.02791190037903036</v>
      </c>
      <c r="G501" s="7" t="n"/>
      <c r="H501" s="7" t="inlineStr">
        <is>
          <t>否</t>
        </is>
      </c>
      <c r="I501" s="7" t="inlineStr">
        <is>
          <t>否</t>
        </is>
      </c>
      <c r="J501" s="7" t="inlineStr"/>
    </row>
    <row r="502">
      <c r="A502" s="11" t="n">
        <v>45407</v>
      </c>
      <c r="B502" s="7" t="inlineStr">
        <is>
          <t>卫星产业</t>
        </is>
      </c>
      <c r="C502" s="9" t="n">
        <v>-0.3964436160578828</v>
      </c>
      <c r="D502" s="9" t="n">
        <v>-0.04145185930248535</v>
      </c>
      <c r="E502" s="9" t="n">
        <v>-0.475495999095488</v>
      </c>
      <c r="F502" s="9" t="n">
        <v>-0.6723829897756749</v>
      </c>
      <c r="G502" s="7" t="n"/>
      <c r="H502" s="7" t="inlineStr">
        <is>
          <t>否</t>
        </is>
      </c>
      <c r="I502" s="7" t="inlineStr">
        <is>
          <t>否</t>
        </is>
      </c>
      <c r="J502" s="7" t="inlineStr"/>
    </row>
    <row r="503">
      <c r="A503" s="11" t="n">
        <v>45407</v>
      </c>
      <c r="B503" s="7" t="inlineStr">
        <is>
          <t>科创芯片设计</t>
        </is>
      </c>
      <c r="C503" s="9" t="n">
        <v>-0.5801871067303089</v>
      </c>
      <c r="D503" s="9" t="n">
        <v>-0.4411585924420417</v>
      </c>
      <c r="E503" s="9" t="n">
        <v>-0.9322532320474115</v>
      </c>
      <c r="F503" s="9" t="n">
        <v>-0.3671494957014738</v>
      </c>
      <c r="G503" s="7" t="n"/>
      <c r="H503" s="7" t="inlineStr">
        <is>
          <t>否</t>
        </is>
      </c>
      <c r="I503" s="7" t="inlineStr">
        <is>
          <t>否</t>
        </is>
      </c>
      <c r="J503" s="7" t="inlineStr"/>
    </row>
    <row r="504">
      <c r="A504" s="11" t="n">
        <v>45407</v>
      </c>
      <c r="B504" s="7" t="inlineStr">
        <is>
          <t>半导体材料设备</t>
        </is>
      </c>
      <c r="C504" s="9" t="n">
        <v>-0.7339930149885605</v>
      </c>
      <c r="D504" s="9" t="n">
        <v>-1.003904133421571</v>
      </c>
      <c r="E504" s="9" t="n">
        <v>-0.5057779052494389</v>
      </c>
      <c r="F504" s="9" t="n">
        <v>-0.6922970062946721</v>
      </c>
      <c r="G504" s="7" t="n"/>
      <c r="H504" s="7" t="inlineStr">
        <is>
          <t>否</t>
        </is>
      </c>
      <c r="I504" s="7" t="inlineStr">
        <is>
          <t>否</t>
        </is>
      </c>
      <c r="J504" s="7" t="inlineStr"/>
    </row>
    <row r="505">
      <c r="A505" s="11" t="n">
        <v>45407</v>
      </c>
      <c r="B505" s="7" t="inlineStr">
        <is>
          <t>计算机</t>
        </is>
      </c>
      <c r="C505" s="9" t="n">
        <v>-0.7933292142282093</v>
      </c>
      <c r="D505" s="9" t="n">
        <v>-1.031049478770574</v>
      </c>
      <c r="E505" s="9" t="n">
        <v>-0.6326510475367972</v>
      </c>
      <c r="F505" s="9" t="n">
        <v>-0.7162871163772564</v>
      </c>
      <c r="G505" s="7" t="n"/>
      <c r="H505" s="7" t="inlineStr">
        <is>
          <t>否</t>
        </is>
      </c>
      <c r="I505" s="7" t="inlineStr">
        <is>
          <t>否</t>
        </is>
      </c>
      <c r="J505" s="7" t="inlineStr"/>
    </row>
    <row r="506">
      <c r="A506" s="11" t="n">
        <v>45407</v>
      </c>
      <c r="B506" s="7" t="inlineStr">
        <is>
          <t>港股通创新药</t>
        </is>
      </c>
      <c r="C506" s="9" t="n">
        <v>-0.9759157947762928</v>
      </c>
      <c r="D506" s="9" t="n">
        <v>-0.2667536062692011</v>
      </c>
      <c r="E506" s="9" t="n">
        <v>-1.280335034235592</v>
      </c>
      <c r="F506" s="9" t="n">
        <v>-1.380658743824085</v>
      </c>
      <c r="G506" s="7" t="n"/>
      <c r="H506" s="7" t="inlineStr">
        <is>
          <t>否</t>
        </is>
      </c>
      <c r="I506" s="7" t="inlineStr">
        <is>
          <t>否</t>
        </is>
      </c>
      <c r="J506" s="7" t="inlineStr"/>
    </row>
    <row r="508">
      <c r="A508" s="11" t="n">
        <v>45461</v>
      </c>
      <c r="B508" s="7" t="inlineStr">
        <is>
          <t>通信设备</t>
        </is>
      </c>
      <c r="C508" s="9" t="n">
        <v>1.149968498977456</v>
      </c>
      <c r="D508" s="9" t="n">
        <v>1.015607654275346</v>
      </c>
      <c r="E508" s="9" t="n">
        <v>0.770918786325727</v>
      </c>
      <c r="F508" s="9" t="n">
        <v>1.663379056331294</v>
      </c>
      <c r="G508" s="7" t="n">
        <v>1</v>
      </c>
      <c r="H508" s="7" t="inlineStr">
        <is>
          <t>是</t>
        </is>
      </c>
      <c r="I508" s="7" t="inlineStr">
        <is>
          <t>是</t>
        </is>
      </c>
      <c r="J508" s="7" t="inlineStr">
        <is>
          <t>保留</t>
        </is>
      </c>
    </row>
    <row r="509">
      <c r="A509" s="11" t="n">
        <v>45461</v>
      </c>
      <c r="B509" s="7" t="inlineStr">
        <is>
          <t>半导体材料设备</t>
        </is>
      </c>
      <c r="C509" s="9" t="n">
        <v>0.7217497295536405</v>
      </c>
      <c r="D509" s="9" t="n">
        <v>1.550567541203916</v>
      </c>
      <c r="E509" s="9" t="n">
        <v>0.5710256718443368</v>
      </c>
      <c r="F509" s="9" t="n">
        <v>0.04365597561266868</v>
      </c>
      <c r="G509" s="7" t="n">
        <v>2</v>
      </c>
      <c r="H509" s="7" t="inlineStr">
        <is>
          <t>是</t>
        </is>
      </c>
      <c r="I509" s="7" t="inlineStr">
        <is>
          <t>否</t>
        </is>
      </c>
      <c r="J509" s="7" t="inlineStr"/>
    </row>
    <row r="510">
      <c r="A510" s="11" t="n">
        <v>45461</v>
      </c>
      <c r="B510" s="7" t="inlineStr">
        <is>
          <t>港股通互联网</t>
        </is>
      </c>
      <c r="C510" s="9" t="n">
        <v>0.5516439545368307</v>
      </c>
      <c r="D510" s="9" t="n">
        <v>-1.119647395680466</v>
      </c>
      <c r="E510" s="9" t="n">
        <v>2.051302461471349</v>
      </c>
      <c r="F510" s="9" t="n">
        <v>0.7232767978196091</v>
      </c>
      <c r="G510" s="7" t="n">
        <v>3</v>
      </c>
      <c r="H510" s="7" t="inlineStr">
        <is>
          <t>是</t>
        </is>
      </c>
      <c r="I510" s="7" t="inlineStr">
        <is>
          <t>是</t>
        </is>
      </c>
      <c r="J510" s="7" t="inlineStr">
        <is>
          <t>保留</t>
        </is>
      </c>
    </row>
    <row r="511">
      <c r="A511" s="11" t="n">
        <v>45461</v>
      </c>
      <c r="B511" s="7" t="inlineStr">
        <is>
          <t>科创芯片设计</t>
        </is>
      </c>
      <c r="C511" s="9" t="n">
        <v>0.3258747055444434</v>
      </c>
      <c r="D511" s="9" t="n">
        <v>1.268895392661594</v>
      </c>
      <c r="E511" s="9" t="n">
        <v>0.2273500313890258</v>
      </c>
      <c r="F511" s="9" t="n">
        <v>-0.5186213074172894</v>
      </c>
      <c r="G511" s="7" t="n">
        <v>4</v>
      </c>
      <c r="H511" s="7" t="inlineStr">
        <is>
          <t>是</t>
        </is>
      </c>
      <c r="I511" s="7" t="inlineStr">
        <is>
          <t>否</t>
        </is>
      </c>
      <c r="J511" s="7" t="inlineStr"/>
    </row>
    <row r="512">
      <c r="A512" s="11" t="n">
        <v>45461</v>
      </c>
      <c r="B512" s="7" t="inlineStr">
        <is>
          <t>新能源电池</t>
        </is>
      </c>
      <c r="C512" s="9" t="n">
        <v>0.1291083147901376</v>
      </c>
      <c r="D512" s="9" t="n">
        <v>-0.0558904002412778</v>
      </c>
      <c r="E512" s="9" t="n">
        <v>-0.1381557475059738</v>
      </c>
      <c r="F512" s="9" t="n">
        <v>0.5813710921176645</v>
      </c>
      <c r="G512" s="7" t="n"/>
      <c r="H512" s="7" t="inlineStr">
        <is>
          <t>否</t>
        </is>
      </c>
      <c r="I512" s="7" t="inlineStr">
        <is>
          <t>否</t>
        </is>
      </c>
      <c r="J512" s="7" t="inlineStr"/>
    </row>
    <row r="513">
      <c r="A513" s="16" t="n">
        <v>45461</v>
      </c>
      <c r="B513" s="17" t="inlineStr">
        <is>
          <t>工业有色</t>
        </is>
      </c>
      <c r="C513" s="18" t="n">
        <v>-0.06400029730677674</v>
      </c>
      <c r="D513" s="18" t="n">
        <v>-1.25327657147461</v>
      </c>
      <c r="E513" s="18" t="n">
        <v>-0.03891882949882605</v>
      </c>
      <c r="F513" s="18" t="n">
        <v>1.100194509053106</v>
      </c>
      <c r="G513" s="17" t="n"/>
      <c r="H513" s="17" t="inlineStr">
        <is>
          <t>否</t>
        </is>
      </c>
      <c r="I513" s="17" t="inlineStr">
        <is>
          <t>是</t>
        </is>
      </c>
      <c r="J513" s="17" t="inlineStr">
        <is>
          <t>卖出</t>
        </is>
      </c>
    </row>
    <row r="514">
      <c r="A514" s="11" t="n">
        <v>45461</v>
      </c>
      <c r="B514" s="7" t="inlineStr">
        <is>
          <t>卫星产业</t>
        </is>
      </c>
      <c r="C514" s="9" t="n">
        <v>-0.2122105367207225</v>
      </c>
      <c r="D514" s="9" t="n">
        <v>0.289820645325004</v>
      </c>
      <c r="E514" s="9" t="n">
        <v>-0.1419283329278206</v>
      </c>
      <c r="F514" s="9" t="n">
        <v>-0.784523922559351</v>
      </c>
      <c r="G514" s="7" t="n">
        <v>5</v>
      </c>
      <c r="H514" s="7" t="inlineStr">
        <is>
          <t>是</t>
        </is>
      </c>
      <c r="I514" s="7" t="inlineStr">
        <is>
          <t>否</t>
        </is>
      </c>
      <c r="J514" s="7" t="inlineStr"/>
    </row>
    <row r="515">
      <c r="A515" s="11" t="n">
        <v>45461</v>
      </c>
      <c r="B515" s="7" t="inlineStr">
        <is>
          <t>机器人</t>
        </is>
      </c>
      <c r="C515" s="9" t="n">
        <v>-0.6899274585405498</v>
      </c>
      <c r="D515" s="9" t="n">
        <v>-0.6006028296282442</v>
      </c>
      <c r="E515" s="9" t="n">
        <v>-1.188840199604404</v>
      </c>
      <c r="F515" s="9" t="n">
        <v>-0.2803393463890014</v>
      </c>
      <c r="G515" s="7" t="n"/>
      <c r="H515" s="7" t="inlineStr">
        <is>
          <t>否</t>
        </is>
      </c>
      <c r="I515" s="7" t="inlineStr">
        <is>
          <t>否</t>
        </is>
      </c>
      <c r="J515" s="7" t="inlineStr"/>
    </row>
    <row r="516">
      <c r="A516" s="11" t="n">
        <v>45461</v>
      </c>
      <c r="B516" s="7" t="inlineStr">
        <is>
          <t>港股通创新药</t>
        </is>
      </c>
      <c r="C516" s="9" t="n">
        <v>-0.9413110221577209</v>
      </c>
      <c r="D516" s="9" t="n">
        <v>-0.7502194069011077</v>
      </c>
      <c r="E516" s="9" t="n">
        <v>-0.7974045991951599</v>
      </c>
      <c r="F516" s="9" t="n">
        <v>-1.276309060376895</v>
      </c>
      <c r="G516" s="7" t="n"/>
      <c r="H516" s="7" t="inlineStr">
        <is>
          <t>否</t>
        </is>
      </c>
      <c r="I516" s="7" t="inlineStr">
        <is>
          <t>否</t>
        </is>
      </c>
      <c r="J516" s="7" t="inlineStr"/>
    </row>
    <row r="517">
      <c r="A517" s="11" t="n">
        <v>45461</v>
      </c>
      <c r="B517" s="7" t="inlineStr">
        <is>
          <t>计算机</t>
        </is>
      </c>
      <c r="C517" s="9" t="n">
        <v>-0.9708958886767375</v>
      </c>
      <c r="D517" s="9" t="n">
        <v>-0.3452546295401543</v>
      </c>
      <c r="E517" s="9" t="n">
        <v>-1.315349242298253</v>
      </c>
      <c r="F517" s="9" t="n">
        <v>-1.252083794191805</v>
      </c>
      <c r="G517" s="7" t="n"/>
      <c r="H517" s="7" t="inlineStr">
        <is>
          <t>否</t>
        </is>
      </c>
      <c r="I517" s="7" t="inlineStr">
        <is>
          <t>否</t>
        </is>
      </c>
      <c r="J517" s="7" t="inlineStr"/>
    </row>
    <row r="519">
      <c r="A519" s="11" t="n">
        <v>45483</v>
      </c>
      <c r="B519" s="7" t="inlineStr">
        <is>
          <t>通信设备</t>
        </is>
      </c>
      <c r="C519" s="9" t="n">
        <v>1.93108568270194</v>
      </c>
      <c r="D519" s="9" t="n">
        <v>2.104126995213043</v>
      </c>
      <c r="E519" s="9" t="n">
        <v>1.564540241943495</v>
      </c>
      <c r="F519" s="9" t="n">
        <v>2.12458981094928</v>
      </c>
      <c r="G519" s="7" t="n">
        <v>1</v>
      </c>
      <c r="H519" s="7" t="inlineStr">
        <is>
          <t>是</t>
        </is>
      </c>
      <c r="I519" s="7" t="inlineStr">
        <is>
          <t>是</t>
        </is>
      </c>
      <c r="J519" s="7" t="inlineStr">
        <is>
          <t>保留</t>
        </is>
      </c>
    </row>
    <row r="520">
      <c r="A520" s="11" t="n">
        <v>45483</v>
      </c>
      <c r="B520" s="7" t="inlineStr">
        <is>
          <t>科创芯片设计</t>
        </is>
      </c>
      <c r="C520" s="9" t="n">
        <v>0.8429998752486693</v>
      </c>
      <c r="D520" s="9" t="n">
        <v>1.09701189958273</v>
      </c>
      <c r="E520" s="9" t="n">
        <v>1.38734087321297</v>
      </c>
      <c r="F520" s="9" t="n">
        <v>0.04464685295030717</v>
      </c>
      <c r="G520" s="7" t="n">
        <v>2</v>
      </c>
      <c r="H520" s="7" t="inlineStr">
        <is>
          <t>是</t>
        </is>
      </c>
      <c r="I520" s="7" t="inlineStr">
        <is>
          <t>否</t>
        </is>
      </c>
      <c r="J520" s="7" t="inlineStr"/>
    </row>
    <row r="521">
      <c r="A521" s="16" t="n">
        <v>45483</v>
      </c>
      <c r="B521" s="17" t="inlineStr">
        <is>
          <t>港股通互联网</t>
        </is>
      </c>
      <c r="C521" s="18" t="n">
        <v>0.5953126362521109</v>
      </c>
      <c r="D521" s="18" t="n">
        <v>0.1707013018497829</v>
      </c>
      <c r="E521" s="18" t="n">
        <v>0.7479166025918171</v>
      </c>
      <c r="F521" s="18" t="n">
        <v>0.8673200043147328</v>
      </c>
      <c r="G521" s="17" t="n"/>
      <c r="H521" s="17" t="inlineStr">
        <is>
          <t>否</t>
        </is>
      </c>
      <c r="I521" s="17" t="inlineStr">
        <is>
          <t>是</t>
        </is>
      </c>
      <c r="J521" s="17" t="inlineStr">
        <is>
          <t>卖出</t>
        </is>
      </c>
    </row>
    <row r="522">
      <c r="A522" s="11" t="n">
        <v>45483</v>
      </c>
      <c r="B522" s="7" t="inlineStr">
        <is>
          <t>半导体材料设备</t>
        </is>
      </c>
      <c r="C522" s="9" t="n">
        <v>0.1437156611329163</v>
      </c>
      <c r="D522" s="9" t="n">
        <v>-0.2135082407979711</v>
      </c>
      <c r="E522" s="9" t="n">
        <v>0.5478487630262523</v>
      </c>
      <c r="F522" s="9" t="n">
        <v>0.09680646117046761</v>
      </c>
      <c r="G522" s="7" t="n"/>
      <c r="H522" s="7" t="inlineStr">
        <is>
          <t>否</t>
        </is>
      </c>
      <c r="I522" s="7" t="inlineStr">
        <is>
          <t>否</t>
        </is>
      </c>
      <c r="J522" s="7" t="inlineStr"/>
    </row>
    <row r="523">
      <c r="A523" s="11" t="n">
        <v>45483</v>
      </c>
      <c r="B523" s="7" t="inlineStr">
        <is>
          <t>工业有色</t>
        </is>
      </c>
      <c r="C523" s="9" t="n">
        <v>0.09717228265820411</v>
      </c>
      <c r="D523" s="9" t="n">
        <v>0.3506278784325575</v>
      </c>
      <c r="E523" s="9" t="n">
        <v>-0.6526438121587556</v>
      </c>
      <c r="F523" s="9" t="n">
        <v>0.5935327817008104</v>
      </c>
      <c r="G523" s="7" t="n"/>
      <c r="H523" s="7" t="inlineStr">
        <is>
          <t>否</t>
        </is>
      </c>
      <c r="I523" s="7" t="inlineStr">
        <is>
          <t>否</t>
        </is>
      </c>
      <c r="J523" s="7" t="inlineStr"/>
    </row>
    <row r="524">
      <c r="A524" s="11" t="n">
        <v>45483</v>
      </c>
      <c r="B524" s="7" t="inlineStr">
        <is>
          <t>港股通创新药</t>
        </is>
      </c>
      <c r="C524" s="9" t="n">
        <v>-0.5069412105176495</v>
      </c>
      <c r="D524" s="9" t="n">
        <v>-0.1607541348108214</v>
      </c>
      <c r="E524" s="9" t="n">
        <v>-0.2121692710748514</v>
      </c>
      <c r="F524" s="9" t="n">
        <v>-1.147900225667276</v>
      </c>
      <c r="G524" s="7" t="n"/>
      <c r="H524" s="7" t="inlineStr">
        <is>
          <t>否</t>
        </is>
      </c>
      <c r="I524" s="7" t="inlineStr">
        <is>
          <t>否</t>
        </is>
      </c>
      <c r="J524" s="7" t="inlineStr"/>
    </row>
    <row r="525">
      <c r="A525" s="11" t="n">
        <v>45483</v>
      </c>
      <c r="B525" s="7" t="inlineStr">
        <is>
          <t>卫星产业</t>
        </is>
      </c>
      <c r="C525" s="9" t="n">
        <v>-0.6020525314560573</v>
      </c>
      <c r="D525" s="9" t="n">
        <v>-0.7465740811371179</v>
      </c>
      <c r="E525" s="9" t="n">
        <v>-0.2748694797873105</v>
      </c>
      <c r="F525" s="9" t="n">
        <v>-0.7847140334437435</v>
      </c>
      <c r="G525" s="7" t="n"/>
      <c r="H525" s="7" t="inlineStr">
        <is>
          <t>否</t>
        </is>
      </c>
      <c r="I525" s="7" t="inlineStr">
        <is>
          <t>否</t>
        </is>
      </c>
      <c r="J525" s="7" t="inlineStr"/>
    </row>
    <row r="526">
      <c r="A526" s="11" t="n">
        <v>45483</v>
      </c>
      <c r="B526" s="7" t="inlineStr">
        <is>
          <t>机器人</t>
        </is>
      </c>
      <c r="C526" s="9" t="n">
        <v>-0.7815539128335823</v>
      </c>
      <c r="D526" s="9" t="n">
        <v>-0.9303974547375261</v>
      </c>
      <c r="E526" s="9" t="n">
        <v>-1.002994754596997</v>
      </c>
      <c r="F526" s="9" t="n">
        <v>-0.4112695291662241</v>
      </c>
      <c r="G526" s="7" t="n"/>
      <c r="H526" s="7" t="inlineStr">
        <is>
          <t>否</t>
        </is>
      </c>
      <c r="I526" s="7" t="inlineStr">
        <is>
          <t>否</t>
        </is>
      </c>
      <c r="J526" s="7" t="inlineStr"/>
    </row>
    <row r="527">
      <c r="A527" s="11" t="n">
        <v>45483</v>
      </c>
      <c r="B527" s="7" t="inlineStr">
        <is>
          <t>计算机</t>
        </is>
      </c>
      <c r="C527" s="9" t="n">
        <v>-0.855636467134188</v>
      </c>
      <c r="D527" s="9" t="n">
        <v>-0.4317706514156437</v>
      </c>
      <c r="E527" s="9" t="n">
        <v>-1.049124630324612</v>
      </c>
      <c r="F527" s="9" t="n">
        <v>-1.086014119662309</v>
      </c>
      <c r="G527" s="7" t="n"/>
      <c r="H527" s="7" t="inlineStr">
        <is>
          <t>否</t>
        </is>
      </c>
      <c r="I527" s="7" t="inlineStr">
        <is>
          <t>否</t>
        </is>
      </c>
      <c r="J527" s="7" t="inlineStr"/>
    </row>
    <row r="528">
      <c r="A528" s="11" t="n">
        <v>45483</v>
      </c>
      <c r="B528" s="7" t="inlineStr">
        <is>
          <t>新能源电池</t>
        </is>
      </c>
      <c r="C528" s="9" t="n">
        <v>-0.8641020160523628</v>
      </c>
      <c r="D528" s="9" t="n">
        <v>-1.239463512179034</v>
      </c>
      <c r="E528" s="9" t="n">
        <v>-1.055844532832009</v>
      </c>
      <c r="F528" s="9" t="n">
        <v>-0.2969980031460459</v>
      </c>
      <c r="G528" s="7" t="n"/>
      <c r="H528" s="7" t="inlineStr">
        <is>
          <t>否</t>
        </is>
      </c>
      <c r="I528" s="7" t="inlineStr">
        <is>
          <t>否</t>
        </is>
      </c>
      <c r="J528" s="7" t="inlineStr"/>
    </row>
    <row r="530">
      <c r="A530" s="11" t="n">
        <v>45509</v>
      </c>
      <c r="B530" s="7" t="inlineStr">
        <is>
          <t>半导体材料设备</t>
        </is>
      </c>
      <c r="C530" s="9" t="n">
        <v>0.976894726366793</v>
      </c>
      <c r="D530" s="9" t="n">
        <v>0.5351773077370717</v>
      </c>
      <c r="E530" s="9" t="n">
        <v>1.482344144756335</v>
      </c>
      <c r="F530" s="9" t="n">
        <v>0.9131627266069726</v>
      </c>
      <c r="G530" s="7" t="n"/>
      <c r="H530" s="7" t="inlineStr">
        <is>
          <t>否</t>
        </is>
      </c>
      <c r="I530" s="7" t="inlineStr">
        <is>
          <t>否</t>
        </is>
      </c>
      <c r="J530" s="7" t="inlineStr"/>
    </row>
    <row r="531">
      <c r="A531" s="11" t="n">
        <v>45509</v>
      </c>
      <c r="B531" s="7" t="inlineStr">
        <is>
          <t>科创芯片设计</t>
        </is>
      </c>
      <c r="C531" s="9" t="n">
        <v>0.7341503558472953</v>
      </c>
      <c r="D531" s="9" t="n">
        <v>0.2301670610780336</v>
      </c>
      <c r="E531" s="9" t="n">
        <v>1.581545077066986</v>
      </c>
      <c r="F531" s="9" t="n">
        <v>0.3907389293968662</v>
      </c>
      <c r="G531" s="7" t="n"/>
      <c r="H531" s="7" t="inlineStr">
        <is>
          <t>否</t>
        </is>
      </c>
      <c r="I531" s="7" t="inlineStr">
        <is>
          <t>否</t>
        </is>
      </c>
      <c r="J531" s="7" t="inlineStr"/>
    </row>
    <row r="532">
      <c r="A532" s="11" t="n">
        <v>45509</v>
      </c>
      <c r="B532" s="7" t="inlineStr">
        <is>
          <t>卫星产业</t>
        </is>
      </c>
      <c r="C532" s="9" t="n">
        <v>0.5973429730259135</v>
      </c>
      <c r="D532" s="9" t="n">
        <v>1.385133361611523</v>
      </c>
      <c r="E532" s="9" t="n">
        <v>0.4370508582529609</v>
      </c>
      <c r="F532" s="9" t="n">
        <v>-0.03015530078674315</v>
      </c>
      <c r="G532" s="7" t="n"/>
      <c r="H532" s="7" t="inlineStr">
        <is>
          <t>否</t>
        </is>
      </c>
      <c r="I532" s="7" t="inlineStr">
        <is>
          <t>否</t>
        </is>
      </c>
      <c r="J532" s="7" t="inlineStr"/>
    </row>
    <row r="533">
      <c r="A533" s="11" t="n">
        <v>45509</v>
      </c>
      <c r="B533" s="7" t="inlineStr">
        <is>
          <t>新能源电池</t>
        </is>
      </c>
      <c r="C533" s="9" t="n">
        <v>0.1808698869688203</v>
      </c>
      <c r="D533" s="9" t="n">
        <v>0.7701315629578485</v>
      </c>
      <c r="E533" s="9" t="n">
        <v>-0.4640628328217248</v>
      </c>
      <c r="F533" s="9" t="n">
        <v>0.2365409307703373</v>
      </c>
      <c r="G533" s="7" t="n"/>
      <c r="H533" s="7" t="inlineStr">
        <is>
          <t>否</t>
        </is>
      </c>
      <c r="I533" s="7" t="inlineStr">
        <is>
          <t>否</t>
        </is>
      </c>
      <c r="J533" s="7" t="inlineStr"/>
    </row>
    <row r="534">
      <c r="A534" s="11" t="n">
        <v>45509</v>
      </c>
      <c r="B534" s="7" t="inlineStr">
        <is>
          <t>港股通互联网</t>
        </is>
      </c>
      <c r="C534" s="9" t="n">
        <v>0.04885636507495006</v>
      </c>
      <c r="D534" s="9" t="n">
        <v>-0.8271476238706786</v>
      </c>
      <c r="E534" s="9" t="n">
        <v>-0.6035666984888172</v>
      </c>
      <c r="F534" s="9" t="n">
        <v>1.577283417584346</v>
      </c>
      <c r="G534" s="7" t="n"/>
      <c r="H534" s="7" t="inlineStr">
        <is>
          <t>否</t>
        </is>
      </c>
      <c r="I534" s="7" t="inlineStr">
        <is>
          <t>否</t>
        </is>
      </c>
      <c r="J534" s="7" t="inlineStr"/>
    </row>
    <row r="535">
      <c r="A535" s="11" t="n">
        <v>45509</v>
      </c>
      <c r="B535" s="7" t="inlineStr">
        <is>
          <t>港股通创新药</t>
        </is>
      </c>
      <c r="C535" s="9" t="n">
        <v>0.02838993901979118</v>
      </c>
      <c r="D535" s="9" t="n">
        <v>0.9429608803130288</v>
      </c>
      <c r="E535" s="9" t="n">
        <v>0.2465613533606868</v>
      </c>
      <c r="F535" s="9" t="n">
        <v>-1.104352416614342</v>
      </c>
      <c r="G535" s="7" t="n"/>
      <c r="H535" s="7" t="inlineStr">
        <is>
          <t>否</t>
        </is>
      </c>
      <c r="I535" s="7" t="inlineStr">
        <is>
          <t>否</t>
        </is>
      </c>
      <c r="J535" s="7" t="inlineStr"/>
    </row>
    <row r="536">
      <c r="A536" s="16" t="n">
        <v>45509</v>
      </c>
      <c r="B536" s="17" t="inlineStr">
        <is>
          <t>通信设备</t>
        </is>
      </c>
      <c r="C536" s="18" t="n">
        <v>-0.04535996528045028</v>
      </c>
      <c r="D536" s="18" t="n">
        <v>-1.317554771065076</v>
      </c>
      <c r="E536" s="18" t="n">
        <v>0.239785864156292</v>
      </c>
      <c r="F536" s="18" t="n">
        <v>0.9416890110674333</v>
      </c>
      <c r="G536" s="17" t="n"/>
      <c r="H536" s="17" t="inlineStr">
        <is>
          <t>否</t>
        </is>
      </c>
      <c r="I536" s="17" t="inlineStr">
        <is>
          <t>是</t>
        </is>
      </c>
      <c r="J536" s="17" t="inlineStr">
        <is>
          <t>卖出</t>
        </is>
      </c>
    </row>
    <row r="537">
      <c r="A537" s="11" t="n">
        <v>45509</v>
      </c>
      <c r="B537" s="7" t="inlineStr">
        <is>
          <t>计算机</t>
        </is>
      </c>
      <c r="C537" s="9" t="n">
        <v>-0.5275028095122428</v>
      </c>
      <c r="D537" s="9" t="n">
        <v>0.3137704024338653</v>
      </c>
      <c r="E537" s="9" t="n">
        <v>-0.4232114991093778</v>
      </c>
      <c r="F537" s="9" t="n">
        <v>-1.473067331861216</v>
      </c>
      <c r="G537" s="7" t="n"/>
      <c r="H537" s="7" t="inlineStr">
        <is>
          <t>否</t>
        </is>
      </c>
      <c r="I537" s="7" t="inlineStr">
        <is>
          <t>否</t>
        </is>
      </c>
      <c r="J537" s="7" t="inlineStr"/>
    </row>
    <row r="538">
      <c r="A538" s="11" t="n">
        <v>45509</v>
      </c>
      <c r="B538" s="7" t="inlineStr">
        <is>
          <t>机器人</t>
        </is>
      </c>
      <c r="C538" s="9" t="n">
        <v>-0.9715443660900478</v>
      </c>
      <c r="D538" s="9" t="n">
        <v>-0.4352203562753755</v>
      </c>
      <c r="E538" s="9" t="n">
        <v>-1.490287963374506</v>
      </c>
      <c r="F538" s="9" t="n">
        <v>-0.9891247786202618</v>
      </c>
      <c r="G538" s="7" t="n"/>
      <c r="H538" s="7" t="inlineStr">
        <is>
          <t>否</t>
        </is>
      </c>
      <c r="I538" s="7" t="inlineStr">
        <is>
          <t>否</t>
        </is>
      </c>
      <c r="J538" s="7" t="inlineStr"/>
    </row>
    <row r="539">
      <c r="A539" s="11" t="n">
        <v>45509</v>
      </c>
      <c r="B539" s="7" t="inlineStr">
        <is>
          <t>工业有色</t>
        </is>
      </c>
      <c r="C539" s="9" t="n">
        <v>-1.022097105420823</v>
      </c>
      <c r="D539" s="9" t="n">
        <v>-1.59741782492024</v>
      </c>
      <c r="E539" s="9" t="n">
        <v>-1.006158303798837</v>
      </c>
      <c r="F539" s="9" t="n">
        <v>-0.4627151875433922</v>
      </c>
      <c r="G539" s="7" t="n"/>
      <c r="H539" s="7" t="inlineStr">
        <is>
          <t>否</t>
        </is>
      </c>
      <c r="I539" s="7" t="inlineStr">
        <is>
          <t>否</t>
        </is>
      </c>
      <c r="J539" s="7" t="inlineStr"/>
    </row>
    <row r="541">
      <c r="A541" s="13" t="n">
        <v>45530</v>
      </c>
      <c r="B541" s="14" t="inlineStr">
        <is>
          <t>港股通创新药</t>
        </is>
      </c>
      <c r="C541" s="15" t="n">
        <v>1.499275293586036</v>
      </c>
      <c r="D541" s="15" t="n">
        <v>2.187850335777588</v>
      </c>
      <c r="E541" s="15" t="n">
        <v>1.801060801469962</v>
      </c>
      <c r="F541" s="15" t="n">
        <v>0.5089147435105562</v>
      </c>
      <c r="G541" s="14" t="n">
        <v>1</v>
      </c>
      <c r="H541" s="14" t="inlineStr">
        <is>
          <t>是</t>
        </is>
      </c>
      <c r="I541" s="14" t="inlineStr">
        <is>
          <t>否</t>
        </is>
      </c>
      <c r="J541" s="14" t="inlineStr">
        <is>
          <t>买入</t>
        </is>
      </c>
    </row>
    <row r="542">
      <c r="A542" s="11" t="n">
        <v>45530</v>
      </c>
      <c r="B542" s="7" t="inlineStr">
        <is>
          <t>港股通互联网</t>
        </is>
      </c>
      <c r="C542" s="9" t="n">
        <v>1.19681077163552</v>
      </c>
      <c r="D542" s="9" t="n">
        <v>1.193778523293928</v>
      </c>
      <c r="E542" s="9" t="n">
        <v>0.4083298182237012</v>
      </c>
      <c r="F542" s="9" t="n">
        <v>1.988323973388931</v>
      </c>
      <c r="G542" s="7" t="n"/>
      <c r="H542" s="7" t="inlineStr">
        <is>
          <t>否</t>
        </is>
      </c>
      <c r="I542" s="7" t="inlineStr">
        <is>
          <t>否</t>
        </is>
      </c>
      <c r="J542" s="7" t="inlineStr"/>
    </row>
    <row r="543">
      <c r="A543" s="11" t="n">
        <v>45530</v>
      </c>
      <c r="B543" s="7" t="inlineStr">
        <is>
          <t>科创芯片设计</t>
        </is>
      </c>
      <c r="C543" s="9" t="n">
        <v>0.1871868105571621</v>
      </c>
      <c r="D543" s="9" t="n">
        <v>-0.47132170232291</v>
      </c>
      <c r="E543" s="9" t="n">
        <v>0.886766750348175</v>
      </c>
      <c r="F543" s="9" t="n">
        <v>0.1461153836462215</v>
      </c>
      <c r="G543" s="7" t="n"/>
      <c r="H543" s="7" t="inlineStr">
        <is>
          <t>否</t>
        </is>
      </c>
      <c r="I543" s="7" t="inlineStr">
        <is>
          <t>否</t>
        </is>
      </c>
      <c r="J543" s="7" t="inlineStr"/>
    </row>
    <row r="544">
      <c r="A544" s="11" t="n">
        <v>45530</v>
      </c>
      <c r="B544" s="7" t="inlineStr">
        <is>
          <t>新能源电池</t>
        </is>
      </c>
      <c r="C544" s="9" t="n">
        <v>-0.05127874368331858</v>
      </c>
      <c r="D544" s="9" t="n">
        <v>-0.2151241093366572</v>
      </c>
      <c r="E544" s="9" t="n">
        <v>-0.3882326545351474</v>
      </c>
      <c r="F544" s="9" t="n">
        <v>0.4495205328218488</v>
      </c>
      <c r="G544" s="7" t="n"/>
      <c r="H544" s="7" t="inlineStr">
        <is>
          <t>否</t>
        </is>
      </c>
      <c r="I544" s="7" t="inlineStr">
        <is>
          <t>否</t>
        </is>
      </c>
      <c r="J544" s="7" t="inlineStr"/>
    </row>
    <row r="545">
      <c r="A545" s="11" t="n">
        <v>45530</v>
      </c>
      <c r="B545" s="7" t="inlineStr">
        <is>
          <t>工业有色</t>
        </is>
      </c>
      <c r="C545" s="9" t="n">
        <v>-0.07988990534728341</v>
      </c>
      <c r="D545" s="9" t="n">
        <v>0.4643569169857193</v>
      </c>
      <c r="E545" s="9" t="n">
        <v>-0.8762529941171852</v>
      </c>
      <c r="F545" s="9" t="n">
        <v>0.1722263610896156</v>
      </c>
      <c r="G545" s="7" t="n"/>
      <c r="H545" s="7" t="inlineStr">
        <is>
          <t>否</t>
        </is>
      </c>
      <c r="I545" s="7" t="inlineStr">
        <is>
          <t>否</t>
        </is>
      </c>
      <c r="J545" s="7" t="inlineStr"/>
    </row>
    <row r="546">
      <c r="A546" s="11" t="n">
        <v>45530</v>
      </c>
      <c r="B546" s="7" t="inlineStr">
        <is>
          <t>半导体材料设备</t>
        </is>
      </c>
      <c r="C546" s="9" t="n">
        <v>-0.09166255718963816</v>
      </c>
      <c r="D546" s="9" t="n">
        <v>-0.7604130738390471</v>
      </c>
      <c r="E546" s="9" t="n">
        <v>0.5890636686897339</v>
      </c>
      <c r="F546" s="9" t="n">
        <v>-0.1036382664196013</v>
      </c>
      <c r="G546" s="7" t="n"/>
      <c r="H546" s="7" t="inlineStr">
        <is>
          <t>否</t>
        </is>
      </c>
      <c r="I546" s="7" t="inlineStr">
        <is>
          <t>否</t>
        </is>
      </c>
      <c r="J546" s="7" t="inlineStr"/>
    </row>
    <row r="547">
      <c r="A547" s="11" t="n">
        <v>45530</v>
      </c>
      <c r="B547" s="7" t="inlineStr">
        <is>
          <t>通信设备</t>
        </is>
      </c>
      <c r="C547" s="9" t="n">
        <v>-0.1347695451515686</v>
      </c>
      <c r="D547" s="9" t="n">
        <v>-0.9919222151035157</v>
      </c>
      <c r="E547" s="9" t="n">
        <v>0.377531843826411</v>
      </c>
      <c r="F547" s="9" t="n">
        <v>0.210081735822399</v>
      </c>
      <c r="G547" s="7" t="n"/>
      <c r="H547" s="7" t="inlineStr">
        <is>
          <t>否</t>
        </is>
      </c>
      <c r="I547" s="7" t="inlineStr">
        <is>
          <t>否</t>
        </is>
      </c>
      <c r="J547" s="7" t="inlineStr"/>
    </row>
    <row r="548">
      <c r="A548" s="11" t="n">
        <v>45530</v>
      </c>
      <c r="B548" s="7" t="inlineStr">
        <is>
          <t>卫星产业</t>
        </is>
      </c>
      <c r="C548" s="9" t="n">
        <v>-0.5317013622948087</v>
      </c>
      <c r="D548" s="9" t="n">
        <v>-0.7015957063727772</v>
      </c>
      <c r="E548" s="9" t="n">
        <v>-0.4385560923583053</v>
      </c>
      <c r="F548" s="9" t="n">
        <v>-0.4549522881533434</v>
      </c>
      <c r="G548" s="7" t="n"/>
      <c r="H548" s="7" t="inlineStr">
        <is>
          <t>否</t>
        </is>
      </c>
      <c r="I548" s="7" t="inlineStr">
        <is>
          <t>否</t>
        </is>
      </c>
      <c r="J548" s="7" t="inlineStr"/>
    </row>
    <row r="549">
      <c r="A549" s="11" t="n">
        <v>45530</v>
      </c>
      <c r="B549" s="7" t="inlineStr">
        <is>
          <t>计算机</t>
        </is>
      </c>
      <c r="C549" s="9" t="n">
        <v>-0.8185005617821242</v>
      </c>
      <c r="D549" s="9" t="n">
        <v>-0.3732691150348421</v>
      </c>
      <c r="E549" s="9" t="n">
        <v>-0.7223779784815108</v>
      </c>
      <c r="F549" s="9" t="n">
        <v>-1.359854591830019</v>
      </c>
      <c r="G549" s="7" t="n"/>
      <c r="H549" s="7" t="inlineStr">
        <is>
          <t>否</t>
        </is>
      </c>
      <c r="I549" s="7" t="inlineStr">
        <is>
          <t>否</t>
        </is>
      </c>
      <c r="J549" s="7" t="inlineStr"/>
    </row>
    <row r="550">
      <c r="A550" s="11" t="n">
        <v>45530</v>
      </c>
      <c r="B550" s="7" t="inlineStr">
        <is>
          <t>机器人</t>
        </is>
      </c>
      <c r="C550" s="9" t="n">
        <v>-1.175470200329977</v>
      </c>
      <c r="D550" s="9" t="n">
        <v>-0.3323398540474846</v>
      </c>
      <c r="E550" s="9" t="n">
        <v>-1.637333163065836</v>
      </c>
      <c r="F550" s="9" t="n">
        <v>-1.556737583876609</v>
      </c>
      <c r="G550" s="7" t="n"/>
      <c r="H550" s="7" t="inlineStr">
        <is>
          <t>否</t>
        </is>
      </c>
      <c r="I550" s="7" t="inlineStr">
        <is>
          <t>否</t>
        </is>
      </c>
      <c r="J550" s="7" t="inlineStr"/>
    </row>
    <row r="552">
      <c r="A552" s="11" t="n">
        <v>45575</v>
      </c>
      <c r="B552" s="7" t="inlineStr">
        <is>
          <t>港股通创新药</t>
        </is>
      </c>
      <c r="C552" s="9" t="n">
        <v>1.50587279242044</v>
      </c>
      <c r="D552" s="9" t="n">
        <v>1.573243498114966</v>
      </c>
      <c r="E552" s="9" t="n">
        <v>1.956976735736848</v>
      </c>
      <c r="F552" s="9" t="n">
        <v>0.9873981434095072</v>
      </c>
      <c r="G552" s="7" t="n">
        <v>1</v>
      </c>
      <c r="H552" s="7" t="inlineStr">
        <is>
          <t>是</t>
        </is>
      </c>
      <c r="I552" s="7" t="inlineStr">
        <is>
          <t>是</t>
        </is>
      </c>
      <c r="J552" s="7" t="inlineStr">
        <is>
          <t>保留</t>
        </is>
      </c>
    </row>
    <row r="553">
      <c r="A553" s="13" t="n">
        <v>45575</v>
      </c>
      <c r="B553" s="14" t="inlineStr">
        <is>
          <t>港股通互联网</t>
        </is>
      </c>
      <c r="C553" s="15" t="n">
        <v>1.290439042674516</v>
      </c>
      <c r="D553" s="15" t="n">
        <v>1.73855575127049</v>
      </c>
      <c r="E553" s="15" t="n">
        <v>0.8648831623279118</v>
      </c>
      <c r="F553" s="15" t="n">
        <v>1.267878214425145</v>
      </c>
      <c r="G553" s="14" t="n">
        <v>2</v>
      </c>
      <c r="H553" s="14" t="inlineStr">
        <is>
          <t>是</t>
        </is>
      </c>
      <c r="I553" s="14" t="inlineStr">
        <is>
          <t>否</t>
        </is>
      </c>
      <c r="J553" s="14" t="inlineStr">
        <is>
          <t>买入</t>
        </is>
      </c>
    </row>
    <row r="554">
      <c r="A554" s="11" t="n">
        <v>45575</v>
      </c>
      <c r="B554" s="7" t="inlineStr">
        <is>
          <t>科创芯片设计</t>
        </is>
      </c>
      <c r="C554" s="9" t="n">
        <v>0.4329252044286417</v>
      </c>
      <c r="D554" s="9" t="n">
        <v>-0.0005673851282538717</v>
      </c>
      <c r="E554" s="9" t="n">
        <v>0.02696961062100394</v>
      </c>
      <c r="F554" s="9" t="n">
        <v>1.272373387793175</v>
      </c>
      <c r="G554" s="7" t="n">
        <v>3</v>
      </c>
      <c r="H554" s="7" t="inlineStr">
        <is>
          <t>是</t>
        </is>
      </c>
      <c r="I554" s="7" t="inlineStr">
        <is>
          <t>否</t>
        </is>
      </c>
      <c r="J554" s="7" t="inlineStr"/>
    </row>
    <row r="555">
      <c r="A555" s="11" t="n">
        <v>45575</v>
      </c>
      <c r="B555" s="7" t="inlineStr">
        <is>
          <t>计算机</t>
        </is>
      </c>
      <c r="C555" s="9" t="n">
        <v>0.295405746460481</v>
      </c>
      <c r="D555" s="9" t="n">
        <v>0.5357213660862306</v>
      </c>
      <c r="E555" s="9" t="n">
        <v>0.5970401809540531</v>
      </c>
      <c r="F555" s="9" t="n">
        <v>-0.2465443076588408</v>
      </c>
      <c r="G555" s="7" t="n">
        <v>4</v>
      </c>
      <c r="H555" s="7" t="inlineStr">
        <is>
          <t>是</t>
        </is>
      </c>
      <c r="I555" s="7" t="inlineStr">
        <is>
          <t>否</t>
        </is>
      </c>
      <c r="J555" s="7" t="inlineStr"/>
    </row>
    <row r="556">
      <c r="A556" s="11" t="n">
        <v>45575</v>
      </c>
      <c r="B556" s="7" t="inlineStr">
        <is>
          <t>半导体材料设备</t>
        </is>
      </c>
      <c r="C556" s="9" t="n">
        <v>-0.2449494730811679</v>
      </c>
      <c r="D556" s="9" t="n">
        <v>-0.5914658057199506</v>
      </c>
      <c r="E556" s="9" t="n">
        <v>-0.3379704111054123</v>
      </c>
      <c r="F556" s="9" t="n">
        <v>0.1945877975818593</v>
      </c>
      <c r="G556" s="7" t="n">
        <v>5</v>
      </c>
      <c r="H556" s="7" t="inlineStr">
        <is>
          <t>是</t>
        </is>
      </c>
      <c r="I556" s="7" t="inlineStr">
        <is>
          <t>否</t>
        </is>
      </c>
      <c r="J556" s="7" t="inlineStr"/>
    </row>
    <row r="557">
      <c r="A557" s="11" t="n">
        <v>45575</v>
      </c>
      <c r="B557" s="7" t="inlineStr">
        <is>
          <t>卫星产业</t>
        </is>
      </c>
      <c r="C557" s="9" t="n">
        <v>-0.2889969620469126</v>
      </c>
      <c r="D557" s="9" t="n">
        <v>-0.4742385190014611</v>
      </c>
      <c r="E557" s="9" t="n">
        <v>-0.03014521369151092</v>
      </c>
      <c r="F557" s="9" t="n">
        <v>-0.3626071534477656</v>
      </c>
      <c r="G557" s="7" t="n">
        <v>6</v>
      </c>
      <c r="H557" s="7" t="inlineStr">
        <is>
          <t>是</t>
        </is>
      </c>
      <c r="I557" s="7" t="inlineStr">
        <is>
          <t>否</t>
        </is>
      </c>
      <c r="J557" s="7" t="inlineStr"/>
    </row>
    <row r="558">
      <c r="A558" s="11" t="n">
        <v>45575</v>
      </c>
      <c r="B558" s="7" t="inlineStr">
        <is>
          <t>通信设备</t>
        </is>
      </c>
      <c r="C558" s="9" t="n">
        <v>-0.341787683918378</v>
      </c>
      <c r="D558" s="9" t="n">
        <v>-0.02644598785732166</v>
      </c>
      <c r="E558" s="9" t="n">
        <v>-1.08214245316069</v>
      </c>
      <c r="F558" s="9" t="n">
        <v>0.08322538926287813</v>
      </c>
      <c r="G558" s="7" t="n">
        <v>7</v>
      </c>
      <c r="H558" s="7" t="inlineStr">
        <is>
          <t>是</t>
        </is>
      </c>
      <c r="I558" s="7" t="inlineStr">
        <is>
          <t>否</t>
        </is>
      </c>
      <c r="J558" s="7" t="inlineStr"/>
    </row>
    <row r="559">
      <c r="A559" s="11" t="n">
        <v>45575</v>
      </c>
      <c r="B559" s="7" t="inlineStr">
        <is>
          <t>新能源电池</t>
        </is>
      </c>
      <c r="C559" s="9" t="n">
        <v>-0.4803095141419316</v>
      </c>
      <c r="D559" s="9" t="n">
        <v>-1.178943729003848</v>
      </c>
      <c r="E559" s="9" t="n">
        <v>0.1042117563201291</v>
      </c>
      <c r="F559" s="9" t="n">
        <v>-0.3661965697420758</v>
      </c>
      <c r="G559" s="7" t="n">
        <v>8</v>
      </c>
      <c r="H559" s="7" t="inlineStr">
        <is>
          <t>是</t>
        </is>
      </c>
      <c r="I559" s="7" t="inlineStr">
        <is>
          <t>否</t>
        </is>
      </c>
      <c r="J559" s="7" t="inlineStr"/>
    </row>
    <row r="560">
      <c r="A560" s="11" t="n">
        <v>45575</v>
      </c>
      <c r="B560" s="7" t="inlineStr">
        <is>
          <t>机器人</t>
        </is>
      </c>
      <c r="C560" s="9" t="n">
        <v>-0.7326451323790985</v>
      </c>
      <c r="D560" s="9" t="n">
        <v>-0.7234186601009972</v>
      </c>
      <c r="E560" s="9" t="n">
        <v>-0.5191666258272012</v>
      </c>
      <c r="F560" s="9" t="n">
        <v>-0.9553501112090966</v>
      </c>
      <c r="G560" s="7" t="n">
        <v>9</v>
      </c>
      <c r="H560" s="7" t="inlineStr">
        <is>
          <t>是</t>
        </is>
      </c>
      <c r="I560" s="7" t="inlineStr">
        <is>
          <t>否</t>
        </is>
      </c>
      <c r="J560" s="7" t="inlineStr"/>
    </row>
    <row r="561">
      <c r="A561" s="11" t="n">
        <v>45575</v>
      </c>
      <c r="B561" s="7" t="inlineStr">
        <is>
          <t>工业有色</t>
        </is>
      </c>
      <c r="C561" s="9" t="n">
        <v>-1.43595402041659</v>
      </c>
      <c r="D561" s="9" t="n">
        <v>-0.8524405286598512</v>
      </c>
      <c r="E561" s="9" t="n">
        <v>-1.58065674217513</v>
      </c>
      <c r="F561" s="9" t="n">
        <v>-1.874764790414787</v>
      </c>
      <c r="G561" s="7" t="n">
        <v>10</v>
      </c>
      <c r="H561" s="7" t="inlineStr">
        <is>
          <t>是</t>
        </is>
      </c>
      <c r="I561" s="7" t="inlineStr">
        <is>
          <t>否</t>
        </is>
      </c>
      <c r="J561" s="7" t="inlineStr"/>
    </row>
    <row r="563">
      <c r="A563" s="13" t="n">
        <v>45596</v>
      </c>
      <c r="B563" s="14" t="inlineStr">
        <is>
          <t>计算机</t>
        </is>
      </c>
      <c r="C563" s="15" t="n">
        <v>1.554613560600574</v>
      </c>
      <c r="D563" s="15" t="n">
        <v>1.484122619749819</v>
      </c>
      <c r="E563" s="15" t="n">
        <v>2.190141879903209</v>
      </c>
      <c r="F563" s="15" t="n">
        <v>0.989576182148696</v>
      </c>
      <c r="G563" s="14" t="n">
        <v>1</v>
      </c>
      <c r="H563" s="14" t="inlineStr">
        <is>
          <t>是</t>
        </is>
      </c>
      <c r="I563" s="14" t="inlineStr">
        <is>
          <t>否</t>
        </is>
      </c>
      <c r="J563" s="14" t="inlineStr">
        <is>
          <t>买入</t>
        </is>
      </c>
    </row>
    <row r="564">
      <c r="A564" s="11" t="n">
        <v>45596</v>
      </c>
      <c r="B564" s="7" t="inlineStr">
        <is>
          <t>科创芯片设计</t>
        </is>
      </c>
      <c r="C564" s="9" t="n">
        <v>0.7807751185258905</v>
      </c>
      <c r="D564" s="9" t="n">
        <v>0.9966799058444111</v>
      </c>
      <c r="E564" s="9" t="n">
        <v>-0.1310409346888021</v>
      </c>
      <c r="F564" s="9" t="n">
        <v>1.476686384422062</v>
      </c>
      <c r="G564" s="7" t="n">
        <v>2</v>
      </c>
      <c r="H564" s="7" t="inlineStr">
        <is>
          <t>是</t>
        </is>
      </c>
      <c r="I564" s="7" t="inlineStr">
        <is>
          <t>否</t>
        </is>
      </c>
      <c r="J564" s="7" t="inlineStr"/>
    </row>
    <row r="565">
      <c r="A565" s="11" t="n">
        <v>45596</v>
      </c>
      <c r="B565" s="7" t="inlineStr">
        <is>
          <t>半导体材料设备</t>
        </is>
      </c>
      <c r="C565" s="9" t="n">
        <v>0.3891474774171358</v>
      </c>
      <c r="D565" s="9" t="n">
        <v>0.8686941073094747</v>
      </c>
      <c r="E565" s="9" t="n">
        <v>-0.5070625813502226</v>
      </c>
      <c r="F565" s="9" t="n">
        <v>0.8058109062921555</v>
      </c>
      <c r="G565" s="7" t="n">
        <v>3</v>
      </c>
      <c r="H565" s="7" t="inlineStr">
        <is>
          <t>是</t>
        </is>
      </c>
      <c r="I565" s="7" t="inlineStr">
        <is>
          <t>否</t>
        </is>
      </c>
      <c r="J565" s="7" t="inlineStr"/>
    </row>
    <row r="566">
      <c r="A566" s="11" t="n">
        <v>45596</v>
      </c>
      <c r="B566" s="7" t="inlineStr">
        <is>
          <t>卫星产业</t>
        </is>
      </c>
      <c r="C566" s="9" t="n">
        <v>0.05876746426609031</v>
      </c>
      <c r="D566" s="9" t="n">
        <v>0.5610853995500746</v>
      </c>
      <c r="E566" s="9" t="n">
        <v>-0.6665459654831081</v>
      </c>
      <c r="F566" s="9" t="n">
        <v>0.2817629587313044</v>
      </c>
      <c r="G566" s="7" t="n">
        <v>4</v>
      </c>
      <c r="H566" s="7" t="inlineStr">
        <is>
          <t>是</t>
        </is>
      </c>
      <c r="I566" s="7" t="inlineStr">
        <is>
          <t>否</t>
        </is>
      </c>
      <c r="J566" s="7" t="inlineStr"/>
    </row>
    <row r="567">
      <c r="A567" s="11" t="n">
        <v>45596</v>
      </c>
      <c r="B567" s="7" t="inlineStr">
        <is>
          <t>通信设备</t>
        </is>
      </c>
      <c r="C567" s="9" t="n">
        <v>-0.008587871421375876</v>
      </c>
      <c r="D567" s="9" t="n">
        <v>0.2741859911990432</v>
      </c>
      <c r="E567" s="9" t="n">
        <v>-0.4917984415396177</v>
      </c>
      <c r="F567" s="9" t="n">
        <v>0.1918488360764468</v>
      </c>
      <c r="G567" s="7" t="n">
        <v>5</v>
      </c>
      <c r="H567" s="7" t="inlineStr">
        <is>
          <t>是</t>
        </is>
      </c>
      <c r="I567" s="7" t="inlineStr">
        <is>
          <t>否</t>
        </is>
      </c>
      <c r="J567" s="7" t="inlineStr"/>
    </row>
    <row r="568">
      <c r="A568" s="11" t="n">
        <v>45596</v>
      </c>
      <c r="B568" s="7" t="inlineStr">
        <is>
          <t>港股通互联网</t>
        </is>
      </c>
      <c r="C568" s="9" t="n">
        <v>-0.02452725180275138</v>
      </c>
      <c r="D568" s="9" t="n">
        <v>-1.055182575789342</v>
      </c>
      <c r="E568" s="9" t="n">
        <v>1.225723993220336</v>
      </c>
      <c r="F568" s="9" t="n">
        <v>-0.2441231728392478</v>
      </c>
      <c r="G568" s="7" t="n">
        <v>6</v>
      </c>
      <c r="H568" s="7" t="inlineStr">
        <is>
          <t>是</t>
        </is>
      </c>
      <c r="I568" s="7" t="inlineStr">
        <is>
          <t>是</t>
        </is>
      </c>
      <c r="J568" s="7" t="inlineStr">
        <is>
          <t>保留</t>
        </is>
      </c>
    </row>
    <row r="569">
      <c r="A569" s="11" t="n">
        <v>45596</v>
      </c>
      <c r="B569" s="7" t="inlineStr">
        <is>
          <t>新能源电池</t>
        </is>
      </c>
      <c r="C569" s="9" t="n">
        <v>-0.405163732640895</v>
      </c>
      <c r="D569" s="9" t="n">
        <v>-0.3241381335462668</v>
      </c>
      <c r="E569" s="9" t="n">
        <v>-0.7046848968587259</v>
      </c>
      <c r="F569" s="9" t="n">
        <v>-0.1866681675176922</v>
      </c>
      <c r="G569" s="7" t="n">
        <v>7</v>
      </c>
      <c r="H569" s="7" t="inlineStr">
        <is>
          <t>是</t>
        </is>
      </c>
      <c r="I569" s="7" t="inlineStr">
        <is>
          <t>否</t>
        </is>
      </c>
      <c r="J569" s="7" t="inlineStr"/>
    </row>
    <row r="570">
      <c r="A570" s="11" t="n">
        <v>45596</v>
      </c>
      <c r="B570" s="7" t="inlineStr">
        <is>
          <t>港股通创新药</t>
        </is>
      </c>
      <c r="C570" s="9" t="n">
        <v>-0.4203991845924384</v>
      </c>
      <c r="D570" s="9" t="n">
        <v>-1.539445650570289</v>
      </c>
      <c r="E570" s="9" t="n">
        <v>0.4830455004405951</v>
      </c>
      <c r="F570" s="9" t="n">
        <v>-0.2047974036476211</v>
      </c>
      <c r="G570" s="7" t="n">
        <v>8</v>
      </c>
      <c r="H570" s="7" t="inlineStr">
        <is>
          <t>是</t>
        </is>
      </c>
      <c r="I570" s="7" t="inlineStr">
        <is>
          <t>是</t>
        </is>
      </c>
      <c r="J570" s="7" t="inlineStr">
        <is>
          <t>保留</t>
        </is>
      </c>
    </row>
    <row r="571">
      <c r="A571" s="11" t="n">
        <v>45596</v>
      </c>
      <c r="B571" s="7" t="inlineStr">
        <is>
          <t>机器人</t>
        </is>
      </c>
      <c r="C571" s="9" t="n">
        <v>-0.7214591587372173</v>
      </c>
      <c r="D571" s="9" t="n">
        <v>-0.2658250128387838</v>
      </c>
      <c r="E571" s="9" t="n">
        <v>-0.5691980718463706</v>
      </c>
      <c r="F571" s="9" t="n">
        <v>-1.329354391526497</v>
      </c>
      <c r="G571" s="7" t="n">
        <v>9</v>
      </c>
      <c r="H571" s="7" t="inlineStr">
        <is>
          <t>是</t>
        </is>
      </c>
      <c r="I571" s="7" t="inlineStr">
        <is>
          <t>否</t>
        </is>
      </c>
      <c r="J571" s="7" t="inlineStr"/>
    </row>
    <row r="572">
      <c r="A572" s="11" t="n">
        <v>45596</v>
      </c>
      <c r="B572" s="7" t="inlineStr">
        <is>
          <t>工业有色</t>
        </is>
      </c>
      <c r="C572" s="9" t="n">
        <v>-1.203166421615014</v>
      </c>
      <c r="D572" s="9" t="n">
        <v>-1.000176650908142</v>
      </c>
      <c r="E572" s="9" t="n">
        <v>-0.828580481797293</v>
      </c>
      <c r="F572" s="9" t="n">
        <v>-1.780742132139607</v>
      </c>
      <c r="G572" s="7" t="n">
        <v>10</v>
      </c>
      <c r="H572" s="7" t="inlineStr">
        <is>
          <t>是</t>
        </is>
      </c>
      <c r="I572" s="7" t="inlineStr">
        <is>
          <t>否</t>
        </is>
      </c>
      <c r="J572" s="7" t="inlineStr"/>
    </row>
    <row r="574">
      <c r="A574" s="11" t="n">
        <v>45617</v>
      </c>
      <c r="B574" s="7" t="inlineStr">
        <is>
          <t>计算机</t>
        </is>
      </c>
      <c r="C574" s="9" t="n">
        <v>1.37347930784465</v>
      </c>
      <c r="D574" s="9" t="n">
        <v>0.8439548466088931</v>
      </c>
      <c r="E574" s="9" t="n">
        <v>2.139168918282401</v>
      </c>
      <c r="F574" s="9" t="n">
        <v>1.137314158642657</v>
      </c>
      <c r="G574" s="7" t="n">
        <v>1</v>
      </c>
      <c r="H574" s="7" t="inlineStr">
        <is>
          <t>是</t>
        </is>
      </c>
      <c r="I574" s="7" t="inlineStr">
        <is>
          <t>是</t>
        </is>
      </c>
      <c r="J574" s="7" t="inlineStr">
        <is>
          <t>保留</t>
        </is>
      </c>
    </row>
    <row r="575">
      <c r="A575" s="11" t="n">
        <v>45617</v>
      </c>
      <c r="B575" s="7" t="inlineStr">
        <is>
          <t>半导体材料设备</t>
        </is>
      </c>
      <c r="C575" s="9" t="n">
        <v>0.6939274273424013</v>
      </c>
      <c r="D575" s="9" t="n">
        <v>0.9739481883828338</v>
      </c>
      <c r="E575" s="9" t="n">
        <v>0.1606737136354244</v>
      </c>
      <c r="F575" s="9" t="n">
        <v>0.9471603800089454</v>
      </c>
      <c r="G575" s="7" t="n">
        <v>2</v>
      </c>
      <c r="H575" s="7" t="inlineStr">
        <is>
          <t>是</t>
        </is>
      </c>
      <c r="I575" s="7" t="inlineStr">
        <is>
          <t>否</t>
        </is>
      </c>
      <c r="J575" s="7" t="inlineStr"/>
    </row>
    <row r="576">
      <c r="A576" s="11" t="n">
        <v>45617</v>
      </c>
      <c r="B576" s="7" t="inlineStr">
        <is>
          <t>科创芯片设计</t>
        </is>
      </c>
      <c r="C576" s="9" t="n">
        <v>0.6415880473228357</v>
      </c>
      <c r="D576" s="9" t="n">
        <v>0.1638804968971218</v>
      </c>
      <c r="E576" s="9" t="n">
        <v>0.3541441857146042</v>
      </c>
      <c r="F576" s="9" t="n">
        <v>1.406739459356781</v>
      </c>
      <c r="G576" s="7" t="n">
        <v>3</v>
      </c>
      <c r="H576" s="7" t="inlineStr">
        <is>
          <t>是</t>
        </is>
      </c>
      <c r="I576" s="7" t="inlineStr">
        <is>
          <t>否</t>
        </is>
      </c>
      <c r="J576" s="7" t="inlineStr"/>
    </row>
    <row r="577">
      <c r="A577" s="11" t="n">
        <v>45617</v>
      </c>
      <c r="B577" s="7" t="inlineStr">
        <is>
          <t>卫星产业</t>
        </is>
      </c>
      <c r="C577" s="9" t="n">
        <v>0.368958115702098</v>
      </c>
      <c r="D577" s="9" t="n">
        <v>0.3814834395448742</v>
      </c>
      <c r="E577" s="9" t="n">
        <v>0.384222841100197</v>
      </c>
      <c r="F577" s="9" t="n">
        <v>0.3411680664612226</v>
      </c>
      <c r="G577" s="7" t="n">
        <v>4</v>
      </c>
      <c r="H577" s="7" t="inlineStr">
        <is>
          <t>是</t>
        </is>
      </c>
      <c r="I577" s="7" t="inlineStr">
        <is>
          <t>否</t>
        </is>
      </c>
      <c r="J577" s="7" t="inlineStr"/>
    </row>
    <row r="578">
      <c r="A578" s="11" t="n">
        <v>45617</v>
      </c>
      <c r="B578" s="7" t="inlineStr">
        <is>
          <t>机器人</t>
        </is>
      </c>
      <c r="C578" s="9" t="n">
        <v>0.3163536188254689</v>
      </c>
      <c r="D578" s="9" t="n">
        <v>1.168404913551812</v>
      </c>
      <c r="E578" s="9" t="n">
        <v>0.3880629659934739</v>
      </c>
      <c r="F578" s="9" t="n">
        <v>-0.6074070230688794</v>
      </c>
      <c r="G578" s="7" t="n">
        <v>5</v>
      </c>
      <c r="H578" s="7" t="inlineStr">
        <is>
          <t>是</t>
        </is>
      </c>
      <c r="I578" s="7" t="inlineStr">
        <is>
          <t>否</t>
        </is>
      </c>
      <c r="J578" s="7" t="inlineStr"/>
    </row>
    <row r="579">
      <c r="A579" s="11" t="n">
        <v>45617</v>
      </c>
      <c r="B579" s="7" t="inlineStr">
        <is>
          <t>新能源电池</t>
        </is>
      </c>
      <c r="C579" s="9" t="n">
        <v>-0.1532669341383474</v>
      </c>
      <c r="D579" s="9" t="n">
        <v>0.4105713300342425</v>
      </c>
      <c r="E579" s="9" t="n">
        <v>-0.4160862309261076</v>
      </c>
      <c r="F579" s="9" t="n">
        <v>-0.4542859015231772</v>
      </c>
      <c r="G579" s="7" t="n">
        <v>6</v>
      </c>
      <c r="H579" s="7" t="inlineStr">
        <is>
          <t>是</t>
        </is>
      </c>
      <c r="I579" s="7" t="inlineStr">
        <is>
          <t>否</t>
        </is>
      </c>
      <c r="J579" s="7" t="inlineStr"/>
    </row>
    <row r="580">
      <c r="A580" s="11" t="n">
        <v>45617</v>
      </c>
      <c r="B580" s="7" t="inlineStr">
        <is>
          <t>港股通互联网</t>
        </is>
      </c>
      <c r="C580" s="9" t="n">
        <v>-0.311354010921143</v>
      </c>
      <c r="D580" s="9" t="n">
        <v>-0.4979001177411289</v>
      </c>
      <c r="E580" s="9" t="n">
        <v>0.0757739804447968</v>
      </c>
      <c r="F580" s="9" t="n">
        <v>-0.5119358954670968</v>
      </c>
      <c r="G580" s="7" t="n">
        <v>7</v>
      </c>
      <c r="H580" s="7" t="inlineStr">
        <is>
          <t>是</t>
        </is>
      </c>
      <c r="I580" s="7" t="inlineStr">
        <is>
          <t>是</t>
        </is>
      </c>
      <c r="J580" s="7" t="inlineStr">
        <is>
          <t>保留</t>
        </is>
      </c>
    </row>
    <row r="581">
      <c r="A581" s="11" t="n">
        <v>45617</v>
      </c>
      <c r="B581" s="7" t="inlineStr">
        <is>
          <t>通信设备</t>
        </is>
      </c>
      <c r="C581" s="9" t="n">
        <v>-0.4676799906305451</v>
      </c>
      <c r="D581" s="9" t="n">
        <v>-0.663460042094033</v>
      </c>
      <c r="E581" s="9" t="n">
        <v>-0.4940263994923136</v>
      </c>
      <c r="F581" s="9" t="n">
        <v>-0.2455535303052884</v>
      </c>
      <c r="G581" s="7" t="n">
        <v>8</v>
      </c>
      <c r="H581" s="7" t="inlineStr">
        <is>
          <t>是</t>
        </is>
      </c>
      <c r="I581" s="7" t="inlineStr">
        <is>
          <t>否</t>
        </is>
      </c>
      <c r="J581" s="7" t="inlineStr"/>
    </row>
    <row r="582">
      <c r="A582" s="11" t="n">
        <v>45617</v>
      </c>
      <c r="B582" s="7" t="inlineStr">
        <is>
          <t>工业有色</t>
        </is>
      </c>
      <c r="C582" s="9" t="n">
        <v>-1.198170379081931</v>
      </c>
      <c r="D582" s="9" t="n">
        <v>-0.656172907040431</v>
      </c>
      <c r="E582" s="9" t="n">
        <v>-0.9857172980011255</v>
      </c>
      <c r="F582" s="9" t="n">
        <v>-1.952620932204237</v>
      </c>
      <c r="G582" s="7" t="n">
        <v>9</v>
      </c>
      <c r="H582" s="7" t="inlineStr">
        <is>
          <t>是</t>
        </is>
      </c>
      <c r="I582" s="7" t="inlineStr">
        <is>
          <t>否</t>
        </is>
      </c>
      <c r="J582" s="7" t="inlineStr"/>
    </row>
    <row r="583">
      <c r="A583" s="16" t="n">
        <v>45617</v>
      </c>
      <c r="B583" s="17" t="inlineStr">
        <is>
          <t>港股通创新药</t>
        </is>
      </c>
      <c r="C583" s="18" t="n">
        <v>-1.263835202265488</v>
      </c>
      <c r="D583" s="18" t="n">
        <v>-2.124710148144184</v>
      </c>
      <c r="E583" s="18" t="n">
        <v>-1.606216676751354</v>
      </c>
      <c r="F583" s="18" t="n">
        <v>-0.06057878190092765</v>
      </c>
      <c r="G583" s="17" t="n">
        <v>10</v>
      </c>
      <c r="H583" s="17" t="inlineStr">
        <is>
          <t>是</t>
        </is>
      </c>
      <c r="I583" s="17" t="inlineStr">
        <is>
          <t>是</t>
        </is>
      </c>
      <c r="J583" s="17" t="inlineStr">
        <is>
          <t>卖出</t>
        </is>
      </c>
    </row>
    <row r="585">
      <c r="A585" s="11" t="n">
        <v>45638</v>
      </c>
      <c r="B585" s="7" t="inlineStr">
        <is>
          <t>计算机</t>
        </is>
      </c>
      <c r="C585" s="9" t="n">
        <v>1.33047766568343</v>
      </c>
      <c r="D585" s="9" t="n">
        <v>0.2509601508562018</v>
      </c>
      <c r="E585" s="9" t="n">
        <v>1.953314051243723</v>
      </c>
      <c r="F585" s="9" t="n">
        <v>1.787158794950366</v>
      </c>
      <c r="G585" s="7" t="n">
        <v>1</v>
      </c>
      <c r="H585" s="7" t="inlineStr">
        <is>
          <t>是</t>
        </is>
      </c>
      <c r="I585" s="7" t="inlineStr">
        <is>
          <t>是</t>
        </is>
      </c>
      <c r="J585" s="7" t="inlineStr">
        <is>
          <t>保留</t>
        </is>
      </c>
    </row>
    <row r="586">
      <c r="A586" s="13" t="n">
        <v>45638</v>
      </c>
      <c r="B586" s="14" t="inlineStr">
        <is>
          <t>科创芯片设计</t>
        </is>
      </c>
      <c r="C586" s="15" t="n">
        <v>1.085133043054703</v>
      </c>
      <c r="D586" s="15" t="n">
        <v>1.139832505347505</v>
      </c>
      <c r="E586" s="15" t="n">
        <v>0.9134080977637267</v>
      </c>
      <c r="F586" s="15" t="n">
        <v>1.202158526052878</v>
      </c>
      <c r="G586" s="14" t="n">
        <v>2</v>
      </c>
      <c r="H586" s="14" t="inlineStr">
        <is>
          <t>是</t>
        </is>
      </c>
      <c r="I586" s="14" t="inlineStr">
        <is>
          <t>否</t>
        </is>
      </c>
      <c r="J586" s="14" t="inlineStr">
        <is>
          <t>买入</t>
        </is>
      </c>
    </row>
    <row r="587">
      <c r="A587" s="11" t="n">
        <v>45638</v>
      </c>
      <c r="B587" s="7" t="inlineStr">
        <is>
          <t>机器人</t>
        </is>
      </c>
      <c r="C587" s="9" t="n">
        <v>0.6348235925225754</v>
      </c>
      <c r="D587" s="9" t="n">
        <v>1.268273102141859</v>
      </c>
      <c r="E587" s="9" t="n">
        <v>0.5753129864359512</v>
      </c>
      <c r="F587" s="9" t="n">
        <v>0.06088468898991609</v>
      </c>
      <c r="G587" s="7" t="n">
        <v>3</v>
      </c>
      <c r="H587" s="7" t="inlineStr">
        <is>
          <t>是</t>
        </is>
      </c>
      <c r="I587" s="7" t="inlineStr">
        <is>
          <t>否</t>
        </is>
      </c>
      <c r="J587" s="7" t="inlineStr"/>
    </row>
    <row r="588">
      <c r="A588" s="11" t="n">
        <v>45638</v>
      </c>
      <c r="B588" s="7" t="inlineStr">
        <is>
          <t>港股通互联网</t>
        </is>
      </c>
      <c r="C588" s="9" t="n">
        <v>0.2996368921990405</v>
      </c>
      <c r="D588" s="9" t="n">
        <v>0.8411277985718668</v>
      </c>
      <c r="E588" s="9" t="n">
        <v>-0.08412168094677012</v>
      </c>
      <c r="F588" s="9" t="n">
        <v>0.1419045589720248</v>
      </c>
      <c r="G588" s="7" t="n">
        <v>4</v>
      </c>
      <c r="H588" s="7" t="inlineStr">
        <is>
          <t>是</t>
        </is>
      </c>
      <c r="I588" s="7" t="inlineStr">
        <is>
          <t>是</t>
        </is>
      </c>
      <c r="J588" s="7" t="inlineStr">
        <is>
          <t>保留</t>
        </is>
      </c>
    </row>
    <row r="589">
      <c r="A589" s="11" t="n">
        <v>45638</v>
      </c>
      <c r="B589" s="7" t="inlineStr">
        <is>
          <t>卫星产业</t>
        </is>
      </c>
      <c r="C589" s="9" t="n">
        <v>0.1578047518246325</v>
      </c>
      <c r="D589" s="9" t="n">
        <v>-0.06179794158080327</v>
      </c>
      <c r="E589" s="9" t="n">
        <v>0.3608864316589989</v>
      </c>
      <c r="F589" s="9" t="n">
        <v>0.1743257653957019</v>
      </c>
      <c r="G589" s="7" t="n">
        <v>5</v>
      </c>
      <c r="H589" s="7" t="inlineStr">
        <is>
          <t>是</t>
        </is>
      </c>
      <c r="I589" s="7" t="inlineStr">
        <is>
          <t>否</t>
        </is>
      </c>
      <c r="J589" s="7" t="inlineStr"/>
    </row>
    <row r="590">
      <c r="A590" s="11" t="n">
        <v>45638</v>
      </c>
      <c r="B590" s="7" t="inlineStr">
        <is>
          <t>港股通创新药</t>
        </is>
      </c>
      <c r="C590" s="9" t="n">
        <v>-0.2851018885755687</v>
      </c>
      <c r="D590" s="9" t="n">
        <v>0.4376802104613984</v>
      </c>
      <c r="E590" s="9" t="n">
        <v>-1.434673484021123</v>
      </c>
      <c r="F590" s="9" t="n">
        <v>0.1416876078330185</v>
      </c>
      <c r="G590" s="7" t="n"/>
      <c r="H590" s="7" t="inlineStr">
        <is>
          <t>否</t>
        </is>
      </c>
      <c r="I590" s="7" t="inlineStr">
        <is>
          <t>否</t>
        </is>
      </c>
      <c r="J590" s="7" t="inlineStr"/>
    </row>
    <row r="591">
      <c r="A591" s="11" t="n">
        <v>45638</v>
      </c>
      <c r="B591" s="7" t="inlineStr">
        <is>
          <t>工业有色</t>
        </is>
      </c>
      <c r="C591" s="9" t="n">
        <v>-0.6552397469563557</v>
      </c>
      <c r="D591" s="9" t="n">
        <v>-0.124889127093545</v>
      </c>
      <c r="E591" s="9" t="n">
        <v>-0.306973460512954</v>
      </c>
      <c r="F591" s="9" t="n">
        <v>-1.533856653262568</v>
      </c>
      <c r="G591" s="7" t="n">
        <v>6</v>
      </c>
      <c r="H591" s="7" t="inlineStr">
        <is>
          <t>是</t>
        </is>
      </c>
      <c r="I591" s="7" t="inlineStr">
        <is>
          <t>否</t>
        </is>
      </c>
      <c r="J591" s="7" t="inlineStr"/>
    </row>
    <row r="592">
      <c r="A592" s="11" t="n">
        <v>45638</v>
      </c>
      <c r="B592" s="7" t="inlineStr">
        <is>
          <t>半导体材料设备</t>
        </is>
      </c>
      <c r="C592" s="9" t="n">
        <v>-0.7392465535392404</v>
      </c>
      <c r="D592" s="9" t="n">
        <v>-1.744609423958497</v>
      </c>
      <c r="E592" s="9" t="n">
        <v>-0.3268968199327255</v>
      </c>
      <c r="F592" s="9" t="n">
        <v>-0.1462334167264983</v>
      </c>
      <c r="G592" s="7" t="n">
        <v>7</v>
      </c>
      <c r="H592" s="7" t="inlineStr">
        <is>
          <t>是</t>
        </is>
      </c>
      <c r="I592" s="7" t="inlineStr">
        <is>
          <t>否</t>
        </is>
      </c>
      <c r="J592" s="7" t="inlineStr"/>
    </row>
    <row r="593">
      <c r="A593" s="11" t="n">
        <v>45638</v>
      </c>
      <c r="B593" s="7" t="inlineStr">
        <is>
          <t>新能源电池</t>
        </is>
      </c>
      <c r="C593" s="9" t="n">
        <v>-0.8639188379389603</v>
      </c>
      <c r="D593" s="9" t="n">
        <v>-0.8390178866580292</v>
      </c>
      <c r="E593" s="9" t="n">
        <v>-1.186302867794105</v>
      </c>
      <c r="F593" s="9" t="n">
        <v>-0.566435759364747</v>
      </c>
      <c r="G593" s="7" t="n">
        <v>8</v>
      </c>
      <c r="H593" s="7" t="inlineStr">
        <is>
          <t>是</t>
        </is>
      </c>
      <c r="I593" s="7" t="inlineStr">
        <is>
          <t>否</t>
        </is>
      </c>
      <c r="J593" s="7" t="inlineStr"/>
    </row>
    <row r="594">
      <c r="A594" s="11" t="n">
        <v>45638</v>
      </c>
      <c r="B594" s="7" t="inlineStr">
        <is>
          <t>通信设备</t>
        </is>
      </c>
      <c r="C594" s="9" t="n">
        <v>-0.9643689182742566</v>
      </c>
      <c r="D594" s="9" t="n">
        <v>-1.167559388087956</v>
      </c>
      <c r="E594" s="9" t="n">
        <v>-0.4639532538947233</v>
      </c>
      <c r="F594" s="9" t="n">
        <v>-1.26159411284009</v>
      </c>
      <c r="G594" s="7" t="n">
        <v>9</v>
      </c>
      <c r="H594" s="7" t="inlineStr">
        <is>
          <t>是</t>
        </is>
      </c>
      <c r="I594" s="7" t="inlineStr">
        <is>
          <t>否</t>
        </is>
      </c>
      <c r="J594" s="7" t="inlineStr"/>
    </row>
    <row r="596">
      <c r="A596" s="11" t="n">
        <v>45660</v>
      </c>
      <c r="B596" s="7" t="inlineStr">
        <is>
          <t>科创芯片设计</t>
        </is>
      </c>
      <c r="C596" s="9" t="n">
        <v>1.428383545217641</v>
      </c>
      <c r="D596" s="9" t="n">
        <v>1.349391976342504</v>
      </c>
      <c r="E596" s="9" t="n">
        <v>1.642064516132258</v>
      </c>
      <c r="F596" s="9" t="n">
        <v>1.29369414317816</v>
      </c>
      <c r="G596" s="7" t="n">
        <v>1</v>
      </c>
      <c r="H596" s="7" t="inlineStr">
        <is>
          <t>是</t>
        </is>
      </c>
      <c r="I596" s="7" t="inlineStr">
        <is>
          <t>是</t>
        </is>
      </c>
      <c r="J596" s="7" t="inlineStr">
        <is>
          <t>保留</t>
        </is>
      </c>
    </row>
    <row r="597">
      <c r="A597" s="16" t="n">
        <v>45660</v>
      </c>
      <c r="B597" s="17" t="inlineStr">
        <is>
          <t>港股通互联网</t>
        </is>
      </c>
      <c r="C597" s="18" t="n">
        <v>0.5407958525151153</v>
      </c>
      <c r="D597" s="18" t="n">
        <v>1.482704655827925</v>
      </c>
      <c r="E597" s="18" t="n">
        <v>-0.4345962623621174</v>
      </c>
      <c r="F597" s="18" t="n">
        <v>0.5742791640795382</v>
      </c>
      <c r="G597" s="17" t="n"/>
      <c r="H597" s="17" t="inlineStr">
        <is>
          <t>否</t>
        </is>
      </c>
      <c r="I597" s="17" t="inlineStr">
        <is>
          <t>是</t>
        </is>
      </c>
      <c r="J597" s="17" t="inlineStr">
        <is>
          <t>卖出</t>
        </is>
      </c>
    </row>
    <row r="598">
      <c r="A598" s="11" t="n">
        <v>45660</v>
      </c>
      <c r="B598" s="7" t="inlineStr">
        <is>
          <t>机器人</t>
        </is>
      </c>
      <c r="C598" s="9" t="n">
        <v>0.1456646499104588</v>
      </c>
      <c r="D598" s="9" t="n">
        <v>-0.5748931338572384</v>
      </c>
      <c r="E598" s="9" t="n">
        <v>0.9703354012840576</v>
      </c>
      <c r="F598" s="9" t="n">
        <v>0.04155168230455732</v>
      </c>
      <c r="G598" s="7" t="n"/>
      <c r="H598" s="7" t="inlineStr">
        <is>
          <t>否</t>
        </is>
      </c>
      <c r="I598" s="7" t="inlineStr">
        <is>
          <t>否</t>
        </is>
      </c>
      <c r="J598" s="7" t="inlineStr"/>
    </row>
    <row r="599">
      <c r="A599" s="11" t="n">
        <v>45660</v>
      </c>
      <c r="B599" s="7" t="inlineStr">
        <is>
          <t>计算机</t>
        </is>
      </c>
      <c r="C599" s="9" t="n">
        <v>0.05223342676447825</v>
      </c>
      <c r="D599" s="9" t="n">
        <v>-1.389334633767215</v>
      </c>
      <c r="E599" s="9" t="n">
        <v>0.5127924603830829</v>
      </c>
      <c r="F599" s="9" t="n">
        <v>1.033242453677567</v>
      </c>
      <c r="G599" s="7" t="n"/>
      <c r="H599" s="7" t="inlineStr">
        <is>
          <t>否</t>
        </is>
      </c>
      <c r="I599" s="7" t="inlineStr">
        <is>
          <t>是</t>
        </is>
      </c>
      <c r="J599" s="7" t="inlineStr">
        <is>
          <t>保留</t>
        </is>
      </c>
    </row>
    <row r="600">
      <c r="A600" s="11" t="n">
        <v>45660</v>
      </c>
      <c r="B600" s="7" t="inlineStr">
        <is>
          <t>新能源电池</t>
        </is>
      </c>
      <c r="C600" s="9" t="n">
        <v>-0.1180846925346328</v>
      </c>
      <c r="D600" s="9" t="n">
        <v>-0.07032475515611643</v>
      </c>
      <c r="E600" s="9" t="n">
        <v>-0.4340410545021576</v>
      </c>
      <c r="F600" s="9" t="n">
        <v>0.1501117320543757</v>
      </c>
      <c r="G600" s="7" t="n"/>
      <c r="H600" s="7" t="inlineStr">
        <is>
          <t>否</t>
        </is>
      </c>
      <c r="I600" s="7" t="inlineStr">
        <is>
          <t>否</t>
        </is>
      </c>
      <c r="J600" s="7" t="inlineStr"/>
    </row>
    <row r="601">
      <c r="A601" s="11" t="n">
        <v>45660</v>
      </c>
      <c r="B601" s="7" t="inlineStr">
        <is>
          <t>通信设备</t>
        </is>
      </c>
      <c r="C601" s="9" t="n">
        <v>-0.1336983949179761</v>
      </c>
      <c r="D601" s="9" t="n">
        <v>0.7849935055853349</v>
      </c>
      <c r="E601" s="9" t="n">
        <v>0.005891608462935839</v>
      </c>
      <c r="F601" s="9" t="n">
        <v>-1.191980298802199</v>
      </c>
      <c r="G601" s="7" t="n"/>
      <c r="H601" s="7" t="inlineStr">
        <is>
          <t>否</t>
        </is>
      </c>
      <c r="I601" s="7" t="inlineStr">
        <is>
          <t>否</t>
        </is>
      </c>
      <c r="J601" s="7" t="inlineStr"/>
    </row>
    <row r="602">
      <c r="A602" s="11" t="n">
        <v>45660</v>
      </c>
      <c r="B602" s="7" t="inlineStr">
        <is>
          <t>卫星产业</t>
        </is>
      </c>
      <c r="C602" s="9" t="n">
        <v>-0.1715987192071954</v>
      </c>
      <c r="D602" s="9" t="n">
        <v>-0.8979596166727943</v>
      </c>
      <c r="E602" s="9" t="n">
        <v>0.3314853215286431</v>
      </c>
      <c r="F602" s="9" t="n">
        <v>0.05167813752256523</v>
      </c>
      <c r="G602" s="7" t="n"/>
      <c r="H602" s="7" t="inlineStr">
        <is>
          <t>否</t>
        </is>
      </c>
      <c r="I602" s="7" t="inlineStr">
        <is>
          <t>否</t>
        </is>
      </c>
      <c r="J602" s="7" t="inlineStr"/>
    </row>
    <row r="603">
      <c r="A603" s="11" t="n">
        <v>45660</v>
      </c>
      <c r="B603" s="7" t="inlineStr">
        <is>
          <t>港股通创新药</t>
        </is>
      </c>
      <c r="C603" s="9" t="n">
        <v>-0.4407315254710291</v>
      </c>
      <c r="D603" s="9" t="n">
        <v>0.3244593243309079</v>
      </c>
      <c r="E603" s="9" t="n">
        <v>-2.076848772891453</v>
      </c>
      <c r="F603" s="9" t="n">
        <v>0.4301948721474574</v>
      </c>
      <c r="G603" s="7" t="n"/>
      <c r="H603" s="7" t="inlineStr">
        <is>
          <t>否</t>
        </is>
      </c>
      <c r="I603" s="7" t="inlineStr">
        <is>
          <t>否</t>
        </is>
      </c>
      <c r="J603" s="7" t="inlineStr"/>
    </row>
    <row r="604">
      <c r="A604" s="11" t="n">
        <v>45660</v>
      </c>
      <c r="B604" s="7" t="inlineStr">
        <is>
          <t>半导体材料设备</t>
        </is>
      </c>
      <c r="C604" s="9" t="n">
        <v>-0.4653110427537197</v>
      </c>
      <c r="D604" s="9" t="n">
        <v>-1.086812185784575</v>
      </c>
      <c r="E604" s="9" t="n">
        <v>0.02863960216203114</v>
      </c>
      <c r="F604" s="9" t="n">
        <v>-0.3377605446386148</v>
      </c>
      <c r="G604" s="7" t="n"/>
      <c r="H604" s="7" t="inlineStr">
        <is>
          <t>否</t>
        </is>
      </c>
      <c r="I604" s="7" t="inlineStr">
        <is>
          <t>否</t>
        </is>
      </c>
      <c r="J604" s="7" t="inlineStr"/>
    </row>
    <row r="605">
      <c r="A605" s="11" t="n">
        <v>45660</v>
      </c>
      <c r="B605" s="7" t="inlineStr">
        <is>
          <t>工业有色</t>
        </is>
      </c>
      <c r="C605" s="9" t="n">
        <v>-0.8376530995231403</v>
      </c>
      <c r="D605" s="9" t="n">
        <v>0.07777486315126779</v>
      </c>
      <c r="E605" s="9" t="n">
        <v>-0.5457228201972811</v>
      </c>
      <c r="F605" s="9" t="n">
        <v>-2.045011341523407</v>
      </c>
      <c r="G605" s="7" t="n"/>
      <c r="H605" s="7" t="inlineStr">
        <is>
          <t>否</t>
        </is>
      </c>
      <c r="I605" s="7" t="inlineStr">
        <is>
          <t>否</t>
        </is>
      </c>
      <c r="J605" s="7" t="inlineStr"/>
    </row>
    <row r="607">
      <c r="A607" s="13" t="n">
        <v>45694</v>
      </c>
      <c r="B607" s="14" t="inlineStr">
        <is>
          <t>机器人</t>
        </is>
      </c>
      <c r="C607" s="15" t="n">
        <v>1.366216092104112</v>
      </c>
      <c r="D607" s="15" t="n">
        <v>1.451431188285188</v>
      </c>
      <c r="E607" s="15" t="n">
        <v>1.650508002398712</v>
      </c>
      <c r="F607" s="15" t="n">
        <v>0.9967090856284374</v>
      </c>
      <c r="G607" s="14" t="n">
        <v>1</v>
      </c>
      <c r="H607" s="14" t="inlineStr">
        <is>
          <t>是</t>
        </is>
      </c>
      <c r="I607" s="14" t="inlineStr">
        <is>
          <t>否</t>
        </is>
      </c>
      <c r="J607" s="14" t="inlineStr">
        <is>
          <t>买入</t>
        </is>
      </c>
    </row>
    <row r="608">
      <c r="A608" s="11" t="n">
        <v>45694</v>
      </c>
      <c r="B608" s="7" t="inlineStr">
        <is>
          <t>港股通互联网</t>
        </is>
      </c>
      <c r="C608" s="9" t="n">
        <v>0.9222258647704455</v>
      </c>
      <c r="D608" s="9" t="n">
        <v>0.9197226170821675</v>
      </c>
      <c r="E608" s="9" t="n">
        <v>0.4594246889583252</v>
      </c>
      <c r="F608" s="9" t="n">
        <v>1.387530288270844</v>
      </c>
      <c r="G608" s="7" t="n">
        <v>2</v>
      </c>
      <c r="H608" s="7" t="inlineStr">
        <is>
          <t>是</t>
        </is>
      </c>
      <c r="I608" s="7" t="inlineStr">
        <is>
          <t>否</t>
        </is>
      </c>
      <c r="J608" s="7" t="inlineStr"/>
    </row>
    <row r="609">
      <c r="A609" s="11" t="n">
        <v>45694</v>
      </c>
      <c r="B609" s="7" t="inlineStr">
        <is>
          <t>科创芯片设计</t>
        </is>
      </c>
      <c r="C609" s="9" t="n">
        <v>0.809403365965944</v>
      </c>
      <c r="D609" s="9" t="n">
        <v>-0.07999183768053468</v>
      </c>
      <c r="E609" s="9" t="n">
        <v>1.597033715933962</v>
      </c>
      <c r="F609" s="9" t="n">
        <v>0.9111682196444048</v>
      </c>
      <c r="G609" s="7" t="n">
        <v>3</v>
      </c>
      <c r="H609" s="7" t="inlineStr">
        <is>
          <t>是</t>
        </is>
      </c>
      <c r="I609" s="7" t="inlineStr">
        <is>
          <t>是</t>
        </is>
      </c>
      <c r="J609" s="7" t="inlineStr">
        <is>
          <t>保留</t>
        </is>
      </c>
    </row>
    <row r="610">
      <c r="A610" s="11" t="n">
        <v>45694</v>
      </c>
      <c r="B610" s="7" t="inlineStr">
        <is>
          <t>计算机</t>
        </is>
      </c>
      <c r="C610" s="9" t="n">
        <v>0.6479065890303251</v>
      </c>
      <c r="D610" s="9" t="n">
        <v>0.3408697388295868</v>
      </c>
      <c r="E610" s="9" t="n">
        <v>0.3762912135324499</v>
      </c>
      <c r="F610" s="9" t="n">
        <v>1.226558814728938</v>
      </c>
      <c r="G610" s="7" t="n">
        <v>4</v>
      </c>
      <c r="H610" s="7" t="inlineStr">
        <is>
          <t>是</t>
        </is>
      </c>
      <c r="I610" s="7" t="inlineStr">
        <is>
          <t>是</t>
        </is>
      </c>
      <c r="J610" s="7" t="inlineStr">
        <is>
          <t>保留</t>
        </is>
      </c>
    </row>
    <row r="611">
      <c r="A611" s="11" t="n">
        <v>45694</v>
      </c>
      <c r="B611" s="7" t="inlineStr">
        <is>
          <t>港股通创新药</t>
        </is>
      </c>
      <c r="C611" s="9" t="n">
        <v>-0.2469119909007359</v>
      </c>
      <c r="D611" s="9" t="n">
        <v>-0.06704495767764666</v>
      </c>
      <c r="E611" s="9" t="n">
        <v>-0.417059284862842</v>
      </c>
      <c r="F611" s="9" t="n">
        <v>-0.2566317301617192</v>
      </c>
      <c r="G611" s="7" t="n">
        <v>5</v>
      </c>
      <c r="H611" s="7" t="inlineStr">
        <is>
          <t>是</t>
        </is>
      </c>
      <c r="I611" s="7" t="inlineStr">
        <is>
          <t>否</t>
        </is>
      </c>
      <c r="J611" s="7" t="inlineStr"/>
    </row>
    <row r="612">
      <c r="A612" s="11" t="n">
        <v>45694</v>
      </c>
      <c r="B612" s="7" t="inlineStr">
        <is>
          <t>工业有色</t>
        </is>
      </c>
      <c r="C612" s="9" t="n">
        <v>-0.2614581502079665</v>
      </c>
      <c r="D612" s="9" t="n">
        <v>1.259097871894038</v>
      </c>
      <c r="E612" s="9" t="n">
        <v>-1.281900292519436</v>
      </c>
      <c r="F612" s="9" t="n">
        <v>-0.7615720299985012</v>
      </c>
      <c r="G612" s="7" t="n">
        <v>6</v>
      </c>
      <c r="H612" s="7" t="inlineStr">
        <is>
          <t>是</t>
        </is>
      </c>
      <c r="I612" s="7" t="inlineStr">
        <is>
          <t>否</t>
        </is>
      </c>
      <c r="J612" s="7" t="inlineStr"/>
    </row>
    <row r="613">
      <c r="A613" s="11" t="n">
        <v>45694</v>
      </c>
      <c r="B613" s="7" t="inlineStr">
        <is>
          <t>半导体材料设备</t>
        </is>
      </c>
      <c r="C613" s="9" t="n">
        <v>-0.5912172330244069</v>
      </c>
      <c r="D613" s="9" t="n">
        <v>-0.3540788394969056</v>
      </c>
      <c r="E613" s="9" t="n">
        <v>-0.5234683857945559</v>
      </c>
      <c r="F613" s="9" t="n">
        <v>-0.8961044737817591</v>
      </c>
      <c r="G613" s="7" t="n"/>
      <c r="H613" s="7" t="inlineStr">
        <is>
          <t>否</t>
        </is>
      </c>
      <c r="I613" s="7" t="inlineStr">
        <is>
          <t>否</t>
        </is>
      </c>
      <c r="J613" s="7" t="inlineStr"/>
    </row>
    <row r="614">
      <c r="A614" s="11" t="n">
        <v>45694</v>
      </c>
      <c r="B614" s="7" t="inlineStr">
        <is>
          <t>卫星产业</t>
        </is>
      </c>
      <c r="C614" s="9" t="n">
        <v>-0.7443496135673807</v>
      </c>
      <c r="D614" s="9" t="n">
        <v>-0.813051693740022</v>
      </c>
      <c r="E614" s="9" t="n">
        <v>-0.4321472389311899</v>
      </c>
      <c r="F614" s="9" t="n">
        <v>-0.9878499080309305</v>
      </c>
      <c r="G614" s="7" t="n"/>
      <c r="H614" s="7" t="inlineStr">
        <is>
          <t>否</t>
        </is>
      </c>
      <c r="I614" s="7" t="inlineStr">
        <is>
          <t>否</t>
        </is>
      </c>
      <c r="J614" s="7" t="inlineStr"/>
    </row>
    <row r="615">
      <c r="A615" s="11" t="n">
        <v>45694</v>
      </c>
      <c r="B615" s="7" t="inlineStr">
        <is>
          <t>通信设备</t>
        </is>
      </c>
      <c r="C615" s="9" t="n">
        <v>-0.8306829135213105</v>
      </c>
      <c r="D615" s="9" t="n">
        <v>-1.23122204337849</v>
      </c>
      <c r="E615" s="9" t="n">
        <v>-0.5218618583683289</v>
      </c>
      <c r="F615" s="9" t="n">
        <v>-0.7389648388171128</v>
      </c>
      <c r="G615" s="7" t="n"/>
      <c r="H615" s="7" t="inlineStr">
        <is>
          <t>否</t>
        </is>
      </c>
      <c r="I615" s="7" t="inlineStr">
        <is>
          <t>否</t>
        </is>
      </c>
      <c r="J615" s="7" t="inlineStr"/>
    </row>
    <row r="616">
      <c r="A616" s="11" t="n">
        <v>45694</v>
      </c>
      <c r="B616" s="7" t="inlineStr">
        <is>
          <t>新能源电池</t>
        </is>
      </c>
      <c r="C616" s="9" t="n">
        <v>-1.071132010649027</v>
      </c>
      <c r="D616" s="9" t="n">
        <v>-1.42573204411738</v>
      </c>
      <c r="E616" s="9" t="n">
        <v>-0.9068205603470966</v>
      </c>
      <c r="F616" s="9" t="n">
        <v>-0.8808434274826036</v>
      </c>
      <c r="G616" s="7" t="n"/>
      <c r="H616" s="7" t="inlineStr">
        <is>
          <t>否</t>
        </is>
      </c>
      <c r="I616" s="7" t="inlineStr">
        <is>
          <t>否</t>
        </is>
      </c>
      <c r="J616" s="7" t="inlineStr"/>
    </row>
    <row r="618">
      <c r="A618" s="11" t="n">
        <v>45741</v>
      </c>
      <c r="B618" s="7" t="inlineStr">
        <is>
          <t>工业有色</t>
        </is>
      </c>
      <c r="C618" s="9" t="n">
        <v>0.9431509406907104</v>
      </c>
      <c r="D618" s="9" t="n">
        <v>2.368748614791154</v>
      </c>
      <c r="E618" s="9" t="n">
        <v>1.039207509815579</v>
      </c>
      <c r="F618" s="9" t="n">
        <v>-0.5785033025346021</v>
      </c>
      <c r="G618" s="7" t="n">
        <v>1</v>
      </c>
      <c r="H618" s="7" t="inlineStr">
        <is>
          <t>是</t>
        </is>
      </c>
      <c r="I618" s="7" t="inlineStr">
        <is>
          <t>否</t>
        </is>
      </c>
      <c r="J618" s="7" t="inlineStr"/>
    </row>
    <row r="619">
      <c r="A619" s="13" t="n">
        <v>45741</v>
      </c>
      <c r="B619" s="14" t="inlineStr">
        <is>
          <t>港股通互联网</t>
        </is>
      </c>
      <c r="C619" s="15" t="n">
        <v>0.709650631461949</v>
      </c>
      <c r="D619" s="15" t="n">
        <v>0.2573694267938516</v>
      </c>
      <c r="E619" s="15" t="n">
        <v>1.327037619993877</v>
      </c>
      <c r="F619" s="15" t="n">
        <v>0.5445448475981181</v>
      </c>
      <c r="G619" s="14" t="n">
        <v>2</v>
      </c>
      <c r="H619" s="14" t="inlineStr">
        <is>
          <t>是</t>
        </is>
      </c>
      <c r="I619" s="14" t="inlineStr">
        <is>
          <t>否</t>
        </is>
      </c>
      <c r="J619" s="14" t="inlineStr">
        <is>
          <t>买入</t>
        </is>
      </c>
    </row>
    <row r="620">
      <c r="A620" s="11" t="n">
        <v>45741</v>
      </c>
      <c r="B620" s="7" t="inlineStr">
        <is>
          <t>科创芯片设计</t>
        </is>
      </c>
      <c r="C620" s="9" t="n">
        <v>0.506260891427043</v>
      </c>
      <c r="D620" s="9" t="n">
        <v>-0.1747530700400433</v>
      </c>
      <c r="E620" s="9" t="n">
        <v>-0.2462061022013211</v>
      </c>
      <c r="F620" s="9" t="n">
        <v>1.939741846522493</v>
      </c>
      <c r="G620" s="7" t="n">
        <v>3</v>
      </c>
      <c r="H620" s="7" t="inlineStr">
        <is>
          <t>是</t>
        </is>
      </c>
      <c r="I620" s="7" t="inlineStr">
        <is>
          <t>是</t>
        </is>
      </c>
      <c r="J620" s="7" t="inlineStr">
        <is>
          <t>保留</t>
        </is>
      </c>
    </row>
    <row r="621">
      <c r="A621" s="11" t="n">
        <v>45741</v>
      </c>
      <c r="B621" s="7" t="inlineStr">
        <is>
          <t>港股通创新药</t>
        </is>
      </c>
      <c r="C621" s="9" t="n">
        <v>0.3821470528924168</v>
      </c>
      <c r="D621" s="9" t="n">
        <v>0.6791702050497204</v>
      </c>
      <c r="E621" s="9" t="n">
        <v>1.467548067465502</v>
      </c>
      <c r="F621" s="9" t="n">
        <v>-1.000277113837971</v>
      </c>
      <c r="G621" s="7" t="n">
        <v>4</v>
      </c>
      <c r="H621" s="7" t="inlineStr">
        <is>
          <t>是</t>
        </is>
      </c>
      <c r="I621" s="7" t="inlineStr">
        <is>
          <t>否</t>
        </is>
      </c>
      <c r="J621" s="7" t="inlineStr"/>
    </row>
    <row r="622">
      <c r="A622" s="11" t="n">
        <v>45741</v>
      </c>
      <c r="B622" s="7" t="inlineStr">
        <is>
          <t>机器人</t>
        </is>
      </c>
      <c r="C622" s="9" t="n">
        <v>0.228576179614939</v>
      </c>
      <c r="D622" s="9" t="n">
        <v>-0.5866632560782925</v>
      </c>
      <c r="E622" s="9" t="n">
        <v>0.3205917817475078</v>
      </c>
      <c r="F622" s="9" t="n">
        <v>0.9518000131756016</v>
      </c>
      <c r="G622" s="7" t="n">
        <v>5</v>
      </c>
      <c r="H622" s="7" t="inlineStr">
        <is>
          <t>是</t>
        </is>
      </c>
      <c r="I622" s="7" t="inlineStr">
        <is>
          <t>是</t>
        </is>
      </c>
      <c r="J622" s="7" t="inlineStr">
        <is>
          <t>保留</t>
        </is>
      </c>
    </row>
    <row r="623">
      <c r="A623" s="11" t="n">
        <v>45741</v>
      </c>
      <c r="B623" s="7" t="inlineStr">
        <is>
          <t>卫星产业</t>
        </is>
      </c>
      <c r="C623" s="9" t="n">
        <v>-0.2721336710862374</v>
      </c>
      <c r="D623" s="9" t="n">
        <v>0.03832297703494379</v>
      </c>
      <c r="E623" s="9" t="n">
        <v>-0.7293565043003257</v>
      </c>
      <c r="F623" s="9" t="n">
        <v>-0.1253674859933301</v>
      </c>
      <c r="G623" s="7" t="n">
        <v>6</v>
      </c>
      <c r="H623" s="7" t="inlineStr">
        <is>
          <t>是</t>
        </is>
      </c>
      <c r="I623" s="7" t="inlineStr">
        <is>
          <t>否</t>
        </is>
      </c>
      <c r="J623" s="7" t="inlineStr"/>
    </row>
    <row r="624">
      <c r="A624" s="16" t="n">
        <v>45741</v>
      </c>
      <c r="B624" s="17" t="inlineStr">
        <is>
          <t>计算机</t>
        </is>
      </c>
      <c r="C624" s="18" t="n">
        <v>-0.3016452985305031</v>
      </c>
      <c r="D624" s="18" t="n">
        <v>-0.8766914438833818</v>
      </c>
      <c r="E624" s="18" t="n">
        <v>-0.6525911598378572</v>
      </c>
      <c r="F624" s="18" t="n">
        <v>0.6243467081297296</v>
      </c>
      <c r="G624" s="17" t="n"/>
      <c r="H624" s="17" t="inlineStr">
        <is>
          <t>否</t>
        </is>
      </c>
      <c r="I624" s="17" t="inlineStr">
        <is>
          <t>是</t>
        </is>
      </c>
      <c r="J624" s="17" t="inlineStr">
        <is>
          <t>卖出</t>
        </is>
      </c>
    </row>
    <row r="625">
      <c r="A625" s="11" t="n">
        <v>45741</v>
      </c>
      <c r="B625" s="7" t="inlineStr">
        <is>
          <t>新能源电池</t>
        </is>
      </c>
      <c r="C625" s="9" t="n">
        <v>-0.3143051813113199</v>
      </c>
      <c r="D625" s="9" t="n">
        <v>0.1236489825594017</v>
      </c>
      <c r="E625" s="9" t="n">
        <v>-0.1733052978518179</v>
      </c>
      <c r="F625" s="9" t="n">
        <v>-0.8932592286415435</v>
      </c>
      <c r="G625" s="7" t="n">
        <v>7</v>
      </c>
      <c r="H625" s="7" t="inlineStr">
        <is>
          <t>是</t>
        </is>
      </c>
      <c r="I625" s="7" t="inlineStr">
        <is>
          <t>否</t>
        </is>
      </c>
      <c r="J625" s="7" t="inlineStr"/>
    </row>
    <row r="626">
      <c r="A626" s="11" t="n">
        <v>45741</v>
      </c>
      <c r="B626" s="7" t="inlineStr">
        <is>
          <t>半导体材料设备</t>
        </is>
      </c>
      <c r="C626" s="9" t="n">
        <v>-0.6780738139649407</v>
      </c>
      <c r="D626" s="9" t="n">
        <v>-0.7950741837892507</v>
      </c>
      <c r="E626" s="9" t="n">
        <v>-0.9691901876317133</v>
      </c>
      <c r="F626" s="9" t="n">
        <v>-0.2699570704738581</v>
      </c>
      <c r="G626" s="7" t="n">
        <v>8</v>
      </c>
      <c r="H626" s="7" t="inlineStr">
        <is>
          <t>是</t>
        </is>
      </c>
      <c r="I626" s="7" t="inlineStr">
        <is>
          <t>否</t>
        </is>
      </c>
      <c r="J626" s="7" t="inlineStr"/>
    </row>
    <row r="627">
      <c r="A627" s="11" t="n">
        <v>45741</v>
      </c>
      <c r="B627" s="7" t="inlineStr">
        <is>
          <t>通信设备</t>
        </is>
      </c>
      <c r="C627" s="9" t="n">
        <v>-1.203627731194058</v>
      </c>
      <c r="D627" s="9" t="n">
        <v>-1.034078252438102</v>
      </c>
      <c r="E627" s="9" t="n">
        <v>-1.383735727199431</v>
      </c>
      <c r="F627" s="9" t="n">
        <v>-1.19306921394464</v>
      </c>
      <c r="G627" s="7" t="n"/>
      <c r="H627" s="7" t="inlineStr">
        <is>
          <t>否</t>
        </is>
      </c>
      <c r="I627" s="7" t="inlineStr">
        <is>
          <t>否</t>
        </is>
      </c>
      <c r="J627" s="7" t="inlineStr"/>
    </row>
    <row r="629">
      <c r="A629" s="11" t="n">
        <v>45768</v>
      </c>
      <c r="B629" s="7" t="inlineStr">
        <is>
          <t>科创芯片设计</t>
        </is>
      </c>
      <c r="C629" s="9" t="n">
        <v>1.554297550854403</v>
      </c>
      <c r="D629" s="9" t="n">
        <v>1.585659984795063</v>
      </c>
      <c r="E629" s="9" t="n">
        <v>1.19066703488461</v>
      </c>
      <c r="F629" s="9" t="n">
        <v>1.886565632883535</v>
      </c>
      <c r="G629" s="7" t="n">
        <v>1</v>
      </c>
      <c r="H629" s="7" t="inlineStr">
        <is>
          <t>是</t>
        </is>
      </c>
      <c r="I629" s="7" t="inlineStr">
        <is>
          <t>是</t>
        </is>
      </c>
      <c r="J629" s="7" t="inlineStr">
        <is>
          <t>保留</t>
        </is>
      </c>
    </row>
    <row r="630">
      <c r="A630" s="11" t="n">
        <v>45768</v>
      </c>
      <c r="B630" s="7" t="inlineStr">
        <is>
          <t>港股通创新药</t>
        </is>
      </c>
      <c r="C630" s="9" t="n">
        <v>0.9359617692291109</v>
      </c>
      <c r="D630" s="9" t="n">
        <v>1.100078255122997</v>
      </c>
      <c r="E630" s="9" t="n">
        <v>1.410013033503705</v>
      </c>
      <c r="F630" s="9" t="n">
        <v>0.297794019060631</v>
      </c>
      <c r="G630" s="7" t="n">
        <v>2</v>
      </c>
      <c r="H630" s="7" t="inlineStr">
        <is>
          <t>是</t>
        </is>
      </c>
      <c r="I630" s="7" t="inlineStr">
        <is>
          <t>否</t>
        </is>
      </c>
      <c r="J630" s="7" t="inlineStr"/>
    </row>
    <row r="631">
      <c r="A631" s="11" t="n">
        <v>45768</v>
      </c>
      <c r="B631" s="7" t="inlineStr">
        <is>
          <t>半导体材料设备</t>
        </is>
      </c>
      <c r="C631" s="9" t="n">
        <v>0.5467117791016606</v>
      </c>
      <c r="D631" s="9" t="n">
        <v>1.453157632579918</v>
      </c>
      <c r="E631" s="9" t="n">
        <v>0.1576223356254901</v>
      </c>
      <c r="F631" s="9" t="n">
        <v>0.02935536909957323</v>
      </c>
      <c r="G631" s="7" t="n"/>
      <c r="H631" s="7" t="inlineStr">
        <is>
          <t>否</t>
        </is>
      </c>
      <c r="I631" s="7" t="inlineStr">
        <is>
          <t>否</t>
        </is>
      </c>
      <c r="J631" s="7" t="inlineStr"/>
    </row>
    <row r="632">
      <c r="A632" s="11" t="n">
        <v>45768</v>
      </c>
      <c r="B632" s="7" t="inlineStr">
        <is>
          <t>港股通互联网</t>
        </is>
      </c>
      <c r="C632" s="9" t="n">
        <v>0.1706923325809476</v>
      </c>
      <c r="D632" s="9" t="n">
        <v>-0.6514963112986605</v>
      </c>
      <c r="E632" s="9" t="n">
        <v>0.7246569089426603</v>
      </c>
      <c r="F632" s="9" t="n">
        <v>0.438916400098843</v>
      </c>
      <c r="G632" s="7" t="n"/>
      <c r="H632" s="7" t="inlineStr">
        <is>
          <t>否</t>
        </is>
      </c>
      <c r="I632" s="7" t="inlineStr">
        <is>
          <t>是</t>
        </is>
      </c>
      <c r="J632" s="7" t="inlineStr">
        <is>
          <t>保留</t>
        </is>
      </c>
    </row>
    <row r="633">
      <c r="A633" s="11" t="n">
        <v>45768</v>
      </c>
      <c r="B633" s="7" t="inlineStr">
        <is>
          <t>卫星产业</t>
        </is>
      </c>
      <c r="C633" s="9" t="n">
        <v>-0.02984642706826858</v>
      </c>
      <c r="D633" s="9" t="n">
        <v>-0.05708892338134083</v>
      </c>
      <c r="E633" s="9" t="n">
        <v>0.2923455687951987</v>
      </c>
      <c r="F633" s="9" t="n">
        <v>-0.3247959266186636</v>
      </c>
      <c r="G633" s="7" t="n"/>
      <c r="H633" s="7" t="inlineStr">
        <is>
          <t>否</t>
        </is>
      </c>
      <c r="I633" s="7" t="inlineStr">
        <is>
          <t>否</t>
        </is>
      </c>
      <c r="J633" s="7" t="inlineStr"/>
    </row>
    <row r="634">
      <c r="A634" s="11" t="n">
        <v>45768</v>
      </c>
      <c r="B634" s="7" t="inlineStr">
        <is>
          <t>计算机</t>
        </is>
      </c>
      <c r="C634" s="9" t="n">
        <v>-0.04224822258999264</v>
      </c>
      <c r="D634" s="9" t="n">
        <v>-0.4791662079716236</v>
      </c>
      <c r="E634" s="9" t="n">
        <v>0.1881768214748023</v>
      </c>
      <c r="F634" s="9" t="n">
        <v>0.1642447187268433</v>
      </c>
      <c r="G634" s="7" t="n"/>
      <c r="H634" s="7" t="inlineStr">
        <is>
          <t>否</t>
        </is>
      </c>
      <c r="I634" s="7" t="inlineStr">
        <is>
          <t>否</t>
        </is>
      </c>
      <c r="J634" s="7" t="inlineStr"/>
    </row>
    <row r="635">
      <c r="A635" s="16" t="n">
        <v>45768</v>
      </c>
      <c r="B635" s="17" t="inlineStr">
        <is>
          <t>机器人</t>
        </is>
      </c>
      <c r="C635" s="18" t="n">
        <v>-0.05343279643599619</v>
      </c>
      <c r="D635" s="18" t="n">
        <v>-0.9246768893153218</v>
      </c>
      <c r="E635" s="18" t="n">
        <v>-0.1954102084847646</v>
      </c>
      <c r="F635" s="18" t="n">
        <v>0.9597887084920977</v>
      </c>
      <c r="G635" s="17" t="n"/>
      <c r="H635" s="17" t="inlineStr">
        <is>
          <t>否</t>
        </is>
      </c>
      <c r="I635" s="17" t="inlineStr">
        <is>
          <t>是</t>
        </is>
      </c>
      <c r="J635" s="17" t="inlineStr">
        <is>
          <t>卖出</t>
        </is>
      </c>
    </row>
    <row r="636">
      <c r="A636" s="11" t="n">
        <v>45768</v>
      </c>
      <c r="B636" s="7" t="inlineStr">
        <is>
          <t>工业有色</t>
        </is>
      </c>
      <c r="C636" s="9" t="n">
        <v>-0.7337902487091545</v>
      </c>
      <c r="D636" s="9" t="n">
        <v>-0.2658646445591424</v>
      </c>
      <c r="E636" s="9" t="n">
        <v>-1.06349122891899</v>
      </c>
      <c r="F636" s="9" t="n">
        <v>-0.8720148726493315</v>
      </c>
      <c r="G636" s="7" t="n"/>
      <c r="H636" s="7" t="inlineStr">
        <is>
          <t>否</t>
        </is>
      </c>
      <c r="I636" s="7" t="inlineStr">
        <is>
          <t>否</t>
        </is>
      </c>
      <c r="J636" s="7" t="inlineStr"/>
    </row>
    <row r="637">
      <c r="A637" s="11" t="n">
        <v>45768</v>
      </c>
      <c r="B637" s="7" t="inlineStr">
        <is>
          <t>新能源电池</t>
        </is>
      </c>
      <c r="C637" s="9" t="n">
        <v>-1.111798598286596</v>
      </c>
      <c r="D637" s="9" t="n">
        <v>-1.004727447915145</v>
      </c>
      <c r="E637" s="9" t="n">
        <v>-1.132346478102506</v>
      </c>
      <c r="F637" s="9" t="n">
        <v>-1.198321868842139</v>
      </c>
      <c r="G637" s="7" t="n"/>
      <c r="H637" s="7" t="inlineStr">
        <is>
          <t>否</t>
        </is>
      </c>
      <c r="I637" s="7" t="inlineStr">
        <is>
          <t>否</t>
        </is>
      </c>
      <c r="J637" s="7" t="inlineStr"/>
    </row>
    <row r="638">
      <c r="A638" s="11" t="n">
        <v>45768</v>
      </c>
      <c r="B638" s="7" t="inlineStr">
        <is>
          <t>通信设备</t>
        </is>
      </c>
      <c r="C638" s="9" t="n">
        <v>-1.236547138676113</v>
      </c>
      <c r="D638" s="9" t="n">
        <v>-0.7558754480567452</v>
      </c>
      <c r="E638" s="9" t="n">
        <v>-1.572233787720206</v>
      </c>
      <c r="F638" s="9" t="n">
        <v>-1.381532180251388</v>
      </c>
      <c r="G638" s="7" t="n"/>
      <c r="H638" s="7" t="inlineStr">
        <is>
          <t>否</t>
        </is>
      </c>
      <c r="I638" s="7" t="inlineStr">
        <is>
          <t>否</t>
        </is>
      </c>
      <c r="J638" s="7" t="inlineStr"/>
    </row>
    <row r="640">
      <c r="A640" s="13" t="n">
        <v>45792</v>
      </c>
      <c r="B640" s="14" t="inlineStr">
        <is>
          <t>港股通创新药</t>
        </is>
      </c>
      <c r="C640" s="15" t="n">
        <v>0.9036485845097304</v>
      </c>
      <c r="D640" s="15" t="n">
        <v>-0.4722379703947852</v>
      </c>
      <c r="E640" s="15" t="n">
        <v>1.885847398084262</v>
      </c>
      <c r="F640" s="15" t="n">
        <v>1.297336325839714</v>
      </c>
      <c r="G640" s="14" t="n">
        <v>1</v>
      </c>
      <c r="H640" s="14" t="inlineStr">
        <is>
          <t>是</t>
        </is>
      </c>
      <c r="I640" s="14" t="inlineStr">
        <is>
          <t>否</t>
        </is>
      </c>
      <c r="J640" s="14" t="inlineStr">
        <is>
          <t>买入</t>
        </is>
      </c>
    </row>
    <row r="641">
      <c r="A641" s="11" t="n">
        <v>45792</v>
      </c>
      <c r="B641" s="7" t="inlineStr">
        <is>
          <t>港股通互联网</t>
        </is>
      </c>
      <c r="C641" s="9" t="n">
        <v>0.8669193269738408</v>
      </c>
      <c r="D641" s="9" t="n">
        <v>1.045623763849755</v>
      </c>
      <c r="E641" s="9" t="n">
        <v>0.1430585922114371</v>
      </c>
      <c r="F641" s="9" t="n">
        <v>1.412075624860331</v>
      </c>
      <c r="G641" s="7" t="n"/>
      <c r="H641" s="7" t="inlineStr">
        <is>
          <t>否</t>
        </is>
      </c>
      <c r="I641" s="7" t="inlineStr">
        <is>
          <t>是</t>
        </is>
      </c>
      <c r="J641" s="7" t="inlineStr">
        <is>
          <t>保留</t>
        </is>
      </c>
    </row>
    <row r="642">
      <c r="A642" s="11" t="n">
        <v>45792</v>
      </c>
      <c r="B642" s="7" t="inlineStr">
        <is>
          <t>机器人</t>
        </is>
      </c>
      <c r="C642" s="9" t="n">
        <v>0.5383645602018688</v>
      </c>
      <c r="D642" s="9" t="n">
        <v>0.8640159037668603</v>
      </c>
      <c r="E642" s="9" t="n">
        <v>0.0644250847099688</v>
      </c>
      <c r="F642" s="9" t="n">
        <v>0.6866526921287773</v>
      </c>
      <c r="G642" s="7" t="n"/>
      <c r="H642" s="7" t="inlineStr">
        <is>
          <t>否</t>
        </is>
      </c>
      <c r="I642" s="7" t="inlineStr">
        <is>
          <t>否</t>
        </is>
      </c>
      <c r="J642" s="7" t="inlineStr"/>
    </row>
    <row r="643">
      <c r="A643" s="11" t="n">
        <v>45792</v>
      </c>
      <c r="B643" s="7" t="inlineStr">
        <is>
          <t>科创芯片设计</t>
        </is>
      </c>
      <c r="C643" s="9" t="n">
        <v>0.1794660373728337</v>
      </c>
      <c r="D643" s="9" t="n">
        <v>-1.35425218702635</v>
      </c>
      <c r="E643" s="9" t="n">
        <v>0.8635834060871275</v>
      </c>
      <c r="F643" s="9" t="n">
        <v>1.029066893057723</v>
      </c>
      <c r="G643" s="7" t="n"/>
      <c r="H643" s="7" t="inlineStr">
        <is>
          <t>否</t>
        </is>
      </c>
      <c r="I643" s="7" t="inlineStr">
        <is>
          <t>是</t>
        </is>
      </c>
      <c r="J643" s="7" t="inlineStr">
        <is>
          <t>保留</t>
        </is>
      </c>
    </row>
    <row r="644">
      <c r="A644" s="11" t="n">
        <v>45792</v>
      </c>
      <c r="B644" s="7" t="inlineStr">
        <is>
          <t>工业有色</t>
        </is>
      </c>
      <c r="C644" s="9" t="n">
        <v>0.01021267013696259</v>
      </c>
      <c r="D644" s="9" t="n">
        <v>0.4791844727869212</v>
      </c>
      <c r="E644" s="9" t="n">
        <v>0.01102013982527665</v>
      </c>
      <c r="F644" s="9" t="n">
        <v>-0.4595666022013101</v>
      </c>
      <c r="G644" s="7" t="n"/>
      <c r="H644" s="7" t="inlineStr">
        <is>
          <t>否</t>
        </is>
      </c>
      <c r="I644" s="7" t="inlineStr">
        <is>
          <t>否</t>
        </is>
      </c>
      <c r="J644" s="7" t="inlineStr"/>
    </row>
    <row r="645">
      <c r="A645" s="11" t="n">
        <v>45792</v>
      </c>
      <c r="B645" s="7" t="inlineStr">
        <is>
          <t>新能源电池</t>
        </is>
      </c>
      <c r="C645" s="9" t="n">
        <v>-0.07652027714885656</v>
      </c>
      <c r="D645" s="9" t="n">
        <v>0.9014714318451132</v>
      </c>
      <c r="E645" s="9" t="n">
        <v>-0.3554736223671934</v>
      </c>
      <c r="F645" s="9" t="n">
        <v>-0.7755586409244896</v>
      </c>
      <c r="G645" s="7" t="n"/>
      <c r="H645" s="7" t="inlineStr">
        <is>
          <t>否</t>
        </is>
      </c>
      <c r="I645" s="7" t="inlineStr">
        <is>
          <t>否</t>
        </is>
      </c>
      <c r="J645" s="7" t="inlineStr"/>
    </row>
    <row r="646">
      <c r="A646" s="11" t="n">
        <v>45792</v>
      </c>
      <c r="B646" s="7" t="inlineStr">
        <is>
          <t>卫星产业</t>
        </is>
      </c>
      <c r="C646" s="9" t="n">
        <v>-0.3747457450406768</v>
      </c>
      <c r="D646" s="9" t="n">
        <v>-0.5621573943348738</v>
      </c>
      <c r="E646" s="9" t="n">
        <v>0.1211565112758587</v>
      </c>
      <c r="F646" s="9" t="n">
        <v>-0.6832363520630154</v>
      </c>
      <c r="G646" s="7" t="n"/>
      <c r="H646" s="7" t="inlineStr">
        <is>
          <t>否</t>
        </is>
      </c>
      <c r="I646" s="7" t="inlineStr">
        <is>
          <t>否</t>
        </is>
      </c>
      <c r="J646" s="7" t="inlineStr"/>
    </row>
    <row r="647">
      <c r="A647" s="11" t="n">
        <v>45792</v>
      </c>
      <c r="B647" s="7" t="inlineStr">
        <is>
          <t>通信设备</t>
        </is>
      </c>
      <c r="C647" s="9" t="n">
        <v>-0.3896753695967592</v>
      </c>
      <c r="D647" s="9" t="n">
        <v>0.8969346248068111</v>
      </c>
      <c r="E647" s="9" t="n">
        <v>-1.10206567862556</v>
      </c>
      <c r="F647" s="9" t="n">
        <v>-0.9638950549715284</v>
      </c>
      <c r="G647" s="7" t="n"/>
      <c r="H647" s="7" t="inlineStr">
        <is>
          <t>否</t>
        </is>
      </c>
      <c r="I647" s="7" t="inlineStr">
        <is>
          <t>否</t>
        </is>
      </c>
      <c r="J647" s="7" t="inlineStr"/>
    </row>
    <row r="648">
      <c r="A648" s="11" t="n">
        <v>45792</v>
      </c>
      <c r="B648" s="7" t="inlineStr">
        <is>
          <t>计算机</t>
        </is>
      </c>
      <c r="C648" s="9" t="n">
        <v>-0.7420562633511351</v>
      </c>
      <c r="D648" s="9" t="n">
        <v>-0.08599283771307151</v>
      </c>
      <c r="E648" s="9" t="n">
        <v>-1.812394109962611</v>
      </c>
      <c r="F648" s="9" t="n">
        <v>-0.3277818423777226</v>
      </c>
      <c r="G648" s="7" t="n"/>
      <c r="H648" s="7" t="inlineStr">
        <is>
          <t>否</t>
        </is>
      </c>
      <c r="I648" s="7" t="inlineStr">
        <is>
          <t>否</t>
        </is>
      </c>
      <c r="J648" s="7" t="inlineStr"/>
    </row>
    <row r="649">
      <c r="A649" s="11" t="n">
        <v>45792</v>
      </c>
      <c r="B649" s="7" t="inlineStr">
        <is>
          <t>半导体材料设备</t>
        </is>
      </c>
      <c r="C649" s="9" t="n">
        <v>-0.9156135240578086</v>
      </c>
      <c r="D649" s="9" t="n">
        <v>-1.712589807586381</v>
      </c>
      <c r="E649" s="9" t="n">
        <v>0.1808422787614349</v>
      </c>
      <c r="F649" s="9" t="n">
        <v>-1.215093043348479</v>
      </c>
      <c r="G649" s="7" t="n"/>
      <c r="H649" s="7" t="inlineStr">
        <is>
          <t>否</t>
        </is>
      </c>
      <c r="I649" s="7" t="inlineStr">
        <is>
          <t>否</t>
        </is>
      </c>
      <c r="J649" s="7" t="inlineStr"/>
    </row>
    <row r="651">
      <c r="A651" s="11" t="n">
        <v>45814</v>
      </c>
      <c r="B651" s="7" t="inlineStr">
        <is>
          <t>港股通创新药</t>
        </is>
      </c>
      <c r="C651" s="9" t="n">
        <v>2.360252485145781</v>
      </c>
      <c r="D651" s="9" t="n">
        <v>2.360977914362046</v>
      </c>
      <c r="E651" s="9" t="n">
        <v>2.552702954909117</v>
      </c>
      <c r="F651" s="9" t="n">
        <v>2.167076586166181</v>
      </c>
      <c r="G651" s="7" t="n">
        <v>1</v>
      </c>
      <c r="H651" s="7" t="inlineStr">
        <is>
          <t>是</t>
        </is>
      </c>
      <c r="I651" s="7" t="inlineStr">
        <is>
          <t>是</t>
        </is>
      </c>
      <c r="J651" s="7" t="inlineStr">
        <is>
          <t>保留</t>
        </is>
      </c>
    </row>
    <row r="652">
      <c r="A652" s="11" t="n">
        <v>45814</v>
      </c>
      <c r="B652" s="7" t="inlineStr">
        <is>
          <t>港股通互联网</t>
        </is>
      </c>
      <c r="C652" s="9" t="n">
        <v>0.3592173079244562</v>
      </c>
      <c r="D652" s="9" t="n">
        <v>0.155408589775011</v>
      </c>
      <c r="E652" s="9" t="n">
        <v>-0.1200420672237682</v>
      </c>
      <c r="F652" s="9" t="n">
        <v>1.042285401222126</v>
      </c>
      <c r="G652" s="7" t="n">
        <v>2</v>
      </c>
      <c r="H652" s="7" t="inlineStr">
        <is>
          <t>是</t>
        </is>
      </c>
      <c r="I652" s="7" t="inlineStr">
        <is>
          <t>是</t>
        </is>
      </c>
      <c r="J652" s="7" t="inlineStr">
        <is>
          <t>保留</t>
        </is>
      </c>
    </row>
    <row r="653">
      <c r="A653" s="11" t="n">
        <v>45814</v>
      </c>
      <c r="B653" s="7" t="inlineStr">
        <is>
          <t>工业有色</t>
        </is>
      </c>
      <c r="C653" s="9" t="n">
        <v>0.1844778022435173</v>
      </c>
      <c r="D653" s="9" t="n">
        <v>0.6096048634845788</v>
      </c>
      <c r="E653" s="9" t="n">
        <v>0.2742822652478795</v>
      </c>
      <c r="F653" s="9" t="n">
        <v>-0.3304537220019065</v>
      </c>
      <c r="G653" s="7" t="n">
        <v>3</v>
      </c>
      <c r="H653" s="7" t="inlineStr">
        <is>
          <t>是</t>
        </is>
      </c>
      <c r="I653" s="7" t="inlineStr">
        <is>
          <t>否</t>
        </is>
      </c>
      <c r="J653" s="7" t="inlineStr"/>
    </row>
    <row r="654">
      <c r="A654" s="11" t="n">
        <v>45814</v>
      </c>
      <c r="B654" s="7" t="inlineStr">
        <is>
          <t>通信设备</t>
        </is>
      </c>
      <c r="C654" s="9" t="n">
        <v>0.1494481498806682</v>
      </c>
      <c r="D654" s="9" t="n">
        <v>0.5394829054408532</v>
      </c>
      <c r="E654" s="9" t="n">
        <v>0.3782871577056354</v>
      </c>
      <c r="F654" s="9" t="n">
        <v>-0.4694256135044841</v>
      </c>
      <c r="G654" s="7" t="n">
        <v>4</v>
      </c>
      <c r="H654" s="7" t="inlineStr">
        <is>
          <t>是</t>
        </is>
      </c>
      <c r="I654" s="7" t="inlineStr">
        <is>
          <t>否</t>
        </is>
      </c>
      <c r="J654" s="7" t="inlineStr"/>
    </row>
    <row r="655">
      <c r="A655" s="16" t="n">
        <v>45814</v>
      </c>
      <c r="B655" s="17" t="inlineStr">
        <is>
          <t>科创芯片设计</t>
        </is>
      </c>
      <c r="C655" s="18" t="n">
        <v>-0.03820983553786469</v>
      </c>
      <c r="D655" s="18" t="n">
        <v>-0.6651569371118878</v>
      </c>
      <c r="E655" s="18" t="n">
        <v>-0.1552582370076675</v>
      </c>
      <c r="F655" s="18" t="n">
        <v>0.7057856675059613</v>
      </c>
      <c r="G655" s="17" t="n"/>
      <c r="H655" s="17" t="inlineStr">
        <is>
          <t>否</t>
        </is>
      </c>
      <c r="I655" s="17" t="inlineStr">
        <is>
          <t>是</t>
        </is>
      </c>
      <c r="J655" s="17" t="inlineStr">
        <is>
          <t>卖出</t>
        </is>
      </c>
    </row>
    <row r="656">
      <c r="A656" s="11" t="n">
        <v>45814</v>
      </c>
      <c r="B656" s="7" t="inlineStr">
        <is>
          <t>卫星产业</t>
        </is>
      </c>
      <c r="C656" s="9" t="n">
        <v>-0.2765701104211325</v>
      </c>
      <c r="D656" s="9" t="n">
        <v>-0.3018506438796585</v>
      </c>
      <c r="E656" s="9" t="n">
        <v>-0.03398742468848157</v>
      </c>
      <c r="F656" s="9" t="n">
        <v>-0.4938722626952573</v>
      </c>
      <c r="G656" s="7" t="n">
        <v>5</v>
      </c>
      <c r="H656" s="7" t="inlineStr">
        <is>
          <t>是</t>
        </is>
      </c>
      <c r="I656" s="7" t="inlineStr">
        <is>
          <t>否</t>
        </is>
      </c>
      <c r="J656" s="7" t="inlineStr"/>
    </row>
    <row r="657">
      <c r="A657" s="11" t="n">
        <v>45814</v>
      </c>
      <c r="B657" s="7" t="inlineStr">
        <is>
          <t>新能源电池</t>
        </is>
      </c>
      <c r="C657" s="9" t="n">
        <v>-0.5579906530068136</v>
      </c>
      <c r="D657" s="9" t="n">
        <v>-0.3310087287121075</v>
      </c>
      <c r="E657" s="9" t="n">
        <v>-0.4798010417312391</v>
      </c>
      <c r="F657" s="9" t="n">
        <v>-0.863162188577094</v>
      </c>
      <c r="G657" s="7" t="n"/>
      <c r="H657" s="7" t="inlineStr">
        <is>
          <t>否</t>
        </is>
      </c>
      <c r="I657" s="7" t="inlineStr">
        <is>
          <t>否</t>
        </is>
      </c>
      <c r="J657" s="7" t="inlineStr"/>
    </row>
    <row r="658">
      <c r="A658" s="11" t="n">
        <v>45814</v>
      </c>
      <c r="B658" s="7" t="inlineStr">
        <is>
          <t>计算机</t>
        </is>
      </c>
      <c r="C658" s="9" t="n">
        <v>-0.6188270425308905</v>
      </c>
      <c r="D658" s="9" t="n">
        <v>-0.4306479389671682</v>
      </c>
      <c r="E658" s="9" t="n">
        <v>-0.8853263979041603</v>
      </c>
      <c r="F658" s="9" t="n">
        <v>-0.5405067907213429</v>
      </c>
      <c r="G658" s="7" t="n"/>
      <c r="H658" s="7" t="inlineStr">
        <is>
          <t>否</t>
        </is>
      </c>
      <c r="I658" s="7" t="inlineStr">
        <is>
          <t>否</t>
        </is>
      </c>
      <c r="J658" s="7" t="inlineStr"/>
    </row>
    <row r="659">
      <c r="A659" s="11" t="n">
        <v>45814</v>
      </c>
      <c r="B659" s="7" t="inlineStr">
        <is>
          <t>机器人</t>
        </is>
      </c>
      <c r="C659" s="9" t="n">
        <v>-0.7291313578945212</v>
      </c>
      <c r="D659" s="9" t="n">
        <v>-1.100281924430115</v>
      </c>
      <c r="E659" s="9" t="n">
        <v>-0.906728919706874</v>
      </c>
      <c r="F659" s="9" t="n">
        <v>-0.1803832295465745</v>
      </c>
      <c r="G659" s="7" t="n"/>
      <c r="H659" s="7" t="inlineStr">
        <is>
          <t>否</t>
        </is>
      </c>
      <c r="I659" s="7" t="inlineStr">
        <is>
          <t>否</t>
        </is>
      </c>
      <c r="J659" s="7" t="inlineStr"/>
    </row>
    <row r="660">
      <c r="A660" s="11" t="n">
        <v>45814</v>
      </c>
      <c r="B660" s="7" t="inlineStr">
        <is>
          <t>半导体材料设备</t>
        </is>
      </c>
      <c r="C660" s="9" t="n">
        <v>-0.8326667458032005</v>
      </c>
      <c r="D660" s="9" t="n">
        <v>-0.8365280999615522</v>
      </c>
      <c r="E660" s="9" t="n">
        <v>-0.6241282896004405</v>
      </c>
      <c r="F660" s="9" t="n">
        <v>-1.037343847847609</v>
      </c>
      <c r="G660" s="7" t="n"/>
      <c r="H660" s="7" t="inlineStr">
        <is>
          <t>否</t>
        </is>
      </c>
      <c r="I660" s="7" t="inlineStr">
        <is>
          <t>否</t>
        </is>
      </c>
      <c r="J660" s="7" t="inlineStr"/>
    </row>
    <row r="662">
      <c r="A662" s="11" t="n">
        <v>45841</v>
      </c>
      <c r="B662" s="7" t="inlineStr">
        <is>
          <t>港股通创新药</t>
        </is>
      </c>
      <c r="C662" s="9" t="n">
        <v>1.524161892442558</v>
      </c>
      <c r="D662" s="9" t="n">
        <v>0.4527930186255858</v>
      </c>
      <c r="E662" s="9" t="n">
        <v>1.623609050162767</v>
      </c>
      <c r="F662" s="9" t="n">
        <v>2.496083608539323</v>
      </c>
      <c r="G662" s="7" t="n">
        <v>1</v>
      </c>
      <c r="H662" s="7" t="inlineStr">
        <is>
          <t>是</t>
        </is>
      </c>
      <c r="I662" s="7" t="inlineStr">
        <is>
          <t>是</t>
        </is>
      </c>
      <c r="J662" s="7" t="inlineStr">
        <is>
          <t>保留</t>
        </is>
      </c>
    </row>
    <row r="663">
      <c r="A663" s="11" t="n">
        <v>45841</v>
      </c>
      <c r="B663" s="7" t="inlineStr">
        <is>
          <t>工业有色</t>
        </is>
      </c>
      <c r="C663" s="9" t="n">
        <v>0.9976542823007853</v>
      </c>
      <c r="D663" s="9" t="n">
        <v>1.658690503161666</v>
      </c>
      <c r="E663" s="9" t="n">
        <v>0.7615293648853384</v>
      </c>
      <c r="F663" s="9" t="n">
        <v>0.5727429788553513</v>
      </c>
      <c r="G663" s="7" t="n">
        <v>2</v>
      </c>
      <c r="H663" s="7" t="inlineStr">
        <is>
          <t>是</t>
        </is>
      </c>
      <c r="I663" s="7" t="inlineStr">
        <is>
          <t>否</t>
        </is>
      </c>
      <c r="J663" s="7" t="inlineStr"/>
    </row>
    <row r="664">
      <c r="A664" s="13" t="n">
        <v>45841</v>
      </c>
      <c r="B664" s="14" t="inlineStr">
        <is>
          <t>通信设备</t>
        </is>
      </c>
      <c r="C664" s="15" t="n">
        <v>0.7629429401513366</v>
      </c>
      <c r="D664" s="15" t="n">
        <v>1.384689781863152</v>
      </c>
      <c r="E664" s="15" t="n">
        <v>1.452925087385246</v>
      </c>
      <c r="F664" s="15" t="n">
        <v>-0.548786048794388</v>
      </c>
      <c r="G664" s="14" t="n">
        <v>3</v>
      </c>
      <c r="H664" s="14" t="inlineStr">
        <is>
          <t>是</t>
        </is>
      </c>
      <c r="I664" s="14" t="inlineStr">
        <is>
          <t>否</t>
        </is>
      </c>
      <c r="J664" s="14" t="inlineStr">
        <is>
          <t>买入</t>
        </is>
      </c>
    </row>
    <row r="665">
      <c r="A665" s="11" t="n">
        <v>45841</v>
      </c>
      <c r="B665" s="7" t="inlineStr">
        <is>
          <t>卫星产业</t>
        </is>
      </c>
      <c r="C665" s="9" t="n">
        <v>0.196965210780771</v>
      </c>
      <c r="D665" s="9" t="n">
        <v>0.3490587631389575</v>
      </c>
      <c r="E665" s="9" t="n">
        <v>0.36786149972895</v>
      </c>
      <c r="F665" s="9" t="n">
        <v>-0.1260246305255944</v>
      </c>
      <c r="G665" s="7" t="n">
        <v>4</v>
      </c>
      <c r="H665" s="7" t="inlineStr">
        <is>
          <t>是</t>
        </is>
      </c>
      <c r="I665" s="7" t="inlineStr">
        <is>
          <t>否</t>
        </is>
      </c>
      <c r="J665" s="7" t="inlineStr"/>
    </row>
    <row r="666">
      <c r="A666" s="11" t="n">
        <v>45841</v>
      </c>
      <c r="B666" s="7" t="inlineStr">
        <is>
          <t>港股通互联网</t>
        </is>
      </c>
      <c r="C666" s="9" t="n">
        <v>-0.2156361392407578</v>
      </c>
      <c r="D666" s="9" t="n">
        <v>-0.8484588510600205</v>
      </c>
      <c r="E666" s="9" t="n">
        <v>-0.2846290356570427</v>
      </c>
      <c r="F666" s="9" t="n">
        <v>0.4861794689947896</v>
      </c>
      <c r="G666" s="7" t="n">
        <v>5</v>
      </c>
      <c r="H666" s="7" t="inlineStr">
        <is>
          <t>是</t>
        </is>
      </c>
      <c r="I666" s="7" t="inlineStr">
        <is>
          <t>是</t>
        </is>
      </c>
      <c r="J666" s="7" t="inlineStr">
        <is>
          <t>保留</t>
        </is>
      </c>
    </row>
    <row r="667">
      <c r="A667" s="11" t="n">
        <v>45841</v>
      </c>
      <c r="B667" s="7" t="inlineStr">
        <is>
          <t>新能源电池</t>
        </is>
      </c>
      <c r="C667" s="9" t="n">
        <v>-0.3936402036404534</v>
      </c>
      <c r="D667" s="9" t="n">
        <v>0.2836862481466287</v>
      </c>
      <c r="E667" s="9" t="n">
        <v>-0.4996852867233102</v>
      </c>
      <c r="F667" s="9" t="n">
        <v>-0.9649215723446787</v>
      </c>
      <c r="G667" s="7" t="n">
        <v>6</v>
      </c>
      <c r="H667" s="7" t="inlineStr">
        <is>
          <t>是</t>
        </is>
      </c>
      <c r="I667" s="7" t="inlineStr">
        <is>
          <t>否</t>
        </is>
      </c>
      <c r="J667" s="7" t="inlineStr"/>
    </row>
    <row r="668">
      <c r="A668" s="11" t="n">
        <v>45841</v>
      </c>
      <c r="B668" s="7" t="inlineStr">
        <is>
          <t>半导体材料设备</t>
        </is>
      </c>
      <c r="C668" s="9" t="n">
        <v>-0.5156770424955104</v>
      </c>
      <c r="D668" s="9" t="n">
        <v>-0.2978841547043136</v>
      </c>
      <c r="E668" s="9" t="n">
        <v>-0.6416212330301511</v>
      </c>
      <c r="F668" s="9" t="n">
        <v>-0.6075257397520667</v>
      </c>
      <c r="G668" s="7" t="n">
        <v>7</v>
      </c>
      <c r="H668" s="7" t="inlineStr">
        <is>
          <t>是</t>
        </is>
      </c>
      <c r="I668" s="7" t="inlineStr">
        <is>
          <t>否</t>
        </is>
      </c>
      <c r="J668" s="7" t="inlineStr"/>
    </row>
    <row r="669">
      <c r="A669" s="11" t="n">
        <v>45841</v>
      </c>
      <c r="B669" s="7" t="inlineStr">
        <is>
          <t>计算机</t>
        </is>
      </c>
      <c r="C669" s="9" t="n">
        <v>-0.6269533517293095</v>
      </c>
      <c r="D669" s="9" t="n">
        <v>-0.6909566621350124</v>
      </c>
      <c r="E669" s="9" t="n">
        <v>-0.6580920121338275</v>
      </c>
      <c r="F669" s="9" t="n">
        <v>-0.5318113809190889</v>
      </c>
      <c r="G669" s="7" t="n">
        <v>8</v>
      </c>
      <c r="H669" s="7" t="inlineStr">
        <is>
          <t>是</t>
        </is>
      </c>
      <c r="I669" s="7" t="inlineStr">
        <is>
          <t>否</t>
        </is>
      </c>
      <c r="J669" s="7" t="inlineStr"/>
    </row>
    <row r="670">
      <c r="A670" s="11" t="n">
        <v>45841</v>
      </c>
      <c r="B670" s="7" t="inlineStr">
        <is>
          <t>科创芯片设计</t>
        </is>
      </c>
      <c r="C670" s="9" t="n">
        <v>-0.7973976656592829</v>
      </c>
      <c r="D670" s="9" t="n">
        <v>-1.224046415934944</v>
      </c>
      <c r="E670" s="9" t="n">
        <v>-0.825399414852807</v>
      </c>
      <c r="F670" s="9" t="n">
        <v>-0.3427471661900979</v>
      </c>
      <c r="G670" s="7" t="n"/>
      <c r="H670" s="7" t="inlineStr">
        <is>
          <t>否</t>
        </is>
      </c>
      <c r="I670" s="7" t="inlineStr">
        <is>
          <t>否</t>
        </is>
      </c>
      <c r="J670" s="7" t="inlineStr"/>
    </row>
    <row r="671">
      <c r="A671" s="11" t="n">
        <v>45841</v>
      </c>
      <c r="B671" s="7" t="inlineStr">
        <is>
          <t>机器人</t>
        </is>
      </c>
      <c r="C671" s="9" t="n">
        <v>-0.9324199229101366</v>
      </c>
      <c r="D671" s="9" t="n">
        <v>-1.0675722311017</v>
      </c>
      <c r="E671" s="9" t="n">
        <v>-1.296498019765161</v>
      </c>
      <c r="F671" s="9" t="n">
        <v>-0.4331895178635484</v>
      </c>
      <c r="G671" s="7" t="n">
        <v>9</v>
      </c>
      <c r="H671" s="7" t="inlineStr">
        <is>
          <t>是</t>
        </is>
      </c>
      <c r="I671" s="7" t="inlineStr">
        <is>
          <t>否</t>
        </is>
      </c>
      <c r="J671" s="7" t="inlineStr"/>
    </row>
    <row r="673">
      <c r="A673" s="11" t="n">
        <v>45887</v>
      </c>
      <c r="B673" s="7" t="inlineStr">
        <is>
          <t>通信设备</t>
        </is>
      </c>
      <c r="C673" s="9" t="n">
        <v>1.343250727827871</v>
      </c>
      <c r="D673" s="9" t="n">
        <v>0.9950579630107136</v>
      </c>
      <c r="E673" s="9" t="n">
        <v>2.181142525230437</v>
      </c>
      <c r="F673" s="9" t="n">
        <v>0.8535516952424637</v>
      </c>
      <c r="G673" s="7" t="n">
        <v>1</v>
      </c>
      <c r="H673" s="7" t="inlineStr">
        <is>
          <t>是</t>
        </is>
      </c>
      <c r="I673" s="7" t="inlineStr">
        <is>
          <t>是</t>
        </is>
      </c>
      <c r="J673" s="7" t="inlineStr">
        <is>
          <t>保留</t>
        </is>
      </c>
    </row>
    <row r="674">
      <c r="A674" s="11" t="n">
        <v>45887</v>
      </c>
      <c r="B674" s="7" t="inlineStr">
        <is>
          <t>工业有色</t>
        </is>
      </c>
      <c r="C674" s="9" t="n">
        <v>0.5406625133642943</v>
      </c>
      <c r="D674" s="9" t="n">
        <v>-0.2425702079986026</v>
      </c>
      <c r="E674" s="9" t="n">
        <v>0.6934842290986616</v>
      </c>
      <c r="F674" s="9" t="n">
        <v>1.171073518992824</v>
      </c>
      <c r="G674" s="7" t="n">
        <v>2</v>
      </c>
      <c r="H674" s="7" t="inlineStr">
        <is>
          <t>是</t>
        </is>
      </c>
      <c r="I674" s="7" t="inlineStr">
        <is>
          <t>否</t>
        </is>
      </c>
      <c r="J674" s="7" t="inlineStr"/>
    </row>
    <row r="675">
      <c r="A675" s="11" t="n">
        <v>45887</v>
      </c>
      <c r="B675" s="7" t="inlineStr">
        <is>
          <t>港股通创新药</t>
        </is>
      </c>
      <c r="C675" s="9" t="n">
        <v>0.5273678961798428</v>
      </c>
      <c r="D675" s="9" t="n">
        <v>-0.9199109918883224</v>
      </c>
      <c r="E675" s="9" t="n">
        <v>0.5837114515996845</v>
      </c>
      <c r="F675" s="9" t="n">
        <v>1.918303228828166</v>
      </c>
      <c r="G675" s="7" t="n">
        <v>3</v>
      </c>
      <c r="H675" s="7" t="inlineStr">
        <is>
          <t>是</t>
        </is>
      </c>
      <c r="I675" s="7" t="inlineStr">
        <is>
          <t>是</t>
        </is>
      </c>
      <c r="J675" s="7" t="inlineStr">
        <is>
          <t>保留</t>
        </is>
      </c>
    </row>
    <row r="676">
      <c r="A676" s="11" t="n">
        <v>45887</v>
      </c>
      <c r="B676" s="7" t="inlineStr">
        <is>
          <t>科创芯片设计</t>
        </is>
      </c>
      <c r="C676" s="9" t="n">
        <v>0.3891477361578732</v>
      </c>
      <c r="D676" s="9" t="n">
        <v>1.692384549863462</v>
      </c>
      <c r="E676" s="9" t="n">
        <v>-0.3004587965463758</v>
      </c>
      <c r="F676" s="9" t="n">
        <v>-0.2244825448434664</v>
      </c>
      <c r="G676" s="7" t="n">
        <v>4</v>
      </c>
      <c r="H676" s="7" t="inlineStr">
        <is>
          <t>是</t>
        </is>
      </c>
      <c r="I676" s="7" t="inlineStr">
        <is>
          <t>否</t>
        </is>
      </c>
      <c r="J676" s="7" t="inlineStr"/>
    </row>
    <row r="677">
      <c r="A677" s="11" t="n">
        <v>45887</v>
      </c>
      <c r="B677" s="7" t="inlineStr">
        <is>
          <t>新能源电池</t>
        </is>
      </c>
      <c r="C677" s="9" t="n">
        <v>0.3277135373069429</v>
      </c>
      <c r="D677" s="9" t="n">
        <v>0.8487880936699395</v>
      </c>
      <c r="E677" s="9" t="n">
        <v>0.3199878419945072</v>
      </c>
      <c r="F677" s="9" t="n">
        <v>-0.185635323743618</v>
      </c>
      <c r="G677" s="7" t="n">
        <v>5</v>
      </c>
      <c r="H677" s="7" t="inlineStr">
        <is>
          <t>是</t>
        </is>
      </c>
      <c r="I677" s="7" t="inlineStr">
        <is>
          <t>否</t>
        </is>
      </c>
      <c r="J677" s="7" t="inlineStr"/>
    </row>
    <row r="678">
      <c r="A678" s="11" t="n">
        <v>45887</v>
      </c>
      <c r="B678" s="7" t="inlineStr">
        <is>
          <t>卫星产业</t>
        </is>
      </c>
      <c r="C678" s="9" t="n">
        <v>0.02548865642374465</v>
      </c>
      <c r="D678" s="9" t="n">
        <v>0.1599977632040717</v>
      </c>
      <c r="E678" s="9" t="n">
        <v>-0.02039920697056412</v>
      </c>
      <c r="F678" s="9" t="n">
        <v>-0.06313258696227363</v>
      </c>
      <c r="G678" s="7" t="n">
        <v>6</v>
      </c>
      <c r="H678" s="7" t="inlineStr">
        <is>
          <t>是</t>
        </is>
      </c>
      <c r="I678" s="7" t="inlineStr">
        <is>
          <t>否</t>
        </is>
      </c>
      <c r="J678" s="7" t="inlineStr"/>
    </row>
    <row r="679">
      <c r="A679" s="11" t="n">
        <v>45887</v>
      </c>
      <c r="B679" s="7" t="inlineStr">
        <is>
          <t>半导体材料设备</t>
        </is>
      </c>
      <c r="C679" s="9" t="n">
        <v>-0.5833060796966006</v>
      </c>
      <c r="D679" s="9" t="n">
        <v>-0.1682122685659831</v>
      </c>
      <c r="E679" s="9" t="n">
        <v>-0.8225221442617093</v>
      </c>
      <c r="F679" s="9" t="n">
        <v>-0.7591838262621096</v>
      </c>
      <c r="G679" s="7" t="n">
        <v>7</v>
      </c>
      <c r="H679" s="7" t="inlineStr">
        <is>
          <t>是</t>
        </is>
      </c>
      <c r="I679" s="7" t="inlineStr">
        <is>
          <t>否</t>
        </is>
      </c>
      <c r="J679" s="7" t="inlineStr"/>
    </row>
    <row r="680">
      <c r="A680" s="11" t="n">
        <v>45887</v>
      </c>
      <c r="B680" s="7" t="inlineStr">
        <is>
          <t>机器人</t>
        </is>
      </c>
      <c r="C680" s="9" t="n">
        <v>-0.6744676403238775</v>
      </c>
      <c r="D680" s="9" t="n">
        <v>-0.05341438497861213</v>
      </c>
      <c r="E680" s="9" t="n">
        <v>-0.9025530505851594</v>
      </c>
      <c r="F680" s="9" t="n">
        <v>-1.067435485407861</v>
      </c>
      <c r="G680" s="7" t="n">
        <v>8</v>
      </c>
      <c r="H680" s="7" t="inlineStr">
        <is>
          <t>是</t>
        </is>
      </c>
      <c r="I680" s="7" t="inlineStr">
        <is>
          <t>否</t>
        </is>
      </c>
      <c r="J680" s="7" t="inlineStr"/>
    </row>
    <row r="681">
      <c r="A681" s="11" t="n">
        <v>45887</v>
      </c>
      <c r="B681" s="7" t="inlineStr">
        <is>
          <t>计算机</t>
        </is>
      </c>
      <c r="C681" s="9" t="n">
        <v>-0.6842470002477804</v>
      </c>
      <c r="D681" s="9" t="n">
        <v>-0.5273798823568283</v>
      </c>
      <c r="E681" s="9" t="n">
        <v>-0.5225710217032775</v>
      </c>
      <c r="F681" s="9" t="n">
        <v>-1.002790096683235</v>
      </c>
      <c r="G681" s="7" t="n">
        <v>9</v>
      </c>
      <c r="H681" s="7" t="inlineStr">
        <is>
          <t>是</t>
        </is>
      </c>
      <c r="I681" s="7" t="inlineStr">
        <is>
          <t>否</t>
        </is>
      </c>
      <c r="J681" s="7" t="inlineStr"/>
    </row>
    <row r="682">
      <c r="A682" s="16" t="n">
        <v>45887</v>
      </c>
      <c r="B682" s="17" t="inlineStr">
        <is>
          <t>港股通互联网</t>
        </is>
      </c>
      <c r="C682" s="18" t="n">
        <v>-1.211610346992309</v>
      </c>
      <c r="D682" s="18" t="n">
        <v>-1.784740633959836</v>
      </c>
      <c r="E682" s="18" t="n">
        <v>-1.209821827856203</v>
      </c>
      <c r="F682" s="18" t="n">
        <v>-0.6402685791608881</v>
      </c>
      <c r="G682" s="17" t="n">
        <v>10</v>
      </c>
      <c r="H682" s="17" t="inlineStr">
        <is>
          <t>是</t>
        </is>
      </c>
      <c r="I682" s="17" t="inlineStr">
        <is>
          <t>是</t>
        </is>
      </c>
      <c r="J682" s="17" t="inlineStr">
        <is>
          <t>卖出</t>
        </is>
      </c>
    </row>
    <row r="684">
      <c r="A684" s="11" t="n">
        <v>45908</v>
      </c>
      <c r="B684" s="7" t="inlineStr">
        <is>
          <t>新能源电池</t>
        </is>
      </c>
      <c r="C684" s="9" t="n">
        <v>1.476476412097293</v>
      </c>
      <c r="D684" s="9" t="n">
        <v>2.19938674235342</v>
      </c>
      <c r="E684" s="9" t="n">
        <v>1.818674365998297</v>
      </c>
      <c r="F684" s="9" t="n">
        <v>0.4113681279401625</v>
      </c>
      <c r="G684" s="7" t="n">
        <v>1</v>
      </c>
      <c r="H684" s="7" t="inlineStr">
        <is>
          <t>是</t>
        </is>
      </c>
      <c r="I684" s="7" t="inlineStr">
        <is>
          <t>否</t>
        </is>
      </c>
      <c r="J684" s="7" t="inlineStr"/>
    </row>
    <row r="685">
      <c r="A685" s="11" t="n">
        <v>45908</v>
      </c>
      <c r="B685" s="7" t="inlineStr">
        <is>
          <t>通信设备</t>
        </is>
      </c>
      <c r="C685" s="9" t="n">
        <v>1.116065188649589</v>
      </c>
      <c r="D685" s="9" t="n">
        <v>0.6146370972506571</v>
      </c>
      <c r="E685" s="9" t="n">
        <v>1.278127144573022</v>
      </c>
      <c r="F685" s="9" t="n">
        <v>1.455431324125087</v>
      </c>
      <c r="G685" s="7" t="n">
        <v>2</v>
      </c>
      <c r="H685" s="7" t="inlineStr">
        <is>
          <t>是</t>
        </is>
      </c>
      <c r="I685" s="7" t="inlineStr">
        <is>
          <t>是</t>
        </is>
      </c>
      <c r="J685" s="7" t="inlineStr">
        <is>
          <t>保留</t>
        </is>
      </c>
    </row>
    <row r="686">
      <c r="A686" s="13" t="n">
        <v>45908</v>
      </c>
      <c r="B686" s="14" t="inlineStr">
        <is>
          <t>工业有色</t>
        </is>
      </c>
      <c r="C686" s="15" t="n">
        <v>0.7648495643529571</v>
      </c>
      <c r="D686" s="15" t="n">
        <v>0.5633112964856598</v>
      </c>
      <c r="E686" s="15" t="n">
        <v>0.7669870466560826</v>
      </c>
      <c r="F686" s="15" t="n">
        <v>0.9642503499171289</v>
      </c>
      <c r="G686" s="14" t="n">
        <v>3</v>
      </c>
      <c r="H686" s="14" t="inlineStr">
        <is>
          <t>是</t>
        </is>
      </c>
      <c r="I686" s="14" t="inlineStr">
        <is>
          <t>否</t>
        </is>
      </c>
      <c r="J686" s="14" t="inlineStr">
        <is>
          <t>买入</t>
        </is>
      </c>
    </row>
    <row r="687">
      <c r="A687" s="11" t="n">
        <v>45908</v>
      </c>
      <c r="B687" s="7" t="inlineStr">
        <is>
          <t>港股通创新药</t>
        </is>
      </c>
      <c r="C687" s="9" t="n">
        <v>0.2293781029430823</v>
      </c>
      <c r="D687" s="9" t="n">
        <v>-0.3537998574321831</v>
      </c>
      <c r="E687" s="9" t="n">
        <v>-0.4300735993725902</v>
      </c>
      <c r="F687" s="9" t="n">
        <v>1.47200776563402</v>
      </c>
      <c r="G687" s="7" t="n">
        <v>4</v>
      </c>
      <c r="H687" s="7" t="inlineStr">
        <is>
          <t>是</t>
        </is>
      </c>
      <c r="I687" s="7" t="inlineStr">
        <is>
          <t>是</t>
        </is>
      </c>
      <c r="J687" s="7" t="inlineStr">
        <is>
          <t>保留</t>
        </is>
      </c>
    </row>
    <row r="688">
      <c r="A688" s="11" t="n">
        <v>45908</v>
      </c>
      <c r="B688" s="7" t="inlineStr">
        <is>
          <t>科创芯片设计</t>
        </is>
      </c>
      <c r="C688" s="9" t="n">
        <v>-0.1165685995411009</v>
      </c>
      <c r="D688" s="9" t="n">
        <v>0.1572806978176623</v>
      </c>
      <c r="E688" s="9" t="n">
        <v>-0.2406557550590276</v>
      </c>
      <c r="F688" s="9" t="n">
        <v>-0.2663307413819374</v>
      </c>
      <c r="G688" s="7" t="n">
        <v>5</v>
      </c>
      <c r="H688" s="7" t="inlineStr">
        <is>
          <t>是</t>
        </is>
      </c>
      <c r="I688" s="7" t="inlineStr">
        <is>
          <t>否</t>
        </is>
      </c>
      <c r="J688" s="7" t="inlineStr"/>
    </row>
    <row r="689">
      <c r="A689" s="11" t="n">
        <v>45908</v>
      </c>
      <c r="B689" s="7" t="inlineStr">
        <is>
          <t>机器人</t>
        </is>
      </c>
      <c r="C689" s="9" t="n">
        <v>-0.1790986994093847</v>
      </c>
      <c r="D689" s="9" t="n">
        <v>0.08267599602268431</v>
      </c>
      <c r="E689" s="9" t="n">
        <v>0.2465614278312269</v>
      </c>
      <c r="F689" s="9" t="n">
        <v>-0.8665335220820654</v>
      </c>
      <c r="G689" s="7" t="n">
        <v>6</v>
      </c>
      <c r="H689" s="7" t="inlineStr">
        <is>
          <t>是</t>
        </is>
      </c>
      <c r="I689" s="7" t="inlineStr">
        <is>
          <t>否</t>
        </is>
      </c>
      <c r="J689" s="7" t="inlineStr"/>
    </row>
    <row r="690">
      <c r="A690" s="11" t="n">
        <v>45908</v>
      </c>
      <c r="B690" s="7" t="inlineStr">
        <is>
          <t>半导体材料设备</t>
        </is>
      </c>
      <c r="C690" s="9" t="n">
        <v>-0.5050746604550554</v>
      </c>
      <c r="D690" s="9" t="n">
        <v>-0.3527500006695735</v>
      </c>
      <c r="E690" s="9" t="n">
        <v>-0.6480527246044399</v>
      </c>
      <c r="F690" s="9" t="n">
        <v>-0.514421256091153</v>
      </c>
      <c r="G690" s="7" t="n">
        <v>7</v>
      </c>
      <c r="H690" s="7" t="inlineStr">
        <is>
          <t>是</t>
        </is>
      </c>
      <c r="I690" s="7" t="inlineStr">
        <is>
          <t>否</t>
        </is>
      </c>
      <c r="J690" s="7" t="inlineStr"/>
    </row>
    <row r="691">
      <c r="A691" s="11" t="n">
        <v>45908</v>
      </c>
      <c r="B691" s="7" t="inlineStr">
        <is>
          <t>卫星产业</t>
        </is>
      </c>
      <c r="C691" s="9" t="n">
        <v>-0.8832606242551923</v>
      </c>
      <c r="D691" s="9" t="n">
        <v>-1.412216527823353</v>
      </c>
      <c r="E691" s="9" t="n">
        <v>-0.6704448944720759</v>
      </c>
      <c r="F691" s="9" t="n">
        <v>-0.5671204504701479</v>
      </c>
      <c r="G691" s="7" t="n">
        <v>8</v>
      </c>
      <c r="H691" s="7" t="inlineStr">
        <is>
          <t>是</t>
        </is>
      </c>
      <c r="I691" s="7" t="inlineStr">
        <is>
          <t>否</t>
        </is>
      </c>
      <c r="J691" s="7" t="inlineStr"/>
    </row>
    <row r="692">
      <c r="A692" s="11" t="n">
        <v>45908</v>
      </c>
      <c r="B692" s="7" t="inlineStr">
        <is>
          <t>港股通互联网</t>
        </is>
      </c>
      <c r="C692" s="9" t="n">
        <v>-0.9024418344844642</v>
      </c>
      <c r="D692" s="9" t="n">
        <v>-0.5631507065970138</v>
      </c>
      <c r="E692" s="9" t="n">
        <v>-1.215197023296537</v>
      </c>
      <c r="F692" s="9" t="n">
        <v>-0.9289777735598419</v>
      </c>
      <c r="G692" s="7" t="n">
        <v>9</v>
      </c>
      <c r="H692" s="7" t="inlineStr">
        <is>
          <t>是</t>
        </is>
      </c>
      <c r="I692" s="7" t="inlineStr">
        <is>
          <t>否</t>
        </is>
      </c>
      <c r="J692" s="7" t="inlineStr"/>
    </row>
    <row r="693">
      <c r="A693" s="11" t="n">
        <v>45908</v>
      </c>
      <c r="B693" s="7" t="inlineStr">
        <is>
          <t>计算机</t>
        </is>
      </c>
      <c r="C693" s="9" t="n">
        <v>-1.000324849897724</v>
      </c>
      <c r="D693" s="9" t="n">
        <v>-0.9353747374079596</v>
      </c>
      <c r="E693" s="9" t="n">
        <v>-0.9059259882539581</v>
      </c>
      <c r="F693" s="9" t="n">
        <v>-1.159673824031253</v>
      </c>
      <c r="G693" s="7" t="n">
        <v>10</v>
      </c>
      <c r="H693" s="7" t="inlineStr">
        <is>
          <t>是</t>
        </is>
      </c>
      <c r="I693" s="7" t="inlineStr">
        <is>
          <t>否</t>
        </is>
      </c>
      <c r="J693" s="7" t="inlineStr"/>
    </row>
    <row r="695">
      <c r="A695" s="13" t="n">
        <v>45929</v>
      </c>
      <c r="B695" s="14" t="inlineStr">
        <is>
          <t>新能源电池</t>
        </is>
      </c>
      <c r="C695" s="15" t="n">
        <v>1.617236755581841</v>
      </c>
      <c r="D695" s="15" t="n">
        <v>1.809879116753106</v>
      </c>
      <c r="E695" s="15" t="n">
        <v>1.755315623042706</v>
      </c>
      <c r="F695" s="15" t="n">
        <v>1.286515526949711</v>
      </c>
      <c r="G695" s="14" t="n">
        <v>1</v>
      </c>
      <c r="H695" s="14" t="inlineStr">
        <is>
          <t>是</t>
        </is>
      </c>
      <c r="I695" s="14" t="inlineStr">
        <is>
          <t>否</t>
        </is>
      </c>
      <c r="J695" s="14" t="inlineStr">
        <is>
          <t>买入</t>
        </is>
      </c>
    </row>
    <row r="696">
      <c r="A696" s="11" t="n">
        <v>45929</v>
      </c>
      <c r="B696" s="7" t="inlineStr">
        <is>
          <t>通信设备</t>
        </is>
      </c>
      <c r="C696" s="9" t="n">
        <v>0.8989080590220867</v>
      </c>
      <c r="D696" s="9" t="n">
        <v>-0.3566604905484809</v>
      </c>
      <c r="E696" s="9" t="n">
        <v>1.149694331413489</v>
      </c>
      <c r="F696" s="9" t="n">
        <v>1.903690336201252</v>
      </c>
      <c r="G696" s="7" t="n">
        <v>2</v>
      </c>
      <c r="H696" s="7" t="inlineStr">
        <is>
          <t>是</t>
        </is>
      </c>
      <c r="I696" s="7" t="inlineStr">
        <is>
          <t>是</t>
        </is>
      </c>
      <c r="J696" s="7" t="inlineStr">
        <is>
          <t>保留</t>
        </is>
      </c>
    </row>
    <row r="697">
      <c r="A697" s="11" t="n">
        <v>45929</v>
      </c>
      <c r="B697" s="7" t="inlineStr">
        <is>
          <t>半导体材料设备</t>
        </is>
      </c>
      <c r="C697" s="9" t="n">
        <v>0.3920182720615752</v>
      </c>
      <c r="D697" s="9" t="n">
        <v>1.268151888967226</v>
      </c>
      <c r="E697" s="9" t="n">
        <v>0.2072652228745417</v>
      </c>
      <c r="F697" s="9" t="n">
        <v>-0.2993622956570416</v>
      </c>
      <c r="G697" s="7" t="n">
        <v>3</v>
      </c>
      <c r="H697" s="7" t="inlineStr">
        <is>
          <t>是</t>
        </is>
      </c>
      <c r="I697" s="7" t="inlineStr">
        <is>
          <t>否</t>
        </is>
      </c>
      <c r="J697" s="7" t="inlineStr"/>
    </row>
    <row r="698">
      <c r="A698" s="11" t="n">
        <v>45929</v>
      </c>
      <c r="B698" s="7" t="inlineStr">
        <is>
          <t>工业有色</t>
        </is>
      </c>
      <c r="C698" s="9" t="n">
        <v>0.1695469922503779</v>
      </c>
      <c r="D698" s="9" t="n">
        <v>-0.3104967661862969</v>
      </c>
      <c r="E698" s="9" t="n">
        <v>0.3865711961601244</v>
      </c>
      <c r="F698" s="9" t="n">
        <v>0.4325665467773063</v>
      </c>
      <c r="G698" s="7" t="n">
        <v>4</v>
      </c>
      <c r="H698" s="7" t="inlineStr">
        <is>
          <t>是</t>
        </is>
      </c>
      <c r="I698" s="7" t="inlineStr">
        <is>
          <t>是</t>
        </is>
      </c>
      <c r="J698" s="7" t="inlineStr">
        <is>
          <t>保留</t>
        </is>
      </c>
    </row>
    <row r="699">
      <c r="A699" s="11" t="n">
        <v>45929</v>
      </c>
      <c r="B699" s="7" t="inlineStr">
        <is>
          <t>科创芯片设计</t>
        </is>
      </c>
      <c r="C699" s="9" t="n">
        <v>0.09618408066799955</v>
      </c>
      <c r="D699" s="9" t="n">
        <v>0.06454364782521688</v>
      </c>
      <c r="E699" s="9" t="n">
        <v>0.3765541609400591</v>
      </c>
      <c r="F699" s="9" t="n">
        <v>-0.1525455667612774</v>
      </c>
      <c r="G699" s="7" t="n">
        <v>5</v>
      </c>
      <c r="H699" s="7" t="inlineStr">
        <is>
          <t>是</t>
        </is>
      </c>
      <c r="I699" s="7" t="inlineStr">
        <is>
          <t>否</t>
        </is>
      </c>
      <c r="J699" s="7" t="inlineStr"/>
    </row>
    <row r="700">
      <c r="A700" s="11" t="n">
        <v>45929</v>
      </c>
      <c r="B700" s="7" t="inlineStr">
        <is>
          <t>机器人</t>
        </is>
      </c>
      <c r="C700" s="9" t="n">
        <v>-0.08507201842689553</v>
      </c>
      <c r="D700" s="9" t="n">
        <v>0.2174880900560819</v>
      </c>
      <c r="E700" s="9" t="n">
        <v>0.08324875517290777</v>
      </c>
      <c r="F700" s="9" t="n">
        <v>-0.5559529005096763</v>
      </c>
      <c r="G700" s="7" t="n">
        <v>6</v>
      </c>
      <c r="H700" s="7" t="inlineStr">
        <is>
          <t>是</t>
        </is>
      </c>
      <c r="I700" s="7" t="inlineStr">
        <is>
          <t>否</t>
        </is>
      </c>
      <c r="J700" s="7" t="inlineStr"/>
    </row>
    <row r="701">
      <c r="A701" s="11" t="n">
        <v>45929</v>
      </c>
      <c r="B701" s="7" t="inlineStr">
        <is>
          <t>港股通互联网</t>
        </is>
      </c>
      <c r="C701" s="9" t="n">
        <v>-0.1829890026510199</v>
      </c>
      <c r="D701" s="9" t="n">
        <v>0.5280042557979635</v>
      </c>
      <c r="E701" s="9" t="n">
        <v>-0.5337199263740153</v>
      </c>
      <c r="F701" s="9" t="n">
        <v>-0.5432513373770078</v>
      </c>
      <c r="G701" s="7" t="n">
        <v>7</v>
      </c>
      <c r="H701" s="7" t="inlineStr">
        <is>
          <t>是</t>
        </is>
      </c>
      <c r="I701" s="7" t="inlineStr">
        <is>
          <t>否</t>
        </is>
      </c>
      <c r="J701" s="7" t="inlineStr"/>
    </row>
    <row r="702">
      <c r="A702" s="16" t="n">
        <v>45929</v>
      </c>
      <c r="B702" s="17" t="inlineStr">
        <is>
          <t>港股通创新药</t>
        </is>
      </c>
      <c r="C702" s="18" t="n">
        <v>-0.5005141176142515</v>
      </c>
      <c r="D702" s="18" t="n">
        <v>-0.8115137103904287</v>
      </c>
      <c r="E702" s="18" t="n">
        <v>-0.9440956265929025</v>
      </c>
      <c r="F702" s="18" t="n">
        <v>0.254066984140577</v>
      </c>
      <c r="G702" s="17" t="n">
        <v>8</v>
      </c>
      <c r="H702" s="17" t="inlineStr">
        <is>
          <t>是</t>
        </is>
      </c>
      <c r="I702" s="17" t="inlineStr">
        <is>
          <t>是</t>
        </is>
      </c>
      <c r="J702" s="17" t="inlineStr">
        <is>
          <t>卖出</t>
        </is>
      </c>
    </row>
    <row r="703">
      <c r="A703" s="11" t="n">
        <v>45929</v>
      </c>
      <c r="B703" s="7" t="inlineStr">
        <is>
          <t>卫星产业</t>
        </is>
      </c>
      <c r="C703" s="9" t="n">
        <v>-1.147288905651666</v>
      </c>
      <c r="D703" s="9" t="n">
        <v>-1.228244286185887</v>
      </c>
      <c r="E703" s="9" t="n">
        <v>-1.204998456676816</v>
      </c>
      <c r="F703" s="9" t="n">
        <v>-1.008623974092296</v>
      </c>
      <c r="G703" s="7" t="n">
        <v>9</v>
      </c>
      <c r="H703" s="7" t="inlineStr">
        <is>
          <t>是</t>
        </is>
      </c>
      <c r="I703" s="7" t="inlineStr">
        <is>
          <t>否</t>
        </is>
      </c>
      <c r="J703" s="7" t="inlineStr"/>
    </row>
    <row r="704">
      <c r="A704" s="11" t="n">
        <v>45929</v>
      </c>
      <c r="B704" s="7" t="inlineStr">
        <is>
          <t>计算机</t>
        </is>
      </c>
      <c r="C704" s="9" t="n">
        <v>-1.258030115240045</v>
      </c>
      <c r="D704" s="9" t="n">
        <v>-1.181151746088501</v>
      </c>
      <c r="E704" s="9" t="n">
        <v>-1.275835279960089</v>
      </c>
      <c r="F704" s="9" t="n">
        <v>-1.317103319671544</v>
      </c>
      <c r="G704" s="7" t="n">
        <v>10</v>
      </c>
      <c r="H704" s="7" t="inlineStr">
        <is>
          <t>是</t>
        </is>
      </c>
      <c r="I704" s="7" t="inlineStr">
        <is>
          <t>否</t>
        </is>
      </c>
      <c r="J704" s="7" t="inlineStr"/>
    </row>
    <row r="706">
      <c r="A706" s="11" t="n">
        <v>46008</v>
      </c>
      <c r="B706" s="7" t="inlineStr">
        <is>
          <t>卫星产业</t>
        </is>
      </c>
      <c r="C706" s="9" t="n">
        <v>1.232672053184365</v>
      </c>
      <c r="D706" s="9" t="n">
        <v>2.185201318975339</v>
      </c>
      <c r="E706" s="9" t="n">
        <v>1.195013069443691</v>
      </c>
      <c r="F706" s="9" t="n">
        <v>0.3178017711340644</v>
      </c>
      <c r="G706" s="7" t="n">
        <v>1</v>
      </c>
      <c r="H706" s="7" t="inlineStr">
        <is>
          <t>是</t>
        </is>
      </c>
      <c r="I706" s="7" t="inlineStr">
        <is>
          <t>否</t>
        </is>
      </c>
      <c r="J706" s="7" t="inlineStr"/>
    </row>
    <row r="707">
      <c r="A707" s="11" t="n">
        <v>46008</v>
      </c>
      <c r="B707" s="7" t="inlineStr">
        <is>
          <t>通信设备</t>
        </is>
      </c>
      <c r="C707" s="9" t="n">
        <v>1.162938159687608</v>
      </c>
      <c r="D707" s="9" t="n">
        <v>1.034429147937019</v>
      </c>
      <c r="E707" s="9" t="n">
        <v>0.7746530337184259</v>
      </c>
      <c r="F707" s="9" t="n">
        <v>1.679732297407379</v>
      </c>
      <c r="G707" s="7" t="n">
        <v>2</v>
      </c>
      <c r="H707" s="7" t="inlineStr">
        <is>
          <t>是</t>
        </is>
      </c>
      <c r="I707" s="7" t="inlineStr">
        <is>
          <t>是</t>
        </is>
      </c>
      <c r="J707" s="7" t="inlineStr">
        <is>
          <t>保留</t>
        </is>
      </c>
    </row>
    <row r="708">
      <c r="A708" s="11" t="n">
        <v>46008</v>
      </c>
      <c r="B708" s="7" t="inlineStr">
        <is>
          <t>工业有色</t>
        </is>
      </c>
      <c r="C708" s="9" t="n">
        <v>0.733657616638391</v>
      </c>
      <c r="D708" s="9" t="n">
        <v>0.210249986741793</v>
      </c>
      <c r="E708" s="9" t="n">
        <v>0.9275177862054828</v>
      </c>
      <c r="F708" s="9" t="n">
        <v>1.063205076967897</v>
      </c>
      <c r="G708" s="7" t="n">
        <v>3</v>
      </c>
      <c r="H708" s="7" t="inlineStr">
        <is>
          <t>是</t>
        </is>
      </c>
      <c r="I708" s="7" t="inlineStr">
        <is>
          <t>是</t>
        </is>
      </c>
      <c r="J708" s="7" t="inlineStr">
        <is>
          <t>保留</t>
        </is>
      </c>
    </row>
    <row r="709">
      <c r="A709" s="11" t="n">
        <v>46008</v>
      </c>
      <c r="B709" s="7" t="inlineStr">
        <is>
          <t>半导体材料设备</t>
        </is>
      </c>
      <c r="C709" s="9" t="n">
        <v>0.6419482003724197</v>
      </c>
      <c r="D709" s="9" t="n">
        <v>0.3792263435874565</v>
      </c>
      <c r="E709" s="9" t="n">
        <v>1.294634371648649</v>
      </c>
      <c r="F709" s="9" t="n">
        <v>0.2519838858811537</v>
      </c>
      <c r="G709" s="7" t="n">
        <v>4</v>
      </c>
      <c r="H709" s="7" t="inlineStr">
        <is>
          <t>是</t>
        </is>
      </c>
      <c r="I709" s="7" t="inlineStr">
        <is>
          <t>否</t>
        </is>
      </c>
      <c r="J709" s="7" t="inlineStr"/>
    </row>
    <row r="710">
      <c r="A710" s="16" t="n">
        <v>46008</v>
      </c>
      <c r="B710" s="17" t="inlineStr">
        <is>
          <t>新能源电池</t>
        </is>
      </c>
      <c r="C710" s="18" t="n">
        <v>0.2695553769716803</v>
      </c>
      <c r="D710" s="18" t="n">
        <v>-0.2912591426732392</v>
      </c>
      <c r="E710" s="18" t="n">
        <v>0.2934935547529335</v>
      </c>
      <c r="F710" s="18" t="n">
        <v>0.8064317188353467</v>
      </c>
      <c r="G710" s="17" t="n"/>
      <c r="H710" s="17" t="inlineStr">
        <is>
          <t>否</t>
        </is>
      </c>
      <c r="I710" s="17" t="inlineStr">
        <is>
          <t>是</t>
        </is>
      </c>
      <c r="J710" s="17" t="inlineStr">
        <is>
          <t>卖出</t>
        </is>
      </c>
    </row>
    <row r="711">
      <c r="A711" s="11" t="n">
        <v>46008</v>
      </c>
      <c r="B711" s="7" t="inlineStr">
        <is>
          <t>科创芯片设计</t>
        </is>
      </c>
      <c r="C711" s="9" t="n">
        <v>-0.2547670655336908</v>
      </c>
      <c r="D711" s="9" t="n">
        <v>-0.2581497220009799</v>
      </c>
      <c r="E711" s="9" t="n">
        <v>-0.4068237794414463</v>
      </c>
      <c r="F711" s="9" t="n">
        <v>-0.09932769515864626</v>
      </c>
      <c r="G711" s="7" t="n"/>
      <c r="H711" s="7" t="inlineStr">
        <is>
          <t>否</t>
        </is>
      </c>
      <c r="I711" s="7" t="inlineStr">
        <is>
          <t>否</t>
        </is>
      </c>
      <c r="J711" s="7" t="inlineStr"/>
    </row>
    <row r="712">
      <c r="A712" s="11" t="n">
        <v>46008</v>
      </c>
      <c r="B712" s="7" t="inlineStr">
        <is>
          <t>机器人</t>
        </is>
      </c>
      <c r="C712" s="9" t="n">
        <v>-0.7506232439016687</v>
      </c>
      <c r="D712" s="9" t="n">
        <v>-0.5205389160880617</v>
      </c>
      <c r="E712" s="9" t="n">
        <v>-1.04759109894208</v>
      </c>
      <c r="F712" s="9" t="n">
        <v>-0.683739716674865</v>
      </c>
      <c r="G712" s="7" t="n"/>
      <c r="H712" s="7" t="inlineStr">
        <is>
          <t>否</t>
        </is>
      </c>
      <c r="I712" s="7" t="inlineStr">
        <is>
          <t>否</t>
        </is>
      </c>
      <c r="J712" s="7" t="inlineStr"/>
    </row>
    <row r="713">
      <c r="A713" s="11" t="n">
        <v>46008</v>
      </c>
      <c r="B713" s="7" t="inlineStr">
        <is>
          <t>计算机</t>
        </is>
      </c>
      <c r="C713" s="9" t="n">
        <v>-0.9796097442277641</v>
      </c>
      <c r="D713" s="9" t="n">
        <v>-1.014231596694409</v>
      </c>
      <c r="E713" s="9" t="n">
        <v>-0.8884382653494071</v>
      </c>
      <c r="F713" s="9" t="n">
        <v>-1.036159370639476</v>
      </c>
      <c r="G713" s="7" t="n"/>
      <c r="H713" s="7" t="inlineStr">
        <is>
          <t>否</t>
        </is>
      </c>
      <c r="I713" s="7" t="inlineStr">
        <is>
          <t>否</t>
        </is>
      </c>
      <c r="J713" s="7" t="inlineStr"/>
    </row>
    <row r="714">
      <c r="A714" s="11" t="n">
        <v>46008</v>
      </c>
      <c r="B714" s="7" t="inlineStr">
        <is>
          <t>港股通互联网</t>
        </is>
      </c>
      <c r="C714" s="9" t="n">
        <v>-1.023451074583278</v>
      </c>
      <c r="D714" s="9" t="n">
        <v>-0.7440430760636977</v>
      </c>
      <c r="E714" s="9" t="n">
        <v>-1.039521731125453</v>
      </c>
      <c r="F714" s="9" t="n">
        <v>-1.286788416560684</v>
      </c>
      <c r="G714" s="7" t="n"/>
      <c r="H714" s="7" t="inlineStr">
        <is>
          <t>否</t>
        </is>
      </c>
      <c r="I714" s="7" t="inlineStr">
        <is>
          <t>否</t>
        </is>
      </c>
      <c r="J714" s="7" t="inlineStr"/>
    </row>
    <row r="715">
      <c r="A715" s="11" t="n">
        <v>46008</v>
      </c>
      <c r="B715" s="7" t="inlineStr">
        <is>
          <t>港股通创新药</t>
        </is>
      </c>
      <c r="C715" s="9" t="n">
        <v>-1.032320278608061</v>
      </c>
      <c r="D715" s="9" t="n">
        <v>-0.9808843437212191</v>
      </c>
      <c r="E715" s="9" t="n">
        <v>-1.102936940910796</v>
      </c>
      <c r="F715" s="9" t="n">
        <v>-1.013139551192169</v>
      </c>
      <c r="G715" s="7" t="n"/>
      <c r="H715" s="7" t="inlineStr">
        <is>
          <t>否</t>
        </is>
      </c>
      <c r="I715" s="7" t="inlineStr">
        <is>
          <t>否</t>
        </is>
      </c>
      <c r="J715" s="7" t="inlineStr"/>
    </row>
    <row r="717">
      <c r="A717" s="13" t="n">
        <v>46031</v>
      </c>
      <c r="B717" s="14" t="inlineStr">
        <is>
          <t>卫星产业</t>
        </is>
      </c>
      <c r="C717" s="15" t="n">
        <v>2.173586874611581</v>
      </c>
      <c r="D717" s="15" t="n">
        <v>2.464595456943614</v>
      </c>
      <c r="E717" s="15" t="n">
        <v>2.452497254352013</v>
      </c>
      <c r="F717" s="15" t="n">
        <v>1.603667912539116</v>
      </c>
      <c r="G717" s="14" t="n">
        <v>1</v>
      </c>
      <c r="H717" s="14" t="inlineStr">
        <is>
          <t>是</t>
        </is>
      </c>
      <c r="I717" s="14" t="inlineStr">
        <is>
          <t>否</t>
        </is>
      </c>
      <c r="J717" s="14" t="inlineStr">
        <is>
          <t>买入</t>
        </is>
      </c>
    </row>
    <row r="718">
      <c r="A718" s="11" t="n">
        <v>46031</v>
      </c>
      <c r="B718" s="7" t="inlineStr">
        <is>
          <t>工业有色</t>
        </is>
      </c>
      <c r="C718" s="9" t="n">
        <v>0.6632785535578999</v>
      </c>
      <c r="D718" s="9" t="n">
        <v>0.5269707530574953</v>
      </c>
      <c r="E718" s="9" t="n">
        <v>0.4008961413995634</v>
      </c>
      <c r="F718" s="9" t="n">
        <v>1.061968766216641</v>
      </c>
      <c r="G718" s="7" t="n">
        <v>2</v>
      </c>
      <c r="H718" s="7" t="inlineStr">
        <is>
          <t>是</t>
        </is>
      </c>
      <c r="I718" s="7" t="inlineStr">
        <is>
          <t>是</t>
        </is>
      </c>
      <c r="J718" s="7" t="inlineStr">
        <is>
          <t>保留</t>
        </is>
      </c>
    </row>
    <row r="719">
      <c r="A719" s="11" t="n">
        <v>46031</v>
      </c>
      <c r="B719" s="7" t="inlineStr">
        <is>
          <t>半导体材料设备</t>
        </is>
      </c>
      <c r="C719" s="9" t="n">
        <v>0.3340050411793888</v>
      </c>
      <c r="D719" s="9" t="n">
        <v>0.2448809855168582</v>
      </c>
      <c r="E719" s="9" t="n">
        <v>0.31296130626146</v>
      </c>
      <c r="F719" s="9" t="n">
        <v>0.4441728317598481</v>
      </c>
      <c r="G719" s="7" t="n">
        <v>3</v>
      </c>
      <c r="H719" s="7" t="inlineStr">
        <is>
          <t>是</t>
        </is>
      </c>
      <c r="I719" s="7" t="inlineStr">
        <is>
          <t>否</t>
        </is>
      </c>
      <c r="J719" s="7" t="inlineStr"/>
    </row>
    <row r="720">
      <c r="A720" s="11" t="n">
        <v>46031</v>
      </c>
      <c r="B720" s="7" t="inlineStr">
        <is>
          <t>通信设备</t>
        </is>
      </c>
      <c r="C720" s="9" t="n">
        <v>0.01875696606482384</v>
      </c>
      <c r="D720" s="9" t="n">
        <v>-0.9166379658653425</v>
      </c>
      <c r="E720" s="9" t="n">
        <v>0.3383223788950724</v>
      </c>
      <c r="F720" s="9" t="n">
        <v>0.6345864851647416</v>
      </c>
      <c r="G720" s="7" t="n">
        <v>4</v>
      </c>
      <c r="H720" s="7" t="inlineStr">
        <is>
          <t>是</t>
        </is>
      </c>
      <c r="I720" s="7" t="inlineStr">
        <is>
          <t>是</t>
        </is>
      </c>
      <c r="J720" s="7" t="inlineStr">
        <is>
          <t>保留</t>
        </is>
      </c>
    </row>
    <row r="721">
      <c r="A721" s="11" t="n">
        <v>46031</v>
      </c>
      <c r="B721" s="7" t="inlineStr">
        <is>
          <t>科创芯片设计</t>
        </is>
      </c>
      <c r="C721" s="9" t="n">
        <v>-0.09995846232802448</v>
      </c>
      <c r="D721" s="9" t="n">
        <v>-0.0230019532391853</v>
      </c>
      <c r="E721" s="9" t="n">
        <v>-0.372056829568027</v>
      </c>
      <c r="F721" s="9" t="n">
        <v>0.09518339582313892</v>
      </c>
      <c r="G721" s="7" t="n">
        <v>5</v>
      </c>
      <c r="H721" s="7" t="inlineStr">
        <is>
          <t>是</t>
        </is>
      </c>
      <c r="I721" s="7" t="inlineStr">
        <is>
          <t>否</t>
        </is>
      </c>
      <c r="J721" s="7" t="inlineStr"/>
    </row>
    <row r="722">
      <c r="A722" s="11" t="n">
        <v>46031</v>
      </c>
      <c r="B722" s="7" t="inlineStr">
        <is>
          <t>新能源电池</t>
        </is>
      </c>
      <c r="C722" s="9" t="n">
        <v>-0.2658947575957809</v>
      </c>
      <c r="D722" s="9" t="n">
        <v>-0.639489599935802</v>
      </c>
      <c r="E722" s="9" t="n">
        <v>-0.3986179407999206</v>
      </c>
      <c r="F722" s="9" t="n">
        <v>0.2404232679483798</v>
      </c>
      <c r="G722" s="7" t="n">
        <v>6</v>
      </c>
      <c r="H722" s="7" t="inlineStr">
        <is>
          <t>是</t>
        </is>
      </c>
      <c r="I722" s="7" t="inlineStr">
        <is>
          <t>否</t>
        </is>
      </c>
      <c r="J722" s="7" t="inlineStr"/>
    </row>
    <row r="723">
      <c r="A723" s="11" t="n">
        <v>46031</v>
      </c>
      <c r="B723" s="7" t="inlineStr">
        <is>
          <t>机器人</t>
        </is>
      </c>
      <c r="C723" s="9" t="n">
        <v>-0.3708974047207862</v>
      </c>
      <c r="D723" s="9" t="n">
        <v>-0.1489395772060261</v>
      </c>
      <c r="E723" s="9" t="n">
        <v>-0.4554218634018152</v>
      </c>
      <c r="F723" s="9" t="n">
        <v>-0.5083307735545172</v>
      </c>
      <c r="G723" s="7" t="n">
        <v>7</v>
      </c>
      <c r="H723" s="7" t="inlineStr">
        <is>
          <t>是</t>
        </is>
      </c>
      <c r="I723" s="7" t="inlineStr">
        <is>
          <t>否</t>
        </is>
      </c>
      <c r="J723" s="7" t="inlineStr"/>
    </row>
    <row r="724">
      <c r="A724" s="11" t="n">
        <v>46031</v>
      </c>
      <c r="B724" s="7" t="inlineStr">
        <is>
          <t>计算机</t>
        </is>
      </c>
      <c r="C724" s="9" t="n">
        <v>-0.4120876217091909</v>
      </c>
      <c r="D724" s="9" t="n">
        <v>0.08177626970080737</v>
      </c>
      <c r="E724" s="9" t="n">
        <v>-0.3717494414018231</v>
      </c>
      <c r="F724" s="9" t="n">
        <v>-0.9462896934265571</v>
      </c>
      <c r="G724" s="7" t="n">
        <v>8</v>
      </c>
      <c r="H724" s="7" t="inlineStr">
        <is>
          <t>是</t>
        </is>
      </c>
      <c r="I724" s="7" t="inlineStr">
        <is>
          <t>否</t>
        </is>
      </c>
      <c r="J724" s="7" t="inlineStr"/>
    </row>
    <row r="725">
      <c r="A725" s="11" t="n">
        <v>46031</v>
      </c>
      <c r="B725" s="7" t="inlineStr">
        <is>
          <t>港股通创新药</t>
        </is>
      </c>
      <c r="C725" s="9" t="n">
        <v>-0.8355099661758665</v>
      </c>
      <c r="D725" s="9" t="n">
        <v>-0.6446821235682001</v>
      </c>
      <c r="E725" s="9" t="n">
        <v>-0.6784598885348984</v>
      </c>
      <c r="F725" s="9" t="n">
        <v>-1.183387886424501</v>
      </c>
      <c r="G725" s="7" t="n">
        <v>9</v>
      </c>
      <c r="H725" s="7" t="inlineStr">
        <is>
          <t>是</t>
        </is>
      </c>
      <c r="I725" s="7" t="inlineStr">
        <is>
          <t>否</t>
        </is>
      </c>
      <c r="J725" s="7" t="inlineStr"/>
    </row>
    <row r="726">
      <c r="A726" s="11" t="n">
        <v>46031</v>
      </c>
      <c r="B726" s="7" t="inlineStr">
        <is>
          <t>港股通互联网</t>
        </is>
      </c>
      <c r="C726" s="9" t="n">
        <v>-1.205279222884044</v>
      </c>
      <c r="D726" s="9" t="n">
        <v>-0.9454722454042177</v>
      </c>
      <c r="E726" s="9" t="n">
        <v>-1.228371117201623</v>
      </c>
      <c r="F726" s="9" t="n">
        <v>-1.441994306046292</v>
      </c>
      <c r="G726" s="7" t="n"/>
      <c r="H726" s="7" t="inlineStr">
        <is>
          <t>否</t>
        </is>
      </c>
      <c r="I726" s="7" t="inlineStr">
        <is>
          <t>否</t>
        </is>
      </c>
      <c r="J726" s="7" t="inlineStr"/>
    </row>
    <row r="728">
      <c r="A728" s="13" t="n">
        <v>46111</v>
      </c>
      <c r="B728" s="14" t="inlineStr">
        <is>
          <t>新能源电池</t>
        </is>
      </c>
      <c r="C728" s="15" t="n">
        <v>0.7137025909946657</v>
      </c>
      <c r="D728" s="15" t="n">
        <v>1.253799390705265</v>
      </c>
      <c r="E728" s="15" t="n">
        <v>0.5061009379883774</v>
      </c>
      <c r="F728" s="15" t="n">
        <v>0.3812074442903551</v>
      </c>
      <c r="G728" s="14" t="n">
        <v>1</v>
      </c>
      <c r="H728" s="14" t="inlineStr">
        <is>
          <t>是</t>
        </is>
      </c>
      <c r="I728" s="14" t="inlineStr">
        <is>
          <t>否</t>
        </is>
      </c>
      <c r="J728" s="14" t="inlineStr">
        <is>
          <t>买入</t>
        </is>
      </c>
    </row>
    <row r="729">
      <c r="A729" s="11" t="n">
        <v>46111</v>
      </c>
      <c r="B729" s="7" t="inlineStr">
        <is>
          <t>通信设备</t>
        </is>
      </c>
      <c r="C729" s="9" t="n">
        <v>0.6703530409754466</v>
      </c>
      <c r="D729" s="9" t="n">
        <v>1.009586658901661</v>
      </c>
      <c r="E729" s="9" t="n">
        <v>0.3607660317817492</v>
      </c>
      <c r="F729" s="9" t="n">
        <v>0.6407064322429291</v>
      </c>
      <c r="G729" s="7" t="n">
        <v>2</v>
      </c>
      <c r="H729" s="7" t="inlineStr">
        <is>
          <t>是</t>
        </is>
      </c>
      <c r="I729" s="7" t="inlineStr">
        <is>
          <t>是</t>
        </is>
      </c>
      <c r="J729" s="7" t="inlineStr">
        <is>
          <t>保留</t>
        </is>
      </c>
    </row>
    <row r="730">
      <c r="A730" s="16" t="n">
        <v>46111</v>
      </c>
      <c r="B730" s="17" t="inlineStr">
        <is>
          <t>卫星产业</t>
        </is>
      </c>
      <c r="C730" s="18" t="n">
        <v>0.5317140153736086</v>
      </c>
      <c r="D730" s="18" t="n">
        <v>-0.6714472458202321</v>
      </c>
      <c r="E730" s="18" t="n">
        <v>0.9854388637718645</v>
      </c>
      <c r="F730" s="18" t="n">
        <v>1.281150428169193</v>
      </c>
      <c r="G730" s="17" t="n"/>
      <c r="H730" s="17" t="inlineStr">
        <is>
          <t>否</t>
        </is>
      </c>
      <c r="I730" s="17" t="inlineStr">
        <is>
          <t>是</t>
        </is>
      </c>
      <c r="J730" s="17" t="inlineStr">
        <is>
          <t>卖出</t>
        </is>
      </c>
    </row>
    <row r="731">
      <c r="A731" s="11" t="n">
        <v>46111</v>
      </c>
      <c r="B731" s="7" t="inlineStr">
        <is>
          <t>半导体材料设备</t>
        </is>
      </c>
      <c r="C731" s="9" t="n">
        <v>0.5097100225698582</v>
      </c>
      <c r="D731" s="9" t="n">
        <v>0.1133813783848789</v>
      </c>
      <c r="E731" s="9" t="n">
        <v>0.6838542650939163</v>
      </c>
      <c r="F731" s="9" t="n">
        <v>0.7318944242307797</v>
      </c>
      <c r="G731" s="7" t="n"/>
      <c r="H731" s="7" t="inlineStr">
        <is>
          <t>否</t>
        </is>
      </c>
      <c r="I731" s="7" t="inlineStr">
        <is>
          <t>否</t>
        </is>
      </c>
      <c r="J731" s="7" t="inlineStr"/>
    </row>
    <row r="732">
      <c r="A732" s="11" t="n">
        <v>46111</v>
      </c>
      <c r="B732" s="7" t="inlineStr">
        <is>
          <t>港股通创新药</t>
        </is>
      </c>
      <c r="C732" s="9" t="n">
        <v>0.1879129988404186</v>
      </c>
      <c r="D732" s="9" t="n">
        <v>1.423389873638335</v>
      </c>
      <c r="E732" s="9" t="n">
        <v>-0.07418878082570941</v>
      </c>
      <c r="F732" s="9" t="n">
        <v>-0.7854620962913702</v>
      </c>
      <c r="G732" s="7" t="n"/>
      <c r="H732" s="7" t="inlineStr">
        <is>
          <t>否</t>
        </is>
      </c>
      <c r="I732" s="7" t="inlineStr">
        <is>
          <t>否</t>
        </is>
      </c>
      <c r="J732" s="7" t="inlineStr"/>
    </row>
    <row r="733">
      <c r="A733" s="11" t="n">
        <v>46111</v>
      </c>
      <c r="B733" s="7" t="inlineStr">
        <is>
          <t>科创芯片设计</t>
        </is>
      </c>
      <c r="C733" s="9" t="n">
        <v>0.07451289789441969</v>
      </c>
      <c r="D733" s="9" t="n">
        <v>-0.1291869806166528</v>
      </c>
      <c r="E733" s="9" t="n">
        <v>0.5122969625174562</v>
      </c>
      <c r="F733" s="9" t="n">
        <v>-0.1595712882175443</v>
      </c>
      <c r="G733" s="7" t="n"/>
      <c r="H733" s="7" t="inlineStr">
        <is>
          <t>否</t>
        </is>
      </c>
      <c r="I733" s="7" t="inlineStr">
        <is>
          <t>否</t>
        </is>
      </c>
      <c r="J733" s="7" t="inlineStr"/>
    </row>
    <row r="734">
      <c r="A734" s="11" t="n">
        <v>46111</v>
      </c>
      <c r="B734" s="7" t="inlineStr">
        <is>
          <t>工业有色</t>
        </is>
      </c>
      <c r="C734" s="9" t="n">
        <v>0.03310542144344489</v>
      </c>
      <c r="D734" s="9" t="n">
        <v>-1.708630920763111</v>
      </c>
      <c r="E734" s="9" t="n">
        <v>0.6133466793772376</v>
      </c>
      <c r="F734" s="9" t="n">
        <v>1.194600505716208</v>
      </c>
      <c r="G734" s="7" t="n"/>
      <c r="H734" s="7" t="inlineStr">
        <is>
          <t>否</t>
        </is>
      </c>
      <c r="I734" s="7" t="inlineStr">
        <is>
          <t>是</t>
        </is>
      </c>
      <c r="J734" s="7" t="inlineStr">
        <is>
          <t>保留</t>
        </is>
      </c>
    </row>
    <row r="735">
      <c r="A735" s="11" t="n">
        <v>46111</v>
      </c>
      <c r="B735" s="7" t="inlineStr">
        <is>
          <t>计算机</t>
        </is>
      </c>
      <c r="C735" s="9" t="n">
        <v>-0.5887671032802889</v>
      </c>
      <c r="D735" s="9" t="n">
        <v>-0.4134276833349427</v>
      </c>
      <c r="E735" s="9" t="n">
        <v>-0.668003844967556</v>
      </c>
      <c r="F735" s="9" t="n">
        <v>-0.684869781538368</v>
      </c>
      <c r="G735" s="7" t="n"/>
      <c r="H735" s="7" t="inlineStr">
        <is>
          <t>否</t>
        </is>
      </c>
      <c r="I735" s="7" t="inlineStr">
        <is>
          <t>否</t>
        </is>
      </c>
      <c r="J735" s="7" t="inlineStr"/>
    </row>
    <row r="736">
      <c r="A736" s="11" t="n">
        <v>46111</v>
      </c>
      <c r="B736" s="7" t="inlineStr">
        <is>
          <t>机器人</t>
        </is>
      </c>
      <c r="C736" s="9" t="n">
        <v>-0.762590569766579</v>
      </c>
      <c r="D736" s="9" t="n">
        <v>-0.9007836910485918</v>
      </c>
      <c r="E736" s="9" t="n">
        <v>-0.5052052925687421</v>
      </c>
      <c r="F736" s="9" t="n">
        <v>-0.8817827256824028</v>
      </c>
      <c r="G736" s="7" t="n"/>
      <c r="H736" s="7" t="inlineStr">
        <is>
          <t>否</t>
        </is>
      </c>
      <c r="I736" s="7" t="inlineStr">
        <is>
          <t>否</t>
        </is>
      </c>
      <c r="J736" s="7" t="inlineStr"/>
    </row>
    <row r="737">
      <c r="A737" s="11" t="n">
        <v>46111</v>
      </c>
      <c r="B737" s="7" t="inlineStr">
        <is>
          <t>港股通互联网</t>
        </is>
      </c>
      <c r="C737" s="9" t="n">
        <v>-1.369653315044995</v>
      </c>
      <c r="D737" s="9" t="n">
        <v>0.02331921995338942</v>
      </c>
      <c r="E737" s="9" t="n">
        <v>-2.414405822168594</v>
      </c>
      <c r="F737" s="9" t="n">
        <v>-1.71787334291978</v>
      </c>
      <c r="G737" s="7" t="n"/>
      <c r="H737" s="7" t="inlineStr">
        <is>
          <t>否</t>
        </is>
      </c>
      <c r="I737" s="7" t="inlineStr">
        <is>
          <t>否</t>
        </is>
      </c>
      <c r="J737" s="7" t="inlineStr"/>
    </row>
    <row r="739">
      <c r="A739" s="11" t="n">
        <v>46133</v>
      </c>
      <c r="B739" s="7" t="inlineStr">
        <is>
          <t>通信设备</t>
        </is>
      </c>
      <c r="C739" s="9" t="n">
        <v>1.794159565375902</v>
      </c>
      <c r="D739" s="9" t="n">
        <v>2.097719537805812</v>
      </c>
      <c r="E739" s="9" t="n">
        <v>1.961217983221769</v>
      </c>
      <c r="F739" s="9" t="n">
        <v>1.323541175100127</v>
      </c>
      <c r="G739" s="7" t="n">
        <v>1</v>
      </c>
      <c r="H739" s="7" t="inlineStr">
        <is>
          <t>是</t>
        </is>
      </c>
      <c r="I739" s="7" t="inlineStr">
        <is>
          <t>是</t>
        </is>
      </c>
      <c r="J739" s="7" t="inlineStr">
        <is>
          <t>保留</t>
        </is>
      </c>
    </row>
    <row r="740">
      <c r="A740" s="11" t="n">
        <v>46133</v>
      </c>
      <c r="B740" s="7" t="inlineStr">
        <is>
          <t>卫星产业</t>
        </is>
      </c>
      <c r="C740" s="9" t="n">
        <v>0.5380930500861697</v>
      </c>
      <c r="D740" s="9" t="n">
        <v>0.3805579390278122</v>
      </c>
      <c r="E740" s="9" t="n">
        <v>-0.1742402973308005</v>
      </c>
      <c r="F740" s="9" t="n">
        <v>1.407961508561497</v>
      </c>
      <c r="G740" s="7" t="n">
        <v>2</v>
      </c>
      <c r="H740" s="7" t="inlineStr">
        <is>
          <t>是</t>
        </is>
      </c>
      <c r="I740" s="7" t="inlineStr">
        <is>
          <t>否</t>
        </is>
      </c>
      <c r="J740" s="7" t="inlineStr"/>
    </row>
    <row r="741">
      <c r="A741" s="16" t="n">
        <v>46133</v>
      </c>
      <c r="B741" s="17" t="inlineStr">
        <is>
          <t>工业有色</t>
        </is>
      </c>
      <c r="C741" s="18" t="n">
        <v>0.3875117955551319</v>
      </c>
      <c r="D741" s="18" t="n">
        <v>0.5637479425681985</v>
      </c>
      <c r="E741" s="18" t="n">
        <v>0.1046670724296868</v>
      </c>
      <c r="F741" s="18" t="n">
        <v>0.4941203716675105</v>
      </c>
      <c r="G741" s="17" t="n"/>
      <c r="H741" s="17" t="inlineStr">
        <is>
          <t>否</t>
        </is>
      </c>
      <c r="I741" s="17" t="inlineStr">
        <is>
          <t>是</t>
        </is>
      </c>
      <c r="J741" s="17" t="inlineStr">
        <is>
          <t>卖出</t>
        </is>
      </c>
    </row>
    <row r="742">
      <c r="A742" s="11" t="n">
        <v>46133</v>
      </c>
      <c r="B742" s="7" t="inlineStr">
        <is>
          <t>科创芯片设计</t>
        </is>
      </c>
      <c r="C742" s="9" t="n">
        <v>0.2720174992637625</v>
      </c>
      <c r="D742" s="9" t="n">
        <v>0.3555188821372628</v>
      </c>
      <c r="E742" s="9" t="n">
        <v>0.5027644396777313</v>
      </c>
      <c r="F742" s="9" t="n">
        <v>-0.04223082402370655</v>
      </c>
      <c r="G742" s="7" t="n">
        <v>3</v>
      </c>
      <c r="H742" s="7" t="inlineStr">
        <is>
          <t>是</t>
        </is>
      </c>
      <c r="I742" s="7" t="inlineStr">
        <is>
          <t>否</t>
        </is>
      </c>
      <c r="J742" s="7" t="inlineStr"/>
    </row>
    <row r="743">
      <c r="A743" s="11" t="n">
        <v>46133</v>
      </c>
      <c r="B743" s="7" t="inlineStr">
        <is>
          <t>新能源电池</t>
        </is>
      </c>
      <c r="C743" s="9" t="n">
        <v>0.05784295277182024</v>
      </c>
      <c r="D743" s="9" t="n">
        <v>-1.189286888164982</v>
      </c>
      <c r="E743" s="9" t="n">
        <v>1.055621837316673</v>
      </c>
      <c r="F743" s="9" t="n">
        <v>0.30719390916377</v>
      </c>
      <c r="G743" s="7" t="n">
        <v>4</v>
      </c>
      <c r="H743" s="7" t="inlineStr">
        <is>
          <t>是</t>
        </is>
      </c>
      <c r="I743" s="7" t="inlineStr">
        <is>
          <t>否</t>
        </is>
      </c>
      <c r="J743" s="7" t="inlineStr"/>
    </row>
    <row r="744">
      <c r="A744" s="11" t="n">
        <v>46133</v>
      </c>
      <c r="B744" s="7" t="inlineStr">
        <is>
          <t>半导体材料设备</t>
        </is>
      </c>
      <c r="C744" s="9" t="n">
        <v>-0.0927938516416914</v>
      </c>
      <c r="D744" s="9" t="n">
        <v>-0.3381634562479408</v>
      </c>
      <c r="E744" s="9" t="n">
        <v>-0.3678083758941238</v>
      </c>
      <c r="F744" s="9" t="n">
        <v>0.4275902772169903</v>
      </c>
      <c r="G744" s="7" t="n">
        <v>5</v>
      </c>
      <c r="H744" s="7" t="inlineStr">
        <is>
          <t>是</t>
        </is>
      </c>
      <c r="I744" s="7" t="inlineStr">
        <is>
          <t>否</t>
        </is>
      </c>
      <c r="J744" s="7" t="inlineStr"/>
    </row>
    <row r="745">
      <c r="A745" s="11" t="n">
        <v>46133</v>
      </c>
      <c r="B745" s="7" t="inlineStr">
        <is>
          <t>港股通创新药</t>
        </is>
      </c>
      <c r="C745" s="9" t="n">
        <v>-0.1003293101858279</v>
      </c>
      <c r="D745" s="9" t="n">
        <v>0.3159322523864578</v>
      </c>
      <c r="E745" s="9" t="n">
        <v>0.01453302906329223</v>
      </c>
      <c r="F745" s="9" t="n">
        <v>-0.6314532120072336</v>
      </c>
      <c r="G745" s="7" t="n">
        <v>6</v>
      </c>
      <c r="H745" s="7" t="inlineStr">
        <is>
          <t>是</t>
        </is>
      </c>
      <c r="I745" s="7" t="inlineStr">
        <is>
          <t>否</t>
        </is>
      </c>
      <c r="J745" s="7" t="inlineStr"/>
    </row>
    <row r="746">
      <c r="A746" s="11" t="n">
        <v>46133</v>
      </c>
      <c r="B746" s="7" t="inlineStr">
        <is>
          <t>机器人</t>
        </is>
      </c>
      <c r="C746" s="9" t="n">
        <v>-0.3921114857383558</v>
      </c>
      <c r="D746" s="9" t="n">
        <v>-0.003610961196412432</v>
      </c>
      <c r="E746" s="9" t="n">
        <v>-0.5566741656066617</v>
      </c>
      <c r="F746" s="9" t="n">
        <v>-0.6160493304119932</v>
      </c>
      <c r="G746" s="7" t="n"/>
      <c r="H746" s="7" t="inlineStr">
        <is>
          <t>否</t>
        </is>
      </c>
      <c r="I746" s="7" t="inlineStr">
        <is>
          <t>否</t>
        </is>
      </c>
      <c r="J746" s="7" t="inlineStr"/>
    </row>
    <row r="747">
      <c r="A747" s="11" t="n">
        <v>46133</v>
      </c>
      <c r="B747" s="7" t="inlineStr">
        <is>
          <t>计算机</t>
        </is>
      </c>
      <c r="C747" s="9" t="n">
        <v>-1.014193412257201</v>
      </c>
      <c r="D747" s="9" t="n">
        <v>-1.075542906451163</v>
      </c>
      <c r="E747" s="9" t="n">
        <v>-1.07793116849662</v>
      </c>
      <c r="F747" s="9" t="n">
        <v>-0.8891061618238193</v>
      </c>
      <c r="G747" s="7" t="n"/>
      <c r="H747" s="7" t="inlineStr">
        <is>
          <t>否</t>
        </is>
      </c>
      <c r="I747" s="7" t="inlineStr">
        <is>
          <t>否</t>
        </is>
      </c>
      <c r="J747" s="7" t="inlineStr"/>
    </row>
    <row r="748">
      <c r="A748" s="11" t="n">
        <v>46133</v>
      </c>
      <c r="B748" s="7" t="inlineStr">
        <is>
          <t>港股通互联网</t>
        </is>
      </c>
      <c r="C748" s="9" t="n">
        <v>-1.450196803229711</v>
      </c>
      <c r="D748" s="9" t="n">
        <v>-1.106872341865046</v>
      </c>
      <c r="E748" s="9" t="n">
        <v>-1.462150354380947</v>
      </c>
      <c r="F748" s="9" t="n">
        <v>-1.781567713443141</v>
      </c>
      <c r="G748" s="7" t="n"/>
      <c r="H748" s="7" t="inlineStr">
        <is>
          <t>否</t>
        </is>
      </c>
      <c r="I748" s="7" t="inlineStr">
        <is>
          <t>否</t>
        </is>
      </c>
      <c r="J748" s="7" t="inlineStr"/>
    </row>
    <row r="750">
      <c r="A750" s="11" t="n">
        <v>46157</v>
      </c>
      <c r="B750" s="7" t="inlineStr">
        <is>
          <t>通信设备</t>
        </is>
      </c>
      <c r="C750" s="9" t="n">
        <v>1.323874646197936</v>
      </c>
      <c r="D750" s="9" t="n">
        <v>0.8389457794386332</v>
      </c>
      <c r="E750" s="9" t="n">
        <v>1.706121049513719</v>
      </c>
      <c r="F750" s="9" t="n">
        <v>1.426557109641455</v>
      </c>
      <c r="G750" s="7" t="n">
        <v>1</v>
      </c>
      <c r="H750" s="7" t="inlineStr">
        <is>
          <t>是</t>
        </is>
      </c>
      <c r="I750" s="7" t="inlineStr">
        <is>
          <t>是</t>
        </is>
      </c>
      <c r="J750" s="7" t="inlineStr">
        <is>
          <t>保留</t>
        </is>
      </c>
    </row>
    <row r="751">
      <c r="A751" s="13" t="n">
        <v>46157</v>
      </c>
      <c r="B751" s="14" t="inlineStr">
        <is>
          <t>半导体材料设备</t>
        </is>
      </c>
      <c r="C751" s="15" t="n">
        <v>1.256320307466715</v>
      </c>
      <c r="D751" s="15" t="n">
        <v>1.541874289939775</v>
      </c>
      <c r="E751" s="15" t="n">
        <v>1.091966731472796</v>
      </c>
      <c r="F751" s="15" t="n">
        <v>1.135119900987573</v>
      </c>
      <c r="G751" s="14" t="n">
        <v>2</v>
      </c>
      <c r="H751" s="14" t="inlineStr">
        <is>
          <t>是</t>
        </is>
      </c>
      <c r="I751" s="14" t="inlineStr">
        <is>
          <t>否</t>
        </is>
      </c>
      <c r="J751" s="14" t="inlineStr">
        <is>
          <t>买入</t>
        </is>
      </c>
    </row>
    <row r="752">
      <c r="A752" s="13" t="n">
        <v>46157</v>
      </c>
      <c r="B752" s="14" t="inlineStr">
        <is>
          <t>科创芯片设计</t>
        </is>
      </c>
      <c r="C752" s="15" t="n">
        <v>0.8189216997771279</v>
      </c>
      <c r="D752" s="15" t="n">
        <v>0.8235482845022206</v>
      </c>
      <c r="E752" s="15" t="n">
        <v>0.8533266506463468</v>
      </c>
      <c r="F752" s="15" t="n">
        <v>0.7798901641828165</v>
      </c>
      <c r="G752" s="14" t="n">
        <v>3</v>
      </c>
      <c r="H752" s="14" t="inlineStr">
        <is>
          <t>是</t>
        </is>
      </c>
      <c r="I752" s="14" t="inlineStr">
        <is>
          <t>否</t>
        </is>
      </c>
      <c r="J752" s="14" t="inlineStr">
        <is>
          <t>买入</t>
        </is>
      </c>
    </row>
    <row r="753">
      <c r="A753" s="11" t="n">
        <v>46157</v>
      </c>
      <c r="B753" s="7" t="inlineStr">
        <is>
          <t>机器人</t>
        </is>
      </c>
      <c r="C753" s="9" t="n">
        <v>0.5357263888193915</v>
      </c>
      <c r="D753" s="9" t="n">
        <v>1.146919601656122</v>
      </c>
      <c r="E753" s="9" t="n">
        <v>0.2552219402360315</v>
      </c>
      <c r="F753" s="9" t="n">
        <v>0.2050376245660213</v>
      </c>
      <c r="G753" s="7" t="n">
        <v>4</v>
      </c>
      <c r="H753" s="7" t="inlineStr">
        <is>
          <t>是</t>
        </is>
      </c>
      <c r="I753" s="7" t="inlineStr">
        <is>
          <t>否</t>
        </is>
      </c>
      <c r="J753" s="7" t="inlineStr"/>
    </row>
    <row r="754">
      <c r="A754" s="11" t="n">
        <v>46157</v>
      </c>
      <c r="B754" s="7" t="inlineStr">
        <is>
          <t>新能源电池</t>
        </is>
      </c>
      <c r="C754" s="9" t="n">
        <v>-0.1074458432553092</v>
      </c>
      <c r="D754" s="9" t="n">
        <v>-0.3982622568070195</v>
      </c>
      <c r="E754" s="9" t="n">
        <v>0.3374862720604717</v>
      </c>
      <c r="F754" s="9" t="n">
        <v>-0.2615615450193798</v>
      </c>
      <c r="G754" s="7" t="n">
        <v>5</v>
      </c>
      <c r="H754" s="7" t="inlineStr">
        <is>
          <t>是</t>
        </is>
      </c>
      <c r="I754" s="7" t="inlineStr">
        <is>
          <t>否</t>
        </is>
      </c>
      <c r="J754" s="7" t="inlineStr"/>
    </row>
    <row r="755">
      <c r="A755" s="11" t="n">
        <v>46157</v>
      </c>
      <c r="B755" s="7" t="inlineStr">
        <is>
          <t>卫星产业</t>
        </is>
      </c>
      <c r="C755" s="9" t="n">
        <v>-0.1973497560894041</v>
      </c>
      <c r="D755" s="9" t="n">
        <v>-0.4527440716487681</v>
      </c>
      <c r="E755" s="9" t="n">
        <v>-0.6029225831239465</v>
      </c>
      <c r="F755" s="9" t="n">
        <v>0.4636173865045026</v>
      </c>
      <c r="G755" s="7" t="n"/>
      <c r="H755" s="7" t="inlineStr">
        <is>
          <t>否</t>
        </is>
      </c>
      <c r="I755" s="7" t="inlineStr">
        <is>
          <t>否</t>
        </is>
      </c>
      <c r="J755" s="7" t="inlineStr"/>
    </row>
    <row r="756">
      <c r="A756" s="11" t="n">
        <v>46157</v>
      </c>
      <c r="B756" s="7" t="inlineStr">
        <is>
          <t>工业有色</t>
        </is>
      </c>
      <c r="C756" s="9" t="n">
        <v>-0.4940899923944961</v>
      </c>
      <c r="D756" s="9" t="n">
        <v>-0.6919467046315051</v>
      </c>
      <c r="E756" s="9" t="n">
        <v>-0.6643893427427017</v>
      </c>
      <c r="F756" s="9" t="n">
        <v>-0.1259339298092814</v>
      </c>
      <c r="G756" s="7" t="n"/>
      <c r="H756" s="7" t="inlineStr">
        <is>
          <t>否</t>
        </is>
      </c>
      <c r="I756" s="7" t="inlineStr">
        <is>
          <t>否</t>
        </is>
      </c>
      <c r="J756" s="7" t="inlineStr"/>
    </row>
    <row r="757">
      <c r="A757" s="11" t="n">
        <v>46157</v>
      </c>
      <c r="B757" s="7" t="inlineStr">
        <is>
          <t>计算机</t>
        </is>
      </c>
      <c r="C757" s="9" t="n">
        <v>-0.804967789408319</v>
      </c>
      <c r="D757" s="9" t="n">
        <v>-0.6239650193257695</v>
      </c>
      <c r="E757" s="9" t="n">
        <v>-0.8889077319827133</v>
      </c>
      <c r="F757" s="9" t="n">
        <v>-0.9020306169164741</v>
      </c>
      <c r="G757" s="7" t="n"/>
      <c r="H757" s="7" t="inlineStr">
        <is>
          <t>否</t>
        </is>
      </c>
      <c r="I757" s="7" t="inlineStr">
        <is>
          <t>否</t>
        </is>
      </c>
      <c r="J757" s="7" t="inlineStr"/>
    </row>
    <row r="758">
      <c r="A758" s="11" t="n">
        <v>46157</v>
      </c>
      <c r="B758" s="7" t="inlineStr">
        <is>
          <t>港股通创新药</t>
        </is>
      </c>
      <c r="C758" s="9" t="n">
        <v>-1.078420805853998</v>
      </c>
      <c r="D758" s="9" t="n">
        <v>-1.484414960470012</v>
      </c>
      <c r="E758" s="9" t="n">
        <v>-0.7162299718959736</v>
      </c>
      <c r="F758" s="9" t="n">
        <v>-1.03461748519601</v>
      </c>
      <c r="G758" s="7" t="n"/>
      <c r="H758" s="7" t="inlineStr">
        <is>
          <t>否</t>
        </is>
      </c>
      <c r="I758" s="7" t="inlineStr">
        <is>
          <t>否</t>
        </is>
      </c>
      <c r="J758" s="7" t="inlineStr"/>
    </row>
    <row r="759">
      <c r="A759" s="11" t="n">
        <v>46157</v>
      </c>
      <c r="B759" s="7" t="inlineStr">
        <is>
          <t>港股通互联网</t>
        </is>
      </c>
      <c r="C759" s="9" t="n">
        <v>-1.252568855259644</v>
      </c>
      <c r="D759" s="9" t="n">
        <v>-0.6999549426536777</v>
      </c>
      <c r="E759" s="9" t="n">
        <v>-1.37167301418403</v>
      </c>
      <c r="F759" s="9" t="n">
        <v>-1.686078608941224</v>
      </c>
      <c r="G759" s="7" t="n"/>
      <c r="H759" s="7" t="inlineStr">
        <is>
          <t>否</t>
        </is>
      </c>
      <c r="I759" s="7" t="inlineStr">
        <is>
          <t>否</t>
        </is>
      </c>
      <c r="J759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6" t="inlineStr">
        <is>
          <t>月末</t>
        </is>
      </c>
      <c r="B1" s="6" t="inlineStr">
        <is>
          <t>现金(顶层)</t>
        </is>
      </c>
      <c r="C1" s="6" t="inlineStr">
        <is>
          <t>核心:科技100</t>
        </is>
      </c>
      <c r="D1" s="6" t="inlineStr">
        <is>
          <t>半导体材料设备</t>
        </is>
      </c>
      <c r="E1" s="6" t="inlineStr">
        <is>
          <t>科创芯片设计</t>
        </is>
      </c>
      <c r="F1" s="6" t="inlineStr">
        <is>
          <t>卫星产业</t>
        </is>
      </c>
      <c r="G1" s="6" t="inlineStr">
        <is>
          <t>港股通互联网</t>
        </is>
      </c>
      <c r="H1" s="6" t="inlineStr">
        <is>
          <t>通信设备</t>
        </is>
      </c>
      <c r="I1" s="6" t="inlineStr">
        <is>
          <t>计算机</t>
        </is>
      </c>
      <c r="J1" s="6" t="inlineStr">
        <is>
          <t>机器人</t>
        </is>
      </c>
      <c r="K1" s="6" t="inlineStr">
        <is>
          <t>新能源电池</t>
        </is>
      </c>
      <c r="L1" s="6" t="inlineStr">
        <is>
          <t>港股通创新药</t>
        </is>
      </c>
      <c r="M1" s="6" t="inlineStr">
        <is>
          <t>工业有色</t>
        </is>
      </c>
      <c r="N1" s="6" t="inlineStr">
        <is>
          <t>卫星内现金</t>
        </is>
      </c>
      <c r="O1" s="6" t="inlineStr">
        <is>
          <t>合计</t>
        </is>
      </c>
    </row>
    <row r="2">
      <c r="A2" s="11" t="n">
        <v>43677</v>
      </c>
      <c r="B2" s="8" t="n">
        <v>0.009737188862324038</v>
      </c>
      <c r="C2" s="8" t="n">
        <v>0.4998123228795591</v>
      </c>
      <c r="D2" s="8" t="n">
        <v>0.1675513077326639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0.1634662375042303</v>
      </c>
      <c r="M2" s="8" t="n">
        <v>0</v>
      </c>
      <c r="N2" s="8" t="n">
        <v>0.1594329430212228</v>
      </c>
      <c r="O2" s="8">
        <f>SUM(B2:N2)</f>
        <v/>
      </c>
    </row>
    <row r="3">
      <c r="A3" s="11" t="n">
        <v>43708</v>
      </c>
      <c r="B3" s="8" t="n">
        <v>0.009470552662417775</v>
      </c>
      <c r="C3" s="8" t="n">
        <v>0.492451357978631</v>
      </c>
      <c r="D3" s="8" t="n">
        <v>0.1757970292319662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0.1672139145312939</v>
      </c>
      <c r="M3" s="8" t="n">
        <v>0</v>
      </c>
      <c r="N3" s="8" t="n">
        <v>0.1550671455956911</v>
      </c>
      <c r="O3" s="8">
        <f>SUM(B3:N3)</f>
        <v/>
      </c>
    </row>
    <row r="4">
      <c r="A4" s="11" t="n">
        <v>43738</v>
      </c>
      <c r="B4" s="8" t="n">
        <v>0.009449936794796091</v>
      </c>
      <c r="C4" s="8" t="n">
        <v>0.5011075028754043</v>
      </c>
      <c r="D4" s="8" t="n">
        <v>0.1869170449425106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0.1450141719041032</v>
      </c>
      <c r="J4" s="8" t="n">
        <v>0</v>
      </c>
      <c r="K4" s="8" t="n">
        <v>0</v>
      </c>
      <c r="L4" s="8" t="n">
        <v>0.1575113434831859</v>
      </c>
      <c r="M4" s="8" t="n">
        <v>0</v>
      </c>
      <c r="N4" s="8" t="n">
        <v>0</v>
      </c>
      <c r="O4" s="8">
        <f>SUM(B4:N4)</f>
        <v/>
      </c>
    </row>
    <row r="5">
      <c r="A5" s="11" t="n">
        <v>43769</v>
      </c>
      <c r="B5" s="8" t="n">
        <v>0.0091603249414536</v>
      </c>
      <c r="C5" s="8" t="n">
        <v>0.4905989201088639</v>
      </c>
      <c r="D5" s="8" t="n">
        <v>0.1851597446609798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0.1410100120361246</v>
      </c>
      <c r="J5" s="8" t="n">
        <v>0</v>
      </c>
      <c r="K5" s="8" t="n">
        <v>0</v>
      </c>
      <c r="L5" s="8" t="n">
        <v>0.1740709982525781</v>
      </c>
      <c r="M5" s="8" t="n">
        <v>0</v>
      </c>
      <c r="N5" s="8" t="n">
        <v>0</v>
      </c>
      <c r="O5" s="8">
        <f>SUM(B5:N5)</f>
        <v/>
      </c>
    </row>
    <row r="6">
      <c r="A6" s="11" t="n">
        <v>43799</v>
      </c>
      <c r="B6" s="8" t="n">
        <v>0.009209607368792264</v>
      </c>
      <c r="C6" s="8" t="n">
        <v>0.49747099880469</v>
      </c>
      <c r="D6" s="8" t="n">
        <v>0.191013811724894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0.139350968545749</v>
      </c>
      <c r="J6" s="8" t="n">
        <v>0</v>
      </c>
      <c r="K6" s="8" t="n">
        <v>0</v>
      </c>
      <c r="L6" s="8" t="n">
        <v>0.1629546135558747</v>
      </c>
      <c r="M6" s="8" t="n">
        <v>0</v>
      </c>
      <c r="N6" s="8" t="n">
        <v>0</v>
      </c>
      <c r="O6" s="8">
        <f>SUM(B6:N6)</f>
        <v/>
      </c>
    </row>
    <row r="7">
      <c r="A7" s="11" t="n">
        <v>43830</v>
      </c>
      <c r="B7" s="8" t="n">
        <v>0.008413381576919355</v>
      </c>
      <c r="C7" s="8" t="n">
        <v>0.4911848977178861</v>
      </c>
      <c r="D7" s="8" t="n">
        <v>0.2080883798646292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0.1383226910612501</v>
      </c>
      <c r="J7" s="8" t="n">
        <v>0</v>
      </c>
      <c r="K7" s="8" t="n">
        <v>0.1539906497793152</v>
      </c>
      <c r="L7" s="8" t="n">
        <v>0</v>
      </c>
      <c r="M7" s="8" t="n">
        <v>0</v>
      </c>
      <c r="N7" s="8" t="n">
        <v>0</v>
      </c>
      <c r="O7" s="8">
        <f>SUM(B7:N7)</f>
        <v/>
      </c>
    </row>
    <row r="8">
      <c r="A8" s="11" t="n">
        <v>43861</v>
      </c>
      <c r="B8" s="8" t="n">
        <v>0.007585584756211347</v>
      </c>
      <c r="C8" s="8" t="n">
        <v>0.4697762159775747</v>
      </c>
      <c r="D8" s="8" t="n">
        <v>0.2349783548907263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0.1546090863375122</v>
      </c>
      <c r="L8" s="8" t="n">
        <v>0</v>
      </c>
      <c r="M8" s="8" t="n">
        <v>0.1330507580379755</v>
      </c>
      <c r="N8" s="8" t="n">
        <v>0</v>
      </c>
      <c r="O8" s="8">
        <f>SUM(B8:N8)</f>
        <v/>
      </c>
    </row>
    <row r="9">
      <c r="A9" s="11" t="n">
        <v>43890</v>
      </c>
      <c r="B9" s="8" t="n">
        <v>0.007096789369295069</v>
      </c>
      <c r="C9" s="8" t="n">
        <v>0.4603017168080946</v>
      </c>
      <c r="D9" s="8" t="n">
        <v>0.2477166903567815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0.150832056901983</v>
      </c>
      <c r="L9" s="8" t="n">
        <v>0</v>
      </c>
      <c r="M9" s="8" t="n">
        <v>0</v>
      </c>
      <c r="N9" s="8" t="n">
        <v>0.1340527465638459</v>
      </c>
      <c r="O9" s="8">
        <f>SUM(B9:N9)</f>
        <v/>
      </c>
    </row>
    <row r="10">
      <c r="A10" s="11" t="n">
        <v>43921</v>
      </c>
      <c r="B10" s="8" t="n">
        <v>0.01059983057907868</v>
      </c>
      <c r="C10" s="8" t="n">
        <v>0.5142150967733964</v>
      </c>
      <c r="D10" s="8" t="n">
        <v>0.202429933450662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0.1349641439258819</v>
      </c>
      <c r="L10" s="8" t="n">
        <v>0</v>
      </c>
      <c r="M10" s="8" t="n">
        <v>0</v>
      </c>
      <c r="N10" s="8" t="n">
        <v>0.1377909952709811</v>
      </c>
      <c r="O10" s="8">
        <f>SUM(B10:N10)</f>
        <v/>
      </c>
    </row>
    <row r="11">
      <c r="A11" s="11" t="n">
        <v>43951</v>
      </c>
      <c r="B11" s="8" t="n">
        <v>0.01006524904102247</v>
      </c>
      <c r="C11" s="8" t="n">
        <v>0.526305041565921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0.4636297093930564</v>
      </c>
      <c r="O11" s="8">
        <f>SUM(B11:N11)</f>
        <v/>
      </c>
    </row>
    <row r="12">
      <c r="A12" s="11" t="n">
        <v>43982</v>
      </c>
      <c r="B12" s="8" t="n">
        <v>0.01021718008091529</v>
      </c>
      <c r="C12" s="8" t="n">
        <v>0.5222528347226792</v>
      </c>
      <c r="D12" s="8" t="n">
        <v>0</v>
      </c>
      <c r="E12" s="8" t="n">
        <v>0</v>
      </c>
      <c r="F12" s="8" t="n">
        <v>0</v>
      </c>
      <c r="G12" s="8" t="n">
        <v>0.1537779715485922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0.3137520136478132</v>
      </c>
      <c r="O12" s="8">
        <f>SUM(B12:N12)</f>
        <v/>
      </c>
    </row>
    <row r="13">
      <c r="A13" s="11" t="n">
        <v>44012</v>
      </c>
      <c r="B13" s="8" t="n">
        <v>0.008979618334173657</v>
      </c>
      <c r="C13" s="8" t="n">
        <v>0.5446086853137565</v>
      </c>
      <c r="D13" s="8" t="n">
        <v>0.1518079184551205</v>
      </c>
      <c r="E13" s="8" t="n">
        <v>0</v>
      </c>
      <c r="F13" s="8" t="n">
        <v>0</v>
      </c>
      <c r="G13" s="8" t="n">
        <v>0.1596140397270467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0.1349897381699026</v>
      </c>
      <c r="O13" s="8">
        <f>SUM(B13:N13)</f>
        <v/>
      </c>
    </row>
    <row r="14">
      <c r="A14" s="11" t="n">
        <v>44043</v>
      </c>
      <c r="B14" s="8" t="n">
        <v>0.00986731360408322</v>
      </c>
      <c r="C14" s="8" t="n">
        <v>0.5049010155367101</v>
      </c>
      <c r="D14" s="8" t="n">
        <v>0.166084728958156</v>
      </c>
      <c r="E14" s="8" t="n">
        <v>0</v>
      </c>
      <c r="F14" s="8" t="n">
        <v>0</v>
      </c>
      <c r="G14" s="8" t="n">
        <v>0.172103343503098</v>
      </c>
      <c r="H14" s="8" t="n">
        <v>0</v>
      </c>
      <c r="I14" s="8" t="n">
        <v>0</v>
      </c>
      <c r="J14" s="8" t="n">
        <v>0</v>
      </c>
      <c r="K14" s="8" t="n">
        <v>0.1470435983979526</v>
      </c>
      <c r="L14" s="8" t="n">
        <v>0</v>
      </c>
      <c r="M14" s="8" t="n">
        <v>0</v>
      </c>
      <c r="N14" s="8" t="n">
        <v>0</v>
      </c>
      <c r="O14" s="8">
        <f>SUM(B14:N14)</f>
        <v/>
      </c>
    </row>
    <row r="15">
      <c r="A15" s="11" t="n">
        <v>44074</v>
      </c>
      <c r="B15" s="8" t="n">
        <v>0.009706253100172521</v>
      </c>
      <c r="C15" s="8" t="n">
        <v>0.4943844662186095</v>
      </c>
      <c r="D15" s="8" t="n">
        <v>0</v>
      </c>
      <c r="E15" s="8" t="n">
        <v>0</v>
      </c>
      <c r="F15" s="8" t="n">
        <v>0</v>
      </c>
      <c r="G15" s="8" t="n">
        <v>0.1901503393697523</v>
      </c>
      <c r="H15" s="8" t="n">
        <v>0</v>
      </c>
      <c r="I15" s="8" t="n">
        <v>0</v>
      </c>
      <c r="J15" s="8" t="n">
        <v>0</v>
      </c>
      <c r="K15" s="8" t="n">
        <v>0.1436507133708634</v>
      </c>
      <c r="L15" s="8" t="n">
        <v>0</v>
      </c>
      <c r="M15" s="8" t="n">
        <v>0</v>
      </c>
      <c r="N15" s="8" t="n">
        <v>0.1621082279406021</v>
      </c>
      <c r="O15" s="8">
        <f>SUM(B15:N15)</f>
        <v/>
      </c>
    </row>
    <row r="16">
      <c r="A16" s="11" t="n">
        <v>44104</v>
      </c>
      <c r="B16" s="8" t="n">
        <v>0.01023788279757812</v>
      </c>
      <c r="C16" s="8" t="n">
        <v>0.4968500413341713</v>
      </c>
      <c r="D16" s="8" t="n">
        <v>0</v>
      </c>
      <c r="E16" s="8" t="n">
        <v>0</v>
      </c>
      <c r="F16" s="8" t="n">
        <v>0</v>
      </c>
      <c r="G16" s="8" t="n">
        <v>0.1886642634478896</v>
      </c>
      <c r="H16" s="8" t="n">
        <v>0</v>
      </c>
      <c r="I16" s="8" t="n">
        <v>0</v>
      </c>
      <c r="J16" s="8" t="n">
        <v>0.1547387884236034</v>
      </c>
      <c r="K16" s="8" t="n">
        <v>0.1495090239967574</v>
      </c>
      <c r="L16" s="8" t="n">
        <v>0</v>
      </c>
      <c r="M16" s="8" t="n">
        <v>0</v>
      </c>
      <c r="N16" s="8" t="n">
        <v>0</v>
      </c>
      <c r="O16" s="8">
        <f>SUM(B16:N16)</f>
        <v/>
      </c>
    </row>
    <row r="17">
      <c r="A17" s="11" t="n">
        <v>44135</v>
      </c>
      <c r="B17" s="8" t="n">
        <v>0.009793235051175042</v>
      </c>
      <c r="C17" s="8" t="n">
        <v>0.4797261537585772</v>
      </c>
      <c r="D17" s="8" t="n">
        <v>0</v>
      </c>
      <c r="E17" s="8" t="n">
        <v>0</v>
      </c>
      <c r="F17" s="8" t="n">
        <v>0</v>
      </c>
      <c r="G17" s="8" t="n">
        <v>0.1929673793230683</v>
      </c>
      <c r="H17" s="8" t="n">
        <v>0</v>
      </c>
      <c r="I17" s="8" t="n">
        <v>0</v>
      </c>
      <c r="J17" s="8" t="n">
        <v>0.1580075418001992</v>
      </c>
      <c r="K17" s="8" t="n">
        <v>0.1595056900669802</v>
      </c>
      <c r="L17" s="8" t="n">
        <v>0</v>
      </c>
      <c r="M17" s="8" t="n">
        <v>0</v>
      </c>
      <c r="N17" s="8" t="n">
        <v>0</v>
      </c>
      <c r="O17" s="8">
        <f>SUM(B17:N17)</f>
        <v/>
      </c>
    </row>
    <row r="18">
      <c r="A18" s="11" t="n">
        <v>44165</v>
      </c>
      <c r="B18" s="8" t="n">
        <v>0.009507673378246134</v>
      </c>
      <c r="C18" s="8" t="n">
        <v>0.4601573782297341</v>
      </c>
      <c r="D18" s="8" t="n">
        <v>0</v>
      </c>
      <c r="E18" s="8" t="n">
        <v>0</v>
      </c>
      <c r="F18" s="8" t="n">
        <v>0</v>
      </c>
      <c r="G18" s="8" t="n">
        <v>0.2005936046382265</v>
      </c>
      <c r="H18" s="8" t="n">
        <v>0</v>
      </c>
      <c r="I18" s="8" t="n">
        <v>0</v>
      </c>
      <c r="J18" s="8" t="n">
        <v>0.1611155371877109</v>
      </c>
      <c r="K18" s="8" t="n">
        <v>0.1686258065660823</v>
      </c>
      <c r="L18" s="8" t="n">
        <v>0</v>
      </c>
      <c r="M18" s="8" t="n">
        <v>0</v>
      </c>
      <c r="N18" s="8" t="n">
        <v>0</v>
      </c>
      <c r="O18" s="8">
        <f>SUM(B18:N18)</f>
        <v/>
      </c>
    </row>
    <row r="19">
      <c r="A19" s="11" t="n">
        <v>44196</v>
      </c>
      <c r="B19" s="8" t="n">
        <v>0.008613284911651507</v>
      </c>
      <c r="C19" s="8" t="n">
        <v>0.4550191800968713</v>
      </c>
      <c r="D19" s="8" t="n">
        <v>0</v>
      </c>
      <c r="E19" s="8" t="n">
        <v>0</v>
      </c>
      <c r="F19" s="8" t="n">
        <v>0</v>
      </c>
      <c r="G19" s="8" t="n">
        <v>0.1959051032497413</v>
      </c>
      <c r="H19" s="8" t="n">
        <v>0</v>
      </c>
      <c r="I19" s="8" t="n">
        <v>0</v>
      </c>
      <c r="J19" s="8" t="n">
        <v>0.1563325610437084</v>
      </c>
      <c r="K19" s="8" t="n">
        <v>0.1841298706980274</v>
      </c>
      <c r="L19" s="8" t="n">
        <v>0</v>
      </c>
      <c r="M19" s="8" t="n">
        <v>0</v>
      </c>
      <c r="N19" s="8" t="n">
        <v>0</v>
      </c>
      <c r="O19" s="8">
        <f>SUM(B19:N19)</f>
        <v/>
      </c>
    </row>
    <row r="20">
      <c r="A20" s="11" t="n">
        <v>44227</v>
      </c>
      <c r="B20" s="8" t="n">
        <v>0.008198359096264173</v>
      </c>
      <c r="C20" s="8" t="n">
        <v>0.4485672584405634</v>
      </c>
      <c r="D20" s="8" t="n">
        <v>0</v>
      </c>
      <c r="E20" s="8" t="n">
        <v>0</v>
      </c>
      <c r="F20" s="8" t="n">
        <v>0</v>
      </c>
      <c r="G20" s="8" t="n">
        <v>0.2072175190039093</v>
      </c>
      <c r="H20" s="8" t="n">
        <v>0</v>
      </c>
      <c r="I20" s="8" t="n">
        <v>0</v>
      </c>
      <c r="J20" s="8" t="n">
        <v>0.1511942565721454</v>
      </c>
      <c r="K20" s="8" t="n">
        <v>0.1848226068871177</v>
      </c>
      <c r="L20" s="8" t="n">
        <v>0</v>
      </c>
      <c r="M20" s="8" t="n">
        <v>0</v>
      </c>
      <c r="N20" s="8" t="n">
        <v>0</v>
      </c>
      <c r="O20" s="8">
        <f>SUM(B20:N20)</f>
        <v/>
      </c>
    </row>
    <row r="21">
      <c r="A21" s="11" t="n">
        <v>44255</v>
      </c>
      <c r="B21" s="8" t="n">
        <v>0.01041889008919064</v>
      </c>
      <c r="C21" s="8" t="n">
        <v>0.4993347633136891</v>
      </c>
      <c r="D21" s="8" t="n">
        <v>0</v>
      </c>
      <c r="E21" s="8" t="n">
        <v>0</v>
      </c>
      <c r="F21" s="8" t="n">
        <v>0</v>
      </c>
      <c r="G21" s="8" t="n">
        <v>0.1897852183286757</v>
      </c>
      <c r="H21" s="8" t="n">
        <v>0</v>
      </c>
      <c r="I21" s="8" t="n">
        <v>0</v>
      </c>
      <c r="J21" s="8" t="n">
        <v>0</v>
      </c>
      <c r="K21" s="8" t="n">
        <v>0.1574691450008599</v>
      </c>
      <c r="L21" s="8" t="n">
        <v>0</v>
      </c>
      <c r="M21" s="8" t="n">
        <v>0</v>
      </c>
      <c r="N21" s="8" t="n">
        <v>0.1429919832675849</v>
      </c>
      <c r="O21" s="8">
        <f>SUM(B21:N21)</f>
        <v/>
      </c>
    </row>
    <row r="22">
      <c r="A22" s="11" t="n">
        <v>44286</v>
      </c>
      <c r="B22" s="8" t="n">
        <v>0.01103988788353674</v>
      </c>
      <c r="C22" s="8" t="n">
        <v>0.5024708858733073</v>
      </c>
      <c r="D22" s="8" t="n">
        <v>0</v>
      </c>
      <c r="E22" s="8" t="n">
        <v>0</v>
      </c>
      <c r="F22" s="8" t="n">
        <v>0</v>
      </c>
      <c r="G22" s="8" t="n">
        <v>0.1780633921176808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0.3084258341254753</v>
      </c>
      <c r="O22" s="8">
        <f>SUM(B22:N22)</f>
        <v/>
      </c>
    </row>
    <row r="23">
      <c r="A23" s="11" t="n">
        <v>44316</v>
      </c>
      <c r="B23" s="8" t="n">
        <v>0.01071450405846435</v>
      </c>
      <c r="C23" s="8" t="n">
        <v>0.5175010562627564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0.4717844396787793</v>
      </c>
      <c r="O23" s="8">
        <f>SUM(B23:N23)</f>
        <v/>
      </c>
    </row>
    <row r="24">
      <c r="A24" s="11" t="n">
        <v>44347</v>
      </c>
      <c r="B24" s="8" t="n">
        <v>0.01026509376288536</v>
      </c>
      <c r="C24" s="8" t="n">
        <v>0.5090480707739168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0.179356260089396</v>
      </c>
      <c r="M24" s="8" t="n">
        <v>0</v>
      </c>
      <c r="N24" s="8" t="n">
        <v>0.301330575373802</v>
      </c>
      <c r="O24" s="8">
        <f>SUM(B24:N24)</f>
        <v/>
      </c>
    </row>
    <row r="25">
      <c r="A25" s="11" t="n">
        <v>44377</v>
      </c>
      <c r="B25" s="8" t="n">
        <v>0.009702176468930127</v>
      </c>
      <c r="C25" s="8" t="n">
        <v>0.500962818532602</v>
      </c>
      <c r="D25" s="8" t="n">
        <v>0.1403409337721135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0.1764720775686796</v>
      </c>
      <c r="L25" s="8" t="n">
        <v>0.1725219936576748</v>
      </c>
      <c r="M25" s="8" t="n">
        <v>0</v>
      </c>
      <c r="N25" s="8" t="n">
        <v>0</v>
      </c>
      <c r="O25" s="8">
        <f>SUM(B25:N25)</f>
        <v/>
      </c>
    </row>
    <row r="26">
      <c r="A26" s="11" t="n">
        <v>44408</v>
      </c>
      <c r="B26" s="8" t="n">
        <v>0.009223436666690003</v>
      </c>
      <c r="C26" s="8" t="n">
        <v>0.4720863345680651</v>
      </c>
      <c r="D26" s="8" t="n">
        <v>0.1714307812217687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0.2047482174838799</v>
      </c>
      <c r="L26" s="8" t="n">
        <v>0.1425112300595962</v>
      </c>
      <c r="M26" s="8" t="n">
        <v>0</v>
      </c>
      <c r="N26" s="8" t="n">
        <v>0</v>
      </c>
      <c r="O26" s="8">
        <f>SUM(B26:N26)</f>
        <v/>
      </c>
    </row>
    <row r="27">
      <c r="A27" s="11" t="n">
        <v>44439</v>
      </c>
      <c r="B27" s="8" t="n">
        <v>0.009116029980656276</v>
      </c>
      <c r="C27" s="8" t="n">
        <v>0.4684698020886832</v>
      </c>
      <c r="D27" s="8" t="n">
        <v>0.1436029639635419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0.2029635129639037</v>
      </c>
      <c r="L27" s="8" t="n">
        <v>0</v>
      </c>
      <c r="M27" s="8" t="n">
        <v>0.175847691003215</v>
      </c>
      <c r="N27" s="8" t="n">
        <v>0</v>
      </c>
      <c r="O27" s="8">
        <f>SUM(B27:N27)</f>
        <v/>
      </c>
    </row>
    <row r="28">
      <c r="A28" s="11" t="n">
        <v>44469</v>
      </c>
      <c r="B28" s="8" t="n">
        <v>0.009791083613389748</v>
      </c>
      <c r="C28" s="8" t="n">
        <v>0.4860209639029344</v>
      </c>
      <c r="D28" s="8" t="n">
        <v>0.1459083369465539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0.2076767456745526</v>
      </c>
      <c r="L28" s="8" t="n">
        <v>0</v>
      </c>
      <c r="M28" s="8" t="n">
        <v>0.1506028698625695</v>
      </c>
      <c r="N28" s="8" t="n">
        <v>0</v>
      </c>
      <c r="O28" s="8">
        <f>SUM(B28:N28)</f>
        <v/>
      </c>
    </row>
    <row r="29">
      <c r="A29" s="11" t="n">
        <v>44500</v>
      </c>
      <c r="B29" s="8" t="n">
        <v>0.009534924021082969</v>
      </c>
      <c r="C29" s="8" t="n">
        <v>0.4862434157104811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0.2232885274460644</v>
      </c>
      <c r="L29" s="8" t="n">
        <v>0</v>
      </c>
      <c r="M29" s="8" t="n">
        <v>0.1465315373549389</v>
      </c>
      <c r="N29" s="8" t="n">
        <v>0.1344015954674325</v>
      </c>
      <c r="O29" s="8">
        <f>SUM(B29:N29)</f>
        <v/>
      </c>
    </row>
    <row r="30">
      <c r="A30" s="11" t="n">
        <v>44530</v>
      </c>
      <c r="B30" s="8" t="n">
        <v>0.009059497402731367</v>
      </c>
      <c r="C30" s="8" t="n">
        <v>0.4908849348504676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0.2374659774832577</v>
      </c>
      <c r="L30" s="8" t="n">
        <v>0</v>
      </c>
      <c r="M30" s="8" t="n">
        <v>0</v>
      </c>
      <c r="N30" s="8" t="n">
        <v>0.2625895902635433</v>
      </c>
      <c r="O30" s="8">
        <f>SUM(B30:N30)</f>
        <v/>
      </c>
    </row>
    <row r="31">
      <c r="A31" s="11" t="n">
        <v>44561</v>
      </c>
      <c r="B31" s="8" t="n">
        <v>0.009259583222143555</v>
      </c>
      <c r="C31" s="8" t="n">
        <v>0.5022203167237771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0.1715574600444386</v>
      </c>
      <c r="I31" s="8" t="n">
        <v>0</v>
      </c>
      <c r="J31" s="8" t="n">
        <v>0</v>
      </c>
      <c r="K31" s="8" t="n">
        <v>0.2151500141453987</v>
      </c>
      <c r="L31" s="8" t="n">
        <v>0</v>
      </c>
      <c r="M31" s="8" t="n">
        <v>0</v>
      </c>
      <c r="N31" s="8" t="n">
        <v>0.1018126258642421</v>
      </c>
      <c r="O31" s="8">
        <f>SUM(B31:N31)</f>
        <v/>
      </c>
    </row>
    <row r="32">
      <c r="A32" s="11" t="n">
        <v>44592</v>
      </c>
      <c r="B32" s="8" t="n">
        <v>0.01019337284195999</v>
      </c>
      <c r="C32" s="8" t="n">
        <v>0.4914180635479407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0.168605113434431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0.3297834501756684</v>
      </c>
      <c r="O32" s="8">
        <f>SUM(B32:N32)</f>
        <v/>
      </c>
    </row>
    <row r="33">
      <c r="A33" s="11" t="n">
        <v>44620</v>
      </c>
      <c r="B33" s="8" t="n">
        <v>0.01009591310382152</v>
      </c>
      <c r="C33" s="8" t="n">
        <v>0.4933435616043598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0.4965605252918187</v>
      </c>
      <c r="O33" s="8">
        <f>SUM(B33:N33)</f>
        <v/>
      </c>
    </row>
    <row r="34">
      <c r="A34" s="11" t="n">
        <v>44651</v>
      </c>
      <c r="B34" s="8" t="n">
        <v>0.01061063693166919</v>
      </c>
      <c r="C34" s="8" t="n">
        <v>0.4675125011848762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0.5218768618834546</v>
      </c>
      <c r="O34" s="8">
        <f>SUM(B34:N34)</f>
        <v/>
      </c>
    </row>
    <row r="35">
      <c r="A35" s="11" t="n">
        <v>44681</v>
      </c>
      <c r="B35" s="8" t="n">
        <v>0.009593480327076334</v>
      </c>
      <c r="C35" s="8" t="n">
        <v>0.5155292434826453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0.4748772761902785</v>
      </c>
      <c r="O35" s="8">
        <f>SUM(B35:N35)</f>
        <v/>
      </c>
    </row>
    <row r="36">
      <c r="A36" s="11" t="n">
        <v>44712</v>
      </c>
      <c r="B36" s="8" t="n">
        <v>0.009363184164558622</v>
      </c>
      <c r="C36" s="8" t="n">
        <v>0.5271591996897895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0.4634776161456518</v>
      </c>
      <c r="O36" s="8">
        <f>SUM(B36:N36)</f>
        <v/>
      </c>
    </row>
    <row r="37">
      <c r="A37" s="11" t="n">
        <v>44742</v>
      </c>
      <c r="B37" s="8" t="n">
        <v>0.008875415401120463</v>
      </c>
      <c r="C37" s="8" t="n">
        <v>0.5462900827555885</v>
      </c>
      <c r="D37" s="8" t="n">
        <v>0</v>
      </c>
      <c r="E37" s="8" t="n">
        <v>0</v>
      </c>
      <c r="F37" s="8" t="n">
        <v>0</v>
      </c>
      <c r="G37" s="8" t="n">
        <v>0.1519457936063157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0.2928887082369753</v>
      </c>
      <c r="O37" s="8">
        <f>SUM(B37:N37)</f>
        <v/>
      </c>
    </row>
    <row r="38">
      <c r="A38" s="11" t="n">
        <v>44773</v>
      </c>
      <c r="B38" s="8" t="n">
        <v>0.01057851531924415</v>
      </c>
      <c r="C38" s="8" t="n">
        <v>0.485247889605339</v>
      </c>
      <c r="D38" s="8" t="n">
        <v>0</v>
      </c>
      <c r="E38" s="8" t="n">
        <v>0</v>
      </c>
      <c r="F38" s="8" t="n">
        <v>0</v>
      </c>
      <c r="G38" s="8" t="n">
        <v>0.1567234432711646</v>
      </c>
      <c r="H38" s="8" t="n">
        <v>0</v>
      </c>
      <c r="I38" s="8" t="n">
        <v>0</v>
      </c>
      <c r="J38" s="8" t="n">
        <v>0</v>
      </c>
      <c r="K38" s="8" t="n">
        <v>0.1811556740059831</v>
      </c>
      <c r="L38" s="8" t="n">
        <v>0</v>
      </c>
      <c r="M38" s="8" t="n">
        <v>0.163970976531325</v>
      </c>
      <c r="N38" s="8" t="n">
        <v>0.002323501266944219</v>
      </c>
      <c r="O38" s="8">
        <f>SUM(B38:N38)</f>
        <v/>
      </c>
    </row>
    <row r="39">
      <c r="A39" s="11" t="n">
        <v>44804</v>
      </c>
      <c r="B39" s="8" t="n">
        <v>0.01077599894247891</v>
      </c>
      <c r="C39" s="8" t="n">
        <v>0.4807425796511685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0.1761943044549512</v>
      </c>
      <c r="L39" s="8" t="n">
        <v>0</v>
      </c>
      <c r="M39" s="8" t="n">
        <v>0</v>
      </c>
      <c r="N39" s="8" t="n">
        <v>0.3322871169514015</v>
      </c>
      <c r="O39" s="8">
        <f>SUM(B39:N39)</f>
        <v/>
      </c>
    </row>
    <row r="40">
      <c r="A40" s="11" t="n">
        <v>44834</v>
      </c>
      <c r="B40" s="8" t="n">
        <v>0.01147935628010797</v>
      </c>
      <c r="C40" s="8" t="n">
        <v>0.4642141519487069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0.1703307515046804</v>
      </c>
      <c r="L40" s="8" t="n">
        <v>0</v>
      </c>
      <c r="M40" s="8" t="n">
        <v>0</v>
      </c>
      <c r="N40" s="8" t="n">
        <v>0.3539757402665047</v>
      </c>
      <c r="O40" s="8">
        <f>SUM(B40:N40)</f>
        <v/>
      </c>
    </row>
    <row r="41">
      <c r="A41" s="11" t="n">
        <v>44865</v>
      </c>
      <c r="B41" s="8" t="n">
        <v>0.01130829330692581</v>
      </c>
      <c r="C41" s="8" t="n">
        <v>0.4744725825145649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0.5142191241785092</v>
      </c>
      <c r="O41" s="8">
        <f>SUM(B41:N41)</f>
        <v/>
      </c>
    </row>
    <row r="42">
      <c r="A42" s="11" t="n">
        <v>44895</v>
      </c>
      <c r="B42" s="8" t="n">
        <v>0.01119128753653961</v>
      </c>
      <c r="C42" s="8" t="n">
        <v>0.4827566654430827</v>
      </c>
      <c r="D42" s="8" t="n">
        <v>0</v>
      </c>
      <c r="E42" s="8" t="n">
        <v>0</v>
      </c>
      <c r="F42" s="8" t="n">
        <v>0.1704378804295952</v>
      </c>
      <c r="G42" s="8" t="n">
        <v>0</v>
      </c>
      <c r="H42" s="8" t="n">
        <v>0</v>
      </c>
      <c r="I42" s="8" t="n">
        <v>0.1642526936363647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0.1713614729544178</v>
      </c>
      <c r="O42" s="8">
        <f>SUM(B42:N42)</f>
        <v/>
      </c>
    </row>
    <row r="43">
      <c r="A43" s="11" t="n">
        <v>44926</v>
      </c>
      <c r="B43" s="8" t="n">
        <v>0.01144227694825133</v>
      </c>
      <c r="C43" s="8" t="n">
        <v>0.4802743207375961</v>
      </c>
      <c r="D43" s="8" t="n">
        <v>0</v>
      </c>
      <c r="E43" s="8" t="n">
        <v>0</v>
      </c>
      <c r="F43" s="8" t="n">
        <v>0.1674746971719158</v>
      </c>
      <c r="G43" s="8" t="n">
        <v>0.1672095987238182</v>
      </c>
      <c r="H43" s="8" t="n">
        <v>0</v>
      </c>
      <c r="I43" s="8" t="n">
        <v>0.1643274755718918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0.009271630846526657</v>
      </c>
      <c r="O43" s="8">
        <f>SUM(B43:N43)</f>
        <v/>
      </c>
    </row>
    <row r="44">
      <c r="A44" s="11" t="n">
        <v>44957</v>
      </c>
      <c r="B44" s="8" t="n">
        <v>0.01044556311927975</v>
      </c>
      <c r="C44" s="8" t="n">
        <v>0.4793965282253376</v>
      </c>
      <c r="D44" s="8" t="n">
        <v>0</v>
      </c>
      <c r="E44" s="8" t="n">
        <v>0</v>
      </c>
      <c r="F44" s="8" t="n">
        <v>0.1678685429664773</v>
      </c>
      <c r="G44" s="8" t="n">
        <v>0.163971289202771</v>
      </c>
      <c r="H44" s="8" t="n">
        <v>0</v>
      </c>
      <c r="I44" s="8" t="n">
        <v>0.1698540788339139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0.008463997652220445</v>
      </c>
      <c r="O44" s="8">
        <f>SUM(B44:N44)</f>
        <v/>
      </c>
    </row>
    <row r="45">
      <c r="A45" s="11" t="n">
        <v>44985</v>
      </c>
      <c r="B45" s="8" t="n">
        <v>0.01045507535971895</v>
      </c>
      <c r="C45" s="8" t="n">
        <v>0.4869642925662988</v>
      </c>
      <c r="D45" s="8" t="n">
        <v>0</v>
      </c>
      <c r="E45" s="8" t="n">
        <v>0</v>
      </c>
      <c r="F45" s="8" t="n">
        <v>0.1789729654827004</v>
      </c>
      <c r="G45" s="8" t="n">
        <v>0.1396520364162084</v>
      </c>
      <c r="H45" s="8" t="n">
        <v>0</v>
      </c>
      <c r="I45" s="8" t="n">
        <v>0.1754839247928029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0.008471705382270548</v>
      </c>
      <c r="O45" s="8">
        <f>SUM(B45:N45)</f>
        <v/>
      </c>
    </row>
    <row r="46">
      <c r="A46" s="11" t="n">
        <v>45016</v>
      </c>
      <c r="B46" s="8" t="n">
        <v>0.009756097585679063</v>
      </c>
      <c r="C46" s="8" t="n">
        <v>0.4795354131072005</v>
      </c>
      <c r="D46" s="8" t="n">
        <v>0</v>
      </c>
      <c r="E46" s="8" t="n">
        <v>0</v>
      </c>
      <c r="F46" s="8" t="n">
        <v>0.1718715145045113</v>
      </c>
      <c r="G46" s="8" t="n">
        <v>0</v>
      </c>
      <c r="H46" s="8" t="n">
        <v>0.1446246091707095</v>
      </c>
      <c r="I46" s="8" t="n">
        <v>0.1942123656318996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>
        <f>SUM(B46:N46)</f>
        <v/>
      </c>
    </row>
    <row r="47">
      <c r="A47" s="11" t="n">
        <v>45046</v>
      </c>
      <c r="B47" s="8" t="n">
        <v>0.01011206780399081</v>
      </c>
      <c r="C47" s="8" t="n">
        <v>0.4855044250009076</v>
      </c>
      <c r="D47" s="8" t="n">
        <v>0</v>
      </c>
      <c r="E47" s="8" t="n">
        <v>0.1686062600361132</v>
      </c>
      <c r="F47" s="8" t="n">
        <v>0</v>
      </c>
      <c r="G47" s="8" t="n">
        <v>0</v>
      </c>
      <c r="H47" s="8" t="n">
        <v>0.1510661842351252</v>
      </c>
      <c r="I47" s="8" t="n">
        <v>0.183536832536137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0.00117423038772632</v>
      </c>
      <c r="O47" s="8">
        <f>SUM(B47:N47)</f>
        <v/>
      </c>
    </row>
    <row r="48">
      <c r="A48" s="11" t="n">
        <v>45077</v>
      </c>
      <c r="B48" s="8" t="n">
        <v>0.01031500501582259</v>
      </c>
      <c r="C48" s="8" t="n">
        <v>0.4791012493576637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0.1608647613433438</v>
      </c>
      <c r="I48" s="8" t="n">
        <v>0.1852102437310886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0.1645087405520813</v>
      </c>
      <c r="O48" s="8">
        <f>SUM(B48:N48)</f>
        <v/>
      </c>
    </row>
    <row r="49">
      <c r="A49" s="11" t="n">
        <v>45107</v>
      </c>
      <c r="B49" s="8" t="n">
        <v>0.009844553470250723</v>
      </c>
      <c r="C49" s="8" t="n">
        <v>0.4774165888220918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0.1787466974342139</v>
      </c>
      <c r="I49" s="8" t="n">
        <v>0.1769864108623351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0.1570057494111083</v>
      </c>
      <c r="O49" s="8">
        <f>SUM(B49:N49)</f>
        <v/>
      </c>
    </row>
    <row r="50">
      <c r="A50" s="11" t="n">
        <v>45138</v>
      </c>
      <c r="B50" s="8" t="n">
        <v>0.0104011668459583</v>
      </c>
      <c r="C50" s="8" t="n">
        <v>0.4832899881341978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0.1693979462321143</v>
      </c>
      <c r="I50" s="8" t="n">
        <v>0</v>
      </c>
      <c r="J50" s="8" t="n">
        <v>0.161792630262942</v>
      </c>
      <c r="K50" s="8" t="n">
        <v>0</v>
      </c>
      <c r="L50" s="8" t="n">
        <v>0</v>
      </c>
      <c r="M50" s="8" t="n">
        <v>0</v>
      </c>
      <c r="N50" s="8" t="n">
        <v>0.1751182685247875</v>
      </c>
      <c r="O50" s="8">
        <f>SUM(B50:N50)</f>
        <v/>
      </c>
    </row>
    <row r="51">
      <c r="A51" s="11" t="n">
        <v>45169</v>
      </c>
      <c r="B51" s="8" t="n">
        <v>0.01090250630727446</v>
      </c>
      <c r="C51" s="8" t="n">
        <v>0.479398155752191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0.5096993379405347</v>
      </c>
      <c r="O51" s="8">
        <f>SUM(B51:N51)</f>
        <v/>
      </c>
    </row>
    <row r="52">
      <c r="A52" s="11" t="n">
        <v>45199</v>
      </c>
      <c r="B52" s="8" t="n">
        <v>0.01105627162914016</v>
      </c>
      <c r="C52" s="8" t="n">
        <v>0.472055760536952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0.5168879678339079</v>
      </c>
      <c r="O52" s="8">
        <f>SUM(B52:N52)</f>
        <v/>
      </c>
    </row>
    <row r="53">
      <c r="A53" s="11" t="n">
        <v>45230</v>
      </c>
      <c r="B53" s="8" t="n">
        <v>0.01119543193065493</v>
      </c>
      <c r="C53" s="8" t="n">
        <v>0.4654107646458391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0.5233938034235059</v>
      </c>
      <c r="O53" s="8">
        <f>SUM(B53:N53)</f>
        <v/>
      </c>
    </row>
    <row r="54">
      <c r="A54" s="11" t="n">
        <v>45260</v>
      </c>
      <c r="B54" s="8" t="n">
        <v>0.01136159048359742</v>
      </c>
      <c r="C54" s="8" t="n">
        <v>0.4655508646170338</v>
      </c>
      <c r="D54" s="8" t="n">
        <v>0</v>
      </c>
      <c r="E54" s="8" t="n">
        <v>0</v>
      </c>
      <c r="F54" s="8" t="n">
        <v>0.168979661554101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0.3541078833452677</v>
      </c>
      <c r="O54" s="8">
        <f>SUM(B54:N54)</f>
        <v/>
      </c>
    </row>
    <row r="55">
      <c r="A55" s="11" t="n">
        <v>45291</v>
      </c>
      <c r="B55" s="8" t="n">
        <v>0.01150328349522847</v>
      </c>
      <c r="C55" s="8" t="n">
        <v>0.4664162325981694</v>
      </c>
      <c r="D55" s="8" t="n">
        <v>0</v>
      </c>
      <c r="E55" s="8" t="n">
        <v>0.1719671771574672</v>
      </c>
      <c r="F55" s="8" t="n">
        <v>0.1654330468015867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0.1846802599475483</v>
      </c>
      <c r="O55" s="8">
        <f>SUM(B55:N55)</f>
        <v/>
      </c>
    </row>
    <row r="56">
      <c r="A56" s="11" t="n">
        <v>45322</v>
      </c>
      <c r="B56" s="8" t="n">
        <v>0.0131482832422609</v>
      </c>
      <c r="C56" s="8" t="n">
        <v>0.4555134860867913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0.5313382306709478</v>
      </c>
      <c r="O56" s="8">
        <f>SUM(B56:N56)</f>
        <v/>
      </c>
    </row>
    <row r="57">
      <c r="A57" s="11" t="n">
        <v>45351</v>
      </c>
      <c r="B57" s="8" t="n">
        <v>0.0123358384257139</v>
      </c>
      <c r="C57" s="8" t="n">
        <v>0.4891578210739392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0.4985063405003468</v>
      </c>
      <c r="O57" s="8">
        <f>SUM(B57:N57)</f>
        <v/>
      </c>
    </row>
    <row r="58">
      <c r="A58" s="11" t="n">
        <v>45382</v>
      </c>
      <c r="B58" s="8" t="n">
        <v>0.0123569196506581</v>
      </c>
      <c r="C58" s="8" t="n">
        <v>0.4952506537857482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0.1594869208156183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0.1641308088545312</v>
      </c>
      <c r="N58" s="8" t="n">
        <v>0.1687746968934441</v>
      </c>
      <c r="O58" s="8">
        <f>SUM(B58:N58)</f>
        <v/>
      </c>
    </row>
    <row r="59">
      <c r="A59" s="11" t="n">
        <v>45412</v>
      </c>
      <c r="B59" s="8" t="n">
        <v>0.01215756743031753</v>
      </c>
      <c r="C59" s="8" t="n">
        <v>0.4947106106309492</v>
      </c>
      <c r="D59" s="8" t="n">
        <v>0</v>
      </c>
      <c r="E59" s="8" t="n">
        <v>0</v>
      </c>
      <c r="F59" s="8" t="n">
        <v>0</v>
      </c>
      <c r="G59" s="8" t="n">
        <v>0.1643772739795778</v>
      </c>
      <c r="H59" s="8" t="n">
        <v>0.1620342942267461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0.1650456461733571</v>
      </c>
      <c r="N59" s="8" t="n">
        <v>0.001674607559052313</v>
      </c>
      <c r="O59" s="8">
        <f>SUM(B59:N59)</f>
        <v/>
      </c>
    </row>
    <row r="60">
      <c r="A60" s="11" t="n">
        <v>45443</v>
      </c>
      <c r="B60" s="8" t="n">
        <v>0.0124837777422161</v>
      </c>
      <c r="C60" s="8" t="n">
        <v>0.4950899413851907</v>
      </c>
      <c r="D60" s="8" t="n">
        <v>0</v>
      </c>
      <c r="E60" s="8" t="n">
        <v>0</v>
      </c>
      <c r="F60" s="8" t="n">
        <v>0</v>
      </c>
      <c r="G60" s="8" t="n">
        <v>0.1680552758120286</v>
      </c>
      <c r="H60" s="8" t="n">
        <v>0.1547733087222296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0.1678781559210216</v>
      </c>
      <c r="N60" s="8" t="n">
        <v>0.001719540417313407</v>
      </c>
      <c r="O60" s="8">
        <f>SUM(B60:N60)</f>
        <v/>
      </c>
    </row>
    <row r="61">
      <c r="A61" s="11" t="n">
        <v>45473</v>
      </c>
      <c r="B61" s="8" t="n">
        <v>0.01262929154091733</v>
      </c>
      <c r="C61" s="8" t="n">
        <v>0.497885448861537</v>
      </c>
      <c r="D61" s="8" t="n">
        <v>0</v>
      </c>
      <c r="E61" s="8" t="n">
        <v>0</v>
      </c>
      <c r="F61" s="8" t="n">
        <v>0</v>
      </c>
      <c r="G61" s="8" t="n">
        <v>0.1635190246037024</v>
      </c>
      <c r="H61" s="8" t="n">
        <v>0.16542795770935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0.1605382772844933</v>
      </c>
      <c r="O61" s="8">
        <f>SUM(B61:N61)</f>
        <v/>
      </c>
    </row>
    <row r="62">
      <c r="A62" s="11" t="n">
        <v>45504</v>
      </c>
      <c r="B62" s="8" t="n">
        <v>0.01271191871796547</v>
      </c>
      <c r="C62" s="8" t="n">
        <v>0.4977271851958222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0.1605387525713441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0.3290221435148684</v>
      </c>
      <c r="O62" s="8">
        <f>SUM(B62:N62)</f>
        <v/>
      </c>
    </row>
    <row r="63">
      <c r="A63" s="11" t="n">
        <v>45535</v>
      </c>
      <c r="B63" s="8" t="n">
        <v>0.01320579812207473</v>
      </c>
      <c r="C63" s="8" t="n">
        <v>0.4935407019034059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0.1643432412608311</v>
      </c>
      <c r="M63" s="8" t="n">
        <v>0</v>
      </c>
      <c r="N63" s="8" t="n">
        <v>0.3289102587136882</v>
      </c>
      <c r="O63" s="8">
        <f>SUM(B63:N63)</f>
        <v/>
      </c>
    </row>
    <row r="64">
      <c r="A64" s="11" t="n">
        <v>45565</v>
      </c>
      <c r="B64" s="8" t="n">
        <v>0.01162472021615015</v>
      </c>
      <c r="C64" s="8" t="n">
        <v>0.5167593653769595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0.1820847782783691</v>
      </c>
      <c r="M64" s="8" t="n">
        <v>0</v>
      </c>
      <c r="N64" s="8" t="n">
        <v>0.2895311361285212</v>
      </c>
      <c r="O64" s="8">
        <f>SUM(B64:N64)</f>
        <v/>
      </c>
    </row>
    <row r="65">
      <c r="A65" s="11" t="n">
        <v>45596</v>
      </c>
      <c r="B65" s="8" t="n">
        <v>0.01161539272282411</v>
      </c>
      <c r="C65" s="8" t="n">
        <v>0.5309049978743073</v>
      </c>
      <c r="D65" s="8" t="n">
        <v>0</v>
      </c>
      <c r="E65" s="8" t="n">
        <v>0</v>
      </c>
      <c r="F65" s="8" t="n">
        <v>0</v>
      </c>
      <c r="G65" s="8" t="n">
        <v>0.1569799570910806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0.1647740723785909</v>
      </c>
      <c r="M65" s="8" t="n">
        <v>0</v>
      </c>
      <c r="N65" s="8" t="n">
        <v>0.135725579933197</v>
      </c>
      <c r="O65" s="8">
        <f>SUM(B65:N65)</f>
        <v/>
      </c>
    </row>
    <row r="66">
      <c r="A66" s="11" t="n">
        <v>45626</v>
      </c>
      <c r="B66" s="8" t="n">
        <v>0.01160971392123395</v>
      </c>
      <c r="C66" s="8" t="n">
        <v>0.5319919510421649</v>
      </c>
      <c r="D66" s="8" t="n">
        <v>0</v>
      </c>
      <c r="E66" s="8" t="n">
        <v>0</v>
      </c>
      <c r="F66" s="8" t="n">
        <v>0</v>
      </c>
      <c r="G66" s="8" t="n">
        <v>0.1549027545847163</v>
      </c>
      <c r="H66" s="8" t="n">
        <v>0</v>
      </c>
      <c r="I66" s="8" t="n">
        <v>0.1409255454011238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0.1605700350507611</v>
      </c>
      <c r="O66" s="8">
        <f>SUM(B66:N66)</f>
        <v/>
      </c>
    </row>
    <row r="67">
      <c r="A67" s="11" t="n">
        <v>45657</v>
      </c>
      <c r="B67" s="8" t="n">
        <v>0.01170686256226712</v>
      </c>
      <c r="C67" s="8" t="n">
        <v>0.5328320968494835</v>
      </c>
      <c r="D67" s="8" t="n">
        <v>0</v>
      </c>
      <c r="E67" s="8" t="n">
        <v>0.1588744362514025</v>
      </c>
      <c r="F67" s="8" t="n">
        <v>0</v>
      </c>
      <c r="G67" s="8" t="n">
        <v>0.1573109673014538</v>
      </c>
      <c r="H67" s="8" t="n">
        <v>0</v>
      </c>
      <c r="I67" s="8" t="n">
        <v>0.129044122796544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0.01023151423884925</v>
      </c>
      <c r="O67" s="8">
        <f>SUM(B67:N67)</f>
        <v/>
      </c>
    </row>
    <row r="68">
      <c r="A68" s="11" t="n">
        <v>45688</v>
      </c>
      <c r="B68" s="8" t="n">
        <v>0.01179745463265442</v>
      </c>
      <c r="C68" s="8" t="n">
        <v>0.5381510539714762</v>
      </c>
      <c r="D68" s="8" t="n">
        <v>0</v>
      </c>
      <c r="E68" s="8" t="n">
        <v>0.160445393923203</v>
      </c>
      <c r="F68" s="8" t="n">
        <v>0</v>
      </c>
      <c r="G68" s="8" t="n">
        <v>0</v>
      </c>
      <c r="H68" s="8" t="n">
        <v>0</v>
      </c>
      <c r="I68" s="8" t="n">
        <v>0.1297005998744915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0.159905497598175</v>
      </c>
      <c r="O68" s="8">
        <f>SUM(B68:N68)</f>
        <v/>
      </c>
    </row>
    <row r="69">
      <c r="A69" s="11" t="n">
        <v>45716</v>
      </c>
      <c r="B69" s="8" t="n">
        <v>0.01097033992615365</v>
      </c>
      <c r="C69" s="8" t="n">
        <v>0.5209239818793832</v>
      </c>
      <c r="D69" s="8" t="n">
        <v>0</v>
      </c>
      <c r="E69" s="8" t="n">
        <v>0.1728491993933147</v>
      </c>
      <c r="F69" s="8" t="n">
        <v>0</v>
      </c>
      <c r="G69" s="8" t="n">
        <v>0</v>
      </c>
      <c r="H69" s="8" t="n">
        <v>0</v>
      </c>
      <c r="I69" s="8" t="n">
        <v>0.139959018872487</v>
      </c>
      <c r="J69" s="8" t="n">
        <v>0.1552974599286614</v>
      </c>
      <c r="K69" s="8" t="n">
        <v>0</v>
      </c>
      <c r="L69" s="8" t="n">
        <v>0</v>
      </c>
      <c r="M69" s="8" t="n">
        <v>0</v>
      </c>
      <c r="N69" s="8" t="n">
        <v>0</v>
      </c>
      <c r="O69" s="8">
        <f>SUM(B69:N69)</f>
        <v/>
      </c>
    </row>
    <row r="70">
      <c r="A70" s="11" t="n">
        <v>45747</v>
      </c>
      <c r="B70" s="8" t="n">
        <v>0.01133728659699675</v>
      </c>
      <c r="C70" s="8" t="n">
        <v>0.5261903530319327</v>
      </c>
      <c r="D70" s="8" t="n">
        <v>0</v>
      </c>
      <c r="E70" s="8" t="n">
        <v>0.1758229326152015</v>
      </c>
      <c r="F70" s="8" t="n">
        <v>0</v>
      </c>
      <c r="G70" s="8" t="n">
        <v>0.1336770599516277</v>
      </c>
      <c r="H70" s="8" t="n">
        <v>0</v>
      </c>
      <c r="I70" s="8" t="n">
        <v>0</v>
      </c>
      <c r="J70" s="8" t="n">
        <v>0.1529723678042414</v>
      </c>
      <c r="K70" s="8" t="n">
        <v>0</v>
      </c>
      <c r="L70" s="8" t="n">
        <v>0</v>
      </c>
      <c r="M70" s="8" t="n">
        <v>0</v>
      </c>
      <c r="N70" s="8" t="n">
        <v>0</v>
      </c>
      <c r="O70" s="8">
        <f>SUM(B70:N70)</f>
        <v/>
      </c>
    </row>
    <row r="71">
      <c r="A71" s="11" t="n">
        <v>45777</v>
      </c>
      <c r="B71" s="8" t="n">
        <v>0.01185252942321341</v>
      </c>
      <c r="C71" s="8" t="n">
        <v>0.5214257234388386</v>
      </c>
      <c r="D71" s="8" t="n">
        <v>0</v>
      </c>
      <c r="E71" s="8" t="n">
        <v>0.1852470218614353</v>
      </c>
      <c r="F71" s="8" t="n">
        <v>0</v>
      </c>
      <c r="G71" s="8" t="n">
        <v>0.1343292690712097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0.1471454562053029</v>
      </c>
      <c r="O71" s="8">
        <f>SUM(B71:N71)</f>
        <v/>
      </c>
    </row>
    <row r="72">
      <c r="A72" s="11" t="n">
        <v>45808</v>
      </c>
      <c r="B72" s="8" t="n">
        <v>0.01181863240475042</v>
      </c>
      <c r="C72" s="8" t="n">
        <v>0.5207711528201512</v>
      </c>
      <c r="D72" s="8" t="n">
        <v>0</v>
      </c>
      <c r="E72" s="8" t="n">
        <v>0.1717899456345278</v>
      </c>
      <c r="F72" s="8" t="n">
        <v>0</v>
      </c>
      <c r="G72" s="8" t="n">
        <v>0.1367910277871683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0.1588292413534021</v>
      </c>
      <c r="M72" s="8" t="n">
        <v>0</v>
      </c>
      <c r="N72" s="8" t="n">
        <v>0</v>
      </c>
      <c r="O72" s="8">
        <f>SUM(B72:N72)</f>
        <v/>
      </c>
    </row>
    <row r="73">
      <c r="A73" s="11" t="n">
        <v>45838</v>
      </c>
      <c r="B73" s="8" t="n">
        <v>0.01112504733581064</v>
      </c>
      <c r="C73" s="8" t="n">
        <v>0.521399304943716</v>
      </c>
      <c r="D73" s="8" t="n">
        <v>0</v>
      </c>
      <c r="E73" s="8" t="n">
        <v>0</v>
      </c>
      <c r="F73" s="8" t="n">
        <v>0</v>
      </c>
      <c r="G73" s="8" t="n">
        <v>0.1366778696479669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0.1664962027373985</v>
      </c>
      <c r="M73" s="8" t="n">
        <v>0</v>
      </c>
      <c r="N73" s="8" t="n">
        <v>0.164301575335108</v>
      </c>
      <c r="O73" s="8">
        <f>SUM(B73:N73)</f>
        <v/>
      </c>
    </row>
    <row r="74">
      <c r="A74" s="11" t="n">
        <v>45869</v>
      </c>
      <c r="B74" s="8" t="n">
        <v>0.009872859318763735</v>
      </c>
      <c r="C74" s="8" t="n">
        <v>0.503465708197731</v>
      </c>
      <c r="D74" s="8" t="n">
        <v>0</v>
      </c>
      <c r="E74" s="8" t="n">
        <v>0</v>
      </c>
      <c r="F74" s="8" t="n">
        <v>0</v>
      </c>
      <c r="G74" s="8" t="n">
        <v>0.1273387705071998</v>
      </c>
      <c r="H74" s="8" t="n">
        <v>0.1648608781030624</v>
      </c>
      <c r="I74" s="8" t="n">
        <v>0</v>
      </c>
      <c r="J74" s="8" t="n">
        <v>0</v>
      </c>
      <c r="K74" s="8" t="n">
        <v>0</v>
      </c>
      <c r="L74" s="8" t="n">
        <v>0.1885248175076085</v>
      </c>
      <c r="M74" s="8" t="n">
        <v>0</v>
      </c>
      <c r="N74" s="8" t="n">
        <v>0.005936966365634566</v>
      </c>
      <c r="O74" s="8">
        <f>SUM(B74:N74)</f>
        <v/>
      </c>
    </row>
    <row r="75">
      <c r="A75" s="11" t="n">
        <v>45900</v>
      </c>
      <c r="B75" s="8" t="n">
        <v>0.008340219625393257</v>
      </c>
      <c r="C75" s="8" t="n">
        <v>0.5105298112018816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0.2031263811994281</v>
      </c>
      <c r="I75" s="8" t="n">
        <v>0</v>
      </c>
      <c r="J75" s="8" t="n">
        <v>0</v>
      </c>
      <c r="K75" s="8" t="n">
        <v>0</v>
      </c>
      <c r="L75" s="8" t="n">
        <v>0.1624552864313629</v>
      </c>
      <c r="M75" s="8" t="n">
        <v>0</v>
      </c>
      <c r="N75" s="8" t="n">
        <v>0.1155483015419341</v>
      </c>
      <c r="O75" s="8">
        <f>SUM(B75:N75)</f>
        <v/>
      </c>
    </row>
    <row r="76">
      <c r="A76" s="11" t="n">
        <v>45930</v>
      </c>
      <c r="B76" s="8" t="n">
        <v>0.007672375112291543</v>
      </c>
      <c r="C76" s="8" t="n">
        <v>0.52548486635143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0.1961191059299815</v>
      </c>
      <c r="I76" s="8" t="n">
        <v>0</v>
      </c>
      <c r="J76" s="8" t="n">
        <v>0</v>
      </c>
      <c r="K76" s="8" t="n">
        <v>0</v>
      </c>
      <c r="L76" s="8" t="n">
        <v>0.1564867130771125</v>
      </c>
      <c r="M76" s="8" t="n">
        <v>0.1142369395291846</v>
      </c>
      <c r="N76" s="8" t="n">
        <v>0</v>
      </c>
      <c r="O76" s="8">
        <f>SUM(B76:N76)</f>
        <v/>
      </c>
    </row>
    <row r="77">
      <c r="A77" s="11" t="n">
        <v>45961</v>
      </c>
      <c r="B77" s="8" t="n">
        <v>0.007626426901402136</v>
      </c>
      <c r="C77" s="8" t="n">
        <v>0.5195559461459246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0.1977861798945573</v>
      </c>
      <c r="I77" s="8" t="n">
        <v>0</v>
      </c>
      <c r="J77" s="8" t="n">
        <v>0</v>
      </c>
      <c r="K77" s="8" t="n">
        <v>0.1533845044747839</v>
      </c>
      <c r="L77" s="8" t="n">
        <v>0</v>
      </c>
      <c r="M77" s="8" t="n">
        <v>0.1216469425833321</v>
      </c>
      <c r="N77" s="8" t="n">
        <v>0</v>
      </c>
      <c r="O77" s="8">
        <f>SUM(B77:N77)</f>
        <v/>
      </c>
    </row>
    <row r="78">
      <c r="A78" s="11" t="n">
        <v>45991</v>
      </c>
      <c r="B78" s="8" t="n">
        <v>0.007903138872911726</v>
      </c>
      <c r="C78" s="8" t="n">
        <v>0.5173115281365396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0.2020656519323133</v>
      </c>
      <c r="I78" s="8" t="n">
        <v>0</v>
      </c>
      <c r="J78" s="8" t="n">
        <v>0</v>
      </c>
      <c r="K78" s="8" t="n">
        <v>0.1512007661169258</v>
      </c>
      <c r="L78" s="8" t="n">
        <v>0</v>
      </c>
      <c r="M78" s="8" t="n">
        <v>0.1215189149413098</v>
      </c>
      <c r="N78" s="8" t="n">
        <v>0</v>
      </c>
      <c r="O78" s="8">
        <f>SUM(B78:N78)</f>
        <v/>
      </c>
    </row>
    <row r="79">
      <c r="A79" s="11" t="n">
        <v>46022</v>
      </c>
      <c r="B79" s="8" t="n">
        <v>0.007409312246310683</v>
      </c>
      <c r="C79" s="8" t="n">
        <v>0.5001846893490507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0.2185113313797127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0.1308496973728387</v>
      </c>
      <c r="N79" s="8" t="n">
        <v>0.1430449696520875</v>
      </c>
      <c r="O79" s="8">
        <f>SUM(B79:N79)</f>
        <v/>
      </c>
    </row>
    <row r="80">
      <c r="A80" s="11" t="n">
        <v>46053</v>
      </c>
      <c r="B80" s="8" t="n">
        <v>0.006977552285872403</v>
      </c>
      <c r="C80" s="8" t="n">
        <v>0.5033153455395369</v>
      </c>
      <c r="D80" s="8" t="n">
        <v>0</v>
      </c>
      <c r="E80" s="8" t="n">
        <v>0</v>
      </c>
      <c r="F80" s="8" t="n">
        <v>0.1180746431314557</v>
      </c>
      <c r="G80" s="8" t="n">
        <v>0</v>
      </c>
      <c r="H80" s="8" t="n">
        <v>0.2174824737745664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0.1541499852685685</v>
      </c>
      <c r="N80" s="8" t="n">
        <v>0</v>
      </c>
      <c r="O80" s="8">
        <f>SUM(B80:N80)</f>
        <v/>
      </c>
    </row>
    <row r="81">
      <c r="A81" s="11" t="n">
        <v>46081</v>
      </c>
      <c r="B81" s="8" t="n">
        <v>0.006830555148909973</v>
      </c>
      <c r="C81" s="8" t="n">
        <v>0.5067449832894706</v>
      </c>
      <c r="D81" s="8" t="n">
        <v>0</v>
      </c>
      <c r="E81" s="8" t="n">
        <v>0</v>
      </c>
      <c r="F81" s="8" t="n">
        <v>0.1154802190842558</v>
      </c>
      <c r="G81" s="8" t="n">
        <v>0</v>
      </c>
      <c r="H81" s="8" t="n">
        <v>0.2145450998106125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0.1563991426667513</v>
      </c>
      <c r="N81" s="8" t="n">
        <v>0</v>
      </c>
      <c r="O81" s="8">
        <f>SUM(B81:N81)</f>
        <v/>
      </c>
    </row>
    <row r="82">
      <c r="A82" s="11" t="n">
        <v>46112</v>
      </c>
      <c r="B82" s="8" t="n">
        <v>0.007629048085412252</v>
      </c>
      <c r="C82" s="8" t="n">
        <v>0.5099210232350845</v>
      </c>
      <c r="D82" s="8" t="n">
        <v>0</v>
      </c>
      <c r="E82" s="8" t="n">
        <v>0</v>
      </c>
      <c r="F82" s="8" t="n">
        <v>0.1113997428728351</v>
      </c>
      <c r="G82" s="8" t="n">
        <v>0</v>
      </c>
      <c r="H82" s="8" t="n">
        <v>0.2339093996423946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0.1371407861642736</v>
      </c>
      <c r="N82" s="8" t="n">
        <v>0</v>
      </c>
      <c r="O82" s="8">
        <f>SUM(B82:N82)</f>
        <v/>
      </c>
    </row>
    <row r="83">
      <c r="A83" s="11" t="n">
        <v>46142</v>
      </c>
      <c r="B83" s="8" t="n">
        <v>0.006873392961599272</v>
      </c>
      <c r="C83" s="8" t="n">
        <v>0.5022993083722082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0.2610948943346078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0.2297324043315848</v>
      </c>
      <c r="O83" s="8">
        <f>SUM(B83:N83)</f>
        <v/>
      </c>
    </row>
    <row r="84">
      <c r="A84" s="11" t="n">
        <v>46173</v>
      </c>
      <c r="B84" s="8" t="n">
        <v>0.006497141910073661</v>
      </c>
      <c r="C84" s="8" t="n">
        <v>0.4977806522977097</v>
      </c>
      <c r="D84" s="8" t="n">
        <v>0.09817915964279224</v>
      </c>
      <c r="E84" s="8" t="n">
        <v>0.1001580824851781</v>
      </c>
      <c r="F84" s="8" t="n">
        <v>0</v>
      </c>
      <c r="G84" s="8" t="n">
        <v>0</v>
      </c>
      <c r="H84" s="8" t="n">
        <v>0.2973849636642463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>
        <f>SUM(B84:N84)</f>
        <v/>
      </c>
    </row>
    <row r="85">
      <c r="A85" s="11" t="n">
        <v>46203</v>
      </c>
      <c r="B85" s="8" t="n">
        <v>0.005477866704589891</v>
      </c>
      <c r="C85" s="8" t="n">
        <v>0.4685978402219614</v>
      </c>
      <c r="D85" s="8" t="n">
        <v>0.133872438231933</v>
      </c>
      <c r="E85" s="8" t="n">
        <v>0.1083541905796369</v>
      </c>
      <c r="F85" s="8" t="n">
        <v>0</v>
      </c>
      <c r="G85" s="8" t="n">
        <v>0</v>
      </c>
      <c r="H85" s="8" t="n">
        <v>0.2836976642618789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>
        <f>SUM(B85:N85)</f>
        <v/>
      </c>
    </row>
    <row r="86">
      <c r="A86" s="11" t="n">
        <v>46234</v>
      </c>
      <c r="B86" s="8" t="n">
        <v>0.006083310765388341</v>
      </c>
      <c r="C86" s="8" t="n">
        <v>0.4864896973751469</v>
      </c>
      <c r="D86" s="8" t="n">
        <v>0.1326163832570657</v>
      </c>
      <c r="E86" s="8" t="n">
        <v>0.1079955429888507</v>
      </c>
      <c r="F86" s="8" t="n">
        <v>0</v>
      </c>
      <c r="G86" s="8" t="n">
        <v>0</v>
      </c>
      <c r="H86" s="8" t="n">
        <v>0.2668150656135483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>
        <f>SUM(B86:N86)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参数</t>
        </is>
      </c>
      <c r="B1" s="6" t="inlineStr">
        <is>
          <t>取值</t>
        </is>
      </c>
    </row>
    <row r="2">
      <c r="A2" s="7" t="inlineStr">
        <is>
          <t>K(目标持有数)</t>
        </is>
      </c>
      <c r="B2" s="7" t="inlineStr">
        <is>
          <t>3</t>
        </is>
      </c>
    </row>
    <row r="3">
      <c r="A3" s="7" t="inlineStr">
        <is>
          <t>持续期persist(交易日)</t>
        </is>
      </c>
      <c r="B3" s="7" t="inlineStr">
        <is>
          <t>12</t>
        </is>
      </c>
    </row>
    <row r="4">
      <c r="A4" s="7" t="inlineStr">
        <is>
          <t>打分</t>
        </is>
      </c>
      <c r="B4" s="7" t="inlineStr">
        <is>
          <t>3窗口风险调整动量 z(r20/σ20)+z(r60/σ60)+z(r120/σ120) 等权; 量能项未启用</t>
        </is>
      </c>
    </row>
    <row r="5">
      <c r="A5" s="7" t="inlineStr">
        <is>
          <t>资格线</t>
        </is>
      </c>
      <c r="B5" s="7" t="inlineStr">
        <is>
          <t>收盘价&gt;MA60 且 历史≥120交易日</t>
        </is>
      </c>
    </row>
    <row r="6">
      <c r="A6" s="7" t="inlineStr">
        <is>
          <t>即时止损</t>
        </is>
      </c>
      <c r="B6" s="7" t="inlineStr">
        <is>
          <t>无(退出仅靠轮换持续期; 排名跌出前K+1持续12日)</t>
        </is>
      </c>
    </row>
    <row r="7">
      <c r="A7" s="7" t="inlineStr">
        <is>
          <t>权重</t>
        </is>
      </c>
      <c r="B7" s="7" t="inlineStr">
        <is>
          <t>入场=min(现金等分,卫星桶/K); 此后只动进出腿,不修剪不重等权</t>
        </is>
      </c>
    </row>
    <row r="8">
      <c r="A8" s="7" t="inlineStr">
        <is>
          <t>执行延迟</t>
        </is>
      </c>
      <c r="B8" s="7" t="inlineStr">
        <is>
          <t>T+3交易日,执行日复核,信号消失撤单</t>
        </is>
      </c>
    </row>
    <row r="9">
      <c r="A9" s="7" t="inlineStr">
        <is>
          <t>最短持有</t>
        </is>
      </c>
      <c r="B9" s="7" t="inlineStr">
        <is>
          <t>7自然日(C份额惩罚性赎回费)</t>
        </is>
      </c>
    </row>
    <row r="10">
      <c r="A10" s="7" t="inlineStr">
        <is>
          <t>核心仓</t>
        </is>
      </c>
      <c r="B10" s="7" t="inlineStr">
        <is>
          <t>科技100,占可投50%,band 45%-55%</t>
        </is>
      </c>
    </row>
    <row r="11">
      <c r="A11" s="7" t="inlineStr">
        <is>
          <t>顶层现金</t>
        </is>
      </c>
      <c r="B11" s="7" t="inlineStr">
        <is>
          <t>1%(货基)</t>
        </is>
      </c>
    </row>
    <row r="12">
      <c r="A12" s="7" t="inlineStr">
        <is>
          <t>换手约束</t>
        </is>
      </c>
      <c r="B12" s="7" t="inlineStr">
        <is>
          <t>监管口径(申购+赎回)/(2×年均资产)≤200%; 本回测自然换手未触顶,throttle未启用</t>
        </is>
      </c>
    </row>
    <row r="13">
      <c r="A13" s="7" t="inlineStr">
        <is>
          <t>记账方式</t>
        </is>
      </c>
      <c r="B13" s="7" t="inlineStr">
        <is>
          <t>真实市值记账(持仓随涨跌漂移)</t>
        </is>
      </c>
    </row>
    <row r="14">
      <c r="A14" s="7" t="inlineStr">
        <is>
          <t>数据</t>
        </is>
      </c>
      <c r="B14" s="7" t="inlineStr">
        <is>
          <t>indexdata(场外-ifind).xlsx</t>
        </is>
      </c>
    </row>
    <row r="15">
      <c r="A15" s="7" t="inlineStr">
        <is>
          <t>引擎版本</t>
        </is>
      </c>
      <c r="B15" s="7" t="inlineStr">
        <is>
          <t>V1平台档(参数经5×4×2×2敏感性网格验证为平台而非尖峰)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6" t="inlineStr">
        <is>
          <t>日期</t>
        </is>
      </c>
      <c r="B1" s="6" t="inlineStr">
        <is>
          <t>策略</t>
        </is>
      </c>
      <c r="C1" s="6" t="inlineStr">
        <is>
          <t>科技100</t>
        </is>
      </c>
      <c r="D1" s="6" t="inlineStr">
        <is>
          <t>创业板指</t>
        </is>
      </c>
      <c r="E1" s="6" t="inlineStr">
        <is>
          <t>万得全A</t>
        </is>
      </c>
      <c r="F1" s="6" t="inlineStr">
        <is>
          <t>策略日收益</t>
        </is>
      </c>
      <c r="G1" s="6" t="inlineStr">
        <is>
          <t>策略回撤</t>
        </is>
      </c>
      <c r="H1" s="6" t="inlineStr">
        <is>
          <t>科技100日收益</t>
        </is>
      </c>
      <c r="I1" s="6" t="inlineStr">
        <is>
          <t>科技100回撤</t>
        </is>
      </c>
      <c r="J1" s="6" t="inlineStr">
        <is>
          <t>创业板指日收益</t>
        </is>
      </c>
      <c r="K1" s="6" t="inlineStr">
        <is>
          <t>创业板指回撤</t>
        </is>
      </c>
      <c r="L1" s="6" t="inlineStr">
        <is>
          <t>万得全A日收益</t>
        </is>
      </c>
      <c r="M1" s="6" t="inlineStr">
        <is>
          <t>万得全A回撤</t>
        </is>
      </c>
    </row>
    <row r="2">
      <c r="A2" s="11" t="n">
        <v>43661</v>
      </c>
      <c r="B2" s="19" t="n">
        <v>1</v>
      </c>
      <c r="C2" s="19" t="n">
        <v>1</v>
      </c>
      <c r="D2" s="19" t="n">
        <v>1</v>
      </c>
      <c r="E2" s="19" t="n">
        <v>1</v>
      </c>
      <c r="F2" s="7" t="n"/>
      <c r="G2" s="7" t="n"/>
      <c r="H2" s="7" t="n"/>
      <c r="I2" s="7" t="n"/>
      <c r="J2" s="7" t="n"/>
      <c r="K2" s="7" t="n"/>
      <c r="L2" s="7" t="n"/>
      <c r="M2" s="7" t="n"/>
    </row>
    <row r="3">
      <c r="A3" s="11" t="n">
        <v>43662</v>
      </c>
      <c r="B3" s="19" t="n">
        <v>1.002291742920297</v>
      </c>
      <c r="C3" s="19" t="n">
        <v>0.9996569971546301</v>
      </c>
      <c r="D3" s="19" t="n">
        <v>0.998581682835771</v>
      </c>
      <c r="E3" s="19" t="n">
        <v>0.9987018155982994</v>
      </c>
      <c r="F3" s="20">
        <f>B3/B2-1</f>
        <v/>
      </c>
      <c r="G3" s="20">
        <f>B3/MAX(B$2:B3)-1</f>
        <v/>
      </c>
      <c r="H3" s="20">
        <f>C3/C2-1</f>
        <v/>
      </c>
      <c r="I3" s="20">
        <f>C3/MAX(C$2:C3)-1</f>
        <v/>
      </c>
      <c r="J3" s="20">
        <f>D3/D2-1</f>
        <v/>
      </c>
      <c r="K3" s="20">
        <f>D3/MAX(D$2:D3)-1</f>
        <v/>
      </c>
      <c r="L3" s="20">
        <f>E3/E2-1</f>
        <v/>
      </c>
      <c r="M3" s="20">
        <f>E3/MAX(E$2:E3)-1</f>
        <v/>
      </c>
    </row>
    <row r="4">
      <c r="A4" s="11" t="n">
        <v>43663</v>
      </c>
      <c r="B4" s="19" t="n">
        <v>1.00931698105392</v>
      </c>
      <c r="C4" s="19" t="n">
        <v>1.005265581893913</v>
      </c>
      <c r="D4" s="19" t="n">
        <v>1.001776838379244</v>
      </c>
      <c r="E4" s="19" t="n">
        <v>0.9986013829941564</v>
      </c>
      <c r="F4" s="20">
        <f>B4/B3-1</f>
        <v/>
      </c>
      <c r="G4" s="20">
        <f>B4/MAX(B$2:B4)-1</f>
        <v/>
      </c>
      <c r="H4" s="20">
        <f>C4/C3-1</f>
        <v/>
      </c>
      <c r="I4" s="20">
        <f>C4/MAX(C$2:C4)-1</f>
        <v/>
      </c>
      <c r="J4" s="20">
        <f>D4/D3-1</f>
        <v/>
      </c>
      <c r="K4" s="20">
        <f>D4/MAX(D$2:D4)-1</f>
        <v/>
      </c>
      <c r="L4" s="20">
        <f>E4/E3-1</f>
        <v/>
      </c>
      <c r="M4" s="20">
        <f>E4/MAX(E$2:E4)-1</f>
        <v/>
      </c>
    </row>
    <row r="5">
      <c r="A5" s="11" t="n">
        <v>43664</v>
      </c>
      <c r="B5" s="19" t="n">
        <v>0.9970257742907255</v>
      </c>
      <c r="C5" s="19" t="n">
        <v>0.9887327100663951</v>
      </c>
      <c r="D5" s="19" t="n">
        <v>0.9851444395252967</v>
      </c>
      <c r="E5" s="19" t="n">
        <v>0.9858204041854358</v>
      </c>
      <c r="F5" s="20">
        <f>B5/B4-1</f>
        <v/>
      </c>
      <c r="G5" s="20">
        <f>B5/MAX(B$2:B5)-1</f>
        <v/>
      </c>
      <c r="H5" s="20">
        <f>C5/C4-1</f>
        <v/>
      </c>
      <c r="I5" s="20">
        <f>C5/MAX(C$2:C5)-1</f>
        <v/>
      </c>
      <c r="J5" s="20">
        <f>D5/D4-1</f>
        <v/>
      </c>
      <c r="K5" s="20">
        <f>D5/MAX(D$2:D5)-1</f>
        <v/>
      </c>
      <c r="L5" s="20">
        <f>E5/E4-1</f>
        <v/>
      </c>
      <c r="M5" s="20">
        <f>E5/MAX(E$2:E5)-1</f>
        <v/>
      </c>
    </row>
    <row r="6">
      <c r="A6" s="11" t="n">
        <v>43665</v>
      </c>
      <c r="B6" s="19" t="n">
        <v>1.001781363661066</v>
      </c>
      <c r="C6" s="19" t="n">
        <v>0.993558751923709</v>
      </c>
      <c r="D6" s="19" t="n">
        <v>0.996454659441357</v>
      </c>
      <c r="E6" s="19" t="n">
        <v>0.9942976599203235</v>
      </c>
      <c r="F6" s="20">
        <f>B6/B5-1</f>
        <v/>
      </c>
      <c r="G6" s="20">
        <f>B6/MAX(B$2:B6)-1</f>
        <v/>
      </c>
      <c r="H6" s="20">
        <f>C6/C5-1</f>
        <v/>
      </c>
      <c r="I6" s="20">
        <f>C6/MAX(C$2:C6)-1</f>
        <v/>
      </c>
      <c r="J6" s="20">
        <f>D6/D5-1</f>
        <v/>
      </c>
      <c r="K6" s="20">
        <f>D6/MAX(D$2:D6)-1</f>
        <v/>
      </c>
      <c r="L6" s="20">
        <f>E6/E5-1</f>
        <v/>
      </c>
      <c r="M6" s="20">
        <f>E6/MAX(E$2:E6)-1</f>
        <v/>
      </c>
    </row>
    <row r="7">
      <c r="A7" s="11" t="n">
        <v>43668</v>
      </c>
      <c r="B7" s="19" t="n">
        <v>0.9899748762778791</v>
      </c>
      <c r="C7" s="19" t="n">
        <v>0.9866292382628788</v>
      </c>
      <c r="D7" s="19" t="n">
        <v>0.9796426768713816</v>
      </c>
      <c r="E7" s="19" t="n">
        <v>0.9788868347734874</v>
      </c>
      <c r="F7" s="20">
        <f>B7/B6-1</f>
        <v/>
      </c>
      <c r="G7" s="20">
        <f>B7/MAX(B$2:B7)-1</f>
        <v/>
      </c>
      <c r="H7" s="20">
        <f>C7/C6-1</f>
        <v/>
      </c>
      <c r="I7" s="20">
        <f>C7/MAX(C$2:C7)-1</f>
        <v/>
      </c>
      <c r="J7" s="20">
        <f>D7/D6-1</f>
        <v/>
      </c>
      <c r="K7" s="20">
        <f>D7/MAX(D$2:D7)-1</f>
        <v/>
      </c>
      <c r="L7" s="20">
        <f>E7/E6-1</f>
        <v/>
      </c>
      <c r="M7" s="20">
        <f>E7/MAX(E$2:E7)-1</f>
        <v/>
      </c>
    </row>
    <row r="8">
      <c r="A8" s="11" t="n">
        <v>43669</v>
      </c>
      <c r="B8" s="19" t="n">
        <v>1.000966169372736</v>
      </c>
      <c r="C8" s="19" t="n">
        <v>0.998368535898295</v>
      </c>
      <c r="D8" s="19" t="n">
        <v>0.9918954043434961</v>
      </c>
      <c r="E8" s="19" t="n">
        <v>0.9854447118514192</v>
      </c>
      <c r="F8" s="20">
        <f>B8/B7-1</f>
        <v/>
      </c>
      <c r="G8" s="20">
        <f>B8/MAX(B$2:B8)-1</f>
        <v/>
      </c>
      <c r="H8" s="20">
        <f>C8/C7-1</f>
        <v/>
      </c>
      <c r="I8" s="20">
        <f>C8/MAX(C$2:C8)-1</f>
        <v/>
      </c>
      <c r="J8" s="20">
        <f>D8/D7-1</f>
        <v/>
      </c>
      <c r="K8" s="20">
        <f>D8/MAX(D$2:D8)-1</f>
        <v/>
      </c>
      <c r="L8" s="20">
        <f>E8/E7-1</f>
        <v/>
      </c>
      <c r="M8" s="20">
        <f>E8/MAX(E$2:E8)-1</f>
        <v/>
      </c>
    </row>
    <row r="9">
      <c r="A9" s="11" t="n">
        <v>43670</v>
      </c>
      <c r="B9" s="19" t="n">
        <v>1.01147443895248</v>
      </c>
      <c r="C9" s="19" t="n">
        <v>1.012291969447687</v>
      </c>
      <c r="D9" s="19" t="n">
        <v>1.004038856513774</v>
      </c>
      <c r="E9" s="19" t="n">
        <v>0.9948072623931974</v>
      </c>
      <c r="F9" s="20">
        <f>B9/B8-1</f>
        <v/>
      </c>
      <c r="G9" s="20">
        <f>B9/MAX(B$2:B9)-1</f>
        <v/>
      </c>
      <c r="H9" s="20">
        <f>C9/C8-1</f>
        <v/>
      </c>
      <c r="I9" s="20">
        <f>C9/MAX(C$2:C9)-1</f>
        <v/>
      </c>
      <c r="J9" s="20">
        <f>D9/D8-1</f>
        <v/>
      </c>
      <c r="K9" s="20">
        <f>D9/MAX(D$2:D9)-1</f>
        <v/>
      </c>
      <c r="L9" s="20">
        <f>E9/E8-1</f>
        <v/>
      </c>
      <c r="M9" s="20">
        <f>E9/MAX(E$2:E9)-1</f>
        <v/>
      </c>
    </row>
    <row r="10">
      <c r="A10" s="11" t="n">
        <v>43671</v>
      </c>
      <c r="B10" s="19" t="n">
        <v>1.022517020886532</v>
      </c>
      <c r="C10" s="19" t="n">
        <v>1.023270802213477</v>
      </c>
      <c r="D10" s="19" t="n">
        <v>1.012025711425188</v>
      </c>
      <c r="E10" s="19" t="n">
        <v>1.000974568232795</v>
      </c>
      <c r="F10" s="20">
        <f>B10/B9-1</f>
        <v/>
      </c>
      <c r="G10" s="20">
        <f>B10/MAX(B$2:B10)-1</f>
        <v/>
      </c>
      <c r="H10" s="20">
        <f>C10/C9-1</f>
        <v/>
      </c>
      <c r="I10" s="20">
        <f>C10/MAX(C$2:C10)-1</f>
        <v/>
      </c>
      <c r="J10" s="20">
        <f>D10/D9-1</f>
        <v/>
      </c>
      <c r="K10" s="20">
        <f>D10/MAX(D$2:D10)-1</f>
        <v/>
      </c>
      <c r="L10" s="20">
        <f>E10/E9-1</f>
        <v/>
      </c>
      <c r="M10" s="20">
        <f>E10/MAX(E$2:E10)-1</f>
        <v/>
      </c>
    </row>
    <row r="11">
      <c r="A11" s="11" t="n">
        <v>43672</v>
      </c>
      <c r="B11" s="19" t="n">
        <v>1.0222457351583</v>
      </c>
      <c r="C11" s="19" t="n">
        <v>1.029696417710222</v>
      </c>
      <c r="D11" s="19" t="n">
        <v>1.009297447694708</v>
      </c>
      <c r="E11" s="19" t="n">
        <v>1.002774915655211</v>
      </c>
      <c r="F11" s="20">
        <f>B11/B10-1</f>
        <v/>
      </c>
      <c r="G11" s="20">
        <f>B11/MAX(B$2:B11)-1</f>
        <v/>
      </c>
      <c r="H11" s="20">
        <f>C11/C10-1</f>
        <v/>
      </c>
      <c r="I11" s="20">
        <f>C11/MAX(C$2:C11)-1</f>
        <v/>
      </c>
      <c r="J11" s="20">
        <f>D11/D10-1</f>
        <v/>
      </c>
      <c r="K11" s="20">
        <f>D11/MAX(D$2:D11)-1</f>
        <v/>
      </c>
      <c r="L11" s="20">
        <f>E11/E10-1</f>
        <v/>
      </c>
      <c r="M11" s="20">
        <f>E11/MAX(E$2:E11)-1</f>
        <v/>
      </c>
    </row>
    <row r="12">
      <c r="A12" s="11" t="n">
        <v>43675</v>
      </c>
      <c r="B12" s="19" t="n">
        <v>1.026376728511457</v>
      </c>
      <c r="C12" s="19" t="n">
        <v>1.029329893845165</v>
      </c>
      <c r="D12" s="19" t="n">
        <v>1.012314764308166</v>
      </c>
      <c r="E12" s="19" t="n">
        <v>1.001971454822067</v>
      </c>
      <c r="F12" s="20">
        <f>B12/B11-1</f>
        <v/>
      </c>
      <c r="G12" s="20">
        <f>B12/MAX(B$2:B12)-1</f>
        <v/>
      </c>
      <c r="H12" s="20">
        <f>C12/C11-1</f>
        <v/>
      </c>
      <c r="I12" s="20">
        <f>C12/MAX(C$2:C12)-1</f>
        <v/>
      </c>
      <c r="J12" s="20">
        <f>D12/D11-1</f>
        <v/>
      </c>
      <c r="K12" s="20">
        <f>D12/MAX(D$2:D12)-1</f>
        <v/>
      </c>
      <c r="L12" s="20">
        <f>E12/E11-1</f>
        <v/>
      </c>
      <c r="M12" s="20">
        <f>E12/MAX(E$2:E12)-1</f>
        <v/>
      </c>
    </row>
    <row r="13">
      <c r="A13" s="11" t="n">
        <v>43676</v>
      </c>
      <c r="B13" s="19" t="n">
        <v>1.025677188772157</v>
      </c>
      <c r="C13" s="19" t="n">
        <v>1.029330519148347</v>
      </c>
      <c r="D13" s="19" t="n">
        <v>1.021106030193716</v>
      </c>
      <c r="E13" s="19" t="n">
        <v>1.006178465017836</v>
      </c>
      <c r="F13" s="20">
        <f>B13/B12-1</f>
        <v/>
      </c>
      <c r="G13" s="20">
        <f>B13/MAX(B$2:B13)-1</f>
        <v/>
      </c>
      <c r="H13" s="20">
        <f>C13/C12-1</f>
        <v/>
      </c>
      <c r="I13" s="20">
        <f>C13/MAX(C$2:C13)-1</f>
        <v/>
      </c>
      <c r="J13" s="20">
        <f>D13/D12-1</f>
        <v/>
      </c>
      <c r="K13" s="20">
        <f>D13/MAX(D$2:D13)-1</f>
        <v/>
      </c>
      <c r="L13" s="20">
        <f>E13/E12-1</f>
        <v/>
      </c>
      <c r="M13" s="20">
        <f>E13/MAX(E$2:E13)-1</f>
        <v/>
      </c>
    </row>
    <row r="14">
      <c r="A14" s="11" t="n">
        <v>43677</v>
      </c>
      <c r="B14" s="19" t="n">
        <v>1.023935951523445</v>
      </c>
      <c r="C14" s="19" t="n">
        <v>1.025290820092338</v>
      </c>
      <c r="D14" s="19" t="n">
        <v>1.014814978044453</v>
      </c>
      <c r="E14" s="19" t="n">
        <v>0.9986311408027914</v>
      </c>
      <c r="F14" s="20">
        <f>B14/B13-1</f>
        <v/>
      </c>
      <c r="G14" s="20">
        <f>B14/MAX(B$2:B14)-1</f>
        <v/>
      </c>
      <c r="H14" s="20">
        <f>C14/C13-1</f>
        <v/>
      </c>
      <c r="I14" s="20">
        <f>C14/MAX(C$2:C14)-1</f>
        <v/>
      </c>
      <c r="J14" s="20">
        <f>D14/D13-1</f>
        <v/>
      </c>
      <c r="K14" s="20">
        <f>D14/MAX(D$2:D14)-1</f>
        <v/>
      </c>
      <c r="L14" s="20">
        <f>E14/E13-1</f>
        <v/>
      </c>
      <c r="M14" s="20">
        <f>E14/MAX(E$2:E14)-1</f>
        <v/>
      </c>
    </row>
    <row r="15">
      <c r="A15" s="11" t="n">
        <v>43678</v>
      </c>
      <c r="B15" s="19" t="n">
        <v>1.017701802243578</v>
      </c>
      <c r="C15" s="19" t="n">
        <v>1.018539036835889</v>
      </c>
      <c r="D15" s="19" t="n">
        <v>1.017058837480098</v>
      </c>
      <c r="E15" s="19" t="n">
        <v>0.9919393535860019</v>
      </c>
      <c r="F15" s="20">
        <f>B15/B14-1</f>
        <v/>
      </c>
      <c r="G15" s="20">
        <f>B15/MAX(B$2:B15)-1</f>
        <v/>
      </c>
      <c r="H15" s="20">
        <f>C15/C14-1</f>
        <v/>
      </c>
      <c r="I15" s="20">
        <f>C15/MAX(C$2:C15)-1</f>
        <v/>
      </c>
      <c r="J15" s="20">
        <f>D15/D14-1</f>
        <v/>
      </c>
      <c r="K15" s="20">
        <f>D15/MAX(D$2:D15)-1</f>
        <v/>
      </c>
      <c r="L15" s="20">
        <f>E15/E14-1</f>
        <v/>
      </c>
      <c r="M15" s="20">
        <f>E15/MAX(E$2:E15)-1</f>
        <v/>
      </c>
    </row>
    <row r="16">
      <c r="A16" s="11" t="n">
        <v>43679</v>
      </c>
      <c r="B16" s="19" t="n">
        <v>0.9998668319085169</v>
      </c>
      <c r="C16" s="19" t="n">
        <v>0.9978017707143103</v>
      </c>
      <c r="D16" s="19" t="n">
        <v>1.005994632392004</v>
      </c>
      <c r="E16" s="19" t="n">
        <v>0.9775551728370724</v>
      </c>
      <c r="F16" s="20">
        <f>B16/B15-1</f>
        <v/>
      </c>
      <c r="G16" s="20">
        <f>B16/MAX(B$2:B16)-1</f>
        <v/>
      </c>
      <c r="H16" s="20">
        <f>C16/C15-1</f>
        <v/>
      </c>
      <c r="I16" s="20">
        <f>C16/MAX(C$2:C16)-1</f>
        <v/>
      </c>
      <c r="J16" s="20">
        <f>D16/D15-1</f>
        <v/>
      </c>
      <c r="K16" s="20">
        <f>D16/MAX(D$2:D16)-1</f>
        <v/>
      </c>
      <c r="L16" s="20">
        <f>E16/E15-1</f>
        <v/>
      </c>
      <c r="M16" s="20">
        <f>E16/MAX(E$2:E16)-1</f>
        <v/>
      </c>
    </row>
    <row r="17">
      <c r="A17" s="11" t="n">
        <v>43682</v>
      </c>
      <c r="B17" s="19" t="n">
        <v>0.9820622789320034</v>
      </c>
      <c r="C17" s="19" t="n">
        <v>0.9753715202779809</v>
      </c>
      <c r="D17" s="19" t="n">
        <v>0.9895989428406163</v>
      </c>
      <c r="E17" s="19" t="n">
        <v>0.9625014413938557</v>
      </c>
      <c r="F17" s="20">
        <f>B17/B16-1</f>
        <v/>
      </c>
      <c r="G17" s="20">
        <f>B17/MAX(B$2:B17)-1</f>
        <v/>
      </c>
      <c r="H17" s="20">
        <f>C17/C16-1</f>
        <v/>
      </c>
      <c r="I17" s="20">
        <f>C17/MAX(C$2:C17)-1</f>
        <v/>
      </c>
      <c r="J17" s="20">
        <f>D17/D16-1</f>
        <v/>
      </c>
      <c r="K17" s="20">
        <f>D17/MAX(D$2:D17)-1</f>
        <v/>
      </c>
      <c r="L17" s="20">
        <f>E17/E16-1</f>
        <v/>
      </c>
      <c r="M17" s="20">
        <f>E17/MAX(E$2:E17)-1</f>
        <v/>
      </c>
    </row>
    <row r="18">
      <c r="A18" s="11" t="n">
        <v>43683</v>
      </c>
      <c r="B18" s="19" t="n">
        <v>0.9700053037157186</v>
      </c>
      <c r="C18" s="19" t="n">
        <v>0.9602104674309634</v>
      </c>
      <c r="D18" s="19" t="n">
        <v>0.9744374632181337</v>
      </c>
      <c r="E18" s="19" t="n">
        <v>0.9457552345845253</v>
      </c>
      <c r="F18" s="20">
        <f>B18/B17-1</f>
        <v/>
      </c>
      <c r="G18" s="20">
        <f>B18/MAX(B$2:B18)-1</f>
        <v/>
      </c>
      <c r="H18" s="20">
        <f>C18/C17-1</f>
        <v/>
      </c>
      <c r="I18" s="20">
        <f>C18/MAX(C$2:C18)-1</f>
        <v/>
      </c>
      <c r="J18" s="20">
        <f>D18/D17-1</f>
        <v/>
      </c>
      <c r="K18" s="20">
        <f>D18/MAX(D$2:D18)-1</f>
        <v/>
      </c>
      <c r="L18" s="20">
        <f>E18/E17-1</f>
        <v/>
      </c>
      <c r="M18" s="20">
        <f>E18/MAX(E$2:E18)-1</f>
        <v/>
      </c>
    </row>
    <row r="19">
      <c r="A19" s="11" t="n">
        <v>43684</v>
      </c>
      <c r="B19" s="19" t="n">
        <v>0.9663943084644261</v>
      </c>
      <c r="C19" s="19" t="n">
        <v>0.9561914033799561</v>
      </c>
      <c r="D19" s="19" t="n">
        <v>0.9694880222701903</v>
      </c>
      <c r="E19" s="19" t="n">
        <v>0.9421619791918524</v>
      </c>
      <c r="F19" s="20">
        <f>B19/B18-1</f>
        <v/>
      </c>
      <c r="G19" s="20">
        <f>B19/MAX(B$2:B19)-1</f>
        <v/>
      </c>
      <c r="H19" s="20">
        <f>C19/C18-1</f>
        <v/>
      </c>
      <c r="I19" s="20">
        <f>C19/MAX(C$2:C19)-1</f>
        <v/>
      </c>
      <c r="J19" s="20">
        <f>D19/D18-1</f>
        <v/>
      </c>
      <c r="K19" s="20">
        <f>D19/MAX(D$2:D19)-1</f>
        <v/>
      </c>
      <c r="L19" s="20">
        <f>E19/E18-1</f>
        <v/>
      </c>
      <c r="M19" s="20">
        <f>E19/MAX(E$2:E19)-1</f>
        <v/>
      </c>
    </row>
    <row r="20">
      <c r="A20" s="11" t="n">
        <v>43685</v>
      </c>
      <c r="B20" s="19" t="n">
        <v>0.979631939860883</v>
      </c>
      <c r="C20" s="19" t="n">
        <v>0.9717775180899008</v>
      </c>
      <c r="D20" s="19" t="n">
        <v>0.98417188287678</v>
      </c>
      <c r="E20" s="19" t="n">
        <v>0.9519597376849168</v>
      </c>
      <c r="F20" s="20">
        <f>B20/B19-1</f>
        <v/>
      </c>
      <c r="G20" s="20">
        <f>B20/MAX(B$2:B20)-1</f>
        <v/>
      </c>
      <c r="H20" s="20">
        <f>C20/C19-1</f>
        <v/>
      </c>
      <c r="I20" s="20">
        <f>C20/MAX(C$2:C20)-1</f>
        <v/>
      </c>
      <c r="J20" s="20">
        <f>D20/D19-1</f>
        <v/>
      </c>
      <c r="K20" s="20">
        <f>D20/MAX(D$2:D20)-1</f>
        <v/>
      </c>
      <c r="L20" s="20">
        <f>E20/E19-1</f>
        <v/>
      </c>
      <c r="M20" s="20">
        <f>E20/MAX(E$2:E20)-1</f>
        <v/>
      </c>
    </row>
    <row r="21">
      <c r="A21" s="11" t="n">
        <v>43686</v>
      </c>
      <c r="B21" s="19" t="n">
        <v>0.9699105019200267</v>
      </c>
      <c r="C21" s="19" t="n">
        <v>0.9608674686741143</v>
      </c>
      <c r="D21" s="19" t="n">
        <v>0.9743053118330031</v>
      </c>
      <c r="E21" s="19" t="n">
        <v>0.9420578268616299</v>
      </c>
      <c r="F21" s="20">
        <f>B21/B20-1</f>
        <v/>
      </c>
      <c r="G21" s="20">
        <f>B21/MAX(B$2:B21)-1</f>
        <v/>
      </c>
      <c r="H21" s="20">
        <f>C21/C20-1</f>
        <v/>
      </c>
      <c r="I21" s="20">
        <f>C21/MAX(C$2:C21)-1</f>
        <v/>
      </c>
      <c r="J21" s="20">
        <f>D21/D20-1</f>
        <v/>
      </c>
      <c r="K21" s="20">
        <f>D21/MAX(D$2:D21)-1</f>
        <v/>
      </c>
      <c r="L21" s="20">
        <f>E21/E20-1</f>
        <v/>
      </c>
      <c r="M21" s="20">
        <f>E21/MAX(E$2:E21)-1</f>
        <v/>
      </c>
    </row>
    <row r="22">
      <c r="A22" s="11" t="n">
        <v>43689</v>
      </c>
      <c r="B22" s="19" t="n">
        <v>0.9894674750635444</v>
      </c>
      <c r="C22" s="19" t="n">
        <v>0.984256645589941</v>
      </c>
      <c r="D22" s="19" t="n">
        <v>0.9951182179763752</v>
      </c>
      <c r="E22" s="19" t="n">
        <v>0.9585436528454045</v>
      </c>
      <c r="F22" s="20">
        <f>B22/B21-1</f>
        <v/>
      </c>
      <c r="G22" s="20">
        <f>B22/MAX(B$2:B22)-1</f>
        <v/>
      </c>
      <c r="H22" s="20">
        <f>C22/C21-1</f>
        <v/>
      </c>
      <c r="I22" s="20">
        <f>C22/MAX(C$2:C22)-1</f>
        <v/>
      </c>
      <c r="J22" s="20">
        <f>D22/D21-1</f>
        <v/>
      </c>
      <c r="K22" s="20">
        <f>D22/MAX(D$2:D22)-1</f>
        <v/>
      </c>
      <c r="L22" s="20">
        <f>E22/E21-1</f>
        <v/>
      </c>
      <c r="M22" s="20">
        <f>E22/MAX(E$2:E22)-1</f>
        <v/>
      </c>
    </row>
    <row r="23">
      <c r="A23" s="11" t="n">
        <v>43690</v>
      </c>
      <c r="B23" s="19" t="n">
        <v>0.9794192313229206</v>
      </c>
      <c r="C23" s="19" t="n">
        <v>0.9753978311118636</v>
      </c>
      <c r="D23" s="19" t="n">
        <v>0.9850657302895564</v>
      </c>
      <c r="E23" s="19" t="n">
        <v>0.9516435609681703</v>
      </c>
      <c r="F23" s="20">
        <f>B23/B22-1</f>
        <v/>
      </c>
      <c r="G23" s="20">
        <f>B23/MAX(B$2:B23)-1</f>
        <v/>
      </c>
      <c r="H23" s="20">
        <f>C23/C22-1</f>
        <v/>
      </c>
      <c r="I23" s="20">
        <f>C23/MAX(C$2:C23)-1</f>
        <v/>
      </c>
      <c r="J23" s="20">
        <f>D23/D22-1</f>
        <v/>
      </c>
      <c r="K23" s="20">
        <f>D23/MAX(D$2:D23)-1</f>
        <v/>
      </c>
      <c r="L23" s="20">
        <f>E23/E22-1</f>
        <v/>
      </c>
      <c r="M23" s="20">
        <f>E23/MAX(E$2:E23)-1</f>
        <v/>
      </c>
    </row>
    <row r="24">
      <c r="A24" s="11" t="n">
        <v>43691</v>
      </c>
      <c r="B24" s="19" t="n">
        <v>0.9853487726044451</v>
      </c>
      <c r="C24" s="19" t="n">
        <v>0.9853184103927313</v>
      </c>
      <c r="D24" s="19" t="n">
        <v>0.9930155569644523</v>
      </c>
      <c r="E24" s="19" t="n">
        <v>0.9564010906236865</v>
      </c>
      <c r="F24" s="20">
        <f>B24/B23-1</f>
        <v/>
      </c>
      <c r="G24" s="20">
        <f>B24/MAX(B$2:B24)-1</f>
        <v/>
      </c>
      <c r="H24" s="20">
        <f>C24/C23-1</f>
        <v/>
      </c>
      <c r="I24" s="20">
        <f>C24/MAX(C$2:C24)-1</f>
        <v/>
      </c>
      <c r="J24" s="20">
        <f>D24/D23-1</f>
        <v/>
      </c>
      <c r="K24" s="20">
        <f>D24/MAX(D$2:D24)-1</f>
        <v/>
      </c>
      <c r="L24" s="20">
        <f>E24/E23-1</f>
        <v/>
      </c>
      <c r="M24" s="20">
        <f>E24/MAX(E$2:E24)-1</f>
        <v/>
      </c>
    </row>
    <row r="25">
      <c r="A25" s="11" t="n">
        <v>43692</v>
      </c>
      <c r="B25" s="19" t="n">
        <v>0.9922495962908118</v>
      </c>
      <c r="C25" s="19" t="n">
        <v>0.9961570790452967</v>
      </c>
      <c r="D25" s="19" t="n">
        <v>1.005367284887433</v>
      </c>
      <c r="E25" s="19" t="n">
        <v>0.9604183947894077</v>
      </c>
      <c r="F25" s="20">
        <f>B25/B24-1</f>
        <v/>
      </c>
      <c r="G25" s="20">
        <f>B25/MAX(B$2:B25)-1</f>
        <v/>
      </c>
      <c r="H25" s="20">
        <f>C25/C24-1</f>
        <v/>
      </c>
      <c r="I25" s="20">
        <f>C25/MAX(C$2:C25)-1</f>
        <v/>
      </c>
      <c r="J25" s="20">
        <f>D25/D24-1</f>
        <v/>
      </c>
      <c r="K25" s="20">
        <f>D25/MAX(D$2:D25)-1</f>
        <v/>
      </c>
      <c r="L25" s="20">
        <f>E25/E24-1</f>
        <v/>
      </c>
      <c r="M25" s="20">
        <f>E25/MAX(E$2:E25)-1</f>
        <v/>
      </c>
    </row>
    <row r="26">
      <c r="A26" s="11" t="n">
        <v>43693</v>
      </c>
      <c r="B26" s="19" t="n">
        <v>0.9986907503571286</v>
      </c>
      <c r="C26" s="19" t="n">
        <v>0.9993619983535287</v>
      </c>
      <c r="D26" s="19" t="n">
        <v>1.013263669412938</v>
      </c>
      <c r="E26" s="19" t="n">
        <v>0.9648374293717011</v>
      </c>
      <c r="F26" s="20">
        <f>B26/B25-1</f>
        <v/>
      </c>
      <c r="G26" s="20">
        <f>B26/MAX(B$2:B26)-1</f>
        <v/>
      </c>
      <c r="H26" s="20">
        <f>C26/C25-1</f>
        <v/>
      </c>
      <c r="I26" s="20">
        <f>C26/MAX(C$2:C26)-1</f>
        <v/>
      </c>
      <c r="J26" s="20">
        <f>D26/D25-1</f>
        <v/>
      </c>
      <c r="K26" s="20">
        <f>D26/MAX(D$2:D26)-1</f>
        <v/>
      </c>
      <c r="L26" s="20">
        <f>E26/E25-1</f>
        <v/>
      </c>
      <c r="M26" s="20">
        <f>E26/MAX(E$2:E26)-1</f>
        <v/>
      </c>
    </row>
    <row r="27">
      <c r="A27" s="11" t="n">
        <v>43696</v>
      </c>
      <c r="B27" s="19" t="n">
        <v>1.029448060423913</v>
      </c>
      <c r="C27" s="19" t="n">
        <v>1.030698538209512</v>
      </c>
      <c r="D27" s="19" t="n">
        <v>1.048709255773158</v>
      </c>
      <c r="E27" s="19" t="n">
        <v>0.9898265491729189</v>
      </c>
      <c r="F27" s="20">
        <f>B27/B26-1</f>
        <v/>
      </c>
      <c r="G27" s="20">
        <f>B27/MAX(B$2:B27)-1</f>
        <v/>
      </c>
      <c r="H27" s="20">
        <f>C27/C26-1</f>
        <v/>
      </c>
      <c r="I27" s="20">
        <f>C27/MAX(C$2:C27)-1</f>
        <v/>
      </c>
      <c r="J27" s="20">
        <f>D27/D26-1</f>
        <v/>
      </c>
      <c r="K27" s="20">
        <f>D27/MAX(D$2:D27)-1</f>
        <v/>
      </c>
      <c r="L27" s="20">
        <f>E27/E26-1</f>
        <v/>
      </c>
      <c r="M27" s="20">
        <f>E27/MAX(E$2:E27)-1</f>
        <v/>
      </c>
    </row>
    <row r="28">
      <c r="A28" s="11" t="n">
        <v>43697</v>
      </c>
      <c r="B28" s="19" t="n">
        <v>1.033519236032248</v>
      </c>
      <c r="C28" s="19" t="n">
        <v>1.027191741765178</v>
      </c>
      <c r="D28" s="19" t="n">
        <v>1.041438538587914</v>
      </c>
      <c r="E28" s="19" t="n">
        <v>0.9898265491729189</v>
      </c>
      <c r="F28" s="20">
        <f>B28/B27-1</f>
        <v/>
      </c>
      <c r="G28" s="20">
        <f>B28/MAX(B$2:B28)-1</f>
        <v/>
      </c>
      <c r="H28" s="20">
        <f>C28/C27-1</f>
        <v/>
      </c>
      <c r="I28" s="20">
        <f>C28/MAX(C$2:C28)-1</f>
        <v/>
      </c>
      <c r="J28" s="20">
        <f>D28/D27-1</f>
        <v/>
      </c>
      <c r="K28" s="20">
        <f>D28/MAX(D$2:D28)-1</f>
        <v/>
      </c>
      <c r="L28" s="20">
        <f>E28/E27-1</f>
        <v/>
      </c>
      <c r="M28" s="20">
        <f>E28/MAX(E$2:E28)-1</f>
        <v/>
      </c>
    </row>
    <row r="29">
      <c r="A29" s="11" t="n">
        <v>43698</v>
      </c>
      <c r="B29" s="19" t="n">
        <v>1.038661116756235</v>
      </c>
      <c r="C29" s="19" t="n">
        <v>1.02843417108728</v>
      </c>
      <c r="D29" s="19" t="n">
        <v>1.040301713567269</v>
      </c>
      <c r="E29" s="19" t="n">
        <v>0.9893318256043625</v>
      </c>
      <c r="F29" s="20">
        <f>B29/B28-1</f>
        <v/>
      </c>
      <c r="G29" s="20">
        <f>B29/MAX(B$2:B29)-1</f>
        <v/>
      </c>
      <c r="H29" s="20">
        <f>C29/C28-1</f>
        <v/>
      </c>
      <c r="I29" s="20">
        <f>C29/MAX(C$2:C29)-1</f>
        <v/>
      </c>
      <c r="J29" s="20">
        <f>D29/D28-1</f>
        <v/>
      </c>
      <c r="K29" s="20">
        <f>D29/MAX(D$2:D29)-1</f>
        <v/>
      </c>
      <c r="L29" s="20">
        <f>E29/E28-1</f>
        <v/>
      </c>
      <c r="M29" s="20">
        <f>E29/MAX(E$2:E29)-1</f>
        <v/>
      </c>
    </row>
    <row r="30">
      <c r="A30" s="11" t="n">
        <v>43699</v>
      </c>
      <c r="B30" s="19" t="n">
        <v>1.039299450175135</v>
      </c>
      <c r="C30" s="19" t="n">
        <v>1.029113923746201</v>
      </c>
      <c r="D30" s="19" t="n">
        <v>1.042643733371624</v>
      </c>
      <c r="E30" s="19" t="n">
        <v>0.992199734411558</v>
      </c>
      <c r="F30" s="20">
        <f>B30/B29-1</f>
        <v/>
      </c>
      <c r="G30" s="20">
        <f>B30/MAX(B$2:B30)-1</f>
        <v/>
      </c>
      <c r="H30" s="20">
        <f>C30/C29-1</f>
        <v/>
      </c>
      <c r="I30" s="20">
        <f>C30/MAX(C$2:C30)-1</f>
        <v/>
      </c>
      <c r="J30" s="20">
        <f>D30/D29-1</f>
        <v/>
      </c>
      <c r="K30" s="20">
        <f>D30/MAX(D$2:D30)-1</f>
        <v/>
      </c>
      <c r="L30" s="20">
        <f>E30/E29-1</f>
        <v/>
      </c>
      <c r="M30" s="20">
        <f>E30/MAX(E$2:E30)-1</f>
        <v/>
      </c>
    </row>
    <row r="31">
      <c r="A31" s="11" t="n">
        <v>43700</v>
      </c>
      <c r="B31" s="19" t="n">
        <v>1.04645075885924</v>
      </c>
      <c r="C31" s="19" t="n">
        <v>1.038138491667715</v>
      </c>
      <c r="D31" s="19" t="n">
        <v>1.044001887729224</v>
      </c>
      <c r="E31" s="19" t="n">
        <v>0.9953763804833413</v>
      </c>
      <c r="F31" s="20">
        <f>B31/B30-1</f>
        <v/>
      </c>
      <c r="G31" s="20">
        <f>B31/MAX(B$2:B31)-1</f>
        <v/>
      </c>
      <c r="H31" s="20">
        <f>C31/C30-1</f>
        <v/>
      </c>
      <c r="I31" s="20">
        <f>C31/MAX(C$2:C31)-1</f>
        <v/>
      </c>
      <c r="J31" s="20">
        <f>D31/D30-1</f>
        <v/>
      </c>
      <c r="K31" s="20">
        <f>D31/MAX(D$2:D31)-1</f>
        <v/>
      </c>
      <c r="L31" s="20">
        <f>E31/E30-1</f>
        <v/>
      </c>
      <c r="M31" s="20">
        <f>E31/MAX(E$2:E31)-1</f>
        <v/>
      </c>
    </row>
    <row r="32">
      <c r="A32" s="11" t="n">
        <v>43703</v>
      </c>
      <c r="B32" s="19" t="n">
        <v>1.039201790284488</v>
      </c>
      <c r="C32" s="19" t="n">
        <v>1.024261090052557</v>
      </c>
      <c r="D32" s="19" t="n">
        <v>1.034461139318126</v>
      </c>
      <c r="E32" s="19" t="n">
        <v>0.9845259395098145</v>
      </c>
      <c r="F32" s="20">
        <f>B32/B31-1</f>
        <v/>
      </c>
      <c r="G32" s="20">
        <f>B32/MAX(B$2:B32)-1</f>
        <v/>
      </c>
      <c r="H32" s="20">
        <f>C32/C31-1</f>
        <v/>
      </c>
      <c r="I32" s="20">
        <f>C32/MAX(C$2:C32)-1</f>
        <v/>
      </c>
      <c r="J32" s="20">
        <f>D32/D31-1</f>
        <v/>
      </c>
      <c r="K32" s="20">
        <f>D32/MAX(D$2:D32)-1</f>
        <v/>
      </c>
      <c r="L32" s="20">
        <f>E32/E31-1</f>
        <v/>
      </c>
      <c r="M32" s="20">
        <f>E32/MAX(E$2:E32)-1</f>
        <v/>
      </c>
    </row>
    <row r="33">
      <c r="A33" s="11" t="n">
        <v>43704</v>
      </c>
      <c r="B33" s="19" t="n">
        <v>1.055049130108479</v>
      </c>
      <c r="C33" s="19" t="n">
        <v>1.043633896531083</v>
      </c>
      <c r="D33" s="19" t="n">
        <v>1.052119795456797</v>
      </c>
      <c r="E33" s="19" t="n">
        <v>0.9994903975271261</v>
      </c>
      <c r="F33" s="20">
        <f>B33/B32-1</f>
        <v/>
      </c>
      <c r="G33" s="20">
        <f>B33/MAX(B$2:B33)-1</f>
        <v/>
      </c>
      <c r="H33" s="20">
        <f>C33/C32-1</f>
        <v/>
      </c>
      <c r="I33" s="20">
        <f>C33/MAX(C$2:C33)-1</f>
        <v/>
      </c>
      <c r="J33" s="20">
        <f>D33/D32-1</f>
        <v/>
      </c>
      <c r="K33" s="20">
        <f>D33/MAX(D$2:D33)-1</f>
        <v/>
      </c>
      <c r="L33" s="20">
        <f>E33/E32-1</f>
        <v/>
      </c>
      <c r="M33" s="20">
        <f>E33/MAX(E$2:E33)-1</f>
        <v/>
      </c>
    </row>
    <row r="34">
      <c r="A34" s="11" t="n">
        <v>43705</v>
      </c>
      <c r="B34" s="19" t="n">
        <v>1.046510913444749</v>
      </c>
      <c r="C34" s="19" t="n">
        <v>1.040642975211779</v>
      </c>
      <c r="D34" s="19" t="n">
        <v>1.050224247006901</v>
      </c>
      <c r="E34" s="19" t="n">
        <v>0.9967935961195818</v>
      </c>
      <c r="F34" s="20">
        <f>B34/B33-1</f>
        <v/>
      </c>
      <c r="G34" s="20">
        <f>B34/MAX(B$2:B34)-1</f>
        <v/>
      </c>
      <c r="H34" s="20">
        <f>C34/C33-1</f>
        <v/>
      </c>
      <c r="I34" s="20">
        <f>C34/MAX(C$2:C34)-1</f>
        <v/>
      </c>
      <c r="J34" s="20">
        <f>D34/D33-1</f>
        <v/>
      </c>
      <c r="K34" s="20">
        <f>D34/MAX(D$2:D34)-1</f>
        <v/>
      </c>
      <c r="L34" s="20">
        <f>E34/E33-1</f>
        <v/>
      </c>
      <c r="M34" s="20">
        <f>E34/MAX(E$2:E34)-1</f>
        <v/>
      </c>
    </row>
    <row r="35">
      <c r="A35" s="11" t="n">
        <v>43706</v>
      </c>
      <c r="B35" s="19" t="n">
        <v>1.054722498686876</v>
      </c>
      <c r="C35" s="19" t="n">
        <v>1.038967162684407</v>
      </c>
      <c r="D35" s="19" t="n">
        <v>1.047427742756763</v>
      </c>
      <c r="E35" s="19" t="n">
        <v>0.9950006881493246</v>
      </c>
      <c r="F35" s="20">
        <f>B35/B34-1</f>
        <v/>
      </c>
      <c r="G35" s="20">
        <f>B35/MAX(B$2:B35)-1</f>
        <v/>
      </c>
      <c r="H35" s="20">
        <f>C35/C34-1</f>
        <v/>
      </c>
      <c r="I35" s="20">
        <f>C35/MAX(C$2:C35)-1</f>
        <v/>
      </c>
      <c r="J35" s="20">
        <f>D35/D34-1</f>
        <v/>
      </c>
      <c r="K35" s="20">
        <f>D35/MAX(D$2:D35)-1</f>
        <v/>
      </c>
      <c r="L35" s="20">
        <f>E35/E34-1</f>
        <v/>
      </c>
      <c r="M35" s="20">
        <f>E35/MAX(E$2:E35)-1</f>
        <v/>
      </c>
    </row>
    <row r="36">
      <c r="A36" s="11" t="n">
        <v>43707</v>
      </c>
      <c r="B36" s="19" t="n">
        <v>1.052764088675888</v>
      </c>
      <c r="C36" s="19" t="n">
        <v>1.038632048279178</v>
      </c>
      <c r="D36" s="19" t="n">
        <v>1.040989870095512</v>
      </c>
      <c r="E36" s="19" t="n">
        <v>0.9905221379497614</v>
      </c>
      <c r="F36" s="20">
        <f>B36/B35-1</f>
        <v/>
      </c>
      <c r="G36" s="20">
        <f>B36/MAX(B$2:B36)-1</f>
        <v/>
      </c>
      <c r="H36" s="20">
        <f>C36/C35-1</f>
        <v/>
      </c>
      <c r="I36" s="20">
        <f>C36/MAX(C$2:C36)-1</f>
        <v/>
      </c>
      <c r="J36" s="20">
        <f>D36/D35-1</f>
        <v/>
      </c>
      <c r="K36" s="20">
        <f>D36/MAX(D$2:D36)-1</f>
        <v/>
      </c>
      <c r="L36" s="20">
        <f>E36/E35-1</f>
        <v/>
      </c>
      <c r="M36" s="20">
        <f>E36/MAX(E$2:E36)-1</f>
        <v/>
      </c>
    </row>
    <row r="37">
      <c r="A37" s="11" t="n">
        <v>43710</v>
      </c>
      <c r="B37" s="19" t="n">
        <v>1.074600606518603</v>
      </c>
      <c r="C37" s="19" t="n">
        <v>1.062788135497428</v>
      </c>
      <c r="D37" s="19" t="n">
        <v>1.067736793472329</v>
      </c>
      <c r="E37" s="19" t="n">
        <v>1.008254072170125</v>
      </c>
      <c r="F37" s="20">
        <f>B37/B36-1</f>
        <v/>
      </c>
      <c r="G37" s="20">
        <f>B37/MAX(B$2:B37)-1</f>
        <v/>
      </c>
      <c r="H37" s="20">
        <f>C37/C36-1</f>
        <v/>
      </c>
      <c r="I37" s="20">
        <f>C37/MAX(C$2:C37)-1</f>
        <v/>
      </c>
      <c r="J37" s="20">
        <f>D37/D36-1</f>
        <v/>
      </c>
      <c r="K37" s="20">
        <f>D37/MAX(D$2:D37)-1</f>
        <v/>
      </c>
      <c r="L37" s="20">
        <f>E37/E36-1</f>
        <v/>
      </c>
      <c r="M37" s="20">
        <f>E37/MAX(E$2:E37)-1</f>
        <v/>
      </c>
    </row>
    <row r="38">
      <c r="A38" s="11" t="n">
        <v>43711</v>
      </c>
      <c r="B38" s="19" t="n">
        <v>1.080357719561918</v>
      </c>
      <c r="C38" s="19" t="n">
        <v>1.070220681517938</v>
      </c>
      <c r="D38" s="19" t="n">
        <v>1.072995901626897</v>
      </c>
      <c r="E38" s="19" t="n">
        <v>1.01248712044845</v>
      </c>
      <c r="F38" s="20">
        <f>B38/B37-1</f>
        <v/>
      </c>
      <c r="G38" s="20">
        <f>B38/MAX(B$2:B38)-1</f>
        <v/>
      </c>
      <c r="H38" s="20">
        <f>C38/C37-1</f>
        <v/>
      </c>
      <c r="I38" s="20">
        <f>C38/MAX(C$2:C38)-1</f>
        <v/>
      </c>
      <c r="J38" s="20">
        <f>D38/D37-1</f>
        <v/>
      </c>
      <c r="K38" s="20">
        <f>D38/MAX(D$2:D38)-1</f>
        <v/>
      </c>
      <c r="L38" s="20">
        <f>E38/E37-1</f>
        <v/>
      </c>
      <c r="M38" s="20">
        <f>E38/MAX(E$2:E38)-1</f>
        <v/>
      </c>
    </row>
    <row r="39">
      <c r="A39" s="11" t="n">
        <v>43712</v>
      </c>
      <c r="B39" s="19" t="n">
        <v>1.087833848470373</v>
      </c>
      <c r="C39" s="19" t="n">
        <v>1.07637424203033</v>
      </c>
      <c r="D39" s="19" t="n">
        <v>1.078801450912352</v>
      </c>
      <c r="E39" s="19" t="n">
        <v>1.021194999200259</v>
      </c>
      <c r="F39" s="20">
        <f>B39/B38-1</f>
        <v/>
      </c>
      <c r="G39" s="20">
        <f>B39/MAX(B$2:B39)-1</f>
        <v/>
      </c>
      <c r="H39" s="20">
        <f>C39/C38-1</f>
        <v/>
      </c>
      <c r="I39" s="20">
        <f>C39/MAX(C$2:C39)-1</f>
        <v/>
      </c>
      <c r="J39" s="20">
        <f>D39/D38-1</f>
        <v/>
      </c>
      <c r="K39" s="20">
        <f>D39/MAX(D$2:D39)-1</f>
        <v/>
      </c>
      <c r="L39" s="20">
        <f>E39/E38-1</f>
        <v/>
      </c>
      <c r="M39" s="20">
        <f>E39/MAX(E$2:E39)-1</f>
        <v/>
      </c>
    </row>
    <row r="40">
      <c r="A40" s="11" t="n">
        <v>43713</v>
      </c>
      <c r="B40" s="19" t="n">
        <v>1.098670304846212</v>
      </c>
      <c r="C40" s="19" t="n">
        <v>1.090078627065094</v>
      </c>
      <c r="D40" s="19" t="n">
        <v>1.091495480002588</v>
      </c>
      <c r="E40" s="19" t="n">
        <v>1.031000197145482</v>
      </c>
      <c r="F40" s="20">
        <f>B40/B39-1</f>
        <v/>
      </c>
      <c r="G40" s="20">
        <f>B40/MAX(B$2:B40)-1</f>
        <v/>
      </c>
      <c r="H40" s="20">
        <f>C40/C39-1</f>
        <v/>
      </c>
      <c r="I40" s="20">
        <f>C40/MAX(C$2:C40)-1</f>
        <v/>
      </c>
      <c r="J40" s="20">
        <f>D40/D39-1</f>
        <v/>
      </c>
      <c r="K40" s="20">
        <f>D40/MAX(D$2:D40)-1</f>
        <v/>
      </c>
      <c r="L40" s="20">
        <f>E40/E39-1</f>
        <v/>
      </c>
      <c r="M40" s="20">
        <f>E40/MAX(E$2:E40)-1</f>
        <v/>
      </c>
    </row>
    <row r="41">
      <c r="A41" s="11" t="n">
        <v>43714</v>
      </c>
      <c r="B41" s="19" t="n">
        <v>1.10193591693336</v>
      </c>
      <c r="C41" s="19" t="n">
        <v>1.101442261788949</v>
      </c>
      <c r="D41" s="19" t="n">
        <v>1.093553745903711</v>
      </c>
      <c r="E41" s="19" t="n">
        <v>1.035742847896681</v>
      </c>
      <c r="F41" s="20">
        <f>B41/B40-1</f>
        <v/>
      </c>
      <c r="G41" s="20">
        <f>B41/MAX(B$2:B41)-1</f>
        <v/>
      </c>
      <c r="H41" s="20">
        <f>C41/C40-1</f>
        <v/>
      </c>
      <c r="I41" s="20">
        <f>C41/MAX(C$2:C41)-1</f>
        <v/>
      </c>
      <c r="J41" s="20">
        <f>D41/D40-1</f>
        <v/>
      </c>
      <c r="K41" s="20">
        <f>D41/MAX(D$2:D41)-1</f>
        <v/>
      </c>
      <c r="L41" s="20">
        <f>E41/E40-1</f>
        <v/>
      </c>
      <c r="M41" s="20">
        <f>E41/MAX(E$2:E41)-1</f>
        <v/>
      </c>
    </row>
    <row r="42">
      <c r="A42" s="11" t="n">
        <v>43717</v>
      </c>
      <c r="B42" s="19" t="n">
        <v>1.118679685465718</v>
      </c>
      <c r="C42" s="19" t="n">
        <v>1.121985491523174</v>
      </c>
      <c r="D42" s="19" t="n">
        <v>1.120042828680689</v>
      </c>
      <c r="E42" s="19" t="n">
        <v>1.049829450559261</v>
      </c>
      <c r="F42" s="20">
        <f>B42/B41-1</f>
        <v/>
      </c>
      <c r="G42" s="20">
        <f>B42/MAX(B$2:B42)-1</f>
        <v/>
      </c>
      <c r="H42" s="20">
        <f>C42/C41-1</f>
        <v/>
      </c>
      <c r="I42" s="20">
        <f>C42/MAX(C$2:C42)-1</f>
        <v/>
      </c>
      <c r="J42" s="20">
        <f>D42/D41-1</f>
        <v/>
      </c>
      <c r="K42" s="20">
        <f>D42/MAX(D$2:D42)-1</f>
        <v/>
      </c>
      <c r="L42" s="20">
        <f>E42/E41-1</f>
        <v/>
      </c>
      <c r="M42" s="20">
        <f>E42/MAX(E$2:E42)-1</f>
        <v/>
      </c>
    </row>
    <row r="43">
      <c r="A43" s="11" t="n">
        <v>43718</v>
      </c>
      <c r="B43" s="19" t="n">
        <v>1.110404827262981</v>
      </c>
      <c r="C43" s="19" t="n">
        <v>1.115393160578098</v>
      </c>
      <c r="D43" s="19" t="n">
        <v>1.114923561894055</v>
      </c>
      <c r="E43" s="19" t="n">
        <v>1.048148134371385</v>
      </c>
      <c r="F43" s="20">
        <f>B43/B42-1</f>
        <v/>
      </c>
      <c r="G43" s="20">
        <f>B43/MAX(B$2:B43)-1</f>
        <v/>
      </c>
      <c r="H43" s="20">
        <f>C43/C42-1</f>
        <v/>
      </c>
      <c r="I43" s="20">
        <f>C43/MAX(C$2:C43)-1</f>
        <v/>
      </c>
      <c r="J43" s="20">
        <f>D43/D42-1</f>
        <v/>
      </c>
      <c r="K43" s="20">
        <f>D43/MAX(D$2:D43)-1</f>
        <v/>
      </c>
      <c r="L43" s="20">
        <f>E43/E42-1</f>
        <v/>
      </c>
      <c r="M43" s="20">
        <f>E43/MAX(E$2:E43)-1</f>
        <v/>
      </c>
    </row>
    <row r="44">
      <c r="A44" s="11" t="n">
        <v>43719</v>
      </c>
      <c r="B44" s="19" t="n">
        <v>1.098655838522907</v>
      </c>
      <c r="C44" s="19" t="n">
        <v>1.102112875401366</v>
      </c>
      <c r="D44" s="19" t="n">
        <v>1.100855093776756</v>
      </c>
      <c r="E44" s="19" t="n">
        <v>1.041125291533531</v>
      </c>
      <c r="F44" s="20">
        <f>B44/B43-1</f>
        <v/>
      </c>
      <c r="G44" s="20">
        <f>B44/MAX(B$2:B44)-1</f>
        <v/>
      </c>
      <c r="H44" s="20">
        <f>C44/C43-1</f>
        <v/>
      </c>
      <c r="I44" s="20">
        <f>C44/MAX(C$2:C44)-1</f>
        <v/>
      </c>
      <c r="J44" s="20">
        <f>D44/D43-1</f>
        <v/>
      </c>
      <c r="K44" s="20">
        <f>D44/MAX(D$2:D44)-1</f>
        <v/>
      </c>
      <c r="L44" s="20">
        <f>E44/E43-1</f>
        <v/>
      </c>
      <c r="M44" s="20">
        <f>E44/MAX(E$2:E44)-1</f>
        <v/>
      </c>
    </row>
    <row r="45">
      <c r="A45" s="11" t="n">
        <v>43720</v>
      </c>
      <c r="B45" s="19" t="n">
        <v>1.103780589312505</v>
      </c>
      <c r="C45" s="19" t="n">
        <v>1.108398182484151</v>
      </c>
      <c r="D45" s="19" t="n">
        <v>1.105400972181843</v>
      </c>
      <c r="E45" s="19" t="n">
        <v>1.049349605895022</v>
      </c>
      <c r="F45" s="20">
        <f>B45/B44-1</f>
        <v/>
      </c>
      <c r="G45" s="20">
        <f>B45/MAX(B$2:B45)-1</f>
        <v/>
      </c>
      <c r="H45" s="20">
        <f>C45/C44-1</f>
        <v/>
      </c>
      <c r="I45" s="20">
        <f>C45/MAX(C$2:C45)-1</f>
        <v/>
      </c>
      <c r="J45" s="20">
        <f>D45/D44-1</f>
        <v/>
      </c>
      <c r="K45" s="20">
        <f>D45/MAX(D$2:D45)-1</f>
        <v/>
      </c>
      <c r="L45" s="20">
        <f>E45/E44-1</f>
        <v/>
      </c>
      <c r="M45" s="20">
        <f>E45/MAX(E$2:E45)-1</f>
        <v/>
      </c>
    </row>
    <row r="46">
      <c r="A46" s="11" t="n">
        <v>43724</v>
      </c>
      <c r="B46" s="19" t="n">
        <v>1.107234568194167</v>
      </c>
      <c r="C46" s="19" t="n">
        <v>1.110278950154438</v>
      </c>
      <c r="D46" s="19" t="n">
        <v>1.107854012074049</v>
      </c>
      <c r="E46" s="19" t="n">
        <v>1.0492454535648</v>
      </c>
      <c r="F46" s="20">
        <f>B46/B45-1</f>
        <v/>
      </c>
      <c r="G46" s="20">
        <f>B46/MAX(B$2:B46)-1</f>
        <v/>
      </c>
      <c r="H46" s="20">
        <f>C46/C45-1</f>
        <v/>
      </c>
      <c r="I46" s="20">
        <f>C46/MAX(C$2:C46)-1</f>
        <v/>
      </c>
      <c r="J46" s="20">
        <f>D46/D45-1</f>
        <v/>
      </c>
      <c r="K46" s="20">
        <f>D46/MAX(D$2:D46)-1</f>
        <v/>
      </c>
      <c r="L46" s="20">
        <f>E46/E45-1</f>
        <v/>
      </c>
      <c r="M46" s="20">
        <f>E46/MAX(E$2:E46)-1</f>
        <v/>
      </c>
    </row>
    <row r="47">
      <c r="A47" s="11" t="n">
        <v>43725</v>
      </c>
      <c r="B47" s="19" t="n">
        <v>1.089218010818696</v>
      </c>
      <c r="C47" s="19" t="n">
        <v>1.088201466913164</v>
      </c>
      <c r="D47" s="19" t="n">
        <v>1.084343537509701</v>
      </c>
      <c r="E47" s="19" t="n">
        <v>1.028995264788701</v>
      </c>
      <c r="F47" s="20">
        <f>B47/B46-1</f>
        <v/>
      </c>
      <c r="G47" s="20">
        <f>B47/MAX(B$2:B47)-1</f>
        <v/>
      </c>
      <c r="H47" s="20">
        <f>C47/C46-1</f>
        <v/>
      </c>
      <c r="I47" s="20">
        <f>C47/MAX(C$2:C47)-1</f>
        <v/>
      </c>
      <c r="J47" s="20">
        <f>D47/D46-1</f>
        <v/>
      </c>
      <c r="K47" s="20">
        <f>D47/MAX(D$2:D47)-1</f>
        <v/>
      </c>
      <c r="L47" s="20">
        <f>E47/E46-1</f>
        <v/>
      </c>
      <c r="M47" s="20">
        <f>E47/MAX(E$2:E47)-1</f>
        <v/>
      </c>
    </row>
    <row r="48">
      <c r="A48" s="11" t="n">
        <v>43726</v>
      </c>
      <c r="B48" s="19" t="n">
        <v>1.089994249737176</v>
      </c>
      <c r="C48" s="19" t="n">
        <v>1.089227733735323</v>
      </c>
      <c r="D48" s="19" t="n">
        <v>1.08519609165348</v>
      </c>
      <c r="E48" s="19" t="n">
        <v>1.031773900169991</v>
      </c>
      <c r="F48" s="20">
        <f>B48/B47-1</f>
        <v/>
      </c>
      <c r="G48" s="20">
        <f>B48/MAX(B$2:B48)-1</f>
        <v/>
      </c>
      <c r="H48" s="20">
        <f>C48/C47-1</f>
        <v/>
      </c>
      <c r="I48" s="20">
        <f>C48/MAX(C$2:C48)-1</f>
        <v/>
      </c>
      <c r="J48" s="20">
        <f>D48/D47-1</f>
        <v/>
      </c>
      <c r="K48" s="20">
        <f>D48/MAX(D$2:D48)-1</f>
        <v/>
      </c>
      <c r="L48" s="20">
        <f>E48/E47-1</f>
        <v/>
      </c>
      <c r="M48" s="20">
        <f>E48/MAX(E$2:E48)-1</f>
        <v/>
      </c>
    </row>
    <row r="49">
      <c r="A49" s="11" t="n">
        <v>43727</v>
      </c>
      <c r="B49" s="19" t="n">
        <v>1.105669467827983</v>
      </c>
      <c r="C49" s="19" t="n">
        <v>1.100865876556013</v>
      </c>
      <c r="D49" s="19" t="n">
        <v>1.102187205587554</v>
      </c>
      <c r="E49" s="19" t="n">
        <v>1.038997608216131</v>
      </c>
      <c r="F49" s="20">
        <f>B49/B48-1</f>
        <v/>
      </c>
      <c r="G49" s="20">
        <f>B49/MAX(B$2:B49)-1</f>
        <v/>
      </c>
      <c r="H49" s="20">
        <f>C49/C48-1</f>
        <v/>
      </c>
      <c r="I49" s="20">
        <f>C49/MAX(C$2:C49)-1</f>
        <v/>
      </c>
      <c r="J49" s="20">
        <f>D49/D48-1</f>
        <v/>
      </c>
      <c r="K49" s="20">
        <f>D49/MAX(D$2:D49)-1</f>
        <v/>
      </c>
      <c r="L49" s="20">
        <f>E49/E48-1</f>
        <v/>
      </c>
      <c r="M49" s="20">
        <f>E49/MAX(E$2:E49)-1</f>
        <v/>
      </c>
    </row>
    <row r="50">
      <c r="A50" s="11" t="n">
        <v>43728</v>
      </c>
      <c r="B50" s="19" t="n">
        <v>1.114821109664661</v>
      </c>
      <c r="C50" s="19" t="n">
        <v>1.109786066946401</v>
      </c>
      <c r="D50" s="19" t="n">
        <v>1.101830493780258</v>
      </c>
      <c r="E50" s="19" t="n">
        <v>1.041181087424722</v>
      </c>
      <c r="F50" s="20">
        <f>B50/B49-1</f>
        <v/>
      </c>
      <c r="G50" s="20">
        <f>B50/MAX(B$2:B50)-1</f>
        <v/>
      </c>
      <c r="H50" s="20">
        <f>C50/C49-1</f>
        <v/>
      </c>
      <c r="I50" s="20">
        <f>C50/MAX(C$2:C50)-1</f>
        <v/>
      </c>
      <c r="J50" s="20">
        <f>D50/D49-1</f>
        <v/>
      </c>
      <c r="K50" s="20">
        <f>D50/MAX(D$2:D50)-1</f>
        <v/>
      </c>
      <c r="L50" s="20">
        <f>E50/E49-1</f>
        <v/>
      </c>
      <c r="M50" s="20">
        <f>E50/MAX(E$2:E50)-1</f>
        <v/>
      </c>
    </row>
    <row r="51">
      <c r="A51" s="11" t="n">
        <v>43731</v>
      </c>
      <c r="B51" s="19" t="n">
        <v>1.111580548721618</v>
      </c>
      <c r="C51" s="19" t="n">
        <v>1.097793088620131</v>
      </c>
      <c r="D51" s="19" t="n">
        <v>1.088438614906146</v>
      </c>
      <c r="E51" s="19" t="n">
        <v>1.030769574128561</v>
      </c>
      <c r="F51" s="20">
        <f>B51/B50-1</f>
        <v/>
      </c>
      <c r="G51" s="20">
        <f>B51/MAX(B$2:B51)-1</f>
        <v/>
      </c>
      <c r="H51" s="20">
        <f>C51/C50-1</f>
        <v/>
      </c>
      <c r="I51" s="20">
        <f>C51/MAX(C$2:C51)-1</f>
        <v/>
      </c>
      <c r="J51" s="20">
        <f>D51/D50-1</f>
        <v/>
      </c>
      <c r="K51" s="20">
        <f>D51/MAX(D$2:D51)-1</f>
        <v/>
      </c>
      <c r="L51" s="20">
        <f>E51/E50-1</f>
        <v/>
      </c>
      <c r="M51" s="20">
        <f>E51/MAX(E$2:E51)-1</f>
        <v/>
      </c>
    </row>
    <row r="52">
      <c r="A52" s="11" t="n">
        <v>43732</v>
      </c>
      <c r="B52" s="19" t="n">
        <v>1.122271311408913</v>
      </c>
      <c r="C52" s="19" t="n">
        <v>1.106902553473643</v>
      </c>
      <c r="D52" s="19" t="n">
        <v>1.095077073337298</v>
      </c>
      <c r="E52" s="19" t="n">
        <v>1.033860666500519</v>
      </c>
      <c r="F52" s="20">
        <f>B52/B51-1</f>
        <v/>
      </c>
      <c r="G52" s="20">
        <f>B52/MAX(B$2:B52)-1</f>
        <v/>
      </c>
      <c r="H52" s="20">
        <f>C52/C51-1</f>
        <v/>
      </c>
      <c r="I52" s="20">
        <f>C52/MAX(C$2:C52)-1</f>
        <v/>
      </c>
      <c r="J52" s="20">
        <f>D52/D51-1</f>
        <v/>
      </c>
      <c r="K52" s="20">
        <f>D52/MAX(D$2:D52)-1</f>
        <v/>
      </c>
      <c r="L52" s="20">
        <f>E52/E51-1</f>
        <v/>
      </c>
      <c r="M52" s="20">
        <f>E52/MAX(E$2:E52)-1</f>
        <v/>
      </c>
    </row>
    <row r="53">
      <c r="A53" s="11" t="n">
        <v>43733</v>
      </c>
      <c r="B53" s="19" t="n">
        <v>1.093730934874338</v>
      </c>
      <c r="C53" s="19" t="n">
        <v>1.085915214179567</v>
      </c>
      <c r="D53" s="19" t="n">
        <v>1.080892609260924</v>
      </c>
      <c r="E53" s="19" t="n">
        <v>1.02083418577056</v>
      </c>
      <c r="F53" s="20">
        <f>B53/B52-1</f>
        <v/>
      </c>
      <c r="G53" s="20">
        <f>B53/MAX(B$2:B53)-1</f>
        <v/>
      </c>
      <c r="H53" s="20">
        <f>C53/C52-1</f>
        <v/>
      </c>
      <c r="I53" s="20">
        <f>C53/MAX(C$2:C53)-1</f>
        <v/>
      </c>
      <c r="J53" s="20">
        <f>D53/D52-1</f>
        <v/>
      </c>
      <c r="K53" s="20">
        <f>D53/MAX(D$2:D53)-1</f>
        <v/>
      </c>
      <c r="L53" s="20">
        <f>E53/E52-1</f>
        <v/>
      </c>
      <c r="M53" s="20">
        <f>E53/MAX(E$2:E53)-1</f>
        <v/>
      </c>
    </row>
    <row r="54">
      <c r="A54" s="11" t="n">
        <v>43734</v>
      </c>
      <c r="B54" s="19" t="n">
        <v>1.06426485141714</v>
      </c>
      <c r="C54" s="19" t="n">
        <v>1.06377592212378</v>
      </c>
      <c r="D54" s="19" t="n">
        <v>1.049321287933829</v>
      </c>
      <c r="E54" s="19" t="n">
        <v>1.003682528818578</v>
      </c>
      <c r="F54" s="20">
        <f>B54/B53-1</f>
        <v/>
      </c>
      <c r="G54" s="20">
        <f>B54/MAX(B$2:B54)-1</f>
        <v/>
      </c>
      <c r="H54" s="20">
        <f>C54/C53-1</f>
        <v/>
      </c>
      <c r="I54" s="20">
        <f>C54/MAX(C$2:C54)-1</f>
        <v/>
      </c>
      <c r="J54" s="20">
        <f>D54/D53-1</f>
        <v/>
      </c>
      <c r="K54" s="20">
        <f>D54/MAX(D$2:D54)-1</f>
        <v/>
      </c>
      <c r="L54" s="20">
        <f>E54/E53-1</f>
        <v/>
      </c>
      <c r="M54" s="20">
        <f>E54/MAX(E$2:E54)-1</f>
        <v/>
      </c>
    </row>
    <row r="55">
      <c r="A55" s="11" t="n">
        <v>43735</v>
      </c>
      <c r="B55" s="19" t="n">
        <v>1.072261881591381</v>
      </c>
      <c r="C55" s="19" t="n">
        <v>1.073644793641532</v>
      </c>
      <c r="D55" s="19" t="n">
        <v>1.06466403143665</v>
      </c>
      <c r="E55" s="19" t="n">
        <v>1.008901304507936</v>
      </c>
      <c r="F55" s="20">
        <f>B55/B54-1</f>
        <v/>
      </c>
      <c r="G55" s="20">
        <f>B55/MAX(B$2:B55)-1</f>
        <v/>
      </c>
      <c r="H55" s="20">
        <f>C55/C54-1</f>
        <v/>
      </c>
      <c r="I55" s="20">
        <f>C55/MAX(C$2:C55)-1</f>
        <v/>
      </c>
      <c r="J55" s="20">
        <f>D55/D54-1</f>
        <v/>
      </c>
      <c r="K55" s="20">
        <f>D55/MAX(D$2:D55)-1</f>
        <v/>
      </c>
      <c r="L55" s="20">
        <f>E55/E54-1</f>
        <v/>
      </c>
      <c r="M55" s="20">
        <f>E55/MAX(E$2:E55)-1</f>
        <v/>
      </c>
    </row>
    <row r="56">
      <c r="A56" s="11" t="n">
        <v>43738</v>
      </c>
      <c r="B56" s="19" t="n">
        <v>1.055060786057077</v>
      </c>
      <c r="C56" s="19" t="n">
        <v>1.059194470011061</v>
      </c>
      <c r="D56" s="19" t="n">
        <v>1.051747574440488</v>
      </c>
      <c r="E56" s="19" t="n">
        <v>0.9981066594256001</v>
      </c>
      <c r="F56" s="20">
        <f>B56/B55-1</f>
        <v/>
      </c>
      <c r="G56" s="20">
        <f>B56/MAX(B$2:B56)-1</f>
        <v/>
      </c>
      <c r="H56" s="20">
        <f>C56/C55-1</f>
        <v/>
      </c>
      <c r="I56" s="20">
        <f>C56/MAX(C$2:C56)-1</f>
        <v/>
      </c>
      <c r="J56" s="20">
        <f>D56/D55-1</f>
        <v/>
      </c>
      <c r="K56" s="20">
        <f>D56/MAX(D$2:D56)-1</f>
        <v/>
      </c>
      <c r="L56" s="20">
        <f>E56/E55-1</f>
        <v/>
      </c>
      <c r="M56" s="20">
        <f>E56/MAX(E$2:E56)-1</f>
        <v/>
      </c>
    </row>
    <row r="57">
      <c r="A57" s="11" t="n">
        <v>43746</v>
      </c>
      <c r="B57" s="19" t="n">
        <v>1.053175124499415</v>
      </c>
      <c r="C57" s="19" t="n">
        <v>1.053288048556235</v>
      </c>
      <c r="D57" s="19" t="n">
        <v>1.044664260197483</v>
      </c>
      <c r="E57" s="19" t="n">
        <v>1.00130190412778</v>
      </c>
      <c r="F57" s="20">
        <f>B57/B56-1</f>
        <v/>
      </c>
      <c r="G57" s="20">
        <f>B57/MAX(B$2:B57)-1</f>
        <v/>
      </c>
      <c r="H57" s="20">
        <f>C57/C56-1</f>
        <v/>
      </c>
      <c r="I57" s="20">
        <f>C57/MAX(C$2:C57)-1</f>
        <v/>
      </c>
      <c r="J57" s="20">
        <f>D57/D56-1</f>
        <v/>
      </c>
      <c r="K57" s="20">
        <f>D57/MAX(D$2:D57)-1</f>
        <v/>
      </c>
      <c r="L57" s="20">
        <f>E57/E56-1</f>
        <v/>
      </c>
      <c r="M57" s="20">
        <f>E57/MAX(E$2:E57)-1</f>
        <v/>
      </c>
    </row>
    <row r="58">
      <c r="A58" s="11" t="n">
        <v>43747</v>
      </c>
      <c r="B58" s="19" t="n">
        <v>1.058288860684572</v>
      </c>
      <c r="C58" s="19" t="n">
        <v>1.054458712313158</v>
      </c>
      <c r="D58" s="19" t="n">
        <v>1.048432222527165</v>
      </c>
      <c r="E58" s="19" t="n">
        <v>1.0065095206389</v>
      </c>
      <c r="F58" s="20">
        <f>B58/B57-1</f>
        <v/>
      </c>
      <c r="G58" s="20">
        <f>B58/MAX(B$2:B58)-1</f>
        <v/>
      </c>
      <c r="H58" s="20">
        <f>C58/C57-1</f>
        <v/>
      </c>
      <c r="I58" s="20">
        <f>C58/MAX(C$2:C58)-1</f>
        <v/>
      </c>
      <c r="J58" s="20">
        <f>D58/D57-1</f>
        <v/>
      </c>
      <c r="K58" s="20">
        <f>D58/MAX(D$2:D58)-1</f>
        <v/>
      </c>
      <c r="L58" s="20">
        <f>E58/E57-1</f>
        <v/>
      </c>
      <c r="M58" s="20">
        <f>E58/MAX(E$2:E58)-1</f>
        <v/>
      </c>
    </row>
    <row r="59">
      <c r="A59" s="11" t="n">
        <v>43748</v>
      </c>
      <c r="B59" s="19" t="n">
        <v>1.077288012158947</v>
      </c>
      <c r="C59" s="19" t="n">
        <v>1.073609439961635</v>
      </c>
      <c r="D59" s="19" t="n">
        <v>1.077222031839501</v>
      </c>
      <c r="E59" s="19" t="n">
        <v>1.017278127638681</v>
      </c>
      <c r="F59" s="20">
        <f>B59/B58-1</f>
        <v/>
      </c>
      <c r="G59" s="20">
        <f>B59/MAX(B$2:B59)-1</f>
        <v/>
      </c>
      <c r="H59" s="20">
        <f>C59/C58-1</f>
        <v/>
      </c>
      <c r="I59" s="20">
        <f>C59/MAX(C$2:C59)-1</f>
        <v/>
      </c>
      <c r="J59" s="20">
        <f>D59/D58-1</f>
        <v/>
      </c>
      <c r="K59" s="20">
        <f>D59/MAX(D$2:D59)-1</f>
        <v/>
      </c>
      <c r="L59" s="20">
        <f>E59/E58-1</f>
        <v/>
      </c>
      <c r="M59" s="20">
        <f>E59/MAX(E$2:E59)-1</f>
        <v/>
      </c>
    </row>
    <row r="60">
      <c r="A60" s="11" t="n">
        <v>43749</v>
      </c>
      <c r="B60" s="19" t="n">
        <v>1.074058024661544</v>
      </c>
      <c r="C60" s="19" t="n">
        <v>1.07618540046941</v>
      </c>
      <c r="D60" s="19" t="n">
        <v>1.077136860433339</v>
      </c>
      <c r="E60" s="19" t="n">
        <v>1.023586783069295</v>
      </c>
      <c r="F60" s="20">
        <f>B60/B59-1</f>
        <v/>
      </c>
      <c r="G60" s="20">
        <f>B60/MAX(B$2:B60)-1</f>
        <v/>
      </c>
      <c r="H60" s="20">
        <f>C60/C59-1</f>
        <v/>
      </c>
      <c r="I60" s="20">
        <f>C60/MAX(C$2:C60)-1</f>
        <v/>
      </c>
      <c r="J60" s="20">
        <f>D60/D59-1</f>
        <v/>
      </c>
      <c r="K60" s="20">
        <f>D60/MAX(D$2:D60)-1</f>
        <v/>
      </c>
      <c r="L60" s="20">
        <f>E60/E59-1</f>
        <v/>
      </c>
      <c r="M60" s="20">
        <f>E60/MAX(E$2:E60)-1</f>
        <v/>
      </c>
    </row>
    <row r="61">
      <c r="A61" s="11" t="n">
        <v>43752</v>
      </c>
      <c r="B61" s="19" t="n">
        <v>1.094498892115549</v>
      </c>
      <c r="C61" s="19" t="n">
        <v>1.089666552268251</v>
      </c>
      <c r="D61" s="19" t="n">
        <v>1.08524294238904</v>
      </c>
      <c r="E61" s="19" t="n">
        <v>1.036483073386476</v>
      </c>
      <c r="F61" s="20">
        <f>B61/B60-1</f>
        <v/>
      </c>
      <c r="G61" s="20">
        <f>B61/MAX(B$2:B61)-1</f>
        <v/>
      </c>
      <c r="H61" s="20">
        <f>C61/C60-1</f>
        <v/>
      </c>
      <c r="I61" s="20">
        <f>C61/MAX(C$2:C61)-1</f>
        <v/>
      </c>
      <c r="J61" s="20">
        <f>D61/D60-1</f>
        <v/>
      </c>
      <c r="K61" s="20">
        <f>D61/MAX(D$2:D61)-1</f>
        <v/>
      </c>
      <c r="L61" s="20">
        <f>E61/E60-1</f>
        <v/>
      </c>
      <c r="M61" s="20">
        <f>E61/MAX(E$2:E61)-1</f>
        <v/>
      </c>
    </row>
    <row r="62">
      <c r="A62" s="11" t="n">
        <v>43753</v>
      </c>
      <c r="B62" s="19" t="n">
        <v>1.074081800854462</v>
      </c>
      <c r="C62" s="19" t="n">
        <v>1.073500685308237</v>
      </c>
      <c r="D62" s="19" t="n">
        <v>1.073293484574831</v>
      </c>
      <c r="E62" s="19" t="n">
        <v>1.027775194634667</v>
      </c>
      <c r="F62" s="20">
        <f>B62/B61-1</f>
        <v/>
      </c>
      <c r="G62" s="20">
        <f>B62/MAX(B$2:B62)-1</f>
        <v/>
      </c>
      <c r="H62" s="20">
        <f>C62/C61-1</f>
        <v/>
      </c>
      <c r="I62" s="20">
        <f>C62/MAX(C$2:C62)-1</f>
        <v/>
      </c>
      <c r="J62" s="20">
        <f>D62/D61-1</f>
        <v/>
      </c>
      <c r="K62" s="20">
        <f>D62/MAX(D$2:D62)-1</f>
        <v/>
      </c>
      <c r="L62" s="20">
        <f>E62/E61-1</f>
        <v/>
      </c>
      <c r="M62" s="20">
        <f>E62/MAX(E$2:E62)-1</f>
        <v/>
      </c>
    </row>
    <row r="63">
      <c r="A63" s="11" t="n">
        <v>43754</v>
      </c>
      <c r="B63" s="19" t="n">
        <v>1.070531656528545</v>
      </c>
      <c r="C63" s="19" t="n">
        <v>1.070382490741304</v>
      </c>
      <c r="D63" s="19" t="n">
        <v>1.070375750007577</v>
      </c>
      <c r="E63" s="19" t="n">
        <v>1.023356160052374</v>
      </c>
      <c r="F63" s="20">
        <f>B63/B62-1</f>
        <v/>
      </c>
      <c r="G63" s="20">
        <f>B63/MAX(B$2:B63)-1</f>
        <v/>
      </c>
      <c r="H63" s="20">
        <f>C63/C62-1</f>
        <v/>
      </c>
      <c r="I63" s="20">
        <f>C63/MAX(C$2:C63)-1</f>
        <v/>
      </c>
      <c r="J63" s="20">
        <f>D63/D62-1</f>
        <v/>
      </c>
      <c r="K63" s="20">
        <f>D63/MAX(D$2:D63)-1</f>
        <v/>
      </c>
      <c r="L63" s="20">
        <f>E63/E62-1</f>
        <v/>
      </c>
      <c r="M63" s="20">
        <f>E63/MAX(E$2:E63)-1</f>
        <v/>
      </c>
    </row>
    <row r="64">
      <c r="A64" s="11" t="n">
        <v>43755</v>
      </c>
      <c r="B64" s="19" t="n">
        <v>1.071231257769459</v>
      </c>
      <c r="C64" s="19" t="n">
        <v>1.072192599152041</v>
      </c>
      <c r="D64" s="19" t="n">
        <v>1.071595355431328</v>
      </c>
      <c r="E64" s="19" t="n">
        <v>1.023151575118008</v>
      </c>
      <c r="F64" s="20">
        <f>B64/B63-1</f>
        <v/>
      </c>
      <c r="G64" s="20">
        <f>B64/MAX(B$2:B64)-1</f>
        <v/>
      </c>
      <c r="H64" s="20">
        <f>C64/C63-1</f>
        <v/>
      </c>
      <c r="I64" s="20">
        <f>C64/MAX(C$2:C64)-1</f>
        <v/>
      </c>
      <c r="J64" s="20">
        <f>D64/D63-1</f>
        <v/>
      </c>
      <c r="K64" s="20">
        <f>D64/MAX(D$2:D64)-1</f>
        <v/>
      </c>
      <c r="L64" s="20">
        <f>E64/E63-1</f>
        <v/>
      </c>
      <c r="M64" s="20">
        <f>E64/MAX(E$2:E64)-1</f>
        <v/>
      </c>
    </row>
    <row r="65">
      <c r="A65" s="11" t="n">
        <v>43756</v>
      </c>
      <c r="B65" s="19" t="n">
        <v>1.057817988363446</v>
      </c>
      <c r="C65" s="19" t="n">
        <v>1.05667536399259</v>
      </c>
      <c r="D65" s="19" t="n">
        <v>1.065369765068441</v>
      </c>
      <c r="E65" s="19" t="n">
        <v>1.009440664789445</v>
      </c>
      <c r="F65" s="20">
        <f>B65/B64-1</f>
        <v/>
      </c>
      <c r="G65" s="20">
        <f>B65/MAX(B$2:B65)-1</f>
        <v/>
      </c>
      <c r="H65" s="20">
        <f>C65/C64-1</f>
        <v/>
      </c>
      <c r="I65" s="20">
        <f>C65/MAX(C$2:C65)-1</f>
        <v/>
      </c>
      <c r="J65" s="20">
        <f>D65/D64-1</f>
        <v/>
      </c>
      <c r="K65" s="20">
        <f>D65/MAX(D$2:D65)-1</f>
        <v/>
      </c>
      <c r="L65" s="20">
        <f>E65/E64-1</f>
        <v/>
      </c>
      <c r="M65" s="20">
        <f>E65/MAX(E$2:E65)-1</f>
        <v/>
      </c>
    </row>
    <row r="66">
      <c r="A66" s="11" t="n">
        <v>43759</v>
      </c>
      <c r="B66" s="19" t="n">
        <v>1.055651778999736</v>
      </c>
      <c r="C66" s="19" t="n">
        <v>1.05447905871669</v>
      </c>
      <c r="D66" s="19" t="n">
        <v>1.062708901775462</v>
      </c>
      <c r="E66" s="19" t="n">
        <v>1.008733916834364</v>
      </c>
      <c r="F66" s="20">
        <f>B66/B65-1</f>
        <v/>
      </c>
      <c r="G66" s="20">
        <f>B66/MAX(B$2:B66)-1</f>
        <v/>
      </c>
      <c r="H66" s="20">
        <f>C66/C65-1</f>
        <v/>
      </c>
      <c r="I66" s="20">
        <f>C66/MAX(C$2:C66)-1</f>
        <v/>
      </c>
      <c r="J66" s="20">
        <f>D66/D65-1</f>
        <v/>
      </c>
      <c r="K66" s="20">
        <f>D66/MAX(D$2:D66)-1</f>
        <v/>
      </c>
      <c r="L66" s="20">
        <f>E66/E65-1</f>
        <v/>
      </c>
      <c r="M66" s="20">
        <f>E66/MAX(E$2:E66)-1</f>
        <v/>
      </c>
    </row>
    <row r="67">
      <c r="A67" s="11" t="n">
        <v>43760</v>
      </c>
      <c r="B67" s="19" t="n">
        <v>1.068512760829132</v>
      </c>
      <c r="C67" s="19" t="n">
        <v>1.065968379380098</v>
      </c>
      <c r="D67" s="19" t="n">
        <v>1.077158831812774</v>
      </c>
      <c r="E67" s="19" t="n">
        <v>1.016199407075663</v>
      </c>
      <c r="F67" s="20">
        <f>B67/B66-1</f>
        <v/>
      </c>
      <c r="G67" s="20">
        <f>B67/MAX(B$2:B67)-1</f>
        <v/>
      </c>
      <c r="H67" s="20">
        <f>C67/C66-1</f>
        <v/>
      </c>
      <c r="I67" s="20">
        <f>C67/MAX(C$2:C67)-1</f>
        <v/>
      </c>
      <c r="J67" s="20">
        <f>D67/D66-1</f>
        <v/>
      </c>
      <c r="K67" s="20">
        <f>D67/MAX(D$2:D67)-1</f>
        <v/>
      </c>
      <c r="L67" s="20">
        <f>E67/E66-1</f>
        <v/>
      </c>
      <c r="M67" s="20">
        <f>E67/MAX(E$2:E67)-1</f>
        <v/>
      </c>
    </row>
    <row r="68">
      <c r="A68" s="11" t="n">
        <v>43761</v>
      </c>
      <c r="B68" s="19" t="n">
        <v>1.057826906082703</v>
      </c>
      <c r="C68" s="19" t="n">
        <v>1.056812353489661</v>
      </c>
      <c r="D68" s="19" t="n">
        <v>1.066445522578597</v>
      </c>
      <c r="E68" s="19" t="n">
        <v>1.009593173558699</v>
      </c>
      <c r="F68" s="20">
        <f>B68/B67-1</f>
        <v/>
      </c>
      <c r="G68" s="20">
        <f>B68/MAX(B$2:B68)-1</f>
        <v/>
      </c>
      <c r="H68" s="20">
        <f>C68/C67-1</f>
        <v/>
      </c>
      <c r="I68" s="20">
        <f>C68/MAX(C$2:C68)-1</f>
        <v/>
      </c>
      <c r="J68" s="20">
        <f>D68/D67-1</f>
        <v/>
      </c>
      <c r="K68" s="20">
        <f>D68/MAX(D$2:D68)-1</f>
        <v/>
      </c>
      <c r="L68" s="20">
        <f>E68/E67-1</f>
        <v/>
      </c>
      <c r="M68" s="20">
        <f>E68/MAX(E$2:E68)-1</f>
        <v/>
      </c>
    </row>
    <row r="69">
      <c r="A69" s="11" t="n">
        <v>43762</v>
      </c>
      <c r="B69" s="19" t="n">
        <v>1.058257498276548</v>
      </c>
      <c r="C69" s="19" t="n">
        <v>1.055489356257589</v>
      </c>
      <c r="D69" s="19" t="n">
        <v>1.068755490017659</v>
      </c>
      <c r="E69" s="19" t="n">
        <v>1.008886425603619</v>
      </c>
      <c r="F69" s="20">
        <f>B69/B68-1</f>
        <v/>
      </c>
      <c r="G69" s="20">
        <f>B69/MAX(B$2:B69)-1</f>
        <v/>
      </c>
      <c r="H69" s="20">
        <f>C69/C68-1</f>
        <v/>
      </c>
      <c r="I69" s="20">
        <f>C69/MAX(C$2:C69)-1</f>
        <v/>
      </c>
      <c r="J69" s="20">
        <f>D69/D68-1</f>
        <v/>
      </c>
      <c r="K69" s="20">
        <f>D69/MAX(D$2:D69)-1</f>
        <v/>
      </c>
      <c r="L69" s="20">
        <f>E69/E68-1</f>
        <v/>
      </c>
      <c r="M69" s="20">
        <f>E69/MAX(E$2:E69)-1</f>
        <v/>
      </c>
    </row>
    <row r="70">
      <c r="A70" s="11" t="n">
        <v>43763</v>
      </c>
      <c r="B70" s="19" t="n">
        <v>1.073222401874905</v>
      </c>
      <c r="C70" s="19" t="n">
        <v>1.070808658909861</v>
      </c>
      <c r="D70" s="19" t="n">
        <v>1.082633388729212</v>
      </c>
      <c r="E70" s="19" t="n">
        <v>1.015645167889837</v>
      </c>
      <c r="F70" s="20">
        <f>B70/B69-1</f>
        <v/>
      </c>
      <c r="G70" s="20">
        <f>B70/MAX(B$2:B70)-1</f>
        <v/>
      </c>
      <c r="H70" s="20">
        <f>C70/C69-1</f>
        <v/>
      </c>
      <c r="I70" s="20">
        <f>C70/MAX(C$2:C70)-1</f>
        <v/>
      </c>
      <c r="J70" s="20">
        <f>D70/D69-1</f>
        <v/>
      </c>
      <c r="K70" s="20">
        <f>D70/MAX(D$2:D70)-1</f>
        <v/>
      </c>
      <c r="L70" s="20">
        <f>E70/E69-1</f>
        <v/>
      </c>
      <c r="M70" s="20">
        <f>E70/MAX(E$2:E70)-1</f>
        <v/>
      </c>
    </row>
    <row r="71">
      <c r="A71" s="11" t="n">
        <v>43766</v>
      </c>
      <c r="B71" s="19" t="n">
        <v>1.103061655587778</v>
      </c>
      <c r="C71" s="19" t="n">
        <v>1.093358678955638</v>
      </c>
      <c r="D71" s="19" t="n">
        <v>1.101423183178557</v>
      </c>
      <c r="E71" s="19" t="n">
        <v>1.028545177933097</v>
      </c>
      <c r="F71" s="20">
        <f>B71/B70-1</f>
        <v/>
      </c>
      <c r="G71" s="20">
        <f>B71/MAX(B$2:B71)-1</f>
        <v/>
      </c>
      <c r="H71" s="20">
        <f>C71/C70-1</f>
        <v/>
      </c>
      <c r="I71" s="20">
        <f>C71/MAX(C$2:C71)-1</f>
        <v/>
      </c>
      <c r="J71" s="20">
        <f>D71/D70-1</f>
        <v/>
      </c>
      <c r="K71" s="20">
        <f>D71/MAX(D$2:D71)-1</f>
        <v/>
      </c>
      <c r="L71" s="20">
        <f>E71/E70-1</f>
        <v/>
      </c>
      <c r="M71" s="20">
        <f>E71/MAX(E$2:E71)-1</f>
        <v/>
      </c>
    </row>
    <row r="72">
      <c r="A72" s="11" t="n">
        <v>43767</v>
      </c>
      <c r="B72" s="19" t="n">
        <v>1.091342543768581</v>
      </c>
      <c r="C72" s="19" t="n">
        <v>1.080445446746656</v>
      </c>
      <c r="D72" s="19" t="n">
        <v>1.089896868283584</v>
      </c>
      <c r="E72" s="19" t="n">
        <v>1.019286779721541</v>
      </c>
      <c r="F72" s="20">
        <f>B72/B71-1</f>
        <v/>
      </c>
      <c r="G72" s="20">
        <f>B72/MAX(B$2:B72)-1</f>
        <v/>
      </c>
      <c r="H72" s="20">
        <f>C72/C71-1</f>
        <v/>
      </c>
      <c r="I72" s="20">
        <f>C72/MAX(C$2:C72)-1</f>
        <v/>
      </c>
      <c r="J72" s="20">
        <f>D72/D71-1</f>
        <v/>
      </c>
      <c r="K72" s="20">
        <f>D72/MAX(D$2:D72)-1</f>
        <v/>
      </c>
      <c r="L72" s="20">
        <f>E72/E71-1</f>
        <v/>
      </c>
      <c r="M72" s="20">
        <f>E72/MAX(E$2:E72)-1</f>
        <v/>
      </c>
    </row>
    <row r="73">
      <c r="A73" s="11" t="n">
        <v>43768</v>
      </c>
      <c r="B73" s="19" t="n">
        <v>1.09050851651593</v>
      </c>
      <c r="C73" s="19" t="n">
        <v>1.075736913787286</v>
      </c>
      <c r="D73" s="19" t="n">
        <v>1.088280033243989</v>
      </c>
      <c r="E73" s="19" t="n">
        <v>1.011337725089924</v>
      </c>
      <c r="F73" s="20">
        <f>B73/B72-1</f>
        <v/>
      </c>
      <c r="G73" s="20">
        <f>B73/MAX(B$2:B73)-1</f>
        <v/>
      </c>
      <c r="H73" s="20">
        <f>C73/C72-1</f>
        <v/>
      </c>
      <c r="I73" s="20">
        <f>C73/MAX(C$2:C73)-1</f>
        <v/>
      </c>
      <c r="J73" s="20">
        <f>D73/D72-1</f>
        <v/>
      </c>
      <c r="K73" s="20">
        <f>D73/MAX(D$2:D73)-1</f>
        <v/>
      </c>
      <c r="L73" s="20">
        <f>E73/E72-1</f>
        <v/>
      </c>
      <c r="M73" s="20">
        <f>E73/MAX(E$2:E73)-1</f>
        <v/>
      </c>
    </row>
    <row r="74">
      <c r="A74" s="11" t="n">
        <v>43769</v>
      </c>
      <c r="B74" s="19" t="n">
        <v>1.08841747499463</v>
      </c>
      <c r="C74" s="19" t="n">
        <v>1.069767529112072</v>
      </c>
      <c r="D74" s="19" t="n">
        <v>1.080030426483215</v>
      </c>
      <c r="E74" s="19" t="n">
        <v>1.006078032413693</v>
      </c>
      <c r="F74" s="20">
        <f>B74/B73-1</f>
        <v/>
      </c>
      <c r="G74" s="20">
        <f>B74/MAX(B$2:B74)-1</f>
        <v/>
      </c>
      <c r="H74" s="20">
        <f>C74/C73-1</f>
        <v/>
      </c>
      <c r="I74" s="20">
        <f>C74/MAX(C$2:C74)-1</f>
        <v/>
      </c>
      <c r="J74" s="20">
        <f>D74/D73-1</f>
        <v/>
      </c>
      <c r="K74" s="20">
        <f>D74/MAX(D$2:D74)-1</f>
        <v/>
      </c>
      <c r="L74" s="20">
        <f>E74/E73-1</f>
        <v/>
      </c>
      <c r="M74" s="20">
        <f>E74/MAX(E$2:E74)-1</f>
        <v/>
      </c>
    </row>
    <row r="75">
      <c r="A75" s="11" t="n">
        <v>43770</v>
      </c>
      <c r="B75" s="19" t="n">
        <v>1.097505424885185</v>
      </c>
      <c r="C75" s="19" t="n">
        <v>1.085136519317178</v>
      </c>
      <c r="D75" s="19" t="n">
        <v>1.090167116250633</v>
      </c>
      <c r="E75" s="19" t="n">
        <v>1.019457887121192</v>
      </c>
      <c r="F75" s="20">
        <f>B75/B74-1</f>
        <v/>
      </c>
      <c r="G75" s="20">
        <f>B75/MAX(B$2:B75)-1</f>
        <v/>
      </c>
      <c r="H75" s="20">
        <f>C75/C74-1</f>
        <v/>
      </c>
      <c r="I75" s="20">
        <f>C75/MAX(C$2:C75)-1</f>
        <v/>
      </c>
      <c r="J75" s="20">
        <f>D75/D74-1</f>
        <v/>
      </c>
      <c r="K75" s="20">
        <f>D75/MAX(D$2:D75)-1</f>
        <v/>
      </c>
      <c r="L75" s="20">
        <f>E75/E74-1</f>
        <v/>
      </c>
      <c r="M75" s="20">
        <f>E75/MAX(E$2:E75)-1</f>
        <v/>
      </c>
    </row>
    <row r="76">
      <c r="A76" s="11" t="n">
        <v>43773</v>
      </c>
      <c r="B76" s="19" t="n">
        <v>1.111852014444852</v>
      </c>
      <c r="C76" s="19" t="n">
        <v>1.093102112250098</v>
      </c>
      <c r="D76" s="19" t="n">
        <v>1.098516886652949</v>
      </c>
      <c r="E76" s="19" t="n">
        <v>1.025677269125902</v>
      </c>
      <c r="F76" s="20">
        <f>B76/B75-1</f>
        <v/>
      </c>
      <c r="G76" s="20">
        <f>B76/MAX(B$2:B76)-1</f>
        <v/>
      </c>
      <c r="H76" s="20">
        <f>C76/C75-1</f>
        <v/>
      </c>
      <c r="I76" s="20">
        <f>C76/MAX(C$2:C76)-1</f>
        <v/>
      </c>
      <c r="J76" s="20">
        <f>D76/D75-1</f>
        <v/>
      </c>
      <c r="K76" s="20">
        <f>D76/MAX(D$2:D76)-1</f>
        <v/>
      </c>
      <c r="L76" s="20">
        <f>E76/E75-1</f>
        <v/>
      </c>
      <c r="M76" s="20">
        <f>E76/MAX(E$2:E76)-1</f>
        <v/>
      </c>
    </row>
    <row r="77">
      <c r="A77" s="11" t="n">
        <v>43774</v>
      </c>
      <c r="B77" s="19" t="n">
        <v>1.116648820100133</v>
      </c>
      <c r="C77" s="19" t="n">
        <v>1.100686606943799</v>
      </c>
      <c r="D77" s="19" t="n">
        <v>1.107156679263806</v>
      </c>
      <c r="E77" s="19" t="n">
        <v>1.030907203993498</v>
      </c>
      <c r="F77" s="20">
        <f>B77/B76-1</f>
        <v/>
      </c>
      <c r="G77" s="20">
        <f>B77/MAX(B$2:B77)-1</f>
        <v/>
      </c>
      <c r="H77" s="20">
        <f>C77/C76-1</f>
        <v/>
      </c>
      <c r="I77" s="20">
        <f>C77/MAX(C$2:C77)-1</f>
        <v/>
      </c>
      <c r="J77" s="20">
        <f>D77/D76-1</f>
        <v/>
      </c>
      <c r="K77" s="20">
        <f>D77/MAX(D$2:D77)-1</f>
        <v/>
      </c>
      <c r="L77" s="20">
        <f>E77/E76-1</f>
        <v/>
      </c>
      <c r="M77" s="20">
        <f>E77/MAX(E$2:E77)-1</f>
        <v/>
      </c>
    </row>
    <row r="78">
      <c r="A78" s="11" t="n">
        <v>43775</v>
      </c>
      <c r="B78" s="19" t="n">
        <v>1.107437337744341</v>
      </c>
      <c r="C78" s="19" t="n">
        <v>1.093970033066513</v>
      </c>
      <c r="D78" s="19" t="n">
        <v>1.100518931671401</v>
      </c>
      <c r="E78" s="19" t="n">
        <v>1.024308409928693</v>
      </c>
      <c r="F78" s="20">
        <f>B78/B77-1</f>
        <v/>
      </c>
      <c r="G78" s="20">
        <f>B78/MAX(B$2:B78)-1</f>
        <v/>
      </c>
      <c r="H78" s="20">
        <f>C78/C77-1</f>
        <v/>
      </c>
      <c r="I78" s="20">
        <f>C78/MAX(C$2:C78)-1</f>
        <v/>
      </c>
      <c r="J78" s="20">
        <f>D78/D77-1</f>
        <v/>
      </c>
      <c r="K78" s="20">
        <f>D78/MAX(D$2:D78)-1</f>
        <v/>
      </c>
      <c r="L78" s="20">
        <f>E78/E77-1</f>
        <v/>
      </c>
      <c r="M78" s="20">
        <f>E78/MAX(E$2:E78)-1</f>
        <v/>
      </c>
    </row>
    <row r="79">
      <c r="A79" s="11" t="n">
        <v>43776</v>
      </c>
      <c r="B79" s="19" t="n">
        <v>1.119474882529812</v>
      </c>
      <c r="C79" s="19" t="n">
        <v>1.100631676464286</v>
      </c>
      <c r="D79" s="19" t="n">
        <v>1.108633996043989</v>
      </c>
      <c r="E79" s="19" t="n">
        <v>1.028303395737938</v>
      </c>
      <c r="F79" s="20">
        <f>B79/B78-1</f>
        <v/>
      </c>
      <c r="G79" s="20">
        <f>B79/MAX(B$2:B79)-1</f>
        <v/>
      </c>
      <c r="H79" s="20">
        <f>C79/C78-1</f>
        <v/>
      </c>
      <c r="I79" s="20">
        <f>C79/MAX(C$2:C79)-1</f>
        <v/>
      </c>
      <c r="J79" s="20">
        <f>D79/D78-1</f>
        <v/>
      </c>
      <c r="K79" s="20">
        <f>D79/MAX(D$2:D79)-1</f>
        <v/>
      </c>
      <c r="L79" s="20">
        <f>E79/E78-1</f>
        <v/>
      </c>
      <c r="M79" s="20">
        <f>E79/MAX(E$2:E79)-1</f>
        <v/>
      </c>
    </row>
    <row r="80">
      <c r="A80" s="11" t="n">
        <v>43777</v>
      </c>
      <c r="B80" s="19" t="n">
        <v>1.118083356891404</v>
      </c>
      <c r="C80" s="19" t="n">
        <v>1.101154718525785</v>
      </c>
      <c r="D80" s="19" t="n">
        <v>1.105816748226797</v>
      </c>
      <c r="E80" s="19" t="n">
        <v>1.024189378694153</v>
      </c>
      <c r="F80" s="20">
        <f>B80/B79-1</f>
        <v/>
      </c>
      <c r="G80" s="20">
        <f>B80/MAX(B$2:B80)-1</f>
        <v/>
      </c>
      <c r="H80" s="20">
        <f>C80/C79-1</f>
        <v/>
      </c>
      <c r="I80" s="20">
        <f>C80/MAX(C$2:C80)-1</f>
        <v/>
      </c>
      <c r="J80" s="20">
        <f>D80/D79-1</f>
        <v/>
      </c>
      <c r="K80" s="20">
        <f>D80/MAX(D$2:D80)-1</f>
        <v/>
      </c>
      <c r="L80" s="20">
        <f>E80/E79-1</f>
        <v/>
      </c>
      <c r="M80" s="20">
        <f>E80/MAX(E$2:E80)-1</f>
        <v/>
      </c>
    </row>
    <row r="81">
      <c r="A81" s="11" t="n">
        <v>43780</v>
      </c>
      <c r="B81" s="19" t="n">
        <v>1.095091933117528</v>
      </c>
      <c r="C81" s="19" t="n">
        <v>1.080903120575529</v>
      </c>
      <c r="D81" s="19" t="n">
        <v>1.081204344362083</v>
      </c>
      <c r="E81" s="19" t="n">
        <v>1.002986940041735</v>
      </c>
      <c r="F81" s="20">
        <f>B81/B80-1</f>
        <v/>
      </c>
      <c r="G81" s="20">
        <f>B81/MAX(B$2:B81)-1</f>
        <v/>
      </c>
      <c r="H81" s="20">
        <f>C81/C80-1</f>
        <v/>
      </c>
      <c r="I81" s="20">
        <f>C81/MAX(C$2:C81)-1</f>
        <v/>
      </c>
      <c r="J81" s="20">
        <f>D81/D80-1</f>
        <v/>
      </c>
      <c r="K81" s="20">
        <f>D81/MAX(D$2:D81)-1</f>
        <v/>
      </c>
      <c r="L81" s="20">
        <f>E81/E80-1</f>
        <v/>
      </c>
      <c r="M81" s="20">
        <f>E81/MAX(E$2:E81)-1</f>
        <v/>
      </c>
    </row>
    <row r="82">
      <c r="A82" s="11" t="n">
        <v>43781</v>
      </c>
      <c r="B82" s="19" t="n">
        <v>1.091996137507489</v>
      </c>
      <c r="C82" s="19" t="n">
        <v>1.081781046242854</v>
      </c>
      <c r="D82" s="19" t="n">
        <v>1.080114370076998</v>
      </c>
      <c r="E82" s="19" t="n">
        <v>1.003991266083166</v>
      </c>
      <c r="F82" s="20">
        <f>B82/B81-1</f>
        <v/>
      </c>
      <c r="G82" s="20">
        <f>B82/MAX(B$2:B82)-1</f>
        <v/>
      </c>
      <c r="H82" s="20">
        <f>C82/C81-1</f>
        <v/>
      </c>
      <c r="I82" s="20">
        <f>C82/MAX(C$2:C82)-1</f>
        <v/>
      </c>
      <c r="J82" s="20">
        <f>D82/D81-1</f>
        <v/>
      </c>
      <c r="K82" s="20">
        <f>D82/MAX(D$2:D82)-1</f>
        <v/>
      </c>
      <c r="L82" s="20">
        <f>E82/E81-1</f>
        <v/>
      </c>
      <c r="M82" s="20">
        <f>E82/MAX(E$2:E82)-1</f>
        <v/>
      </c>
    </row>
    <row r="83">
      <c r="A83" s="11" t="n">
        <v>43782</v>
      </c>
      <c r="B83" s="19" t="n">
        <v>1.103285678448577</v>
      </c>
      <c r="C83" s="19" t="n">
        <v>1.089827399486722</v>
      </c>
      <c r="D83" s="19" t="n">
        <v>1.086803879654483</v>
      </c>
      <c r="E83" s="19" t="n">
        <v>1.002585209625163</v>
      </c>
      <c r="F83" s="20">
        <f>B83/B82-1</f>
        <v/>
      </c>
      <c r="G83" s="20">
        <f>B83/MAX(B$2:B83)-1</f>
        <v/>
      </c>
      <c r="H83" s="20">
        <f>C83/C82-1</f>
        <v/>
      </c>
      <c r="I83" s="20">
        <f>C83/MAX(C$2:C83)-1</f>
        <v/>
      </c>
      <c r="J83" s="20">
        <f>D83/D82-1</f>
        <v/>
      </c>
      <c r="K83" s="20">
        <f>D83/MAX(D$2:D83)-1</f>
        <v/>
      </c>
      <c r="L83" s="20">
        <f>E83/E82-1</f>
        <v/>
      </c>
      <c r="M83" s="20">
        <f>E83/MAX(E$2:E83)-1</f>
        <v/>
      </c>
    </row>
    <row r="84">
      <c r="A84" s="11" t="n">
        <v>43783</v>
      </c>
      <c r="B84" s="19" t="n">
        <v>1.113543157439149</v>
      </c>
      <c r="C84" s="19" t="n">
        <v>1.100992813101929</v>
      </c>
      <c r="D84" s="19" t="n">
        <v>1.093775786079412</v>
      </c>
      <c r="E84" s="19" t="n">
        <v>1.006595074338726</v>
      </c>
      <c r="F84" s="20">
        <f>B84/B83-1</f>
        <v/>
      </c>
      <c r="G84" s="20">
        <f>B84/MAX(B$2:B84)-1</f>
        <v/>
      </c>
      <c r="H84" s="20">
        <f>C84/C83-1</f>
        <v/>
      </c>
      <c r="I84" s="20">
        <f>C84/MAX(C$2:C84)-1</f>
        <v/>
      </c>
      <c r="J84" s="20">
        <f>D84/D83-1</f>
        <v/>
      </c>
      <c r="K84" s="20">
        <f>D84/MAX(D$2:D84)-1</f>
        <v/>
      </c>
      <c r="L84" s="20">
        <f>E84/E83-1</f>
        <v/>
      </c>
      <c r="M84" s="20">
        <f>E84/MAX(E$2:E84)-1</f>
        <v/>
      </c>
    </row>
    <row r="85">
      <c r="A85" s="11" t="n">
        <v>43784</v>
      </c>
      <c r="B85" s="19" t="n">
        <v>1.106530273328861</v>
      </c>
      <c r="C85" s="19" t="n">
        <v>1.089334852980399</v>
      </c>
      <c r="D85" s="19" t="n">
        <v>1.08227383356693</v>
      </c>
      <c r="E85" s="19" t="n">
        <v>0.9977384065437421</v>
      </c>
      <c r="F85" s="20">
        <f>B85/B84-1</f>
        <v/>
      </c>
      <c r="G85" s="20">
        <f>B85/MAX(B$2:B85)-1</f>
        <v/>
      </c>
      <c r="H85" s="20">
        <f>C85/C84-1</f>
        <v/>
      </c>
      <c r="I85" s="20">
        <f>C85/MAX(C$2:C85)-1</f>
        <v/>
      </c>
      <c r="J85" s="20">
        <f>D85/D84-1</f>
        <v/>
      </c>
      <c r="K85" s="20">
        <f>D85/MAX(D$2:D85)-1</f>
        <v/>
      </c>
      <c r="L85" s="20">
        <f>E85/E84-1</f>
        <v/>
      </c>
      <c r="M85" s="20">
        <f>E85/MAX(E$2:E85)-1</f>
        <v/>
      </c>
    </row>
    <row r="86">
      <c r="A86" s="11" t="n">
        <v>43787</v>
      </c>
      <c r="B86" s="19" t="n">
        <v>1.108339642859759</v>
      </c>
      <c r="C86" s="19" t="n">
        <v>1.095445604274957</v>
      </c>
      <c r="D86" s="19" t="n">
        <v>1.087254809906533</v>
      </c>
      <c r="E86" s="19" t="n">
        <v>1.005021630207152</v>
      </c>
      <c r="F86" s="20">
        <f>B86/B85-1</f>
        <v/>
      </c>
      <c r="G86" s="20">
        <f>B86/MAX(B$2:B86)-1</f>
        <v/>
      </c>
      <c r="H86" s="20">
        <f>C86/C85-1</f>
        <v/>
      </c>
      <c r="I86" s="20">
        <f>C86/MAX(C$2:C86)-1</f>
        <v/>
      </c>
      <c r="J86" s="20">
        <f>D86/D85-1</f>
        <v/>
      </c>
      <c r="K86" s="20">
        <f>D86/MAX(D$2:D86)-1</f>
        <v/>
      </c>
      <c r="L86" s="20">
        <f>E86/E85-1</f>
        <v/>
      </c>
      <c r="M86" s="20">
        <f>E86/MAX(E$2:E86)-1</f>
        <v/>
      </c>
    </row>
    <row r="87">
      <c r="A87" s="11" t="n">
        <v>43788</v>
      </c>
      <c r="B87" s="19" t="n">
        <v>1.132428680017149</v>
      </c>
      <c r="C87" s="19" t="n">
        <v>1.116126929811882</v>
      </c>
      <c r="D87" s="19" t="n">
        <v>1.117359994008276</v>
      </c>
      <c r="E87" s="19" t="n">
        <v>1.018490758340556</v>
      </c>
      <c r="F87" s="20">
        <f>B87/B86-1</f>
        <v/>
      </c>
      <c r="G87" s="20">
        <f>B87/MAX(B$2:B87)-1</f>
        <v/>
      </c>
      <c r="H87" s="20">
        <f>C87/C86-1</f>
        <v/>
      </c>
      <c r="I87" s="20">
        <f>C87/MAX(C$2:C87)-1</f>
        <v/>
      </c>
      <c r="J87" s="20">
        <f>D87/D86-1</f>
        <v/>
      </c>
      <c r="K87" s="20">
        <f>D87/MAX(D$2:D87)-1</f>
        <v/>
      </c>
      <c r="L87" s="20">
        <f>E87/E86-1</f>
        <v/>
      </c>
      <c r="M87" s="20">
        <f>E87/MAX(E$2:E87)-1</f>
        <v/>
      </c>
    </row>
    <row r="88">
      <c r="A88" s="11" t="n">
        <v>43789</v>
      </c>
      <c r="B88" s="19" t="n">
        <v>1.122667842728272</v>
      </c>
      <c r="C88" s="19" t="n">
        <v>1.105612937811434</v>
      </c>
      <c r="D88" s="19" t="n">
        <v>1.111276765259785</v>
      </c>
      <c r="E88" s="19" t="n">
        <v>1.010139973292367</v>
      </c>
      <c r="F88" s="20">
        <f>B88/B87-1</f>
        <v/>
      </c>
      <c r="G88" s="20">
        <f>B88/MAX(B$2:B88)-1</f>
        <v/>
      </c>
      <c r="H88" s="20">
        <f>C88/C87-1</f>
        <v/>
      </c>
      <c r="I88" s="20">
        <f>C88/MAX(C$2:C88)-1</f>
        <v/>
      </c>
      <c r="J88" s="20">
        <f>D88/D87-1</f>
        <v/>
      </c>
      <c r="K88" s="20">
        <f>D88/MAX(D$2:D88)-1</f>
        <v/>
      </c>
      <c r="L88" s="20">
        <f>E88/E87-1</f>
        <v/>
      </c>
      <c r="M88" s="20">
        <f>E88/MAX(E$2:E88)-1</f>
        <v/>
      </c>
    </row>
    <row r="89">
      <c r="A89" s="11" t="n">
        <v>43790</v>
      </c>
      <c r="B89" s="19" t="n">
        <v>1.118387261367232</v>
      </c>
      <c r="C89" s="19" t="n">
        <v>1.103246598170315</v>
      </c>
      <c r="D89" s="19" t="n">
        <v>1.107100523002839</v>
      </c>
      <c r="E89" s="19" t="n">
        <v>1.007208829141822</v>
      </c>
      <c r="F89" s="20">
        <f>B89/B88-1</f>
        <v/>
      </c>
      <c r="G89" s="20">
        <f>B89/MAX(B$2:B89)-1</f>
        <v/>
      </c>
      <c r="H89" s="20">
        <f>C89/C88-1</f>
        <v/>
      </c>
      <c r="I89" s="20">
        <f>C89/MAX(C$2:C89)-1</f>
        <v/>
      </c>
      <c r="J89" s="20">
        <f>D89/D88-1</f>
        <v/>
      </c>
      <c r="K89" s="20">
        <f>D89/MAX(D$2:D89)-1</f>
        <v/>
      </c>
      <c r="L89" s="20">
        <f>E89/E88-1</f>
        <v/>
      </c>
      <c r="M89" s="20">
        <f>E89/MAX(E$2:E89)-1</f>
        <v/>
      </c>
    </row>
    <row r="90">
      <c r="A90" s="11" t="n">
        <v>43791</v>
      </c>
      <c r="B90" s="19" t="n">
        <v>1.098695644221087</v>
      </c>
      <c r="C90" s="19" t="n">
        <v>1.08363704228709</v>
      </c>
      <c r="D90" s="19" t="n">
        <v>1.085517067658343</v>
      </c>
      <c r="E90" s="19" t="n">
        <v>0.997035378314741</v>
      </c>
      <c r="F90" s="20">
        <f>B90/B89-1</f>
        <v/>
      </c>
      <c r="G90" s="20">
        <f>B90/MAX(B$2:B90)-1</f>
        <v/>
      </c>
      <c r="H90" s="20">
        <f>C90/C89-1</f>
        <v/>
      </c>
      <c r="I90" s="20">
        <f>C90/MAX(C$2:C90)-1</f>
        <v/>
      </c>
      <c r="J90" s="20">
        <f>D90/D89-1</f>
        <v/>
      </c>
      <c r="K90" s="20">
        <f>D90/MAX(D$2:D90)-1</f>
        <v/>
      </c>
      <c r="L90" s="20">
        <f>E90/E89-1</f>
        <v/>
      </c>
      <c r="M90" s="20">
        <f>E90/MAX(E$2:E90)-1</f>
        <v/>
      </c>
    </row>
    <row r="91">
      <c r="A91" s="11" t="n">
        <v>43794</v>
      </c>
      <c r="B91" s="19" t="n">
        <v>1.082331279793638</v>
      </c>
      <c r="C91" s="19" t="n">
        <v>1.079967041712292</v>
      </c>
      <c r="D91" s="19" t="n">
        <v>1.073866808334675</v>
      </c>
      <c r="E91" s="19" t="n">
        <v>0.9991295840974271</v>
      </c>
      <c r="F91" s="20">
        <f>B91/B90-1</f>
        <v/>
      </c>
      <c r="G91" s="20">
        <f>B91/MAX(B$2:B91)-1</f>
        <v/>
      </c>
      <c r="H91" s="20">
        <f>C91/C90-1</f>
        <v/>
      </c>
      <c r="I91" s="20">
        <f>C91/MAX(C$2:C91)-1</f>
        <v/>
      </c>
      <c r="J91" s="20">
        <f>D91/D90-1</f>
        <v/>
      </c>
      <c r="K91" s="20">
        <f>D91/MAX(D$2:D91)-1</f>
        <v/>
      </c>
      <c r="L91" s="20">
        <f>E91/E90-1</f>
        <v/>
      </c>
      <c r="M91" s="20">
        <f>E91/MAX(E$2:E91)-1</f>
        <v/>
      </c>
    </row>
    <row r="92">
      <c r="A92" s="11" t="n">
        <v>43795</v>
      </c>
      <c r="B92" s="19" t="n">
        <v>1.091146075042891</v>
      </c>
      <c r="C92" s="19" t="n">
        <v>1.091691813073791</v>
      </c>
      <c r="D92" s="19" t="n">
        <v>1.085051597522843</v>
      </c>
      <c r="E92" s="19" t="n">
        <v>1.000226903290842</v>
      </c>
      <c r="F92" s="20">
        <f>B92/B91-1</f>
        <v/>
      </c>
      <c r="G92" s="20">
        <f>B92/MAX(B$2:B92)-1</f>
        <v/>
      </c>
      <c r="H92" s="20">
        <f>C92/C91-1</f>
        <v/>
      </c>
      <c r="I92" s="20">
        <f>C92/MAX(C$2:C92)-1</f>
        <v/>
      </c>
      <c r="J92" s="20">
        <f>D92/D91-1</f>
        <v/>
      </c>
      <c r="K92" s="20">
        <f>D92/MAX(D$2:D92)-1</f>
        <v/>
      </c>
      <c r="L92" s="20">
        <f>E92/E91-1</f>
        <v/>
      </c>
      <c r="M92" s="20">
        <f>E92/MAX(E$2:E92)-1</f>
        <v/>
      </c>
    </row>
    <row r="93">
      <c r="A93" s="11" t="n">
        <v>43796</v>
      </c>
      <c r="B93" s="19" t="n">
        <v>1.096135091773301</v>
      </c>
      <c r="C93" s="19" t="n">
        <v>1.089522443934956</v>
      </c>
      <c r="D93" s="19" t="n">
        <v>1.08201857783526</v>
      </c>
      <c r="E93" s="19" t="n">
        <v>0.9986274210767119</v>
      </c>
      <c r="F93" s="20">
        <f>B93/B92-1</f>
        <v/>
      </c>
      <c r="G93" s="20">
        <f>B93/MAX(B$2:B93)-1</f>
        <v/>
      </c>
      <c r="H93" s="20">
        <f>C93/C92-1</f>
        <v/>
      </c>
      <c r="I93" s="20">
        <f>C93/MAX(C$2:C93)-1</f>
        <v/>
      </c>
      <c r="J93" s="20">
        <f>D93/D92-1</f>
        <v/>
      </c>
      <c r="K93" s="20">
        <f>D93/MAX(D$2:D93)-1</f>
        <v/>
      </c>
      <c r="L93" s="20">
        <f>E93/E92-1</f>
        <v/>
      </c>
      <c r="M93" s="20">
        <f>E93/MAX(E$2:E93)-1</f>
        <v/>
      </c>
    </row>
    <row r="94">
      <c r="A94" s="11" t="n">
        <v>43797</v>
      </c>
      <c r="B94" s="19" t="n">
        <v>1.092681964613516</v>
      </c>
      <c r="C94" s="19" t="n">
        <v>1.086131520980244</v>
      </c>
      <c r="D94" s="19" t="n">
        <v>1.08163472491219</v>
      </c>
      <c r="E94" s="19" t="n">
        <v>0.9955326089786749</v>
      </c>
      <c r="F94" s="20">
        <f>B94/B93-1</f>
        <v/>
      </c>
      <c r="G94" s="20">
        <f>B94/MAX(B$2:B94)-1</f>
        <v/>
      </c>
      <c r="H94" s="20">
        <f>C94/C93-1</f>
        <v/>
      </c>
      <c r="I94" s="20">
        <f>C94/MAX(C$2:C94)-1</f>
        <v/>
      </c>
      <c r="J94" s="20">
        <f>D94/D93-1</f>
        <v/>
      </c>
      <c r="K94" s="20">
        <f>D94/MAX(D$2:D94)-1</f>
        <v/>
      </c>
      <c r="L94" s="20">
        <f>E94/E93-1</f>
        <v/>
      </c>
      <c r="M94" s="20">
        <f>E94/MAX(E$2:E94)-1</f>
        <v/>
      </c>
    </row>
    <row r="95">
      <c r="A95" s="11" t="n">
        <v>43798</v>
      </c>
      <c r="B95" s="19" t="n">
        <v>1.082593138193115</v>
      </c>
      <c r="C95" s="19" t="n">
        <v>1.078947605124889</v>
      </c>
      <c r="D95" s="19" t="n">
        <v>1.075884362562139</v>
      </c>
      <c r="E95" s="19" t="n">
        <v>0.9909536261749686</v>
      </c>
      <c r="F95" s="20">
        <f>B95/B94-1</f>
        <v/>
      </c>
      <c r="G95" s="20">
        <f>B95/MAX(B$2:B95)-1</f>
        <v/>
      </c>
      <c r="H95" s="20">
        <f>C95/C94-1</f>
        <v/>
      </c>
      <c r="I95" s="20">
        <f>C95/MAX(C$2:C95)-1</f>
        <v/>
      </c>
      <c r="J95" s="20">
        <f>D95/D94-1</f>
        <v/>
      </c>
      <c r="K95" s="20">
        <f>D95/MAX(D$2:D95)-1</f>
        <v/>
      </c>
      <c r="L95" s="20">
        <f>E95/E94-1</f>
        <v/>
      </c>
      <c r="M95" s="20">
        <f>E95/MAX(E$2:E95)-1</f>
        <v/>
      </c>
    </row>
    <row r="96">
      <c r="A96" s="11" t="n">
        <v>43801</v>
      </c>
      <c r="B96" s="19" t="n">
        <v>1.087583280575265</v>
      </c>
      <c r="C96" s="19" t="n">
        <v>1.076705267914756</v>
      </c>
      <c r="D96" s="19" t="n">
        <v>1.078882486529444</v>
      </c>
      <c r="E96" s="19" t="n">
        <v>0.9928358075711305</v>
      </c>
      <c r="F96" s="20">
        <f>B96/B95-1</f>
        <v/>
      </c>
      <c r="G96" s="20">
        <f>B96/MAX(B$2:B96)-1</f>
        <v/>
      </c>
      <c r="H96" s="20">
        <f>C96/C95-1</f>
        <v/>
      </c>
      <c r="I96" s="20">
        <f>C96/MAX(C$2:C96)-1</f>
        <v/>
      </c>
      <c r="J96" s="20">
        <f>D96/D95-1</f>
        <v/>
      </c>
      <c r="K96" s="20">
        <f>D96/MAX(D$2:D96)-1</f>
        <v/>
      </c>
      <c r="L96" s="20">
        <f>E96/E95-1</f>
        <v/>
      </c>
      <c r="M96" s="20">
        <f>E96/MAX(E$2:E96)-1</f>
        <v/>
      </c>
    </row>
    <row r="97">
      <c r="A97" s="11" t="n">
        <v>43802</v>
      </c>
      <c r="B97" s="19" t="n">
        <v>1.097242839814621</v>
      </c>
      <c r="C97" s="19" t="n">
        <v>1.081521160620426</v>
      </c>
      <c r="D97" s="19" t="n">
        <v>1.082662468496111</v>
      </c>
      <c r="E97" s="19" t="n">
        <v>0.9974036311965987</v>
      </c>
      <c r="F97" s="20">
        <f>B97/B96-1</f>
        <v/>
      </c>
      <c r="G97" s="20">
        <f>B97/MAX(B$2:B97)-1</f>
        <v/>
      </c>
      <c r="H97" s="20">
        <f>C97/C96-1</f>
        <v/>
      </c>
      <c r="I97" s="20">
        <f>C97/MAX(C$2:C97)-1</f>
        <v/>
      </c>
      <c r="J97" s="20">
        <f>D97/D96-1</f>
        <v/>
      </c>
      <c r="K97" s="20">
        <f>D97/MAX(D$2:D97)-1</f>
        <v/>
      </c>
      <c r="L97" s="20">
        <f>E97/E96-1</f>
        <v/>
      </c>
      <c r="M97" s="20">
        <f>E97/MAX(E$2:E97)-1</f>
        <v/>
      </c>
    </row>
    <row r="98">
      <c r="A98" s="11" t="n">
        <v>43803</v>
      </c>
      <c r="B98" s="19" t="n">
        <v>1.097354536210623</v>
      </c>
      <c r="C98" s="19" t="n">
        <v>1.080236595483916</v>
      </c>
      <c r="D98" s="19" t="n">
        <v>1.081624708548036</v>
      </c>
      <c r="E98" s="19" t="n">
        <v>0.9975040638007417</v>
      </c>
      <c r="F98" s="20">
        <f>B98/B97-1</f>
        <v/>
      </c>
      <c r="G98" s="20">
        <f>B98/MAX(B$2:B98)-1</f>
        <v/>
      </c>
      <c r="H98" s="20">
        <f>C98/C97-1</f>
        <v/>
      </c>
      <c r="I98" s="20">
        <f>C98/MAX(C$2:C98)-1</f>
        <v/>
      </c>
      <c r="J98" s="20">
        <f>D98/D97-1</f>
        <v/>
      </c>
      <c r="K98" s="20">
        <f>D98/MAX(D$2:D98)-1</f>
        <v/>
      </c>
      <c r="L98" s="20">
        <f>E98/E97-1</f>
        <v/>
      </c>
      <c r="M98" s="20">
        <f>E98/MAX(E$2:E98)-1</f>
        <v/>
      </c>
    </row>
    <row r="99">
      <c r="A99" s="11" t="n">
        <v>43804</v>
      </c>
      <c r="B99" s="19" t="n">
        <v>1.114073461663627</v>
      </c>
      <c r="C99" s="19" t="n">
        <v>1.097488614070813</v>
      </c>
      <c r="D99" s="19" t="n">
        <v>1.104918958890063</v>
      </c>
      <c r="E99" s="19" t="n">
        <v>1.006680628038551</v>
      </c>
      <c r="F99" s="20">
        <f>B99/B98-1</f>
        <v/>
      </c>
      <c r="G99" s="20">
        <f>B99/MAX(B$2:B99)-1</f>
        <v/>
      </c>
      <c r="H99" s="20">
        <f>C99/C98-1</f>
        <v/>
      </c>
      <c r="I99" s="20">
        <f>C99/MAX(C$2:C99)-1</f>
        <v/>
      </c>
      <c r="J99" s="20">
        <f>D99/D98-1</f>
        <v/>
      </c>
      <c r="K99" s="20">
        <f>D99/MAX(D$2:D99)-1</f>
        <v/>
      </c>
      <c r="L99" s="20">
        <f>E99/E98-1</f>
        <v/>
      </c>
      <c r="M99" s="20">
        <f>E99/MAX(E$2:E99)-1</f>
        <v/>
      </c>
    </row>
    <row r="100">
      <c r="A100" s="11" t="n">
        <v>43805</v>
      </c>
      <c r="B100" s="19" t="n">
        <v>1.127712701209117</v>
      </c>
      <c r="C100" s="19" t="n">
        <v>1.104973637458354</v>
      </c>
      <c r="D100" s="19" t="n">
        <v>1.115888299316361</v>
      </c>
      <c r="E100" s="19" t="n">
        <v>1.013223626212166</v>
      </c>
      <c r="F100" s="20">
        <f>B100/B99-1</f>
        <v/>
      </c>
      <c r="G100" s="20">
        <f>B100/MAX(B$2:B100)-1</f>
        <v/>
      </c>
      <c r="H100" s="20">
        <f>C100/C99-1</f>
        <v/>
      </c>
      <c r="I100" s="20">
        <f>C100/MAX(C$2:C100)-1</f>
        <v/>
      </c>
      <c r="J100" s="20">
        <f>D100/D99-1</f>
        <v/>
      </c>
      <c r="K100" s="20">
        <f>D100/MAX(D$2:D100)-1</f>
        <v/>
      </c>
      <c r="L100" s="20">
        <f>E100/E99-1</f>
        <v/>
      </c>
      <c r="M100" s="20">
        <f>E100/MAX(E$2:E100)-1</f>
        <v/>
      </c>
    </row>
    <row r="101">
      <c r="A101" s="11" t="n">
        <v>43808</v>
      </c>
      <c r="B101" s="19" t="n">
        <v>1.124597101965258</v>
      </c>
      <c r="C101" s="19" t="n">
        <v>1.099424552721836</v>
      </c>
      <c r="D101" s="19" t="n">
        <v>1.112185217177716</v>
      </c>
      <c r="E101" s="19" t="n">
        <v>1.013829941563103</v>
      </c>
      <c r="F101" s="20">
        <f>B101/B100-1</f>
        <v/>
      </c>
      <c r="G101" s="20">
        <f>B101/MAX(B$2:B101)-1</f>
        <v/>
      </c>
      <c r="H101" s="20">
        <f>C101/C100-1</f>
        <v/>
      </c>
      <c r="I101" s="20">
        <f>C101/MAX(C$2:C101)-1</f>
        <v/>
      </c>
      <c r="J101" s="20">
        <f>D101/D100-1</f>
        <v/>
      </c>
      <c r="K101" s="20">
        <f>D101/MAX(D$2:D101)-1</f>
        <v/>
      </c>
      <c r="L101" s="20">
        <f>E101/E100-1</f>
        <v/>
      </c>
      <c r="M101" s="20">
        <f>E101/MAX(E$2:E101)-1</f>
        <v/>
      </c>
    </row>
    <row r="102">
      <c r="A102" s="11" t="n">
        <v>43809</v>
      </c>
      <c r="B102" s="19" t="n">
        <v>1.13755855667683</v>
      </c>
      <c r="C102" s="19" t="n">
        <v>1.110024403659178</v>
      </c>
      <c r="D102" s="19" t="n">
        <v>1.120554309469594</v>
      </c>
      <c r="E102" s="19" t="n">
        <v>1.017073542704315</v>
      </c>
      <c r="F102" s="20">
        <f>B102/B101-1</f>
        <v/>
      </c>
      <c r="G102" s="20">
        <f>B102/MAX(B$2:B102)-1</f>
        <v/>
      </c>
      <c r="H102" s="20">
        <f>C102/C101-1</f>
        <v/>
      </c>
      <c r="I102" s="20">
        <f>C102/MAX(C$2:C102)-1</f>
        <v/>
      </c>
      <c r="J102" s="20">
        <f>D102/D101-1</f>
        <v/>
      </c>
      <c r="K102" s="20">
        <f>D102/MAX(D$2:D102)-1</f>
        <v/>
      </c>
      <c r="L102" s="20">
        <f>E102/E101-1</f>
        <v/>
      </c>
      <c r="M102" s="20">
        <f>E102/MAX(E$2:E102)-1</f>
        <v/>
      </c>
    </row>
    <row r="103">
      <c r="A103" s="11" t="n">
        <v>43810</v>
      </c>
      <c r="B103" s="19" t="n">
        <v>1.133724962785291</v>
      </c>
      <c r="C103" s="19" t="n">
        <v>1.106114671464506</v>
      </c>
      <c r="D103" s="19" t="n">
        <v>1.110368571828672</v>
      </c>
      <c r="E103" s="19" t="n">
        <v>1.015953905154425</v>
      </c>
      <c r="F103" s="20">
        <f>B103/B102-1</f>
        <v/>
      </c>
      <c r="G103" s="20">
        <f>B103/MAX(B$2:B103)-1</f>
        <v/>
      </c>
      <c r="H103" s="20">
        <f>C103/C102-1</f>
        <v/>
      </c>
      <c r="I103" s="20">
        <f>C103/MAX(C$2:C103)-1</f>
        <v/>
      </c>
      <c r="J103" s="20">
        <f>D103/D102-1</f>
        <v/>
      </c>
      <c r="K103" s="20">
        <f>D103/MAX(D$2:D103)-1</f>
        <v/>
      </c>
      <c r="L103" s="20">
        <f>E103/E102-1</f>
        <v/>
      </c>
      <c r="M103" s="20">
        <f>E103/MAX(E$2:E103)-1</f>
        <v/>
      </c>
    </row>
    <row r="104">
      <c r="A104" s="11" t="n">
        <v>43811</v>
      </c>
      <c r="B104" s="19" t="n">
        <v>1.140116339805696</v>
      </c>
      <c r="C104" s="19" t="n">
        <v>1.105579315740348</v>
      </c>
      <c r="D104" s="19" t="n">
        <v>1.112130482594241</v>
      </c>
      <c r="E104" s="19" t="n">
        <v>1.013718349780722</v>
      </c>
      <c r="F104" s="20">
        <f>B104/B103-1</f>
        <v/>
      </c>
      <c r="G104" s="20">
        <f>B104/MAX(B$2:B104)-1</f>
        <v/>
      </c>
      <c r="H104" s="20">
        <f>C104/C103-1</f>
        <v/>
      </c>
      <c r="I104" s="20">
        <f>C104/MAX(C$2:C104)-1</f>
        <v/>
      </c>
      <c r="J104" s="20">
        <f>D104/D103-1</f>
        <v/>
      </c>
      <c r="K104" s="20">
        <f>D104/MAX(D$2:D104)-1</f>
        <v/>
      </c>
      <c r="L104" s="20">
        <f>E104/E103-1</f>
        <v/>
      </c>
      <c r="M104" s="20">
        <f>E104/MAX(E$2:E104)-1</f>
        <v/>
      </c>
    </row>
    <row r="105">
      <c r="A105" s="11" t="n">
        <v>43812</v>
      </c>
      <c r="B105" s="19" t="n">
        <v>1.153695064394841</v>
      </c>
      <c r="C105" s="19" t="n">
        <v>1.123545286260189</v>
      </c>
      <c r="D105" s="19" t="n">
        <v>1.134377925949601</v>
      </c>
      <c r="E105" s="19" t="n">
        <v>1.030341805629434</v>
      </c>
      <c r="F105" s="20">
        <f>B105/B104-1</f>
        <v/>
      </c>
      <c r="G105" s="20">
        <f>B105/MAX(B$2:B105)-1</f>
        <v/>
      </c>
      <c r="H105" s="20">
        <f>C105/C104-1</f>
        <v/>
      </c>
      <c r="I105" s="20">
        <f>C105/MAX(C$2:C105)-1</f>
        <v/>
      </c>
      <c r="J105" s="20">
        <f>D105/D104-1</f>
        <v/>
      </c>
      <c r="K105" s="20">
        <f>D105/MAX(D$2:D105)-1</f>
        <v/>
      </c>
      <c r="L105" s="20">
        <f>E105/E104-1</f>
        <v/>
      </c>
      <c r="M105" s="20">
        <f>E105/MAX(E$2:E105)-1</f>
        <v/>
      </c>
    </row>
    <row r="106">
      <c r="A106" s="11" t="n">
        <v>43815</v>
      </c>
      <c r="B106" s="19" t="n">
        <v>1.17709337847281</v>
      </c>
      <c r="C106" s="19" t="n">
        <v>1.145003478850202</v>
      </c>
      <c r="D106" s="19" t="n">
        <v>1.150481525397913</v>
      </c>
      <c r="E106" s="19" t="n">
        <v>1.041058336464103</v>
      </c>
      <c r="F106" s="20">
        <f>B106/B105-1</f>
        <v/>
      </c>
      <c r="G106" s="20">
        <f>B106/MAX(B$2:B106)-1</f>
        <v/>
      </c>
      <c r="H106" s="20">
        <f>C106/C105-1</f>
        <v/>
      </c>
      <c r="I106" s="20">
        <f>C106/MAX(C$2:C106)-1</f>
        <v/>
      </c>
      <c r="J106" s="20">
        <f>D106/D105-1</f>
        <v/>
      </c>
      <c r="K106" s="20">
        <f>D106/MAX(D$2:D106)-1</f>
        <v/>
      </c>
      <c r="L106" s="20">
        <f>E106/E105-1</f>
        <v/>
      </c>
      <c r="M106" s="20">
        <f>E106/MAX(E$2:E106)-1</f>
        <v/>
      </c>
    </row>
    <row r="107">
      <c r="A107" s="11" t="n">
        <v>43816</v>
      </c>
      <c r="B107" s="19" t="n">
        <v>1.189623164744178</v>
      </c>
      <c r="C107" s="19" t="n">
        <v>1.1604767022857</v>
      </c>
      <c r="D107" s="19" t="n">
        <v>1.164235091950546</v>
      </c>
      <c r="E107" s="19" t="n">
        <v>1.054694852271079</v>
      </c>
      <c r="F107" s="20">
        <f>B107/B106-1</f>
        <v/>
      </c>
      <c r="G107" s="20">
        <f>B107/MAX(B$2:B107)-1</f>
        <v/>
      </c>
      <c r="H107" s="20">
        <f>C107/C106-1</f>
        <v/>
      </c>
      <c r="I107" s="20">
        <f>C107/MAX(C$2:C107)-1</f>
        <v/>
      </c>
      <c r="J107" s="20">
        <f>D107/D106-1</f>
        <v/>
      </c>
      <c r="K107" s="20">
        <f>D107/MAX(D$2:D107)-1</f>
        <v/>
      </c>
      <c r="L107" s="20">
        <f>E107/E106-1</f>
        <v/>
      </c>
      <c r="M107" s="20">
        <f>E107/MAX(E$2:E107)-1</f>
        <v/>
      </c>
    </row>
    <row r="108">
      <c r="A108" s="11" t="n">
        <v>43817</v>
      </c>
      <c r="B108" s="19" t="n">
        <v>1.186812897017361</v>
      </c>
      <c r="C108" s="19" t="n">
        <v>1.1568319543394</v>
      </c>
      <c r="D108" s="19" t="n">
        <v>1.158290929109538</v>
      </c>
      <c r="E108" s="19" t="n">
        <v>1.053958346507363</v>
      </c>
      <c r="F108" s="20">
        <f>B108/B107-1</f>
        <v/>
      </c>
      <c r="G108" s="20">
        <f>B108/MAX(B$2:B108)-1</f>
        <v/>
      </c>
      <c r="H108" s="20">
        <f>C108/C107-1</f>
        <v/>
      </c>
      <c r="I108" s="20">
        <f>C108/MAX(C$2:C108)-1</f>
        <v/>
      </c>
      <c r="J108" s="20">
        <f>D108/D107-1</f>
        <v/>
      </c>
      <c r="K108" s="20">
        <f>D108/MAX(D$2:D108)-1</f>
        <v/>
      </c>
      <c r="L108" s="20">
        <f>E108/E107-1</f>
        <v/>
      </c>
      <c r="M108" s="20">
        <f>E108/MAX(E$2:E108)-1</f>
        <v/>
      </c>
    </row>
    <row r="109">
      <c r="A109" s="11" t="n">
        <v>43818</v>
      </c>
      <c r="B109" s="19" t="n">
        <v>1.17955428801236</v>
      </c>
      <c r="C109" s="19" t="n">
        <v>1.152242517586051</v>
      </c>
      <c r="D109" s="19" t="n">
        <v>1.157011225500862</v>
      </c>
      <c r="E109" s="19" t="n">
        <v>1.054906876657603</v>
      </c>
      <c r="F109" s="20">
        <f>B109/B108-1</f>
        <v/>
      </c>
      <c r="G109" s="20">
        <f>B109/MAX(B$2:B109)-1</f>
        <v/>
      </c>
      <c r="H109" s="20">
        <f>C109/C108-1</f>
        <v/>
      </c>
      <c r="I109" s="20">
        <f>C109/MAX(C$2:C109)-1</f>
        <v/>
      </c>
      <c r="J109" s="20">
        <f>D109/D108-1</f>
        <v/>
      </c>
      <c r="K109" s="20">
        <f>D109/MAX(D$2:D109)-1</f>
        <v/>
      </c>
      <c r="L109" s="20">
        <f>E109/E108-1</f>
        <v/>
      </c>
      <c r="M109" s="20">
        <f>E109/MAX(E$2:E109)-1</f>
        <v/>
      </c>
    </row>
    <row r="110">
      <c r="A110" s="11" t="n">
        <v>43819</v>
      </c>
      <c r="B110" s="19" t="n">
        <v>1.163192128518837</v>
      </c>
      <c r="C110" s="19" t="n">
        <v>1.141488168662546</v>
      </c>
      <c r="D110" s="19" t="n">
        <v>1.144906934083342</v>
      </c>
      <c r="E110" s="19" t="n">
        <v>1.04847175054029</v>
      </c>
      <c r="F110" s="20">
        <f>B110/B109-1</f>
        <v/>
      </c>
      <c r="G110" s="20">
        <f>B110/MAX(B$2:B110)-1</f>
        <v/>
      </c>
      <c r="H110" s="20">
        <f>C110/C109-1</f>
        <v/>
      </c>
      <c r="I110" s="20">
        <f>C110/MAX(C$2:C110)-1</f>
        <v/>
      </c>
      <c r="J110" s="20">
        <f>D110/D109-1</f>
        <v/>
      </c>
      <c r="K110" s="20">
        <f>D110/MAX(D$2:D110)-1</f>
        <v/>
      </c>
      <c r="L110" s="20">
        <f>E110/E109-1</f>
        <v/>
      </c>
      <c r="M110" s="20">
        <f>E110/MAX(E$2:E110)-1</f>
        <v/>
      </c>
    </row>
    <row r="111">
      <c r="A111" s="11" t="n">
        <v>43822</v>
      </c>
      <c r="B111" s="19" t="n">
        <v>1.139537998906575</v>
      </c>
      <c r="C111" s="19" t="n">
        <v>1.123891608022447</v>
      </c>
      <c r="D111" s="19" t="n">
        <v>1.122236024700225</v>
      </c>
      <c r="E111" s="19" t="n">
        <v>1.031383328931657</v>
      </c>
      <c r="F111" s="20">
        <f>B111/B110-1</f>
        <v/>
      </c>
      <c r="G111" s="20">
        <f>B111/MAX(B$2:B111)-1</f>
        <v/>
      </c>
      <c r="H111" s="20">
        <f>C111/C110-1</f>
        <v/>
      </c>
      <c r="I111" s="20">
        <f>C111/MAX(C$2:C111)-1</f>
        <v/>
      </c>
      <c r="J111" s="20">
        <f>D111/D110-1</f>
        <v/>
      </c>
      <c r="K111" s="20">
        <f>D111/MAX(D$2:D111)-1</f>
        <v/>
      </c>
      <c r="L111" s="20">
        <f>E111/E110-1</f>
        <v/>
      </c>
      <c r="M111" s="20">
        <f>E111/MAX(E$2:E111)-1</f>
        <v/>
      </c>
    </row>
    <row r="112">
      <c r="A112" s="11" t="n">
        <v>43823</v>
      </c>
      <c r="B112" s="19" t="n">
        <v>1.166624950580404</v>
      </c>
      <c r="C112" s="19" t="n">
        <v>1.139905093407068</v>
      </c>
      <c r="D112" s="19" t="n">
        <v>1.143719381024883</v>
      </c>
      <c r="E112" s="19" t="n">
        <v>1.043037230738328</v>
      </c>
      <c r="F112" s="20">
        <f>B112/B111-1</f>
        <v/>
      </c>
      <c r="G112" s="20">
        <f>B112/MAX(B$2:B112)-1</f>
        <v/>
      </c>
      <c r="H112" s="20">
        <f>C112/C111-1</f>
        <v/>
      </c>
      <c r="I112" s="20">
        <f>C112/MAX(C$2:C112)-1</f>
        <v/>
      </c>
      <c r="J112" s="20">
        <f>D112/D111-1</f>
        <v/>
      </c>
      <c r="K112" s="20">
        <f>D112/MAX(D$2:D112)-1</f>
        <v/>
      </c>
      <c r="L112" s="20">
        <f>E112/E111-1</f>
        <v/>
      </c>
      <c r="M112" s="20">
        <f>E112/MAX(E$2:E112)-1</f>
        <v/>
      </c>
    </row>
    <row r="113">
      <c r="A113" s="11" t="n">
        <v>43824</v>
      </c>
      <c r="B113" s="19" t="n">
        <v>1.18753234227005</v>
      </c>
      <c r="C113" s="19" t="n">
        <v>1.149630866696665</v>
      </c>
      <c r="D113" s="19" t="n">
        <v>1.153106265158232</v>
      </c>
      <c r="E113" s="19" t="n">
        <v>1.044915692408411</v>
      </c>
      <c r="F113" s="20">
        <f>B113/B112-1</f>
        <v/>
      </c>
      <c r="G113" s="20">
        <f>B113/MAX(B$2:B113)-1</f>
        <v/>
      </c>
      <c r="H113" s="20">
        <f>C113/C112-1</f>
        <v/>
      </c>
      <c r="I113" s="20">
        <f>C113/MAX(C$2:C113)-1</f>
        <v/>
      </c>
      <c r="J113" s="20">
        <f>D113/D112-1</f>
        <v/>
      </c>
      <c r="K113" s="20">
        <f>D113/MAX(D$2:D113)-1</f>
        <v/>
      </c>
      <c r="L113" s="20">
        <f>E113/E112-1</f>
        <v/>
      </c>
      <c r="M113" s="20">
        <f>E113/MAX(E$2:E113)-1</f>
        <v/>
      </c>
    </row>
    <row r="114">
      <c r="A114" s="11" t="n">
        <v>43825</v>
      </c>
      <c r="B114" s="19" t="n">
        <v>1.192504821543241</v>
      </c>
      <c r="C114" s="19" t="n">
        <v>1.153794760584639</v>
      </c>
      <c r="D114" s="19" t="n">
        <v>1.159077762980125</v>
      </c>
      <c r="E114" s="19" t="n">
        <v>1.053482221569204</v>
      </c>
      <c r="F114" s="20">
        <f>B114/B113-1</f>
        <v/>
      </c>
      <c r="G114" s="20">
        <f>B114/MAX(B$2:B114)-1</f>
        <v/>
      </c>
      <c r="H114" s="20">
        <f>C114/C113-1</f>
        <v/>
      </c>
      <c r="I114" s="20">
        <f>C114/MAX(C$2:C114)-1</f>
        <v/>
      </c>
      <c r="J114" s="20">
        <f>D114/D113-1</f>
        <v/>
      </c>
      <c r="K114" s="20">
        <f>D114/MAX(D$2:D114)-1</f>
        <v/>
      </c>
      <c r="L114" s="20">
        <f>E114/E113-1</f>
        <v/>
      </c>
      <c r="M114" s="20">
        <f>E114/MAX(E$2:E114)-1</f>
        <v/>
      </c>
    </row>
    <row r="115">
      <c r="A115" s="11" t="n">
        <v>43826</v>
      </c>
      <c r="B115" s="19" t="n">
        <v>1.172686473160974</v>
      </c>
      <c r="C115" s="19" t="n">
        <v>1.143615305786483</v>
      </c>
      <c r="D115" s="19" t="n">
        <v>1.142241482649363</v>
      </c>
      <c r="E115" s="19" t="n">
        <v>1.049055747534752</v>
      </c>
      <c r="F115" s="20">
        <f>B115/B114-1</f>
        <v/>
      </c>
      <c r="G115" s="20">
        <f>B115/MAX(B$2:B115)-1</f>
        <v/>
      </c>
      <c r="H115" s="20">
        <f>C115/C114-1</f>
        <v/>
      </c>
      <c r="I115" s="20">
        <f>C115/MAX(C$2:C115)-1</f>
        <v/>
      </c>
      <c r="J115" s="20">
        <f>D115/D114-1</f>
        <v/>
      </c>
      <c r="K115" s="20">
        <f>D115/MAX(D$2:D115)-1</f>
        <v/>
      </c>
      <c r="L115" s="20">
        <f>E115/E114-1</f>
        <v/>
      </c>
      <c r="M115" s="20">
        <f>E115/MAX(E$2:E115)-1</f>
        <v/>
      </c>
    </row>
    <row r="116">
      <c r="A116" s="11" t="n">
        <v>43829</v>
      </c>
      <c r="B116" s="19" t="n">
        <v>1.180927917403951</v>
      </c>
      <c r="C116" s="19" t="n">
        <v>1.156125698445617</v>
      </c>
      <c r="D116" s="19" t="n">
        <v>1.156882628309463</v>
      </c>
      <c r="E116" s="19" t="n">
        <v>1.060806362219486</v>
      </c>
      <c r="F116" s="20">
        <f>B116/B115-1</f>
        <v/>
      </c>
      <c r="G116" s="20">
        <f>B116/MAX(B$2:B116)-1</f>
        <v/>
      </c>
      <c r="H116" s="20">
        <f>C116/C115-1</f>
        <v/>
      </c>
      <c r="I116" s="20">
        <f>C116/MAX(C$2:C116)-1</f>
        <v/>
      </c>
      <c r="J116" s="20">
        <f>D116/D115-1</f>
        <v/>
      </c>
      <c r="K116" s="20">
        <f>D116/MAX(D$2:D116)-1</f>
        <v/>
      </c>
      <c r="L116" s="20">
        <f>E116/E115-1</f>
        <v/>
      </c>
      <c r="M116" s="20">
        <f>E116/MAX(E$2:E116)-1</f>
        <v/>
      </c>
    </row>
    <row r="117">
      <c r="A117" s="11" t="n">
        <v>43830</v>
      </c>
      <c r="B117" s="19" t="n">
        <v>1.185047611564287</v>
      </c>
      <c r="C117" s="19" t="n">
        <v>1.166133098668273</v>
      </c>
      <c r="D117" s="19" t="n">
        <v>1.161974560115213</v>
      </c>
      <c r="E117" s="19" t="n">
        <v>1.065474618449097</v>
      </c>
      <c r="F117" s="20">
        <f>B117/B116-1</f>
        <v/>
      </c>
      <c r="G117" s="20">
        <f>B117/MAX(B$2:B117)-1</f>
        <v/>
      </c>
      <c r="H117" s="20">
        <f>C117/C116-1</f>
        <v/>
      </c>
      <c r="I117" s="20">
        <f>C117/MAX(C$2:C117)-1</f>
        <v/>
      </c>
      <c r="J117" s="20">
        <f>D117/D116-1</f>
        <v/>
      </c>
      <c r="K117" s="20">
        <f>D117/MAX(D$2:D117)-1</f>
        <v/>
      </c>
      <c r="L117" s="20">
        <f>E117/E116-1</f>
        <v/>
      </c>
      <c r="M117" s="20">
        <f>E117/MAX(E$2:E117)-1</f>
        <v/>
      </c>
    </row>
    <row r="118">
      <c r="A118" s="11" t="n">
        <v>43832</v>
      </c>
      <c r="B118" s="19" t="n">
        <v>1.219130016592633</v>
      </c>
      <c r="C118" s="19" t="n">
        <v>1.196783921434984</v>
      </c>
      <c r="D118" s="19" t="n">
        <v>1.184348855875958</v>
      </c>
      <c r="E118" s="19" t="n">
        <v>1.082310098684333</v>
      </c>
      <c r="F118" s="20">
        <f>B118/B117-1</f>
        <v/>
      </c>
      <c r="G118" s="20">
        <f>B118/MAX(B$2:B118)-1</f>
        <v/>
      </c>
      <c r="H118" s="20">
        <f>C118/C117-1</f>
        <v/>
      </c>
      <c r="I118" s="20">
        <f>C118/MAX(C$2:C118)-1</f>
        <v/>
      </c>
      <c r="J118" s="20">
        <f>D118/D117-1</f>
        <v/>
      </c>
      <c r="K118" s="20">
        <f>D118/MAX(D$2:D118)-1</f>
        <v/>
      </c>
      <c r="L118" s="20">
        <f>E118/E117-1</f>
        <v/>
      </c>
      <c r="M118" s="20">
        <f>E118/MAX(E$2:E118)-1</f>
        <v/>
      </c>
    </row>
    <row r="119">
      <c r="A119" s="11" t="n">
        <v>43833</v>
      </c>
      <c r="B119" s="19" t="n">
        <v>1.221423619063448</v>
      </c>
      <c r="C119" s="19" t="n">
        <v>1.198777965181676</v>
      </c>
      <c r="D119" s="19" t="n">
        <v>1.186462114847373</v>
      </c>
      <c r="E119" s="19" t="n">
        <v>1.083500411029732</v>
      </c>
      <c r="F119" s="20">
        <f>B119/B118-1</f>
        <v/>
      </c>
      <c r="G119" s="20">
        <f>B119/MAX(B$2:B119)-1</f>
        <v/>
      </c>
      <c r="H119" s="20">
        <f>C119/C118-1</f>
        <v/>
      </c>
      <c r="I119" s="20">
        <f>C119/MAX(C$2:C119)-1</f>
        <v/>
      </c>
      <c r="J119" s="20">
        <f>D119/D118-1</f>
        <v/>
      </c>
      <c r="K119" s="20">
        <f>D119/MAX(D$2:D119)-1</f>
        <v/>
      </c>
      <c r="L119" s="20">
        <f>E119/E118-1</f>
        <v/>
      </c>
      <c r="M119" s="20">
        <f>E119/MAX(E$2:E119)-1</f>
        <v/>
      </c>
    </row>
    <row r="120">
      <c r="A120" s="11" t="n">
        <v>43836</v>
      </c>
      <c r="B120" s="19" t="n">
        <v>1.229267441609186</v>
      </c>
      <c r="C120" s="19" t="n">
        <v>1.199393504013845</v>
      </c>
      <c r="D120" s="19" t="n">
        <v>1.201912582731129</v>
      </c>
      <c r="E120" s="19" t="n">
        <v>1.085557419551624</v>
      </c>
      <c r="F120" s="20">
        <f>B120/B119-1</f>
        <v/>
      </c>
      <c r="G120" s="20">
        <f>B120/MAX(B$2:B120)-1</f>
        <v/>
      </c>
      <c r="H120" s="20">
        <f>C120/C119-1</f>
        <v/>
      </c>
      <c r="I120" s="20">
        <f>C120/MAX(C$2:C120)-1</f>
        <v/>
      </c>
      <c r="J120" s="20">
        <f>D120/D119-1</f>
        <v/>
      </c>
      <c r="K120" s="20">
        <f>D120/MAX(D$2:D120)-1</f>
        <v/>
      </c>
      <c r="L120" s="20">
        <f>E120/E119-1</f>
        <v/>
      </c>
      <c r="M120" s="20">
        <f>E120/MAX(E$2:E120)-1</f>
        <v/>
      </c>
    </row>
    <row r="121">
      <c r="A121" s="11" t="n">
        <v>43837</v>
      </c>
      <c r="B121" s="19" t="n">
        <v>1.240499642261099</v>
      </c>
      <c r="C121" s="19" t="n">
        <v>1.210378830312678</v>
      </c>
      <c r="D121" s="19" t="n">
        <v>1.22342721596063</v>
      </c>
      <c r="E121" s="19" t="n">
        <v>1.096738916146215</v>
      </c>
      <c r="F121" s="20">
        <f>B121/B120-1</f>
        <v/>
      </c>
      <c r="G121" s="20">
        <f>B121/MAX(B$2:B121)-1</f>
        <v/>
      </c>
      <c r="H121" s="20">
        <f>C121/C120-1</f>
        <v/>
      </c>
      <c r="I121" s="20">
        <f>C121/MAX(C$2:C121)-1</f>
        <v/>
      </c>
      <c r="J121" s="20">
        <f>D121/D120-1</f>
        <v/>
      </c>
      <c r="K121" s="20">
        <f>D121/MAX(D$2:D121)-1</f>
        <v/>
      </c>
      <c r="L121" s="20">
        <f>E121/E120-1</f>
        <v/>
      </c>
      <c r="M121" s="20">
        <f>E121/MAX(E$2:E121)-1</f>
        <v/>
      </c>
    </row>
    <row r="122">
      <c r="A122" s="11" t="n">
        <v>43838</v>
      </c>
      <c r="B122" s="19" t="n">
        <v>1.225813204068631</v>
      </c>
      <c r="C122" s="19" t="n">
        <v>1.200844255495994</v>
      </c>
      <c r="D122" s="19" t="n">
        <v>1.203707967539484</v>
      </c>
      <c r="E122" s="19" t="n">
        <v>1.083028005817652</v>
      </c>
      <c r="F122" s="20">
        <f>B122/B121-1</f>
        <v/>
      </c>
      <c r="G122" s="20">
        <f>B122/MAX(B$2:B122)-1</f>
        <v/>
      </c>
      <c r="H122" s="20">
        <f>C122/C121-1</f>
        <v/>
      </c>
      <c r="I122" s="20">
        <f>C122/MAX(C$2:C122)-1</f>
        <v/>
      </c>
      <c r="J122" s="20">
        <f>D122/D121-1</f>
        <v/>
      </c>
      <c r="K122" s="20">
        <f>D122/MAX(D$2:D122)-1</f>
        <v/>
      </c>
      <c r="L122" s="20">
        <f>E122/E121-1</f>
        <v/>
      </c>
      <c r="M122" s="20">
        <f>E122/MAX(E$2:E122)-1</f>
        <v/>
      </c>
    </row>
    <row r="123">
      <c r="A123" s="11" t="n">
        <v>43839</v>
      </c>
      <c r="B123" s="19" t="n">
        <v>1.253582676074832</v>
      </c>
      <c r="C123" s="19" t="n">
        <v>1.226920360184253</v>
      </c>
      <c r="D123" s="19" t="n">
        <v>1.236305093799373</v>
      </c>
      <c r="E123" s="19" t="n">
        <v>1.098297481373472</v>
      </c>
      <c r="F123" s="20">
        <f>B123/B122-1</f>
        <v/>
      </c>
      <c r="G123" s="20">
        <f>B123/MAX(B$2:B123)-1</f>
        <v/>
      </c>
      <c r="H123" s="20">
        <f>C123/C122-1</f>
        <v/>
      </c>
      <c r="I123" s="20">
        <f>C123/MAX(C$2:C123)-1</f>
        <v/>
      </c>
      <c r="J123" s="20">
        <f>D123/D122-1</f>
        <v/>
      </c>
      <c r="K123" s="20">
        <f>D123/MAX(D$2:D123)-1</f>
        <v/>
      </c>
      <c r="L123" s="20">
        <f>E123/E122-1</f>
        <v/>
      </c>
      <c r="M123" s="20">
        <f>E123/MAX(E$2:E123)-1</f>
        <v/>
      </c>
    </row>
    <row r="124">
      <c r="A124" s="11" t="n">
        <v>43840</v>
      </c>
      <c r="B124" s="19" t="n">
        <v>1.256416475641852</v>
      </c>
      <c r="C124" s="19" t="n">
        <v>1.231159001852581</v>
      </c>
      <c r="D124" s="19" t="n">
        <v>1.230522937570846</v>
      </c>
      <c r="E124" s="19" t="n">
        <v>1.096761234502691</v>
      </c>
      <c r="F124" s="20">
        <f>B124/B123-1</f>
        <v/>
      </c>
      <c r="G124" s="20">
        <f>B124/MAX(B$2:B124)-1</f>
        <v/>
      </c>
      <c r="H124" s="20">
        <f>C124/C123-1</f>
        <v/>
      </c>
      <c r="I124" s="20">
        <f>C124/MAX(C$2:C124)-1</f>
        <v/>
      </c>
      <c r="J124" s="20">
        <f>D124/D123-1</f>
        <v/>
      </c>
      <c r="K124" s="20">
        <f>D124/MAX(D$2:D124)-1</f>
        <v/>
      </c>
      <c r="L124" s="20">
        <f>E124/E123-1</f>
        <v/>
      </c>
      <c r="M124" s="20">
        <f>E124/MAX(E$2:E124)-1</f>
        <v/>
      </c>
    </row>
    <row r="125">
      <c r="A125" s="11" t="n">
        <v>43843</v>
      </c>
      <c r="B125" s="19" t="n">
        <v>1.287494617363438</v>
      </c>
      <c r="C125" s="19" t="n">
        <v>1.248715831690509</v>
      </c>
      <c r="D125" s="19" t="n">
        <v>1.250476245804678</v>
      </c>
      <c r="E125" s="19" t="n">
        <v>1.108824306178093</v>
      </c>
      <c r="F125" s="20">
        <f>B125/B124-1</f>
        <v/>
      </c>
      <c r="G125" s="20">
        <f>B125/MAX(B$2:B125)-1</f>
        <v/>
      </c>
      <c r="H125" s="20">
        <f>C125/C124-1</f>
        <v/>
      </c>
      <c r="I125" s="20">
        <f>C125/MAX(C$2:C125)-1</f>
        <v/>
      </c>
      <c r="J125" s="20">
        <f>D125/D124-1</f>
        <v/>
      </c>
      <c r="K125" s="20">
        <f>D125/MAX(D$2:D125)-1</f>
        <v/>
      </c>
      <c r="L125" s="20">
        <f>E125/E124-1</f>
        <v/>
      </c>
      <c r="M125" s="20">
        <f>E125/MAX(E$2:E125)-1</f>
        <v/>
      </c>
    </row>
    <row r="126">
      <c r="A126" s="11" t="n">
        <v>43844</v>
      </c>
      <c r="B126" s="19" t="n">
        <v>1.283051996962842</v>
      </c>
      <c r="C126" s="19" t="n">
        <v>1.241363901680214</v>
      </c>
      <c r="D126" s="19" t="n">
        <v>1.242389291873427</v>
      </c>
      <c r="E126" s="19" t="n">
        <v>1.10594151846658</v>
      </c>
      <c r="F126" s="20">
        <f>B126/B125-1</f>
        <v/>
      </c>
      <c r="G126" s="20">
        <f>B126/MAX(B$2:B126)-1</f>
        <v/>
      </c>
      <c r="H126" s="20">
        <f>C126/C125-1</f>
        <v/>
      </c>
      <c r="I126" s="20">
        <f>C126/MAX(C$2:C126)-1</f>
        <v/>
      </c>
      <c r="J126" s="20">
        <f>D126/D125-1</f>
        <v/>
      </c>
      <c r="K126" s="20">
        <f>D126/MAX(D$2:D126)-1</f>
        <v/>
      </c>
      <c r="L126" s="20">
        <f>E126/E125-1</f>
        <v/>
      </c>
      <c r="M126" s="20">
        <f>E126/MAX(E$2:E126)-1</f>
        <v/>
      </c>
    </row>
    <row r="127">
      <c r="A127" s="11" t="n">
        <v>43845</v>
      </c>
      <c r="B127" s="19" t="n">
        <v>1.292579011383794</v>
      </c>
      <c r="C127" s="19" t="n">
        <v>1.24574213025883</v>
      </c>
      <c r="D127" s="19" t="n">
        <v>1.243475647343075</v>
      </c>
      <c r="E127" s="19" t="n">
        <v>1.101518764158207</v>
      </c>
      <c r="F127" s="20">
        <f>B127/B126-1</f>
        <v/>
      </c>
      <c r="G127" s="20">
        <f>B127/MAX(B$2:B127)-1</f>
        <v/>
      </c>
      <c r="H127" s="20">
        <f>C127/C126-1</f>
        <v/>
      </c>
      <c r="I127" s="20">
        <f>C127/MAX(C$2:C127)-1</f>
        <v/>
      </c>
      <c r="J127" s="20">
        <f>D127/D126-1</f>
        <v/>
      </c>
      <c r="K127" s="20">
        <f>D127/MAX(D$2:D127)-1</f>
        <v/>
      </c>
      <c r="L127" s="20">
        <f>E127/E126-1</f>
        <v/>
      </c>
      <c r="M127" s="20">
        <f>E127/MAX(E$2:E127)-1</f>
        <v/>
      </c>
    </row>
    <row r="128">
      <c r="A128" s="11" t="n">
        <v>43846</v>
      </c>
      <c r="B128" s="19" t="n">
        <v>1.298113374139003</v>
      </c>
      <c r="C128" s="19" t="n">
        <v>1.244810813319824</v>
      </c>
      <c r="D128" s="19" t="n">
        <v>1.247173559745383</v>
      </c>
      <c r="E128" s="19" t="n">
        <v>1.098435111238409</v>
      </c>
      <c r="F128" s="20">
        <f>B128/B127-1</f>
        <v/>
      </c>
      <c r="G128" s="20">
        <f>B128/MAX(B$2:B128)-1</f>
        <v/>
      </c>
      <c r="H128" s="20">
        <f>C128/C127-1</f>
        <v/>
      </c>
      <c r="I128" s="20">
        <f>C128/MAX(C$2:C128)-1</f>
        <v/>
      </c>
      <c r="J128" s="20">
        <f>D128/D127-1</f>
        <v/>
      </c>
      <c r="K128" s="20">
        <f>D128/MAX(D$2:D128)-1</f>
        <v/>
      </c>
      <c r="L128" s="20">
        <f>E128/E127-1</f>
        <v/>
      </c>
      <c r="M128" s="20">
        <f>E128/MAX(E$2:E128)-1</f>
        <v/>
      </c>
    </row>
    <row r="129">
      <c r="A129" s="11" t="n">
        <v>43847</v>
      </c>
      <c r="B129" s="19" t="n">
        <v>1.301221398031283</v>
      </c>
      <c r="C129" s="19" t="n">
        <v>1.248740074213867</v>
      </c>
      <c r="D129" s="19" t="n">
        <v>1.248821283959594</v>
      </c>
      <c r="E129" s="19" t="n">
        <v>1.097884591778661</v>
      </c>
      <c r="F129" s="20">
        <f>B129/B128-1</f>
        <v/>
      </c>
      <c r="G129" s="20">
        <f>B129/MAX(B$2:B129)-1</f>
        <v/>
      </c>
      <c r="H129" s="20">
        <f>C129/C128-1</f>
        <v/>
      </c>
      <c r="I129" s="20">
        <f>C129/MAX(C$2:C129)-1</f>
        <v/>
      </c>
      <c r="J129" s="20">
        <f>D129/D128-1</f>
        <v/>
      </c>
      <c r="K129" s="20">
        <f>D129/MAX(D$2:D129)-1</f>
        <v/>
      </c>
      <c r="L129" s="20">
        <f>E129/E128-1</f>
        <v/>
      </c>
      <c r="M129" s="20">
        <f>E129/MAX(E$2:E129)-1</f>
        <v/>
      </c>
    </row>
    <row r="130">
      <c r="A130" s="11" t="n">
        <v>43850</v>
      </c>
      <c r="B130" s="19" t="n">
        <v>1.335585762592429</v>
      </c>
      <c r="C130" s="19" t="n">
        <v>1.273927430679731</v>
      </c>
      <c r="D130" s="19" t="n">
        <v>1.280916041090874</v>
      </c>
      <c r="E130" s="19" t="n">
        <v>1.108865223164966</v>
      </c>
      <c r="F130" s="20">
        <f>B130/B129-1</f>
        <v/>
      </c>
      <c r="G130" s="20">
        <f>B130/MAX(B$2:B130)-1</f>
        <v/>
      </c>
      <c r="H130" s="20">
        <f>C130/C129-1</f>
        <v/>
      </c>
      <c r="I130" s="20">
        <f>C130/MAX(C$2:C130)-1</f>
        <v/>
      </c>
      <c r="J130" s="20">
        <f>D130/D129-1</f>
        <v/>
      </c>
      <c r="K130" s="20">
        <f>D130/MAX(D$2:D130)-1</f>
        <v/>
      </c>
      <c r="L130" s="20">
        <f>E130/E129-1</f>
        <v/>
      </c>
      <c r="M130" s="20">
        <f>E130/MAX(E$2:E130)-1</f>
        <v/>
      </c>
    </row>
    <row r="131">
      <c r="A131" s="11" t="n">
        <v>43851</v>
      </c>
      <c r="B131" s="19" t="n">
        <v>1.321674876004472</v>
      </c>
      <c r="C131" s="19" t="n">
        <v>1.259903804320508</v>
      </c>
      <c r="D131" s="19" t="n">
        <v>1.271126240631711</v>
      </c>
      <c r="E131" s="19" t="n">
        <v>1.093450678292051</v>
      </c>
      <c r="F131" s="20">
        <f>B131/B130-1</f>
        <v/>
      </c>
      <c r="G131" s="20">
        <f>B131/MAX(B$2:B131)-1</f>
        <v/>
      </c>
      <c r="H131" s="20">
        <f>C131/C130-1</f>
        <v/>
      </c>
      <c r="I131" s="20">
        <f>C131/MAX(C$2:C131)-1</f>
        <v/>
      </c>
      <c r="J131" s="20">
        <f>D131/D130-1</f>
        <v/>
      </c>
      <c r="K131" s="20">
        <f>D131/MAX(D$2:D131)-1</f>
        <v/>
      </c>
      <c r="L131" s="20">
        <f>E131/E130-1</f>
        <v/>
      </c>
      <c r="M131" s="20">
        <f>E131/MAX(E$2:E131)-1</f>
        <v/>
      </c>
    </row>
    <row r="132">
      <c r="A132" s="11" t="n">
        <v>43852</v>
      </c>
      <c r="B132" s="19" t="n">
        <v>1.358170992399768</v>
      </c>
      <c r="C132" s="19" t="n">
        <v>1.279670311302379</v>
      </c>
      <c r="D132" s="19" t="n">
        <v>1.288491578854926</v>
      </c>
      <c r="E132" s="19" t="n">
        <v>1.098699211790044</v>
      </c>
      <c r="F132" s="20">
        <f>B132/B131-1</f>
        <v/>
      </c>
      <c r="G132" s="20">
        <f>B132/MAX(B$2:B132)-1</f>
        <v/>
      </c>
      <c r="H132" s="20">
        <f>C132/C131-1</f>
        <v/>
      </c>
      <c r="I132" s="20">
        <f>C132/MAX(C$2:C132)-1</f>
        <v/>
      </c>
      <c r="J132" s="20">
        <f>D132/D131-1</f>
        <v/>
      </c>
      <c r="K132" s="20">
        <f>D132/MAX(D$2:D132)-1</f>
        <v/>
      </c>
      <c r="L132" s="20">
        <f>E132/E131-1</f>
        <v/>
      </c>
      <c r="M132" s="20">
        <f>E132/MAX(E$2:E132)-1</f>
        <v/>
      </c>
    </row>
    <row r="133">
      <c r="A133" s="11" t="n">
        <v>43853</v>
      </c>
      <c r="B133" s="19" t="n">
        <v>1.314369038556092</v>
      </c>
      <c r="C133" s="19" t="n">
        <v>1.237016986360935</v>
      </c>
      <c r="D133" s="19" t="n">
        <v>1.245739604128733</v>
      </c>
      <c r="E133" s="19" t="n">
        <v>1.062770377589394</v>
      </c>
      <c r="F133" s="20">
        <f>B133/B132-1</f>
        <v/>
      </c>
      <c r="G133" s="20">
        <f>B133/MAX(B$2:B133)-1</f>
        <v/>
      </c>
      <c r="H133" s="20">
        <f>C133/C132-1</f>
        <v/>
      </c>
      <c r="I133" s="20">
        <f>C133/MAX(C$2:C133)-1</f>
        <v/>
      </c>
      <c r="J133" s="20">
        <f>D133/D132-1</f>
        <v/>
      </c>
      <c r="K133" s="20">
        <f>D133/MAX(D$2:D133)-1</f>
        <v/>
      </c>
      <c r="L133" s="20">
        <f>E133/E132-1</f>
        <v/>
      </c>
      <c r="M133" s="20">
        <f>E133/MAX(E$2:E133)-1</f>
        <v/>
      </c>
    </row>
    <row r="134">
      <c r="A134" s="11" t="n">
        <v>43864</v>
      </c>
      <c r="B134" s="19" t="n">
        <v>1.197861760591397</v>
      </c>
      <c r="C134" s="19" t="n">
        <v>1.129839539988499</v>
      </c>
      <c r="D134" s="19" t="n">
        <v>1.1604600212334</v>
      </c>
      <c r="E134" s="19" t="n">
        <v>0.9763685802177529</v>
      </c>
      <c r="F134" s="20">
        <f>B134/B133-1</f>
        <v/>
      </c>
      <c r="G134" s="20">
        <f>B134/MAX(B$2:B134)-1</f>
        <v/>
      </c>
      <c r="H134" s="20">
        <f>C134/C133-1</f>
        <v/>
      </c>
      <c r="I134" s="20">
        <f>C134/MAX(C$2:C134)-1</f>
        <v/>
      </c>
      <c r="J134" s="20">
        <f>D134/D133-1</f>
        <v/>
      </c>
      <c r="K134" s="20">
        <f>D134/MAX(D$2:D134)-1</f>
        <v/>
      </c>
      <c r="L134" s="20">
        <f>E134/E133-1</f>
        <v/>
      </c>
      <c r="M134" s="20">
        <f>E134/MAX(E$2:E134)-1</f>
        <v/>
      </c>
    </row>
    <row r="135">
      <c r="A135" s="11" t="n">
        <v>43865</v>
      </c>
      <c r="B135" s="19" t="n">
        <v>1.239447528770974</v>
      </c>
      <c r="C135" s="19" t="n">
        <v>1.170441245190276</v>
      </c>
      <c r="D135" s="19" t="n">
        <v>1.216627009403815</v>
      </c>
      <c r="E135" s="19" t="n">
        <v>0.9933565692222426</v>
      </c>
      <c r="F135" s="20">
        <f>B135/B134-1</f>
        <v/>
      </c>
      <c r="G135" s="20">
        <f>B135/MAX(B$2:B135)-1</f>
        <v/>
      </c>
      <c r="H135" s="20">
        <f>C135/C134-1</f>
        <v/>
      </c>
      <c r="I135" s="20">
        <f>C135/MAX(C$2:C135)-1</f>
        <v/>
      </c>
      <c r="J135" s="20">
        <f>D135/D134-1</f>
        <v/>
      </c>
      <c r="K135" s="20">
        <f>D135/MAX(D$2:D135)-1</f>
        <v/>
      </c>
      <c r="L135" s="20">
        <f>E135/E134-1</f>
        <v/>
      </c>
      <c r="M135" s="20">
        <f>E135/MAX(E$2:E135)-1</f>
        <v/>
      </c>
    </row>
    <row r="136">
      <c r="A136" s="11" t="n">
        <v>43866</v>
      </c>
      <c r="B136" s="19" t="n">
        <v>1.264912640005686</v>
      </c>
      <c r="C136" s="19" t="n">
        <v>1.189596879063719</v>
      </c>
      <c r="D136" s="19" t="n">
        <v>1.25341537015603</v>
      </c>
      <c r="E136" s="19" t="n">
        <v>1.012230459348973</v>
      </c>
      <c r="F136" s="20">
        <f>B136/B135-1</f>
        <v/>
      </c>
      <c r="G136" s="20">
        <f>B136/MAX(B$2:B136)-1</f>
        <v/>
      </c>
      <c r="H136" s="20">
        <f>C136/C135-1</f>
        <v/>
      </c>
      <c r="I136" s="20">
        <f>C136/MAX(C$2:C136)-1</f>
        <v/>
      </c>
      <c r="J136" s="20">
        <f>D136/D135-1</f>
        <v/>
      </c>
      <c r="K136" s="20">
        <f>D136/MAX(D$2:D136)-1</f>
        <v/>
      </c>
      <c r="L136" s="20">
        <f>E136/E135-1</f>
        <v/>
      </c>
      <c r="M136" s="20">
        <f>E136/MAX(E$2:E136)-1</f>
        <v/>
      </c>
    </row>
    <row r="137">
      <c r="A137" s="11" t="n">
        <v>43867</v>
      </c>
      <c r="B137" s="19" t="n">
        <v>1.302616833308038</v>
      </c>
      <c r="C137" s="19" t="n">
        <v>1.221330726941404</v>
      </c>
      <c r="D137" s="19" t="n">
        <v>1.300349273849141</v>
      </c>
      <c r="E137" s="19" t="n">
        <v>1.036423557769206</v>
      </c>
      <c r="F137" s="20">
        <f>B137/B136-1</f>
        <v/>
      </c>
      <c r="G137" s="20">
        <f>B137/MAX(B$2:B137)-1</f>
        <v/>
      </c>
      <c r="H137" s="20">
        <f>C137/C136-1</f>
        <v/>
      </c>
      <c r="I137" s="20">
        <f>C137/MAX(C$2:C137)-1</f>
        <v/>
      </c>
      <c r="J137" s="20">
        <f>D137/D136-1</f>
        <v/>
      </c>
      <c r="K137" s="20">
        <f>D137/MAX(D$2:D137)-1</f>
        <v/>
      </c>
      <c r="L137" s="20">
        <f>E137/E136-1</f>
        <v/>
      </c>
      <c r="M137" s="20">
        <f>E137/MAX(E$2:E137)-1</f>
        <v/>
      </c>
    </row>
    <row r="138">
      <c r="A138" s="11" t="n">
        <v>43868</v>
      </c>
      <c r="B138" s="19" t="n">
        <v>1.316240308323592</v>
      </c>
      <c r="C138" s="19" t="n">
        <v>1.2287661589766</v>
      </c>
      <c r="D138" s="19" t="n">
        <v>1.302643861322598</v>
      </c>
      <c r="E138" s="19" t="n">
        <v>1.04160513619777</v>
      </c>
      <c r="F138" s="20">
        <f>B138/B137-1</f>
        <v/>
      </c>
      <c r="G138" s="20">
        <f>B138/MAX(B$2:B138)-1</f>
        <v/>
      </c>
      <c r="H138" s="20">
        <f>C138/C137-1</f>
        <v/>
      </c>
      <c r="I138" s="20">
        <f>C138/MAX(C$2:C138)-1</f>
        <v/>
      </c>
      <c r="J138" s="20">
        <f>D138/D137-1</f>
        <v/>
      </c>
      <c r="K138" s="20">
        <f>D138/MAX(D$2:D138)-1</f>
        <v/>
      </c>
      <c r="L138" s="20">
        <f>E138/E137-1</f>
        <v/>
      </c>
      <c r="M138" s="20">
        <f>E138/MAX(E$2:E138)-1</f>
        <v/>
      </c>
    </row>
    <row r="139">
      <c r="A139" s="11" t="n">
        <v>43871</v>
      </c>
      <c r="B139" s="19" t="n">
        <v>1.328901066485422</v>
      </c>
      <c r="C139" s="19" t="n">
        <v>1.240897281205815</v>
      </c>
      <c r="D139" s="19" t="n">
        <v>1.319689774461852</v>
      </c>
      <c r="E139" s="19" t="n">
        <v>1.050353931936452</v>
      </c>
      <c r="F139" s="20">
        <f>B139/B138-1</f>
        <v/>
      </c>
      <c r="G139" s="20">
        <f>B139/MAX(B$2:B139)-1</f>
        <v/>
      </c>
      <c r="H139" s="20">
        <f>C139/C138-1</f>
        <v/>
      </c>
      <c r="I139" s="20">
        <f>C139/MAX(C$2:C139)-1</f>
        <v/>
      </c>
      <c r="J139" s="20">
        <f>D139/D138-1</f>
        <v/>
      </c>
      <c r="K139" s="20">
        <f>D139/MAX(D$2:D139)-1</f>
        <v/>
      </c>
      <c r="L139" s="20">
        <f>E139/E138-1</f>
        <v/>
      </c>
      <c r="M139" s="20">
        <f>E139/MAX(E$2:E139)-1</f>
        <v/>
      </c>
    </row>
    <row r="140">
      <c r="A140" s="11" t="n">
        <v>43872</v>
      </c>
      <c r="B140" s="19" t="n">
        <v>1.329632660478437</v>
      </c>
      <c r="C140" s="19" t="n">
        <v>1.248073789623479</v>
      </c>
      <c r="D140" s="19" t="n">
        <v>1.310815211199562</v>
      </c>
      <c r="E140" s="19" t="n">
        <v>1.052139400454551</v>
      </c>
      <c r="F140" s="20">
        <f>B140/B139-1</f>
        <v/>
      </c>
      <c r="G140" s="20">
        <f>B140/MAX(B$2:B140)-1</f>
        <v/>
      </c>
      <c r="H140" s="20">
        <f>C140/C139-1</f>
        <v/>
      </c>
      <c r="I140" s="20">
        <f>C140/MAX(C$2:C140)-1</f>
        <v/>
      </c>
      <c r="J140" s="20">
        <f>D140/D139-1</f>
        <v/>
      </c>
      <c r="K140" s="20">
        <f>D140/MAX(D$2:D140)-1</f>
        <v/>
      </c>
      <c r="L140" s="20">
        <f>E140/E139-1</f>
        <v/>
      </c>
      <c r="M140" s="20">
        <f>E140/MAX(E$2:E140)-1</f>
        <v/>
      </c>
    </row>
    <row r="141">
      <c r="A141" s="11" t="n">
        <v>43873</v>
      </c>
      <c r="B141" s="19" t="n">
        <v>1.36591752971615</v>
      </c>
      <c r="C141" s="19" t="n">
        <v>1.272247144829596</v>
      </c>
      <c r="D141" s="19" t="n">
        <v>1.347542181332767</v>
      </c>
      <c r="E141" s="19" t="n">
        <v>1.066237162295369</v>
      </c>
      <c r="F141" s="20">
        <f>B141/B140-1</f>
        <v/>
      </c>
      <c r="G141" s="20">
        <f>B141/MAX(B$2:B141)-1</f>
        <v/>
      </c>
      <c r="H141" s="20">
        <f>C141/C140-1</f>
        <v/>
      </c>
      <c r="I141" s="20">
        <f>C141/MAX(C$2:C141)-1</f>
        <v/>
      </c>
      <c r="J141" s="20">
        <f>D141/D140-1</f>
        <v/>
      </c>
      <c r="K141" s="20">
        <f>D141/MAX(D$2:D141)-1</f>
        <v/>
      </c>
      <c r="L141" s="20">
        <f>E141/E140-1</f>
        <v/>
      </c>
      <c r="M141" s="20">
        <f>E141/MAX(E$2:E141)-1</f>
        <v/>
      </c>
    </row>
    <row r="142">
      <c r="A142" s="11" t="n">
        <v>43874</v>
      </c>
      <c r="B142" s="19" t="n">
        <v>1.369064854749709</v>
      </c>
      <c r="C142" s="19" t="n">
        <v>1.261086781740089</v>
      </c>
      <c r="D142" s="19" t="n">
        <v>1.33417686197909</v>
      </c>
      <c r="E142" s="19" t="n">
        <v>1.058347623281022</v>
      </c>
      <c r="F142" s="20">
        <f>B142/B141-1</f>
        <v/>
      </c>
      <c r="G142" s="20">
        <f>B142/MAX(B$2:B142)-1</f>
        <v/>
      </c>
      <c r="H142" s="20">
        <f>C142/C141-1</f>
        <v/>
      </c>
      <c r="I142" s="20">
        <f>C142/MAX(C$2:C142)-1</f>
        <v/>
      </c>
      <c r="J142" s="20">
        <f>D142/D141-1</f>
        <v/>
      </c>
      <c r="K142" s="20">
        <f>D142/MAX(D$2:D142)-1</f>
        <v/>
      </c>
      <c r="L142" s="20">
        <f>E142/E141-1</f>
        <v/>
      </c>
      <c r="M142" s="20">
        <f>E142/MAX(E$2:E142)-1</f>
        <v/>
      </c>
    </row>
    <row r="143">
      <c r="A143" s="11" t="n">
        <v>43875</v>
      </c>
      <c r="B143" s="19" t="n">
        <v>1.378002746549795</v>
      </c>
      <c r="C143" s="19" t="n">
        <v>1.263021854586707</v>
      </c>
      <c r="D143" s="19" t="n">
        <v>1.337164452608607</v>
      </c>
      <c r="E143" s="19" t="n">
        <v>1.063108872662617</v>
      </c>
      <c r="F143" s="20">
        <f>B143/B142-1</f>
        <v/>
      </c>
      <c r="G143" s="20">
        <f>B143/MAX(B$2:B143)-1</f>
        <v/>
      </c>
      <c r="H143" s="20">
        <f>C143/C142-1</f>
        <v/>
      </c>
      <c r="I143" s="20">
        <f>C143/MAX(C$2:C143)-1</f>
        <v/>
      </c>
      <c r="J143" s="20">
        <f>D143/D142-1</f>
        <v/>
      </c>
      <c r="K143" s="20">
        <f>D143/MAX(D$2:D143)-1</f>
        <v/>
      </c>
      <c r="L143" s="20">
        <f>E143/E142-1</f>
        <v/>
      </c>
      <c r="M143" s="20">
        <f>E143/MAX(E$2:E143)-1</f>
        <v/>
      </c>
    </row>
    <row r="144">
      <c r="A144" s="11" t="n">
        <v>43878</v>
      </c>
      <c r="B144" s="19" t="n">
        <v>1.426229558020091</v>
      </c>
      <c r="C144" s="19" t="n">
        <v>1.309525556020792</v>
      </c>
      <c r="D144" s="19" t="n">
        <v>1.386896540716165</v>
      </c>
      <c r="E144" s="19" t="n">
        <v>1.092662096363224</v>
      </c>
      <c r="F144" s="20">
        <f>B144/B143-1</f>
        <v/>
      </c>
      <c r="G144" s="20">
        <f>B144/MAX(B$2:B144)-1</f>
        <v/>
      </c>
      <c r="H144" s="20">
        <f>C144/C143-1</f>
        <v/>
      </c>
      <c r="I144" s="20">
        <f>C144/MAX(C$2:C144)-1</f>
        <v/>
      </c>
      <c r="J144" s="20">
        <f>D144/D143-1</f>
        <v/>
      </c>
      <c r="K144" s="20">
        <f>D144/MAX(D$2:D144)-1</f>
        <v/>
      </c>
      <c r="L144" s="20">
        <f>E144/E143-1</f>
        <v/>
      </c>
      <c r="M144" s="20">
        <f>E144/MAX(E$2:E144)-1</f>
        <v/>
      </c>
    </row>
    <row r="145">
      <c r="A145" s="11" t="n">
        <v>43879</v>
      </c>
      <c r="B145" s="19" t="n">
        <v>1.454082839339937</v>
      </c>
      <c r="C145" s="19" t="n">
        <v>1.315694027609059</v>
      </c>
      <c r="D145" s="19" t="n">
        <v>1.402904435420526</v>
      </c>
      <c r="E145" s="19" t="n">
        <v>1.098888917820092</v>
      </c>
      <c r="F145" s="20">
        <f>B145/B144-1</f>
        <v/>
      </c>
      <c r="G145" s="20">
        <f>B145/MAX(B$2:B145)-1</f>
        <v/>
      </c>
      <c r="H145" s="20">
        <f>C145/C144-1</f>
        <v/>
      </c>
      <c r="I145" s="20">
        <f>C145/MAX(C$2:C145)-1</f>
        <v/>
      </c>
      <c r="J145" s="20">
        <f>D145/D144-1</f>
        <v/>
      </c>
      <c r="K145" s="20">
        <f>D145/MAX(D$2:D145)-1</f>
        <v/>
      </c>
      <c r="L145" s="20">
        <f>E145/E144-1</f>
        <v/>
      </c>
      <c r="M145" s="20">
        <f>E145/MAX(E$2:E145)-1</f>
        <v/>
      </c>
    </row>
    <row r="146">
      <c r="A146" s="11" t="n">
        <v>43880</v>
      </c>
      <c r="B146" s="19" t="n">
        <v>1.451154712063207</v>
      </c>
      <c r="C146" s="19" t="n">
        <v>1.30198290854003</v>
      </c>
      <c r="D146" s="19" t="n">
        <v>1.382540779364894</v>
      </c>
      <c r="E146" s="19" t="n">
        <v>1.093502754457162</v>
      </c>
      <c r="F146" s="20">
        <f>B146/B145-1</f>
        <v/>
      </c>
      <c r="G146" s="20">
        <f>B146/MAX(B$2:B146)-1</f>
        <v/>
      </c>
      <c r="H146" s="20">
        <f>C146/C145-1</f>
        <v/>
      </c>
      <c r="I146" s="20">
        <f>C146/MAX(C$2:C146)-1</f>
        <v/>
      </c>
      <c r="J146" s="20">
        <f>D146/D145-1</f>
        <v/>
      </c>
      <c r="K146" s="20">
        <f>D146/MAX(D$2:D146)-1</f>
        <v/>
      </c>
      <c r="L146" s="20">
        <f>E146/E145-1</f>
        <v/>
      </c>
      <c r="M146" s="20">
        <f>E146/MAX(E$2:E146)-1</f>
        <v/>
      </c>
    </row>
    <row r="147">
      <c r="A147" s="11" t="n">
        <v>43881</v>
      </c>
      <c r="B147" s="19" t="n">
        <v>1.484988772710549</v>
      </c>
      <c r="C147" s="19" t="n">
        <v>1.341291775363199</v>
      </c>
      <c r="D147" s="19" t="n">
        <v>1.413106974704545</v>
      </c>
      <c r="E147" s="19" t="n">
        <v>1.116029415593836</v>
      </c>
      <c r="F147" s="20">
        <f>B147/B146-1</f>
        <v/>
      </c>
      <c r="G147" s="20">
        <f>B147/MAX(B$2:B147)-1</f>
        <v/>
      </c>
      <c r="H147" s="20">
        <f>C147/C146-1</f>
        <v/>
      </c>
      <c r="I147" s="20">
        <f>C147/MAX(C$2:C147)-1</f>
        <v/>
      </c>
      <c r="J147" s="20">
        <f>D147/D146-1</f>
        <v/>
      </c>
      <c r="K147" s="20">
        <f>D147/MAX(D$2:D147)-1</f>
        <v/>
      </c>
      <c r="L147" s="20">
        <f>E147/E146-1</f>
        <v/>
      </c>
      <c r="M147" s="20">
        <f>E147/MAX(E$2:E147)-1</f>
        <v/>
      </c>
    </row>
    <row r="148">
      <c r="A148" s="11" t="n">
        <v>43882</v>
      </c>
      <c r="B148" s="19" t="n">
        <v>1.507057654696492</v>
      </c>
      <c r="C148" s="19" t="n">
        <v>1.364996056982436</v>
      </c>
      <c r="D148" s="19" t="n">
        <v>1.438892004014042</v>
      </c>
      <c r="E148" s="19" t="n">
        <v>1.124064023925278</v>
      </c>
      <c r="F148" s="20">
        <f>B148/B147-1</f>
        <v/>
      </c>
      <c r="G148" s="20">
        <f>B148/MAX(B$2:B148)-1</f>
        <v/>
      </c>
      <c r="H148" s="20">
        <f>C148/C147-1</f>
        <v/>
      </c>
      <c r="I148" s="20">
        <f>C148/MAX(C$2:C148)-1</f>
        <v/>
      </c>
      <c r="J148" s="20">
        <f>D148/D147-1</f>
        <v/>
      </c>
      <c r="K148" s="20">
        <f>D148/MAX(D$2:D148)-1</f>
        <v/>
      </c>
      <c r="L148" s="20">
        <f>E148/E147-1</f>
        <v/>
      </c>
      <c r="M148" s="20">
        <f>E148/MAX(E$2:E148)-1</f>
        <v/>
      </c>
    </row>
    <row r="149">
      <c r="A149" s="11" t="n">
        <v>43885</v>
      </c>
      <c r="B149" s="19" t="n">
        <v>1.544072046457009</v>
      </c>
      <c r="C149" s="19" t="n">
        <v>1.392712764818904</v>
      </c>
      <c r="D149" s="19" t="n">
        <v>1.463017030985525</v>
      </c>
      <c r="E149" s="19" t="n">
        <v>1.130584703742416</v>
      </c>
      <c r="F149" s="20">
        <f>B149/B148-1</f>
        <v/>
      </c>
      <c r="G149" s="20">
        <f>B149/MAX(B$2:B149)-1</f>
        <v/>
      </c>
      <c r="H149" s="20">
        <f>C149/C148-1</f>
        <v/>
      </c>
      <c r="I149" s="20">
        <f>C149/MAX(C$2:C149)-1</f>
        <v/>
      </c>
      <c r="J149" s="20">
        <f>D149/D148-1</f>
        <v/>
      </c>
      <c r="K149" s="20">
        <f>D149/MAX(D$2:D149)-1</f>
        <v/>
      </c>
      <c r="L149" s="20">
        <f>E149/E148-1</f>
        <v/>
      </c>
      <c r="M149" s="20">
        <f>E149/MAX(E$2:E149)-1</f>
        <v/>
      </c>
    </row>
    <row r="150">
      <c r="A150" s="11" t="n">
        <v>43886</v>
      </c>
      <c r="B150" s="19" t="n">
        <v>1.560861574712453</v>
      </c>
      <c r="C150" s="19" t="n">
        <v>1.40343488657842</v>
      </c>
      <c r="D150" s="19" t="n">
        <v>1.478099801372268</v>
      </c>
      <c r="E150" s="19" t="n">
        <v>1.131488597179704</v>
      </c>
      <c r="F150" s="20">
        <f>B150/B149-1</f>
        <v/>
      </c>
      <c r="G150" s="20">
        <f>B150/MAX(B$2:B150)-1</f>
        <v/>
      </c>
      <c r="H150" s="20">
        <f>C150/C149-1</f>
        <v/>
      </c>
      <c r="I150" s="20">
        <f>C150/MAX(C$2:C150)-1</f>
        <v/>
      </c>
      <c r="J150" s="20">
        <f>D150/D149-1</f>
        <v/>
      </c>
      <c r="K150" s="20">
        <f>D150/MAX(D$2:D150)-1</f>
        <v/>
      </c>
      <c r="L150" s="20">
        <f>E150/E149-1</f>
        <v/>
      </c>
      <c r="M150" s="20">
        <f>E150/MAX(E$2:E150)-1</f>
        <v/>
      </c>
    </row>
    <row r="151">
      <c r="A151" s="11" t="n">
        <v>43887</v>
      </c>
      <c r="B151" s="19" t="n">
        <v>1.484053558921745</v>
      </c>
      <c r="C151" s="19" t="n">
        <v>1.347867800325302</v>
      </c>
      <c r="D151" s="19" t="n">
        <v>1.409206279394394</v>
      </c>
      <c r="E151" s="19" t="n">
        <v>1.11044238702262</v>
      </c>
      <c r="F151" s="20">
        <f>B151/B150-1</f>
        <v/>
      </c>
      <c r="G151" s="20">
        <f>B151/MAX(B$2:B151)-1</f>
        <v/>
      </c>
      <c r="H151" s="20">
        <f>C151/C150-1</f>
        <v/>
      </c>
      <c r="I151" s="20">
        <f>C151/MAX(C$2:C151)-1</f>
        <v/>
      </c>
      <c r="J151" s="20">
        <f>D151/D150-1</f>
        <v/>
      </c>
      <c r="K151" s="20">
        <f>D151/MAX(D$2:D151)-1</f>
        <v/>
      </c>
      <c r="L151" s="20">
        <f>E151/E150-1</f>
        <v/>
      </c>
      <c r="M151" s="20">
        <f>E151/MAX(E$2:E151)-1</f>
        <v/>
      </c>
    </row>
    <row r="152">
      <c r="A152" s="11" t="n">
        <v>43888</v>
      </c>
      <c r="B152" s="19" t="n">
        <v>1.478832169461257</v>
      </c>
      <c r="C152" s="19" t="n">
        <v>1.360924804165866</v>
      </c>
      <c r="D152" s="19" t="n">
        <v>1.419553894404387</v>
      </c>
      <c r="E152" s="19" t="n">
        <v>1.112774655274386</v>
      </c>
      <c r="F152" s="20">
        <f>B152/B151-1</f>
        <v/>
      </c>
      <c r="G152" s="20">
        <f>B152/MAX(B$2:B152)-1</f>
        <v/>
      </c>
      <c r="H152" s="20">
        <f>C152/C151-1</f>
        <v/>
      </c>
      <c r="I152" s="20">
        <f>C152/MAX(C$2:C152)-1</f>
        <v/>
      </c>
      <c r="J152" s="20">
        <f>D152/D151-1</f>
        <v/>
      </c>
      <c r="K152" s="20">
        <f>D152/MAX(D$2:D152)-1</f>
        <v/>
      </c>
      <c r="L152" s="20">
        <f>E152/E151-1</f>
        <v/>
      </c>
      <c r="M152" s="20">
        <f>E152/MAX(E$2:E152)-1</f>
        <v/>
      </c>
    </row>
    <row r="153">
      <c r="A153" s="11" t="n">
        <v>43889</v>
      </c>
      <c r="B153" s="19" t="n">
        <v>1.404896950449808</v>
      </c>
      <c r="C153" s="19" t="n">
        <v>1.295550607109264</v>
      </c>
      <c r="D153" s="19" t="n">
        <v>1.338681576358589</v>
      </c>
      <c r="E153" s="19" t="n">
        <v>1.063146069923411</v>
      </c>
      <c r="F153" s="20">
        <f>B153/B152-1</f>
        <v/>
      </c>
      <c r="G153" s="20">
        <f>B153/MAX(B$2:B153)-1</f>
        <v/>
      </c>
      <c r="H153" s="20">
        <f>C153/C152-1</f>
        <v/>
      </c>
      <c r="I153" s="20">
        <f>C153/MAX(C$2:C153)-1</f>
        <v/>
      </c>
      <c r="J153" s="20">
        <f>D153/D152-1</f>
        <v/>
      </c>
      <c r="K153" s="20">
        <f>D153/MAX(D$2:D153)-1</f>
        <v/>
      </c>
      <c r="L153" s="20">
        <f>E153/E152-1</f>
        <v/>
      </c>
      <c r="M153" s="20">
        <f>E153/MAX(E$2:E153)-1</f>
        <v/>
      </c>
    </row>
    <row r="154">
      <c r="A154" s="11" t="n">
        <v>43892</v>
      </c>
      <c r="B154" s="19" t="n">
        <v>1.44144470586681</v>
      </c>
      <c r="C154" s="19" t="n">
        <v>1.346491989024486</v>
      </c>
      <c r="D154" s="19" t="n">
        <v>1.37994169442115</v>
      </c>
      <c r="E154" s="19" t="n">
        <v>1.101314179223842</v>
      </c>
      <c r="F154" s="20">
        <f>B154/B153-1</f>
        <v/>
      </c>
      <c r="G154" s="20">
        <f>B154/MAX(B$2:B154)-1</f>
        <v/>
      </c>
      <c r="H154" s="20">
        <f>C154/C153-1</f>
        <v/>
      </c>
      <c r="I154" s="20">
        <f>C154/MAX(C$2:C154)-1</f>
        <v/>
      </c>
      <c r="J154" s="20">
        <f>D154/D153-1</f>
        <v/>
      </c>
      <c r="K154" s="20">
        <f>D154/MAX(D$2:D154)-1</f>
        <v/>
      </c>
      <c r="L154" s="20">
        <f>E154/E153-1</f>
        <v/>
      </c>
      <c r="M154" s="20">
        <f>E154/MAX(E$2:E154)-1</f>
        <v/>
      </c>
    </row>
    <row r="155">
      <c r="A155" s="11" t="n">
        <v>43893</v>
      </c>
      <c r="B155" s="19" t="n">
        <v>1.450128688421966</v>
      </c>
      <c r="C155" s="19" t="n">
        <v>1.352313946449516</v>
      </c>
      <c r="D155" s="19" t="n">
        <v>1.404453546914097</v>
      </c>
      <c r="E155" s="19" t="n">
        <v>1.111335121281669</v>
      </c>
      <c r="F155" s="20">
        <f>B155/B154-1</f>
        <v/>
      </c>
      <c r="G155" s="20">
        <f>B155/MAX(B$2:B155)-1</f>
        <v/>
      </c>
      <c r="H155" s="20">
        <f>C155/C154-1</f>
        <v/>
      </c>
      <c r="I155" s="20">
        <f>C155/MAX(C$2:C155)-1</f>
        <v/>
      </c>
      <c r="J155" s="20">
        <f>D155/D154-1</f>
        <v/>
      </c>
      <c r="K155" s="20">
        <f>D155/MAX(D$2:D155)-1</f>
        <v/>
      </c>
      <c r="L155" s="20">
        <f>E155/E154-1</f>
        <v/>
      </c>
      <c r="M155" s="20">
        <f>E155/MAX(E$2:E155)-1</f>
        <v/>
      </c>
    </row>
    <row r="156">
      <c r="A156" s="11" t="n">
        <v>43894</v>
      </c>
      <c r="B156" s="19" t="n">
        <v>1.428437619601835</v>
      </c>
      <c r="C156" s="19" t="n">
        <v>1.338258141026551</v>
      </c>
      <c r="D156" s="19" t="n">
        <v>1.401930909446446</v>
      </c>
      <c r="E156" s="19" t="n">
        <v>1.117003983826631</v>
      </c>
      <c r="F156" s="20">
        <f>B156/B155-1</f>
        <v/>
      </c>
      <c r="G156" s="20">
        <f>B156/MAX(B$2:B156)-1</f>
        <v/>
      </c>
      <c r="H156" s="20">
        <f>C156/C155-1</f>
        <v/>
      </c>
      <c r="I156" s="20">
        <f>C156/MAX(C$2:C156)-1</f>
        <v/>
      </c>
      <c r="J156" s="20">
        <f>D156/D155-1</f>
        <v/>
      </c>
      <c r="K156" s="20">
        <f>D156/MAX(D$2:D156)-1</f>
        <v/>
      </c>
      <c r="L156" s="20">
        <f>E156/E155-1</f>
        <v/>
      </c>
      <c r="M156" s="20">
        <f>E156/MAX(E$2:E156)-1</f>
        <v/>
      </c>
    </row>
    <row r="157">
      <c r="A157" s="11" t="n">
        <v>43895</v>
      </c>
      <c r="B157" s="19" t="n">
        <v>1.441869084508665</v>
      </c>
      <c r="C157" s="19" t="n">
        <v>1.348911864238021</v>
      </c>
      <c r="D157" s="19" t="n">
        <v>1.427873615714241</v>
      </c>
      <c r="E157" s="19" t="n">
        <v>1.138340332617906</v>
      </c>
      <c r="F157" s="20">
        <f>B157/B156-1</f>
        <v/>
      </c>
      <c r="G157" s="20">
        <f>B157/MAX(B$2:B157)-1</f>
        <v/>
      </c>
      <c r="H157" s="20">
        <f>C157/C156-1</f>
        <v/>
      </c>
      <c r="I157" s="20">
        <f>C157/MAX(C$2:C157)-1</f>
        <v/>
      </c>
      <c r="J157" s="20">
        <f>D157/D156-1</f>
        <v/>
      </c>
      <c r="K157" s="20">
        <f>D157/MAX(D$2:D157)-1</f>
        <v/>
      </c>
      <c r="L157" s="20">
        <f>E157/E156-1</f>
        <v/>
      </c>
      <c r="M157" s="20">
        <f>E157/MAX(E$2:E157)-1</f>
        <v/>
      </c>
    </row>
    <row r="158">
      <c r="A158" s="11" t="n">
        <v>43896</v>
      </c>
      <c r="B158" s="19" t="n">
        <v>1.427998560310667</v>
      </c>
      <c r="C158" s="19" t="n">
        <v>1.333979431854339</v>
      </c>
      <c r="D158" s="19" t="n">
        <v>1.417112680284054</v>
      </c>
      <c r="E158" s="19" t="n">
        <v>1.126615756015727</v>
      </c>
      <c r="F158" s="20">
        <f>B158/B157-1</f>
        <v/>
      </c>
      <c r="G158" s="20">
        <f>B158/MAX(B$2:B158)-1</f>
        <v/>
      </c>
      <c r="H158" s="20">
        <f>C158/C157-1</f>
        <v/>
      </c>
      <c r="I158" s="20">
        <f>C158/MAX(C$2:C158)-1</f>
        <v/>
      </c>
      <c r="J158" s="20">
        <f>D158/D157-1</f>
        <v/>
      </c>
      <c r="K158" s="20">
        <f>D158/MAX(D$2:D158)-1</f>
        <v/>
      </c>
      <c r="L158" s="20">
        <f>E158/E157-1</f>
        <v/>
      </c>
      <c r="M158" s="20">
        <f>E158/MAX(E$2:E158)-1</f>
        <v/>
      </c>
    </row>
    <row r="159">
      <c r="A159" s="11" t="n">
        <v>43899</v>
      </c>
      <c r="B159" s="19" t="n">
        <v>1.358698271880961</v>
      </c>
      <c r="C159" s="19" t="n">
        <v>1.268490708114968</v>
      </c>
      <c r="D159" s="19" t="n">
        <v>1.352573110249733</v>
      </c>
      <c r="E159" s="19" t="n">
        <v>1.086282766137102</v>
      </c>
      <c r="F159" s="20">
        <f>B159/B158-1</f>
        <v/>
      </c>
      <c r="G159" s="20">
        <f>B159/MAX(B$2:B159)-1</f>
        <v/>
      </c>
      <c r="H159" s="20">
        <f>C159/C158-1</f>
        <v/>
      </c>
      <c r="I159" s="20">
        <f>C159/MAX(C$2:C159)-1</f>
        <v/>
      </c>
      <c r="J159" s="20">
        <f>D159/D158-1</f>
        <v/>
      </c>
      <c r="K159" s="20">
        <f>D159/MAX(D$2:D159)-1</f>
        <v/>
      </c>
      <c r="L159" s="20">
        <f>E159/E158-1</f>
        <v/>
      </c>
      <c r="M159" s="20">
        <f>E159/MAX(E$2:E159)-1</f>
        <v/>
      </c>
    </row>
    <row r="160">
      <c r="A160" s="11" t="n">
        <v>43900</v>
      </c>
      <c r="B160" s="19" t="n">
        <v>1.411448591136311</v>
      </c>
      <c r="C160" s="19" t="n">
        <v>1.313057172191421</v>
      </c>
      <c r="D160" s="19" t="n">
        <v>1.38859744859295</v>
      </c>
      <c r="E160" s="19" t="n">
        <v>1.110832958260954</v>
      </c>
      <c r="F160" s="20">
        <f>B160/B159-1</f>
        <v/>
      </c>
      <c r="G160" s="20">
        <f>B160/MAX(B$2:B160)-1</f>
        <v/>
      </c>
      <c r="H160" s="20">
        <f>C160/C159-1</f>
        <v/>
      </c>
      <c r="I160" s="20">
        <f>C160/MAX(C$2:C160)-1</f>
        <v/>
      </c>
      <c r="J160" s="20">
        <f>D160/D159-1</f>
        <v/>
      </c>
      <c r="K160" s="20">
        <f>D160/MAX(D$2:D160)-1</f>
        <v/>
      </c>
      <c r="L160" s="20">
        <f>E160/E159-1</f>
        <v/>
      </c>
      <c r="M160" s="20">
        <f>E160/MAX(E$2:E160)-1</f>
        <v/>
      </c>
    </row>
    <row r="161">
      <c r="A161" s="11" t="n">
        <v>43901</v>
      </c>
      <c r="B161" s="19" t="n">
        <v>1.37786863346244</v>
      </c>
      <c r="C161" s="19" t="n">
        <v>1.283840410121927</v>
      </c>
      <c r="D161" s="19" t="n">
        <v>1.358001527269358</v>
      </c>
      <c r="E161" s="19" t="n">
        <v>1.096392981620834</v>
      </c>
      <c r="F161" s="20">
        <f>B161/B160-1</f>
        <v/>
      </c>
      <c r="G161" s="20">
        <f>B161/MAX(B$2:B161)-1</f>
        <v/>
      </c>
      <c r="H161" s="20">
        <f>C161/C160-1</f>
        <v/>
      </c>
      <c r="I161" s="20">
        <f>C161/MAX(C$2:C161)-1</f>
        <v/>
      </c>
      <c r="J161" s="20">
        <f>D161/D160-1</f>
        <v/>
      </c>
      <c r="K161" s="20">
        <f>D161/MAX(D$2:D161)-1</f>
        <v/>
      </c>
      <c r="L161" s="20">
        <f>E161/E160-1</f>
        <v/>
      </c>
      <c r="M161" s="20">
        <f>E161/MAX(E$2:E161)-1</f>
        <v/>
      </c>
    </row>
    <row r="162">
      <c r="A162" s="11" t="n">
        <v>43902</v>
      </c>
      <c r="B162" s="19" t="n">
        <v>1.35708405934843</v>
      </c>
      <c r="C162" s="19" t="n">
        <v>1.253398053815997</v>
      </c>
      <c r="D162" s="19" t="n">
        <v>1.32211192517944</v>
      </c>
      <c r="E162" s="19" t="n">
        <v>1.075670387632655</v>
      </c>
      <c r="F162" s="20">
        <f>B162/B161-1</f>
        <v/>
      </c>
      <c r="G162" s="20">
        <f>B162/MAX(B$2:B162)-1</f>
        <v/>
      </c>
      <c r="H162" s="20">
        <f>C162/C161-1</f>
        <v/>
      </c>
      <c r="I162" s="20">
        <f>C162/MAX(C$2:C162)-1</f>
        <v/>
      </c>
      <c r="J162" s="20">
        <f>D162/D161-1</f>
        <v/>
      </c>
      <c r="K162" s="20">
        <f>D162/MAX(D$2:D162)-1</f>
        <v/>
      </c>
      <c r="L162" s="20">
        <f>E162/E161-1</f>
        <v/>
      </c>
      <c r="M162" s="20">
        <f>E162/MAX(E$2:E162)-1</f>
        <v/>
      </c>
    </row>
    <row r="163">
      <c r="A163" s="11" t="n">
        <v>43903</v>
      </c>
      <c r="B163" s="19" t="n">
        <v>1.361941360532083</v>
      </c>
      <c r="C163" s="19" t="n">
        <v>1.239426135219889</v>
      </c>
      <c r="D163" s="19" t="n">
        <v>1.312195401558301</v>
      </c>
      <c r="E163" s="19" t="n">
        <v>1.063406450748967</v>
      </c>
      <c r="F163" s="20">
        <f>B163/B162-1</f>
        <v/>
      </c>
      <c r="G163" s="20">
        <f>B163/MAX(B$2:B163)-1</f>
        <v/>
      </c>
      <c r="H163" s="20">
        <f>C163/C162-1</f>
        <v/>
      </c>
      <c r="I163" s="20">
        <f>C163/MAX(C$2:C163)-1</f>
        <v/>
      </c>
      <c r="J163" s="20">
        <f>D163/D162-1</f>
        <v/>
      </c>
      <c r="K163" s="20">
        <f>D163/MAX(D$2:D163)-1</f>
        <v/>
      </c>
      <c r="L163" s="20">
        <f>E163/E162-1</f>
        <v/>
      </c>
      <c r="M163" s="20">
        <f>E163/MAX(E$2:E163)-1</f>
        <v/>
      </c>
    </row>
    <row r="164">
      <c r="A164" s="11" t="n">
        <v>43906</v>
      </c>
      <c r="B164" s="19" t="n">
        <v>1.292890198317626</v>
      </c>
      <c r="C164" s="19" t="n">
        <v>1.160945823972825</v>
      </c>
      <c r="D164" s="19" t="n">
        <v>1.234769940593914</v>
      </c>
      <c r="E164" s="19" t="n">
        <v>1.01704378489568</v>
      </c>
      <c r="F164" s="20">
        <f>B164/B163-1</f>
        <v/>
      </c>
      <c r="G164" s="20">
        <f>B164/MAX(B$2:B164)-1</f>
        <v/>
      </c>
      <c r="H164" s="20">
        <f>C164/C163-1</f>
        <v/>
      </c>
      <c r="I164" s="20">
        <f>C164/MAX(C$2:C164)-1</f>
        <v/>
      </c>
      <c r="J164" s="20">
        <f>D164/D163-1</f>
        <v/>
      </c>
      <c r="K164" s="20">
        <f>D164/MAX(D$2:D164)-1</f>
        <v/>
      </c>
      <c r="L164" s="20">
        <f>E164/E163-1</f>
        <v/>
      </c>
      <c r="M164" s="20">
        <f>E164/MAX(E$2:E164)-1</f>
        <v/>
      </c>
    </row>
    <row r="165">
      <c r="A165" s="11" t="n">
        <v>43907</v>
      </c>
      <c r="B165" s="19" t="n">
        <v>1.30655206962031</v>
      </c>
      <c r="C165" s="19" t="n">
        <v>1.164662818486752</v>
      </c>
      <c r="D165" s="19" t="n">
        <v>1.23925164964671</v>
      </c>
      <c r="E165" s="19" t="n">
        <v>1.014094042114739</v>
      </c>
      <c r="F165" s="20">
        <f>B165/B164-1</f>
        <v/>
      </c>
      <c r="G165" s="20">
        <f>B165/MAX(B$2:B165)-1</f>
        <v/>
      </c>
      <c r="H165" s="20">
        <f>C165/C164-1</f>
        <v/>
      </c>
      <c r="I165" s="20">
        <f>C165/MAX(C$2:C165)-1</f>
        <v/>
      </c>
      <c r="J165" s="20">
        <f>D165/D164-1</f>
        <v/>
      </c>
      <c r="K165" s="20">
        <f>D165/MAX(D$2:D165)-1</f>
        <v/>
      </c>
      <c r="L165" s="20">
        <f>E165/E164-1</f>
        <v/>
      </c>
      <c r="M165" s="20">
        <f>E165/MAX(E$2:E165)-1</f>
        <v/>
      </c>
    </row>
    <row r="166">
      <c r="A166" s="11" t="n">
        <v>43908</v>
      </c>
      <c r="B166" s="19" t="n">
        <v>1.290048171490576</v>
      </c>
      <c r="C166" s="19" t="n">
        <v>1.141750411196967</v>
      </c>
      <c r="D166" s="19" t="n">
        <v>1.21943863513274</v>
      </c>
      <c r="E166" s="19" t="n">
        <v>0.9956367613088972</v>
      </c>
      <c r="F166" s="20">
        <f>B166/B165-1</f>
        <v/>
      </c>
      <c r="G166" s="20">
        <f>B166/MAX(B$2:B166)-1</f>
        <v/>
      </c>
      <c r="H166" s="20">
        <f>C166/C165-1</f>
        <v/>
      </c>
      <c r="I166" s="20">
        <f>C166/MAX(C$2:C166)-1</f>
        <v/>
      </c>
      <c r="J166" s="20">
        <f>D166/D165-1</f>
        <v/>
      </c>
      <c r="K166" s="20">
        <f>D166/MAX(D$2:D166)-1</f>
        <v/>
      </c>
      <c r="L166" s="20">
        <f>E166/E165-1</f>
        <v/>
      </c>
      <c r="M166" s="20">
        <f>E166/MAX(E$2:E166)-1</f>
        <v/>
      </c>
    </row>
    <row r="167">
      <c r="A167" s="11" t="n">
        <v>43909</v>
      </c>
      <c r="B167" s="19" t="n">
        <v>1.310756263394504</v>
      </c>
      <c r="C167" s="19" t="n">
        <v>1.151093017936822</v>
      </c>
      <c r="D167" s="19" t="n">
        <v>1.224544525226601</v>
      </c>
      <c r="E167" s="19" t="n">
        <v>0.9925493886630189</v>
      </c>
      <c r="F167" s="20">
        <f>B167/B166-1</f>
        <v/>
      </c>
      <c r="G167" s="20">
        <f>B167/MAX(B$2:B167)-1</f>
        <v/>
      </c>
      <c r="H167" s="20">
        <f>C167/C166-1</f>
        <v/>
      </c>
      <c r="I167" s="20">
        <f>C167/MAX(C$2:C167)-1</f>
        <v/>
      </c>
      <c r="J167" s="20">
        <f>D167/D166-1</f>
        <v/>
      </c>
      <c r="K167" s="20">
        <f>D167/MAX(D$2:D167)-1</f>
        <v/>
      </c>
      <c r="L167" s="20">
        <f>E167/E166-1</f>
        <v/>
      </c>
      <c r="M167" s="20">
        <f>E167/MAX(E$2:E167)-1</f>
        <v/>
      </c>
    </row>
    <row r="168">
      <c r="A168" s="11" t="n">
        <v>43910</v>
      </c>
      <c r="B168" s="19" t="n">
        <v>1.308582024530554</v>
      </c>
      <c r="C168" s="19" t="n">
        <v>1.164921164901348</v>
      </c>
      <c r="D168" s="19" t="n">
        <v>1.237535620291138</v>
      </c>
      <c r="E168" s="19" t="n">
        <v>1.007439452158743</v>
      </c>
      <c r="F168" s="20">
        <f>B168/B167-1</f>
        <v/>
      </c>
      <c r="G168" s="20">
        <f>B168/MAX(B$2:B168)-1</f>
        <v/>
      </c>
      <c r="H168" s="20">
        <f>C168/C167-1</f>
        <v/>
      </c>
      <c r="I168" s="20">
        <f>C168/MAX(C$2:C168)-1</f>
        <v/>
      </c>
      <c r="J168" s="20">
        <f>D168/D167-1</f>
        <v/>
      </c>
      <c r="K168" s="20">
        <f>D168/MAX(D$2:D168)-1</f>
        <v/>
      </c>
      <c r="L168" s="20">
        <f>E168/E167-1</f>
        <v/>
      </c>
      <c r="M168" s="20">
        <f>E168/MAX(E$2:E168)-1</f>
        <v/>
      </c>
    </row>
    <row r="169">
      <c r="A169" s="11" t="n">
        <v>43913</v>
      </c>
      <c r="B169" s="19" t="n">
        <v>1.237241740623499</v>
      </c>
      <c r="C169" s="19" t="n">
        <v>1.107944645276327</v>
      </c>
      <c r="D169" s="19" t="n">
        <v>1.180672268636043</v>
      </c>
      <c r="E169" s="19" t="n">
        <v>0.9693568965581374</v>
      </c>
      <c r="F169" s="20">
        <f>B169/B168-1</f>
        <v/>
      </c>
      <c r="G169" s="20">
        <f>B169/MAX(B$2:B169)-1</f>
        <v/>
      </c>
      <c r="H169" s="20">
        <f>C169/C168-1</f>
        <v/>
      </c>
      <c r="I169" s="20">
        <f>C169/MAX(C$2:C169)-1</f>
        <v/>
      </c>
      <c r="J169" s="20">
        <f>D169/D168-1</f>
        <v/>
      </c>
      <c r="K169" s="20">
        <f>D169/MAX(D$2:D169)-1</f>
        <v/>
      </c>
      <c r="L169" s="20">
        <f>E169/E168-1</f>
        <v/>
      </c>
      <c r="M169" s="20">
        <f>E169/MAX(E$2:E169)-1</f>
        <v/>
      </c>
    </row>
    <row r="170">
      <c r="A170" s="11" t="n">
        <v>43914</v>
      </c>
      <c r="B170" s="19" t="n">
        <v>1.249237882534292</v>
      </c>
      <c r="C170" s="19" t="n">
        <v>1.1315453670686</v>
      </c>
      <c r="D170" s="19" t="n">
        <v>1.212891357926243</v>
      </c>
      <c r="E170" s="19" t="n">
        <v>0.9915562217998267</v>
      </c>
      <c r="F170" s="20">
        <f>B170/B169-1</f>
        <v/>
      </c>
      <c r="G170" s="20">
        <f>B170/MAX(B$2:B170)-1</f>
        <v/>
      </c>
      <c r="H170" s="20">
        <f>C170/C169-1</f>
        <v/>
      </c>
      <c r="I170" s="20">
        <f>C170/MAX(C$2:C170)-1</f>
        <v/>
      </c>
      <c r="J170" s="20">
        <f>D170/D169-1</f>
        <v/>
      </c>
      <c r="K170" s="20">
        <f>D170/MAX(D$2:D170)-1</f>
        <v/>
      </c>
      <c r="L170" s="20">
        <f>E170/E169-1</f>
        <v/>
      </c>
      <c r="M170" s="20">
        <f>E170/MAX(E$2:E170)-1</f>
        <v/>
      </c>
    </row>
    <row r="171">
      <c r="A171" s="11" t="n">
        <v>43915</v>
      </c>
      <c r="B171" s="19" t="n">
        <v>1.285869117506687</v>
      </c>
      <c r="C171" s="19" t="n">
        <v>1.174838232864348</v>
      </c>
      <c r="D171" s="19" t="n">
        <v>1.252274667833132</v>
      </c>
      <c r="E171" s="19" t="n">
        <v>1.016939632565458</v>
      </c>
      <c r="F171" s="20">
        <f>B171/B170-1</f>
        <v/>
      </c>
      <c r="G171" s="20">
        <f>B171/MAX(B$2:B171)-1</f>
        <v/>
      </c>
      <c r="H171" s="20">
        <f>C171/C170-1</f>
        <v/>
      </c>
      <c r="I171" s="20">
        <f>C171/MAX(C$2:C171)-1</f>
        <v/>
      </c>
      <c r="J171" s="20">
        <f>D171/D170-1</f>
        <v/>
      </c>
      <c r="K171" s="20">
        <f>D171/MAX(D$2:D171)-1</f>
        <v/>
      </c>
      <c r="L171" s="20">
        <f>E171/E170-1</f>
        <v/>
      </c>
      <c r="M171" s="20">
        <f>E171/MAX(E$2:E171)-1</f>
        <v/>
      </c>
    </row>
    <row r="172">
      <c r="A172" s="11" t="n">
        <v>43916</v>
      </c>
      <c r="B172" s="19" t="n">
        <v>1.268638975576466</v>
      </c>
      <c r="C172" s="19" t="n">
        <v>1.161115521636332</v>
      </c>
      <c r="D172" s="19" t="n">
        <v>1.245438143878544</v>
      </c>
      <c r="E172" s="19" t="n">
        <v>1.009314194102746</v>
      </c>
      <c r="F172" s="20">
        <f>B172/B171-1</f>
        <v/>
      </c>
      <c r="G172" s="20">
        <f>B172/MAX(B$2:B172)-1</f>
        <v/>
      </c>
      <c r="H172" s="20">
        <f>C172/C171-1</f>
        <v/>
      </c>
      <c r="I172" s="20">
        <f>C172/MAX(C$2:C172)-1</f>
        <v/>
      </c>
      <c r="J172" s="20">
        <f>D172/D171-1</f>
        <v/>
      </c>
      <c r="K172" s="20">
        <f>D172/MAX(D$2:D172)-1</f>
        <v/>
      </c>
      <c r="L172" s="20">
        <f>E172/E171-1</f>
        <v/>
      </c>
      <c r="M172" s="20">
        <f>E172/MAX(E$2:E172)-1</f>
        <v/>
      </c>
    </row>
    <row r="173">
      <c r="A173" s="11" t="n">
        <v>43917</v>
      </c>
      <c r="B173" s="19" t="n">
        <v>1.261011276378554</v>
      </c>
      <c r="C173" s="19" t="n">
        <v>1.161174107734447</v>
      </c>
      <c r="D173" s="19" t="n">
        <v>1.230320348528115</v>
      </c>
      <c r="E173" s="19" t="n">
        <v>1.007900698192585</v>
      </c>
      <c r="F173" s="20">
        <f>B173/B172-1</f>
        <v/>
      </c>
      <c r="G173" s="20">
        <f>B173/MAX(B$2:B173)-1</f>
        <v/>
      </c>
      <c r="H173" s="20">
        <f>C173/C172-1</f>
        <v/>
      </c>
      <c r="I173" s="20">
        <f>C173/MAX(C$2:C173)-1</f>
        <v/>
      </c>
      <c r="J173" s="20">
        <f>D173/D172-1</f>
        <v/>
      </c>
      <c r="K173" s="20">
        <f>D173/MAX(D$2:D173)-1</f>
        <v/>
      </c>
      <c r="L173" s="20">
        <f>E173/E172-1</f>
        <v/>
      </c>
      <c r="M173" s="20">
        <f>E173/MAX(E$2:E173)-1</f>
        <v/>
      </c>
    </row>
    <row r="174">
      <c r="A174" s="11" t="n">
        <v>43920</v>
      </c>
      <c r="B174" s="19" t="n">
        <v>1.23755732262684</v>
      </c>
      <c r="C174" s="19" t="n">
        <v>1.146000548823793</v>
      </c>
      <c r="D174" s="19" t="n">
        <v>1.202276790656115</v>
      </c>
      <c r="E174" s="19" t="n">
        <v>0.9919765508467957</v>
      </c>
      <c r="F174" s="20">
        <f>B174/B173-1</f>
        <v/>
      </c>
      <c r="G174" s="20">
        <f>B174/MAX(B$2:B174)-1</f>
        <v/>
      </c>
      <c r="H174" s="20">
        <f>C174/C173-1</f>
        <v/>
      </c>
      <c r="I174" s="20">
        <f>C174/MAX(C$2:C174)-1</f>
        <v/>
      </c>
      <c r="J174" s="20">
        <f>D174/D173-1</f>
        <v/>
      </c>
      <c r="K174" s="20">
        <f>D174/MAX(D$2:D174)-1</f>
        <v/>
      </c>
      <c r="L174" s="20">
        <f>E174/E173-1</f>
        <v/>
      </c>
      <c r="M174" s="20">
        <f>E174/MAX(E$2:E174)-1</f>
        <v/>
      </c>
    </row>
    <row r="175">
      <c r="A175" s="11" t="n">
        <v>43921</v>
      </c>
      <c r="B175" s="19" t="n">
        <v>1.234531075537524</v>
      </c>
      <c r="C175" s="19" t="n">
        <v>1.141661185242941</v>
      </c>
      <c r="D175" s="19" t="n">
        <v>1.209664925477928</v>
      </c>
      <c r="E175" s="19" t="n">
        <v>0.9944576081417364</v>
      </c>
      <c r="F175" s="20">
        <f>B175/B174-1</f>
        <v/>
      </c>
      <c r="G175" s="20">
        <f>B175/MAX(B$2:B175)-1</f>
        <v/>
      </c>
      <c r="H175" s="20">
        <f>C175/C174-1</f>
        <v/>
      </c>
      <c r="I175" s="20">
        <f>C175/MAX(C$2:C175)-1</f>
        <v/>
      </c>
      <c r="J175" s="20">
        <f>D175/D174-1</f>
        <v/>
      </c>
      <c r="K175" s="20">
        <f>D175/MAX(D$2:D175)-1</f>
        <v/>
      </c>
      <c r="L175" s="20">
        <f>E175/E174-1</f>
        <v/>
      </c>
      <c r="M175" s="20">
        <f>E175/MAX(E$2:E175)-1</f>
        <v/>
      </c>
    </row>
    <row r="176">
      <c r="A176" s="11" t="n">
        <v>43922</v>
      </c>
      <c r="B176" s="19" t="n">
        <v>1.237902729063241</v>
      </c>
      <c r="C176" s="19" t="n">
        <v>1.140757525944671</v>
      </c>
      <c r="D176" s="19" t="n">
        <v>1.205065669545154</v>
      </c>
      <c r="E176" s="19" t="n">
        <v>0.9905779338409519</v>
      </c>
      <c r="F176" s="20">
        <f>B176/B175-1</f>
        <v/>
      </c>
      <c r="G176" s="20">
        <f>B176/MAX(B$2:B176)-1</f>
        <v/>
      </c>
      <c r="H176" s="20">
        <f>C176/C175-1</f>
        <v/>
      </c>
      <c r="I176" s="20">
        <f>C176/MAX(C$2:C176)-1</f>
        <v/>
      </c>
      <c r="J176" s="20">
        <f>D176/D175-1</f>
        <v/>
      </c>
      <c r="K176" s="20">
        <f>D176/MAX(D$2:D176)-1</f>
        <v/>
      </c>
      <c r="L176" s="20">
        <f>E176/E175-1</f>
        <v/>
      </c>
      <c r="M176" s="20">
        <f>E176/MAX(E$2:E176)-1</f>
        <v/>
      </c>
    </row>
    <row r="177">
      <c r="A177" s="11" t="n">
        <v>43923</v>
      </c>
      <c r="B177" s="19" t="n">
        <v>1.279608053267982</v>
      </c>
      <c r="C177" s="19" t="n">
        <v>1.174195661694625</v>
      </c>
      <c r="D177" s="19" t="n">
        <v>1.238766146782902</v>
      </c>
      <c r="E177" s="19" t="n">
        <v>1.010489627543828</v>
      </c>
      <c r="F177" s="20">
        <f>B177/B176-1</f>
        <v/>
      </c>
      <c r="G177" s="20">
        <f>B177/MAX(B$2:B177)-1</f>
        <v/>
      </c>
      <c r="H177" s="20">
        <f>C177/C176-1</f>
        <v/>
      </c>
      <c r="I177" s="20">
        <f>C177/MAX(C$2:C177)-1</f>
        <v/>
      </c>
      <c r="J177" s="20">
        <f>D177/D176-1</f>
        <v/>
      </c>
      <c r="K177" s="20">
        <f>D177/MAX(D$2:D177)-1</f>
        <v/>
      </c>
      <c r="L177" s="20">
        <f>E177/E176-1</f>
        <v/>
      </c>
      <c r="M177" s="20">
        <f>E177/MAX(E$2:E177)-1</f>
        <v/>
      </c>
    </row>
    <row r="178">
      <c r="A178" s="11" t="n">
        <v>43924</v>
      </c>
      <c r="B178" s="19" t="n">
        <v>1.26683283879876</v>
      </c>
      <c r="C178" s="19" t="n">
        <v>1.162969353169554</v>
      </c>
      <c r="D178" s="19" t="n">
        <v>1.23212568507892</v>
      </c>
      <c r="E178" s="19" t="n">
        <v>1.004526906638595</v>
      </c>
      <c r="F178" s="20">
        <f>B178/B177-1</f>
        <v/>
      </c>
      <c r="G178" s="20">
        <f>B178/MAX(B$2:B178)-1</f>
        <v/>
      </c>
      <c r="H178" s="20">
        <f>C178/C177-1</f>
        <v/>
      </c>
      <c r="I178" s="20">
        <f>C178/MAX(C$2:C178)-1</f>
        <v/>
      </c>
      <c r="J178" s="20">
        <f>D178/D177-1</f>
        <v/>
      </c>
      <c r="K178" s="20">
        <f>D178/MAX(D$2:D178)-1</f>
        <v/>
      </c>
      <c r="L178" s="20">
        <f>E178/E177-1</f>
        <v/>
      </c>
      <c r="M178" s="20">
        <f>E178/MAX(E$2:E178)-1</f>
        <v/>
      </c>
    </row>
    <row r="179">
      <c r="A179" s="11" t="n">
        <v>43928</v>
      </c>
      <c r="B179" s="19" t="n">
        <v>1.293893230794616</v>
      </c>
      <c r="C179" s="19" t="n">
        <v>1.199581624071094</v>
      </c>
      <c r="D179" s="19" t="n">
        <v>1.272906568582982</v>
      </c>
      <c r="E179" s="19" t="n">
        <v>1.031848294691579</v>
      </c>
      <c r="F179" s="20">
        <f>B179/B178-1</f>
        <v/>
      </c>
      <c r="G179" s="20">
        <f>B179/MAX(B$2:B179)-1</f>
        <v/>
      </c>
      <c r="H179" s="20">
        <f>C179/C178-1</f>
        <v/>
      </c>
      <c r="I179" s="20">
        <f>C179/MAX(C$2:C179)-1</f>
        <v/>
      </c>
      <c r="J179" s="20">
        <f>D179/D178-1</f>
        <v/>
      </c>
      <c r="K179" s="20">
        <f>D179/MAX(D$2:D179)-1</f>
        <v/>
      </c>
      <c r="L179" s="20">
        <f>E179/E178-1</f>
        <v/>
      </c>
      <c r="M179" s="20">
        <f>E179/MAX(E$2:E179)-1</f>
        <v/>
      </c>
    </row>
    <row r="180">
      <c r="A180" s="11" t="n">
        <v>43929</v>
      </c>
      <c r="B180" s="19" t="n">
        <v>1.295505467648907</v>
      </c>
      <c r="C180" s="19" t="n">
        <v>1.201673888517582</v>
      </c>
      <c r="D180" s="19" t="n">
        <v>1.269659651054429</v>
      </c>
      <c r="E180" s="19" t="n">
        <v>1.030505473576926</v>
      </c>
      <c r="F180" s="20">
        <f>B180/B179-1</f>
        <v/>
      </c>
      <c r="G180" s="20">
        <f>B180/MAX(B$2:B180)-1</f>
        <v/>
      </c>
      <c r="H180" s="20">
        <f>C180/C179-1</f>
        <v/>
      </c>
      <c r="I180" s="20">
        <f>C180/MAX(C$2:C180)-1</f>
        <v/>
      </c>
      <c r="J180" s="20">
        <f>D180/D179-1</f>
        <v/>
      </c>
      <c r="K180" s="20">
        <f>D180/MAX(D$2:D180)-1</f>
        <v/>
      </c>
      <c r="L180" s="20">
        <f>E180/E179-1</f>
        <v/>
      </c>
      <c r="M180" s="20">
        <f>E180/MAX(E$2:E180)-1</f>
        <v/>
      </c>
    </row>
    <row r="181">
      <c r="A181" s="11" t="n">
        <v>43930</v>
      </c>
      <c r="B181" s="19" t="n">
        <v>1.294459577836887</v>
      </c>
      <c r="C181" s="19" t="n">
        <v>1.2044320527525</v>
      </c>
      <c r="D181" s="19" t="n">
        <v>1.290583383420539</v>
      </c>
      <c r="E181" s="19" t="n">
        <v>1.036996395585429</v>
      </c>
      <c r="F181" s="20">
        <f>B181/B180-1</f>
        <v/>
      </c>
      <c r="G181" s="20">
        <f>B181/MAX(B$2:B181)-1</f>
        <v/>
      </c>
      <c r="H181" s="20">
        <f>C181/C180-1</f>
        <v/>
      </c>
      <c r="I181" s="20">
        <f>C181/MAX(C$2:C181)-1</f>
        <v/>
      </c>
      <c r="J181" s="20">
        <f>D181/D180-1</f>
        <v/>
      </c>
      <c r="K181" s="20">
        <f>D181/MAX(D$2:D181)-1</f>
        <v/>
      </c>
      <c r="L181" s="20">
        <f>E181/E180-1</f>
        <v/>
      </c>
      <c r="M181" s="20">
        <f>E181/MAX(E$2:E181)-1</f>
        <v/>
      </c>
    </row>
    <row r="182">
      <c r="A182" s="11" t="n">
        <v>43931</v>
      </c>
      <c r="B182" s="19" t="n">
        <v>1.264519005922713</v>
      </c>
      <c r="C182" s="19" t="n">
        <v>1.177127275412141</v>
      </c>
      <c r="D182" s="19" t="n">
        <v>1.260048788094252</v>
      </c>
      <c r="E182" s="19" t="n">
        <v>1.02113176385691</v>
      </c>
      <c r="F182" s="20">
        <f>B182/B181-1</f>
        <v/>
      </c>
      <c r="G182" s="20">
        <f>B182/MAX(B$2:B182)-1</f>
        <v/>
      </c>
      <c r="H182" s="20">
        <f>C182/C181-1</f>
        <v/>
      </c>
      <c r="I182" s="20">
        <f>C182/MAX(C$2:C182)-1</f>
        <v/>
      </c>
      <c r="J182" s="20">
        <f>D182/D181-1</f>
        <v/>
      </c>
      <c r="K182" s="20">
        <f>D182/MAX(D$2:D182)-1</f>
        <v/>
      </c>
      <c r="L182" s="20">
        <f>E182/E181-1</f>
        <v/>
      </c>
      <c r="M182" s="20">
        <f>E182/MAX(E$2:E182)-1</f>
        <v/>
      </c>
    </row>
    <row r="183">
      <c r="A183" s="11" t="n">
        <v>43934</v>
      </c>
      <c r="B183" s="19" t="n">
        <v>1.253611970020499</v>
      </c>
      <c r="C183" s="19" t="n">
        <v>1.166747819796281</v>
      </c>
      <c r="D183" s="19" t="n">
        <v>1.242727974225246</v>
      </c>
      <c r="E183" s="19" t="n">
        <v>1.014187035266723</v>
      </c>
      <c r="F183" s="20">
        <f>B183/B182-1</f>
        <v/>
      </c>
      <c r="G183" s="20">
        <f>B183/MAX(B$2:B183)-1</f>
        <v/>
      </c>
      <c r="H183" s="20">
        <f>C183/C182-1</f>
        <v/>
      </c>
      <c r="I183" s="20">
        <f>C183/MAX(C$2:C183)-1</f>
        <v/>
      </c>
      <c r="J183" s="20">
        <f>D183/D182-1</f>
        <v/>
      </c>
      <c r="K183" s="20">
        <f>D183/MAX(D$2:D183)-1</f>
        <v/>
      </c>
      <c r="L183" s="20">
        <f>E183/E182-1</f>
        <v/>
      </c>
      <c r="M183" s="20">
        <f>E183/MAX(E$2:E183)-1</f>
        <v/>
      </c>
    </row>
    <row r="184">
      <c r="A184" s="11" t="n">
        <v>43935</v>
      </c>
      <c r="B184" s="19" t="n">
        <v>1.281016364142044</v>
      </c>
      <c r="C184" s="19" t="n">
        <v>1.198751846748772</v>
      </c>
      <c r="D184" s="19" t="n">
        <v>1.283016117234628</v>
      </c>
      <c r="E184" s="19" t="n">
        <v>1.034675286511901</v>
      </c>
      <c r="F184" s="20">
        <f>B184/B183-1</f>
        <v/>
      </c>
      <c r="G184" s="20">
        <f>B184/MAX(B$2:B184)-1</f>
        <v/>
      </c>
      <c r="H184" s="20">
        <f>C184/C183-1</f>
        <v/>
      </c>
      <c r="I184" s="20">
        <f>C184/MAX(C$2:C184)-1</f>
        <v/>
      </c>
      <c r="J184" s="20">
        <f>D184/D183-1</f>
        <v/>
      </c>
      <c r="K184" s="20">
        <f>D184/MAX(D$2:D184)-1</f>
        <v/>
      </c>
      <c r="L184" s="20">
        <f>E184/E183-1</f>
        <v/>
      </c>
      <c r="M184" s="20">
        <f>E184/MAX(E$2:E184)-1</f>
        <v/>
      </c>
    </row>
    <row r="185">
      <c r="A185" s="11" t="n">
        <v>43936</v>
      </c>
      <c r="B185" s="19" t="n">
        <v>1.279867146382367</v>
      </c>
      <c r="C185" s="19" t="n">
        <v>1.193536914412589</v>
      </c>
      <c r="D185" s="19" t="n">
        <v>1.277903571105232</v>
      </c>
      <c r="E185" s="19" t="n">
        <v>1.028362911355208</v>
      </c>
      <c r="F185" s="20">
        <f>B185/B184-1</f>
        <v/>
      </c>
      <c r="G185" s="20">
        <f>B185/MAX(B$2:B185)-1</f>
        <v/>
      </c>
      <c r="H185" s="20">
        <f>C185/C184-1</f>
        <v/>
      </c>
      <c r="I185" s="20">
        <f>C185/MAX(C$2:C185)-1</f>
        <v/>
      </c>
      <c r="J185" s="20">
        <f>D185/D184-1</f>
        <v/>
      </c>
      <c r="K185" s="20">
        <f>D185/MAX(D$2:D185)-1</f>
        <v/>
      </c>
      <c r="L185" s="20">
        <f>E185/E184-1</f>
        <v/>
      </c>
      <c r="M185" s="20">
        <f>E185/MAX(E$2:E185)-1</f>
        <v/>
      </c>
    </row>
    <row r="186">
      <c r="A186" s="11" t="n">
        <v>43937</v>
      </c>
      <c r="B186" s="19" t="n">
        <v>1.291198831235953</v>
      </c>
      <c r="C186" s="19" t="n">
        <v>1.204503914518169</v>
      </c>
      <c r="D186" s="19" t="n">
        <v>1.297854617579417</v>
      </c>
      <c r="E186" s="19" t="n">
        <v>1.032476928398993</v>
      </c>
      <c r="F186" s="20">
        <f>B186/B185-1</f>
        <v/>
      </c>
      <c r="G186" s="20">
        <f>B186/MAX(B$2:B186)-1</f>
        <v/>
      </c>
      <c r="H186" s="20">
        <f>C186/C185-1</f>
        <v/>
      </c>
      <c r="I186" s="20">
        <f>C186/MAX(C$2:C186)-1</f>
        <v/>
      </c>
      <c r="J186" s="20">
        <f>D186/D185-1</f>
        <v/>
      </c>
      <c r="K186" s="20">
        <f>D186/MAX(D$2:D186)-1</f>
        <v/>
      </c>
      <c r="L186" s="20">
        <f>E186/E185-1</f>
        <v/>
      </c>
      <c r="M186" s="20">
        <f>E186/MAX(E$2:E186)-1</f>
        <v/>
      </c>
    </row>
    <row r="187">
      <c r="A187" s="11" t="n">
        <v>43938</v>
      </c>
      <c r="B187" s="19" t="n">
        <v>1.307736830351836</v>
      </c>
      <c r="C187" s="19" t="n">
        <v>1.218528502882287</v>
      </c>
      <c r="D187" s="19" t="n">
        <v>1.305855753887464</v>
      </c>
      <c r="E187" s="19" t="n">
        <v>1.037948645461748</v>
      </c>
      <c r="F187" s="20">
        <f>B187/B186-1</f>
        <v/>
      </c>
      <c r="G187" s="20">
        <f>B187/MAX(B$2:B187)-1</f>
        <v/>
      </c>
      <c r="H187" s="20">
        <f>C187/C186-1</f>
        <v/>
      </c>
      <c r="I187" s="20">
        <f>C187/MAX(C$2:C187)-1</f>
        <v/>
      </c>
      <c r="J187" s="20">
        <f>D187/D186-1</f>
        <v/>
      </c>
      <c r="K187" s="20">
        <f>D187/MAX(D$2:D187)-1</f>
        <v/>
      </c>
      <c r="L187" s="20">
        <f>E187/E186-1</f>
        <v/>
      </c>
      <c r="M187" s="20">
        <f>E187/MAX(E$2:E187)-1</f>
        <v/>
      </c>
    </row>
    <row r="188">
      <c r="A188" s="11" t="n">
        <v>43941</v>
      </c>
      <c r="B188" s="19" t="n">
        <v>1.316208177661056</v>
      </c>
      <c r="C188" s="19" t="n">
        <v>1.226282743339739</v>
      </c>
      <c r="D188" s="19" t="n">
        <v>1.320503814069916</v>
      </c>
      <c r="E188" s="19" t="n">
        <v>1.046251074070905</v>
      </c>
      <c r="F188" s="20">
        <f>B188/B187-1</f>
        <v/>
      </c>
      <c r="G188" s="20">
        <f>B188/MAX(B$2:B188)-1</f>
        <v/>
      </c>
      <c r="H188" s="20">
        <f>C188/C187-1</f>
        <v/>
      </c>
      <c r="I188" s="20">
        <f>C188/MAX(C$2:C188)-1</f>
        <v/>
      </c>
      <c r="J188" s="20">
        <f>D188/D187-1</f>
        <v/>
      </c>
      <c r="K188" s="20">
        <f>D188/MAX(D$2:D188)-1</f>
        <v/>
      </c>
      <c r="L188" s="20">
        <f>E188/E187-1</f>
        <v/>
      </c>
      <c r="M188" s="20">
        <f>E188/MAX(E$2:E188)-1</f>
        <v/>
      </c>
    </row>
    <row r="189">
      <c r="A189" s="11" t="n">
        <v>43942</v>
      </c>
      <c r="B189" s="19" t="n">
        <v>1.302843183095542</v>
      </c>
      <c r="C189" s="19" t="n">
        <v>1.213243873291449</v>
      </c>
      <c r="D189" s="19" t="n">
        <v>1.307906006697264</v>
      </c>
      <c r="E189" s="19" t="n">
        <v>1.037148904354683</v>
      </c>
      <c r="F189" s="20">
        <f>B189/B188-1</f>
        <v/>
      </c>
      <c r="G189" s="20">
        <f>B189/MAX(B$2:B189)-1</f>
        <v/>
      </c>
      <c r="H189" s="20">
        <f>C189/C188-1</f>
        <v/>
      </c>
      <c r="I189" s="20">
        <f>C189/MAX(C$2:C189)-1</f>
        <v/>
      </c>
      <c r="J189" s="20">
        <f>D189/D188-1</f>
        <v/>
      </c>
      <c r="K189" s="20">
        <f>D189/MAX(D$2:D189)-1</f>
        <v/>
      </c>
      <c r="L189" s="20">
        <f>E189/E188-1</f>
        <v/>
      </c>
      <c r="M189" s="20">
        <f>E189/MAX(E$2:E189)-1</f>
        <v/>
      </c>
    </row>
    <row r="190">
      <c r="A190" s="11" t="n">
        <v>43943</v>
      </c>
      <c r="B190" s="19" t="n">
        <v>1.312108692358281</v>
      </c>
      <c r="C190" s="19" t="n">
        <v>1.222634628376307</v>
      </c>
      <c r="D190" s="19" t="n">
        <v>1.320331597228168</v>
      </c>
      <c r="E190" s="19" t="n">
        <v>1.046068807493016</v>
      </c>
      <c r="F190" s="20">
        <f>B190/B189-1</f>
        <v/>
      </c>
      <c r="G190" s="20">
        <f>B190/MAX(B$2:B190)-1</f>
        <v/>
      </c>
      <c r="H190" s="20">
        <f>C190/C189-1</f>
        <v/>
      </c>
      <c r="I190" s="20">
        <f>C190/MAX(C$2:C190)-1</f>
        <v/>
      </c>
      <c r="J190" s="20">
        <f>D190/D189-1</f>
        <v/>
      </c>
      <c r="K190" s="20">
        <f>D190/MAX(D$2:D190)-1</f>
        <v/>
      </c>
      <c r="L190" s="20">
        <f>E190/E189-1</f>
        <v/>
      </c>
      <c r="M190" s="20">
        <f>E190/MAX(E$2:E190)-1</f>
        <v/>
      </c>
    </row>
    <row r="191">
      <c r="A191" s="11" t="n">
        <v>43944</v>
      </c>
      <c r="B191" s="19" t="n">
        <v>1.295218924778545</v>
      </c>
      <c r="C191" s="19" t="n">
        <v>1.206596948568573</v>
      </c>
      <c r="D191" s="19" t="n">
        <v>1.31151325484855</v>
      </c>
      <c r="E191" s="19" t="n">
        <v>1.042092420314168</v>
      </c>
      <c r="F191" s="20">
        <f>B191/B190-1</f>
        <v/>
      </c>
      <c r="G191" s="20">
        <f>B191/MAX(B$2:B191)-1</f>
        <v/>
      </c>
      <c r="H191" s="20">
        <f>C191/C190-1</f>
        <v/>
      </c>
      <c r="I191" s="20">
        <f>C191/MAX(C$2:C191)-1</f>
        <v/>
      </c>
      <c r="J191" s="20">
        <f>D191/D190-1</f>
        <v/>
      </c>
      <c r="K191" s="20">
        <f>D191/MAX(D$2:D191)-1</f>
        <v/>
      </c>
      <c r="L191" s="20">
        <f>E191/E190-1</f>
        <v/>
      </c>
      <c r="M191" s="20">
        <f>E191/MAX(E$2:E191)-1</f>
        <v/>
      </c>
    </row>
    <row r="192">
      <c r="A192" s="11" t="n">
        <v>43945</v>
      </c>
      <c r="B192" s="19" t="n">
        <v>1.280469465964905</v>
      </c>
      <c r="C192" s="19" t="n">
        <v>1.190667253810321</v>
      </c>
      <c r="D192" s="19" t="n">
        <v>1.294855976638479</v>
      </c>
      <c r="E192" s="19" t="n">
        <v>1.028753482593542</v>
      </c>
      <c r="F192" s="20">
        <f>B192/B191-1</f>
        <v/>
      </c>
      <c r="G192" s="20">
        <f>B192/MAX(B$2:B192)-1</f>
        <v/>
      </c>
      <c r="H192" s="20">
        <f>C192/C191-1</f>
        <v/>
      </c>
      <c r="I192" s="20">
        <f>C192/MAX(C$2:C192)-1</f>
        <v/>
      </c>
      <c r="J192" s="20">
        <f>D192/D191-1</f>
        <v/>
      </c>
      <c r="K192" s="20">
        <f>D192/MAX(D$2:D192)-1</f>
        <v/>
      </c>
      <c r="L192" s="20">
        <f>E192/E191-1</f>
        <v/>
      </c>
      <c r="M192" s="20">
        <f>E192/MAX(E$2:E192)-1</f>
        <v/>
      </c>
    </row>
    <row r="193">
      <c r="A193" s="11" t="n">
        <v>43948</v>
      </c>
      <c r="B193" s="19" t="n">
        <v>1.280325854003872</v>
      </c>
      <c r="C193" s="19" t="n">
        <v>1.195004019977956</v>
      </c>
      <c r="D193" s="19" t="n">
        <v>1.30449630709578</v>
      </c>
      <c r="E193" s="19" t="n">
        <v>1.030605906181069</v>
      </c>
      <c r="F193" s="20">
        <f>B193/B192-1</f>
        <v/>
      </c>
      <c r="G193" s="20">
        <f>B193/MAX(B$2:B193)-1</f>
        <v/>
      </c>
      <c r="H193" s="20">
        <f>C193/C192-1</f>
        <v/>
      </c>
      <c r="I193" s="20">
        <f>C193/MAX(C$2:C193)-1</f>
        <v/>
      </c>
      <c r="J193" s="20">
        <f>D193/D192-1</f>
        <v/>
      </c>
      <c r="K193" s="20">
        <f>D193/MAX(D$2:D193)-1</f>
        <v/>
      </c>
      <c r="L193" s="20">
        <f>E193/E192-1</f>
        <v/>
      </c>
      <c r="M193" s="20">
        <f>E193/MAX(E$2:E193)-1</f>
        <v/>
      </c>
    </row>
    <row r="194">
      <c r="A194" s="11" t="n">
        <v>43949</v>
      </c>
      <c r="B194" s="19" t="n">
        <v>1.282562772464385</v>
      </c>
      <c r="C194" s="19" t="n">
        <v>1.199026932048544</v>
      </c>
      <c r="D194" s="19" t="n">
        <v>1.312288586055787</v>
      </c>
      <c r="E194" s="19" t="n">
        <v>1.027618966139334</v>
      </c>
      <c r="F194" s="20">
        <f>B194/B193-1</f>
        <v/>
      </c>
      <c r="G194" s="20">
        <f>B194/MAX(B$2:B194)-1</f>
        <v/>
      </c>
      <c r="H194" s="20">
        <f>C194/C193-1</f>
        <v/>
      </c>
      <c r="I194" s="20">
        <f>C194/MAX(C$2:C194)-1</f>
        <v/>
      </c>
      <c r="J194" s="20">
        <f>D194/D193-1</f>
        <v/>
      </c>
      <c r="K194" s="20">
        <f>D194/MAX(D$2:D194)-1</f>
        <v/>
      </c>
      <c r="L194" s="20">
        <f>E194/E193-1</f>
        <v/>
      </c>
      <c r="M194" s="20">
        <f>E194/MAX(E$2:E194)-1</f>
        <v/>
      </c>
    </row>
    <row r="195">
      <c r="A195" s="11" t="n">
        <v>43950</v>
      </c>
      <c r="B195" s="19" t="n">
        <v>1.280154065213497</v>
      </c>
      <c r="C195" s="19" t="n">
        <v>1.194695072105874</v>
      </c>
      <c r="D195" s="19" t="n">
        <v>1.312128776581249</v>
      </c>
      <c r="E195" s="19" t="n">
        <v>1.029263085066416</v>
      </c>
      <c r="F195" s="20">
        <f>B195/B194-1</f>
        <v/>
      </c>
      <c r="G195" s="20">
        <f>B195/MAX(B$2:B195)-1</f>
        <v/>
      </c>
      <c r="H195" s="20">
        <f>C195/C194-1</f>
        <v/>
      </c>
      <c r="I195" s="20">
        <f>C195/MAX(C$2:C195)-1</f>
        <v/>
      </c>
      <c r="J195" s="20">
        <f>D195/D194-1</f>
        <v/>
      </c>
      <c r="K195" s="20">
        <f>D195/MAX(D$2:D195)-1</f>
        <v/>
      </c>
      <c r="L195" s="20">
        <f>E195/E194-1</f>
        <v/>
      </c>
      <c r="M195" s="20">
        <f>E195/MAX(E$2:E195)-1</f>
        <v/>
      </c>
    </row>
    <row r="196">
      <c r="A196" s="11" t="n">
        <v>43951</v>
      </c>
      <c r="B196" s="19" t="n">
        <v>1.300099003211174</v>
      </c>
      <c r="C196" s="19" t="n">
        <v>1.230564386626881</v>
      </c>
      <c r="D196" s="19" t="n">
        <v>1.337302290703709</v>
      </c>
      <c r="E196" s="19" t="n">
        <v>1.046556091609414</v>
      </c>
      <c r="F196" s="20">
        <f>B196/B195-1</f>
        <v/>
      </c>
      <c r="G196" s="20">
        <f>B196/MAX(B$2:B196)-1</f>
        <v/>
      </c>
      <c r="H196" s="20">
        <f>C196/C195-1</f>
        <v/>
      </c>
      <c r="I196" s="20">
        <f>C196/MAX(C$2:C196)-1</f>
        <v/>
      </c>
      <c r="J196" s="20">
        <f>D196/D195-1</f>
        <v/>
      </c>
      <c r="K196" s="20">
        <f>D196/MAX(D$2:D196)-1</f>
        <v/>
      </c>
      <c r="L196" s="20">
        <f>E196/E195-1</f>
        <v/>
      </c>
      <c r="M196" s="20">
        <f>E196/MAX(E$2:E196)-1</f>
        <v/>
      </c>
    </row>
    <row r="197">
      <c r="A197" s="11" t="n">
        <v>43957</v>
      </c>
      <c r="B197" s="19" t="n">
        <v>1.316518325988774</v>
      </c>
      <c r="C197" s="19" t="n">
        <v>1.260093174984121</v>
      </c>
      <c r="D197" s="19" t="n">
        <v>1.363690175891878</v>
      </c>
      <c r="E197" s="19" t="n">
        <v>1.059218039183595</v>
      </c>
      <c r="F197" s="20">
        <f>B197/B196-1</f>
        <v/>
      </c>
      <c r="G197" s="20">
        <f>B197/MAX(B$2:B197)-1</f>
        <v/>
      </c>
      <c r="H197" s="20">
        <f>C197/C196-1</f>
        <v/>
      </c>
      <c r="I197" s="20">
        <f>C197/MAX(C$2:C197)-1</f>
        <v/>
      </c>
      <c r="J197" s="20">
        <f>D197/D196-1</f>
        <v/>
      </c>
      <c r="K197" s="20">
        <f>D197/MAX(D$2:D197)-1</f>
        <v/>
      </c>
      <c r="L197" s="20">
        <f>E197/E196-1</f>
        <v/>
      </c>
      <c r="M197" s="20">
        <f>E197/MAX(E$2:E197)-1</f>
        <v/>
      </c>
    </row>
    <row r="198">
      <c r="A198" s="11" t="n">
        <v>43958</v>
      </c>
      <c r="B198" s="19" t="n">
        <v>1.315509979548487</v>
      </c>
      <c r="C198" s="19" t="n">
        <v>1.258279747656496</v>
      </c>
      <c r="D198" s="19" t="n">
        <v>1.361477076387443</v>
      </c>
      <c r="E198" s="19" t="n">
        <v>1.056889490657908</v>
      </c>
      <c r="F198" s="20">
        <f>B198/B197-1</f>
        <v/>
      </c>
      <c r="G198" s="20">
        <f>B198/MAX(B$2:B198)-1</f>
        <v/>
      </c>
      <c r="H198" s="20">
        <f>C198/C197-1</f>
        <v/>
      </c>
      <c r="I198" s="20">
        <f>C198/MAX(C$2:C198)-1</f>
        <v/>
      </c>
      <c r="J198" s="20">
        <f>D198/D197-1</f>
        <v/>
      </c>
      <c r="K198" s="20">
        <f>D198/MAX(D$2:D198)-1</f>
        <v/>
      </c>
      <c r="L198" s="20">
        <f>E198/E197-1</f>
        <v/>
      </c>
      <c r="M198" s="20">
        <f>E198/MAX(E$2:E198)-1</f>
        <v/>
      </c>
    </row>
    <row r="199">
      <c r="A199" s="11" t="n">
        <v>43959</v>
      </c>
      <c r="B199" s="19" t="n">
        <v>1.323681273971727</v>
      </c>
      <c r="C199" s="19" t="n">
        <v>1.27297514203401</v>
      </c>
      <c r="D199" s="19" t="n">
        <v>1.373368439289557</v>
      </c>
      <c r="E199" s="19" t="n">
        <v>1.068513634655944</v>
      </c>
      <c r="F199" s="20">
        <f>B199/B198-1</f>
        <v/>
      </c>
      <c r="G199" s="20">
        <f>B199/MAX(B$2:B199)-1</f>
        <v/>
      </c>
      <c r="H199" s="20">
        <f>C199/C198-1</f>
        <v/>
      </c>
      <c r="I199" s="20">
        <f>C199/MAX(C$2:C199)-1</f>
        <v/>
      </c>
      <c r="J199" s="20">
        <f>D199/D198-1</f>
        <v/>
      </c>
      <c r="K199" s="20">
        <f>D199/MAX(D$2:D199)-1</f>
        <v/>
      </c>
      <c r="L199" s="20">
        <f>E199/E198-1</f>
        <v/>
      </c>
      <c r="M199" s="20">
        <f>E199/MAX(E$2:E199)-1</f>
        <v/>
      </c>
    </row>
    <row r="200">
      <c r="A200" s="11" t="n">
        <v>43962</v>
      </c>
      <c r="B200" s="19" t="n">
        <v>1.325028223258994</v>
      </c>
      <c r="C200" s="19" t="n">
        <v>1.275397518460273</v>
      </c>
      <c r="D200" s="19" t="n">
        <v>1.358881416394022</v>
      </c>
      <c r="E200" s="19" t="n">
        <v>1.066802560659433</v>
      </c>
      <c r="F200" s="20">
        <f>B200/B199-1</f>
        <v/>
      </c>
      <c r="G200" s="20">
        <f>B200/MAX(B$2:B200)-1</f>
        <v/>
      </c>
      <c r="H200" s="20">
        <f>C200/C199-1</f>
        <v/>
      </c>
      <c r="I200" s="20">
        <f>C200/MAX(C$2:C200)-1</f>
        <v/>
      </c>
      <c r="J200" s="20">
        <f>D200/D199-1</f>
        <v/>
      </c>
      <c r="K200" s="20">
        <f>D200/MAX(D$2:D200)-1</f>
        <v/>
      </c>
      <c r="L200" s="20">
        <f>E200/E199-1</f>
        <v/>
      </c>
      <c r="M200" s="20">
        <f>E200/MAX(E$2:E200)-1</f>
        <v/>
      </c>
    </row>
    <row r="201">
      <c r="A201" s="11" t="n">
        <v>43963</v>
      </c>
      <c r="B201" s="19" t="n">
        <v>1.326713454442677</v>
      </c>
      <c r="C201" s="19" t="n">
        <v>1.278428266782236</v>
      </c>
      <c r="D201" s="19" t="n">
        <v>1.372661930197315</v>
      </c>
      <c r="E201" s="19" t="n">
        <v>1.067974274374435</v>
      </c>
      <c r="F201" s="20">
        <f>B201/B200-1</f>
        <v/>
      </c>
      <c r="G201" s="20">
        <f>B201/MAX(B$2:B201)-1</f>
        <v/>
      </c>
      <c r="H201" s="20">
        <f>C201/C200-1</f>
        <v/>
      </c>
      <c r="I201" s="20">
        <f>C201/MAX(C$2:C201)-1</f>
        <v/>
      </c>
      <c r="J201" s="20">
        <f>D201/D200-1</f>
        <v/>
      </c>
      <c r="K201" s="20">
        <f>D201/MAX(D$2:D201)-1</f>
        <v/>
      </c>
      <c r="L201" s="20">
        <f>E201/E200-1</f>
        <v/>
      </c>
      <c r="M201" s="20">
        <f>E201/MAX(E$2:E201)-1</f>
        <v/>
      </c>
    </row>
    <row r="202">
      <c r="A202" s="11" t="n">
        <v>43964</v>
      </c>
      <c r="B202" s="19" t="n">
        <v>1.328102180795267</v>
      </c>
      <c r="C202" s="19" t="n">
        <v>1.28092577579081</v>
      </c>
      <c r="D202" s="19" t="n">
        <v>1.383344479500283</v>
      </c>
      <c r="E202" s="19" t="n">
        <v>1.072352391969855</v>
      </c>
      <c r="F202" s="20">
        <f>B202/B201-1</f>
        <v/>
      </c>
      <c r="G202" s="20">
        <f>B202/MAX(B$2:B202)-1</f>
        <v/>
      </c>
      <c r="H202" s="20">
        <f>C202/C201-1</f>
        <v/>
      </c>
      <c r="I202" s="20">
        <f>C202/MAX(C$2:C202)-1</f>
        <v/>
      </c>
      <c r="J202" s="20">
        <f>D202/D201-1</f>
        <v/>
      </c>
      <c r="K202" s="20">
        <f>D202/MAX(D$2:D202)-1</f>
        <v/>
      </c>
      <c r="L202" s="20">
        <f>E202/E201-1</f>
        <v/>
      </c>
      <c r="M202" s="20">
        <f>E202/MAX(E$2:E202)-1</f>
        <v/>
      </c>
    </row>
    <row r="203">
      <c r="A203" s="11" t="n">
        <v>43965</v>
      </c>
      <c r="B203" s="19" t="n">
        <v>1.319505493142862</v>
      </c>
      <c r="C203" s="19" t="n">
        <v>1.265465347020418</v>
      </c>
      <c r="D203" s="19" t="n">
        <v>1.368459774636976</v>
      </c>
      <c r="E203" s="19" t="n">
        <v>1.061952037851933</v>
      </c>
      <c r="F203" s="20">
        <f>B203/B202-1</f>
        <v/>
      </c>
      <c r="G203" s="20">
        <f>B203/MAX(B$2:B203)-1</f>
        <v/>
      </c>
      <c r="H203" s="20">
        <f>C203/C202-1</f>
        <v/>
      </c>
      <c r="I203" s="20">
        <f>C203/MAX(C$2:C203)-1</f>
        <v/>
      </c>
      <c r="J203" s="20">
        <f>D203/D202-1</f>
        <v/>
      </c>
      <c r="K203" s="20">
        <f>D203/MAX(D$2:D203)-1</f>
        <v/>
      </c>
      <c r="L203" s="20">
        <f>E203/E202-1</f>
        <v/>
      </c>
      <c r="M203" s="20">
        <f>E203/MAX(E$2:E203)-1</f>
        <v/>
      </c>
    </row>
    <row r="204">
      <c r="A204" s="11" t="n">
        <v>43966</v>
      </c>
      <c r="B204" s="19" t="n">
        <v>1.317759923252798</v>
      </c>
      <c r="C204" s="19" t="n">
        <v>1.262326084546281</v>
      </c>
      <c r="D204" s="19" t="n">
        <v>1.372765777275998</v>
      </c>
      <c r="E204" s="19" t="n">
        <v>1.062800135398029</v>
      </c>
      <c r="F204" s="20">
        <f>B204/B203-1</f>
        <v/>
      </c>
      <c r="G204" s="20">
        <f>B204/MAX(B$2:B204)-1</f>
        <v/>
      </c>
      <c r="H204" s="20">
        <f>C204/C203-1</f>
        <v/>
      </c>
      <c r="I204" s="20">
        <f>C204/MAX(C$2:C204)-1</f>
        <v/>
      </c>
      <c r="J204" s="20">
        <f>D204/D203-1</f>
        <v/>
      </c>
      <c r="K204" s="20">
        <f>D204/MAX(D$2:D204)-1</f>
        <v/>
      </c>
      <c r="L204" s="20">
        <f>E204/E203-1</f>
        <v/>
      </c>
      <c r="M204" s="20">
        <f>E204/MAX(E$2:E204)-1</f>
        <v/>
      </c>
    </row>
    <row r="205">
      <c r="A205" s="11" t="n">
        <v>43969</v>
      </c>
      <c r="B205" s="19" t="n">
        <v>1.307976119694924</v>
      </c>
      <c r="C205" s="19" t="n">
        <v>1.244730726412301</v>
      </c>
      <c r="D205" s="19" t="n">
        <v>1.366657410684566</v>
      </c>
      <c r="E205" s="19" t="n">
        <v>1.061632141409107</v>
      </c>
      <c r="F205" s="20">
        <f>B205/B204-1</f>
        <v/>
      </c>
      <c r="G205" s="20">
        <f>B205/MAX(B$2:B205)-1</f>
        <v/>
      </c>
      <c r="H205" s="20">
        <f>C205/C204-1</f>
        <v/>
      </c>
      <c r="I205" s="20">
        <f>C205/MAX(C$2:C205)-1</f>
        <v/>
      </c>
      <c r="J205" s="20">
        <f>D205/D204-1</f>
        <v/>
      </c>
      <c r="K205" s="20">
        <f>D205/MAX(D$2:D205)-1</f>
        <v/>
      </c>
      <c r="L205" s="20">
        <f>E205/E204-1</f>
        <v/>
      </c>
      <c r="M205" s="20">
        <f>E205/MAX(E$2:E205)-1</f>
        <v/>
      </c>
    </row>
    <row r="206">
      <c r="A206" s="11" t="n">
        <v>43970</v>
      </c>
      <c r="B206" s="19" t="n">
        <v>1.318982076261707</v>
      </c>
      <c r="C206" s="19" t="n">
        <v>1.264524025230502</v>
      </c>
      <c r="D206" s="19" t="n">
        <v>1.385567336882056</v>
      </c>
      <c r="E206" s="19" t="n">
        <v>1.07309633718573</v>
      </c>
      <c r="F206" s="20">
        <f>B206/B205-1</f>
        <v/>
      </c>
      <c r="G206" s="20">
        <f>B206/MAX(B$2:B206)-1</f>
        <v/>
      </c>
      <c r="H206" s="20">
        <f>C206/C205-1</f>
        <v/>
      </c>
      <c r="I206" s="20">
        <f>C206/MAX(C$2:C206)-1</f>
        <v/>
      </c>
      <c r="J206" s="20">
        <f>D206/D205-1</f>
        <v/>
      </c>
      <c r="K206" s="20">
        <f>D206/MAX(D$2:D206)-1</f>
        <v/>
      </c>
      <c r="L206" s="20">
        <f>E206/E205-1</f>
        <v/>
      </c>
      <c r="M206" s="20">
        <f>E206/MAX(E$2:E206)-1</f>
        <v/>
      </c>
    </row>
    <row r="207">
      <c r="A207" s="11" t="n">
        <v>43971</v>
      </c>
      <c r="B207" s="19" t="n">
        <v>1.311039592846045</v>
      </c>
      <c r="C207" s="19" t="n">
        <v>1.250240128446894</v>
      </c>
      <c r="D207" s="19" t="n">
        <v>1.368764724459192</v>
      </c>
      <c r="E207" s="19" t="n">
        <v>1.065370466118875</v>
      </c>
      <c r="F207" s="20">
        <f>B207/B206-1</f>
        <v/>
      </c>
      <c r="G207" s="20">
        <f>B207/MAX(B$2:B207)-1</f>
        <v/>
      </c>
      <c r="H207" s="20">
        <f>C207/C206-1</f>
        <v/>
      </c>
      <c r="I207" s="20">
        <f>C207/MAX(C$2:C207)-1</f>
        <v/>
      </c>
      <c r="J207" s="20">
        <f>D207/D206-1</f>
        <v/>
      </c>
      <c r="K207" s="20">
        <f>D207/MAX(D$2:D207)-1</f>
        <v/>
      </c>
      <c r="L207" s="20">
        <f>E207/E206-1</f>
        <v/>
      </c>
      <c r="M207" s="20">
        <f>E207/MAX(E$2:E207)-1</f>
        <v/>
      </c>
    </row>
    <row r="208">
      <c r="A208" s="11" t="n">
        <v>43972</v>
      </c>
      <c r="B208" s="19" t="n">
        <v>1.302501104229582</v>
      </c>
      <c r="C208" s="19" t="n">
        <v>1.234884365809095</v>
      </c>
      <c r="D208" s="19" t="n">
        <v>1.356688543483008</v>
      </c>
      <c r="E208" s="19" t="n">
        <v>1.056632829558431</v>
      </c>
      <c r="F208" s="20">
        <f>B208/B207-1</f>
        <v/>
      </c>
      <c r="G208" s="20">
        <f>B208/MAX(B$2:B208)-1</f>
        <v/>
      </c>
      <c r="H208" s="20">
        <f>C208/C207-1</f>
        <v/>
      </c>
      <c r="I208" s="20">
        <f>C208/MAX(C$2:C208)-1</f>
        <v/>
      </c>
      <c r="J208" s="20">
        <f>D208/D207-1</f>
        <v/>
      </c>
      <c r="K208" s="20">
        <f>D208/MAX(D$2:D208)-1</f>
        <v/>
      </c>
      <c r="L208" s="20">
        <f>E208/E207-1</f>
        <v/>
      </c>
      <c r="M208" s="20">
        <f>E208/MAX(E$2:E208)-1</f>
        <v/>
      </c>
    </row>
    <row r="209">
      <c r="A209" s="11" t="n">
        <v>43973</v>
      </c>
      <c r="B209" s="19" t="n">
        <v>1.274170497127509</v>
      </c>
      <c r="C209" s="19" t="n">
        <v>1.20670873353739</v>
      </c>
      <c r="D209" s="19" t="n">
        <v>1.322544955219421</v>
      </c>
      <c r="E209" s="19" t="n">
        <v>1.035077016928474</v>
      </c>
      <c r="F209" s="20">
        <f>B209/B208-1</f>
        <v/>
      </c>
      <c r="G209" s="20">
        <f>B209/MAX(B$2:B209)-1</f>
        <v/>
      </c>
      <c r="H209" s="20">
        <f>C209/C208-1</f>
        <v/>
      </c>
      <c r="I209" s="20">
        <f>C209/MAX(C$2:C209)-1</f>
        <v/>
      </c>
      <c r="J209" s="20">
        <f>D209/D208-1</f>
        <v/>
      </c>
      <c r="K209" s="20">
        <f>D209/MAX(D$2:D209)-1</f>
        <v/>
      </c>
      <c r="L209" s="20">
        <f>E209/E208-1</f>
        <v/>
      </c>
      <c r="M209" s="20">
        <f>E209/MAX(E$2:E209)-1</f>
        <v/>
      </c>
    </row>
    <row r="210">
      <c r="A210" s="11" t="n">
        <v>43976</v>
      </c>
      <c r="B210" s="19" t="n">
        <v>1.276590518118889</v>
      </c>
      <c r="C210" s="19" t="n">
        <v>1.201319918816407</v>
      </c>
      <c r="D210" s="19" t="n">
        <v>1.326232657392461</v>
      </c>
      <c r="E210" s="19" t="n">
        <v>1.035077016928474</v>
      </c>
      <c r="F210" s="20">
        <f>B210/B209-1</f>
        <v/>
      </c>
      <c r="G210" s="20">
        <f>B210/MAX(B$2:B210)-1</f>
        <v/>
      </c>
      <c r="H210" s="20">
        <f>C210/C209-1</f>
        <v/>
      </c>
      <c r="I210" s="20">
        <f>C210/MAX(C$2:C210)-1</f>
        <v/>
      </c>
      <c r="J210" s="20">
        <f>D210/D209-1</f>
        <v/>
      </c>
      <c r="K210" s="20">
        <f>D210/MAX(D$2:D210)-1</f>
        <v/>
      </c>
      <c r="L210" s="20">
        <f>E210/E209-1</f>
        <v/>
      </c>
      <c r="M210" s="20">
        <f>E210/MAX(E$2:E210)-1</f>
        <v/>
      </c>
    </row>
    <row r="211">
      <c r="A211" s="11" t="n">
        <v>43977</v>
      </c>
      <c r="B211" s="19" t="n">
        <v>1.294597324861197</v>
      </c>
      <c r="C211" s="19" t="n">
        <v>1.223235304232846</v>
      </c>
      <c r="D211" s="19" t="n">
        <v>1.365439356181716</v>
      </c>
      <c r="E211" s="19" t="n">
        <v>1.052570888679758</v>
      </c>
      <c r="F211" s="20">
        <f>B211/B210-1</f>
        <v/>
      </c>
      <c r="G211" s="20">
        <f>B211/MAX(B$2:B211)-1</f>
        <v/>
      </c>
      <c r="H211" s="20">
        <f>C211/C210-1</f>
        <v/>
      </c>
      <c r="I211" s="20">
        <f>C211/MAX(C$2:C211)-1</f>
        <v/>
      </c>
      <c r="J211" s="20">
        <f>D211/D210-1</f>
        <v/>
      </c>
      <c r="K211" s="20">
        <f>D211/MAX(D$2:D211)-1</f>
        <v/>
      </c>
      <c r="L211" s="20">
        <f>E211/E210-1</f>
        <v/>
      </c>
      <c r="M211" s="20">
        <f>E211/MAX(E$2:E211)-1</f>
        <v/>
      </c>
    </row>
    <row r="212">
      <c r="A212" s="11" t="n">
        <v>43978</v>
      </c>
      <c r="B212" s="19" t="n">
        <v>1.277560643662784</v>
      </c>
      <c r="C212" s="19" t="n">
        <v>1.202619395028791</v>
      </c>
      <c r="D212" s="19" t="n">
        <v>1.338621478173664</v>
      </c>
      <c r="E212" s="19" t="n">
        <v>1.045622440363492</v>
      </c>
      <c r="F212" s="20">
        <f>B212/B211-1</f>
        <v/>
      </c>
      <c r="G212" s="20">
        <f>B212/MAX(B$2:B212)-1</f>
        <v/>
      </c>
      <c r="H212" s="20">
        <f>C212/C211-1</f>
        <v/>
      </c>
      <c r="I212" s="20">
        <f>C212/MAX(C$2:C212)-1</f>
        <v/>
      </c>
      <c r="J212" s="20">
        <f>D212/D211-1</f>
        <v/>
      </c>
      <c r="K212" s="20">
        <f>D212/MAX(D$2:D212)-1</f>
        <v/>
      </c>
      <c r="L212" s="20">
        <f>E212/E211-1</f>
        <v/>
      </c>
      <c r="M212" s="20">
        <f>E212/MAX(E$2:E212)-1</f>
        <v/>
      </c>
    </row>
    <row r="213">
      <c r="A213" s="11" t="n">
        <v>43979</v>
      </c>
      <c r="B213" s="19" t="n">
        <v>1.271066185499501</v>
      </c>
      <c r="C213" s="19" t="n">
        <v>1.196256694652191</v>
      </c>
      <c r="D213" s="19" t="n">
        <v>1.3279527579154</v>
      </c>
      <c r="E213" s="19" t="n">
        <v>1.046146921740683</v>
      </c>
      <c r="F213" s="20">
        <f>B213/B212-1</f>
        <v/>
      </c>
      <c r="G213" s="20">
        <f>B213/MAX(B$2:B213)-1</f>
        <v/>
      </c>
      <c r="H213" s="20">
        <f>C213/C212-1</f>
        <v/>
      </c>
      <c r="I213" s="20">
        <f>C213/MAX(C$2:C213)-1</f>
        <v/>
      </c>
      <c r="J213" s="20">
        <f>D213/D212-1</f>
        <v/>
      </c>
      <c r="K213" s="20">
        <f>D213/MAX(D$2:D213)-1</f>
        <v/>
      </c>
      <c r="L213" s="20">
        <f>E213/E212-1</f>
        <v/>
      </c>
      <c r="M213" s="20">
        <f>E213/MAX(E$2:E213)-1</f>
        <v/>
      </c>
    </row>
    <row r="214">
      <c r="A214" s="11" t="n">
        <v>43980</v>
      </c>
      <c r="B214" s="19" t="n">
        <v>1.280766330990738</v>
      </c>
      <c r="C214" s="19" t="n">
        <v>1.202932046619719</v>
      </c>
      <c r="D214" s="19" t="n">
        <v>1.348439001343938</v>
      </c>
      <c r="E214" s="19" t="n">
        <v>1.05273827635333</v>
      </c>
      <c r="F214" s="20">
        <f>B214/B213-1</f>
        <v/>
      </c>
      <c r="G214" s="20">
        <f>B214/MAX(B$2:B214)-1</f>
        <v/>
      </c>
      <c r="H214" s="20">
        <f>C214/C213-1</f>
        <v/>
      </c>
      <c r="I214" s="20">
        <f>C214/MAX(C$2:C214)-1</f>
        <v/>
      </c>
      <c r="J214" s="20">
        <f>D214/D213-1</f>
        <v/>
      </c>
      <c r="K214" s="20">
        <f>D214/MAX(D$2:D214)-1</f>
        <v/>
      </c>
      <c r="L214" s="20">
        <f>E214/E213-1</f>
        <v/>
      </c>
      <c r="M214" s="20">
        <f>E214/MAX(E$2:E214)-1</f>
        <v/>
      </c>
    </row>
    <row r="215">
      <c r="A215" s="11" t="n">
        <v>43983</v>
      </c>
      <c r="B215" s="19" t="n">
        <v>1.314991561774545</v>
      </c>
      <c r="C215" s="19" t="n">
        <v>1.251034600189563</v>
      </c>
      <c r="D215" s="19" t="n">
        <v>1.394680548098032</v>
      </c>
      <c r="E215" s="19" t="n">
        <v>1.082529562523016</v>
      </c>
      <c r="F215" s="20">
        <f>B215/B214-1</f>
        <v/>
      </c>
      <c r="G215" s="20">
        <f>B215/MAX(B$2:B215)-1</f>
        <v/>
      </c>
      <c r="H215" s="20">
        <f>C215/C214-1</f>
        <v/>
      </c>
      <c r="I215" s="20">
        <f>C215/MAX(C$2:C215)-1</f>
        <v/>
      </c>
      <c r="J215" s="20">
        <f>D215/D214-1</f>
        <v/>
      </c>
      <c r="K215" s="20">
        <f>D215/MAX(D$2:D215)-1</f>
        <v/>
      </c>
      <c r="L215" s="20">
        <f>E215/E214-1</f>
        <v/>
      </c>
      <c r="M215" s="20">
        <f>E215/MAX(E$2:E215)-1</f>
        <v/>
      </c>
    </row>
    <row r="216">
      <c r="A216" s="11" t="n">
        <v>43984</v>
      </c>
      <c r="B216" s="19" t="n">
        <v>1.319551913945539</v>
      </c>
      <c r="C216" s="19" t="n">
        <v>1.256111436723046</v>
      </c>
      <c r="D216" s="19" t="n">
        <v>1.386320179736223</v>
      </c>
      <c r="E216" s="19" t="n">
        <v>1.0853453951651</v>
      </c>
      <c r="F216" s="20">
        <f>B216/B215-1</f>
        <v/>
      </c>
      <c r="G216" s="20">
        <f>B216/MAX(B$2:B216)-1</f>
        <v/>
      </c>
      <c r="H216" s="20">
        <f>C216/C215-1</f>
        <v/>
      </c>
      <c r="I216" s="20">
        <f>C216/MAX(C$2:C216)-1</f>
        <v/>
      </c>
      <c r="J216" s="20">
        <f>D216/D215-1</f>
        <v/>
      </c>
      <c r="K216" s="20">
        <f>D216/MAX(D$2:D216)-1</f>
        <v/>
      </c>
      <c r="L216" s="20">
        <f>E216/E215-1</f>
        <v/>
      </c>
      <c r="M216" s="20">
        <f>E216/MAX(E$2:E216)-1</f>
        <v/>
      </c>
    </row>
    <row r="217">
      <c r="A217" s="11" t="n">
        <v>43985</v>
      </c>
      <c r="B217" s="19" t="n">
        <v>1.329487284950302</v>
      </c>
      <c r="C217" s="19" t="n">
        <v>1.263600741032371</v>
      </c>
      <c r="D217" s="19" t="n">
        <v>1.384918664215092</v>
      </c>
      <c r="E217" s="19" t="n">
        <v>1.085672731060085</v>
      </c>
      <c r="F217" s="20">
        <f>B217/B216-1</f>
        <v/>
      </c>
      <c r="G217" s="20">
        <f>B217/MAX(B$2:B217)-1</f>
        <v/>
      </c>
      <c r="H217" s="20">
        <f>C217/C216-1</f>
        <v/>
      </c>
      <c r="I217" s="20">
        <f>C217/MAX(C$2:C217)-1</f>
        <v/>
      </c>
      <c r="J217" s="20">
        <f>D217/D216-1</f>
        <v/>
      </c>
      <c r="K217" s="20">
        <f>D217/MAX(D$2:D217)-1</f>
        <v/>
      </c>
      <c r="L217" s="20">
        <f>E217/E216-1</f>
        <v/>
      </c>
      <c r="M217" s="20">
        <f>E217/MAX(E$2:E217)-1</f>
        <v/>
      </c>
    </row>
    <row r="218">
      <c r="A218" s="11" t="n">
        <v>43986</v>
      </c>
      <c r="B218" s="19" t="n">
        <v>1.327722153099578</v>
      </c>
      <c r="C218" s="19" t="n">
        <v>1.259367101789497</v>
      </c>
      <c r="D218" s="19" t="n">
        <v>1.390261586720033</v>
      </c>
      <c r="E218" s="19" t="n">
        <v>1.08665101901896</v>
      </c>
      <c r="F218" s="20">
        <f>B218/B217-1</f>
        <v/>
      </c>
      <c r="G218" s="20">
        <f>B218/MAX(B$2:B218)-1</f>
        <v/>
      </c>
      <c r="H218" s="20">
        <f>C218/C217-1</f>
        <v/>
      </c>
      <c r="I218" s="20">
        <f>C218/MAX(C$2:C218)-1</f>
        <v/>
      </c>
      <c r="J218" s="20">
        <f>D218/D217-1</f>
        <v/>
      </c>
      <c r="K218" s="20">
        <f>D218/MAX(D$2:D218)-1</f>
        <v/>
      </c>
      <c r="L218" s="20">
        <f>E218/E217-1</f>
        <v/>
      </c>
      <c r="M218" s="20">
        <f>E218/MAX(E$2:E218)-1</f>
        <v/>
      </c>
    </row>
    <row r="219">
      <c r="A219" s="11" t="n">
        <v>43987</v>
      </c>
      <c r="B219" s="19" t="n">
        <v>1.329969136840601</v>
      </c>
      <c r="C219" s="19" t="n">
        <v>1.264209257228805</v>
      </c>
      <c r="D219" s="19" t="n">
        <v>1.399948509426077</v>
      </c>
      <c r="E219" s="19" t="n">
        <v>1.09002109084687</v>
      </c>
      <c r="F219" s="20">
        <f>B219/B218-1</f>
        <v/>
      </c>
      <c r="G219" s="20">
        <f>B219/MAX(B$2:B219)-1</f>
        <v/>
      </c>
      <c r="H219" s="20">
        <f>C219/C218-1</f>
        <v/>
      </c>
      <c r="I219" s="20">
        <f>C219/MAX(C$2:C219)-1</f>
        <v/>
      </c>
      <c r="J219" s="20">
        <f>D219/D218-1</f>
        <v/>
      </c>
      <c r="K219" s="20">
        <f>D219/MAX(D$2:D219)-1</f>
        <v/>
      </c>
      <c r="L219" s="20">
        <f>E219/E218-1</f>
        <v/>
      </c>
      <c r="M219" s="20">
        <f>E219/MAX(E$2:E219)-1</f>
        <v/>
      </c>
    </row>
    <row r="220">
      <c r="A220" s="11" t="n">
        <v>43990</v>
      </c>
      <c r="B220" s="19" t="n">
        <v>1.331546711764301</v>
      </c>
      <c r="C220" s="19" t="n">
        <v>1.272951861515547</v>
      </c>
      <c r="D220" s="19" t="n">
        <v>1.391669887520108</v>
      </c>
      <c r="E220" s="19" t="n">
        <v>1.091438306483111</v>
      </c>
      <c r="F220" s="20">
        <f>B220/B219-1</f>
        <v/>
      </c>
      <c r="G220" s="20">
        <f>B220/MAX(B$2:B220)-1</f>
        <v/>
      </c>
      <c r="H220" s="20">
        <f>C220/C219-1</f>
        <v/>
      </c>
      <c r="I220" s="20">
        <f>C220/MAX(C$2:C220)-1</f>
        <v/>
      </c>
      <c r="J220" s="20">
        <f>D220/D219-1</f>
        <v/>
      </c>
      <c r="K220" s="20">
        <f>D220/MAX(D$2:D220)-1</f>
        <v/>
      </c>
      <c r="L220" s="20">
        <f>E220/E219-1</f>
        <v/>
      </c>
      <c r="M220" s="20">
        <f>E220/MAX(E$2:E220)-1</f>
        <v/>
      </c>
    </row>
    <row r="221">
      <c r="A221" s="11" t="n">
        <v>43991</v>
      </c>
      <c r="B221" s="19" t="n">
        <v>1.339703448438103</v>
      </c>
      <c r="C221" s="19" t="n">
        <v>1.285429353607266</v>
      </c>
      <c r="D221" s="19" t="n">
        <v>1.40977979701935</v>
      </c>
      <c r="E221" s="19" t="n">
        <v>1.098316080003868</v>
      </c>
      <c r="F221" s="20">
        <f>B221/B220-1</f>
        <v/>
      </c>
      <c r="G221" s="20">
        <f>B221/MAX(B$2:B221)-1</f>
        <v/>
      </c>
      <c r="H221" s="20">
        <f>C221/C220-1</f>
        <v/>
      </c>
      <c r="I221" s="20">
        <f>C221/MAX(C$2:C221)-1</f>
        <v/>
      </c>
      <c r="J221" s="20">
        <f>D221/D220-1</f>
        <v/>
      </c>
      <c r="K221" s="20">
        <f>D221/MAX(D$2:D221)-1</f>
        <v/>
      </c>
      <c r="L221" s="20">
        <f>E221/E220-1</f>
        <v/>
      </c>
      <c r="M221" s="20">
        <f>E221/MAX(E$2:E221)-1</f>
        <v/>
      </c>
    </row>
    <row r="222">
      <c r="A222" s="11" t="n">
        <v>43992</v>
      </c>
      <c r="B222" s="19" t="n">
        <v>1.350690050456089</v>
      </c>
      <c r="C222" s="19" t="n">
        <v>1.297913435432516</v>
      </c>
      <c r="D222" s="19" t="n">
        <v>1.422962301571787</v>
      </c>
      <c r="E222" s="19" t="n">
        <v>1.098204488221487</v>
      </c>
      <c r="F222" s="20">
        <f>B222/B221-1</f>
        <v/>
      </c>
      <c r="G222" s="20">
        <f>B222/MAX(B$2:B222)-1</f>
        <v/>
      </c>
      <c r="H222" s="20">
        <f>C222/C221-1</f>
        <v/>
      </c>
      <c r="I222" s="20">
        <f>C222/MAX(C$2:C222)-1</f>
        <v/>
      </c>
      <c r="J222" s="20">
        <f>D222/D221-1</f>
        <v/>
      </c>
      <c r="K222" s="20">
        <f>D222/MAX(D$2:D222)-1</f>
        <v/>
      </c>
      <c r="L222" s="20">
        <f>E222/E221-1</f>
        <v/>
      </c>
      <c r="M222" s="20">
        <f>E222/MAX(E$2:E222)-1</f>
        <v/>
      </c>
    </row>
    <row r="223">
      <c r="A223" s="11" t="n">
        <v>43993</v>
      </c>
      <c r="B223" s="19" t="n">
        <v>1.349632799343557</v>
      </c>
      <c r="C223" s="19" t="n">
        <v>1.29696715931739</v>
      </c>
      <c r="D223" s="19" t="n">
        <v>1.418858435623568</v>
      </c>
      <c r="E223" s="19" t="n">
        <v>1.091285797713856</v>
      </c>
      <c r="F223" s="20">
        <f>B223/B222-1</f>
        <v/>
      </c>
      <c r="G223" s="20">
        <f>B223/MAX(B$2:B223)-1</f>
        <v/>
      </c>
      <c r="H223" s="20">
        <f>C223/C222-1</f>
        <v/>
      </c>
      <c r="I223" s="20">
        <f>C223/MAX(C$2:C223)-1</f>
        <v/>
      </c>
      <c r="J223" s="20">
        <f>D223/D222-1</f>
        <v/>
      </c>
      <c r="K223" s="20">
        <f>D223/MAX(D$2:D223)-1</f>
        <v/>
      </c>
      <c r="L223" s="20">
        <f>E223/E222-1</f>
        <v/>
      </c>
      <c r="M223" s="20">
        <f>E223/MAX(E$2:E223)-1</f>
        <v/>
      </c>
    </row>
    <row r="224">
      <c r="A224" s="11" t="n">
        <v>43994</v>
      </c>
      <c r="B224" s="19" t="n">
        <v>1.348442385008379</v>
      </c>
      <c r="C224" s="19" t="n">
        <v>1.296633103117545</v>
      </c>
      <c r="D224" s="19" t="n">
        <v>1.426048569543649</v>
      </c>
      <c r="E224" s="19" t="n">
        <v>1.092814605132478</v>
      </c>
      <c r="F224" s="20">
        <f>B224/B223-1</f>
        <v/>
      </c>
      <c r="G224" s="20">
        <f>B224/MAX(B$2:B224)-1</f>
        <v/>
      </c>
      <c r="H224" s="20">
        <f>C224/C223-1</f>
        <v/>
      </c>
      <c r="I224" s="20">
        <f>C224/MAX(C$2:C224)-1</f>
        <v/>
      </c>
      <c r="J224" s="20">
        <f>D224/D223-1</f>
        <v/>
      </c>
      <c r="K224" s="20">
        <f>D224/MAX(D$2:D224)-1</f>
        <v/>
      </c>
      <c r="L224" s="20">
        <f>E224/E223-1</f>
        <v/>
      </c>
      <c r="M224" s="20">
        <f>E224/MAX(E$2:E224)-1</f>
        <v/>
      </c>
    </row>
    <row r="225">
      <c r="A225" s="11" t="n">
        <v>43997</v>
      </c>
      <c r="B225" s="19" t="n">
        <v>1.335742443435881</v>
      </c>
      <c r="C225" s="19" t="n">
        <v>1.292263436382496</v>
      </c>
      <c r="D225" s="19" t="n">
        <v>1.434310712915042</v>
      </c>
      <c r="E225" s="19" t="n">
        <v>1.085382592425894</v>
      </c>
      <c r="F225" s="20">
        <f>B225/B224-1</f>
        <v/>
      </c>
      <c r="G225" s="20">
        <f>B225/MAX(B$2:B225)-1</f>
        <v/>
      </c>
      <c r="H225" s="20">
        <f>C225/C224-1</f>
        <v/>
      </c>
      <c r="I225" s="20">
        <f>C225/MAX(C$2:C225)-1</f>
        <v/>
      </c>
      <c r="J225" s="20">
        <f>D225/D224-1</f>
        <v/>
      </c>
      <c r="K225" s="20">
        <f>D225/MAX(D$2:D225)-1</f>
        <v/>
      </c>
      <c r="L225" s="20">
        <f>E225/E224-1</f>
        <v/>
      </c>
      <c r="M225" s="20">
        <f>E225/MAX(E$2:E225)-1</f>
        <v/>
      </c>
    </row>
    <row r="226">
      <c r="A226" s="11" t="n">
        <v>43998</v>
      </c>
      <c r="B226" s="19" t="n">
        <v>1.363342800888243</v>
      </c>
      <c r="C226" s="19" t="n">
        <v>1.319101593248457</v>
      </c>
      <c r="D226" s="19" t="n">
        <v>1.460746159677517</v>
      </c>
      <c r="E226" s="19" t="n">
        <v>1.103616689666973</v>
      </c>
      <c r="F226" s="20">
        <f>B226/B225-1</f>
        <v/>
      </c>
      <c r="G226" s="20">
        <f>B226/MAX(B$2:B226)-1</f>
        <v/>
      </c>
      <c r="H226" s="20">
        <f>C226/C225-1</f>
        <v/>
      </c>
      <c r="I226" s="20">
        <f>C226/MAX(C$2:C226)-1</f>
        <v/>
      </c>
      <c r="J226" s="20">
        <f>D226/D225-1</f>
        <v/>
      </c>
      <c r="K226" s="20">
        <f>D226/MAX(D$2:D226)-1</f>
        <v/>
      </c>
      <c r="L226" s="20">
        <f>E226/E225-1</f>
        <v/>
      </c>
      <c r="M226" s="20">
        <f>E226/MAX(E$2:E226)-1</f>
        <v/>
      </c>
    </row>
    <row r="227">
      <c r="A227" s="11" t="n">
        <v>43999</v>
      </c>
      <c r="B227" s="19" t="n">
        <v>1.365921641112216</v>
      </c>
      <c r="C227" s="19" t="n">
        <v>1.326953332902034</v>
      </c>
      <c r="D227" s="19" t="n">
        <v>1.463009922598061</v>
      </c>
      <c r="E227" s="19" t="n">
        <v>1.10659619025655</v>
      </c>
      <c r="F227" s="20">
        <f>B227/B226-1</f>
        <v/>
      </c>
      <c r="G227" s="20">
        <f>B227/MAX(B$2:B227)-1</f>
        <v/>
      </c>
      <c r="H227" s="20">
        <f>C227/C226-1</f>
        <v/>
      </c>
      <c r="I227" s="20">
        <f>C227/MAX(C$2:C227)-1</f>
        <v/>
      </c>
      <c r="J227" s="20">
        <f>D227/D226-1</f>
        <v/>
      </c>
      <c r="K227" s="20">
        <f>D227/MAX(D$2:D227)-1</f>
        <v/>
      </c>
      <c r="L227" s="20">
        <f>E227/E226-1</f>
        <v/>
      </c>
      <c r="M227" s="20">
        <f>E227/MAX(E$2:E227)-1</f>
        <v/>
      </c>
    </row>
    <row r="228">
      <c r="A228" s="11" t="n">
        <v>44000</v>
      </c>
      <c r="B228" s="19" t="n">
        <v>1.378001863753753</v>
      </c>
      <c r="C228" s="19" t="n">
        <v>1.335610559254331</v>
      </c>
      <c r="D228" s="19" t="n">
        <v>1.464348431957578</v>
      </c>
      <c r="E228" s="19" t="n">
        <v>1.109471538515904</v>
      </c>
      <c r="F228" s="20">
        <f>B228/B227-1</f>
        <v/>
      </c>
      <c r="G228" s="20">
        <f>B228/MAX(B$2:B228)-1</f>
        <v/>
      </c>
      <c r="H228" s="20">
        <f>C228/C227-1</f>
        <v/>
      </c>
      <c r="I228" s="20">
        <f>C228/MAX(C$2:C228)-1</f>
        <v/>
      </c>
      <c r="J228" s="20">
        <f>D228/D227-1</f>
        <v/>
      </c>
      <c r="K228" s="20">
        <f>D228/MAX(D$2:D228)-1</f>
        <v/>
      </c>
      <c r="L228" s="20">
        <f>E228/E227-1</f>
        <v/>
      </c>
      <c r="M228" s="20">
        <f>E228/MAX(E$2:E228)-1</f>
        <v/>
      </c>
    </row>
    <row r="229">
      <c r="A229" s="11" t="n">
        <v>44001</v>
      </c>
      <c r="B229" s="19" t="n">
        <v>1.394655018061017</v>
      </c>
      <c r="C229" s="19" t="n">
        <v>1.354306354787886</v>
      </c>
      <c r="D229" s="19" t="n">
        <v>1.498867730809503</v>
      </c>
      <c r="E229" s="19" t="n">
        <v>1.121452776217559</v>
      </c>
      <c r="F229" s="20">
        <f>B229/B228-1</f>
        <v/>
      </c>
      <c r="G229" s="20">
        <f>B229/MAX(B$2:B229)-1</f>
        <v/>
      </c>
      <c r="H229" s="20">
        <f>C229/C228-1</f>
        <v/>
      </c>
      <c r="I229" s="20">
        <f>C229/MAX(C$2:C229)-1</f>
        <v/>
      </c>
      <c r="J229" s="20">
        <f>D229/D228-1</f>
        <v/>
      </c>
      <c r="K229" s="20">
        <f>D229/MAX(D$2:D229)-1</f>
        <v/>
      </c>
      <c r="L229" s="20">
        <f>E229/E228-1</f>
        <v/>
      </c>
      <c r="M229" s="20">
        <f>E229/MAX(E$2:E229)-1</f>
        <v/>
      </c>
    </row>
    <row r="230">
      <c r="A230" s="11" t="n">
        <v>44004</v>
      </c>
      <c r="B230" s="19" t="n">
        <v>1.41125047231561</v>
      </c>
      <c r="C230" s="19" t="n">
        <v>1.368949367998859</v>
      </c>
      <c r="D230" s="19" t="n">
        <v>1.514009242325381</v>
      </c>
      <c r="E230" s="19" t="n">
        <v>1.12369577104342</v>
      </c>
      <c r="F230" s="20">
        <f>B230/B229-1</f>
        <v/>
      </c>
      <c r="G230" s="20">
        <f>B230/MAX(B$2:B230)-1</f>
        <v/>
      </c>
      <c r="H230" s="20">
        <f>C230/C229-1</f>
        <v/>
      </c>
      <c r="I230" s="20">
        <f>C230/MAX(C$2:C230)-1</f>
        <v/>
      </c>
      <c r="J230" s="20">
        <f>D230/D229-1</f>
        <v/>
      </c>
      <c r="K230" s="20">
        <f>D230/MAX(D$2:D230)-1</f>
        <v/>
      </c>
      <c r="L230" s="20">
        <f>E230/E229-1</f>
        <v/>
      </c>
      <c r="M230" s="20">
        <f>E230/MAX(E$2:E230)-1</f>
        <v/>
      </c>
    </row>
    <row r="231">
      <c r="A231" s="11" t="n">
        <v>44005</v>
      </c>
      <c r="B231" s="19" t="n">
        <v>1.429848228265121</v>
      </c>
      <c r="C231" s="19" t="n">
        <v>1.386346553124435</v>
      </c>
      <c r="D231" s="19" t="n">
        <v>1.539319560595675</v>
      </c>
      <c r="E231" s="19" t="n">
        <v>1.127966016582539</v>
      </c>
      <c r="F231" s="20">
        <f>B231/B230-1</f>
        <v/>
      </c>
      <c r="G231" s="20">
        <f>B231/MAX(B$2:B231)-1</f>
        <v/>
      </c>
      <c r="H231" s="20">
        <f>C231/C230-1</f>
        <v/>
      </c>
      <c r="I231" s="20">
        <f>C231/MAX(C$2:C231)-1</f>
        <v/>
      </c>
      <c r="J231" s="20">
        <f>D231/D230-1</f>
        <v/>
      </c>
      <c r="K231" s="20">
        <f>D231/MAX(D$2:D231)-1</f>
        <v/>
      </c>
      <c r="L231" s="20">
        <f>E231/E230-1</f>
        <v/>
      </c>
      <c r="M231" s="20">
        <f>E231/MAX(E$2:E231)-1</f>
        <v/>
      </c>
    </row>
    <row r="232">
      <c r="A232" s="11" t="n">
        <v>44006</v>
      </c>
      <c r="B232" s="19" t="n">
        <v>1.439579859046372</v>
      </c>
      <c r="C232" s="19" t="n">
        <v>1.391847681916929</v>
      </c>
      <c r="D232" s="19" t="n">
        <v>1.539594913677358</v>
      </c>
      <c r="E232" s="19" t="n">
        <v>1.130673977168321</v>
      </c>
      <c r="F232" s="20">
        <f>B232/B231-1</f>
        <v/>
      </c>
      <c r="G232" s="20">
        <f>B232/MAX(B$2:B232)-1</f>
        <v/>
      </c>
      <c r="H232" s="20">
        <f>C232/C231-1</f>
        <v/>
      </c>
      <c r="I232" s="20">
        <f>C232/MAX(C$2:C232)-1</f>
        <v/>
      </c>
      <c r="J232" s="20">
        <f>D232/D231-1</f>
        <v/>
      </c>
      <c r="K232" s="20">
        <f>D232/MAX(D$2:D232)-1</f>
        <v/>
      </c>
      <c r="L232" s="20">
        <f>E232/E231-1</f>
        <v/>
      </c>
      <c r="M232" s="20">
        <f>E232/MAX(E$2:E232)-1</f>
        <v/>
      </c>
    </row>
    <row r="233">
      <c r="A233" s="11" t="n">
        <v>44011</v>
      </c>
      <c r="B233" s="19" t="n">
        <v>1.431581675027621</v>
      </c>
      <c r="C233" s="19" t="n">
        <v>1.39237538970217</v>
      </c>
      <c r="D233" s="19" t="n">
        <v>1.533173390307274</v>
      </c>
      <c r="E233" s="19" t="n">
        <v>1.124343003381231</v>
      </c>
      <c r="F233" s="20">
        <f>B233/B232-1</f>
        <v/>
      </c>
      <c r="G233" s="20">
        <f>B233/MAX(B$2:B233)-1</f>
        <v/>
      </c>
      <c r="H233" s="20">
        <f>C233/C232-1</f>
        <v/>
      </c>
      <c r="I233" s="20">
        <f>C233/MAX(C$2:C233)-1</f>
        <v/>
      </c>
      <c r="J233" s="20">
        <f>D233/D232-1</f>
        <v/>
      </c>
      <c r="K233" s="20">
        <f>D233/MAX(D$2:D233)-1</f>
        <v/>
      </c>
      <c r="L233" s="20">
        <f>E233/E232-1</f>
        <v/>
      </c>
      <c r="M233" s="20">
        <f>E233/MAX(E$2:E233)-1</f>
        <v/>
      </c>
    </row>
    <row r="234">
      <c r="A234" s="11" t="n">
        <v>44012</v>
      </c>
      <c r="B234" s="19" t="n">
        <v>1.457280227101072</v>
      </c>
      <c r="C234" s="19" t="n">
        <v>1.427309058262143</v>
      </c>
      <c r="D234" s="19" t="n">
        <v>1.575604259785196</v>
      </c>
      <c r="E234" s="19" t="n">
        <v>1.141769920063087</v>
      </c>
      <c r="F234" s="20">
        <f>B234/B233-1</f>
        <v/>
      </c>
      <c r="G234" s="20">
        <f>B234/MAX(B$2:B234)-1</f>
        <v/>
      </c>
      <c r="H234" s="20">
        <f>C234/C233-1</f>
        <v/>
      </c>
      <c r="I234" s="20">
        <f>C234/MAX(C$2:C234)-1</f>
        <v/>
      </c>
      <c r="J234" s="20">
        <f>D234/D233-1</f>
        <v/>
      </c>
      <c r="K234" s="20">
        <f>D234/MAX(D$2:D234)-1</f>
        <v/>
      </c>
      <c r="L234" s="20">
        <f>E234/E233-1</f>
        <v/>
      </c>
      <c r="M234" s="20">
        <f>E234/MAX(E$2:E234)-1</f>
        <v/>
      </c>
    </row>
    <row r="235">
      <c r="A235" s="11" t="n">
        <v>44013</v>
      </c>
      <c r="B235" s="19" t="n">
        <v>1.460643478389742</v>
      </c>
      <c r="C235" s="19" t="n">
        <v>1.430901425041901</v>
      </c>
      <c r="D235" s="19" t="n">
        <v>1.563605754097485</v>
      </c>
      <c r="E235" s="19" t="n">
        <v>1.15524276792257</v>
      </c>
      <c r="F235" s="20">
        <f>B235/B234-1</f>
        <v/>
      </c>
      <c r="G235" s="20">
        <f>B235/MAX(B$2:B235)-1</f>
        <v/>
      </c>
      <c r="H235" s="20">
        <f>C235/C234-1</f>
        <v/>
      </c>
      <c r="I235" s="20">
        <f>C235/MAX(C$2:C235)-1</f>
        <v/>
      </c>
      <c r="J235" s="20">
        <f>D235/D234-1</f>
        <v/>
      </c>
      <c r="K235" s="20">
        <f>D235/MAX(D$2:D235)-1</f>
        <v/>
      </c>
      <c r="L235" s="20">
        <f>E235/E234-1</f>
        <v/>
      </c>
      <c r="M235" s="20">
        <f>E235/MAX(E$2:E235)-1</f>
        <v/>
      </c>
    </row>
    <row r="236">
      <c r="A236" s="11" t="n">
        <v>44014</v>
      </c>
      <c r="B236" s="19" t="n">
        <v>1.476833536320459</v>
      </c>
      <c r="C236" s="19" t="n">
        <v>1.437090435434681</v>
      </c>
      <c r="D236" s="19" t="n">
        <v>1.566684332086544</v>
      </c>
      <c r="E236" s="19" t="n">
        <v>1.17453698709627</v>
      </c>
      <c r="F236" s="20">
        <f>B236/B235-1</f>
        <v/>
      </c>
      <c r="G236" s="20">
        <f>B236/MAX(B$2:B236)-1</f>
        <v/>
      </c>
      <c r="H236" s="20">
        <f>C236/C235-1</f>
        <v/>
      </c>
      <c r="I236" s="20">
        <f>C236/MAX(C$2:C236)-1</f>
        <v/>
      </c>
      <c r="J236" s="20">
        <f>D236/D235-1</f>
        <v/>
      </c>
      <c r="K236" s="20">
        <f>D236/MAX(D$2:D236)-1</f>
        <v/>
      </c>
      <c r="L236" s="20">
        <f>E236/E235-1</f>
        <v/>
      </c>
      <c r="M236" s="20">
        <f>E236/MAX(E$2:E236)-1</f>
        <v/>
      </c>
    </row>
    <row r="237">
      <c r="A237" s="11" t="n">
        <v>44015</v>
      </c>
      <c r="B237" s="19" t="n">
        <v>1.4931284023616</v>
      </c>
      <c r="C237" s="19" t="n">
        <v>1.448036415733301</v>
      </c>
      <c r="D237" s="19" t="n">
        <v>1.591349790370423</v>
      </c>
      <c r="E237" s="19" t="n">
        <v>1.192741326528715</v>
      </c>
      <c r="F237" s="20">
        <f>B237/B236-1</f>
        <v/>
      </c>
      <c r="G237" s="20">
        <f>B237/MAX(B$2:B237)-1</f>
        <v/>
      </c>
      <c r="H237" s="20">
        <f>C237/C236-1</f>
        <v/>
      </c>
      <c r="I237" s="20">
        <f>C237/MAX(C$2:C237)-1</f>
        <v/>
      </c>
      <c r="J237" s="20">
        <f>D237/D236-1</f>
        <v/>
      </c>
      <c r="K237" s="20">
        <f>D237/MAX(D$2:D237)-1</f>
        <v/>
      </c>
      <c r="L237" s="20">
        <f>E237/E236-1</f>
        <v/>
      </c>
      <c r="M237" s="20">
        <f>E237/MAX(E$2:E237)-1</f>
        <v/>
      </c>
    </row>
    <row r="238">
      <c r="A238" s="11" t="n">
        <v>44018</v>
      </c>
      <c r="B238" s="19" t="n">
        <v>1.54145708523238</v>
      </c>
      <c r="C238" s="19" t="n">
        <v>1.497095394569915</v>
      </c>
      <c r="D238" s="19" t="n">
        <v>1.634597607433099</v>
      </c>
      <c r="E238" s="19" t="n">
        <v>1.25082856898418</v>
      </c>
      <c r="F238" s="20">
        <f>B238/B237-1</f>
        <v/>
      </c>
      <c r="G238" s="20">
        <f>B238/MAX(B$2:B238)-1</f>
        <v/>
      </c>
      <c r="H238" s="20">
        <f>C238/C237-1</f>
        <v/>
      </c>
      <c r="I238" s="20">
        <f>C238/MAX(C$2:C238)-1</f>
        <v/>
      </c>
      <c r="J238" s="20">
        <f>D238/D237-1</f>
        <v/>
      </c>
      <c r="K238" s="20">
        <f>D238/MAX(D$2:D238)-1</f>
        <v/>
      </c>
      <c r="L238" s="20">
        <f>E238/E237-1</f>
        <v/>
      </c>
      <c r="M238" s="20">
        <f>E238/MAX(E$2:E238)-1</f>
        <v/>
      </c>
    </row>
    <row r="239">
      <c r="A239" s="11" t="n">
        <v>44019</v>
      </c>
      <c r="B239" s="19" t="n">
        <v>1.570759054705165</v>
      </c>
      <c r="C239" s="19" t="n">
        <v>1.531567252679965</v>
      </c>
      <c r="D239" s="19" t="n">
        <v>1.674518569919101</v>
      </c>
      <c r="E239" s="19" t="n">
        <v>1.263962921770441</v>
      </c>
      <c r="F239" s="20">
        <f>B239/B238-1</f>
        <v/>
      </c>
      <c r="G239" s="20">
        <f>B239/MAX(B$2:B239)-1</f>
        <v/>
      </c>
      <c r="H239" s="20">
        <f>C239/C238-1</f>
        <v/>
      </c>
      <c r="I239" s="20">
        <f>C239/MAX(C$2:C239)-1</f>
        <v/>
      </c>
      <c r="J239" s="20">
        <f>D239/D238-1</f>
        <v/>
      </c>
      <c r="K239" s="20">
        <f>D239/MAX(D$2:D239)-1</f>
        <v/>
      </c>
      <c r="L239" s="20">
        <f>E239/E238-1</f>
        <v/>
      </c>
      <c r="M239" s="20">
        <f>E239/MAX(E$2:E239)-1</f>
        <v/>
      </c>
    </row>
    <row r="240">
      <c r="A240" s="11" t="n">
        <v>44020</v>
      </c>
      <c r="B240" s="19" t="n">
        <v>1.61699117008934</v>
      </c>
      <c r="C240" s="19" t="n">
        <v>1.566244354534398</v>
      </c>
      <c r="D240" s="19" t="n">
        <v>1.713747821683128</v>
      </c>
      <c r="E240" s="19" t="n">
        <v>1.287977473338863</v>
      </c>
      <c r="F240" s="20">
        <f>B240/B239-1</f>
        <v/>
      </c>
      <c r="G240" s="20">
        <f>B240/MAX(B$2:B240)-1</f>
        <v/>
      </c>
      <c r="H240" s="20">
        <f>C240/C239-1</f>
        <v/>
      </c>
      <c r="I240" s="20">
        <f>C240/MAX(C$2:C240)-1</f>
        <v/>
      </c>
      <c r="J240" s="20">
        <f>D240/D239-1</f>
        <v/>
      </c>
      <c r="K240" s="20">
        <f>D240/MAX(D$2:D240)-1</f>
        <v/>
      </c>
      <c r="L240" s="20">
        <f>E240/E239-1</f>
        <v/>
      </c>
      <c r="M240" s="20">
        <f>E240/MAX(E$2:E240)-1</f>
        <v/>
      </c>
    </row>
    <row r="241">
      <c r="A241" s="11" t="n">
        <v>44021</v>
      </c>
      <c r="B241" s="19" t="n">
        <v>1.671407028251741</v>
      </c>
      <c r="C241" s="19" t="n">
        <v>1.618561403449701</v>
      </c>
      <c r="D241" s="19" t="n">
        <v>1.7820426235714</v>
      </c>
      <c r="E241" s="19" t="n">
        <v>1.314380089050242</v>
      </c>
      <c r="F241" s="20">
        <f>B241/B240-1</f>
        <v/>
      </c>
      <c r="G241" s="20">
        <f>B241/MAX(B$2:B241)-1</f>
        <v/>
      </c>
      <c r="H241" s="20">
        <f>C241/C240-1</f>
        <v/>
      </c>
      <c r="I241" s="20">
        <f>C241/MAX(C$2:C241)-1</f>
        <v/>
      </c>
      <c r="J241" s="20">
        <f>D241/D240-1</f>
        <v/>
      </c>
      <c r="K241" s="20">
        <f>D241/MAX(D$2:D241)-1</f>
        <v/>
      </c>
      <c r="L241" s="20">
        <f>E241/E240-1</f>
        <v/>
      </c>
      <c r="M241" s="20">
        <f>E241/MAX(E$2:E241)-1</f>
        <v/>
      </c>
    </row>
    <row r="242">
      <c r="A242" s="11" t="n">
        <v>44022</v>
      </c>
      <c r="B242" s="19" t="n">
        <v>1.665516495363668</v>
      </c>
      <c r="C242" s="19" t="n">
        <v>1.611842424560177</v>
      </c>
      <c r="D242" s="19" t="n">
        <v>1.79548607056548</v>
      </c>
      <c r="E242" s="19" t="n">
        <v>1.30084028612133</v>
      </c>
      <c r="F242" s="20">
        <f>B242/B241-1</f>
        <v/>
      </c>
      <c r="G242" s="20">
        <f>B242/MAX(B$2:B242)-1</f>
        <v/>
      </c>
      <c r="H242" s="20">
        <f>C242/C241-1</f>
        <v/>
      </c>
      <c r="I242" s="20">
        <f>C242/MAX(C$2:C242)-1</f>
        <v/>
      </c>
      <c r="J242" s="20">
        <f>D242/D241-1</f>
        <v/>
      </c>
      <c r="K242" s="20">
        <f>D242/MAX(D$2:D242)-1</f>
        <v/>
      </c>
      <c r="L242" s="20">
        <f>E242/E241-1</f>
        <v/>
      </c>
      <c r="M242" s="20">
        <f>E242/MAX(E$2:E242)-1</f>
        <v/>
      </c>
    </row>
    <row r="243">
      <c r="A243" s="11" t="n">
        <v>44025</v>
      </c>
      <c r="B243" s="19" t="n">
        <v>1.716467532781691</v>
      </c>
      <c r="C243" s="19" t="n">
        <v>1.666625236322515</v>
      </c>
      <c r="D243" s="19" t="n">
        <v>1.867196646495433</v>
      </c>
      <c r="E243" s="19" t="n">
        <v>1.33700346306498</v>
      </c>
      <c r="F243" s="20">
        <f>B243/B242-1</f>
        <v/>
      </c>
      <c r="G243" s="20">
        <f>B243/MAX(B$2:B243)-1</f>
        <v/>
      </c>
      <c r="H243" s="20">
        <f>C243/C242-1</f>
        <v/>
      </c>
      <c r="I243" s="20">
        <f>C243/MAX(C$2:C243)-1</f>
        <v/>
      </c>
      <c r="J243" s="20">
        <f>D243/D242-1</f>
        <v/>
      </c>
      <c r="K243" s="20">
        <f>D243/MAX(D$2:D243)-1</f>
        <v/>
      </c>
      <c r="L243" s="20">
        <f>E243/E242-1</f>
        <v/>
      </c>
      <c r="M243" s="20">
        <f>E243/MAX(E$2:E243)-1</f>
        <v/>
      </c>
    </row>
    <row r="244">
      <c r="A244" s="11" t="n">
        <v>44026</v>
      </c>
      <c r="B244" s="19" t="n">
        <v>1.685727960929002</v>
      </c>
      <c r="C244" s="19" t="n">
        <v>1.651379575144968</v>
      </c>
      <c r="D244" s="19" t="n">
        <v>1.84732249984927</v>
      </c>
      <c r="E244" s="19" t="n">
        <v>1.324702328920498</v>
      </c>
      <c r="F244" s="20">
        <f>B244/B243-1</f>
        <v/>
      </c>
      <c r="G244" s="20">
        <f>B244/MAX(B$2:B244)-1</f>
        <v/>
      </c>
      <c r="H244" s="20">
        <f>C244/C243-1</f>
        <v/>
      </c>
      <c r="I244" s="20">
        <f>C244/MAX(C$2:C244)-1</f>
        <v/>
      </c>
      <c r="J244" s="20">
        <f>D244/D243-1</f>
        <v/>
      </c>
      <c r="K244" s="20">
        <f>D244/MAX(D$2:D244)-1</f>
        <v/>
      </c>
      <c r="L244" s="20">
        <f>E244/E243-1</f>
        <v/>
      </c>
      <c r="M244" s="20">
        <f>E244/MAX(E$2:E244)-1</f>
        <v/>
      </c>
    </row>
    <row r="245">
      <c r="A245" s="11" t="n">
        <v>44027</v>
      </c>
      <c r="B245" s="19" t="n">
        <v>1.643641702340282</v>
      </c>
      <c r="C245" s="19" t="n">
        <v>1.61010903603983</v>
      </c>
      <c r="D245" s="19" t="n">
        <v>1.817847765093902</v>
      </c>
      <c r="E245" s="19" t="n">
        <v>1.299798762819106</v>
      </c>
      <c r="F245" s="20">
        <f>B245/B244-1</f>
        <v/>
      </c>
      <c r="G245" s="20">
        <f>B245/MAX(B$2:B245)-1</f>
        <v/>
      </c>
      <c r="H245" s="20">
        <f>C245/C244-1</f>
        <v/>
      </c>
      <c r="I245" s="20">
        <f>C245/MAX(C$2:C245)-1</f>
        <v/>
      </c>
      <c r="J245" s="20">
        <f>D245/D244-1</f>
        <v/>
      </c>
      <c r="K245" s="20">
        <f>D245/MAX(D$2:D245)-1</f>
        <v/>
      </c>
      <c r="L245" s="20">
        <f>E245/E244-1</f>
        <v/>
      </c>
      <c r="M245" s="20">
        <f>E245/MAX(E$2:E245)-1</f>
        <v/>
      </c>
    </row>
    <row r="246">
      <c r="A246" s="11" t="n">
        <v>44028</v>
      </c>
      <c r="B246" s="19" t="n">
        <v>1.540070349376697</v>
      </c>
      <c r="C246" s="19" t="n">
        <v>1.516096963359398</v>
      </c>
      <c r="D246" s="19" t="n">
        <v>1.710058568589186</v>
      </c>
      <c r="E246" s="19" t="n">
        <v>1.236630374539219</v>
      </c>
      <c r="F246" s="20">
        <f>B246/B245-1</f>
        <v/>
      </c>
      <c r="G246" s="20">
        <f>B246/MAX(B$2:B246)-1</f>
        <v/>
      </c>
      <c r="H246" s="20">
        <f>C246/C245-1</f>
        <v/>
      </c>
      <c r="I246" s="20">
        <f>C246/MAX(C$2:C246)-1</f>
        <v/>
      </c>
      <c r="J246" s="20">
        <f>D246/D245-1</f>
        <v/>
      </c>
      <c r="K246" s="20">
        <f>D246/MAX(D$2:D246)-1</f>
        <v/>
      </c>
      <c r="L246" s="20">
        <f>E246/E245-1</f>
        <v/>
      </c>
      <c r="M246" s="20">
        <f>E246/MAX(E$2:E246)-1</f>
        <v/>
      </c>
    </row>
    <row r="247">
      <c r="A247" s="11" t="n">
        <v>44029</v>
      </c>
      <c r="B247" s="19" t="n">
        <v>1.554861380289534</v>
      </c>
      <c r="C247" s="19" t="n">
        <v>1.536926870552381</v>
      </c>
      <c r="D247" s="19" t="n">
        <v>1.720489804084441</v>
      </c>
      <c r="E247" s="19" t="n">
        <v>1.242444306401277</v>
      </c>
      <c r="F247" s="20">
        <f>B247/B246-1</f>
        <v/>
      </c>
      <c r="G247" s="20">
        <f>B247/MAX(B$2:B247)-1</f>
        <v/>
      </c>
      <c r="H247" s="20">
        <f>C247/C246-1</f>
        <v/>
      </c>
      <c r="I247" s="20">
        <f>C247/MAX(C$2:C247)-1</f>
        <v/>
      </c>
      <c r="J247" s="20">
        <f>D247/D246-1</f>
        <v/>
      </c>
      <c r="K247" s="20">
        <f>D247/MAX(D$2:D247)-1</f>
        <v/>
      </c>
      <c r="L247" s="20">
        <f>E247/E246-1</f>
        <v/>
      </c>
      <c r="M247" s="20">
        <f>E247/MAX(E$2:E247)-1</f>
        <v/>
      </c>
    </row>
    <row r="248">
      <c r="A248" s="11" t="n">
        <v>44032</v>
      </c>
      <c r="B248" s="19" t="n">
        <v>1.591663317377926</v>
      </c>
      <c r="C248" s="19" t="n">
        <v>1.572215374617934</v>
      </c>
      <c r="D248" s="19" t="n">
        <v>1.743041615666679</v>
      </c>
      <c r="E248" s="19" t="n">
        <v>1.279965183363897</v>
      </c>
      <c r="F248" s="20">
        <f>B248/B247-1</f>
        <v/>
      </c>
      <c r="G248" s="20">
        <f>B248/MAX(B$2:B248)-1</f>
        <v/>
      </c>
      <c r="H248" s="20">
        <f>C248/C247-1</f>
        <v/>
      </c>
      <c r="I248" s="20">
        <f>C248/MAX(C$2:C248)-1</f>
        <v/>
      </c>
      <c r="J248" s="20">
        <f>D248/D247-1</f>
        <v/>
      </c>
      <c r="K248" s="20">
        <f>D248/MAX(D$2:D248)-1</f>
        <v/>
      </c>
      <c r="L248" s="20">
        <f>E248/E247-1</f>
        <v/>
      </c>
      <c r="M248" s="20">
        <f>E248/MAX(E$2:E248)-1</f>
        <v/>
      </c>
    </row>
    <row r="249">
      <c r="A249" s="11" t="n">
        <v>44033</v>
      </c>
      <c r="B249" s="19" t="n">
        <v>1.619850705551666</v>
      </c>
      <c r="C249" s="19" t="n">
        <v>1.590081585230146</v>
      </c>
      <c r="D249" s="19" t="n">
        <v>1.768380561351943</v>
      </c>
      <c r="E249" s="19" t="n">
        <v>1.285596848648066</v>
      </c>
      <c r="F249" s="20">
        <f>B249/B248-1</f>
        <v/>
      </c>
      <c r="G249" s="20">
        <f>B249/MAX(B$2:B249)-1</f>
        <v/>
      </c>
      <c r="H249" s="20">
        <f>C249/C248-1</f>
        <v/>
      </c>
      <c r="I249" s="20">
        <f>C249/MAX(C$2:C249)-1</f>
        <v/>
      </c>
      <c r="J249" s="20">
        <f>D249/D248-1</f>
        <v/>
      </c>
      <c r="K249" s="20">
        <f>D249/MAX(D$2:D249)-1</f>
        <v/>
      </c>
      <c r="L249" s="20">
        <f>E249/E248-1</f>
        <v/>
      </c>
      <c r="M249" s="20">
        <f>E249/MAX(E$2:E249)-1</f>
        <v/>
      </c>
    </row>
    <row r="250">
      <c r="A250" s="11" t="n">
        <v>44034</v>
      </c>
      <c r="B250" s="19" t="n">
        <v>1.618745333228717</v>
      </c>
      <c r="C250" s="19" t="n">
        <v>1.607622205285592</v>
      </c>
      <c r="D250" s="19" t="n">
        <v>1.789393083939652</v>
      </c>
      <c r="E250" s="19" t="n">
        <v>1.293311560536682</v>
      </c>
      <c r="F250" s="20">
        <f>B250/B249-1</f>
        <v/>
      </c>
      <c r="G250" s="20">
        <f>B250/MAX(B$2:B250)-1</f>
        <v/>
      </c>
      <c r="H250" s="20">
        <f>C250/C249-1</f>
        <v/>
      </c>
      <c r="I250" s="20">
        <f>C250/MAX(C$2:C250)-1</f>
        <v/>
      </c>
      <c r="J250" s="20">
        <f>D250/D249-1</f>
        <v/>
      </c>
      <c r="K250" s="20">
        <f>D250/MAX(D$2:D250)-1</f>
        <v/>
      </c>
      <c r="L250" s="20">
        <f>E250/E249-1</f>
        <v/>
      </c>
      <c r="M250" s="20">
        <f>E250/MAX(E$2:E250)-1</f>
        <v/>
      </c>
    </row>
    <row r="251">
      <c r="A251" s="11" t="n">
        <v>44035</v>
      </c>
      <c r="B251" s="19" t="n">
        <v>1.634082991500377</v>
      </c>
      <c r="C251" s="19" t="n">
        <v>1.618879586568776</v>
      </c>
      <c r="D251" s="19" t="n">
        <v>1.80919672830651</v>
      </c>
      <c r="E251" s="19" t="n">
        <v>1.292664328198871</v>
      </c>
      <c r="F251" s="20">
        <f>B251/B250-1</f>
        <v/>
      </c>
      <c r="G251" s="20">
        <f>B251/MAX(B$2:B251)-1</f>
        <v/>
      </c>
      <c r="H251" s="20">
        <f>C251/C250-1</f>
        <v/>
      </c>
      <c r="I251" s="20">
        <f>C251/MAX(C$2:C251)-1</f>
        <v/>
      </c>
      <c r="J251" s="20">
        <f>D251/D250-1</f>
        <v/>
      </c>
      <c r="K251" s="20">
        <f>D251/MAX(D$2:D251)-1</f>
        <v/>
      </c>
      <c r="L251" s="20">
        <f>E251/E250-1</f>
        <v/>
      </c>
      <c r="M251" s="20">
        <f>E251/MAX(E$2:E251)-1</f>
        <v/>
      </c>
    </row>
    <row r="252">
      <c r="A252" s="11" t="n">
        <v>44036</v>
      </c>
      <c r="B252" s="19" t="n">
        <v>1.540368843805375</v>
      </c>
      <c r="C252" s="19" t="n">
        <v>1.526751744776253</v>
      </c>
      <c r="D252" s="19" t="n">
        <v>1.698156672349284</v>
      </c>
      <c r="E252" s="19" t="n">
        <v>1.233461167919594</v>
      </c>
      <c r="F252" s="20">
        <f>B252/B251-1</f>
        <v/>
      </c>
      <c r="G252" s="20">
        <f>B252/MAX(B$2:B252)-1</f>
        <v/>
      </c>
      <c r="H252" s="20">
        <f>C252/C251-1</f>
        <v/>
      </c>
      <c r="I252" s="20">
        <f>C252/MAX(C$2:C252)-1</f>
        <v/>
      </c>
      <c r="J252" s="20">
        <f>D252/D251-1</f>
        <v/>
      </c>
      <c r="K252" s="20">
        <f>D252/MAX(D$2:D252)-1</f>
        <v/>
      </c>
      <c r="L252" s="20">
        <f>E252/E251-1</f>
        <v/>
      </c>
      <c r="M252" s="20">
        <f>E252/MAX(E$2:E252)-1</f>
        <v/>
      </c>
    </row>
    <row r="253">
      <c r="A253" s="11" t="n">
        <v>44039</v>
      </c>
      <c r="B253" s="19" t="n">
        <v>1.549071317278143</v>
      </c>
      <c r="C253" s="19" t="n">
        <v>1.54974818319363</v>
      </c>
      <c r="D253" s="19" t="n">
        <v>1.700689390802794</v>
      </c>
      <c r="E253" s="19" t="n">
        <v>1.236913073721251</v>
      </c>
      <c r="F253" s="20">
        <f>B253/B252-1</f>
        <v/>
      </c>
      <c r="G253" s="20">
        <f>B253/MAX(B$2:B253)-1</f>
        <v/>
      </c>
      <c r="H253" s="20">
        <f>C253/C252-1</f>
        <v/>
      </c>
      <c r="I253" s="20">
        <f>C253/MAX(C$2:C253)-1</f>
        <v/>
      </c>
      <c r="J253" s="20">
        <f>D253/D252-1</f>
        <v/>
      </c>
      <c r="K253" s="20">
        <f>D253/MAX(D$2:D253)-1</f>
        <v/>
      </c>
      <c r="L253" s="20">
        <f>E253/E252-1</f>
        <v/>
      </c>
      <c r="M253" s="20">
        <f>E253/MAX(E$2:E253)-1</f>
        <v/>
      </c>
    </row>
    <row r="254">
      <c r="A254" s="11" t="n">
        <v>44040</v>
      </c>
      <c r="B254" s="19" t="n">
        <v>1.56848223918427</v>
      </c>
      <c r="C254" s="19" t="n">
        <v>1.564867052125995</v>
      </c>
      <c r="D254" s="19" t="n">
        <v>1.723151507459574</v>
      </c>
      <c r="E254" s="19" t="n">
        <v>1.249530384582479</v>
      </c>
      <c r="F254" s="20">
        <f>B254/B253-1</f>
        <v/>
      </c>
      <c r="G254" s="20">
        <f>B254/MAX(B$2:B254)-1</f>
        <v/>
      </c>
      <c r="H254" s="20">
        <f>C254/C253-1</f>
        <v/>
      </c>
      <c r="I254" s="20">
        <f>C254/MAX(C$2:C254)-1</f>
        <v/>
      </c>
      <c r="J254" s="20">
        <f>D254/D253-1</f>
        <v/>
      </c>
      <c r="K254" s="20">
        <f>D254/MAX(D$2:D254)-1</f>
        <v/>
      </c>
      <c r="L254" s="20">
        <f>E254/E253-1</f>
        <v/>
      </c>
      <c r="M254" s="20">
        <f>E254/MAX(E$2:E254)-1</f>
        <v/>
      </c>
    </row>
    <row r="255">
      <c r="A255" s="11" t="n">
        <v>44041</v>
      </c>
      <c r="B255" s="19" t="n">
        <v>1.616518274020314</v>
      </c>
      <c r="C255" s="19" t="n">
        <v>1.618780596265064</v>
      </c>
      <c r="D255" s="19" t="n">
        <v>1.78834220578562</v>
      </c>
      <c r="E255" s="19" t="n">
        <v>1.281892001473012</v>
      </c>
      <c r="F255" s="20">
        <f>B255/B254-1</f>
        <v/>
      </c>
      <c r="G255" s="20">
        <f>B255/MAX(B$2:B255)-1</f>
        <v/>
      </c>
      <c r="H255" s="20">
        <f>C255/C254-1</f>
        <v/>
      </c>
      <c r="I255" s="20">
        <f>C255/MAX(C$2:C255)-1</f>
        <v/>
      </c>
      <c r="J255" s="20">
        <f>D255/D254-1</f>
        <v/>
      </c>
      <c r="K255" s="20">
        <f>D255/MAX(D$2:D255)-1</f>
        <v/>
      </c>
      <c r="L255" s="20">
        <f>E255/E254-1</f>
        <v/>
      </c>
      <c r="M255" s="20">
        <f>E255/MAX(E$2:E255)-1</f>
        <v/>
      </c>
    </row>
    <row r="256">
      <c r="A256" s="11" t="n">
        <v>44042</v>
      </c>
      <c r="B256" s="19" t="n">
        <v>1.613192200987483</v>
      </c>
      <c r="C256" s="19" t="n">
        <v>1.61548760540868</v>
      </c>
      <c r="D256" s="19" t="n">
        <v>1.772982789883111</v>
      </c>
      <c r="E256" s="19" t="n">
        <v>1.277662672920766</v>
      </c>
      <c r="F256" s="20">
        <f>B256/B255-1</f>
        <v/>
      </c>
      <c r="G256" s="20">
        <f>B256/MAX(B$2:B256)-1</f>
        <v/>
      </c>
      <c r="H256" s="20">
        <f>C256/C255-1</f>
        <v/>
      </c>
      <c r="I256" s="20">
        <f>C256/MAX(C$2:C256)-1</f>
        <v/>
      </c>
      <c r="J256" s="20">
        <f>D256/D255-1</f>
        <v/>
      </c>
      <c r="K256" s="20">
        <f>D256/MAX(D$2:D256)-1</f>
        <v/>
      </c>
      <c r="L256" s="20">
        <f>E256/E255-1</f>
        <v/>
      </c>
      <c r="M256" s="20">
        <f>E256/MAX(E$2:E256)-1</f>
        <v/>
      </c>
    </row>
    <row r="257">
      <c r="A257" s="11" t="n">
        <v>44043</v>
      </c>
      <c r="B257" s="19" t="n">
        <v>1.641632941392834</v>
      </c>
      <c r="C257" s="19" t="n">
        <v>1.643696090147555</v>
      </c>
      <c r="D257" s="19" t="n">
        <v>1.806434990533244</v>
      </c>
      <c r="E257" s="19" t="n">
        <v>1.29184598846141</v>
      </c>
      <c r="F257" s="20">
        <f>B257/B256-1</f>
        <v/>
      </c>
      <c r="G257" s="20">
        <f>B257/MAX(B$2:B257)-1</f>
        <v/>
      </c>
      <c r="H257" s="20">
        <f>C257/C256-1</f>
        <v/>
      </c>
      <c r="I257" s="20">
        <f>C257/MAX(C$2:C257)-1</f>
        <v/>
      </c>
      <c r="J257" s="20">
        <f>D257/D256-1</f>
        <v/>
      </c>
      <c r="K257" s="20">
        <f>D257/MAX(D$2:D257)-1</f>
        <v/>
      </c>
      <c r="L257" s="20">
        <f>E257/E256-1</f>
        <v/>
      </c>
      <c r="M257" s="20">
        <f>E257/MAX(E$2:E257)-1</f>
        <v/>
      </c>
    </row>
    <row r="258">
      <c r="A258" s="11" t="n">
        <v>44046</v>
      </c>
      <c r="B258" s="19" t="n">
        <v>1.686660686117357</v>
      </c>
      <c r="C258" s="19" t="n">
        <v>1.683133769426186</v>
      </c>
      <c r="D258" s="19" t="n">
        <v>1.85392050509358</v>
      </c>
      <c r="E258" s="19" t="n">
        <v>1.321042118458397</v>
      </c>
      <c r="F258" s="20">
        <f>B258/B257-1</f>
        <v/>
      </c>
      <c r="G258" s="20">
        <f>B258/MAX(B$2:B258)-1</f>
        <v/>
      </c>
      <c r="H258" s="20">
        <f>C258/C257-1</f>
        <v/>
      </c>
      <c r="I258" s="20">
        <f>C258/MAX(C$2:C258)-1</f>
        <v/>
      </c>
      <c r="J258" s="20">
        <f>D258/D257-1</f>
        <v/>
      </c>
      <c r="K258" s="20">
        <f>D258/MAX(D$2:D258)-1</f>
        <v/>
      </c>
      <c r="L258" s="20">
        <f>E258/E257-1</f>
        <v/>
      </c>
      <c r="M258" s="20">
        <f>E258/MAX(E$2:E258)-1</f>
        <v/>
      </c>
    </row>
    <row r="259">
      <c r="A259" s="11" t="n">
        <v>44047</v>
      </c>
      <c r="B259" s="19" t="n">
        <v>1.673603542775785</v>
      </c>
      <c r="C259" s="19" t="n">
        <v>1.65937542313184</v>
      </c>
      <c r="D259" s="19" t="n">
        <v>1.830632523056863</v>
      </c>
      <c r="E259" s="19" t="n">
        <v>1.316946700045009</v>
      </c>
      <c r="F259" s="20">
        <f>B259/B258-1</f>
        <v/>
      </c>
      <c r="G259" s="20">
        <f>B259/MAX(B$2:B259)-1</f>
        <v/>
      </c>
      <c r="H259" s="20">
        <f>C259/C258-1</f>
        <v/>
      </c>
      <c r="I259" s="20">
        <f>C259/MAX(C$2:C259)-1</f>
        <v/>
      </c>
      <c r="J259" s="20">
        <f>D259/D258-1</f>
        <v/>
      </c>
      <c r="K259" s="20">
        <f>D259/MAX(D$2:D259)-1</f>
        <v/>
      </c>
      <c r="L259" s="20">
        <f>E259/E258-1</f>
        <v/>
      </c>
      <c r="M259" s="20">
        <f>E259/MAX(E$2:E259)-1</f>
        <v/>
      </c>
    </row>
    <row r="260">
      <c r="A260" s="11" t="n">
        <v>44048</v>
      </c>
      <c r="B260" s="19" t="n">
        <v>1.692902680437</v>
      </c>
      <c r="C260" s="19" t="n">
        <v>1.681768395878482</v>
      </c>
      <c r="D260" s="19" t="n">
        <v>1.848336802118713</v>
      </c>
      <c r="E260" s="19" t="n">
        <v>1.324717207824816</v>
      </c>
      <c r="F260" s="20">
        <f>B260/B259-1</f>
        <v/>
      </c>
      <c r="G260" s="20">
        <f>B260/MAX(B$2:B260)-1</f>
        <v/>
      </c>
      <c r="H260" s="20">
        <f>C260/C259-1</f>
        <v/>
      </c>
      <c r="I260" s="20">
        <f>C260/MAX(C$2:C260)-1</f>
        <v/>
      </c>
      <c r="J260" s="20">
        <f>D260/D259-1</f>
        <v/>
      </c>
      <c r="K260" s="20">
        <f>D260/MAX(D$2:D260)-1</f>
        <v/>
      </c>
      <c r="L260" s="20">
        <f>E260/E259-1</f>
        <v/>
      </c>
      <c r="M260" s="20">
        <f>E260/MAX(E$2:E260)-1</f>
        <v/>
      </c>
    </row>
    <row r="261">
      <c r="A261" s="11" t="n">
        <v>44049</v>
      </c>
      <c r="B261" s="19" t="n">
        <v>1.685001265554673</v>
      </c>
      <c r="C261" s="19" t="n">
        <v>1.660375234819382</v>
      </c>
      <c r="D261" s="19" t="n">
        <v>1.818696248070315</v>
      </c>
      <c r="E261" s="19" t="n">
        <v>1.322596963959574</v>
      </c>
      <c r="F261" s="20">
        <f>B261/B260-1</f>
        <v/>
      </c>
      <c r="G261" s="20">
        <f>B261/MAX(B$2:B261)-1</f>
        <v/>
      </c>
      <c r="H261" s="20">
        <f>C261/C260-1</f>
        <v/>
      </c>
      <c r="I261" s="20">
        <f>C261/MAX(C$2:C261)-1</f>
        <v/>
      </c>
      <c r="J261" s="20">
        <f>D261/D260-1</f>
        <v/>
      </c>
      <c r="K261" s="20">
        <f>D261/MAX(D$2:D261)-1</f>
        <v/>
      </c>
      <c r="L261" s="20">
        <f>E261/E260-1</f>
        <v/>
      </c>
      <c r="M261" s="20">
        <f>E261/MAX(E$2:E261)-1</f>
        <v/>
      </c>
    </row>
    <row r="262">
      <c r="A262" s="11" t="n">
        <v>44050</v>
      </c>
      <c r="B262" s="19" t="n">
        <v>1.652746316705693</v>
      </c>
      <c r="C262" s="19" t="n">
        <v>1.639045373682384</v>
      </c>
      <c r="D262" s="19" t="n">
        <v>1.777066687724726</v>
      </c>
      <c r="E262" s="19" t="n">
        <v>1.306330601814482</v>
      </c>
      <c r="F262" s="20">
        <f>B262/B261-1</f>
        <v/>
      </c>
      <c r="G262" s="20">
        <f>B262/MAX(B$2:B262)-1</f>
        <v/>
      </c>
      <c r="H262" s="20">
        <f>C262/C261-1</f>
        <v/>
      </c>
      <c r="I262" s="20">
        <f>C262/MAX(C$2:C262)-1</f>
        <v/>
      </c>
      <c r="J262" s="20">
        <f>D262/D261-1</f>
        <v/>
      </c>
      <c r="K262" s="20">
        <f>D262/MAX(D$2:D262)-1</f>
        <v/>
      </c>
      <c r="L262" s="20">
        <f>E262/E261-1</f>
        <v/>
      </c>
      <c r="M262" s="20">
        <f>E262/MAX(E$2:E262)-1</f>
        <v/>
      </c>
    </row>
    <row r="263">
      <c r="A263" s="11" t="n">
        <v>44053</v>
      </c>
      <c r="B263" s="19" t="n">
        <v>1.643811491445264</v>
      </c>
      <c r="C263" s="19" t="n">
        <v>1.628522916038858</v>
      </c>
      <c r="D263" s="19" t="n">
        <v>1.767569106612048</v>
      </c>
      <c r="E263" s="19" t="n">
        <v>1.311426626543221</v>
      </c>
      <c r="F263" s="20">
        <f>B263/B262-1</f>
        <v/>
      </c>
      <c r="G263" s="20">
        <f>B263/MAX(B$2:B263)-1</f>
        <v/>
      </c>
      <c r="H263" s="20">
        <f>C263/C262-1</f>
        <v/>
      </c>
      <c r="I263" s="20">
        <f>C263/MAX(C$2:C263)-1</f>
        <v/>
      </c>
      <c r="J263" s="20">
        <f>D263/D262-1</f>
        <v/>
      </c>
      <c r="K263" s="20">
        <f>D263/MAX(D$2:D263)-1</f>
        <v/>
      </c>
      <c r="L263" s="20">
        <f>E263/E262-1</f>
        <v/>
      </c>
      <c r="M263" s="20">
        <f>E263/MAX(E$2:E263)-1</f>
        <v/>
      </c>
    </row>
    <row r="264">
      <c r="A264" s="11" t="n">
        <v>44054</v>
      </c>
      <c r="B264" s="19" t="n">
        <v>1.618037377205156</v>
      </c>
      <c r="C264" s="19" t="n">
        <v>1.600717126549098</v>
      </c>
      <c r="D264" s="19" t="n">
        <v>1.737484019860318</v>
      </c>
      <c r="E264" s="19" t="n">
        <v>1.293196249028222</v>
      </c>
      <c r="F264" s="20">
        <f>B264/B263-1</f>
        <v/>
      </c>
      <c r="G264" s="20">
        <f>B264/MAX(B$2:B264)-1</f>
        <v/>
      </c>
      <c r="H264" s="20">
        <f>C264/C263-1</f>
        <v/>
      </c>
      <c r="I264" s="20">
        <f>C264/MAX(C$2:C264)-1</f>
        <v/>
      </c>
      <c r="J264" s="20">
        <f>D264/D263-1</f>
        <v/>
      </c>
      <c r="K264" s="20">
        <f>D264/MAX(D$2:D264)-1</f>
        <v/>
      </c>
      <c r="L264" s="20">
        <f>E264/E263-1</f>
        <v/>
      </c>
      <c r="M264" s="20">
        <f>E264/MAX(E$2:E264)-1</f>
        <v/>
      </c>
    </row>
    <row r="265">
      <c r="A265" s="11" t="n">
        <v>44055</v>
      </c>
      <c r="B265" s="19" t="n">
        <v>1.601034632709915</v>
      </c>
      <c r="C265" s="19" t="n">
        <v>1.585336303683781</v>
      </c>
      <c r="D265" s="19" t="n">
        <v>1.703106436405749</v>
      </c>
      <c r="E265" s="19" t="n">
        <v>1.281170374613614</v>
      </c>
      <c r="F265" s="20">
        <f>B265/B264-1</f>
        <v/>
      </c>
      <c r="G265" s="20">
        <f>B265/MAX(B$2:B265)-1</f>
        <v/>
      </c>
      <c r="H265" s="20">
        <f>C265/C264-1</f>
        <v/>
      </c>
      <c r="I265" s="20">
        <f>C265/MAX(C$2:C265)-1</f>
        <v/>
      </c>
      <c r="J265" s="20">
        <f>D265/D264-1</f>
        <v/>
      </c>
      <c r="K265" s="20">
        <f>D265/MAX(D$2:D265)-1</f>
        <v/>
      </c>
      <c r="L265" s="20">
        <f>E265/E264-1</f>
        <v/>
      </c>
      <c r="M265" s="20">
        <f>E265/MAX(E$2:E265)-1</f>
        <v/>
      </c>
    </row>
    <row r="266">
      <c r="A266" s="11" t="n">
        <v>44056</v>
      </c>
      <c r="B266" s="19" t="n">
        <v>1.599343991846211</v>
      </c>
      <c r="C266" s="19" t="n">
        <v>1.58129314141015</v>
      </c>
      <c r="D266" s="19" t="n">
        <v>1.694794986674035</v>
      </c>
      <c r="E266" s="19" t="n">
        <v>1.281940357912043</v>
      </c>
      <c r="F266" s="20">
        <f>B266/B265-1</f>
        <v/>
      </c>
      <c r="G266" s="20">
        <f>B266/MAX(B$2:B266)-1</f>
        <v/>
      </c>
      <c r="H266" s="20">
        <f>C266/C265-1</f>
        <v/>
      </c>
      <c r="I266" s="20">
        <f>C266/MAX(C$2:C266)-1</f>
        <v/>
      </c>
      <c r="J266" s="20">
        <f>D266/D265-1</f>
        <v/>
      </c>
      <c r="K266" s="20">
        <f>D266/MAX(D$2:D266)-1</f>
        <v/>
      </c>
      <c r="L266" s="20">
        <f>E266/E265-1</f>
        <v/>
      </c>
      <c r="M266" s="20">
        <f>E266/MAX(E$2:E266)-1</f>
        <v/>
      </c>
    </row>
    <row r="267">
      <c r="A267" s="11" t="n">
        <v>44057</v>
      </c>
      <c r="B267" s="19" t="n">
        <v>1.615502542708599</v>
      </c>
      <c r="C267" s="19" t="n">
        <v>1.605149227401844</v>
      </c>
      <c r="D267" s="19" t="n">
        <v>1.724567433620747</v>
      </c>
      <c r="E267" s="19" t="n">
        <v>1.297708276762499</v>
      </c>
      <c r="F267" s="20">
        <f>B267/B266-1</f>
        <v/>
      </c>
      <c r="G267" s="20">
        <f>B267/MAX(B$2:B267)-1</f>
        <v/>
      </c>
      <c r="H267" s="20">
        <f>C267/C266-1</f>
        <v/>
      </c>
      <c r="I267" s="20">
        <f>C267/MAX(C$2:C267)-1</f>
        <v/>
      </c>
      <c r="J267" s="20">
        <f>D267/D266-1</f>
        <v/>
      </c>
      <c r="K267" s="20">
        <f>D267/MAX(D$2:D267)-1</f>
        <v/>
      </c>
      <c r="L267" s="20">
        <f>E267/E266-1</f>
        <v/>
      </c>
      <c r="M267" s="20">
        <f>E267/MAX(E$2:E267)-1</f>
        <v/>
      </c>
    </row>
    <row r="268">
      <c r="A268" s="11" t="n">
        <v>44060</v>
      </c>
      <c r="B268" s="19" t="n">
        <v>1.633381977316155</v>
      </c>
      <c r="C268" s="19" t="n">
        <v>1.630731967879619</v>
      </c>
      <c r="D268" s="19" t="n">
        <v>1.74245472134895</v>
      </c>
      <c r="E268" s="19" t="n">
        <v>1.324828799607197</v>
      </c>
      <c r="F268" s="20">
        <f>B268/B267-1</f>
        <v/>
      </c>
      <c r="G268" s="20">
        <f>B268/MAX(B$2:B268)-1</f>
        <v/>
      </c>
      <c r="H268" s="20">
        <f>C268/C267-1</f>
        <v/>
      </c>
      <c r="I268" s="20">
        <f>C268/MAX(C$2:C268)-1</f>
        <v/>
      </c>
      <c r="J268" s="20">
        <f>D268/D267-1</f>
        <v/>
      </c>
      <c r="K268" s="20">
        <f>D268/MAX(D$2:D268)-1</f>
        <v/>
      </c>
      <c r="L268" s="20">
        <f>E268/E267-1</f>
        <v/>
      </c>
      <c r="M268" s="20">
        <f>E268/MAX(E$2:E268)-1</f>
        <v/>
      </c>
    </row>
    <row r="269">
      <c r="A269" s="11" t="n">
        <v>44061</v>
      </c>
      <c r="B269" s="19" t="n">
        <v>1.645197420796849</v>
      </c>
      <c r="C269" s="19" t="n">
        <v>1.631886806656016</v>
      </c>
      <c r="D269" s="19" t="n">
        <v>1.745471391745366</v>
      </c>
      <c r="E269" s="19" t="n">
        <v>1.329597488440951</v>
      </c>
      <c r="F269" s="20">
        <f>B269/B268-1</f>
        <v/>
      </c>
      <c r="G269" s="20">
        <f>B269/MAX(B$2:B269)-1</f>
        <v/>
      </c>
      <c r="H269" s="20">
        <f>C269/C268-1</f>
        <v/>
      </c>
      <c r="I269" s="20">
        <f>C269/MAX(C$2:C269)-1</f>
        <v/>
      </c>
      <c r="J269" s="20">
        <f>D269/D268-1</f>
        <v/>
      </c>
      <c r="K269" s="20">
        <f>D269/MAX(D$2:D269)-1</f>
        <v/>
      </c>
      <c r="L269" s="20">
        <f>E269/E268-1</f>
        <v/>
      </c>
      <c r="M269" s="20">
        <f>E269/MAX(E$2:E269)-1</f>
        <v/>
      </c>
    </row>
    <row r="270">
      <c r="A270" s="11" t="n">
        <v>44062</v>
      </c>
      <c r="B270" s="19" t="n">
        <v>1.613151157034844</v>
      </c>
      <c r="C270" s="19" t="n">
        <v>1.584846306490431</v>
      </c>
      <c r="D270" s="19" t="n">
        <v>1.688458763953522</v>
      </c>
      <c r="E270" s="19" t="n">
        <v>1.306862522643833</v>
      </c>
      <c r="F270" s="20">
        <f>B270/B269-1</f>
        <v/>
      </c>
      <c r="G270" s="20">
        <f>B270/MAX(B$2:B270)-1</f>
        <v/>
      </c>
      <c r="H270" s="20">
        <f>C270/C269-1</f>
        <v/>
      </c>
      <c r="I270" s="20">
        <f>C270/MAX(C$2:C270)-1</f>
        <v/>
      </c>
      <c r="J270" s="20">
        <f>D270/D269-1</f>
        <v/>
      </c>
      <c r="K270" s="20">
        <f>D270/MAX(D$2:D270)-1</f>
        <v/>
      </c>
      <c r="L270" s="20">
        <f>E270/E269-1</f>
        <v/>
      </c>
      <c r="M270" s="20">
        <f>E270/MAX(E$2:E270)-1</f>
        <v/>
      </c>
    </row>
    <row r="271">
      <c r="A271" s="11" t="n">
        <v>44063</v>
      </c>
      <c r="B271" s="19" t="n">
        <v>1.607258522844168</v>
      </c>
      <c r="C271" s="19" t="n">
        <v>1.578284038198328</v>
      </c>
      <c r="D271" s="19" t="n">
        <v>1.672320139541523</v>
      </c>
      <c r="E271" s="19" t="n">
        <v>1.290655676116011</v>
      </c>
      <c r="F271" s="20">
        <f>B271/B270-1</f>
        <v/>
      </c>
      <c r="G271" s="20">
        <f>B271/MAX(B$2:B271)-1</f>
        <v/>
      </c>
      <c r="H271" s="20">
        <f>C271/C270-1</f>
        <v/>
      </c>
      <c r="I271" s="20">
        <f>C271/MAX(C$2:C271)-1</f>
        <v/>
      </c>
      <c r="J271" s="20">
        <f>D271/D270-1</f>
        <v/>
      </c>
      <c r="K271" s="20">
        <f>D271/MAX(D$2:D271)-1</f>
        <v/>
      </c>
      <c r="L271" s="20">
        <f>E271/E270-1</f>
        <v/>
      </c>
      <c r="M271" s="20">
        <f>E271/MAX(E$2:E271)-1</f>
        <v/>
      </c>
    </row>
    <row r="272">
      <c r="A272" s="11" t="n">
        <v>44064</v>
      </c>
      <c r="B272" s="19" t="n">
        <v>1.62337243888639</v>
      </c>
      <c r="C272" s="19" t="n">
        <v>1.599411204903916</v>
      </c>
      <c r="D272" s="19" t="n">
        <v>1.701135345183619</v>
      </c>
      <c r="E272" s="19" t="n">
        <v>1.300851445299568</v>
      </c>
      <c r="F272" s="20">
        <f>B272/B271-1</f>
        <v/>
      </c>
      <c r="G272" s="20">
        <f>B272/MAX(B$2:B272)-1</f>
        <v/>
      </c>
      <c r="H272" s="20">
        <f>C272/C271-1</f>
        <v/>
      </c>
      <c r="I272" s="20">
        <f>C272/MAX(C$2:C272)-1</f>
        <v/>
      </c>
      <c r="J272" s="20">
        <f>D272/D271-1</f>
        <v/>
      </c>
      <c r="K272" s="20">
        <f>D272/MAX(D$2:D272)-1</f>
        <v/>
      </c>
      <c r="L272" s="20">
        <f>E272/E271-1</f>
        <v/>
      </c>
      <c r="M272" s="20">
        <f>E272/MAX(E$2:E272)-1</f>
        <v/>
      </c>
    </row>
    <row r="273">
      <c r="A273" s="11" t="n">
        <v>44067</v>
      </c>
      <c r="B273" s="19" t="n">
        <v>1.657501433502099</v>
      </c>
      <c r="C273" s="19" t="n">
        <v>1.636202312515467</v>
      </c>
      <c r="D273" s="19" t="n">
        <v>1.734853205659802</v>
      </c>
      <c r="E273" s="19" t="n">
        <v>1.310738477218538</v>
      </c>
      <c r="F273" s="20">
        <f>B273/B272-1</f>
        <v/>
      </c>
      <c r="G273" s="20">
        <f>B273/MAX(B$2:B273)-1</f>
        <v/>
      </c>
      <c r="H273" s="20">
        <f>C273/C272-1</f>
        <v/>
      </c>
      <c r="I273" s="20">
        <f>C273/MAX(C$2:C273)-1</f>
        <v/>
      </c>
      <c r="J273" s="20">
        <f>D273/D272-1</f>
        <v/>
      </c>
      <c r="K273" s="20">
        <f>D273/MAX(D$2:D273)-1</f>
        <v/>
      </c>
      <c r="L273" s="20">
        <f>E273/E272-1</f>
        <v/>
      </c>
      <c r="M273" s="20">
        <f>E273/MAX(E$2:E273)-1</f>
        <v/>
      </c>
    </row>
    <row r="274">
      <c r="A274" s="11" t="n">
        <v>44068</v>
      </c>
      <c r="B274" s="19" t="n">
        <v>1.649280757893329</v>
      </c>
      <c r="C274" s="19" t="n">
        <v>1.63079021727602</v>
      </c>
      <c r="D274" s="19" t="n">
        <v>1.745822675329508</v>
      </c>
      <c r="E274" s="19" t="n">
        <v>1.30877074212255</v>
      </c>
      <c r="F274" s="20">
        <f>B274/B273-1</f>
        <v/>
      </c>
      <c r="G274" s="20">
        <f>B274/MAX(B$2:B274)-1</f>
        <v/>
      </c>
      <c r="H274" s="20">
        <f>C274/C273-1</f>
        <v/>
      </c>
      <c r="I274" s="20">
        <f>C274/MAX(C$2:C274)-1</f>
        <v/>
      </c>
      <c r="J274" s="20">
        <f>D274/D273-1</f>
        <v/>
      </c>
      <c r="K274" s="20">
        <f>D274/MAX(D$2:D274)-1</f>
        <v/>
      </c>
      <c r="L274" s="20">
        <f>E274/E273-1</f>
        <v/>
      </c>
      <c r="M274" s="20">
        <f>E274/MAX(E$2:E274)-1</f>
        <v/>
      </c>
    </row>
    <row r="275">
      <c r="A275" s="11" t="n">
        <v>44069</v>
      </c>
      <c r="B275" s="19" t="n">
        <v>1.625627125944871</v>
      </c>
      <c r="C275" s="19" t="n">
        <v>1.592380969330562</v>
      </c>
      <c r="D275" s="19" t="n">
        <v>1.708690914841066</v>
      </c>
      <c r="E275" s="19" t="n">
        <v>1.286913631680163</v>
      </c>
      <c r="F275" s="20">
        <f>B275/B274-1</f>
        <v/>
      </c>
      <c r="G275" s="20">
        <f>B275/MAX(B$2:B275)-1</f>
        <v/>
      </c>
      <c r="H275" s="20">
        <f>C275/C274-1</f>
        <v/>
      </c>
      <c r="I275" s="20">
        <f>C275/MAX(C$2:C275)-1</f>
        <v/>
      </c>
      <c r="J275" s="20">
        <f>D275/D274-1</f>
        <v/>
      </c>
      <c r="K275" s="20">
        <f>D275/MAX(D$2:D275)-1</f>
        <v/>
      </c>
      <c r="L275" s="20">
        <f>E275/E274-1</f>
        <v/>
      </c>
      <c r="M275" s="20">
        <f>E275/MAX(E$2:E275)-1</f>
        <v/>
      </c>
    </row>
    <row r="276">
      <c r="A276" s="11" t="n">
        <v>44070</v>
      </c>
      <c r="B276" s="19" t="n">
        <v>1.654320219500393</v>
      </c>
      <c r="C276" s="19" t="n">
        <v>1.611430109262111</v>
      </c>
      <c r="D276" s="19" t="n">
        <v>1.737787806491858</v>
      </c>
      <c r="E276" s="19" t="n">
        <v>1.297979816766293</v>
      </c>
      <c r="F276" s="20">
        <f>B276/B275-1</f>
        <v/>
      </c>
      <c r="G276" s="20">
        <f>B276/MAX(B$2:B276)-1</f>
        <v/>
      </c>
      <c r="H276" s="20">
        <f>C276/C275-1</f>
        <v/>
      </c>
      <c r="I276" s="20">
        <f>C276/MAX(C$2:C276)-1</f>
        <v/>
      </c>
      <c r="J276" s="20">
        <f>D276/D275-1</f>
        <v/>
      </c>
      <c r="K276" s="20">
        <f>D276/MAX(D$2:D276)-1</f>
        <v/>
      </c>
      <c r="L276" s="20">
        <f>E276/E275-1</f>
        <v/>
      </c>
      <c r="M276" s="20">
        <f>E276/MAX(E$2:E276)-1</f>
        <v/>
      </c>
    </row>
    <row r="277">
      <c r="A277" s="11" t="n">
        <v>44071</v>
      </c>
      <c r="B277" s="19" t="n">
        <v>1.680139354921072</v>
      </c>
      <c r="C277" s="19" t="n">
        <v>1.650682121595976</v>
      </c>
      <c r="D277" s="19" t="n">
        <v>1.78216236758932</v>
      </c>
      <c r="E277" s="19" t="n">
        <v>1.32173398750916</v>
      </c>
      <c r="F277" s="20">
        <f>B277/B276-1</f>
        <v/>
      </c>
      <c r="G277" s="20">
        <f>B277/MAX(B$2:B277)-1</f>
        <v/>
      </c>
      <c r="H277" s="20">
        <f>C277/C276-1</f>
        <v/>
      </c>
      <c r="I277" s="20">
        <f>C277/MAX(C$2:C277)-1</f>
        <v/>
      </c>
      <c r="J277" s="20">
        <f>D277/D276-1</f>
        <v/>
      </c>
      <c r="K277" s="20">
        <f>D277/MAX(D$2:D277)-1</f>
        <v/>
      </c>
      <c r="L277" s="20">
        <f>E277/E276-1</f>
        <v/>
      </c>
      <c r="M277" s="20">
        <f>E277/MAX(E$2:E277)-1</f>
        <v/>
      </c>
    </row>
    <row r="278">
      <c r="A278" s="11" t="n">
        <v>44074</v>
      </c>
      <c r="B278" s="19" t="n">
        <v>1.668873342611346</v>
      </c>
      <c r="C278" s="19" t="n">
        <v>1.636166189231654</v>
      </c>
      <c r="D278" s="19" t="n">
        <v>1.763082615553139</v>
      </c>
      <c r="E278" s="19" t="n">
        <v>1.318032860060185</v>
      </c>
      <c r="F278" s="20">
        <f>B278/B277-1</f>
        <v/>
      </c>
      <c r="G278" s="20">
        <f>B278/MAX(B$2:B278)-1</f>
        <v/>
      </c>
      <c r="H278" s="20">
        <f>C278/C277-1</f>
        <v/>
      </c>
      <c r="I278" s="20">
        <f>C278/MAX(C$2:C278)-1</f>
        <v/>
      </c>
      <c r="J278" s="20">
        <f>D278/D277-1</f>
        <v/>
      </c>
      <c r="K278" s="20">
        <f>D278/MAX(D$2:D278)-1</f>
        <v/>
      </c>
      <c r="L278" s="20">
        <f>E278/E277-1</f>
        <v/>
      </c>
      <c r="M278" s="20">
        <f>E278/MAX(E$2:E278)-1</f>
        <v/>
      </c>
    </row>
    <row r="279">
      <c r="A279" s="11" t="n">
        <v>44075</v>
      </c>
      <c r="B279" s="19" t="n">
        <v>1.693928758372496</v>
      </c>
      <c r="C279" s="19" t="n">
        <v>1.657507305825926</v>
      </c>
      <c r="D279" s="19" t="n">
        <v>1.77737053897797</v>
      </c>
      <c r="E279" s="19" t="n">
        <v>1.32528260618888</v>
      </c>
      <c r="F279" s="20">
        <f>B279/B278-1</f>
        <v/>
      </c>
      <c r="G279" s="20">
        <f>B279/MAX(B$2:B279)-1</f>
        <v/>
      </c>
      <c r="H279" s="20">
        <f>C279/C278-1</f>
        <v/>
      </c>
      <c r="I279" s="20">
        <f>C279/MAX(C$2:C279)-1</f>
        <v/>
      </c>
      <c r="J279" s="20">
        <f>D279/D278-1</f>
        <v/>
      </c>
      <c r="K279" s="20">
        <f>D279/MAX(D$2:D279)-1</f>
        <v/>
      </c>
      <c r="L279" s="20">
        <f>E279/E278-1</f>
        <v/>
      </c>
      <c r="M279" s="20">
        <f>E279/MAX(E$2:E279)-1</f>
        <v/>
      </c>
    </row>
    <row r="280">
      <c r="A280" s="11" t="n">
        <v>44076</v>
      </c>
      <c r="B280" s="19" t="n">
        <v>1.706497634471897</v>
      </c>
      <c r="C280" s="19" t="n">
        <v>1.665377708374469</v>
      </c>
      <c r="D280" s="19" t="n">
        <v>1.791216902297864</v>
      </c>
      <c r="E280" s="19" t="n">
        <v>1.327402850054122</v>
      </c>
      <c r="F280" s="20">
        <f>B280/B279-1</f>
        <v/>
      </c>
      <c r="G280" s="20">
        <f>B280/MAX(B$2:B280)-1</f>
        <v/>
      </c>
      <c r="H280" s="20">
        <f>C280/C279-1</f>
        <v/>
      </c>
      <c r="I280" s="20">
        <f>C280/MAX(C$2:C280)-1</f>
        <v/>
      </c>
      <c r="J280" s="20">
        <f>D280/D279-1</f>
        <v/>
      </c>
      <c r="K280" s="20">
        <f>D280/MAX(D$2:D280)-1</f>
        <v/>
      </c>
      <c r="L280" s="20">
        <f>E280/E279-1</f>
        <v/>
      </c>
      <c r="M280" s="20">
        <f>E280/MAX(E$2:E280)-1</f>
        <v/>
      </c>
    </row>
    <row r="281">
      <c r="A281" s="11" t="n">
        <v>44077</v>
      </c>
      <c r="B281" s="19" t="n">
        <v>1.674174882180216</v>
      </c>
      <c r="C281" s="19" t="n">
        <v>1.644608311289392</v>
      </c>
      <c r="D281" s="19" t="n">
        <v>1.775127713489594</v>
      </c>
      <c r="E281" s="19" t="n">
        <v>1.317712963617359</v>
      </c>
      <c r="F281" s="20">
        <f>B281/B280-1</f>
        <v/>
      </c>
      <c r="G281" s="20">
        <f>B281/MAX(B$2:B281)-1</f>
        <v/>
      </c>
      <c r="H281" s="20">
        <f>C281/C280-1</f>
        <v/>
      </c>
      <c r="I281" s="20">
        <f>C281/MAX(C$2:C281)-1</f>
        <v/>
      </c>
      <c r="J281" s="20">
        <f>D281/D280-1</f>
        <v/>
      </c>
      <c r="K281" s="20">
        <f>D281/MAX(D$2:D281)-1</f>
        <v/>
      </c>
      <c r="L281" s="20">
        <f>E281/E280-1</f>
        <v/>
      </c>
      <c r="M281" s="20">
        <f>E281/MAX(E$2:E281)-1</f>
        <v/>
      </c>
    </row>
    <row r="282">
      <c r="A282" s="11" t="n">
        <v>44078</v>
      </c>
      <c r="B282" s="19" t="n">
        <v>1.662245263613466</v>
      </c>
      <c r="C282" s="19" t="n">
        <v>1.62808106719051</v>
      </c>
      <c r="D282" s="19" t="n">
        <v>1.765564864455652</v>
      </c>
      <c r="E282" s="19" t="n">
        <v>1.309544445147059</v>
      </c>
      <c r="F282" s="20">
        <f>B282/B281-1</f>
        <v/>
      </c>
      <c r="G282" s="20">
        <f>B282/MAX(B$2:B282)-1</f>
        <v/>
      </c>
      <c r="H282" s="20">
        <f>C282/C281-1</f>
        <v/>
      </c>
      <c r="I282" s="20">
        <f>C282/MAX(C$2:C282)-1</f>
        <v/>
      </c>
      <c r="J282" s="20">
        <f>D282/D281-1</f>
        <v/>
      </c>
      <c r="K282" s="20">
        <f>D282/MAX(D$2:D282)-1</f>
        <v/>
      </c>
      <c r="L282" s="20">
        <f>E282/E281-1</f>
        <v/>
      </c>
      <c r="M282" s="20">
        <f>E282/MAX(E$2:E282)-1</f>
        <v/>
      </c>
    </row>
    <row r="283">
      <c r="A283" s="11" t="n">
        <v>44081</v>
      </c>
      <c r="B283" s="19" t="n">
        <v>1.61546653088372</v>
      </c>
      <c r="C283" s="19" t="n">
        <v>1.572842361308356</v>
      </c>
      <c r="D283" s="19" t="n">
        <v>1.706789485816085</v>
      </c>
      <c r="E283" s="19" t="n">
        <v>1.283353853822205</v>
      </c>
      <c r="F283" s="20">
        <f>B283/B282-1</f>
        <v/>
      </c>
      <c r="G283" s="20">
        <f>B283/MAX(B$2:B283)-1</f>
        <v/>
      </c>
      <c r="H283" s="20">
        <f>C283/C282-1</f>
        <v/>
      </c>
      <c r="I283" s="20">
        <f>C283/MAX(C$2:C283)-1</f>
        <v/>
      </c>
      <c r="J283" s="20">
        <f>D283/D282-1</f>
        <v/>
      </c>
      <c r="K283" s="20">
        <f>D283/MAX(D$2:D283)-1</f>
        <v/>
      </c>
      <c r="L283" s="20">
        <f>E283/E282-1</f>
        <v/>
      </c>
      <c r="M283" s="20">
        <f>E283/MAX(E$2:E283)-1</f>
        <v/>
      </c>
    </row>
    <row r="284">
      <c r="A284" s="11" t="n">
        <v>44082</v>
      </c>
      <c r="B284" s="19" t="n">
        <v>1.604786642381586</v>
      </c>
      <c r="C284" s="19" t="n">
        <v>1.573191039982607</v>
      </c>
      <c r="D284" s="19" t="n">
        <v>1.712881632359758</v>
      </c>
      <c r="E284" s="19" t="n">
        <v>1.290927216119805</v>
      </c>
      <c r="F284" s="20">
        <f>B284/B283-1</f>
        <v/>
      </c>
      <c r="G284" s="20">
        <f>B284/MAX(B$2:B284)-1</f>
        <v/>
      </c>
      <c r="H284" s="20">
        <f>C284/C283-1</f>
        <v/>
      </c>
      <c r="I284" s="20">
        <f>C284/MAX(C$2:C284)-1</f>
        <v/>
      </c>
      <c r="J284" s="20">
        <f>D284/D283-1</f>
        <v/>
      </c>
      <c r="K284" s="20">
        <f>D284/MAX(D$2:D284)-1</f>
        <v/>
      </c>
      <c r="L284" s="20">
        <f>E284/E283-1</f>
        <v/>
      </c>
      <c r="M284" s="20">
        <f>E284/MAX(E$2:E284)-1</f>
        <v/>
      </c>
    </row>
    <row r="285">
      <c r="A285" s="11" t="n">
        <v>44083</v>
      </c>
      <c r="B285" s="19" t="n">
        <v>1.558271120264627</v>
      </c>
      <c r="C285" s="19" t="n">
        <v>1.523356444699269</v>
      </c>
      <c r="D285" s="19" t="n">
        <v>1.630661305563922</v>
      </c>
      <c r="E285" s="19" t="n">
        <v>1.256977276193381</v>
      </c>
      <c r="F285" s="20">
        <f>B285/B284-1</f>
        <v/>
      </c>
      <c r="G285" s="20">
        <f>B285/MAX(B$2:B285)-1</f>
        <v/>
      </c>
      <c r="H285" s="20">
        <f>C285/C284-1</f>
        <v/>
      </c>
      <c r="I285" s="20">
        <f>C285/MAX(C$2:C285)-1</f>
        <v/>
      </c>
      <c r="J285" s="20">
        <f>D285/D284-1</f>
        <v/>
      </c>
      <c r="K285" s="20">
        <f>D285/MAX(D$2:D285)-1</f>
        <v/>
      </c>
      <c r="L285" s="20">
        <f>E285/E284-1</f>
        <v/>
      </c>
      <c r="M285" s="20">
        <f>E285/MAX(E$2:E285)-1</f>
        <v/>
      </c>
    </row>
    <row r="286">
      <c r="A286" s="11" t="n">
        <v>44084</v>
      </c>
      <c r="B286" s="19" t="n">
        <v>1.536085257820578</v>
      </c>
      <c r="C286" s="19" t="n">
        <v>1.509604103720482</v>
      </c>
      <c r="D286" s="19" t="n">
        <v>1.604577336250702</v>
      </c>
      <c r="E286" s="19" t="n">
        <v>1.238248455383746</v>
      </c>
      <c r="F286" s="20">
        <f>B286/B285-1</f>
        <v/>
      </c>
      <c r="G286" s="20">
        <f>B286/MAX(B$2:B286)-1</f>
        <v/>
      </c>
      <c r="H286" s="20">
        <f>C286/C285-1</f>
        <v/>
      </c>
      <c r="I286" s="20">
        <f>C286/MAX(C$2:C286)-1</f>
        <v/>
      </c>
      <c r="J286" s="20">
        <f>D286/D285-1</f>
        <v/>
      </c>
      <c r="K286" s="20">
        <f>D286/MAX(D$2:D286)-1</f>
        <v/>
      </c>
      <c r="L286" s="20">
        <f>E286/E285-1</f>
        <v/>
      </c>
      <c r="M286" s="20">
        <f>E286/MAX(E$2:E286)-1</f>
        <v/>
      </c>
    </row>
    <row r="287">
      <c r="A287" s="11" t="n">
        <v>44085</v>
      </c>
      <c r="B287" s="19" t="n">
        <v>1.582197622619243</v>
      </c>
      <c r="C287" s="19" t="n">
        <v>1.559351637560808</v>
      </c>
      <c r="D287" s="19" t="n">
        <v>1.639205845782759</v>
      </c>
      <c r="E287" s="19" t="n">
        <v>1.25384898656063</v>
      </c>
      <c r="F287" s="20">
        <f>B287/B286-1</f>
        <v/>
      </c>
      <c r="G287" s="20">
        <f>B287/MAX(B$2:B287)-1</f>
        <v/>
      </c>
      <c r="H287" s="20">
        <f>C287/C286-1</f>
        <v/>
      </c>
      <c r="I287" s="20">
        <f>C287/MAX(C$2:C287)-1</f>
        <v/>
      </c>
      <c r="J287" s="20">
        <f>D287/D286-1</f>
        <v/>
      </c>
      <c r="K287" s="20">
        <f>D287/MAX(D$2:D287)-1</f>
        <v/>
      </c>
      <c r="L287" s="20">
        <f>E287/E286-1</f>
        <v/>
      </c>
      <c r="M287" s="20">
        <f>E287/MAX(E$2:E287)-1</f>
        <v/>
      </c>
    </row>
    <row r="288">
      <c r="A288" s="11" t="n">
        <v>44088</v>
      </c>
      <c r="B288" s="19" t="n">
        <v>1.600834116316845</v>
      </c>
      <c r="C288" s="19" t="n">
        <v>1.570265150194217</v>
      </c>
      <c r="D288" s="19" t="n">
        <v>1.662458738234084</v>
      </c>
      <c r="E288" s="19" t="n">
        <v>1.265510327819459</v>
      </c>
      <c r="F288" s="20">
        <f>B288/B287-1</f>
        <v/>
      </c>
      <c r="G288" s="20">
        <f>B288/MAX(B$2:B288)-1</f>
        <v/>
      </c>
      <c r="H288" s="20">
        <f>C288/C287-1</f>
        <v/>
      </c>
      <c r="I288" s="20">
        <f>C288/MAX(C$2:C288)-1</f>
        <v/>
      </c>
      <c r="J288" s="20">
        <f>D288/D287-1</f>
        <v/>
      </c>
      <c r="K288" s="20">
        <f>D288/MAX(D$2:D288)-1</f>
        <v/>
      </c>
      <c r="L288" s="20">
        <f>E288/E287-1</f>
        <v/>
      </c>
      <c r="M288" s="20">
        <f>E288/MAX(E$2:E288)-1</f>
        <v/>
      </c>
    </row>
    <row r="289">
      <c r="A289" s="11" t="n">
        <v>44089</v>
      </c>
      <c r="B289" s="19" t="n">
        <v>1.609627119877551</v>
      </c>
      <c r="C289" s="19" t="n">
        <v>1.579947152261084</v>
      </c>
      <c r="D289" s="19" t="n">
        <v>1.677032677321795</v>
      </c>
      <c r="E289" s="19" t="n">
        <v>1.274114054241046</v>
      </c>
      <c r="F289" s="20">
        <f>B289/B288-1</f>
        <v/>
      </c>
      <c r="G289" s="20">
        <f>B289/MAX(B$2:B289)-1</f>
        <v/>
      </c>
      <c r="H289" s="20">
        <f>C289/C288-1</f>
        <v/>
      </c>
      <c r="I289" s="20">
        <f>C289/MAX(C$2:C289)-1</f>
        <v/>
      </c>
      <c r="J289" s="20">
        <f>D289/D288-1</f>
        <v/>
      </c>
      <c r="K289" s="20">
        <f>D289/MAX(D$2:D289)-1</f>
        <v/>
      </c>
      <c r="L289" s="20">
        <f>E289/E288-1</f>
        <v/>
      </c>
      <c r="M289" s="20">
        <f>E289/MAX(E$2:E289)-1</f>
        <v/>
      </c>
    </row>
    <row r="290">
      <c r="A290" s="11" t="n">
        <v>44090</v>
      </c>
      <c r="B290" s="19" t="n">
        <v>1.606910605236125</v>
      </c>
      <c r="C290" s="19" t="n">
        <v>1.564009569062692</v>
      </c>
      <c r="D290" s="19" t="n">
        <v>1.650955040935588</v>
      </c>
      <c r="E290" s="19" t="n">
        <v>1.265450812202189</v>
      </c>
      <c r="F290" s="20">
        <f>B290/B289-1</f>
        <v/>
      </c>
      <c r="G290" s="20">
        <f>B290/MAX(B$2:B290)-1</f>
        <v/>
      </c>
      <c r="H290" s="20">
        <f>C290/C289-1</f>
        <v/>
      </c>
      <c r="I290" s="20">
        <f>C290/MAX(C$2:C290)-1</f>
        <v/>
      </c>
      <c r="J290" s="20">
        <f>D290/D289-1</f>
        <v/>
      </c>
      <c r="K290" s="20">
        <f>D290/MAX(D$2:D290)-1</f>
        <v/>
      </c>
      <c r="L290" s="20">
        <f>E290/E289-1</f>
        <v/>
      </c>
      <c r="M290" s="20">
        <f>E290/MAX(E$2:E290)-1</f>
        <v/>
      </c>
    </row>
    <row r="291">
      <c r="A291" s="11" t="n">
        <v>44091</v>
      </c>
      <c r="B291" s="19" t="n">
        <v>1.60421476876282</v>
      </c>
      <c r="C291" s="19" t="n">
        <v>1.559322873614442</v>
      </c>
      <c r="D291" s="19" t="n">
        <v>1.652584477207505</v>
      </c>
      <c r="E291" s="19" t="n">
        <v>1.263806693275107</v>
      </c>
      <c r="F291" s="20">
        <f>B291/B290-1</f>
        <v/>
      </c>
      <c r="G291" s="20">
        <f>B291/MAX(B$2:B291)-1</f>
        <v/>
      </c>
      <c r="H291" s="20">
        <f>C291/C290-1</f>
        <v/>
      </c>
      <c r="I291" s="20">
        <f>C291/MAX(C$2:C291)-1</f>
        <v/>
      </c>
      <c r="J291" s="20">
        <f>D291/D290-1</f>
        <v/>
      </c>
      <c r="K291" s="20">
        <f>D291/MAX(D$2:D291)-1</f>
        <v/>
      </c>
      <c r="L291" s="20">
        <f>E291/E290-1</f>
        <v/>
      </c>
      <c r="M291" s="20">
        <f>E291/MAX(E$2:E291)-1</f>
        <v/>
      </c>
    </row>
    <row r="292">
      <c r="A292" s="11" t="n">
        <v>44092</v>
      </c>
      <c r="B292" s="19" t="n">
        <v>1.622597453277141</v>
      </c>
      <c r="C292" s="19" t="n">
        <v>1.577989857101388</v>
      </c>
      <c r="D292" s="19" t="n">
        <v>1.677632302115256</v>
      </c>
      <c r="E292" s="19" t="n">
        <v>1.286809479349941</v>
      </c>
      <c r="F292" s="20">
        <f>B292/B291-1</f>
        <v/>
      </c>
      <c r="G292" s="20">
        <f>B292/MAX(B$2:B292)-1</f>
        <v/>
      </c>
      <c r="H292" s="20">
        <f>C292/C291-1</f>
        <v/>
      </c>
      <c r="I292" s="20">
        <f>C292/MAX(C$2:C292)-1</f>
        <v/>
      </c>
      <c r="J292" s="20">
        <f>D292/D291-1</f>
        <v/>
      </c>
      <c r="K292" s="20">
        <f>D292/MAX(D$2:D292)-1</f>
        <v/>
      </c>
      <c r="L292" s="20">
        <f>E292/E291-1</f>
        <v/>
      </c>
      <c r="M292" s="20">
        <f>E292/MAX(E$2:E292)-1</f>
        <v/>
      </c>
    </row>
    <row r="293">
      <c r="A293" s="11" t="n">
        <v>44095</v>
      </c>
      <c r="B293" s="19" t="n">
        <v>1.60096427089235</v>
      </c>
      <c r="C293" s="19" t="n">
        <v>1.563389893609474</v>
      </c>
      <c r="D293" s="19" t="n">
        <v>1.660273361440759</v>
      </c>
      <c r="E293" s="19" t="n">
        <v>1.279087328009165</v>
      </c>
      <c r="F293" s="20">
        <f>B293/B292-1</f>
        <v/>
      </c>
      <c r="G293" s="20">
        <f>B293/MAX(B$2:B293)-1</f>
        <v/>
      </c>
      <c r="H293" s="20">
        <f>C293/C292-1</f>
        <v/>
      </c>
      <c r="I293" s="20">
        <f>C293/MAX(C$2:C293)-1</f>
        <v/>
      </c>
      <c r="J293" s="20">
        <f>D293/D292-1</f>
        <v/>
      </c>
      <c r="K293" s="20">
        <f>D293/MAX(D$2:D293)-1</f>
        <v/>
      </c>
      <c r="L293" s="20">
        <f>E293/E292-1</f>
        <v/>
      </c>
      <c r="M293" s="20">
        <f>E293/MAX(E$2:E293)-1</f>
        <v/>
      </c>
    </row>
    <row r="294">
      <c r="A294" s="11" t="n">
        <v>44096</v>
      </c>
      <c r="B294" s="19" t="n">
        <v>1.58699536184536</v>
      </c>
      <c r="C294" s="19" t="n">
        <v>1.553541512795988</v>
      </c>
      <c r="D294" s="19" t="n">
        <v>1.651436149523509</v>
      </c>
      <c r="E294" s="19" t="n">
        <v>1.262969754907249</v>
      </c>
      <c r="F294" s="20">
        <f>B294/B293-1</f>
        <v/>
      </c>
      <c r="G294" s="20">
        <f>B294/MAX(B$2:B294)-1</f>
        <v/>
      </c>
      <c r="H294" s="20">
        <f>C294/C293-1</f>
        <v/>
      </c>
      <c r="I294" s="20">
        <f>C294/MAX(C$2:C294)-1</f>
        <v/>
      </c>
      <c r="J294" s="20">
        <f>D294/D293-1</f>
        <v/>
      </c>
      <c r="K294" s="20">
        <f>D294/MAX(D$2:D294)-1</f>
        <v/>
      </c>
      <c r="L294" s="20">
        <f>E294/E293-1</f>
        <v/>
      </c>
      <c r="M294" s="20">
        <f>E294/MAX(E$2:E294)-1</f>
        <v/>
      </c>
    </row>
    <row r="295">
      <c r="A295" s="11" t="n">
        <v>44097</v>
      </c>
      <c r="B295" s="19" t="n">
        <v>1.611530326237689</v>
      </c>
      <c r="C295" s="19" t="n">
        <v>1.584137597484165</v>
      </c>
      <c r="D295" s="19" t="n">
        <v>1.680089736283349</v>
      </c>
      <c r="E295" s="19" t="n">
        <v>1.26941232047672</v>
      </c>
      <c r="F295" s="20">
        <f>B295/B294-1</f>
        <v/>
      </c>
      <c r="G295" s="20">
        <f>B295/MAX(B$2:B295)-1</f>
        <v/>
      </c>
      <c r="H295" s="20">
        <f>C295/C294-1</f>
        <v/>
      </c>
      <c r="I295" s="20">
        <f>C295/MAX(C$2:C295)-1</f>
        <v/>
      </c>
      <c r="J295" s="20">
        <f>D295/D294-1</f>
        <v/>
      </c>
      <c r="K295" s="20">
        <f>D295/MAX(D$2:D295)-1</f>
        <v/>
      </c>
      <c r="L295" s="20">
        <f>E295/E294-1</f>
        <v/>
      </c>
      <c r="M295" s="20">
        <f>E295/MAX(E$2:E295)-1</f>
        <v/>
      </c>
    </row>
    <row r="296">
      <c r="A296" s="11" t="n">
        <v>44098</v>
      </c>
      <c r="B296" s="19" t="n">
        <v>1.561185603358633</v>
      </c>
      <c r="C296" s="19" t="n">
        <v>1.539616972940967</v>
      </c>
      <c r="D296" s="19" t="n">
        <v>1.638721441487923</v>
      </c>
      <c r="E296" s="19" t="n">
        <v>1.241105205012703</v>
      </c>
      <c r="F296" s="20">
        <f>B296/B295-1</f>
        <v/>
      </c>
      <c r="G296" s="20">
        <f>B296/MAX(B$2:B296)-1</f>
        <v/>
      </c>
      <c r="H296" s="20">
        <f>C296/C295-1</f>
        <v/>
      </c>
      <c r="I296" s="20">
        <f>C296/MAX(C$2:C296)-1</f>
        <v/>
      </c>
      <c r="J296" s="20">
        <f>D296/D295-1</f>
        <v/>
      </c>
      <c r="K296" s="20">
        <f>D296/MAX(D$2:D296)-1</f>
        <v/>
      </c>
      <c r="L296" s="20">
        <f>E296/E295-1</f>
        <v/>
      </c>
      <c r="M296" s="20">
        <f>E296/MAX(E$2:E296)-1</f>
        <v/>
      </c>
    </row>
    <row r="297">
      <c r="A297" s="11" t="n">
        <v>44099</v>
      </c>
      <c r="B297" s="19" t="n">
        <v>1.559307961463735</v>
      </c>
      <c r="C297" s="19" t="n">
        <v>1.540891340825588</v>
      </c>
      <c r="D297" s="19" t="n">
        <v>1.641666640279471</v>
      </c>
      <c r="E297" s="19" t="n">
        <v>1.238996120325699</v>
      </c>
      <c r="F297" s="20">
        <f>B297/B296-1</f>
        <v/>
      </c>
      <c r="G297" s="20">
        <f>B297/MAX(B$2:B297)-1</f>
        <v/>
      </c>
      <c r="H297" s="20">
        <f>C297/C296-1</f>
        <v/>
      </c>
      <c r="I297" s="20">
        <f>C297/MAX(C$2:C297)-1</f>
        <v/>
      </c>
      <c r="J297" s="20">
        <f>D297/D296-1</f>
        <v/>
      </c>
      <c r="K297" s="20">
        <f>D297/MAX(D$2:D297)-1</f>
        <v/>
      </c>
      <c r="L297" s="20">
        <f>E297/E296-1</f>
        <v/>
      </c>
      <c r="M297" s="20">
        <f>E297/MAX(E$2:E297)-1</f>
        <v/>
      </c>
    </row>
    <row r="298">
      <c r="A298" s="11" t="n">
        <v>44102</v>
      </c>
      <c r="B298" s="19" t="n">
        <v>1.561630088920015</v>
      </c>
      <c r="C298" s="19" t="n">
        <v>1.539540974554249</v>
      </c>
      <c r="D298" s="19" t="n">
        <v>1.629272132788297</v>
      </c>
      <c r="E298" s="19" t="n">
        <v>1.232925527364165</v>
      </c>
      <c r="F298" s="20">
        <f>B298/B297-1</f>
        <v/>
      </c>
      <c r="G298" s="20">
        <f>B298/MAX(B$2:B298)-1</f>
        <v/>
      </c>
      <c r="H298" s="20">
        <f>C298/C297-1</f>
        <v/>
      </c>
      <c r="I298" s="20">
        <f>C298/MAX(C$2:C298)-1</f>
        <v/>
      </c>
      <c r="J298" s="20">
        <f>D298/D297-1</f>
        <v/>
      </c>
      <c r="K298" s="20">
        <f>D298/MAX(D$2:D298)-1</f>
        <v/>
      </c>
      <c r="L298" s="20">
        <f>E298/E297-1</f>
        <v/>
      </c>
      <c r="M298" s="20">
        <f>E298/MAX(E$2:E298)-1</f>
        <v/>
      </c>
    </row>
    <row r="299">
      <c r="A299" s="11" t="n">
        <v>44103</v>
      </c>
      <c r="B299" s="19" t="n">
        <v>1.573223593394522</v>
      </c>
      <c r="C299" s="19" t="n">
        <v>1.55680011197737</v>
      </c>
      <c r="D299" s="19" t="n">
        <v>1.656499453914289</v>
      </c>
      <c r="E299" s="19" t="n">
        <v>1.240569564457273</v>
      </c>
      <c r="F299" s="20">
        <f>B299/B298-1</f>
        <v/>
      </c>
      <c r="G299" s="20">
        <f>B299/MAX(B$2:B299)-1</f>
        <v/>
      </c>
      <c r="H299" s="20">
        <f>C299/C298-1</f>
        <v/>
      </c>
      <c r="I299" s="20">
        <f>C299/MAX(C$2:C299)-1</f>
        <v/>
      </c>
      <c r="J299" s="20">
        <f>D299/D298-1</f>
        <v/>
      </c>
      <c r="K299" s="20">
        <f>D299/MAX(D$2:D299)-1</f>
        <v/>
      </c>
      <c r="L299" s="20">
        <f>E299/E298-1</f>
        <v/>
      </c>
      <c r="M299" s="20">
        <f>E299/MAX(E$2:E299)-1</f>
        <v/>
      </c>
    </row>
    <row r="300">
      <c r="A300" s="11" t="n">
        <v>44104</v>
      </c>
      <c r="B300" s="19" t="n">
        <v>1.582212589828494</v>
      </c>
      <c r="C300" s="19" t="n">
        <v>1.558939947565923</v>
      </c>
      <c r="D300" s="19" t="n">
        <v>1.663852693015822</v>
      </c>
      <c r="E300" s="19" t="n">
        <v>1.239453646633462</v>
      </c>
      <c r="F300" s="20">
        <f>B300/B299-1</f>
        <v/>
      </c>
      <c r="G300" s="20">
        <f>B300/MAX(B$2:B300)-1</f>
        <v/>
      </c>
      <c r="H300" s="20">
        <f>C300/C299-1</f>
        <v/>
      </c>
      <c r="I300" s="20">
        <f>C300/MAX(C$2:C300)-1</f>
        <v/>
      </c>
      <c r="J300" s="20">
        <f>D300/D299-1</f>
        <v/>
      </c>
      <c r="K300" s="20">
        <f>D300/MAX(D$2:D300)-1</f>
        <v/>
      </c>
      <c r="L300" s="20">
        <f>E300/E299-1</f>
        <v/>
      </c>
      <c r="M300" s="20">
        <f>E300/MAX(E$2:E300)-1</f>
        <v/>
      </c>
    </row>
    <row r="301">
      <c r="A301" s="11" t="n">
        <v>44113</v>
      </c>
      <c r="B301" s="19" t="n">
        <v>1.660718764522018</v>
      </c>
      <c r="C301" s="19" t="n">
        <v>1.628453699786651</v>
      </c>
      <c r="D301" s="19" t="n">
        <v>1.727295761972932</v>
      </c>
      <c r="E301" s="19" t="n">
        <v>1.270565435561325</v>
      </c>
      <c r="F301" s="20">
        <f>B301/B300-1</f>
        <v/>
      </c>
      <c r="G301" s="20">
        <f>B301/MAX(B$2:B301)-1</f>
        <v/>
      </c>
      <c r="H301" s="20">
        <f>C301/C300-1</f>
        <v/>
      </c>
      <c r="I301" s="20">
        <f>C301/MAX(C$2:C301)-1</f>
        <v/>
      </c>
      <c r="J301" s="20">
        <f>D301/D300-1</f>
        <v/>
      </c>
      <c r="K301" s="20">
        <f>D301/MAX(D$2:D301)-1</f>
        <v/>
      </c>
      <c r="L301" s="20">
        <f>E301/E300-1</f>
        <v/>
      </c>
      <c r="M301" s="20">
        <f>E301/MAX(E$2:E301)-1</f>
        <v/>
      </c>
    </row>
    <row r="302">
      <c r="A302" s="11" t="n">
        <v>44116</v>
      </c>
      <c r="B302" s="19" t="n">
        <v>1.707024202274699</v>
      </c>
      <c r="C302" s="19" t="n">
        <v>1.664503390225501</v>
      </c>
      <c r="D302" s="19" t="n">
        <v>1.794795458412476</v>
      </c>
      <c r="E302" s="19" t="n">
        <v>1.309444012542916</v>
      </c>
      <c r="F302" s="20">
        <f>B302/B301-1</f>
        <v/>
      </c>
      <c r="G302" s="20">
        <f>B302/MAX(B$2:B302)-1</f>
        <v/>
      </c>
      <c r="H302" s="20">
        <f>C302/C301-1</f>
        <v/>
      </c>
      <c r="I302" s="20">
        <f>C302/MAX(C$2:C302)-1</f>
        <v/>
      </c>
      <c r="J302" s="20">
        <f>D302/D301-1</f>
        <v/>
      </c>
      <c r="K302" s="20">
        <f>D302/MAX(D$2:D302)-1</f>
        <v/>
      </c>
      <c r="L302" s="20">
        <f>E302/E301-1</f>
        <v/>
      </c>
      <c r="M302" s="20">
        <f>E302/MAX(E$2:E302)-1</f>
        <v/>
      </c>
    </row>
    <row r="303">
      <c r="A303" s="11" t="n">
        <v>44117</v>
      </c>
      <c r="B303" s="19" t="n">
        <v>1.709084335649567</v>
      </c>
      <c r="C303" s="19" t="n">
        <v>1.669276666114315</v>
      </c>
      <c r="D303" s="19" t="n">
        <v>1.799531324627971</v>
      </c>
      <c r="E303" s="19" t="n">
        <v>1.314026715072702</v>
      </c>
      <c r="F303" s="20">
        <f>B303/B302-1</f>
        <v/>
      </c>
      <c r="G303" s="20">
        <f>B303/MAX(B$2:B303)-1</f>
        <v/>
      </c>
      <c r="H303" s="20">
        <f>C303/C302-1</f>
        <v/>
      </c>
      <c r="I303" s="20">
        <f>C303/MAX(C$2:C303)-1</f>
        <v/>
      </c>
      <c r="J303" s="20">
        <f>D303/D302-1</f>
        <v/>
      </c>
      <c r="K303" s="20">
        <f>D303/MAX(D$2:D303)-1</f>
        <v/>
      </c>
      <c r="L303" s="20">
        <f>E303/E302-1</f>
        <v/>
      </c>
      <c r="M303" s="20">
        <f>E303/MAX(E$2:E303)-1</f>
        <v/>
      </c>
    </row>
    <row r="304">
      <c r="A304" s="11" t="n">
        <v>44118</v>
      </c>
      <c r="B304" s="19" t="n">
        <v>1.704159928331064</v>
      </c>
      <c r="C304" s="19" t="n">
        <v>1.650131085192027</v>
      </c>
      <c r="D304" s="19" t="n">
        <v>1.78630145236634</v>
      </c>
      <c r="E304" s="19" t="n">
        <v>1.305352313855608</v>
      </c>
      <c r="F304" s="20">
        <f>B304/B303-1</f>
        <v/>
      </c>
      <c r="G304" s="20">
        <f>B304/MAX(B$2:B304)-1</f>
        <v/>
      </c>
      <c r="H304" s="20">
        <f>C304/C303-1</f>
        <v/>
      </c>
      <c r="I304" s="20">
        <f>C304/MAX(C$2:C304)-1</f>
        <v/>
      </c>
      <c r="J304" s="20">
        <f>D304/D303-1</f>
        <v/>
      </c>
      <c r="K304" s="20">
        <f>D304/MAX(D$2:D304)-1</f>
        <v/>
      </c>
      <c r="L304" s="20">
        <f>E304/E303-1</f>
        <v/>
      </c>
      <c r="M304" s="20">
        <f>E304/MAX(E$2:E304)-1</f>
        <v/>
      </c>
    </row>
    <row r="305">
      <c r="A305" s="11" t="n">
        <v>44119</v>
      </c>
      <c r="B305" s="19" t="n">
        <v>1.680918199154743</v>
      </c>
      <c r="C305" s="19" t="n">
        <v>1.636697600735741</v>
      </c>
      <c r="D305" s="19" t="n">
        <v>1.769318222280181</v>
      </c>
      <c r="E305" s="19" t="n">
        <v>1.298824194586311</v>
      </c>
      <c r="F305" s="20">
        <f>B305/B304-1</f>
        <v/>
      </c>
      <c r="G305" s="20">
        <f>B305/MAX(B$2:B305)-1</f>
        <v/>
      </c>
      <c r="H305" s="20">
        <f>C305/C304-1</f>
        <v/>
      </c>
      <c r="I305" s="20">
        <f>C305/MAX(C$2:C305)-1</f>
        <v/>
      </c>
      <c r="J305" s="20">
        <f>D305/D304-1</f>
        <v/>
      </c>
      <c r="K305" s="20">
        <f>D305/MAX(D$2:D305)-1</f>
        <v/>
      </c>
      <c r="L305" s="20">
        <f>E305/E304-1</f>
        <v/>
      </c>
      <c r="M305" s="20">
        <f>E305/MAX(E$2:E305)-1</f>
        <v/>
      </c>
    </row>
    <row r="306">
      <c r="A306" s="11" t="n">
        <v>44120</v>
      </c>
      <c r="B306" s="19" t="n">
        <v>1.668981671554337</v>
      </c>
      <c r="C306" s="19" t="n">
        <v>1.618894064742448</v>
      </c>
      <c r="D306" s="19" t="n">
        <v>1.760616134346455</v>
      </c>
      <c r="E306" s="19" t="n">
        <v>1.296358016195687</v>
      </c>
      <c r="F306" s="20">
        <f>B306/B305-1</f>
        <v/>
      </c>
      <c r="G306" s="20">
        <f>B306/MAX(B$2:B306)-1</f>
        <v/>
      </c>
      <c r="H306" s="20">
        <f>C306/C305-1</f>
        <v/>
      </c>
      <c r="I306" s="20">
        <f>C306/MAX(C$2:C306)-1</f>
        <v/>
      </c>
      <c r="J306" s="20">
        <f>D306/D305-1</f>
        <v/>
      </c>
      <c r="K306" s="20">
        <f>D306/MAX(D$2:D306)-1</f>
        <v/>
      </c>
      <c r="L306" s="20">
        <f>E306/E305-1</f>
        <v/>
      </c>
      <c r="M306" s="20">
        <f>E306/MAX(E$2:E306)-1</f>
        <v/>
      </c>
    </row>
    <row r="307">
      <c r="A307" s="11" t="n">
        <v>44123</v>
      </c>
      <c r="B307" s="19" t="n">
        <v>1.644204169872514</v>
      </c>
      <c r="C307" s="19" t="n">
        <v>1.591499291844146</v>
      </c>
      <c r="D307" s="19" t="n">
        <v>1.738109945687396</v>
      </c>
      <c r="E307" s="19" t="n">
        <v>1.286764842636988</v>
      </c>
      <c r="F307" s="20">
        <f>B307/B306-1</f>
        <v/>
      </c>
      <c r="G307" s="20">
        <f>B307/MAX(B$2:B307)-1</f>
        <v/>
      </c>
      <c r="H307" s="20">
        <f>C307/C306-1</f>
        <v/>
      </c>
      <c r="I307" s="20">
        <f>C307/MAX(C$2:C307)-1</f>
        <v/>
      </c>
      <c r="J307" s="20">
        <f>D307/D306-1</f>
        <v/>
      </c>
      <c r="K307" s="20">
        <f>D307/MAX(D$2:D307)-1</f>
        <v/>
      </c>
      <c r="L307" s="20">
        <f>E307/E306-1</f>
        <v/>
      </c>
      <c r="M307" s="20">
        <f>E307/MAX(E$2:E307)-1</f>
        <v/>
      </c>
    </row>
    <row r="308">
      <c r="A308" s="11" t="n">
        <v>44124</v>
      </c>
      <c r="B308" s="19" t="n">
        <v>1.669483921661158</v>
      </c>
      <c r="C308" s="19" t="n">
        <v>1.613232906435644</v>
      </c>
      <c r="D308" s="19" t="n">
        <v>1.771011440174163</v>
      </c>
      <c r="E308" s="19" t="n">
        <v>1.29847454033485</v>
      </c>
      <c r="F308" s="20">
        <f>B308/B307-1</f>
        <v/>
      </c>
      <c r="G308" s="20">
        <f>B308/MAX(B$2:B308)-1</f>
        <v/>
      </c>
      <c r="H308" s="20">
        <f>C308/C307-1</f>
        <v/>
      </c>
      <c r="I308" s="20">
        <f>C308/MAX(C$2:C308)-1</f>
        <v/>
      </c>
      <c r="J308" s="20">
        <f>D308/D307-1</f>
        <v/>
      </c>
      <c r="K308" s="20">
        <f>D308/MAX(D$2:D308)-1</f>
        <v/>
      </c>
      <c r="L308" s="20">
        <f>E308/E307-1</f>
        <v/>
      </c>
      <c r="M308" s="20">
        <f>E308/MAX(E$2:E308)-1</f>
        <v/>
      </c>
    </row>
    <row r="309">
      <c r="A309" s="11" t="n">
        <v>44125</v>
      </c>
      <c r="B309" s="19" t="n">
        <v>1.645738779408834</v>
      </c>
      <c r="C309" s="19" t="n">
        <v>1.582986847228572</v>
      </c>
      <c r="D309" s="19" t="n">
        <v>1.745130253768786</v>
      </c>
      <c r="E309" s="19" t="n">
        <v>1.289383529796866</v>
      </c>
      <c r="F309" s="20">
        <f>B309/B308-1</f>
        <v/>
      </c>
      <c r="G309" s="20">
        <f>B309/MAX(B$2:B309)-1</f>
        <v/>
      </c>
      <c r="H309" s="20">
        <f>C309/C308-1</f>
        <v/>
      </c>
      <c r="I309" s="20">
        <f>C309/MAX(C$2:C309)-1</f>
        <v/>
      </c>
      <c r="J309" s="20">
        <f>D309/D308-1</f>
        <v/>
      </c>
      <c r="K309" s="20">
        <f>D309/MAX(D$2:D309)-1</f>
        <v/>
      </c>
      <c r="L309" s="20">
        <f>E309/E308-1</f>
        <v/>
      </c>
      <c r="M309" s="20">
        <f>E309/MAX(E$2:E309)-1</f>
        <v/>
      </c>
    </row>
    <row r="310">
      <c r="A310" s="11" t="n">
        <v>44126</v>
      </c>
      <c r="B310" s="19" t="n">
        <v>1.641593472490456</v>
      </c>
      <c r="C310" s="19" t="n">
        <v>1.570178906455366</v>
      </c>
      <c r="D310" s="19" t="n">
        <v>1.72771619078059</v>
      </c>
      <c r="E310" s="19" t="n">
        <v>1.284354460137556</v>
      </c>
      <c r="F310" s="20">
        <f>B310/B309-1</f>
        <v/>
      </c>
      <c r="G310" s="20">
        <f>B310/MAX(B$2:B310)-1</f>
        <v/>
      </c>
      <c r="H310" s="20">
        <f>C310/C309-1</f>
        <v/>
      </c>
      <c r="I310" s="20">
        <f>C310/MAX(C$2:C310)-1</f>
        <v/>
      </c>
      <c r="J310" s="20">
        <f>D310/D309-1</f>
        <v/>
      </c>
      <c r="K310" s="20">
        <f>D310/MAX(D$2:D310)-1</f>
        <v/>
      </c>
      <c r="L310" s="20">
        <f>E310/E309-1</f>
        <v/>
      </c>
      <c r="M310" s="20">
        <f>E310/MAX(E$2:E310)-1</f>
        <v/>
      </c>
    </row>
    <row r="311">
      <c r="A311" s="11" t="n">
        <v>44127</v>
      </c>
      <c r="B311" s="19" t="n">
        <v>1.610091061805171</v>
      </c>
      <c r="C311" s="19" t="n">
        <v>1.533947156590106</v>
      </c>
      <c r="D311" s="19" t="n">
        <v>1.68070881220978</v>
      </c>
      <c r="E311" s="19" t="n">
        <v>1.265216469459189</v>
      </c>
      <c r="F311" s="20">
        <f>B311/B310-1</f>
        <v/>
      </c>
      <c r="G311" s="20">
        <f>B311/MAX(B$2:B311)-1</f>
        <v/>
      </c>
      <c r="H311" s="20">
        <f>C311/C310-1</f>
        <v/>
      </c>
      <c r="I311" s="20">
        <f>C311/MAX(C$2:C311)-1</f>
        <v/>
      </c>
      <c r="J311" s="20">
        <f>D311/D310-1</f>
        <v/>
      </c>
      <c r="K311" s="20">
        <f>D311/MAX(D$2:D311)-1</f>
        <v/>
      </c>
      <c r="L311" s="20">
        <f>E311/E310-1</f>
        <v/>
      </c>
      <c r="M311" s="20">
        <f>E311/MAX(E$2:E311)-1</f>
        <v/>
      </c>
    </row>
    <row r="312">
      <c r="A312" s="11" t="n">
        <v>44130</v>
      </c>
      <c r="B312" s="19" t="n">
        <v>1.637100790396164</v>
      </c>
      <c r="C312" s="19" t="n">
        <v>1.562065838172017</v>
      </c>
      <c r="D312" s="19" t="n">
        <v>1.691629944844729</v>
      </c>
      <c r="E312" s="19" t="n">
        <v>1.26331940915871</v>
      </c>
      <c r="F312" s="20">
        <f>B312/B311-1</f>
        <v/>
      </c>
      <c r="G312" s="20">
        <f>B312/MAX(B$2:B312)-1</f>
        <v/>
      </c>
      <c r="H312" s="20">
        <f>C312/C311-1</f>
        <v/>
      </c>
      <c r="I312" s="20">
        <f>C312/MAX(C$2:C312)-1</f>
        <v/>
      </c>
      <c r="J312" s="20">
        <f>D312/D311-1</f>
        <v/>
      </c>
      <c r="K312" s="20">
        <f>D312/MAX(D$2:D312)-1</f>
        <v/>
      </c>
      <c r="L312" s="20">
        <f>E312/E311-1</f>
        <v/>
      </c>
      <c r="M312" s="20">
        <f>E312/MAX(E$2:E312)-1</f>
        <v/>
      </c>
    </row>
    <row r="313">
      <c r="A313" s="11" t="n">
        <v>44131</v>
      </c>
      <c r="B313" s="19" t="n">
        <v>1.644717878796434</v>
      </c>
      <c r="C313" s="19" t="n">
        <v>1.5719615015261</v>
      </c>
      <c r="D313" s="19" t="n">
        <v>1.712968677795343</v>
      </c>
      <c r="E313" s="19" t="n">
        <v>1.266603927286795</v>
      </c>
      <c r="F313" s="20">
        <f>B313/B312-1</f>
        <v/>
      </c>
      <c r="G313" s="20">
        <f>B313/MAX(B$2:B313)-1</f>
        <v/>
      </c>
      <c r="H313" s="20">
        <f>C313/C312-1</f>
        <v/>
      </c>
      <c r="I313" s="20">
        <f>C313/MAX(C$2:C313)-1</f>
        <v/>
      </c>
      <c r="J313" s="20">
        <f>D313/D312-1</f>
        <v/>
      </c>
      <c r="K313" s="20">
        <f>D313/MAX(D$2:D313)-1</f>
        <v/>
      </c>
      <c r="L313" s="20">
        <f>E313/E312-1</f>
        <v/>
      </c>
      <c r="M313" s="20">
        <f>E313/MAX(E$2:E313)-1</f>
        <v/>
      </c>
    </row>
    <row r="314">
      <c r="A314" s="11" t="n">
        <v>44132</v>
      </c>
      <c r="B314" s="19" t="n">
        <v>1.669806525204785</v>
      </c>
      <c r="C314" s="19" t="n">
        <v>1.591406795073477</v>
      </c>
      <c r="D314" s="19" t="n">
        <v>1.72571065619011</v>
      </c>
      <c r="E314" s="19" t="n">
        <v>1.273191562173362</v>
      </c>
      <c r="F314" s="20">
        <f>B314/B313-1</f>
        <v/>
      </c>
      <c r="G314" s="20">
        <f>B314/MAX(B$2:B314)-1</f>
        <v/>
      </c>
      <c r="H314" s="20">
        <f>C314/C313-1</f>
        <v/>
      </c>
      <c r="I314" s="20">
        <f>C314/MAX(C$2:C314)-1</f>
        <v/>
      </c>
      <c r="J314" s="20">
        <f>D314/D313-1</f>
        <v/>
      </c>
      <c r="K314" s="20">
        <f>D314/MAX(D$2:D314)-1</f>
        <v/>
      </c>
      <c r="L314" s="20">
        <f>E314/E313-1</f>
        <v/>
      </c>
      <c r="M314" s="20">
        <f>E314/MAX(E$2:E314)-1</f>
        <v/>
      </c>
    </row>
    <row r="315">
      <c r="A315" s="11" t="n">
        <v>44133</v>
      </c>
      <c r="B315" s="19" t="n">
        <v>1.678770395026298</v>
      </c>
      <c r="C315" s="19" t="n">
        <v>1.606183382664143</v>
      </c>
      <c r="D315" s="19" t="n">
        <v>1.74473619061645</v>
      </c>
      <c r="E315" s="19" t="n">
        <v>1.278030925802624</v>
      </c>
      <c r="F315" s="20">
        <f>B315/B314-1</f>
        <v/>
      </c>
      <c r="G315" s="20">
        <f>B315/MAX(B$2:B315)-1</f>
        <v/>
      </c>
      <c r="H315" s="20">
        <f>C315/C314-1</f>
        <v/>
      </c>
      <c r="I315" s="20">
        <f>C315/MAX(C$2:C315)-1</f>
        <v/>
      </c>
      <c r="J315" s="20">
        <f>D315/D314-1</f>
        <v/>
      </c>
      <c r="K315" s="20">
        <f>D315/MAX(D$2:D315)-1</f>
        <v/>
      </c>
      <c r="L315" s="20">
        <f>E315/E314-1</f>
        <v/>
      </c>
      <c r="M315" s="20">
        <f>E315/MAX(E$2:E315)-1</f>
        <v/>
      </c>
    </row>
    <row r="316">
      <c r="A316" s="11" t="n">
        <v>44134</v>
      </c>
      <c r="B316" s="19" t="n">
        <v>1.654050675887033</v>
      </c>
      <c r="C316" s="19" t="n">
        <v>1.57355318672539</v>
      </c>
      <c r="D316" s="19" t="n">
        <v>1.71626496630592</v>
      </c>
      <c r="E316" s="19" t="n">
        <v>1.253622083269788</v>
      </c>
      <c r="F316" s="20">
        <f>B316/B315-1</f>
        <v/>
      </c>
      <c r="G316" s="20">
        <f>B316/MAX(B$2:B316)-1</f>
        <v/>
      </c>
      <c r="H316" s="20">
        <f>C316/C315-1</f>
        <v/>
      </c>
      <c r="I316" s="20">
        <f>C316/MAX(C$2:C316)-1</f>
        <v/>
      </c>
      <c r="J316" s="20">
        <f>D316/D315-1</f>
        <v/>
      </c>
      <c r="K316" s="20">
        <f>D316/MAX(D$2:D316)-1</f>
        <v/>
      </c>
      <c r="L316" s="20">
        <f>E316/E315-1</f>
        <v/>
      </c>
      <c r="M316" s="20">
        <f>E316/MAX(E$2:E316)-1</f>
        <v/>
      </c>
    </row>
    <row r="317">
      <c r="A317" s="11" t="n">
        <v>44137</v>
      </c>
      <c r="B317" s="19" t="n">
        <v>1.692758965387867</v>
      </c>
      <c r="C317" s="19" t="n">
        <v>1.593033930153154</v>
      </c>
      <c r="D317" s="19" t="n">
        <v>1.750206353257002</v>
      </c>
      <c r="E317" s="19" t="n">
        <v>1.259640600066211</v>
      </c>
      <c r="F317" s="20">
        <f>B317/B316-1</f>
        <v/>
      </c>
      <c r="G317" s="20">
        <f>B317/MAX(B$2:B317)-1</f>
        <v/>
      </c>
      <c r="H317" s="20">
        <f>C317/C316-1</f>
        <v/>
      </c>
      <c r="I317" s="20">
        <f>C317/MAX(C$2:C317)-1</f>
        <v/>
      </c>
      <c r="J317" s="20">
        <f>D317/D316-1</f>
        <v/>
      </c>
      <c r="K317" s="20">
        <f>D317/MAX(D$2:D317)-1</f>
        <v/>
      </c>
      <c r="L317" s="20">
        <f>E317/E316-1</f>
        <v/>
      </c>
      <c r="M317" s="20">
        <f>E317/MAX(E$2:E317)-1</f>
        <v/>
      </c>
    </row>
    <row r="318">
      <c r="A318" s="11" t="n">
        <v>44138</v>
      </c>
      <c r="B318" s="19" t="n">
        <v>1.704600835612536</v>
      </c>
      <c r="C318" s="19" t="n">
        <v>1.609400663735277</v>
      </c>
      <c r="D318" s="19" t="n">
        <v>1.773422282093513</v>
      </c>
      <c r="E318" s="19" t="n">
        <v>1.278659559510038</v>
      </c>
      <c r="F318" s="20">
        <f>B318/B317-1</f>
        <v/>
      </c>
      <c r="G318" s="20">
        <f>B318/MAX(B$2:B318)-1</f>
        <v/>
      </c>
      <c r="H318" s="20">
        <f>C318/C317-1</f>
        <v/>
      </c>
      <c r="I318" s="20">
        <f>C318/MAX(C$2:C318)-1</f>
        <v/>
      </c>
      <c r="J318" s="20">
        <f>D318/D317-1</f>
        <v/>
      </c>
      <c r="K318" s="20">
        <f>D318/MAX(D$2:D318)-1</f>
        <v/>
      </c>
      <c r="L318" s="20">
        <f>E318/E317-1</f>
        <v/>
      </c>
      <c r="M318" s="20">
        <f>E318/MAX(E$2:E318)-1</f>
        <v/>
      </c>
    </row>
    <row r="319">
      <c r="A319" s="11" t="n">
        <v>44139</v>
      </c>
      <c r="B319" s="19" t="n">
        <v>1.719122770580659</v>
      </c>
      <c r="C319" s="19" t="n">
        <v>1.60796953715299</v>
      </c>
      <c r="D319" s="19" t="n">
        <v>1.777454611815161</v>
      </c>
      <c r="E319" s="19" t="n">
        <v>1.282877728884045</v>
      </c>
      <c r="F319" s="20">
        <f>B319/B318-1</f>
        <v/>
      </c>
      <c r="G319" s="20">
        <f>B319/MAX(B$2:B319)-1</f>
        <v/>
      </c>
      <c r="H319" s="20">
        <f>C319/C318-1</f>
        <v/>
      </c>
      <c r="I319" s="20">
        <f>C319/MAX(C$2:C319)-1</f>
        <v/>
      </c>
      <c r="J319" s="20">
        <f>D319/D318-1</f>
        <v/>
      </c>
      <c r="K319" s="20">
        <f>D319/MAX(D$2:D319)-1</f>
        <v/>
      </c>
      <c r="L319" s="20">
        <f>E319/E318-1</f>
        <v/>
      </c>
      <c r="M319" s="20">
        <f>E319/MAX(E$2:E319)-1</f>
        <v/>
      </c>
    </row>
    <row r="320">
      <c r="A320" s="11" t="n">
        <v>44140</v>
      </c>
      <c r="B320" s="19" t="n">
        <v>1.767561770099922</v>
      </c>
      <c r="C320" s="19" t="n">
        <v>1.640421425484424</v>
      </c>
      <c r="D320" s="19" t="n">
        <v>1.801574275185195</v>
      </c>
      <c r="E320" s="19" t="n">
        <v>1.303403177390017</v>
      </c>
      <c r="F320" s="20">
        <f>B320/B319-1</f>
        <v/>
      </c>
      <c r="G320" s="20">
        <f>B320/MAX(B$2:B320)-1</f>
        <v/>
      </c>
      <c r="H320" s="20">
        <f>C320/C319-1</f>
        <v/>
      </c>
      <c r="I320" s="20">
        <f>C320/MAX(C$2:C320)-1</f>
        <v/>
      </c>
      <c r="J320" s="20">
        <f>D320/D319-1</f>
        <v/>
      </c>
      <c r="K320" s="20">
        <f>D320/MAX(D$2:D320)-1</f>
        <v/>
      </c>
      <c r="L320" s="20">
        <f>E320/E319-1</f>
        <v/>
      </c>
      <c r="M320" s="20">
        <f>E320/MAX(E$2:E320)-1</f>
        <v/>
      </c>
    </row>
    <row r="321">
      <c r="A321" s="11" t="n">
        <v>44141</v>
      </c>
      <c r="B321" s="19" t="n">
        <v>1.752254061100549</v>
      </c>
      <c r="C321" s="19" t="n">
        <v>1.622532800158154</v>
      </c>
      <c r="D321" s="19" t="n">
        <v>1.766157380861649</v>
      </c>
      <c r="E321" s="19" t="n">
        <v>1.297146598124514</v>
      </c>
      <c r="F321" s="20">
        <f>B321/B320-1</f>
        <v/>
      </c>
      <c r="G321" s="20">
        <f>B321/MAX(B$2:B321)-1</f>
        <v/>
      </c>
      <c r="H321" s="20">
        <f>C321/C320-1</f>
        <v/>
      </c>
      <c r="I321" s="20">
        <f>C321/MAX(C$2:C321)-1</f>
        <v/>
      </c>
      <c r="J321" s="20">
        <f>D321/D320-1</f>
        <v/>
      </c>
      <c r="K321" s="20">
        <f>D321/MAX(D$2:D321)-1</f>
        <v/>
      </c>
      <c r="L321" s="20">
        <f>E321/E320-1</f>
        <v/>
      </c>
      <c r="M321" s="20">
        <f>E321/MAX(E$2:E321)-1</f>
        <v/>
      </c>
    </row>
    <row r="322">
      <c r="A322" s="11" t="n">
        <v>44144</v>
      </c>
      <c r="B322" s="19" t="n">
        <v>1.789141627568991</v>
      </c>
      <c r="C322" s="19" t="n">
        <v>1.655329278643034</v>
      </c>
      <c r="D322" s="19" t="n">
        <v>1.818453335084151</v>
      </c>
      <c r="E322" s="19" t="n">
        <v>1.324776723442086</v>
      </c>
      <c r="F322" s="20">
        <f>B322/B321-1</f>
        <v/>
      </c>
      <c r="G322" s="20">
        <f>B322/MAX(B$2:B322)-1</f>
        <v/>
      </c>
      <c r="H322" s="20">
        <f>C322/C321-1</f>
        <v/>
      </c>
      <c r="I322" s="20">
        <f>C322/MAX(C$2:C322)-1</f>
        <v/>
      </c>
      <c r="J322" s="20">
        <f>D322/D321-1</f>
        <v/>
      </c>
      <c r="K322" s="20">
        <f>D322/MAX(D$2:D322)-1</f>
        <v/>
      </c>
      <c r="L322" s="20">
        <f>E322/E321-1</f>
        <v/>
      </c>
      <c r="M322" s="20">
        <f>E322/MAX(E$2:E322)-1</f>
        <v/>
      </c>
    </row>
    <row r="323">
      <c r="A323" s="11" t="n">
        <v>44145</v>
      </c>
      <c r="B323" s="19" t="n">
        <v>1.756953341542352</v>
      </c>
      <c r="C323" s="19" t="n">
        <v>1.639720460617564</v>
      </c>
      <c r="D323" s="19" t="n">
        <v>1.792100474859669</v>
      </c>
      <c r="E323" s="19" t="n">
        <v>1.314443324393592</v>
      </c>
      <c r="F323" s="20">
        <f>B323/B322-1</f>
        <v/>
      </c>
      <c r="G323" s="20">
        <f>B323/MAX(B$2:B323)-1</f>
        <v/>
      </c>
      <c r="H323" s="20">
        <f>C323/C322-1</f>
        <v/>
      </c>
      <c r="I323" s="20">
        <f>C323/MAX(C$2:C323)-1</f>
        <v/>
      </c>
      <c r="J323" s="20">
        <f>D323/D322-1</f>
        <v/>
      </c>
      <c r="K323" s="20">
        <f>D323/MAX(D$2:D323)-1</f>
        <v/>
      </c>
      <c r="L323" s="20">
        <f>E323/E322-1</f>
        <v/>
      </c>
      <c r="M323" s="20">
        <f>E323/MAX(E$2:E323)-1</f>
        <v/>
      </c>
    </row>
    <row r="324">
      <c r="A324" s="11" t="n">
        <v>44146</v>
      </c>
      <c r="B324" s="19" t="n">
        <v>1.697331817793669</v>
      </c>
      <c r="C324" s="19" t="n">
        <v>1.597317353149351</v>
      </c>
      <c r="D324" s="19" t="n">
        <v>1.732846766365463</v>
      </c>
      <c r="E324" s="19" t="n">
        <v>1.297488812923816</v>
      </c>
      <c r="F324" s="20">
        <f>B324/B323-1</f>
        <v/>
      </c>
      <c r="G324" s="20">
        <f>B324/MAX(B$2:B324)-1</f>
        <v/>
      </c>
      <c r="H324" s="20">
        <f>C324/C323-1</f>
        <v/>
      </c>
      <c r="I324" s="20">
        <f>C324/MAX(C$2:C324)-1</f>
        <v/>
      </c>
      <c r="J324" s="20">
        <f>D324/D323-1</f>
        <v/>
      </c>
      <c r="K324" s="20">
        <f>D324/MAX(D$2:D324)-1</f>
        <v/>
      </c>
      <c r="L324" s="20">
        <f>E324/E323-1</f>
        <v/>
      </c>
      <c r="M324" s="20">
        <f>E324/MAX(E$2:E324)-1</f>
        <v/>
      </c>
    </row>
    <row r="325">
      <c r="A325" s="11" t="n">
        <v>44147</v>
      </c>
      <c r="B325" s="19" t="n">
        <v>1.720563155208873</v>
      </c>
      <c r="C325" s="19" t="n">
        <v>1.601476629413829</v>
      </c>
      <c r="D325" s="19" t="n">
        <v>1.74511545539852</v>
      </c>
      <c r="E325" s="19" t="n">
        <v>1.299824800901662</v>
      </c>
      <c r="F325" s="20">
        <f>B325/B324-1</f>
        <v/>
      </c>
      <c r="G325" s="20">
        <f>B325/MAX(B$2:B325)-1</f>
        <v/>
      </c>
      <c r="H325" s="20">
        <f>C325/C324-1</f>
        <v/>
      </c>
      <c r="I325" s="20">
        <f>C325/MAX(C$2:C325)-1</f>
        <v/>
      </c>
      <c r="J325" s="20">
        <f>D325/D324-1</f>
        <v/>
      </c>
      <c r="K325" s="20">
        <f>D325/MAX(D$2:D325)-1</f>
        <v/>
      </c>
      <c r="L325" s="20">
        <f>E325/E324-1</f>
        <v/>
      </c>
      <c r="M325" s="20">
        <f>E325/MAX(E$2:E325)-1</f>
        <v/>
      </c>
    </row>
    <row r="326">
      <c r="A326" s="11" t="n">
        <v>44148</v>
      </c>
      <c r="B326" s="19" t="n">
        <v>1.731954991553862</v>
      </c>
      <c r="C326" s="19" t="n">
        <v>1.589289422299225</v>
      </c>
      <c r="D326" s="19" t="n">
        <v>1.749188949145756</v>
      </c>
      <c r="E326" s="19" t="n">
        <v>1.292935868202665</v>
      </c>
      <c r="F326" s="20">
        <f>B326/B325-1</f>
        <v/>
      </c>
      <c r="G326" s="20">
        <f>B326/MAX(B$2:B326)-1</f>
        <v/>
      </c>
      <c r="H326" s="20">
        <f>C326/C325-1</f>
        <v/>
      </c>
      <c r="I326" s="20">
        <f>C326/MAX(C$2:C326)-1</f>
        <v/>
      </c>
      <c r="J326" s="20">
        <f>D326/D325-1</f>
        <v/>
      </c>
      <c r="K326" s="20">
        <f>D326/MAX(D$2:D326)-1</f>
        <v/>
      </c>
      <c r="L326" s="20">
        <f>E326/E325-1</f>
        <v/>
      </c>
      <c r="M326" s="20">
        <f>E326/MAX(E$2:E326)-1</f>
        <v/>
      </c>
    </row>
    <row r="327">
      <c r="A327" s="11" t="n">
        <v>44151</v>
      </c>
      <c r="B327" s="19" t="n">
        <v>1.742011656649902</v>
      </c>
      <c r="C327" s="19" t="n">
        <v>1.588634056464396</v>
      </c>
      <c r="D327" s="19" t="n">
        <v>1.752804727361999</v>
      </c>
      <c r="E327" s="19" t="n">
        <v>1.305478784542306</v>
      </c>
      <c r="F327" s="20">
        <f>B327/B326-1</f>
        <v/>
      </c>
      <c r="G327" s="20">
        <f>B327/MAX(B$2:B327)-1</f>
        <v/>
      </c>
      <c r="H327" s="20">
        <f>C327/C326-1</f>
        <v/>
      </c>
      <c r="I327" s="20">
        <f>C327/MAX(C$2:C327)-1</f>
        <v/>
      </c>
      <c r="J327" s="20">
        <f>D327/D326-1</f>
        <v/>
      </c>
      <c r="K327" s="20">
        <f>D327/MAX(D$2:D327)-1</f>
        <v/>
      </c>
      <c r="L327" s="20">
        <f>E327/E326-1</f>
        <v/>
      </c>
      <c r="M327" s="20">
        <f>E327/MAX(E$2:E327)-1</f>
        <v/>
      </c>
    </row>
    <row r="328">
      <c r="A328" s="11" t="n">
        <v>44152</v>
      </c>
      <c r="B328" s="19" t="n">
        <v>1.713584642045441</v>
      </c>
      <c r="C328" s="19" t="n">
        <v>1.56554007075065</v>
      </c>
      <c r="D328" s="19" t="n">
        <v>1.717704414767429</v>
      </c>
      <c r="E328" s="19" t="n">
        <v>1.298429903621897</v>
      </c>
      <c r="F328" s="20">
        <f>B328/B327-1</f>
        <v/>
      </c>
      <c r="G328" s="20">
        <f>B328/MAX(B$2:B328)-1</f>
        <v/>
      </c>
      <c r="H328" s="20">
        <f>C328/C327-1</f>
        <v/>
      </c>
      <c r="I328" s="20">
        <f>C328/MAX(C$2:C328)-1</f>
        <v/>
      </c>
      <c r="J328" s="20">
        <f>D328/D327-1</f>
        <v/>
      </c>
      <c r="K328" s="20">
        <f>D328/MAX(D$2:D328)-1</f>
        <v/>
      </c>
      <c r="L328" s="20">
        <f>E328/E327-1</f>
        <v/>
      </c>
      <c r="M328" s="20">
        <f>E328/MAX(E$2:E328)-1</f>
        <v/>
      </c>
    </row>
    <row r="329">
      <c r="A329" s="11" t="n">
        <v>44153</v>
      </c>
      <c r="B329" s="19" t="n">
        <v>1.700273893108366</v>
      </c>
      <c r="C329" s="19" t="n">
        <v>1.554975813994429</v>
      </c>
      <c r="D329" s="19" t="n">
        <v>1.693523037669866</v>
      </c>
      <c r="E329" s="19" t="n">
        <v>1.298299713209119</v>
      </c>
      <c r="F329" s="20">
        <f>B329/B328-1</f>
        <v/>
      </c>
      <c r="G329" s="20">
        <f>B329/MAX(B$2:B329)-1</f>
        <v/>
      </c>
      <c r="H329" s="20">
        <f>C329/C328-1</f>
        <v/>
      </c>
      <c r="I329" s="20">
        <f>C329/MAX(C$2:C329)-1</f>
        <v/>
      </c>
      <c r="J329" s="20">
        <f>D329/D328-1</f>
        <v/>
      </c>
      <c r="K329" s="20">
        <f>D329/MAX(D$2:D329)-1</f>
        <v/>
      </c>
      <c r="L329" s="20">
        <f>E329/E328-1</f>
        <v/>
      </c>
      <c r="M329" s="20">
        <f>E329/MAX(E$2:E329)-1</f>
        <v/>
      </c>
    </row>
    <row r="330">
      <c r="A330" s="11" t="n">
        <v>44154</v>
      </c>
      <c r="B330" s="19" t="n">
        <v>1.711651084535197</v>
      </c>
      <c r="C330" s="19" t="n">
        <v>1.570535329269023</v>
      </c>
      <c r="D330" s="19" t="n">
        <v>1.709348117572987</v>
      </c>
      <c r="E330" s="19" t="n">
        <v>1.306349200444879</v>
      </c>
      <c r="F330" s="20">
        <f>B330/B329-1</f>
        <v/>
      </c>
      <c r="G330" s="20">
        <f>B330/MAX(B$2:B330)-1</f>
        <v/>
      </c>
      <c r="H330" s="20">
        <f>C330/C329-1</f>
        <v/>
      </c>
      <c r="I330" s="20">
        <f>C330/MAX(C$2:C330)-1</f>
        <v/>
      </c>
      <c r="J330" s="20">
        <f>D330/D329-1</f>
        <v/>
      </c>
      <c r="K330" s="20">
        <f>D330/MAX(D$2:D330)-1</f>
        <v/>
      </c>
      <c r="L330" s="20">
        <f>E330/E329-1</f>
        <v/>
      </c>
      <c r="M330" s="20">
        <f>E330/MAX(E$2:E330)-1</f>
        <v/>
      </c>
    </row>
    <row r="331">
      <c r="A331" s="11" t="n">
        <v>44155</v>
      </c>
      <c r="B331" s="19" t="n">
        <v>1.729501303392969</v>
      </c>
      <c r="C331" s="19" t="n">
        <v>1.579161146161492</v>
      </c>
      <c r="D331" s="19" t="n">
        <v>1.723520626634081</v>
      </c>
      <c r="E331" s="19" t="n">
        <v>1.313011229853034</v>
      </c>
      <c r="F331" s="20">
        <f>B331/B330-1</f>
        <v/>
      </c>
      <c r="G331" s="20">
        <f>B331/MAX(B$2:B331)-1</f>
        <v/>
      </c>
      <c r="H331" s="20">
        <f>C331/C330-1</f>
        <v/>
      </c>
      <c r="I331" s="20">
        <f>C331/MAX(C$2:C331)-1</f>
        <v/>
      </c>
      <c r="J331" s="20">
        <f>D331/D330-1</f>
        <v/>
      </c>
      <c r="K331" s="20">
        <f>D331/MAX(D$2:D331)-1</f>
        <v/>
      </c>
      <c r="L331" s="20">
        <f>E331/E330-1</f>
        <v/>
      </c>
      <c r="M331" s="20">
        <f>E331/MAX(E$2:E331)-1</f>
        <v/>
      </c>
    </row>
    <row r="332">
      <c r="A332" s="11" t="n">
        <v>44158</v>
      </c>
      <c r="B332" s="19" t="n">
        <v>1.747596470908316</v>
      </c>
      <c r="C332" s="19" t="n">
        <v>1.580676881074309</v>
      </c>
      <c r="D332" s="19" t="n">
        <v>1.735970127195547</v>
      </c>
      <c r="E332" s="19" t="n">
        <v>1.324434508642784</v>
      </c>
      <c r="F332" s="20">
        <f>B332/B331-1</f>
        <v/>
      </c>
      <c r="G332" s="20">
        <f>B332/MAX(B$2:B332)-1</f>
        <v/>
      </c>
      <c r="H332" s="20">
        <f>C332/C331-1</f>
        <v/>
      </c>
      <c r="I332" s="20">
        <f>C332/MAX(C$2:C332)-1</f>
        <v/>
      </c>
      <c r="J332" s="20">
        <f>D332/D331-1</f>
        <v/>
      </c>
      <c r="K332" s="20">
        <f>D332/MAX(D$2:D332)-1</f>
        <v/>
      </c>
      <c r="L332" s="20">
        <f>E332/E331-1</f>
        <v/>
      </c>
      <c r="M332" s="20">
        <f>E332/MAX(E$2:E332)-1</f>
        <v/>
      </c>
    </row>
    <row r="333">
      <c r="A333" s="11" t="n">
        <v>44159</v>
      </c>
      <c r="B333" s="19" t="n">
        <v>1.743889425565627</v>
      </c>
      <c r="C333" s="19" t="n">
        <v>1.577287978329878</v>
      </c>
      <c r="D333" s="19" t="n">
        <v>1.728500245917896</v>
      </c>
      <c r="E333" s="19" t="n">
        <v>1.320197740638379</v>
      </c>
      <c r="F333" s="20">
        <f>B333/B332-1</f>
        <v/>
      </c>
      <c r="G333" s="20">
        <f>B333/MAX(B$2:B333)-1</f>
        <v/>
      </c>
      <c r="H333" s="20">
        <f>C333/C332-1</f>
        <v/>
      </c>
      <c r="I333" s="20">
        <f>C333/MAX(C$2:C333)-1</f>
        <v/>
      </c>
      <c r="J333" s="20">
        <f>D333/D332-1</f>
        <v/>
      </c>
      <c r="K333" s="20">
        <f>D333/MAX(D$2:D333)-1</f>
        <v/>
      </c>
      <c r="L333" s="20">
        <f>E333/E332-1</f>
        <v/>
      </c>
      <c r="M333" s="20">
        <f>E333/MAX(E$2:E333)-1</f>
        <v/>
      </c>
    </row>
    <row r="334">
      <c r="A334" s="11" t="n">
        <v>44160</v>
      </c>
      <c r="B334" s="19" t="n">
        <v>1.7102292999903</v>
      </c>
      <c r="C334" s="19" t="n">
        <v>1.549354145988572</v>
      </c>
      <c r="D334" s="19" t="n">
        <v>1.690200771234191</v>
      </c>
      <c r="E334" s="19" t="n">
        <v>1.300658019543441</v>
      </c>
      <c r="F334" s="20">
        <f>B334/B333-1</f>
        <v/>
      </c>
      <c r="G334" s="20">
        <f>B334/MAX(B$2:B334)-1</f>
        <v/>
      </c>
      <c r="H334" s="20">
        <f>C334/C333-1</f>
        <v/>
      </c>
      <c r="I334" s="20">
        <f>C334/MAX(C$2:C334)-1</f>
        <v/>
      </c>
      <c r="J334" s="20">
        <f>D334/D333-1</f>
        <v/>
      </c>
      <c r="K334" s="20">
        <f>D334/MAX(D$2:D334)-1</f>
        <v/>
      </c>
      <c r="L334" s="20">
        <f>E334/E333-1</f>
        <v/>
      </c>
      <c r="M334" s="20">
        <f>E334/MAX(E$2:E334)-1</f>
        <v/>
      </c>
    </row>
    <row r="335">
      <c r="A335" s="11" t="n">
        <v>44161</v>
      </c>
      <c r="B335" s="19" t="n">
        <v>1.702798213566538</v>
      </c>
      <c r="C335" s="19" t="n">
        <v>1.540695620929667</v>
      </c>
      <c r="D335" s="19" t="n">
        <v>1.686229832131553</v>
      </c>
      <c r="E335" s="19" t="n">
        <v>1.299356115415661</v>
      </c>
      <c r="F335" s="20">
        <f>B335/B334-1</f>
        <v/>
      </c>
      <c r="G335" s="20">
        <f>B335/MAX(B$2:B335)-1</f>
        <v/>
      </c>
      <c r="H335" s="20">
        <f>C335/C334-1</f>
        <v/>
      </c>
      <c r="I335" s="20">
        <f>C335/MAX(C$2:C335)-1</f>
        <v/>
      </c>
      <c r="J335" s="20">
        <f>D335/D334-1</f>
        <v/>
      </c>
      <c r="K335" s="20">
        <f>D335/MAX(D$2:D335)-1</f>
        <v/>
      </c>
      <c r="L335" s="20">
        <f>E335/E334-1</f>
        <v/>
      </c>
      <c r="M335" s="20">
        <f>E335/MAX(E$2:E335)-1</f>
        <v/>
      </c>
    </row>
    <row r="336">
      <c r="A336" s="11" t="n">
        <v>44162</v>
      </c>
      <c r="B336" s="19" t="n">
        <v>1.707155422095278</v>
      </c>
      <c r="C336" s="19" t="n">
        <v>1.552125633991289</v>
      </c>
      <c r="D336" s="19" t="n">
        <v>1.692436488335104</v>
      </c>
      <c r="E336" s="19" t="n">
        <v>1.308190464854168</v>
      </c>
      <c r="F336" s="20">
        <f>B336/B335-1</f>
        <v/>
      </c>
      <c r="G336" s="20">
        <f>B336/MAX(B$2:B336)-1</f>
        <v/>
      </c>
      <c r="H336" s="20">
        <f>C336/C335-1</f>
        <v/>
      </c>
      <c r="I336" s="20">
        <f>C336/MAX(C$2:C336)-1</f>
        <v/>
      </c>
      <c r="J336" s="20">
        <f>D336/D335-1</f>
        <v/>
      </c>
      <c r="K336" s="20">
        <f>D336/MAX(D$2:D336)-1</f>
        <v/>
      </c>
      <c r="L336" s="20">
        <f>E336/E335-1</f>
        <v/>
      </c>
      <c r="M336" s="20">
        <f>E336/MAX(E$2:E336)-1</f>
        <v/>
      </c>
    </row>
    <row r="337">
      <c r="A337" s="11" t="n">
        <v>44165</v>
      </c>
      <c r="B337" s="19" t="n">
        <v>1.70372986230042</v>
      </c>
      <c r="C337" s="19" t="n">
        <v>1.554699093286336</v>
      </c>
      <c r="D337" s="19" t="n">
        <v>1.70077171885397</v>
      </c>
      <c r="E337" s="19" t="n">
        <v>1.30374167246324</v>
      </c>
      <c r="F337" s="20">
        <f>B337/B336-1</f>
        <v/>
      </c>
      <c r="G337" s="20">
        <f>B337/MAX(B$2:B337)-1</f>
        <v/>
      </c>
      <c r="H337" s="20">
        <f>C337/C336-1</f>
        <v/>
      </c>
      <c r="I337" s="20">
        <f>C337/MAX(C$2:C337)-1</f>
        <v/>
      </c>
      <c r="J337" s="20">
        <f>D337/D336-1</f>
        <v/>
      </c>
      <c r="K337" s="20">
        <f>D337/MAX(D$2:D337)-1</f>
        <v/>
      </c>
      <c r="L337" s="20">
        <f>E337/E336-1</f>
        <v/>
      </c>
      <c r="M337" s="20">
        <f>E337/MAX(E$2:E337)-1</f>
        <v/>
      </c>
    </row>
    <row r="338">
      <c r="A338" s="11" t="n">
        <v>44166</v>
      </c>
      <c r="B338" s="19" t="n">
        <v>1.726968110542695</v>
      </c>
      <c r="C338" s="19" t="n">
        <v>1.582553512123546</v>
      </c>
      <c r="D338" s="19" t="n">
        <v>1.743779918637397</v>
      </c>
      <c r="E338" s="19" t="n">
        <v>1.327730185949107</v>
      </c>
      <c r="F338" s="20">
        <f>B338/B337-1</f>
        <v/>
      </c>
      <c r="G338" s="20">
        <f>B338/MAX(B$2:B338)-1</f>
        <v/>
      </c>
      <c r="H338" s="20">
        <f>C338/C337-1</f>
        <v/>
      </c>
      <c r="I338" s="20">
        <f>C338/MAX(C$2:C338)-1</f>
        <v/>
      </c>
      <c r="J338" s="20">
        <f>D338/D337-1</f>
        <v/>
      </c>
      <c r="K338" s="20">
        <f>D338/MAX(D$2:D338)-1</f>
        <v/>
      </c>
      <c r="L338" s="20">
        <f>E338/E337-1</f>
        <v/>
      </c>
      <c r="M338" s="20">
        <f>E338/MAX(E$2:E338)-1</f>
        <v/>
      </c>
    </row>
    <row r="339">
      <c r="A339" s="11" t="n">
        <v>44167</v>
      </c>
      <c r="B339" s="19" t="n">
        <v>1.710817594793242</v>
      </c>
      <c r="C339" s="19" t="n">
        <v>1.580271973213936</v>
      </c>
      <c r="D339" s="19" t="n">
        <v>1.733782100912349</v>
      </c>
      <c r="E339" s="19" t="n">
        <v>1.329322228711078</v>
      </c>
      <c r="F339" s="20">
        <f>B339/B338-1</f>
        <v/>
      </c>
      <c r="G339" s="20">
        <f>B339/MAX(B$2:B339)-1</f>
        <v/>
      </c>
      <c r="H339" s="20">
        <f>C339/C338-1</f>
        <v/>
      </c>
      <c r="I339" s="20">
        <f>C339/MAX(C$2:C339)-1</f>
        <v/>
      </c>
      <c r="J339" s="20">
        <f>D339/D338-1</f>
        <v/>
      </c>
      <c r="K339" s="20">
        <f>D339/MAX(D$2:D339)-1</f>
        <v/>
      </c>
      <c r="L339" s="20">
        <f>E339/E338-1</f>
        <v/>
      </c>
      <c r="M339" s="20">
        <f>E339/MAX(E$2:E339)-1</f>
        <v/>
      </c>
    </row>
    <row r="340">
      <c r="A340" s="11" t="n">
        <v>44168</v>
      </c>
      <c r="B340" s="19" t="n">
        <v>1.713192292269512</v>
      </c>
      <c r="C340" s="19" t="n">
        <v>1.581897232384067</v>
      </c>
      <c r="D340" s="19" t="n">
        <v>1.7528751650196</v>
      </c>
      <c r="E340" s="19" t="n">
        <v>1.32759255608417</v>
      </c>
      <c r="F340" s="20">
        <f>B340/B339-1</f>
        <v/>
      </c>
      <c r="G340" s="20">
        <f>B340/MAX(B$2:B340)-1</f>
        <v/>
      </c>
      <c r="H340" s="20">
        <f>C340/C339-1</f>
        <v/>
      </c>
      <c r="I340" s="20">
        <f>C340/MAX(C$2:C340)-1</f>
        <v/>
      </c>
      <c r="J340" s="20">
        <f>D340/D339-1</f>
        <v/>
      </c>
      <c r="K340" s="20">
        <f>D340/MAX(D$2:D340)-1</f>
        <v/>
      </c>
      <c r="L340" s="20">
        <f>E340/E339-1</f>
        <v/>
      </c>
      <c r="M340" s="20">
        <f>E340/MAX(E$2:E340)-1</f>
        <v/>
      </c>
    </row>
    <row r="341">
      <c r="A341" s="11" t="n">
        <v>44169</v>
      </c>
      <c r="B341" s="19" t="n">
        <v>1.724152412116069</v>
      </c>
      <c r="C341" s="19" t="n">
        <v>1.589764893218659</v>
      </c>
      <c r="D341" s="19" t="n">
        <v>1.764713602745957</v>
      </c>
      <c r="E341" s="19" t="n">
        <v>1.331178372024684</v>
      </c>
      <c r="F341" s="20">
        <f>B341/B340-1</f>
        <v/>
      </c>
      <c r="G341" s="20">
        <f>B341/MAX(B$2:B341)-1</f>
        <v/>
      </c>
      <c r="H341" s="20">
        <f>C341/C340-1</f>
        <v/>
      </c>
      <c r="I341" s="20">
        <f>C341/MAX(C$2:C341)-1</f>
        <v/>
      </c>
      <c r="J341" s="20">
        <f>D341/D340-1</f>
        <v/>
      </c>
      <c r="K341" s="20">
        <f>D341/MAX(D$2:D341)-1</f>
        <v/>
      </c>
      <c r="L341" s="20">
        <f>E341/E340-1</f>
        <v/>
      </c>
      <c r="M341" s="20">
        <f>E341/MAX(E$2:E341)-1</f>
        <v/>
      </c>
    </row>
    <row r="342">
      <c r="A342" s="11" t="n">
        <v>44172</v>
      </c>
      <c r="B342" s="19" t="n">
        <v>1.722125647121274</v>
      </c>
      <c r="C342" s="19" t="n">
        <v>1.58574914808454</v>
      </c>
      <c r="D342" s="19" t="n">
        <v>1.761899650635681</v>
      </c>
      <c r="E342" s="19" t="n">
        <v>1.323590130822766</v>
      </c>
      <c r="F342" s="20">
        <f>B342/B341-1</f>
        <v/>
      </c>
      <c r="G342" s="20">
        <f>B342/MAX(B$2:B342)-1</f>
        <v/>
      </c>
      <c r="H342" s="20">
        <f>C342/C341-1</f>
        <v/>
      </c>
      <c r="I342" s="20">
        <f>C342/MAX(C$2:C342)-1</f>
        <v/>
      </c>
      <c r="J342" s="20">
        <f>D342/D341-1</f>
        <v/>
      </c>
      <c r="K342" s="20">
        <f>D342/MAX(D$2:D342)-1</f>
        <v/>
      </c>
      <c r="L342" s="20">
        <f>E342/E341-1</f>
        <v/>
      </c>
      <c r="M342" s="20">
        <f>E342/MAX(E$2:E342)-1</f>
        <v/>
      </c>
    </row>
    <row r="343">
      <c r="A343" s="11" t="n">
        <v>44173</v>
      </c>
      <c r="B343" s="19" t="n">
        <v>1.741777429656337</v>
      </c>
      <c r="C343" s="19" t="n">
        <v>1.591475626523726</v>
      </c>
      <c r="D343" s="19" t="n">
        <v>1.774693972610866</v>
      </c>
      <c r="E343" s="19" t="n">
        <v>1.32226590833851</v>
      </c>
      <c r="F343" s="20">
        <f>B343/B342-1</f>
        <v/>
      </c>
      <c r="G343" s="20">
        <f>B343/MAX(B$2:B343)-1</f>
        <v/>
      </c>
      <c r="H343" s="20">
        <f>C343/C342-1</f>
        <v/>
      </c>
      <c r="I343" s="20">
        <f>C343/MAX(C$2:C343)-1</f>
        <v/>
      </c>
      <c r="J343" s="20">
        <f>D343/D342-1</f>
        <v/>
      </c>
      <c r="K343" s="20">
        <f>D343/MAX(D$2:D343)-1</f>
        <v/>
      </c>
      <c r="L343" s="20">
        <f>E343/E342-1</f>
        <v/>
      </c>
      <c r="M343" s="20">
        <f>E343/MAX(E$2:E343)-1</f>
        <v/>
      </c>
    </row>
    <row r="344">
      <c r="A344" s="11" t="n">
        <v>44174</v>
      </c>
      <c r="B344" s="19" t="n">
        <v>1.7243186618066</v>
      </c>
      <c r="C344" s="19" t="n">
        <v>1.571180113050005</v>
      </c>
      <c r="D344" s="19" t="n">
        <v>1.743380879613836</v>
      </c>
      <c r="E344" s="19" t="n">
        <v>1.30190412778003</v>
      </c>
      <c r="F344" s="20">
        <f>B344/B343-1</f>
        <v/>
      </c>
      <c r="G344" s="20">
        <f>B344/MAX(B$2:B344)-1</f>
        <v/>
      </c>
      <c r="H344" s="20">
        <f>C344/C343-1</f>
        <v/>
      </c>
      <c r="I344" s="20">
        <f>C344/MAX(C$2:C344)-1</f>
        <v/>
      </c>
      <c r="J344" s="20">
        <f>D344/D343-1</f>
        <v/>
      </c>
      <c r="K344" s="20">
        <f>D344/MAX(D$2:D344)-1</f>
        <v/>
      </c>
      <c r="L344" s="20">
        <f>E344/E343-1</f>
        <v/>
      </c>
      <c r="M344" s="20">
        <f>E344/MAX(E$2:E344)-1</f>
        <v/>
      </c>
    </row>
    <row r="345">
      <c r="A345" s="11" t="n">
        <v>44175</v>
      </c>
      <c r="B345" s="19" t="n">
        <v>1.731298841231748</v>
      </c>
      <c r="C345" s="19" t="n">
        <v>1.577525545438738</v>
      </c>
      <c r="D345" s="19" t="n">
        <v>1.756770238241483</v>
      </c>
      <c r="E345" s="19" t="n">
        <v>1.302815460669476</v>
      </c>
      <c r="F345" s="20">
        <f>B345/B344-1</f>
        <v/>
      </c>
      <c r="G345" s="20">
        <f>B345/MAX(B$2:B345)-1</f>
        <v/>
      </c>
      <c r="H345" s="20">
        <f>C345/C344-1</f>
        <v/>
      </c>
      <c r="I345" s="20">
        <f>C345/MAX(C$2:C345)-1</f>
        <v/>
      </c>
      <c r="J345" s="20">
        <f>D345/D344-1</f>
        <v/>
      </c>
      <c r="K345" s="20">
        <f>D345/MAX(D$2:D345)-1</f>
        <v/>
      </c>
      <c r="L345" s="20">
        <f>E345/E344-1</f>
        <v/>
      </c>
      <c r="M345" s="20">
        <f>E345/MAX(E$2:E345)-1</f>
        <v/>
      </c>
    </row>
    <row r="346">
      <c r="A346" s="11" t="n">
        <v>44176</v>
      </c>
      <c r="B346" s="19" t="n">
        <v>1.712769716887645</v>
      </c>
      <c r="C346" s="19" t="n">
        <v>1.553774173679883</v>
      </c>
      <c r="D346" s="19" t="n">
        <v>1.736889758668307</v>
      </c>
      <c r="E346" s="19" t="n">
        <v>1.287181451957878</v>
      </c>
      <c r="F346" s="20">
        <f>B346/B345-1</f>
        <v/>
      </c>
      <c r="G346" s="20">
        <f>B346/MAX(B$2:B346)-1</f>
        <v/>
      </c>
      <c r="H346" s="20">
        <f>C346/C345-1</f>
        <v/>
      </c>
      <c r="I346" s="20">
        <f>C346/MAX(C$2:C346)-1</f>
        <v/>
      </c>
      <c r="J346" s="20">
        <f>D346/D345-1</f>
        <v/>
      </c>
      <c r="K346" s="20">
        <f>D346/MAX(D$2:D346)-1</f>
        <v/>
      </c>
      <c r="L346" s="20">
        <f>E346/E345-1</f>
        <v/>
      </c>
      <c r="M346" s="20">
        <f>E346/MAX(E$2:E346)-1</f>
        <v/>
      </c>
    </row>
    <row r="347">
      <c r="A347" s="11" t="n">
        <v>44179</v>
      </c>
      <c r="B347" s="19" t="n">
        <v>1.737497400700054</v>
      </c>
      <c r="C347" s="19" t="n">
        <v>1.572844718220349</v>
      </c>
      <c r="D347" s="19" t="n">
        <v>1.761976033490069</v>
      </c>
      <c r="E347" s="19" t="n">
        <v>1.29953838199355</v>
      </c>
      <c r="F347" s="20">
        <f>B347/B346-1</f>
        <v/>
      </c>
      <c r="G347" s="20">
        <f>B347/MAX(B$2:B347)-1</f>
        <v/>
      </c>
      <c r="H347" s="20">
        <f>C347/C346-1</f>
        <v/>
      </c>
      <c r="I347" s="20">
        <f>C347/MAX(C$2:C347)-1</f>
        <v/>
      </c>
      <c r="J347" s="20">
        <f>D347/D346-1</f>
        <v/>
      </c>
      <c r="K347" s="20">
        <f>D347/MAX(D$2:D347)-1</f>
        <v/>
      </c>
      <c r="L347" s="20">
        <f>E347/E346-1</f>
        <v/>
      </c>
      <c r="M347" s="20">
        <f>E347/MAX(E$2:E347)-1</f>
        <v/>
      </c>
    </row>
    <row r="348">
      <c r="A348" s="11" t="n">
        <v>44180</v>
      </c>
      <c r="B348" s="19" t="n">
        <v>1.757224385532452</v>
      </c>
      <c r="C348" s="19" t="n">
        <v>1.596829857168728</v>
      </c>
      <c r="D348" s="19" t="n">
        <v>1.782818859482495</v>
      </c>
      <c r="E348" s="19" t="n">
        <v>1.301878089697475</v>
      </c>
      <c r="F348" s="20">
        <f>B348/B347-1</f>
        <v/>
      </c>
      <c r="G348" s="20">
        <f>B348/MAX(B$2:B348)-1</f>
        <v/>
      </c>
      <c r="H348" s="20">
        <f>C348/C347-1</f>
        <v/>
      </c>
      <c r="I348" s="20">
        <f>C348/MAX(C$2:C348)-1</f>
        <v/>
      </c>
      <c r="J348" s="20">
        <f>D348/D347-1</f>
        <v/>
      </c>
      <c r="K348" s="20">
        <f>D348/MAX(D$2:D348)-1</f>
        <v/>
      </c>
      <c r="L348" s="20">
        <f>E348/E347-1</f>
        <v/>
      </c>
      <c r="M348" s="20">
        <f>E348/MAX(E$2:E348)-1</f>
        <v/>
      </c>
    </row>
    <row r="349">
      <c r="A349" s="11" t="n">
        <v>44181</v>
      </c>
      <c r="B349" s="19" t="n">
        <v>1.750175644248367</v>
      </c>
      <c r="C349" s="19" t="n">
        <v>1.585817642833076</v>
      </c>
      <c r="D349" s="19" t="n">
        <v>1.783972550767942</v>
      </c>
      <c r="E349" s="19" t="n">
        <v>1.298883710203581</v>
      </c>
      <c r="F349" s="20">
        <f>B349/B348-1</f>
        <v/>
      </c>
      <c r="G349" s="20">
        <f>B349/MAX(B$2:B349)-1</f>
        <v/>
      </c>
      <c r="H349" s="20">
        <f>C349/C348-1</f>
        <v/>
      </c>
      <c r="I349" s="20">
        <f>C349/MAX(C$2:C349)-1</f>
        <v/>
      </c>
      <c r="J349" s="20">
        <f>D349/D348-1</f>
        <v/>
      </c>
      <c r="K349" s="20">
        <f>D349/MAX(D$2:D349)-1</f>
        <v/>
      </c>
      <c r="L349" s="20">
        <f>E349/E348-1</f>
        <v/>
      </c>
      <c r="M349" s="20">
        <f>E349/MAX(E$2:E349)-1</f>
        <v/>
      </c>
    </row>
    <row r="350">
      <c r="A350" s="11" t="n">
        <v>44182</v>
      </c>
      <c r="B350" s="19" t="n">
        <v>1.769903007521286</v>
      </c>
      <c r="C350" s="19" t="n">
        <v>1.597992007182329</v>
      </c>
      <c r="D350" s="19" t="n">
        <v>1.8001120798838</v>
      </c>
      <c r="E350" s="19" t="n">
        <v>1.313301368487225</v>
      </c>
      <c r="F350" s="20">
        <f>B350/B349-1</f>
        <v/>
      </c>
      <c r="G350" s="20">
        <f>B350/MAX(B$2:B350)-1</f>
        <v/>
      </c>
      <c r="H350" s="20">
        <f>C350/C349-1</f>
        <v/>
      </c>
      <c r="I350" s="20">
        <f>C350/MAX(C$2:C350)-1</f>
        <v/>
      </c>
      <c r="J350" s="20">
        <f>D350/D349-1</f>
        <v/>
      </c>
      <c r="K350" s="20">
        <f>D350/MAX(D$2:D350)-1</f>
        <v/>
      </c>
      <c r="L350" s="20">
        <f>E350/E349-1</f>
        <v/>
      </c>
      <c r="M350" s="20">
        <f>E350/MAX(E$2:E350)-1</f>
        <v/>
      </c>
    </row>
    <row r="351">
      <c r="A351" s="11" t="n">
        <v>44183</v>
      </c>
      <c r="B351" s="19" t="n">
        <v>1.769981263027405</v>
      </c>
      <c r="C351" s="19" t="n">
        <v>1.600525495173982</v>
      </c>
      <c r="D351" s="19" t="n">
        <v>1.79695524501093</v>
      </c>
      <c r="E351" s="19" t="n">
        <v>1.308967887604757</v>
      </c>
      <c r="F351" s="20">
        <f>B351/B350-1</f>
        <v/>
      </c>
      <c r="G351" s="20">
        <f>B351/MAX(B$2:B351)-1</f>
        <v/>
      </c>
      <c r="H351" s="20">
        <f>C351/C350-1</f>
        <v/>
      </c>
      <c r="I351" s="20">
        <f>C351/MAX(C$2:C351)-1</f>
        <v/>
      </c>
      <c r="J351" s="20">
        <f>D351/D350-1</f>
        <v/>
      </c>
      <c r="K351" s="20">
        <f>D351/MAX(D$2:D351)-1</f>
        <v/>
      </c>
      <c r="L351" s="20">
        <f>E351/E350-1</f>
        <v/>
      </c>
      <c r="M351" s="20">
        <f>E351/MAX(E$2:E351)-1</f>
        <v/>
      </c>
    </row>
    <row r="352">
      <c r="A352" s="11" t="n">
        <v>44186</v>
      </c>
      <c r="B352" s="19" t="n">
        <v>1.816651905677597</v>
      </c>
      <c r="C352" s="19" t="n">
        <v>1.643176848005391</v>
      </c>
      <c r="D352" s="19" t="n">
        <v>1.862683531294385</v>
      </c>
      <c r="E352" s="19" t="n">
        <v>1.325985634417882</v>
      </c>
      <c r="F352" s="20">
        <f>B352/B351-1</f>
        <v/>
      </c>
      <c r="G352" s="20">
        <f>B352/MAX(B$2:B352)-1</f>
        <v/>
      </c>
      <c r="H352" s="20">
        <f>C352/C351-1</f>
        <v/>
      </c>
      <c r="I352" s="20">
        <f>C352/MAX(C$2:C352)-1</f>
        <v/>
      </c>
      <c r="J352" s="20">
        <f>D352/D351-1</f>
        <v/>
      </c>
      <c r="K352" s="20">
        <f>D352/MAX(D$2:D352)-1</f>
        <v/>
      </c>
      <c r="L352" s="20">
        <f>E352/E351-1</f>
        <v/>
      </c>
      <c r="M352" s="20">
        <f>E352/MAX(E$2:E352)-1</f>
        <v/>
      </c>
    </row>
    <row r="353">
      <c r="A353" s="11" t="n">
        <v>44187</v>
      </c>
      <c r="B353" s="19" t="n">
        <v>1.785638289951595</v>
      </c>
      <c r="C353" s="19" t="n">
        <v>1.622399610580418</v>
      </c>
      <c r="D353" s="19" t="n">
        <v>1.817000316064755</v>
      </c>
      <c r="E353" s="19" t="n">
        <v>1.301721861202141</v>
      </c>
      <c r="F353" s="20">
        <f>B353/B352-1</f>
        <v/>
      </c>
      <c r="G353" s="20">
        <f>B353/MAX(B$2:B353)-1</f>
        <v/>
      </c>
      <c r="H353" s="20">
        <f>C353/C352-1</f>
        <v/>
      </c>
      <c r="I353" s="20">
        <f>C353/MAX(C$2:C353)-1</f>
        <v/>
      </c>
      <c r="J353" s="20">
        <f>D353/D352-1</f>
        <v/>
      </c>
      <c r="K353" s="20">
        <f>D353/MAX(D$2:D353)-1</f>
        <v/>
      </c>
      <c r="L353" s="20">
        <f>E353/E352-1</f>
        <v/>
      </c>
      <c r="M353" s="20">
        <f>E353/MAX(E$2:E353)-1</f>
        <v/>
      </c>
    </row>
    <row r="354">
      <c r="A354" s="11" t="n">
        <v>44188</v>
      </c>
      <c r="B354" s="19" t="n">
        <v>1.826873697951159</v>
      </c>
      <c r="C354" s="19" t="n">
        <v>1.651983569918396</v>
      </c>
      <c r="D354" s="19" t="n">
        <v>1.837175922961106</v>
      </c>
      <c r="E354" s="19" t="n">
        <v>1.312397475049937</v>
      </c>
      <c r="F354" s="20">
        <f>B354/B353-1</f>
        <v/>
      </c>
      <c r="G354" s="20">
        <f>B354/MAX(B$2:B354)-1</f>
        <v/>
      </c>
      <c r="H354" s="20">
        <f>C354/C353-1</f>
        <v/>
      </c>
      <c r="I354" s="20">
        <f>C354/MAX(C$2:C354)-1</f>
        <v/>
      </c>
      <c r="J354" s="20">
        <f>D354/D353-1</f>
        <v/>
      </c>
      <c r="K354" s="20">
        <f>D354/MAX(D$2:D354)-1</f>
        <v/>
      </c>
      <c r="L354" s="20">
        <f>E354/E353-1</f>
        <v/>
      </c>
      <c r="M354" s="20">
        <f>E354/MAX(E$2:E354)-1</f>
        <v/>
      </c>
    </row>
    <row r="355">
      <c r="A355" s="11" t="n">
        <v>44189</v>
      </c>
      <c r="B355" s="19" t="n">
        <v>1.804573871511784</v>
      </c>
      <c r="C355" s="19" t="n">
        <v>1.638641812628864</v>
      </c>
      <c r="D355" s="19" t="n">
        <v>1.822818789691055</v>
      </c>
      <c r="E355" s="19" t="n">
        <v>1.30137220695068</v>
      </c>
      <c r="F355" s="20">
        <f>B355/B354-1</f>
        <v/>
      </c>
      <c r="G355" s="20">
        <f>B355/MAX(B$2:B355)-1</f>
        <v/>
      </c>
      <c r="H355" s="20">
        <f>C355/C354-1</f>
        <v/>
      </c>
      <c r="I355" s="20">
        <f>C355/MAX(C$2:C355)-1</f>
        <v/>
      </c>
      <c r="J355" s="20">
        <f>D355/D354-1</f>
        <v/>
      </c>
      <c r="K355" s="20">
        <f>D355/MAX(D$2:D355)-1</f>
        <v/>
      </c>
      <c r="L355" s="20">
        <f>E355/E354-1</f>
        <v/>
      </c>
      <c r="M355" s="20">
        <f>E355/MAX(E$2:E355)-1</f>
        <v/>
      </c>
    </row>
    <row r="356">
      <c r="A356" s="11" t="n">
        <v>44190</v>
      </c>
      <c r="B356" s="19" t="n">
        <v>1.831622684194593</v>
      </c>
      <c r="C356" s="19" t="n">
        <v>1.661657491144144</v>
      </c>
      <c r="D356" s="19" t="n">
        <v>1.835773761222932</v>
      </c>
      <c r="E356" s="19" t="n">
        <v>1.313346005200177</v>
      </c>
      <c r="F356" s="20">
        <f>B356/B355-1</f>
        <v/>
      </c>
      <c r="G356" s="20">
        <f>B356/MAX(B$2:B356)-1</f>
        <v/>
      </c>
      <c r="H356" s="20">
        <f>C356/C355-1</f>
        <v/>
      </c>
      <c r="I356" s="20">
        <f>C356/MAX(C$2:C356)-1</f>
        <v/>
      </c>
      <c r="J356" s="20">
        <f>D356/D355-1</f>
        <v/>
      </c>
      <c r="K356" s="20">
        <f>D356/MAX(D$2:D356)-1</f>
        <v/>
      </c>
      <c r="L356" s="20">
        <f>E356/E355-1</f>
        <v/>
      </c>
      <c r="M356" s="20">
        <f>E356/MAX(E$2:E356)-1</f>
        <v/>
      </c>
    </row>
    <row r="357">
      <c r="A357" s="11" t="n">
        <v>44193</v>
      </c>
      <c r="B357" s="19" t="n">
        <v>1.808637608125589</v>
      </c>
      <c r="C357" s="19" t="n">
        <v>1.638213672350272</v>
      </c>
      <c r="D357" s="19" t="n">
        <v>1.837072334369241</v>
      </c>
      <c r="E357" s="19" t="n">
        <v>1.31255742327135</v>
      </c>
      <c r="F357" s="20">
        <f>B357/B356-1</f>
        <v/>
      </c>
      <c r="G357" s="20">
        <f>B357/MAX(B$2:B357)-1</f>
        <v/>
      </c>
      <c r="H357" s="20">
        <f>C357/C356-1</f>
        <v/>
      </c>
      <c r="I357" s="20">
        <f>C357/MAX(C$2:C357)-1</f>
        <v/>
      </c>
      <c r="J357" s="20">
        <f>D357/D356-1</f>
        <v/>
      </c>
      <c r="K357" s="20">
        <f>D357/MAX(D$2:D357)-1</f>
        <v/>
      </c>
      <c r="L357" s="20">
        <f>E357/E356-1</f>
        <v/>
      </c>
      <c r="M357" s="20">
        <f>E357/MAX(E$2:E357)-1</f>
        <v/>
      </c>
    </row>
    <row r="358">
      <c r="A358" s="11" t="n">
        <v>44194</v>
      </c>
      <c r="B358" s="19" t="n">
        <v>1.794647789758463</v>
      </c>
      <c r="C358" s="19" t="n">
        <v>1.631763092826498</v>
      </c>
      <c r="D358" s="19" t="n">
        <v>1.81780685955513</v>
      </c>
      <c r="E358" s="19" t="n">
        <v>1.305471345090148</v>
      </c>
      <c r="F358" s="20">
        <f>B358/B357-1</f>
        <v/>
      </c>
      <c r="G358" s="20">
        <f>B358/MAX(B$2:B358)-1</f>
        <v/>
      </c>
      <c r="H358" s="20">
        <f>C358/C357-1</f>
        <v/>
      </c>
      <c r="I358" s="20">
        <f>C358/MAX(C$2:C358)-1</f>
        <v/>
      </c>
      <c r="J358" s="20">
        <f>D358/D357-1</f>
        <v/>
      </c>
      <c r="K358" s="20">
        <f>D358/MAX(D$2:D358)-1</f>
        <v/>
      </c>
      <c r="L358" s="20">
        <f>E358/E357-1</f>
        <v/>
      </c>
      <c r="M358" s="20">
        <f>E358/MAX(E$2:E358)-1</f>
        <v/>
      </c>
    </row>
    <row r="359">
      <c r="A359" s="11" t="n">
        <v>44195</v>
      </c>
      <c r="B359" s="19" t="n">
        <v>1.844114538027473</v>
      </c>
      <c r="C359" s="19" t="n">
        <v>1.665099304157809</v>
      </c>
      <c r="D359" s="19" t="n">
        <v>1.87437676405136</v>
      </c>
      <c r="E359" s="19" t="n">
        <v>1.322050164225906</v>
      </c>
      <c r="F359" s="20">
        <f>B359/B358-1</f>
        <v/>
      </c>
      <c r="G359" s="20">
        <f>B359/MAX(B$2:B359)-1</f>
        <v/>
      </c>
      <c r="H359" s="20">
        <f>C359/C358-1</f>
        <v/>
      </c>
      <c r="I359" s="20">
        <f>C359/MAX(C$2:C359)-1</f>
        <v/>
      </c>
      <c r="J359" s="20">
        <f>D359/D358-1</f>
        <v/>
      </c>
      <c r="K359" s="20">
        <f>D359/MAX(D$2:D359)-1</f>
        <v/>
      </c>
      <c r="L359" s="20">
        <f>E359/E358-1</f>
        <v/>
      </c>
      <c r="M359" s="20">
        <f>E359/MAX(E$2:E359)-1</f>
        <v/>
      </c>
    </row>
    <row r="360">
      <c r="A360" s="11" t="n">
        <v>44196</v>
      </c>
      <c r="B360" s="19" t="n">
        <v>1.880642196521834</v>
      </c>
      <c r="C360" s="19" t="n">
        <v>1.696973652850432</v>
      </c>
      <c r="D360" s="19" t="n">
        <v>1.916845372604546</v>
      </c>
      <c r="E360" s="19" t="n">
        <v>1.345845251955646</v>
      </c>
      <c r="F360" s="20">
        <f>B360/B359-1</f>
        <v/>
      </c>
      <c r="G360" s="20">
        <f>B360/MAX(B$2:B360)-1</f>
        <v/>
      </c>
      <c r="H360" s="20">
        <f>C360/C359-1</f>
        <v/>
      </c>
      <c r="I360" s="20">
        <f>C360/MAX(C$2:C360)-1</f>
        <v/>
      </c>
      <c r="J360" s="20">
        <f>D360/D359-1</f>
        <v/>
      </c>
      <c r="K360" s="20">
        <f>D360/MAX(D$2:D360)-1</f>
        <v/>
      </c>
      <c r="L360" s="20">
        <f>E360/E359-1</f>
        <v/>
      </c>
      <c r="M360" s="20">
        <f>E360/MAX(E$2:E360)-1</f>
        <v/>
      </c>
    </row>
    <row r="361">
      <c r="A361" s="11" t="n">
        <v>44200</v>
      </c>
      <c r="B361" s="19" t="n">
        <v>1.937764849457952</v>
      </c>
      <c r="C361" s="19" t="n">
        <v>1.732932722428158</v>
      </c>
      <c r="D361" s="19" t="n">
        <v>1.989127979860258</v>
      </c>
      <c r="E361" s="19" t="n">
        <v>1.367110925951413</v>
      </c>
      <c r="F361" s="20">
        <f>B361/B360-1</f>
        <v/>
      </c>
      <c r="G361" s="20">
        <f>B361/MAX(B$2:B361)-1</f>
        <v/>
      </c>
      <c r="H361" s="20">
        <f>C361/C360-1</f>
        <v/>
      </c>
      <c r="I361" s="20">
        <f>C361/MAX(C$2:C361)-1</f>
        <v/>
      </c>
      <c r="J361" s="20">
        <f>D361/D360-1</f>
        <v/>
      </c>
      <c r="K361" s="20">
        <f>D361/MAX(D$2:D361)-1</f>
        <v/>
      </c>
      <c r="L361" s="20">
        <f>E361/E360-1</f>
        <v/>
      </c>
      <c r="M361" s="20">
        <f>E361/MAX(E$2:E361)-1</f>
        <v/>
      </c>
    </row>
    <row r="362">
      <c r="A362" s="11" t="n">
        <v>44201</v>
      </c>
      <c r="B362" s="19" t="n">
        <v>1.958567623371708</v>
      </c>
      <c r="C362" s="19" t="n">
        <v>1.769932537001714</v>
      </c>
      <c r="D362" s="19" t="n">
        <v>2.001965533755567</v>
      </c>
      <c r="E362" s="19" t="n">
        <v>1.38269657822398</v>
      </c>
      <c r="F362" s="20">
        <f>B362/B361-1</f>
        <v/>
      </c>
      <c r="G362" s="20">
        <f>B362/MAX(B$2:B362)-1</f>
        <v/>
      </c>
      <c r="H362" s="20">
        <f>C362/C361-1</f>
        <v/>
      </c>
      <c r="I362" s="20">
        <f>C362/MAX(C$2:C362)-1</f>
        <v/>
      </c>
      <c r="J362" s="20">
        <f>D362/D361-1</f>
        <v/>
      </c>
      <c r="K362" s="20">
        <f>D362/MAX(D$2:D362)-1</f>
        <v/>
      </c>
      <c r="L362" s="20">
        <f>E362/E361-1</f>
        <v/>
      </c>
      <c r="M362" s="20">
        <f>E362/MAX(E$2:E362)-1</f>
        <v/>
      </c>
    </row>
    <row r="363">
      <c r="A363" s="11" t="n">
        <v>44202</v>
      </c>
      <c r="B363" s="19" t="n">
        <v>1.956556563938407</v>
      </c>
      <c r="C363" s="19" t="n">
        <v>1.771143316362765</v>
      </c>
      <c r="D363" s="19" t="n">
        <v>2.013025086080957</v>
      </c>
      <c r="E363" s="19" t="n">
        <v>1.385322704836016</v>
      </c>
      <c r="F363" s="20">
        <f>B363/B362-1</f>
        <v/>
      </c>
      <c r="G363" s="20">
        <f>B363/MAX(B$2:B363)-1</f>
        <v/>
      </c>
      <c r="H363" s="20">
        <f>C363/C362-1</f>
        <v/>
      </c>
      <c r="I363" s="20">
        <f>C363/MAX(C$2:C363)-1</f>
        <v/>
      </c>
      <c r="J363" s="20">
        <f>D363/D362-1</f>
        <v/>
      </c>
      <c r="K363" s="20">
        <f>D363/MAX(D$2:D363)-1</f>
        <v/>
      </c>
      <c r="L363" s="20">
        <f>E363/E362-1</f>
        <v/>
      </c>
      <c r="M363" s="20">
        <f>E363/MAX(E$2:E363)-1</f>
        <v/>
      </c>
    </row>
    <row r="364">
      <c r="A364" s="11" t="n">
        <v>44203</v>
      </c>
      <c r="B364" s="19" t="n">
        <v>1.965156403296203</v>
      </c>
      <c r="C364" s="19" t="n">
        <v>1.787069547903394</v>
      </c>
      <c r="D364" s="19" t="n">
        <v>2.043595481831382</v>
      </c>
      <c r="E364" s="19" t="n">
        <v>1.391419335880106</v>
      </c>
      <c r="F364" s="20">
        <f>B364/B363-1</f>
        <v/>
      </c>
      <c r="G364" s="20">
        <f>B364/MAX(B$2:B364)-1</f>
        <v/>
      </c>
      <c r="H364" s="20">
        <f>C364/C363-1</f>
        <v/>
      </c>
      <c r="I364" s="20">
        <f>C364/MAX(C$2:C364)-1</f>
        <v/>
      </c>
      <c r="J364" s="20">
        <f>D364/D363-1</f>
        <v/>
      </c>
      <c r="K364" s="20">
        <f>D364/MAX(D$2:D364)-1</f>
        <v/>
      </c>
      <c r="L364" s="20">
        <f>E364/E363-1</f>
        <v/>
      </c>
      <c r="M364" s="20">
        <f>E364/MAX(E$2:E364)-1</f>
        <v/>
      </c>
    </row>
    <row r="365">
      <c r="A365" s="11" t="n">
        <v>44204</v>
      </c>
      <c r="B365" s="19" t="n">
        <v>1.96543077577569</v>
      </c>
      <c r="C365" s="19" t="n">
        <v>1.789141081144391</v>
      </c>
      <c r="D365" s="19" t="n">
        <v>2.036087538369945</v>
      </c>
      <c r="E365" s="19" t="n">
        <v>1.387941391995894</v>
      </c>
      <c r="F365" s="20">
        <f>B365/B364-1</f>
        <v/>
      </c>
      <c r="G365" s="20">
        <f>B365/MAX(B$2:B365)-1</f>
        <v/>
      </c>
      <c r="H365" s="20">
        <f>C365/C364-1</f>
        <v/>
      </c>
      <c r="I365" s="20">
        <f>C365/MAX(C$2:C365)-1</f>
        <v/>
      </c>
      <c r="J365" s="20">
        <f>D365/D364-1</f>
        <v/>
      </c>
      <c r="K365" s="20">
        <f>D365/MAX(D$2:D365)-1</f>
        <v/>
      </c>
      <c r="L365" s="20">
        <f>E365/E364-1</f>
        <v/>
      </c>
      <c r="M365" s="20">
        <f>E365/MAX(E$2:E365)-1</f>
        <v/>
      </c>
    </row>
    <row r="366">
      <c r="A366" s="11" t="n">
        <v>44207</v>
      </c>
      <c r="B366" s="19" t="n">
        <v>1.936584947232993</v>
      </c>
      <c r="C366" s="19" t="n">
        <v>1.777816551919524</v>
      </c>
      <c r="D366" s="19" t="n">
        <v>1.998659358124244</v>
      </c>
      <c r="E366" s="19" t="n">
        <v>1.370038350375878</v>
      </c>
      <c r="F366" s="20">
        <f>B366/B365-1</f>
        <v/>
      </c>
      <c r="G366" s="20">
        <f>B366/MAX(B$2:B366)-1</f>
        <v/>
      </c>
      <c r="H366" s="20">
        <f>C366/C365-1</f>
        <v/>
      </c>
      <c r="I366" s="20">
        <f>C366/MAX(C$2:C366)-1</f>
        <v/>
      </c>
      <c r="J366" s="20">
        <f>D366/D365-1</f>
        <v/>
      </c>
      <c r="K366" s="20">
        <f>D366/MAX(D$2:D366)-1</f>
        <v/>
      </c>
      <c r="L366" s="20">
        <f>E366/E365-1</f>
        <v/>
      </c>
      <c r="M366" s="20">
        <f>E366/MAX(E$2:E366)-1</f>
        <v/>
      </c>
    </row>
    <row r="367">
      <c r="A367" s="11" t="n">
        <v>44208</v>
      </c>
      <c r="B367" s="19" t="n">
        <v>1.979351176587811</v>
      </c>
      <c r="C367" s="19" t="n">
        <v>1.825071098174283</v>
      </c>
      <c r="D367" s="19" t="n">
        <v>2.055196111686208</v>
      </c>
      <c r="E367" s="19" t="n">
        <v>1.399219601468548</v>
      </c>
      <c r="F367" s="20">
        <f>B367/B366-1</f>
        <v/>
      </c>
      <c r="G367" s="20">
        <f>B367/MAX(B$2:B367)-1</f>
        <v/>
      </c>
      <c r="H367" s="20">
        <f>C367/C366-1</f>
        <v/>
      </c>
      <c r="I367" s="20">
        <f>C367/MAX(C$2:C367)-1</f>
        <v/>
      </c>
      <c r="J367" s="20">
        <f>D367/D366-1</f>
        <v/>
      </c>
      <c r="K367" s="20">
        <f>D367/MAX(D$2:D367)-1</f>
        <v/>
      </c>
      <c r="L367" s="20">
        <f>E367/E366-1</f>
        <v/>
      </c>
      <c r="M367" s="20">
        <f>E367/MAX(E$2:E367)-1</f>
        <v/>
      </c>
    </row>
    <row r="368">
      <c r="A368" s="11" t="n">
        <v>44209</v>
      </c>
      <c r="B368" s="19" t="n">
        <v>1.960383904182071</v>
      </c>
      <c r="C368" s="19" t="n">
        <v>1.817259570325324</v>
      </c>
      <c r="D368" s="19" t="n">
        <v>2.022851850154934</v>
      </c>
      <c r="E368" s="19" t="n">
        <v>1.389284213110547</v>
      </c>
      <c r="F368" s="20">
        <f>B368/B367-1</f>
        <v/>
      </c>
      <c r="G368" s="20">
        <f>B368/MAX(B$2:B368)-1</f>
        <v/>
      </c>
      <c r="H368" s="20">
        <f>C368/C367-1</f>
        <v/>
      </c>
      <c r="I368" s="20">
        <f>C368/MAX(C$2:C368)-1</f>
        <v/>
      </c>
      <c r="J368" s="20">
        <f>D368/D367-1</f>
        <v/>
      </c>
      <c r="K368" s="20">
        <f>D368/MAX(D$2:D368)-1</f>
        <v/>
      </c>
      <c r="L368" s="20">
        <f>E368/E367-1</f>
        <v/>
      </c>
      <c r="M368" s="20">
        <f>E368/MAX(E$2:E368)-1</f>
        <v/>
      </c>
    </row>
    <row r="369">
      <c r="A369" s="11" t="n">
        <v>44210</v>
      </c>
      <c r="B369" s="19" t="n">
        <v>1.949611200044752</v>
      </c>
      <c r="C369" s="19" t="n">
        <v>1.791407853278861</v>
      </c>
      <c r="D369" s="19" t="n">
        <v>1.99627908227099</v>
      </c>
      <c r="E369" s="19" t="n">
        <v>1.372474770957867</v>
      </c>
      <c r="F369" s="20">
        <f>B369/B368-1</f>
        <v/>
      </c>
      <c r="G369" s="20">
        <f>B369/MAX(B$2:B369)-1</f>
        <v/>
      </c>
      <c r="H369" s="20">
        <f>C369/C368-1</f>
        <v/>
      </c>
      <c r="I369" s="20">
        <f>C369/MAX(C$2:C369)-1</f>
        <v/>
      </c>
      <c r="J369" s="20">
        <f>D369/D368-1</f>
        <v/>
      </c>
      <c r="K369" s="20">
        <f>D369/MAX(D$2:D369)-1</f>
        <v/>
      </c>
      <c r="L369" s="20">
        <f>E369/E368-1</f>
        <v/>
      </c>
      <c r="M369" s="20">
        <f>E369/MAX(E$2:E369)-1</f>
        <v/>
      </c>
    </row>
    <row r="370">
      <c r="A370" s="11" t="n">
        <v>44211</v>
      </c>
      <c r="B370" s="19" t="n">
        <v>1.936257921163952</v>
      </c>
      <c r="C370" s="19" t="n">
        <v>1.778029491703069</v>
      </c>
      <c r="D370" s="19" t="n">
        <v>1.996774924607473</v>
      </c>
      <c r="E370" s="19" t="n">
        <v>1.374531779479759</v>
      </c>
      <c r="F370" s="20">
        <f>B370/B369-1</f>
        <v/>
      </c>
      <c r="G370" s="20">
        <f>B370/MAX(B$2:B370)-1</f>
        <v/>
      </c>
      <c r="H370" s="20">
        <f>C370/C369-1</f>
        <v/>
      </c>
      <c r="I370" s="20">
        <f>C370/MAX(C$2:C370)-1</f>
        <v/>
      </c>
      <c r="J370" s="20">
        <f>D370/D369-1</f>
        <v/>
      </c>
      <c r="K370" s="20">
        <f>D370/MAX(D$2:D370)-1</f>
        <v/>
      </c>
      <c r="L370" s="20">
        <f>E370/E369-1</f>
        <v/>
      </c>
      <c r="M370" s="20">
        <f>E370/MAX(E$2:E370)-1</f>
        <v/>
      </c>
    </row>
    <row r="371">
      <c r="A371" s="11" t="n">
        <v>44214</v>
      </c>
      <c r="B371" s="19" t="n">
        <v>1.98305692850926</v>
      </c>
      <c r="C371" s="19" t="n">
        <v>1.816484194379823</v>
      </c>
      <c r="D371" s="19" t="n">
        <v>2.035066967795192</v>
      </c>
      <c r="E371" s="19" t="n">
        <v>1.393089492889744</v>
      </c>
      <c r="F371" s="20">
        <f>B371/B370-1</f>
        <v/>
      </c>
      <c r="G371" s="20">
        <f>B371/MAX(B$2:B371)-1</f>
        <v/>
      </c>
      <c r="H371" s="20">
        <f>C371/C370-1</f>
        <v/>
      </c>
      <c r="I371" s="20">
        <f>C371/MAX(C$2:C371)-1</f>
        <v/>
      </c>
      <c r="J371" s="20">
        <f>D371/D370-1</f>
        <v/>
      </c>
      <c r="K371" s="20">
        <f>D371/MAX(D$2:D371)-1</f>
        <v/>
      </c>
      <c r="L371" s="20">
        <f>E371/E370-1</f>
        <v/>
      </c>
      <c r="M371" s="20">
        <f>E371/MAX(E$2:E371)-1</f>
        <v/>
      </c>
    </row>
    <row r="372">
      <c r="A372" s="11" t="n">
        <v>44215</v>
      </c>
      <c r="B372" s="19" t="n">
        <v>1.969830397872484</v>
      </c>
      <c r="C372" s="19" t="n">
        <v>1.789814869372963</v>
      </c>
      <c r="D372" s="19" t="n">
        <v>1.993248776694984</v>
      </c>
      <c r="E372" s="19" t="n">
        <v>1.379017769131481</v>
      </c>
      <c r="F372" s="20">
        <f>B372/B371-1</f>
        <v/>
      </c>
      <c r="G372" s="20">
        <f>B372/MAX(B$2:B372)-1</f>
        <v/>
      </c>
      <c r="H372" s="20">
        <f>C372/C371-1</f>
        <v/>
      </c>
      <c r="I372" s="20">
        <f>C372/MAX(C$2:C372)-1</f>
        <v/>
      </c>
      <c r="J372" s="20">
        <f>D372/D371-1</f>
        <v/>
      </c>
      <c r="K372" s="20">
        <f>D372/MAX(D$2:D372)-1</f>
        <v/>
      </c>
      <c r="L372" s="20">
        <f>E372/E371-1</f>
        <v/>
      </c>
      <c r="M372" s="20">
        <f>E372/MAX(E$2:E372)-1</f>
        <v/>
      </c>
    </row>
    <row r="373">
      <c r="A373" s="11" t="n">
        <v>44216</v>
      </c>
      <c r="B373" s="19" t="n">
        <v>2.037805412785169</v>
      </c>
      <c r="C373" s="19" t="n">
        <v>1.826883659697502</v>
      </c>
      <c r="D373" s="19" t="n">
        <v>2.07108167750448</v>
      </c>
      <c r="E373" s="19" t="n">
        <v>1.391013885737454</v>
      </c>
      <c r="F373" s="20">
        <f>B373/B372-1</f>
        <v/>
      </c>
      <c r="G373" s="20">
        <f>B373/MAX(B$2:B373)-1</f>
        <v/>
      </c>
      <c r="H373" s="20">
        <f>C373/C372-1</f>
        <v/>
      </c>
      <c r="I373" s="20">
        <f>C373/MAX(C$2:C373)-1</f>
        <v/>
      </c>
      <c r="J373" s="20">
        <f>D373/D372-1</f>
        <v/>
      </c>
      <c r="K373" s="20">
        <f>D373/MAX(D$2:D373)-1</f>
        <v/>
      </c>
      <c r="L373" s="20">
        <f>E373/E372-1</f>
        <v/>
      </c>
      <c r="M373" s="20">
        <f>E373/MAX(E$2:E373)-1</f>
        <v/>
      </c>
    </row>
    <row r="374">
      <c r="A374" s="11" t="n">
        <v>44217</v>
      </c>
      <c r="B374" s="19" t="n">
        <v>2.070158676857532</v>
      </c>
      <c r="C374" s="19" t="n">
        <v>1.8752688022053</v>
      </c>
      <c r="D374" s="19" t="n">
        <v>2.12199647204268</v>
      </c>
      <c r="E374" s="19" t="n">
        <v>1.410070042442075</v>
      </c>
      <c r="F374" s="20">
        <f>B374/B373-1</f>
        <v/>
      </c>
      <c r="G374" s="20">
        <f>B374/MAX(B$2:B374)-1</f>
        <v/>
      </c>
      <c r="H374" s="20">
        <f>C374/C373-1</f>
        <v/>
      </c>
      <c r="I374" s="20">
        <f>C374/MAX(C$2:C374)-1</f>
        <v/>
      </c>
      <c r="J374" s="20">
        <f>D374/D373-1</f>
        <v/>
      </c>
      <c r="K374" s="20">
        <f>D374/MAX(D$2:D374)-1</f>
        <v/>
      </c>
      <c r="L374" s="20">
        <f>E374/E373-1</f>
        <v/>
      </c>
      <c r="M374" s="20">
        <f>E374/MAX(E$2:E374)-1</f>
        <v/>
      </c>
    </row>
    <row r="375">
      <c r="A375" s="11" t="n">
        <v>44218</v>
      </c>
      <c r="B375" s="19" t="n">
        <v>2.105306789614605</v>
      </c>
      <c r="C375" s="19" t="n">
        <v>1.912675400548776</v>
      </c>
      <c r="D375" s="19" t="n">
        <v>2.170150433511472</v>
      </c>
      <c r="E375" s="19" t="n">
        <v>1.410211392033091</v>
      </c>
      <c r="F375" s="20">
        <f>B375/B374-1</f>
        <v/>
      </c>
      <c r="G375" s="20">
        <f>B375/MAX(B$2:B375)-1</f>
        <v/>
      </c>
      <c r="H375" s="20">
        <f>C375/C374-1</f>
        <v/>
      </c>
      <c r="I375" s="20">
        <f>C375/MAX(C$2:C375)-1</f>
        <v/>
      </c>
      <c r="J375" s="20">
        <f>D375/D374-1</f>
        <v/>
      </c>
      <c r="K375" s="20">
        <f>D375/MAX(D$2:D375)-1</f>
        <v/>
      </c>
      <c r="L375" s="20">
        <f>E375/E374-1</f>
        <v/>
      </c>
      <c r="M375" s="20">
        <f>E375/MAX(E$2:E375)-1</f>
        <v/>
      </c>
    </row>
    <row r="376">
      <c r="A376" s="11" t="n">
        <v>44221</v>
      </c>
      <c r="B376" s="19" t="n">
        <v>2.124223965912252</v>
      </c>
      <c r="C376" s="19" t="n">
        <v>1.903072427184046</v>
      </c>
      <c r="D376" s="19" t="n">
        <v>2.168213333305761</v>
      </c>
      <c r="E376" s="19" t="n">
        <v>1.414440720585336</v>
      </c>
      <c r="F376" s="20">
        <f>B376/B375-1</f>
        <v/>
      </c>
      <c r="G376" s="20">
        <f>B376/MAX(B$2:B376)-1</f>
        <v/>
      </c>
      <c r="H376" s="20">
        <f>C376/C375-1</f>
        <v/>
      </c>
      <c r="I376" s="20">
        <f>C376/MAX(C$2:C376)-1</f>
        <v/>
      </c>
      <c r="J376" s="20">
        <f>D376/D375-1</f>
        <v/>
      </c>
      <c r="K376" s="20">
        <f>D376/MAX(D$2:D376)-1</f>
        <v/>
      </c>
      <c r="L376" s="20">
        <f>E376/E375-1</f>
        <v/>
      </c>
      <c r="M376" s="20">
        <f>E376/MAX(E$2:E376)-1</f>
        <v/>
      </c>
    </row>
    <row r="377">
      <c r="A377" s="11" t="n">
        <v>44222</v>
      </c>
      <c r="B377" s="19" t="n">
        <v>2.066806181900926</v>
      </c>
      <c r="C377" s="19" t="n">
        <v>1.845132844458479</v>
      </c>
      <c r="D377" s="19" t="n">
        <v>2.10560472441525</v>
      </c>
      <c r="E377" s="19" t="n">
        <v>1.388413797207974</v>
      </c>
      <c r="F377" s="20">
        <f>B377/B376-1</f>
        <v/>
      </c>
      <c r="G377" s="20">
        <f>B377/MAX(B$2:B377)-1</f>
        <v/>
      </c>
      <c r="H377" s="20">
        <f>C377/C376-1</f>
        <v/>
      </c>
      <c r="I377" s="20">
        <f>C377/MAX(C$2:C377)-1</f>
        <v/>
      </c>
      <c r="J377" s="20">
        <f>D377/D376-1</f>
        <v/>
      </c>
      <c r="K377" s="20">
        <f>D377/MAX(D$2:D377)-1</f>
        <v/>
      </c>
      <c r="L377" s="20">
        <f>E377/E376-1</f>
        <v/>
      </c>
      <c r="M377" s="20">
        <f>E377/MAX(E$2:E377)-1</f>
        <v/>
      </c>
    </row>
    <row r="378">
      <c r="A378" s="11" t="n">
        <v>44223</v>
      </c>
      <c r="B378" s="19" t="n">
        <v>2.076934139777887</v>
      </c>
      <c r="C378" s="19" t="n">
        <v>1.870537806431628</v>
      </c>
      <c r="D378" s="19" t="n">
        <v>2.120257825090631</v>
      </c>
      <c r="E378" s="19" t="n">
        <v>1.391605322184075</v>
      </c>
      <c r="F378" s="20">
        <f>B378/B377-1</f>
        <v/>
      </c>
      <c r="G378" s="20">
        <f>B378/MAX(B$2:B378)-1</f>
        <v/>
      </c>
      <c r="H378" s="20">
        <f>C378/C377-1</f>
        <v/>
      </c>
      <c r="I378" s="20">
        <f>C378/MAX(C$2:C378)-1</f>
        <v/>
      </c>
      <c r="J378" s="20">
        <f>D378/D377-1</f>
        <v/>
      </c>
      <c r="K378" s="20">
        <f>D378/MAX(D$2:D378)-1</f>
        <v/>
      </c>
      <c r="L378" s="20">
        <f>E378/E377-1</f>
        <v/>
      </c>
      <c r="M378" s="20">
        <f>E378/MAX(E$2:E378)-1</f>
        <v/>
      </c>
    </row>
    <row r="379">
      <c r="A379" s="11" t="n">
        <v>44224</v>
      </c>
      <c r="B379" s="19" t="n">
        <v>1.993007659702797</v>
      </c>
      <c r="C379" s="19" t="n">
        <v>1.783171311667219</v>
      </c>
      <c r="D379" s="19" t="n">
        <v>2.04325001420062</v>
      </c>
      <c r="E379" s="19" t="n">
        <v>1.358205901717398</v>
      </c>
      <c r="F379" s="20">
        <f>B379/B378-1</f>
        <v/>
      </c>
      <c r="G379" s="20">
        <f>B379/MAX(B$2:B379)-1</f>
        <v/>
      </c>
      <c r="H379" s="20">
        <f>C379/C378-1</f>
        <v/>
      </c>
      <c r="I379" s="20">
        <f>C379/MAX(C$2:C379)-1</f>
        <v/>
      </c>
      <c r="J379" s="20">
        <f>D379/D378-1</f>
        <v/>
      </c>
      <c r="K379" s="20">
        <f>D379/MAX(D$2:D379)-1</f>
        <v/>
      </c>
      <c r="L379" s="20">
        <f>E379/E378-1</f>
        <v/>
      </c>
      <c r="M379" s="20">
        <f>E379/MAX(E$2:E379)-1</f>
        <v/>
      </c>
    </row>
    <row r="380">
      <c r="A380" s="11" t="n">
        <v>44225</v>
      </c>
      <c r="B380" s="19" t="n">
        <v>1.97582307207036</v>
      </c>
      <c r="C380" s="19" t="n">
        <v>1.757578951140493</v>
      </c>
      <c r="D380" s="19" t="n">
        <v>2.021925821133456</v>
      </c>
      <c r="E380" s="19" t="n">
        <v>1.346525961828171</v>
      </c>
      <c r="F380" s="20">
        <f>B380/B379-1</f>
        <v/>
      </c>
      <c r="G380" s="20">
        <f>B380/MAX(B$2:B380)-1</f>
        <v/>
      </c>
      <c r="H380" s="20">
        <f>C380/C379-1</f>
        <v/>
      </c>
      <c r="I380" s="20">
        <f>C380/MAX(C$2:C380)-1</f>
        <v/>
      </c>
      <c r="J380" s="20">
        <f>D380/D379-1</f>
        <v/>
      </c>
      <c r="K380" s="20">
        <f>D380/MAX(D$2:D380)-1</f>
        <v/>
      </c>
      <c r="L380" s="20">
        <f>E380/E379-1</f>
        <v/>
      </c>
      <c r="M380" s="20">
        <f>E380/MAX(E$2:E380)-1</f>
        <v/>
      </c>
    </row>
    <row r="381">
      <c r="A381" s="11" t="n">
        <v>44228</v>
      </c>
      <c r="B381" s="19" t="n">
        <v>1.995696323889533</v>
      </c>
      <c r="C381" s="19" t="n">
        <v>1.766025161719035</v>
      </c>
      <c r="D381" s="19" t="n">
        <v>2.042041523709994</v>
      </c>
      <c r="E381" s="19" t="n">
        <v>1.358912649672478</v>
      </c>
      <c r="F381" s="20">
        <f>B381/B380-1</f>
        <v/>
      </c>
      <c r="G381" s="20">
        <f>B381/MAX(B$2:B381)-1</f>
        <v/>
      </c>
      <c r="H381" s="20">
        <f>C381/C380-1</f>
        <v/>
      </c>
      <c r="I381" s="20">
        <f>C381/MAX(C$2:C381)-1</f>
        <v/>
      </c>
      <c r="J381" s="20">
        <f>D381/D380-1</f>
        <v/>
      </c>
      <c r="K381" s="20">
        <f>D381/MAX(D$2:D381)-1</f>
        <v/>
      </c>
      <c r="L381" s="20">
        <f>E381/E380-1</f>
        <v/>
      </c>
      <c r="M381" s="20">
        <f>E381/MAX(E$2:E381)-1</f>
        <v/>
      </c>
    </row>
    <row r="382">
      <c r="A382" s="11" t="n">
        <v>44229</v>
      </c>
      <c r="B382" s="19" t="n">
        <v>2.033280502110649</v>
      </c>
      <c r="C382" s="19" t="n">
        <v>1.791324687955675</v>
      </c>
      <c r="D382" s="19" t="n">
        <v>2.08643941324268</v>
      </c>
      <c r="E382" s="19" t="n">
        <v>1.375763008812031</v>
      </c>
      <c r="F382" s="20">
        <f>B382/B381-1</f>
        <v/>
      </c>
      <c r="G382" s="20">
        <f>B382/MAX(B$2:B382)-1</f>
        <v/>
      </c>
      <c r="H382" s="20">
        <f>C382/C381-1</f>
        <v/>
      </c>
      <c r="I382" s="20">
        <f>C382/MAX(C$2:C382)-1</f>
        <v/>
      </c>
      <c r="J382" s="20">
        <f>D382/D381-1</f>
        <v/>
      </c>
      <c r="K382" s="20">
        <f>D382/MAX(D$2:D382)-1</f>
        <v/>
      </c>
      <c r="L382" s="20">
        <f>E382/E381-1</f>
        <v/>
      </c>
      <c r="M382" s="20">
        <f>E382/MAX(E$2:E382)-1</f>
        <v/>
      </c>
    </row>
    <row r="383">
      <c r="A383" s="11" t="n">
        <v>44230</v>
      </c>
      <c r="B383" s="19" t="n">
        <v>2.021255547175806</v>
      </c>
      <c r="C383" s="19" t="n">
        <v>1.760893009904081</v>
      </c>
      <c r="D383" s="19" t="n">
        <v>2.083252658520756</v>
      </c>
      <c r="E383" s="19" t="n">
        <v>1.367096047047096</v>
      </c>
      <c r="F383" s="20">
        <f>B383/B382-1</f>
        <v/>
      </c>
      <c r="G383" s="20">
        <f>B383/MAX(B$2:B383)-1</f>
        <v/>
      </c>
      <c r="H383" s="20">
        <f>C383/C382-1</f>
        <v/>
      </c>
      <c r="I383" s="20">
        <f>C383/MAX(C$2:C383)-1</f>
        <v/>
      </c>
      <c r="J383" s="20">
        <f>D383/D382-1</f>
        <v/>
      </c>
      <c r="K383" s="20">
        <f>D383/MAX(D$2:D383)-1</f>
        <v/>
      </c>
      <c r="L383" s="20">
        <f>E383/E382-1</f>
        <v/>
      </c>
      <c r="M383" s="20">
        <f>E383/MAX(E$2:E383)-1</f>
        <v/>
      </c>
    </row>
    <row r="384">
      <c r="A384" s="11" t="n">
        <v>44231</v>
      </c>
      <c r="B384" s="19" t="n">
        <v>2.008198261298471</v>
      </c>
      <c r="C384" s="19" t="n">
        <v>1.757152734871691</v>
      </c>
      <c r="D384" s="19" t="n">
        <v>2.068249502073614</v>
      </c>
      <c r="E384" s="19" t="n">
        <v>1.356569222242474</v>
      </c>
      <c r="F384" s="20">
        <f>B384/B383-1</f>
        <v/>
      </c>
      <c r="G384" s="20">
        <f>B384/MAX(B$2:B384)-1</f>
        <v/>
      </c>
      <c r="H384" s="20">
        <f>C384/C383-1</f>
        <v/>
      </c>
      <c r="I384" s="20">
        <f>C384/MAX(C$2:C384)-1</f>
        <v/>
      </c>
      <c r="J384" s="20">
        <f>D384/D383-1</f>
        <v/>
      </c>
      <c r="K384" s="20">
        <f>D384/MAX(D$2:D384)-1</f>
        <v/>
      </c>
      <c r="L384" s="20">
        <f>E384/E383-1</f>
        <v/>
      </c>
      <c r="M384" s="20">
        <f>E384/MAX(E$2:E384)-1</f>
        <v/>
      </c>
    </row>
    <row r="385">
      <c r="A385" s="11" t="n">
        <v>44232</v>
      </c>
      <c r="B385" s="19" t="n">
        <v>1.987807006084728</v>
      </c>
      <c r="C385" s="19" t="n">
        <v>1.741181241000745</v>
      </c>
      <c r="D385" s="19" t="n">
        <v>2.063827632718926</v>
      </c>
      <c r="E385" s="19" t="n">
        <v>1.349245081592192</v>
      </c>
      <c r="F385" s="20">
        <f>B385/B384-1</f>
        <v/>
      </c>
      <c r="G385" s="20">
        <f>B385/MAX(B$2:B385)-1</f>
        <v/>
      </c>
      <c r="H385" s="20">
        <f>C385/C384-1</f>
        <v/>
      </c>
      <c r="I385" s="20">
        <f>C385/MAX(C$2:C385)-1</f>
        <v/>
      </c>
      <c r="J385" s="20">
        <f>D385/D384-1</f>
        <v/>
      </c>
      <c r="K385" s="20">
        <f>D385/MAX(D$2:D385)-1</f>
        <v/>
      </c>
      <c r="L385" s="20">
        <f>E385/E384-1</f>
        <v/>
      </c>
      <c r="M385" s="20">
        <f>E385/MAX(E$2:E385)-1</f>
        <v/>
      </c>
    </row>
    <row r="386">
      <c r="A386" s="11" t="n">
        <v>44235</v>
      </c>
      <c r="B386" s="19" t="n">
        <v>2.009489332219842</v>
      </c>
      <c r="C386" s="19" t="n">
        <v>1.7545402181779</v>
      </c>
      <c r="D386" s="19" t="n">
        <v>2.118338431231876</v>
      </c>
      <c r="E386" s="19" t="n">
        <v>1.366110319636062</v>
      </c>
      <c r="F386" s="20">
        <f>B386/B385-1</f>
        <v/>
      </c>
      <c r="G386" s="20">
        <f>B386/MAX(B$2:B386)-1</f>
        <v/>
      </c>
      <c r="H386" s="20">
        <f>C386/C385-1</f>
        <v/>
      </c>
      <c r="I386" s="20">
        <f>C386/MAX(C$2:C386)-1</f>
        <v/>
      </c>
      <c r="J386" s="20">
        <f>D386/D385-1</f>
        <v/>
      </c>
      <c r="K386" s="20">
        <f>D386/MAX(D$2:D386)-1</f>
        <v/>
      </c>
      <c r="L386" s="20">
        <f>E386/E385-1</f>
        <v/>
      </c>
      <c r="M386" s="20">
        <f>E386/MAX(E$2:E386)-1</f>
        <v/>
      </c>
    </row>
    <row r="387">
      <c r="A387" s="11" t="n">
        <v>44236</v>
      </c>
      <c r="B387" s="19" t="n">
        <v>2.066048209180887</v>
      </c>
      <c r="C387" s="19" t="n">
        <v>1.813767492555886</v>
      </c>
      <c r="D387" s="19" t="n">
        <v>2.154644132475269</v>
      </c>
      <c r="E387" s="19" t="n">
        <v>1.395756536488653</v>
      </c>
      <c r="F387" s="20">
        <f>B387/B386-1</f>
        <v/>
      </c>
      <c r="G387" s="20">
        <f>B387/MAX(B$2:B387)-1</f>
        <v/>
      </c>
      <c r="H387" s="20">
        <f>C387/C386-1</f>
        <v/>
      </c>
      <c r="I387" s="20">
        <f>C387/MAX(C$2:C387)-1</f>
        <v/>
      </c>
      <c r="J387" s="20">
        <f>D387/D386-1</f>
        <v/>
      </c>
      <c r="K387" s="20">
        <f>D387/MAX(D$2:D387)-1</f>
        <v/>
      </c>
      <c r="L387" s="20">
        <f>E387/E386-1</f>
        <v/>
      </c>
      <c r="M387" s="20">
        <f>E387/MAX(E$2:E387)-1</f>
        <v/>
      </c>
    </row>
    <row r="388">
      <c r="A388" s="11" t="n">
        <v>44237</v>
      </c>
      <c r="B388" s="19" t="n">
        <v>2.115154164101281</v>
      </c>
      <c r="C388" s="19" t="n">
        <v>1.856326925819562</v>
      </c>
      <c r="D388" s="19" t="n">
        <v>2.206062265467641</v>
      </c>
      <c r="E388" s="19" t="n">
        <v>1.417810792413247</v>
      </c>
      <c r="F388" s="20">
        <f>B388/B387-1</f>
        <v/>
      </c>
      <c r="G388" s="20">
        <f>B388/MAX(B$2:B388)-1</f>
        <v/>
      </c>
      <c r="H388" s="20">
        <f>C388/C387-1</f>
        <v/>
      </c>
      <c r="I388" s="20">
        <f>C388/MAX(C$2:C388)-1</f>
        <v/>
      </c>
      <c r="J388" s="20">
        <f>D388/D387-1</f>
        <v/>
      </c>
      <c r="K388" s="20">
        <f>D388/MAX(D$2:D388)-1</f>
        <v/>
      </c>
      <c r="L388" s="20">
        <f>E388/E387-1</f>
        <v/>
      </c>
      <c r="M388" s="20">
        <f>E388/MAX(E$2:E388)-1</f>
        <v/>
      </c>
    </row>
    <row r="389">
      <c r="A389" s="11" t="n">
        <v>44245</v>
      </c>
      <c r="B389" s="19" t="n">
        <v>2.113775569131086</v>
      </c>
      <c r="C389" s="19" t="n">
        <v>1.822441024891155</v>
      </c>
      <c r="D389" s="19" t="n">
        <v>2.14553363537087</v>
      </c>
      <c r="E389" s="19" t="n">
        <v>1.420362524503696</v>
      </c>
      <c r="F389" s="20">
        <f>B389/B388-1</f>
        <v/>
      </c>
      <c r="G389" s="20">
        <f>B389/MAX(B$2:B389)-1</f>
        <v/>
      </c>
      <c r="H389" s="20">
        <f>C389/C388-1</f>
        <v/>
      </c>
      <c r="I389" s="20">
        <f>C389/MAX(C$2:C389)-1</f>
        <v/>
      </c>
      <c r="J389" s="20">
        <f>D389/D388-1</f>
        <v/>
      </c>
      <c r="K389" s="20">
        <f>D389/MAX(D$2:D389)-1</f>
        <v/>
      </c>
      <c r="L389" s="20">
        <f>E389/E388-1</f>
        <v/>
      </c>
      <c r="M389" s="20">
        <f>E389/MAX(E$2:E389)-1</f>
        <v/>
      </c>
    </row>
    <row r="390">
      <c r="A390" s="11" t="n">
        <v>44246</v>
      </c>
      <c r="B390" s="19" t="n">
        <v>2.10601944871411</v>
      </c>
      <c r="C390" s="19" t="n">
        <v>1.821760502628317</v>
      </c>
      <c r="D390" s="19" t="n">
        <v>2.123168515892125</v>
      </c>
      <c r="E390" s="19" t="n">
        <v>1.431015819995016</v>
      </c>
      <c r="F390" s="20">
        <f>B390/B389-1</f>
        <v/>
      </c>
      <c r="G390" s="20">
        <f>B390/MAX(B$2:B390)-1</f>
        <v/>
      </c>
      <c r="H390" s="20">
        <f>C390/C389-1</f>
        <v/>
      </c>
      <c r="I390" s="20">
        <f>C390/MAX(C$2:C390)-1</f>
        <v/>
      </c>
      <c r="J390" s="20">
        <f>D390/D389-1</f>
        <v/>
      </c>
      <c r="K390" s="20">
        <f>D390/MAX(D$2:D390)-1</f>
        <v/>
      </c>
      <c r="L390" s="20">
        <f>E390/E389-1</f>
        <v/>
      </c>
      <c r="M390" s="20">
        <f>E390/MAX(E$2:E390)-1</f>
        <v/>
      </c>
    </row>
    <row r="391">
      <c r="A391" s="11" t="n">
        <v>44249</v>
      </c>
      <c r="B391" s="19" t="n">
        <v>2.029742094132147</v>
      </c>
      <c r="C391" s="19" t="n">
        <v>1.769311851443356</v>
      </c>
      <c r="D391" s="19" t="n">
        <v>2.028263530153166</v>
      </c>
      <c r="E391" s="19" t="n">
        <v>1.403969691671905</v>
      </c>
      <c r="F391" s="20">
        <f>B391/B390-1</f>
        <v/>
      </c>
      <c r="G391" s="20">
        <f>B391/MAX(B$2:B391)-1</f>
        <v/>
      </c>
      <c r="H391" s="20">
        <f>C391/C390-1</f>
        <v/>
      </c>
      <c r="I391" s="20">
        <f>C391/MAX(C$2:C391)-1</f>
        <v/>
      </c>
      <c r="J391" s="20">
        <f>D391/D390-1</f>
        <v/>
      </c>
      <c r="K391" s="20">
        <f>D391/MAX(D$2:D391)-1</f>
        <v/>
      </c>
      <c r="L391" s="20">
        <f>E391/E390-1</f>
        <v/>
      </c>
      <c r="M391" s="20">
        <f>E391/MAX(E$2:E391)-1</f>
        <v/>
      </c>
    </row>
    <row r="392">
      <c r="A392" s="11" t="n">
        <v>44250</v>
      </c>
      <c r="B392" s="19" t="n">
        <v>2.030961667238645</v>
      </c>
      <c r="C392" s="19" t="n">
        <v>1.778786397154582</v>
      </c>
      <c r="D392" s="19" t="n">
        <v>2.011258393309276</v>
      </c>
      <c r="E392" s="19" t="n">
        <v>1.398914583930039</v>
      </c>
      <c r="F392" s="20">
        <f>B392/B391-1</f>
        <v/>
      </c>
      <c r="G392" s="20">
        <f>B392/MAX(B$2:B392)-1</f>
        <v/>
      </c>
      <c r="H392" s="20">
        <f>C392/C391-1</f>
        <v/>
      </c>
      <c r="I392" s="20">
        <f>C392/MAX(C$2:C392)-1</f>
        <v/>
      </c>
      <c r="J392" s="20">
        <f>D392/D391-1</f>
        <v/>
      </c>
      <c r="K392" s="20">
        <f>D392/MAX(D$2:D392)-1</f>
        <v/>
      </c>
      <c r="L392" s="20">
        <f>E392/E391-1</f>
        <v/>
      </c>
      <c r="M392" s="20">
        <f>E392/MAX(E$2:E392)-1</f>
        <v/>
      </c>
    </row>
    <row r="393">
      <c r="A393" s="11" t="n">
        <v>44251</v>
      </c>
      <c r="B393" s="19" t="n">
        <v>1.969780431683331</v>
      </c>
      <c r="C393" s="19" t="n">
        <v>1.729284174562522</v>
      </c>
      <c r="D393" s="19" t="n">
        <v>1.943469256256528</v>
      </c>
      <c r="E393" s="19" t="n">
        <v>1.371775462454945</v>
      </c>
      <c r="F393" s="20">
        <f>B393/B392-1</f>
        <v/>
      </c>
      <c r="G393" s="20">
        <f>B393/MAX(B$2:B393)-1</f>
        <v/>
      </c>
      <c r="H393" s="20">
        <f>C393/C392-1</f>
        <v/>
      </c>
      <c r="I393" s="20">
        <f>C393/MAX(C$2:C393)-1</f>
        <v/>
      </c>
      <c r="J393" s="20">
        <f>D393/D392-1</f>
        <v/>
      </c>
      <c r="K393" s="20">
        <f>D393/MAX(D$2:D393)-1</f>
        <v/>
      </c>
      <c r="L393" s="20">
        <f>E393/E392-1</f>
        <v/>
      </c>
      <c r="M393" s="20">
        <f>E393/MAX(E$2:E393)-1</f>
        <v/>
      </c>
    </row>
    <row r="394">
      <c r="A394" s="11" t="n">
        <v>44252</v>
      </c>
      <c r="B394" s="19" t="n">
        <v>1.96673602426124</v>
      </c>
      <c r="C394" s="19" t="n">
        <v>1.721119639017283</v>
      </c>
      <c r="D394" s="19" t="n">
        <v>1.923901804218596</v>
      </c>
      <c r="E394" s="19" t="n">
        <v>1.372459892053549</v>
      </c>
      <c r="F394" s="20">
        <f>B394/B393-1</f>
        <v/>
      </c>
      <c r="G394" s="20">
        <f>B394/MAX(B$2:B394)-1</f>
        <v/>
      </c>
      <c r="H394" s="20">
        <f>C394/C393-1</f>
        <v/>
      </c>
      <c r="I394" s="20">
        <f>C394/MAX(C$2:C394)-1</f>
        <v/>
      </c>
      <c r="J394" s="20">
        <f>D394/D393-1</f>
        <v/>
      </c>
      <c r="K394" s="20">
        <f>D394/MAX(D$2:D394)-1</f>
        <v/>
      </c>
      <c r="L394" s="20">
        <f>E394/E393-1</f>
        <v/>
      </c>
      <c r="M394" s="20">
        <f>E394/MAX(E$2:E394)-1</f>
        <v/>
      </c>
    </row>
    <row r="395">
      <c r="A395" s="11" t="n">
        <v>44253</v>
      </c>
      <c r="B395" s="19" t="n">
        <v>1.927458917511695</v>
      </c>
      <c r="C395" s="19" t="n">
        <v>1.701275546340617</v>
      </c>
      <c r="D395" s="19" t="n">
        <v>1.883149289642685</v>
      </c>
      <c r="E395" s="19" t="n">
        <v>1.345696462912471</v>
      </c>
      <c r="F395" s="20">
        <f>B395/B394-1</f>
        <v/>
      </c>
      <c r="G395" s="20">
        <f>B395/MAX(B$2:B395)-1</f>
        <v/>
      </c>
      <c r="H395" s="20">
        <f>C395/C394-1</f>
        <v/>
      </c>
      <c r="I395" s="20">
        <f>C395/MAX(C$2:C395)-1</f>
        <v/>
      </c>
      <c r="J395" s="20">
        <f>D395/D394-1</f>
        <v/>
      </c>
      <c r="K395" s="20">
        <f>D395/MAX(D$2:D395)-1</f>
        <v/>
      </c>
      <c r="L395" s="20">
        <f>E395/E394-1</f>
        <v/>
      </c>
      <c r="M395" s="20">
        <f>E395/MAX(E$2:E395)-1</f>
        <v/>
      </c>
    </row>
    <row r="396">
      <c r="A396" s="11" t="n">
        <v>44256</v>
      </c>
      <c r="B396" s="19" t="n">
        <v>1.977003255360695</v>
      </c>
      <c r="C396" s="19" t="n">
        <v>1.74098234648867</v>
      </c>
      <c r="D396" s="19" t="n">
        <v>1.935259004113624</v>
      </c>
      <c r="E396" s="19" t="n">
        <v>1.370860409839419</v>
      </c>
      <c r="F396" s="20">
        <f>B396/B395-1</f>
        <v/>
      </c>
      <c r="G396" s="20">
        <f>B396/MAX(B$2:B396)-1</f>
        <v/>
      </c>
      <c r="H396" s="20">
        <f>C396/C395-1</f>
        <v/>
      </c>
      <c r="I396" s="20">
        <f>C396/MAX(C$2:C396)-1</f>
        <v/>
      </c>
      <c r="J396" s="20">
        <f>D396/D395-1</f>
        <v/>
      </c>
      <c r="K396" s="20">
        <f>D396/MAX(D$2:D396)-1</f>
        <v/>
      </c>
      <c r="L396" s="20">
        <f>E396/E395-1</f>
        <v/>
      </c>
      <c r="M396" s="20">
        <f>E396/MAX(E$2:E396)-1</f>
        <v/>
      </c>
    </row>
    <row r="397">
      <c r="A397" s="11" t="n">
        <v>44257</v>
      </c>
      <c r="B397" s="19" t="n">
        <v>1.964849744428607</v>
      </c>
      <c r="C397" s="19" t="n">
        <v>1.733983231773675</v>
      </c>
      <c r="D397" s="19" t="n">
        <v>1.917255849669754</v>
      </c>
      <c r="E397" s="19" t="n">
        <v>1.357015589371999</v>
      </c>
      <c r="F397" s="20">
        <f>B397/B396-1</f>
        <v/>
      </c>
      <c r="G397" s="20">
        <f>B397/MAX(B$2:B397)-1</f>
        <v/>
      </c>
      <c r="H397" s="20">
        <f>C397/C396-1</f>
        <v/>
      </c>
      <c r="I397" s="20">
        <f>C397/MAX(C$2:C397)-1</f>
        <v/>
      </c>
      <c r="J397" s="20">
        <f>D397/D396-1</f>
        <v/>
      </c>
      <c r="K397" s="20">
        <f>D397/MAX(D$2:D397)-1</f>
        <v/>
      </c>
      <c r="L397" s="20">
        <f>E397/E396-1</f>
        <v/>
      </c>
      <c r="M397" s="20">
        <f>E397/MAX(E$2:E397)-1</f>
        <v/>
      </c>
    </row>
    <row r="398">
      <c r="A398" s="11" t="n">
        <v>44258</v>
      </c>
      <c r="B398" s="19" t="n">
        <v>1.982697559010318</v>
      </c>
      <c r="C398" s="19" t="n">
        <v>1.743462539409132</v>
      </c>
      <c r="D398" s="19" t="n">
        <v>1.937196621292968</v>
      </c>
      <c r="E398" s="19" t="n">
        <v>1.379813790512467</v>
      </c>
      <c r="F398" s="20">
        <f>B398/B397-1</f>
        <v/>
      </c>
      <c r="G398" s="20">
        <f>B398/MAX(B$2:B398)-1</f>
        <v/>
      </c>
      <c r="H398" s="20">
        <f>C398/C397-1</f>
        <v/>
      </c>
      <c r="I398" s="20">
        <f>C398/MAX(C$2:C398)-1</f>
        <v/>
      </c>
      <c r="J398" s="20">
        <f>D398/D397-1</f>
        <v/>
      </c>
      <c r="K398" s="20">
        <f>D398/MAX(D$2:D398)-1</f>
        <v/>
      </c>
      <c r="L398" s="20">
        <f>E398/E397-1</f>
        <v/>
      </c>
      <c r="M398" s="20">
        <f>E398/MAX(E$2:E398)-1</f>
        <v/>
      </c>
    </row>
    <row r="399">
      <c r="A399" s="11" t="n">
        <v>44259</v>
      </c>
      <c r="B399" s="19" t="n">
        <v>1.898914168988554</v>
      </c>
      <c r="C399" s="19" t="n">
        <v>1.676356348739281</v>
      </c>
      <c r="D399" s="19" t="n">
        <v>1.842929064044439</v>
      </c>
      <c r="E399" s="19" t="n">
        <v>1.344628901527692</v>
      </c>
      <c r="F399" s="20">
        <f>B399/B398-1</f>
        <v/>
      </c>
      <c r="G399" s="20">
        <f>B399/MAX(B$2:B399)-1</f>
        <v/>
      </c>
      <c r="H399" s="20">
        <f>C399/C398-1</f>
        <v/>
      </c>
      <c r="I399" s="20">
        <f>C399/MAX(C$2:C399)-1</f>
        <v/>
      </c>
      <c r="J399" s="20">
        <f>D399/D398-1</f>
        <v/>
      </c>
      <c r="K399" s="20">
        <f>D399/MAX(D$2:D399)-1</f>
        <v/>
      </c>
      <c r="L399" s="20">
        <f>E399/E398-1</f>
        <v/>
      </c>
      <c r="M399" s="20">
        <f>E399/MAX(E$2:E399)-1</f>
        <v/>
      </c>
    </row>
    <row r="400">
      <c r="A400" s="11" t="n">
        <v>44260</v>
      </c>
      <c r="B400" s="19" t="n">
        <v>1.896723901542656</v>
      </c>
      <c r="C400" s="19" t="n">
        <v>1.686583326579257</v>
      </c>
      <c r="D400" s="19" t="n">
        <v>1.855917186510581</v>
      </c>
      <c r="E400" s="19" t="n">
        <v>1.343955631107325</v>
      </c>
      <c r="F400" s="20">
        <f>B400/B399-1</f>
        <v/>
      </c>
      <c r="G400" s="20">
        <f>B400/MAX(B$2:B400)-1</f>
        <v/>
      </c>
      <c r="H400" s="20">
        <f>C400/C399-1</f>
        <v/>
      </c>
      <c r="I400" s="20">
        <f>C400/MAX(C$2:C400)-1</f>
        <v/>
      </c>
      <c r="J400" s="20">
        <f>D400/D399-1</f>
        <v/>
      </c>
      <c r="K400" s="20">
        <f>D400/MAX(D$2:D400)-1</f>
        <v/>
      </c>
      <c r="L400" s="20">
        <f>E400/E399-1</f>
        <v/>
      </c>
      <c r="M400" s="20">
        <f>E400/MAX(E$2:E400)-1</f>
        <v/>
      </c>
    </row>
    <row r="401">
      <c r="A401" s="11" t="n">
        <v>44263</v>
      </c>
      <c r="B401" s="19" t="n">
        <v>1.816232161898651</v>
      </c>
      <c r="C401" s="19" t="n">
        <v>1.612473740272627</v>
      </c>
      <c r="D401" s="19" t="n">
        <v>1.76342530445062</v>
      </c>
      <c r="E401" s="19" t="n">
        <v>1.305519701529179</v>
      </c>
      <c r="F401" s="20">
        <f>B401/B400-1</f>
        <v/>
      </c>
      <c r="G401" s="20">
        <f>B401/MAX(B$2:B401)-1</f>
        <v/>
      </c>
      <c r="H401" s="20">
        <f>C401/C400-1</f>
        <v/>
      </c>
      <c r="I401" s="20">
        <f>C401/MAX(C$2:C401)-1</f>
        <v/>
      </c>
      <c r="J401" s="20">
        <f>D401/D400-1</f>
        <v/>
      </c>
      <c r="K401" s="20">
        <f>D401/MAX(D$2:D401)-1</f>
        <v/>
      </c>
      <c r="L401" s="20">
        <f>E401/E400-1</f>
        <v/>
      </c>
      <c r="M401" s="20">
        <f>E401/MAX(E$2:E401)-1</f>
        <v/>
      </c>
    </row>
    <row r="402">
      <c r="A402" s="11" t="n">
        <v>44264</v>
      </c>
      <c r="B402" s="19" t="n">
        <v>1.782938592991343</v>
      </c>
      <c r="C402" s="19" t="n">
        <v>1.567207994837882</v>
      </c>
      <c r="D402" s="19" t="n">
        <v>1.701780011304921</v>
      </c>
      <c r="E402" s="19" t="n">
        <v>1.274318639175411</v>
      </c>
      <c r="F402" s="20">
        <f>B402/B401-1</f>
        <v/>
      </c>
      <c r="G402" s="20">
        <f>B402/MAX(B$2:B402)-1</f>
        <v/>
      </c>
      <c r="H402" s="20">
        <f>C402/C401-1</f>
        <v/>
      </c>
      <c r="I402" s="20">
        <f>C402/MAX(C$2:C402)-1</f>
        <v/>
      </c>
      <c r="J402" s="20">
        <f>D402/D401-1</f>
        <v/>
      </c>
      <c r="K402" s="20">
        <f>D402/MAX(D$2:D402)-1</f>
        <v/>
      </c>
      <c r="L402" s="20">
        <f>E402/E401-1</f>
        <v/>
      </c>
      <c r="M402" s="20">
        <f>E402/MAX(E$2:E402)-1</f>
        <v/>
      </c>
    </row>
    <row r="403">
      <c r="A403" s="11" t="n">
        <v>44265</v>
      </c>
      <c r="B403" s="19" t="n">
        <v>1.795745489922423</v>
      </c>
      <c r="C403" s="19" t="n">
        <v>1.571459719772784</v>
      </c>
      <c r="D403" s="19" t="n">
        <v>1.72973032005773</v>
      </c>
      <c r="E403" s="19" t="n">
        <v>1.275847446594033</v>
      </c>
      <c r="F403" s="20">
        <f>B403/B402-1</f>
        <v/>
      </c>
      <c r="G403" s="20">
        <f>B403/MAX(B$2:B403)-1</f>
        <v/>
      </c>
      <c r="H403" s="20">
        <f>C403/C402-1</f>
        <v/>
      </c>
      <c r="I403" s="20">
        <f>C403/MAX(C$2:C403)-1</f>
        <v/>
      </c>
      <c r="J403" s="20">
        <f>D403/D402-1</f>
        <v/>
      </c>
      <c r="K403" s="20">
        <f>D403/MAX(D$2:D403)-1</f>
        <v/>
      </c>
      <c r="L403" s="20">
        <f>E403/E402-1</f>
        <v/>
      </c>
      <c r="M403" s="20">
        <f>E403/MAX(E$2:E403)-1</f>
        <v/>
      </c>
    </row>
    <row r="404">
      <c r="A404" s="11" t="n">
        <v>44266</v>
      </c>
      <c r="B404" s="19" t="n">
        <v>1.842161160149617</v>
      </c>
      <c r="C404" s="19" t="n">
        <v>1.598515289745052</v>
      </c>
      <c r="D404" s="19" t="n">
        <v>1.774883831177866</v>
      </c>
      <c r="E404" s="19" t="n">
        <v>1.306977834152293</v>
      </c>
      <c r="F404" s="20">
        <f>B404/B403-1</f>
        <v/>
      </c>
      <c r="G404" s="20">
        <f>B404/MAX(B$2:B404)-1</f>
        <v/>
      </c>
      <c r="H404" s="20">
        <f>C404/C403-1</f>
        <v/>
      </c>
      <c r="I404" s="20">
        <f>C404/MAX(C$2:C404)-1</f>
        <v/>
      </c>
      <c r="J404" s="20">
        <f>D404/D403-1</f>
        <v/>
      </c>
      <c r="K404" s="20">
        <f>D404/MAX(D$2:D404)-1</f>
        <v/>
      </c>
      <c r="L404" s="20">
        <f>E404/E403-1</f>
        <v/>
      </c>
      <c r="M404" s="20">
        <f>E404/MAX(E$2:E404)-1</f>
        <v/>
      </c>
    </row>
    <row r="405">
      <c r="A405" s="11" t="n">
        <v>44267</v>
      </c>
      <c r="B405" s="19" t="n">
        <v>1.846395683404847</v>
      </c>
      <c r="C405" s="19" t="n">
        <v>1.606096850323823</v>
      </c>
      <c r="D405" s="19" t="n">
        <v>1.781499348904019</v>
      </c>
      <c r="E405" s="19" t="n">
        <v>1.311028615852729</v>
      </c>
      <c r="F405" s="20">
        <f>B405/B404-1</f>
        <v/>
      </c>
      <c r="G405" s="20">
        <f>B405/MAX(B$2:B405)-1</f>
        <v/>
      </c>
      <c r="H405" s="20">
        <f>C405/C404-1</f>
        <v/>
      </c>
      <c r="I405" s="20">
        <f>C405/MAX(C$2:C405)-1</f>
        <v/>
      </c>
      <c r="J405" s="20">
        <f>D405/D404-1</f>
        <v/>
      </c>
      <c r="K405" s="20">
        <f>D405/MAX(D$2:D405)-1</f>
        <v/>
      </c>
      <c r="L405" s="20">
        <f>E405/E404-1</f>
        <v/>
      </c>
      <c r="M405" s="20">
        <f>E405/MAX(E$2:E405)-1</f>
        <v/>
      </c>
    </row>
    <row r="406">
      <c r="A406" s="11" t="n">
        <v>44270</v>
      </c>
      <c r="B406" s="19" t="n">
        <v>1.801693289378237</v>
      </c>
      <c r="C406" s="19" t="n">
        <v>1.554437957057544</v>
      </c>
      <c r="D406" s="19" t="n">
        <v>1.708607488220917</v>
      </c>
      <c r="E406" s="19" t="n">
        <v>1.290053080491153</v>
      </c>
      <c r="F406" s="20">
        <f>B406/B405-1</f>
        <v/>
      </c>
      <c r="G406" s="20">
        <f>B406/MAX(B$2:B406)-1</f>
        <v/>
      </c>
      <c r="H406" s="20">
        <f>C406/C405-1</f>
        <v/>
      </c>
      <c r="I406" s="20">
        <f>C406/MAX(C$2:C406)-1</f>
        <v/>
      </c>
      <c r="J406" s="20">
        <f>D406/D405-1</f>
        <v/>
      </c>
      <c r="K406" s="20">
        <f>D406/MAX(D$2:D406)-1</f>
        <v/>
      </c>
      <c r="L406" s="20">
        <f>E406/E405-1</f>
        <v/>
      </c>
      <c r="M406" s="20">
        <f>E406/MAX(E$2:E406)-1</f>
        <v/>
      </c>
    </row>
    <row r="407">
      <c r="A407" s="11" t="n">
        <v>44271</v>
      </c>
      <c r="B407" s="19" t="n">
        <v>1.817773624946994</v>
      </c>
      <c r="C407" s="19" t="n">
        <v>1.555120836232375</v>
      </c>
      <c r="D407" s="19" t="n">
        <v>1.726767608784338</v>
      </c>
      <c r="E407" s="19" t="n">
        <v>1.301535874898173</v>
      </c>
      <c r="F407" s="20">
        <f>B407/B406-1</f>
        <v/>
      </c>
      <c r="G407" s="20">
        <f>B407/MAX(B$2:B407)-1</f>
        <v/>
      </c>
      <c r="H407" s="20">
        <f>C407/C406-1</f>
        <v/>
      </c>
      <c r="I407" s="20">
        <f>C407/MAX(C$2:C407)-1</f>
        <v/>
      </c>
      <c r="J407" s="20">
        <f>D407/D406-1</f>
        <v/>
      </c>
      <c r="K407" s="20">
        <f>D407/MAX(D$2:D407)-1</f>
        <v/>
      </c>
      <c r="L407" s="20">
        <f>E407/E406-1</f>
        <v/>
      </c>
      <c r="M407" s="20">
        <f>E407/MAX(E$2:E407)-1</f>
        <v/>
      </c>
    </row>
    <row r="408">
      <c r="A408" s="11" t="n">
        <v>44272</v>
      </c>
      <c r="B408" s="19" t="n">
        <v>1.835989802120208</v>
      </c>
      <c r="C408" s="19" t="n">
        <v>1.577098222864307</v>
      </c>
      <c r="D408" s="19" t="n">
        <v>1.747458896880368</v>
      </c>
      <c r="E408" s="19" t="n">
        <v>1.308171866223771</v>
      </c>
      <c r="F408" s="20">
        <f>B408/B407-1</f>
        <v/>
      </c>
      <c r="G408" s="20">
        <f>B408/MAX(B$2:B408)-1</f>
        <v/>
      </c>
      <c r="H408" s="20">
        <f>C408/C407-1</f>
        <v/>
      </c>
      <c r="I408" s="20">
        <f>C408/MAX(C$2:C408)-1</f>
        <v/>
      </c>
      <c r="J408" s="20">
        <f>D408/D407-1</f>
        <v/>
      </c>
      <c r="K408" s="20">
        <f>D408/MAX(D$2:D408)-1</f>
        <v/>
      </c>
      <c r="L408" s="20">
        <f>E408/E407-1</f>
        <v/>
      </c>
      <c r="M408" s="20">
        <f>E408/MAX(E$2:E408)-1</f>
        <v/>
      </c>
    </row>
    <row r="409">
      <c r="A409" s="11" t="n">
        <v>44273</v>
      </c>
      <c r="B409" s="19" t="n">
        <v>1.849724195718346</v>
      </c>
      <c r="C409" s="19" t="n">
        <v>1.592666925285649</v>
      </c>
      <c r="D409" s="19" t="n">
        <v>1.776273456305421</v>
      </c>
      <c r="E409" s="19" t="n">
        <v>1.316935540866771</v>
      </c>
      <c r="F409" s="20">
        <f>B409/B408-1</f>
        <v/>
      </c>
      <c r="G409" s="20">
        <f>B409/MAX(B$2:B409)-1</f>
        <v/>
      </c>
      <c r="H409" s="20">
        <f>C409/C408-1</f>
        <v/>
      </c>
      <c r="I409" s="20">
        <f>C409/MAX(C$2:C409)-1</f>
        <v/>
      </c>
      <c r="J409" s="20">
        <f>D409/D408-1</f>
        <v/>
      </c>
      <c r="K409" s="20">
        <f>D409/MAX(D$2:D409)-1</f>
        <v/>
      </c>
      <c r="L409" s="20">
        <f>E409/E408-1</f>
        <v/>
      </c>
      <c r="M409" s="20">
        <f>E409/MAX(E$2:E409)-1</f>
        <v/>
      </c>
    </row>
    <row r="410">
      <c r="A410" s="11" t="n">
        <v>44274</v>
      </c>
      <c r="B410" s="19" t="n">
        <v>1.817205430246476</v>
      </c>
      <c r="C410" s="19" t="n">
        <v>1.560277422971667</v>
      </c>
      <c r="D410" s="19" t="n">
        <v>1.72638039553265</v>
      </c>
      <c r="E410" s="19" t="n">
        <v>1.292705245185745</v>
      </c>
      <c r="F410" s="20">
        <f>B410/B409-1</f>
        <v/>
      </c>
      <c r="G410" s="20">
        <f>B410/MAX(B$2:B410)-1</f>
        <v/>
      </c>
      <c r="H410" s="20">
        <f>C410/C409-1</f>
        <v/>
      </c>
      <c r="I410" s="20">
        <f>C410/MAX(C$2:C410)-1</f>
        <v/>
      </c>
      <c r="J410" s="20">
        <f>D410/D409-1</f>
        <v/>
      </c>
      <c r="K410" s="20">
        <f>D410/MAX(D$2:D410)-1</f>
        <v/>
      </c>
      <c r="L410" s="20">
        <f>E410/E409-1</f>
        <v/>
      </c>
      <c r="M410" s="20">
        <f>E410/MAX(E$2:E410)-1</f>
        <v/>
      </c>
    </row>
    <row r="411">
      <c r="A411" s="11" t="n">
        <v>44277</v>
      </c>
      <c r="B411" s="19" t="n">
        <v>1.835896669266611</v>
      </c>
      <c r="C411" s="19" t="n">
        <v>1.589660467587289</v>
      </c>
      <c r="D411" s="19" t="n">
        <v>1.743662436379125</v>
      </c>
      <c r="E411" s="19" t="n">
        <v>1.308863735274534</v>
      </c>
      <c r="F411" s="20">
        <f>B411/B410-1</f>
        <v/>
      </c>
      <c r="G411" s="20">
        <f>B411/MAX(B$2:B411)-1</f>
        <v/>
      </c>
      <c r="H411" s="20">
        <f>C411/C410-1</f>
        <v/>
      </c>
      <c r="I411" s="20">
        <f>C411/MAX(C$2:C411)-1</f>
        <v/>
      </c>
      <c r="J411" s="20">
        <f>D411/D410-1</f>
        <v/>
      </c>
      <c r="K411" s="20">
        <f>D411/MAX(D$2:D411)-1</f>
        <v/>
      </c>
      <c r="L411" s="20">
        <f>E411/E410-1</f>
        <v/>
      </c>
      <c r="M411" s="20">
        <f>E411/MAX(E$2:E411)-1</f>
        <v/>
      </c>
    </row>
    <row r="412">
      <c r="A412" s="11" t="n">
        <v>44278</v>
      </c>
      <c r="B412" s="19" t="n">
        <v>1.807141314669232</v>
      </c>
      <c r="C412" s="19" t="n">
        <v>1.575740256754296</v>
      </c>
      <c r="D412" s="19" t="n">
        <v>1.724159929153933</v>
      </c>
      <c r="E412" s="19" t="n">
        <v>1.295119347411257</v>
      </c>
      <c r="F412" s="20">
        <f>B412/B411-1</f>
        <v/>
      </c>
      <c r="G412" s="20">
        <f>B412/MAX(B$2:B412)-1</f>
        <v/>
      </c>
      <c r="H412" s="20">
        <f>C412/C411-1</f>
        <v/>
      </c>
      <c r="I412" s="20">
        <f>C412/MAX(C$2:C412)-1</f>
        <v/>
      </c>
      <c r="J412" s="20">
        <f>D412/D411-1</f>
        <v/>
      </c>
      <c r="K412" s="20">
        <f>D412/MAX(D$2:D412)-1</f>
        <v/>
      </c>
      <c r="L412" s="20">
        <f>E412/E411-1</f>
        <v/>
      </c>
      <c r="M412" s="20">
        <f>E412/MAX(E$2:E412)-1</f>
        <v/>
      </c>
    </row>
    <row r="413">
      <c r="A413" s="11" t="n">
        <v>44279</v>
      </c>
      <c r="B413" s="19" t="n">
        <v>1.781547770349439</v>
      </c>
      <c r="C413" s="19" t="n">
        <v>1.554612128043813</v>
      </c>
      <c r="D413" s="19" t="n">
        <v>1.702532595672272</v>
      </c>
      <c r="E413" s="19" t="n">
        <v>1.276598831262066</v>
      </c>
      <c r="F413" s="20">
        <f>B413/B412-1</f>
        <v/>
      </c>
      <c r="G413" s="20">
        <f>B413/MAX(B$2:B413)-1</f>
        <v/>
      </c>
      <c r="H413" s="20">
        <f>C413/C412-1</f>
        <v/>
      </c>
      <c r="I413" s="20">
        <f>C413/MAX(C$2:C413)-1</f>
        <v/>
      </c>
      <c r="J413" s="20">
        <f>D413/D412-1</f>
        <v/>
      </c>
      <c r="K413" s="20">
        <f>D413/MAX(D$2:D413)-1</f>
        <v/>
      </c>
      <c r="L413" s="20">
        <f>E413/E412-1</f>
        <v/>
      </c>
      <c r="M413" s="20">
        <f>E413/MAX(E$2:E413)-1</f>
        <v/>
      </c>
    </row>
    <row r="414">
      <c r="A414" s="11" t="n">
        <v>44280</v>
      </c>
      <c r="B414" s="19" t="n">
        <v>1.77583436372918</v>
      </c>
      <c r="C414" s="19" t="n">
        <v>1.551482678019607</v>
      </c>
      <c r="D414" s="19" t="n">
        <v>1.716351688632984</v>
      </c>
      <c r="E414" s="19" t="n">
        <v>1.275832567689715</v>
      </c>
      <c r="F414" s="20">
        <f>B414/B413-1</f>
        <v/>
      </c>
      <c r="G414" s="20">
        <f>B414/MAX(B$2:B414)-1</f>
        <v/>
      </c>
      <c r="H414" s="20">
        <f>C414/C413-1</f>
        <v/>
      </c>
      <c r="I414" s="20">
        <f>C414/MAX(C$2:C414)-1</f>
        <v/>
      </c>
      <c r="J414" s="20">
        <f>D414/D413-1</f>
        <v/>
      </c>
      <c r="K414" s="20">
        <f>D414/MAX(D$2:D414)-1</f>
        <v/>
      </c>
      <c r="L414" s="20">
        <f>E414/E413-1</f>
        <v/>
      </c>
      <c r="M414" s="20">
        <f>E414/MAX(E$2:E414)-1</f>
        <v/>
      </c>
    </row>
    <row r="415">
      <c r="A415" s="11" t="n">
        <v>44281</v>
      </c>
      <c r="B415" s="19" t="n">
        <v>1.810668092028284</v>
      </c>
      <c r="C415" s="19" t="n">
        <v>1.597700567799339</v>
      </c>
      <c r="D415" s="19" t="n">
        <v>1.774124332288163</v>
      </c>
      <c r="E415" s="19" t="n">
        <v>1.301602829967601</v>
      </c>
      <c r="F415" s="20">
        <f>B415/B414-1</f>
        <v/>
      </c>
      <c r="G415" s="20">
        <f>B415/MAX(B$2:B415)-1</f>
        <v/>
      </c>
      <c r="H415" s="20">
        <f>C415/C414-1</f>
        <v/>
      </c>
      <c r="I415" s="20">
        <f>C415/MAX(C$2:C415)-1</f>
        <v/>
      </c>
      <c r="J415" s="20">
        <f>D415/D414-1</f>
        <v/>
      </c>
      <c r="K415" s="20">
        <f>D415/MAX(D$2:D415)-1</f>
        <v/>
      </c>
      <c r="L415" s="20">
        <f>E415/E414-1</f>
        <v/>
      </c>
      <c r="M415" s="20">
        <f>E415/MAX(E$2:E415)-1</f>
        <v/>
      </c>
    </row>
    <row r="416">
      <c r="A416" s="11" t="n">
        <v>44284</v>
      </c>
      <c r="B416" s="19" t="n">
        <v>1.800364723071077</v>
      </c>
      <c r="C416" s="19" t="n">
        <v>1.594761354243151</v>
      </c>
      <c r="D416" s="19" t="n">
        <v>1.766733612598182</v>
      </c>
      <c r="E416" s="19" t="n">
        <v>1.303946257397605</v>
      </c>
      <c r="F416" s="20">
        <f>B416/B415-1</f>
        <v/>
      </c>
      <c r="G416" s="20">
        <f>B416/MAX(B$2:B416)-1</f>
        <v/>
      </c>
      <c r="H416" s="20">
        <f>C416/C415-1</f>
        <v/>
      </c>
      <c r="I416" s="20">
        <f>C416/MAX(C$2:C416)-1</f>
        <v/>
      </c>
      <c r="J416" s="20">
        <f>D416/D415-1</f>
        <v/>
      </c>
      <c r="K416" s="20">
        <f>D416/MAX(D$2:D416)-1</f>
        <v/>
      </c>
      <c r="L416" s="20">
        <f>E416/E415-1</f>
        <v/>
      </c>
      <c r="M416" s="20">
        <f>E416/MAX(E$2:E416)-1</f>
        <v/>
      </c>
    </row>
    <row r="417">
      <c r="A417" s="11" t="n">
        <v>44285</v>
      </c>
      <c r="B417" s="19" t="n">
        <v>1.822988424184023</v>
      </c>
      <c r="C417" s="19" t="n">
        <v>1.61920796693974</v>
      </c>
      <c r="D417" s="19" t="n">
        <v>1.790875570456172</v>
      </c>
      <c r="E417" s="19" t="n">
        <v>1.310597127627521</v>
      </c>
      <c r="F417" s="20">
        <f>B417/B416-1</f>
        <v/>
      </c>
      <c r="G417" s="20">
        <f>B417/MAX(B$2:B417)-1</f>
        <v/>
      </c>
      <c r="H417" s="20">
        <f>C417/C416-1</f>
        <v/>
      </c>
      <c r="I417" s="20">
        <f>C417/MAX(C$2:C417)-1</f>
        <v/>
      </c>
      <c r="J417" s="20">
        <f>D417/D416-1</f>
        <v/>
      </c>
      <c r="K417" s="20">
        <f>D417/MAX(D$2:D417)-1</f>
        <v/>
      </c>
      <c r="L417" s="20">
        <f>E417/E416-1</f>
        <v/>
      </c>
      <c r="M417" s="20">
        <f>E417/MAX(E$2:E417)-1</f>
        <v/>
      </c>
    </row>
    <row r="418">
      <c r="A418" s="11" t="n">
        <v>44286</v>
      </c>
      <c r="B418" s="19" t="n">
        <v>1.819038637424209</v>
      </c>
      <c r="C418" s="19" t="n">
        <v>1.615662161196907</v>
      </c>
      <c r="D418" s="19" t="n">
        <v>1.782590680244893</v>
      </c>
      <c r="E418" s="19" t="n">
        <v>1.303518488898478</v>
      </c>
      <c r="F418" s="20">
        <f>B418/B417-1</f>
        <v/>
      </c>
      <c r="G418" s="20">
        <f>B418/MAX(B$2:B418)-1</f>
        <v/>
      </c>
      <c r="H418" s="20">
        <f>C418/C417-1</f>
        <v/>
      </c>
      <c r="I418" s="20">
        <f>C418/MAX(C$2:C418)-1</f>
        <v/>
      </c>
      <c r="J418" s="20">
        <f>D418/D417-1</f>
        <v/>
      </c>
      <c r="K418" s="20">
        <f>D418/MAX(D$2:D418)-1</f>
        <v/>
      </c>
      <c r="L418" s="20">
        <f>E418/E417-1</f>
        <v/>
      </c>
      <c r="M418" s="20">
        <f>E418/MAX(E$2:E418)-1</f>
        <v/>
      </c>
    </row>
    <row r="419">
      <c r="A419" s="11" t="n">
        <v>44287</v>
      </c>
      <c r="B419" s="19" t="n">
        <v>1.846702581193708</v>
      </c>
      <c r="C419" s="19" t="n">
        <v>1.630823502645393</v>
      </c>
      <c r="D419" s="19" t="n">
        <v>1.819368119929095</v>
      </c>
      <c r="E419" s="19" t="n">
        <v>1.316292028255039</v>
      </c>
      <c r="F419" s="20">
        <f>B419/B418-1</f>
        <v/>
      </c>
      <c r="G419" s="20">
        <f>B419/MAX(B$2:B419)-1</f>
        <v/>
      </c>
      <c r="H419" s="20">
        <f>C419/C418-1</f>
        <v/>
      </c>
      <c r="I419" s="20">
        <f>C419/MAX(C$2:C419)-1</f>
        <v/>
      </c>
      <c r="J419" s="20">
        <f>D419/D418-1</f>
        <v/>
      </c>
      <c r="K419" s="20">
        <f>D419/MAX(D$2:D419)-1</f>
        <v/>
      </c>
      <c r="L419" s="20">
        <f>E419/E418-1</f>
        <v/>
      </c>
      <c r="M419" s="20">
        <f>E419/MAX(E$2:E419)-1</f>
        <v/>
      </c>
    </row>
    <row r="420">
      <c r="A420" s="11" t="n">
        <v>44288</v>
      </c>
      <c r="B420" s="19" t="n">
        <v>1.848608298557332</v>
      </c>
      <c r="C420" s="19" t="n">
        <v>1.634192155186782</v>
      </c>
      <c r="D420" s="19" t="n">
        <v>1.843159181933167</v>
      </c>
      <c r="E420" s="19" t="n">
        <v>1.326033990856913</v>
      </c>
      <c r="F420" s="20">
        <f>B420/B419-1</f>
        <v/>
      </c>
      <c r="G420" s="20">
        <f>B420/MAX(B$2:B420)-1</f>
        <v/>
      </c>
      <c r="H420" s="20">
        <f>C420/C419-1</f>
        <v/>
      </c>
      <c r="I420" s="20">
        <f>C420/MAX(C$2:C420)-1</f>
        <v/>
      </c>
      <c r="J420" s="20">
        <f>D420/D419-1</f>
        <v/>
      </c>
      <c r="K420" s="20">
        <f>D420/MAX(D$2:D420)-1</f>
        <v/>
      </c>
      <c r="L420" s="20">
        <f>E420/E419-1</f>
        <v/>
      </c>
      <c r="M420" s="20">
        <f>E420/MAX(E$2:E420)-1</f>
        <v/>
      </c>
    </row>
    <row r="421">
      <c r="A421" s="11" t="n">
        <v>44292</v>
      </c>
      <c r="B421" s="19" t="n">
        <v>1.85396106390439</v>
      </c>
      <c r="C421" s="19" t="n">
        <v>1.643654002433391</v>
      </c>
      <c r="D421" s="19" t="n">
        <v>1.829827207378868</v>
      </c>
      <c r="E421" s="19" t="n">
        <v>1.327094112789534</v>
      </c>
      <c r="F421" s="20">
        <f>B421/B420-1</f>
        <v/>
      </c>
      <c r="G421" s="20">
        <f>B421/MAX(B$2:B421)-1</f>
        <v/>
      </c>
      <c r="H421" s="20">
        <f>C421/C420-1</f>
        <v/>
      </c>
      <c r="I421" s="20">
        <f>C421/MAX(C$2:C421)-1</f>
        <v/>
      </c>
      <c r="J421" s="20">
        <f>D421/D420-1</f>
        <v/>
      </c>
      <c r="K421" s="20">
        <f>D421/MAX(D$2:D421)-1</f>
        <v/>
      </c>
      <c r="L421" s="20">
        <f>E421/E420-1</f>
        <v/>
      </c>
      <c r="M421" s="20">
        <f>E421/MAX(E$2:E421)-1</f>
        <v/>
      </c>
    </row>
    <row r="422">
      <c r="A422" s="11" t="n">
        <v>44293</v>
      </c>
      <c r="B422" s="19" t="n">
        <v>1.840135236116465</v>
      </c>
      <c r="C422" s="19" t="n">
        <v>1.628780973851985</v>
      </c>
      <c r="D422" s="19" t="n">
        <v>1.814060997848291</v>
      </c>
      <c r="E422" s="19" t="n">
        <v>1.323244196297385</v>
      </c>
      <c r="F422" s="20">
        <f>B422/B421-1</f>
        <v/>
      </c>
      <c r="G422" s="20">
        <f>B422/MAX(B$2:B422)-1</f>
        <v/>
      </c>
      <c r="H422" s="20">
        <f>C422/C421-1</f>
        <v/>
      </c>
      <c r="I422" s="20">
        <f>C422/MAX(C$2:C422)-1</f>
        <v/>
      </c>
      <c r="J422" s="20">
        <f>D422/D421-1</f>
        <v/>
      </c>
      <c r="K422" s="20">
        <f>D422/MAX(D$2:D422)-1</f>
        <v/>
      </c>
      <c r="L422" s="20">
        <f>E422/E421-1</f>
        <v/>
      </c>
      <c r="M422" s="20">
        <f>E422/MAX(E$2:E422)-1</f>
        <v/>
      </c>
    </row>
    <row r="423">
      <c r="A423" s="11" t="n">
        <v>44294</v>
      </c>
      <c r="B423" s="19" t="n">
        <v>1.84062495948624</v>
      </c>
      <c r="C423" s="19" t="n">
        <v>1.628593430997674</v>
      </c>
      <c r="D423" s="19" t="n">
        <v>1.826848793031351</v>
      </c>
      <c r="E423" s="19" t="n">
        <v>1.323110286158527</v>
      </c>
      <c r="F423" s="20">
        <f>B423/B422-1</f>
        <v/>
      </c>
      <c r="G423" s="20">
        <f>B423/MAX(B$2:B423)-1</f>
        <v/>
      </c>
      <c r="H423" s="20">
        <f>C423/C422-1</f>
        <v/>
      </c>
      <c r="I423" s="20">
        <f>C423/MAX(C$2:C423)-1</f>
        <v/>
      </c>
      <c r="J423" s="20">
        <f>D423/D422-1</f>
        <v/>
      </c>
      <c r="K423" s="20">
        <f>D423/MAX(D$2:D423)-1</f>
        <v/>
      </c>
      <c r="L423" s="20">
        <f>E423/E422-1</f>
        <v/>
      </c>
      <c r="M423" s="20">
        <f>E423/MAX(E$2:E423)-1</f>
        <v/>
      </c>
    </row>
    <row r="424">
      <c r="A424" s="11" t="n">
        <v>44295</v>
      </c>
      <c r="B424" s="19" t="n">
        <v>1.82639183335885</v>
      </c>
      <c r="C424" s="19" t="n">
        <v>1.613531416554613</v>
      </c>
      <c r="D424" s="19" t="n">
        <v>1.798633082939308</v>
      </c>
      <c r="E424" s="19" t="n">
        <v>1.310939342426824</v>
      </c>
      <c r="F424" s="20">
        <f>B424/B423-1</f>
        <v/>
      </c>
      <c r="G424" s="20">
        <f>B424/MAX(B$2:B424)-1</f>
        <v/>
      </c>
      <c r="H424" s="20">
        <f>C424/C423-1</f>
        <v/>
      </c>
      <c r="I424" s="20">
        <f>C424/MAX(C$2:C424)-1</f>
        <v/>
      </c>
      <c r="J424" s="20">
        <f>D424/D423-1</f>
        <v/>
      </c>
      <c r="K424" s="20">
        <f>D424/MAX(D$2:D424)-1</f>
        <v/>
      </c>
      <c r="L424" s="20">
        <f>E424/E423-1</f>
        <v/>
      </c>
      <c r="M424" s="20">
        <f>E424/MAX(E$2:E424)-1</f>
        <v/>
      </c>
    </row>
    <row r="425">
      <c r="A425" s="11" t="n">
        <v>44298</v>
      </c>
      <c r="B425" s="19" t="n">
        <v>1.79391013735221</v>
      </c>
      <c r="C425" s="19" t="n">
        <v>1.572881659208323</v>
      </c>
      <c r="D425" s="19" t="n">
        <v>1.757680176458611</v>
      </c>
      <c r="E425" s="19" t="n">
        <v>1.2891789448625</v>
      </c>
      <c r="F425" s="20">
        <f>B425/B424-1</f>
        <v/>
      </c>
      <c r="G425" s="20">
        <f>B425/MAX(B$2:B425)-1</f>
        <v/>
      </c>
      <c r="H425" s="20">
        <f>C425/C424-1</f>
        <v/>
      </c>
      <c r="I425" s="20">
        <f>C425/MAX(C$2:C425)-1</f>
        <v/>
      </c>
      <c r="J425" s="20">
        <f>D425/D424-1</f>
        <v/>
      </c>
      <c r="K425" s="20">
        <f>D425/MAX(D$2:D425)-1</f>
        <v/>
      </c>
      <c r="L425" s="20">
        <f>E425/E424-1</f>
        <v/>
      </c>
      <c r="M425" s="20">
        <f>E425/MAX(E$2:E425)-1</f>
        <v/>
      </c>
    </row>
    <row r="426">
      <c r="A426" s="11" t="n">
        <v>44299</v>
      </c>
      <c r="B426" s="19" t="n">
        <v>1.792023732812781</v>
      </c>
      <c r="C426" s="19" t="n">
        <v>1.581138932025455</v>
      </c>
      <c r="D426" s="19" t="n">
        <v>1.772477965129741</v>
      </c>
      <c r="E426" s="19" t="n">
        <v>1.28557081056551</v>
      </c>
      <c r="F426" s="20">
        <f>B426/B425-1</f>
        <v/>
      </c>
      <c r="G426" s="20">
        <f>B426/MAX(B$2:B426)-1</f>
        <v/>
      </c>
      <c r="H426" s="20">
        <f>C426/C425-1</f>
        <v/>
      </c>
      <c r="I426" s="20">
        <f>C426/MAX(C$2:C426)-1</f>
        <v/>
      </c>
      <c r="J426" s="20">
        <f>D426/D425-1</f>
        <v/>
      </c>
      <c r="K426" s="20">
        <f>D426/MAX(D$2:D426)-1</f>
        <v/>
      </c>
      <c r="L426" s="20">
        <f>E426/E425-1</f>
        <v/>
      </c>
      <c r="M426" s="20">
        <f>E426/MAX(E$2:E426)-1</f>
        <v/>
      </c>
    </row>
    <row r="427">
      <c r="A427" s="11" t="n">
        <v>44300</v>
      </c>
      <c r="B427" s="19" t="n">
        <v>1.814284546097972</v>
      </c>
      <c r="C427" s="19" t="n">
        <v>1.605811856373631</v>
      </c>
      <c r="D427" s="19" t="n">
        <v>1.812257018353275</v>
      </c>
      <c r="E427" s="19" t="n">
        <v>1.299069696507549</v>
      </c>
      <c r="F427" s="20">
        <f>B427/B426-1</f>
        <v/>
      </c>
      <c r="G427" s="20">
        <f>B427/MAX(B$2:B427)-1</f>
        <v/>
      </c>
      <c r="H427" s="20">
        <f>C427/C426-1</f>
        <v/>
      </c>
      <c r="I427" s="20">
        <f>C427/MAX(C$2:C427)-1</f>
        <v/>
      </c>
      <c r="J427" s="20">
        <f>D427/D426-1</f>
        <v/>
      </c>
      <c r="K427" s="20">
        <f>D427/MAX(D$2:D427)-1</f>
        <v/>
      </c>
      <c r="L427" s="20">
        <f>E427/E426-1</f>
        <v/>
      </c>
      <c r="M427" s="20">
        <f>E427/MAX(E$2:E427)-1</f>
        <v/>
      </c>
    </row>
    <row r="428">
      <c r="A428" s="11" t="n">
        <v>44301</v>
      </c>
      <c r="B428" s="19" t="n">
        <v>1.813155400630322</v>
      </c>
      <c r="C428" s="19" t="n">
        <v>1.606476072653496</v>
      </c>
      <c r="D428" s="19" t="n">
        <v>1.803361776145635</v>
      </c>
      <c r="E428" s="19" t="n">
        <v>1.292835435598523</v>
      </c>
      <c r="F428" s="20">
        <f>B428/B427-1</f>
        <v/>
      </c>
      <c r="G428" s="20">
        <f>B428/MAX(B$2:B428)-1</f>
        <v/>
      </c>
      <c r="H428" s="20">
        <f>C428/C427-1</f>
        <v/>
      </c>
      <c r="I428" s="20">
        <f>C428/MAX(C$2:C428)-1</f>
        <v/>
      </c>
      <c r="J428" s="20">
        <f>D428/D427-1</f>
        <v/>
      </c>
      <c r="K428" s="20">
        <f>D428/MAX(D$2:D428)-1</f>
        <v/>
      </c>
      <c r="L428" s="20">
        <f>E428/E427-1</f>
        <v/>
      </c>
      <c r="M428" s="20">
        <f>E428/MAX(E$2:E428)-1</f>
        <v/>
      </c>
    </row>
    <row r="429">
      <c r="A429" s="11" t="n">
        <v>44302</v>
      </c>
      <c r="B429" s="19" t="n">
        <v>1.814391338641228</v>
      </c>
      <c r="C429" s="19" t="n">
        <v>1.608660785770408</v>
      </c>
      <c r="D429" s="19" t="n">
        <v>1.798663325896883</v>
      </c>
      <c r="E429" s="19" t="n">
        <v>1.30214219024911</v>
      </c>
      <c r="F429" s="20">
        <f>B429/B428-1</f>
        <v/>
      </c>
      <c r="G429" s="20">
        <f>B429/MAX(B$2:B429)-1</f>
        <v/>
      </c>
      <c r="H429" s="20">
        <f>C429/C428-1</f>
        <v/>
      </c>
      <c r="I429" s="20">
        <f>C429/MAX(C$2:C429)-1</f>
        <v/>
      </c>
      <c r="J429" s="20">
        <f>D429/D428-1</f>
        <v/>
      </c>
      <c r="K429" s="20">
        <f>D429/MAX(D$2:D429)-1</f>
        <v/>
      </c>
      <c r="L429" s="20">
        <f>E429/E428-1</f>
        <v/>
      </c>
      <c r="M429" s="20">
        <f>E429/MAX(E$2:E429)-1</f>
        <v/>
      </c>
    </row>
    <row r="430">
      <c r="A430" s="11" t="n">
        <v>44305</v>
      </c>
      <c r="B430" s="19" t="n">
        <v>1.842220243528984</v>
      </c>
      <c r="C430" s="19" t="n">
        <v>1.657852713683533</v>
      </c>
      <c r="D430" s="19" t="n">
        <v>1.873207822043717</v>
      </c>
      <c r="E430" s="19" t="n">
        <v>1.329746277484126</v>
      </c>
      <c r="F430" s="20">
        <f>B430/B429-1</f>
        <v/>
      </c>
      <c r="G430" s="20">
        <f>B430/MAX(B$2:B430)-1</f>
        <v/>
      </c>
      <c r="H430" s="20">
        <f>C430/C429-1</f>
        <v/>
      </c>
      <c r="I430" s="20">
        <f>C430/MAX(C$2:C430)-1</f>
        <v/>
      </c>
      <c r="J430" s="20">
        <f>D430/D429-1</f>
        <v/>
      </c>
      <c r="K430" s="20">
        <f>D430/MAX(D$2:D430)-1</f>
        <v/>
      </c>
      <c r="L430" s="20">
        <f>E430/E429-1</f>
        <v/>
      </c>
      <c r="M430" s="20">
        <f>E430/MAX(E$2:E430)-1</f>
        <v/>
      </c>
    </row>
    <row r="431">
      <c r="A431" s="11" t="n">
        <v>44306</v>
      </c>
      <c r="B431" s="19" t="n">
        <v>1.842180623851663</v>
      </c>
      <c r="C431" s="19" t="n">
        <v>1.657782679727166</v>
      </c>
      <c r="D431" s="19" t="n">
        <v>1.871514087176101</v>
      </c>
      <c r="E431" s="19" t="n">
        <v>1.32788641444444</v>
      </c>
      <c r="F431" s="20">
        <f>B431/B430-1</f>
        <v/>
      </c>
      <c r="G431" s="20">
        <f>B431/MAX(B$2:B431)-1</f>
        <v/>
      </c>
      <c r="H431" s="20">
        <f>C431/C430-1</f>
        <v/>
      </c>
      <c r="I431" s="20">
        <f>C431/MAX(C$2:C431)-1</f>
        <v/>
      </c>
      <c r="J431" s="20">
        <f>D431/D430-1</f>
        <v/>
      </c>
      <c r="K431" s="20">
        <f>D431/MAX(D$2:D431)-1</f>
        <v/>
      </c>
      <c r="L431" s="20">
        <f>E431/E430-1</f>
        <v/>
      </c>
      <c r="M431" s="20">
        <f>E431/MAX(E$2:E431)-1</f>
        <v/>
      </c>
    </row>
    <row r="432">
      <c r="A432" s="11" t="n">
        <v>44307</v>
      </c>
      <c r="B432" s="19" t="n">
        <v>1.845104860804637</v>
      </c>
      <c r="C432" s="19" t="n">
        <v>1.66295172442985</v>
      </c>
      <c r="D432" s="19" t="n">
        <v>1.884998633574064</v>
      </c>
      <c r="E432" s="19" t="n">
        <v>1.329214356654776</v>
      </c>
      <c r="F432" s="20">
        <f>B432/B431-1</f>
        <v/>
      </c>
      <c r="G432" s="20">
        <f>B432/MAX(B$2:B432)-1</f>
        <v/>
      </c>
      <c r="H432" s="20">
        <f>C432/C431-1</f>
        <v/>
      </c>
      <c r="I432" s="20">
        <f>C432/MAX(C$2:C432)-1</f>
        <v/>
      </c>
      <c r="J432" s="20">
        <f>D432/D431-1</f>
        <v/>
      </c>
      <c r="K432" s="20">
        <f>D432/MAX(D$2:D432)-1</f>
        <v/>
      </c>
      <c r="L432" s="20">
        <f>E432/E431-1</f>
        <v/>
      </c>
      <c r="M432" s="20">
        <f>E432/MAX(E$2:E432)-1</f>
        <v/>
      </c>
    </row>
    <row r="433">
      <c r="A433" s="11" t="n">
        <v>44308</v>
      </c>
      <c r="B433" s="19" t="n">
        <v>1.851350565513824</v>
      </c>
      <c r="C433" s="19" t="n">
        <v>1.673991981208196</v>
      </c>
      <c r="D433" s="19" t="n">
        <v>1.899487078147091</v>
      </c>
      <c r="E433" s="19" t="n">
        <v>1.331208129833319</v>
      </c>
      <c r="F433" s="20">
        <f>B433/B432-1</f>
        <v/>
      </c>
      <c r="G433" s="20">
        <f>B433/MAX(B$2:B433)-1</f>
        <v/>
      </c>
      <c r="H433" s="20">
        <f>C433/C432-1</f>
        <v/>
      </c>
      <c r="I433" s="20">
        <f>C433/MAX(C$2:C433)-1</f>
        <v/>
      </c>
      <c r="J433" s="20">
        <f>D433/D432-1</f>
        <v/>
      </c>
      <c r="K433" s="20">
        <f>D433/MAX(D$2:D433)-1</f>
        <v/>
      </c>
      <c r="L433" s="20">
        <f>E433/E432-1</f>
        <v/>
      </c>
      <c r="M433" s="20">
        <f>E433/MAX(E$2:E433)-1</f>
        <v/>
      </c>
    </row>
    <row r="434">
      <c r="A434" s="11" t="n">
        <v>44309</v>
      </c>
      <c r="B434" s="19" t="n">
        <v>1.861362343685086</v>
      </c>
      <c r="C434" s="19" t="n">
        <v>1.691689359961308</v>
      </c>
      <c r="D434" s="19" t="n">
        <v>1.935089307518341</v>
      </c>
      <c r="E434" s="19" t="n">
        <v>1.337066698408329</v>
      </c>
      <c r="F434" s="20">
        <f>B434/B433-1</f>
        <v/>
      </c>
      <c r="G434" s="20">
        <f>B434/MAX(B$2:B434)-1</f>
        <v/>
      </c>
      <c r="H434" s="20">
        <f>C434/C433-1</f>
        <v/>
      </c>
      <c r="I434" s="20">
        <f>C434/MAX(C$2:C434)-1</f>
        <v/>
      </c>
      <c r="J434" s="20">
        <f>D434/D433-1</f>
        <v/>
      </c>
      <c r="K434" s="20">
        <f>D434/MAX(D$2:D434)-1</f>
        <v/>
      </c>
      <c r="L434" s="20">
        <f>E434/E433-1</f>
        <v/>
      </c>
      <c r="M434" s="20">
        <f>E434/MAX(E$2:E434)-1</f>
        <v/>
      </c>
    </row>
    <row r="435">
      <c r="A435" s="11" t="n">
        <v>44312</v>
      </c>
      <c r="B435" s="19" t="n">
        <v>1.858465835063974</v>
      </c>
      <c r="C435" s="19" t="n">
        <v>1.686569329408033</v>
      </c>
      <c r="D435" s="19" t="n">
        <v>1.918880051583629</v>
      </c>
      <c r="E435" s="19" t="n">
        <v>1.325970755513564</v>
      </c>
      <c r="F435" s="20">
        <f>B435/B434-1</f>
        <v/>
      </c>
      <c r="G435" s="20">
        <f>B435/MAX(B$2:B435)-1</f>
        <v/>
      </c>
      <c r="H435" s="20">
        <f>C435/C434-1</f>
        <v/>
      </c>
      <c r="I435" s="20">
        <f>C435/MAX(C$2:C435)-1</f>
        <v/>
      </c>
      <c r="J435" s="20">
        <f>D435/D434-1</f>
        <v/>
      </c>
      <c r="K435" s="20">
        <f>D435/MAX(D$2:D435)-1</f>
        <v/>
      </c>
      <c r="L435" s="20">
        <f>E435/E434-1</f>
        <v/>
      </c>
      <c r="M435" s="20">
        <f>E435/MAX(E$2:E435)-1</f>
        <v/>
      </c>
    </row>
    <row r="436">
      <c r="A436" s="11" t="n">
        <v>44313</v>
      </c>
      <c r="B436" s="19" t="n">
        <v>1.859539049400173</v>
      </c>
      <c r="C436" s="19" t="n">
        <v>1.688466403061292</v>
      </c>
      <c r="D436" s="19" t="n">
        <v>1.929625800913325</v>
      </c>
      <c r="E436" s="19" t="n">
        <v>1.325970755513564</v>
      </c>
      <c r="F436" s="20">
        <f>B436/B435-1</f>
        <v/>
      </c>
      <c r="G436" s="20">
        <f>B436/MAX(B$2:B436)-1</f>
        <v/>
      </c>
      <c r="H436" s="20">
        <f>C436/C435-1</f>
        <v/>
      </c>
      <c r="I436" s="20">
        <f>C436/MAX(C$2:C436)-1</f>
        <v/>
      </c>
      <c r="J436" s="20">
        <f>D436/D435-1</f>
        <v/>
      </c>
      <c r="K436" s="20">
        <f>D436/MAX(D$2:D436)-1</f>
        <v/>
      </c>
      <c r="L436" s="20">
        <f>E436/E435-1</f>
        <v/>
      </c>
      <c r="M436" s="20">
        <f>E436/MAX(E$2:E436)-1</f>
        <v/>
      </c>
    </row>
    <row r="437">
      <c r="A437" s="11" t="n">
        <v>44314</v>
      </c>
      <c r="B437" s="19" t="n">
        <v>1.86859756071987</v>
      </c>
      <c r="C437" s="19" t="n">
        <v>1.704478734040038</v>
      </c>
      <c r="D437" s="19" t="n">
        <v>1.971339886448034</v>
      </c>
      <c r="E437" s="19" t="n">
        <v>1.333663149045704</v>
      </c>
      <c r="F437" s="20">
        <f>B437/B436-1</f>
        <v/>
      </c>
      <c r="G437" s="20">
        <f>B437/MAX(B$2:B437)-1</f>
        <v/>
      </c>
      <c r="H437" s="20">
        <f>C437/C436-1</f>
        <v/>
      </c>
      <c r="I437" s="20">
        <f>C437/MAX(C$2:C437)-1</f>
        <v/>
      </c>
      <c r="J437" s="20">
        <f>D437/D436-1</f>
        <v/>
      </c>
      <c r="K437" s="20">
        <f>D437/MAX(D$2:D437)-1</f>
        <v/>
      </c>
      <c r="L437" s="20">
        <f>E437/E436-1</f>
        <v/>
      </c>
      <c r="M437" s="20">
        <f>E437/MAX(E$2:E437)-1</f>
        <v/>
      </c>
    </row>
    <row r="438">
      <c r="A438" s="11" t="n">
        <v>44315</v>
      </c>
      <c r="B438" s="19" t="n">
        <v>1.867229430131752</v>
      </c>
      <c r="C438" s="19" t="n">
        <v>1.70206034993409</v>
      </c>
      <c r="D438" s="19" t="n">
        <v>1.971877474405443</v>
      </c>
      <c r="E438" s="19" t="n">
        <v>1.339131146382381</v>
      </c>
      <c r="F438" s="20">
        <f>B438/B437-1</f>
        <v/>
      </c>
      <c r="G438" s="20">
        <f>B438/MAX(B$2:B438)-1</f>
        <v/>
      </c>
      <c r="H438" s="20">
        <f>C438/C437-1</f>
        <v/>
      </c>
      <c r="I438" s="20">
        <f>C438/MAX(C$2:C438)-1</f>
        <v/>
      </c>
      <c r="J438" s="20">
        <f>D438/D437-1</f>
        <v/>
      </c>
      <c r="K438" s="20">
        <f>D438/MAX(D$2:D438)-1</f>
        <v/>
      </c>
      <c r="L438" s="20">
        <f>E438/E437-1</f>
        <v/>
      </c>
      <c r="M438" s="20">
        <f>E438/MAX(E$2:E438)-1</f>
        <v/>
      </c>
    </row>
    <row r="439">
      <c r="A439" s="11" t="n">
        <v>44316</v>
      </c>
      <c r="B439" s="19" t="n">
        <v>1.874280181649672</v>
      </c>
      <c r="C439" s="19" t="n">
        <v>1.714523652453606</v>
      </c>
      <c r="D439" s="19" t="n">
        <v>1.99771226242719</v>
      </c>
      <c r="E439" s="19" t="n">
        <v>1.332971279994941</v>
      </c>
      <c r="F439" s="20">
        <f>B439/B438-1</f>
        <v/>
      </c>
      <c r="G439" s="20">
        <f>B439/MAX(B$2:B439)-1</f>
        <v/>
      </c>
      <c r="H439" s="20">
        <f>C439/C438-1</f>
        <v/>
      </c>
      <c r="I439" s="20">
        <f>C439/MAX(C$2:C439)-1</f>
        <v/>
      </c>
      <c r="J439" s="20">
        <f>D439/D438-1</f>
        <v/>
      </c>
      <c r="K439" s="20">
        <f>D439/MAX(D$2:D439)-1</f>
        <v/>
      </c>
      <c r="L439" s="20">
        <f>E439/E438-1</f>
        <v/>
      </c>
      <c r="M439" s="20">
        <f>E439/MAX(E$2:E439)-1</f>
        <v/>
      </c>
    </row>
    <row r="440">
      <c r="A440" s="11" t="n">
        <v>44322</v>
      </c>
      <c r="B440" s="19" t="n">
        <v>1.853027816661254</v>
      </c>
      <c r="C440" s="19" t="n">
        <v>1.676956784094596</v>
      </c>
      <c r="D440" s="19" t="n">
        <v>1.948222634953867</v>
      </c>
      <c r="E440" s="19" t="n">
        <v>1.324706048646578</v>
      </c>
      <c r="F440" s="20">
        <f>B440/B439-1</f>
        <v/>
      </c>
      <c r="G440" s="20">
        <f>B440/MAX(B$2:B440)-1</f>
        <v/>
      </c>
      <c r="H440" s="20">
        <f>C440/C439-1</f>
        <v/>
      </c>
      <c r="I440" s="20">
        <f>C440/MAX(C$2:C440)-1</f>
        <v/>
      </c>
      <c r="J440" s="20">
        <f>D440/D439-1</f>
        <v/>
      </c>
      <c r="K440" s="20">
        <f>D440/MAX(D$2:D440)-1</f>
        <v/>
      </c>
      <c r="L440" s="20">
        <f>E440/E439-1</f>
        <v/>
      </c>
      <c r="M440" s="20">
        <f>E440/MAX(E$2:E440)-1</f>
        <v/>
      </c>
    </row>
    <row r="441">
      <c r="A441" s="11" t="n">
        <v>44323</v>
      </c>
      <c r="B441" s="19" t="n">
        <v>1.824623093097831</v>
      </c>
      <c r="C441" s="19" t="n">
        <v>1.626747006902145</v>
      </c>
      <c r="D441" s="19" t="n">
        <v>1.880757123395855</v>
      </c>
      <c r="E441" s="19" t="n">
        <v>1.30841364841893</v>
      </c>
      <c r="F441" s="20">
        <f>B441/B440-1</f>
        <v/>
      </c>
      <c r="G441" s="20">
        <f>B441/MAX(B$2:B441)-1</f>
        <v/>
      </c>
      <c r="H441" s="20">
        <f>C441/C440-1</f>
        <v/>
      </c>
      <c r="I441" s="20">
        <f>C441/MAX(C$2:C441)-1</f>
        <v/>
      </c>
      <c r="J441" s="20">
        <f>D441/D440-1</f>
        <v/>
      </c>
      <c r="K441" s="20">
        <f>D441/MAX(D$2:D441)-1</f>
        <v/>
      </c>
      <c r="L441" s="20">
        <f>E441/E440-1</f>
        <v/>
      </c>
      <c r="M441" s="20">
        <f>E441/MAX(E$2:E441)-1</f>
        <v/>
      </c>
    </row>
    <row r="442">
      <c r="A442" s="11" t="n">
        <v>44326</v>
      </c>
      <c r="B442" s="19" t="n">
        <v>1.8271871610611</v>
      </c>
      <c r="C442" s="19" t="n">
        <v>1.63127939676521</v>
      </c>
      <c r="D442" s="19" t="n">
        <v>1.888066225873406</v>
      </c>
      <c r="E442" s="19" t="n">
        <v>1.31089842543995</v>
      </c>
      <c r="F442" s="20">
        <f>B442/B441-1</f>
        <v/>
      </c>
      <c r="G442" s="20">
        <f>B442/MAX(B$2:B442)-1</f>
        <v/>
      </c>
      <c r="H442" s="20">
        <f>C442/C441-1</f>
        <v/>
      </c>
      <c r="I442" s="20">
        <f>C442/MAX(C$2:C442)-1</f>
        <v/>
      </c>
      <c r="J442" s="20">
        <f>D442/D441-1</f>
        <v/>
      </c>
      <c r="K442" s="20">
        <f>D442/MAX(D$2:D442)-1</f>
        <v/>
      </c>
      <c r="L442" s="20">
        <f>E442/E441-1</f>
        <v/>
      </c>
      <c r="M442" s="20">
        <f>E442/MAX(E$2:E442)-1</f>
        <v/>
      </c>
    </row>
    <row r="443">
      <c r="A443" s="11" t="n">
        <v>44327</v>
      </c>
      <c r="B443" s="19" t="n">
        <v>1.834926005147972</v>
      </c>
      <c r="C443" s="19" t="n">
        <v>1.644959010173923</v>
      </c>
      <c r="D443" s="19" t="n">
        <v>1.887821697344636</v>
      </c>
      <c r="E443" s="19" t="n">
        <v>1.315618757834673</v>
      </c>
      <c r="F443" s="20">
        <f>B443/B442-1</f>
        <v/>
      </c>
      <c r="G443" s="20">
        <f>B443/MAX(B$2:B443)-1</f>
        <v/>
      </c>
      <c r="H443" s="20">
        <f>C443/C442-1</f>
        <v/>
      </c>
      <c r="I443" s="20">
        <f>C443/MAX(C$2:C443)-1</f>
        <v/>
      </c>
      <c r="J443" s="20">
        <f>D443/D442-1</f>
        <v/>
      </c>
      <c r="K443" s="20">
        <f>D443/MAX(D$2:D443)-1</f>
        <v/>
      </c>
      <c r="L443" s="20">
        <f>E443/E442-1</f>
        <v/>
      </c>
      <c r="M443" s="20">
        <f>E443/MAX(E$2:E443)-1</f>
        <v/>
      </c>
    </row>
    <row r="444">
      <c r="A444" s="11" t="n">
        <v>44328</v>
      </c>
      <c r="B444" s="19" t="n">
        <v>1.846381094436068</v>
      </c>
      <c r="C444" s="19" t="n">
        <v>1.655871176000479</v>
      </c>
      <c r="D444" s="19" t="n">
        <v>1.913031851973389</v>
      </c>
      <c r="E444" s="19" t="n">
        <v>1.32522309057161</v>
      </c>
      <c r="F444" s="20">
        <f>B444/B443-1</f>
        <v/>
      </c>
      <c r="G444" s="20">
        <f>B444/MAX(B$2:B444)-1</f>
        <v/>
      </c>
      <c r="H444" s="20">
        <f>C444/C443-1</f>
        <v/>
      </c>
      <c r="I444" s="20">
        <f>C444/MAX(C$2:C444)-1</f>
        <v/>
      </c>
      <c r="J444" s="20">
        <f>D444/D443-1</f>
        <v/>
      </c>
      <c r="K444" s="20">
        <f>D444/MAX(D$2:D444)-1</f>
        <v/>
      </c>
      <c r="L444" s="20">
        <f>E444/E443-1</f>
        <v/>
      </c>
      <c r="M444" s="20">
        <f>E444/MAX(E$2:E444)-1</f>
        <v/>
      </c>
    </row>
    <row r="445">
      <c r="A445" s="11" t="n">
        <v>44329</v>
      </c>
      <c r="B445" s="19" t="n">
        <v>1.835578728526065</v>
      </c>
      <c r="C445" s="19" t="n">
        <v>1.644408454772422</v>
      </c>
      <c r="D445" s="19" t="n">
        <v>1.902215794229501</v>
      </c>
      <c r="E445" s="19" t="n">
        <v>1.313163738622288</v>
      </c>
      <c r="F445" s="20">
        <f>B445/B444-1</f>
        <v/>
      </c>
      <c r="G445" s="20">
        <f>B445/MAX(B$2:B445)-1</f>
        <v/>
      </c>
      <c r="H445" s="20">
        <f>C445/C444-1</f>
        <v/>
      </c>
      <c r="I445" s="20">
        <f>C445/MAX(C$2:C445)-1</f>
        <v/>
      </c>
      <c r="J445" s="20">
        <f>D445/D444-1</f>
        <v/>
      </c>
      <c r="K445" s="20">
        <f>D445/MAX(D$2:D445)-1</f>
        <v/>
      </c>
      <c r="L445" s="20">
        <f>E445/E444-1</f>
        <v/>
      </c>
      <c r="M445" s="20">
        <f>E445/MAX(E$2:E445)-1</f>
        <v/>
      </c>
    </row>
    <row r="446">
      <c r="A446" s="11" t="n">
        <v>44330</v>
      </c>
      <c r="B446" s="19" t="n">
        <v>1.864517467558114</v>
      </c>
      <c r="C446" s="19" t="n">
        <v>1.673697222908319</v>
      </c>
      <c r="D446" s="19" t="n">
        <v>1.960496881453487</v>
      </c>
      <c r="E446" s="19" t="n">
        <v>1.337587460059441</v>
      </c>
      <c r="F446" s="20">
        <f>B446/B445-1</f>
        <v/>
      </c>
      <c r="G446" s="20">
        <f>B446/MAX(B$2:B446)-1</f>
        <v/>
      </c>
      <c r="H446" s="20">
        <f>C446/C445-1</f>
        <v/>
      </c>
      <c r="I446" s="20">
        <f>C446/MAX(C$2:C446)-1</f>
        <v/>
      </c>
      <c r="J446" s="20">
        <f>D446/D445-1</f>
        <v/>
      </c>
      <c r="K446" s="20">
        <f>D446/MAX(D$2:D446)-1</f>
        <v/>
      </c>
      <c r="L446" s="20">
        <f>E446/E445-1</f>
        <v/>
      </c>
      <c r="M446" s="20">
        <f>E446/MAX(E$2:E446)-1</f>
        <v/>
      </c>
    </row>
    <row r="447">
      <c r="A447" s="11" t="n">
        <v>44333</v>
      </c>
      <c r="B447" s="19" t="n">
        <v>1.884220477519881</v>
      </c>
      <c r="C447" s="19" t="n">
        <v>1.699736434708848</v>
      </c>
      <c r="D447" s="19" t="n">
        <v>2.011506346788369</v>
      </c>
      <c r="E447" s="19" t="n">
        <v>1.349892313930002</v>
      </c>
      <c r="F447" s="20">
        <f>B447/B446-1</f>
        <v/>
      </c>
      <c r="G447" s="20">
        <f>B447/MAX(B$2:B447)-1</f>
        <v/>
      </c>
      <c r="H447" s="20">
        <f>C447/C446-1</f>
        <v/>
      </c>
      <c r="I447" s="20">
        <f>C447/MAX(C$2:C447)-1</f>
        <v/>
      </c>
      <c r="J447" s="20">
        <f>D447/D446-1</f>
        <v/>
      </c>
      <c r="K447" s="20">
        <f>D447/MAX(D$2:D447)-1</f>
        <v/>
      </c>
      <c r="L447" s="20">
        <f>E447/E446-1</f>
        <v/>
      </c>
      <c r="M447" s="20">
        <f>E447/MAX(E$2:E447)-1</f>
        <v/>
      </c>
    </row>
    <row r="448">
      <c r="A448" s="11" t="n">
        <v>44334</v>
      </c>
      <c r="B448" s="19" t="n">
        <v>1.887190898410361</v>
      </c>
      <c r="C448" s="19" t="n">
        <v>1.694725880312642</v>
      </c>
      <c r="D448" s="19" t="n">
        <v>1.996890338971211</v>
      </c>
      <c r="E448" s="19" t="n">
        <v>1.352592835063626</v>
      </c>
      <c r="F448" s="20">
        <f>B448/B447-1</f>
        <v/>
      </c>
      <c r="G448" s="20">
        <f>B448/MAX(B$2:B448)-1</f>
        <v/>
      </c>
      <c r="H448" s="20">
        <f>C448/C447-1</f>
        <v/>
      </c>
      <c r="I448" s="20">
        <f>C448/MAX(C$2:C448)-1</f>
        <v/>
      </c>
      <c r="J448" s="20">
        <f>D448/D447-1</f>
        <v/>
      </c>
      <c r="K448" s="20">
        <f>D448/MAX(D$2:D448)-1</f>
        <v/>
      </c>
      <c r="L448" s="20">
        <f>E448/E447-1</f>
        <v/>
      </c>
      <c r="M448" s="20">
        <f>E448/MAX(E$2:E448)-1</f>
        <v/>
      </c>
    </row>
    <row r="449">
      <c r="A449" s="11" t="n">
        <v>44335</v>
      </c>
      <c r="B449" s="19" t="n">
        <v>1.888223976054221</v>
      </c>
      <c r="C449" s="19" t="n">
        <v>1.696552006104883</v>
      </c>
      <c r="D449" s="19" t="n">
        <v>2.012787730561355</v>
      </c>
      <c r="E449" s="19" t="n">
        <v>1.350565584350369</v>
      </c>
      <c r="F449" s="20">
        <f>B449/B448-1</f>
        <v/>
      </c>
      <c r="G449" s="20">
        <f>B449/MAX(B$2:B449)-1</f>
        <v/>
      </c>
      <c r="H449" s="20">
        <f>C449/C448-1</f>
        <v/>
      </c>
      <c r="I449" s="20">
        <f>C449/MAX(C$2:C449)-1</f>
        <v/>
      </c>
      <c r="J449" s="20">
        <f>D449/D448-1</f>
        <v/>
      </c>
      <c r="K449" s="20">
        <f>D449/MAX(D$2:D449)-1</f>
        <v/>
      </c>
      <c r="L449" s="20">
        <f>E449/E448-1</f>
        <v/>
      </c>
      <c r="M449" s="20">
        <f>E449/MAX(E$2:E449)-1</f>
        <v/>
      </c>
    </row>
    <row r="450">
      <c r="A450" s="11" t="n">
        <v>44336</v>
      </c>
      <c r="B450" s="19" t="n">
        <v>1.891526425309752</v>
      </c>
      <c r="C450" s="19" t="n">
        <v>1.702599072675381</v>
      </c>
      <c r="D450" s="19" t="n">
        <v>2.031458104101301</v>
      </c>
      <c r="E450" s="19" t="n">
        <v>1.351510394774529</v>
      </c>
      <c r="F450" s="20">
        <f>B450/B449-1</f>
        <v/>
      </c>
      <c r="G450" s="20">
        <f>B450/MAX(B$2:B450)-1</f>
        <v/>
      </c>
      <c r="H450" s="20">
        <f>C450/C449-1</f>
        <v/>
      </c>
      <c r="I450" s="20">
        <f>C450/MAX(C$2:C450)-1</f>
        <v/>
      </c>
      <c r="J450" s="20">
        <f>D450/D449-1</f>
        <v/>
      </c>
      <c r="K450" s="20">
        <f>D450/MAX(D$2:D450)-1</f>
        <v/>
      </c>
      <c r="L450" s="20">
        <f>E450/E449-1</f>
        <v/>
      </c>
      <c r="M450" s="20">
        <f>E450/MAX(E$2:E450)-1</f>
        <v/>
      </c>
    </row>
    <row r="451">
      <c r="A451" s="11" t="n">
        <v>44337</v>
      </c>
      <c r="B451" s="19" t="n">
        <v>1.896220039797206</v>
      </c>
      <c r="C451" s="19" t="n">
        <v>1.694598847566236</v>
      </c>
      <c r="D451" s="19" t="n">
        <v>2.011840699486005</v>
      </c>
      <c r="E451" s="19" t="n">
        <v>1.344346202345659</v>
      </c>
      <c r="F451" s="20">
        <f>B451/B450-1</f>
        <v/>
      </c>
      <c r="G451" s="20">
        <f>B451/MAX(B$2:B451)-1</f>
        <v/>
      </c>
      <c r="H451" s="20">
        <f>C451/C450-1</f>
        <v/>
      </c>
      <c r="I451" s="20">
        <f>C451/MAX(C$2:C451)-1</f>
        <v/>
      </c>
      <c r="J451" s="20">
        <f>D451/D450-1</f>
        <v/>
      </c>
      <c r="K451" s="20">
        <f>D451/MAX(D$2:D451)-1</f>
        <v/>
      </c>
      <c r="L451" s="20">
        <f>E451/E450-1</f>
        <v/>
      </c>
      <c r="M451" s="20">
        <f>E451/MAX(E$2:E451)-1</f>
        <v/>
      </c>
    </row>
    <row r="452">
      <c r="A452" s="11" t="n">
        <v>44340</v>
      </c>
      <c r="B452" s="19" t="n">
        <v>1.900223165687563</v>
      </c>
      <c r="C452" s="19" t="n">
        <v>1.701423839395207</v>
      </c>
      <c r="D452" s="19" t="n">
        <v>2.02891847112544</v>
      </c>
      <c r="E452" s="19" t="n">
        <v>1.351335567648798</v>
      </c>
      <c r="F452" s="20">
        <f>B452/B451-1</f>
        <v/>
      </c>
      <c r="G452" s="20">
        <f>B452/MAX(B$2:B452)-1</f>
        <v/>
      </c>
      <c r="H452" s="20">
        <f>C452/C451-1</f>
        <v/>
      </c>
      <c r="I452" s="20">
        <f>C452/MAX(C$2:C452)-1</f>
        <v/>
      </c>
      <c r="J452" s="20">
        <f>D452/D451-1</f>
        <v/>
      </c>
      <c r="K452" s="20">
        <f>D452/MAX(D$2:D452)-1</f>
        <v/>
      </c>
      <c r="L452" s="20">
        <f>E452/E451-1</f>
        <v/>
      </c>
      <c r="M452" s="20">
        <f>E452/MAX(E$2:E452)-1</f>
        <v/>
      </c>
    </row>
    <row r="453">
      <c r="A453" s="11" t="n">
        <v>44341</v>
      </c>
      <c r="B453" s="19" t="n">
        <v>1.928504471904891</v>
      </c>
      <c r="C453" s="19" t="n">
        <v>1.740516543718433</v>
      </c>
      <c r="D453" s="19" t="n">
        <v>2.085572060728634</v>
      </c>
      <c r="E453" s="19" t="n">
        <v>1.381874518760438</v>
      </c>
      <c r="F453" s="20">
        <f>B453/B452-1</f>
        <v/>
      </c>
      <c r="G453" s="20">
        <f>B453/MAX(B$2:B453)-1</f>
        <v/>
      </c>
      <c r="H453" s="20">
        <f>C453/C452-1</f>
        <v/>
      </c>
      <c r="I453" s="20">
        <f>C453/MAX(C$2:C453)-1</f>
        <v/>
      </c>
      <c r="J453" s="20">
        <f>D453/D452-1</f>
        <v/>
      </c>
      <c r="K453" s="20">
        <f>D453/MAX(D$2:D453)-1</f>
        <v/>
      </c>
      <c r="L453" s="20">
        <f>E453/E452-1</f>
        <v/>
      </c>
      <c r="M453" s="20">
        <f>E453/MAX(E$2:E453)-1</f>
        <v/>
      </c>
    </row>
    <row r="454">
      <c r="A454" s="11" t="n">
        <v>44342</v>
      </c>
      <c r="B454" s="19" t="n">
        <v>1.930669124267798</v>
      </c>
      <c r="C454" s="19" t="n">
        <v>1.732325216336863</v>
      </c>
      <c r="D454" s="19" t="n">
        <v>2.065857529691896</v>
      </c>
      <c r="E454" s="19" t="n">
        <v>1.383946406186648</v>
      </c>
      <c r="F454" s="20">
        <f>B454/B453-1</f>
        <v/>
      </c>
      <c r="G454" s="20">
        <f>B454/MAX(B$2:B454)-1</f>
        <v/>
      </c>
      <c r="H454" s="20">
        <f>C454/C453-1</f>
        <v/>
      </c>
      <c r="I454" s="20">
        <f>C454/MAX(C$2:C454)-1</f>
        <v/>
      </c>
      <c r="J454" s="20">
        <f>D454/D453-1</f>
        <v/>
      </c>
      <c r="K454" s="20">
        <f>D454/MAX(D$2:D454)-1</f>
        <v/>
      </c>
      <c r="L454" s="20">
        <f>E454/E453-1</f>
        <v/>
      </c>
      <c r="M454" s="20">
        <f>E454/MAX(E$2:E454)-1</f>
        <v/>
      </c>
    </row>
    <row r="455">
      <c r="A455" s="11" t="n">
        <v>44343</v>
      </c>
      <c r="B455" s="19" t="n">
        <v>1.943361127016111</v>
      </c>
      <c r="C455" s="19" t="n">
        <v>1.744009054390073</v>
      </c>
      <c r="D455" s="19" t="n">
        <v>2.084766098833598</v>
      </c>
      <c r="E455" s="19" t="n">
        <v>1.392803073981632</v>
      </c>
      <c r="F455" s="20">
        <f>B455/B454-1</f>
        <v/>
      </c>
      <c r="G455" s="20">
        <f>B455/MAX(B$2:B455)-1</f>
        <v/>
      </c>
      <c r="H455" s="20">
        <f>C455/C454-1</f>
        <v/>
      </c>
      <c r="I455" s="20">
        <f>C455/MAX(C$2:C455)-1</f>
        <v/>
      </c>
      <c r="J455" s="20">
        <f>D455/D454-1</f>
        <v/>
      </c>
      <c r="K455" s="20">
        <f>D455/MAX(D$2:D455)-1</f>
        <v/>
      </c>
      <c r="L455" s="20">
        <f>E455/E454-1</f>
        <v/>
      </c>
      <c r="M455" s="20">
        <f>E455/MAX(E$2:E455)-1</f>
        <v/>
      </c>
    </row>
    <row r="456">
      <c r="A456" s="11" t="n">
        <v>44344</v>
      </c>
      <c r="B456" s="19" t="n">
        <v>1.9294901106055</v>
      </c>
      <c r="C456" s="19" t="n">
        <v>1.736475786457039</v>
      </c>
      <c r="D456" s="19" t="n">
        <v>2.088761658805544</v>
      </c>
      <c r="E456" s="19" t="n">
        <v>1.390158348739199</v>
      </c>
      <c r="F456" s="20">
        <f>B456/B455-1</f>
        <v/>
      </c>
      <c r="G456" s="20">
        <f>B456/MAX(B$2:B456)-1</f>
        <v/>
      </c>
      <c r="H456" s="20">
        <f>C456/C455-1</f>
        <v/>
      </c>
      <c r="I456" s="20">
        <f>C456/MAX(C$2:C456)-1</f>
        <v/>
      </c>
      <c r="J456" s="20">
        <f>D456/D455-1</f>
        <v/>
      </c>
      <c r="K456" s="20">
        <f>D456/MAX(D$2:D456)-1</f>
        <v/>
      </c>
      <c r="L456" s="20">
        <f>E456/E455-1</f>
        <v/>
      </c>
      <c r="M456" s="20">
        <f>E456/MAX(E$2:E456)-1</f>
        <v/>
      </c>
    </row>
    <row r="457">
      <c r="A457" s="11" t="n">
        <v>44347</v>
      </c>
      <c r="B457" s="19" t="n">
        <v>1.956336987938042</v>
      </c>
      <c r="C457" s="19" t="n">
        <v>1.760354720064993</v>
      </c>
      <c r="D457" s="19" t="n">
        <v>2.138376781628463</v>
      </c>
      <c r="E457" s="19" t="n">
        <v>1.402530157679189</v>
      </c>
      <c r="F457" s="20">
        <f>B457/B456-1</f>
        <v/>
      </c>
      <c r="G457" s="20">
        <f>B457/MAX(B$2:B457)-1</f>
        <v/>
      </c>
      <c r="H457" s="20">
        <f>C457/C456-1</f>
        <v/>
      </c>
      <c r="I457" s="20">
        <f>C457/MAX(C$2:C457)-1</f>
        <v/>
      </c>
      <c r="J457" s="20">
        <f>D457/D456-1</f>
        <v/>
      </c>
      <c r="K457" s="20">
        <f>D457/MAX(D$2:D457)-1</f>
        <v/>
      </c>
      <c r="L457" s="20">
        <f>E457/E456-1</f>
        <v/>
      </c>
      <c r="M457" s="20">
        <f>E457/MAX(E$2:E457)-1</f>
        <v/>
      </c>
    </row>
    <row r="458">
      <c r="A458" s="11" t="n">
        <v>44348</v>
      </c>
      <c r="B458" s="19" t="n">
        <v>1.957245278114572</v>
      </c>
      <c r="C458" s="19" t="n">
        <v>1.756029016953653</v>
      </c>
      <c r="D458" s="19" t="n">
        <v>2.132618858539018</v>
      </c>
      <c r="E458" s="19" t="n">
        <v>1.40701986705699</v>
      </c>
      <c r="F458" s="20">
        <f>B458/B457-1</f>
        <v/>
      </c>
      <c r="G458" s="20">
        <f>B458/MAX(B$2:B458)-1</f>
        <v/>
      </c>
      <c r="H458" s="20">
        <f>C458/C457-1</f>
        <v/>
      </c>
      <c r="I458" s="20">
        <f>C458/MAX(C$2:C458)-1</f>
        <v/>
      </c>
      <c r="J458" s="20">
        <f>D458/D457-1</f>
        <v/>
      </c>
      <c r="K458" s="20">
        <f>D458/MAX(D$2:D458)-1</f>
        <v/>
      </c>
      <c r="L458" s="20">
        <f>E458/E457-1</f>
        <v/>
      </c>
      <c r="M458" s="20">
        <f>E458/MAX(E$2:E458)-1</f>
        <v/>
      </c>
    </row>
    <row r="459">
      <c r="A459" s="11" t="n">
        <v>44349</v>
      </c>
      <c r="B459" s="19" t="n">
        <v>1.934851499128095</v>
      </c>
      <c r="C459" s="19" t="n">
        <v>1.722559038841669</v>
      </c>
      <c r="D459" s="19" t="n">
        <v>2.095695955398617</v>
      </c>
      <c r="E459" s="19" t="n">
        <v>1.393089492889744</v>
      </c>
      <c r="F459" s="20">
        <f>B459/B458-1</f>
        <v/>
      </c>
      <c r="G459" s="20">
        <f>B459/MAX(B$2:B459)-1</f>
        <v/>
      </c>
      <c r="H459" s="20">
        <f>C459/C458-1</f>
        <v/>
      </c>
      <c r="I459" s="20">
        <f>C459/MAX(C$2:C459)-1</f>
        <v/>
      </c>
      <c r="J459" s="20">
        <f>D459/D458-1</f>
        <v/>
      </c>
      <c r="K459" s="20">
        <f>D459/MAX(D$2:D459)-1</f>
        <v/>
      </c>
      <c r="L459" s="20">
        <f>E459/E458-1</f>
        <v/>
      </c>
      <c r="M459" s="20">
        <f>E459/MAX(E$2:E459)-1</f>
        <v/>
      </c>
    </row>
    <row r="460">
      <c r="A460" s="11" t="n">
        <v>44350</v>
      </c>
      <c r="B460" s="19" t="n">
        <v>1.92453963977079</v>
      </c>
      <c r="C460" s="19" t="n">
        <v>1.703636113952366</v>
      </c>
      <c r="D460" s="19" t="n">
        <v>2.069047709364144</v>
      </c>
      <c r="E460" s="19" t="n">
        <v>1.386821754446003</v>
      </c>
      <c r="F460" s="20">
        <f>B460/B459-1</f>
        <v/>
      </c>
      <c r="G460" s="20">
        <f>B460/MAX(B$2:B460)-1</f>
        <v/>
      </c>
      <c r="H460" s="20">
        <f>C460/C459-1</f>
        <v/>
      </c>
      <c r="I460" s="20">
        <f>C460/MAX(C$2:C460)-1</f>
        <v/>
      </c>
      <c r="J460" s="20">
        <f>D460/D459-1</f>
        <v/>
      </c>
      <c r="K460" s="20">
        <f>D460/MAX(D$2:D460)-1</f>
        <v/>
      </c>
      <c r="L460" s="20">
        <f>E460/E459-1</f>
        <v/>
      </c>
      <c r="M460" s="20">
        <f>E460/MAX(E$2:E460)-1</f>
        <v/>
      </c>
    </row>
    <row r="461">
      <c r="A461" s="11" t="n">
        <v>44351</v>
      </c>
      <c r="B461" s="19" t="n">
        <v>1.928932669759827</v>
      </c>
      <c r="C461" s="19" t="n">
        <v>1.70758711615704</v>
      </c>
      <c r="D461" s="19" t="n">
        <v>2.095431200276426</v>
      </c>
      <c r="E461" s="19" t="n">
        <v>1.394309563043778</v>
      </c>
      <c r="F461" s="20">
        <f>B461/B460-1</f>
        <v/>
      </c>
      <c r="G461" s="20">
        <f>B461/MAX(B$2:B461)-1</f>
        <v/>
      </c>
      <c r="H461" s="20">
        <f>C461/C460-1</f>
        <v/>
      </c>
      <c r="I461" s="20">
        <f>C461/MAX(C$2:C461)-1</f>
        <v/>
      </c>
      <c r="J461" s="20">
        <f>D461/D460-1</f>
        <v/>
      </c>
      <c r="K461" s="20">
        <f>D461/MAX(D$2:D461)-1</f>
        <v/>
      </c>
      <c r="L461" s="20">
        <f>E461/E460-1</f>
        <v/>
      </c>
      <c r="M461" s="20">
        <f>E461/MAX(E$2:E461)-1</f>
        <v/>
      </c>
    </row>
    <row r="462">
      <c r="A462" s="11" t="n">
        <v>44354</v>
      </c>
      <c r="B462" s="19" t="n">
        <v>1.926770573455689</v>
      </c>
      <c r="C462" s="19" t="n">
        <v>1.711624891203259</v>
      </c>
      <c r="D462" s="19" t="n">
        <v>2.086145966083816</v>
      </c>
      <c r="E462" s="19" t="n">
        <v>1.397515966924196</v>
      </c>
      <c r="F462" s="20">
        <f>B462/B461-1</f>
        <v/>
      </c>
      <c r="G462" s="20">
        <f>B462/MAX(B$2:B462)-1</f>
        <v/>
      </c>
      <c r="H462" s="20">
        <f>C462/C461-1</f>
        <v/>
      </c>
      <c r="I462" s="20">
        <f>C462/MAX(C$2:C462)-1</f>
        <v/>
      </c>
      <c r="J462" s="20">
        <f>D462/D461-1</f>
        <v/>
      </c>
      <c r="K462" s="20">
        <f>D462/MAX(D$2:D462)-1</f>
        <v/>
      </c>
      <c r="L462" s="20">
        <f>E462/E461-1</f>
        <v/>
      </c>
      <c r="M462" s="20">
        <f>E462/MAX(E$2:E462)-1</f>
        <v/>
      </c>
    </row>
    <row r="463">
      <c r="A463" s="11" t="n">
        <v>44355</v>
      </c>
      <c r="B463" s="19" t="n">
        <v>1.918688021833014</v>
      </c>
      <c r="C463" s="19" t="n">
        <v>1.706401156522285</v>
      </c>
      <c r="D463" s="19" t="n">
        <v>2.073433778294694</v>
      </c>
      <c r="E463" s="19" t="n">
        <v>1.387874436926465</v>
      </c>
      <c r="F463" s="20">
        <f>B463/B462-1</f>
        <v/>
      </c>
      <c r="G463" s="20">
        <f>B463/MAX(B$2:B463)-1</f>
        <v/>
      </c>
      <c r="H463" s="20">
        <f>C463/C462-1</f>
        <v/>
      </c>
      <c r="I463" s="20">
        <f>C463/MAX(C$2:C463)-1</f>
        <v/>
      </c>
      <c r="J463" s="20">
        <f>D463/D462-1</f>
        <v/>
      </c>
      <c r="K463" s="20">
        <f>D463/MAX(D$2:D463)-1</f>
        <v/>
      </c>
      <c r="L463" s="20">
        <f>E463/E462-1</f>
        <v/>
      </c>
      <c r="M463" s="20">
        <f>E463/MAX(E$2:E463)-1</f>
        <v/>
      </c>
    </row>
    <row r="464">
      <c r="A464" s="11" t="n">
        <v>44356</v>
      </c>
      <c r="B464" s="19" t="n">
        <v>1.925610226406802</v>
      </c>
      <c r="C464" s="19" t="n">
        <v>1.709940132030362</v>
      </c>
      <c r="D464" s="19" t="n">
        <v>2.072822456972769</v>
      </c>
      <c r="E464" s="19" t="n">
        <v>1.390232743260786</v>
      </c>
      <c r="F464" s="20">
        <f>B464/B463-1</f>
        <v/>
      </c>
      <c r="G464" s="20">
        <f>B464/MAX(B$2:B464)-1</f>
        <v/>
      </c>
      <c r="H464" s="20">
        <f>C464/C463-1</f>
        <v/>
      </c>
      <c r="I464" s="20">
        <f>C464/MAX(C$2:C464)-1</f>
        <v/>
      </c>
      <c r="J464" s="20">
        <f>D464/D463-1</f>
        <v/>
      </c>
      <c r="K464" s="20">
        <f>D464/MAX(D$2:D464)-1</f>
        <v/>
      </c>
      <c r="L464" s="20">
        <f>E464/E463-1</f>
        <v/>
      </c>
      <c r="M464" s="20">
        <f>E464/MAX(E$2:E464)-1</f>
        <v/>
      </c>
    </row>
    <row r="465">
      <c r="A465" s="11" t="n">
        <v>44357</v>
      </c>
      <c r="B465" s="19" t="n">
        <v>1.959364618269916</v>
      </c>
      <c r="C465" s="19" t="n">
        <v>1.73974660310059</v>
      </c>
      <c r="D465" s="19" t="n">
        <v>2.123152231222662</v>
      </c>
      <c r="E465" s="19" t="n">
        <v>1.402466922335839</v>
      </c>
      <c r="F465" s="20">
        <f>B465/B464-1</f>
        <v/>
      </c>
      <c r="G465" s="20">
        <f>B465/MAX(B$2:B465)-1</f>
        <v/>
      </c>
      <c r="H465" s="20">
        <f>C465/C464-1</f>
        <v/>
      </c>
      <c r="I465" s="20">
        <f>C465/MAX(C$2:C465)-1</f>
        <v/>
      </c>
      <c r="J465" s="20">
        <f>D465/D464-1</f>
        <v/>
      </c>
      <c r="K465" s="20">
        <f>D465/MAX(D$2:D465)-1</f>
        <v/>
      </c>
      <c r="L465" s="20">
        <f>E465/E464-1</f>
        <v/>
      </c>
      <c r="M465" s="20">
        <f>E465/MAX(E$2:E465)-1</f>
        <v/>
      </c>
    </row>
    <row r="466">
      <c r="A466" s="11" t="n">
        <v>44358</v>
      </c>
      <c r="B466" s="19" t="n">
        <v>1.957353699113238</v>
      </c>
      <c r="C466" s="19" t="n">
        <v>1.731161238513962</v>
      </c>
      <c r="D466" s="19" t="n">
        <v>2.131544845814875</v>
      </c>
      <c r="E466" s="19" t="n">
        <v>1.393770202762268</v>
      </c>
      <c r="F466" s="20">
        <f>B466/B465-1</f>
        <v/>
      </c>
      <c r="G466" s="20">
        <f>B466/MAX(B$2:B466)-1</f>
        <v/>
      </c>
      <c r="H466" s="20">
        <f>C466/C465-1</f>
        <v/>
      </c>
      <c r="I466" s="20">
        <f>C466/MAX(C$2:C466)-1</f>
        <v/>
      </c>
      <c r="J466" s="20">
        <f>D466/D465-1</f>
        <v/>
      </c>
      <c r="K466" s="20">
        <f>D466/MAX(D$2:D466)-1</f>
        <v/>
      </c>
      <c r="L466" s="20">
        <f>E466/E465-1</f>
        <v/>
      </c>
      <c r="M466" s="20">
        <f>E466/MAX(E$2:E466)-1</f>
        <v/>
      </c>
    </row>
    <row r="467">
      <c r="A467" s="11" t="n">
        <v>44362</v>
      </c>
      <c r="B467" s="19" t="n">
        <v>1.94452069617996</v>
      </c>
      <c r="C467" s="19" t="n">
        <v>1.722225656045251</v>
      </c>
      <c r="D467" s="19" t="n">
        <v>2.1080814158512</v>
      </c>
      <c r="E467" s="19" t="n">
        <v>1.380248998463753</v>
      </c>
      <c r="F467" s="20">
        <f>B467/B466-1</f>
        <v/>
      </c>
      <c r="G467" s="20">
        <f>B467/MAX(B$2:B467)-1</f>
        <v/>
      </c>
      <c r="H467" s="20">
        <f>C467/C466-1</f>
        <v/>
      </c>
      <c r="I467" s="20">
        <f>C467/MAX(C$2:C467)-1</f>
        <v/>
      </c>
      <c r="J467" s="20">
        <f>D467/D466-1</f>
        <v/>
      </c>
      <c r="K467" s="20">
        <f>D467/MAX(D$2:D467)-1</f>
        <v/>
      </c>
      <c r="L467" s="20">
        <f>E467/E466-1</f>
        <v/>
      </c>
      <c r="M467" s="20">
        <f>E467/MAX(E$2:E467)-1</f>
        <v/>
      </c>
    </row>
    <row r="468">
      <c r="A468" s="11" t="n">
        <v>44363</v>
      </c>
      <c r="B468" s="19" t="n">
        <v>1.891252075727</v>
      </c>
      <c r="C468" s="19" t="n">
        <v>1.68146175681815</v>
      </c>
      <c r="D468" s="19" t="n">
        <v>2.019881578142148</v>
      </c>
      <c r="E468" s="19" t="n">
        <v>1.356509706625204</v>
      </c>
      <c r="F468" s="20">
        <f>B468/B467-1</f>
        <v/>
      </c>
      <c r="G468" s="20">
        <f>B468/MAX(B$2:B468)-1</f>
        <v/>
      </c>
      <c r="H468" s="20">
        <f>C468/C467-1</f>
        <v/>
      </c>
      <c r="I468" s="20">
        <f>C468/MAX(C$2:C468)-1</f>
        <v/>
      </c>
      <c r="J468" s="20">
        <f>D468/D467-1</f>
        <v/>
      </c>
      <c r="K468" s="20">
        <f>D468/MAX(D$2:D468)-1</f>
        <v/>
      </c>
      <c r="L468" s="20">
        <f>E468/E467-1</f>
        <v/>
      </c>
      <c r="M468" s="20">
        <f>E468/MAX(E$2:E468)-1</f>
        <v/>
      </c>
    </row>
    <row r="469">
      <c r="A469" s="11" t="n">
        <v>44364</v>
      </c>
      <c r="B469" s="19" t="n">
        <v>1.918381729564299</v>
      </c>
      <c r="C469" s="19" t="n">
        <v>1.712396852031381</v>
      </c>
      <c r="D469" s="19" t="n">
        <v>2.060522878765095</v>
      </c>
      <c r="E469" s="19" t="n">
        <v>1.368174767610113</v>
      </c>
      <c r="F469" s="20">
        <f>B469/B468-1</f>
        <v/>
      </c>
      <c r="G469" s="20">
        <f>B469/MAX(B$2:B469)-1</f>
        <v/>
      </c>
      <c r="H469" s="20">
        <f>C469/C468-1</f>
        <v/>
      </c>
      <c r="I469" s="20">
        <f>C469/MAX(C$2:C469)-1</f>
        <v/>
      </c>
      <c r="J469" s="20">
        <f>D469/D468-1</f>
        <v/>
      </c>
      <c r="K469" s="20">
        <f>D469/MAX(D$2:D469)-1</f>
        <v/>
      </c>
      <c r="L469" s="20">
        <f>E469/E468-1</f>
        <v/>
      </c>
      <c r="M469" s="20">
        <f>E469/MAX(E$2:E469)-1</f>
        <v/>
      </c>
    </row>
    <row r="470">
      <c r="A470" s="11" t="n">
        <v>44365</v>
      </c>
      <c r="B470" s="19" t="n">
        <v>1.951512553572603</v>
      </c>
      <c r="C470" s="19" t="n">
        <v>1.739670652814117</v>
      </c>
      <c r="D470" s="19" t="n">
        <v>2.093243497101749</v>
      </c>
      <c r="E470" s="19" t="n">
        <v>1.375424513738808</v>
      </c>
      <c r="F470" s="20">
        <f>B470/B469-1</f>
        <v/>
      </c>
      <c r="G470" s="20">
        <f>B470/MAX(B$2:B470)-1</f>
        <v/>
      </c>
      <c r="H470" s="20">
        <f>C470/C469-1</f>
        <v/>
      </c>
      <c r="I470" s="20">
        <f>C470/MAX(C$2:C470)-1</f>
        <v/>
      </c>
      <c r="J470" s="20">
        <f>D470/D469-1</f>
        <v/>
      </c>
      <c r="K470" s="20">
        <f>D470/MAX(D$2:D470)-1</f>
        <v/>
      </c>
      <c r="L470" s="20">
        <f>E470/E469-1</f>
        <v/>
      </c>
      <c r="M470" s="20">
        <f>E470/MAX(E$2:E470)-1</f>
        <v/>
      </c>
    </row>
    <row r="471">
      <c r="A471" s="11" t="n">
        <v>44368</v>
      </c>
      <c r="B471" s="19" t="n">
        <v>1.973334410210914</v>
      </c>
      <c r="C471" s="19" t="n">
        <v>1.76362418990169</v>
      </c>
      <c r="D471" s="19" t="n">
        <v>2.113502530618248</v>
      </c>
      <c r="E471" s="19" t="n">
        <v>1.381201248340072</v>
      </c>
      <c r="F471" s="20">
        <f>B471/B470-1</f>
        <v/>
      </c>
      <c r="G471" s="20">
        <f>B471/MAX(B$2:B471)-1</f>
        <v/>
      </c>
      <c r="H471" s="20">
        <f>C471/C470-1</f>
        <v/>
      </c>
      <c r="I471" s="20">
        <f>C471/MAX(C$2:C471)-1</f>
        <v/>
      </c>
      <c r="J471" s="20">
        <f>D471/D470-1</f>
        <v/>
      </c>
      <c r="K471" s="20">
        <f>D471/MAX(D$2:D471)-1</f>
        <v/>
      </c>
      <c r="L471" s="20">
        <f>E471/E470-1</f>
        <v/>
      </c>
      <c r="M471" s="20">
        <f>E471/MAX(E$2:E471)-1</f>
        <v/>
      </c>
    </row>
    <row r="472">
      <c r="A472" s="11" t="n">
        <v>44369</v>
      </c>
      <c r="B472" s="19" t="n">
        <v>1.979106357515398</v>
      </c>
      <c r="C472" s="19" t="n">
        <v>1.771082854355104</v>
      </c>
      <c r="D472" s="19" t="n">
        <v>2.120879356641822</v>
      </c>
      <c r="E472" s="19" t="n">
        <v>1.389901687639722</v>
      </c>
      <c r="F472" s="20">
        <f>B472/B471-1</f>
        <v/>
      </c>
      <c r="G472" s="20">
        <f>B472/MAX(B$2:B472)-1</f>
        <v/>
      </c>
      <c r="H472" s="20">
        <f>C472/C471-1</f>
        <v/>
      </c>
      <c r="I472" s="20">
        <f>C472/MAX(C$2:C472)-1</f>
        <v/>
      </c>
      <c r="J472" s="20">
        <f>D472/D471-1</f>
        <v/>
      </c>
      <c r="K472" s="20">
        <f>D472/MAX(D$2:D472)-1</f>
        <v/>
      </c>
      <c r="L472" s="20">
        <f>E472/E471-1</f>
        <v/>
      </c>
      <c r="M472" s="20">
        <f>E472/MAX(E$2:E472)-1</f>
        <v/>
      </c>
    </row>
    <row r="473">
      <c r="A473" s="11" t="n">
        <v>44370</v>
      </c>
      <c r="B473" s="19" t="n">
        <v>2.008345913878363</v>
      </c>
      <c r="C473" s="19" t="n">
        <v>1.792452350093783</v>
      </c>
      <c r="D473" s="19" t="n">
        <v>2.144759596597719</v>
      </c>
      <c r="E473" s="19" t="n">
        <v>1.398241313509673</v>
      </c>
      <c r="F473" s="20">
        <f>B473/B472-1</f>
        <v/>
      </c>
      <c r="G473" s="20">
        <f>B473/MAX(B$2:B473)-1</f>
        <v/>
      </c>
      <c r="H473" s="20">
        <f>C473/C472-1</f>
        <v/>
      </c>
      <c r="I473" s="20">
        <f>C473/MAX(C$2:C473)-1</f>
        <v/>
      </c>
      <c r="J473" s="20">
        <f>D473/D472-1</f>
        <v/>
      </c>
      <c r="K473" s="20">
        <f>D473/MAX(D$2:D473)-1</f>
        <v/>
      </c>
      <c r="L473" s="20">
        <f>E473/E472-1</f>
        <v/>
      </c>
      <c r="M473" s="20">
        <f>E473/MAX(E$2:E473)-1</f>
        <v/>
      </c>
    </row>
    <row r="474">
      <c r="A474" s="11" t="n">
        <v>44371</v>
      </c>
      <c r="B474" s="19" t="n">
        <v>2.011452656876621</v>
      </c>
      <c r="C474" s="19" t="n">
        <v>1.787249635219769</v>
      </c>
      <c r="D474" s="19" t="n">
        <v>2.119048300652738</v>
      </c>
      <c r="E474" s="19" t="n">
        <v>1.394607141130127</v>
      </c>
      <c r="F474" s="20">
        <f>B474/B473-1</f>
        <v/>
      </c>
      <c r="G474" s="20">
        <f>B474/MAX(B$2:B474)-1</f>
        <v/>
      </c>
      <c r="H474" s="20">
        <f>C474/C473-1</f>
        <v/>
      </c>
      <c r="I474" s="20">
        <f>C474/MAX(C$2:C474)-1</f>
        <v/>
      </c>
      <c r="J474" s="20">
        <f>D474/D473-1</f>
        <v/>
      </c>
      <c r="K474" s="20">
        <f>D474/MAX(D$2:D474)-1</f>
        <v/>
      </c>
      <c r="L474" s="20">
        <f>E474/E473-1</f>
        <v/>
      </c>
      <c r="M474" s="20">
        <f>E474/MAX(E$2:E474)-1</f>
        <v/>
      </c>
    </row>
    <row r="475">
      <c r="A475" s="11" t="n">
        <v>44372</v>
      </c>
      <c r="B475" s="19" t="n">
        <v>2.021788688498522</v>
      </c>
      <c r="C475" s="19" t="n">
        <v>1.791625554986636</v>
      </c>
      <c r="D475" s="19" t="n">
        <v>2.163340404455615</v>
      </c>
      <c r="E475" s="19" t="n">
        <v>1.41134218876122</v>
      </c>
      <c r="F475" s="20">
        <f>B475/B474-1</f>
        <v/>
      </c>
      <c r="G475" s="20">
        <f>B475/MAX(B$2:B475)-1</f>
        <v/>
      </c>
      <c r="H475" s="20">
        <f>C475/C474-1</f>
        <v/>
      </c>
      <c r="I475" s="20">
        <f>C475/MAX(C$2:C475)-1</f>
        <v/>
      </c>
      <c r="J475" s="20">
        <f>D475/D474-1</f>
        <v/>
      </c>
      <c r="K475" s="20">
        <f>D475/MAX(D$2:D475)-1</f>
        <v/>
      </c>
      <c r="L475" s="20">
        <f>E475/E474-1</f>
        <v/>
      </c>
      <c r="M475" s="20">
        <f>E475/MAX(E$2:E475)-1</f>
        <v/>
      </c>
    </row>
    <row r="476">
      <c r="A476" s="11" t="n">
        <v>44375</v>
      </c>
      <c r="B476" s="19" t="n">
        <v>2.05499445307424</v>
      </c>
      <c r="C476" s="19" t="n">
        <v>1.816957019785795</v>
      </c>
      <c r="D476" s="19" t="n">
        <v>2.205450427172083</v>
      </c>
      <c r="E476" s="19" t="n">
        <v>1.417271432131738</v>
      </c>
      <c r="F476" s="20">
        <f>B476/B475-1</f>
        <v/>
      </c>
      <c r="G476" s="20">
        <f>B476/MAX(B$2:B476)-1</f>
        <v/>
      </c>
      <c r="H476" s="20">
        <f>C476/C475-1</f>
        <v/>
      </c>
      <c r="I476" s="20">
        <f>C476/MAX(C$2:C476)-1</f>
        <v/>
      </c>
      <c r="J476" s="20">
        <f>D476/D475-1</f>
        <v/>
      </c>
      <c r="K476" s="20">
        <f>D476/MAX(D$2:D476)-1</f>
        <v/>
      </c>
      <c r="L476" s="20">
        <f>E476/E475-1</f>
        <v/>
      </c>
      <c r="M476" s="20">
        <f>E476/MAX(E$2:E476)-1</f>
        <v/>
      </c>
    </row>
    <row r="477">
      <c r="A477" s="11" t="n">
        <v>44376</v>
      </c>
      <c r="B477" s="19" t="n">
        <v>2.039244314279841</v>
      </c>
      <c r="C477" s="19" t="n">
        <v>1.802856721636428</v>
      </c>
      <c r="D477" s="19" t="n">
        <v>2.201168980780665</v>
      </c>
      <c r="E477" s="19" t="n">
        <v>1.405081889769638</v>
      </c>
      <c r="F477" s="20">
        <f>B477/B476-1</f>
        <v/>
      </c>
      <c r="G477" s="20">
        <f>B477/MAX(B$2:B477)-1</f>
        <v/>
      </c>
      <c r="H477" s="20">
        <f>C477/C476-1</f>
        <v/>
      </c>
      <c r="I477" s="20">
        <f>C477/MAX(C$2:C477)-1</f>
        <v/>
      </c>
      <c r="J477" s="20">
        <f>D477/D476-1</f>
        <v/>
      </c>
      <c r="K477" s="20">
        <f>D477/MAX(D$2:D477)-1</f>
        <v/>
      </c>
      <c r="L477" s="20">
        <f>E477/E476-1</f>
        <v/>
      </c>
      <c r="M477" s="20">
        <f>E477/MAX(E$2:E477)-1</f>
        <v/>
      </c>
    </row>
    <row r="478">
      <c r="A478" s="11" t="n">
        <v>44377</v>
      </c>
      <c r="B478" s="19" t="n">
        <v>2.069843058131799</v>
      </c>
      <c r="C478" s="19" t="n">
        <v>1.832907878651741</v>
      </c>
      <c r="D478" s="19" t="n">
        <v>2.247011617754607</v>
      </c>
      <c r="E478" s="19" t="n">
        <v>1.417167279801515</v>
      </c>
      <c r="F478" s="20">
        <f>B478/B477-1</f>
        <v/>
      </c>
      <c r="G478" s="20">
        <f>B478/MAX(B$2:B478)-1</f>
        <v/>
      </c>
      <c r="H478" s="20">
        <f>C478/C477-1</f>
        <v/>
      </c>
      <c r="I478" s="20">
        <f>C478/MAX(C$2:C478)-1</f>
        <v/>
      </c>
      <c r="J478" s="20">
        <f>D478/D477-1</f>
        <v/>
      </c>
      <c r="K478" s="20">
        <f>D478/MAX(D$2:D478)-1</f>
        <v/>
      </c>
      <c r="L478" s="20">
        <f>E478/E477-1</f>
        <v/>
      </c>
      <c r="M478" s="20">
        <f>E478/MAX(E$2:E478)-1</f>
        <v/>
      </c>
    </row>
    <row r="479">
      <c r="A479" s="11" t="n">
        <v>44378</v>
      </c>
      <c r="B479" s="19" t="n">
        <v>2.034937850529082</v>
      </c>
      <c r="C479" s="19" t="n">
        <v>1.80528708270332</v>
      </c>
      <c r="D479" s="19" t="n">
        <v>2.232911678867352</v>
      </c>
      <c r="E479" s="19" t="n">
        <v>1.409657152847264</v>
      </c>
      <c r="F479" s="20">
        <f>B479/B478-1</f>
        <v/>
      </c>
      <c r="G479" s="20">
        <f>B479/MAX(B$2:B479)-1</f>
        <v/>
      </c>
      <c r="H479" s="20">
        <f>C479/C478-1</f>
        <v/>
      </c>
      <c r="I479" s="20">
        <f>C479/MAX(C$2:C479)-1</f>
        <v/>
      </c>
      <c r="J479" s="20">
        <f>D479/D478-1</f>
        <v/>
      </c>
      <c r="K479" s="20">
        <f>D479/MAX(D$2:D479)-1</f>
        <v/>
      </c>
      <c r="L479" s="20">
        <f>E479/E478-1</f>
        <v/>
      </c>
      <c r="M479" s="20">
        <f>E479/MAX(E$2:E479)-1</f>
        <v/>
      </c>
    </row>
    <row r="480">
      <c r="A480" s="11" t="n">
        <v>44379</v>
      </c>
      <c r="B480" s="19" t="n">
        <v>2.001612470123531</v>
      </c>
      <c r="C480" s="19" t="n">
        <v>1.76770636147382</v>
      </c>
      <c r="D480" s="19" t="n">
        <v>2.154421252217413</v>
      </c>
      <c r="E480" s="19" t="n">
        <v>1.382027027529693</v>
      </c>
      <c r="F480" s="20">
        <f>B480/B479-1</f>
        <v/>
      </c>
      <c r="G480" s="20">
        <f>B480/MAX(B$2:B480)-1</f>
        <v/>
      </c>
      <c r="H480" s="20">
        <f>C480/C479-1</f>
        <v/>
      </c>
      <c r="I480" s="20">
        <f>C480/MAX(C$2:C480)-1</f>
        <v/>
      </c>
      <c r="J480" s="20">
        <f>D480/D479-1</f>
        <v/>
      </c>
      <c r="K480" s="20">
        <f>D480/MAX(D$2:D480)-1</f>
        <v/>
      </c>
      <c r="L480" s="20">
        <f>E480/E479-1</f>
        <v/>
      </c>
      <c r="M480" s="20">
        <f>E480/MAX(E$2:E480)-1</f>
        <v/>
      </c>
    </row>
    <row r="481">
      <c r="A481" s="11" t="n">
        <v>44382</v>
      </c>
      <c r="B481" s="19" t="n">
        <v>2.022503830616978</v>
      </c>
      <c r="C481" s="19" t="n">
        <v>1.777255125862708</v>
      </c>
      <c r="D481" s="19" t="n">
        <v>2.166194874374438</v>
      </c>
      <c r="E481" s="19" t="n">
        <v>1.390597276416565</v>
      </c>
      <c r="F481" s="20">
        <f>B481/B480-1</f>
        <v/>
      </c>
      <c r="G481" s="20">
        <f>B481/MAX(B$2:B481)-1</f>
        <v/>
      </c>
      <c r="H481" s="20">
        <f>C481/C480-1</f>
        <v/>
      </c>
      <c r="I481" s="20">
        <f>C481/MAX(C$2:C481)-1</f>
        <v/>
      </c>
      <c r="J481" s="20">
        <f>D481/D480-1</f>
        <v/>
      </c>
      <c r="K481" s="20">
        <f>D481/MAX(D$2:D481)-1</f>
        <v/>
      </c>
      <c r="L481" s="20">
        <f>E481/E480-1</f>
        <v/>
      </c>
      <c r="M481" s="20">
        <f>E481/MAX(E$2:E481)-1</f>
        <v/>
      </c>
    </row>
    <row r="482">
      <c r="A482" s="11" t="n">
        <v>44383</v>
      </c>
      <c r="B482" s="19" t="n">
        <v>1.995025378833295</v>
      </c>
      <c r="C482" s="19" t="n">
        <v>1.765697647152477</v>
      </c>
      <c r="D482" s="19" t="n">
        <v>2.127338619087171</v>
      </c>
      <c r="E482" s="19" t="n">
        <v>1.388651859677053</v>
      </c>
      <c r="F482" s="20">
        <f>B482/B481-1</f>
        <v/>
      </c>
      <c r="G482" s="20">
        <f>B482/MAX(B$2:B482)-1</f>
        <v/>
      </c>
      <c r="H482" s="20">
        <f>C482/C481-1</f>
        <v/>
      </c>
      <c r="I482" s="20">
        <f>C482/MAX(C$2:C482)-1</f>
        <v/>
      </c>
      <c r="J482" s="20">
        <f>D482/D481-1</f>
        <v/>
      </c>
      <c r="K482" s="20">
        <f>D482/MAX(D$2:D482)-1</f>
        <v/>
      </c>
      <c r="L482" s="20">
        <f>E482/E481-1</f>
        <v/>
      </c>
      <c r="M482" s="20">
        <f>E482/MAX(E$2:E482)-1</f>
        <v/>
      </c>
    </row>
    <row r="483">
      <c r="A483" s="11" t="n">
        <v>44384</v>
      </c>
      <c r="B483" s="19" t="n">
        <v>2.041498817306671</v>
      </c>
      <c r="C483" s="19" t="n">
        <v>1.785817402331852</v>
      </c>
      <c r="D483" s="19" t="n">
        <v>2.203334712575907</v>
      </c>
      <c r="E483" s="19" t="n">
        <v>1.40684503993126</v>
      </c>
      <c r="F483" s="20">
        <f>B483/B482-1</f>
        <v/>
      </c>
      <c r="G483" s="20">
        <f>B483/MAX(B$2:B483)-1</f>
        <v/>
      </c>
      <c r="H483" s="20">
        <f>C483/C482-1</f>
        <v/>
      </c>
      <c r="I483" s="20">
        <f>C483/MAX(C$2:C483)-1</f>
        <v/>
      </c>
      <c r="J483" s="20">
        <f>D483/D482-1</f>
        <v/>
      </c>
      <c r="K483" s="20">
        <f>D483/MAX(D$2:D483)-1</f>
        <v/>
      </c>
      <c r="L483" s="20">
        <f>E483/E482-1</f>
        <v/>
      </c>
      <c r="M483" s="20">
        <f>E483/MAX(E$2:E483)-1</f>
        <v/>
      </c>
    </row>
    <row r="484">
      <c r="A484" s="11" t="n">
        <v>44385</v>
      </c>
      <c r="B484" s="19" t="n">
        <v>2.055889508770811</v>
      </c>
      <c r="C484" s="19" t="n">
        <v>1.799503461173362</v>
      </c>
      <c r="D484" s="19" t="n">
        <v>2.218435318553014</v>
      </c>
      <c r="E484" s="19" t="n">
        <v>1.399108009686167</v>
      </c>
      <c r="F484" s="20">
        <f>B484/B483-1</f>
        <v/>
      </c>
      <c r="G484" s="20">
        <f>B484/MAX(B$2:B484)-1</f>
        <v/>
      </c>
      <c r="H484" s="20">
        <f>C484/C483-1</f>
        <v/>
      </c>
      <c r="I484" s="20">
        <f>C484/MAX(C$2:C484)-1</f>
        <v/>
      </c>
      <c r="J484" s="20">
        <f>D484/D483-1</f>
        <v/>
      </c>
      <c r="K484" s="20">
        <f>D484/MAX(D$2:D484)-1</f>
        <v/>
      </c>
      <c r="L484" s="20">
        <f>E484/E483-1</f>
        <v/>
      </c>
      <c r="M484" s="20">
        <f>E484/MAX(E$2:E484)-1</f>
        <v/>
      </c>
    </row>
    <row r="485">
      <c r="A485" s="11" t="n">
        <v>44386</v>
      </c>
      <c r="B485" s="19" t="n">
        <v>2.05299425956737</v>
      </c>
      <c r="C485" s="19" t="n">
        <v>1.783666215085535</v>
      </c>
      <c r="D485" s="19" t="n">
        <v>2.20315377180409</v>
      </c>
      <c r="E485" s="19" t="n">
        <v>1.400647976283027</v>
      </c>
      <c r="F485" s="20">
        <f>B485/B484-1</f>
        <v/>
      </c>
      <c r="G485" s="20">
        <f>B485/MAX(B$2:B485)-1</f>
        <v/>
      </c>
      <c r="H485" s="20">
        <f>C485/C484-1</f>
        <v/>
      </c>
      <c r="I485" s="20">
        <f>C485/MAX(C$2:C485)-1</f>
        <v/>
      </c>
      <c r="J485" s="20">
        <f>D485/D484-1</f>
        <v/>
      </c>
      <c r="K485" s="20">
        <f>D485/MAX(D$2:D485)-1</f>
        <v/>
      </c>
      <c r="L485" s="20">
        <f>E485/E484-1</f>
        <v/>
      </c>
      <c r="M485" s="20">
        <f>E485/MAX(E$2:E485)-1</f>
        <v/>
      </c>
    </row>
    <row r="486">
      <c r="A486" s="11" t="n">
        <v>44389</v>
      </c>
      <c r="B486" s="19" t="n">
        <v>2.104939610442511</v>
      </c>
      <c r="C486" s="19" t="n">
        <v>1.828384964536892</v>
      </c>
      <c r="D486" s="19" t="n">
        <v>2.28422409075162</v>
      </c>
      <c r="E486" s="19" t="n">
        <v>1.42193596863527</v>
      </c>
      <c r="F486" s="20">
        <f>B486/B485-1</f>
        <v/>
      </c>
      <c r="G486" s="20">
        <f>B486/MAX(B$2:B486)-1</f>
        <v/>
      </c>
      <c r="H486" s="20">
        <f>C486/C485-1</f>
        <v/>
      </c>
      <c r="I486" s="20">
        <f>C486/MAX(C$2:C486)-1</f>
        <v/>
      </c>
      <c r="J486" s="20">
        <f>D486/D485-1</f>
        <v/>
      </c>
      <c r="K486" s="20">
        <f>D486/MAX(D$2:D486)-1</f>
        <v/>
      </c>
      <c r="L486" s="20">
        <f>E486/E485-1</f>
        <v/>
      </c>
      <c r="M486" s="20">
        <f>E486/MAX(E$2:E486)-1</f>
        <v/>
      </c>
    </row>
    <row r="487">
      <c r="A487" s="11" t="n">
        <v>44390</v>
      </c>
      <c r="B487" s="19" t="n">
        <v>2.098609531013518</v>
      </c>
      <c r="C487" s="19" t="n">
        <v>1.836276867894842</v>
      </c>
      <c r="D487" s="19" t="n">
        <v>2.271438169597983</v>
      </c>
      <c r="E487" s="19" t="n">
        <v>1.42790984871874</v>
      </c>
      <c r="F487" s="20">
        <f>B487/B486-1</f>
        <v/>
      </c>
      <c r="G487" s="20">
        <f>B487/MAX(B$2:B487)-1</f>
        <v/>
      </c>
      <c r="H487" s="20">
        <f>C487/C486-1</f>
        <v/>
      </c>
      <c r="I487" s="20">
        <f>C487/MAX(C$2:C487)-1</f>
        <v/>
      </c>
      <c r="J487" s="20">
        <f>D487/D486-1</f>
        <v/>
      </c>
      <c r="K487" s="20">
        <f>D487/MAX(D$2:D487)-1</f>
        <v/>
      </c>
      <c r="L487" s="20">
        <f>E487/E486-1</f>
        <v/>
      </c>
      <c r="M487" s="20">
        <f>E487/MAX(E$2:E487)-1</f>
        <v/>
      </c>
    </row>
    <row r="488">
      <c r="A488" s="11" t="n">
        <v>44391</v>
      </c>
      <c r="B488" s="19" t="n">
        <v>2.093412579506578</v>
      </c>
      <c r="C488" s="19" t="n">
        <v>1.821903216054515</v>
      </c>
      <c r="D488" s="19" t="n">
        <v>2.254410221292503</v>
      </c>
      <c r="E488" s="19" t="n">
        <v>1.412632933710761</v>
      </c>
      <c r="F488" s="20">
        <f>B488/B487-1</f>
        <v/>
      </c>
      <c r="G488" s="20">
        <f>B488/MAX(B$2:B488)-1</f>
        <v/>
      </c>
      <c r="H488" s="20">
        <f>C488/C487-1</f>
        <v/>
      </c>
      <c r="I488" s="20">
        <f>C488/MAX(C$2:C488)-1</f>
        <v/>
      </c>
      <c r="J488" s="20">
        <f>D488/D487-1</f>
        <v/>
      </c>
      <c r="K488" s="20">
        <f>D488/MAX(D$2:D488)-1</f>
        <v/>
      </c>
      <c r="L488" s="20">
        <f>E488/E487-1</f>
        <v/>
      </c>
      <c r="M488" s="20">
        <f>E488/MAX(E$2:E488)-1</f>
        <v/>
      </c>
    </row>
    <row r="489">
      <c r="A489" s="11" t="n">
        <v>44392</v>
      </c>
      <c r="B489" s="19" t="n">
        <v>2.111835382215048</v>
      </c>
      <c r="C489" s="19" t="n">
        <v>1.839161343372496</v>
      </c>
      <c r="D489" s="19" t="n">
        <v>2.285922607625348</v>
      </c>
      <c r="E489" s="19" t="n">
        <v>1.424074811130909</v>
      </c>
      <c r="F489" s="20">
        <f>B489/B488-1</f>
        <v/>
      </c>
      <c r="G489" s="20">
        <f>B489/MAX(B$2:B489)-1</f>
        <v/>
      </c>
      <c r="H489" s="20">
        <f>C489/C488-1</f>
        <v/>
      </c>
      <c r="I489" s="20">
        <f>C489/MAX(C$2:C489)-1</f>
        <v/>
      </c>
      <c r="J489" s="20">
        <f>D489/D488-1</f>
        <v/>
      </c>
      <c r="K489" s="20">
        <f>D489/MAX(D$2:D489)-1</f>
        <v/>
      </c>
      <c r="L489" s="20">
        <f>E489/E488-1</f>
        <v/>
      </c>
      <c r="M489" s="20">
        <f>E489/MAX(E$2:E489)-1</f>
        <v/>
      </c>
    </row>
    <row r="490">
      <c r="A490" s="11" t="n">
        <v>44393</v>
      </c>
      <c r="B490" s="19" t="n">
        <v>2.098946970046958</v>
      </c>
      <c r="C490" s="19" t="n">
        <v>1.843279301526726</v>
      </c>
      <c r="D490" s="19" t="n">
        <v>2.218235120513339</v>
      </c>
      <c r="E490" s="19" t="n">
        <v>1.413109058648921</v>
      </c>
      <c r="F490" s="20">
        <f>B490/B489-1</f>
        <v/>
      </c>
      <c r="G490" s="20">
        <f>B490/MAX(B$2:B490)-1</f>
        <v/>
      </c>
      <c r="H490" s="20">
        <f>C490/C489-1</f>
        <v/>
      </c>
      <c r="I490" s="20">
        <f>C490/MAX(C$2:C490)-1</f>
        <v/>
      </c>
      <c r="J490" s="20">
        <f>D490/D489-1</f>
        <v/>
      </c>
      <c r="K490" s="20">
        <f>D490/MAX(D$2:D490)-1</f>
        <v/>
      </c>
      <c r="L490" s="20">
        <f>E490/E489-1</f>
        <v/>
      </c>
      <c r="M490" s="20">
        <f>E490/MAX(E$2:E490)-1</f>
        <v/>
      </c>
    </row>
    <row r="491">
      <c r="A491" s="11" t="n">
        <v>44396</v>
      </c>
      <c r="B491" s="19" t="n">
        <v>2.0976505747354</v>
      </c>
      <c r="C491" s="19" t="n">
        <v>1.849974759396563</v>
      </c>
      <c r="D491" s="19" t="n">
        <v>2.229142682590402</v>
      </c>
      <c r="E491" s="19" t="n">
        <v>1.412685009875873</v>
      </c>
      <c r="F491" s="20">
        <f>B491/B490-1</f>
        <v/>
      </c>
      <c r="G491" s="20">
        <f>B491/MAX(B$2:B491)-1</f>
        <v/>
      </c>
      <c r="H491" s="20">
        <f>C491/C490-1</f>
        <v/>
      </c>
      <c r="I491" s="20">
        <f>C491/MAX(C$2:C491)-1</f>
        <v/>
      </c>
      <c r="J491" s="20">
        <f>D491/D490-1</f>
        <v/>
      </c>
      <c r="K491" s="20">
        <f>D491/MAX(D$2:D491)-1</f>
        <v/>
      </c>
      <c r="L491" s="20">
        <f>E491/E490-1</f>
        <v/>
      </c>
      <c r="M491" s="20">
        <f>E491/MAX(E$2:E491)-1</f>
        <v/>
      </c>
    </row>
    <row r="492">
      <c r="A492" s="11" t="n">
        <v>44397</v>
      </c>
      <c r="B492" s="19" t="n">
        <v>2.099535840542266</v>
      </c>
      <c r="C492" s="19" t="n">
        <v>1.84776325444332</v>
      </c>
      <c r="D492" s="19" t="n">
        <v>2.23836096869744</v>
      </c>
      <c r="E492" s="19" t="n">
        <v>1.414663904150098</v>
      </c>
      <c r="F492" s="20">
        <f>B492/B491-1</f>
        <v/>
      </c>
      <c r="G492" s="20">
        <f>B492/MAX(B$2:B492)-1</f>
        <v/>
      </c>
      <c r="H492" s="20">
        <f>C492/C491-1</f>
        <v/>
      </c>
      <c r="I492" s="20">
        <f>C492/MAX(C$2:C492)-1</f>
        <v/>
      </c>
      <c r="J492" s="20">
        <f>D492/D491-1</f>
        <v/>
      </c>
      <c r="K492" s="20">
        <f>D492/MAX(D$2:D492)-1</f>
        <v/>
      </c>
      <c r="L492" s="20">
        <f>E492/E491-1</f>
        <v/>
      </c>
      <c r="M492" s="20">
        <f>E492/MAX(E$2:E492)-1</f>
        <v/>
      </c>
    </row>
    <row r="493">
      <c r="A493" s="11" t="n">
        <v>44398</v>
      </c>
      <c r="B493" s="19" t="n">
        <v>2.140897332148131</v>
      </c>
      <c r="C493" s="19" t="n">
        <v>1.867489405319839</v>
      </c>
      <c r="D493" s="19" t="n">
        <v>2.300562073121139</v>
      </c>
      <c r="E493" s="19" t="n">
        <v>1.432347481931431</v>
      </c>
      <c r="F493" s="20">
        <f>B493/B492-1</f>
        <v/>
      </c>
      <c r="G493" s="20">
        <f>B493/MAX(B$2:B493)-1</f>
        <v/>
      </c>
      <c r="H493" s="20">
        <f>C493/C492-1</f>
        <v/>
      </c>
      <c r="I493" s="20">
        <f>C493/MAX(C$2:C493)-1</f>
        <v/>
      </c>
      <c r="J493" s="20">
        <f>D493/D492-1</f>
        <v/>
      </c>
      <c r="K493" s="20">
        <f>D493/MAX(D$2:D493)-1</f>
        <v/>
      </c>
      <c r="L493" s="20">
        <f>E493/E492-1</f>
        <v/>
      </c>
      <c r="M493" s="20">
        <f>E493/MAX(E$2:E493)-1</f>
        <v/>
      </c>
    </row>
    <row r="494">
      <c r="A494" s="11" t="n">
        <v>44399</v>
      </c>
      <c r="B494" s="19" t="n">
        <v>2.164944051667543</v>
      </c>
      <c r="C494" s="19" t="n">
        <v>1.866486900018591</v>
      </c>
      <c r="D494" s="19" t="n">
        <v>2.290474625092337</v>
      </c>
      <c r="E494" s="19" t="n">
        <v>1.438220929410758</v>
      </c>
      <c r="F494" s="20">
        <f>B494/B493-1</f>
        <v/>
      </c>
      <c r="G494" s="20">
        <f>B494/MAX(B$2:B494)-1</f>
        <v/>
      </c>
      <c r="H494" s="20">
        <f>C494/C493-1</f>
        <v/>
      </c>
      <c r="I494" s="20">
        <f>C494/MAX(C$2:C494)-1</f>
        <v/>
      </c>
      <c r="J494" s="20">
        <f>D494/D493-1</f>
        <v/>
      </c>
      <c r="K494" s="20">
        <f>D494/MAX(D$2:D494)-1</f>
        <v/>
      </c>
      <c r="L494" s="20">
        <f>E494/E493-1</f>
        <v/>
      </c>
      <c r="M494" s="20">
        <f>E494/MAX(E$2:E494)-1</f>
        <v/>
      </c>
    </row>
    <row r="495">
      <c r="A495" s="11" t="n">
        <v>44400</v>
      </c>
      <c r="B495" s="19" t="n">
        <v>2.145569824560916</v>
      </c>
      <c r="C495" s="19" t="n">
        <v>1.843305035157671</v>
      </c>
      <c r="D495" s="19" t="n">
        <v>2.242291066883012</v>
      </c>
      <c r="E495" s="19" t="n">
        <v>1.422832422620398</v>
      </c>
      <c r="F495" s="20">
        <f>B495/B494-1</f>
        <v/>
      </c>
      <c r="G495" s="20">
        <f>B495/MAX(B$2:B495)-1</f>
        <v/>
      </c>
      <c r="H495" s="20">
        <f>C495/C494-1</f>
        <v/>
      </c>
      <c r="I495" s="20">
        <f>C495/MAX(C$2:C495)-1</f>
        <v/>
      </c>
      <c r="J495" s="20">
        <f>D495/D494-1</f>
        <v/>
      </c>
      <c r="K495" s="20">
        <f>D495/MAX(D$2:D495)-1</f>
        <v/>
      </c>
      <c r="L495" s="20">
        <f>E495/E494-1</f>
        <v/>
      </c>
      <c r="M495" s="20">
        <f>E495/MAX(E$2:E495)-1</f>
        <v/>
      </c>
    </row>
    <row r="496">
      <c r="A496" s="11" t="n">
        <v>44403</v>
      </c>
      <c r="B496" s="19" t="n">
        <v>2.112414179462555</v>
      </c>
      <c r="C496" s="19" t="n">
        <v>1.811776527224859</v>
      </c>
      <c r="D496" s="19" t="n">
        <v>2.178544857511404</v>
      </c>
      <c r="E496" s="19" t="n">
        <v>1.390106272574088</v>
      </c>
      <c r="F496" s="20">
        <f>B496/B495-1</f>
        <v/>
      </c>
      <c r="G496" s="20">
        <f>B496/MAX(B$2:B496)-1</f>
        <v/>
      </c>
      <c r="H496" s="20">
        <f>C496/C495-1</f>
        <v/>
      </c>
      <c r="I496" s="20">
        <f>C496/MAX(C$2:C496)-1</f>
        <v/>
      </c>
      <c r="J496" s="20">
        <f>D496/D495-1</f>
        <v/>
      </c>
      <c r="K496" s="20">
        <f>D496/MAX(D$2:D496)-1</f>
        <v/>
      </c>
      <c r="L496" s="20">
        <f>E496/E495-1</f>
        <v/>
      </c>
      <c r="M496" s="20">
        <f>E496/MAX(E$2:E496)-1</f>
        <v/>
      </c>
    </row>
    <row r="497">
      <c r="A497" s="11" t="n">
        <v>44404</v>
      </c>
      <c r="B497" s="19" t="n">
        <v>2.023796405790572</v>
      </c>
      <c r="C497" s="19" t="n">
        <v>1.75385825290772</v>
      </c>
      <c r="D497" s="19" t="n">
        <v>2.089115462636151</v>
      </c>
      <c r="E497" s="19" t="n">
        <v>1.34854205336319</v>
      </c>
      <c r="F497" s="20">
        <f>B497/B496-1</f>
        <v/>
      </c>
      <c r="G497" s="20">
        <f>B497/MAX(B$2:B497)-1</f>
        <v/>
      </c>
      <c r="H497" s="20">
        <f>C497/C496-1</f>
        <v/>
      </c>
      <c r="I497" s="20">
        <f>C497/MAX(C$2:C497)-1</f>
        <v/>
      </c>
      <c r="J497" s="20">
        <f>D497/D496-1</f>
        <v/>
      </c>
      <c r="K497" s="20">
        <f>D497/MAX(D$2:D497)-1</f>
        <v/>
      </c>
      <c r="L497" s="20">
        <f>E497/E496-1</f>
        <v/>
      </c>
      <c r="M497" s="20">
        <f>E497/MAX(E$2:E497)-1</f>
        <v/>
      </c>
    </row>
    <row r="498">
      <c r="A498" s="11" t="n">
        <v>44405</v>
      </c>
      <c r="B498" s="19" t="n">
        <v>2.035202976611648</v>
      </c>
      <c r="C498" s="19" t="n">
        <v>1.743966774274931</v>
      </c>
      <c r="D498" s="19" t="n">
        <v>2.122771157032874</v>
      </c>
      <c r="E498" s="19" t="n">
        <v>1.338833568296031</v>
      </c>
      <c r="F498" s="20">
        <f>B498/B497-1</f>
        <v/>
      </c>
      <c r="G498" s="20">
        <f>B498/MAX(B$2:B498)-1</f>
        <v/>
      </c>
      <c r="H498" s="20">
        <f>C498/C497-1</f>
        <v/>
      </c>
      <c r="I498" s="20">
        <f>C498/MAX(C$2:C498)-1</f>
        <v/>
      </c>
      <c r="J498" s="20">
        <f>D498/D497-1</f>
        <v/>
      </c>
      <c r="K498" s="20">
        <f>D498/MAX(D$2:D498)-1</f>
        <v/>
      </c>
      <c r="L498" s="20">
        <f>E498/E497-1</f>
        <v/>
      </c>
      <c r="M498" s="20">
        <f>E498/MAX(E$2:E498)-1</f>
        <v/>
      </c>
    </row>
    <row r="499">
      <c r="A499" s="11" t="n">
        <v>44406</v>
      </c>
      <c r="B499" s="19" t="n">
        <v>2.144814011293457</v>
      </c>
      <c r="C499" s="19" t="n">
        <v>1.799217745719499</v>
      </c>
      <c r="D499" s="19" t="n">
        <v>2.235730929957375</v>
      </c>
      <c r="E499" s="19" t="n">
        <v>1.37310712439136</v>
      </c>
      <c r="F499" s="20">
        <f>B499/B498-1</f>
        <v/>
      </c>
      <c r="G499" s="20">
        <f>B499/MAX(B$2:B499)-1</f>
        <v/>
      </c>
      <c r="H499" s="20">
        <f>C499/C498-1</f>
        <v/>
      </c>
      <c r="I499" s="20">
        <f>C499/MAX(C$2:C499)-1</f>
        <v/>
      </c>
      <c r="J499" s="20">
        <f>D499/D498-1</f>
        <v/>
      </c>
      <c r="K499" s="20">
        <f>D499/MAX(D$2:D499)-1</f>
        <v/>
      </c>
      <c r="L499" s="20">
        <f>E499/E498-1</f>
        <v/>
      </c>
      <c r="M499" s="20">
        <f>E499/MAX(E$2:E499)-1</f>
        <v/>
      </c>
    </row>
    <row r="500">
      <c r="A500" s="11" t="n">
        <v>44407</v>
      </c>
      <c r="B500" s="19" t="n">
        <v>2.177277661103245</v>
      </c>
      <c r="C500" s="19" t="n">
        <v>1.816908149937121</v>
      </c>
      <c r="D500" s="19" t="n">
        <v>2.223104042817825</v>
      </c>
      <c r="E500" s="19" t="n">
        <v>1.371321655873261</v>
      </c>
      <c r="F500" s="20">
        <f>B500/B499-1</f>
        <v/>
      </c>
      <c r="G500" s="20">
        <f>B500/MAX(B$2:B500)-1</f>
        <v/>
      </c>
      <c r="H500" s="20">
        <f>C500/C499-1</f>
        <v/>
      </c>
      <c r="I500" s="20">
        <f>C500/MAX(C$2:C500)-1</f>
        <v/>
      </c>
      <c r="J500" s="20">
        <f>D500/D499-1</f>
        <v/>
      </c>
      <c r="K500" s="20">
        <f>D500/MAX(D$2:D500)-1</f>
        <v/>
      </c>
      <c r="L500" s="20">
        <f>E500/E499-1</f>
        <v/>
      </c>
      <c r="M500" s="20">
        <f>E500/MAX(E$2:E500)-1</f>
        <v/>
      </c>
    </row>
    <row r="501">
      <c r="A501" s="11" t="n">
        <v>44410</v>
      </c>
      <c r="B501" s="19" t="n">
        <v>2.187048643123601</v>
      </c>
      <c r="C501" s="19" t="n">
        <v>1.845900283863594</v>
      </c>
      <c r="D501" s="19" t="n">
        <v>2.257468184957915</v>
      </c>
      <c r="E501" s="19" t="n">
        <v>1.400395034909629</v>
      </c>
      <c r="F501" s="20">
        <f>B501/B500-1</f>
        <v/>
      </c>
      <c r="G501" s="20">
        <f>B501/MAX(B$2:B501)-1</f>
        <v/>
      </c>
      <c r="H501" s="20">
        <f>C501/C500-1</f>
        <v/>
      </c>
      <c r="I501" s="20">
        <f>C501/MAX(C$2:C501)-1</f>
        <v/>
      </c>
      <c r="J501" s="20">
        <f>D501/D500-1</f>
        <v/>
      </c>
      <c r="K501" s="20">
        <f>D501/MAX(D$2:D501)-1</f>
        <v/>
      </c>
      <c r="L501" s="20">
        <f>E501/E500-1</f>
        <v/>
      </c>
      <c r="M501" s="20">
        <f>E501/MAX(E$2:E501)-1</f>
        <v/>
      </c>
    </row>
    <row r="502">
      <c r="A502" s="11" t="n">
        <v>44411</v>
      </c>
      <c r="B502" s="19" t="n">
        <v>2.136218018419481</v>
      </c>
      <c r="C502" s="19" t="n">
        <v>1.832598064975254</v>
      </c>
      <c r="D502" s="19" t="n">
        <v>2.247044445580351</v>
      </c>
      <c r="E502" s="19" t="n">
        <v>1.392412502743298</v>
      </c>
      <c r="F502" s="20">
        <f>B502/B501-1</f>
        <v/>
      </c>
      <c r="G502" s="20">
        <f>B502/MAX(B$2:B502)-1</f>
        <v/>
      </c>
      <c r="H502" s="20">
        <f>C502/C501-1</f>
        <v/>
      </c>
      <c r="I502" s="20">
        <f>C502/MAX(C$2:C502)-1</f>
        <v/>
      </c>
      <c r="J502" s="20">
        <f>D502/D501-1</f>
        <v/>
      </c>
      <c r="K502" s="20">
        <f>D502/MAX(D$2:D502)-1</f>
        <v/>
      </c>
      <c r="L502" s="20">
        <f>E502/E501-1</f>
        <v/>
      </c>
      <c r="M502" s="20">
        <f>E502/MAX(E$2:E502)-1</f>
        <v/>
      </c>
    </row>
    <row r="503">
      <c r="A503" s="11" t="n">
        <v>44412</v>
      </c>
      <c r="B503" s="19" t="n">
        <v>2.207458295409657</v>
      </c>
      <c r="C503" s="19" t="n">
        <v>1.87770166448492</v>
      </c>
      <c r="D503" s="19" t="n">
        <v>2.302553197071577</v>
      </c>
      <c r="E503" s="19" t="n">
        <v>1.412740805767063</v>
      </c>
      <c r="F503" s="20">
        <f>B503/B502-1</f>
        <v/>
      </c>
      <c r="G503" s="20">
        <f>B503/MAX(B$2:B503)-1</f>
        <v/>
      </c>
      <c r="H503" s="20">
        <f>C503/C502-1</f>
        <v/>
      </c>
      <c r="I503" s="20">
        <f>C503/MAX(C$2:C503)-1</f>
        <v/>
      </c>
      <c r="J503" s="20">
        <f>D503/D502-1</f>
        <v/>
      </c>
      <c r="K503" s="20">
        <f>D503/MAX(D$2:D503)-1</f>
        <v/>
      </c>
      <c r="L503" s="20">
        <f>E503/E502-1</f>
        <v/>
      </c>
      <c r="M503" s="20">
        <f>E503/MAX(E$2:E503)-1</f>
        <v/>
      </c>
    </row>
    <row r="504">
      <c r="A504" s="11" t="n">
        <v>44413</v>
      </c>
      <c r="B504" s="19" t="n">
        <v>2.19574737632388</v>
      </c>
      <c r="C504" s="19" t="n">
        <v>1.865664963036164</v>
      </c>
      <c r="D504" s="19" t="n">
        <v>2.282761895450225</v>
      </c>
      <c r="E504" s="19" t="n">
        <v>1.405818395533353</v>
      </c>
      <c r="F504" s="20">
        <f>B504/B503-1</f>
        <v/>
      </c>
      <c r="G504" s="20">
        <f>B504/MAX(B$2:B504)-1</f>
        <v/>
      </c>
      <c r="H504" s="20">
        <f>C504/C503-1</f>
        <v/>
      </c>
      <c r="I504" s="20">
        <f>C504/MAX(C$2:C504)-1</f>
        <v/>
      </c>
      <c r="J504" s="20">
        <f>D504/D503-1</f>
        <v/>
      </c>
      <c r="K504" s="20">
        <f>D504/MAX(D$2:D504)-1</f>
        <v/>
      </c>
      <c r="L504" s="20">
        <f>E504/E503-1</f>
        <v/>
      </c>
      <c r="M504" s="20">
        <f>E504/MAX(E$2:E504)-1</f>
        <v/>
      </c>
    </row>
    <row r="505">
      <c r="A505" s="11" t="n">
        <v>44414</v>
      </c>
      <c r="B505" s="19" t="n">
        <v>2.186069806334396</v>
      </c>
      <c r="C505" s="19" t="n">
        <v>1.848327758915801</v>
      </c>
      <c r="D505" s="19" t="n">
        <v>2.255880041954995</v>
      </c>
      <c r="E505" s="19" t="n">
        <v>1.403709310846349</v>
      </c>
      <c r="F505" s="20">
        <f>B505/B504-1</f>
        <v/>
      </c>
      <c r="G505" s="20">
        <f>B505/MAX(B$2:B505)-1</f>
        <v/>
      </c>
      <c r="H505" s="20">
        <f>C505/C504-1</f>
        <v/>
      </c>
      <c r="I505" s="20">
        <f>C505/MAX(C$2:C505)-1</f>
        <v/>
      </c>
      <c r="J505" s="20">
        <f>D505/D504-1</f>
        <v/>
      </c>
      <c r="K505" s="20">
        <f>D505/MAX(D$2:D505)-1</f>
        <v/>
      </c>
      <c r="L505" s="20">
        <f>E505/E504-1</f>
        <v/>
      </c>
      <c r="M505" s="20">
        <f>E505/MAX(E$2:E505)-1</f>
        <v/>
      </c>
    </row>
    <row r="506">
      <c r="A506" s="11" t="n">
        <v>44417</v>
      </c>
      <c r="B506" s="19" t="n">
        <v>2.170376757726054</v>
      </c>
      <c r="C506" s="19" t="n">
        <v>1.848993370102764</v>
      </c>
      <c r="D506" s="19" t="n">
        <v>2.233808692743635</v>
      </c>
      <c r="E506" s="19" t="n">
        <v>1.414939163879972</v>
      </c>
      <c r="F506" s="20">
        <f>B506/B505-1</f>
        <v/>
      </c>
      <c r="G506" s="20">
        <f>B506/MAX(B$2:B506)-1</f>
        <v/>
      </c>
      <c r="H506" s="20">
        <f>C506/C505-1</f>
        <v/>
      </c>
      <c r="I506" s="20">
        <f>C506/MAX(C$2:C506)-1</f>
        <v/>
      </c>
      <c r="J506" s="20">
        <f>D506/D505-1</f>
        <v/>
      </c>
      <c r="K506" s="20">
        <f>D506/MAX(D$2:D506)-1</f>
        <v/>
      </c>
      <c r="L506" s="20">
        <f>E506/E505-1</f>
        <v/>
      </c>
      <c r="M506" s="20">
        <f>E506/MAX(E$2:E506)-1</f>
        <v/>
      </c>
    </row>
    <row r="507">
      <c r="A507" s="11" t="n">
        <v>44418</v>
      </c>
      <c r="B507" s="19" t="n">
        <v>2.179047114456171</v>
      </c>
      <c r="C507" s="19" t="n">
        <v>1.860571868619953</v>
      </c>
      <c r="D507" s="19" t="n">
        <v>2.241513409294424</v>
      </c>
      <c r="E507" s="19" t="n">
        <v>1.429654400249966</v>
      </c>
      <c r="F507" s="20">
        <f>B507/B506-1</f>
        <v/>
      </c>
      <c r="G507" s="20">
        <f>B507/MAX(B$2:B507)-1</f>
        <v/>
      </c>
      <c r="H507" s="20">
        <f>C507/C506-1</f>
        <v/>
      </c>
      <c r="I507" s="20">
        <f>C507/MAX(C$2:C507)-1</f>
        <v/>
      </c>
      <c r="J507" s="20">
        <f>D507/D506-1</f>
        <v/>
      </c>
      <c r="K507" s="20">
        <f>D507/MAX(D$2:D507)-1</f>
        <v/>
      </c>
      <c r="L507" s="20">
        <f>E507/E506-1</f>
        <v/>
      </c>
      <c r="M507" s="20">
        <f>E507/MAX(E$2:E507)-1</f>
        <v/>
      </c>
    </row>
    <row r="508">
      <c r="A508" s="11" t="n">
        <v>44419</v>
      </c>
      <c r="B508" s="19" t="n">
        <v>2.193085565269694</v>
      </c>
      <c r="C508" s="19" t="n">
        <v>1.849109772695078</v>
      </c>
      <c r="D508" s="19" t="n">
        <v>2.2210855838865</v>
      </c>
      <c r="E508" s="19" t="n">
        <v>1.430796356156333</v>
      </c>
      <c r="F508" s="20">
        <f>B508/B507-1</f>
        <v/>
      </c>
      <c r="G508" s="20">
        <f>B508/MAX(B$2:B508)-1</f>
        <v/>
      </c>
      <c r="H508" s="20">
        <f>C508/C507-1</f>
        <v/>
      </c>
      <c r="I508" s="20">
        <f>C508/MAX(C$2:C508)-1</f>
        <v/>
      </c>
      <c r="J508" s="20">
        <f>D508/D507-1</f>
        <v/>
      </c>
      <c r="K508" s="20">
        <f>D508/MAX(D$2:D508)-1</f>
        <v/>
      </c>
      <c r="L508" s="20">
        <f>E508/E507-1</f>
        <v/>
      </c>
      <c r="M508" s="20">
        <f>E508/MAX(E$2:E508)-1</f>
        <v/>
      </c>
    </row>
    <row r="509">
      <c r="A509" s="11" t="n">
        <v>44420</v>
      </c>
      <c r="B509" s="19" t="n">
        <v>2.20029212674871</v>
      </c>
      <c r="C509" s="19" t="n">
        <v>1.846239871591586</v>
      </c>
      <c r="D509" s="19" t="n">
        <v>2.188370135286184</v>
      </c>
      <c r="E509" s="19" t="n">
        <v>1.427076630076961</v>
      </c>
      <c r="F509" s="20">
        <f>B509/B508-1</f>
        <v/>
      </c>
      <c r="G509" s="20">
        <f>B509/MAX(B$2:B509)-1</f>
        <v/>
      </c>
      <c r="H509" s="20">
        <f>C509/C508-1</f>
        <v/>
      </c>
      <c r="I509" s="20">
        <f>C509/MAX(C$2:C509)-1</f>
        <v/>
      </c>
      <c r="J509" s="20">
        <f>D509/D508-1</f>
        <v/>
      </c>
      <c r="K509" s="20">
        <f>D509/MAX(D$2:D509)-1</f>
        <v/>
      </c>
      <c r="L509" s="20">
        <f>E509/E508-1</f>
        <v/>
      </c>
      <c r="M509" s="20">
        <f>E509/MAX(E$2:E509)-1</f>
        <v/>
      </c>
    </row>
    <row r="510">
      <c r="A510" s="11" t="n">
        <v>44421</v>
      </c>
      <c r="B510" s="19" t="n">
        <v>2.164949068842584</v>
      </c>
      <c r="C510" s="19" t="n">
        <v>1.822153818329704</v>
      </c>
      <c r="D510" s="19" t="n">
        <v>2.161677558762616</v>
      </c>
      <c r="E510" s="19" t="n">
        <v>1.422226107269461</v>
      </c>
      <c r="F510" s="20">
        <f>B510/B509-1</f>
        <v/>
      </c>
      <c r="G510" s="20">
        <f>B510/MAX(B$2:B510)-1</f>
        <v/>
      </c>
      <c r="H510" s="20">
        <f>C510/C509-1</f>
        <v/>
      </c>
      <c r="I510" s="20">
        <f>C510/MAX(C$2:C510)-1</f>
        <v/>
      </c>
      <c r="J510" s="20">
        <f>D510/D509-1</f>
        <v/>
      </c>
      <c r="K510" s="20">
        <f>D510/MAX(D$2:D510)-1</f>
        <v/>
      </c>
      <c r="L510" s="20">
        <f>E510/E509-1</f>
        <v/>
      </c>
      <c r="M510" s="20">
        <f>E510/MAX(E$2:E510)-1</f>
        <v/>
      </c>
    </row>
    <row r="511">
      <c r="A511" s="11" t="n">
        <v>44424</v>
      </c>
      <c r="B511" s="19" t="n">
        <v>2.122359999292587</v>
      </c>
      <c r="C511" s="19" t="n">
        <v>1.803563747134127</v>
      </c>
      <c r="D511" s="19" t="n">
        <v>2.133414933313309</v>
      </c>
      <c r="E511" s="19" t="n">
        <v>1.41625222718599</v>
      </c>
      <c r="F511" s="20">
        <f>B511/B510-1</f>
        <v/>
      </c>
      <c r="G511" s="20">
        <f>B511/MAX(B$2:B511)-1</f>
        <v/>
      </c>
      <c r="H511" s="20">
        <f>C511/C510-1</f>
        <v/>
      </c>
      <c r="I511" s="20">
        <f>C511/MAX(C$2:C511)-1</f>
        <v/>
      </c>
      <c r="J511" s="20">
        <f>D511/D510-1</f>
        <v/>
      </c>
      <c r="K511" s="20">
        <f>D511/MAX(D$2:D511)-1</f>
        <v/>
      </c>
      <c r="L511" s="20">
        <f>E511/E510-1</f>
        <v/>
      </c>
      <c r="M511" s="20">
        <f>E511/MAX(E$2:E511)-1</f>
        <v/>
      </c>
    </row>
    <row r="512">
      <c r="A512" s="11" t="n">
        <v>44425</v>
      </c>
      <c r="B512" s="19" t="n">
        <v>2.074021153622848</v>
      </c>
      <c r="C512" s="19" t="n">
        <v>1.762270745214687</v>
      </c>
      <c r="D512" s="19" t="n">
        <v>2.083502550650977</v>
      </c>
      <c r="E512" s="19" t="n">
        <v>1.383678585908934</v>
      </c>
      <c r="F512" s="20">
        <f>B512/B511-1</f>
        <v/>
      </c>
      <c r="G512" s="20">
        <f>B512/MAX(B$2:B512)-1</f>
        <v/>
      </c>
      <c r="H512" s="20">
        <f>C512/C511-1</f>
        <v/>
      </c>
      <c r="I512" s="20">
        <f>C512/MAX(C$2:C512)-1</f>
        <v/>
      </c>
      <c r="J512" s="20">
        <f>D512/D511-1</f>
        <v/>
      </c>
      <c r="K512" s="20">
        <f>D512/MAX(D$2:D512)-1</f>
        <v/>
      </c>
      <c r="L512" s="20">
        <f>E512/E511-1</f>
        <v/>
      </c>
      <c r="M512" s="20">
        <f>E512/MAX(E$2:E512)-1</f>
        <v/>
      </c>
    </row>
    <row r="513">
      <c r="A513" s="11" t="n">
        <v>44426</v>
      </c>
      <c r="B513" s="19" t="n">
        <v>2.077092681695206</v>
      </c>
      <c r="C513" s="19" t="n">
        <v>1.771480258577296</v>
      </c>
      <c r="D513" s="19" t="n">
        <v>2.099154121278267</v>
      </c>
      <c r="E513" s="19" t="n">
        <v>1.397928856519006</v>
      </c>
      <c r="F513" s="20">
        <f>B513/B512-1</f>
        <v/>
      </c>
      <c r="G513" s="20">
        <f>B513/MAX(B$2:B513)-1</f>
        <v/>
      </c>
      <c r="H513" s="20">
        <f>C513/C512-1</f>
        <v/>
      </c>
      <c r="I513" s="20">
        <f>C513/MAX(C$2:C513)-1</f>
        <v/>
      </c>
      <c r="J513" s="20">
        <f>D513/D512-1</f>
        <v/>
      </c>
      <c r="K513" s="20">
        <f>D513/MAX(D$2:D513)-1</f>
        <v/>
      </c>
      <c r="L513" s="20">
        <f>E513/E512-1</f>
        <v/>
      </c>
      <c r="M513" s="20">
        <f>E513/MAX(E$2:E513)-1</f>
        <v/>
      </c>
    </row>
    <row r="514">
      <c r="A514" s="11" t="n">
        <v>44427</v>
      </c>
      <c r="B514" s="19" t="n">
        <v>2.109124755569197</v>
      </c>
      <c r="C514" s="19" t="n">
        <v>1.792745040083136</v>
      </c>
      <c r="D514" s="19" t="n">
        <v>2.11853003458489</v>
      </c>
      <c r="E514" s="19" t="n">
        <v>1.396392609648226</v>
      </c>
      <c r="F514" s="20">
        <f>B514/B513-1</f>
        <v/>
      </c>
      <c r="G514" s="20">
        <f>B514/MAX(B$2:B514)-1</f>
        <v/>
      </c>
      <c r="H514" s="20">
        <f>C514/C513-1</f>
        <v/>
      </c>
      <c r="I514" s="20">
        <f>C514/MAX(C$2:C514)-1</f>
        <v/>
      </c>
      <c r="J514" s="20">
        <f>D514/D513-1</f>
        <v/>
      </c>
      <c r="K514" s="20">
        <f>D514/MAX(D$2:D514)-1</f>
        <v/>
      </c>
      <c r="L514" s="20">
        <f>E514/E513-1</f>
        <v/>
      </c>
      <c r="M514" s="20">
        <f>E514/MAX(E$2:E514)-1</f>
        <v/>
      </c>
    </row>
    <row r="515">
      <c r="A515" s="11" t="n">
        <v>44428</v>
      </c>
      <c r="B515" s="19" t="n">
        <v>2.106225640504246</v>
      </c>
      <c r="C515" s="19" t="n">
        <v>1.778474707568549</v>
      </c>
      <c r="D515" s="19" t="n">
        <v>2.063306587917796</v>
      </c>
      <c r="E515" s="19" t="n">
        <v>1.380751161484468</v>
      </c>
      <c r="F515" s="20">
        <f>B515/B514-1</f>
        <v/>
      </c>
      <c r="G515" s="20">
        <f>B515/MAX(B$2:B515)-1</f>
        <v/>
      </c>
      <c r="H515" s="20">
        <f>C515/C514-1</f>
        <v/>
      </c>
      <c r="I515" s="20">
        <f>C515/MAX(C$2:C515)-1</f>
        <v/>
      </c>
      <c r="J515" s="20">
        <f>D515/D514-1</f>
        <v/>
      </c>
      <c r="K515" s="20">
        <f>D515/MAX(D$2:D515)-1</f>
        <v/>
      </c>
      <c r="L515" s="20">
        <f>E515/E514-1</f>
        <v/>
      </c>
      <c r="M515" s="20">
        <f>E515/MAX(E$2:E515)-1</f>
        <v/>
      </c>
    </row>
    <row r="516">
      <c r="A516" s="11" t="n">
        <v>44431</v>
      </c>
      <c r="B516" s="19" t="n">
        <v>2.164058487543348</v>
      </c>
      <c r="C516" s="19" t="n">
        <v>1.829802526850158</v>
      </c>
      <c r="D516" s="19" t="n">
        <v>2.128490113234674</v>
      </c>
      <c r="E516" s="19" t="n">
        <v>1.407536908982023</v>
      </c>
      <c r="F516" s="20">
        <f>B516/B515-1</f>
        <v/>
      </c>
      <c r="G516" s="20">
        <f>B516/MAX(B$2:B516)-1</f>
        <v/>
      </c>
      <c r="H516" s="20">
        <f>C516/C515-1</f>
        <v/>
      </c>
      <c r="I516" s="20">
        <f>C516/MAX(C$2:C516)-1</f>
        <v/>
      </c>
      <c r="J516" s="20">
        <f>D516/D515-1</f>
        <v/>
      </c>
      <c r="K516" s="20">
        <f>D516/MAX(D$2:D516)-1</f>
        <v/>
      </c>
      <c r="L516" s="20">
        <f>E516/E515-1</f>
        <v/>
      </c>
      <c r="M516" s="20">
        <f>E516/MAX(E$2:E516)-1</f>
        <v/>
      </c>
    </row>
    <row r="517">
      <c r="A517" s="11" t="n">
        <v>44432</v>
      </c>
      <c r="B517" s="19" t="n">
        <v>2.181942825334228</v>
      </c>
      <c r="C517" s="19" t="n">
        <v>1.826964275707717</v>
      </c>
      <c r="D517" s="19" t="n">
        <v>2.152277685666719</v>
      </c>
      <c r="E517" s="19" t="n">
        <v>1.421050673828379</v>
      </c>
      <c r="F517" s="20">
        <f>B517/B516-1</f>
        <v/>
      </c>
      <c r="G517" s="20">
        <f>B517/MAX(B$2:B517)-1</f>
        <v/>
      </c>
      <c r="H517" s="20">
        <f>C517/C516-1</f>
        <v/>
      </c>
      <c r="I517" s="20">
        <f>C517/MAX(C$2:C517)-1</f>
        <v/>
      </c>
      <c r="J517" s="20">
        <f>D517/D516-1</f>
        <v/>
      </c>
      <c r="K517" s="20">
        <f>D517/MAX(D$2:D517)-1</f>
        <v/>
      </c>
      <c r="L517" s="20">
        <f>E517/E516-1</f>
        <v/>
      </c>
      <c r="M517" s="20">
        <f>E517/MAX(E$2:E517)-1</f>
        <v/>
      </c>
    </row>
    <row r="518">
      <c r="A518" s="11" t="n">
        <v>44433</v>
      </c>
      <c r="B518" s="19" t="n">
        <v>2.201960816013545</v>
      </c>
      <c r="C518" s="19" t="n">
        <v>1.844362615239168</v>
      </c>
      <c r="D518" s="19" t="n">
        <v>2.163962711467257</v>
      </c>
      <c r="E518" s="19" t="n">
        <v>1.428724468730123</v>
      </c>
      <c r="F518" s="20">
        <f>B518/B517-1</f>
        <v/>
      </c>
      <c r="G518" s="20">
        <f>B518/MAX(B$2:B518)-1</f>
        <v/>
      </c>
      <c r="H518" s="20">
        <f>C518/C517-1</f>
        <v/>
      </c>
      <c r="I518" s="20">
        <f>C518/MAX(C$2:C518)-1</f>
        <v/>
      </c>
      <c r="J518" s="20">
        <f>D518/D517-1</f>
        <v/>
      </c>
      <c r="K518" s="20">
        <f>D518/MAX(D$2:D518)-1</f>
        <v/>
      </c>
      <c r="L518" s="20">
        <f>E518/E517-1</f>
        <v/>
      </c>
      <c r="M518" s="20">
        <f>E518/MAX(E$2:E518)-1</f>
        <v/>
      </c>
    </row>
    <row r="519">
      <c r="A519" s="11" t="n">
        <v>44434</v>
      </c>
      <c r="B519" s="19" t="n">
        <v>2.171590646962823</v>
      </c>
      <c r="C519" s="19" t="n">
        <v>1.819336586994223</v>
      </c>
      <c r="D519" s="19" t="n">
        <v>2.109543223422369</v>
      </c>
      <c r="E519" s="19" t="n">
        <v>1.408578432284247</v>
      </c>
      <c r="F519" s="20">
        <f>B519/B518-1</f>
        <v/>
      </c>
      <c r="G519" s="20">
        <f>B519/MAX(B$2:B519)-1</f>
        <v/>
      </c>
      <c r="H519" s="20">
        <f>C519/C518-1</f>
        <v/>
      </c>
      <c r="I519" s="20">
        <f>C519/MAX(C$2:C519)-1</f>
        <v/>
      </c>
      <c r="J519" s="20">
        <f>D519/D518-1</f>
        <v/>
      </c>
      <c r="K519" s="20">
        <f>D519/MAX(D$2:D519)-1</f>
        <v/>
      </c>
      <c r="L519" s="20">
        <f>E519/E518-1</f>
        <v/>
      </c>
      <c r="M519" s="20">
        <f>E519/MAX(E$2:E519)-1</f>
        <v/>
      </c>
    </row>
    <row r="520">
      <c r="A520" s="11" t="n">
        <v>44435</v>
      </c>
      <c r="B520" s="19" t="n">
        <v>2.188171170328154</v>
      </c>
      <c r="C520" s="19" t="n">
        <v>1.827851051820077</v>
      </c>
      <c r="D520" s="19" t="n">
        <v>2.104775110976469</v>
      </c>
      <c r="E520" s="19" t="n">
        <v>1.414492796750447</v>
      </c>
      <c r="F520" s="20">
        <f>B520/B519-1</f>
        <v/>
      </c>
      <c r="G520" s="20">
        <f>B520/MAX(B$2:B520)-1</f>
        <v/>
      </c>
      <c r="H520" s="20">
        <f>C520/C519-1</f>
        <v/>
      </c>
      <c r="I520" s="20">
        <f>C520/MAX(C$2:C520)-1</f>
        <v/>
      </c>
      <c r="J520" s="20">
        <f>D520/D519-1</f>
        <v/>
      </c>
      <c r="K520" s="20">
        <f>D520/MAX(D$2:D520)-1</f>
        <v/>
      </c>
      <c r="L520" s="20">
        <f>E520/E519-1</f>
        <v/>
      </c>
      <c r="M520" s="20">
        <f>E520/MAX(E$2:E520)-1</f>
        <v/>
      </c>
    </row>
    <row r="521">
      <c r="A521" s="11" t="n">
        <v>44438</v>
      </c>
      <c r="B521" s="19" t="n">
        <v>2.210052436597721</v>
      </c>
      <c r="C521" s="19" t="n">
        <v>1.830570014355518</v>
      </c>
      <c r="D521" s="19" t="n">
        <v>2.114294598846878</v>
      </c>
      <c r="E521" s="19" t="n">
        <v>1.416188991842641</v>
      </c>
      <c r="F521" s="20">
        <f>B521/B520-1</f>
        <v/>
      </c>
      <c r="G521" s="20">
        <f>B521/MAX(B$2:B521)-1</f>
        <v/>
      </c>
      <c r="H521" s="20">
        <f>C521/C520-1</f>
        <v/>
      </c>
      <c r="I521" s="20">
        <f>C521/MAX(C$2:C521)-1</f>
        <v/>
      </c>
      <c r="J521" s="20">
        <f>D521/D520-1</f>
        <v/>
      </c>
      <c r="K521" s="20">
        <f>D521/MAX(D$2:D521)-1</f>
        <v/>
      </c>
      <c r="L521" s="20">
        <f>E521/E520-1</f>
        <v/>
      </c>
      <c r="M521" s="20">
        <f>E521/MAX(E$2:E521)-1</f>
        <v/>
      </c>
    </row>
    <row r="522">
      <c r="A522" s="11" t="n">
        <v>44439</v>
      </c>
      <c r="B522" s="19" t="n">
        <v>2.202930733619525</v>
      </c>
      <c r="C522" s="19" t="n">
        <v>1.824232422306681</v>
      </c>
      <c r="D522" s="19" t="n">
        <v>2.077017116415419</v>
      </c>
      <c r="E522" s="19" t="n">
        <v>1.4147717762064</v>
      </c>
      <c r="F522" s="20">
        <f>B522/B521-1</f>
        <v/>
      </c>
      <c r="G522" s="20">
        <f>B522/MAX(B$2:B522)-1</f>
        <v/>
      </c>
      <c r="H522" s="20">
        <f>C522/C521-1</f>
        <v/>
      </c>
      <c r="I522" s="20">
        <f>C522/MAX(C$2:C522)-1</f>
        <v/>
      </c>
      <c r="J522" s="20">
        <f>D522/D521-1</f>
        <v/>
      </c>
      <c r="K522" s="20">
        <f>D522/MAX(D$2:D522)-1</f>
        <v/>
      </c>
      <c r="L522" s="20">
        <f>E522/E521-1</f>
        <v/>
      </c>
      <c r="M522" s="20">
        <f>E522/MAX(E$2:E522)-1</f>
        <v/>
      </c>
    </row>
    <row r="523">
      <c r="A523" s="11" t="n">
        <v>44440</v>
      </c>
      <c r="B523" s="19" t="n">
        <v>2.143159968622708</v>
      </c>
      <c r="C523" s="19" t="n">
        <v>1.819072083748298</v>
      </c>
      <c r="D523" s="19" t="n">
        <v>2.059396651703942</v>
      </c>
      <c r="E523" s="19" t="n">
        <v>1.414489077024368</v>
      </c>
      <c r="F523" s="20">
        <f>B523/B522-1</f>
        <v/>
      </c>
      <c r="G523" s="20">
        <f>B523/MAX(B$2:B523)-1</f>
        <v/>
      </c>
      <c r="H523" s="20">
        <f>C523/C522-1</f>
        <v/>
      </c>
      <c r="I523" s="20">
        <f>C523/MAX(C$2:C523)-1</f>
        <v/>
      </c>
      <c r="J523" s="20">
        <f>D523/D522-1</f>
        <v/>
      </c>
      <c r="K523" s="20">
        <f>D523/MAX(D$2:D523)-1</f>
        <v/>
      </c>
      <c r="L523" s="20">
        <f>E523/E522-1</f>
        <v/>
      </c>
      <c r="M523" s="20">
        <f>E523/MAX(E$2:E523)-1</f>
        <v/>
      </c>
    </row>
    <row r="524">
      <c r="A524" s="11" t="n">
        <v>44441</v>
      </c>
      <c r="B524" s="19" t="n">
        <v>2.149990159401066</v>
      </c>
      <c r="C524" s="19" t="n">
        <v>1.82333977796446</v>
      </c>
      <c r="D524" s="19" t="n">
        <v>2.028348249207399</v>
      </c>
      <c r="E524" s="19" t="n">
        <v>1.424108288665623</v>
      </c>
      <c r="F524" s="20">
        <f>B524/B523-1</f>
        <v/>
      </c>
      <c r="G524" s="20">
        <f>B524/MAX(B$2:B524)-1</f>
        <v/>
      </c>
      <c r="H524" s="20">
        <f>C524/C523-1</f>
        <v/>
      </c>
      <c r="I524" s="20">
        <f>C524/MAX(C$2:C524)-1</f>
        <v/>
      </c>
      <c r="J524" s="20">
        <f>D524/D523-1</f>
        <v/>
      </c>
      <c r="K524" s="20">
        <f>D524/MAX(D$2:D524)-1</f>
        <v/>
      </c>
      <c r="L524" s="20">
        <f>E524/E523-1</f>
        <v/>
      </c>
      <c r="M524" s="20">
        <f>E524/MAX(E$2:E524)-1</f>
        <v/>
      </c>
    </row>
    <row r="525">
      <c r="A525" s="11" t="n">
        <v>44442</v>
      </c>
      <c r="B525" s="19" t="n">
        <v>2.125406322830036</v>
      </c>
      <c r="C525" s="19" t="n">
        <v>1.819530430980598</v>
      </c>
      <c r="D525" s="19" t="n">
        <v>2.004658901765769</v>
      </c>
      <c r="E525" s="19" t="n">
        <v>1.416560964450578</v>
      </c>
      <c r="F525" s="20">
        <f>B525/B524-1</f>
        <v/>
      </c>
      <c r="G525" s="20">
        <f>B525/MAX(B$2:B525)-1</f>
        <v/>
      </c>
      <c r="H525" s="20">
        <f>C525/C524-1</f>
        <v/>
      </c>
      <c r="I525" s="20">
        <f>C525/MAX(C$2:C525)-1</f>
        <v/>
      </c>
      <c r="J525" s="20">
        <f>D525/D524-1</f>
        <v/>
      </c>
      <c r="K525" s="20">
        <f>D525/MAX(D$2:D525)-1</f>
        <v/>
      </c>
      <c r="L525" s="20">
        <f>E525/E524-1</f>
        <v/>
      </c>
      <c r="M525" s="20">
        <f>E525/MAX(E$2:E525)-1</f>
        <v/>
      </c>
    </row>
    <row r="526">
      <c r="A526" s="11" t="n">
        <v>44445</v>
      </c>
      <c r="B526" s="19" t="n">
        <v>2.164990702147754</v>
      </c>
      <c r="C526" s="19" t="n">
        <v>1.851875681069403</v>
      </c>
      <c r="D526" s="19" t="n">
        <v>2.086045350090344</v>
      </c>
      <c r="E526" s="19" t="n">
        <v>1.438377157906092</v>
      </c>
      <c r="F526" s="20">
        <f>B526/B525-1</f>
        <v/>
      </c>
      <c r="G526" s="20">
        <f>B526/MAX(B$2:B526)-1</f>
        <v/>
      </c>
      <c r="H526" s="20">
        <f>C526/C525-1</f>
        <v/>
      </c>
      <c r="I526" s="20">
        <f>C526/MAX(C$2:C526)-1</f>
        <v/>
      </c>
      <c r="J526" s="20">
        <f>D526/D525-1</f>
        <v/>
      </c>
      <c r="K526" s="20">
        <f>D526/MAX(D$2:D526)-1</f>
        <v/>
      </c>
      <c r="L526" s="20">
        <f>E526/E525-1</f>
        <v/>
      </c>
      <c r="M526" s="20">
        <f>E526/MAX(E$2:E526)-1</f>
        <v/>
      </c>
    </row>
    <row r="527">
      <c r="A527" s="11" t="n">
        <v>44446</v>
      </c>
      <c r="B527" s="19" t="n">
        <v>2.188339305201996</v>
      </c>
      <c r="C527" s="19" t="n">
        <v>1.863727677578287</v>
      </c>
      <c r="D527" s="19" t="n">
        <v>2.101166053417464</v>
      </c>
      <c r="E527" s="19" t="n">
        <v>1.458370685582714</v>
      </c>
      <c r="F527" s="20">
        <f>B527/B526-1</f>
        <v/>
      </c>
      <c r="G527" s="20">
        <f>B527/MAX(B$2:B527)-1</f>
        <v/>
      </c>
      <c r="H527" s="20">
        <f>C527/C526-1</f>
        <v/>
      </c>
      <c r="I527" s="20">
        <f>C527/MAX(C$2:C527)-1</f>
        <v/>
      </c>
      <c r="J527" s="20">
        <f>D527/D526-1</f>
        <v/>
      </c>
      <c r="K527" s="20">
        <f>D527/MAX(D$2:D527)-1</f>
        <v/>
      </c>
      <c r="L527" s="20">
        <f>E527/E526-1</f>
        <v/>
      </c>
      <c r="M527" s="20">
        <f>E527/MAX(E$2:E527)-1</f>
        <v/>
      </c>
    </row>
    <row r="528">
      <c r="A528" s="11" t="n">
        <v>44447</v>
      </c>
      <c r="B528" s="19" t="n">
        <v>2.185321608497667</v>
      </c>
      <c r="C528" s="19" t="n">
        <v>1.875266541493796</v>
      </c>
      <c r="D528" s="19" t="n">
        <v>2.080784432528059</v>
      </c>
      <c r="E528" s="19" t="n">
        <v>1.457931757905348</v>
      </c>
      <c r="F528" s="20">
        <f>B528/B527-1</f>
        <v/>
      </c>
      <c r="G528" s="20">
        <f>B528/MAX(B$2:B528)-1</f>
        <v/>
      </c>
      <c r="H528" s="20">
        <f>C528/C527-1</f>
        <v/>
      </c>
      <c r="I528" s="20">
        <f>C528/MAX(C$2:C528)-1</f>
        <v/>
      </c>
      <c r="J528" s="20">
        <f>D528/D527-1</f>
        <v/>
      </c>
      <c r="K528" s="20">
        <f>D528/MAX(D$2:D528)-1</f>
        <v/>
      </c>
      <c r="L528" s="20">
        <f>E528/E527-1</f>
        <v/>
      </c>
      <c r="M528" s="20">
        <f>E528/MAX(E$2:E528)-1</f>
        <v/>
      </c>
    </row>
    <row r="529">
      <c r="A529" s="11" t="n">
        <v>44448</v>
      </c>
      <c r="B529" s="19" t="n">
        <v>2.176464926304106</v>
      </c>
      <c r="C529" s="19" t="n">
        <v>1.851263461154122</v>
      </c>
      <c r="D529" s="19" t="n">
        <v>2.082072989310213</v>
      </c>
      <c r="E529" s="19" t="n">
        <v>1.459973887522923</v>
      </c>
      <c r="F529" s="20">
        <f>B529/B528-1</f>
        <v/>
      </c>
      <c r="G529" s="20">
        <f>B529/MAX(B$2:B529)-1</f>
        <v/>
      </c>
      <c r="H529" s="20">
        <f>C529/C528-1</f>
        <v/>
      </c>
      <c r="I529" s="20">
        <f>C529/MAX(C$2:C529)-1</f>
        <v/>
      </c>
      <c r="J529" s="20">
        <f>D529/D528-1</f>
        <v/>
      </c>
      <c r="K529" s="20">
        <f>D529/MAX(D$2:D529)-1</f>
        <v/>
      </c>
      <c r="L529" s="20">
        <f>E529/E528-1</f>
        <v/>
      </c>
      <c r="M529" s="20">
        <f>E529/MAX(E$2:E529)-1</f>
        <v/>
      </c>
    </row>
    <row r="530">
      <c r="A530" s="11" t="n">
        <v>44449</v>
      </c>
      <c r="B530" s="19" t="n">
        <v>2.205901561234938</v>
      </c>
      <c r="C530" s="19" t="n">
        <v>1.856390947245335</v>
      </c>
      <c r="D530" s="19" t="n">
        <v>2.088580201060093</v>
      </c>
      <c r="E530" s="19" t="n">
        <v>1.466836782139363</v>
      </c>
      <c r="F530" s="20">
        <f>B530/B529-1</f>
        <v/>
      </c>
      <c r="G530" s="20">
        <f>B530/MAX(B$2:B530)-1</f>
        <v/>
      </c>
      <c r="H530" s="20">
        <f>C530/C529-1</f>
        <v/>
      </c>
      <c r="I530" s="20">
        <f>C530/MAX(C$2:C530)-1</f>
        <v/>
      </c>
      <c r="J530" s="20">
        <f>D530/D529-1</f>
        <v/>
      </c>
      <c r="K530" s="20">
        <f>D530/MAX(D$2:D530)-1</f>
        <v/>
      </c>
      <c r="L530" s="20">
        <f>E530/E529-1</f>
        <v/>
      </c>
      <c r="M530" s="20">
        <f>E530/MAX(E$2:E530)-1</f>
        <v/>
      </c>
    </row>
    <row r="531">
      <c r="A531" s="11" t="n">
        <v>44452</v>
      </c>
      <c r="B531" s="19" t="n">
        <v>2.181968311262575</v>
      </c>
      <c r="C531" s="19" t="n">
        <v>1.840744033826016</v>
      </c>
      <c r="D531" s="19" t="n">
        <v>2.064194748620601</v>
      </c>
      <c r="E531" s="19" t="n">
        <v>1.466542923779093</v>
      </c>
      <c r="F531" s="20">
        <f>B531/B530-1</f>
        <v/>
      </c>
      <c r="G531" s="20">
        <f>B531/MAX(B$2:B531)-1</f>
        <v/>
      </c>
      <c r="H531" s="20">
        <f>C531/C530-1</f>
        <v/>
      </c>
      <c r="I531" s="20">
        <f>C531/MAX(C$2:C531)-1</f>
        <v/>
      </c>
      <c r="J531" s="20">
        <f>D531/D530-1</f>
        <v/>
      </c>
      <c r="K531" s="20">
        <f>D531/MAX(D$2:D531)-1</f>
        <v/>
      </c>
      <c r="L531" s="20">
        <f>E531/E530-1</f>
        <v/>
      </c>
      <c r="M531" s="20">
        <f>E531/MAX(E$2:E531)-1</f>
        <v/>
      </c>
    </row>
    <row r="532">
      <c r="A532" s="11" t="n">
        <v>44453</v>
      </c>
      <c r="B532" s="19" t="n">
        <v>2.174006877698445</v>
      </c>
      <c r="C532" s="19" t="n">
        <v>1.828932008620526</v>
      </c>
      <c r="D532" s="19" t="n">
        <v>2.09151189391546</v>
      </c>
      <c r="E532" s="19" t="n">
        <v>1.45158590521394</v>
      </c>
      <c r="F532" s="20">
        <f>B532/B531-1</f>
        <v/>
      </c>
      <c r="G532" s="20">
        <f>B532/MAX(B$2:B532)-1</f>
        <v/>
      </c>
      <c r="H532" s="20">
        <f>C532/C531-1</f>
        <v/>
      </c>
      <c r="I532" s="20">
        <f>C532/MAX(C$2:C532)-1</f>
        <v/>
      </c>
      <c r="J532" s="20">
        <f>D532/D531-1</f>
        <v/>
      </c>
      <c r="K532" s="20">
        <f>D532/MAX(D$2:D532)-1</f>
        <v/>
      </c>
      <c r="L532" s="20">
        <f>E532/E531-1</f>
        <v/>
      </c>
      <c r="M532" s="20">
        <f>E532/MAX(E$2:E532)-1</f>
        <v/>
      </c>
    </row>
    <row r="533">
      <c r="A533" s="11" t="n">
        <v>44454</v>
      </c>
      <c r="B533" s="19" t="n">
        <v>2.17916090708603</v>
      </c>
      <c r="C533" s="19" t="n">
        <v>1.826890538032503</v>
      </c>
      <c r="D533" s="19" t="n">
        <v>2.068152698760692</v>
      </c>
      <c r="E533" s="19" t="n">
        <v>1.449409865457508</v>
      </c>
      <c r="F533" s="20">
        <f>B533/B532-1</f>
        <v/>
      </c>
      <c r="G533" s="20">
        <f>B533/MAX(B$2:B533)-1</f>
        <v/>
      </c>
      <c r="H533" s="20">
        <f>C533/C532-1</f>
        <v/>
      </c>
      <c r="I533" s="20">
        <f>C533/MAX(C$2:C533)-1</f>
        <v/>
      </c>
      <c r="J533" s="20">
        <f>D533/D532-1</f>
        <v/>
      </c>
      <c r="K533" s="20">
        <f>D533/MAX(D$2:D533)-1</f>
        <v/>
      </c>
      <c r="L533" s="20">
        <f>E533/E532-1</f>
        <v/>
      </c>
      <c r="M533" s="20">
        <f>E533/MAX(E$2:E533)-1</f>
        <v/>
      </c>
    </row>
    <row r="534">
      <c r="A534" s="11" t="n">
        <v>44455</v>
      </c>
      <c r="B534" s="19" t="n">
        <v>2.099982367325912</v>
      </c>
      <c r="C534" s="19" t="n">
        <v>1.783165010535156</v>
      </c>
      <c r="D534" s="19" t="n">
        <v>2.021912832170907</v>
      </c>
      <c r="E534" s="19" t="n">
        <v>1.423029568102605</v>
      </c>
      <c r="F534" s="20">
        <f>B534/B533-1</f>
        <v/>
      </c>
      <c r="G534" s="20">
        <f>B534/MAX(B$2:B534)-1</f>
        <v/>
      </c>
      <c r="H534" s="20">
        <f>C534/C533-1</f>
        <v/>
      </c>
      <c r="I534" s="20">
        <f>C534/MAX(C$2:C534)-1</f>
        <v/>
      </c>
      <c r="J534" s="20">
        <f>D534/D533-1</f>
        <v/>
      </c>
      <c r="K534" s="20">
        <f>D534/MAX(D$2:D534)-1</f>
        <v/>
      </c>
      <c r="L534" s="20">
        <f>E534/E533-1</f>
        <v/>
      </c>
      <c r="M534" s="20">
        <f>E534/MAX(E$2:E534)-1</f>
        <v/>
      </c>
    </row>
    <row r="535">
      <c r="A535" s="11" t="n">
        <v>44456</v>
      </c>
      <c r="B535" s="19" t="n">
        <v>2.087823140204531</v>
      </c>
      <c r="C535" s="19" t="n">
        <v>1.787000187350453</v>
      </c>
      <c r="D535" s="19" t="n">
        <v>2.063539678404919</v>
      </c>
      <c r="E535" s="19" t="n">
        <v>1.428438049822011</v>
      </c>
      <c r="F535" s="20">
        <f>B535/B534-1</f>
        <v/>
      </c>
      <c r="G535" s="20">
        <f>B535/MAX(B$2:B535)-1</f>
        <v/>
      </c>
      <c r="H535" s="20">
        <f>C535/C534-1</f>
        <v/>
      </c>
      <c r="I535" s="20">
        <f>C535/MAX(C$2:C535)-1</f>
        <v/>
      </c>
      <c r="J535" s="20">
        <f>D535/D534-1</f>
        <v/>
      </c>
      <c r="K535" s="20">
        <f>D535/MAX(D$2:D535)-1</f>
        <v/>
      </c>
      <c r="L535" s="20">
        <f>E535/E534-1</f>
        <v/>
      </c>
      <c r="M535" s="20">
        <f>E535/MAX(E$2:E535)-1</f>
        <v/>
      </c>
    </row>
    <row r="536">
      <c r="A536" s="11" t="n">
        <v>44461</v>
      </c>
      <c r="B536" s="19" t="n">
        <v>2.10350049512294</v>
      </c>
      <c r="C536" s="19" t="n">
        <v>1.793850576108656</v>
      </c>
      <c r="D536" s="19" t="n">
        <v>2.044842680722835</v>
      </c>
      <c r="E536" s="19" t="n">
        <v>1.42743744350666</v>
      </c>
      <c r="F536" s="20">
        <f>B536/B535-1</f>
        <v/>
      </c>
      <c r="G536" s="20">
        <f>B536/MAX(B$2:B536)-1</f>
        <v/>
      </c>
      <c r="H536" s="20">
        <f>C536/C535-1</f>
        <v/>
      </c>
      <c r="I536" s="20">
        <f>C536/MAX(C$2:C536)-1</f>
        <v/>
      </c>
      <c r="J536" s="20">
        <f>D536/D535-1</f>
        <v/>
      </c>
      <c r="K536" s="20">
        <f>D536/MAX(D$2:D536)-1</f>
        <v/>
      </c>
      <c r="L536" s="20">
        <f>E536/E535-1</f>
        <v/>
      </c>
      <c r="M536" s="20">
        <f>E536/MAX(E$2:E536)-1</f>
        <v/>
      </c>
    </row>
    <row r="537">
      <c r="A537" s="11" t="n">
        <v>44462</v>
      </c>
      <c r="B537" s="19" t="n">
        <v>2.119602874043958</v>
      </c>
      <c r="C537" s="19" t="n">
        <v>1.803648932667594</v>
      </c>
      <c r="D537" s="19" t="n">
        <v>2.056564347029667</v>
      </c>
      <c r="E537" s="19" t="n">
        <v>1.434002760036751</v>
      </c>
      <c r="F537" s="20">
        <f>B537/B536-1</f>
        <v/>
      </c>
      <c r="G537" s="20">
        <f>B537/MAX(B$2:B537)-1</f>
        <v/>
      </c>
      <c r="H537" s="20">
        <f>C537/C536-1</f>
        <v/>
      </c>
      <c r="I537" s="20">
        <f>C537/MAX(C$2:C537)-1</f>
        <v/>
      </c>
      <c r="J537" s="20">
        <f>D537/D536-1</f>
        <v/>
      </c>
      <c r="K537" s="20">
        <f>D537/MAX(D$2:D537)-1</f>
        <v/>
      </c>
      <c r="L537" s="20">
        <f>E537/E536-1</f>
        <v/>
      </c>
      <c r="M537" s="20">
        <f>E537/MAX(E$2:E537)-1</f>
        <v/>
      </c>
    </row>
    <row r="538">
      <c r="A538" s="11" t="n">
        <v>44463</v>
      </c>
      <c r="B538" s="19" t="n">
        <v>2.101513947024836</v>
      </c>
      <c r="C538" s="19" t="n">
        <v>1.792328876765489</v>
      </c>
      <c r="D538" s="19" t="n">
        <v>2.072945755184422</v>
      </c>
      <c r="E538" s="19" t="n">
        <v>1.422962613033176</v>
      </c>
      <c r="F538" s="20">
        <f>B538/B537-1</f>
        <v/>
      </c>
      <c r="G538" s="20">
        <f>B538/MAX(B$2:B538)-1</f>
        <v/>
      </c>
      <c r="H538" s="20">
        <f>C538/C537-1</f>
        <v/>
      </c>
      <c r="I538" s="20">
        <f>C538/MAX(C$2:C538)-1</f>
        <v/>
      </c>
      <c r="J538" s="20">
        <f>D538/D537-1</f>
        <v/>
      </c>
      <c r="K538" s="20">
        <f>D538/MAX(D$2:D538)-1</f>
        <v/>
      </c>
      <c r="L538" s="20">
        <f>E538/E537-1</f>
        <v/>
      </c>
      <c r="M538" s="20">
        <f>E538/MAX(E$2:E538)-1</f>
        <v/>
      </c>
    </row>
    <row r="539">
      <c r="A539" s="11" t="n">
        <v>44466</v>
      </c>
      <c r="B539" s="19" t="n">
        <v>2.066908824206484</v>
      </c>
      <c r="C539" s="19" t="n">
        <v>1.780699295788366</v>
      </c>
      <c r="D539" s="19" t="n">
        <v>2.08830362016603</v>
      </c>
      <c r="E539" s="19" t="n">
        <v>1.406599538010021</v>
      </c>
      <c r="F539" s="20">
        <f>B539/B538-1</f>
        <v/>
      </c>
      <c r="G539" s="20">
        <f>B539/MAX(B$2:B539)-1</f>
        <v/>
      </c>
      <c r="H539" s="20">
        <f>C539/C538-1</f>
        <v/>
      </c>
      <c r="I539" s="20">
        <f>C539/MAX(C$2:C539)-1</f>
        <v/>
      </c>
      <c r="J539" s="20">
        <f>D539/D538-1</f>
        <v/>
      </c>
      <c r="K539" s="20">
        <f>D539/MAX(D$2:D539)-1</f>
        <v/>
      </c>
      <c r="L539" s="20">
        <f>E539/E538-1</f>
        <v/>
      </c>
      <c r="M539" s="20">
        <f>E539/MAX(E$2:E539)-1</f>
        <v/>
      </c>
    </row>
    <row r="540">
      <c r="A540" s="11" t="n">
        <v>44467</v>
      </c>
      <c r="B540" s="19" t="n">
        <v>2.058393751029942</v>
      </c>
      <c r="C540" s="19" t="n">
        <v>1.7712746781312</v>
      </c>
      <c r="D540" s="19" t="n">
        <v>2.075296305053734</v>
      </c>
      <c r="E540" s="19" t="n">
        <v>1.40814694405904</v>
      </c>
      <c r="F540" s="20">
        <f>B540/B539-1</f>
        <v/>
      </c>
      <c r="G540" s="20">
        <f>B540/MAX(B$2:B540)-1</f>
        <v/>
      </c>
      <c r="H540" s="20">
        <f>C540/C539-1</f>
        <v/>
      </c>
      <c r="I540" s="20">
        <f>C540/MAX(C$2:C540)-1</f>
        <v/>
      </c>
      <c r="J540" s="20">
        <f>D540/D539-1</f>
        <v/>
      </c>
      <c r="K540" s="20">
        <f>D540/MAX(D$2:D540)-1</f>
        <v/>
      </c>
      <c r="L540" s="20">
        <f>E540/E539-1</f>
        <v/>
      </c>
      <c r="M540" s="20">
        <f>E540/MAX(E$2:E540)-1</f>
        <v/>
      </c>
    </row>
    <row r="541">
      <c r="A541" s="11" t="n">
        <v>44468</v>
      </c>
      <c r="B541" s="19" t="n">
        <v>2.006030531741296</v>
      </c>
      <c r="C541" s="19" t="n">
        <v>1.731423000045936</v>
      </c>
      <c r="D541" s="19" t="n">
        <v>2.051837398609354</v>
      </c>
      <c r="E541" s="19" t="n">
        <v>1.380263877368071</v>
      </c>
      <c r="F541" s="20">
        <f>B541/B540-1</f>
        <v/>
      </c>
      <c r="G541" s="20">
        <f>B541/MAX(B$2:B541)-1</f>
        <v/>
      </c>
      <c r="H541" s="20">
        <f>C541/C540-1</f>
        <v/>
      </c>
      <c r="I541" s="20">
        <f>C541/MAX(C$2:C541)-1</f>
        <v/>
      </c>
      <c r="J541" s="20">
        <f>D541/D540-1</f>
        <v/>
      </c>
      <c r="K541" s="20">
        <f>D541/MAX(D$2:D541)-1</f>
        <v/>
      </c>
      <c r="L541" s="20">
        <f>E541/E540-1</f>
        <v/>
      </c>
      <c r="M541" s="20">
        <f>E541/MAX(E$2:E541)-1</f>
        <v/>
      </c>
    </row>
    <row r="542">
      <c r="A542" s="11" t="n">
        <v>44469</v>
      </c>
      <c r="B542" s="19" t="n">
        <v>2.051048015310757</v>
      </c>
      <c r="C542" s="19" t="n">
        <v>1.762091908504676</v>
      </c>
      <c r="D542" s="19" t="n">
        <v>2.096745218010043</v>
      </c>
      <c r="E542" s="19" t="n">
        <v>1.401380762320663</v>
      </c>
      <c r="F542" s="20">
        <f>B542/B541-1</f>
        <v/>
      </c>
      <c r="G542" s="20">
        <f>B542/MAX(B$2:B542)-1</f>
        <v/>
      </c>
      <c r="H542" s="20">
        <f>C542/C541-1</f>
        <v/>
      </c>
      <c r="I542" s="20">
        <f>C542/MAX(C$2:C542)-1</f>
        <v/>
      </c>
      <c r="J542" s="20">
        <f>D542/D541-1</f>
        <v/>
      </c>
      <c r="K542" s="20">
        <f>D542/MAX(D$2:D542)-1</f>
        <v/>
      </c>
      <c r="L542" s="20">
        <f>E542/E541-1</f>
        <v/>
      </c>
      <c r="M542" s="20">
        <f>E542/MAX(E$2:E542)-1</f>
        <v/>
      </c>
    </row>
    <row r="543">
      <c r="A543" s="11" t="n">
        <v>44477</v>
      </c>
      <c r="B543" s="19" t="n">
        <v>2.0454438455726</v>
      </c>
      <c r="C543" s="19" t="n">
        <v>1.772985315235777</v>
      </c>
      <c r="D543" s="19" t="n">
        <v>2.095813502278594</v>
      </c>
      <c r="E543" s="19" t="n">
        <v>1.411331029582982</v>
      </c>
      <c r="F543" s="20">
        <f>B543/B542-1</f>
        <v/>
      </c>
      <c r="G543" s="20">
        <f>B543/MAX(B$2:B543)-1</f>
        <v/>
      </c>
      <c r="H543" s="20">
        <f>C543/C542-1</f>
        <v/>
      </c>
      <c r="I543" s="20">
        <f>C543/MAX(C$2:C543)-1</f>
        <v/>
      </c>
      <c r="J543" s="20">
        <f>D543/D542-1</f>
        <v/>
      </c>
      <c r="K543" s="20">
        <f>D543/MAX(D$2:D543)-1</f>
        <v/>
      </c>
      <c r="L543" s="20">
        <f>E543/E542-1</f>
        <v/>
      </c>
      <c r="M543" s="20">
        <f>E543/MAX(E$2:E543)-1</f>
        <v/>
      </c>
    </row>
    <row r="544">
      <c r="A544" s="11" t="n">
        <v>44480</v>
      </c>
      <c r="B544" s="19" t="n">
        <v>2.033777070417922</v>
      </c>
      <c r="C544" s="19" t="n">
        <v>1.774262857736552</v>
      </c>
      <c r="D544" s="19" t="n">
        <v>2.06543160803938</v>
      </c>
      <c r="E544" s="19" t="n">
        <v>1.408931806261787</v>
      </c>
      <c r="F544" s="20">
        <f>B544/B543-1</f>
        <v/>
      </c>
      <c r="G544" s="20">
        <f>B544/MAX(B$2:B544)-1</f>
        <v/>
      </c>
      <c r="H544" s="20">
        <f>C544/C543-1</f>
        <v/>
      </c>
      <c r="I544" s="20">
        <f>C544/MAX(C$2:C544)-1</f>
        <v/>
      </c>
      <c r="J544" s="20">
        <f>D544/D543-1</f>
        <v/>
      </c>
      <c r="K544" s="20">
        <f>D544/MAX(D$2:D544)-1</f>
        <v/>
      </c>
      <c r="L544" s="20">
        <f>E544/E543-1</f>
        <v/>
      </c>
      <c r="M544" s="20">
        <f>E544/MAX(E$2:E544)-1</f>
        <v/>
      </c>
    </row>
    <row r="545">
      <c r="A545" s="11" t="n">
        <v>44481</v>
      </c>
      <c r="B545" s="19" t="n">
        <v>1.987218746001871</v>
      </c>
      <c r="C545" s="19" t="n">
        <v>1.740673398616589</v>
      </c>
      <c r="D545" s="19" t="n">
        <v>2.027998839652679</v>
      </c>
      <c r="E545" s="19" t="n">
        <v>1.387375993631829</v>
      </c>
      <c r="F545" s="20">
        <f>B545/B544-1</f>
        <v/>
      </c>
      <c r="G545" s="20">
        <f>B545/MAX(B$2:B545)-1</f>
        <v/>
      </c>
      <c r="H545" s="20">
        <f>C545/C544-1</f>
        <v/>
      </c>
      <c r="I545" s="20">
        <f>C545/MAX(C$2:C545)-1</f>
        <v/>
      </c>
      <c r="J545" s="20">
        <f>D545/D544-1</f>
        <v/>
      </c>
      <c r="K545" s="20">
        <f>D545/MAX(D$2:D545)-1</f>
        <v/>
      </c>
      <c r="L545" s="20">
        <f>E545/E544-1</f>
        <v/>
      </c>
      <c r="M545" s="20">
        <f>E545/MAX(E$2:E545)-1</f>
        <v/>
      </c>
    </row>
    <row r="546">
      <c r="A546" s="11" t="n">
        <v>44482</v>
      </c>
      <c r="B546" s="19" t="n">
        <v>2.018395927387383</v>
      </c>
      <c r="C546" s="19" t="n">
        <v>1.761756842199691</v>
      </c>
      <c r="D546" s="19" t="n">
        <v>2.074459195497263</v>
      </c>
      <c r="E546" s="19" t="n">
        <v>1.401525831637758</v>
      </c>
      <c r="F546" s="20">
        <f>B546/B545-1</f>
        <v/>
      </c>
      <c r="G546" s="20">
        <f>B546/MAX(B$2:B546)-1</f>
        <v/>
      </c>
      <c r="H546" s="20">
        <f>C546/C545-1</f>
        <v/>
      </c>
      <c r="I546" s="20">
        <f>C546/MAX(C$2:C546)-1</f>
        <v/>
      </c>
      <c r="J546" s="20">
        <f>D546/D545-1</f>
        <v/>
      </c>
      <c r="K546" s="20">
        <f>D546/MAX(D$2:D546)-1</f>
        <v/>
      </c>
      <c r="L546" s="20">
        <f>E546/E545-1</f>
        <v/>
      </c>
      <c r="M546" s="20">
        <f>E546/MAX(E$2:E546)-1</f>
        <v/>
      </c>
    </row>
    <row r="547">
      <c r="A547" s="11" t="n">
        <v>44483</v>
      </c>
      <c r="B547" s="19" t="n">
        <v>2.037336586000288</v>
      </c>
      <c r="C547" s="19" t="n">
        <v>1.765005917532611</v>
      </c>
      <c r="D547" s="19" t="n">
        <v>2.07806308331993</v>
      </c>
      <c r="E547" s="19" t="n">
        <v>1.40222514014068</v>
      </c>
      <c r="F547" s="20">
        <f>B547/B546-1</f>
        <v/>
      </c>
      <c r="G547" s="20">
        <f>B547/MAX(B$2:B547)-1</f>
        <v/>
      </c>
      <c r="H547" s="20">
        <f>C547/C546-1</f>
        <v/>
      </c>
      <c r="I547" s="20">
        <f>C547/MAX(C$2:C547)-1</f>
        <v/>
      </c>
      <c r="J547" s="20">
        <f>D547/D546-1</f>
        <v/>
      </c>
      <c r="K547" s="20">
        <f>D547/MAX(D$2:D547)-1</f>
        <v/>
      </c>
      <c r="L547" s="20">
        <f>E547/E546-1</f>
        <v/>
      </c>
      <c r="M547" s="20">
        <f>E547/MAX(E$2:E547)-1</f>
        <v/>
      </c>
    </row>
    <row r="548">
      <c r="A548" s="11" t="n">
        <v>44484</v>
      </c>
      <c r="B548" s="19" t="n">
        <v>2.053008979129545</v>
      </c>
      <c r="C548" s="19" t="n">
        <v>1.775627894582541</v>
      </c>
      <c r="D548" s="19" t="n">
        <v>2.117214401308667</v>
      </c>
      <c r="E548" s="19" t="n">
        <v>1.406432150336449</v>
      </c>
      <c r="F548" s="20">
        <f>B548/B547-1</f>
        <v/>
      </c>
      <c r="G548" s="20">
        <f>B548/MAX(B$2:B548)-1</f>
        <v/>
      </c>
      <c r="H548" s="20">
        <f>C548/C547-1</f>
        <v/>
      </c>
      <c r="I548" s="20">
        <f>C548/MAX(C$2:C548)-1</f>
        <v/>
      </c>
      <c r="J548" s="20">
        <f>D548/D547-1</f>
        <v/>
      </c>
      <c r="K548" s="20">
        <f>D548/MAX(D$2:D548)-1</f>
        <v/>
      </c>
      <c r="L548" s="20">
        <f>E548/E547-1</f>
        <v/>
      </c>
      <c r="M548" s="20">
        <f>E548/MAX(E$2:E548)-1</f>
        <v/>
      </c>
    </row>
    <row r="549">
      <c r="A549" s="11" t="n">
        <v>44487</v>
      </c>
      <c r="B549" s="19" t="n">
        <v>2.074305096954171</v>
      </c>
      <c r="C549" s="19" t="n">
        <v>1.775394656495709</v>
      </c>
      <c r="D549" s="19" t="n">
        <v>2.117319734686546</v>
      </c>
      <c r="E549" s="19" t="n">
        <v>1.40601182128948</v>
      </c>
      <c r="F549" s="20">
        <f>B549/B548-1</f>
        <v/>
      </c>
      <c r="G549" s="20">
        <f>B549/MAX(B$2:B549)-1</f>
        <v/>
      </c>
      <c r="H549" s="20">
        <f>C549/C548-1</f>
        <v/>
      </c>
      <c r="I549" s="20">
        <f>C549/MAX(C$2:C549)-1</f>
        <v/>
      </c>
      <c r="J549" s="20">
        <f>D549/D548-1</f>
        <v/>
      </c>
      <c r="K549" s="20">
        <f>D549/MAX(D$2:D549)-1</f>
        <v/>
      </c>
      <c r="L549" s="20">
        <f>E549/E548-1</f>
        <v/>
      </c>
      <c r="M549" s="20">
        <f>E549/MAX(E$2:E549)-1</f>
        <v/>
      </c>
    </row>
    <row r="550">
      <c r="A550" s="11" t="n">
        <v>44488</v>
      </c>
      <c r="B550" s="19" t="n">
        <v>2.084310336554031</v>
      </c>
      <c r="C550" s="19" t="n">
        <v>1.789036415011798</v>
      </c>
      <c r="D550" s="19" t="n">
        <v>2.130767123604583</v>
      </c>
      <c r="E550" s="19" t="n">
        <v>1.4172602729535</v>
      </c>
      <c r="F550" s="20">
        <f>B550/B549-1</f>
        <v/>
      </c>
      <c r="G550" s="20">
        <f>B550/MAX(B$2:B550)-1</f>
        <v/>
      </c>
      <c r="H550" s="20">
        <f>C550/C549-1</f>
        <v/>
      </c>
      <c r="I550" s="20">
        <f>C550/MAX(C$2:C550)-1</f>
        <v/>
      </c>
      <c r="J550" s="20">
        <f>D550/D549-1</f>
        <v/>
      </c>
      <c r="K550" s="20">
        <f>D550/MAX(D$2:D550)-1</f>
        <v/>
      </c>
      <c r="L550" s="20">
        <f>E550/E549-1</f>
        <v/>
      </c>
      <c r="M550" s="20">
        <f>E550/MAX(E$2:E550)-1</f>
        <v/>
      </c>
    </row>
    <row r="551">
      <c r="A551" s="11" t="n">
        <v>44489</v>
      </c>
      <c r="B551" s="19" t="n">
        <v>2.089867261286849</v>
      </c>
      <c r="C551" s="19" t="n">
        <v>1.79093584557705</v>
      </c>
      <c r="D551" s="19" t="n">
        <v>2.122901563631991</v>
      </c>
      <c r="E551" s="19" t="n">
        <v>1.416408455681324</v>
      </c>
      <c r="F551" s="20">
        <f>B551/B550-1</f>
        <v/>
      </c>
      <c r="G551" s="20">
        <f>B551/MAX(B$2:B551)-1</f>
        <v/>
      </c>
      <c r="H551" s="20">
        <f>C551/C550-1</f>
        <v/>
      </c>
      <c r="I551" s="20">
        <f>C551/MAX(C$2:C551)-1</f>
        <v/>
      </c>
      <c r="J551" s="20">
        <f>D551/D550-1</f>
        <v/>
      </c>
      <c r="K551" s="20">
        <f>D551/MAX(D$2:D551)-1</f>
        <v/>
      </c>
      <c r="L551" s="20">
        <f>E551/E550-1</f>
        <v/>
      </c>
      <c r="M551" s="20">
        <f>E551/MAX(E$2:E551)-1</f>
        <v/>
      </c>
    </row>
    <row r="552">
      <c r="A552" s="11" t="n">
        <v>44490</v>
      </c>
      <c r="B552" s="19" t="n">
        <v>2.085997764764967</v>
      </c>
      <c r="C552" s="19" t="n">
        <v>1.773514081226402</v>
      </c>
      <c r="D552" s="19" t="n">
        <v>2.119260453707693</v>
      </c>
      <c r="E552" s="19" t="n">
        <v>1.416408455681324</v>
      </c>
      <c r="F552" s="20">
        <f>B552/B551-1</f>
        <v/>
      </c>
      <c r="G552" s="20">
        <f>B552/MAX(B$2:B552)-1</f>
        <v/>
      </c>
      <c r="H552" s="20">
        <f>C552/C551-1</f>
        <v/>
      </c>
      <c r="I552" s="20">
        <f>C552/MAX(C$2:C552)-1</f>
        <v/>
      </c>
      <c r="J552" s="20">
        <f>D552/D551-1</f>
        <v/>
      </c>
      <c r="K552" s="20">
        <f>D552/MAX(D$2:D552)-1</f>
        <v/>
      </c>
      <c r="L552" s="20">
        <f>E552/E551-1</f>
        <v/>
      </c>
      <c r="M552" s="20">
        <f>E552/MAX(E$2:E552)-1</f>
        <v/>
      </c>
    </row>
    <row r="553">
      <c r="A553" s="11" t="n">
        <v>44491</v>
      </c>
      <c r="B553" s="19" t="n">
        <v>2.06819751159829</v>
      </c>
      <c r="C553" s="19" t="n">
        <v>1.776136891372572</v>
      </c>
      <c r="D553" s="19" t="n">
        <v>2.122765341079494</v>
      </c>
      <c r="E553" s="19" t="n">
        <v>1.414284492090002</v>
      </c>
      <c r="F553" s="20">
        <f>B553/B552-1</f>
        <v/>
      </c>
      <c r="G553" s="20">
        <f>B553/MAX(B$2:B553)-1</f>
        <v/>
      </c>
      <c r="H553" s="20">
        <f>C553/C552-1</f>
        <v/>
      </c>
      <c r="I553" s="20">
        <f>C553/MAX(C$2:C553)-1</f>
        <v/>
      </c>
      <c r="J553" s="20">
        <f>D553/D552-1</f>
        <v/>
      </c>
      <c r="K553" s="20">
        <f>D553/MAX(D$2:D553)-1</f>
        <v/>
      </c>
      <c r="L553" s="20">
        <f>E553/E552-1</f>
        <v/>
      </c>
      <c r="M553" s="20">
        <f>E553/MAX(E$2:E553)-1</f>
        <v/>
      </c>
    </row>
    <row r="554">
      <c r="A554" s="11" t="n">
        <v>44494</v>
      </c>
      <c r="B554" s="19" t="n">
        <v>2.110695161740364</v>
      </c>
      <c r="C554" s="19" t="n">
        <v>1.792015070768687</v>
      </c>
      <c r="D554" s="19" t="n">
        <v>2.157475726310798</v>
      </c>
      <c r="E554" s="19" t="n">
        <v>1.426306646778531</v>
      </c>
      <c r="F554" s="20">
        <f>B554/B553-1</f>
        <v/>
      </c>
      <c r="G554" s="20">
        <f>B554/MAX(B$2:B554)-1</f>
        <v/>
      </c>
      <c r="H554" s="20">
        <f>C554/C553-1</f>
        <v/>
      </c>
      <c r="I554" s="20">
        <f>C554/MAX(C$2:C554)-1</f>
        <v/>
      </c>
      <c r="J554" s="20">
        <f>D554/D553-1</f>
        <v/>
      </c>
      <c r="K554" s="20">
        <f>D554/MAX(D$2:D554)-1</f>
        <v/>
      </c>
      <c r="L554" s="20">
        <f>E554/E553-1</f>
        <v/>
      </c>
      <c r="M554" s="20">
        <f>E554/MAX(E$2:E554)-1</f>
        <v/>
      </c>
    </row>
    <row r="555">
      <c r="A555" s="11" t="n">
        <v>44495</v>
      </c>
      <c r="B555" s="19" t="n">
        <v>2.115833501702907</v>
      </c>
      <c r="C555" s="19" t="n">
        <v>1.797502490991425</v>
      </c>
      <c r="D555" s="19" t="n">
        <v>2.150311311828997</v>
      </c>
      <c r="E555" s="19" t="n">
        <v>1.421742542879142</v>
      </c>
      <c r="F555" s="20">
        <f>B555/B554-1</f>
        <v/>
      </c>
      <c r="G555" s="20">
        <f>B555/MAX(B$2:B555)-1</f>
        <v/>
      </c>
      <c r="H555" s="20">
        <f>C555/C554-1</f>
        <v/>
      </c>
      <c r="I555" s="20">
        <f>C555/MAX(C$2:C555)-1</f>
        <v/>
      </c>
      <c r="J555" s="20">
        <f>D555/D554-1</f>
        <v/>
      </c>
      <c r="K555" s="20">
        <f>D555/MAX(D$2:D555)-1</f>
        <v/>
      </c>
      <c r="L555" s="20">
        <f>E555/E554-1</f>
        <v/>
      </c>
      <c r="M555" s="20">
        <f>E555/MAX(E$2:E555)-1</f>
        <v/>
      </c>
    </row>
    <row r="556">
      <c r="A556" s="11" t="n">
        <v>44496</v>
      </c>
      <c r="B556" s="19" t="n">
        <v>2.113790403526878</v>
      </c>
      <c r="C556" s="19" t="n">
        <v>1.789038771923791</v>
      </c>
      <c r="D556" s="19" t="n">
        <v>2.138307571783243</v>
      </c>
      <c r="E556" s="19" t="n">
        <v>1.406670212805529</v>
      </c>
      <c r="F556" s="20">
        <f>B556/B555-1</f>
        <v/>
      </c>
      <c r="G556" s="20">
        <f>B556/MAX(B$2:B556)-1</f>
        <v/>
      </c>
      <c r="H556" s="20">
        <f>C556/C555-1</f>
        <v/>
      </c>
      <c r="I556" s="20">
        <f>C556/MAX(C$2:C556)-1</f>
        <v/>
      </c>
      <c r="J556" s="20">
        <f>D556/D555-1</f>
        <v/>
      </c>
      <c r="K556" s="20">
        <f>D556/MAX(D$2:D556)-1</f>
        <v/>
      </c>
      <c r="L556" s="20">
        <f>E556/E555-1</f>
        <v/>
      </c>
      <c r="M556" s="20">
        <f>E556/MAX(E$2:E556)-1</f>
        <v/>
      </c>
    </row>
    <row r="557">
      <c r="A557" s="11" t="n">
        <v>44497</v>
      </c>
      <c r="B557" s="19" t="n">
        <v>2.081191820685105</v>
      </c>
      <c r="C557" s="19" t="n">
        <v>1.776440644418219</v>
      </c>
      <c r="D557" s="19" t="n">
        <v>2.118531262397271</v>
      </c>
      <c r="E557" s="19" t="n">
        <v>1.388384039399339</v>
      </c>
      <c r="F557" s="20">
        <f>B557/B556-1</f>
        <v/>
      </c>
      <c r="G557" s="20">
        <f>B557/MAX(B$2:B557)-1</f>
        <v/>
      </c>
      <c r="H557" s="20">
        <f>C557/C556-1</f>
        <v/>
      </c>
      <c r="I557" s="20">
        <f>C557/MAX(C$2:C557)-1</f>
        <v/>
      </c>
      <c r="J557" s="20">
        <f>D557/D556-1</f>
        <v/>
      </c>
      <c r="K557" s="20">
        <f>D557/MAX(D$2:D557)-1</f>
        <v/>
      </c>
      <c r="L557" s="20">
        <f>E557/E556-1</f>
        <v/>
      </c>
      <c r="M557" s="20">
        <f>E557/MAX(E$2:E557)-1</f>
        <v/>
      </c>
    </row>
    <row r="558">
      <c r="A558" s="11" t="n">
        <v>44498</v>
      </c>
      <c r="B558" s="19" t="n">
        <v>2.106150250235955</v>
      </c>
      <c r="C558" s="19" t="n">
        <v>1.810259397404944</v>
      </c>
      <c r="D558" s="19" t="n">
        <v>2.165256825715975</v>
      </c>
      <c r="E558" s="19" t="n">
        <v>1.406432150336449</v>
      </c>
      <c r="F558" s="20">
        <f>B558/B557-1</f>
        <v/>
      </c>
      <c r="G558" s="20">
        <f>B558/MAX(B$2:B558)-1</f>
        <v/>
      </c>
      <c r="H558" s="20">
        <f>C558/C557-1</f>
        <v/>
      </c>
      <c r="I558" s="20">
        <f>C558/MAX(C$2:C558)-1</f>
        <v/>
      </c>
      <c r="J558" s="20">
        <f>D558/D557-1</f>
        <v/>
      </c>
      <c r="K558" s="20">
        <f>D558/MAX(D$2:D558)-1</f>
        <v/>
      </c>
      <c r="L558" s="20">
        <f>E558/E557-1</f>
        <v/>
      </c>
      <c r="M558" s="20">
        <f>E558/MAX(E$2:E558)-1</f>
        <v/>
      </c>
    </row>
    <row r="559">
      <c r="A559" s="11" t="n">
        <v>44501</v>
      </c>
      <c r="B559" s="19" t="n">
        <v>2.113202266536138</v>
      </c>
      <c r="C559" s="19" t="n">
        <v>1.825486299487035</v>
      </c>
      <c r="D559" s="19" t="n">
        <v>2.153140126931244</v>
      </c>
      <c r="E559" s="19" t="n">
        <v>1.409805941890439</v>
      </c>
      <c r="F559" s="20">
        <f>B559/B558-1</f>
        <v/>
      </c>
      <c r="G559" s="20">
        <f>B559/MAX(B$2:B559)-1</f>
        <v/>
      </c>
      <c r="H559" s="20">
        <f>C559/C558-1</f>
        <v/>
      </c>
      <c r="I559" s="20">
        <f>C559/MAX(C$2:C559)-1</f>
        <v/>
      </c>
      <c r="J559" s="20">
        <f>D559/D558-1</f>
        <v/>
      </c>
      <c r="K559" s="20">
        <f>D559/MAX(D$2:D559)-1</f>
        <v/>
      </c>
      <c r="L559" s="20">
        <f>E559/E558-1</f>
        <v/>
      </c>
      <c r="M559" s="20">
        <f>E559/MAX(E$2:E559)-1</f>
        <v/>
      </c>
    </row>
    <row r="560">
      <c r="A560" s="11" t="n">
        <v>44502</v>
      </c>
      <c r="B560" s="19" t="n">
        <v>2.094354205255867</v>
      </c>
      <c r="C560" s="19" t="n">
        <v>1.801668645590903</v>
      </c>
      <c r="D560" s="19" t="n">
        <v>2.158104495492863</v>
      </c>
      <c r="E560" s="19" t="n">
        <v>1.395566830458605</v>
      </c>
      <c r="F560" s="20">
        <f>B560/B559-1</f>
        <v/>
      </c>
      <c r="G560" s="20">
        <f>B560/MAX(B$2:B560)-1</f>
        <v/>
      </c>
      <c r="H560" s="20">
        <f>C560/C559-1</f>
        <v/>
      </c>
      <c r="I560" s="20">
        <f>C560/MAX(C$2:C560)-1</f>
        <v/>
      </c>
      <c r="J560" s="20">
        <f>D560/D559-1</f>
        <v/>
      </c>
      <c r="K560" s="20">
        <f>D560/MAX(D$2:D560)-1</f>
        <v/>
      </c>
      <c r="L560" s="20">
        <f>E560/E559-1</f>
        <v/>
      </c>
      <c r="M560" s="20">
        <f>E560/MAX(E$2:E560)-1</f>
        <v/>
      </c>
    </row>
    <row r="561">
      <c r="A561" s="11" t="n">
        <v>44503</v>
      </c>
      <c r="B561" s="19" t="n">
        <v>2.098866875793103</v>
      </c>
      <c r="C561" s="19" t="n">
        <v>1.816051436477734</v>
      </c>
      <c r="D561" s="19" t="n">
        <v>2.150019350969329</v>
      </c>
      <c r="E561" s="19" t="n">
        <v>1.394030583587825</v>
      </c>
      <c r="F561" s="20">
        <f>B561/B560-1</f>
        <v/>
      </c>
      <c r="G561" s="20">
        <f>B561/MAX(B$2:B561)-1</f>
        <v/>
      </c>
      <c r="H561" s="20">
        <f>C561/C560-1</f>
        <v/>
      </c>
      <c r="I561" s="20">
        <f>C561/MAX(C$2:C561)-1</f>
        <v/>
      </c>
      <c r="J561" s="20">
        <f>D561/D560-1</f>
        <v/>
      </c>
      <c r="K561" s="20">
        <f>D561/MAX(D$2:D561)-1</f>
        <v/>
      </c>
      <c r="L561" s="20">
        <f>E561/E560-1</f>
        <v/>
      </c>
      <c r="M561" s="20">
        <f>E561/MAX(E$2:E561)-1</f>
        <v/>
      </c>
    </row>
    <row r="562">
      <c r="A562" s="11" t="n">
        <v>44504</v>
      </c>
      <c r="B562" s="19" t="n">
        <v>2.122491178200317</v>
      </c>
      <c r="C562" s="19" t="n">
        <v>1.843710953123185</v>
      </c>
      <c r="D562" s="19" t="n">
        <v>2.172742280824343</v>
      </c>
      <c r="E562" s="19" t="n">
        <v>1.409363294486994</v>
      </c>
      <c r="F562" s="20">
        <f>B562/B561-1</f>
        <v/>
      </c>
      <c r="G562" s="20">
        <f>B562/MAX(B$2:B562)-1</f>
        <v/>
      </c>
      <c r="H562" s="20">
        <f>C562/C561-1</f>
        <v/>
      </c>
      <c r="I562" s="20">
        <f>C562/MAX(C$2:C562)-1</f>
        <v/>
      </c>
      <c r="J562" s="20">
        <f>D562/D561-1</f>
        <v/>
      </c>
      <c r="K562" s="20">
        <f>D562/MAX(D$2:D562)-1</f>
        <v/>
      </c>
      <c r="L562" s="20">
        <f>E562/E561-1</f>
        <v/>
      </c>
      <c r="M562" s="20">
        <f>E562/MAX(E$2:E562)-1</f>
        <v/>
      </c>
    </row>
    <row r="563">
      <c r="A563" s="11" t="n">
        <v>44505</v>
      </c>
      <c r="B563" s="19" t="n">
        <v>2.110791767515568</v>
      </c>
      <c r="C563" s="19" t="n">
        <v>1.842041105026163</v>
      </c>
      <c r="D563" s="19" t="n">
        <v>2.166607031603955</v>
      </c>
      <c r="E563" s="19" t="n">
        <v>1.397664755967371</v>
      </c>
      <c r="F563" s="20">
        <f>B563/B562-1</f>
        <v/>
      </c>
      <c r="G563" s="20">
        <f>B563/MAX(B$2:B563)-1</f>
        <v/>
      </c>
      <c r="H563" s="20">
        <f>C563/C562-1</f>
        <v/>
      </c>
      <c r="I563" s="20">
        <f>C563/MAX(C$2:C563)-1</f>
        <v/>
      </c>
      <c r="J563" s="20">
        <f>D563/D562-1</f>
        <v/>
      </c>
      <c r="K563" s="20">
        <f>D563/MAX(D$2:D563)-1</f>
        <v/>
      </c>
      <c r="L563" s="20">
        <f>E563/E562-1</f>
        <v/>
      </c>
      <c r="M563" s="20">
        <f>E563/MAX(E$2:E563)-1</f>
        <v/>
      </c>
    </row>
    <row r="564">
      <c r="A564" s="11" t="n">
        <v>44508</v>
      </c>
      <c r="B564" s="19" t="n">
        <v>2.123642042463975</v>
      </c>
      <c r="C564" s="19" t="n">
        <v>1.841680256989987</v>
      </c>
      <c r="D564" s="19" t="n">
        <v>2.184402298025348</v>
      </c>
      <c r="E564" s="19" t="n">
        <v>1.403534483720619</v>
      </c>
      <c r="F564" s="20">
        <f>B564/B563-1</f>
        <v/>
      </c>
      <c r="G564" s="20">
        <f>B564/MAX(B$2:B564)-1</f>
        <v/>
      </c>
      <c r="H564" s="20">
        <f>C564/C563-1</f>
        <v/>
      </c>
      <c r="I564" s="20">
        <f>C564/MAX(C$2:C564)-1</f>
        <v/>
      </c>
      <c r="J564" s="20">
        <f>D564/D563-1</f>
        <v/>
      </c>
      <c r="K564" s="20">
        <f>D564/MAX(D$2:D564)-1</f>
        <v/>
      </c>
      <c r="L564" s="20">
        <f>E564/E563-1</f>
        <v/>
      </c>
      <c r="M564" s="20">
        <f>E564/MAX(E$2:E564)-1</f>
        <v/>
      </c>
    </row>
    <row r="565">
      <c r="A565" s="11" t="n">
        <v>44509</v>
      </c>
      <c r="B565" s="19" t="n">
        <v>2.138371483758502</v>
      </c>
      <c r="C565" s="19" t="n">
        <v>1.859993030274534</v>
      </c>
      <c r="D565" s="19" t="n">
        <v>2.203562697948397</v>
      </c>
      <c r="E565" s="19" t="n">
        <v>1.4118145939733</v>
      </c>
      <c r="F565" s="20">
        <f>B565/B564-1</f>
        <v/>
      </c>
      <c r="G565" s="20">
        <f>B565/MAX(B$2:B565)-1</f>
        <v/>
      </c>
      <c r="H565" s="20">
        <f>C565/C564-1</f>
        <v/>
      </c>
      <c r="I565" s="20">
        <f>C565/MAX(C$2:C565)-1</f>
        <v/>
      </c>
      <c r="J565" s="20">
        <f>D565/D564-1</f>
        <v/>
      </c>
      <c r="K565" s="20">
        <f>D565/MAX(D$2:D565)-1</f>
        <v/>
      </c>
      <c r="L565" s="20">
        <f>E565/E564-1</f>
        <v/>
      </c>
      <c r="M565" s="20">
        <f>E565/MAX(E$2:E565)-1</f>
        <v/>
      </c>
    </row>
    <row r="566">
      <c r="A566" s="11" t="n">
        <v>44510</v>
      </c>
      <c r="B566" s="19" t="n">
        <v>2.136553498629197</v>
      </c>
      <c r="C566" s="19" t="n">
        <v>1.861019729998896</v>
      </c>
      <c r="D566" s="19" t="n">
        <v>2.196919909863062</v>
      </c>
      <c r="E566" s="19" t="n">
        <v>1.407860525150928</v>
      </c>
      <c r="F566" s="20">
        <f>B566/B565-1</f>
        <v/>
      </c>
      <c r="G566" s="20">
        <f>B566/MAX(B$2:B566)-1</f>
        <v/>
      </c>
      <c r="H566" s="20">
        <f>C566/C565-1</f>
        <v/>
      </c>
      <c r="I566" s="20">
        <f>C566/MAX(C$2:C566)-1</f>
        <v/>
      </c>
      <c r="J566" s="20">
        <f>D566/D565-1</f>
        <v/>
      </c>
      <c r="K566" s="20">
        <f>D566/MAX(D$2:D566)-1</f>
        <v/>
      </c>
      <c r="L566" s="20">
        <f>E566/E565-1</f>
        <v/>
      </c>
      <c r="M566" s="20">
        <f>E566/MAX(E$2:E566)-1</f>
        <v/>
      </c>
    </row>
    <row r="567">
      <c r="A567" s="11" t="n">
        <v>44511</v>
      </c>
      <c r="B567" s="19" t="n">
        <v>2.142799590127356</v>
      </c>
      <c r="C567" s="19" t="n">
        <v>1.873844024855321</v>
      </c>
      <c r="D567" s="19" t="n">
        <v>2.218618714949592</v>
      </c>
      <c r="E567" s="19" t="n">
        <v>1.424755521003433</v>
      </c>
      <c r="F567" s="20">
        <f>B567/B566-1</f>
        <v/>
      </c>
      <c r="G567" s="20">
        <f>B567/MAX(B$2:B567)-1</f>
        <v/>
      </c>
      <c r="H567" s="20">
        <f>C567/C566-1</f>
        <v/>
      </c>
      <c r="I567" s="20">
        <f>C567/MAX(C$2:C567)-1</f>
        <v/>
      </c>
      <c r="J567" s="20">
        <f>D567/D566-1</f>
        <v/>
      </c>
      <c r="K567" s="20">
        <f>D567/MAX(D$2:D567)-1</f>
        <v/>
      </c>
      <c r="L567" s="20">
        <f>E567/E566-1</f>
        <v/>
      </c>
      <c r="M567" s="20">
        <f>E567/MAX(E$2:E567)-1</f>
        <v/>
      </c>
    </row>
    <row r="568">
      <c r="A568" s="11" t="n">
        <v>44512</v>
      </c>
      <c r="B568" s="19" t="n">
        <v>2.162747356180043</v>
      </c>
      <c r="C568" s="19" t="n">
        <v>1.887832153233912</v>
      </c>
      <c r="D568" s="19" t="n">
        <v>2.216615765227281</v>
      </c>
      <c r="E568" s="19" t="n">
        <v>1.429457254767759</v>
      </c>
      <c r="F568" s="20">
        <f>B568/B567-1</f>
        <v/>
      </c>
      <c r="G568" s="20">
        <f>B568/MAX(B$2:B568)-1</f>
        <v/>
      </c>
      <c r="H568" s="20">
        <f>C568/C567-1</f>
        <v/>
      </c>
      <c r="I568" s="20">
        <f>C568/MAX(C$2:C568)-1</f>
        <v/>
      </c>
      <c r="J568" s="20">
        <f>D568/D567-1</f>
        <v/>
      </c>
      <c r="K568" s="20">
        <f>D568/MAX(D$2:D568)-1</f>
        <v/>
      </c>
      <c r="L568" s="20">
        <f>E568/E567-1</f>
        <v/>
      </c>
      <c r="M568" s="20">
        <f>E568/MAX(E$2:E568)-1</f>
        <v/>
      </c>
    </row>
    <row r="569">
      <c r="A569" s="11" t="n">
        <v>44515</v>
      </c>
      <c r="B569" s="19" t="n">
        <v>2.140666614591934</v>
      </c>
      <c r="C569" s="19" t="n">
        <v>1.88093073011602</v>
      </c>
      <c r="D569" s="19" t="n">
        <v>2.198348954230191</v>
      </c>
      <c r="E569" s="19" t="n">
        <v>1.425596179097371</v>
      </c>
      <c r="F569" s="20">
        <f>B569/B568-1</f>
        <v/>
      </c>
      <c r="G569" s="20">
        <f>B569/MAX(B$2:B569)-1</f>
        <v/>
      </c>
      <c r="H569" s="20">
        <f>C569/C568-1</f>
        <v/>
      </c>
      <c r="I569" s="20">
        <f>C569/MAX(C$2:C569)-1</f>
        <v/>
      </c>
      <c r="J569" s="20">
        <f>D569/D568-1</f>
        <v/>
      </c>
      <c r="K569" s="20">
        <f>D569/MAX(D$2:D569)-1</f>
        <v/>
      </c>
      <c r="L569" s="20">
        <f>E569/E568-1</f>
        <v/>
      </c>
      <c r="M569" s="20">
        <f>E569/MAX(E$2:E569)-1</f>
        <v/>
      </c>
    </row>
    <row r="570">
      <c r="A570" s="11" t="n">
        <v>44516</v>
      </c>
      <c r="B570" s="19" t="n">
        <v>2.130945455886003</v>
      </c>
      <c r="C570" s="19" t="n">
        <v>1.878426246571956</v>
      </c>
      <c r="D570" s="19" t="n">
        <v>2.193076275517738</v>
      </c>
      <c r="E570" s="19" t="n">
        <v>1.418751883111328</v>
      </c>
      <c r="F570" s="20">
        <f>B570/B569-1</f>
        <v/>
      </c>
      <c r="G570" s="20">
        <f>B570/MAX(B$2:B570)-1</f>
        <v/>
      </c>
      <c r="H570" s="20">
        <f>C570/C569-1</f>
        <v/>
      </c>
      <c r="I570" s="20">
        <f>C570/MAX(C$2:C570)-1</f>
        <v/>
      </c>
      <c r="J570" s="20">
        <f>D570/D569-1</f>
        <v/>
      </c>
      <c r="K570" s="20">
        <f>D570/MAX(D$2:D570)-1</f>
        <v/>
      </c>
      <c r="L570" s="20">
        <f>E570/E569-1</f>
        <v/>
      </c>
      <c r="M570" s="20">
        <f>E570/MAX(E$2:E570)-1</f>
        <v/>
      </c>
    </row>
    <row r="571">
      <c r="A571" s="11" t="n">
        <v>44517</v>
      </c>
      <c r="B571" s="19" t="n">
        <v>2.158688370551388</v>
      </c>
      <c r="C571" s="19" t="n">
        <v>1.904286188760271</v>
      </c>
      <c r="D571" s="19" t="n">
        <v>2.210921042164563</v>
      </c>
      <c r="E571" s="19" t="n">
        <v>1.430387186287602</v>
      </c>
      <c r="F571" s="20">
        <f>B571/B570-1</f>
        <v/>
      </c>
      <c r="G571" s="20">
        <f>B571/MAX(B$2:B571)-1</f>
        <v/>
      </c>
      <c r="H571" s="20">
        <f>C571/C570-1</f>
        <v/>
      </c>
      <c r="I571" s="20">
        <f>C571/MAX(C$2:C571)-1</f>
        <v/>
      </c>
      <c r="J571" s="20">
        <f>D571/D570-1</f>
        <v/>
      </c>
      <c r="K571" s="20">
        <f>D571/MAX(D$2:D571)-1</f>
        <v/>
      </c>
      <c r="L571" s="20">
        <f>E571/E570-1</f>
        <v/>
      </c>
      <c r="M571" s="20">
        <f>E571/MAX(E$2:E571)-1</f>
        <v/>
      </c>
    </row>
    <row r="572">
      <c r="A572" s="11" t="n">
        <v>44518</v>
      </c>
      <c r="B572" s="19" t="n">
        <v>2.149674094771124</v>
      </c>
      <c r="C572" s="19" t="n">
        <v>1.883579995396807</v>
      </c>
      <c r="D572" s="19" t="n">
        <v>2.186737791037577</v>
      </c>
      <c r="E572" s="19" t="n">
        <v>1.421660708905396</v>
      </c>
      <c r="F572" s="20">
        <f>B572/B571-1</f>
        <v/>
      </c>
      <c r="G572" s="20">
        <f>B572/MAX(B$2:B572)-1</f>
        <v/>
      </c>
      <c r="H572" s="20">
        <f>C572/C571-1</f>
        <v/>
      </c>
      <c r="I572" s="20">
        <f>C572/MAX(C$2:C572)-1</f>
        <v/>
      </c>
      <c r="J572" s="20">
        <f>D572/D571-1</f>
        <v/>
      </c>
      <c r="K572" s="20">
        <f>D572/MAX(D$2:D572)-1</f>
        <v/>
      </c>
      <c r="L572" s="20">
        <f>E572/E571-1</f>
        <v/>
      </c>
      <c r="M572" s="20">
        <f>E572/MAX(E$2:E572)-1</f>
        <v/>
      </c>
    </row>
    <row r="573">
      <c r="A573" s="11" t="n">
        <v>44519</v>
      </c>
      <c r="B573" s="19" t="n">
        <v>2.169308528874488</v>
      </c>
      <c r="C573" s="19" t="n">
        <v>1.903339720244166</v>
      </c>
      <c r="D573" s="19" t="n">
        <v>2.209390024748174</v>
      </c>
      <c r="E573" s="19" t="n">
        <v>1.438008905024234</v>
      </c>
      <c r="F573" s="20">
        <f>B573/B572-1</f>
        <v/>
      </c>
      <c r="G573" s="20">
        <f>B573/MAX(B$2:B573)-1</f>
        <v/>
      </c>
      <c r="H573" s="20">
        <f>C573/C572-1</f>
        <v/>
      </c>
      <c r="I573" s="20">
        <f>C573/MAX(C$2:C573)-1</f>
        <v/>
      </c>
      <c r="J573" s="20">
        <f>D573/D572-1</f>
        <v/>
      </c>
      <c r="K573" s="20">
        <f>D573/MAX(D$2:D573)-1</f>
        <v/>
      </c>
      <c r="L573" s="20">
        <f>E573/E572-1</f>
        <v/>
      </c>
      <c r="M573" s="20">
        <f>E573/MAX(E$2:E573)-1</f>
        <v/>
      </c>
    </row>
    <row r="574">
      <c r="A574" s="11" t="n">
        <v>44522</v>
      </c>
      <c r="B574" s="19" t="n">
        <v>2.203205149309426</v>
      </c>
      <c r="C574" s="19" t="n">
        <v>1.92652466352075</v>
      </c>
      <c r="D574" s="19" t="n">
        <v>2.26546040347078</v>
      </c>
      <c r="E574" s="19" t="n">
        <v>1.45353876140561</v>
      </c>
      <c r="F574" s="20">
        <f>B574/B573-1</f>
        <v/>
      </c>
      <c r="G574" s="20">
        <f>B574/MAX(B$2:B574)-1</f>
        <v/>
      </c>
      <c r="H574" s="20">
        <f>C574/C573-1</f>
        <v/>
      </c>
      <c r="I574" s="20">
        <f>C574/MAX(C$2:C574)-1</f>
        <v/>
      </c>
      <c r="J574" s="20">
        <f>D574/D573-1</f>
        <v/>
      </c>
      <c r="K574" s="20">
        <f>D574/MAX(D$2:D574)-1</f>
        <v/>
      </c>
      <c r="L574" s="20">
        <f>E574/E573-1</f>
        <v/>
      </c>
      <c r="M574" s="20">
        <f>E574/MAX(E$2:E574)-1</f>
        <v/>
      </c>
    </row>
    <row r="575">
      <c r="A575" s="11" t="n">
        <v>44523</v>
      </c>
      <c r="B575" s="19" t="n">
        <v>2.192695898054698</v>
      </c>
      <c r="C575" s="19" t="n">
        <v>1.913696520644745</v>
      </c>
      <c r="D575" s="19" t="n">
        <v>2.257086981524719</v>
      </c>
      <c r="E575" s="19" t="n">
        <v>1.453683830722706</v>
      </c>
      <c r="F575" s="20">
        <f>B575/B574-1</f>
        <v/>
      </c>
      <c r="G575" s="20">
        <f>B575/MAX(B$2:B575)-1</f>
        <v/>
      </c>
      <c r="H575" s="20">
        <f>C575/C574-1</f>
        <v/>
      </c>
      <c r="I575" s="20">
        <f>C575/MAX(C$2:C575)-1</f>
        <v/>
      </c>
      <c r="J575" s="20">
        <f>D575/D574-1</f>
        <v/>
      </c>
      <c r="K575" s="20">
        <f>D575/MAX(D$2:D575)-1</f>
        <v/>
      </c>
      <c r="L575" s="20">
        <f>E575/E574-1</f>
        <v/>
      </c>
      <c r="M575" s="20">
        <f>E575/MAX(E$2:E575)-1</f>
        <v/>
      </c>
    </row>
    <row r="576">
      <c r="A576" s="11" t="n">
        <v>44524</v>
      </c>
      <c r="B576" s="19" t="n">
        <v>2.173044509481103</v>
      </c>
      <c r="C576" s="19" t="n">
        <v>1.897287074045276</v>
      </c>
      <c r="D576" s="19" t="n">
        <v>2.247970926953758</v>
      </c>
      <c r="E576" s="19" t="n">
        <v>1.453248622771419</v>
      </c>
      <c r="F576" s="20">
        <f>B576/B575-1</f>
        <v/>
      </c>
      <c r="G576" s="20">
        <f>B576/MAX(B$2:B576)-1</f>
        <v/>
      </c>
      <c r="H576" s="20">
        <f>C576/C575-1</f>
        <v/>
      </c>
      <c r="I576" s="20">
        <f>C576/MAX(C$2:C576)-1</f>
        <v/>
      </c>
      <c r="J576" s="20">
        <f>D576/D575-1</f>
        <v/>
      </c>
      <c r="K576" s="20">
        <f>D576/MAX(D$2:D576)-1</f>
        <v/>
      </c>
      <c r="L576" s="20">
        <f>E576/E575-1</f>
        <v/>
      </c>
      <c r="M576" s="20">
        <f>E576/MAX(E$2:E576)-1</f>
        <v/>
      </c>
    </row>
    <row r="577">
      <c r="A577" s="11" t="n">
        <v>44525</v>
      </c>
      <c r="B577" s="19" t="n">
        <v>2.169440100839517</v>
      </c>
      <c r="C577" s="19" t="n">
        <v>1.893890282860704</v>
      </c>
      <c r="D577" s="19" t="n">
        <v>2.245249513123925</v>
      </c>
      <c r="E577" s="19" t="n">
        <v>1.449614450391873</v>
      </c>
      <c r="F577" s="20">
        <f>B577/B576-1</f>
        <v/>
      </c>
      <c r="G577" s="20">
        <f>B577/MAX(B$2:B577)-1</f>
        <v/>
      </c>
      <c r="H577" s="20">
        <f>C577/C576-1</f>
        <v/>
      </c>
      <c r="I577" s="20">
        <f>C577/MAX(C$2:C577)-1</f>
        <v/>
      </c>
      <c r="J577" s="20">
        <f>D577/D576-1</f>
        <v/>
      </c>
      <c r="K577" s="20">
        <f>D577/MAX(D$2:D577)-1</f>
        <v/>
      </c>
      <c r="L577" s="20">
        <f>E577/E576-1</f>
        <v/>
      </c>
      <c r="M577" s="20">
        <f>E577/MAX(E$2:E577)-1</f>
        <v/>
      </c>
    </row>
    <row r="578">
      <c r="A578" s="11" t="n">
        <v>44526</v>
      </c>
      <c r="B578" s="19" t="n">
        <v>2.174674319599634</v>
      </c>
      <c r="C578" s="19" t="n">
        <v>1.885417328546076</v>
      </c>
      <c r="D578" s="19" t="n">
        <v>2.241640003212991</v>
      </c>
      <c r="E578" s="19" t="n">
        <v>1.445121021287992</v>
      </c>
      <c r="F578" s="20">
        <f>B578/B577-1</f>
        <v/>
      </c>
      <c r="G578" s="20">
        <f>B578/MAX(B$2:B578)-1</f>
        <v/>
      </c>
      <c r="H578" s="20">
        <f>C578/C577-1</f>
        <v/>
      </c>
      <c r="I578" s="20">
        <f>C578/MAX(C$2:C578)-1</f>
        <v/>
      </c>
      <c r="J578" s="20">
        <f>D578/D577-1</f>
        <v/>
      </c>
      <c r="K578" s="20">
        <f>D578/MAX(D$2:D578)-1</f>
        <v/>
      </c>
      <c r="L578" s="20">
        <f>E578/E577-1</f>
        <v/>
      </c>
      <c r="M578" s="20">
        <f>E578/MAX(E$2:E578)-1</f>
        <v/>
      </c>
    </row>
    <row r="579">
      <c r="A579" s="11" t="n">
        <v>44529</v>
      </c>
      <c r="B579" s="19" t="n">
        <v>2.202969607860265</v>
      </c>
      <c r="C579" s="19" t="n">
        <v>1.906216403482169</v>
      </c>
      <c r="D579" s="19" t="n">
        <v>2.263962472366952</v>
      </c>
      <c r="E579" s="19" t="n">
        <v>1.448301387085855</v>
      </c>
      <c r="F579" s="20">
        <f>B579/B578-1</f>
        <v/>
      </c>
      <c r="G579" s="20">
        <f>B579/MAX(B$2:B579)-1</f>
        <v/>
      </c>
      <c r="H579" s="20">
        <f>C579/C578-1</f>
        <v/>
      </c>
      <c r="I579" s="20">
        <f>C579/MAX(C$2:C579)-1</f>
        <v/>
      </c>
      <c r="J579" s="20">
        <f>D579/D578-1</f>
        <v/>
      </c>
      <c r="K579" s="20">
        <f>D579/MAX(D$2:D579)-1</f>
        <v/>
      </c>
      <c r="L579" s="20">
        <f>E579/E578-1</f>
        <v/>
      </c>
      <c r="M579" s="20">
        <f>E579/MAX(E$2:E579)-1</f>
        <v/>
      </c>
    </row>
    <row r="580">
      <c r="A580" s="11" t="n">
        <v>44530</v>
      </c>
      <c r="B580" s="19" t="n">
        <v>2.216677340945002</v>
      </c>
      <c r="C580" s="19" t="n">
        <v>1.92344562255305</v>
      </c>
      <c r="D580" s="19" t="n">
        <v>2.258911510721678</v>
      </c>
      <c r="E580" s="19" t="n">
        <v>1.449603291213635</v>
      </c>
      <c r="F580" s="20">
        <f>B580/B579-1</f>
        <v/>
      </c>
      <c r="G580" s="20">
        <f>B580/MAX(B$2:B580)-1</f>
        <v/>
      </c>
      <c r="H580" s="20">
        <f>C580/C579-1</f>
        <v/>
      </c>
      <c r="I580" s="20">
        <f>C580/MAX(C$2:C580)-1</f>
        <v/>
      </c>
      <c r="J580" s="20">
        <f>D580/D579-1</f>
        <v/>
      </c>
      <c r="K580" s="20">
        <f>D580/MAX(D$2:D580)-1</f>
        <v/>
      </c>
      <c r="L580" s="20">
        <f>E580/E579-1</f>
        <v/>
      </c>
      <c r="M580" s="20">
        <f>E580/MAX(E$2:E580)-1</f>
        <v/>
      </c>
    </row>
    <row r="581">
      <c r="A581" s="11" t="n">
        <v>44531</v>
      </c>
      <c r="B581" s="19" t="n">
        <v>2.201310808805197</v>
      </c>
      <c r="C581" s="19" t="n">
        <v>1.910172167611075</v>
      </c>
      <c r="D581" s="19" t="n">
        <v>2.244548561498247</v>
      </c>
      <c r="E581" s="19" t="n">
        <v>1.453226304414943</v>
      </c>
      <c r="F581" s="20">
        <f>B581/B580-1</f>
        <v/>
      </c>
      <c r="G581" s="20">
        <f>B581/MAX(B$2:B581)-1</f>
        <v/>
      </c>
      <c r="H581" s="20">
        <f>C581/C580-1</f>
        <v/>
      </c>
      <c r="I581" s="20">
        <f>C581/MAX(C$2:C581)-1</f>
        <v/>
      </c>
      <c r="J581" s="20">
        <f>D581/D580-1</f>
        <v/>
      </c>
      <c r="K581" s="20">
        <f>D581/MAX(D$2:D581)-1</f>
        <v/>
      </c>
      <c r="L581" s="20">
        <f>E581/E580-1</f>
        <v/>
      </c>
      <c r="M581" s="20">
        <f>E581/MAX(E$2:E581)-1</f>
        <v/>
      </c>
    </row>
    <row r="582">
      <c r="A582" s="11" t="n">
        <v>44532</v>
      </c>
      <c r="B582" s="19" t="n">
        <v>2.186206406571558</v>
      </c>
      <c r="C582" s="19" t="n">
        <v>1.892621350303741</v>
      </c>
      <c r="D582" s="19" t="n">
        <v>2.240378910655131</v>
      </c>
      <c r="E582" s="19" t="n">
        <v>1.447557441869981</v>
      </c>
      <c r="F582" s="20">
        <f>B582/B581-1</f>
        <v/>
      </c>
      <c r="G582" s="20">
        <f>B582/MAX(B$2:B582)-1</f>
        <v/>
      </c>
      <c r="H582" s="20">
        <f>C582/C581-1</f>
        <v/>
      </c>
      <c r="I582" s="20">
        <f>C582/MAX(C$2:C582)-1</f>
        <v/>
      </c>
      <c r="J582" s="20">
        <f>D582/D581-1</f>
        <v/>
      </c>
      <c r="K582" s="20">
        <f>D582/MAX(D$2:D582)-1</f>
        <v/>
      </c>
      <c r="L582" s="20">
        <f>E582/E581-1</f>
        <v/>
      </c>
      <c r="M582" s="20">
        <f>E582/MAX(E$2:E582)-1</f>
        <v/>
      </c>
    </row>
    <row r="583">
      <c r="A583" s="11" t="n">
        <v>44533</v>
      </c>
      <c r="B583" s="19" t="n">
        <v>2.195454844529079</v>
      </c>
      <c r="C583" s="19" t="n">
        <v>1.90457286621903</v>
      </c>
      <c r="D583" s="19" t="n">
        <v>2.247972994848293</v>
      </c>
      <c r="E583" s="19" t="n">
        <v>1.459136949155064</v>
      </c>
      <c r="F583" s="20">
        <f>B583/B582-1</f>
        <v/>
      </c>
      <c r="G583" s="20">
        <f>B583/MAX(B$2:B583)-1</f>
        <v/>
      </c>
      <c r="H583" s="20">
        <f>C583/C582-1</f>
        <v/>
      </c>
      <c r="I583" s="20">
        <f>C583/MAX(C$2:C583)-1</f>
        <v/>
      </c>
      <c r="J583" s="20">
        <f>D583/D582-1</f>
        <v/>
      </c>
      <c r="K583" s="20">
        <f>D583/MAX(D$2:D583)-1</f>
        <v/>
      </c>
      <c r="L583" s="20">
        <f>E583/E582-1</f>
        <v/>
      </c>
      <c r="M583" s="20">
        <f>E583/MAX(E$2:E583)-1</f>
        <v/>
      </c>
    </row>
    <row r="584">
      <c r="A584" s="11" t="n">
        <v>44536</v>
      </c>
      <c r="B584" s="19" t="n">
        <v>2.168346558611853</v>
      </c>
      <c r="C584" s="19" t="n">
        <v>1.881603267738228</v>
      </c>
      <c r="D584" s="19" t="n">
        <v>2.200972983151765</v>
      </c>
      <c r="E584" s="19" t="n">
        <v>1.446441524046169</v>
      </c>
      <c r="F584" s="20">
        <f>B584/B583-1</f>
        <v/>
      </c>
      <c r="G584" s="20">
        <f>B584/MAX(B$2:B584)-1</f>
        <v/>
      </c>
      <c r="H584" s="20">
        <f>C584/C583-1</f>
        <v/>
      </c>
      <c r="I584" s="20">
        <f>C584/MAX(C$2:C584)-1</f>
        <v/>
      </c>
      <c r="J584" s="20">
        <f>D584/D583-1</f>
        <v/>
      </c>
      <c r="K584" s="20">
        <f>D584/MAX(D$2:D584)-1</f>
        <v/>
      </c>
      <c r="L584" s="20">
        <f>E584/E583-1</f>
        <v/>
      </c>
      <c r="M584" s="20">
        <f>E584/MAX(E$2:E584)-1</f>
        <v/>
      </c>
    </row>
    <row r="585">
      <c r="A585" s="11" t="n">
        <v>44537</v>
      </c>
      <c r="B585" s="19" t="n">
        <v>2.138089880323755</v>
      </c>
      <c r="C585" s="19" t="n">
        <v>1.864515415286691</v>
      </c>
      <c r="D585" s="19" t="n">
        <v>2.176965890790483</v>
      </c>
      <c r="E585" s="19" t="n">
        <v>1.441088838217954</v>
      </c>
      <c r="F585" s="20">
        <f>B585/B584-1</f>
        <v/>
      </c>
      <c r="G585" s="20">
        <f>B585/MAX(B$2:B585)-1</f>
        <v/>
      </c>
      <c r="H585" s="20">
        <f>C585/C584-1</f>
        <v/>
      </c>
      <c r="I585" s="20">
        <f>C585/MAX(C$2:C585)-1</f>
        <v/>
      </c>
      <c r="J585" s="20">
        <f>D585/D584-1</f>
        <v/>
      </c>
      <c r="K585" s="20">
        <f>D585/MAX(D$2:D585)-1</f>
        <v/>
      </c>
      <c r="L585" s="20">
        <f>E585/E584-1</f>
        <v/>
      </c>
      <c r="M585" s="20">
        <f>E585/MAX(E$2:E585)-1</f>
        <v/>
      </c>
    </row>
    <row r="586">
      <c r="A586" s="11" t="n">
        <v>44538</v>
      </c>
      <c r="B586" s="19" t="n">
        <v>2.179609606413377</v>
      </c>
      <c r="C586" s="19" t="n">
        <v>1.901600607794693</v>
      </c>
      <c r="D586" s="19" t="n">
        <v>2.213101960060297</v>
      </c>
      <c r="E586" s="19" t="n">
        <v>1.463135654690389</v>
      </c>
      <c r="F586" s="20">
        <f>B586/B585-1</f>
        <v/>
      </c>
      <c r="G586" s="20">
        <f>B586/MAX(B$2:B586)-1</f>
        <v/>
      </c>
      <c r="H586" s="20">
        <f>C586/C585-1</f>
        <v/>
      </c>
      <c r="I586" s="20">
        <f>C586/MAX(C$2:C586)-1</f>
        <v/>
      </c>
      <c r="J586" s="20">
        <f>D586/D585-1</f>
        <v/>
      </c>
      <c r="K586" s="20">
        <f>D586/MAX(D$2:D586)-1</f>
        <v/>
      </c>
      <c r="L586" s="20">
        <f>E586/E585-1</f>
        <v/>
      </c>
      <c r="M586" s="20">
        <f>E586/MAX(E$2:E586)-1</f>
        <v/>
      </c>
    </row>
    <row r="587">
      <c r="A587" s="11" t="n">
        <v>44539</v>
      </c>
      <c r="B587" s="19" t="n">
        <v>2.185053618526009</v>
      </c>
      <c r="C587" s="19" t="n">
        <v>1.916952859114623</v>
      </c>
      <c r="D587" s="19" t="n">
        <v>2.235470698354479</v>
      </c>
      <c r="E587" s="19" t="n">
        <v>1.476009626651093</v>
      </c>
      <c r="F587" s="20">
        <f>B587/B586-1</f>
        <v/>
      </c>
      <c r="G587" s="20">
        <f>B587/MAX(B$2:B587)-1</f>
        <v/>
      </c>
      <c r="H587" s="20">
        <f>C587/C586-1</f>
        <v/>
      </c>
      <c r="I587" s="20">
        <f>C587/MAX(C$2:C587)-1</f>
        <v/>
      </c>
      <c r="J587" s="20">
        <f>D587/D586-1</f>
        <v/>
      </c>
      <c r="K587" s="20">
        <f>D587/MAX(D$2:D587)-1</f>
        <v/>
      </c>
      <c r="L587" s="20">
        <f>E587/E586-1</f>
        <v/>
      </c>
      <c r="M587" s="20">
        <f>E587/MAX(E$2:E587)-1</f>
        <v/>
      </c>
    </row>
    <row r="588">
      <c r="A588" s="11" t="n">
        <v>44540</v>
      </c>
      <c r="B588" s="19" t="n">
        <v>2.189870642903216</v>
      </c>
      <c r="C588" s="19" t="n">
        <v>1.910560336586273</v>
      </c>
      <c r="D588" s="19" t="n">
        <v>2.240303303261193</v>
      </c>
      <c r="E588" s="19" t="n">
        <v>1.476303485011364</v>
      </c>
      <c r="F588" s="20">
        <f>B588/B587-1</f>
        <v/>
      </c>
      <c r="G588" s="20">
        <f>B588/MAX(B$2:B588)-1</f>
        <v/>
      </c>
      <c r="H588" s="20">
        <f>C588/C587-1</f>
        <v/>
      </c>
      <c r="I588" s="20">
        <f>C588/MAX(C$2:C588)-1</f>
        <v/>
      </c>
      <c r="J588" s="20">
        <f>D588/D587-1</f>
        <v/>
      </c>
      <c r="K588" s="20">
        <f>D588/MAX(D$2:D588)-1</f>
        <v/>
      </c>
      <c r="L588" s="20">
        <f>E588/E587-1</f>
        <v/>
      </c>
      <c r="M588" s="20">
        <f>E588/MAX(E$2:E588)-1</f>
        <v/>
      </c>
    </row>
    <row r="589">
      <c r="A589" s="11" t="n">
        <v>44543</v>
      </c>
      <c r="B589" s="19" t="n">
        <v>2.207400423953502</v>
      </c>
      <c r="C589" s="19" t="n">
        <v>1.931161430914941</v>
      </c>
      <c r="D589" s="19" t="n">
        <v>2.259796181852455</v>
      </c>
      <c r="E589" s="19" t="n">
        <v>1.483980999639187</v>
      </c>
      <c r="F589" s="20">
        <f>B589/B588-1</f>
        <v/>
      </c>
      <c r="G589" s="20">
        <f>B589/MAX(B$2:B589)-1</f>
        <v/>
      </c>
      <c r="H589" s="20">
        <f>C589/C588-1</f>
        <v/>
      </c>
      <c r="I589" s="20">
        <f>C589/MAX(C$2:C589)-1</f>
        <v/>
      </c>
      <c r="J589" s="20">
        <f>D589/D588-1</f>
        <v/>
      </c>
      <c r="K589" s="20">
        <f>D589/MAX(D$2:D589)-1</f>
        <v/>
      </c>
      <c r="L589" s="20">
        <f>E589/E588-1</f>
        <v/>
      </c>
      <c r="M589" s="20">
        <f>E589/MAX(E$2:E589)-1</f>
        <v/>
      </c>
    </row>
    <row r="590">
      <c r="A590" s="11" t="n">
        <v>44544</v>
      </c>
      <c r="B590" s="19" t="n">
        <v>2.209599445157967</v>
      </c>
      <c r="C590" s="19" t="n">
        <v>1.940517601923817</v>
      </c>
      <c r="D590" s="19" t="n">
        <v>2.258567012416479</v>
      </c>
      <c r="E590" s="19" t="n">
        <v>1.478937051075559</v>
      </c>
      <c r="F590" s="20">
        <f>B590/B589-1</f>
        <v/>
      </c>
      <c r="G590" s="20">
        <f>B590/MAX(B$2:B590)-1</f>
        <v/>
      </c>
      <c r="H590" s="20">
        <f>C590/C589-1</f>
        <v/>
      </c>
      <c r="I590" s="20">
        <f>C590/MAX(C$2:C590)-1</f>
        <v/>
      </c>
      <c r="J590" s="20">
        <f>D590/D589-1</f>
        <v/>
      </c>
      <c r="K590" s="20">
        <f>D590/MAX(D$2:D590)-1</f>
        <v/>
      </c>
      <c r="L590" s="20">
        <f>E590/E589-1</f>
        <v/>
      </c>
      <c r="M590" s="20">
        <f>E590/MAX(E$2:E590)-1</f>
        <v/>
      </c>
    </row>
    <row r="591">
      <c r="A591" s="11" t="n">
        <v>44545</v>
      </c>
      <c r="B591" s="19" t="n">
        <v>2.198802144211853</v>
      </c>
      <c r="C591" s="19" t="n">
        <v>1.925548757654853</v>
      </c>
      <c r="D591" s="19" t="n">
        <v>2.238985472847026</v>
      </c>
      <c r="E591" s="19" t="n">
        <v>1.471248377269498</v>
      </c>
      <c r="F591" s="20">
        <f>B591/B590-1</f>
        <v/>
      </c>
      <c r="G591" s="20">
        <f>B591/MAX(B$2:B591)-1</f>
        <v/>
      </c>
      <c r="H591" s="20">
        <f>C591/C590-1</f>
        <v/>
      </c>
      <c r="I591" s="20">
        <f>C591/MAX(C$2:C591)-1</f>
        <v/>
      </c>
      <c r="J591" s="20">
        <f>D591/D590-1</f>
        <v/>
      </c>
      <c r="K591" s="20">
        <f>D591/MAX(D$2:D591)-1</f>
        <v/>
      </c>
      <c r="L591" s="20">
        <f>E591/E590-1</f>
        <v/>
      </c>
      <c r="M591" s="20">
        <f>E591/MAX(E$2:E591)-1</f>
        <v/>
      </c>
    </row>
    <row r="592">
      <c r="A592" s="11" t="n">
        <v>44546</v>
      </c>
      <c r="B592" s="19" t="n">
        <v>2.208920670079906</v>
      </c>
      <c r="C592" s="19" t="n">
        <v>1.933126085412086</v>
      </c>
      <c r="D592" s="19" t="n">
        <v>2.255587693365102</v>
      </c>
      <c r="E592" s="19" t="n">
        <v>1.480517934659292</v>
      </c>
      <c r="F592" s="20">
        <f>B592/B591-1</f>
        <v/>
      </c>
      <c r="G592" s="20">
        <f>B592/MAX(B$2:B592)-1</f>
        <v/>
      </c>
      <c r="H592" s="20">
        <f>C592/C591-1</f>
        <v/>
      </c>
      <c r="I592" s="20">
        <f>C592/MAX(C$2:C592)-1</f>
        <v/>
      </c>
      <c r="J592" s="20">
        <f>D592/D591-1</f>
        <v/>
      </c>
      <c r="K592" s="20">
        <f>D592/MAX(D$2:D592)-1</f>
        <v/>
      </c>
      <c r="L592" s="20">
        <f>E592/E591-1</f>
        <v/>
      </c>
      <c r="M592" s="20">
        <f>E592/MAX(E$2:E592)-1</f>
        <v/>
      </c>
    </row>
    <row r="593">
      <c r="A593" s="11" t="n">
        <v>44547</v>
      </c>
      <c r="B593" s="19" t="n">
        <v>2.177437626886448</v>
      </c>
      <c r="C593" s="19" t="n">
        <v>1.901103395564628</v>
      </c>
      <c r="D593" s="19" t="n">
        <v>2.219328648992157</v>
      </c>
      <c r="E593" s="19" t="n">
        <v>1.461123282881449</v>
      </c>
      <c r="F593" s="20">
        <f>B593/B592-1</f>
        <v/>
      </c>
      <c r="G593" s="20">
        <f>B593/MAX(B$2:B593)-1</f>
        <v/>
      </c>
      <c r="H593" s="20">
        <f>C593/C592-1</f>
        <v/>
      </c>
      <c r="I593" s="20">
        <f>C593/MAX(C$2:C593)-1</f>
        <v/>
      </c>
      <c r="J593" s="20">
        <f>D593/D592-1</f>
        <v/>
      </c>
      <c r="K593" s="20">
        <f>D593/MAX(D$2:D593)-1</f>
        <v/>
      </c>
      <c r="L593" s="20">
        <f>E593/E592-1</f>
        <v/>
      </c>
      <c r="M593" s="20">
        <f>E593/MAX(E$2:E593)-1</f>
        <v/>
      </c>
    </row>
    <row r="594">
      <c r="A594" s="11" t="n">
        <v>44550</v>
      </c>
      <c r="B594" s="19" t="n">
        <v>2.125673922542436</v>
      </c>
      <c r="C594" s="19" t="n">
        <v>1.864653318688412</v>
      </c>
      <c r="D594" s="19" t="n">
        <v>2.153586856772519</v>
      </c>
      <c r="E594" s="19" t="n">
        <v>1.439061587504696</v>
      </c>
      <c r="F594" s="20">
        <f>B594/B593-1</f>
        <v/>
      </c>
      <c r="G594" s="20">
        <f>B594/MAX(B$2:B594)-1</f>
        <v/>
      </c>
      <c r="H594" s="20">
        <f>C594/C593-1</f>
        <v/>
      </c>
      <c r="I594" s="20">
        <f>C594/MAX(C$2:C594)-1</f>
        <v/>
      </c>
      <c r="J594" s="20">
        <f>D594/D593-1</f>
        <v/>
      </c>
      <c r="K594" s="20">
        <f>D594/MAX(D$2:D594)-1</f>
        <v/>
      </c>
      <c r="L594" s="20">
        <f>E594/E593-1</f>
        <v/>
      </c>
      <c r="M594" s="20">
        <f>E594/MAX(E$2:E594)-1</f>
        <v/>
      </c>
    </row>
    <row r="595">
      <c r="A595" s="11" t="n">
        <v>44551</v>
      </c>
      <c r="B595" s="19" t="n">
        <v>2.143365979594603</v>
      </c>
      <c r="C595" s="19" t="n">
        <v>1.885696598567142</v>
      </c>
      <c r="D595" s="19" t="n">
        <v>2.165104189250606</v>
      </c>
      <c r="E595" s="19" t="n">
        <v>1.453163069071594</v>
      </c>
      <c r="F595" s="20">
        <f>B595/B594-1</f>
        <v/>
      </c>
      <c r="G595" s="20">
        <f>B595/MAX(B$2:B595)-1</f>
        <v/>
      </c>
      <c r="H595" s="20">
        <f>C595/C594-1</f>
        <v/>
      </c>
      <c r="I595" s="20">
        <f>C595/MAX(C$2:C595)-1</f>
        <v/>
      </c>
      <c r="J595" s="20">
        <f>D595/D594-1</f>
        <v/>
      </c>
      <c r="K595" s="20">
        <f>D595/MAX(D$2:D595)-1</f>
        <v/>
      </c>
      <c r="L595" s="20">
        <f>E595/E594-1</f>
        <v/>
      </c>
      <c r="M595" s="20">
        <f>E595/MAX(E$2:E595)-1</f>
        <v/>
      </c>
    </row>
    <row r="596">
      <c r="A596" s="11" t="n">
        <v>44552</v>
      </c>
      <c r="B596" s="19" t="n">
        <v>2.159946570302207</v>
      </c>
      <c r="C596" s="19" t="n">
        <v>1.8968459467006</v>
      </c>
      <c r="D596" s="19" t="n">
        <v>2.176910639233375</v>
      </c>
      <c r="E596" s="19" t="n">
        <v>1.457667657353713</v>
      </c>
      <c r="F596" s="20">
        <f>B596/B595-1</f>
        <v/>
      </c>
      <c r="G596" s="20">
        <f>B596/MAX(B$2:B596)-1</f>
        <v/>
      </c>
      <c r="H596" s="20">
        <f>C596/C595-1</f>
        <v/>
      </c>
      <c r="I596" s="20">
        <f>C596/MAX(C$2:C596)-1</f>
        <v/>
      </c>
      <c r="J596" s="20">
        <f>D596/D595-1</f>
        <v/>
      </c>
      <c r="K596" s="20">
        <f>D596/MAX(D$2:D596)-1</f>
        <v/>
      </c>
      <c r="L596" s="20">
        <f>E596/E595-1</f>
        <v/>
      </c>
      <c r="M596" s="20">
        <f>E596/MAX(E$2:E596)-1</f>
        <v/>
      </c>
    </row>
    <row r="597">
      <c r="A597" s="11" t="n">
        <v>44553</v>
      </c>
      <c r="B597" s="19" t="n">
        <v>2.167959900900795</v>
      </c>
      <c r="C597" s="19" t="n">
        <v>1.908612950076996</v>
      </c>
      <c r="D597" s="19" t="n">
        <v>2.18014456779938</v>
      </c>
      <c r="E597" s="19" t="n">
        <v>1.462042055223054</v>
      </c>
      <c r="F597" s="20">
        <f>B597/B596-1</f>
        <v/>
      </c>
      <c r="G597" s="20">
        <f>B597/MAX(B$2:B597)-1</f>
        <v/>
      </c>
      <c r="H597" s="20">
        <f>C597/C596-1</f>
        <v/>
      </c>
      <c r="I597" s="20">
        <f>C597/MAX(C$2:C597)-1</f>
        <v/>
      </c>
      <c r="J597" s="20">
        <f>D597/D596-1</f>
        <v/>
      </c>
      <c r="K597" s="20">
        <f>D597/MAX(D$2:D597)-1</f>
        <v/>
      </c>
      <c r="L597" s="20">
        <f>E597/E596-1</f>
        <v/>
      </c>
      <c r="M597" s="20">
        <f>E597/MAX(E$2:E597)-1</f>
        <v/>
      </c>
    </row>
    <row r="598">
      <c r="A598" s="11" t="n">
        <v>44554</v>
      </c>
      <c r="B598" s="19" t="n">
        <v>2.134482588928897</v>
      </c>
      <c r="C598" s="19" t="n">
        <v>1.900292521638496</v>
      </c>
      <c r="D598" s="19" t="n">
        <v>2.130646087152579</v>
      </c>
      <c r="E598" s="19" t="n">
        <v>1.446106748699026</v>
      </c>
      <c r="F598" s="20">
        <f>B598/B597-1</f>
        <v/>
      </c>
      <c r="G598" s="20">
        <f>B598/MAX(B$2:B598)-1</f>
        <v/>
      </c>
      <c r="H598" s="20">
        <f>C598/C597-1</f>
        <v/>
      </c>
      <c r="I598" s="20">
        <f>C598/MAX(C$2:C598)-1</f>
        <v/>
      </c>
      <c r="J598" s="20">
        <f>D598/D597-1</f>
        <v/>
      </c>
      <c r="K598" s="20">
        <f>D598/MAX(D$2:D598)-1</f>
        <v/>
      </c>
      <c r="L598" s="20">
        <f>E598/E597-1</f>
        <v/>
      </c>
      <c r="M598" s="20">
        <f>E598/MAX(E$2:E598)-1</f>
        <v/>
      </c>
    </row>
    <row r="599">
      <c r="A599" s="11" t="n">
        <v>44557</v>
      </c>
      <c r="B599" s="19" t="n">
        <v>2.130123887624396</v>
      </c>
      <c r="C599" s="19" t="n">
        <v>1.890676561207682</v>
      </c>
      <c r="D599" s="19" t="n">
        <v>2.128516995863629</v>
      </c>
      <c r="E599" s="19" t="n">
        <v>1.446106748699026</v>
      </c>
      <c r="F599" s="20">
        <f>B599/B598-1</f>
        <v/>
      </c>
      <c r="G599" s="20">
        <f>B599/MAX(B$2:B599)-1</f>
        <v/>
      </c>
      <c r="H599" s="20">
        <f>C599/C598-1</f>
        <v/>
      </c>
      <c r="I599" s="20">
        <f>C599/MAX(C$2:C599)-1</f>
        <v/>
      </c>
      <c r="J599" s="20">
        <f>D599/D598-1</f>
        <v/>
      </c>
      <c r="K599" s="20">
        <f>D599/MAX(D$2:D599)-1</f>
        <v/>
      </c>
      <c r="L599" s="20">
        <f>E599/E598-1</f>
        <v/>
      </c>
      <c r="M599" s="20">
        <f>E599/MAX(E$2:E599)-1</f>
        <v/>
      </c>
    </row>
    <row r="600">
      <c r="A600" s="11" t="n">
        <v>44558</v>
      </c>
      <c r="B600" s="19" t="n">
        <v>2.147976894895792</v>
      </c>
      <c r="C600" s="19" t="n">
        <v>1.903958337492</v>
      </c>
      <c r="D600" s="19" t="n">
        <v>2.150971681024425</v>
      </c>
      <c r="E600" s="19" t="n">
        <v>1.456808400629378</v>
      </c>
      <c r="F600" s="20">
        <f>B600/B599-1</f>
        <v/>
      </c>
      <c r="G600" s="20">
        <f>B600/MAX(B$2:B600)-1</f>
        <v/>
      </c>
      <c r="H600" s="20">
        <f>C600/C599-1</f>
        <v/>
      </c>
      <c r="I600" s="20">
        <f>C600/MAX(C$2:C600)-1</f>
        <v/>
      </c>
      <c r="J600" s="20">
        <f>D600/D599-1</f>
        <v/>
      </c>
      <c r="K600" s="20">
        <f>D600/MAX(D$2:D600)-1</f>
        <v/>
      </c>
      <c r="L600" s="20">
        <f>E600/E599-1</f>
        <v/>
      </c>
      <c r="M600" s="20">
        <f>E600/MAX(E$2:E600)-1</f>
        <v/>
      </c>
    </row>
    <row r="601">
      <c r="A601" s="11" t="n">
        <v>44559</v>
      </c>
      <c r="B601" s="19" t="n">
        <v>2.132650210169504</v>
      </c>
      <c r="C601" s="19" t="n">
        <v>1.886850523438888</v>
      </c>
      <c r="D601" s="19" t="n">
        <v>2.120817836779404</v>
      </c>
      <c r="E601" s="19" t="n">
        <v>1.443990224559863</v>
      </c>
      <c r="F601" s="20">
        <f>B601/B600-1</f>
        <v/>
      </c>
      <c r="G601" s="20">
        <f>B601/MAX(B$2:B601)-1</f>
        <v/>
      </c>
      <c r="H601" s="20">
        <f>C601/C600-1</f>
        <v/>
      </c>
      <c r="I601" s="20">
        <f>C601/MAX(C$2:C601)-1</f>
        <v/>
      </c>
      <c r="J601" s="20">
        <f>D601/D600-1</f>
        <v/>
      </c>
      <c r="K601" s="20">
        <f>D601/MAX(D$2:D601)-1</f>
        <v/>
      </c>
      <c r="L601" s="20">
        <f>E601/E600-1</f>
        <v/>
      </c>
      <c r="M601" s="20">
        <f>E601/MAX(E$2:E601)-1</f>
        <v/>
      </c>
    </row>
    <row r="602">
      <c r="A602" s="11" t="n">
        <v>44560</v>
      </c>
      <c r="B602" s="19" t="n">
        <v>2.153025762652692</v>
      </c>
      <c r="C602" s="19" t="n">
        <v>1.909590972353663</v>
      </c>
      <c r="D602" s="19" t="n">
        <v>2.147246562884641</v>
      </c>
      <c r="E602" s="19" t="n">
        <v>1.456265320621789</v>
      </c>
      <c r="F602" s="20">
        <f>B602/B601-1</f>
        <v/>
      </c>
      <c r="G602" s="20">
        <f>B602/MAX(B$2:B602)-1</f>
        <v/>
      </c>
      <c r="H602" s="20">
        <f>C602/C601-1</f>
        <v/>
      </c>
      <c r="I602" s="20">
        <f>C602/MAX(C$2:C602)-1</f>
        <v/>
      </c>
      <c r="J602" s="20">
        <f>D602/D601-1</f>
        <v/>
      </c>
      <c r="K602" s="20">
        <f>D602/MAX(D$2:D602)-1</f>
        <v/>
      </c>
      <c r="L602" s="20">
        <f>E602/E601-1</f>
        <v/>
      </c>
      <c r="M602" s="20">
        <f>E602/MAX(E$2:E602)-1</f>
        <v/>
      </c>
    </row>
    <row r="603">
      <c r="A603" s="11" t="n">
        <v>44561</v>
      </c>
      <c r="B603" s="19" t="n">
        <v>2.168778241007679</v>
      </c>
      <c r="C603" s="19" t="n">
        <v>1.925338751986239</v>
      </c>
      <c r="D603" s="19" t="n">
        <v>2.147167595162083</v>
      </c>
      <c r="E603" s="19" t="n">
        <v>1.465148026499329</v>
      </c>
      <c r="F603" s="20">
        <f>B603/B602-1</f>
        <v/>
      </c>
      <c r="G603" s="20">
        <f>B603/MAX(B$2:B603)-1</f>
        <v/>
      </c>
      <c r="H603" s="20">
        <f>C603/C602-1</f>
        <v/>
      </c>
      <c r="I603" s="20">
        <f>C603/MAX(C$2:C603)-1</f>
        <v/>
      </c>
      <c r="J603" s="20">
        <f>D603/D602-1</f>
        <v/>
      </c>
      <c r="K603" s="20">
        <f>D603/MAX(D$2:D603)-1</f>
        <v/>
      </c>
      <c r="L603" s="20">
        <f>E603/E602-1</f>
        <v/>
      </c>
      <c r="M603" s="20">
        <f>E603/MAX(E$2:E603)-1</f>
        <v/>
      </c>
    </row>
    <row r="604">
      <c r="A604" s="11" t="n">
        <v>44565</v>
      </c>
      <c r="B604" s="19" t="n">
        <v>2.147642476668987</v>
      </c>
      <c r="C604" s="19" t="n">
        <v>1.915515190899049</v>
      </c>
      <c r="D604" s="19" t="n">
        <v>2.100308135672234</v>
      </c>
      <c r="E604" s="19" t="n">
        <v>1.461777954671418</v>
      </c>
      <c r="F604" s="20">
        <f>B604/B603-1</f>
        <v/>
      </c>
      <c r="G604" s="20">
        <f>B604/MAX(B$2:B604)-1</f>
        <v/>
      </c>
      <c r="H604" s="20">
        <f>C604/C603-1</f>
        <v/>
      </c>
      <c r="I604" s="20">
        <f>C604/MAX(C$2:C604)-1</f>
        <v/>
      </c>
      <c r="J604" s="20">
        <f>D604/D603-1</f>
        <v/>
      </c>
      <c r="K604" s="20">
        <f>D604/MAX(D$2:D604)-1</f>
        <v/>
      </c>
      <c r="L604" s="20">
        <f>E604/E603-1</f>
        <v/>
      </c>
      <c r="M604" s="20">
        <f>E604/MAX(E$2:E604)-1</f>
        <v/>
      </c>
    </row>
    <row r="605">
      <c r="A605" s="11" t="n">
        <v>44566</v>
      </c>
      <c r="B605" s="19" t="n">
        <v>2.100953517286583</v>
      </c>
      <c r="C605" s="19" t="n">
        <v>1.87385604991651</v>
      </c>
      <c r="D605" s="19" t="n">
        <v>2.043019831690187</v>
      </c>
      <c r="E605" s="19" t="n">
        <v>1.440289097110889</v>
      </c>
      <c r="F605" s="20">
        <f>B605/B604-1</f>
        <v/>
      </c>
      <c r="G605" s="20">
        <f>B605/MAX(B$2:B605)-1</f>
        <v/>
      </c>
      <c r="H605" s="20">
        <f>C605/C604-1</f>
        <v/>
      </c>
      <c r="I605" s="20">
        <f>C605/MAX(C$2:C605)-1</f>
        <v/>
      </c>
      <c r="J605" s="20">
        <f>D605/D604-1</f>
        <v/>
      </c>
      <c r="K605" s="20">
        <f>D605/MAX(D$2:D605)-1</f>
        <v/>
      </c>
      <c r="L605" s="20">
        <f>E605/E604-1</f>
        <v/>
      </c>
      <c r="M605" s="20">
        <f>E605/MAX(E$2:E605)-1</f>
        <v/>
      </c>
    </row>
    <row r="606">
      <c r="A606" s="11" t="n">
        <v>44567</v>
      </c>
      <c r="B606" s="19" t="n">
        <v>2.094048832710826</v>
      </c>
      <c r="C606" s="19" t="n">
        <v>1.859168592079381</v>
      </c>
      <c r="D606" s="19" t="n">
        <v>2.021030745908299</v>
      </c>
      <c r="E606" s="19" t="n">
        <v>1.437119890491264</v>
      </c>
      <c r="F606" s="20">
        <f>B606/B605-1</f>
        <v/>
      </c>
      <c r="G606" s="20">
        <f>B606/MAX(B$2:B606)-1</f>
        <v/>
      </c>
      <c r="H606" s="20">
        <f>C606/C605-1</f>
        <v/>
      </c>
      <c r="I606" s="20">
        <f>C606/MAX(C$2:C606)-1</f>
        <v/>
      </c>
      <c r="J606" s="20">
        <f>D606/D605-1</f>
        <v/>
      </c>
      <c r="K606" s="20">
        <f>D606/MAX(D$2:D606)-1</f>
        <v/>
      </c>
      <c r="L606" s="20">
        <f>E606/E605-1</f>
        <v/>
      </c>
      <c r="M606" s="20">
        <f>E606/MAX(E$2:E606)-1</f>
        <v/>
      </c>
    </row>
    <row r="607">
      <c r="A607" s="11" t="n">
        <v>44568</v>
      </c>
      <c r="B607" s="19" t="n">
        <v>2.072270404078228</v>
      </c>
      <c r="C607" s="19" t="n">
        <v>1.846239967792076</v>
      </c>
      <c r="D607" s="19" t="n">
        <v>2.00125740912072</v>
      </c>
      <c r="E607" s="19" t="n">
        <v>1.426053705405134</v>
      </c>
      <c r="F607" s="20">
        <f>B607/B606-1</f>
        <v/>
      </c>
      <c r="G607" s="20">
        <f>B607/MAX(B$2:B607)-1</f>
        <v/>
      </c>
      <c r="H607" s="20">
        <f>C607/C606-1</f>
        <v/>
      </c>
      <c r="I607" s="20">
        <f>C607/MAX(C$2:C607)-1</f>
        <v/>
      </c>
      <c r="J607" s="20">
        <f>D607/D606-1</f>
        <v/>
      </c>
      <c r="K607" s="20">
        <f>D607/MAX(D$2:D607)-1</f>
        <v/>
      </c>
      <c r="L607" s="20">
        <f>E607/E606-1</f>
        <v/>
      </c>
      <c r="M607" s="20">
        <f>E607/MAX(E$2:E607)-1</f>
        <v/>
      </c>
    </row>
    <row r="608">
      <c r="A608" s="11" t="n">
        <v>44571</v>
      </c>
      <c r="B608" s="19" t="n">
        <v>2.080725541589938</v>
      </c>
      <c r="C608" s="19" t="n">
        <v>1.862821661368024</v>
      </c>
      <c r="D608" s="19" t="n">
        <v>2.000487247649822</v>
      </c>
      <c r="E608" s="19" t="n">
        <v>1.433043070708273</v>
      </c>
      <c r="F608" s="20">
        <f>B608/B607-1</f>
        <v/>
      </c>
      <c r="G608" s="20">
        <f>B608/MAX(B$2:B608)-1</f>
        <v/>
      </c>
      <c r="H608" s="20">
        <f>C608/C607-1</f>
        <v/>
      </c>
      <c r="I608" s="20">
        <f>C608/MAX(C$2:C608)-1</f>
        <v/>
      </c>
      <c r="J608" s="20">
        <f>D608/D607-1</f>
        <v/>
      </c>
      <c r="K608" s="20">
        <f>D608/MAX(D$2:D608)-1</f>
        <v/>
      </c>
      <c r="L608" s="20">
        <f>E608/E607-1</f>
        <v/>
      </c>
      <c r="M608" s="20">
        <f>E608/MAX(E$2:E608)-1</f>
        <v/>
      </c>
    </row>
    <row r="609">
      <c r="A609" s="11" t="n">
        <v>44572</v>
      </c>
      <c r="B609" s="19" t="n">
        <v>2.052098759373994</v>
      </c>
      <c r="C609" s="19" t="n">
        <v>1.835149638658936</v>
      </c>
      <c r="D609" s="19" t="n">
        <v>1.974938346047546</v>
      </c>
      <c r="E609" s="19" t="n">
        <v>1.420433199299204</v>
      </c>
      <c r="F609" s="20">
        <f>B609/B608-1</f>
        <v/>
      </c>
      <c r="G609" s="20">
        <f>B609/MAX(B$2:B609)-1</f>
        <v/>
      </c>
      <c r="H609" s="20">
        <f>C609/C608-1</f>
        <v/>
      </c>
      <c r="I609" s="20">
        <f>C609/MAX(C$2:C609)-1</f>
        <v/>
      </c>
      <c r="J609" s="20">
        <f>D609/D608-1</f>
        <v/>
      </c>
      <c r="K609" s="20">
        <f>D609/MAX(D$2:D609)-1</f>
        <v/>
      </c>
      <c r="L609" s="20">
        <f>E609/E608-1</f>
        <v/>
      </c>
      <c r="M609" s="20">
        <f>E609/MAX(E$2:E609)-1</f>
        <v/>
      </c>
    </row>
    <row r="610">
      <c r="A610" s="11" t="n">
        <v>44573</v>
      </c>
      <c r="B610" s="19" t="n">
        <v>2.082422556524223</v>
      </c>
      <c r="C610" s="19" t="n">
        <v>1.861045078827884</v>
      </c>
      <c r="D610" s="19" t="n">
        <v>2.026979432268603</v>
      </c>
      <c r="E610" s="19" t="n">
        <v>1.437335634603868</v>
      </c>
      <c r="F610" s="20">
        <f>B610/B609-1</f>
        <v/>
      </c>
      <c r="G610" s="20">
        <f>B610/MAX(B$2:B610)-1</f>
        <v/>
      </c>
      <c r="H610" s="20">
        <f>C610/C609-1</f>
        <v/>
      </c>
      <c r="I610" s="20">
        <f>C610/MAX(C$2:C610)-1</f>
        <v/>
      </c>
      <c r="J610" s="20">
        <f>D610/D609-1</f>
        <v/>
      </c>
      <c r="K610" s="20">
        <f>D610/MAX(D$2:D610)-1</f>
        <v/>
      </c>
      <c r="L610" s="20">
        <f>E610/E609-1</f>
        <v/>
      </c>
      <c r="M610" s="20">
        <f>E610/MAX(E$2:E610)-1</f>
        <v/>
      </c>
    </row>
    <row r="611">
      <c r="A611" s="11" t="n">
        <v>44574</v>
      </c>
      <c r="B611" s="19" t="n">
        <v>2.050466317590542</v>
      </c>
      <c r="C611" s="19" t="n">
        <v>1.826742725980361</v>
      </c>
      <c r="D611" s="19" t="n">
        <v>1.992378516204248</v>
      </c>
      <c r="E611" s="19" t="n">
        <v>1.415631032930735</v>
      </c>
      <c r="F611" s="20">
        <f>B611/B610-1</f>
        <v/>
      </c>
      <c r="G611" s="20">
        <f>B611/MAX(B$2:B611)-1</f>
        <v/>
      </c>
      <c r="H611" s="20">
        <f>C611/C610-1</f>
        <v/>
      </c>
      <c r="I611" s="20">
        <f>C611/MAX(C$2:C611)-1</f>
        <v/>
      </c>
      <c r="J611" s="20">
        <f>D611/D610-1</f>
        <v/>
      </c>
      <c r="K611" s="20">
        <f>D611/MAX(D$2:D611)-1</f>
        <v/>
      </c>
      <c r="L611" s="20">
        <f>E611/E610-1</f>
        <v/>
      </c>
      <c r="M611" s="20">
        <f>E611/MAX(E$2:E611)-1</f>
        <v/>
      </c>
    </row>
    <row r="612">
      <c r="A612" s="11" t="n">
        <v>44575</v>
      </c>
      <c r="B612" s="19" t="n">
        <v>2.066034702999386</v>
      </c>
      <c r="C612" s="19" t="n">
        <v>1.840051438401744</v>
      </c>
      <c r="D612" s="19" t="n">
        <v>2.015814417321926</v>
      </c>
      <c r="E612" s="19" t="n">
        <v>1.410252309019964</v>
      </c>
      <c r="F612" s="20">
        <f>B612/B611-1</f>
        <v/>
      </c>
      <c r="G612" s="20">
        <f>B612/MAX(B$2:B612)-1</f>
        <v/>
      </c>
      <c r="H612" s="20">
        <f>C612/C611-1</f>
        <v/>
      </c>
      <c r="I612" s="20">
        <f>C612/MAX(C$2:C612)-1</f>
        <v/>
      </c>
      <c r="J612" s="20">
        <f>D612/D611-1</f>
        <v/>
      </c>
      <c r="K612" s="20">
        <f>D612/MAX(D$2:D612)-1</f>
        <v/>
      </c>
      <c r="L612" s="20">
        <f>E612/E611-1</f>
        <v/>
      </c>
      <c r="M612" s="20">
        <f>E612/MAX(E$2:E612)-1</f>
        <v/>
      </c>
    </row>
    <row r="613">
      <c r="A613" s="11" t="n">
        <v>44578</v>
      </c>
      <c r="B613" s="19" t="n">
        <v>2.090939625080352</v>
      </c>
      <c r="C613" s="19" t="n">
        <v>1.864217049468456</v>
      </c>
      <c r="D613" s="19" t="n">
        <v>2.048771551096026</v>
      </c>
      <c r="E613" s="19" t="n">
        <v>1.426753013908056</v>
      </c>
      <c r="F613" s="20">
        <f>B613/B612-1</f>
        <v/>
      </c>
      <c r="G613" s="20">
        <f>B613/MAX(B$2:B613)-1</f>
        <v/>
      </c>
      <c r="H613" s="20">
        <f>C613/C612-1</f>
        <v/>
      </c>
      <c r="I613" s="20">
        <f>C613/MAX(C$2:C613)-1</f>
        <v/>
      </c>
      <c r="J613" s="20">
        <f>D613/D612-1</f>
        <v/>
      </c>
      <c r="K613" s="20">
        <f>D613/MAX(D$2:D613)-1</f>
        <v/>
      </c>
      <c r="L613" s="20">
        <f>E613/E612-1</f>
        <v/>
      </c>
      <c r="M613" s="20">
        <f>E613/MAX(E$2:E613)-1</f>
        <v/>
      </c>
    </row>
    <row r="614">
      <c r="A614" s="11" t="n">
        <v>44579</v>
      </c>
      <c r="B614" s="19" t="n">
        <v>2.092227107154301</v>
      </c>
      <c r="C614" s="19" t="n">
        <v>1.868490756215213</v>
      </c>
      <c r="D614" s="19" t="n">
        <v>2.031921958694194</v>
      </c>
      <c r="E614" s="19" t="n">
        <v>1.428609157221662</v>
      </c>
      <c r="F614" s="20">
        <f>B614/B613-1</f>
        <v/>
      </c>
      <c r="G614" s="20">
        <f>B614/MAX(B$2:B614)-1</f>
        <v/>
      </c>
      <c r="H614" s="20">
        <f>C614/C613-1</f>
        <v/>
      </c>
      <c r="I614" s="20">
        <f>C614/MAX(C$2:C614)-1</f>
        <v/>
      </c>
      <c r="J614" s="20">
        <f>D614/D613-1</f>
        <v/>
      </c>
      <c r="K614" s="20">
        <f>D614/MAX(D$2:D614)-1</f>
        <v/>
      </c>
      <c r="L614" s="20">
        <f>E614/E613-1</f>
        <v/>
      </c>
      <c r="M614" s="20">
        <f>E614/MAX(E$2:E614)-1</f>
        <v/>
      </c>
    </row>
    <row r="615">
      <c r="A615" s="11" t="n">
        <v>44580</v>
      </c>
      <c r="B615" s="19" t="n">
        <v>2.078086399582214</v>
      </c>
      <c r="C615" s="19" t="n">
        <v>1.848437716075318</v>
      </c>
      <c r="D615" s="19" t="n">
        <v>1.987748500340266</v>
      </c>
      <c r="E615" s="19" t="n">
        <v>1.418893232702344</v>
      </c>
      <c r="F615" s="20">
        <f>B615/B614-1</f>
        <v/>
      </c>
      <c r="G615" s="20">
        <f>B615/MAX(B$2:B615)-1</f>
        <v/>
      </c>
      <c r="H615" s="20">
        <f>C615/C614-1</f>
        <v/>
      </c>
      <c r="I615" s="20">
        <f>C615/MAX(C$2:C615)-1</f>
        <v/>
      </c>
      <c r="J615" s="20">
        <f>D615/D614-1</f>
        <v/>
      </c>
      <c r="K615" s="20">
        <f>D615/MAX(D$2:D615)-1</f>
        <v/>
      </c>
      <c r="L615" s="20">
        <f>E615/E614-1</f>
        <v/>
      </c>
      <c r="M615" s="20">
        <f>E615/MAX(E$2:E615)-1</f>
        <v/>
      </c>
    </row>
    <row r="616">
      <c r="A616" s="11" t="n">
        <v>44581</v>
      </c>
      <c r="B616" s="19" t="n">
        <v>2.071155647929199</v>
      </c>
      <c r="C616" s="19" t="n">
        <v>1.846814140413753</v>
      </c>
      <c r="D616" s="19" t="n">
        <v>1.98129770333817</v>
      </c>
      <c r="E616" s="19" t="n">
        <v>1.411513296160871</v>
      </c>
      <c r="F616" s="20">
        <f>B616/B615-1</f>
        <v/>
      </c>
      <c r="G616" s="20">
        <f>B616/MAX(B$2:B616)-1</f>
        <v/>
      </c>
      <c r="H616" s="20">
        <f>C616/C615-1</f>
        <v/>
      </c>
      <c r="I616" s="20">
        <f>C616/MAX(C$2:C616)-1</f>
        <v/>
      </c>
      <c r="J616" s="20">
        <f>D616/D615-1</f>
        <v/>
      </c>
      <c r="K616" s="20">
        <f>D616/MAX(D$2:D616)-1</f>
        <v/>
      </c>
      <c r="L616" s="20">
        <f>E616/E615-1</f>
        <v/>
      </c>
      <c r="M616" s="20">
        <f>E616/MAX(E$2:E616)-1</f>
        <v/>
      </c>
    </row>
    <row r="617">
      <c r="A617" s="11" t="n">
        <v>44582</v>
      </c>
      <c r="B617" s="19" t="n">
        <v>2.045383276816319</v>
      </c>
      <c r="C617" s="19" t="n">
        <v>1.812793847401492</v>
      </c>
      <c r="D617" s="19" t="n">
        <v>1.961061610526669</v>
      </c>
      <c r="E617" s="19" t="n">
        <v>1.396411208278622</v>
      </c>
      <c r="F617" s="20">
        <f>B617/B616-1</f>
        <v/>
      </c>
      <c r="G617" s="20">
        <f>B617/MAX(B$2:B617)-1</f>
        <v/>
      </c>
      <c r="H617" s="20">
        <f>C617/C616-1</f>
        <v/>
      </c>
      <c r="I617" s="20">
        <f>C617/MAX(C$2:C617)-1</f>
        <v/>
      </c>
      <c r="J617" s="20">
        <f>D617/D616-1</f>
        <v/>
      </c>
      <c r="K617" s="20">
        <f>D617/MAX(D$2:D617)-1</f>
        <v/>
      </c>
      <c r="L617" s="20">
        <f>E617/E616-1</f>
        <v/>
      </c>
      <c r="M617" s="20">
        <f>E617/MAX(E$2:E617)-1</f>
        <v/>
      </c>
    </row>
    <row r="618">
      <c r="A618" s="11" t="n">
        <v>44585</v>
      </c>
      <c r="B618" s="19" t="n">
        <v>2.046588694817876</v>
      </c>
      <c r="C618" s="19" t="n">
        <v>1.812763784748519</v>
      </c>
      <c r="D618" s="19" t="n">
        <v>1.975119480684476</v>
      </c>
      <c r="E618" s="19" t="n">
        <v>1.399063372973214</v>
      </c>
      <c r="F618" s="20">
        <f>B618/B617-1</f>
        <v/>
      </c>
      <c r="G618" s="20">
        <f>B618/MAX(B$2:B618)-1</f>
        <v/>
      </c>
      <c r="H618" s="20">
        <f>C618/C617-1</f>
        <v/>
      </c>
      <c r="I618" s="20">
        <f>C618/MAX(C$2:C618)-1</f>
        <v/>
      </c>
      <c r="J618" s="20">
        <f>D618/D617-1</f>
        <v/>
      </c>
      <c r="K618" s="20">
        <f>D618/MAX(D$2:D618)-1</f>
        <v/>
      </c>
      <c r="L618" s="20">
        <f>E618/E617-1</f>
        <v/>
      </c>
      <c r="M618" s="20">
        <f>E618/MAX(E$2:E618)-1</f>
        <v/>
      </c>
    </row>
    <row r="619">
      <c r="A619" s="11" t="n">
        <v>44586</v>
      </c>
      <c r="B619" s="19" t="n">
        <v>2.003544792861252</v>
      </c>
      <c r="C619" s="19" t="n">
        <v>1.760357557979434</v>
      </c>
      <c r="D619" s="19" t="n">
        <v>1.922466814654678</v>
      </c>
      <c r="E619" s="19" t="n">
        <v>1.357231333484602</v>
      </c>
      <c r="F619" s="20">
        <f>B619/B618-1</f>
        <v/>
      </c>
      <c r="G619" s="20">
        <f>B619/MAX(B$2:B619)-1</f>
        <v/>
      </c>
      <c r="H619" s="20">
        <f>C619/C618-1</f>
        <v/>
      </c>
      <c r="I619" s="20">
        <f>C619/MAX(C$2:C619)-1</f>
        <v/>
      </c>
      <c r="J619" s="20">
        <f>D619/D618-1</f>
        <v/>
      </c>
      <c r="K619" s="20">
        <f>D619/MAX(D$2:D619)-1</f>
        <v/>
      </c>
      <c r="L619" s="20">
        <f>E619/E618-1</f>
        <v/>
      </c>
      <c r="M619" s="20">
        <f>E619/MAX(E$2:E619)-1</f>
        <v/>
      </c>
    </row>
    <row r="620">
      <c r="A620" s="11" t="n">
        <v>44587</v>
      </c>
      <c r="B620" s="19" t="n">
        <v>2.010651876402552</v>
      </c>
      <c r="C620" s="19" t="n">
        <v>1.769627581449948</v>
      </c>
      <c r="D620" s="19" t="n">
        <v>1.941502430066876</v>
      </c>
      <c r="E620" s="19" t="n">
        <v>1.365782983741077</v>
      </c>
      <c r="F620" s="20">
        <f>B620/B619-1</f>
        <v/>
      </c>
      <c r="G620" s="20">
        <f>B620/MAX(B$2:B620)-1</f>
        <v/>
      </c>
      <c r="H620" s="20">
        <f>C620/C619-1</f>
        <v/>
      </c>
      <c r="I620" s="20">
        <f>C620/MAX(C$2:C620)-1</f>
        <v/>
      </c>
      <c r="J620" s="20">
        <f>D620/D619-1</f>
        <v/>
      </c>
      <c r="K620" s="20">
        <f>D620/MAX(D$2:D620)-1</f>
        <v/>
      </c>
      <c r="L620" s="20">
        <f>E620/E619-1</f>
        <v/>
      </c>
      <c r="M620" s="20">
        <f>E620/MAX(E$2:E620)-1</f>
        <v/>
      </c>
    </row>
    <row r="621">
      <c r="A621" s="11" t="n">
        <v>44588</v>
      </c>
      <c r="B621" s="19" t="n">
        <v>1.972627342221642</v>
      </c>
      <c r="C621" s="19" t="n">
        <v>1.720459366957489</v>
      </c>
      <c r="D621" s="19" t="n">
        <v>1.878399594382487</v>
      </c>
      <c r="E621" s="19" t="n">
        <v>1.332729497799782</v>
      </c>
      <c r="F621" s="20">
        <f>B621/B620-1</f>
        <v/>
      </c>
      <c r="G621" s="20">
        <f>B621/MAX(B$2:B621)-1</f>
        <v/>
      </c>
      <c r="H621" s="20">
        <f>C621/C620-1</f>
        <v/>
      </c>
      <c r="I621" s="20">
        <f>C621/MAX(C$2:C621)-1</f>
        <v/>
      </c>
      <c r="J621" s="20">
        <f>D621/D620-1</f>
        <v/>
      </c>
      <c r="K621" s="20">
        <f>D621/MAX(D$2:D621)-1</f>
        <v/>
      </c>
      <c r="L621" s="20">
        <f>E621/E620-1</f>
        <v/>
      </c>
      <c r="M621" s="20">
        <f>E621/MAX(E$2:E621)-1</f>
        <v/>
      </c>
    </row>
    <row r="622">
      <c r="A622" s="11" t="n">
        <v>44589</v>
      </c>
      <c r="B622" s="19" t="n">
        <v>1.970101842083051</v>
      </c>
      <c r="C622" s="19" t="n">
        <v>1.711344803478032</v>
      </c>
      <c r="D622" s="19" t="n">
        <v>1.87980970459028</v>
      </c>
      <c r="E622" s="19" t="n">
        <v>1.32646547908212</v>
      </c>
      <c r="F622" s="20">
        <f>B622/B621-1</f>
        <v/>
      </c>
      <c r="G622" s="20">
        <f>B622/MAX(B$2:B622)-1</f>
        <v/>
      </c>
      <c r="H622" s="20">
        <f>C622/C621-1</f>
        <v/>
      </c>
      <c r="I622" s="20">
        <f>C622/MAX(C$2:C622)-1</f>
        <v/>
      </c>
      <c r="J622" s="20">
        <f>D622/D621-1</f>
        <v/>
      </c>
      <c r="K622" s="20">
        <f>D622/MAX(D$2:D622)-1</f>
        <v/>
      </c>
      <c r="L622" s="20">
        <f>E622/E621-1</f>
        <v/>
      </c>
      <c r="M622" s="20">
        <f>E622/MAX(E$2:E622)-1</f>
        <v/>
      </c>
    </row>
    <row r="623">
      <c r="A623" s="11" t="n">
        <v>44599</v>
      </c>
      <c r="B623" s="19" t="n">
        <v>1.97449968103759</v>
      </c>
      <c r="C623" s="19" t="n">
        <v>1.718109910502279</v>
      </c>
      <c r="D623" s="19" t="n">
        <v>1.885573314389696</v>
      </c>
      <c r="E623" s="19" t="n">
        <v>1.345566272499693</v>
      </c>
      <c r="F623" s="20">
        <f>B623/B622-1</f>
        <v/>
      </c>
      <c r="G623" s="20">
        <f>B623/MAX(B$2:B623)-1</f>
        <v/>
      </c>
      <c r="H623" s="20">
        <f>C623/C622-1</f>
        <v/>
      </c>
      <c r="I623" s="20">
        <f>C623/MAX(C$2:C623)-1</f>
        <v/>
      </c>
      <c r="J623" s="20">
        <f>D623/D622-1</f>
        <v/>
      </c>
      <c r="K623" s="20">
        <f>D623/MAX(D$2:D623)-1</f>
        <v/>
      </c>
      <c r="L623" s="20">
        <f>E623/E622-1</f>
        <v/>
      </c>
      <c r="M623" s="20">
        <f>E623/MAX(E$2:E623)-1</f>
        <v/>
      </c>
    </row>
    <row r="624">
      <c r="A624" s="11" t="n">
        <v>44600</v>
      </c>
      <c r="B624" s="19" t="n">
        <v>1.970992640243106</v>
      </c>
      <c r="C624" s="19" t="n">
        <v>1.709432866849143</v>
      </c>
      <c r="D624" s="19" t="n">
        <v>1.839445372591622</v>
      </c>
      <c r="E624" s="19" t="n">
        <v>1.346912813340426</v>
      </c>
      <c r="F624" s="20">
        <f>B624/B623-1</f>
        <v/>
      </c>
      <c r="G624" s="20">
        <f>B624/MAX(B$2:B624)-1</f>
        <v/>
      </c>
      <c r="H624" s="20">
        <f>C624/C623-1</f>
        <v/>
      </c>
      <c r="I624" s="20">
        <f>C624/MAX(C$2:C624)-1</f>
        <v/>
      </c>
      <c r="J624" s="20">
        <f>D624/D623-1</f>
        <v/>
      </c>
      <c r="K624" s="20">
        <f>D624/MAX(D$2:D624)-1</f>
        <v/>
      </c>
      <c r="L624" s="20">
        <f>E624/E623-1</f>
        <v/>
      </c>
      <c r="M624" s="20">
        <f>E624/MAX(E$2:E624)-1</f>
        <v/>
      </c>
    </row>
    <row r="625">
      <c r="A625" s="11" t="n">
        <v>44601</v>
      </c>
      <c r="B625" s="19" t="n">
        <v>1.991928671618997</v>
      </c>
      <c r="C625" s="19" t="n">
        <v>1.734714259293508</v>
      </c>
      <c r="D625" s="19" t="n">
        <v>1.86342958886961</v>
      </c>
      <c r="E625" s="19" t="n">
        <v>1.363882203714518</v>
      </c>
      <c r="F625" s="20">
        <f>B625/B624-1</f>
        <v/>
      </c>
      <c r="G625" s="20">
        <f>B625/MAX(B$2:B625)-1</f>
        <v/>
      </c>
      <c r="H625" s="20">
        <f>C625/C624-1</f>
        <v/>
      </c>
      <c r="I625" s="20">
        <f>C625/MAX(C$2:C625)-1</f>
        <v/>
      </c>
      <c r="J625" s="20">
        <f>D625/D624-1</f>
        <v/>
      </c>
      <c r="K625" s="20">
        <f>D625/MAX(D$2:D625)-1</f>
        <v/>
      </c>
      <c r="L625" s="20">
        <f>E625/E624-1</f>
        <v/>
      </c>
      <c r="M625" s="20">
        <f>E625/MAX(E$2:E625)-1</f>
        <v/>
      </c>
    </row>
    <row r="626">
      <c r="A626" s="11" t="n">
        <v>44602</v>
      </c>
      <c r="B626" s="19" t="n">
        <v>1.982424762966987</v>
      </c>
      <c r="C626" s="19" t="n">
        <v>1.722067406239997</v>
      </c>
      <c r="D626" s="19" t="n">
        <v>1.826543196992092</v>
      </c>
      <c r="E626" s="19" t="n">
        <v>1.359518965023416</v>
      </c>
      <c r="F626" s="20">
        <f>B626/B625-1</f>
        <v/>
      </c>
      <c r="G626" s="20">
        <f>B626/MAX(B$2:B626)-1</f>
        <v/>
      </c>
      <c r="H626" s="20">
        <f>C626/C625-1</f>
        <v/>
      </c>
      <c r="I626" s="20">
        <f>C626/MAX(C$2:C626)-1</f>
        <v/>
      </c>
      <c r="J626" s="20">
        <f>D626/D625-1</f>
        <v/>
      </c>
      <c r="K626" s="20">
        <f>D626/MAX(D$2:D626)-1</f>
        <v/>
      </c>
      <c r="L626" s="20">
        <f>E626/E625-1</f>
        <v/>
      </c>
      <c r="M626" s="20">
        <f>E626/MAX(E$2:E626)-1</f>
        <v/>
      </c>
    </row>
    <row r="627">
      <c r="A627" s="11" t="n">
        <v>44603</v>
      </c>
      <c r="B627" s="19" t="n">
        <v>1.951957822413132</v>
      </c>
      <c r="C627" s="19" t="n">
        <v>1.679004507714438</v>
      </c>
      <c r="D627" s="19" t="n">
        <v>1.774759240532129</v>
      </c>
      <c r="E627" s="19" t="n">
        <v>1.341708916555385</v>
      </c>
      <c r="F627" s="20">
        <f>B627/B626-1</f>
        <v/>
      </c>
      <c r="G627" s="20">
        <f>B627/MAX(B$2:B627)-1</f>
        <v/>
      </c>
      <c r="H627" s="20">
        <f>C627/C626-1</f>
        <v/>
      </c>
      <c r="I627" s="20">
        <f>C627/MAX(C$2:C627)-1</f>
        <v/>
      </c>
      <c r="J627" s="20">
        <f>D627/D626-1</f>
        <v/>
      </c>
      <c r="K627" s="20">
        <f>D627/MAX(D$2:D627)-1</f>
        <v/>
      </c>
      <c r="L627" s="20">
        <f>E627/E626-1</f>
        <v/>
      </c>
      <c r="M627" s="20">
        <f>E627/MAX(E$2:E627)-1</f>
        <v/>
      </c>
    </row>
    <row r="628">
      <c r="A628" s="11" t="n">
        <v>44606</v>
      </c>
      <c r="B628" s="19" t="n">
        <v>1.944996711371382</v>
      </c>
      <c r="C628" s="19" t="n">
        <v>1.669558100646395</v>
      </c>
      <c r="D628" s="19" t="n">
        <v>1.765471615336462</v>
      </c>
      <c r="E628" s="19" t="n">
        <v>1.332048787927257</v>
      </c>
      <c r="F628" s="20">
        <f>B628/B627-1</f>
        <v/>
      </c>
      <c r="G628" s="20">
        <f>B628/MAX(B$2:B628)-1</f>
        <v/>
      </c>
      <c r="H628" s="20">
        <f>C628/C627-1</f>
        <v/>
      </c>
      <c r="I628" s="20">
        <f>C628/MAX(C$2:C628)-1</f>
        <v/>
      </c>
      <c r="J628" s="20">
        <f>D628/D627-1</f>
        <v/>
      </c>
      <c r="K628" s="20">
        <f>D628/MAX(D$2:D628)-1</f>
        <v/>
      </c>
      <c r="L628" s="20">
        <f>E628/E627-1</f>
        <v/>
      </c>
      <c r="M628" s="20">
        <f>E628/MAX(E$2:E628)-1</f>
        <v/>
      </c>
    </row>
    <row r="629">
      <c r="A629" s="11" t="n">
        <v>44607</v>
      </c>
      <c r="B629" s="19" t="n">
        <v>1.975282940153793</v>
      </c>
      <c r="C629" s="19" t="n">
        <v>1.712376553728093</v>
      </c>
      <c r="D629" s="19" t="n">
        <v>1.820033788104269</v>
      </c>
      <c r="E629" s="19" t="n">
        <v>1.346436688402266</v>
      </c>
      <c r="F629" s="20">
        <f>B629/B628-1</f>
        <v/>
      </c>
      <c r="G629" s="20">
        <f>B629/MAX(B$2:B629)-1</f>
        <v/>
      </c>
      <c r="H629" s="20">
        <f>C629/C628-1</f>
        <v/>
      </c>
      <c r="I629" s="20">
        <f>C629/MAX(C$2:C629)-1</f>
        <v/>
      </c>
      <c r="J629" s="20">
        <f>D629/D628-1</f>
        <v/>
      </c>
      <c r="K629" s="20">
        <f>D629/MAX(D$2:D629)-1</f>
        <v/>
      </c>
      <c r="L629" s="20">
        <f>E629/E628-1</f>
        <v/>
      </c>
      <c r="M629" s="20">
        <f>E629/MAX(E$2:E629)-1</f>
        <v/>
      </c>
    </row>
    <row r="630">
      <c r="A630" s="11" t="n">
        <v>44608</v>
      </c>
      <c r="B630" s="19" t="n">
        <v>1.97275235975719</v>
      </c>
      <c r="C630" s="19" t="n">
        <v>1.705702933369377</v>
      </c>
      <c r="D630" s="19" t="n">
        <v>1.82129610847451</v>
      </c>
      <c r="E630" s="19" t="n">
        <v>1.354244393442867</v>
      </c>
      <c r="F630" s="20">
        <f>B630/B629-1</f>
        <v/>
      </c>
      <c r="G630" s="20">
        <f>B630/MAX(B$2:B630)-1</f>
        <v/>
      </c>
      <c r="H630" s="20">
        <f>C630/C629-1</f>
        <v/>
      </c>
      <c r="I630" s="20">
        <f>C630/MAX(C$2:C630)-1</f>
        <v/>
      </c>
      <c r="J630" s="20">
        <f>D630/D629-1</f>
        <v/>
      </c>
      <c r="K630" s="20">
        <f>D630/MAX(D$2:D630)-1</f>
        <v/>
      </c>
      <c r="L630" s="20">
        <f>E630/E629-1</f>
        <v/>
      </c>
      <c r="M630" s="20">
        <f>E630/MAX(E$2:E630)-1</f>
        <v/>
      </c>
    </row>
    <row r="631">
      <c r="A631" s="11" t="n">
        <v>44609</v>
      </c>
      <c r="B631" s="19" t="n">
        <v>1.974764310101761</v>
      </c>
      <c r="C631" s="19" t="n">
        <v>1.7092593692663</v>
      </c>
      <c r="D631" s="19" t="n">
        <v>1.835143441119967</v>
      </c>
      <c r="E631" s="19" t="n">
        <v>1.357089983893586</v>
      </c>
      <c r="F631" s="20">
        <f>B631/B630-1</f>
        <v/>
      </c>
      <c r="G631" s="20">
        <f>B631/MAX(B$2:B631)-1</f>
        <v/>
      </c>
      <c r="H631" s="20">
        <f>C631/C630-1</f>
        <v/>
      </c>
      <c r="I631" s="20">
        <f>C631/MAX(C$2:C631)-1</f>
        <v/>
      </c>
      <c r="J631" s="20">
        <f>D631/D630-1</f>
        <v/>
      </c>
      <c r="K631" s="20">
        <f>D631/MAX(D$2:D631)-1</f>
        <v/>
      </c>
      <c r="L631" s="20">
        <f>E631/E630-1</f>
        <v/>
      </c>
      <c r="M631" s="20">
        <f>E631/MAX(E$2:E631)-1</f>
        <v/>
      </c>
    </row>
    <row r="632">
      <c r="A632" s="11" t="n">
        <v>44610</v>
      </c>
      <c r="B632" s="19" t="n">
        <v>1.97942533656341</v>
      </c>
      <c r="C632" s="19" t="n">
        <v>1.717498460190914</v>
      </c>
      <c r="D632" s="19" t="n">
        <v>1.826734412614881</v>
      </c>
      <c r="E632" s="19" t="n">
        <v>1.364689384273742</v>
      </c>
      <c r="F632" s="20">
        <f>B632/B631-1</f>
        <v/>
      </c>
      <c r="G632" s="20">
        <f>B632/MAX(B$2:B632)-1</f>
        <v/>
      </c>
      <c r="H632" s="20">
        <f>C632/C631-1</f>
        <v/>
      </c>
      <c r="I632" s="20">
        <f>C632/MAX(C$2:C632)-1</f>
        <v/>
      </c>
      <c r="J632" s="20">
        <f>D632/D631-1</f>
        <v/>
      </c>
      <c r="K632" s="20">
        <f>D632/MAX(D$2:D632)-1</f>
        <v/>
      </c>
      <c r="L632" s="20">
        <f>E632/E631-1</f>
        <v/>
      </c>
      <c r="M632" s="20">
        <f>E632/MAX(E$2:E632)-1</f>
        <v/>
      </c>
    </row>
    <row r="633">
      <c r="A633" s="11" t="n">
        <v>44613</v>
      </c>
      <c r="B633" s="19" t="n">
        <v>1.988351083868242</v>
      </c>
      <c r="C633" s="19" t="n">
        <v>1.733276110075486</v>
      </c>
      <c r="D633" s="19" t="n">
        <v>1.812378959509139</v>
      </c>
      <c r="E633" s="19" t="n">
        <v>1.369056342690924</v>
      </c>
      <c r="F633" s="20">
        <f>B633/B632-1</f>
        <v/>
      </c>
      <c r="G633" s="20">
        <f>B633/MAX(B$2:B633)-1</f>
        <v/>
      </c>
      <c r="H633" s="20">
        <f>C633/C632-1</f>
        <v/>
      </c>
      <c r="I633" s="20">
        <f>C633/MAX(C$2:C633)-1</f>
        <v/>
      </c>
      <c r="J633" s="20">
        <f>D633/D632-1</f>
        <v/>
      </c>
      <c r="K633" s="20">
        <f>D633/MAX(D$2:D633)-1</f>
        <v/>
      </c>
      <c r="L633" s="20">
        <f>E633/E632-1</f>
        <v/>
      </c>
      <c r="M633" s="20">
        <f>E633/MAX(E$2:E633)-1</f>
        <v/>
      </c>
    </row>
    <row r="634">
      <c r="A634" s="11" t="n">
        <v>44614</v>
      </c>
      <c r="B634" s="19" t="n">
        <v>1.974491162903313</v>
      </c>
      <c r="C634" s="19" t="n">
        <v>1.708776539009419</v>
      </c>
      <c r="D634" s="19" t="n">
        <v>1.787378243823765</v>
      </c>
      <c r="E634" s="19" t="n">
        <v>1.353861261656692</v>
      </c>
      <c r="F634" s="20">
        <f>B634/B633-1</f>
        <v/>
      </c>
      <c r="G634" s="20">
        <f>B634/MAX(B$2:B634)-1</f>
        <v/>
      </c>
      <c r="H634" s="20">
        <f>C634/C633-1</f>
        <v/>
      </c>
      <c r="I634" s="20">
        <f>C634/MAX(C$2:C634)-1</f>
        <v/>
      </c>
      <c r="J634" s="20">
        <f>D634/D633-1</f>
        <v/>
      </c>
      <c r="K634" s="20">
        <f>D634/MAX(D$2:D634)-1</f>
        <v/>
      </c>
      <c r="L634" s="20">
        <f>E634/E633-1</f>
        <v/>
      </c>
      <c r="M634" s="20">
        <f>E634/MAX(E$2:E634)-1</f>
        <v/>
      </c>
    </row>
    <row r="635">
      <c r="A635" s="11" t="n">
        <v>44615</v>
      </c>
      <c r="B635" s="19" t="n">
        <v>1.996571649897146</v>
      </c>
      <c r="C635" s="19" t="n">
        <v>1.747807242117151</v>
      </c>
      <c r="D635" s="19" t="n">
        <v>1.837754481078991</v>
      </c>
      <c r="E635" s="19" t="n">
        <v>1.374304876188917</v>
      </c>
      <c r="F635" s="20">
        <f>B635/B634-1</f>
        <v/>
      </c>
      <c r="G635" s="20">
        <f>B635/MAX(B$2:B635)-1</f>
        <v/>
      </c>
      <c r="H635" s="20">
        <f>C635/C634-1</f>
        <v/>
      </c>
      <c r="I635" s="20">
        <f>C635/MAX(C$2:C635)-1</f>
        <v/>
      </c>
      <c r="J635" s="20">
        <f>D635/D634-1</f>
        <v/>
      </c>
      <c r="K635" s="20">
        <f>D635/MAX(D$2:D635)-1</f>
        <v/>
      </c>
      <c r="L635" s="20">
        <f>E635/E634-1</f>
        <v/>
      </c>
      <c r="M635" s="20">
        <f>E635/MAX(E$2:E635)-1</f>
        <v/>
      </c>
    </row>
    <row r="636">
      <c r="A636" s="11" t="n">
        <v>44616</v>
      </c>
      <c r="B636" s="19" t="n">
        <v>1.974965619423748</v>
      </c>
      <c r="C636" s="19" t="n">
        <v>1.709615214877021</v>
      </c>
      <c r="D636" s="19" t="n">
        <v>1.799003106817674</v>
      </c>
      <c r="E636" s="19" t="n">
        <v>1.345581151404011</v>
      </c>
      <c r="F636" s="20">
        <f>B636/B635-1</f>
        <v/>
      </c>
      <c r="G636" s="20">
        <f>B636/MAX(B$2:B636)-1</f>
        <v/>
      </c>
      <c r="H636" s="20">
        <f>C636/C635-1</f>
        <v/>
      </c>
      <c r="I636" s="20">
        <f>C636/MAX(C$2:C636)-1</f>
        <v/>
      </c>
      <c r="J636" s="20">
        <f>D636/D635-1</f>
        <v/>
      </c>
      <c r="K636" s="20">
        <f>D636/MAX(D$2:D636)-1</f>
        <v/>
      </c>
      <c r="L636" s="20">
        <f>E636/E635-1</f>
        <v/>
      </c>
      <c r="M636" s="20">
        <f>E636/MAX(E$2:E636)-1</f>
        <v/>
      </c>
    </row>
    <row r="637">
      <c r="A637" s="11" t="n">
        <v>44617</v>
      </c>
      <c r="B637" s="19" t="n">
        <v>1.98771354992598</v>
      </c>
      <c r="C637" s="19" t="n">
        <v>1.732149169441049</v>
      </c>
      <c r="D637" s="19" t="n">
        <v>1.845468503155187</v>
      </c>
      <c r="E637" s="19" t="n">
        <v>1.35890149049424</v>
      </c>
      <c r="F637" s="20">
        <f>B637/B636-1</f>
        <v/>
      </c>
      <c r="G637" s="20">
        <f>B637/MAX(B$2:B637)-1</f>
        <v/>
      </c>
      <c r="H637" s="20">
        <f>C637/C636-1</f>
        <v/>
      </c>
      <c r="I637" s="20">
        <f>C637/MAX(C$2:C637)-1</f>
        <v/>
      </c>
      <c r="J637" s="20">
        <f>D637/D636-1</f>
        <v/>
      </c>
      <c r="K637" s="20">
        <f>D637/MAX(D$2:D637)-1</f>
        <v/>
      </c>
      <c r="L637" s="20">
        <f>E637/E636-1</f>
        <v/>
      </c>
      <c r="M637" s="20">
        <f>E637/MAX(E$2:E637)-1</f>
        <v/>
      </c>
    </row>
    <row r="638">
      <c r="A638" s="11" t="n">
        <v>44620</v>
      </c>
      <c r="B638" s="19" t="n">
        <v>1.989119994048211</v>
      </c>
      <c r="C638" s="19" t="n">
        <v>1.734635278691615</v>
      </c>
      <c r="D638" s="19" t="n">
        <v>1.861949364112737</v>
      </c>
      <c r="E638" s="19" t="n">
        <v>1.363115940142168</v>
      </c>
      <c r="F638" s="20">
        <f>B638/B637-1</f>
        <v/>
      </c>
      <c r="G638" s="20">
        <f>B638/MAX(B$2:B638)-1</f>
        <v/>
      </c>
      <c r="H638" s="20">
        <f>C638/C637-1</f>
        <v/>
      </c>
      <c r="I638" s="20">
        <f>C638/MAX(C$2:C638)-1</f>
        <v/>
      </c>
      <c r="J638" s="20">
        <f>D638/D637-1</f>
        <v/>
      </c>
      <c r="K638" s="20">
        <f>D638/MAX(D$2:D638)-1</f>
        <v/>
      </c>
      <c r="L638" s="20">
        <f>E638/E637-1</f>
        <v/>
      </c>
      <c r="M638" s="20">
        <f>E638/MAX(E$2:E638)-1</f>
        <v/>
      </c>
    </row>
    <row r="639">
      <c r="A639" s="11" t="n">
        <v>44621</v>
      </c>
      <c r="B639" s="19" t="n">
        <v>1.990517812183002</v>
      </c>
      <c r="C639" s="19" t="n">
        <v>1.737106140164594</v>
      </c>
      <c r="D639" s="19" t="n">
        <v>1.864844222596698</v>
      </c>
      <c r="E639" s="19" t="n">
        <v>1.371295617790706</v>
      </c>
      <c r="F639" s="20">
        <f>B639/B638-1</f>
        <v/>
      </c>
      <c r="G639" s="20">
        <f>B639/MAX(B$2:B639)-1</f>
        <v/>
      </c>
      <c r="H639" s="20">
        <f>C639/C638-1</f>
        <v/>
      </c>
      <c r="I639" s="20">
        <f>C639/MAX(C$2:C639)-1</f>
        <v/>
      </c>
      <c r="J639" s="20">
        <f>D639/D638-1</f>
        <v/>
      </c>
      <c r="K639" s="20">
        <f>D639/MAX(D$2:D639)-1</f>
        <v/>
      </c>
      <c r="L639" s="20">
        <f>E639/E638-1</f>
        <v/>
      </c>
      <c r="M639" s="20">
        <f>E639/MAX(E$2:E639)-1</f>
        <v/>
      </c>
    </row>
    <row r="640">
      <c r="A640" s="11" t="n">
        <v>44622</v>
      </c>
      <c r="B640" s="19" t="n">
        <v>1.982057868199851</v>
      </c>
      <c r="C640" s="19" t="n">
        <v>1.722151870269792</v>
      </c>
      <c r="D640" s="19" t="n">
        <v>1.831790027022858</v>
      </c>
      <c r="E640" s="19" t="n">
        <v>1.365537481819839</v>
      </c>
      <c r="F640" s="20">
        <f>B640/B639-1</f>
        <v/>
      </c>
      <c r="G640" s="20">
        <f>B640/MAX(B$2:B640)-1</f>
        <v/>
      </c>
      <c r="H640" s="20">
        <f>C640/C639-1</f>
        <v/>
      </c>
      <c r="I640" s="20">
        <f>C640/MAX(C$2:C640)-1</f>
        <v/>
      </c>
      <c r="J640" s="20">
        <f>D640/D639-1</f>
        <v/>
      </c>
      <c r="K640" s="20">
        <f>D640/MAX(D$2:D640)-1</f>
        <v/>
      </c>
      <c r="L640" s="20">
        <f>E640/E639-1</f>
        <v/>
      </c>
      <c r="M640" s="20">
        <f>E640/MAX(E$2:E640)-1</f>
        <v/>
      </c>
    </row>
    <row r="641">
      <c r="A641" s="11" t="n">
        <v>44623</v>
      </c>
      <c r="B641" s="19" t="n">
        <v>1.971756017391066</v>
      </c>
      <c r="C641" s="19" t="n">
        <v>1.703941742907559</v>
      </c>
      <c r="D641" s="19" t="n">
        <v>1.804204960142302</v>
      </c>
      <c r="E641" s="19" t="n">
        <v>1.357752095135714</v>
      </c>
      <c r="F641" s="20">
        <f>B641/B640-1</f>
        <v/>
      </c>
      <c r="G641" s="20">
        <f>B641/MAX(B$2:B641)-1</f>
        <v/>
      </c>
      <c r="H641" s="20">
        <f>C641/C640-1</f>
        <v/>
      </c>
      <c r="I641" s="20">
        <f>C641/MAX(C$2:C641)-1</f>
        <v/>
      </c>
      <c r="J641" s="20">
        <f>D641/D640-1</f>
        <v/>
      </c>
      <c r="K641" s="20">
        <f>D641/MAX(D$2:D641)-1</f>
        <v/>
      </c>
      <c r="L641" s="20">
        <f>E641/E640-1</f>
        <v/>
      </c>
      <c r="M641" s="20">
        <f>E641/MAX(E$2:E641)-1</f>
        <v/>
      </c>
    </row>
    <row r="642">
      <c r="A642" s="11" t="n">
        <v>44624</v>
      </c>
      <c r="B642" s="19" t="n">
        <v>1.963491314606247</v>
      </c>
      <c r="C642" s="19" t="n">
        <v>1.689332592268896</v>
      </c>
      <c r="D642" s="19" t="n">
        <v>1.776216847692524</v>
      </c>
      <c r="E642" s="19" t="n">
        <v>1.34132206504313</v>
      </c>
      <c r="F642" s="20">
        <f>B642/B641-1</f>
        <v/>
      </c>
      <c r="G642" s="20">
        <f>B642/MAX(B$2:B642)-1</f>
        <v/>
      </c>
      <c r="H642" s="20">
        <f>C642/C641-1</f>
        <v/>
      </c>
      <c r="I642" s="20">
        <f>C642/MAX(C$2:C642)-1</f>
        <v/>
      </c>
      <c r="J642" s="20">
        <f>D642/D641-1</f>
        <v/>
      </c>
      <c r="K642" s="20">
        <f>D642/MAX(D$2:D642)-1</f>
        <v/>
      </c>
      <c r="L642" s="20">
        <f>E642/E641-1</f>
        <v/>
      </c>
      <c r="M642" s="20">
        <f>E642/MAX(E$2:E642)-1</f>
        <v/>
      </c>
    </row>
    <row r="643">
      <c r="A643" s="11" t="n">
        <v>44627</v>
      </c>
      <c r="B643" s="19" t="n">
        <v>1.928698217399441</v>
      </c>
      <c r="C643" s="19" t="n">
        <v>1.627830368714831</v>
      </c>
      <c r="D643" s="19" t="n">
        <v>1.699790567518792</v>
      </c>
      <c r="E643" s="19" t="n">
        <v>1.307119183743309</v>
      </c>
      <c r="F643" s="20">
        <f>B643/B642-1</f>
        <v/>
      </c>
      <c r="G643" s="20">
        <f>B643/MAX(B$2:B643)-1</f>
        <v/>
      </c>
      <c r="H643" s="20">
        <f>C643/C642-1</f>
        <v/>
      </c>
      <c r="I643" s="20">
        <f>C643/MAX(C$2:C643)-1</f>
        <v/>
      </c>
      <c r="J643" s="20">
        <f>D643/D642-1</f>
        <v/>
      </c>
      <c r="K643" s="20">
        <f>D643/MAX(D$2:D643)-1</f>
        <v/>
      </c>
      <c r="L643" s="20">
        <f>E643/E642-1</f>
        <v/>
      </c>
      <c r="M643" s="20">
        <f>E643/MAX(E$2:E643)-1</f>
        <v/>
      </c>
    </row>
    <row r="644">
      <c r="A644" s="11" t="n">
        <v>44628</v>
      </c>
      <c r="B644" s="19" t="n">
        <v>1.908517678970063</v>
      </c>
      <c r="C644" s="19" t="n">
        <v>1.592158120896598</v>
      </c>
      <c r="D644" s="19" t="n">
        <v>1.669169443730554</v>
      </c>
      <c r="E644" s="19" t="n">
        <v>1.272871665730536</v>
      </c>
      <c r="F644" s="20">
        <f>B644/B643-1</f>
        <v/>
      </c>
      <c r="G644" s="20">
        <f>B644/MAX(B$2:B644)-1</f>
        <v/>
      </c>
      <c r="H644" s="20">
        <f>C644/C643-1</f>
        <v/>
      </c>
      <c r="I644" s="20">
        <f>C644/MAX(C$2:C644)-1</f>
        <v/>
      </c>
      <c r="J644" s="20">
        <f>D644/D643-1</f>
        <v/>
      </c>
      <c r="K644" s="20">
        <f>D644/MAX(D$2:D644)-1</f>
        <v/>
      </c>
      <c r="L644" s="20">
        <f>E644/E643-1</f>
        <v/>
      </c>
      <c r="M644" s="20">
        <f>E644/MAX(E$2:E644)-1</f>
        <v/>
      </c>
    </row>
    <row r="645">
      <c r="A645" s="11" t="n">
        <v>44629</v>
      </c>
      <c r="B645" s="19" t="n">
        <v>1.902186204190194</v>
      </c>
      <c r="C645" s="19" t="n">
        <v>1.580966252146774</v>
      </c>
      <c r="D645" s="19" t="n">
        <v>1.658657560348433</v>
      </c>
      <c r="E645" s="19" t="n">
        <v>1.258487484981606</v>
      </c>
      <c r="F645" s="20">
        <f>B645/B644-1</f>
        <v/>
      </c>
      <c r="G645" s="20">
        <f>B645/MAX(B$2:B645)-1</f>
        <v/>
      </c>
      <c r="H645" s="20">
        <f>C645/C644-1</f>
        <v/>
      </c>
      <c r="I645" s="20">
        <f>C645/MAX(C$2:C645)-1</f>
        <v/>
      </c>
      <c r="J645" s="20">
        <f>D645/D644-1</f>
        <v/>
      </c>
      <c r="K645" s="20">
        <f>D645/MAX(D$2:D645)-1</f>
        <v/>
      </c>
      <c r="L645" s="20">
        <f>E645/E644-1</f>
        <v/>
      </c>
      <c r="M645" s="20">
        <f>E645/MAX(E$2:E645)-1</f>
        <v/>
      </c>
    </row>
    <row r="646">
      <c r="A646" s="11" t="n">
        <v>44630</v>
      </c>
      <c r="B646" s="19" t="n">
        <v>1.920562931637517</v>
      </c>
      <c r="C646" s="19" t="n">
        <v>1.613449982840238</v>
      </c>
      <c r="D646" s="19" t="n">
        <v>1.702907143069933</v>
      </c>
      <c r="E646" s="19" t="n">
        <v>1.28101414611828</v>
      </c>
      <c r="F646" s="20">
        <f>B646/B645-1</f>
        <v/>
      </c>
      <c r="G646" s="20">
        <f>B646/MAX(B$2:B646)-1</f>
        <v/>
      </c>
      <c r="H646" s="20">
        <f>C646/C645-1</f>
        <v/>
      </c>
      <c r="I646" s="20">
        <f>C646/MAX(C$2:C646)-1</f>
        <v/>
      </c>
      <c r="J646" s="20">
        <f>D646/D645-1</f>
        <v/>
      </c>
      <c r="K646" s="20">
        <f>D646/MAX(D$2:D646)-1</f>
        <v/>
      </c>
      <c r="L646" s="20">
        <f>E646/E645-1</f>
        <v/>
      </c>
      <c r="M646" s="20">
        <f>E646/MAX(E$2:E646)-1</f>
        <v/>
      </c>
    </row>
    <row r="647">
      <c r="A647" s="11" t="n">
        <v>44631</v>
      </c>
      <c r="B647" s="19" t="n">
        <v>1.932148367472995</v>
      </c>
      <c r="C647" s="19" t="n">
        <v>1.633929046847955</v>
      </c>
      <c r="D647" s="19" t="n">
        <v>1.722466840503359</v>
      </c>
      <c r="E647" s="19" t="n">
        <v>1.287545985113656</v>
      </c>
      <c r="F647" s="20">
        <f>B647/B646-1</f>
        <v/>
      </c>
      <c r="G647" s="20">
        <f>B647/MAX(B$2:B647)-1</f>
        <v/>
      </c>
      <c r="H647" s="20">
        <f>C647/C646-1</f>
        <v/>
      </c>
      <c r="I647" s="20">
        <f>C647/MAX(C$2:C647)-1</f>
        <v/>
      </c>
      <c r="J647" s="20">
        <f>D647/D646-1</f>
        <v/>
      </c>
      <c r="K647" s="20">
        <f>D647/MAX(D$2:D647)-1</f>
        <v/>
      </c>
      <c r="L647" s="20">
        <f>E647/E646-1</f>
        <v/>
      </c>
      <c r="M647" s="20">
        <f>E647/MAX(E$2:E647)-1</f>
        <v/>
      </c>
    </row>
    <row r="648">
      <c r="A648" s="11" t="n">
        <v>44634</v>
      </c>
      <c r="B648" s="19" t="n">
        <v>1.91426674993559</v>
      </c>
      <c r="C648" s="19" t="n">
        <v>1.602320500107865</v>
      </c>
      <c r="D648" s="19" t="n">
        <v>1.661066851346881</v>
      </c>
      <c r="E648" s="19" t="n">
        <v>1.251107548440133</v>
      </c>
      <c r="F648" s="20">
        <f>B648/B647-1</f>
        <v/>
      </c>
      <c r="G648" s="20">
        <f>B648/MAX(B$2:B648)-1</f>
        <v/>
      </c>
      <c r="H648" s="20">
        <f>C648/C647-1</f>
        <v/>
      </c>
      <c r="I648" s="20">
        <f>C648/MAX(C$2:C648)-1</f>
        <v/>
      </c>
      <c r="J648" s="20">
        <f>D648/D647-1</f>
        <v/>
      </c>
      <c r="K648" s="20">
        <f>D648/MAX(D$2:D648)-1</f>
        <v/>
      </c>
      <c r="L648" s="20">
        <f>E648/E647-1</f>
        <v/>
      </c>
      <c r="M648" s="20">
        <f>E648/MAX(E$2:E648)-1</f>
        <v/>
      </c>
    </row>
    <row r="649">
      <c r="A649" s="11" t="n">
        <v>44635</v>
      </c>
      <c r="B649" s="19" t="n">
        <v>1.871481063112372</v>
      </c>
      <c r="C649" s="19" t="n">
        <v>1.526690128362718</v>
      </c>
      <c r="D649" s="19" t="n">
        <v>1.618633138513973</v>
      </c>
      <c r="E649" s="19" t="n">
        <v>1.191681204596094</v>
      </c>
      <c r="F649" s="20">
        <f>B649/B648-1</f>
        <v/>
      </c>
      <c r="G649" s="20">
        <f>B649/MAX(B$2:B649)-1</f>
        <v/>
      </c>
      <c r="H649" s="20">
        <f>C649/C648-1</f>
        <v/>
      </c>
      <c r="I649" s="20">
        <f>C649/MAX(C$2:C649)-1</f>
        <v/>
      </c>
      <c r="J649" s="20">
        <f>D649/D648-1</f>
        <v/>
      </c>
      <c r="K649" s="20">
        <f>D649/MAX(D$2:D649)-1</f>
        <v/>
      </c>
      <c r="L649" s="20">
        <f>E649/E648-1</f>
        <v/>
      </c>
      <c r="M649" s="20">
        <f>E649/MAX(E$2:E649)-1</f>
        <v/>
      </c>
    </row>
    <row r="650">
      <c r="A650" s="11" t="n">
        <v>44636</v>
      </c>
      <c r="B650" s="19" t="n">
        <v>1.89247013139904</v>
      </c>
      <c r="C650" s="19" t="n">
        <v>1.563791578753448</v>
      </c>
      <c r="D650" s="19" t="n">
        <v>1.70283528373484</v>
      </c>
      <c r="E650" s="19" t="n">
        <v>1.236727087417283</v>
      </c>
      <c r="F650" s="20">
        <f>B650/B649-1</f>
        <v/>
      </c>
      <c r="G650" s="20">
        <f>B650/MAX(B$2:B650)-1</f>
        <v/>
      </c>
      <c r="H650" s="20">
        <f>C650/C649-1</f>
        <v/>
      </c>
      <c r="I650" s="20">
        <f>C650/MAX(C$2:C650)-1</f>
        <v/>
      </c>
      <c r="J650" s="20">
        <f>D650/D649-1</f>
        <v/>
      </c>
      <c r="K650" s="20">
        <f>D650/MAX(D$2:D650)-1</f>
        <v/>
      </c>
      <c r="L650" s="20">
        <f>E650/E649-1</f>
        <v/>
      </c>
      <c r="M650" s="20">
        <f>E650/MAX(E$2:E650)-1</f>
        <v/>
      </c>
    </row>
    <row r="651">
      <c r="A651" s="11" t="n">
        <v>44637</v>
      </c>
      <c r="B651" s="19" t="n">
        <v>1.912953858320658</v>
      </c>
      <c r="C651" s="19" t="n">
        <v>1.599999759498776</v>
      </c>
      <c r="D651" s="19" t="n">
        <v>1.751717467188491</v>
      </c>
      <c r="E651" s="19" t="n">
        <v>1.259979095139434</v>
      </c>
      <c r="F651" s="20">
        <f>B651/B650-1</f>
        <v/>
      </c>
      <c r="G651" s="20">
        <f>B651/MAX(B$2:B651)-1</f>
        <v/>
      </c>
      <c r="H651" s="20">
        <f>C651/C650-1</f>
        <v/>
      </c>
      <c r="I651" s="20">
        <f>C651/MAX(C$2:C651)-1</f>
        <v/>
      </c>
      <c r="J651" s="20">
        <f>D651/D650-1</f>
        <v/>
      </c>
      <c r="K651" s="20">
        <f>D651/MAX(D$2:D651)-1</f>
        <v/>
      </c>
      <c r="L651" s="20">
        <f>E651/E650-1</f>
        <v/>
      </c>
      <c r="M651" s="20">
        <f>E651/MAX(E$2:E651)-1</f>
        <v/>
      </c>
    </row>
    <row r="652">
      <c r="A652" s="11" t="n">
        <v>44638</v>
      </c>
      <c r="B652" s="19" t="n">
        <v>1.913976949411236</v>
      </c>
      <c r="C652" s="19" t="n">
        <v>1.601808232501191</v>
      </c>
      <c r="D652" s="19" t="n">
        <v>1.753700448804198</v>
      </c>
      <c r="E652" s="19" t="n">
        <v>1.270814657208643</v>
      </c>
      <c r="F652" s="20">
        <f>B652/B651-1</f>
        <v/>
      </c>
      <c r="G652" s="20">
        <f>B652/MAX(B$2:B652)-1</f>
        <v/>
      </c>
      <c r="H652" s="20">
        <f>C652/C651-1</f>
        <v/>
      </c>
      <c r="I652" s="20">
        <f>C652/MAX(C$2:C652)-1</f>
        <v/>
      </c>
      <c r="J652" s="20">
        <f>D652/D651-1</f>
        <v/>
      </c>
      <c r="K652" s="20">
        <f>D652/MAX(D$2:D652)-1</f>
        <v/>
      </c>
      <c r="L652" s="20">
        <f>E652/E651-1</f>
        <v/>
      </c>
      <c r="M652" s="20">
        <f>E652/MAX(E$2:E652)-1</f>
        <v/>
      </c>
    </row>
    <row r="653">
      <c r="A653" s="11" t="n">
        <v>44641</v>
      </c>
      <c r="B653" s="19" t="n">
        <v>1.919995956639823</v>
      </c>
      <c r="C653" s="19" t="n">
        <v>1.612447766140458</v>
      </c>
      <c r="D653" s="19" t="n">
        <v>1.761703846871893</v>
      </c>
      <c r="E653" s="19" t="n">
        <v>1.276152464132541</v>
      </c>
      <c r="F653" s="20">
        <f>B653/B652-1</f>
        <v/>
      </c>
      <c r="G653" s="20">
        <f>B653/MAX(B$2:B653)-1</f>
        <v/>
      </c>
      <c r="H653" s="20">
        <f>C653/C652-1</f>
        <v/>
      </c>
      <c r="I653" s="20">
        <f>C653/MAX(C$2:C653)-1</f>
        <v/>
      </c>
      <c r="J653" s="20">
        <f>D653/D652-1</f>
        <v/>
      </c>
      <c r="K653" s="20">
        <f>D653/MAX(D$2:D653)-1</f>
        <v/>
      </c>
      <c r="L653" s="20">
        <f>E653/E652-1</f>
        <v/>
      </c>
      <c r="M653" s="20">
        <f>E653/MAX(E$2:E653)-1</f>
        <v/>
      </c>
    </row>
    <row r="654">
      <c r="A654" s="11" t="n">
        <v>44642</v>
      </c>
      <c r="B654" s="19" t="n">
        <v>1.912930783123977</v>
      </c>
      <c r="C654" s="19" t="n">
        <v>1.599958970491221</v>
      </c>
      <c r="D654" s="19" t="n">
        <v>1.737182753475242</v>
      </c>
      <c r="E654" s="19" t="n">
        <v>1.273983863828268</v>
      </c>
      <c r="F654" s="20">
        <f>B654/B653-1</f>
        <v/>
      </c>
      <c r="G654" s="20">
        <f>B654/MAX(B$2:B654)-1</f>
        <v/>
      </c>
      <c r="H654" s="20">
        <f>C654/C653-1</f>
        <v/>
      </c>
      <c r="I654" s="20">
        <f>C654/MAX(C$2:C654)-1</f>
        <v/>
      </c>
      <c r="J654" s="20">
        <f>D654/D653-1</f>
        <v/>
      </c>
      <c r="K654" s="20">
        <f>D654/MAX(D$2:D654)-1</f>
        <v/>
      </c>
      <c r="L654" s="20">
        <f>E654/E653-1</f>
        <v/>
      </c>
      <c r="M654" s="20">
        <f>E654/MAX(E$2:E654)-1</f>
        <v/>
      </c>
    </row>
    <row r="655">
      <c r="A655" s="11" t="n">
        <v>44643</v>
      </c>
      <c r="B655" s="19" t="n">
        <v>1.92177133179578</v>
      </c>
      <c r="C655" s="19" t="n">
        <v>1.615586018509455</v>
      </c>
      <c r="D655" s="19" t="n">
        <v>1.75509569602002</v>
      </c>
      <c r="E655" s="19" t="n">
        <v>1.280099093502755</v>
      </c>
      <c r="F655" s="20">
        <f>B655/B654-1</f>
        <v/>
      </c>
      <c r="G655" s="20">
        <f>B655/MAX(B$2:B655)-1</f>
        <v/>
      </c>
      <c r="H655" s="20">
        <f>C655/C654-1</f>
        <v/>
      </c>
      <c r="I655" s="20">
        <f>C655/MAX(C$2:C655)-1</f>
        <v/>
      </c>
      <c r="J655" s="20">
        <f>D655/D654-1</f>
        <v/>
      </c>
      <c r="K655" s="20">
        <f>D655/MAX(D$2:D655)-1</f>
        <v/>
      </c>
      <c r="L655" s="20">
        <f>E655/E654-1</f>
        <v/>
      </c>
      <c r="M655" s="20">
        <f>E655/MAX(E$2:E655)-1</f>
        <v/>
      </c>
    </row>
    <row r="656">
      <c r="A656" s="11" t="n">
        <v>44644</v>
      </c>
      <c r="B656" s="19" t="n">
        <v>1.917076127920178</v>
      </c>
      <c r="C656" s="19" t="n">
        <v>1.607286513677425</v>
      </c>
      <c r="D656" s="19" t="n">
        <v>1.748802188245997</v>
      </c>
      <c r="E656" s="19" t="n">
        <v>1.270115348705721</v>
      </c>
      <c r="F656" s="20">
        <f>B656/B655-1</f>
        <v/>
      </c>
      <c r="G656" s="20">
        <f>B656/MAX(B$2:B656)-1</f>
        <v/>
      </c>
      <c r="H656" s="20">
        <f>C656/C655-1</f>
        <v/>
      </c>
      <c r="I656" s="20">
        <f>C656/MAX(C$2:C656)-1</f>
        <v/>
      </c>
      <c r="J656" s="20">
        <f>D656/D655-1</f>
        <v/>
      </c>
      <c r="K656" s="20">
        <f>D656/MAX(D$2:D656)-1</f>
        <v/>
      </c>
      <c r="L656" s="20">
        <f>E656/E655-1</f>
        <v/>
      </c>
      <c r="M656" s="20">
        <f>E656/MAX(E$2:E656)-1</f>
        <v/>
      </c>
    </row>
    <row r="657">
      <c r="A657" s="11" t="n">
        <v>44645</v>
      </c>
      <c r="B657" s="19" t="n">
        <v>1.897660853354311</v>
      </c>
      <c r="C657" s="19" t="n">
        <v>1.572966989042524</v>
      </c>
      <c r="D657" s="19" t="n">
        <v>1.704684369179402</v>
      </c>
      <c r="E657" s="19" t="n">
        <v>1.252587999419723</v>
      </c>
      <c r="F657" s="20">
        <f>B657/B656-1</f>
        <v/>
      </c>
      <c r="G657" s="20">
        <f>B657/MAX(B$2:B657)-1</f>
        <v/>
      </c>
      <c r="H657" s="20">
        <f>C657/C656-1</f>
        <v/>
      </c>
      <c r="I657" s="20">
        <f>C657/MAX(C$2:C657)-1</f>
        <v/>
      </c>
      <c r="J657" s="20">
        <f>D657/D656-1</f>
        <v/>
      </c>
      <c r="K657" s="20">
        <f>D657/MAX(D$2:D657)-1</f>
        <v/>
      </c>
      <c r="L657" s="20">
        <f>E657/E656-1</f>
        <v/>
      </c>
      <c r="M657" s="20">
        <f>E657/MAX(E$2:E657)-1</f>
        <v/>
      </c>
    </row>
    <row r="658">
      <c r="A658" s="11" t="n">
        <v>44648</v>
      </c>
      <c r="B658" s="19" t="n">
        <v>1.889347088565228</v>
      </c>
      <c r="C658" s="19" t="n">
        <v>1.558271113662562</v>
      </c>
      <c r="D658" s="19" t="n">
        <v>1.676369981745015</v>
      </c>
      <c r="E658" s="19" t="n">
        <v>1.246323980702061</v>
      </c>
      <c r="F658" s="20">
        <f>B658/B657-1</f>
        <v/>
      </c>
      <c r="G658" s="20">
        <f>B658/MAX(B$2:B658)-1</f>
        <v/>
      </c>
      <c r="H658" s="20">
        <f>C658/C657-1</f>
        <v/>
      </c>
      <c r="I658" s="20">
        <f>C658/MAX(C$2:C658)-1</f>
        <v/>
      </c>
      <c r="J658" s="20">
        <f>D658/D657-1</f>
        <v/>
      </c>
      <c r="K658" s="20">
        <f>D658/MAX(D$2:D658)-1</f>
        <v/>
      </c>
      <c r="L658" s="20">
        <f>E658/E657-1</f>
        <v/>
      </c>
      <c r="M658" s="20">
        <f>E658/MAX(E$2:E658)-1</f>
        <v/>
      </c>
    </row>
    <row r="659">
      <c r="A659" s="11" t="n">
        <v>44649</v>
      </c>
      <c r="B659" s="19" t="n">
        <v>1.881446582045005</v>
      </c>
      <c r="C659" s="19" t="n">
        <v>1.544305736699741</v>
      </c>
      <c r="D659" s="19" t="n">
        <v>1.675424889320792</v>
      </c>
      <c r="E659" s="19" t="n">
        <v>1.239844217871796</v>
      </c>
      <c r="F659" s="20">
        <f>B659/B658-1</f>
        <v/>
      </c>
      <c r="G659" s="20">
        <f>B659/MAX(B$2:B659)-1</f>
        <v/>
      </c>
      <c r="H659" s="20">
        <f>C659/C658-1</f>
        <v/>
      </c>
      <c r="I659" s="20">
        <f>C659/MAX(C$2:C659)-1</f>
        <v/>
      </c>
      <c r="J659" s="20">
        <f>D659/D658-1</f>
        <v/>
      </c>
      <c r="K659" s="20">
        <f>D659/MAX(D$2:D659)-1</f>
        <v/>
      </c>
      <c r="L659" s="20">
        <f>E659/E658-1</f>
        <v/>
      </c>
      <c r="M659" s="20">
        <f>E659/MAX(E$2:E659)-1</f>
        <v/>
      </c>
    </row>
    <row r="660">
      <c r="A660" s="11" t="n">
        <v>44650</v>
      </c>
      <c r="B660" s="19" t="n">
        <v>1.906276364435842</v>
      </c>
      <c r="C660" s="19" t="n">
        <v>1.588196248036608</v>
      </c>
      <c r="D660" s="19" t="n">
        <v>1.742734921058449</v>
      </c>
      <c r="E660" s="19" t="n">
        <v>1.26935280485945</v>
      </c>
      <c r="F660" s="20">
        <f>B660/B659-1</f>
        <v/>
      </c>
      <c r="G660" s="20">
        <f>B660/MAX(B$2:B660)-1</f>
        <v/>
      </c>
      <c r="H660" s="20">
        <f>C660/C659-1</f>
        <v/>
      </c>
      <c r="I660" s="20">
        <f>C660/MAX(C$2:C660)-1</f>
        <v/>
      </c>
      <c r="J660" s="20">
        <f>D660/D659-1</f>
        <v/>
      </c>
      <c r="K660" s="20">
        <f>D660/MAX(D$2:D660)-1</f>
        <v/>
      </c>
      <c r="L660" s="20">
        <f>E660/E659-1</f>
        <v/>
      </c>
      <c r="M660" s="20">
        <f>E660/MAX(E$2:E660)-1</f>
        <v/>
      </c>
    </row>
    <row r="661">
      <c r="A661" s="11" t="n">
        <v>44651</v>
      </c>
      <c r="B661" s="19" t="n">
        <v>1.892627440021696</v>
      </c>
      <c r="C661" s="19" t="n">
        <v>1.564069646268395</v>
      </c>
      <c r="D661" s="19" t="n">
        <v>1.718609377113332</v>
      </c>
      <c r="E661" s="19" t="n">
        <v>1.259324423349465</v>
      </c>
      <c r="F661" s="20">
        <f>B661/B660-1</f>
        <v/>
      </c>
      <c r="G661" s="20">
        <f>B661/MAX(B$2:B661)-1</f>
        <v/>
      </c>
      <c r="H661" s="20">
        <f>C661/C660-1</f>
        <v/>
      </c>
      <c r="I661" s="20">
        <f>C661/MAX(C$2:C661)-1</f>
        <v/>
      </c>
      <c r="J661" s="20">
        <f>D661/D660-1</f>
        <v/>
      </c>
      <c r="K661" s="20">
        <f>D661/MAX(D$2:D661)-1</f>
        <v/>
      </c>
      <c r="L661" s="20">
        <f>E661/E660-1</f>
        <v/>
      </c>
      <c r="M661" s="20">
        <f>E661/MAX(E$2:E661)-1</f>
        <v/>
      </c>
    </row>
    <row r="662">
      <c r="A662" s="11" t="n">
        <v>44652</v>
      </c>
      <c r="B662" s="19" t="n">
        <v>1.891322575745232</v>
      </c>
      <c r="C662" s="19" t="n">
        <v>1.56176309523151</v>
      </c>
      <c r="D662" s="19" t="n">
        <v>1.723441206559594</v>
      </c>
      <c r="E662" s="19" t="n">
        <v>1.268013703470876</v>
      </c>
      <c r="F662" s="20">
        <f>B662/B661-1</f>
        <v/>
      </c>
      <c r="G662" s="20">
        <f>B662/MAX(B$2:B662)-1</f>
        <v/>
      </c>
      <c r="H662" s="20">
        <f>C662/C661-1</f>
        <v/>
      </c>
      <c r="I662" s="20">
        <f>C662/MAX(C$2:C662)-1</f>
        <v/>
      </c>
      <c r="J662" s="20">
        <f>D662/D661-1</f>
        <v/>
      </c>
      <c r="K662" s="20">
        <f>D662/MAX(D$2:D662)-1</f>
        <v/>
      </c>
      <c r="L662" s="20">
        <f>E662/E661-1</f>
        <v/>
      </c>
      <c r="M662" s="20">
        <f>E662/MAX(E$2:E662)-1</f>
        <v/>
      </c>
    </row>
    <row r="663">
      <c r="A663" s="11" t="n">
        <v>44657</v>
      </c>
      <c r="B663" s="19" t="n">
        <v>1.881953474455114</v>
      </c>
      <c r="C663" s="19" t="n">
        <v>1.545201748059095</v>
      </c>
      <c r="D663" s="19" t="n">
        <v>1.702077594252856</v>
      </c>
      <c r="E663" s="19" t="n">
        <v>1.267124688937907</v>
      </c>
      <c r="F663" s="20">
        <f>B663/B662-1</f>
        <v/>
      </c>
      <c r="G663" s="20">
        <f>B663/MAX(B$2:B663)-1</f>
        <v/>
      </c>
      <c r="H663" s="20">
        <f>C663/C662-1</f>
        <v/>
      </c>
      <c r="I663" s="20">
        <f>C663/MAX(C$2:C663)-1</f>
        <v/>
      </c>
      <c r="J663" s="20">
        <f>D663/D662-1</f>
        <v/>
      </c>
      <c r="K663" s="20">
        <f>D663/MAX(D$2:D663)-1</f>
        <v/>
      </c>
      <c r="L663" s="20">
        <f>E663/E662-1</f>
        <v/>
      </c>
      <c r="M663" s="20">
        <f>E663/MAX(E$2:E663)-1</f>
        <v/>
      </c>
    </row>
    <row r="664">
      <c r="A664" s="11" t="n">
        <v>44658</v>
      </c>
      <c r="B664" s="19" t="n">
        <v>1.86643469719294</v>
      </c>
      <c r="C664" s="19" t="n">
        <v>1.517769889872084</v>
      </c>
      <c r="D664" s="19" t="n">
        <v>1.666292033106733</v>
      </c>
      <c r="E664" s="19" t="n">
        <v>1.245077872465472</v>
      </c>
      <c r="F664" s="20">
        <f>B664/B663-1</f>
        <v/>
      </c>
      <c r="G664" s="20">
        <f>B664/MAX(B$2:B664)-1</f>
        <v/>
      </c>
      <c r="H664" s="20">
        <f>C664/C663-1</f>
        <v/>
      </c>
      <c r="I664" s="20">
        <f>C664/MAX(C$2:C664)-1</f>
        <v/>
      </c>
      <c r="J664" s="20">
        <f>D664/D663-1</f>
        <v/>
      </c>
      <c r="K664" s="20">
        <f>D664/MAX(D$2:D664)-1</f>
        <v/>
      </c>
      <c r="L664" s="20">
        <f>E664/E663-1</f>
        <v/>
      </c>
      <c r="M664" s="20">
        <f>E664/MAX(E$2:E664)-1</f>
        <v/>
      </c>
    </row>
    <row r="665">
      <c r="A665" s="11" t="n">
        <v>44659</v>
      </c>
      <c r="B665" s="19" t="n">
        <v>1.861428413543215</v>
      </c>
      <c r="C665" s="19" t="n">
        <v>1.50892050304198</v>
      </c>
      <c r="D665" s="19" t="n">
        <v>1.660720155903739</v>
      </c>
      <c r="E665" s="19" t="n">
        <v>1.24532709411279</v>
      </c>
      <c r="F665" s="20">
        <f>B665/B664-1</f>
        <v/>
      </c>
      <c r="G665" s="20">
        <f>B665/MAX(B$2:B665)-1</f>
        <v/>
      </c>
      <c r="H665" s="20">
        <f>C665/C664-1</f>
        <v/>
      </c>
      <c r="I665" s="20">
        <f>C665/MAX(C$2:C665)-1</f>
        <v/>
      </c>
      <c r="J665" s="20">
        <f>D665/D664-1</f>
        <v/>
      </c>
      <c r="K665" s="20">
        <f>D665/MAX(D$2:D665)-1</f>
        <v/>
      </c>
      <c r="L665" s="20">
        <f>E665/E664-1</f>
        <v/>
      </c>
      <c r="M665" s="20">
        <f>E665/MAX(E$2:E665)-1</f>
        <v/>
      </c>
    </row>
    <row r="666">
      <c r="A666" s="11" t="n">
        <v>44662</v>
      </c>
      <c r="B666" s="19" t="n">
        <v>1.828720873293034</v>
      </c>
      <c r="C666" s="19" t="n">
        <v>1.45110482654691</v>
      </c>
      <c r="D666" s="19" t="n">
        <v>1.591014468347223</v>
      </c>
      <c r="E666" s="19" t="n">
        <v>1.20584964123242</v>
      </c>
      <c r="F666" s="20">
        <f>B666/B665-1</f>
        <v/>
      </c>
      <c r="G666" s="20">
        <f>B666/MAX(B$2:B666)-1</f>
        <v/>
      </c>
      <c r="H666" s="20">
        <f>C666/C665-1</f>
        <v/>
      </c>
      <c r="I666" s="20">
        <f>C666/MAX(C$2:C666)-1</f>
        <v/>
      </c>
      <c r="J666" s="20">
        <f>D666/D665-1</f>
        <v/>
      </c>
      <c r="K666" s="20">
        <f>D666/MAX(D$2:D666)-1</f>
        <v/>
      </c>
      <c r="L666" s="20">
        <f>E666/E665-1</f>
        <v/>
      </c>
      <c r="M666" s="20">
        <f>E666/MAX(E$2:E666)-1</f>
        <v/>
      </c>
    </row>
    <row r="667">
      <c r="A667" s="11" t="n">
        <v>44663</v>
      </c>
      <c r="B667" s="19" t="n">
        <v>1.846365072091004</v>
      </c>
      <c r="C667" s="19" t="n">
        <v>1.482293698651485</v>
      </c>
      <c r="D667" s="19" t="n">
        <v>1.63085420135102</v>
      </c>
      <c r="E667" s="19" t="n">
        <v>1.226230020421296</v>
      </c>
      <c r="F667" s="20">
        <f>B667/B666-1</f>
        <v/>
      </c>
      <c r="G667" s="20">
        <f>B667/MAX(B$2:B667)-1</f>
        <v/>
      </c>
      <c r="H667" s="20">
        <f>C667/C666-1</f>
        <v/>
      </c>
      <c r="I667" s="20">
        <f>C667/MAX(C$2:C667)-1</f>
        <v/>
      </c>
      <c r="J667" s="20">
        <f>D667/D666-1</f>
        <v/>
      </c>
      <c r="K667" s="20">
        <f>D667/MAX(D$2:D667)-1</f>
        <v/>
      </c>
      <c r="L667" s="20">
        <f>E667/E666-1</f>
        <v/>
      </c>
      <c r="M667" s="20">
        <f>E667/MAX(E$2:E667)-1</f>
        <v/>
      </c>
    </row>
    <row r="668">
      <c r="A668" s="11" t="n">
        <v>44664</v>
      </c>
      <c r="B668" s="19" t="n">
        <v>1.831939972075293</v>
      </c>
      <c r="C668" s="19" t="n">
        <v>1.456795085501793</v>
      </c>
      <c r="D668" s="19" t="n">
        <v>1.594114953094013</v>
      </c>
      <c r="E668" s="19" t="n">
        <v>1.209431737446854</v>
      </c>
      <c r="F668" s="20">
        <f>B668/B667-1</f>
        <v/>
      </c>
      <c r="G668" s="20">
        <f>B668/MAX(B$2:B668)-1</f>
        <v/>
      </c>
      <c r="H668" s="20">
        <f>C668/C667-1</f>
        <v/>
      </c>
      <c r="I668" s="20">
        <f>C668/MAX(C$2:C668)-1</f>
        <v/>
      </c>
      <c r="J668" s="20">
        <f>D668/D667-1</f>
        <v/>
      </c>
      <c r="K668" s="20">
        <f>D668/MAX(D$2:D668)-1</f>
        <v/>
      </c>
      <c r="L668" s="20">
        <f>E668/E667-1</f>
        <v/>
      </c>
      <c r="M668" s="20">
        <f>E668/MAX(E$2:E668)-1</f>
        <v/>
      </c>
    </row>
    <row r="669">
      <c r="A669" s="11" t="n">
        <v>44665</v>
      </c>
      <c r="B669" s="19" t="n">
        <v>1.842194148656973</v>
      </c>
      <c r="C669" s="19" t="n">
        <v>1.47492094123521</v>
      </c>
      <c r="D669" s="19" t="n">
        <v>1.593760761533181</v>
      </c>
      <c r="E669" s="19" t="n">
        <v>1.223581575452784</v>
      </c>
      <c r="F669" s="20">
        <f>B669/B668-1</f>
        <v/>
      </c>
      <c r="G669" s="20">
        <f>B669/MAX(B$2:B669)-1</f>
        <v/>
      </c>
      <c r="H669" s="20">
        <f>C669/C668-1</f>
        <v/>
      </c>
      <c r="I669" s="20">
        <f>C669/MAX(C$2:C669)-1</f>
        <v/>
      </c>
      <c r="J669" s="20">
        <f>D669/D668-1</f>
        <v/>
      </c>
      <c r="K669" s="20">
        <f>D669/MAX(D$2:D669)-1</f>
        <v/>
      </c>
      <c r="L669" s="20">
        <f>E669/E668-1</f>
        <v/>
      </c>
      <c r="M669" s="20">
        <f>E669/MAX(E$2:E669)-1</f>
        <v/>
      </c>
    </row>
    <row r="670">
      <c r="A670" s="11" t="n">
        <v>44666</v>
      </c>
      <c r="B670" s="19" t="n">
        <v>1.838672051861692</v>
      </c>
      <c r="C670" s="19" t="n">
        <v>1.468695086054945</v>
      </c>
      <c r="D670" s="19" t="n">
        <v>1.589928112877574</v>
      </c>
      <c r="E670" s="19" t="n">
        <v>1.214892295331372</v>
      </c>
      <c r="F670" s="20">
        <f>B670/B669-1</f>
        <v/>
      </c>
      <c r="G670" s="20">
        <f>B670/MAX(B$2:B670)-1</f>
        <v/>
      </c>
      <c r="H670" s="20">
        <f>C670/C669-1</f>
        <v/>
      </c>
      <c r="I670" s="20">
        <f>C670/MAX(C$2:C670)-1</f>
        <v/>
      </c>
      <c r="J670" s="20">
        <f>D670/D669-1</f>
        <v/>
      </c>
      <c r="K670" s="20">
        <f>D670/MAX(D$2:D670)-1</f>
        <v/>
      </c>
      <c r="L670" s="20">
        <f>E670/E669-1</f>
        <v/>
      </c>
      <c r="M670" s="20">
        <f>E670/MAX(E$2:E670)-1</f>
        <v/>
      </c>
    </row>
    <row r="671">
      <c r="A671" s="11" t="n">
        <v>44669</v>
      </c>
      <c r="B671" s="19" t="n">
        <v>1.848415580871538</v>
      </c>
      <c r="C671" s="19" t="n">
        <v>1.485918292595232</v>
      </c>
      <c r="D671" s="19" t="n">
        <v>1.607641955951649</v>
      </c>
      <c r="E671" s="19" t="n">
        <v>1.214892295331372</v>
      </c>
      <c r="F671" s="20">
        <f>B671/B670-1</f>
        <v/>
      </c>
      <c r="G671" s="20">
        <f>B671/MAX(B$2:B671)-1</f>
        <v/>
      </c>
      <c r="H671" s="20">
        <f>C671/C670-1</f>
        <v/>
      </c>
      <c r="I671" s="20">
        <f>C671/MAX(C$2:C671)-1</f>
        <v/>
      </c>
      <c r="J671" s="20">
        <f>D671/D670-1</f>
        <v/>
      </c>
      <c r="K671" s="20">
        <f>D671/MAX(D$2:D671)-1</f>
        <v/>
      </c>
      <c r="L671" s="20">
        <f>E671/E670-1</f>
        <v/>
      </c>
      <c r="M671" s="20">
        <f>E671/MAX(E$2:E671)-1</f>
        <v/>
      </c>
    </row>
    <row r="672">
      <c r="A672" s="11" t="n">
        <v>44670</v>
      </c>
      <c r="B672" s="19" t="n">
        <v>1.840625878833491</v>
      </c>
      <c r="C672" s="19" t="n">
        <v>1.472148779829066</v>
      </c>
      <c r="D672" s="19" t="n">
        <v>1.585522851300871</v>
      </c>
      <c r="E672" s="19" t="n">
        <v>1.212340563240923</v>
      </c>
      <c r="F672" s="20">
        <f>B672/B671-1</f>
        <v/>
      </c>
      <c r="G672" s="20">
        <f>B672/MAX(B$2:B672)-1</f>
        <v/>
      </c>
      <c r="H672" s="20">
        <f>C672/C671-1</f>
        <v/>
      </c>
      <c r="I672" s="20">
        <f>C672/MAX(C$2:C672)-1</f>
        <v/>
      </c>
      <c r="J672" s="20">
        <f>D672/D671-1</f>
        <v/>
      </c>
      <c r="K672" s="20">
        <f>D672/MAX(D$2:D672)-1</f>
        <v/>
      </c>
      <c r="L672" s="20">
        <f>E672/E671-1</f>
        <v/>
      </c>
      <c r="M672" s="20">
        <f>E672/MAX(E$2:E672)-1</f>
        <v/>
      </c>
    </row>
    <row r="673">
      <c r="A673" s="11" t="n">
        <v>44671</v>
      </c>
      <c r="B673" s="19" t="n">
        <v>1.827269911456452</v>
      </c>
      <c r="C673" s="19" t="n">
        <v>1.448540025295919</v>
      </c>
      <c r="D673" s="19" t="n">
        <v>1.527432591969448</v>
      </c>
      <c r="E673" s="19" t="n">
        <v>1.192823160502461</v>
      </c>
      <c r="F673" s="20">
        <f>B673/B672-1</f>
        <v/>
      </c>
      <c r="G673" s="20">
        <f>B673/MAX(B$2:B673)-1</f>
        <v/>
      </c>
      <c r="H673" s="20">
        <f>C673/C672-1</f>
        <v/>
      </c>
      <c r="I673" s="20">
        <f>C673/MAX(C$2:C673)-1</f>
        <v/>
      </c>
      <c r="J673" s="20">
        <f>D673/D672-1</f>
        <v/>
      </c>
      <c r="K673" s="20">
        <f>D673/MAX(D$2:D673)-1</f>
        <v/>
      </c>
      <c r="L673" s="20">
        <f>E673/E672-1</f>
        <v/>
      </c>
      <c r="M673" s="20">
        <f>E673/MAX(E$2:E673)-1</f>
        <v/>
      </c>
    </row>
    <row r="674">
      <c r="A674" s="11" t="n">
        <v>44672</v>
      </c>
      <c r="B674" s="19" t="n">
        <v>1.804112182851529</v>
      </c>
      <c r="C674" s="19" t="n">
        <v>1.407605129698702</v>
      </c>
      <c r="D674" s="19" t="n">
        <v>1.494348282681442</v>
      </c>
      <c r="E674" s="19" t="n">
        <v>1.159661802504864</v>
      </c>
      <c r="F674" s="20">
        <f>B674/B673-1</f>
        <v/>
      </c>
      <c r="G674" s="20">
        <f>B674/MAX(B$2:B674)-1</f>
        <v/>
      </c>
      <c r="H674" s="20">
        <f>C674/C673-1</f>
        <v/>
      </c>
      <c r="I674" s="20">
        <f>C674/MAX(C$2:C674)-1</f>
        <v/>
      </c>
      <c r="J674" s="20">
        <f>D674/D673-1</f>
        <v/>
      </c>
      <c r="K674" s="20">
        <f>D674/MAX(D$2:D674)-1</f>
        <v/>
      </c>
      <c r="L674" s="20">
        <f>E674/E673-1</f>
        <v/>
      </c>
      <c r="M674" s="20">
        <f>E674/MAX(E$2:E674)-1</f>
        <v/>
      </c>
    </row>
    <row r="675">
      <c r="A675" s="11" t="n">
        <v>44673</v>
      </c>
      <c r="B675" s="19" t="n">
        <v>1.799481714698691</v>
      </c>
      <c r="C675" s="19" t="n">
        <v>1.399420055348952</v>
      </c>
      <c r="D675" s="19" t="n">
        <v>1.484099086526976</v>
      </c>
      <c r="E675" s="19" t="n">
        <v>1.156645104654493</v>
      </c>
      <c r="F675" s="20">
        <f>B675/B674-1</f>
        <v/>
      </c>
      <c r="G675" s="20">
        <f>B675/MAX(B$2:B675)-1</f>
        <v/>
      </c>
      <c r="H675" s="20">
        <f>C675/C674-1</f>
        <v/>
      </c>
      <c r="I675" s="20">
        <f>C675/MAX(C$2:C675)-1</f>
        <v/>
      </c>
      <c r="J675" s="20">
        <f>D675/D674-1</f>
        <v/>
      </c>
      <c r="K675" s="20">
        <f>D675/MAX(D$2:D675)-1</f>
        <v/>
      </c>
      <c r="L675" s="20">
        <f>E675/E674-1</f>
        <v/>
      </c>
      <c r="M675" s="20">
        <f>E675/MAX(E$2:E675)-1</f>
        <v/>
      </c>
    </row>
    <row r="676">
      <c r="A676" s="11" t="n">
        <v>44676</v>
      </c>
      <c r="B676" s="19" t="n">
        <v>1.752299985217218</v>
      </c>
      <c r="C676" s="19" t="n">
        <v>1.316018992862645</v>
      </c>
      <c r="D676" s="19" t="n">
        <v>1.401647220164919</v>
      </c>
      <c r="E676" s="19" t="n">
        <v>1.086669617649356</v>
      </c>
      <c r="F676" s="20">
        <f>B676/B675-1</f>
        <v/>
      </c>
      <c r="G676" s="20">
        <f>B676/MAX(B$2:B676)-1</f>
        <v/>
      </c>
      <c r="H676" s="20">
        <f>C676/C675-1</f>
        <v/>
      </c>
      <c r="I676" s="20">
        <f>C676/MAX(C$2:C676)-1</f>
        <v/>
      </c>
      <c r="J676" s="20">
        <f>D676/D675-1</f>
        <v/>
      </c>
      <c r="K676" s="20">
        <f>D676/MAX(D$2:D676)-1</f>
        <v/>
      </c>
      <c r="L676" s="20">
        <f>E676/E675-1</f>
        <v/>
      </c>
      <c r="M676" s="20">
        <f>E676/MAX(E$2:E676)-1</f>
        <v/>
      </c>
    </row>
    <row r="677">
      <c r="A677" s="11" t="n">
        <v>44677</v>
      </c>
      <c r="B677" s="19" t="n">
        <v>1.738615413978011</v>
      </c>
      <c r="C677" s="19" t="n">
        <v>1.291829379773799</v>
      </c>
      <c r="D677" s="19" t="n">
        <v>1.389697891594119</v>
      </c>
      <c r="E677" s="19" t="n">
        <v>1.066564498190353</v>
      </c>
      <c r="F677" s="20">
        <f>B677/B676-1</f>
        <v/>
      </c>
      <c r="G677" s="20">
        <f>B677/MAX(B$2:B677)-1</f>
        <v/>
      </c>
      <c r="H677" s="20">
        <f>C677/C676-1</f>
        <v/>
      </c>
      <c r="I677" s="20">
        <f>C677/MAX(C$2:C677)-1</f>
        <v/>
      </c>
      <c r="J677" s="20">
        <f>D677/D676-1</f>
        <v/>
      </c>
      <c r="K677" s="20">
        <f>D677/MAX(D$2:D677)-1</f>
        <v/>
      </c>
      <c r="L677" s="20">
        <f>E677/E676-1</f>
        <v/>
      </c>
      <c r="M677" s="20">
        <f>E677/MAX(E$2:E677)-1</f>
        <v/>
      </c>
    </row>
    <row r="678">
      <c r="A678" s="11" t="n">
        <v>44678</v>
      </c>
      <c r="B678" s="19" t="n">
        <v>1.778305618029158</v>
      </c>
      <c r="C678" s="19" t="n">
        <v>1.351406535332155</v>
      </c>
      <c r="D678" s="19" t="n">
        <v>1.466377036496465</v>
      </c>
      <c r="E678" s="19" t="n">
        <v>1.103255876237274</v>
      </c>
      <c r="F678" s="20">
        <f>B678/B677-1</f>
        <v/>
      </c>
      <c r="G678" s="20">
        <f>B678/MAX(B$2:B678)-1</f>
        <v/>
      </c>
      <c r="H678" s="20">
        <f>C678/C677-1</f>
        <v/>
      </c>
      <c r="I678" s="20">
        <f>C678/MAX(C$2:C678)-1</f>
        <v/>
      </c>
      <c r="J678" s="20">
        <f>D678/D677-1</f>
        <v/>
      </c>
      <c r="K678" s="20">
        <f>D678/MAX(D$2:D678)-1</f>
        <v/>
      </c>
      <c r="L678" s="20">
        <f>E678/E677-1</f>
        <v/>
      </c>
      <c r="M678" s="20">
        <f>E678/MAX(E$2:E678)-1</f>
        <v/>
      </c>
    </row>
    <row r="679">
      <c r="A679" s="11" t="n">
        <v>44679</v>
      </c>
      <c r="B679" s="19" t="n">
        <v>1.776931814595549</v>
      </c>
      <c r="C679" s="19" t="n">
        <v>1.349344381638886</v>
      </c>
      <c r="D679" s="19" t="n">
        <v>1.439548495907217</v>
      </c>
      <c r="E679" s="19" t="n">
        <v>1.102374301156463</v>
      </c>
      <c r="F679" s="20">
        <f>B679/B678-1</f>
        <v/>
      </c>
      <c r="G679" s="20">
        <f>B679/MAX(B$2:B679)-1</f>
        <v/>
      </c>
      <c r="H679" s="20">
        <f>C679/C678-1</f>
        <v/>
      </c>
      <c r="I679" s="20">
        <f>C679/MAX(C$2:C679)-1</f>
        <v/>
      </c>
      <c r="J679" s="20">
        <f>D679/D678-1</f>
        <v/>
      </c>
      <c r="K679" s="20">
        <f>D679/MAX(D$2:D679)-1</f>
        <v/>
      </c>
      <c r="L679" s="20">
        <f>E679/E678-1</f>
        <v/>
      </c>
      <c r="M679" s="20">
        <f>E679/MAX(E$2:E679)-1</f>
        <v/>
      </c>
    </row>
    <row r="680">
      <c r="A680" s="11" t="n">
        <v>44680</v>
      </c>
      <c r="B680" s="19" t="n">
        <v>1.812288507092674</v>
      </c>
      <c r="C680" s="19" t="n">
        <v>1.402416700597381</v>
      </c>
      <c r="D680" s="19" t="n">
        <v>1.498665852605518</v>
      </c>
      <c r="E680" s="19" t="n">
        <v>1.138310574809271</v>
      </c>
      <c r="F680" s="20">
        <f>B680/B679-1</f>
        <v/>
      </c>
      <c r="G680" s="20">
        <f>B680/MAX(B$2:B680)-1</f>
        <v/>
      </c>
      <c r="H680" s="20">
        <f>C680/C679-1</f>
        <v/>
      </c>
      <c r="I680" s="20">
        <f>C680/MAX(C$2:C680)-1</f>
        <v/>
      </c>
      <c r="J680" s="20">
        <f>D680/D679-1</f>
        <v/>
      </c>
      <c r="K680" s="20">
        <f>D680/MAX(D$2:D680)-1</f>
        <v/>
      </c>
      <c r="L680" s="20">
        <f>E680/E679-1</f>
        <v/>
      </c>
      <c r="M680" s="20">
        <f>E680/MAX(E$2:E680)-1</f>
        <v/>
      </c>
    </row>
    <row r="681">
      <c r="A681" s="11" t="n">
        <v>44686</v>
      </c>
      <c r="B681" s="19" t="n">
        <v>1.811791243571431</v>
      </c>
      <c r="C681" s="19" t="n">
        <v>1.401670280999225</v>
      </c>
      <c r="D681" s="19" t="n">
        <v>1.478805470382354</v>
      </c>
      <c r="E681" s="19" t="n">
        <v>1.145709109981141</v>
      </c>
      <c r="F681" s="20">
        <f>B681/B680-1</f>
        <v/>
      </c>
      <c r="G681" s="20">
        <f>B681/MAX(B$2:B681)-1</f>
        <v/>
      </c>
      <c r="H681" s="20">
        <f>C681/C680-1</f>
        <v/>
      </c>
      <c r="I681" s="20">
        <f>C681/MAX(C$2:C681)-1</f>
        <v/>
      </c>
      <c r="J681" s="20">
        <f>D681/D680-1</f>
        <v/>
      </c>
      <c r="K681" s="20">
        <f>D681/MAX(D$2:D681)-1</f>
        <v/>
      </c>
      <c r="L681" s="20">
        <f>E681/E680-1</f>
        <v/>
      </c>
      <c r="M681" s="20">
        <f>E681/MAX(E$2:E681)-1</f>
        <v/>
      </c>
    </row>
    <row r="682">
      <c r="A682" s="11" t="n">
        <v>44687</v>
      </c>
      <c r="B682" s="19" t="n">
        <v>1.792345253361626</v>
      </c>
      <c r="C682" s="19" t="n">
        <v>1.372480791768509</v>
      </c>
      <c r="D682" s="19" t="n">
        <v>1.450737097775934</v>
      </c>
      <c r="E682" s="19" t="n">
        <v>1.122564974315291</v>
      </c>
      <c r="F682" s="20">
        <f>B682/B681-1</f>
        <v/>
      </c>
      <c r="G682" s="20">
        <f>B682/MAX(B$2:B682)-1</f>
        <v/>
      </c>
      <c r="H682" s="20">
        <f>C682/C681-1</f>
        <v/>
      </c>
      <c r="I682" s="20">
        <f>C682/MAX(C$2:C682)-1</f>
        <v/>
      </c>
      <c r="J682" s="20">
        <f>D682/D681-1</f>
        <v/>
      </c>
      <c r="K682" s="20">
        <f>D682/MAX(D$2:D682)-1</f>
        <v/>
      </c>
      <c r="L682" s="20">
        <f>E682/E681-1</f>
        <v/>
      </c>
      <c r="M682" s="20">
        <f>E682/MAX(E$2:E682)-1</f>
        <v/>
      </c>
    </row>
    <row r="683">
      <c r="A683" s="11" t="n">
        <v>44690</v>
      </c>
      <c r="B683" s="19" t="n">
        <v>1.792494291423058</v>
      </c>
      <c r="C683" s="19" t="n">
        <v>1.372704506006879</v>
      </c>
      <c r="D683" s="19" t="n">
        <v>1.439818808495971</v>
      </c>
      <c r="E683" s="19" t="n">
        <v>1.124696377358771</v>
      </c>
      <c r="F683" s="20">
        <f>B683/B682-1</f>
        <v/>
      </c>
      <c r="G683" s="20">
        <f>B683/MAX(B$2:B683)-1</f>
        <v/>
      </c>
      <c r="H683" s="20">
        <f>C683/C682-1</f>
        <v/>
      </c>
      <c r="I683" s="20">
        <f>C683/MAX(C$2:C683)-1</f>
        <v/>
      </c>
      <c r="J683" s="20">
        <f>D683/D682-1</f>
        <v/>
      </c>
      <c r="K683" s="20">
        <f>D683/MAX(D$2:D683)-1</f>
        <v/>
      </c>
      <c r="L683" s="20">
        <f>E683/E682-1</f>
        <v/>
      </c>
      <c r="M683" s="20">
        <f>E683/MAX(E$2:E683)-1</f>
        <v/>
      </c>
    </row>
    <row r="684">
      <c r="A684" s="11" t="n">
        <v>44691</v>
      </c>
      <c r="B684" s="19" t="n">
        <v>1.802844217328409</v>
      </c>
      <c r="C684" s="19" t="n">
        <v>1.388240307860807</v>
      </c>
      <c r="D684" s="19" t="n">
        <v>1.471012932935531</v>
      </c>
      <c r="E684" s="19" t="n">
        <v>1.140553569635132</v>
      </c>
      <c r="F684" s="20">
        <f>B684/B683-1</f>
        <v/>
      </c>
      <c r="G684" s="20">
        <f>B684/MAX(B$2:B684)-1</f>
        <v/>
      </c>
      <c r="H684" s="20">
        <f>C684/C683-1</f>
        <v/>
      </c>
      <c r="I684" s="20">
        <f>C684/MAX(C$2:C684)-1</f>
        <v/>
      </c>
      <c r="J684" s="20">
        <f>D684/D683-1</f>
        <v/>
      </c>
      <c r="K684" s="20">
        <f>D684/MAX(D$2:D684)-1</f>
        <v/>
      </c>
      <c r="L684" s="20">
        <f>E684/E683-1</f>
        <v/>
      </c>
      <c r="M684" s="20">
        <f>E684/MAX(E$2:E684)-1</f>
        <v/>
      </c>
    </row>
    <row r="685">
      <c r="A685" s="11" t="n">
        <v>44692</v>
      </c>
      <c r="B685" s="19" t="n">
        <v>1.820256772091152</v>
      </c>
      <c r="C685" s="19" t="n">
        <v>1.414377499859908</v>
      </c>
      <c r="D685" s="19" t="n">
        <v>1.516123147513838</v>
      </c>
      <c r="E685" s="19" t="n">
        <v>1.153215517209313</v>
      </c>
      <c r="F685" s="20">
        <f>B685/B684-1</f>
        <v/>
      </c>
      <c r="G685" s="20">
        <f>B685/MAX(B$2:B685)-1</f>
        <v/>
      </c>
      <c r="H685" s="20">
        <f>C685/C684-1</f>
        <v/>
      </c>
      <c r="I685" s="20">
        <f>C685/MAX(C$2:C685)-1</f>
        <v/>
      </c>
      <c r="J685" s="20">
        <f>D685/D684-1</f>
        <v/>
      </c>
      <c r="K685" s="20">
        <f>D685/MAX(D$2:D685)-1</f>
        <v/>
      </c>
      <c r="L685" s="20">
        <f>E685/E684-1</f>
        <v/>
      </c>
      <c r="M685" s="20">
        <f>E685/MAX(E$2:E685)-1</f>
        <v/>
      </c>
    </row>
    <row r="686">
      <c r="A686" s="11" t="n">
        <v>44693</v>
      </c>
      <c r="B686" s="19" t="n">
        <v>1.820139425847126</v>
      </c>
      <c r="C686" s="19" t="n">
        <v>1.414201356763604</v>
      </c>
      <c r="D686" s="19" t="n">
        <v>1.519431649526514</v>
      </c>
      <c r="E686" s="19" t="n">
        <v>1.153330828717773</v>
      </c>
      <c r="F686" s="20">
        <f>B686/B685-1</f>
        <v/>
      </c>
      <c r="G686" s="20">
        <f>B686/MAX(B$2:B686)-1</f>
        <v/>
      </c>
      <c r="H686" s="20">
        <f>C686/C685-1</f>
        <v/>
      </c>
      <c r="I686" s="20">
        <f>C686/MAX(C$2:C686)-1</f>
        <v/>
      </c>
      <c r="J686" s="20">
        <f>D686/D685-1</f>
        <v/>
      </c>
      <c r="K686" s="20">
        <f>D686/MAX(D$2:D686)-1</f>
        <v/>
      </c>
      <c r="L686" s="20">
        <f>E686/E685-1</f>
        <v/>
      </c>
      <c r="M686" s="20">
        <f>E686/MAX(E$2:E686)-1</f>
        <v/>
      </c>
    </row>
    <row r="687">
      <c r="A687" s="11" t="n">
        <v>44694</v>
      </c>
      <c r="B687" s="19" t="n">
        <v>1.817092076553199</v>
      </c>
      <c r="C687" s="19" t="n">
        <v>1.409627119687598</v>
      </c>
      <c r="D687" s="19" t="n">
        <v>1.523883632595369</v>
      </c>
      <c r="E687" s="19" t="n">
        <v>1.161748568835391</v>
      </c>
      <c r="F687" s="20">
        <f>B687/B686-1</f>
        <v/>
      </c>
      <c r="G687" s="20">
        <f>B687/MAX(B$2:B687)-1</f>
        <v/>
      </c>
      <c r="H687" s="20">
        <f>C687/C686-1</f>
        <v/>
      </c>
      <c r="I687" s="20">
        <f>C687/MAX(C$2:C687)-1</f>
        <v/>
      </c>
      <c r="J687" s="20">
        <f>D687/D686-1</f>
        <v/>
      </c>
      <c r="K687" s="20">
        <f>D687/MAX(D$2:D687)-1</f>
        <v/>
      </c>
      <c r="L687" s="20">
        <f>E687/E686-1</f>
        <v/>
      </c>
      <c r="M687" s="20">
        <f>E687/MAX(E$2:E687)-1</f>
        <v/>
      </c>
    </row>
    <row r="688">
      <c r="A688" s="11" t="n">
        <v>44697</v>
      </c>
      <c r="B688" s="19" t="n">
        <v>1.80861706291927</v>
      </c>
      <c r="C688" s="19" t="n">
        <v>1.396905663154467</v>
      </c>
      <c r="D688" s="19" t="n">
        <v>1.506480684540298</v>
      </c>
      <c r="E688" s="19" t="n">
        <v>1.157798219739099</v>
      </c>
      <c r="F688" s="20">
        <f>B688/B687-1</f>
        <v/>
      </c>
      <c r="G688" s="20">
        <f>B688/MAX(B$2:B688)-1</f>
        <v/>
      </c>
      <c r="H688" s="20">
        <f>C688/C687-1</f>
        <v/>
      </c>
      <c r="I688" s="20">
        <f>C688/MAX(C$2:C688)-1</f>
        <v/>
      </c>
      <c r="J688" s="20">
        <f>D688/D687-1</f>
        <v/>
      </c>
      <c r="K688" s="20">
        <f>D688/MAX(D$2:D688)-1</f>
        <v/>
      </c>
      <c r="L688" s="20">
        <f>E688/E687-1</f>
        <v/>
      </c>
      <c r="M688" s="20">
        <f>E688/MAX(E$2:E688)-1</f>
        <v/>
      </c>
    </row>
    <row r="689">
      <c r="A689" s="11" t="n">
        <v>44698</v>
      </c>
      <c r="B689" s="19" t="n">
        <v>1.815119365063654</v>
      </c>
      <c r="C689" s="19" t="n">
        <v>1.406665972419801</v>
      </c>
      <c r="D689" s="19" t="n">
        <v>1.530945750919389</v>
      </c>
      <c r="E689" s="19" t="n">
        <v>1.167640614945116</v>
      </c>
      <c r="F689" s="20">
        <f>B689/B688-1</f>
        <v/>
      </c>
      <c r="G689" s="20">
        <f>B689/MAX(B$2:B689)-1</f>
        <v/>
      </c>
      <c r="H689" s="20">
        <f>C689/C688-1</f>
        <v/>
      </c>
      <c r="I689" s="20">
        <f>C689/MAX(C$2:C689)-1</f>
        <v/>
      </c>
      <c r="J689" s="20">
        <f>D689/D688-1</f>
        <v/>
      </c>
      <c r="K689" s="20">
        <f>D689/MAX(D$2:D689)-1</f>
        <v/>
      </c>
      <c r="L689" s="20">
        <f>E689/E688-1</f>
        <v/>
      </c>
      <c r="M689" s="20">
        <f>E689/MAX(E$2:E689)-1</f>
        <v/>
      </c>
    </row>
    <row r="690">
      <c r="A690" s="11" t="n">
        <v>44699</v>
      </c>
      <c r="B690" s="19" t="n">
        <v>1.818726432228799</v>
      </c>
      <c r="C690" s="19" t="n">
        <v>1.412080376470996</v>
      </c>
      <c r="D690" s="19" t="n">
        <v>1.52854686401532</v>
      </c>
      <c r="E690" s="19" t="n">
        <v>1.166941306442194</v>
      </c>
      <c r="F690" s="20">
        <f>B690/B689-1</f>
        <v/>
      </c>
      <c r="G690" s="20">
        <f>B690/MAX(B$2:B690)-1</f>
        <v/>
      </c>
      <c r="H690" s="20">
        <f>C690/C689-1</f>
        <v/>
      </c>
      <c r="I690" s="20">
        <f>C690/MAX(C$2:C690)-1</f>
        <v/>
      </c>
      <c r="J690" s="20">
        <f>D690/D689-1</f>
        <v/>
      </c>
      <c r="K690" s="20">
        <f>D690/MAX(D$2:D690)-1</f>
        <v/>
      </c>
      <c r="L690" s="20">
        <f>E690/E689-1</f>
        <v/>
      </c>
      <c r="M690" s="20">
        <f>E690/MAX(E$2:E690)-1</f>
        <v/>
      </c>
    </row>
    <row r="691">
      <c r="A691" s="11" t="n">
        <v>44700</v>
      </c>
      <c r="B691" s="19" t="n">
        <v>1.826304237373794</v>
      </c>
      <c r="C691" s="19" t="n">
        <v>1.423455074251145</v>
      </c>
      <c r="D691" s="19" t="n">
        <v>1.536139720396103</v>
      </c>
      <c r="E691" s="19" t="n">
        <v>1.173008179677649</v>
      </c>
      <c r="F691" s="20">
        <f>B691/B690-1</f>
        <v/>
      </c>
      <c r="G691" s="20">
        <f>B691/MAX(B$2:B691)-1</f>
        <v/>
      </c>
      <c r="H691" s="20">
        <f>C691/C690-1</f>
        <v/>
      </c>
      <c r="I691" s="20">
        <f>C691/MAX(C$2:C691)-1</f>
        <v/>
      </c>
      <c r="J691" s="20">
        <f>D691/D690-1</f>
        <v/>
      </c>
      <c r="K691" s="20">
        <f>D691/MAX(D$2:D691)-1</f>
        <v/>
      </c>
      <c r="L691" s="20">
        <f>E691/E690-1</f>
        <v/>
      </c>
      <c r="M691" s="20">
        <f>E691/MAX(E$2:E691)-1</f>
        <v/>
      </c>
    </row>
    <row r="692">
      <c r="A692" s="11" t="n">
        <v>44701</v>
      </c>
      <c r="B692" s="19" t="n">
        <v>1.842266530991775</v>
      </c>
      <c r="C692" s="19" t="n">
        <v>1.447415345372985</v>
      </c>
      <c r="D692" s="19" t="n">
        <v>1.56213192688933</v>
      </c>
      <c r="E692" s="19" t="n">
        <v>1.192361914468619</v>
      </c>
      <c r="F692" s="20">
        <f>B692/B691-1</f>
        <v/>
      </c>
      <c r="G692" s="20">
        <f>B692/MAX(B$2:B692)-1</f>
        <v/>
      </c>
      <c r="H692" s="20">
        <f>C692/C691-1</f>
        <v/>
      </c>
      <c r="I692" s="20">
        <f>C692/MAX(C$2:C692)-1</f>
        <v/>
      </c>
      <c r="J692" s="20">
        <f>D692/D691-1</f>
        <v/>
      </c>
      <c r="K692" s="20">
        <f>D692/MAX(D$2:D692)-1</f>
        <v/>
      </c>
      <c r="L692" s="20">
        <f>E692/E691-1</f>
        <v/>
      </c>
      <c r="M692" s="20">
        <f>E692/MAX(E$2:E692)-1</f>
        <v/>
      </c>
    </row>
    <row r="693">
      <c r="A693" s="11" t="n">
        <v>44704</v>
      </c>
      <c r="B693" s="19" t="n">
        <v>1.843594639246797</v>
      </c>
      <c r="C693" s="19" t="n">
        <v>1.449408908117229</v>
      </c>
      <c r="D693" s="19" t="n">
        <v>1.55746197481214</v>
      </c>
      <c r="E693" s="19" t="n">
        <v>1.195579477527275</v>
      </c>
      <c r="F693" s="20">
        <f>B693/B692-1</f>
        <v/>
      </c>
      <c r="G693" s="20">
        <f>B693/MAX(B$2:B693)-1</f>
        <v/>
      </c>
      <c r="H693" s="20">
        <f>C693/C692-1</f>
        <v/>
      </c>
      <c r="I693" s="20">
        <f>C693/MAX(C$2:C693)-1</f>
        <v/>
      </c>
      <c r="J693" s="20">
        <f>D693/D692-1</f>
        <v/>
      </c>
      <c r="K693" s="20">
        <f>D693/MAX(D$2:D693)-1</f>
        <v/>
      </c>
      <c r="L693" s="20">
        <f>E693/E692-1</f>
        <v/>
      </c>
      <c r="M693" s="20">
        <f>E693/MAX(E$2:E693)-1</f>
        <v/>
      </c>
    </row>
    <row r="694">
      <c r="A694" s="11" t="n">
        <v>44705</v>
      </c>
      <c r="B694" s="19" t="n">
        <v>1.805175760942641</v>
      </c>
      <c r="C694" s="19" t="n">
        <v>1.391740081669406</v>
      </c>
      <c r="D694" s="19" t="n">
        <v>1.497979440863289</v>
      </c>
      <c r="E694" s="19" t="n">
        <v>1.157322094800939</v>
      </c>
      <c r="F694" s="20">
        <f>B694/B693-1</f>
        <v/>
      </c>
      <c r="G694" s="20">
        <f>B694/MAX(B$2:B694)-1</f>
        <v/>
      </c>
      <c r="H694" s="20">
        <f>C694/C693-1</f>
        <v/>
      </c>
      <c r="I694" s="20">
        <f>C694/MAX(C$2:C694)-1</f>
        <v/>
      </c>
      <c r="J694" s="20">
        <f>D694/D693-1</f>
        <v/>
      </c>
      <c r="K694" s="20">
        <f>D694/MAX(D$2:D694)-1</f>
        <v/>
      </c>
      <c r="L694" s="20">
        <f>E694/E693-1</f>
        <v/>
      </c>
      <c r="M694" s="20">
        <f>E694/MAX(E$2:E694)-1</f>
        <v/>
      </c>
    </row>
    <row r="695">
      <c r="A695" s="11" t="n">
        <v>44706</v>
      </c>
      <c r="B695" s="19" t="n">
        <v>1.815353192355477</v>
      </c>
      <c r="C695" s="19" t="n">
        <v>1.4070169599058</v>
      </c>
      <c r="D695" s="19" t="n">
        <v>1.502840673184972</v>
      </c>
      <c r="E695" s="19" t="n">
        <v>1.17063127471293</v>
      </c>
      <c r="F695" s="20">
        <f>B695/B694-1</f>
        <v/>
      </c>
      <c r="G695" s="20">
        <f>B695/MAX(B$2:B695)-1</f>
        <v/>
      </c>
      <c r="H695" s="20">
        <f>C695/C694-1</f>
        <v/>
      </c>
      <c r="I695" s="20">
        <f>C695/MAX(C$2:C695)-1</f>
        <v/>
      </c>
      <c r="J695" s="20">
        <f>D695/D694-1</f>
        <v/>
      </c>
      <c r="K695" s="20">
        <f>D695/MAX(D$2:D695)-1</f>
        <v/>
      </c>
      <c r="L695" s="20">
        <f>E695/E694-1</f>
        <v/>
      </c>
      <c r="M695" s="20">
        <f>E695/MAX(E$2:E695)-1</f>
        <v/>
      </c>
    </row>
    <row r="696">
      <c r="A696" s="11" t="n">
        <v>44707</v>
      </c>
      <c r="B696" s="19" t="n">
        <v>1.824103690877415</v>
      </c>
      <c r="C696" s="19" t="n">
        <v>1.420151934243117</v>
      </c>
      <c r="D696" s="19" t="n">
        <v>1.499956283417095</v>
      </c>
      <c r="E696" s="19" t="n">
        <v>1.176601435070321</v>
      </c>
      <c r="F696" s="20">
        <f>B696/B695-1</f>
        <v/>
      </c>
      <c r="G696" s="20">
        <f>B696/MAX(B$2:B696)-1</f>
        <v/>
      </c>
      <c r="H696" s="20">
        <f>C696/C695-1</f>
        <v/>
      </c>
      <c r="I696" s="20">
        <f>C696/MAX(C$2:C696)-1</f>
        <v/>
      </c>
      <c r="J696" s="20">
        <f>D696/D695-1</f>
        <v/>
      </c>
      <c r="K696" s="20">
        <f>D696/MAX(D$2:D696)-1</f>
        <v/>
      </c>
      <c r="L696" s="20">
        <f>E696/E695-1</f>
        <v/>
      </c>
      <c r="M696" s="20">
        <f>E696/MAX(E$2:E696)-1</f>
        <v/>
      </c>
    </row>
    <row r="697">
      <c r="A697" s="11" t="n">
        <v>44708</v>
      </c>
      <c r="B697" s="19" t="n">
        <v>1.825428370391828</v>
      </c>
      <c r="C697" s="19" t="n">
        <v>1.422140350261172</v>
      </c>
      <c r="D697" s="19" t="n">
        <v>1.500827190124873</v>
      </c>
      <c r="E697" s="19" t="n">
        <v>1.177542525768402</v>
      </c>
      <c r="F697" s="20">
        <f>B697/B696-1</f>
        <v/>
      </c>
      <c r="G697" s="20">
        <f>B697/MAX(B$2:B697)-1</f>
        <v/>
      </c>
      <c r="H697" s="20">
        <f>C697/C696-1</f>
        <v/>
      </c>
      <c r="I697" s="20">
        <f>C697/MAX(C$2:C697)-1</f>
        <v/>
      </c>
      <c r="J697" s="20">
        <f>D697/D696-1</f>
        <v/>
      </c>
      <c r="K697" s="20">
        <f>D697/MAX(D$2:D697)-1</f>
        <v/>
      </c>
      <c r="L697" s="20">
        <f>E697/E696-1</f>
        <v/>
      </c>
      <c r="M697" s="20">
        <f>E697/MAX(E$2:E697)-1</f>
        <v/>
      </c>
    </row>
    <row r="698">
      <c r="A698" s="11" t="n">
        <v>44711</v>
      </c>
      <c r="B698" s="19" t="n">
        <v>1.83192560953606</v>
      </c>
      <c r="C698" s="19" t="n">
        <v>1.431893059687834</v>
      </c>
      <c r="D698" s="19" t="n">
        <v>1.518858455010079</v>
      </c>
      <c r="E698" s="19" t="n">
        <v>1.187786651390992</v>
      </c>
      <c r="F698" s="20">
        <f>B698/B697-1</f>
        <v/>
      </c>
      <c r="G698" s="20">
        <f>B698/MAX(B$2:B698)-1</f>
        <v/>
      </c>
      <c r="H698" s="20">
        <f>C698/C697-1</f>
        <v/>
      </c>
      <c r="I698" s="20">
        <f>C698/MAX(C$2:C698)-1</f>
        <v/>
      </c>
      <c r="J698" s="20">
        <f>D698/D697-1</f>
        <v/>
      </c>
      <c r="K698" s="20">
        <f>D698/MAX(D$2:D698)-1</f>
        <v/>
      </c>
      <c r="L698" s="20">
        <f>E698/E697-1</f>
        <v/>
      </c>
      <c r="M698" s="20">
        <f>E698/MAX(E$2:E698)-1</f>
        <v/>
      </c>
    </row>
    <row r="699">
      <c r="A699" s="11" t="n">
        <v>44712</v>
      </c>
      <c r="B699" s="19" t="n">
        <v>1.856863416783994</v>
      </c>
      <c r="C699" s="19" t="n">
        <v>1.469326065065682</v>
      </c>
      <c r="D699" s="19" t="n">
        <v>1.554206850327151</v>
      </c>
      <c r="E699" s="19" t="n">
        <v>1.204651889434862</v>
      </c>
      <c r="F699" s="20">
        <f>B699/B698-1</f>
        <v/>
      </c>
      <c r="G699" s="20">
        <f>B699/MAX(B$2:B699)-1</f>
        <v/>
      </c>
      <c r="H699" s="20">
        <f>C699/C698-1</f>
        <v/>
      </c>
      <c r="I699" s="20">
        <f>C699/MAX(C$2:C699)-1</f>
        <v/>
      </c>
      <c r="J699" s="20">
        <f>D699/D698-1</f>
        <v/>
      </c>
      <c r="K699" s="20">
        <f>D699/MAX(D$2:D699)-1</f>
        <v/>
      </c>
      <c r="L699" s="20">
        <f>E699/E698-1</f>
        <v/>
      </c>
      <c r="M699" s="20">
        <f>E699/MAX(E$2:E699)-1</f>
        <v/>
      </c>
    </row>
    <row r="700">
      <c r="A700" s="11" t="n">
        <v>44713</v>
      </c>
      <c r="B700" s="19" t="n">
        <v>1.852671220613958</v>
      </c>
      <c r="C700" s="19" t="n">
        <v>1.463033350545204</v>
      </c>
      <c r="D700" s="19" t="n">
        <v>1.569633085071824</v>
      </c>
      <c r="E700" s="19" t="n">
        <v>1.205857080684579</v>
      </c>
      <c r="F700" s="20">
        <f>B700/B699-1</f>
        <v/>
      </c>
      <c r="G700" s="20">
        <f>B700/MAX(B$2:B700)-1</f>
        <v/>
      </c>
      <c r="H700" s="20">
        <f>C700/C699-1</f>
        <v/>
      </c>
      <c r="I700" s="20">
        <f>C700/MAX(C$2:C700)-1</f>
        <v/>
      </c>
      <c r="J700" s="20">
        <f>D700/D699-1</f>
        <v/>
      </c>
      <c r="K700" s="20">
        <f>D700/MAX(D$2:D700)-1</f>
        <v/>
      </c>
      <c r="L700" s="20">
        <f>E700/E699-1</f>
        <v/>
      </c>
      <c r="M700" s="20">
        <f>E700/MAX(E$2:E700)-1</f>
        <v/>
      </c>
    </row>
    <row r="701">
      <c r="A701" s="11" t="n">
        <v>44714</v>
      </c>
      <c r="B701" s="19" t="n">
        <v>1.857707207416896</v>
      </c>
      <c r="C701" s="19" t="n">
        <v>1.470592640710652</v>
      </c>
      <c r="D701" s="19" t="n">
        <v>1.588567050543284</v>
      </c>
      <c r="E701" s="19" t="n">
        <v>1.213817294494433</v>
      </c>
      <c r="F701" s="20">
        <f>B701/B700-1</f>
        <v/>
      </c>
      <c r="G701" s="20">
        <f>B701/MAX(B$2:B701)-1</f>
        <v/>
      </c>
      <c r="H701" s="20">
        <f>C701/C700-1</f>
        <v/>
      </c>
      <c r="I701" s="20">
        <f>C701/MAX(C$2:C701)-1</f>
        <v/>
      </c>
      <c r="J701" s="20">
        <f>D701/D700-1</f>
        <v/>
      </c>
      <c r="K701" s="20">
        <f>D701/MAX(D$2:D701)-1</f>
        <v/>
      </c>
      <c r="L701" s="20">
        <f>E701/E700-1</f>
        <v/>
      </c>
      <c r="M701" s="20">
        <f>E701/MAX(E$2:E701)-1</f>
        <v/>
      </c>
    </row>
    <row r="702">
      <c r="A702" s="11" t="n">
        <v>44718</v>
      </c>
      <c r="B702" s="19" t="n">
        <v>1.879742089052449</v>
      </c>
      <c r="C702" s="19" t="n">
        <v>1.50366819681562</v>
      </c>
      <c r="D702" s="19" t="n">
        <v>1.650863988954341</v>
      </c>
      <c r="E702" s="19" t="n">
        <v>1.237608662498094</v>
      </c>
      <c r="F702" s="20">
        <f>B702/B701-1</f>
        <v/>
      </c>
      <c r="G702" s="20">
        <f>B702/MAX(B$2:B702)-1</f>
        <v/>
      </c>
      <c r="H702" s="20">
        <f>C702/C701-1</f>
        <v/>
      </c>
      <c r="I702" s="20">
        <f>C702/MAX(C$2:C702)-1</f>
        <v/>
      </c>
      <c r="J702" s="20">
        <f>D702/D701-1</f>
        <v/>
      </c>
      <c r="K702" s="20">
        <f>D702/MAX(D$2:D702)-1</f>
        <v/>
      </c>
      <c r="L702" s="20">
        <f>E702/E701-1</f>
        <v/>
      </c>
      <c r="M702" s="20">
        <f>E702/MAX(E$2:E702)-1</f>
        <v/>
      </c>
    </row>
    <row r="703">
      <c r="A703" s="11" t="n">
        <v>44719</v>
      </c>
      <c r="B703" s="19" t="n">
        <v>1.879230501726979</v>
      </c>
      <c r="C703" s="19" t="n">
        <v>1.502900276408057</v>
      </c>
      <c r="D703" s="19" t="n">
        <v>1.650843180765582</v>
      </c>
      <c r="E703" s="19" t="n">
        <v>1.238226137027269</v>
      </c>
      <c r="F703" s="20">
        <f>B703/B702-1</f>
        <v/>
      </c>
      <c r="G703" s="20">
        <f>B703/MAX(B$2:B703)-1</f>
        <v/>
      </c>
      <c r="H703" s="20">
        <f>C703/C702-1</f>
        <v/>
      </c>
      <c r="I703" s="20">
        <f>C703/MAX(C$2:C703)-1</f>
        <v/>
      </c>
      <c r="J703" s="20">
        <f>D703/D702-1</f>
        <v/>
      </c>
      <c r="K703" s="20">
        <f>D703/MAX(D$2:D703)-1</f>
        <v/>
      </c>
      <c r="L703" s="20">
        <f>E703/E702-1</f>
        <v/>
      </c>
      <c r="M703" s="20">
        <f>E703/MAX(E$2:E703)-1</f>
        <v/>
      </c>
    </row>
    <row r="704">
      <c r="A704" s="11" t="n">
        <v>44720</v>
      </c>
      <c r="B704" s="19" t="n">
        <v>1.880622858813042</v>
      </c>
      <c r="C704" s="19" t="n">
        <v>1.504990280143041</v>
      </c>
      <c r="D704" s="19" t="n">
        <v>1.664871583426265</v>
      </c>
      <c r="E704" s="19" t="n">
        <v>1.245408928086536</v>
      </c>
      <c r="F704" s="20">
        <f>B704/B703-1</f>
        <v/>
      </c>
      <c r="G704" s="20">
        <f>B704/MAX(B$2:B704)-1</f>
        <v/>
      </c>
      <c r="H704" s="20">
        <f>C704/C703-1</f>
        <v/>
      </c>
      <c r="I704" s="20">
        <f>C704/MAX(C$2:C704)-1</f>
        <v/>
      </c>
      <c r="J704" s="20">
        <f>D704/D703-1</f>
        <v/>
      </c>
      <c r="K704" s="20">
        <f>D704/MAX(D$2:D704)-1</f>
        <v/>
      </c>
      <c r="L704" s="20">
        <f>E704/E703-1</f>
        <v/>
      </c>
      <c r="M704" s="20">
        <f>E704/MAX(E$2:E704)-1</f>
        <v/>
      </c>
    </row>
    <row r="705">
      <c r="A705" s="11" t="n">
        <v>44721</v>
      </c>
      <c r="B705" s="19" t="n">
        <v>1.859632525379703</v>
      </c>
      <c r="C705" s="19" t="n">
        <v>1.473482647716453</v>
      </c>
      <c r="D705" s="19" t="n">
        <v>1.615675209246694</v>
      </c>
      <c r="E705" s="19" t="n">
        <v>1.228844987855094</v>
      </c>
      <c r="F705" s="20">
        <f>B705/B704-1</f>
        <v/>
      </c>
      <c r="G705" s="20">
        <f>B705/MAX(B$2:B705)-1</f>
        <v/>
      </c>
      <c r="H705" s="20">
        <f>C705/C704-1</f>
        <v/>
      </c>
      <c r="I705" s="20">
        <f>C705/MAX(C$2:C705)-1</f>
        <v/>
      </c>
      <c r="J705" s="20">
        <f>D705/D704-1</f>
        <v/>
      </c>
      <c r="K705" s="20">
        <f>D705/MAX(D$2:D705)-1</f>
        <v/>
      </c>
      <c r="L705" s="20">
        <f>E705/E704-1</f>
        <v/>
      </c>
      <c r="M705" s="20">
        <f>E705/MAX(E$2:E705)-1</f>
        <v/>
      </c>
    </row>
    <row r="706">
      <c r="A706" s="11" t="n">
        <v>44722</v>
      </c>
      <c r="B706" s="19" t="n">
        <v>1.873570067557211</v>
      </c>
      <c r="C706" s="19" t="n">
        <v>1.494403656773007</v>
      </c>
      <c r="D706" s="19" t="n">
        <v>1.652036355912308</v>
      </c>
      <c r="E706" s="19" t="n">
        <v>1.250225973359322</v>
      </c>
      <c r="F706" s="20">
        <f>B706/B705-1</f>
        <v/>
      </c>
      <c r="G706" s="20">
        <f>B706/MAX(B$2:B706)-1</f>
        <v/>
      </c>
      <c r="H706" s="20">
        <f>C706/C705-1</f>
        <v/>
      </c>
      <c r="I706" s="20">
        <f>C706/MAX(C$2:C706)-1</f>
        <v/>
      </c>
      <c r="J706" s="20">
        <f>D706/D705-1</f>
        <v/>
      </c>
      <c r="K706" s="20">
        <f>D706/MAX(D$2:D706)-1</f>
        <v/>
      </c>
      <c r="L706" s="20">
        <f>E706/E705-1</f>
        <v/>
      </c>
      <c r="M706" s="20">
        <f>E706/MAX(E$2:E706)-1</f>
        <v/>
      </c>
    </row>
    <row r="707">
      <c r="A707" s="11" t="n">
        <v>44725</v>
      </c>
      <c r="B707" s="19" t="n">
        <v>1.872168609888597</v>
      </c>
      <c r="C707" s="19" t="n">
        <v>1.492299992568512</v>
      </c>
      <c r="D707" s="19" t="n">
        <v>1.645583943367606</v>
      </c>
      <c r="E707" s="19" t="n">
        <v>1.244724498487932</v>
      </c>
      <c r="F707" s="20">
        <f>B707/B706-1</f>
        <v/>
      </c>
      <c r="G707" s="20">
        <f>B707/MAX(B$2:B707)-1</f>
        <v/>
      </c>
      <c r="H707" s="20">
        <f>C707/C706-1</f>
        <v/>
      </c>
      <c r="I707" s="20">
        <f>C707/MAX(C$2:C707)-1</f>
        <v/>
      </c>
      <c r="J707" s="20">
        <f>D707/D706-1</f>
        <v/>
      </c>
      <c r="K707" s="20">
        <f>D707/MAX(D$2:D707)-1</f>
        <v/>
      </c>
      <c r="L707" s="20">
        <f>E707/E706-1</f>
        <v/>
      </c>
      <c r="M707" s="20">
        <f>E707/MAX(E$2:E707)-1</f>
        <v/>
      </c>
    </row>
    <row r="708">
      <c r="A708" s="11" t="n">
        <v>44726</v>
      </c>
      <c r="B708" s="19" t="n">
        <v>1.869313622556135</v>
      </c>
      <c r="C708" s="19" t="n">
        <v>1.48801450126179</v>
      </c>
      <c r="D708" s="19" t="n">
        <v>1.646764194173488</v>
      </c>
      <c r="E708" s="19" t="n">
        <v>1.250824849258101</v>
      </c>
      <c r="F708" s="20">
        <f>B708/B707-1</f>
        <v/>
      </c>
      <c r="G708" s="20">
        <f>B708/MAX(B$2:B708)-1</f>
        <v/>
      </c>
      <c r="H708" s="20">
        <f>C708/C707-1</f>
        <v/>
      </c>
      <c r="I708" s="20">
        <f>C708/MAX(C$2:C708)-1</f>
        <v/>
      </c>
      <c r="J708" s="20">
        <f>D708/D707-1</f>
        <v/>
      </c>
      <c r="K708" s="20">
        <f>D708/MAX(D$2:D708)-1</f>
        <v/>
      </c>
      <c r="L708" s="20">
        <f>E708/E707-1</f>
        <v/>
      </c>
      <c r="M708" s="20">
        <f>E708/MAX(E$2:E708)-1</f>
        <v/>
      </c>
    </row>
    <row r="709">
      <c r="A709" s="11" t="n">
        <v>44727</v>
      </c>
      <c r="B709" s="19" t="n">
        <v>1.885733508846068</v>
      </c>
      <c r="C709" s="19" t="n">
        <v>1.512661643878775</v>
      </c>
      <c r="D709" s="19" t="n">
        <v>1.66406426447544</v>
      </c>
      <c r="E709" s="19" t="n">
        <v>1.257702622778859</v>
      </c>
      <c r="F709" s="20">
        <f>B709/B708-1</f>
        <v/>
      </c>
      <c r="G709" s="20">
        <f>B709/MAX(B$2:B709)-1</f>
        <v/>
      </c>
      <c r="H709" s="20">
        <f>C709/C708-1</f>
        <v/>
      </c>
      <c r="I709" s="20">
        <f>C709/MAX(C$2:C709)-1</f>
        <v/>
      </c>
      <c r="J709" s="20">
        <f>D709/D708-1</f>
        <v/>
      </c>
      <c r="K709" s="20">
        <f>D709/MAX(D$2:D709)-1</f>
        <v/>
      </c>
      <c r="L709" s="20">
        <f>E709/E708-1</f>
        <v/>
      </c>
      <c r="M709" s="20">
        <f>E709/MAX(E$2:E709)-1</f>
        <v/>
      </c>
    </row>
    <row r="710">
      <c r="A710" s="11" t="n">
        <v>44728</v>
      </c>
      <c r="B710" s="19" t="n">
        <v>1.888208803211446</v>
      </c>
      <c r="C710" s="19" t="n">
        <v>1.516377195385359</v>
      </c>
      <c r="D710" s="19" t="n">
        <v>1.670775357702135</v>
      </c>
      <c r="E710" s="19" t="n">
        <v>1.257702622778859</v>
      </c>
      <c r="F710" s="20">
        <f>B710/B709-1</f>
        <v/>
      </c>
      <c r="G710" s="20">
        <f>B710/MAX(B$2:B710)-1</f>
        <v/>
      </c>
      <c r="H710" s="20">
        <f>C710/C709-1</f>
        <v/>
      </c>
      <c r="I710" s="20">
        <f>C710/MAX(C$2:C710)-1</f>
        <v/>
      </c>
      <c r="J710" s="20">
        <f>D710/D709-1</f>
        <v/>
      </c>
      <c r="K710" s="20">
        <f>D710/MAX(D$2:D710)-1</f>
        <v/>
      </c>
      <c r="L710" s="20">
        <f>E710/E709-1</f>
        <v/>
      </c>
      <c r="M710" s="20">
        <f>E710/MAX(E$2:E710)-1</f>
        <v/>
      </c>
    </row>
    <row r="711">
      <c r="A711" s="11" t="n">
        <v>44729</v>
      </c>
      <c r="B711" s="19" t="n">
        <v>1.900656894059472</v>
      </c>
      <c r="C711" s="19" t="n">
        <v>1.535062456965312</v>
      </c>
      <c r="D711" s="19" t="n">
        <v>1.717135808391994</v>
      </c>
      <c r="E711" s="19" t="n">
        <v>1.272164917775455</v>
      </c>
      <c r="F711" s="20">
        <f>B711/B710-1</f>
        <v/>
      </c>
      <c r="G711" s="20">
        <f>B711/MAX(B$2:B711)-1</f>
        <v/>
      </c>
      <c r="H711" s="20">
        <f>C711/C710-1</f>
        <v/>
      </c>
      <c r="I711" s="20">
        <f>C711/MAX(C$2:C711)-1</f>
        <v/>
      </c>
      <c r="J711" s="20">
        <f>D711/D710-1</f>
        <v/>
      </c>
      <c r="K711" s="20">
        <f>D711/MAX(D$2:D711)-1</f>
        <v/>
      </c>
      <c r="L711" s="20">
        <f>E711/E710-1</f>
        <v/>
      </c>
      <c r="M711" s="20">
        <f>E711/MAX(E$2:E711)-1</f>
        <v/>
      </c>
    </row>
    <row r="712">
      <c r="A712" s="11" t="n">
        <v>44732</v>
      </c>
      <c r="B712" s="19" t="n">
        <v>1.909027283038364</v>
      </c>
      <c r="C712" s="19" t="n">
        <v>1.547626866199308</v>
      </c>
      <c r="D712" s="19" t="n">
        <v>1.751339430218802</v>
      </c>
      <c r="E712" s="19" t="n">
        <v>1.281196412696169</v>
      </c>
      <c r="F712" s="20">
        <f>B712/B711-1</f>
        <v/>
      </c>
      <c r="G712" s="20">
        <f>B712/MAX(B$2:B712)-1</f>
        <v/>
      </c>
      <c r="H712" s="20">
        <f>C712/C711-1</f>
        <v/>
      </c>
      <c r="I712" s="20">
        <f>C712/MAX(C$2:C712)-1</f>
        <v/>
      </c>
      <c r="J712" s="20">
        <f>D712/D711-1</f>
        <v/>
      </c>
      <c r="K712" s="20">
        <f>D712/MAX(D$2:D712)-1</f>
        <v/>
      </c>
      <c r="L712" s="20">
        <f>E712/E711-1</f>
        <v/>
      </c>
      <c r="M712" s="20">
        <f>E712/MAX(E$2:E712)-1</f>
        <v/>
      </c>
    </row>
    <row r="713">
      <c r="A713" s="11" t="n">
        <v>44733</v>
      </c>
      <c r="B713" s="19" t="n">
        <v>1.917149797870939</v>
      </c>
      <c r="C713" s="19" t="n">
        <v>1.546832875459087</v>
      </c>
      <c r="D713" s="19" t="n">
        <v>1.74025273677764</v>
      </c>
      <c r="E713" s="19" t="n">
        <v>1.275944159472097</v>
      </c>
      <c r="F713" s="20">
        <f>B713/B712-1</f>
        <v/>
      </c>
      <c r="G713" s="20">
        <f>B713/MAX(B$2:B713)-1</f>
        <v/>
      </c>
      <c r="H713" s="20">
        <f>C713/C712-1</f>
        <v/>
      </c>
      <c r="I713" s="20">
        <f>C713/MAX(C$2:C713)-1</f>
        <v/>
      </c>
      <c r="J713" s="20">
        <f>D713/D712-1</f>
        <v/>
      </c>
      <c r="K713" s="20">
        <f>D713/MAX(D$2:D713)-1</f>
        <v/>
      </c>
      <c r="L713" s="20">
        <f>E713/E712-1</f>
        <v/>
      </c>
      <c r="M713" s="20">
        <f>E713/MAX(E$2:E713)-1</f>
        <v/>
      </c>
    </row>
    <row r="714">
      <c r="A714" s="11" t="n">
        <v>44734</v>
      </c>
      <c r="B714" s="19" t="n">
        <v>1.88452279658434</v>
      </c>
      <c r="C714" s="19" t="n">
        <v>1.518513952558248</v>
      </c>
      <c r="D714" s="19" t="n">
        <v>1.730107258458448</v>
      </c>
      <c r="E714" s="19" t="n">
        <v>1.259993974043751</v>
      </c>
      <c r="F714" s="20">
        <f>B714/B713-1</f>
        <v/>
      </c>
      <c r="G714" s="20">
        <f>B714/MAX(B$2:B714)-1</f>
        <v/>
      </c>
      <c r="H714" s="20">
        <f>C714/C713-1</f>
        <v/>
      </c>
      <c r="I714" s="20">
        <f>C714/MAX(C$2:C714)-1</f>
        <v/>
      </c>
      <c r="J714" s="20">
        <f>D714/D713-1</f>
        <v/>
      </c>
      <c r="K714" s="20">
        <f>D714/MAX(D$2:D714)-1</f>
        <v/>
      </c>
      <c r="L714" s="20">
        <f>E714/E713-1</f>
        <v/>
      </c>
      <c r="M714" s="20">
        <f>E714/MAX(E$2:E714)-1</f>
        <v/>
      </c>
    </row>
    <row r="715">
      <c r="A715" s="11" t="n">
        <v>44735</v>
      </c>
      <c r="B715" s="19" t="n">
        <v>1.903642767742199</v>
      </c>
      <c r="C715" s="19" t="n">
        <v>1.540282872729398</v>
      </c>
      <c r="D715" s="19" t="n">
        <v>1.783624885999236</v>
      </c>
      <c r="E715" s="19" t="n">
        <v>1.284187072463984</v>
      </c>
      <c r="F715" s="20">
        <f>B715/B714-1</f>
        <v/>
      </c>
      <c r="G715" s="20">
        <f>B715/MAX(B$2:B715)-1</f>
        <v/>
      </c>
      <c r="H715" s="20">
        <f>C715/C714-1</f>
        <v/>
      </c>
      <c r="I715" s="20">
        <f>C715/MAX(C$2:C715)-1</f>
        <v/>
      </c>
      <c r="J715" s="20">
        <f>D715/D714-1</f>
        <v/>
      </c>
      <c r="K715" s="20">
        <f>D715/MAX(D$2:D715)-1</f>
        <v/>
      </c>
      <c r="L715" s="20">
        <f>E715/E714-1</f>
        <v/>
      </c>
      <c r="M715" s="20">
        <f>E715/MAX(E$2:E715)-1</f>
        <v/>
      </c>
    </row>
    <row r="716">
      <c r="A716" s="11" t="n">
        <v>44736</v>
      </c>
      <c r="B716" s="19" t="n">
        <v>1.931998185288817</v>
      </c>
      <c r="C716" s="19" t="n">
        <v>1.567180866299838</v>
      </c>
      <c r="D716" s="19" t="n">
        <v>1.825201004195435</v>
      </c>
      <c r="E716" s="19" t="n">
        <v>1.29959789761082</v>
      </c>
      <c r="F716" s="20">
        <f>B716/B715-1</f>
        <v/>
      </c>
      <c r="G716" s="20">
        <f>B716/MAX(B$2:B716)-1</f>
        <v/>
      </c>
      <c r="H716" s="20">
        <f>C716/C715-1</f>
        <v/>
      </c>
      <c r="I716" s="20">
        <f>C716/MAX(C$2:C716)-1</f>
        <v/>
      </c>
      <c r="J716" s="20">
        <f>D716/D715-1</f>
        <v/>
      </c>
      <c r="K716" s="20">
        <f>D716/MAX(D$2:D716)-1</f>
        <v/>
      </c>
      <c r="L716" s="20">
        <f>E716/E715-1</f>
        <v/>
      </c>
      <c r="M716" s="20">
        <f>E716/MAX(E$2:E716)-1</f>
        <v/>
      </c>
    </row>
    <row r="717">
      <c r="A717" s="11" t="n">
        <v>44739</v>
      </c>
      <c r="B717" s="19" t="n">
        <v>1.953074575175769</v>
      </c>
      <c r="C717" s="19" t="n">
        <v>1.579382792089338</v>
      </c>
      <c r="D717" s="19" t="n">
        <v>1.829180085632805</v>
      </c>
      <c r="E717" s="19" t="n">
        <v>1.312464430119366</v>
      </c>
      <c r="F717" s="20">
        <f>B717/B716-1</f>
        <v/>
      </c>
      <c r="G717" s="20">
        <f>B717/MAX(B$2:B717)-1</f>
        <v/>
      </c>
      <c r="H717" s="20">
        <f>C717/C716-1</f>
        <v/>
      </c>
      <c r="I717" s="20">
        <f>C717/MAX(C$2:C717)-1</f>
        <v/>
      </c>
      <c r="J717" s="20">
        <f>D717/D716-1</f>
        <v/>
      </c>
      <c r="K717" s="20">
        <f>D717/MAX(D$2:D717)-1</f>
        <v/>
      </c>
      <c r="L717" s="20">
        <f>E717/E716-1</f>
        <v/>
      </c>
      <c r="M717" s="20">
        <f>E717/MAX(E$2:E717)-1</f>
        <v/>
      </c>
    </row>
    <row r="718">
      <c r="A718" s="11" t="n">
        <v>44740</v>
      </c>
      <c r="B718" s="19" t="n">
        <v>1.9737944779859</v>
      </c>
      <c r="C718" s="19" t="n">
        <v>1.609011244153716</v>
      </c>
      <c r="D718" s="19" t="n">
        <v>1.835527487908148</v>
      </c>
      <c r="E718" s="19" t="n">
        <v>1.328083559926647</v>
      </c>
      <c r="F718" s="20">
        <f>B718/B717-1</f>
        <v/>
      </c>
      <c r="G718" s="20">
        <f>B718/MAX(B$2:B718)-1</f>
        <v/>
      </c>
      <c r="H718" s="20">
        <f>C718/C717-1</f>
        <v/>
      </c>
      <c r="I718" s="20">
        <f>C718/MAX(C$2:C718)-1</f>
        <v/>
      </c>
      <c r="J718" s="20">
        <f>D718/D717-1</f>
        <v/>
      </c>
      <c r="K718" s="20">
        <f>D718/MAX(D$2:D718)-1</f>
        <v/>
      </c>
      <c r="L718" s="20">
        <f>E718/E717-1</f>
        <v/>
      </c>
      <c r="M718" s="20">
        <f>E718/MAX(E$2:E718)-1</f>
        <v/>
      </c>
    </row>
    <row r="719">
      <c r="A719" s="11" t="n">
        <v>44741</v>
      </c>
      <c r="B719" s="19" t="n">
        <v>1.944940135652626</v>
      </c>
      <c r="C719" s="19" t="n">
        <v>1.576795047021597</v>
      </c>
      <c r="D719" s="19" t="n">
        <v>1.789123223702828</v>
      </c>
      <c r="E719" s="19" t="n">
        <v>1.303116758481905</v>
      </c>
      <c r="F719" s="20">
        <f>B719/B718-1</f>
        <v/>
      </c>
      <c r="G719" s="20">
        <f>B719/MAX(B$2:B719)-1</f>
        <v/>
      </c>
      <c r="H719" s="20">
        <f>C719/C718-1</f>
        <v/>
      </c>
      <c r="I719" s="20">
        <f>C719/MAX(C$2:C719)-1</f>
        <v/>
      </c>
      <c r="J719" s="20">
        <f>D719/D718-1</f>
        <v/>
      </c>
      <c r="K719" s="20">
        <f>D719/MAX(D$2:D719)-1</f>
        <v/>
      </c>
      <c r="L719" s="20">
        <f>E719/E718-1</f>
        <v/>
      </c>
      <c r="M719" s="20">
        <f>E719/MAX(E$2:E719)-1</f>
        <v/>
      </c>
    </row>
    <row r="720">
      <c r="A720" s="11" t="n">
        <v>44742</v>
      </c>
      <c r="B720" s="19" t="n">
        <v>1.958911595009426</v>
      </c>
      <c r="C720" s="19" t="n">
        <v>1.606329318806739</v>
      </c>
      <c r="D720" s="19" t="n">
        <v>1.816258329656897</v>
      </c>
      <c r="E720" s="19" t="n">
        <v>1.321097914349587</v>
      </c>
      <c r="F720" s="20">
        <f>B720/B719-1</f>
        <v/>
      </c>
      <c r="G720" s="20">
        <f>B720/MAX(B$2:B720)-1</f>
        <v/>
      </c>
      <c r="H720" s="20">
        <f>C720/C719-1</f>
        <v/>
      </c>
      <c r="I720" s="20">
        <f>C720/MAX(C$2:C720)-1</f>
        <v/>
      </c>
      <c r="J720" s="20">
        <f>D720/D719-1</f>
        <v/>
      </c>
      <c r="K720" s="20">
        <f>D720/MAX(D$2:D720)-1</f>
        <v/>
      </c>
      <c r="L720" s="20">
        <f>E720/E719-1</f>
        <v/>
      </c>
      <c r="M720" s="20">
        <f>E720/MAX(E$2:E720)-1</f>
        <v/>
      </c>
    </row>
    <row r="721">
      <c r="A721" s="11" t="n">
        <v>44743</v>
      </c>
      <c r="B721" s="19" t="n">
        <v>1.954965306834107</v>
      </c>
      <c r="C721" s="19" t="n">
        <v>1.600405725564534</v>
      </c>
      <c r="D721" s="19" t="n">
        <v>1.797738977039715</v>
      </c>
      <c r="E721" s="19" t="n">
        <v>1.317400506626692</v>
      </c>
      <c r="F721" s="20">
        <f>B721/B720-1</f>
        <v/>
      </c>
      <c r="G721" s="20">
        <f>B721/MAX(B$2:B721)-1</f>
        <v/>
      </c>
      <c r="H721" s="20">
        <f>C721/C720-1</f>
        <v/>
      </c>
      <c r="I721" s="20">
        <f>C721/MAX(C$2:C721)-1</f>
        <v/>
      </c>
      <c r="J721" s="20">
        <f>D721/D720-1</f>
        <v/>
      </c>
      <c r="K721" s="20">
        <f>D721/MAX(D$2:D721)-1</f>
        <v/>
      </c>
      <c r="L721" s="20">
        <f>E721/E720-1</f>
        <v/>
      </c>
      <c r="M721" s="20">
        <f>E721/MAX(E$2:E721)-1</f>
        <v/>
      </c>
    </row>
    <row r="722">
      <c r="A722" s="11" t="n">
        <v>44746</v>
      </c>
      <c r="B722" s="19" t="n">
        <v>1.975688551537926</v>
      </c>
      <c r="C722" s="19" t="n">
        <v>1.628938790755037</v>
      </c>
      <c r="D722" s="19" t="n">
        <v>1.831824405769503</v>
      </c>
      <c r="E722" s="19" t="n">
        <v>1.328730792264458</v>
      </c>
      <c r="F722" s="20">
        <f>B722/B721-1</f>
        <v/>
      </c>
      <c r="G722" s="20">
        <f>B722/MAX(B$2:B722)-1</f>
        <v/>
      </c>
      <c r="H722" s="20">
        <f>C722/C721-1</f>
        <v/>
      </c>
      <c r="I722" s="20">
        <f>C722/MAX(C$2:C722)-1</f>
        <v/>
      </c>
      <c r="J722" s="20">
        <f>D722/D721-1</f>
        <v/>
      </c>
      <c r="K722" s="20">
        <f>D722/MAX(D$2:D722)-1</f>
        <v/>
      </c>
      <c r="L722" s="20">
        <f>E722/E721-1</f>
        <v/>
      </c>
      <c r="M722" s="20">
        <f>E722/MAX(E$2:E722)-1</f>
        <v/>
      </c>
    </row>
    <row r="723">
      <c r="A723" s="11" t="n">
        <v>44747</v>
      </c>
      <c r="B723" s="19" t="n">
        <v>1.972907358729877</v>
      </c>
      <c r="C723" s="19" t="n">
        <v>1.627398139915435</v>
      </c>
      <c r="D723" s="19" t="n">
        <v>1.825647734036711</v>
      </c>
      <c r="E723" s="19" t="n">
        <v>1.324479145355736</v>
      </c>
      <c r="F723" s="20">
        <f>B723/B722-1</f>
        <v/>
      </c>
      <c r="G723" s="20">
        <f>B723/MAX(B$2:B723)-1</f>
        <v/>
      </c>
      <c r="H723" s="20">
        <f>C723/C722-1</f>
        <v/>
      </c>
      <c r="I723" s="20">
        <f>C723/MAX(C$2:C723)-1</f>
        <v/>
      </c>
      <c r="J723" s="20">
        <f>D723/D722-1</f>
        <v/>
      </c>
      <c r="K723" s="20">
        <f>D723/MAX(D$2:D723)-1</f>
        <v/>
      </c>
      <c r="L723" s="20">
        <f>E723/E722-1</f>
        <v/>
      </c>
      <c r="M723" s="20">
        <f>E723/MAX(E$2:E723)-1</f>
        <v/>
      </c>
    </row>
    <row r="724">
      <c r="A724" s="11" t="n">
        <v>44748</v>
      </c>
      <c r="B724" s="19" t="n">
        <v>1.953920200734183</v>
      </c>
      <c r="C724" s="19" t="n">
        <v>1.60385845733376</v>
      </c>
      <c r="D724" s="19" t="n">
        <v>1.811162197440373</v>
      </c>
      <c r="E724" s="19" t="n">
        <v>1.307658544024818</v>
      </c>
      <c r="F724" s="20">
        <f>B724/B723-1</f>
        <v/>
      </c>
      <c r="G724" s="20">
        <f>B724/MAX(B$2:B724)-1</f>
        <v/>
      </c>
      <c r="H724" s="20">
        <f>C724/C723-1</f>
        <v/>
      </c>
      <c r="I724" s="20">
        <f>C724/MAX(C$2:C724)-1</f>
        <v/>
      </c>
      <c r="J724" s="20">
        <f>D724/D723-1</f>
        <v/>
      </c>
      <c r="K724" s="20">
        <f>D724/MAX(D$2:D724)-1</f>
        <v/>
      </c>
      <c r="L724" s="20">
        <f>E724/E723-1</f>
        <v/>
      </c>
      <c r="M724" s="20">
        <f>E724/MAX(E$2:E724)-1</f>
        <v/>
      </c>
    </row>
    <row r="725">
      <c r="A725" s="11" t="n">
        <v>44749</v>
      </c>
      <c r="B725" s="19" t="n">
        <v>1.956147266342541</v>
      </c>
      <c r="C725" s="19" t="n">
        <v>1.60833731162441</v>
      </c>
      <c r="D725" s="19" t="n">
        <v>1.841528388605462</v>
      </c>
      <c r="E725" s="19" t="n">
        <v>1.31628830852896</v>
      </c>
      <c r="F725" s="20">
        <f>B725/B724-1</f>
        <v/>
      </c>
      <c r="G725" s="20">
        <f>B725/MAX(B$2:B725)-1</f>
        <v/>
      </c>
      <c r="H725" s="20">
        <f>C725/C724-1</f>
        <v/>
      </c>
      <c r="I725" s="20">
        <f>C725/MAX(C$2:C725)-1</f>
        <v/>
      </c>
      <c r="J725" s="20">
        <f>D725/D724-1</f>
        <v/>
      </c>
      <c r="K725" s="20">
        <f>D725/MAX(D$2:D725)-1</f>
        <v/>
      </c>
      <c r="L725" s="20">
        <f>E725/E724-1</f>
        <v/>
      </c>
      <c r="M725" s="20">
        <f>E725/MAX(E$2:E725)-1</f>
        <v/>
      </c>
    </row>
    <row r="726">
      <c r="A726" s="11" t="n">
        <v>44750</v>
      </c>
      <c r="B726" s="19" t="n">
        <v>1.95443330913514</v>
      </c>
      <c r="C726" s="19" t="n">
        <v>1.606130664795888</v>
      </c>
      <c r="D726" s="19" t="n">
        <v>1.820806405199928</v>
      </c>
      <c r="E726" s="19" t="n">
        <v>1.311943668468254</v>
      </c>
      <c r="F726" s="20">
        <f>B726/B725-1</f>
        <v/>
      </c>
      <c r="G726" s="20">
        <f>B726/MAX(B$2:B726)-1</f>
        <v/>
      </c>
      <c r="H726" s="20">
        <f>C726/C725-1</f>
        <v/>
      </c>
      <c r="I726" s="20">
        <f>C726/MAX(C$2:C726)-1</f>
        <v/>
      </c>
      <c r="J726" s="20">
        <f>D726/D725-1</f>
        <v/>
      </c>
      <c r="K726" s="20">
        <f>D726/MAX(D$2:D726)-1</f>
        <v/>
      </c>
      <c r="L726" s="20">
        <f>E726/E725-1</f>
        <v/>
      </c>
      <c r="M726" s="20">
        <f>E726/MAX(E$2:E726)-1</f>
        <v/>
      </c>
    </row>
    <row r="727">
      <c r="A727" s="11" t="n">
        <v>44753</v>
      </c>
      <c r="B727" s="19" t="n">
        <v>1.920181516952393</v>
      </c>
      <c r="C727" s="19" t="n">
        <v>1.570419407679156</v>
      </c>
      <c r="D727" s="19" t="n">
        <v>1.788380526456223</v>
      </c>
      <c r="E727" s="19" t="n">
        <v>1.293839761639953</v>
      </c>
      <c r="F727" s="20">
        <f>B727/B726-1</f>
        <v/>
      </c>
      <c r="G727" s="20">
        <f>B727/MAX(B$2:B727)-1</f>
        <v/>
      </c>
      <c r="H727" s="20">
        <f>C727/C726-1</f>
        <v/>
      </c>
      <c r="I727" s="20">
        <f>C727/MAX(C$2:C727)-1</f>
        <v/>
      </c>
      <c r="J727" s="20">
        <f>D727/D726-1</f>
        <v/>
      </c>
      <c r="K727" s="20">
        <f>D727/MAX(D$2:D727)-1</f>
        <v/>
      </c>
      <c r="L727" s="20">
        <f>E727/E726-1</f>
        <v/>
      </c>
      <c r="M727" s="20">
        <f>E727/MAX(E$2:E727)-1</f>
        <v/>
      </c>
    </row>
    <row r="728">
      <c r="A728" s="11" t="n">
        <v>44754</v>
      </c>
      <c r="B728" s="19" t="n">
        <v>1.884303105235095</v>
      </c>
      <c r="C728" s="19" t="n">
        <v>1.542257580177697</v>
      </c>
      <c r="D728" s="19" t="n">
        <v>1.746526470310172</v>
      </c>
      <c r="E728" s="19" t="n">
        <v>1.278700476496911</v>
      </c>
      <c r="F728" s="20">
        <f>B728/B727-1</f>
        <v/>
      </c>
      <c r="G728" s="20">
        <f>B728/MAX(B$2:B728)-1</f>
        <v/>
      </c>
      <c r="H728" s="20">
        <f>C728/C727-1</f>
        <v/>
      </c>
      <c r="I728" s="20">
        <f>C728/MAX(C$2:C728)-1</f>
        <v/>
      </c>
      <c r="J728" s="20">
        <f>D728/D727-1</f>
        <v/>
      </c>
      <c r="K728" s="20">
        <f>D728/MAX(D$2:D728)-1</f>
        <v/>
      </c>
      <c r="L728" s="20">
        <f>E728/E727-1</f>
        <v/>
      </c>
      <c r="M728" s="20">
        <f>E728/MAX(E$2:E728)-1</f>
        <v/>
      </c>
    </row>
    <row r="729">
      <c r="A729" s="11" t="n">
        <v>44755</v>
      </c>
      <c r="B729" s="19" t="n">
        <v>1.898296967038316</v>
      </c>
      <c r="C729" s="19" t="n">
        <v>1.54712142882739</v>
      </c>
      <c r="D729" s="19" t="n">
        <v>1.775067615304669</v>
      </c>
      <c r="E729" s="19" t="n">
        <v>1.285221156314049</v>
      </c>
      <c r="F729" s="20">
        <f>B729/B728-1</f>
        <v/>
      </c>
      <c r="G729" s="20">
        <f>B729/MAX(B$2:B729)-1</f>
        <v/>
      </c>
      <c r="H729" s="20">
        <f>C729/C728-1</f>
        <v/>
      </c>
      <c r="I729" s="20">
        <f>C729/MAX(C$2:C729)-1</f>
        <v/>
      </c>
      <c r="J729" s="20">
        <f>D729/D728-1</f>
        <v/>
      </c>
      <c r="K729" s="20">
        <f>D729/MAX(D$2:D729)-1</f>
        <v/>
      </c>
      <c r="L729" s="20">
        <f>E729/E728-1</f>
        <v/>
      </c>
      <c r="M729" s="20">
        <f>E729/MAX(E$2:E729)-1</f>
        <v/>
      </c>
    </row>
    <row r="730">
      <c r="A730" s="11" t="n">
        <v>44756</v>
      </c>
      <c r="B730" s="19" t="n">
        <v>1.932876248675576</v>
      </c>
      <c r="C730" s="19" t="n">
        <v>1.570214452536242</v>
      </c>
      <c r="D730" s="19" t="n">
        <v>1.821769268592812</v>
      </c>
      <c r="E730" s="19" t="n">
        <v>1.290748669267995</v>
      </c>
      <c r="F730" s="20">
        <f>B730/B729-1</f>
        <v/>
      </c>
      <c r="G730" s="20">
        <f>B730/MAX(B$2:B730)-1</f>
        <v/>
      </c>
      <c r="H730" s="20">
        <f>C730/C729-1</f>
        <v/>
      </c>
      <c r="I730" s="20">
        <f>C730/MAX(C$2:C730)-1</f>
        <v/>
      </c>
      <c r="J730" s="20">
        <f>D730/D729-1</f>
        <v/>
      </c>
      <c r="K730" s="20">
        <f>D730/MAX(D$2:D730)-1</f>
        <v/>
      </c>
      <c r="L730" s="20">
        <f>E730/E729-1</f>
        <v/>
      </c>
      <c r="M730" s="20">
        <f>E730/MAX(E$2:E730)-1</f>
        <v/>
      </c>
    </row>
    <row r="731">
      <c r="A731" s="11" t="n">
        <v>44757</v>
      </c>
      <c r="B731" s="19" t="n">
        <v>1.895309218834758</v>
      </c>
      <c r="C731" s="19" t="n">
        <v>1.537924902530867</v>
      </c>
      <c r="D731" s="19" t="n">
        <v>1.783881175678174</v>
      </c>
      <c r="E731" s="19" t="n">
        <v>1.272421578874932</v>
      </c>
      <c r="F731" s="20">
        <f>B731/B730-1</f>
        <v/>
      </c>
      <c r="G731" s="20">
        <f>B731/MAX(B$2:B731)-1</f>
        <v/>
      </c>
      <c r="H731" s="20">
        <f>C731/C730-1</f>
        <v/>
      </c>
      <c r="I731" s="20">
        <f>C731/MAX(C$2:C731)-1</f>
        <v/>
      </c>
      <c r="J731" s="20">
        <f>D731/D730-1</f>
        <v/>
      </c>
      <c r="K731" s="20">
        <f>D731/MAX(D$2:D731)-1</f>
        <v/>
      </c>
      <c r="L731" s="20">
        <f>E731/E730-1</f>
        <v/>
      </c>
      <c r="M731" s="20">
        <f>E731/MAX(E$2:E731)-1</f>
        <v/>
      </c>
    </row>
    <row r="732">
      <c r="A732" s="11" t="n">
        <v>44760</v>
      </c>
      <c r="B732" s="19" t="n">
        <v>1.928126597398306</v>
      </c>
      <c r="C732" s="19" t="n">
        <v>1.554877352793409</v>
      </c>
      <c r="D732" s="19" t="n">
        <v>1.809638482276561</v>
      </c>
      <c r="E732" s="19" t="n">
        <v>1.29125455201479</v>
      </c>
      <c r="F732" s="20">
        <f>B732/B731-1</f>
        <v/>
      </c>
      <c r="G732" s="20">
        <f>B732/MAX(B$2:B732)-1</f>
        <v/>
      </c>
      <c r="H732" s="20">
        <f>C732/C731-1</f>
        <v/>
      </c>
      <c r="I732" s="20">
        <f>C732/MAX(C$2:C732)-1</f>
        <v/>
      </c>
      <c r="J732" s="20">
        <f>D732/D731-1</f>
        <v/>
      </c>
      <c r="K732" s="20">
        <f>D732/MAX(D$2:D732)-1</f>
        <v/>
      </c>
      <c r="L732" s="20">
        <f>E732/E731-1</f>
        <v/>
      </c>
      <c r="M732" s="20">
        <f>E732/MAX(E$2:E732)-1</f>
        <v/>
      </c>
    </row>
    <row r="733">
      <c r="A733" s="11" t="n">
        <v>44761</v>
      </c>
      <c r="B733" s="19" t="n">
        <v>1.914992705224928</v>
      </c>
      <c r="C733" s="19" t="n">
        <v>1.548097575194511</v>
      </c>
      <c r="D733" s="19" t="n">
        <v>1.777656490019146</v>
      </c>
      <c r="E733" s="19" t="n">
        <v>1.292415106551553</v>
      </c>
      <c r="F733" s="20">
        <f>B733/B732-1</f>
        <v/>
      </c>
      <c r="G733" s="20">
        <f>B733/MAX(B$2:B733)-1</f>
        <v/>
      </c>
      <c r="H733" s="20">
        <f>C733/C732-1</f>
        <v/>
      </c>
      <c r="I733" s="20">
        <f>C733/MAX(C$2:C733)-1</f>
        <v/>
      </c>
      <c r="J733" s="20">
        <f>D733/D732-1</f>
        <v/>
      </c>
      <c r="K733" s="20">
        <f>D733/MAX(D$2:D733)-1</f>
        <v/>
      </c>
      <c r="L733" s="20">
        <f>E733/E732-1</f>
        <v/>
      </c>
      <c r="M733" s="20">
        <f>E733/MAX(E$2:E733)-1</f>
        <v/>
      </c>
    </row>
    <row r="734">
      <c r="A734" s="11" t="n">
        <v>44762</v>
      </c>
      <c r="B734" s="19" t="n">
        <v>1.92938240543991</v>
      </c>
      <c r="C734" s="19" t="n">
        <v>1.556383996759968</v>
      </c>
      <c r="D734" s="19" t="n">
        <v>1.786895002719604</v>
      </c>
      <c r="E734" s="19" t="n">
        <v>1.302238903127174</v>
      </c>
      <c r="F734" s="20">
        <f>B734/B733-1</f>
        <v/>
      </c>
      <c r="G734" s="20">
        <f>B734/MAX(B$2:B734)-1</f>
        <v/>
      </c>
      <c r="H734" s="20">
        <f>C734/C733-1</f>
        <v/>
      </c>
      <c r="I734" s="20">
        <f>C734/MAX(C$2:C734)-1</f>
        <v/>
      </c>
      <c r="J734" s="20">
        <f>D734/D733-1</f>
        <v/>
      </c>
      <c r="K734" s="20">
        <f>D734/MAX(D$2:D734)-1</f>
        <v/>
      </c>
      <c r="L734" s="20">
        <f>E734/E733-1</f>
        <v/>
      </c>
      <c r="M734" s="20">
        <f>E734/MAX(E$2:E734)-1</f>
        <v/>
      </c>
    </row>
    <row r="735">
      <c r="A735" s="11" t="n">
        <v>44763</v>
      </c>
      <c r="B735" s="19" t="n">
        <v>1.909975209794492</v>
      </c>
      <c r="C735" s="19" t="n">
        <v>1.547603681881335</v>
      </c>
      <c r="D735" s="19" t="n">
        <v>1.778011133931907</v>
      </c>
      <c r="E735" s="19" t="n">
        <v>1.291819950378854</v>
      </c>
      <c r="F735" s="20">
        <f>B735/B734-1</f>
        <v/>
      </c>
      <c r="G735" s="20">
        <f>B735/MAX(B$2:B735)-1</f>
        <v/>
      </c>
      <c r="H735" s="20">
        <f>C735/C734-1</f>
        <v/>
      </c>
      <c r="I735" s="20">
        <f>C735/MAX(C$2:C735)-1</f>
        <v/>
      </c>
      <c r="J735" s="20">
        <f>D735/D734-1</f>
        <v/>
      </c>
      <c r="K735" s="20">
        <f>D735/MAX(D$2:D735)-1</f>
        <v/>
      </c>
      <c r="L735" s="20">
        <f>E735/E734-1</f>
        <v/>
      </c>
      <c r="M735" s="20">
        <f>E735/MAX(E$2:E735)-1</f>
        <v/>
      </c>
    </row>
    <row r="736">
      <c r="A736" s="11" t="n">
        <v>44764</v>
      </c>
      <c r="B736" s="19" t="n">
        <v>1.904774339559244</v>
      </c>
      <c r="C736" s="19" t="n">
        <v>1.538228944177982</v>
      </c>
      <c r="D736" s="19" t="n">
        <v>1.768898956663199</v>
      </c>
      <c r="E736" s="19" t="n">
        <v>1.288978079654214</v>
      </c>
      <c r="F736" s="20">
        <f>B736/B735-1</f>
        <v/>
      </c>
      <c r="G736" s="20">
        <f>B736/MAX(B$2:B736)-1</f>
        <v/>
      </c>
      <c r="H736" s="20">
        <f>C736/C735-1</f>
        <v/>
      </c>
      <c r="I736" s="20">
        <f>C736/MAX(C$2:C736)-1</f>
        <v/>
      </c>
      <c r="J736" s="20">
        <f>D736/D735-1</f>
        <v/>
      </c>
      <c r="K736" s="20">
        <f>D736/MAX(D$2:D736)-1</f>
        <v/>
      </c>
      <c r="L736" s="20">
        <f>E736/E735-1</f>
        <v/>
      </c>
      <c r="M736" s="20">
        <f>E736/MAX(E$2:E736)-1</f>
        <v/>
      </c>
    </row>
    <row r="737">
      <c r="A737" s="11" t="n">
        <v>44767</v>
      </c>
      <c r="B737" s="19" t="n">
        <v>1.875997859045329</v>
      </c>
      <c r="C737" s="19" t="n">
        <v>1.520960619608113</v>
      </c>
      <c r="D737" s="19" t="n">
        <v>1.747981557224102</v>
      </c>
      <c r="E737" s="19" t="n">
        <v>1.278536808549418</v>
      </c>
      <c r="F737" s="20">
        <f>B737/B736-1</f>
        <v/>
      </c>
      <c r="G737" s="20">
        <f>B737/MAX(B$2:B737)-1</f>
        <v/>
      </c>
      <c r="H737" s="20">
        <f>C737/C736-1</f>
        <v/>
      </c>
      <c r="I737" s="20">
        <f>C737/MAX(C$2:C737)-1</f>
        <v/>
      </c>
      <c r="J737" s="20">
        <f>D737/D736-1</f>
        <v/>
      </c>
      <c r="K737" s="20">
        <f>D737/MAX(D$2:D737)-1</f>
        <v/>
      </c>
      <c r="L737" s="20">
        <f>E737/E736-1</f>
        <v/>
      </c>
      <c r="M737" s="20">
        <f>E737/MAX(E$2:E737)-1</f>
        <v/>
      </c>
    </row>
    <row r="738">
      <c r="A738" s="11" t="n">
        <v>44768</v>
      </c>
      <c r="B738" s="19" t="n">
        <v>1.88475536467376</v>
      </c>
      <c r="C738" s="19" t="n">
        <v>1.52096615113626</v>
      </c>
      <c r="D738" s="19" t="n">
        <v>1.753482802904384</v>
      </c>
      <c r="E738" s="19" t="n">
        <v>1.291064845984742</v>
      </c>
      <c r="F738" s="20">
        <f>B738/B737-1</f>
        <v/>
      </c>
      <c r="G738" s="20">
        <f>B738/MAX(B$2:B738)-1</f>
        <v/>
      </c>
      <c r="H738" s="20">
        <f>C738/C737-1</f>
        <v/>
      </c>
      <c r="I738" s="20">
        <f>C738/MAX(C$2:C738)-1</f>
        <v/>
      </c>
      <c r="J738" s="20">
        <f>D738/D737-1</f>
        <v/>
      </c>
      <c r="K738" s="20">
        <f>D738/MAX(D$2:D738)-1</f>
        <v/>
      </c>
      <c r="L738" s="20">
        <f>E738/E737-1</f>
        <v/>
      </c>
      <c r="M738" s="20">
        <f>E738/MAX(E$2:E738)-1</f>
        <v/>
      </c>
    </row>
    <row r="739">
      <c r="A739" s="11" t="n">
        <v>44769</v>
      </c>
      <c r="B739" s="19" t="n">
        <v>1.893671045074773</v>
      </c>
      <c r="C739" s="19" t="n">
        <v>1.52432653043555</v>
      </c>
      <c r="D739" s="19" t="n">
        <v>1.753993766719655</v>
      </c>
      <c r="E739" s="19" t="n">
        <v>1.293259484371571</v>
      </c>
      <c r="F739" s="20">
        <f>B739/B738-1</f>
        <v/>
      </c>
      <c r="G739" s="20">
        <f>B739/MAX(B$2:B739)-1</f>
        <v/>
      </c>
      <c r="H739" s="20">
        <f>C739/C738-1</f>
        <v/>
      </c>
      <c r="I739" s="20">
        <f>C739/MAX(C$2:C739)-1</f>
        <v/>
      </c>
      <c r="J739" s="20">
        <f>D739/D738-1</f>
        <v/>
      </c>
      <c r="K739" s="20">
        <f>D739/MAX(D$2:D739)-1</f>
        <v/>
      </c>
      <c r="L739" s="20">
        <f>E739/E738-1</f>
        <v/>
      </c>
      <c r="M739" s="20">
        <f>E739/MAX(E$2:E739)-1</f>
        <v/>
      </c>
    </row>
    <row r="740">
      <c r="A740" s="11" t="n">
        <v>44770</v>
      </c>
      <c r="B740" s="19" t="n">
        <v>1.897909857821064</v>
      </c>
      <c r="C740" s="19" t="n">
        <v>1.530068545253792</v>
      </c>
      <c r="D740" s="19" t="n">
        <v>1.748599082229632</v>
      </c>
      <c r="E740" s="19" t="n">
        <v>1.297139158672356</v>
      </c>
      <c r="F740" s="20">
        <f>B740/B739-1</f>
        <v/>
      </c>
      <c r="G740" s="20">
        <f>B740/MAX(B$2:B740)-1</f>
        <v/>
      </c>
      <c r="H740" s="20">
        <f>C740/C739-1</f>
        <v/>
      </c>
      <c r="I740" s="20">
        <f>C740/MAX(C$2:C740)-1</f>
        <v/>
      </c>
      <c r="J740" s="20">
        <f>D740/D739-1</f>
        <v/>
      </c>
      <c r="K740" s="20">
        <f>D740/MAX(D$2:D740)-1</f>
        <v/>
      </c>
      <c r="L740" s="20">
        <f>E740/E739-1</f>
        <v/>
      </c>
      <c r="M740" s="20">
        <f>E740/MAX(E$2:E740)-1</f>
        <v/>
      </c>
    </row>
    <row r="741">
      <c r="A741" s="11" t="n">
        <v>44771</v>
      </c>
      <c r="B741" s="19" t="n">
        <v>1.865013472297778</v>
      </c>
      <c r="C741" s="19" t="n">
        <v>1.508091014321126</v>
      </c>
      <c r="D741" s="19" t="n">
        <v>1.72569075270521</v>
      </c>
      <c r="E741" s="19" t="n">
        <v>1.285076086996954</v>
      </c>
      <c r="F741" s="20">
        <f>B741/B740-1</f>
        <v/>
      </c>
      <c r="G741" s="20">
        <f>B741/MAX(B$2:B741)-1</f>
        <v/>
      </c>
      <c r="H741" s="20">
        <f>C741/C740-1</f>
        <v/>
      </c>
      <c r="I741" s="20">
        <f>C741/MAX(C$2:C741)-1</f>
        <v/>
      </c>
      <c r="J741" s="20">
        <f>D741/D740-1</f>
        <v/>
      </c>
      <c r="K741" s="20">
        <f>D741/MAX(D$2:D741)-1</f>
        <v/>
      </c>
      <c r="L741" s="20">
        <f>E741/E740-1</f>
        <v/>
      </c>
      <c r="M741" s="20">
        <f>E741/MAX(E$2:E741)-1</f>
        <v/>
      </c>
    </row>
    <row r="742">
      <c r="A742" s="11" t="n">
        <v>44774</v>
      </c>
      <c r="B742" s="19" t="n">
        <v>1.892545167100564</v>
      </c>
      <c r="C742" s="19" t="n">
        <v>1.525400945602712</v>
      </c>
      <c r="D742" s="19" t="n">
        <v>1.766586533599377</v>
      </c>
      <c r="E742" s="19" t="n">
        <v>1.292656888746713</v>
      </c>
      <c r="F742" s="20">
        <f>B742/B741-1</f>
        <v/>
      </c>
      <c r="G742" s="20">
        <f>B742/MAX(B$2:B742)-1</f>
        <v/>
      </c>
      <c r="H742" s="20">
        <f>C742/C741-1</f>
        <v/>
      </c>
      <c r="I742" s="20">
        <f>C742/MAX(C$2:C742)-1</f>
        <v/>
      </c>
      <c r="J742" s="20">
        <f>D742/D741-1</f>
        <v/>
      </c>
      <c r="K742" s="20">
        <f>D742/MAX(D$2:D742)-1</f>
        <v/>
      </c>
      <c r="L742" s="20">
        <f>E742/E741-1</f>
        <v/>
      </c>
      <c r="M742" s="20">
        <f>E742/MAX(E$2:E742)-1</f>
        <v/>
      </c>
    </row>
    <row r="743">
      <c r="A743" s="11" t="n">
        <v>44775</v>
      </c>
      <c r="B743" s="19" t="n">
        <v>1.849836791123618</v>
      </c>
      <c r="C743" s="19" t="n">
        <v>1.478888634224815</v>
      </c>
      <c r="D743" s="19" t="n">
        <v>1.730970281318311</v>
      </c>
      <c r="E743" s="19" t="n">
        <v>1.258788782794035</v>
      </c>
      <c r="F743" s="20">
        <f>B743/B742-1</f>
        <v/>
      </c>
      <c r="G743" s="20">
        <f>B743/MAX(B$2:B743)-1</f>
        <v/>
      </c>
      <c r="H743" s="20">
        <f>C743/C742-1</f>
        <v/>
      </c>
      <c r="I743" s="20">
        <f>C743/MAX(C$2:C743)-1</f>
        <v/>
      </c>
      <c r="J743" s="20">
        <f>D743/D742-1</f>
        <v/>
      </c>
      <c r="K743" s="20">
        <f>D743/MAX(D$2:D743)-1</f>
        <v/>
      </c>
      <c r="L743" s="20">
        <f>E743/E742-1</f>
        <v/>
      </c>
      <c r="M743" s="20">
        <f>E743/MAX(E$2:E743)-1</f>
        <v/>
      </c>
    </row>
    <row r="744">
      <c r="A744" s="11" t="n">
        <v>44776</v>
      </c>
      <c r="B744" s="19" t="n">
        <v>1.83239302111134</v>
      </c>
      <c r="C744" s="19" t="n">
        <v>1.476445237991594</v>
      </c>
      <c r="D744" s="19" t="n">
        <v>1.698786733965433</v>
      </c>
      <c r="E744" s="19" t="n">
        <v>1.248593013610478</v>
      </c>
      <c r="F744" s="20">
        <f>B744/B743-1</f>
        <v/>
      </c>
      <c r="G744" s="20">
        <f>B744/MAX(B$2:B744)-1</f>
        <v/>
      </c>
      <c r="H744" s="20">
        <f>C744/C743-1</f>
        <v/>
      </c>
      <c r="I744" s="20">
        <f>C744/MAX(C$2:C744)-1</f>
        <v/>
      </c>
      <c r="J744" s="20">
        <f>D744/D743-1</f>
        <v/>
      </c>
      <c r="K744" s="20">
        <f>D744/MAX(D$2:D744)-1</f>
        <v/>
      </c>
      <c r="L744" s="20">
        <f>E744/E743-1</f>
        <v/>
      </c>
      <c r="M744" s="20">
        <f>E744/MAX(E$2:E744)-1</f>
        <v/>
      </c>
    </row>
    <row r="745">
      <c r="A745" s="11" t="n">
        <v>44777</v>
      </c>
      <c r="B745" s="19" t="n">
        <v>1.846613140404951</v>
      </c>
      <c r="C745" s="19" t="n">
        <v>1.497313481079648</v>
      </c>
      <c r="D745" s="19" t="n">
        <v>1.706514649708036</v>
      </c>
      <c r="E745" s="19" t="n">
        <v>1.259454613762243</v>
      </c>
      <c r="F745" s="20">
        <f>B745/B744-1</f>
        <v/>
      </c>
      <c r="G745" s="20">
        <f>B745/MAX(B$2:B745)-1</f>
        <v/>
      </c>
      <c r="H745" s="20">
        <f>C745/C744-1</f>
        <v/>
      </c>
      <c r="I745" s="20">
        <f>C745/MAX(C$2:C745)-1</f>
        <v/>
      </c>
      <c r="J745" s="20">
        <f>D745/D744-1</f>
        <v/>
      </c>
      <c r="K745" s="20">
        <f>D745/MAX(D$2:D745)-1</f>
        <v/>
      </c>
      <c r="L745" s="20">
        <f>E745/E744-1</f>
        <v/>
      </c>
      <c r="M745" s="20">
        <f>E745/MAX(E$2:E745)-1</f>
        <v/>
      </c>
    </row>
    <row r="746">
      <c r="A746" s="11" t="n">
        <v>44778</v>
      </c>
      <c r="B746" s="19" t="n">
        <v>1.880326220997657</v>
      </c>
      <c r="C746" s="19" t="n">
        <v>1.541395287089918</v>
      </c>
      <c r="D746" s="19" t="n">
        <v>1.734189346892345</v>
      </c>
      <c r="E746" s="19" t="n">
        <v>1.278220631832672</v>
      </c>
      <c r="F746" s="20">
        <f>B746/B745-1</f>
        <v/>
      </c>
      <c r="G746" s="20">
        <f>B746/MAX(B$2:B746)-1</f>
        <v/>
      </c>
      <c r="H746" s="20">
        <f>C746/C745-1</f>
        <v/>
      </c>
      <c r="I746" s="20">
        <f>C746/MAX(C$2:C746)-1</f>
        <v/>
      </c>
      <c r="J746" s="20">
        <f>D746/D745-1</f>
        <v/>
      </c>
      <c r="K746" s="20">
        <f>D746/MAX(D$2:D746)-1</f>
        <v/>
      </c>
      <c r="L746" s="20">
        <f>E746/E745-1</f>
        <v/>
      </c>
      <c r="M746" s="20">
        <f>E746/MAX(E$2:E746)-1</f>
        <v/>
      </c>
    </row>
    <row r="747">
      <c r="A747" s="11" t="n">
        <v>44781</v>
      </c>
      <c r="B747" s="19" t="n">
        <v>1.889139906569486</v>
      </c>
      <c r="C747" s="19" t="n">
        <v>1.540606106374172</v>
      </c>
      <c r="D747" s="19" t="n">
        <v>1.729073828164556</v>
      </c>
      <c r="E747" s="19" t="n">
        <v>1.284867782336509</v>
      </c>
      <c r="F747" s="20">
        <f>B747/B746-1</f>
        <v/>
      </c>
      <c r="G747" s="20">
        <f>B747/MAX(B$2:B747)-1</f>
        <v/>
      </c>
      <c r="H747" s="20">
        <f>C747/C746-1</f>
        <v/>
      </c>
      <c r="I747" s="20">
        <f>C747/MAX(C$2:C747)-1</f>
        <v/>
      </c>
      <c r="J747" s="20">
        <f>D747/D746-1</f>
        <v/>
      </c>
      <c r="K747" s="20">
        <f>D747/MAX(D$2:D747)-1</f>
        <v/>
      </c>
      <c r="L747" s="20">
        <f>E747/E746-1</f>
        <v/>
      </c>
      <c r="M747" s="20">
        <f>E747/MAX(E$2:E747)-1</f>
        <v/>
      </c>
    </row>
    <row r="748">
      <c r="A748" s="11" t="n">
        <v>44782</v>
      </c>
      <c r="B748" s="19" t="n">
        <v>1.901237736725033</v>
      </c>
      <c r="C748" s="19" t="n">
        <v>1.544839216514353</v>
      </c>
      <c r="D748" s="19" t="n">
        <v>1.741425943817761</v>
      </c>
      <c r="E748" s="19" t="n">
        <v>1.288851608967516</v>
      </c>
      <c r="F748" s="20">
        <f>B748/B747-1</f>
        <v/>
      </c>
      <c r="G748" s="20">
        <f>B748/MAX(B$2:B748)-1</f>
        <v/>
      </c>
      <c r="H748" s="20">
        <f>C748/C747-1</f>
        <v/>
      </c>
      <c r="I748" s="20">
        <f>C748/MAX(C$2:C748)-1</f>
        <v/>
      </c>
      <c r="J748" s="20">
        <f>D748/D747-1</f>
        <v/>
      </c>
      <c r="K748" s="20">
        <f>D748/MAX(D$2:D748)-1</f>
        <v/>
      </c>
      <c r="L748" s="20">
        <f>E748/E747-1</f>
        <v/>
      </c>
      <c r="M748" s="20">
        <f>E748/MAX(E$2:E748)-1</f>
        <v/>
      </c>
    </row>
    <row r="749">
      <c r="A749" s="11" t="n">
        <v>44783</v>
      </c>
      <c r="B749" s="19" t="n">
        <v>1.886169372911753</v>
      </c>
      <c r="C749" s="19" t="n">
        <v>1.526121823970901</v>
      </c>
      <c r="D749" s="19" t="n">
        <v>1.718022741282419</v>
      </c>
      <c r="E749" s="19" t="n">
        <v>1.282665704497521</v>
      </c>
      <c r="F749" s="20">
        <f>B749/B748-1</f>
        <v/>
      </c>
      <c r="G749" s="20">
        <f>B749/MAX(B$2:B749)-1</f>
        <v/>
      </c>
      <c r="H749" s="20">
        <f>C749/C748-1</f>
        <v/>
      </c>
      <c r="I749" s="20">
        <f>C749/MAX(C$2:C749)-1</f>
        <v/>
      </c>
      <c r="J749" s="20">
        <f>D749/D748-1</f>
        <v/>
      </c>
      <c r="K749" s="20">
        <f>D749/MAX(D$2:D749)-1</f>
        <v/>
      </c>
      <c r="L749" s="20">
        <f>E749/E748-1</f>
        <v/>
      </c>
      <c r="M749" s="20">
        <f>E749/MAX(E$2:E749)-1</f>
        <v/>
      </c>
    </row>
    <row r="750">
      <c r="A750" s="11" t="n">
        <v>44784</v>
      </c>
      <c r="B750" s="19" t="n">
        <v>1.912012304964389</v>
      </c>
      <c r="C750" s="19" t="n">
        <v>1.56771829033452</v>
      </c>
      <c r="D750" s="19" t="n">
        <v>1.75867483372997</v>
      </c>
      <c r="E750" s="19" t="n">
        <v>1.303830945889145</v>
      </c>
      <c r="F750" s="20">
        <f>B750/B749-1</f>
        <v/>
      </c>
      <c r="G750" s="20">
        <f>B750/MAX(B$2:B750)-1</f>
        <v/>
      </c>
      <c r="H750" s="20">
        <f>C750/C749-1</f>
        <v/>
      </c>
      <c r="I750" s="20">
        <f>C750/MAX(C$2:C750)-1</f>
        <v/>
      </c>
      <c r="J750" s="20">
        <f>D750/D749-1</f>
        <v/>
      </c>
      <c r="K750" s="20">
        <f>D750/MAX(D$2:D750)-1</f>
        <v/>
      </c>
      <c r="L750" s="20">
        <f>E750/E749-1</f>
        <v/>
      </c>
      <c r="M750" s="20">
        <f>E750/MAX(E$2:E750)-1</f>
        <v/>
      </c>
    </row>
    <row r="751">
      <c r="A751" s="11" t="n">
        <v>44785</v>
      </c>
      <c r="B751" s="19" t="n">
        <v>1.896707274427319</v>
      </c>
      <c r="C751" s="19" t="n">
        <v>1.559234513464822</v>
      </c>
      <c r="D751" s="19" t="n">
        <v>1.738860979133846</v>
      </c>
      <c r="E751" s="19" t="n">
        <v>1.299527222815312</v>
      </c>
      <c r="F751" s="20">
        <f>B751/B750-1</f>
        <v/>
      </c>
      <c r="G751" s="20">
        <f>B751/MAX(B$2:B751)-1</f>
        <v/>
      </c>
      <c r="H751" s="20">
        <f>C751/C750-1</f>
        <v/>
      </c>
      <c r="I751" s="20">
        <f>C751/MAX(C$2:C751)-1</f>
        <v/>
      </c>
      <c r="J751" s="20">
        <f>D751/D750-1</f>
        <v/>
      </c>
      <c r="K751" s="20">
        <f>D751/MAX(D$2:D751)-1</f>
        <v/>
      </c>
      <c r="L751" s="20">
        <f>E751/E750-1</f>
        <v/>
      </c>
      <c r="M751" s="20">
        <f>E751/MAX(E$2:E751)-1</f>
        <v/>
      </c>
    </row>
    <row r="752">
      <c r="A752" s="11" t="n">
        <v>44788</v>
      </c>
      <c r="B752" s="19" t="n">
        <v>1.920026336792832</v>
      </c>
      <c r="C752" s="19" t="n">
        <v>1.559676891415862</v>
      </c>
      <c r="D752" s="19" t="n">
        <v>1.7568011274161</v>
      </c>
      <c r="E752" s="19" t="n">
        <v>1.303034924508159</v>
      </c>
      <c r="F752" s="20">
        <f>B752/B751-1</f>
        <v/>
      </c>
      <c r="G752" s="20">
        <f>B752/MAX(B$2:B752)-1</f>
        <v/>
      </c>
      <c r="H752" s="20">
        <f>C752/C751-1</f>
        <v/>
      </c>
      <c r="I752" s="20">
        <f>C752/MAX(C$2:C752)-1</f>
        <v/>
      </c>
      <c r="J752" s="20">
        <f>D752/D751-1</f>
        <v/>
      </c>
      <c r="K752" s="20">
        <f>D752/MAX(D$2:D752)-1</f>
        <v/>
      </c>
      <c r="L752" s="20">
        <f>E752/E751-1</f>
        <v/>
      </c>
      <c r="M752" s="20">
        <f>E752/MAX(E$2:E752)-1</f>
        <v/>
      </c>
    </row>
    <row r="753">
      <c r="A753" s="11" t="n">
        <v>44789</v>
      </c>
      <c r="B753" s="19" t="n">
        <v>1.917825017894584</v>
      </c>
      <c r="C753" s="19" t="n">
        <v>1.553421262184092</v>
      </c>
      <c r="D753" s="19" t="n">
        <v>1.765072834799718</v>
      </c>
      <c r="E753" s="19" t="n">
        <v>1.306293404553689</v>
      </c>
      <c r="F753" s="20">
        <f>B753/B752-1</f>
        <v/>
      </c>
      <c r="G753" s="20">
        <f>B753/MAX(B$2:B753)-1</f>
        <v/>
      </c>
      <c r="H753" s="20">
        <f>C753/C752-1</f>
        <v/>
      </c>
      <c r="I753" s="20">
        <f>C753/MAX(C$2:C753)-1</f>
        <v/>
      </c>
      <c r="J753" s="20">
        <f>D753/D752-1</f>
        <v/>
      </c>
      <c r="K753" s="20">
        <f>D753/MAX(D$2:D753)-1</f>
        <v/>
      </c>
      <c r="L753" s="20">
        <f>E753/E752-1</f>
        <v/>
      </c>
      <c r="M753" s="20">
        <f>E753/MAX(E$2:E753)-1</f>
        <v/>
      </c>
    </row>
    <row r="754">
      <c r="A754" s="11" t="n">
        <v>44790</v>
      </c>
      <c r="B754" s="19" t="n">
        <v>1.938634910851227</v>
      </c>
      <c r="C754" s="19" t="n">
        <v>1.576653055099071</v>
      </c>
      <c r="D754" s="19" t="n">
        <v>1.79513252522169</v>
      </c>
      <c r="E754" s="19" t="n">
        <v>1.313610105751812</v>
      </c>
      <c r="F754" s="20">
        <f>B754/B753-1</f>
        <v/>
      </c>
      <c r="G754" s="20">
        <f>B754/MAX(B$2:B754)-1</f>
        <v/>
      </c>
      <c r="H754" s="20">
        <f>C754/C753-1</f>
        <v/>
      </c>
      <c r="I754" s="20">
        <f>C754/MAX(C$2:C754)-1</f>
        <v/>
      </c>
      <c r="J754" s="20">
        <f>D754/D753-1</f>
        <v/>
      </c>
      <c r="K754" s="20">
        <f>D754/MAX(D$2:D754)-1</f>
        <v/>
      </c>
      <c r="L754" s="20">
        <f>E754/E753-1</f>
        <v/>
      </c>
      <c r="M754" s="20">
        <f>E754/MAX(E$2:E754)-1</f>
        <v/>
      </c>
    </row>
    <row r="755">
      <c r="A755" s="11" t="n">
        <v>44791</v>
      </c>
      <c r="B755" s="19" t="n">
        <v>1.94808836116298</v>
      </c>
      <c r="C755" s="19" t="n">
        <v>1.573216773613552</v>
      </c>
      <c r="D755" s="19" t="n">
        <v>1.793782771685639</v>
      </c>
      <c r="E755" s="19" t="n">
        <v>1.309670915833758</v>
      </c>
      <c r="F755" s="20">
        <f>B755/B754-1</f>
        <v/>
      </c>
      <c r="G755" s="20">
        <f>B755/MAX(B$2:B755)-1</f>
        <v/>
      </c>
      <c r="H755" s="20">
        <f>C755/C754-1</f>
        <v/>
      </c>
      <c r="I755" s="20">
        <f>C755/MAX(C$2:C755)-1</f>
        <v/>
      </c>
      <c r="J755" s="20">
        <f>D755/D754-1</f>
        <v/>
      </c>
      <c r="K755" s="20">
        <f>D755/MAX(D$2:D755)-1</f>
        <v/>
      </c>
      <c r="L755" s="20">
        <f>E755/E754-1</f>
        <v/>
      </c>
      <c r="M755" s="20">
        <f>E755/MAX(E$2:E755)-1</f>
        <v/>
      </c>
    </row>
    <row r="756">
      <c r="A756" s="11" t="n">
        <v>44792</v>
      </c>
      <c r="B756" s="19" t="n">
        <v>1.920128981145958</v>
      </c>
      <c r="C756" s="19" t="n">
        <v>1.551568296455276</v>
      </c>
      <c r="D756" s="19" t="n">
        <v>1.76689833332224</v>
      </c>
      <c r="E756" s="19" t="n">
        <v>1.295658707692765</v>
      </c>
      <c r="F756" s="20">
        <f>B756/B755-1</f>
        <v/>
      </c>
      <c r="G756" s="20">
        <f>B756/MAX(B$2:B756)-1</f>
        <v/>
      </c>
      <c r="H756" s="20">
        <f>C756/C755-1</f>
        <v/>
      </c>
      <c r="I756" s="20">
        <f>C756/MAX(C$2:C756)-1</f>
        <v/>
      </c>
      <c r="J756" s="20">
        <f>D756/D755-1</f>
        <v/>
      </c>
      <c r="K756" s="20">
        <f>D756/MAX(D$2:D756)-1</f>
        <v/>
      </c>
      <c r="L756" s="20">
        <f>E756/E755-1</f>
        <v/>
      </c>
      <c r="M756" s="20">
        <f>E756/MAX(E$2:E756)-1</f>
        <v/>
      </c>
    </row>
    <row r="757">
      <c r="A757" s="11" t="n">
        <v>44795</v>
      </c>
      <c r="B757" s="19" t="n">
        <v>1.94478373864519</v>
      </c>
      <c r="C757" s="19" t="n">
        <v>1.564260315638616</v>
      </c>
      <c r="D757" s="19" t="n">
        <v>1.795847176648663</v>
      </c>
      <c r="E757" s="19" t="n">
        <v>1.305895393863196</v>
      </c>
      <c r="F757" s="20">
        <f>B757/B756-1</f>
        <v/>
      </c>
      <c r="G757" s="20">
        <f>B757/MAX(B$2:B757)-1</f>
        <v/>
      </c>
      <c r="H757" s="20">
        <f>C757/C756-1</f>
        <v/>
      </c>
      <c r="I757" s="20">
        <f>C757/MAX(C$2:C757)-1</f>
        <v/>
      </c>
      <c r="J757" s="20">
        <f>D757/D756-1</f>
        <v/>
      </c>
      <c r="K757" s="20">
        <f>D757/MAX(D$2:D757)-1</f>
        <v/>
      </c>
      <c r="L757" s="20">
        <f>E757/E756-1</f>
        <v/>
      </c>
      <c r="M757" s="20">
        <f>E757/MAX(E$2:E757)-1</f>
        <v/>
      </c>
    </row>
    <row r="758">
      <c r="A758" s="11" t="n">
        <v>44796</v>
      </c>
      <c r="B758" s="19" t="n">
        <v>1.953028337900329</v>
      </c>
      <c r="C758" s="19" t="n">
        <v>1.55538918749788</v>
      </c>
      <c r="D758" s="19" t="n">
        <v>1.796681378228444</v>
      </c>
      <c r="E758" s="19" t="n">
        <v>1.304980341247671</v>
      </c>
      <c r="F758" s="20">
        <f>B758/B757-1</f>
        <v/>
      </c>
      <c r="G758" s="20">
        <f>B758/MAX(B$2:B758)-1</f>
        <v/>
      </c>
      <c r="H758" s="20">
        <f>C758/C757-1</f>
        <v/>
      </c>
      <c r="I758" s="20">
        <f>C758/MAX(C$2:C758)-1</f>
        <v/>
      </c>
      <c r="J758" s="20">
        <f>D758/D757-1</f>
        <v/>
      </c>
      <c r="K758" s="20">
        <f>D758/MAX(D$2:D758)-1</f>
        <v/>
      </c>
      <c r="L758" s="20">
        <f>E758/E757-1</f>
        <v/>
      </c>
      <c r="M758" s="20">
        <f>E758/MAX(E$2:E758)-1</f>
        <v/>
      </c>
    </row>
    <row r="759">
      <c r="A759" s="11" t="n">
        <v>44797</v>
      </c>
      <c r="B759" s="19" t="n">
        <v>1.907866425124596</v>
      </c>
      <c r="C759" s="19" t="n">
        <v>1.508217758466064</v>
      </c>
      <c r="D759" s="19" t="n">
        <v>1.731246409860445</v>
      </c>
      <c r="E759" s="19" t="n">
        <v>1.271313100503279</v>
      </c>
      <c r="F759" s="20">
        <f>B759/B758-1</f>
        <v/>
      </c>
      <c r="G759" s="20">
        <f>B759/MAX(B$2:B759)-1</f>
        <v/>
      </c>
      <c r="H759" s="20">
        <f>C759/C758-1</f>
        <v/>
      </c>
      <c r="I759" s="20">
        <f>C759/MAX(C$2:C759)-1</f>
        <v/>
      </c>
      <c r="J759" s="20">
        <f>D759/D758-1</f>
        <v/>
      </c>
      <c r="K759" s="20">
        <f>D759/MAX(D$2:D759)-1</f>
        <v/>
      </c>
      <c r="L759" s="20">
        <f>E759/E758-1</f>
        <v/>
      </c>
      <c r="M759" s="20">
        <f>E759/MAX(E$2:E759)-1</f>
        <v/>
      </c>
    </row>
    <row r="760">
      <c r="A760" s="11" t="n">
        <v>44798</v>
      </c>
      <c r="B760" s="19" t="n">
        <v>1.892345363975154</v>
      </c>
      <c r="C760" s="19" t="n">
        <v>1.503975797880847</v>
      </c>
      <c r="D760" s="19" t="n">
        <v>1.723655298265677</v>
      </c>
      <c r="E760" s="19" t="n">
        <v>1.274999349047936</v>
      </c>
      <c r="F760" s="20">
        <f>B760/B759-1</f>
        <v/>
      </c>
      <c r="G760" s="20">
        <f>B760/MAX(B$2:B760)-1</f>
        <v/>
      </c>
      <c r="H760" s="20">
        <f>C760/C759-1</f>
        <v/>
      </c>
      <c r="I760" s="20">
        <f>C760/MAX(C$2:C760)-1</f>
        <v/>
      </c>
      <c r="J760" s="20">
        <f>D760/D759-1</f>
        <v/>
      </c>
      <c r="K760" s="20">
        <f>D760/MAX(D$2:D760)-1</f>
        <v/>
      </c>
      <c r="L760" s="20">
        <f>E760/E759-1</f>
        <v/>
      </c>
      <c r="M760" s="20">
        <f>E760/MAX(E$2:E760)-1</f>
        <v/>
      </c>
    </row>
    <row r="761">
      <c r="A761" s="11" t="n">
        <v>44799</v>
      </c>
      <c r="B761" s="19" t="n">
        <v>1.883540647931259</v>
      </c>
      <c r="C761" s="19" t="n">
        <v>1.498886455283728</v>
      </c>
      <c r="D761" s="19" t="n">
        <v>1.706201040577455</v>
      </c>
      <c r="E761" s="19" t="n">
        <v>1.270665868165468</v>
      </c>
      <c r="F761" s="20">
        <f>B761/B760-1</f>
        <v/>
      </c>
      <c r="G761" s="20">
        <f>B761/MAX(B$2:B761)-1</f>
        <v/>
      </c>
      <c r="H761" s="20">
        <f>C761/C760-1</f>
        <v/>
      </c>
      <c r="I761" s="20">
        <f>C761/MAX(C$2:C761)-1</f>
        <v/>
      </c>
      <c r="J761" s="20">
        <f>D761/D760-1</f>
        <v/>
      </c>
      <c r="K761" s="20">
        <f>D761/MAX(D$2:D761)-1</f>
        <v/>
      </c>
      <c r="L761" s="20">
        <f>E761/E760-1</f>
        <v/>
      </c>
      <c r="M761" s="20">
        <f>E761/MAX(E$2:E761)-1</f>
        <v/>
      </c>
    </row>
    <row r="762">
      <c r="A762" s="11" t="n">
        <v>44802</v>
      </c>
      <c r="B762" s="19" t="n">
        <v>1.882773196062494</v>
      </c>
      <c r="C762" s="19" t="n">
        <v>1.494480424763641</v>
      </c>
      <c r="D762" s="19" t="n">
        <v>1.699877419089264</v>
      </c>
      <c r="E762" s="19" t="n">
        <v>1.271807824071835</v>
      </c>
      <c r="F762" s="20">
        <f>B762/B761-1</f>
        <v/>
      </c>
      <c r="G762" s="20">
        <f>B762/MAX(B$2:B762)-1</f>
        <v/>
      </c>
      <c r="H762" s="20">
        <f>C762/C761-1</f>
        <v/>
      </c>
      <c r="I762" s="20">
        <f>C762/MAX(C$2:C762)-1</f>
        <v/>
      </c>
      <c r="J762" s="20">
        <f>D762/D761-1</f>
        <v/>
      </c>
      <c r="K762" s="20">
        <f>D762/MAX(D$2:D762)-1</f>
        <v/>
      </c>
      <c r="L762" s="20">
        <f>E762/E761-1</f>
        <v/>
      </c>
      <c r="M762" s="20">
        <f>E762/MAX(E$2:E762)-1</f>
        <v/>
      </c>
    </row>
    <row r="763">
      <c r="A763" s="11" t="n">
        <v>44803</v>
      </c>
      <c r="B763" s="19" t="n">
        <v>1.870980817563173</v>
      </c>
      <c r="C763" s="19" t="n">
        <v>1.4846967868796</v>
      </c>
      <c r="D763" s="19" t="n">
        <v>1.688010483191346</v>
      </c>
      <c r="E763" s="19" t="n">
        <v>1.266213356048461</v>
      </c>
      <c r="F763" s="20">
        <f>B763/B762-1</f>
        <v/>
      </c>
      <c r="G763" s="20">
        <f>B763/MAX(B$2:B763)-1</f>
        <v/>
      </c>
      <c r="H763" s="20">
        <f>C763/C762-1</f>
        <v/>
      </c>
      <c r="I763" s="20">
        <f>C763/MAX(C$2:C763)-1</f>
        <v/>
      </c>
      <c r="J763" s="20">
        <f>D763/D762-1</f>
        <v/>
      </c>
      <c r="K763" s="20">
        <f>D763/MAX(D$2:D763)-1</f>
        <v/>
      </c>
      <c r="L763" s="20">
        <f>E763/E762-1</f>
        <v/>
      </c>
      <c r="M763" s="20">
        <f>E763/MAX(E$2:E763)-1</f>
        <v/>
      </c>
    </row>
    <row r="764">
      <c r="A764" s="11" t="n">
        <v>44804</v>
      </c>
      <c r="B764" s="19" t="n">
        <v>1.830834773890605</v>
      </c>
      <c r="C764" s="19" t="n">
        <v>1.466708016843744</v>
      </c>
      <c r="D764" s="19" t="n">
        <v>1.661045913914714</v>
      </c>
      <c r="E764" s="19" t="n">
        <v>1.247979258807381</v>
      </c>
      <c r="F764" s="20">
        <f>B764/B763-1</f>
        <v/>
      </c>
      <c r="G764" s="20">
        <f>B764/MAX(B$2:B764)-1</f>
        <v/>
      </c>
      <c r="H764" s="20">
        <f>C764/C763-1</f>
        <v/>
      </c>
      <c r="I764" s="20">
        <f>C764/MAX(C$2:C764)-1</f>
        <v/>
      </c>
      <c r="J764" s="20">
        <f>D764/D763-1</f>
        <v/>
      </c>
      <c r="K764" s="20">
        <f>D764/MAX(D$2:D764)-1</f>
        <v/>
      </c>
      <c r="L764" s="20">
        <f>E764/E763-1</f>
        <v/>
      </c>
      <c r="M764" s="20">
        <f>E764/MAX(E$2:E764)-1</f>
        <v/>
      </c>
    </row>
    <row r="765">
      <c r="A765" s="11" t="n">
        <v>44805</v>
      </c>
      <c r="B765" s="19" t="n">
        <v>1.821133186898106</v>
      </c>
      <c r="C765" s="19" t="n">
        <v>1.455151307737429</v>
      </c>
      <c r="D765" s="19" t="n">
        <v>1.637419831121516</v>
      </c>
      <c r="E765" s="19" t="n">
        <v>1.239866536228272</v>
      </c>
      <c r="F765" s="20">
        <f>B765/B764-1</f>
        <v/>
      </c>
      <c r="G765" s="20">
        <f>B765/MAX(B$2:B765)-1</f>
        <v/>
      </c>
      <c r="H765" s="20">
        <f>C765/C764-1</f>
        <v/>
      </c>
      <c r="I765" s="20">
        <f>C765/MAX(C$2:C765)-1</f>
        <v/>
      </c>
      <c r="J765" s="20">
        <f>D765/D764-1</f>
        <v/>
      </c>
      <c r="K765" s="20">
        <f>D765/MAX(D$2:D765)-1</f>
        <v/>
      </c>
      <c r="L765" s="20">
        <f>E765/E764-1</f>
        <v/>
      </c>
      <c r="M765" s="20">
        <f>E765/MAX(E$2:E765)-1</f>
        <v/>
      </c>
    </row>
    <row r="766">
      <c r="A766" s="11" t="n">
        <v>44806</v>
      </c>
      <c r="B766" s="19" t="n">
        <v>1.821923612577852</v>
      </c>
      <c r="C766" s="19" t="n">
        <v>1.460281439342104</v>
      </c>
      <c r="D766" s="19" t="n">
        <v>1.636882695516036</v>
      </c>
      <c r="E766" s="19" t="n">
        <v>1.242842317091769</v>
      </c>
      <c r="F766" s="20">
        <f>B766/B765-1</f>
        <v/>
      </c>
      <c r="G766" s="20">
        <f>B766/MAX(B$2:B766)-1</f>
        <v/>
      </c>
      <c r="H766" s="20">
        <f>C766/C765-1</f>
        <v/>
      </c>
      <c r="I766" s="20">
        <f>C766/MAX(C$2:C766)-1</f>
        <v/>
      </c>
      <c r="J766" s="20">
        <f>D766/D765-1</f>
        <v/>
      </c>
      <c r="K766" s="20">
        <f>D766/MAX(D$2:D766)-1</f>
        <v/>
      </c>
      <c r="L766" s="20">
        <f>E766/E765-1</f>
        <v/>
      </c>
      <c r="M766" s="20">
        <f>E766/MAX(E$2:E766)-1</f>
        <v/>
      </c>
    </row>
    <row r="767">
      <c r="A767" s="11" t="n">
        <v>44809</v>
      </c>
      <c r="B767" s="19" t="n">
        <v>1.824353141544095</v>
      </c>
      <c r="C767" s="19" t="n">
        <v>1.45171430474824</v>
      </c>
      <c r="D767" s="19" t="n">
        <v>1.640230616768285</v>
      </c>
      <c r="E767" s="19" t="n">
        <v>1.243835483954961</v>
      </c>
      <c r="F767" s="20">
        <f>B767/B766-1</f>
        <v/>
      </c>
      <c r="G767" s="20">
        <f>B767/MAX(B$2:B767)-1</f>
        <v/>
      </c>
      <c r="H767" s="20">
        <f>C767/C766-1</f>
        <v/>
      </c>
      <c r="I767" s="20">
        <f>C767/MAX(C$2:C767)-1</f>
        <v/>
      </c>
      <c r="J767" s="20">
        <f>D767/D766-1</f>
        <v/>
      </c>
      <c r="K767" s="20">
        <f>D767/MAX(D$2:D767)-1</f>
        <v/>
      </c>
      <c r="L767" s="20">
        <f>E767/E766-1</f>
        <v/>
      </c>
      <c r="M767" s="20">
        <f>E767/MAX(E$2:E767)-1</f>
        <v/>
      </c>
    </row>
    <row r="768">
      <c r="A768" s="11" t="n">
        <v>44810</v>
      </c>
      <c r="B768" s="19" t="n">
        <v>1.846410263589055</v>
      </c>
      <c r="C768" s="19" t="n">
        <v>1.465362701098105</v>
      </c>
      <c r="D768" s="19" t="n">
        <v>1.6418018288847</v>
      </c>
      <c r="E768" s="19" t="n">
        <v>1.260503576516625</v>
      </c>
      <c r="F768" s="20">
        <f>B768/B767-1</f>
        <v/>
      </c>
      <c r="G768" s="20">
        <f>B768/MAX(B$2:B768)-1</f>
        <v/>
      </c>
      <c r="H768" s="20">
        <f>C768/C767-1</f>
        <v/>
      </c>
      <c r="I768" s="20">
        <f>C768/MAX(C$2:C768)-1</f>
        <v/>
      </c>
      <c r="J768" s="20">
        <f>D768/D767-1</f>
        <v/>
      </c>
      <c r="K768" s="20">
        <f>D768/MAX(D$2:D768)-1</f>
        <v/>
      </c>
      <c r="L768" s="20">
        <f>E768/E767-1</f>
        <v/>
      </c>
      <c r="M768" s="20">
        <f>E768/MAX(E$2:E768)-1</f>
        <v/>
      </c>
    </row>
    <row r="769">
      <c r="A769" s="11" t="n">
        <v>44811</v>
      </c>
      <c r="B769" s="19" t="n">
        <v>1.851982839358061</v>
      </c>
      <c r="C769" s="19" t="n">
        <v>1.464484919731514</v>
      </c>
      <c r="D769" s="19" t="n">
        <v>1.661295676801525</v>
      </c>
      <c r="E769" s="19" t="n">
        <v>1.264160067252648</v>
      </c>
      <c r="F769" s="20">
        <f>B769/B768-1</f>
        <v/>
      </c>
      <c r="G769" s="20">
        <f>B769/MAX(B$2:B769)-1</f>
        <v/>
      </c>
      <c r="H769" s="20">
        <f>C769/C768-1</f>
        <v/>
      </c>
      <c r="I769" s="20">
        <f>C769/MAX(C$2:C769)-1</f>
        <v/>
      </c>
      <c r="J769" s="20">
        <f>D769/D768-1</f>
        <v/>
      </c>
      <c r="K769" s="20">
        <f>D769/MAX(D$2:D769)-1</f>
        <v/>
      </c>
      <c r="L769" s="20">
        <f>E769/E768-1</f>
        <v/>
      </c>
      <c r="M769" s="20">
        <f>E769/MAX(E$2:E769)-1</f>
        <v/>
      </c>
    </row>
    <row r="770">
      <c r="A770" s="11" t="n">
        <v>44812</v>
      </c>
      <c r="B770" s="19" t="n">
        <v>1.83960316116072</v>
      </c>
      <c r="C770" s="19" t="n">
        <v>1.450595589255656</v>
      </c>
      <c r="D770" s="19" t="n">
        <v>1.630409474782575</v>
      </c>
      <c r="E770" s="19" t="n">
        <v>1.256196133716713</v>
      </c>
      <c r="F770" s="20">
        <f>B770/B769-1</f>
        <v/>
      </c>
      <c r="G770" s="20">
        <f>B770/MAX(B$2:B770)-1</f>
        <v/>
      </c>
      <c r="H770" s="20">
        <f>C770/C769-1</f>
        <v/>
      </c>
      <c r="I770" s="20">
        <f>C770/MAX(C$2:C770)-1</f>
        <v/>
      </c>
      <c r="J770" s="20">
        <f>D770/D769-1</f>
        <v/>
      </c>
      <c r="K770" s="20">
        <f>D770/MAX(D$2:D770)-1</f>
        <v/>
      </c>
      <c r="L770" s="20">
        <f>E770/E769-1</f>
        <v/>
      </c>
      <c r="M770" s="20">
        <f>E770/MAX(E$2:E770)-1</f>
        <v/>
      </c>
    </row>
    <row r="771">
      <c r="A771" s="11" t="n">
        <v>44813</v>
      </c>
      <c r="B771" s="19" t="n">
        <v>1.840263165143761</v>
      </c>
      <c r="C771" s="19" t="n">
        <v>1.461432237697941</v>
      </c>
      <c r="D771" s="19" t="n">
        <v>1.646700541794831</v>
      </c>
      <c r="E771" s="19" t="n">
        <v>1.265618199875761</v>
      </c>
      <c r="F771" s="20">
        <f>B771/B770-1</f>
        <v/>
      </c>
      <c r="G771" s="20">
        <f>B771/MAX(B$2:B771)-1</f>
        <v/>
      </c>
      <c r="H771" s="20">
        <f>C771/C770-1</f>
        <v/>
      </c>
      <c r="I771" s="20">
        <f>C771/MAX(C$2:C771)-1</f>
        <v/>
      </c>
      <c r="J771" s="20">
        <f>D771/D770-1</f>
        <v/>
      </c>
      <c r="K771" s="20">
        <f>D771/MAX(D$2:D771)-1</f>
        <v/>
      </c>
      <c r="L771" s="20">
        <f>E771/E770-1</f>
        <v/>
      </c>
      <c r="M771" s="20">
        <f>E771/MAX(E$2:E771)-1</f>
        <v/>
      </c>
    </row>
    <row r="772">
      <c r="A772" s="11" t="n">
        <v>44817</v>
      </c>
      <c r="B772" s="19" t="n">
        <v>1.841203768363592</v>
      </c>
      <c r="C772" s="19" t="n">
        <v>1.468444868581714</v>
      </c>
      <c r="D772" s="19" t="n">
        <v>1.648257731001429</v>
      </c>
      <c r="E772" s="19" t="n">
        <v>1.268147613609734</v>
      </c>
      <c r="F772" s="20">
        <f>B772/B771-1</f>
        <v/>
      </c>
      <c r="G772" s="20">
        <f>B772/MAX(B$2:B772)-1</f>
        <v/>
      </c>
      <c r="H772" s="20">
        <f>C772/C771-1</f>
        <v/>
      </c>
      <c r="I772" s="20">
        <f>C772/MAX(C$2:C772)-1</f>
        <v/>
      </c>
      <c r="J772" s="20">
        <f>D772/D771-1</f>
        <v/>
      </c>
      <c r="K772" s="20">
        <f>D772/MAX(D$2:D772)-1</f>
        <v/>
      </c>
      <c r="L772" s="20">
        <f>E772/E771-1</f>
        <v/>
      </c>
      <c r="M772" s="20">
        <f>E772/MAX(E$2:E772)-1</f>
        <v/>
      </c>
    </row>
    <row r="773">
      <c r="A773" s="11" t="n">
        <v>44818</v>
      </c>
      <c r="B773" s="19" t="n">
        <v>1.82342521122871</v>
      </c>
      <c r="C773" s="19" t="n">
        <v>1.449733777170325</v>
      </c>
      <c r="D773" s="19" t="n">
        <v>1.618014062587542</v>
      </c>
      <c r="E773" s="19" t="n">
        <v>1.255593538091855</v>
      </c>
      <c r="F773" s="20">
        <f>B773/B772-1</f>
        <v/>
      </c>
      <c r="G773" s="20">
        <f>B773/MAX(B$2:B773)-1</f>
        <v/>
      </c>
      <c r="H773" s="20">
        <f>C773/C772-1</f>
        <v/>
      </c>
      <c r="I773" s="20">
        <f>C773/MAX(C$2:C773)-1</f>
        <v/>
      </c>
      <c r="J773" s="20">
        <f>D773/D772-1</f>
        <v/>
      </c>
      <c r="K773" s="20">
        <f>D773/MAX(D$2:D773)-1</f>
        <v/>
      </c>
      <c r="L773" s="20">
        <f>E773/E772-1</f>
        <v/>
      </c>
      <c r="M773" s="20">
        <f>E773/MAX(E$2:E773)-1</f>
        <v/>
      </c>
    </row>
    <row r="774">
      <c r="A774" s="11" t="n">
        <v>44819</v>
      </c>
      <c r="B774" s="19" t="n">
        <v>1.779478765030782</v>
      </c>
      <c r="C774" s="19" t="n">
        <v>1.418460344835465</v>
      </c>
      <c r="D774" s="19" t="n">
        <v>1.566554442461061</v>
      </c>
      <c r="E774" s="19" t="n">
        <v>1.232490319412878</v>
      </c>
      <c r="F774" s="20">
        <f>B774/B773-1</f>
        <v/>
      </c>
      <c r="G774" s="20">
        <f>B774/MAX(B$2:B774)-1</f>
        <v/>
      </c>
      <c r="H774" s="20">
        <f>C774/C773-1</f>
        <v/>
      </c>
      <c r="I774" s="20">
        <f>C774/MAX(C$2:C774)-1</f>
        <v/>
      </c>
      <c r="J774" s="20">
        <f>D774/D773-1</f>
        <v/>
      </c>
      <c r="K774" s="20">
        <f>D774/MAX(D$2:D774)-1</f>
        <v/>
      </c>
      <c r="L774" s="20">
        <f>E774/E773-1</f>
        <v/>
      </c>
      <c r="M774" s="20">
        <f>E774/MAX(E$2:E774)-1</f>
        <v/>
      </c>
    </row>
    <row r="775">
      <c r="A775" s="11" t="n">
        <v>44820</v>
      </c>
      <c r="B775" s="19" t="n">
        <v>1.759954423403153</v>
      </c>
      <c r="C775" s="19" t="n">
        <v>1.390805830615469</v>
      </c>
      <c r="D775" s="19" t="n">
        <v>1.529852739414206</v>
      </c>
      <c r="E775" s="19" t="n">
        <v>1.204514259569925</v>
      </c>
      <c r="F775" s="20">
        <f>B775/B774-1</f>
        <v/>
      </c>
      <c r="G775" s="20">
        <f>B775/MAX(B$2:B775)-1</f>
        <v/>
      </c>
      <c r="H775" s="20">
        <f>C775/C774-1</f>
        <v/>
      </c>
      <c r="I775" s="20">
        <f>C775/MAX(C$2:C775)-1</f>
        <v/>
      </c>
      <c r="J775" s="20">
        <f>D775/D774-1</f>
        <v/>
      </c>
      <c r="K775" s="20">
        <f>D775/MAX(D$2:D775)-1</f>
        <v/>
      </c>
      <c r="L775" s="20">
        <f>E775/E774-1</f>
        <v/>
      </c>
      <c r="M775" s="20">
        <f>E775/MAX(E$2:E775)-1</f>
        <v/>
      </c>
    </row>
    <row r="776">
      <c r="A776" s="11" t="n">
        <v>44823</v>
      </c>
      <c r="B776" s="19" t="n">
        <v>1.751121101563307</v>
      </c>
      <c r="C776" s="19" t="n">
        <v>1.376531217179098</v>
      </c>
      <c r="D776" s="19" t="n">
        <v>1.518853156030333</v>
      </c>
      <c r="E776" s="19" t="n">
        <v>1.197045049602547</v>
      </c>
      <c r="F776" s="20">
        <f>B776/B775-1</f>
        <v/>
      </c>
      <c r="G776" s="20">
        <f>B776/MAX(B$2:B776)-1</f>
        <v/>
      </c>
      <c r="H776" s="20">
        <f>C776/C775-1</f>
        <v/>
      </c>
      <c r="I776" s="20">
        <f>C776/MAX(C$2:C776)-1</f>
        <v/>
      </c>
      <c r="J776" s="20">
        <f>D776/D775-1</f>
        <v/>
      </c>
      <c r="K776" s="20">
        <f>D776/MAX(D$2:D776)-1</f>
        <v/>
      </c>
      <c r="L776" s="20">
        <f>E776/E775-1</f>
        <v/>
      </c>
      <c r="M776" s="20">
        <f>E776/MAX(E$2:E776)-1</f>
        <v/>
      </c>
    </row>
    <row r="777">
      <c r="A777" s="11" t="n">
        <v>44824</v>
      </c>
      <c r="B777" s="19" t="n">
        <v>1.761559516484358</v>
      </c>
      <c r="C777" s="19" t="n">
        <v>1.377509383756499</v>
      </c>
      <c r="D777" s="19" t="n">
        <v>1.52953370206047</v>
      </c>
      <c r="E777" s="19" t="n">
        <v>1.205544623693911</v>
      </c>
      <c r="F777" s="20">
        <f>B777/B776-1</f>
        <v/>
      </c>
      <c r="G777" s="20">
        <f>B777/MAX(B$2:B777)-1</f>
        <v/>
      </c>
      <c r="H777" s="20">
        <f>C777/C776-1</f>
        <v/>
      </c>
      <c r="I777" s="20">
        <f>C777/MAX(C$2:C777)-1</f>
        <v/>
      </c>
      <c r="J777" s="20">
        <f>D777/D776-1</f>
        <v/>
      </c>
      <c r="K777" s="20">
        <f>D777/MAX(D$2:D777)-1</f>
        <v/>
      </c>
      <c r="L777" s="20">
        <f>E777/E776-1</f>
        <v/>
      </c>
      <c r="M777" s="20">
        <f>E777/MAX(E$2:E777)-1</f>
        <v/>
      </c>
    </row>
    <row r="778">
      <c r="A778" s="11" t="n">
        <v>44825</v>
      </c>
      <c r="B778" s="19" t="n">
        <v>1.750647925073899</v>
      </c>
      <c r="C778" s="19" t="n">
        <v>1.362993018489975</v>
      </c>
      <c r="D778" s="19" t="n">
        <v>1.506665631857776</v>
      </c>
      <c r="E778" s="19" t="n">
        <v>1.202048081179302</v>
      </c>
      <c r="F778" s="20">
        <f>B778/B777-1</f>
        <v/>
      </c>
      <c r="G778" s="20">
        <f>B778/MAX(B$2:B778)-1</f>
        <v/>
      </c>
      <c r="H778" s="20">
        <f>C778/C777-1</f>
        <v/>
      </c>
      <c r="I778" s="20">
        <f>C778/MAX(C$2:C778)-1</f>
        <v/>
      </c>
      <c r="J778" s="20">
        <f>D778/D777-1</f>
        <v/>
      </c>
      <c r="K778" s="20">
        <f>D778/MAX(D$2:D778)-1</f>
        <v/>
      </c>
      <c r="L778" s="20">
        <f>E778/E777-1</f>
        <v/>
      </c>
      <c r="M778" s="20">
        <f>E778/MAX(E$2:E778)-1</f>
        <v/>
      </c>
    </row>
    <row r="779">
      <c r="A779" s="11" t="n">
        <v>44826</v>
      </c>
      <c r="B779" s="19" t="n">
        <v>1.74779326468425</v>
      </c>
      <c r="C779" s="19" t="n">
        <v>1.349903498883954</v>
      </c>
      <c r="D779" s="19" t="n">
        <v>1.498848215054828</v>
      </c>
      <c r="E779" s="19" t="n">
        <v>1.196159754795657</v>
      </c>
      <c r="F779" s="20">
        <f>B779/B778-1</f>
        <v/>
      </c>
      <c r="G779" s="20">
        <f>B779/MAX(B$2:B779)-1</f>
        <v/>
      </c>
      <c r="H779" s="20">
        <f>C779/C778-1</f>
        <v/>
      </c>
      <c r="I779" s="20">
        <f>C779/MAX(C$2:C779)-1</f>
        <v/>
      </c>
      <c r="J779" s="20">
        <f>D779/D778-1</f>
        <v/>
      </c>
      <c r="K779" s="20">
        <f>D779/MAX(D$2:D779)-1</f>
        <v/>
      </c>
      <c r="L779" s="20">
        <f>E779/E778-1</f>
        <v/>
      </c>
      <c r="M779" s="20">
        <f>E779/MAX(E$2:E779)-1</f>
        <v/>
      </c>
    </row>
    <row r="780">
      <c r="A780" s="11" t="n">
        <v>44827</v>
      </c>
      <c r="B780" s="19" t="n">
        <v>1.732833127313617</v>
      </c>
      <c r="C780" s="19" t="n">
        <v>1.33288755629833</v>
      </c>
      <c r="D780" s="19" t="n">
        <v>1.488822803862078</v>
      </c>
      <c r="E780" s="19" t="n">
        <v>1.18288405241838</v>
      </c>
      <c r="F780" s="20">
        <f>B780/B779-1</f>
        <v/>
      </c>
      <c r="G780" s="20">
        <f>B780/MAX(B$2:B780)-1</f>
        <v/>
      </c>
      <c r="H780" s="20">
        <f>C780/C779-1</f>
        <v/>
      </c>
      <c r="I780" s="20">
        <f>C780/MAX(C$2:C780)-1</f>
        <v/>
      </c>
      <c r="J780" s="20">
        <f>D780/D779-1</f>
        <v/>
      </c>
      <c r="K780" s="20">
        <f>D780/MAX(D$2:D780)-1</f>
        <v/>
      </c>
      <c r="L780" s="20">
        <f>E780/E779-1</f>
        <v/>
      </c>
      <c r="M780" s="20">
        <f>E780/MAX(E$2:E780)-1</f>
        <v/>
      </c>
    </row>
    <row r="781">
      <c r="A781" s="11" t="n">
        <v>44830</v>
      </c>
      <c r="B781" s="19" t="n">
        <v>1.737482991207272</v>
      </c>
      <c r="C781" s="19" t="n">
        <v>1.321492079212445</v>
      </c>
      <c r="D781" s="19" t="n">
        <v>1.50119585694745</v>
      </c>
      <c r="E781" s="19" t="n">
        <v>1.171527728698059</v>
      </c>
      <c r="F781" s="20">
        <f>B781/B780-1</f>
        <v/>
      </c>
      <c r="G781" s="20">
        <f>B781/MAX(B$2:B781)-1</f>
        <v/>
      </c>
      <c r="H781" s="20">
        <f>C781/C780-1</f>
        <v/>
      </c>
      <c r="I781" s="20">
        <f>C781/MAX(C$2:C781)-1</f>
        <v/>
      </c>
      <c r="J781" s="20">
        <f>D781/D780-1</f>
        <v/>
      </c>
      <c r="K781" s="20">
        <f>D781/MAX(D$2:D781)-1</f>
        <v/>
      </c>
      <c r="L781" s="20">
        <f>E781/E780-1</f>
        <v/>
      </c>
      <c r="M781" s="20">
        <f>E781/MAX(E$2:E781)-1</f>
        <v/>
      </c>
    </row>
    <row r="782">
      <c r="A782" s="11" t="n">
        <v>44831</v>
      </c>
      <c r="B782" s="19" t="n">
        <v>1.759047140096956</v>
      </c>
      <c r="C782" s="19" t="n">
        <v>1.359565539349247</v>
      </c>
      <c r="D782" s="19" t="n">
        <v>1.534595778638869</v>
      </c>
      <c r="E782" s="19" t="n">
        <v>1.192265201590555</v>
      </c>
      <c r="F782" s="20">
        <f>B782/B781-1</f>
        <v/>
      </c>
      <c r="G782" s="20">
        <f>B782/MAX(B$2:B782)-1</f>
        <v/>
      </c>
      <c r="H782" s="20">
        <f>C782/C781-1</f>
        <v/>
      </c>
      <c r="I782" s="20">
        <f>C782/MAX(C$2:C782)-1</f>
        <v/>
      </c>
      <c r="J782" s="20">
        <f>D782/D781-1</f>
        <v/>
      </c>
      <c r="K782" s="20">
        <f>D782/MAX(D$2:D782)-1</f>
        <v/>
      </c>
      <c r="L782" s="20">
        <f>E782/E781-1</f>
        <v/>
      </c>
      <c r="M782" s="20">
        <f>E782/MAX(E$2:E782)-1</f>
        <v/>
      </c>
    </row>
    <row r="783">
      <c r="A783" s="11" t="n">
        <v>44832</v>
      </c>
      <c r="B783" s="19" t="n">
        <v>1.72956518307159</v>
      </c>
      <c r="C783" s="19" t="n">
        <v>1.329558490258378</v>
      </c>
      <c r="D783" s="19" t="n">
        <v>1.495197347253193</v>
      </c>
      <c r="E783" s="19" t="n">
        <v>1.165557568340667</v>
      </c>
      <c r="F783" s="20">
        <f>B783/B782-1</f>
        <v/>
      </c>
      <c r="G783" s="20">
        <f>B783/MAX(B$2:B783)-1</f>
        <v/>
      </c>
      <c r="H783" s="20">
        <f>C783/C782-1</f>
        <v/>
      </c>
      <c r="I783" s="20">
        <f>C783/MAX(C$2:C783)-1</f>
        <v/>
      </c>
      <c r="J783" s="20">
        <f>D783/D782-1</f>
        <v/>
      </c>
      <c r="K783" s="20">
        <f>D783/MAX(D$2:D783)-1</f>
        <v/>
      </c>
      <c r="L783" s="20">
        <f>E783/E782-1</f>
        <v/>
      </c>
      <c r="M783" s="20">
        <f>E783/MAX(E$2:E783)-1</f>
        <v/>
      </c>
    </row>
    <row r="784">
      <c r="A784" s="11" t="n">
        <v>44833</v>
      </c>
      <c r="B784" s="19" t="n">
        <v>1.737205251157928</v>
      </c>
      <c r="C784" s="19" t="n">
        <v>1.34175791483515</v>
      </c>
      <c r="D784" s="19" t="n">
        <v>1.507621128376379</v>
      </c>
      <c r="E784" s="19" t="n">
        <v>1.164742948329285</v>
      </c>
      <c r="F784" s="20">
        <f>B784/B783-1</f>
        <v/>
      </c>
      <c r="G784" s="20">
        <f>B784/MAX(B$2:B784)-1</f>
        <v/>
      </c>
      <c r="H784" s="20">
        <f>C784/C783-1</f>
        <v/>
      </c>
      <c r="I784" s="20">
        <f>C784/MAX(C$2:C784)-1</f>
        <v/>
      </c>
      <c r="J784" s="20">
        <f>D784/D783-1</f>
        <v/>
      </c>
      <c r="K784" s="20">
        <f>D784/MAX(D$2:D784)-1</f>
        <v/>
      </c>
      <c r="L784" s="20">
        <f>E784/E783-1</f>
        <v/>
      </c>
      <c r="M784" s="20">
        <f>E784/MAX(E$2:E784)-1</f>
        <v/>
      </c>
    </row>
    <row r="785">
      <c r="A785" s="11" t="n">
        <v>44834</v>
      </c>
      <c r="B785" s="19" t="n">
        <v>1.718656787531399</v>
      </c>
      <c r="C785" s="19" t="n">
        <v>1.32950341547813</v>
      </c>
      <c r="D785" s="19" t="n">
        <v>1.479170647632904</v>
      </c>
      <c r="E785" s="19" t="n">
        <v>1.153327108991694</v>
      </c>
      <c r="F785" s="20">
        <f>B785/B784-1</f>
        <v/>
      </c>
      <c r="G785" s="20">
        <f>B785/MAX(B$2:B785)-1</f>
        <v/>
      </c>
      <c r="H785" s="20">
        <f>C785/C784-1</f>
        <v/>
      </c>
      <c r="I785" s="20">
        <f>C785/MAX(C$2:C785)-1</f>
        <v/>
      </c>
      <c r="J785" s="20">
        <f>D785/D784-1</f>
        <v/>
      </c>
      <c r="K785" s="20">
        <f>D785/MAX(D$2:D785)-1</f>
        <v/>
      </c>
      <c r="L785" s="20">
        <f>E785/E784-1</f>
        <v/>
      </c>
      <c r="M785" s="20">
        <f>E785/MAX(E$2:E785)-1</f>
        <v/>
      </c>
    </row>
    <row r="786">
      <c r="A786" s="11" t="n">
        <v>44844</v>
      </c>
      <c r="B786" s="19" t="n">
        <v>1.697207002997945</v>
      </c>
      <c r="C786" s="19" t="n">
        <v>1.300371261739165</v>
      </c>
      <c r="D786" s="19" t="n">
        <v>1.445099500299748</v>
      </c>
      <c r="E786" s="19" t="n">
        <v>1.129338595505827</v>
      </c>
      <c r="F786" s="20">
        <f>B786/B785-1</f>
        <v/>
      </c>
      <c r="G786" s="20">
        <f>B786/MAX(B$2:B786)-1</f>
        <v/>
      </c>
      <c r="H786" s="20">
        <f>C786/C785-1</f>
        <v/>
      </c>
      <c r="I786" s="20">
        <f>C786/MAX(C$2:C786)-1</f>
        <v/>
      </c>
      <c r="J786" s="20">
        <f>D786/D785-1</f>
        <v/>
      </c>
      <c r="K786" s="20">
        <f>D786/MAX(D$2:D786)-1</f>
        <v/>
      </c>
      <c r="L786" s="20">
        <f>E786/E785-1</f>
        <v/>
      </c>
      <c r="M786" s="20">
        <f>E786/MAX(E$2:E786)-1</f>
        <v/>
      </c>
    </row>
    <row r="787">
      <c r="A787" s="11" t="n">
        <v>44845</v>
      </c>
      <c r="B787" s="19" t="n">
        <v>1.698564446841402</v>
      </c>
      <c r="C787" s="19" t="n">
        <v>1.302633320049649</v>
      </c>
      <c r="D787" s="19" t="n">
        <v>1.461672964159446</v>
      </c>
      <c r="E787" s="19" t="n">
        <v>1.134081246257026</v>
      </c>
      <c r="F787" s="20">
        <f>B787/B786-1</f>
        <v/>
      </c>
      <c r="G787" s="20">
        <f>B787/MAX(B$2:B787)-1</f>
        <v/>
      </c>
      <c r="H787" s="20">
        <f>C787/C786-1</f>
        <v/>
      </c>
      <c r="I787" s="20">
        <f>C787/MAX(C$2:C787)-1</f>
        <v/>
      </c>
      <c r="J787" s="20">
        <f>D787/D786-1</f>
        <v/>
      </c>
      <c r="K787" s="20">
        <f>D787/MAX(D$2:D787)-1</f>
        <v/>
      </c>
      <c r="L787" s="20">
        <f>E787/E786-1</f>
        <v/>
      </c>
      <c r="M787" s="20">
        <f>E787/MAX(E$2:E787)-1</f>
        <v/>
      </c>
    </row>
    <row r="788">
      <c r="A788" s="11" t="n">
        <v>44846</v>
      </c>
      <c r="B788" s="19" t="n">
        <v>1.718952255809965</v>
      </c>
      <c r="C788" s="19" t="n">
        <v>1.336607773528656</v>
      </c>
      <c r="D788" s="19" t="n">
        <v>1.514280653483107</v>
      </c>
      <c r="E788" s="19" t="n">
        <v>1.158125555634083</v>
      </c>
      <c r="F788" s="20">
        <f>B788/B787-1</f>
        <v/>
      </c>
      <c r="G788" s="20">
        <f>B788/MAX(B$2:B788)-1</f>
        <v/>
      </c>
      <c r="H788" s="20">
        <f>C788/C787-1</f>
        <v/>
      </c>
      <c r="I788" s="20">
        <f>C788/MAX(C$2:C788)-1</f>
        <v/>
      </c>
      <c r="J788" s="20">
        <f>D788/D787-1</f>
        <v/>
      </c>
      <c r="K788" s="20">
        <f>D788/MAX(D$2:D788)-1</f>
        <v/>
      </c>
      <c r="L788" s="20">
        <f>E788/E787-1</f>
        <v/>
      </c>
      <c r="M788" s="20">
        <f>E788/MAX(E$2:E788)-1</f>
        <v/>
      </c>
    </row>
    <row r="789">
      <c r="A789" s="11" t="n">
        <v>44847</v>
      </c>
      <c r="B789" s="19" t="n">
        <v>1.724756693535755</v>
      </c>
      <c r="C789" s="19" t="n">
        <v>1.34628034794755</v>
      </c>
      <c r="D789" s="19" t="n">
        <v>1.519053612556824</v>
      </c>
      <c r="E789" s="19" t="n">
        <v>1.157660589874162</v>
      </c>
      <c r="F789" s="20">
        <f>B789/B788-1</f>
        <v/>
      </c>
      <c r="G789" s="20">
        <f>B789/MAX(B$2:B789)-1</f>
        <v/>
      </c>
      <c r="H789" s="20">
        <f>C789/C788-1</f>
        <v/>
      </c>
      <c r="I789" s="20">
        <f>C789/MAX(C$2:C789)-1</f>
        <v/>
      </c>
      <c r="J789" s="20">
        <f>D789/D788-1</f>
        <v/>
      </c>
      <c r="K789" s="20">
        <f>D789/MAX(D$2:D789)-1</f>
        <v/>
      </c>
      <c r="L789" s="20">
        <f>E789/E788-1</f>
        <v/>
      </c>
      <c r="M789" s="20">
        <f>E789/MAX(E$2:E789)-1</f>
        <v/>
      </c>
    </row>
    <row r="790">
      <c r="A790" s="11" t="n">
        <v>44848</v>
      </c>
      <c r="B790" s="19" t="n">
        <v>1.762047893870458</v>
      </c>
      <c r="C790" s="19" t="n">
        <v>1.408422785759345</v>
      </c>
      <c r="D790" s="19" t="n">
        <v>1.573033479147901</v>
      </c>
      <c r="E790" s="19" t="n">
        <v>1.185327912452527</v>
      </c>
      <c r="F790" s="20">
        <f>B790/B789-1</f>
        <v/>
      </c>
      <c r="G790" s="20">
        <f>B790/MAX(B$2:B790)-1</f>
        <v/>
      </c>
      <c r="H790" s="20">
        <f>C790/C789-1</f>
        <v/>
      </c>
      <c r="I790" s="20">
        <f>C790/MAX(C$2:C790)-1</f>
        <v/>
      </c>
      <c r="J790" s="20">
        <f>D790/D789-1</f>
        <v/>
      </c>
      <c r="K790" s="20">
        <f>D790/MAX(D$2:D790)-1</f>
        <v/>
      </c>
      <c r="L790" s="20">
        <f>E790/E789-1</f>
        <v/>
      </c>
      <c r="M790" s="20">
        <f>E790/MAX(E$2:E790)-1</f>
        <v/>
      </c>
    </row>
    <row r="791">
      <c r="A791" s="11" t="n">
        <v>44851</v>
      </c>
      <c r="B791" s="19" t="n">
        <v>1.773383363944705</v>
      </c>
      <c r="C791" s="19" t="n">
        <v>1.427312329078786</v>
      </c>
      <c r="D791" s="19" t="n">
        <v>1.573553231514946</v>
      </c>
      <c r="E791" s="19" t="n">
        <v>1.192678091185365</v>
      </c>
      <c r="F791" s="20">
        <f>B791/B790-1</f>
        <v/>
      </c>
      <c r="G791" s="20">
        <f>B791/MAX(B$2:B791)-1</f>
        <v/>
      </c>
      <c r="H791" s="20">
        <f>C791/C790-1</f>
        <v/>
      </c>
      <c r="I791" s="20">
        <f>C791/MAX(C$2:C791)-1</f>
        <v/>
      </c>
      <c r="J791" s="20">
        <f>D791/D790-1</f>
        <v/>
      </c>
      <c r="K791" s="20">
        <f>D791/MAX(D$2:D791)-1</f>
        <v/>
      </c>
      <c r="L791" s="20">
        <f>E791/E790-1</f>
        <v/>
      </c>
      <c r="M791" s="20">
        <f>E791/MAX(E$2:E791)-1</f>
        <v/>
      </c>
    </row>
    <row r="792">
      <c r="A792" s="11" t="n">
        <v>44852</v>
      </c>
      <c r="B792" s="19" t="n">
        <v>1.774167037508324</v>
      </c>
      <c r="C792" s="19" t="n">
        <v>1.428618250723969</v>
      </c>
      <c r="D792" s="19" t="n">
        <v>1.581246510024087</v>
      </c>
      <c r="E792" s="19" t="n">
        <v>1.194229216960463</v>
      </c>
      <c r="F792" s="20">
        <f>B792/B791-1</f>
        <v/>
      </c>
      <c r="G792" s="20">
        <f>B792/MAX(B$2:B792)-1</f>
        <v/>
      </c>
      <c r="H792" s="20">
        <f>C792/C791-1</f>
        <v/>
      </c>
      <c r="I792" s="20">
        <f>C792/MAX(C$2:C792)-1</f>
        <v/>
      </c>
      <c r="J792" s="20">
        <f>D792/D791-1</f>
        <v/>
      </c>
      <c r="K792" s="20">
        <f>D792/MAX(D$2:D792)-1</f>
        <v/>
      </c>
      <c r="L792" s="20">
        <f>E792/E791-1</f>
        <v/>
      </c>
      <c r="M792" s="20">
        <f>E792/MAX(E$2:E792)-1</f>
        <v/>
      </c>
    </row>
    <row r="793">
      <c r="A793" s="11" t="n">
        <v>44853</v>
      </c>
      <c r="B793" s="19" t="n">
        <v>1.762892818089768</v>
      </c>
      <c r="C793" s="19" t="n">
        <v>1.409830776123904</v>
      </c>
      <c r="D793" s="19" t="n">
        <v>1.567694950918846</v>
      </c>
      <c r="E793" s="19" t="n">
        <v>1.179897112376645</v>
      </c>
      <c r="F793" s="20">
        <f>B793/B792-1</f>
        <v/>
      </c>
      <c r="G793" s="20">
        <f>B793/MAX(B$2:B793)-1</f>
        <v/>
      </c>
      <c r="H793" s="20">
        <f>C793/C792-1</f>
        <v/>
      </c>
      <c r="I793" s="20">
        <f>C793/MAX(C$2:C793)-1</f>
        <v/>
      </c>
      <c r="J793" s="20">
        <f>D793/D792-1</f>
        <v/>
      </c>
      <c r="K793" s="20">
        <f>D793/MAX(D$2:D793)-1</f>
        <v/>
      </c>
      <c r="L793" s="20">
        <f>E793/E792-1</f>
        <v/>
      </c>
      <c r="M793" s="20">
        <f>E793/MAX(E$2:E793)-1</f>
        <v/>
      </c>
    </row>
    <row r="794">
      <c r="A794" s="11" t="n">
        <v>44854</v>
      </c>
      <c r="B794" s="19" t="n">
        <v>1.762809774670153</v>
      </c>
      <c r="C794" s="19" t="n">
        <v>1.409692391719735</v>
      </c>
      <c r="D794" s="19" t="n">
        <v>1.552029938977078</v>
      </c>
      <c r="E794" s="19" t="n">
        <v>1.174589063261382</v>
      </c>
      <c r="F794" s="20">
        <f>B794/B793-1</f>
        <v/>
      </c>
      <c r="G794" s="20">
        <f>B794/MAX(B$2:B794)-1</f>
        <v/>
      </c>
      <c r="H794" s="20">
        <f>C794/C793-1</f>
        <v/>
      </c>
      <c r="I794" s="20">
        <f>C794/MAX(C$2:C794)-1</f>
        <v/>
      </c>
      <c r="J794" s="20">
        <f>D794/D793-1</f>
        <v/>
      </c>
      <c r="K794" s="20">
        <f>D794/MAX(D$2:D794)-1</f>
        <v/>
      </c>
      <c r="L794" s="20">
        <f>E794/E793-1</f>
        <v/>
      </c>
      <c r="M794" s="20">
        <f>E794/MAX(E$2:E794)-1</f>
        <v/>
      </c>
    </row>
    <row r="795">
      <c r="A795" s="11" t="n">
        <v>44855</v>
      </c>
      <c r="B795" s="19" t="n">
        <v>1.76287723121226</v>
      </c>
      <c r="C795" s="19" t="n">
        <v>1.409804801991735</v>
      </c>
      <c r="D795" s="19" t="n">
        <v>1.547791466018968</v>
      </c>
      <c r="E795" s="19" t="n">
        <v>1.1734136298203</v>
      </c>
      <c r="F795" s="20">
        <f>B795/B794-1</f>
        <v/>
      </c>
      <c r="G795" s="20">
        <f>B795/MAX(B$2:B795)-1</f>
        <v/>
      </c>
      <c r="H795" s="20">
        <f>C795/C794-1</f>
        <v/>
      </c>
      <c r="I795" s="20">
        <f>C795/MAX(C$2:C795)-1</f>
        <v/>
      </c>
      <c r="J795" s="20">
        <f>D795/D794-1</f>
        <v/>
      </c>
      <c r="K795" s="20">
        <f>D795/MAX(D$2:D795)-1</f>
        <v/>
      </c>
      <c r="L795" s="20">
        <f>E795/E794-1</f>
        <v/>
      </c>
      <c r="M795" s="20">
        <f>E795/MAX(E$2:E795)-1</f>
        <v/>
      </c>
    </row>
    <row r="796">
      <c r="A796" s="11" t="n">
        <v>44858</v>
      </c>
      <c r="B796" s="19" t="n">
        <v>1.74750071882101</v>
      </c>
      <c r="C796" s="19" t="n">
        <v>1.38418122440616</v>
      </c>
      <c r="D796" s="19" t="n">
        <v>1.51010486357809</v>
      </c>
      <c r="E796" s="19" t="n">
        <v>1.151002280192087</v>
      </c>
      <c r="F796" s="20">
        <f>B796/B795-1</f>
        <v/>
      </c>
      <c r="G796" s="20">
        <f>B796/MAX(B$2:B796)-1</f>
        <v/>
      </c>
      <c r="H796" s="20">
        <f>C796/C795-1</f>
        <v/>
      </c>
      <c r="I796" s="20">
        <f>C796/MAX(C$2:C796)-1</f>
        <v/>
      </c>
      <c r="J796" s="20">
        <f>D796/D795-1</f>
        <v/>
      </c>
      <c r="K796" s="20">
        <f>D796/MAX(D$2:D796)-1</f>
        <v/>
      </c>
      <c r="L796" s="20">
        <f>E796/E795-1</f>
        <v/>
      </c>
      <c r="M796" s="20">
        <f>E796/MAX(E$2:E796)-1</f>
        <v/>
      </c>
    </row>
    <row r="797">
      <c r="A797" s="11" t="n">
        <v>44859</v>
      </c>
      <c r="B797" s="19" t="n">
        <v>1.740020980408943</v>
      </c>
      <c r="C797" s="19" t="n">
        <v>1.371716911781506</v>
      </c>
      <c r="D797" s="19" t="n">
        <v>1.495702236628267</v>
      </c>
      <c r="E797" s="19" t="n">
        <v>1.148469146732035</v>
      </c>
      <c r="F797" s="20">
        <f>B797/B796-1</f>
        <v/>
      </c>
      <c r="G797" s="20">
        <f>B797/MAX(B$2:B797)-1</f>
        <v/>
      </c>
      <c r="H797" s="20">
        <f>C797/C796-1</f>
        <v/>
      </c>
      <c r="I797" s="20">
        <f>C797/MAX(C$2:C797)-1</f>
        <v/>
      </c>
      <c r="J797" s="20">
        <f>D797/D796-1</f>
        <v/>
      </c>
      <c r="K797" s="20">
        <f>D797/MAX(D$2:D797)-1</f>
        <v/>
      </c>
      <c r="L797" s="20">
        <f>E797/E796-1</f>
        <v/>
      </c>
      <c r="M797" s="20">
        <f>E797/MAX(E$2:E797)-1</f>
        <v/>
      </c>
    </row>
    <row r="798">
      <c r="A798" s="11" t="n">
        <v>44860</v>
      </c>
      <c r="B798" s="19" t="n">
        <v>1.763896266626255</v>
      </c>
      <c r="C798" s="19" t="n">
        <v>1.411502933032674</v>
      </c>
      <c r="D798" s="19" t="n">
        <v>1.533392780993102</v>
      </c>
      <c r="E798" s="19" t="n">
        <v>1.164549522573158</v>
      </c>
      <c r="F798" s="20">
        <f>B798/B797-1</f>
        <v/>
      </c>
      <c r="G798" s="20">
        <f>B798/MAX(B$2:B798)-1</f>
        <v/>
      </c>
      <c r="H798" s="20">
        <f>C798/C797-1</f>
        <v/>
      </c>
      <c r="I798" s="20">
        <f>C798/MAX(C$2:C798)-1</f>
        <v/>
      </c>
      <c r="J798" s="20">
        <f>D798/D797-1</f>
        <v/>
      </c>
      <c r="K798" s="20">
        <f>D798/MAX(D$2:D798)-1</f>
        <v/>
      </c>
      <c r="L798" s="20">
        <f>E798/E797-1</f>
        <v/>
      </c>
      <c r="M798" s="20">
        <f>E798/MAX(E$2:E798)-1</f>
        <v/>
      </c>
    </row>
    <row r="799">
      <c r="A799" s="11" t="n">
        <v>44861</v>
      </c>
      <c r="B799" s="19" t="n">
        <v>1.764451159465556</v>
      </c>
      <c r="C799" s="19" t="n">
        <v>1.412427612137904</v>
      </c>
      <c r="D799" s="19" t="n">
        <v>1.510372785163787</v>
      </c>
      <c r="E799" s="19" t="n">
        <v>1.15814415426448</v>
      </c>
      <c r="F799" s="20">
        <f>B799/B798-1</f>
        <v/>
      </c>
      <c r="G799" s="20">
        <f>B799/MAX(B$2:B799)-1</f>
        <v/>
      </c>
      <c r="H799" s="20">
        <f>C799/C798-1</f>
        <v/>
      </c>
      <c r="I799" s="20">
        <f>C799/MAX(C$2:C799)-1</f>
        <v/>
      </c>
      <c r="J799" s="20">
        <f>D799/D798-1</f>
        <v/>
      </c>
      <c r="K799" s="20">
        <f>D799/MAX(D$2:D799)-1</f>
        <v/>
      </c>
      <c r="L799" s="20">
        <f>E799/E798-1</f>
        <v/>
      </c>
      <c r="M799" s="20">
        <f>E799/MAX(E$2:E799)-1</f>
        <v/>
      </c>
    </row>
    <row r="800">
      <c r="A800" s="11" t="n">
        <v>44862</v>
      </c>
      <c r="B800" s="19" t="n">
        <v>1.737212051894395</v>
      </c>
      <c r="C800" s="19" t="n">
        <v>1.367036084563116</v>
      </c>
      <c r="D800" s="19" t="n">
        <v>1.454318174137011</v>
      </c>
      <c r="E800" s="19" t="n">
        <v>1.124209093242374</v>
      </c>
      <c r="F800" s="20">
        <f>B800/B799-1</f>
        <v/>
      </c>
      <c r="G800" s="20">
        <f>B800/MAX(B$2:B800)-1</f>
        <v/>
      </c>
      <c r="H800" s="20">
        <f>C800/C799-1</f>
        <v/>
      </c>
      <c r="I800" s="20">
        <f>C800/MAX(C$2:C800)-1</f>
        <v/>
      </c>
      <c r="J800" s="20">
        <f>D800/D799-1</f>
        <v/>
      </c>
      <c r="K800" s="20">
        <f>D800/MAX(D$2:D800)-1</f>
        <v/>
      </c>
      <c r="L800" s="20">
        <f>E800/E799-1</f>
        <v/>
      </c>
      <c r="M800" s="20">
        <f>E800/MAX(E$2:E800)-1</f>
        <v/>
      </c>
    </row>
    <row r="801">
      <c r="A801" s="11" t="n">
        <v>44865</v>
      </c>
      <c r="B801" s="19" t="n">
        <v>1.744655276602669</v>
      </c>
      <c r="C801" s="19" t="n">
        <v>1.379439550378152</v>
      </c>
      <c r="D801" s="19" t="n">
        <v>1.463732264007837</v>
      </c>
      <c r="E801" s="19" t="n">
        <v>1.123870598169151</v>
      </c>
      <c r="F801" s="20">
        <f>B801/B800-1</f>
        <v/>
      </c>
      <c r="G801" s="20">
        <f>B801/MAX(B$2:B801)-1</f>
        <v/>
      </c>
      <c r="H801" s="20">
        <f>C801/C800-1</f>
        <v/>
      </c>
      <c r="I801" s="20">
        <f>C801/MAX(C$2:C801)-1</f>
        <v/>
      </c>
      <c r="J801" s="20">
        <f>D801/D800-1</f>
        <v/>
      </c>
      <c r="K801" s="20">
        <f>D801/MAX(D$2:D801)-1</f>
        <v/>
      </c>
      <c r="L801" s="20">
        <f>E801/E800-1</f>
        <v/>
      </c>
      <c r="M801" s="20">
        <f>E801/MAX(E$2:E801)-1</f>
        <v/>
      </c>
    </row>
    <row r="802">
      <c r="A802" s="11" t="n">
        <v>44866</v>
      </c>
      <c r="B802" s="19" t="n">
        <v>1.76487191856452</v>
      </c>
      <c r="C802" s="19" t="n">
        <v>1.413128769405743</v>
      </c>
      <c r="D802" s="19" t="n">
        <v>1.510631142737261</v>
      </c>
      <c r="E802" s="19" t="n">
        <v>1.156686021641366</v>
      </c>
      <c r="F802" s="20">
        <f>B802/B801-1</f>
        <v/>
      </c>
      <c r="G802" s="20">
        <f>B802/MAX(B$2:B802)-1</f>
        <v/>
      </c>
      <c r="H802" s="20">
        <f>C802/C801-1</f>
        <v/>
      </c>
      <c r="I802" s="20">
        <f>C802/MAX(C$2:C802)-1</f>
        <v/>
      </c>
      <c r="J802" s="20">
        <f>D802/D801-1</f>
        <v/>
      </c>
      <c r="K802" s="20">
        <f>D802/MAX(D$2:D802)-1</f>
        <v/>
      </c>
      <c r="L802" s="20">
        <f>E802/E801-1</f>
        <v/>
      </c>
      <c r="M802" s="20">
        <f>E802/MAX(E$2:E802)-1</f>
        <v/>
      </c>
    </row>
    <row r="803">
      <c r="A803" s="11" t="n">
        <v>44867</v>
      </c>
      <c r="B803" s="19" t="n">
        <v>1.773238377119289</v>
      </c>
      <c r="C803" s="19" t="n">
        <v>1.427070721549367</v>
      </c>
      <c r="D803" s="19" t="n">
        <v>1.535322385081123</v>
      </c>
      <c r="E803" s="19" t="n">
        <v>1.171029285403423</v>
      </c>
      <c r="F803" s="20">
        <f>B803/B802-1</f>
        <v/>
      </c>
      <c r="G803" s="20">
        <f>B803/MAX(B$2:B803)-1</f>
        <v/>
      </c>
      <c r="H803" s="20">
        <f>C803/C802-1</f>
        <v/>
      </c>
      <c r="I803" s="20">
        <f>C803/MAX(C$2:C803)-1</f>
        <v/>
      </c>
      <c r="J803" s="20">
        <f>D803/D802-1</f>
        <v/>
      </c>
      <c r="K803" s="20">
        <f>D803/MAX(D$2:D803)-1</f>
        <v/>
      </c>
      <c r="L803" s="20">
        <f>E803/E802-1</f>
        <v/>
      </c>
      <c r="M803" s="20">
        <f>E803/MAX(E$2:E803)-1</f>
        <v/>
      </c>
    </row>
    <row r="804">
      <c r="A804" s="11" t="n">
        <v>44868</v>
      </c>
      <c r="B804" s="19" t="n">
        <v>1.766901503203646</v>
      </c>
      <c r="C804" s="19" t="n">
        <v>1.416510890015664</v>
      </c>
      <c r="D804" s="19" t="n">
        <v>1.535451046894226</v>
      </c>
      <c r="E804" s="19" t="n">
        <v>1.16962322894542</v>
      </c>
      <c r="F804" s="20">
        <f>B804/B803-1</f>
        <v/>
      </c>
      <c r="G804" s="20">
        <f>B804/MAX(B$2:B804)-1</f>
        <v/>
      </c>
      <c r="H804" s="20">
        <f>C804/C803-1</f>
        <v/>
      </c>
      <c r="I804" s="20">
        <f>C804/MAX(C$2:C804)-1</f>
        <v/>
      </c>
      <c r="J804" s="20">
        <f>D804/D803-1</f>
        <v/>
      </c>
      <c r="K804" s="20">
        <f>D804/MAX(D$2:D804)-1</f>
        <v/>
      </c>
      <c r="L804" s="20">
        <f>E804/E803-1</f>
        <v/>
      </c>
      <c r="M804" s="20">
        <f>E804/MAX(E$2:E804)-1</f>
        <v/>
      </c>
    </row>
    <row r="805">
      <c r="A805" s="11" t="n">
        <v>44869</v>
      </c>
      <c r="B805" s="19" t="n">
        <v>1.787154658869289</v>
      </c>
      <c r="C805" s="19" t="n">
        <v>1.450260955852874</v>
      </c>
      <c r="D805" s="19" t="n">
        <v>1.584022206085465</v>
      </c>
      <c r="E805" s="19" t="n">
        <v>1.200031989644283</v>
      </c>
      <c r="F805" s="20">
        <f>B805/B804-1</f>
        <v/>
      </c>
      <c r="G805" s="20">
        <f>B805/MAX(B$2:B805)-1</f>
        <v/>
      </c>
      <c r="H805" s="20">
        <f>C805/C804-1</f>
        <v/>
      </c>
      <c r="I805" s="20">
        <f>C805/MAX(C$2:C805)-1</f>
        <v/>
      </c>
      <c r="J805" s="20">
        <f>D805/D804-1</f>
        <v/>
      </c>
      <c r="K805" s="20">
        <f>D805/MAX(D$2:D805)-1</f>
        <v/>
      </c>
      <c r="L805" s="20">
        <f>E805/E804-1</f>
        <v/>
      </c>
      <c r="M805" s="20">
        <f>E805/MAX(E$2:E805)-1</f>
        <v/>
      </c>
    </row>
    <row r="806">
      <c r="A806" s="11" t="n">
        <v>44872</v>
      </c>
      <c r="B806" s="19" t="n">
        <v>1.785800655927608</v>
      </c>
      <c r="C806" s="19" t="n">
        <v>1.449738539094556</v>
      </c>
      <c r="D806" s="19" t="n">
        <v>1.586264773087025</v>
      </c>
      <c r="E806" s="19" t="n">
        <v>1.203152839824875</v>
      </c>
      <c r="F806" s="20">
        <f>B806/B805-1</f>
        <v/>
      </c>
      <c r="G806" s="20">
        <f>B806/MAX(B$2:B806)-1</f>
        <v/>
      </c>
      <c r="H806" s="20">
        <f>C806/C805-1</f>
        <v/>
      </c>
      <c r="I806" s="20">
        <f>C806/MAX(C$2:C806)-1</f>
        <v/>
      </c>
      <c r="J806" s="20">
        <f>D806/D805-1</f>
        <v/>
      </c>
      <c r="K806" s="20">
        <f>D806/MAX(D$2:D806)-1</f>
        <v/>
      </c>
      <c r="L806" s="20">
        <f>E806/E805-1</f>
        <v/>
      </c>
      <c r="M806" s="20">
        <f>E806/MAX(E$2:E806)-1</f>
        <v/>
      </c>
    </row>
    <row r="807">
      <c r="A807" s="11" t="n">
        <v>44873</v>
      </c>
      <c r="B807" s="19" t="n">
        <v>1.781822669911242</v>
      </c>
      <c r="C807" s="19" t="n">
        <v>1.437024682400096</v>
      </c>
      <c r="D807" s="19" t="n">
        <v>1.571860401351188</v>
      </c>
      <c r="E807" s="19" t="n">
        <v>1.198339514278169</v>
      </c>
      <c r="F807" s="20">
        <f>B807/B806-1</f>
        <v/>
      </c>
      <c r="G807" s="20">
        <f>B807/MAX(B$2:B807)-1</f>
        <v/>
      </c>
      <c r="H807" s="20">
        <f>C807/C806-1</f>
        <v/>
      </c>
      <c r="I807" s="20">
        <f>C807/MAX(C$2:C807)-1</f>
        <v/>
      </c>
      <c r="J807" s="20">
        <f>D807/D806-1</f>
        <v/>
      </c>
      <c r="K807" s="20">
        <f>D807/MAX(D$2:D807)-1</f>
        <v/>
      </c>
      <c r="L807" s="20">
        <f>E807/E806-1</f>
        <v/>
      </c>
      <c r="M807" s="20">
        <f>E807/MAX(E$2:E807)-1</f>
        <v/>
      </c>
    </row>
    <row r="808">
      <c r="A808" s="11" t="n">
        <v>44874</v>
      </c>
      <c r="B808" s="19" t="n">
        <v>1.770007362198557</v>
      </c>
      <c r="C808" s="19" t="n">
        <v>1.423185328078542</v>
      </c>
      <c r="D808" s="19" t="n">
        <v>1.550491942416633</v>
      </c>
      <c r="E808" s="19" t="n">
        <v>1.19258881775946</v>
      </c>
      <c r="F808" s="20">
        <f>B808/B807-1</f>
        <v/>
      </c>
      <c r="G808" s="20">
        <f>B808/MAX(B$2:B808)-1</f>
        <v/>
      </c>
      <c r="H808" s="20">
        <f>C808/C807-1</f>
        <v/>
      </c>
      <c r="I808" s="20">
        <f>C808/MAX(C$2:C808)-1</f>
        <v/>
      </c>
      <c r="J808" s="20">
        <f>D808/D807-1</f>
        <v/>
      </c>
      <c r="K808" s="20">
        <f>D808/MAX(D$2:D808)-1</f>
        <v/>
      </c>
      <c r="L808" s="20">
        <f>E808/E807-1</f>
        <v/>
      </c>
      <c r="M808" s="20">
        <f>E808/MAX(E$2:E808)-1</f>
        <v/>
      </c>
    </row>
    <row r="809">
      <c r="A809" s="11" t="n">
        <v>44875</v>
      </c>
      <c r="B809" s="19" t="n">
        <v>1.759228632149261</v>
      </c>
      <c r="C809" s="19" t="n">
        <v>1.402475911998678</v>
      </c>
      <c r="D809" s="19" t="n">
        <v>1.523214733334983</v>
      </c>
      <c r="E809" s="19" t="n">
        <v>1.184003689968271</v>
      </c>
      <c r="F809" s="20">
        <f>B809/B808-1</f>
        <v/>
      </c>
      <c r="G809" s="20">
        <f>B809/MAX(B$2:B809)-1</f>
        <v/>
      </c>
      <c r="H809" s="20">
        <f>C809/C808-1</f>
        <v/>
      </c>
      <c r="I809" s="20">
        <f>C809/MAX(C$2:C809)-1</f>
        <v/>
      </c>
      <c r="J809" s="20">
        <f>D809/D808-1</f>
        <v/>
      </c>
      <c r="K809" s="20">
        <f>D809/MAX(D$2:D809)-1</f>
        <v/>
      </c>
      <c r="L809" s="20">
        <f>E809/E808-1</f>
        <v/>
      </c>
      <c r="M809" s="20">
        <f>E809/MAX(E$2:E809)-1</f>
        <v/>
      </c>
    </row>
    <row r="810">
      <c r="A810" s="11" t="n">
        <v>44876</v>
      </c>
      <c r="B810" s="19" t="n">
        <v>1.764329558464073</v>
      </c>
      <c r="C810" s="19" t="n">
        <v>1.413498515987199</v>
      </c>
      <c r="D810" s="19" t="n">
        <v>1.554357548141393</v>
      </c>
      <c r="E810" s="19" t="n">
        <v>1.20235681844389</v>
      </c>
      <c r="F810" s="20">
        <f>B810/B809-1</f>
        <v/>
      </c>
      <c r="G810" s="20">
        <f>B810/MAX(B$2:B810)-1</f>
        <v/>
      </c>
      <c r="H810" s="20">
        <f>C810/C809-1</f>
        <v/>
      </c>
      <c r="I810" s="20">
        <f>C810/MAX(C$2:C810)-1</f>
        <v/>
      </c>
      <c r="J810" s="20">
        <f>D810/D809-1</f>
        <v/>
      </c>
      <c r="K810" s="20">
        <f>D810/MAX(D$2:D810)-1</f>
        <v/>
      </c>
      <c r="L810" s="20">
        <f>E810/E809-1</f>
        <v/>
      </c>
      <c r="M810" s="20">
        <f>E810/MAX(E$2:E810)-1</f>
        <v/>
      </c>
    </row>
    <row r="811">
      <c r="A811" s="11" t="n">
        <v>44879</v>
      </c>
      <c r="B811" s="19" t="n">
        <v>1.776674441464467</v>
      </c>
      <c r="C811" s="19" t="n">
        <v>1.427996891762184</v>
      </c>
      <c r="D811" s="19" t="n">
        <v>1.534899436027001</v>
      </c>
      <c r="E811" s="19" t="n">
        <v>1.200794533490554</v>
      </c>
      <c r="F811" s="20">
        <f>B811/B810-1</f>
        <v/>
      </c>
      <c r="G811" s="20">
        <f>B811/MAX(B$2:B811)-1</f>
        <v/>
      </c>
      <c r="H811" s="20">
        <f>C811/C810-1</f>
        <v/>
      </c>
      <c r="I811" s="20">
        <f>C811/MAX(C$2:C811)-1</f>
        <v/>
      </c>
      <c r="J811" s="20">
        <f>D811/D810-1</f>
        <v/>
      </c>
      <c r="K811" s="20">
        <f>D811/MAX(D$2:D811)-1</f>
        <v/>
      </c>
      <c r="L811" s="20">
        <f>E811/E810-1</f>
        <v/>
      </c>
      <c r="M811" s="20">
        <f>E811/MAX(E$2:E811)-1</f>
        <v/>
      </c>
    </row>
    <row r="812">
      <c r="A812" s="11" t="n">
        <v>44880</v>
      </c>
      <c r="B812" s="19" t="n">
        <v>1.804081043341935</v>
      </c>
      <c r="C812" s="19" t="n">
        <v>1.4658577969174</v>
      </c>
      <c r="D812" s="19" t="n">
        <v>1.571427500554616</v>
      </c>
      <c r="E812" s="19" t="n">
        <v>1.224451991355357</v>
      </c>
      <c r="F812" s="20">
        <f>B812/B811-1</f>
        <v/>
      </c>
      <c r="G812" s="20">
        <f>B812/MAX(B$2:B812)-1</f>
        <v/>
      </c>
      <c r="H812" s="20">
        <f>C812/C811-1</f>
        <v/>
      </c>
      <c r="I812" s="20">
        <f>C812/MAX(C$2:C812)-1</f>
        <v/>
      </c>
      <c r="J812" s="20">
        <f>D812/D811-1</f>
        <v/>
      </c>
      <c r="K812" s="20">
        <f>D812/MAX(D$2:D812)-1</f>
        <v/>
      </c>
      <c r="L812" s="20">
        <f>E812/E811-1</f>
        <v/>
      </c>
      <c r="M812" s="20">
        <f>E812/MAX(E$2:E812)-1</f>
        <v/>
      </c>
    </row>
    <row r="813">
      <c r="A813" s="11" t="n">
        <v>44881</v>
      </c>
      <c r="B813" s="19" t="n">
        <v>1.794754897937654</v>
      </c>
      <c r="C813" s="19" t="n">
        <v>1.45192902424084</v>
      </c>
      <c r="D813" s="19" t="n">
        <v>1.552798161796851</v>
      </c>
      <c r="E813" s="19" t="n">
        <v>1.216491777545502</v>
      </c>
      <c r="F813" s="20">
        <f>B813/B812-1</f>
        <v/>
      </c>
      <c r="G813" s="20">
        <f>B813/MAX(B$2:B813)-1</f>
        <v/>
      </c>
      <c r="H813" s="20">
        <f>C813/C812-1</f>
        <v/>
      </c>
      <c r="I813" s="20">
        <f>C813/MAX(C$2:C813)-1</f>
        <v/>
      </c>
      <c r="J813" s="20">
        <f>D813/D812-1</f>
        <v/>
      </c>
      <c r="K813" s="20">
        <f>D813/MAX(D$2:D813)-1</f>
        <v/>
      </c>
      <c r="L813" s="20">
        <f>E813/E812-1</f>
        <v/>
      </c>
      <c r="M813" s="20">
        <f>E813/MAX(E$2:E813)-1</f>
        <v/>
      </c>
    </row>
    <row r="814">
      <c r="A814" s="11" t="n">
        <v>44882</v>
      </c>
      <c r="B814" s="19" t="n">
        <v>1.805247196197497</v>
      </c>
      <c r="C814" s="19" t="n">
        <v>1.453639757545906</v>
      </c>
      <c r="D814" s="19" t="n">
        <v>1.54178390928612</v>
      </c>
      <c r="E814" s="19" t="n">
        <v>1.216127244389723</v>
      </c>
      <c r="F814" s="20">
        <f>B814/B813-1</f>
        <v/>
      </c>
      <c r="G814" s="20">
        <f>B814/MAX(B$2:B814)-1</f>
        <v/>
      </c>
      <c r="H814" s="20">
        <f>C814/C813-1</f>
        <v/>
      </c>
      <c r="I814" s="20">
        <f>C814/MAX(C$2:C814)-1</f>
        <v/>
      </c>
      <c r="J814" s="20">
        <f>D814/D813-1</f>
        <v/>
      </c>
      <c r="K814" s="20">
        <f>D814/MAX(D$2:D814)-1</f>
        <v/>
      </c>
      <c r="L814" s="20">
        <f>E814/E813-1</f>
        <v/>
      </c>
      <c r="M814" s="20">
        <f>E814/MAX(E$2:E814)-1</f>
        <v/>
      </c>
    </row>
    <row r="815">
      <c r="A815" s="11" t="n">
        <v>44883</v>
      </c>
      <c r="B815" s="19" t="n">
        <v>1.801724398787097</v>
      </c>
      <c r="C815" s="19" t="n">
        <v>1.457767528150067</v>
      </c>
      <c r="D815" s="19" t="n">
        <v>1.544303638777081</v>
      </c>
      <c r="E815" s="19" t="n">
        <v>1.209316425938394</v>
      </c>
      <c r="F815" s="20">
        <f>B815/B814-1</f>
        <v/>
      </c>
      <c r="G815" s="20">
        <f>B815/MAX(B$2:B815)-1</f>
        <v/>
      </c>
      <c r="H815" s="20">
        <f>C815/C814-1</f>
        <v/>
      </c>
      <c r="I815" s="20">
        <f>C815/MAX(C$2:C815)-1</f>
        <v/>
      </c>
      <c r="J815" s="20">
        <f>D815/D814-1</f>
        <v/>
      </c>
      <c r="K815" s="20">
        <f>D815/MAX(D$2:D815)-1</f>
        <v/>
      </c>
      <c r="L815" s="20">
        <f>E815/E814-1</f>
        <v/>
      </c>
      <c r="M815" s="20">
        <f>E815/MAX(E$2:E815)-1</f>
        <v/>
      </c>
    </row>
    <row r="816">
      <c r="A816" s="11" t="n">
        <v>44886</v>
      </c>
      <c r="B816" s="19" t="n">
        <v>1.799213242335454</v>
      </c>
      <c r="C816" s="19" t="n">
        <v>1.457237271051854</v>
      </c>
      <c r="D816" s="19" t="n">
        <v>1.54271103687657</v>
      </c>
      <c r="E816" s="19" t="n">
        <v>1.206656821791643</v>
      </c>
      <c r="F816" s="20">
        <f>B816/B815-1</f>
        <v/>
      </c>
      <c r="G816" s="20">
        <f>B816/MAX(B$2:B816)-1</f>
        <v/>
      </c>
      <c r="H816" s="20">
        <f>C816/C815-1</f>
        <v/>
      </c>
      <c r="I816" s="20">
        <f>C816/MAX(C$2:C816)-1</f>
        <v/>
      </c>
      <c r="J816" s="20">
        <f>D816/D815-1</f>
        <v/>
      </c>
      <c r="K816" s="20">
        <f>D816/MAX(D$2:D816)-1</f>
        <v/>
      </c>
      <c r="L816" s="20">
        <f>E816/E815-1</f>
        <v/>
      </c>
      <c r="M816" s="20">
        <f>E816/MAX(E$2:E816)-1</f>
        <v/>
      </c>
    </row>
    <row r="817">
      <c r="A817" s="11" t="n">
        <v>44887</v>
      </c>
      <c r="B817" s="19" t="n">
        <v>1.779796708486509</v>
      </c>
      <c r="C817" s="19" t="n">
        <v>1.432815526181805</v>
      </c>
      <c r="D817" s="19" t="n">
        <v>1.514444598746714</v>
      </c>
      <c r="E817" s="19" t="n">
        <v>1.198209323865391</v>
      </c>
      <c r="F817" s="20">
        <f>B817/B816-1</f>
        <v/>
      </c>
      <c r="G817" s="20">
        <f>B817/MAX(B$2:B817)-1</f>
        <v/>
      </c>
      <c r="H817" s="20">
        <f>C817/C816-1</f>
        <v/>
      </c>
      <c r="I817" s="20">
        <f>C817/MAX(C$2:C817)-1</f>
        <v/>
      </c>
      <c r="J817" s="20">
        <f>D817/D816-1</f>
        <v/>
      </c>
      <c r="K817" s="20">
        <f>D817/MAX(D$2:D817)-1</f>
        <v/>
      </c>
      <c r="L817" s="20">
        <f>E817/E816-1</f>
        <v/>
      </c>
      <c r="M817" s="20">
        <f>E817/MAX(E$2:E817)-1</f>
        <v/>
      </c>
    </row>
    <row r="818">
      <c r="A818" s="11" t="n">
        <v>44888</v>
      </c>
      <c r="B818" s="19" t="n">
        <v>1.772022265335015</v>
      </c>
      <c r="C818" s="19" t="n">
        <v>1.426421560646111</v>
      </c>
      <c r="D818" s="19" t="n">
        <v>1.512365589278535</v>
      </c>
      <c r="E818" s="19" t="n">
        <v>1.196531727403594</v>
      </c>
      <c r="F818" s="20">
        <f>B818/B817-1</f>
        <v/>
      </c>
      <c r="G818" s="20">
        <f>B818/MAX(B$2:B818)-1</f>
        <v/>
      </c>
      <c r="H818" s="20">
        <f>C818/C817-1</f>
        <v/>
      </c>
      <c r="I818" s="20">
        <f>C818/MAX(C$2:C818)-1</f>
        <v/>
      </c>
      <c r="J818" s="20">
        <f>D818/D817-1</f>
        <v/>
      </c>
      <c r="K818" s="20">
        <f>D818/MAX(D$2:D818)-1</f>
        <v/>
      </c>
      <c r="L818" s="20">
        <f>E818/E817-1</f>
        <v/>
      </c>
      <c r="M818" s="20">
        <f>E818/MAX(E$2:E818)-1</f>
        <v/>
      </c>
    </row>
    <row r="819">
      <c r="A819" s="11" t="n">
        <v>44889</v>
      </c>
      <c r="B819" s="19" t="n">
        <v>1.765651174716346</v>
      </c>
      <c r="C819" s="19" t="n">
        <v>1.421823562049195</v>
      </c>
      <c r="D819" s="19" t="n">
        <v>1.509255734384634</v>
      </c>
      <c r="E819" s="19" t="n">
        <v>1.195932851504815</v>
      </c>
      <c r="F819" s="20">
        <f>B819/B818-1</f>
        <v/>
      </c>
      <c r="G819" s="20">
        <f>B819/MAX(B$2:B819)-1</f>
        <v/>
      </c>
      <c r="H819" s="20">
        <f>C819/C818-1</f>
        <v/>
      </c>
      <c r="I819" s="20">
        <f>C819/MAX(C$2:C819)-1</f>
        <v/>
      </c>
      <c r="J819" s="20">
        <f>D819/D818-1</f>
        <v/>
      </c>
      <c r="K819" s="20">
        <f>D819/MAX(D$2:D819)-1</f>
        <v/>
      </c>
      <c r="L819" s="20">
        <f>E819/E818-1</f>
        <v/>
      </c>
      <c r="M819" s="20">
        <f>E819/MAX(E$2:E819)-1</f>
        <v/>
      </c>
    </row>
    <row r="820">
      <c r="A820" s="11" t="n">
        <v>44890</v>
      </c>
      <c r="B820" s="19" t="n">
        <v>1.75288323449028</v>
      </c>
      <c r="C820" s="19" t="n">
        <v>1.408385267568434</v>
      </c>
      <c r="D820" s="19" t="n">
        <v>1.492347982449004</v>
      </c>
      <c r="E820" s="19" t="n">
        <v>1.192823160502461</v>
      </c>
      <c r="F820" s="20">
        <f>B820/B819-1</f>
        <v/>
      </c>
      <c r="G820" s="20">
        <f>B820/MAX(B$2:B820)-1</f>
        <v/>
      </c>
      <c r="H820" s="20">
        <f>C820/C819-1</f>
        <v/>
      </c>
      <c r="I820" s="20">
        <f>C820/MAX(C$2:C820)-1</f>
        <v/>
      </c>
      <c r="J820" s="20">
        <f>D820/D819-1</f>
        <v/>
      </c>
      <c r="K820" s="20">
        <f>D820/MAX(D$2:D820)-1</f>
        <v/>
      </c>
      <c r="L820" s="20">
        <f>E820/E819-1</f>
        <v/>
      </c>
      <c r="M820" s="20">
        <f>E820/MAX(E$2:E820)-1</f>
        <v/>
      </c>
    </row>
    <row r="821">
      <c r="A821" s="11" t="n">
        <v>44893</v>
      </c>
      <c r="B821" s="19" t="n">
        <v>1.738086395947694</v>
      </c>
      <c r="C821" s="19" t="n">
        <v>1.392749561506144</v>
      </c>
      <c r="D821" s="19" t="n">
        <v>1.485524641322077</v>
      </c>
      <c r="E821" s="19" t="n">
        <v>1.184234312985192</v>
      </c>
      <c r="F821" s="20">
        <f>B821/B820-1</f>
        <v/>
      </c>
      <c r="G821" s="20">
        <f>B821/MAX(B$2:B821)-1</f>
        <v/>
      </c>
      <c r="H821" s="20">
        <f>C821/C820-1</f>
        <v/>
      </c>
      <c r="I821" s="20">
        <f>C821/MAX(C$2:C821)-1</f>
        <v/>
      </c>
      <c r="J821" s="20">
        <f>D821/D820-1</f>
        <v/>
      </c>
      <c r="K821" s="20">
        <f>D821/MAX(D$2:D821)-1</f>
        <v/>
      </c>
      <c r="L821" s="20">
        <f>E821/E820-1</f>
        <v/>
      </c>
      <c r="M821" s="20">
        <f>E821/MAX(E$2:E821)-1</f>
        <v/>
      </c>
    </row>
    <row r="822">
      <c r="A822" s="11" t="n">
        <v>44894</v>
      </c>
      <c r="B822" s="19" t="n">
        <v>1.76442515786364</v>
      </c>
      <c r="C822" s="19" t="n">
        <v>1.421472093560748</v>
      </c>
      <c r="D822" s="19" t="n">
        <v>1.512013982585872</v>
      </c>
      <c r="E822" s="19" t="n">
        <v>1.21170820980743</v>
      </c>
      <c r="F822" s="20">
        <f>B822/B821-1</f>
        <v/>
      </c>
      <c r="G822" s="20">
        <f>B822/MAX(B$2:B822)-1</f>
        <v/>
      </c>
      <c r="H822" s="20">
        <f>C822/C821-1</f>
        <v/>
      </c>
      <c r="I822" s="20">
        <f>C822/MAX(C$2:C822)-1</f>
        <v/>
      </c>
      <c r="J822" s="20">
        <f>D822/D821-1</f>
        <v/>
      </c>
      <c r="K822" s="20">
        <f>D822/MAX(D$2:D822)-1</f>
        <v/>
      </c>
      <c r="L822" s="20">
        <f>E822/E821-1</f>
        <v/>
      </c>
      <c r="M822" s="20">
        <f>E822/MAX(E$2:E822)-1</f>
        <v/>
      </c>
    </row>
    <row r="823">
      <c r="A823" s="11" t="n">
        <v>44895</v>
      </c>
      <c r="B823" s="19" t="n">
        <v>1.762895781462432</v>
      </c>
      <c r="C823" s="19" t="n">
        <v>1.418197909900065</v>
      </c>
      <c r="D823" s="19" t="n">
        <v>1.515581100658838</v>
      </c>
      <c r="E823" s="19" t="n">
        <v>1.212314525158367</v>
      </c>
      <c r="F823" s="20">
        <f>B823/B822-1</f>
        <v/>
      </c>
      <c r="G823" s="20">
        <f>B823/MAX(B$2:B823)-1</f>
        <v/>
      </c>
      <c r="H823" s="20">
        <f>C823/C822-1</f>
        <v/>
      </c>
      <c r="I823" s="20">
        <f>C823/MAX(C$2:C823)-1</f>
        <v/>
      </c>
      <c r="J823" s="20">
        <f>D823/D822-1</f>
        <v/>
      </c>
      <c r="K823" s="20">
        <f>D823/MAX(D$2:D823)-1</f>
        <v/>
      </c>
      <c r="L823" s="20">
        <f>E823/E822-1</f>
        <v/>
      </c>
      <c r="M823" s="20">
        <f>E823/MAX(E$2:E823)-1</f>
        <v/>
      </c>
    </row>
    <row r="824">
      <c r="A824" s="11" t="n">
        <v>44896</v>
      </c>
      <c r="B824" s="19" t="n">
        <v>1.783688878516845</v>
      </c>
      <c r="C824" s="19" t="n">
        <v>1.432686232723895</v>
      </c>
      <c r="D824" s="19" t="n">
        <v>1.538761229071211</v>
      </c>
      <c r="E824" s="19" t="n">
        <v>1.223589014904942</v>
      </c>
      <c r="F824" s="20">
        <f>B824/B823-1</f>
        <v/>
      </c>
      <c r="G824" s="20">
        <f>B824/MAX(B$2:B824)-1</f>
        <v/>
      </c>
      <c r="H824" s="20">
        <f>C824/C823-1</f>
        <v/>
      </c>
      <c r="I824" s="20">
        <f>C824/MAX(C$2:C824)-1</f>
        <v/>
      </c>
      <c r="J824" s="20">
        <f>D824/D823-1</f>
        <v/>
      </c>
      <c r="K824" s="20">
        <f>D824/MAX(D$2:D824)-1</f>
        <v/>
      </c>
      <c r="L824" s="20">
        <f>E824/E823-1</f>
        <v/>
      </c>
      <c r="M824" s="20">
        <f>E824/MAX(E$2:E824)-1</f>
        <v/>
      </c>
    </row>
    <row r="825">
      <c r="A825" s="11" t="n">
        <v>44897</v>
      </c>
      <c r="B825" s="19" t="n">
        <v>1.779343390052231</v>
      </c>
      <c r="C825" s="19" t="n">
        <v>1.42421765553154</v>
      </c>
      <c r="D825" s="19" t="n">
        <v>1.54014309959426</v>
      </c>
      <c r="E825" s="19" t="n">
        <v>1.221874221182352</v>
      </c>
      <c r="F825" s="20">
        <f>B825/B824-1</f>
        <v/>
      </c>
      <c r="G825" s="20">
        <f>B825/MAX(B$2:B825)-1</f>
        <v/>
      </c>
      <c r="H825" s="20">
        <f>C825/C824-1</f>
        <v/>
      </c>
      <c r="I825" s="20">
        <f>C825/MAX(C$2:C825)-1</f>
        <v/>
      </c>
      <c r="J825" s="20">
        <f>D825/D824-1</f>
        <v/>
      </c>
      <c r="K825" s="20">
        <f>D825/MAX(D$2:D825)-1</f>
        <v/>
      </c>
      <c r="L825" s="20">
        <f>E825/E824-1</f>
        <v/>
      </c>
      <c r="M825" s="20">
        <f>E825/MAX(E$2:E825)-1</f>
        <v/>
      </c>
    </row>
    <row r="826">
      <c r="A826" s="11" t="n">
        <v>44900</v>
      </c>
      <c r="B826" s="19" t="n">
        <v>1.789057300464872</v>
      </c>
      <c r="C826" s="19" t="n">
        <v>1.430355535364142</v>
      </c>
      <c r="D826" s="19" t="n">
        <v>1.536127377650597</v>
      </c>
      <c r="E826" s="19" t="n">
        <v>1.237024665503632</v>
      </c>
      <c r="F826" s="20">
        <f>B826/B825-1</f>
        <v/>
      </c>
      <c r="G826" s="20">
        <f>B826/MAX(B$2:B826)-1</f>
        <v/>
      </c>
      <c r="H826" s="20">
        <f>C826/C825-1</f>
        <v/>
      </c>
      <c r="I826" s="20">
        <f>C826/MAX(C$2:C826)-1</f>
        <v/>
      </c>
      <c r="J826" s="20">
        <f>D826/D825-1</f>
        <v/>
      </c>
      <c r="K826" s="20">
        <f>D826/MAX(D$2:D826)-1</f>
        <v/>
      </c>
      <c r="L826" s="20">
        <f>E826/E825-1</f>
        <v/>
      </c>
      <c r="M826" s="20">
        <f>E826/MAX(E$2:E826)-1</f>
        <v/>
      </c>
    </row>
    <row r="827">
      <c r="A827" s="11" t="n">
        <v>44901</v>
      </c>
      <c r="B827" s="19" t="n">
        <v>1.787645084876768</v>
      </c>
      <c r="C827" s="19" t="n">
        <v>1.432978778412514</v>
      </c>
      <c r="D827" s="19" t="n">
        <v>1.546578645874159</v>
      </c>
      <c r="E827" s="19" t="n">
        <v>1.238631587169921</v>
      </c>
      <c r="F827" s="20">
        <f>B827/B826-1</f>
        <v/>
      </c>
      <c r="G827" s="20">
        <f>B827/MAX(B$2:B827)-1</f>
        <v/>
      </c>
      <c r="H827" s="20">
        <f>C827/C826-1</f>
        <v/>
      </c>
      <c r="I827" s="20">
        <f>C827/MAX(C$2:C827)-1</f>
        <v/>
      </c>
      <c r="J827" s="20">
        <f>D827/D826-1</f>
        <v/>
      </c>
      <c r="K827" s="20">
        <f>D827/MAX(D$2:D827)-1</f>
        <v/>
      </c>
      <c r="L827" s="20">
        <f>E827/E826-1</f>
        <v/>
      </c>
      <c r="M827" s="20">
        <f>E827/MAX(E$2:E827)-1</f>
        <v/>
      </c>
    </row>
    <row r="828">
      <c r="A828" s="11" t="n">
        <v>44902</v>
      </c>
      <c r="B828" s="19" t="n">
        <v>1.784529244962387</v>
      </c>
      <c r="C828" s="19" t="n">
        <v>1.434946511325323</v>
      </c>
      <c r="D828" s="19" t="n">
        <v>1.559996050321438</v>
      </c>
      <c r="E828" s="19" t="n">
        <v>1.237270167424871</v>
      </c>
      <c r="F828" s="20">
        <f>B828/B827-1</f>
        <v/>
      </c>
      <c r="G828" s="20">
        <f>B828/MAX(B$2:B828)-1</f>
        <v/>
      </c>
      <c r="H828" s="20">
        <f>C828/C827-1</f>
        <v/>
      </c>
      <c r="I828" s="20">
        <f>C828/MAX(C$2:C828)-1</f>
        <v/>
      </c>
      <c r="J828" s="20">
        <f>D828/D827-1</f>
        <v/>
      </c>
      <c r="K828" s="20">
        <f>D828/MAX(D$2:D828)-1</f>
        <v/>
      </c>
      <c r="L828" s="20">
        <f>E828/E827-1</f>
        <v/>
      </c>
      <c r="M828" s="20">
        <f>E828/MAX(E$2:E828)-1</f>
        <v/>
      </c>
    </row>
    <row r="829">
      <c r="A829" s="11" t="n">
        <v>44903</v>
      </c>
      <c r="B829" s="19" t="n">
        <v>1.769563732352351</v>
      </c>
      <c r="C829" s="19" t="n">
        <v>1.425532475722002</v>
      </c>
      <c r="D829" s="19" t="n">
        <v>1.558553693883239</v>
      </c>
      <c r="E829" s="19" t="n">
        <v>1.23467007889539</v>
      </c>
      <c r="F829" s="20">
        <f>B829/B828-1</f>
        <v/>
      </c>
      <c r="G829" s="20">
        <f>B829/MAX(B$2:B829)-1</f>
        <v/>
      </c>
      <c r="H829" s="20">
        <f>C829/C828-1</f>
        <v/>
      </c>
      <c r="I829" s="20">
        <f>C829/MAX(C$2:C829)-1</f>
        <v/>
      </c>
      <c r="J829" s="20">
        <f>D829/D828-1</f>
        <v/>
      </c>
      <c r="K829" s="20">
        <f>D829/MAX(D$2:D829)-1</f>
        <v/>
      </c>
      <c r="L829" s="20">
        <f>E829/E828-1</f>
        <v/>
      </c>
      <c r="M829" s="20">
        <f>E829/MAX(E$2:E829)-1</f>
        <v/>
      </c>
    </row>
    <row r="830">
      <c r="A830" s="11" t="n">
        <v>44904</v>
      </c>
      <c r="B830" s="19" t="n">
        <v>1.770078441576267</v>
      </c>
      <c r="C830" s="19" t="n">
        <v>1.43149522256344</v>
      </c>
      <c r="D830" s="19" t="n">
        <v>1.564251777274576</v>
      </c>
      <c r="E830" s="19" t="n">
        <v>1.240718353500448</v>
      </c>
      <c r="F830" s="20">
        <f>B830/B829-1</f>
        <v/>
      </c>
      <c r="G830" s="20">
        <f>B830/MAX(B$2:B830)-1</f>
        <v/>
      </c>
      <c r="H830" s="20">
        <f>C830/C829-1</f>
        <v/>
      </c>
      <c r="I830" s="20">
        <f>C830/MAX(C$2:C830)-1</f>
        <v/>
      </c>
      <c r="J830" s="20">
        <f>D830/D829-1</f>
        <v/>
      </c>
      <c r="K830" s="20">
        <f>D830/MAX(D$2:D830)-1</f>
        <v/>
      </c>
      <c r="L830" s="20">
        <f>E830/E829-1</f>
        <v/>
      </c>
      <c r="M830" s="20">
        <f>E830/MAX(E$2:E830)-1</f>
        <v/>
      </c>
    </row>
    <row r="831">
      <c r="A831" s="11" t="n">
        <v>44907</v>
      </c>
      <c r="B831" s="19" t="n">
        <v>1.779048843346447</v>
      </c>
      <c r="C831" s="19" t="n">
        <v>1.430897432721586</v>
      </c>
      <c r="D831" s="19" t="n">
        <v>1.551904766736004</v>
      </c>
      <c r="E831" s="19" t="n">
        <v>1.231660820497179</v>
      </c>
      <c r="F831" s="20">
        <f>B831/B830-1</f>
        <v/>
      </c>
      <c r="G831" s="20">
        <f>B831/MAX(B$2:B831)-1</f>
        <v/>
      </c>
      <c r="H831" s="20">
        <f>C831/C830-1</f>
        <v/>
      </c>
      <c r="I831" s="20">
        <f>C831/MAX(C$2:C831)-1</f>
        <v/>
      </c>
      <c r="J831" s="20">
        <f>D831/D830-1</f>
        <v/>
      </c>
      <c r="K831" s="20">
        <f>D831/MAX(D$2:D831)-1</f>
        <v/>
      </c>
      <c r="L831" s="20">
        <f>E831/E830-1</f>
        <v/>
      </c>
      <c r="M831" s="20">
        <f>E831/MAX(E$2:E831)-1</f>
        <v/>
      </c>
    </row>
    <row r="832">
      <c r="A832" s="11" t="n">
        <v>44908</v>
      </c>
      <c r="B832" s="19" t="n">
        <v>1.75257455231414</v>
      </c>
      <c r="C832" s="19" t="n">
        <v>1.410720678752174</v>
      </c>
      <c r="D832" s="19" t="n">
        <v>1.535543908283191</v>
      </c>
      <c r="E832" s="19" t="n">
        <v>1.226609432481392</v>
      </c>
      <c r="F832" s="20">
        <f>B832/B831-1</f>
        <v/>
      </c>
      <c r="G832" s="20">
        <f>B832/MAX(B$2:B832)-1</f>
        <v/>
      </c>
      <c r="H832" s="20">
        <f>C832/C831-1</f>
        <v/>
      </c>
      <c r="I832" s="20">
        <f>C832/MAX(C$2:C832)-1</f>
        <v/>
      </c>
      <c r="J832" s="20">
        <f>D832/D831-1</f>
        <v/>
      </c>
      <c r="K832" s="20">
        <f>D832/MAX(D$2:D832)-1</f>
        <v/>
      </c>
      <c r="L832" s="20">
        <f>E832/E831-1</f>
        <v/>
      </c>
      <c r="M832" s="20">
        <f>E832/MAX(E$2:E832)-1</f>
        <v/>
      </c>
    </row>
    <row r="833">
      <c r="A833" s="11" t="n">
        <v>44909</v>
      </c>
      <c r="B833" s="19" t="n">
        <v>1.752255261934122</v>
      </c>
      <c r="C833" s="19" t="n">
        <v>1.406476553655943</v>
      </c>
      <c r="D833" s="19" t="n">
        <v>1.530292748598242</v>
      </c>
      <c r="E833" s="19" t="n">
        <v>1.226241179599534</v>
      </c>
      <c r="F833" s="20">
        <f>B833/B832-1</f>
        <v/>
      </c>
      <c r="G833" s="20">
        <f>B833/MAX(B$2:B833)-1</f>
        <v/>
      </c>
      <c r="H833" s="20">
        <f>C833/C832-1</f>
        <v/>
      </c>
      <c r="I833" s="20">
        <f>C833/MAX(C$2:C833)-1</f>
        <v/>
      </c>
      <c r="J833" s="20">
        <f>D833/D832-1</f>
        <v/>
      </c>
      <c r="K833" s="20">
        <f>D833/MAX(D$2:D833)-1</f>
        <v/>
      </c>
      <c r="L833" s="20">
        <f>E833/E832-1</f>
        <v/>
      </c>
      <c r="M833" s="20">
        <f>E833/MAX(E$2:E833)-1</f>
        <v/>
      </c>
    </row>
    <row r="834">
      <c r="A834" s="11" t="n">
        <v>44910</v>
      </c>
      <c r="B834" s="19" t="n">
        <v>1.765974204069401</v>
      </c>
      <c r="C834" s="19" t="n">
        <v>1.420317399085085</v>
      </c>
      <c r="D834" s="19" t="n">
        <v>1.550354492051757</v>
      </c>
      <c r="E834" s="19" t="n">
        <v>1.227591440166346</v>
      </c>
      <c r="F834" s="20">
        <f>B834/B833-1</f>
        <v/>
      </c>
      <c r="G834" s="20">
        <f>B834/MAX(B$2:B834)-1</f>
        <v/>
      </c>
      <c r="H834" s="20">
        <f>C834/C833-1</f>
        <v/>
      </c>
      <c r="I834" s="20">
        <f>C834/MAX(C$2:C834)-1</f>
        <v/>
      </c>
      <c r="J834" s="20">
        <f>D834/D833-1</f>
        <v/>
      </c>
      <c r="K834" s="20">
        <f>D834/MAX(D$2:D834)-1</f>
        <v/>
      </c>
      <c r="L834" s="20">
        <f>E834/E833-1</f>
        <v/>
      </c>
      <c r="M834" s="20">
        <f>E834/MAX(E$2:E834)-1</f>
        <v/>
      </c>
    </row>
    <row r="835">
      <c r="A835" s="11" t="n">
        <v>44911</v>
      </c>
      <c r="B835" s="19" t="n">
        <v>1.747299085025676</v>
      </c>
      <c r="C835" s="19" t="n">
        <v>1.410637994431435</v>
      </c>
      <c r="D835" s="19" t="n">
        <v>1.533940579179779</v>
      </c>
      <c r="E835" s="19" t="n">
        <v>1.221822145017241</v>
      </c>
      <c r="F835" s="20">
        <f>B835/B834-1</f>
        <v/>
      </c>
      <c r="G835" s="20">
        <f>B835/MAX(B$2:B835)-1</f>
        <v/>
      </c>
      <c r="H835" s="20">
        <f>C835/C834-1</f>
        <v/>
      </c>
      <c r="I835" s="20">
        <f>C835/MAX(C$2:C835)-1</f>
        <v/>
      </c>
      <c r="J835" s="20">
        <f>D835/D834-1</f>
        <v/>
      </c>
      <c r="K835" s="20">
        <f>D835/MAX(D$2:D835)-1</f>
        <v/>
      </c>
      <c r="L835" s="20">
        <f>E835/E834-1</f>
        <v/>
      </c>
      <c r="M835" s="20">
        <f>E835/MAX(E$2:E835)-1</f>
        <v/>
      </c>
    </row>
    <row r="836">
      <c r="A836" s="11" t="n">
        <v>44914</v>
      </c>
      <c r="B836" s="19" t="n">
        <v>1.721454905427116</v>
      </c>
      <c r="C836" s="19" t="n">
        <v>1.384967326706242</v>
      </c>
      <c r="D836" s="19" t="n">
        <v>1.516475400423544</v>
      </c>
      <c r="E836" s="19" t="n">
        <v>1.199094618672281</v>
      </c>
      <c r="F836" s="20">
        <f>B836/B835-1</f>
        <v/>
      </c>
      <c r="G836" s="20">
        <f>B836/MAX(B$2:B836)-1</f>
        <v/>
      </c>
      <c r="H836" s="20">
        <f>C836/C835-1</f>
        <v/>
      </c>
      <c r="I836" s="20">
        <f>C836/MAX(C$2:C836)-1</f>
        <v/>
      </c>
      <c r="J836" s="20">
        <f>D836/D835-1</f>
        <v/>
      </c>
      <c r="K836" s="20">
        <f>D836/MAX(D$2:D836)-1</f>
        <v/>
      </c>
      <c r="L836" s="20">
        <f>E836/E835-1</f>
        <v/>
      </c>
      <c r="M836" s="20">
        <f>E836/MAX(E$2:E836)-1</f>
        <v/>
      </c>
    </row>
    <row r="837">
      <c r="A837" s="11" t="n">
        <v>44915</v>
      </c>
      <c r="B837" s="19" t="n">
        <v>1.705034176026592</v>
      </c>
      <c r="C837" s="19" t="n">
        <v>1.371477613063834</v>
      </c>
      <c r="D837" s="19" t="n">
        <v>1.493277371799101</v>
      </c>
      <c r="E837" s="19" t="n">
        <v>1.185186562861511</v>
      </c>
      <c r="F837" s="20">
        <f>B837/B836-1</f>
        <v/>
      </c>
      <c r="G837" s="20">
        <f>B837/MAX(B$2:B837)-1</f>
        <v/>
      </c>
      <c r="H837" s="20">
        <f>C837/C836-1</f>
        <v/>
      </c>
      <c r="I837" s="20">
        <f>C837/MAX(C$2:C837)-1</f>
        <v/>
      </c>
      <c r="J837" s="20">
        <f>D837/D836-1</f>
        <v/>
      </c>
      <c r="K837" s="20">
        <f>D837/MAX(D$2:D837)-1</f>
        <v/>
      </c>
      <c r="L837" s="20">
        <f>E837/E836-1</f>
        <v/>
      </c>
      <c r="M837" s="20">
        <f>E837/MAX(E$2:E837)-1</f>
        <v/>
      </c>
    </row>
    <row r="838">
      <c r="A838" s="11" t="n">
        <v>44916</v>
      </c>
      <c r="B838" s="19" t="n">
        <v>1.6920483515252</v>
      </c>
      <c r="C838" s="19" t="n">
        <v>1.359705847763206</v>
      </c>
      <c r="D838" s="19" t="n">
        <v>1.488692203397848</v>
      </c>
      <c r="E838" s="19" t="n">
        <v>1.181039068283012</v>
      </c>
      <c r="F838" s="20">
        <f>B838/B837-1</f>
        <v/>
      </c>
      <c r="G838" s="20">
        <f>B838/MAX(B$2:B838)-1</f>
        <v/>
      </c>
      <c r="H838" s="20">
        <f>C838/C837-1</f>
        <v/>
      </c>
      <c r="I838" s="20">
        <f>C838/MAX(C$2:C838)-1</f>
        <v/>
      </c>
      <c r="J838" s="20">
        <f>D838/D837-1</f>
        <v/>
      </c>
      <c r="K838" s="20">
        <f>D838/MAX(D$2:D838)-1</f>
        <v/>
      </c>
      <c r="L838" s="20">
        <f>E838/E837-1</f>
        <v/>
      </c>
      <c r="M838" s="20">
        <f>E838/MAX(E$2:E838)-1</f>
        <v/>
      </c>
    </row>
    <row r="839">
      <c r="A839" s="11" t="n">
        <v>44917</v>
      </c>
      <c r="B839" s="19" t="n">
        <v>1.681255020866229</v>
      </c>
      <c r="C839" s="19" t="n">
        <v>1.34604489724946</v>
      </c>
      <c r="D839" s="19" t="n">
        <v>1.483274707446236</v>
      </c>
      <c r="E839" s="19" t="n">
        <v>1.173361553655189</v>
      </c>
      <c r="F839" s="20">
        <f>B839/B838-1</f>
        <v/>
      </c>
      <c r="G839" s="20">
        <f>B839/MAX(B$2:B839)-1</f>
        <v/>
      </c>
      <c r="H839" s="20">
        <f>C839/C838-1</f>
        <v/>
      </c>
      <c r="I839" s="20">
        <f>C839/MAX(C$2:C839)-1</f>
        <v/>
      </c>
      <c r="J839" s="20">
        <f>D839/D838-1</f>
        <v/>
      </c>
      <c r="K839" s="20">
        <f>D839/MAX(D$2:D839)-1</f>
        <v/>
      </c>
      <c r="L839" s="20">
        <f>E839/E838-1</f>
        <v/>
      </c>
      <c r="M839" s="20">
        <f>E839/MAX(E$2:E839)-1</f>
        <v/>
      </c>
    </row>
    <row r="840">
      <c r="A840" s="11" t="n">
        <v>44918</v>
      </c>
      <c r="B840" s="19" t="n">
        <v>1.688344467767058</v>
      </c>
      <c r="C840" s="19" t="n">
        <v>1.350287723639082</v>
      </c>
      <c r="D840" s="19" t="n">
        <v>1.47737390576876</v>
      </c>
      <c r="E840" s="19" t="n">
        <v>1.169842692784103</v>
      </c>
      <c r="F840" s="20">
        <f>B840/B839-1</f>
        <v/>
      </c>
      <c r="G840" s="20">
        <f>B840/MAX(B$2:B840)-1</f>
        <v/>
      </c>
      <c r="H840" s="20">
        <f>C840/C839-1</f>
        <v/>
      </c>
      <c r="I840" s="20">
        <f>C840/MAX(C$2:C840)-1</f>
        <v/>
      </c>
      <c r="J840" s="20">
        <f>D840/D839-1</f>
        <v/>
      </c>
      <c r="K840" s="20">
        <f>D840/MAX(D$2:D840)-1</f>
        <v/>
      </c>
      <c r="L840" s="20">
        <f>E840/E839-1</f>
        <v/>
      </c>
      <c r="M840" s="20">
        <f>E840/MAX(E$2:E840)-1</f>
        <v/>
      </c>
    </row>
    <row r="841">
      <c r="A841" s="11" t="n">
        <v>44921</v>
      </c>
      <c r="B841" s="19" t="n">
        <v>1.714507899108114</v>
      </c>
      <c r="C841" s="19" t="n">
        <v>1.375460313329804</v>
      </c>
      <c r="D841" s="19" t="n">
        <v>1.506597003607894</v>
      </c>
      <c r="E841" s="19" t="n">
        <v>1.182478602275729</v>
      </c>
      <c r="F841" s="20">
        <f>B841/B840-1</f>
        <v/>
      </c>
      <c r="G841" s="20">
        <f>B841/MAX(B$2:B841)-1</f>
        <v/>
      </c>
      <c r="H841" s="20">
        <f>C841/C840-1</f>
        <v/>
      </c>
      <c r="I841" s="20">
        <f>C841/MAX(C$2:C841)-1</f>
        <v/>
      </c>
      <c r="J841" s="20">
        <f>D841/D840-1</f>
        <v/>
      </c>
      <c r="K841" s="20">
        <f>D841/MAX(D$2:D841)-1</f>
        <v/>
      </c>
      <c r="L841" s="20">
        <f>E841/E840-1</f>
        <v/>
      </c>
      <c r="M841" s="20">
        <f>E841/MAX(E$2:E841)-1</f>
        <v/>
      </c>
    </row>
    <row r="842">
      <c r="A842" s="11" t="n">
        <v>44922</v>
      </c>
      <c r="B842" s="19" t="n">
        <v>1.719354295524939</v>
      </c>
      <c r="C842" s="19" t="n">
        <v>1.380389434011635</v>
      </c>
      <c r="D842" s="19" t="n">
        <v>1.524748852593175</v>
      </c>
      <c r="E842" s="19" t="n">
        <v>1.193593143800891</v>
      </c>
      <c r="F842" s="20">
        <f>B842/B841-1</f>
        <v/>
      </c>
      <c r="G842" s="20">
        <f>B842/MAX(B$2:B842)-1</f>
        <v/>
      </c>
      <c r="H842" s="20">
        <f>C842/C841-1</f>
        <v/>
      </c>
      <c r="I842" s="20">
        <f>C842/MAX(C$2:C842)-1</f>
        <v/>
      </c>
      <c r="J842" s="20">
        <f>D842/D841-1</f>
        <v/>
      </c>
      <c r="K842" s="20">
        <f>D842/MAX(D$2:D842)-1</f>
        <v/>
      </c>
      <c r="L842" s="20">
        <f>E842/E841-1</f>
        <v/>
      </c>
      <c r="M842" s="20">
        <f>E842/MAX(E$2:E842)-1</f>
        <v/>
      </c>
    </row>
    <row r="843">
      <c r="A843" s="11" t="n">
        <v>44923</v>
      </c>
      <c r="B843" s="19" t="n">
        <v>1.714675108552229</v>
      </c>
      <c r="C843" s="19" t="n">
        <v>1.373249626080722</v>
      </c>
      <c r="D843" s="19" t="n">
        <v>1.511021910182681</v>
      </c>
      <c r="E843" s="19" t="n">
        <v>1.186071857668401</v>
      </c>
      <c r="F843" s="20">
        <f>B843/B842-1</f>
        <v/>
      </c>
      <c r="G843" s="20">
        <f>B843/MAX(B$2:B843)-1</f>
        <v/>
      </c>
      <c r="H843" s="20">
        <f>C843/C842-1</f>
        <v/>
      </c>
      <c r="I843" s="20">
        <f>C843/MAX(C$2:C843)-1</f>
        <v/>
      </c>
      <c r="J843" s="20">
        <f>D843/D842-1</f>
        <v/>
      </c>
      <c r="K843" s="20">
        <f>D843/MAX(D$2:D843)-1</f>
        <v/>
      </c>
      <c r="L843" s="20">
        <f>E843/E842-1</f>
        <v/>
      </c>
      <c r="M843" s="20">
        <f>E843/MAX(E$2:E843)-1</f>
        <v/>
      </c>
    </row>
    <row r="844">
      <c r="A844" s="11" t="n">
        <v>44924</v>
      </c>
      <c r="B844" s="19" t="n">
        <v>1.720348601385103</v>
      </c>
      <c r="C844" s="19" t="n">
        <v>1.379636087978233</v>
      </c>
      <c r="D844" s="19" t="n">
        <v>1.518211139398903</v>
      </c>
      <c r="E844" s="19" t="n">
        <v>1.182631111044983</v>
      </c>
      <c r="F844" s="20">
        <f>B844/B843-1</f>
        <v/>
      </c>
      <c r="G844" s="20">
        <f>B844/MAX(B$2:B844)-1</f>
        <v/>
      </c>
      <c r="H844" s="20">
        <f>C844/C843-1</f>
        <v/>
      </c>
      <c r="I844" s="20">
        <f>C844/MAX(C$2:C844)-1</f>
        <v/>
      </c>
      <c r="J844" s="20">
        <f>D844/D843-1</f>
        <v/>
      </c>
      <c r="K844" s="20">
        <f>D844/MAX(D$2:D844)-1</f>
        <v/>
      </c>
      <c r="L844" s="20">
        <f>E844/E843-1</f>
        <v/>
      </c>
      <c r="M844" s="20">
        <f>E844/MAX(E$2:E844)-1</f>
        <v/>
      </c>
    </row>
    <row r="845">
      <c r="A845" s="11" t="n">
        <v>44925</v>
      </c>
      <c r="B845" s="19" t="n">
        <v>1.724226189990435</v>
      </c>
      <c r="C845" s="19" t="n">
        <v>1.37995691661077</v>
      </c>
      <c r="D845" s="19" t="n">
        <v>1.51652082948161</v>
      </c>
      <c r="E845" s="19" t="n">
        <v>1.187481633852483</v>
      </c>
      <c r="F845" s="20">
        <f>B845/B844-1</f>
        <v/>
      </c>
      <c r="G845" s="20">
        <f>B845/MAX(B$2:B845)-1</f>
        <v/>
      </c>
      <c r="H845" s="20">
        <f>C845/C844-1</f>
        <v/>
      </c>
      <c r="I845" s="20">
        <f>C845/MAX(C$2:C845)-1</f>
        <v/>
      </c>
      <c r="J845" s="20">
        <f>D845/D844-1</f>
        <v/>
      </c>
      <c r="K845" s="20">
        <f>D845/MAX(D$2:D845)-1</f>
        <v/>
      </c>
      <c r="L845" s="20">
        <f>E845/E844-1</f>
        <v/>
      </c>
      <c r="M845" s="20">
        <f>E845/MAX(E$2:E845)-1</f>
        <v/>
      </c>
    </row>
    <row r="846">
      <c r="A846" s="11" t="n">
        <v>44929</v>
      </c>
      <c r="B846" s="19" t="n">
        <v>1.774899887061236</v>
      </c>
      <c r="C846" s="19" t="n">
        <v>1.403131422134241</v>
      </c>
      <c r="D846" s="19" t="n">
        <v>1.522761282836469</v>
      </c>
      <c r="E846" s="19" t="n">
        <v>1.202442372143715</v>
      </c>
      <c r="F846" s="20">
        <f>B846/B845-1</f>
        <v/>
      </c>
      <c r="G846" s="20">
        <f>B846/MAX(B$2:B846)-1</f>
        <v/>
      </c>
      <c r="H846" s="20">
        <f>C846/C845-1</f>
        <v/>
      </c>
      <c r="I846" s="20">
        <f>C846/MAX(C$2:C846)-1</f>
        <v/>
      </c>
      <c r="J846" s="20">
        <f>D846/D845-1</f>
        <v/>
      </c>
      <c r="K846" s="20">
        <f>D846/MAX(D$2:D846)-1</f>
        <v/>
      </c>
      <c r="L846" s="20">
        <f>E846/E845-1</f>
        <v/>
      </c>
      <c r="M846" s="20">
        <f>E846/MAX(E$2:E846)-1</f>
        <v/>
      </c>
    </row>
    <row r="847">
      <c r="A847" s="11" t="n">
        <v>44930</v>
      </c>
      <c r="B847" s="19" t="n">
        <v>1.788976700856484</v>
      </c>
      <c r="C847" s="19" t="n">
        <v>1.394648174367235</v>
      </c>
      <c r="D847" s="19" t="n">
        <v>1.508995696646851</v>
      </c>
      <c r="E847" s="19" t="n">
        <v>1.204004657097052</v>
      </c>
      <c r="F847" s="20">
        <f>B847/B846-1</f>
        <v/>
      </c>
      <c r="G847" s="20">
        <f>B847/MAX(B$2:B847)-1</f>
        <v/>
      </c>
      <c r="H847" s="20">
        <f>C847/C846-1</f>
        <v/>
      </c>
      <c r="I847" s="20">
        <f>C847/MAX(C$2:C847)-1</f>
        <v/>
      </c>
      <c r="J847" s="20">
        <f>D847/D846-1</f>
        <v/>
      </c>
      <c r="K847" s="20">
        <f>D847/MAX(D$2:D847)-1</f>
        <v/>
      </c>
      <c r="L847" s="20">
        <f>E847/E846-1</f>
        <v/>
      </c>
      <c r="M847" s="20">
        <f>E847/MAX(E$2:E847)-1</f>
        <v/>
      </c>
    </row>
    <row r="848">
      <c r="A848" s="11" t="n">
        <v>44931</v>
      </c>
      <c r="B848" s="19" t="n">
        <v>1.80200653741589</v>
      </c>
      <c r="C848" s="19" t="n">
        <v>1.415601218186799</v>
      </c>
      <c r="D848" s="19" t="n">
        <v>1.550570845517486</v>
      </c>
      <c r="E848" s="19" t="n">
        <v>1.220259860063905</v>
      </c>
      <c r="F848" s="20">
        <f>B848/B847-1</f>
        <v/>
      </c>
      <c r="G848" s="20">
        <f>B848/MAX(B$2:B848)-1</f>
        <v/>
      </c>
      <c r="H848" s="20">
        <f>C848/C847-1</f>
        <v/>
      </c>
      <c r="I848" s="20">
        <f>C848/MAX(C$2:C848)-1</f>
        <v/>
      </c>
      <c r="J848" s="20">
        <f>D848/D847-1</f>
        <v/>
      </c>
      <c r="K848" s="20">
        <f>D848/MAX(D$2:D848)-1</f>
        <v/>
      </c>
      <c r="L848" s="20">
        <f>E848/E847-1</f>
        <v/>
      </c>
      <c r="M848" s="20">
        <f>E848/MAX(E$2:E848)-1</f>
        <v/>
      </c>
    </row>
    <row r="849">
      <c r="A849" s="11" t="n">
        <v>44932</v>
      </c>
      <c r="B849" s="19" t="n">
        <v>1.799004699277383</v>
      </c>
      <c r="C849" s="19" t="n">
        <v>1.427744654078672</v>
      </c>
      <c r="D849" s="19" t="n">
        <v>1.565228986685796</v>
      </c>
      <c r="E849" s="19" t="n">
        <v>1.221967214334337</v>
      </c>
      <c r="F849" s="20">
        <f>B849/B848-1</f>
        <v/>
      </c>
      <c r="G849" s="20">
        <f>B849/MAX(B$2:B849)-1</f>
        <v/>
      </c>
      <c r="H849" s="20">
        <f>C849/C848-1</f>
        <v/>
      </c>
      <c r="I849" s="20">
        <f>C849/MAX(C$2:C849)-1</f>
        <v/>
      </c>
      <c r="J849" s="20">
        <f>D849/D848-1</f>
        <v/>
      </c>
      <c r="K849" s="20">
        <f>D849/MAX(D$2:D849)-1</f>
        <v/>
      </c>
      <c r="L849" s="20">
        <f>E849/E848-1</f>
        <v/>
      </c>
      <c r="M849" s="20">
        <f>E849/MAX(E$2:E849)-1</f>
        <v/>
      </c>
    </row>
    <row r="850">
      <c r="A850" s="11" t="n">
        <v>44935</v>
      </c>
      <c r="B850" s="19" t="n">
        <v>1.809022031966035</v>
      </c>
      <c r="C850" s="19" t="n">
        <v>1.430899404831621</v>
      </c>
      <c r="D850" s="19" t="n">
        <v>1.577006098414849</v>
      </c>
      <c r="E850" s="19" t="n">
        <v>1.230154331435033</v>
      </c>
      <c r="F850" s="20">
        <f>B850/B849-1</f>
        <v/>
      </c>
      <c r="G850" s="20">
        <f>B850/MAX(B$2:B850)-1</f>
        <v/>
      </c>
      <c r="H850" s="20">
        <f>C850/C849-1</f>
        <v/>
      </c>
      <c r="I850" s="20">
        <f>C850/MAX(C$2:C850)-1</f>
        <v/>
      </c>
      <c r="J850" s="20">
        <f>D850/D849-1</f>
        <v/>
      </c>
      <c r="K850" s="20">
        <f>D850/MAX(D$2:D850)-1</f>
        <v/>
      </c>
      <c r="L850" s="20">
        <f>E850/E849-1</f>
        <v/>
      </c>
      <c r="M850" s="20">
        <f>E850/MAX(E$2:E850)-1</f>
        <v/>
      </c>
    </row>
    <row r="851">
      <c r="A851" s="11" t="n">
        <v>44936</v>
      </c>
      <c r="B851" s="19" t="n">
        <v>1.812682564136398</v>
      </c>
      <c r="C851" s="19" t="n">
        <v>1.442830430042643</v>
      </c>
      <c r="D851" s="19" t="n">
        <v>1.598744322740953</v>
      </c>
      <c r="E851" s="19" t="n">
        <v>1.231013588159368</v>
      </c>
      <c r="F851" s="20">
        <f>B851/B850-1</f>
        <v/>
      </c>
      <c r="G851" s="20">
        <f>B851/MAX(B$2:B851)-1</f>
        <v/>
      </c>
      <c r="H851" s="20">
        <f>C851/C850-1</f>
        <v/>
      </c>
      <c r="I851" s="20">
        <f>C851/MAX(C$2:C851)-1</f>
        <v/>
      </c>
      <c r="J851" s="20">
        <f>D851/D850-1</f>
        <v/>
      </c>
      <c r="K851" s="20">
        <f>D851/MAX(D$2:D851)-1</f>
        <v/>
      </c>
      <c r="L851" s="20">
        <f>E851/E850-1</f>
        <v/>
      </c>
      <c r="M851" s="20">
        <f>E851/MAX(E$2:E851)-1</f>
        <v/>
      </c>
    </row>
    <row r="852">
      <c r="A852" s="11" t="n">
        <v>44937</v>
      </c>
      <c r="B852" s="19" t="n">
        <v>1.791629261758619</v>
      </c>
      <c r="C852" s="19" t="n">
        <v>1.430287665918788</v>
      </c>
      <c r="D852" s="19" t="n">
        <v>1.580628338801514</v>
      </c>
      <c r="E852" s="19" t="n">
        <v>1.224980192458627</v>
      </c>
      <c r="F852" s="20">
        <f>B852/B851-1</f>
        <v/>
      </c>
      <c r="G852" s="20">
        <f>B852/MAX(B$2:B852)-1</f>
        <v/>
      </c>
      <c r="H852" s="20">
        <f>C852/C851-1</f>
        <v/>
      </c>
      <c r="I852" s="20">
        <f>C852/MAX(C$2:C852)-1</f>
        <v/>
      </c>
      <c r="J852" s="20">
        <f>D852/D851-1</f>
        <v/>
      </c>
      <c r="K852" s="20">
        <f>D852/MAX(D$2:D852)-1</f>
        <v/>
      </c>
      <c r="L852" s="20">
        <f>E852/E851-1</f>
        <v/>
      </c>
      <c r="M852" s="20">
        <f>E852/MAX(E$2:E852)-1</f>
        <v/>
      </c>
    </row>
    <row r="853">
      <c r="A853" s="11" t="n">
        <v>44938</v>
      </c>
      <c r="B853" s="19" t="n">
        <v>1.791939497640192</v>
      </c>
      <c r="C853" s="19" t="n">
        <v>1.435004135418543</v>
      </c>
      <c r="D853" s="19" t="n">
        <v>1.588720591712512</v>
      </c>
      <c r="E853" s="19" t="n">
        <v>1.226203982338741</v>
      </c>
      <c r="F853" s="20">
        <f>B853/B852-1</f>
        <v/>
      </c>
      <c r="G853" s="20">
        <f>B853/MAX(B$2:B853)-1</f>
        <v/>
      </c>
      <c r="H853" s="20">
        <f>C853/C852-1</f>
        <v/>
      </c>
      <c r="I853" s="20">
        <f>C853/MAX(C$2:C853)-1</f>
        <v/>
      </c>
      <c r="J853" s="20">
        <f>D853/D852-1</f>
        <v/>
      </c>
      <c r="K853" s="20">
        <f>D853/MAX(D$2:D853)-1</f>
        <v/>
      </c>
      <c r="L853" s="20">
        <f>E853/E852-1</f>
        <v/>
      </c>
      <c r="M853" s="20">
        <f>E853/MAX(E$2:E853)-1</f>
        <v/>
      </c>
    </row>
    <row r="854">
      <c r="A854" s="11" t="n">
        <v>44939</v>
      </c>
      <c r="B854" s="19" t="n">
        <v>1.803441607047633</v>
      </c>
      <c r="C854" s="19" t="n">
        <v>1.446494995289783</v>
      </c>
      <c r="D854" s="19" t="n">
        <v>1.611100574183228</v>
      </c>
      <c r="E854" s="19" t="n">
        <v>1.237240409616236</v>
      </c>
      <c r="F854" s="20">
        <f>B854/B853-1</f>
        <v/>
      </c>
      <c r="G854" s="20">
        <f>B854/MAX(B$2:B854)-1</f>
        <v/>
      </c>
      <c r="H854" s="20">
        <f>C854/C853-1</f>
        <v/>
      </c>
      <c r="I854" s="20">
        <f>C854/MAX(C$2:C854)-1</f>
        <v/>
      </c>
      <c r="J854" s="20">
        <f>D854/D853-1</f>
        <v/>
      </c>
      <c r="K854" s="20">
        <f>D854/MAX(D$2:D854)-1</f>
        <v/>
      </c>
      <c r="L854" s="20">
        <f>E854/E853-1</f>
        <v/>
      </c>
      <c r="M854" s="20">
        <f>E854/MAX(E$2:E854)-1</f>
        <v/>
      </c>
    </row>
    <row r="855">
      <c r="A855" s="11" t="n">
        <v>44942</v>
      </c>
      <c r="B855" s="19" t="n">
        <v>1.827384296013477</v>
      </c>
      <c r="C855" s="19" t="n">
        <v>1.476932445370748</v>
      </c>
      <c r="D855" s="19" t="n">
        <v>1.641082072343093</v>
      </c>
      <c r="E855" s="19" t="n">
        <v>1.253573726830756</v>
      </c>
      <c r="F855" s="20">
        <f>B855/B854-1</f>
        <v/>
      </c>
      <c r="G855" s="20">
        <f>B855/MAX(B$2:B855)-1</f>
        <v/>
      </c>
      <c r="H855" s="20">
        <f>C855/C854-1</f>
        <v/>
      </c>
      <c r="I855" s="20">
        <f>C855/MAX(C$2:C855)-1</f>
        <v/>
      </c>
      <c r="J855" s="20">
        <f>D855/D854-1</f>
        <v/>
      </c>
      <c r="K855" s="20">
        <f>D855/MAX(D$2:D855)-1</f>
        <v/>
      </c>
      <c r="L855" s="20">
        <f>E855/E854-1</f>
        <v/>
      </c>
      <c r="M855" s="20">
        <f>E855/MAX(E$2:E855)-1</f>
        <v/>
      </c>
    </row>
    <row r="856">
      <c r="A856" s="11" t="n">
        <v>44943</v>
      </c>
      <c r="B856" s="19" t="n">
        <v>1.827430935309383</v>
      </c>
      <c r="C856" s="19" t="n">
        <v>1.478627834697737</v>
      </c>
      <c r="D856" s="19" t="n">
        <v>1.644980893623822</v>
      </c>
      <c r="E856" s="19" t="n">
        <v>1.253447256144058</v>
      </c>
      <c r="F856" s="20">
        <f>B856/B855-1</f>
        <v/>
      </c>
      <c r="G856" s="20">
        <f>B856/MAX(B$2:B856)-1</f>
        <v/>
      </c>
      <c r="H856" s="20">
        <f>C856/C855-1</f>
        <v/>
      </c>
      <c r="I856" s="20">
        <f>C856/MAX(C$2:C856)-1</f>
        <v/>
      </c>
      <c r="J856" s="20">
        <f>D856/D855-1</f>
        <v/>
      </c>
      <c r="K856" s="20">
        <f>D856/MAX(D$2:D856)-1</f>
        <v/>
      </c>
      <c r="L856" s="20">
        <f>E856/E855-1</f>
        <v/>
      </c>
      <c r="M856" s="20">
        <f>E856/MAX(E$2:E856)-1</f>
        <v/>
      </c>
    </row>
    <row r="857">
      <c r="A857" s="11" t="n">
        <v>44944</v>
      </c>
      <c r="B857" s="19" t="n">
        <v>1.842974932854546</v>
      </c>
      <c r="C857" s="19" t="n">
        <v>1.48432891620769</v>
      </c>
      <c r="D857" s="19" t="n">
        <v>1.643909271902735</v>
      </c>
      <c r="E857" s="19" t="n">
        <v>1.254451582185488</v>
      </c>
      <c r="F857" s="20">
        <f>B857/B856-1</f>
        <v/>
      </c>
      <c r="G857" s="20">
        <f>B857/MAX(B$2:B857)-1</f>
        <v/>
      </c>
      <c r="H857" s="20">
        <f>C857/C856-1</f>
        <v/>
      </c>
      <c r="I857" s="20">
        <f>C857/MAX(C$2:C857)-1</f>
        <v/>
      </c>
      <c r="J857" s="20">
        <f>D857/D856-1</f>
        <v/>
      </c>
      <c r="K857" s="20">
        <f>D857/MAX(D$2:D857)-1</f>
        <v/>
      </c>
      <c r="L857" s="20">
        <f>E857/E856-1</f>
        <v/>
      </c>
      <c r="M857" s="20">
        <f>E857/MAX(E$2:E857)-1</f>
        <v/>
      </c>
    </row>
    <row r="858">
      <c r="A858" s="11" t="n">
        <v>44945</v>
      </c>
      <c r="B858" s="19" t="n">
        <v>1.864466465128125</v>
      </c>
      <c r="C858" s="19" t="n">
        <v>1.503637075957261</v>
      </c>
      <c r="D858" s="19" t="n">
        <v>1.661706670840367</v>
      </c>
      <c r="E858" s="19" t="n">
        <v>1.262980914085487</v>
      </c>
      <c r="F858" s="20">
        <f>B858/B857-1</f>
        <v/>
      </c>
      <c r="G858" s="20">
        <f>B858/MAX(B$2:B858)-1</f>
        <v/>
      </c>
      <c r="H858" s="20">
        <f>C858/C857-1</f>
        <v/>
      </c>
      <c r="I858" s="20">
        <f>C858/MAX(C$2:C858)-1</f>
        <v/>
      </c>
      <c r="J858" s="20">
        <f>D858/D857-1</f>
        <v/>
      </c>
      <c r="K858" s="20">
        <f>D858/MAX(D$2:D858)-1</f>
        <v/>
      </c>
      <c r="L858" s="20">
        <f>E858/E857-1</f>
        <v/>
      </c>
      <c r="M858" s="20">
        <f>E858/MAX(E$2:E858)-1</f>
        <v/>
      </c>
    </row>
    <row r="859">
      <c r="A859" s="11" t="n">
        <v>44946</v>
      </c>
      <c r="B859" s="19" t="n">
        <v>1.881980276162516</v>
      </c>
      <c r="C859" s="19" t="n">
        <v>1.512583336680309</v>
      </c>
      <c r="D859" s="19" t="n">
        <v>1.671093231865195</v>
      </c>
      <c r="E859" s="19" t="n">
        <v>1.272328585722947</v>
      </c>
      <c r="F859" s="20">
        <f>B859/B858-1</f>
        <v/>
      </c>
      <c r="G859" s="20">
        <f>B859/MAX(B$2:B859)-1</f>
        <v/>
      </c>
      <c r="H859" s="20">
        <f>C859/C858-1</f>
        <v/>
      </c>
      <c r="I859" s="20">
        <f>C859/MAX(C$2:C859)-1</f>
        <v/>
      </c>
      <c r="J859" s="20">
        <f>D859/D858-1</f>
        <v/>
      </c>
      <c r="K859" s="20">
        <f>D859/MAX(D$2:D859)-1</f>
        <v/>
      </c>
      <c r="L859" s="20">
        <f>E859/E858-1</f>
        <v/>
      </c>
      <c r="M859" s="20">
        <f>E859/MAX(E$2:E859)-1</f>
        <v/>
      </c>
    </row>
    <row r="860">
      <c r="A860" s="11" t="n">
        <v>44956</v>
      </c>
      <c r="B860" s="19" t="n">
        <v>1.904401956560261</v>
      </c>
      <c r="C860" s="19" t="n">
        <v>1.522906178308088</v>
      </c>
      <c r="D860" s="19" t="n">
        <v>1.689137227226132</v>
      </c>
      <c r="E860" s="19" t="n">
        <v>1.281363800369741</v>
      </c>
      <c r="F860" s="20">
        <f>B860/B859-1</f>
        <v/>
      </c>
      <c r="G860" s="20">
        <f>B860/MAX(B$2:B860)-1</f>
        <v/>
      </c>
      <c r="H860" s="20">
        <f>C860/C859-1</f>
        <v/>
      </c>
      <c r="I860" s="20">
        <f>C860/MAX(C$2:C860)-1</f>
        <v/>
      </c>
      <c r="J860" s="20">
        <f>D860/D859-1</f>
        <v/>
      </c>
      <c r="K860" s="20">
        <f>D860/MAX(D$2:D860)-1</f>
        <v/>
      </c>
      <c r="L860" s="20">
        <f>E860/E859-1</f>
        <v/>
      </c>
      <c r="M860" s="20">
        <f>E860/MAX(E$2:E860)-1</f>
        <v/>
      </c>
    </row>
    <row r="861">
      <c r="A861" s="11" t="n">
        <v>44957</v>
      </c>
      <c r="B861" s="19" t="n">
        <v>1.888751555278442</v>
      </c>
      <c r="C861" s="19" t="n">
        <v>1.508869372481802</v>
      </c>
      <c r="D861" s="19" t="n">
        <v>1.667782403471168</v>
      </c>
      <c r="E861" s="19" t="n">
        <v>1.27598135673289</v>
      </c>
      <c r="F861" s="20">
        <f>B861/B860-1</f>
        <v/>
      </c>
      <c r="G861" s="20">
        <f>B861/MAX(B$2:B861)-1</f>
        <v/>
      </c>
      <c r="H861" s="20">
        <f>C861/C860-1</f>
        <v/>
      </c>
      <c r="I861" s="20">
        <f>C861/MAX(C$2:C861)-1</f>
        <v/>
      </c>
      <c r="J861" s="20">
        <f>D861/D860-1</f>
        <v/>
      </c>
      <c r="K861" s="20">
        <f>D861/MAX(D$2:D861)-1</f>
        <v/>
      </c>
      <c r="L861" s="20">
        <f>E861/E860-1</f>
        <v/>
      </c>
      <c r="M861" s="20">
        <f>E861/MAX(E$2:E861)-1</f>
        <v/>
      </c>
    </row>
    <row r="862">
      <c r="A862" s="11" t="n">
        <v>44958</v>
      </c>
      <c r="B862" s="19" t="n">
        <v>1.924068502079108</v>
      </c>
      <c r="C862" s="19" t="n">
        <v>1.529761617591991</v>
      </c>
      <c r="D862" s="19" t="n">
        <v>1.689010439442452</v>
      </c>
      <c r="E862" s="19" t="n">
        <v>1.291674881061759</v>
      </c>
      <c r="F862" s="20">
        <f>B862/B861-1</f>
        <v/>
      </c>
      <c r="G862" s="20">
        <f>B862/MAX(B$2:B862)-1</f>
        <v/>
      </c>
      <c r="H862" s="20">
        <f>C862/C861-1</f>
        <v/>
      </c>
      <c r="I862" s="20">
        <f>C862/MAX(C$2:C862)-1</f>
        <v/>
      </c>
      <c r="J862" s="20">
        <f>D862/D861-1</f>
        <v/>
      </c>
      <c r="K862" s="20">
        <f>D862/MAX(D$2:D862)-1</f>
        <v/>
      </c>
      <c r="L862" s="20">
        <f>E862/E861-1</f>
        <v/>
      </c>
      <c r="M862" s="20">
        <f>E862/MAX(E$2:E862)-1</f>
        <v/>
      </c>
    </row>
    <row r="863">
      <c r="A863" s="11" t="n">
        <v>44959</v>
      </c>
      <c r="B863" s="19" t="n">
        <v>1.918811645618818</v>
      </c>
      <c r="C863" s="19" t="n">
        <v>1.52763626017711</v>
      </c>
      <c r="D863" s="19" t="n">
        <v>1.681661271508284</v>
      </c>
      <c r="E863" s="19" t="n">
        <v>1.290901178037249</v>
      </c>
      <c r="F863" s="20">
        <f>B863/B862-1</f>
        <v/>
      </c>
      <c r="G863" s="20">
        <f>B863/MAX(B$2:B863)-1</f>
        <v/>
      </c>
      <c r="H863" s="20">
        <f>C863/C862-1</f>
        <v/>
      </c>
      <c r="I863" s="20">
        <f>C863/MAX(C$2:C863)-1</f>
        <v/>
      </c>
      <c r="J863" s="20">
        <f>D863/D862-1</f>
        <v/>
      </c>
      <c r="K863" s="20">
        <f>D863/MAX(D$2:D863)-1</f>
        <v/>
      </c>
      <c r="L863" s="20">
        <f>E863/E862-1</f>
        <v/>
      </c>
      <c r="M863" s="20">
        <f>E863/MAX(E$2:E863)-1</f>
        <v/>
      </c>
    </row>
    <row r="864">
      <c r="A864" s="11" t="n">
        <v>44960</v>
      </c>
      <c r="B864" s="19" t="n">
        <v>1.923625636449932</v>
      </c>
      <c r="C864" s="19" t="n">
        <v>1.521702229181793</v>
      </c>
      <c r="D864" s="19" t="n">
        <v>1.667311634355922</v>
      </c>
      <c r="E864" s="19" t="n">
        <v>1.283930411364507</v>
      </c>
      <c r="F864" s="20">
        <f>B864/B863-1</f>
        <v/>
      </c>
      <c r="G864" s="20">
        <f>B864/MAX(B$2:B864)-1</f>
        <v/>
      </c>
      <c r="H864" s="20">
        <f>C864/C863-1</f>
        <v/>
      </c>
      <c r="I864" s="20">
        <f>C864/MAX(C$2:C864)-1</f>
        <v/>
      </c>
      <c r="J864" s="20">
        <f>D864/D863-1</f>
        <v/>
      </c>
      <c r="K864" s="20">
        <f>D864/MAX(D$2:D864)-1</f>
        <v/>
      </c>
      <c r="L864" s="20">
        <f>E864/E863-1</f>
        <v/>
      </c>
      <c r="M864" s="20">
        <f>E864/MAX(E$2:E864)-1</f>
        <v/>
      </c>
    </row>
    <row r="865">
      <c r="A865" s="11" t="n">
        <v>44963</v>
      </c>
      <c r="B865" s="19" t="n">
        <v>1.914629703702315</v>
      </c>
      <c r="C865" s="19" t="n">
        <v>1.519825934834269</v>
      </c>
      <c r="D865" s="19" t="n">
        <v>1.64403521960426</v>
      </c>
      <c r="E865" s="19" t="n">
        <v>1.272890264360933</v>
      </c>
      <c r="F865" s="20">
        <f>B865/B864-1</f>
        <v/>
      </c>
      <c r="G865" s="20">
        <f>B865/MAX(B$2:B865)-1</f>
        <v/>
      </c>
      <c r="H865" s="20">
        <f>C865/C864-1</f>
        <v/>
      </c>
      <c r="I865" s="20">
        <f>C865/MAX(C$2:C865)-1</f>
        <v/>
      </c>
      <c r="J865" s="20">
        <f>D865/D864-1</f>
        <v/>
      </c>
      <c r="K865" s="20">
        <f>D865/MAX(D$2:D865)-1</f>
        <v/>
      </c>
      <c r="L865" s="20">
        <f>E865/E864-1</f>
        <v/>
      </c>
      <c r="M865" s="20">
        <f>E865/MAX(E$2:E865)-1</f>
        <v/>
      </c>
    </row>
    <row r="866">
      <c r="A866" s="11" t="n">
        <v>44964</v>
      </c>
      <c r="B866" s="19" t="n">
        <v>1.910562058550585</v>
      </c>
      <c r="C866" s="19" t="n">
        <v>1.517800818329464</v>
      </c>
      <c r="D866" s="19" t="n">
        <v>1.640078885006776</v>
      </c>
      <c r="E866" s="19" t="n">
        <v>1.276836893731146</v>
      </c>
      <c r="F866" s="20">
        <f>B866/B865-1</f>
        <v/>
      </c>
      <c r="G866" s="20">
        <f>B866/MAX(B$2:B866)-1</f>
        <v/>
      </c>
      <c r="H866" s="20">
        <f>C866/C865-1</f>
        <v/>
      </c>
      <c r="I866" s="20">
        <f>C866/MAX(C$2:C866)-1</f>
        <v/>
      </c>
      <c r="J866" s="20">
        <f>D866/D865-1</f>
        <v/>
      </c>
      <c r="K866" s="20">
        <f>D866/MAX(D$2:D866)-1</f>
        <v/>
      </c>
      <c r="L866" s="20">
        <f>E866/E865-1</f>
        <v/>
      </c>
      <c r="M866" s="20">
        <f>E866/MAX(E$2:E866)-1</f>
        <v/>
      </c>
    </row>
    <row r="867">
      <c r="A867" s="11" t="n">
        <v>44965</v>
      </c>
      <c r="B867" s="19" t="n">
        <v>1.888462711226326</v>
      </c>
      <c r="C867" s="19" t="n">
        <v>1.509368941623859</v>
      </c>
      <c r="D867" s="19" t="n">
        <v>1.632264505423926</v>
      </c>
      <c r="E867" s="19" t="n">
        <v>1.270070711992769</v>
      </c>
      <c r="F867" s="20">
        <f>B867/B866-1</f>
        <v/>
      </c>
      <c r="G867" s="20">
        <f>B867/MAX(B$2:B867)-1</f>
        <v/>
      </c>
      <c r="H867" s="20">
        <f>C867/C866-1</f>
        <v/>
      </c>
      <c r="I867" s="20">
        <f>C867/MAX(C$2:C867)-1</f>
        <v/>
      </c>
      <c r="J867" s="20">
        <f>D867/D866-1</f>
        <v/>
      </c>
      <c r="K867" s="20">
        <f>D867/MAX(D$2:D867)-1</f>
        <v/>
      </c>
      <c r="L867" s="20">
        <f>E867/E866-1</f>
        <v/>
      </c>
      <c r="M867" s="20">
        <f>E867/MAX(E$2:E867)-1</f>
        <v/>
      </c>
    </row>
    <row r="868">
      <c r="A868" s="11" t="n">
        <v>44966</v>
      </c>
      <c r="B868" s="19" t="n">
        <v>1.930597321527269</v>
      </c>
      <c r="C868" s="19" t="n">
        <v>1.53719849263453</v>
      </c>
      <c r="D868" s="19" t="n">
        <v>1.660605387757043</v>
      </c>
      <c r="E868" s="19" t="n">
        <v>1.287851002652165</v>
      </c>
      <c r="F868" s="20">
        <f>B868/B867-1</f>
        <v/>
      </c>
      <c r="G868" s="20">
        <f>B868/MAX(B$2:B868)-1</f>
        <v/>
      </c>
      <c r="H868" s="20">
        <f>C868/C867-1</f>
        <v/>
      </c>
      <c r="I868" s="20">
        <f>C868/MAX(C$2:C868)-1</f>
        <v/>
      </c>
      <c r="J868" s="20">
        <f>D868/D867-1</f>
        <v/>
      </c>
      <c r="K868" s="20">
        <f>D868/MAX(D$2:D868)-1</f>
        <v/>
      </c>
      <c r="L868" s="20">
        <f>E868/E867-1</f>
        <v/>
      </c>
      <c r="M868" s="20">
        <f>E868/MAX(E$2:E868)-1</f>
        <v/>
      </c>
    </row>
    <row r="869">
      <c r="A869" s="11" t="n">
        <v>44967</v>
      </c>
      <c r="B869" s="19" t="n">
        <v>1.905292240331583</v>
      </c>
      <c r="C869" s="19" t="n">
        <v>1.526355543060181</v>
      </c>
      <c r="D869" s="19" t="n">
        <v>1.64472285915887</v>
      </c>
      <c r="E869" s="19" t="n">
        <v>1.282442520932759</v>
      </c>
      <c r="F869" s="20">
        <f>B869/B868-1</f>
        <v/>
      </c>
      <c r="G869" s="20">
        <f>B869/MAX(B$2:B869)-1</f>
        <v/>
      </c>
      <c r="H869" s="20">
        <f>C869/C868-1</f>
        <v/>
      </c>
      <c r="I869" s="20">
        <f>C869/MAX(C$2:C869)-1</f>
        <v/>
      </c>
      <c r="J869" s="20">
        <f>D869/D868-1</f>
        <v/>
      </c>
      <c r="K869" s="20">
        <f>D869/MAX(D$2:D869)-1</f>
        <v/>
      </c>
      <c r="L869" s="20">
        <f>E869/E868-1</f>
        <v/>
      </c>
      <c r="M869" s="20">
        <f>E869/MAX(E$2:E869)-1</f>
        <v/>
      </c>
    </row>
    <row r="870">
      <c r="A870" s="11" t="n">
        <v>44970</v>
      </c>
      <c r="B870" s="19" t="n">
        <v>1.915123402736627</v>
      </c>
      <c r="C870" s="19" t="n">
        <v>1.534155045847951</v>
      </c>
      <c r="D870" s="19" t="n">
        <v>1.662833156388337</v>
      </c>
      <c r="E870" s="19" t="n">
        <v>1.294241492056525</v>
      </c>
      <c r="F870" s="20">
        <f>B870/B869-1</f>
        <v/>
      </c>
      <c r="G870" s="20">
        <f>B870/MAX(B$2:B870)-1</f>
        <v/>
      </c>
      <c r="H870" s="20">
        <f>C870/C869-1</f>
        <v/>
      </c>
      <c r="I870" s="20">
        <f>C870/MAX(C$2:C870)-1</f>
        <v/>
      </c>
      <c r="J870" s="20">
        <f>D870/D869-1</f>
        <v/>
      </c>
      <c r="K870" s="20">
        <f>D870/MAX(D$2:D870)-1</f>
        <v/>
      </c>
      <c r="L870" s="20">
        <f>E870/E869-1</f>
        <v/>
      </c>
      <c r="M870" s="20">
        <f>E870/MAX(E$2:E870)-1</f>
        <v/>
      </c>
    </row>
    <row r="871">
      <c r="A871" s="11" t="n">
        <v>44971</v>
      </c>
      <c r="B871" s="19" t="n">
        <v>1.909723402899894</v>
      </c>
      <c r="C871" s="19" t="n">
        <v>1.538781231188295</v>
      </c>
      <c r="D871" s="19" t="n">
        <v>1.657646747651017</v>
      </c>
      <c r="E871" s="19" t="n">
        <v>1.295018914807114</v>
      </c>
      <c r="F871" s="20">
        <f>B871/B870-1</f>
        <v/>
      </c>
      <c r="G871" s="20">
        <f>B871/MAX(B$2:B871)-1</f>
        <v/>
      </c>
      <c r="H871" s="20">
        <f>C871/C870-1</f>
        <v/>
      </c>
      <c r="I871" s="20">
        <f>C871/MAX(C$2:C871)-1</f>
        <v/>
      </c>
      <c r="J871" s="20">
        <f>D871/D870-1</f>
        <v/>
      </c>
      <c r="K871" s="20">
        <f>D871/MAX(D$2:D871)-1</f>
        <v/>
      </c>
      <c r="L871" s="20">
        <f>E871/E870-1</f>
        <v/>
      </c>
      <c r="M871" s="20">
        <f>E871/MAX(E$2:E871)-1</f>
        <v/>
      </c>
    </row>
    <row r="872">
      <c r="A872" s="11" t="n">
        <v>44972</v>
      </c>
      <c r="B872" s="19" t="n">
        <v>1.92687273432392</v>
      </c>
      <c r="C872" s="19" t="n">
        <v>1.553458443673291</v>
      </c>
      <c r="D872" s="19" t="n">
        <v>1.646042369737346</v>
      </c>
      <c r="E872" s="19" t="n">
        <v>1.292299795043093</v>
      </c>
      <c r="F872" s="20">
        <f>B872/B871-1</f>
        <v/>
      </c>
      <c r="G872" s="20">
        <f>B872/MAX(B$2:B872)-1</f>
        <v/>
      </c>
      <c r="H872" s="20">
        <f>C872/C871-1</f>
        <v/>
      </c>
      <c r="I872" s="20">
        <f>C872/MAX(C$2:C872)-1</f>
        <v/>
      </c>
      <c r="J872" s="20">
        <f>D872/D871-1</f>
        <v/>
      </c>
      <c r="K872" s="20">
        <f>D872/MAX(D$2:D872)-1</f>
        <v/>
      </c>
      <c r="L872" s="20">
        <f>E872/E871-1</f>
        <v/>
      </c>
      <c r="M872" s="20">
        <f>E872/MAX(E$2:E872)-1</f>
        <v/>
      </c>
    </row>
    <row r="873">
      <c r="A873" s="11" t="n">
        <v>44973</v>
      </c>
      <c r="B873" s="19" t="n">
        <v>1.905827307347793</v>
      </c>
      <c r="C873" s="19" t="n">
        <v>1.529745552110242</v>
      </c>
      <c r="D873" s="19" t="n">
        <v>1.623619672320139</v>
      </c>
      <c r="E873" s="19" t="n">
        <v>1.274467428218586</v>
      </c>
      <c r="F873" s="20">
        <f>B873/B872-1</f>
        <v/>
      </c>
      <c r="G873" s="20">
        <f>B873/MAX(B$2:B873)-1</f>
        <v/>
      </c>
      <c r="H873" s="20">
        <f>C873/C872-1</f>
        <v/>
      </c>
      <c r="I873" s="20">
        <f>C873/MAX(C$2:C873)-1</f>
        <v/>
      </c>
      <c r="J873" s="20">
        <f>D873/D872-1</f>
        <v/>
      </c>
      <c r="K873" s="20">
        <f>D873/MAX(D$2:D873)-1</f>
        <v/>
      </c>
      <c r="L873" s="20">
        <f>E873/E872-1</f>
        <v/>
      </c>
      <c r="M873" s="20">
        <f>E873/MAX(E$2:E873)-1</f>
        <v/>
      </c>
    </row>
    <row r="874">
      <c r="A874" s="11" t="n">
        <v>44974</v>
      </c>
      <c r="B874" s="19" t="n">
        <v>1.856851731887732</v>
      </c>
      <c r="C874" s="19" t="n">
        <v>1.493737901285311</v>
      </c>
      <c r="D874" s="19" t="n">
        <v>1.582812164673938</v>
      </c>
      <c r="E874" s="19" t="n">
        <v>1.260447780625435</v>
      </c>
      <c r="F874" s="20">
        <f>B874/B873-1</f>
        <v/>
      </c>
      <c r="G874" s="20">
        <f>B874/MAX(B$2:B874)-1</f>
        <v/>
      </c>
      <c r="H874" s="20">
        <f>C874/C873-1</f>
        <v/>
      </c>
      <c r="I874" s="20">
        <f>C874/MAX(C$2:C874)-1</f>
        <v/>
      </c>
      <c r="J874" s="20">
        <f>D874/D873-1</f>
        <v/>
      </c>
      <c r="K874" s="20">
        <f>D874/MAX(D$2:D874)-1</f>
        <v/>
      </c>
      <c r="L874" s="20">
        <f>E874/E873-1</f>
        <v/>
      </c>
      <c r="M874" s="20">
        <f>E874/MAX(E$2:E874)-1</f>
        <v/>
      </c>
    </row>
    <row r="875">
      <c r="A875" s="11" t="n">
        <v>44977</v>
      </c>
      <c r="B875" s="19" t="n">
        <v>1.893602921655638</v>
      </c>
      <c r="C875" s="19" t="n">
        <v>1.529842185501961</v>
      </c>
      <c r="D875" s="19" t="n">
        <v>1.603131490240475</v>
      </c>
      <c r="E875" s="19" t="n">
        <v>1.284142435751031</v>
      </c>
      <c r="F875" s="20">
        <f>B875/B874-1</f>
        <v/>
      </c>
      <c r="G875" s="20">
        <f>B875/MAX(B$2:B875)-1</f>
        <v/>
      </c>
      <c r="H875" s="20">
        <f>C875/C874-1</f>
        <v/>
      </c>
      <c r="I875" s="20">
        <f>C875/MAX(C$2:C875)-1</f>
        <v/>
      </c>
      <c r="J875" s="20">
        <f>D875/D874-1</f>
        <v/>
      </c>
      <c r="K875" s="20">
        <f>D875/MAX(D$2:D875)-1</f>
        <v/>
      </c>
      <c r="L875" s="20">
        <f>E875/E874-1</f>
        <v/>
      </c>
      <c r="M875" s="20">
        <f>E875/MAX(E$2:E875)-1</f>
        <v/>
      </c>
    </row>
    <row r="876">
      <c r="A876" s="11" t="n">
        <v>44978</v>
      </c>
      <c r="B876" s="19" t="n">
        <v>1.892925166956452</v>
      </c>
      <c r="C876" s="19" t="n">
        <v>1.538287578376343</v>
      </c>
      <c r="D876" s="19" t="n">
        <v>1.596031309732669</v>
      </c>
      <c r="E876" s="19" t="n">
        <v>1.288635864854912</v>
      </c>
      <c r="F876" s="20">
        <f>B876/B875-1</f>
        <v/>
      </c>
      <c r="G876" s="20">
        <f>B876/MAX(B$2:B876)-1</f>
        <v/>
      </c>
      <c r="H876" s="20">
        <f>C876/C875-1</f>
        <v/>
      </c>
      <c r="I876" s="20">
        <f>C876/MAX(C$2:C876)-1</f>
        <v/>
      </c>
      <c r="J876" s="20">
        <f>D876/D875-1</f>
        <v/>
      </c>
      <c r="K876" s="20">
        <f>D876/MAX(D$2:D876)-1</f>
        <v/>
      </c>
      <c r="L876" s="20">
        <f>E876/E875-1</f>
        <v/>
      </c>
      <c r="M876" s="20">
        <f>E876/MAX(E$2:E876)-1</f>
        <v/>
      </c>
    </row>
    <row r="877">
      <c r="A877" s="11" t="n">
        <v>44979</v>
      </c>
      <c r="B877" s="19" t="n">
        <v>1.895095159877654</v>
      </c>
      <c r="C877" s="19" t="n">
        <v>1.52899937301331</v>
      </c>
      <c r="D877" s="19" t="n">
        <v>1.584458079480431</v>
      </c>
      <c r="E877" s="19" t="n">
        <v>1.283353853822205</v>
      </c>
      <c r="F877" s="20">
        <f>B877/B876-1</f>
        <v/>
      </c>
      <c r="G877" s="20">
        <f>B877/MAX(B$2:B877)-1</f>
        <v/>
      </c>
      <c r="H877" s="20">
        <f>C877/C876-1</f>
        <v/>
      </c>
      <c r="I877" s="20">
        <f>C877/MAX(C$2:C877)-1</f>
        <v/>
      </c>
      <c r="J877" s="20">
        <f>D877/D876-1</f>
        <v/>
      </c>
      <c r="K877" s="20">
        <f>D877/MAX(D$2:D877)-1</f>
        <v/>
      </c>
      <c r="L877" s="20">
        <f>E877/E876-1</f>
        <v/>
      </c>
      <c r="M877" s="20">
        <f>E877/MAX(E$2:E877)-1</f>
        <v/>
      </c>
    </row>
    <row r="878">
      <c r="A878" s="11" t="n">
        <v>44980</v>
      </c>
      <c r="B878" s="19" t="n">
        <v>1.880118800867552</v>
      </c>
      <c r="C878" s="19" t="n">
        <v>1.524344904729048</v>
      </c>
      <c r="D878" s="19" t="n">
        <v>1.588067072417731</v>
      </c>
      <c r="E878" s="19" t="n">
        <v>1.281043903926915</v>
      </c>
      <c r="F878" s="20">
        <f>B878/B877-1</f>
        <v/>
      </c>
      <c r="G878" s="20">
        <f>B878/MAX(B$2:B878)-1</f>
        <v/>
      </c>
      <c r="H878" s="20">
        <f>C878/C877-1</f>
        <v/>
      </c>
      <c r="I878" s="20">
        <f>C878/MAX(C$2:C878)-1</f>
        <v/>
      </c>
      <c r="J878" s="20">
        <f>D878/D877-1</f>
        <v/>
      </c>
      <c r="K878" s="20">
        <f>D878/MAX(D$2:D878)-1</f>
        <v/>
      </c>
      <c r="L878" s="20">
        <f>E878/E877-1</f>
        <v/>
      </c>
      <c r="M878" s="20">
        <f>E878/MAX(E$2:E878)-1</f>
        <v/>
      </c>
    </row>
    <row r="879">
      <c r="A879" s="11" t="n">
        <v>44981</v>
      </c>
      <c r="B879" s="19" t="n">
        <v>1.879235323699406</v>
      </c>
      <c r="C879" s="19" t="n">
        <v>1.519332570623786</v>
      </c>
      <c r="D879" s="19" t="n">
        <v>1.569619514513938</v>
      </c>
      <c r="E879" s="19" t="n">
        <v>1.272715437235202</v>
      </c>
      <c r="F879" s="20">
        <f>B879/B878-1</f>
        <v/>
      </c>
      <c r="G879" s="20">
        <f>B879/MAX(B$2:B879)-1</f>
        <v/>
      </c>
      <c r="H879" s="20">
        <f>C879/C878-1</f>
        <v/>
      </c>
      <c r="I879" s="20">
        <f>C879/MAX(C$2:C879)-1</f>
        <v/>
      </c>
      <c r="J879" s="20">
        <f>D879/D878-1</f>
        <v/>
      </c>
      <c r="K879" s="20">
        <f>D879/MAX(D$2:D879)-1</f>
        <v/>
      </c>
      <c r="L879" s="20">
        <f>E879/E878-1</f>
        <v/>
      </c>
      <c r="M879" s="20">
        <f>E879/MAX(E$2:E879)-1</f>
        <v/>
      </c>
    </row>
    <row r="880">
      <c r="A880" s="11" t="n">
        <v>44984</v>
      </c>
      <c r="B880" s="19" t="n">
        <v>1.868267762673477</v>
      </c>
      <c r="C880" s="19" t="n">
        <v>1.511546439704058</v>
      </c>
      <c r="D880" s="19" t="n">
        <v>1.55725020948741</v>
      </c>
      <c r="E880" s="19" t="n">
        <v>1.265461971380428</v>
      </c>
      <c r="F880" s="20">
        <f>B880/B879-1</f>
        <v/>
      </c>
      <c r="G880" s="20">
        <f>B880/MAX(B$2:B880)-1</f>
        <v/>
      </c>
      <c r="H880" s="20">
        <f>C880/C879-1</f>
        <v/>
      </c>
      <c r="I880" s="20">
        <f>C880/MAX(C$2:C880)-1</f>
        <v/>
      </c>
      <c r="J880" s="20">
        <f>D880/D879-1</f>
        <v/>
      </c>
      <c r="K880" s="20">
        <f>D880/MAX(D$2:D880)-1</f>
        <v/>
      </c>
      <c r="L880" s="20">
        <f>E880/E879-1</f>
        <v/>
      </c>
      <c r="M880" s="20">
        <f>E880/MAX(E$2:E880)-1</f>
        <v/>
      </c>
    </row>
    <row r="881">
      <c r="A881" s="11" t="n">
        <v>44985</v>
      </c>
      <c r="B881" s="19" t="n">
        <v>1.887033130656374</v>
      </c>
      <c r="C881" s="19" t="n">
        <v>1.531293947089249</v>
      </c>
      <c r="D881" s="19" t="n">
        <v>1.569678901860116</v>
      </c>
      <c r="E881" s="19" t="n">
        <v>1.274954712334984</v>
      </c>
      <c r="F881" s="20">
        <f>B881/B880-1</f>
        <v/>
      </c>
      <c r="G881" s="20">
        <f>B881/MAX(B$2:B881)-1</f>
        <v/>
      </c>
      <c r="H881" s="20">
        <f>C881/C880-1</f>
        <v/>
      </c>
      <c r="I881" s="20">
        <f>C881/MAX(C$2:C881)-1</f>
        <v/>
      </c>
      <c r="J881" s="20">
        <f>D881/D880-1</f>
        <v/>
      </c>
      <c r="K881" s="20">
        <f>D881/MAX(D$2:D881)-1</f>
        <v/>
      </c>
      <c r="L881" s="20">
        <f>E881/E880-1</f>
        <v/>
      </c>
      <c r="M881" s="20">
        <f>E881/MAX(E$2:E881)-1</f>
        <v/>
      </c>
    </row>
    <row r="882">
      <c r="A882" s="11" t="n">
        <v>44986</v>
      </c>
      <c r="B882" s="19" t="n">
        <v>1.936338064372335</v>
      </c>
      <c r="C882" s="19" t="n">
        <v>1.549961844480846</v>
      </c>
      <c r="D882" s="19" t="n">
        <v>1.579319296939122</v>
      </c>
      <c r="E882" s="19" t="n">
        <v>1.288342006494642</v>
      </c>
      <c r="F882" s="20">
        <f>B882/B881-1</f>
        <v/>
      </c>
      <c r="G882" s="20">
        <f>B882/MAX(B$2:B882)-1</f>
        <v/>
      </c>
      <c r="H882" s="20">
        <f>C882/C881-1</f>
        <v/>
      </c>
      <c r="I882" s="20">
        <f>C882/MAX(C$2:C882)-1</f>
        <v/>
      </c>
      <c r="J882" s="20">
        <f>D882/D881-1</f>
        <v/>
      </c>
      <c r="K882" s="20">
        <f>D882/MAX(D$2:D882)-1</f>
        <v/>
      </c>
      <c r="L882" s="20">
        <f>E882/E881-1</f>
        <v/>
      </c>
      <c r="M882" s="20">
        <f>E882/MAX(E$2:E882)-1</f>
        <v/>
      </c>
    </row>
    <row r="883">
      <c r="A883" s="11" t="n">
        <v>44987</v>
      </c>
      <c r="B883" s="19" t="n">
        <v>1.933604635473805</v>
      </c>
      <c r="C883" s="19" t="n">
        <v>1.543208714417543</v>
      </c>
      <c r="D883" s="19" t="n">
        <v>1.562939116596747</v>
      </c>
      <c r="E883" s="19" t="n">
        <v>1.28409035958592</v>
      </c>
      <c r="F883" s="20">
        <f>B883/B882-1</f>
        <v/>
      </c>
      <c r="G883" s="20">
        <f>B883/MAX(B$2:B883)-1</f>
        <v/>
      </c>
      <c r="H883" s="20">
        <f>C883/C882-1</f>
        <v/>
      </c>
      <c r="I883" s="20">
        <f>C883/MAX(C$2:C883)-1</f>
        <v/>
      </c>
      <c r="J883" s="20">
        <f>D883/D882-1</f>
        <v/>
      </c>
      <c r="K883" s="20">
        <f>D883/MAX(D$2:D883)-1</f>
        <v/>
      </c>
      <c r="L883" s="20">
        <f>E883/E882-1</f>
        <v/>
      </c>
      <c r="M883" s="20">
        <f>E883/MAX(E$2:E883)-1</f>
        <v/>
      </c>
    </row>
    <row r="884">
      <c r="A884" s="11" t="n">
        <v>44988</v>
      </c>
      <c r="B884" s="19" t="n">
        <v>1.933179023563619</v>
      </c>
      <c r="C884" s="19" t="n">
        <v>1.543911314692725</v>
      </c>
      <c r="D884" s="19" t="n">
        <v>1.565419814578359</v>
      </c>
      <c r="E884" s="19" t="n">
        <v>1.28640030948121</v>
      </c>
      <c r="F884" s="20">
        <f>B884/B883-1</f>
        <v/>
      </c>
      <c r="G884" s="20">
        <f>B884/MAX(B$2:B884)-1</f>
        <v/>
      </c>
      <c r="H884" s="20">
        <f>C884/C883-1</f>
        <v/>
      </c>
      <c r="I884" s="20">
        <f>C884/MAX(C$2:C884)-1</f>
        <v/>
      </c>
      <c r="J884" s="20">
        <f>D884/D883-1</f>
        <v/>
      </c>
      <c r="K884" s="20">
        <f>D884/MAX(D$2:D884)-1</f>
        <v/>
      </c>
      <c r="L884" s="20">
        <f>E884/E883-1</f>
        <v/>
      </c>
      <c r="M884" s="20">
        <f>E884/MAX(E$2:E884)-1</f>
        <v/>
      </c>
    </row>
    <row r="885">
      <c r="A885" s="11" t="n">
        <v>44991</v>
      </c>
      <c r="B885" s="19" t="n">
        <v>1.947900173131398</v>
      </c>
      <c r="C885" s="19" t="n">
        <v>1.559982279869831</v>
      </c>
      <c r="D885" s="19" t="n">
        <v>1.571312667786216</v>
      </c>
      <c r="E885" s="19" t="n">
        <v>1.284856623158271</v>
      </c>
      <c r="F885" s="20">
        <f>B885/B884-1</f>
        <v/>
      </c>
      <c r="G885" s="20">
        <f>B885/MAX(B$2:B885)-1</f>
        <v/>
      </c>
      <c r="H885" s="20">
        <f>C885/C884-1</f>
        <v/>
      </c>
      <c r="I885" s="20">
        <f>C885/MAX(C$2:C885)-1</f>
        <v/>
      </c>
      <c r="J885" s="20">
        <f>D885/D884-1</f>
        <v/>
      </c>
      <c r="K885" s="20">
        <f>D885/MAX(D$2:D885)-1</f>
        <v/>
      </c>
      <c r="L885" s="20">
        <f>E885/E884-1</f>
        <v/>
      </c>
      <c r="M885" s="20">
        <f>E885/MAX(E$2:E885)-1</f>
        <v/>
      </c>
    </row>
    <row r="886">
      <c r="A886" s="11" t="n">
        <v>44992</v>
      </c>
      <c r="B886" s="19" t="n">
        <v>1.905112334112086</v>
      </c>
      <c r="C886" s="19" t="n">
        <v>1.524824945171734</v>
      </c>
      <c r="D886" s="19" t="n">
        <v>1.540407660851338</v>
      </c>
      <c r="E886" s="19" t="n">
        <v>1.262884201207423</v>
      </c>
      <c r="F886" s="20">
        <f>B886/B885-1</f>
        <v/>
      </c>
      <c r="G886" s="20">
        <f>B886/MAX(B$2:B886)-1</f>
        <v/>
      </c>
      <c r="H886" s="20">
        <f>C886/C885-1</f>
        <v/>
      </c>
      <c r="I886" s="20">
        <f>C886/MAX(C$2:C886)-1</f>
        <v/>
      </c>
      <c r="J886" s="20">
        <f>D886/D885-1</f>
        <v/>
      </c>
      <c r="K886" s="20">
        <f>D886/MAX(D$2:D886)-1</f>
        <v/>
      </c>
      <c r="L886" s="20">
        <f>E886/E885-1</f>
        <v/>
      </c>
      <c r="M886" s="20">
        <f>E886/MAX(E$2:E886)-1</f>
        <v/>
      </c>
    </row>
    <row r="887">
      <c r="A887" s="11" t="n">
        <v>44993</v>
      </c>
      <c r="B887" s="19" t="n">
        <v>1.922206048169459</v>
      </c>
      <c r="C887" s="19" t="n">
        <v>1.526580748406138</v>
      </c>
      <c r="D887" s="19" t="n">
        <v>1.536435429314615</v>
      </c>
      <c r="E887" s="19" t="n">
        <v>1.264398129721727</v>
      </c>
      <c r="F887" s="20">
        <f>B887/B886-1</f>
        <v/>
      </c>
      <c r="G887" s="20">
        <f>B887/MAX(B$2:B887)-1</f>
        <v/>
      </c>
      <c r="H887" s="20">
        <f>C887/C886-1</f>
        <v/>
      </c>
      <c r="I887" s="20">
        <f>C887/MAX(C$2:C887)-1</f>
        <v/>
      </c>
      <c r="J887" s="20">
        <f>D887/D886-1</f>
        <v/>
      </c>
      <c r="K887" s="20">
        <f>D887/MAX(D$2:D887)-1</f>
        <v/>
      </c>
      <c r="L887" s="20">
        <f>E887/E886-1</f>
        <v/>
      </c>
      <c r="M887" s="20">
        <f>E887/MAX(E$2:E887)-1</f>
        <v/>
      </c>
    </row>
    <row r="888">
      <c r="A888" s="11" t="n">
        <v>44994</v>
      </c>
      <c r="B888" s="19" t="n">
        <v>1.92576043338817</v>
      </c>
      <c r="C888" s="19" t="n">
        <v>1.52830336247166</v>
      </c>
      <c r="D888" s="19" t="n">
        <v>1.533266187074535</v>
      </c>
      <c r="E888" s="19" t="n">
        <v>1.262121657361152</v>
      </c>
      <c r="F888" s="20">
        <f>B888/B887-1</f>
        <v/>
      </c>
      <c r="G888" s="20">
        <f>B888/MAX(B$2:B888)-1</f>
        <v/>
      </c>
      <c r="H888" s="20">
        <f>C888/C887-1</f>
        <v/>
      </c>
      <c r="I888" s="20">
        <f>C888/MAX(C$2:C888)-1</f>
        <v/>
      </c>
      <c r="J888" s="20">
        <f>D888/D887-1</f>
        <v/>
      </c>
      <c r="K888" s="20">
        <f>D888/MAX(D$2:D888)-1</f>
        <v/>
      </c>
      <c r="L888" s="20">
        <f>E888/E887-1</f>
        <v/>
      </c>
      <c r="M888" s="20">
        <f>E888/MAX(E$2:E888)-1</f>
        <v/>
      </c>
    </row>
    <row r="889">
      <c r="A889" s="11" t="n">
        <v>44995</v>
      </c>
      <c r="B889" s="19" t="n">
        <v>1.915169871079581</v>
      </c>
      <c r="C889" s="19" t="n">
        <v>1.516766903568389</v>
      </c>
      <c r="D889" s="19" t="n">
        <v>1.531766058832763</v>
      </c>
      <c r="E889" s="19" t="n">
        <v>1.245587474938346</v>
      </c>
      <c r="F889" s="20">
        <f>B889/B888-1</f>
        <v/>
      </c>
      <c r="G889" s="20">
        <f>B889/MAX(B$2:B889)-1</f>
        <v/>
      </c>
      <c r="H889" s="20">
        <f>C889/C888-1</f>
        <v/>
      </c>
      <c r="I889" s="20">
        <f>C889/MAX(C$2:C889)-1</f>
        <v/>
      </c>
      <c r="J889" s="20">
        <f>D889/D888-1</f>
        <v/>
      </c>
      <c r="K889" s="20">
        <f>D889/MAX(D$2:D889)-1</f>
        <v/>
      </c>
      <c r="L889" s="20">
        <f>E889/E888-1</f>
        <v/>
      </c>
      <c r="M889" s="20">
        <f>E889/MAX(E$2:E889)-1</f>
        <v/>
      </c>
    </row>
    <row r="890">
      <c r="A890" s="11" t="n">
        <v>44998</v>
      </c>
      <c r="B890" s="19" t="n">
        <v>1.948866924946447</v>
      </c>
      <c r="C890" s="19" t="n">
        <v>1.538806772418261</v>
      </c>
      <c r="D890" s="19" t="n">
        <v>1.523177705098465</v>
      </c>
      <c r="E890" s="19" t="n">
        <v>1.254432983555091</v>
      </c>
      <c r="F890" s="20">
        <f>B890/B889-1</f>
        <v/>
      </c>
      <c r="G890" s="20">
        <f>B890/MAX(B$2:B890)-1</f>
        <v/>
      </c>
      <c r="H890" s="20">
        <f>C890/C889-1</f>
        <v/>
      </c>
      <c r="I890" s="20">
        <f>C890/MAX(C$2:C890)-1</f>
        <v/>
      </c>
      <c r="J890" s="20">
        <f>D890/D889-1</f>
        <v/>
      </c>
      <c r="K890" s="20">
        <f>D890/MAX(D$2:D890)-1</f>
        <v/>
      </c>
      <c r="L890" s="20">
        <f>E890/E889-1</f>
        <v/>
      </c>
      <c r="M890" s="20">
        <f>E890/MAX(E$2:E890)-1</f>
        <v/>
      </c>
    </row>
    <row r="891">
      <c r="A891" s="11" t="n">
        <v>44999</v>
      </c>
      <c r="B891" s="19" t="n">
        <v>1.943266655310674</v>
      </c>
      <c r="C891" s="19" t="n">
        <v>1.532111699350382</v>
      </c>
      <c r="D891" s="19" t="n">
        <v>1.514157549136567</v>
      </c>
      <c r="E891" s="19" t="n">
        <v>1.244523633279645</v>
      </c>
      <c r="F891" s="20">
        <f>B891/B890-1</f>
        <v/>
      </c>
      <c r="G891" s="20">
        <f>B891/MAX(B$2:B891)-1</f>
        <v/>
      </c>
      <c r="H891" s="20">
        <f>C891/C890-1</f>
        <v/>
      </c>
      <c r="I891" s="20">
        <f>C891/MAX(C$2:C891)-1</f>
        <v/>
      </c>
      <c r="J891" s="20">
        <f>D891/D890-1</f>
        <v/>
      </c>
      <c r="K891" s="20">
        <f>D891/MAX(D$2:D891)-1</f>
        <v/>
      </c>
      <c r="L891" s="20">
        <f>E891/E890-1</f>
        <v/>
      </c>
      <c r="M891" s="20">
        <f>E891/MAX(E$2:E891)-1</f>
        <v/>
      </c>
    </row>
    <row r="892">
      <c r="A892" s="11" t="n">
        <v>45000</v>
      </c>
      <c r="B892" s="19" t="n">
        <v>1.936547967127052</v>
      </c>
      <c r="C892" s="19" t="n">
        <v>1.53561277186559</v>
      </c>
      <c r="D892" s="19" t="n">
        <v>1.510508749229467</v>
      </c>
      <c r="E892" s="19" t="n">
        <v>1.24875668155797</v>
      </c>
      <c r="F892" s="20">
        <f>B892/B891-1</f>
        <v/>
      </c>
      <c r="G892" s="20">
        <f>B892/MAX(B$2:B892)-1</f>
        <v/>
      </c>
      <c r="H892" s="20">
        <f>C892/C891-1</f>
        <v/>
      </c>
      <c r="I892" s="20">
        <f>C892/MAX(C$2:C892)-1</f>
        <v/>
      </c>
      <c r="J892" s="20">
        <f>D892/D891-1</f>
        <v/>
      </c>
      <c r="K892" s="20">
        <f>D892/MAX(D$2:D892)-1</f>
        <v/>
      </c>
      <c r="L892" s="20">
        <f>E892/E891-1</f>
        <v/>
      </c>
      <c r="M892" s="20">
        <f>E892/MAX(E$2:E892)-1</f>
        <v/>
      </c>
    </row>
    <row r="893">
      <c r="A893" s="11" t="n">
        <v>45001</v>
      </c>
      <c r="B893" s="19" t="n">
        <v>1.911362088021662</v>
      </c>
      <c r="C893" s="19" t="n">
        <v>1.510569042730574</v>
      </c>
      <c r="D893" s="19" t="n">
        <v>1.487623554275155</v>
      </c>
      <c r="E893" s="19" t="n">
        <v>1.231400439671623</v>
      </c>
      <c r="F893" s="20">
        <f>B893/B892-1</f>
        <v/>
      </c>
      <c r="G893" s="20">
        <f>B893/MAX(B$2:B893)-1</f>
        <v/>
      </c>
      <c r="H893" s="20">
        <f>C893/C892-1</f>
        <v/>
      </c>
      <c r="I893" s="20">
        <f>C893/MAX(C$2:C893)-1</f>
        <v/>
      </c>
      <c r="J893" s="20">
        <f>D893/D892-1</f>
        <v/>
      </c>
      <c r="K893" s="20">
        <f>D893/MAX(D$2:D893)-1</f>
        <v/>
      </c>
      <c r="L893" s="20">
        <f>E893/E892-1</f>
        <v/>
      </c>
      <c r="M893" s="20">
        <f>E893/MAX(E$2:E893)-1</f>
        <v/>
      </c>
    </row>
    <row r="894">
      <c r="A894" s="11" t="n">
        <v>45002</v>
      </c>
      <c r="B894" s="19" t="n">
        <v>1.946406177658653</v>
      </c>
      <c r="C894" s="19" t="n">
        <v>1.534024261282454</v>
      </c>
      <c r="D894" s="19" t="n">
        <v>1.482208966300234</v>
      </c>
      <c r="E894" s="19" t="n">
        <v>1.238542313744016</v>
      </c>
      <c r="F894" s="20">
        <f>B894/B893-1</f>
        <v/>
      </c>
      <c r="G894" s="20">
        <f>B894/MAX(B$2:B894)-1</f>
        <v/>
      </c>
      <c r="H894" s="20">
        <f>C894/C893-1</f>
        <v/>
      </c>
      <c r="I894" s="20">
        <f>C894/MAX(C$2:C894)-1</f>
        <v/>
      </c>
      <c r="J894" s="20">
        <f>D894/D893-1</f>
        <v/>
      </c>
      <c r="K894" s="20">
        <f>D894/MAX(D$2:D894)-1</f>
        <v/>
      </c>
      <c r="L894" s="20">
        <f>E894/E893-1</f>
        <v/>
      </c>
      <c r="M894" s="20">
        <f>E894/MAX(E$2:E894)-1</f>
        <v/>
      </c>
    </row>
    <row r="895">
      <c r="A895" s="11" t="n">
        <v>45005</v>
      </c>
      <c r="B895" s="19" t="n">
        <v>1.93403697239461</v>
      </c>
      <c r="C895" s="19" t="n">
        <v>1.536197093638911</v>
      </c>
      <c r="D895" s="19" t="n">
        <v>1.481076470933772</v>
      </c>
      <c r="E895" s="19" t="n">
        <v>1.23395961121423</v>
      </c>
      <c r="F895" s="20">
        <f>B895/B894-1</f>
        <v/>
      </c>
      <c r="G895" s="20">
        <f>B895/MAX(B$2:B895)-1</f>
        <v/>
      </c>
      <c r="H895" s="20">
        <f>C895/C894-1</f>
        <v/>
      </c>
      <c r="I895" s="20">
        <f>C895/MAX(C$2:C895)-1</f>
        <v/>
      </c>
      <c r="J895" s="20">
        <f>D895/D894-1</f>
        <v/>
      </c>
      <c r="K895" s="20">
        <f>D895/MAX(D$2:D895)-1</f>
        <v/>
      </c>
      <c r="L895" s="20">
        <f>E895/E894-1</f>
        <v/>
      </c>
      <c r="M895" s="20">
        <f>E895/MAX(E$2:E895)-1</f>
        <v/>
      </c>
    </row>
    <row r="896">
      <c r="A896" s="11" t="n">
        <v>45006</v>
      </c>
      <c r="B896" s="19" t="n">
        <v>1.951426882978956</v>
      </c>
      <c r="C896" s="19" t="n">
        <v>1.550828562791142</v>
      </c>
      <c r="D896" s="19" t="n">
        <v>1.510375370031956</v>
      </c>
      <c r="E896" s="19" t="n">
        <v>1.249136093618066</v>
      </c>
      <c r="F896" s="20">
        <f>B896/B895-1</f>
        <v/>
      </c>
      <c r="G896" s="20">
        <f>B896/MAX(B$2:B896)-1</f>
        <v/>
      </c>
      <c r="H896" s="20">
        <f>C896/C895-1</f>
        <v/>
      </c>
      <c r="I896" s="20">
        <f>C896/MAX(C$2:C896)-1</f>
        <v/>
      </c>
      <c r="J896" s="20">
        <f>D896/D895-1</f>
        <v/>
      </c>
      <c r="K896" s="20">
        <f>D896/MAX(D$2:D896)-1</f>
        <v/>
      </c>
      <c r="L896" s="20">
        <f>E896/E895-1</f>
        <v/>
      </c>
      <c r="M896" s="20">
        <f>E896/MAX(E$2:E896)-1</f>
        <v/>
      </c>
    </row>
    <row r="897">
      <c r="A897" s="11" t="n">
        <v>45007</v>
      </c>
      <c r="B897" s="19" t="n">
        <v>1.977193375916249</v>
      </c>
      <c r="C897" s="19" t="n">
        <v>1.578692457376569</v>
      </c>
      <c r="D897" s="19" t="n">
        <v>1.513390231020654</v>
      </c>
      <c r="E897" s="19" t="n">
        <v>1.255005821371314</v>
      </c>
      <c r="F897" s="20">
        <f>B897/B896-1</f>
        <v/>
      </c>
      <c r="G897" s="20">
        <f>B897/MAX(B$2:B897)-1</f>
        <v/>
      </c>
      <c r="H897" s="20">
        <f>C897/C896-1</f>
        <v/>
      </c>
      <c r="I897" s="20">
        <f>C897/MAX(C$2:C897)-1</f>
        <v/>
      </c>
      <c r="J897" s="20">
        <f>D897/D896-1</f>
        <v/>
      </c>
      <c r="K897" s="20">
        <f>D897/MAX(D$2:D897)-1</f>
        <v/>
      </c>
      <c r="L897" s="20">
        <f>E897/E896-1</f>
        <v/>
      </c>
      <c r="M897" s="20">
        <f>E897/MAX(E$2:E897)-1</f>
        <v/>
      </c>
    </row>
    <row r="898">
      <c r="A898" s="11" t="n">
        <v>45008</v>
      </c>
      <c r="B898" s="19" t="n">
        <v>2.011817958820394</v>
      </c>
      <c r="C898" s="19" t="n">
        <v>1.606259813953063</v>
      </c>
      <c r="D898" s="19" t="n">
        <v>1.525982480926743</v>
      </c>
      <c r="E898" s="19" t="n">
        <v>1.263036709976677</v>
      </c>
      <c r="F898" s="20">
        <f>B898/B897-1</f>
        <v/>
      </c>
      <c r="G898" s="20">
        <f>B898/MAX(B$2:B898)-1</f>
        <v/>
      </c>
      <c r="H898" s="20">
        <f>C898/C897-1</f>
        <v/>
      </c>
      <c r="I898" s="20">
        <f>C898/MAX(C$2:C898)-1</f>
        <v/>
      </c>
      <c r="J898" s="20">
        <f>D898/D897-1</f>
        <v/>
      </c>
      <c r="K898" s="20">
        <f>D898/MAX(D$2:D898)-1</f>
        <v/>
      </c>
      <c r="L898" s="20">
        <f>E898/E897-1</f>
        <v/>
      </c>
      <c r="M898" s="20">
        <f>E898/MAX(E$2:E898)-1</f>
        <v/>
      </c>
    </row>
    <row r="899">
      <c r="A899" s="11" t="n">
        <v>45009</v>
      </c>
      <c r="B899" s="19" t="n">
        <v>2.022073368370286</v>
      </c>
      <c r="C899" s="19" t="n">
        <v>1.61331626415981</v>
      </c>
      <c r="D899" s="19" t="n">
        <v>1.531779694012353</v>
      </c>
      <c r="E899" s="19" t="n">
        <v>1.261772003109691</v>
      </c>
      <c r="F899" s="20">
        <f>B899/B898-1</f>
        <v/>
      </c>
      <c r="G899" s="20">
        <f>B899/MAX(B$2:B899)-1</f>
        <v/>
      </c>
      <c r="H899" s="20">
        <f>C899/C898-1</f>
        <v/>
      </c>
      <c r="I899" s="20">
        <f>C899/MAX(C$2:C899)-1</f>
        <v/>
      </c>
      <c r="J899" s="20">
        <f>D899/D898-1</f>
        <v/>
      </c>
      <c r="K899" s="20">
        <f>D899/MAX(D$2:D899)-1</f>
        <v/>
      </c>
      <c r="L899" s="20">
        <f>E899/E898-1</f>
        <v/>
      </c>
      <c r="M899" s="20">
        <f>E899/MAX(E$2:E899)-1</f>
        <v/>
      </c>
    </row>
    <row r="900">
      <c r="A900" s="11" t="n">
        <v>45012</v>
      </c>
      <c r="B900" s="19" t="n">
        <v>2.037374418192833</v>
      </c>
      <c r="C900" s="19" t="n">
        <v>1.620442652122435</v>
      </c>
      <c r="D900" s="19" t="n">
        <v>1.549638483568995</v>
      </c>
      <c r="E900" s="19" t="n">
        <v>1.260637486655483</v>
      </c>
      <c r="F900" s="20">
        <f>B900/B899-1</f>
        <v/>
      </c>
      <c r="G900" s="20">
        <f>B900/MAX(B$2:B900)-1</f>
        <v/>
      </c>
      <c r="H900" s="20">
        <f>C900/C899-1</f>
        <v/>
      </c>
      <c r="I900" s="20">
        <f>C900/MAX(C$2:C900)-1</f>
        <v/>
      </c>
      <c r="J900" s="20">
        <f>D900/D899-1</f>
        <v/>
      </c>
      <c r="K900" s="20">
        <f>D900/MAX(D$2:D900)-1</f>
        <v/>
      </c>
      <c r="L900" s="20">
        <f>E900/E899-1</f>
        <v/>
      </c>
      <c r="M900" s="20">
        <f>E900/MAX(E$2:E900)-1</f>
        <v/>
      </c>
    </row>
    <row r="901">
      <c r="A901" s="11" t="n">
        <v>45013</v>
      </c>
      <c r="B901" s="19" t="n">
        <v>2.003808932629248</v>
      </c>
      <c r="C901" s="19" t="n">
        <v>1.595583243125333</v>
      </c>
      <c r="D901" s="19" t="n">
        <v>1.530999580799005</v>
      </c>
      <c r="E901" s="19" t="n">
        <v>1.253324505183438</v>
      </c>
      <c r="F901" s="20">
        <f>B901/B900-1</f>
        <v/>
      </c>
      <c r="G901" s="20">
        <f>B901/MAX(B$2:B901)-1</f>
        <v/>
      </c>
      <c r="H901" s="20">
        <f>C901/C900-1</f>
        <v/>
      </c>
      <c r="I901" s="20">
        <f>C901/MAX(C$2:C901)-1</f>
        <v/>
      </c>
      <c r="J901" s="20">
        <f>D901/D900-1</f>
        <v/>
      </c>
      <c r="K901" s="20">
        <f>D901/MAX(D$2:D901)-1</f>
        <v/>
      </c>
      <c r="L901" s="20">
        <f>E901/E900-1</f>
        <v/>
      </c>
      <c r="M901" s="20">
        <f>E901/MAX(E$2:E901)-1</f>
        <v/>
      </c>
    </row>
    <row r="902">
      <c r="A902" s="11" t="n">
        <v>45014</v>
      </c>
      <c r="B902" s="19" t="n">
        <v>2.002511650368569</v>
      </c>
      <c r="C902" s="19" t="n">
        <v>1.599552186721302</v>
      </c>
      <c r="D902" s="19" t="n">
        <v>1.532303711411876</v>
      </c>
      <c r="E902" s="19" t="n">
        <v>1.252320179142008</v>
      </c>
      <c r="F902" s="20">
        <f>B902/B901-1</f>
        <v/>
      </c>
      <c r="G902" s="20">
        <f>B902/MAX(B$2:B902)-1</f>
        <v/>
      </c>
      <c r="H902" s="20">
        <f>C902/C901-1</f>
        <v/>
      </c>
      <c r="I902" s="20">
        <f>C902/MAX(C$2:C902)-1</f>
        <v/>
      </c>
      <c r="J902" s="20">
        <f>D902/D901-1</f>
        <v/>
      </c>
      <c r="K902" s="20">
        <f>D902/MAX(D$2:D902)-1</f>
        <v/>
      </c>
      <c r="L902" s="20">
        <f>E902/E901-1</f>
        <v/>
      </c>
      <c r="M902" s="20">
        <f>E902/MAX(E$2:E902)-1</f>
        <v/>
      </c>
    </row>
    <row r="903">
      <c r="A903" s="11" t="n">
        <v>45015</v>
      </c>
      <c r="B903" s="19" t="n">
        <v>1.980828172487172</v>
      </c>
      <c r="C903" s="19" t="n">
        <v>1.591543207367611</v>
      </c>
      <c r="D903" s="19" t="n">
        <v>1.539959444710865</v>
      </c>
      <c r="E903" s="19" t="n">
        <v>1.256954957836905</v>
      </c>
      <c r="F903" s="20">
        <f>B903/B902-1</f>
        <v/>
      </c>
      <c r="G903" s="20">
        <f>B903/MAX(B$2:B903)-1</f>
        <v/>
      </c>
      <c r="H903" s="20">
        <f>C903/C902-1</f>
        <v/>
      </c>
      <c r="I903" s="20">
        <f>C903/MAX(C$2:C903)-1</f>
        <v/>
      </c>
      <c r="J903" s="20">
        <f>D903/D902-1</f>
        <v/>
      </c>
      <c r="K903" s="20">
        <f>D903/MAX(D$2:D903)-1</f>
        <v/>
      </c>
      <c r="L903" s="20">
        <f>E903/E902-1</f>
        <v/>
      </c>
      <c r="M903" s="20">
        <f>E903/MAX(E$2:E903)-1</f>
        <v/>
      </c>
    </row>
    <row r="904">
      <c r="A904" s="11" t="n">
        <v>45016</v>
      </c>
      <c r="B904" s="19" t="n">
        <v>2.022230037577627</v>
      </c>
      <c r="C904" s="19" t="n">
        <v>1.615969521760911</v>
      </c>
      <c r="D904" s="19" t="n">
        <v>1.550599408310752</v>
      </c>
      <c r="E904" s="19" t="n">
        <v>1.265249946993903</v>
      </c>
      <c r="F904" s="20">
        <f>B904/B903-1</f>
        <v/>
      </c>
      <c r="G904" s="20">
        <f>B904/MAX(B$2:B904)-1</f>
        <v/>
      </c>
      <c r="H904" s="20">
        <f>C904/C903-1</f>
        <v/>
      </c>
      <c r="I904" s="20">
        <f>C904/MAX(C$2:C904)-1</f>
        <v/>
      </c>
      <c r="J904" s="20">
        <f>D904/D903-1</f>
        <v/>
      </c>
      <c r="K904" s="20">
        <f>D904/MAX(D$2:D904)-1</f>
        <v/>
      </c>
      <c r="L904" s="20">
        <f>E904/E903-1</f>
        <v/>
      </c>
      <c r="M904" s="20">
        <f>E904/MAX(E$2:E904)-1</f>
        <v/>
      </c>
    </row>
    <row r="905">
      <c r="A905" s="11" t="n">
        <v>45019</v>
      </c>
      <c r="B905" s="19" t="n">
        <v>2.085281092132107</v>
      </c>
      <c r="C905" s="19" t="n">
        <v>1.648239831668383</v>
      </c>
      <c r="D905" s="19" t="n">
        <v>1.576903479148547</v>
      </c>
      <c r="E905" s="19" t="n">
        <v>1.27929563266961</v>
      </c>
      <c r="F905" s="20">
        <f>B905/B904-1</f>
        <v/>
      </c>
      <c r="G905" s="20">
        <f>B905/MAX(B$2:B905)-1</f>
        <v/>
      </c>
      <c r="H905" s="20">
        <f>C905/C904-1</f>
        <v/>
      </c>
      <c r="I905" s="20">
        <f>C905/MAX(C$2:C905)-1</f>
        <v/>
      </c>
      <c r="J905" s="20">
        <f>D905/D904-1</f>
        <v/>
      </c>
      <c r="K905" s="20">
        <f>D905/MAX(D$2:D905)-1</f>
        <v/>
      </c>
      <c r="L905" s="20">
        <f>E905/E904-1</f>
        <v/>
      </c>
      <c r="M905" s="20">
        <f>E905/MAX(E$2:E905)-1</f>
        <v/>
      </c>
    </row>
    <row r="906">
      <c r="A906" s="11" t="n">
        <v>45020</v>
      </c>
      <c r="B906" s="19" t="n">
        <v>2.089412672810793</v>
      </c>
      <c r="C906" s="19" t="n">
        <v>1.647291102440775</v>
      </c>
      <c r="D906" s="19" t="n">
        <v>1.564914602094764</v>
      </c>
      <c r="E906" s="19" t="n">
        <v>1.278142517585005</v>
      </c>
      <c r="F906" s="20">
        <f>B906/B905-1</f>
        <v/>
      </c>
      <c r="G906" s="20">
        <f>B906/MAX(B$2:B906)-1</f>
        <v/>
      </c>
      <c r="H906" s="20">
        <f>C906/C905-1</f>
        <v/>
      </c>
      <c r="I906" s="20">
        <f>C906/MAX(C$2:C906)-1</f>
        <v/>
      </c>
      <c r="J906" s="20">
        <f>D906/D905-1</f>
        <v/>
      </c>
      <c r="K906" s="20">
        <f>D906/MAX(D$2:D906)-1</f>
        <v/>
      </c>
      <c r="L906" s="20">
        <f>E906/E905-1</f>
        <v/>
      </c>
      <c r="M906" s="20">
        <f>E906/MAX(E$2:E906)-1</f>
        <v/>
      </c>
    </row>
    <row r="907">
      <c r="A907" s="11" t="n">
        <v>45022</v>
      </c>
      <c r="B907" s="19" t="n">
        <v>2.099347315554202</v>
      </c>
      <c r="C907" s="19" t="n">
        <v>1.66004464183716</v>
      </c>
      <c r="D907" s="19" t="n">
        <v>1.568089143314591</v>
      </c>
      <c r="E907" s="19" t="n">
        <v>1.278268988271704</v>
      </c>
      <c r="F907" s="20">
        <f>B907/B906-1</f>
        <v/>
      </c>
      <c r="G907" s="20">
        <f>B907/MAX(B$2:B907)-1</f>
        <v/>
      </c>
      <c r="H907" s="20">
        <f>C907/C906-1</f>
        <v/>
      </c>
      <c r="I907" s="20">
        <f>C907/MAX(C$2:C907)-1</f>
        <v/>
      </c>
      <c r="J907" s="20">
        <f>D907/D906-1</f>
        <v/>
      </c>
      <c r="K907" s="20">
        <f>D907/MAX(D$2:D907)-1</f>
        <v/>
      </c>
      <c r="L907" s="20">
        <f>E907/E906-1</f>
        <v/>
      </c>
      <c r="M907" s="20">
        <f>E907/MAX(E$2:E907)-1</f>
        <v/>
      </c>
    </row>
    <row r="908">
      <c r="A908" s="11" t="n">
        <v>45023</v>
      </c>
      <c r="B908" s="19" t="n">
        <v>2.12615372999514</v>
      </c>
      <c r="C908" s="19" t="n">
        <v>1.683662968319014</v>
      </c>
      <c r="D908" s="19" t="n">
        <v>1.581257818822325</v>
      </c>
      <c r="E908" s="19" t="n">
        <v>1.288494515263896</v>
      </c>
      <c r="F908" s="20">
        <f>B908/B907-1</f>
        <v/>
      </c>
      <c r="G908" s="20">
        <f>B908/MAX(B$2:B908)-1</f>
        <v/>
      </c>
      <c r="H908" s="20">
        <f>C908/C907-1</f>
        <v/>
      </c>
      <c r="I908" s="20">
        <f>C908/MAX(C$2:C908)-1</f>
        <v/>
      </c>
      <c r="J908" s="20">
        <f>D908/D907-1</f>
        <v/>
      </c>
      <c r="K908" s="20">
        <f>D908/MAX(D$2:D908)-1</f>
        <v/>
      </c>
      <c r="L908" s="20">
        <f>E908/E907-1</f>
        <v/>
      </c>
      <c r="M908" s="20">
        <f>E908/MAX(E$2:E908)-1</f>
        <v/>
      </c>
    </row>
    <row r="909">
      <c r="A909" s="11" t="n">
        <v>45026</v>
      </c>
      <c r="B909" s="19" t="n">
        <v>2.06493253576466</v>
      </c>
      <c r="C909" s="19" t="n">
        <v>1.657673780773033</v>
      </c>
      <c r="D909" s="19" t="n">
        <v>1.579045107048115</v>
      </c>
      <c r="E909" s="19" t="n">
        <v>1.27805696388518</v>
      </c>
      <c r="F909" s="20">
        <f>B909/B908-1</f>
        <v/>
      </c>
      <c r="G909" s="20">
        <f>B909/MAX(B$2:B909)-1</f>
        <v/>
      </c>
      <c r="H909" s="20">
        <f>C909/C908-1</f>
        <v/>
      </c>
      <c r="I909" s="20">
        <f>C909/MAX(C$2:C909)-1</f>
        <v/>
      </c>
      <c r="J909" s="20">
        <f>D909/D908-1</f>
        <v/>
      </c>
      <c r="K909" s="20">
        <f>D909/MAX(D$2:D909)-1</f>
        <v/>
      </c>
      <c r="L909" s="20">
        <f>E909/E908-1</f>
        <v/>
      </c>
      <c r="M909" s="20">
        <f>E909/MAX(E$2:E909)-1</f>
        <v/>
      </c>
    </row>
    <row r="910">
      <c r="A910" s="11" t="n">
        <v>45027</v>
      </c>
      <c r="B910" s="19" t="n">
        <v>2.06404538282092</v>
      </c>
      <c r="C910" s="19" t="n">
        <v>1.651254899310555</v>
      </c>
      <c r="D910" s="19" t="n">
        <v>1.576379138640503</v>
      </c>
      <c r="E910" s="19" t="n">
        <v>1.27882322745753</v>
      </c>
      <c r="F910" s="20">
        <f>B910/B909-1</f>
        <v/>
      </c>
      <c r="G910" s="20">
        <f>B910/MAX(B$2:B910)-1</f>
        <v/>
      </c>
      <c r="H910" s="20">
        <f>C910/C909-1</f>
        <v/>
      </c>
      <c r="I910" s="20">
        <f>C910/MAX(C$2:C910)-1</f>
        <v/>
      </c>
      <c r="J910" s="20">
        <f>D910/D909-1</f>
        <v/>
      </c>
      <c r="K910" s="20">
        <f>D910/MAX(D$2:D910)-1</f>
        <v/>
      </c>
      <c r="L910" s="20">
        <f>E910/E909-1</f>
        <v/>
      </c>
      <c r="M910" s="20">
        <f>E910/MAX(E$2:E910)-1</f>
        <v/>
      </c>
    </row>
    <row r="911">
      <c r="A911" s="11" t="n">
        <v>45028</v>
      </c>
      <c r="B911" s="19" t="n">
        <v>2.098982281910278</v>
      </c>
      <c r="C911" s="19" t="n">
        <v>1.669455935726529</v>
      </c>
      <c r="D911" s="19" t="n">
        <v>1.569850795593343</v>
      </c>
      <c r="E911" s="19" t="n">
        <v>1.28278845545814</v>
      </c>
      <c r="F911" s="20">
        <f>B911/B910-1</f>
        <v/>
      </c>
      <c r="G911" s="20">
        <f>B911/MAX(B$2:B911)-1</f>
        <v/>
      </c>
      <c r="H911" s="20">
        <f>C911/C910-1</f>
        <v/>
      </c>
      <c r="I911" s="20">
        <f>C911/MAX(C$2:C911)-1</f>
        <v/>
      </c>
      <c r="J911" s="20">
        <f>D911/D910-1</f>
        <v/>
      </c>
      <c r="K911" s="20">
        <f>D911/MAX(D$2:D911)-1</f>
        <v/>
      </c>
      <c r="L911" s="20">
        <f>E911/E910-1</f>
        <v/>
      </c>
      <c r="M911" s="20">
        <f>E911/MAX(E$2:E911)-1</f>
        <v/>
      </c>
    </row>
    <row r="912">
      <c r="A912" s="11" t="n">
        <v>45029</v>
      </c>
      <c r="B912" s="19" t="n">
        <v>2.047631244077315</v>
      </c>
      <c r="C912" s="19" t="n">
        <v>1.637993758031238</v>
      </c>
      <c r="D912" s="19" t="n">
        <v>1.554643434560864</v>
      </c>
      <c r="E912" s="19" t="n">
        <v>1.274192168488713</v>
      </c>
      <c r="F912" s="20">
        <f>B912/B911-1</f>
        <v/>
      </c>
      <c r="G912" s="20">
        <f>B912/MAX(B$2:B912)-1</f>
        <v/>
      </c>
      <c r="H912" s="20">
        <f>C912/C911-1</f>
        <v/>
      </c>
      <c r="I912" s="20">
        <f>C912/MAX(C$2:C912)-1</f>
        <v/>
      </c>
      <c r="J912" s="20">
        <f>D912/D911-1</f>
        <v/>
      </c>
      <c r="K912" s="20">
        <f>D912/MAX(D$2:D912)-1</f>
        <v/>
      </c>
      <c r="L912" s="20">
        <f>E912/E911-1</f>
        <v/>
      </c>
      <c r="M912" s="20">
        <f>E912/MAX(E$2:E912)-1</f>
        <v/>
      </c>
    </row>
    <row r="913">
      <c r="A913" s="11" t="n">
        <v>45030</v>
      </c>
      <c r="B913" s="19" t="n">
        <v>2.058394585624752</v>
      </c>
      <c r="C913" s="19" t="n">
        <v>1.648220399169501</v>
      </c>
      <c r="D913" s="19" t="n">
        <v>1.569073396491572</v>
      </c>
      <c r="E913" s="19" t="n">
        <v>1.281456793521725</v>
      </c>
      <c r="F913" s="20">
        <f>B913/B912-1</f>
        <v/>
      </c>
      <c r="G913" s="20">
        <f>B913/MAX(B$2:B913)-1</f>
        <v/>
      </c>
      <c r="H913" s="20">
        <f>C913/C912-1</f>
        <v/>
      </c>
      <c r="I913" s="20">
        <f>C913/MAX(C$2:C913)-1</f>
        <v/>
      </c>
      <c r="J913" s="20">
        <f>D913/D912-1</f>
        <v/>
      </c>
      <c r="K913" s="20">
        <f>D913/MAX(D$2:D913)-1</f>
        <v/>
      </c>
      <c r="L913" s="20">
        <f>E913/E912-1</f>
        <v/>
      </c>
      <c r="M913" s="20">
        <f>E913/MAX(E$2:E913)-1</f>
        <v/>
      </c>
    </row>
    <row r="914">
      <c r="A914" s="11" t="n">
        <v>45033</v>
      </c>
      <c r="B914" s="19" t="n">
        <v>2.042729202549788</v>
      </c>
      <c r="C914" s="19" t="n">
        <v>1.647859984035529</v>
      </c>
      <c r="D914" s="19" t="n">
        <v>1.573177714791721</v>
      </c>
      <c r="E914" s="19" t="n">
        <v>1.290172111725693</v>
      </c>
      <c r="F914" s="20">
        <f>B914/B913-1</f>
        <v/>
      </c>
      <c r="G914" s="20">
        <f>B914/MAX(B$2:B914)-1</f>
        <v/>
      </c>
      <c r="H914" s="20">
        <f>C914/C913-1</f>
        <v/>
      </c>
      <c r="I914" s="20">
        <f>C914/MAX(C$2:C914)-1</f>
        <v/>
      </c>
      <c r="J914" s="20">
        <f>D914/D913-1</f>
        <v/>
      </c>
      <c r="K914" s="20">
        <f>D914/MAX(D$2:D914)-1</f>
        <v/>
      </c>
      <c r="L914" s="20">
        <f>E914/E913-1</f>
        <v/>
      </c>
      <c r="M914" s="20">
        <f>E914/MAX(E$2:E914)-1</f>
        <v/>
      </c>
    </row>
    <row r="915">
      <c r="A915" s="11" t="n">
        <v>45034</v>
      </c>
      <c r="B915" s="19" t="n">
        <v>2.058807807643124</v>
      </c>
      <c r="C915" s="19" t="n">
        <v>1.655296907178312</v>
      </c>
      <c r="D915" s="19" t="n">
        <v>1.571017992814971</v>
      </c>
      <c r="E915" s="19" t="n">
        <v>1.289785260213438</v>
      </c>
      <c r="F915" s="20">
        <f>B915/B914-1</f>
        <v/>
      </c>
      <c r="G915" s="20">
        <f>B915/MAX(B$2:B915)-1</f>
        <v/>
      </c>
      <c r="H915" s="20">
        <f>C915/C914-1</f>
        <v/>
      </c>
      <c r="I915" s="20">
        <f>C915/MAX(C$2:C915)-1</f>
        <v/>
      </c>
      <c r="J915" s="20">
        <f>D915/D914-1</f>
        <v/>
      </c>
      <c r="K915" s="20">
        <f>D915/MAX(D$2:D915)-1</f>
        <v/>
      </c>
      <c r="L915" s="20">
        <f>E915/E914-1</f>
        <v/>
      </c>
      <c r="M915" s="20">
        <f>E915/MAX(E$2:E915)-1</f>
        <v/>
      </c>
    </row>
    <row r="916">
      <c r="A916" s="11" t="n">
        <v>45035</v>
      </c>
      <c r="B916" s="19" t="n">
        <v>2.046280713622654</v>
      </c>
      <c r="C916" s="19" t="n">
        <v>1.643898736478721</v>
      </c>
      <c r="D916" s="19" t="n">
        <v>1.561105540361198</v>
      </c>
      <c r="E916" s="19" t="n">
        <v>1.281661378456091</v>
      </c>
      <c r="F916" s="20">
        <f>B916/B915-1</f>
        <v/>
      </c>
      <c r="G916" s="20">
        <f>B916/MAX(B$2:B916)-1</f>
        <v/>
      </c>
      <c r="H916" s="20">
        <f>C916/C915-1</f>
        <v/>
      </c>
      <c r="I916" s="20">
        <f>C916/MAX(C$2:C916)-1</f>
        <v/>
      </c>
      <c r="J916" s="20">
        <f>D916/D915-1</f>
        <v/>
      </c>
      <c r="K916" s="20">
        <f>D916/MAX(D$2:D916)-1</f>
        <v/>
      </c>
      <c r="L916" s="20">
        <f>E916/E915-1</f>
        <v/>
      </c>
      <c r="M916" s="20">
        <f>E916/MAX(E$2:E916)-1</f>
        <v/>
      </c>
    </row>
    <row r="917">
      <c r="A917" s="11" t="n">
        <v>45036</v>
      </c>
      <c r="B917" s="19" t="n">
        <v>2.082128738550126</v>
      </c>
      <c r="C917" s="19" t="n">
        <v>1.660267009268677</v>
      </c>
      <c r="D917" s="19" t="n">
        <v>1.542309348363135</v>
      </c>
      <c r="E917" s="19" t="n">
        <v>1.278968296774626</v>
      </c>
      <c r="F917" s="20">
        <f>B917/B916-1</f>
        <v/>
      </c>
      <c r="G917" s="20">
        <f>B917/MAX(B$2:B917)-1</f>
        <v/>
      </c>
      <c r="H917" s="20">
        <f>C917/C916-1</f>
        <v/>
      </c>
      <c r="I917" s="20">
        <f>C917/MAX(C$2:C917)-1</f>
        <v/>
      </c>
      <c r="J917" s="20">
        <f>D917/D916-1</f>
        <v/>
      </c>
      <c r="K917" s="20">
        <f>D917/MAX(D$2:D917)-1</f>
        <v/>
      </c>
      <c r="L917" s="20">
        <f>E917/E916-1</f>
        <v/>
      </c>
      <c r="M917" s="20">
        <f>E917/MAX(E$2:E917)-1</f>
        <v/>
      </c>
    </row>
    <row r="918">
      <c r="A918" s="11" t="n">
        <v>45037</v>
      </c>
      <c r="B918" s="19" t="n">
        <v>2.002967055420422</v>
      </c>
      <c r="C918" s="19" t="n">
        <v>1.612791730990723</v>
      </c>
      <c r="D918" s="19" t="n">
        <v>1.512917458632578</v>
      </c>
      <c r="E918" s="19" t="n">
        <v>1.249039380740002</v>
      </c>
      <c r="F918" s="20">
        <f>B918/B917-1</f>
        <v/>
      </c>
      <c r="G918" s="20">
        <f>B918/MAX(B$2:B918)-1</f>
        <v/>
      </c>
      <c r="H918" s="20">
        <f>C918/C917-1</f>
        <v/>
      </c>
      <c r="I918" s="20">
        <f>C918/MAX(C$2:C918)-1</f>
        <v/>
      </c>
      <c r="J918" s="20">
        <f>D918/D917-1</f>
        <v/>
      </c>
      <c r="K918" s="20">
        <f>D918/MAX(D$2:D918)-1</f>
        <v/>
      </c>
      <c r="L918" s="20">
        <f>E918/E917-1</f>
        <v/>
      </c>
      <c r="M918" s="20">
        <f>E918/MAX(E$2:E918)-1</f>
        <v/>
      </c>
    </row>
    <row r="919">
      <c r="A919" s="11" t="n">
        <v>45040</v>
      </c>
      <c r="B919" s="19" t="n">
        <v>1.990715188995307</v>
      </c>
      <c r="C919" s="19" t="n">
        <v>1.601774802831084</v>
      </c>
      <c r="D919" s="19" t="n">
        <v>1.487099472253928</v>
      </c>
      <c r="E919" s="19" t="n">
        <v>1.237422676194125</v>
      </c>
      <c r="F919" s="20">
        <f>B919/B918-1</f>
        <v/>
      </c>
      <c r="G919" s="20">
        <f>B919/MAX(B$2:B919)-1</f>
        <v/>
      </c>
      <c r="H919" s="20">
        <f>C919/C918-1</f>
        <v/>
      </c>
      <c r="I919" s="20">
        <f>C919/MAX(C$2:C919)-1</f>
        <v/>
      </c>
      <c r="J919" s="20">
        <f>D919/D918-1</f>
        <v/>
      </c>
      <c r="K919" s="20">
        <f>D919/MAX(D$2:D919)-1</f>
        <v/>
      </c>
      <c r="L919" s="20">
        <f>E919/E918-1</f>
        <v/>
      </c>
      <c r="M919" s="20">
        <f>E919/MAX(E$2:E919)-1</f>
        <v/>
      </c>
    </row>
    <row r="920">
      <c r="A920" s="11" t="n">
        <v>45041</v>
      </c>
      <c r="B920" s="19" t="n">
        <v>1.951355397767331</v>
      </c>
      <c r="C920" s="19" t="n">
        <v>1.569598625102604</v>
      </c>
      <c r="D920" s="19" t="n">
        <v>1.459929082849355</v>
      </c>
      <c r="E920" s="19" t="n">
        <v>1.222696280645893</v>
      </c>
      <c r="F920" s="20">
        <f>B920/B919-1</f>
        <v/>
      </c>
      <c r="G920" s="20">
        <f>B920/MAX(B$2:B920)-1</f>
        <v/>
      </c>
      <c r="H920" s="20">
        <f>C920/C919-1</f>
        <v/>
      </c>
      <c r="I920" s="20">
        <f>C920/MAX(C$2:C920)-1</f>
        <v/>
      </c>
      <c r="J920" s="20">
        <f>D920/D919-1</f>
        <v/>
      </c>
      <c r="K920" s="20">
        <f>D920/MAX(D$2:D920)-1</f>
        <v/>
      </c>
      <c r="L920" s="20">
        <f>E920/E919-1</f>
        <v/>
      </c>
      <c r="M920" s="20">
        <f>E920/MAX(E$2:E920)-1</f>
        <v/>
      </c>
    </row>
    <row r="921">
      <c r="A921" s="11" t="n">
        <v>45042</v>
      </c>
      <c r="B921" s="19" t="n">
        <v>1.914653204771556</v>
      </c>
      <c r="C921" s="19" t="n">
        <v>1.556221562233419</v>
      </c>
      <c r="D921" s="19" t="n">
        <v>1.482458664565341</v>
      </c>
      <c r="E921" s="19" t="n">
        <v>1.225876646443756</v>
      </c>
      <c r="F921" s="20">
        <f>B921/B920-1</f>
        <v/>
      </c>
      <c r="G921" s="20">
        <f>B921/MAX(B$2:B921)-1</f>
        <v/>
      </c>
      <c r="H921" s="20">
        <f>C921/C920-1</f>
        <v/>
      </c>
      <c r="I921" s="20">
        <f>C921/MAX(C$2:C921)-1</f>
        <v/>
      </c>
      <c r="J921" s="20">
        <f>D921/D920-1</f>
        <v/>
      </c>
      <c r="K921" s="20">
        <f>D921/MAX(D$2:D921)-1</f>
        <v/>
      </c>
      <c r="L921" s="20">
        <f>E921/E920-1</f>
        <v/>
      </c>
      <c r="M921" s="20">
        <f>E921/MAX(E$2:E921)-1</f>
        <v/>
      </c>
    </row>
    <row r="922">
      <c r="A922" s="11" t="n">
        <v>45043</v>
      </c>
      <c r="B922" s="19" t="n">
        <v>1.89925368350621</v>
      </c>
      <c r="C922" s="19" t="n">
        <v>1.549716244631111</v>
      </c>
      <c r="D922" s="19" t="n">
        <v>1.49099758269591</v>
      </c>
      <c r="E922" s="19" t="n">
        <v>1.229678206496874</v>
      </c>
      <c r="F922" s="20">
        <f>B922/B921-1</f>
        <v/>
      </c>
      <c r="G922" s="20">
        <f>B922/MAX(B$2:B922)-1</f>
        <v/>
      </c>
      <c r="H922" s="20">
        <f>C922/C921-1</f>
        <v/>
      </c>
      <c r="I922" s="20">
        <f>C922/MAX(C$2:C922)-1</f>
        <v/>
      </c>
      <c r="J922" s="20">
        <f>D922/D921-1</f>
        <v/>
      </c>
      <c r="K922" s="20">
        <f>D922/MAX(D$2:D922)-1</f>
        <v/>
      </c>
      <c r="L922" s="20">
        <f>E922/E921-1</f>
        <v/>
      </c>
      <c r="M922" s="20">
        <f>E922/MAX(E$2:E922)-1</f>
        <v/>
      </c>
    </row>
    <row r="923">
      <c r="A923" s="11" t="n">
        <v>45044</v>
      </c>
      <c r="B923" s="19" t="n">
        <v>1.951042454394198</v>
      </c>
      <c r="C923" s="19" t="n">
        <v>1.578490003446382</v>
      </c>
      <c r="D923" s="19" t="n">
        <v>1.50227058051034</v>
      </c>
      <c r="E923" s="19" t="n">
        <v>1.246156593028489</v>
      </c>
      <c r="F923" s="20">
        <f>B923/B922-1</f>
        <v/>
      </c>
      <c r="G923" s="20">
        <f>B923/MAX(B$2:B923)-1</f>
        <v/>
      </c>
      <c r="H923" s="20">
        <f>C923/C922-1</f>
        <v/>
      </c>
      <c r="I923" s="20">
        <f>C923/MAX(C$2:C923)-1</f>
        <v/>
      </c>
      <c r="J923" s="20">
        <f>D923/D922-1</f>
        <v/>
      </c>
      <c r="K923" s="20">
        <f>D923/MAX(D$2:D923)-1</f>
        <v/>
      </c>
      <c r="L923" s="20">
        <f>E923/E922-1</f>
        <v/>
      </c>
      <c r="M923" s="20">
        <f>E923/MAX(E$2:E923)-1</f>
        <v/>
      </c>
    </row>
    <row r="924">
      <c r="A924" s="11" t="n">
        <v>45050</v>
      </c>
      <c r="B924" s="19" t="n">
        <v>1.912683629669324</v>
      </c>
      <c r="C924" s="19" t="n">
        <v>1.556738639864569</v>
      </c>
      <c r="D924" s="19" t="n">
        <v>1.484793446738824</v>
      </c>
      <c r="E924" s="19" t="n">
        <v>1.24839958785435</v>
      </c>
      <c r="F924" s="20">
        <f>B924/B923-1</f>
        <v/>
      </c>
      <c r="G924" s="20">
        <f>B924/MAX(B$2:B924)-1</f>
        <v/>
      </c>
      <c r="H924" s="20">
        <f>C924/C923-1</f>
        <v/>
      </c>
      <c r="I924" s="20">
        <f>C924/MAX(C$2:C924)-1</f>
        <v/>
      </c>
      <c r="J924" s="20">
        <f>D924/D923-1</f>
        <v/>
      </c>
      <c r="K924" s="20">
        <f>D924/MAX(D$2:D924)-1</f>
        <v/>
      </c>
      <c r="L924" s="20">
        <f>E924/E923-1</f>
        <v/>
      </c>
      <c r="M924" s="20">
        <f>E924/MAX(E$2:E924)-1</f>
        <v/>
      </c>
    </row>
    <row r="925">
      <c r="A925" s="11" t="n">
        <v>45051</v>
      </c>
      <c r="B925" s="19" t="n">
        <v>1.88357931418698</v>
      </c>
      <c r="C925" s="19" t="n">
        <v>1.531733871927807</v>
      </c>
      <c r="D925" s="19" t="n">
        <v>1.465382379225104</v>
      </c>
      <c r="E925" s="19" t="n">
        <v>1.240033923901844</v>
      </c>
      <c r="F925" s="20">
        <f>B925/B924-1</f>
        <v/>
      </c>
      <c r="G925" s="20">
        <f>B925/MAX(B$2:B925)-1</f>
        <v/>
      </c>
      <c r="H925" s="20">
        <f>C925/C924-1</f>
        <v/>
      </c>
      <c r="I925" s="20">
        <f>C925/MAX(C$2:C925)-1</f>
        <v/>
      </c>
      <c r="J925" s="20">
        <f>D925/D924-1</f>
        <v/>
      </c>
      <c r="K925" s="20">
        <f>D925/MAX(D$2:D925)-1</f>
        <v/>
      </c>
      <c r="L925" s="20">
        <f>E925/E924-1</f>
        <v/>
      </c>
      <c r="M925" s="20">
        <f>E925/MAX(E$2:E925)-1</f>
        <v/>
      </c>
    </row>
    <row r="926">
      <c r="A926" s="11" t="n">
        <v>45054</v>
      </c>
      <c r="B926" s="19" t="n">
        <v>1.903834503634771</v>
      </c>
      <c r="C926" s="19" t="n">
        <v>1.542464699831625</v>
      </c>
      <c r="D926" s="19" t="n">
        <v>1.469110146854762</v>
      </c>
      <c r="E926" s="19" t="n">
        <v>1.251442323787276</v>
      </c>
      <c r="F926" s="20">
        <f>B926/B925-1</f>
        <v/>
      </c>
      <c r="G926" s="20">
        <f>B926/MAX(B$2:B926)-1</f>
        <v/>
      </c>
      <c r="H926" s="20">
        <f>C926/C925-1</f>
        <v/>
      </c>
      <c r="I926" s="20">
        <f>C926/MAX(C$2:C926)-1</f>
        <v/>
      </c>
      <c r="J926" s="20">
        <f>D926/D925-1</f>
        <v/>
      </c>
      <c r="K926" s="20">
        <f>D926/MAX(D$2:D926)-1</f>
        <v/>
      </c>
      <c r="L926" s="20">
        <f>E926/E925-1</f>
        <v/>
      </c>
      <c r="M926" s="20">
        <f>E926/MAX(E$2:E926)-1</f>
        <v/>
      </c>
    </row>
    <row r="927">
      <c r="A927" s="11" t="n">
        <v>45055</v>
      </c>
      <c r="B927" s="19" t="n">
        <v>1.882545697345366</v>
      </c>
      <c r="C927" s="19" t="n">
        <v>1.524594881701056</v>
      </c>
      <c r="D927" s="19" t="n">
        <v>1.451289290238498</v>
      </c>
      <c r="E927" s="19" t="n">
        <v>1.237050703586188</v>
      </c>
      <c r="F927" s="20">
        <f>B927/B926-1</f>
        <v/>
      </c>
      <c r="G927" s="20">
        <f>B927/MAX(B$2:B927)-1</f>
        <v/>
      </c>
      <c r="H927" s="20">
        <f>C927/C926-1</f>
        <v/>
      </c>
      <c r="I927" s="20">
        <f>C927/MAX(C$2:C927)-1</f>
        <v/>
      </c>
      <c r="J927" s="20">
        <f>D927/D926-1</f>
        <v/>
      </c>
      <c r="K927" s="20">
        <f>D927/MAX(D$2:D927)-1</f>
        <v/>
      </c>
      <c r="L927" s="20">
        <f>E927/E926-1</f>
        <v/>
      </c>
      <c r="M927" s="20">
        <f>E927/MAX(E$2:E927)-1</f>
        <v/>
      </c>
    </row>
    <row r="928">
      <c r="A928" s="11" t="n">
        <v>45056</v>
      </c>
      <c r="B928" s="19" t="n">
        <v>1.872720680573341</v>
      </c>
      <c r="C928" s="19" t="n">
        <v>1.522829121715986</v>
      </c>
      <c r="D928" s="19" t="n">
        <v>1.461883437050092</v>
      </c>
      <c r="E928" s="19" t="n">
        <v>1.233587638606293</v>
      </c>
      <c r="F928" s="20">
        <f>B928/B927-1</f>
        <v/>
      </c>
      <c r="G928" s="20">
        <f>B928/MAX(B$2:B928)-1</f>
        <v/>
      </c>
      <c r="H928" s="20">
        <f>C928/C927-1</f>
        <v/>
      </c>
      <c r="I928" s="20">
        <f>C928/MAX(C$2:C928)-1</f>
        <v/>
      </c>
      <c r="J928" s="20">
        <f>D928/D927-1</f>
        <v/>
      </c>
      <c r="K928" s="20">
        <f>D928/MAX(D$2:D928)-1</f>
        <v/>
      </c>
      <c r="L928" s="20">
        <f>E928/E927-1</f>
        <v/>
      </c>
      <c r="M928" s="20">
        <f>E928/MAX(E$2:E928)-1</f>
        <v/>
      </c>
    </row>
    <row r="929">
      <c r="A929" s="11" t="n">
        <v>45057</v>
      </c>
      <c r="B929" s="19" t="n">
        <v>1.863242308409713</v>
      </c>
      <c r="C929" s="19" t="n">
        <v>1.514741065559912</v>
      </c>
      <c r="D929" s="19" t="n">
        <v>1.471159107230477</v>
      </c>
      <c r="E929" s="19" t="n">
        <v>1.233710389566912</v>
      </c>
      <c r="F929" s="20">
        <f>B929/B928-1</f>
        <v/>
      </c>
      <c r="G929" s="20">
        <f>B929/MAX(B$2:B929)-1</f>
        <v/>
      </c>
      <c r="H929" s="20">
        <f>C929/C928-1</f>
        <v/>
      </c>
      <c r="I929" s="20">
        <f>C929/MAX(C$2:C929)-1</f>
        <v/>
      </c>
      <c r="J929" s="20">
        <f>D929/D928-1</f>
        <v/>
      </c>
      <c r="K929" s="20">
        <f>D929/MAX(D$2:D929)-1</f>
        <v/>
      </c>
      <c r="L929" s="20">
        <f>E929/E928-1</f>
        <v/>
      </c>
      <c r="M929" s="20">
        <f>E929/MAX(E$2:E929)-1</f>
        <v/>
      </c>
    </row>
    <row r="930">
      <c r="A930" s="11" t="n">
        <v>45058</v>
      </c>
      <c r="B930" s="19" t="n">
        <v>1.848590850379779</v>
      </c>
      <c r="C930" s="19" t="n">
        <v>1.501141779559945</v>
      </c>
      <c r="D930" s="19" t="n">
        <v>1.455526341519116</v>
      </c>
      <c r="E930" s="19" t="n">
        <v>1.218783128810395</v>
      </c>
      <c r="F930" s="20">
        <f>B930/B929-1</f>
        <v/>
      </c>
      <c r="G930" s="20">
        <f>B930/MAX(B$2:B930)-1</f>
        <v/>
      </c>
      <c r="H930" s="20">
        <f>C930/C929-1</f>
        <v/>
      </c>
      <c r="I930" s="20">
        <f>C930/MAX(C$2:C930)-1</f>
        <v/>
      </c>
      <c r="J930" s="20">
        <f>D930/D929-1</f>
        <v/>
      </c>
      <c r="K930" s="20">
        <f>D930/MAX(D$2:D930)-1</f>
        <v/>
      </c>
      <c r="L930" s="20">
        <f>E930/E929-1</f>
        <v/>
      </c>
      <c r="M930" s="20">
        <f>E930/MAX(E$2:E930)-1</f>
        <v/>
      </c>
    </row>
    <row r="931">
      <c r="A931" s="11" t="n">
        <v>45061</v>
      </c>
      <c r="B931" s="19" t="n">
        <v>1.869028979096692</v>
      </c>
      <c r="C931" s="19" t="n">
        <v>1.526192146528738</v>
      </c>
      <c r="D931" s="19" t="n">
        <v>1.486254155741021</v>
      </c>
      <c r="E931" s="19" t="n">
        <v>1.233531842715103</v>
      </c>
      <c r="F931" s="20">
        <f>B931/B930-1</f>
        <v/>
      </c>
      <c r="G931" s="20">
        <f>B931/MAX(B$2:B931)-1</f>
        <v/>
      </c>
      <c r="H931" s="20">
        <f>C931/C930-1</f>
        <v/>
      </c>
      <c r="I931" s="20">
        <f>C931/MAX(C$2:C931)-1</f>
        <v/>
      </c>
      <c r="J931" s="20">
        <f>D931/D930-1</f>
        <v/>
      </c>
      <c r="K931" s="20">
        <f>D931/MAX(D$2:D931)-1</f>
        <v/>
      </c>
      <c r="L931" s="20">
        <f>E931/E930-1</f>
        <v/>
      </c>
      <c r="M931" s="20">
        <f>E931/MAX(E$2:E931)-1</f>
        <v/>
      </c>
    </row>
    <row r="932">
      <c r="A932" s="11" t="n">
        <v>45062</v>
      </c>
      <c r="B932" s="19" t="n">
        <v>1.848437032676753</v>
      </c>
      <c r="C932" s="19" t="n">
        <v>1.519962828130851</v>
      </c>
      <c r="D932" s="19" t="n">
        <v>1.482545903866039</v>
      </c>
      <c r="E932" s="19" t="n">
        <v>1.22514386040612</v>
      </c>
      <c r="F932" s="20">
        <f>B932/B931-1</f>
        <v/>
      </c>
      <c r="G932" s="20">
        <f>B932/MAX(B$2:B932)-1</f>
        <v/>
      </c>
      <c r="H932" s="20">
        <f>C932/C931-1</f>
        <v/>
      </c>
      <c r="I932" s="20">
        <f>C932/MAX(C$2:C932)-1</f>
        <v/>
      </c>
      <c r="J932" s="20">
        <f>D932/D931-1</f>
        <v/>
      </c>
      <c r="K932" s="20">
        <f>D932/MAX(D$2:D932)-1</f>
        <v/>
      </c>
      <c r="L932" s="20">
        <f>E932/E931-1</f>
        <v/>
      </c>
      <c r="M932" s="20">
        <f>E932/MAX(E$2:E932)-1</f>
        <v/>
      </c>
    </row>
    <row r="933">
      <c r="A933" s="11" t="n">
        <v>45063</v>
      </c>
      <c r="B933" s="19" t="n">
        <v>1.862284984902407</v>
      </c>
      <c r="C933" s="19" t="n">
        <v>1.524509599967099</v>
      </c>
      <c r="D933" s="19" t="n">
        <v>1.482192100035432</v>
      </c>
      <c r="E933" s="19" t="n">
        <v>1.226490401246852</v>
      </c>
      <c r="F933" s="20">
        <f>B933/B932-1</f>
        <v/>
      </c>
      <c r="G933" s="20">
        <f>B933/MAX(B$2:B933)-1</f>
        <v/>
      </c>
      <c r="H933" s="20">
        <f>C933/C932-1</f>
        <v/>
      </c>
      <c r="I933" s="20">
        <f>C933/MAX(C$2:C933)-1</f>
        <v/>
      </c>
      <c r="J933" s="20">
        <f>D933/D932-1</f>
        <v/>
      </c>
      <c r="K933" s="20">
        <f>D933/MAX(D$2:D933)-1</f>
        <v/>
      </c>
      <c r="L933" s="20">
        <f>E933/E932-1</f>
        <v/>
      </c>
      <c r="M933" s="20">
        <f>E933/MAX(E$2:E933)-1</f>
        <v/>
      </c>
    </row>
    <row r="934">
      <c r="A934" s="11" t="n">
        <v>45064</v>
      </c>
      <c r="B934" s="19" t="n">
        <v>1.897242871214211</v>
      </c>
      <c r="C934" s="19" t="n">
        <v>1.536726965935166</v>
      </c>
      <c r="D934" s="19" t="n">
        <v>1.472065555875577</v>
      </c>
      <c r="E934" s="19" t="n">
        <v>1.228699918537999</v>
      </c>
      <c r="F934" s="20">
        <f>B934/B933-1</f>
        <v/>
      </c>
      <c r="G934" s="20">
        <f>B934/MAX(B$2:B934)-1</f>
        <v/>
      </c>
      <c r="H934" s="20">
        <f>C934/C933-1</f>
        <v/>
      </c>
      <c r="I934" s="20">
        <f>C934/MAX(C$2:C934)-1</f>
        <v/>
      </c>
      <c r="J934" s="20">
        <f>D934/D933-1</f>
        <v/>
      </c>
      <c r="K934" s="20">
        <f>D934/MAX(D$2:D934)-1</f>
        <v/>
      </c>
      <c r="L934" s="20">
        <f>E934/E933-1</f>
        <v/>
      </c>
      <c r="M934" s="20">
        <f>E934/MAX(E$2:E934)-1</f>
        <v/>
      </c>
    </row>
    <row r="935">
      <c r="A935" s="11" t="n">
        <v>45065</v>
      </c>
      <c r="B935" s="19" t="n">
        <v>1.902232124249709</v>
      </c>
      <c r="C935" s="19" t="n">
        <v>1.536690986952087</v>
      </c>
      <c r="D935" s="19" t="n">
        <v>1.472460459110067</v>
      </c>
      <c r="E935" s="19" t="n">
        <v>1.227595159892426</v>
      </c>
      <c r="F935" s="20">
        <f>B935/B934-1</f>
        <v/>
      </c>
      <c r="G935" s="20">
        <f>B935/MAX(B$2:B935)-1</f>
        <v/>
      </c>
      <c r="H935" s="20">
        <f>C935/C934-1</f>
        <v/>
      </c>
      <c r="I935" s="20">
        <f>C935/MAX(C$2:C935)-1</f>
        <v/>
      </c>
      <c r="J935" s="20">
        <f>D935/D934-1</f>
        <v/>
      </c>
      <c r="K935" s="20">
        <f>D935/MAX(D$2:D935)-1</f>
        <v/>
      </c>
      <c r="L935" s="20">
        <f>E935/E934-1</f>
        <v/>
      </c>
      <c r="M935" s="20">
        <f>E935/MAX(E$2:E935)-1</f>
        <v/>
      </c>
    </row>
    <row r="936">
      <c r="A936" s="11" t="n">
        <v>45068</v>
      </c>
      <c r="B936" s="19" t="n">
        <v>1.88231535473068</v>
      </c>
      <c r="C936" s="19" t="n">
        <v>1.531344789047959</v>
      </c>
      <c r="D936" s="19" t="n">
        <v>1.473472241133046</v>
      </c>
      <c r="E936" s="19" t="n">
        <v>1.232014194474719</v>
      </c>
      <c r="F936" s="20">
        <f>B936/B935-1</f>
        <v/>
      </c>
      <c r="G936" s="20">
        <f>B936/MAX(B$2:B936)-1</f>
        <v/>
      </c>
      <c r="H936" s="20">
        <f>C936/C935-1</f>
        <v/>
      </c>
      <c r="I936" s="20">
        <f>C936/MAX(C$2:C936)-1</f>
        <v/>
      </c>
      <c r="J936" s="20">
        <f>D936/D935-1</f>
        <v/>
      </c>
      <c r="K936" s="20">
        <f>D936/MAX(D$2:D936)-1</f>
        <v/>
      </c>
      <c r="L936" s="20">
        <f>E936/E935-1</f>
        <v/>
      </c>
      <c r="M936" s="20">
        <f>E936/MAX(E$2:E936)-1</f>
        <v/>
      </c>
    </row>
    <row r="937">
      <c r="A937" s="11" t="n">
        <v>45069</v>
      </c>
      <c r="B937" s="19" t="n">
        <v>1.858239913366647</v>
      </c>
      <c r="C937" s="19" t="n">
        <v>1.517925590364366</v>
      </c>
      <c r="D937" s="19" t="n">
        <v>1.456140635439434</v>
      </c>
      <c r="E937" s="19" t="n">
        <v>1.217228283309217</v>
      </c>
      <c r="F937" s="20">
        <f>B937/B936-1</f>
        <v/>
      </c>
      <c r="G937" s="20">
        <f>B937/MAX(B$2:B937)-1</f>
        <v/>
      </c>
      <c r="H937" s="20">
        <f>C937/C936-1</f>
        <v/>
      </c>
      <c r="I937" s="20">
        <f>C937/MAX(C$2:C937)-1</f>
        <v/>
      </c>
      <c r="J937" s="20">
        <f>D937/D936-1</f>
        <v/>
      </c>
      <c r="K937" s="20">
        <f>D937/MAX(D$2:D937)-1</f>
        <v/>
      </c>
      <c r="L937" s="20">
        <f>E937/E936-1</f>
        <v/>
      </c>
      <c r="M937" s="20">
        <f>E937/MAX(E$2:E937)-1</f>
        <v/>
      </c>
    </row>
    <row r="938">
      <c r="A938" s="11" t="n">
        <v>45070</v>
      </c>
      <c r="B938" s="19" t="n">
        <v>1.850622392766596</v>
      </c>
      <c r="C938" s="19" t="n">
        <v>1.507637573313792</v>
      </c>
      <c r="D938" s="19" t="n">
        <v>1.450923079040681</v>
      </c>
      <c r="E938" s="19" t="n">
        <v>1.207735542354661</v>
      </c>
      <c r="F938" s="20">
        <f>B938/B937-1</f>
        <v/>
      </c>
      <c r="G938" s="20">
        <f>B938/MAX(B$2:B938)-1</f>
        <v/>
      </c>
      <c r="H938" s="20">
        <f>C938/C937-1</f>
        <v/>
      </c>
      <c r="I938" s="20">
        <f>C938/MAX(C$2:C938)-1</f>
        <v/>
      </c>
      <c r="J938" s="20">
        <f>D938/D937-1</f>
        <v/>
      </c>
      <c r="K938" s="20">
        <f>D938/MAX(D$2:D938)-1</f>
        <v/>
      </c>
      <c r="L938" s="20">
        <f>E938/E937-1</f>
        <v/>
      </c>
      <c r="M938" s="20">
        <f>E938/MAX(E$2:E938)-1</f>
        <v/>
      </c>
    </row>
    <row r="939">
      <c r="A939" s="11" t="n">
        <v>45071</v>
      </c>
      <c r="B939" s="19" t="n">
        <v>1.865008132559611</v>
      </c>
      <c r="C939" s="19" t="n">
        <v>1.515352756372501</v>
      </c>
      <c r="D939" s="19" t="n">
        <v>1.450230140506325</v>
      </c>
      <c r="E939" s="19" t="n">
        <v>1.205805004519467</v>
      </c>
      <c r="F939" s="20">
        <f>B939/B938-1</f>
        <v/>
      </c>
      <c r="G939" s="20">
        <f>B939/MAX(B$2:B939)-1</f>
        <v/>
      </c>
      <c r="H939" s="20">
        <f>C939/C938-1</f>
        <v/>
      </c>
      <c r="I939" s="20">
        <f>C939/MAX(C$2:C939)-1</f>
        <v/>
      </c>
      <c r="J939" s="20">
        <f>D939/D938-1</f>
        <v/>
      </c>
      <c r="K939" s="20">
        <f>D939/MAX(D$2:D939)-1</f>
        <v/>
      </c>
      <c r="L939" s="20">
        <f>E939/E938-1</f>
        <v/>
      </c>
      <c r="M939" s="20">
        <f>E939/MAX(E$2:E939)-1</f>
        <v/>
      </c>
    </row>
    <row r="940">
      <c r="A940" s="11" t="n">
        <v>45072</v>
      </c>
      <c r="B940" s="19" t="n">
        <v>1.883622345195687</v>
      </c>
      <c r="C940" s="19" t="n">
        <v>1.525933655813408</v>
      </c>
      <c r="D940" s="19" t="n">
        <v>1.440590779374587</v>
      </c>
      <c r="E940" s="19" t="n">
        <v>1.210387707049253</v>
      </c>
      <c r="F940" s="20">
        <f>B940/B939-1</f>
        <v/>
      </c>
      <c r="G940" s="20">
        <f>B940/MAX(B$2:B940)-1</f>
        <v/>
      </c>
      <c r="H940" s="20">
        <f>C940/C939-1</f>
        <v/>
      </c>
      <c r="I940" s="20">
        <f>C940/MAX(C$2:C940)-1</f>
        <v/>
      </c>
      <c r="J940" s="20">
        <f>D940/D939-1</f>
        <v/>
      </c>
      <c r="K940" s="20">
        <f>D940/MAX(D$2:D940)-1</f>
        <v/>
      </c>
      <c r="L940" s="20">
        <f>E940/E939-1</f>
        <v/>
      </c>
      <c r="M940" s="20">
        <f>E940/MAX(E$2:E940)-1</f>
        <v/>
      </c>
    </row>
    <row r="941">
      <c r="A941" s="11" t="n">
        <v>45075</v>
      </c>
      <c r="B941" s="19" t="n">
        <v>1.882783212273144</v>
      </c>
      <c r="C941" s="19" t="n">
        <v>1.515297008188826</v>
      </c>
      <c r="D941" s="19" t="n">
        <v>1.424160258724625</v>
      </c>
      <c r="E941" s="19" t="n">
        <v>1.206634503435167</v>
      </c>
      <c r="F941" s="20">
        <f>B941/B940-1</f>
        <v/>
      </c>
      <c r="G941" s="20">
        <f>B941/MAX(B$2:B941)-1</f>
        <v/>
      </c>
      <c r="H941" s="20">
        <f>C941/C940-1</f>
        <v/>
      </c>
      <c r="I941" s="20">
        <f>C941/MAX(C$2:C941)-1</f>
        <v/>
      </c>
      <c r="J941" s="20">
        <f>D941/D940-1</f>
        <v/>
      </c>
      <c r="K941" s="20">
        <f>D941/MAX(D$2:D941)-1</f>
        <v/>
      </c>
      <c r="L941" s="20">
        <f>E941/E940-1</f>
        <v/>
      </c>
      <c r="M941" s="20">
        <f>E941/MAX(E$2:E941)-1</f>
        <v/>
      </c>
    </row>
    <row r="942">
      <c r="A942" s="11" t="n">
        <v>45076</v>
      </c>
      <c r="B942" s="19" t="n">
        <v>1.910961136028896</v>
      </c>
      <c r="C942" s="19" t="n">
        <v>1.535372751644247</v>
      </c>
      <c r="D942" s="19" t="n">
        <v>1.433699197728004</v>
      </c>
      <c r="E942" s="19" t="n">
        <v>1.210856392535254</v>
      </c>
      <c r="F942" s="20">
        <f>B942/B941-1</f>
        <v/>
      </c>
      <c r="G942" s="20">
        <f>B942/MAX(B$2:B942)-1</f>
        <v/>
      </c>
      <c r="H942" s="20">
        <f>C942/C941-1</f>
        <v/>
      </c>
      <c r="I942" s="20">
        <f>C942/MAX(C$2:C942)-1</f>
        <v/>
      </c>
      <c r="J942" s="20">
        <f>D942/D941-1</f>
        <v/>
      </c>
      <c r="K942" s="20">
        <f>D942/MAX(D$2:D942)-1</f>
        <v/>
      </c>
      <c r="L942" s="20">
        <f>E942/E941-1</f>
        <v/>
      </c>
      <c r="M942" s="20">
        <f>E942/MAX(E$2:E942)-1</f>
        <v/>
      </c>
    </row>
    <row r="943">
      <c r="A943" s="11" t="n">
        <v>45077</v>
      </c>
      <c r="B943" s="19" t="n">
        <v>1.912657682379753</v>
      </c>
      <c r="C943" s="19" t="n">
        <v>1.527026156672598</v>
      </c>
      <c r="D943" s="19" t="n">
        <v>1.417417759349678</v>
      </c>
      <c r="E943" s="19" t="n">
        <v>1.205165211633815</v>
      </c>
      <c r="F943" s="20">
        <f>B943/B942-1</f>
        <v/>
      </c>
      <c r="G943" s="20">
        <f>B943/MAX(B$2:B943)-1</f>
        <v/>
      </c>
      <c r="H943" s="20">
        <f>C943/C942-1</f>
        <v/>
      </c>
      <c r="I943" s="20">
        <f>C943/MAX(C$2:C943)-1</f>
        <v/>
      </c>
      <c r="J943" s="20">
        <f>D943/D942-1</f>
        <v/>
      </c>
      <c r="K943" s="20">
        <f>D943/MAX(D$2:D943)-1</f>
        <v/>
      </c>
      <c r="L943" s="20">
        <f>E943/E942-1</f>
        <v/>
      </c>
      <c r="M943" s="20">
        <f>E943/MAX(E$2:E943)-1</f>
        <v/>
      </c>
    </row>
    <row r="944">
      <c r="A944" s="11" t="n">
        <v>45078</v>
      </c>
      <c r="B944" s="19" t="n">
        <v>1.929808785731616</v>
      </c>
      <c r="C944" s="19" t="n">
        <v>1.534881215243064</v>
      </c>
      <c r="D944" s="19" t="n">
        <v>1.425830277426792</v>
      </c>
      <c r="E944" s="19" t="n">
        <v>1.208059158523566</v>
      </c>
      <c r="F944" s="20">
        <f>B944/B943-1</f>
        <v/>
      </c>
      <c r="G944" s="20">
        <f>B944/MAX(B$2:B944)-1</f>
        <v/>
      </c>
      <c r="H944" s="20">
        <f>C944/C943-1</f>
        <v/>
      </c>
      <c r="I944" s="20">
        <f>C944/MAX(C$2:C944)-1</f>
        <v/>
      </c>
      <c r="J944" s="20">
        <f>D944/D943-1</f>
        <v/>
      </c>
      <c r="K944" s="20">
        <f>D944/MAX(D$2:D944)-1</f>
        <v/>
      </c>
      <c r="L944" s="20">
        <f>E944/E943-1</f>
        <v/>
      </c>
      <c r="M944" s="20">
        <f>E944/MAX(E$2:E944)-1</f>
        <v/>
      </c>
    </row>
    <row r="945">
      <c r="A945" s="11" t="n">
        <v>45079</v>
      </c>
      <c r="B945" s="19" t="n">
        <v>1.935041361165247</v>
      </c>
      <c r="C945" s="19" t="n">
        <v>1.539987344825604</v>
      </c>
      <c r="D945" s="19" t="n">
        <v>1.443180235684403</v>
      </c>
      <c r="E945" s="19" t="n">
        <v>1.221107957610002</v>
      </c>
      <c r="F945" s="20">
        <f>B945/B944-1</f>
        <v/>
      </c>
      <c r="G945" s="20">
        <f>B945/MAX(B$2:B945)-1</f>
        <v/>
      </c>
      <c r="H945" s="20">
        <f>C945/C944-1</f>
        <v/>
      </c>
      <c r="I945" s="20">
        <f>C945/MAX(C$2:C945)-1</f>
        <v/>
      </c>
      <c r="J945" s="20">
        <f>D945/D944-1</f>
        <v/>
      </c>
      <c r="K945" s="20">
        <f>D945/MAX(D$2:D945)-1</f>
        <v/>
      </c>
      <c r="L945" s="20">
        <f>E945/E944-1</f>
        <v/>
      </c>
      <c r="M945" s="20">
        <f>E945/MAX(E$2:E945)-1</f>
        <v/>
      </c>
    </row>
    <row r="946">
      <c r="A946" s="11" t="n">
        <v>45082</v>
      </c>
      <c r="B946" s="19" t="n">
        <v>1.945168031880348</v>
      </c>
      <c r="C946" s="19" t="n">
        <v>1.54342319340892</v>
      </c>
      <c r="D946" s="19" t="n">
        <v>1.423057618585512</v>
      </c>
      <c r="E946" s="19" t="n">
        <v>1.219765136495349</v>
      </c>
      <c r="F946" s="20">
        <f>B946/B945-1</f>
        <v/>
      </c>
      <c r="G946" s="20">
        <f>B946/MAX(B$2:B946)-1</f>
        <v/>
      </c>
      <c r="H946" s="20">
        <f>C946/C945-1</f>
        <v/>
      </c>
      <c r="I946" s="20">
        <f>C946/MAX(C$2:C946)-1</f>
        <v/>
      </c>
      <c r="J946" s="20">
        <f>D946/D945-1</f>
        <v/>
      </c>
      <c r="K946" s="20">
        <f>D946/MAX(D$2:D946)-1</f>
        <v/>
      </c>
      <c r="L946" s="20">
        <f>E946/E945-1</f>
        <v/>
      </c>
      <c r="M946" s="20">
        <f>E946/MAX(E$2:E946)-1</f>
        <v/>
      </c>
    </row>
    <row r="947">
      <c r="A947" s="11" t="n">
        <v>45083</v>
      </c>
      <c r="B947" s="19" t="n">
        <v>1.904359447527429</v>
      </c>
      <c r="C947" s="19" t="n">
        <v>1.507720209534286</v>
      </c>
      <c r="D947" s="19" t="n">
        <v>1.398937502863549</v>
      </c>
      <c r="E947" s="19" t="n">
        <v>1.20146780391092</v>
      </c>
      <c r="F947" s="20">
        <f>B947/B946-1</f>
        <v/>
      </c>
      <c r="G947" s="20">
        <f>B947/MAX(B$2:B947)-1</f>
        <v/>
      </c>
      <c r="H947" s="20">
        <f>C947/C946-1</f>
        <v/>
      </c>
      <c r="I947" s="20">
        <f>C947/MAX(C$2:C947)-1</f>
        <v/>
      </c>
      <c r="J947" s="20">
        <f>D947/D946-1</f>
        <v/>
      </c>
      <c r="K947" s="20">
        <f>D947/MAX(D$2:D947)-1</f>
        <v/>
      </c>
      <c r="L947" s="20">
        <f>E947/E946-1</f>
        <v/>
      </c>
      <c r="M947" s="20">
        <f>E947/MAX(E$2:E947)-1</f>
        <v/>
      </c>
    </row>
    <row r="948">
      <c r="A948" s="11" t="n">
        <v>45084</v>
      </c>
      <c r="B948" s="19" t="n">
        <v>1.907602982995589</v>
      </c>
      <c r="C948" s="19" t="n">
        <v>1.501125233075748</v>
      </c>
      <c r="D948" s="19" t="n">
        <v>1.376376256512495</v>
      </c>
      <c r="E948" s="19" t="n">
        <v>1.200746177051522</v>
      </c>
      <c r="F948" s="20">
        <f>B948/B947-1</f>
        <v/>
      </c>
      <c r="G948" s="20">
        <f>B948/MAX(B$2:B948)-1</f>
        <v/>
      </c>
      <c r="H948" s="20">
        <f>C948/C947-1</f>
        <v/>
      </c>
      <c r="I948" s="20">
        <f>C948/MAX(C$2:C948)-1</f>
        <v/>
      </c>
      <c r="J948" s="20">
        <f>D948/D947-1</f>
        <v/>
      </c>
      <c r="K948" s="20">
        <f>D948/MAX(D$2:D948)-1</f>
        <v/>
      </c>
      <c r="L948" s="20">
        <f>E948/E947-1</f>
        <v/>
      </c>
      <c r="M948" s="20">
        <f>E948/MAX(E$2:E948)-1</f>
        <v/>
      </c>
    </row>
    <row r="949">
      <c r="A949" s="11" t="n">
        <v>45085</v>
      </c>
      <c r="B949" s="19" t="n">
        <v>1.893719061217782</v>
      </c>
      <c r="C949" s="19" t="n">
        <v>1.492037701933846</v>
      </c>
      <c r="D949" s="19" t="n">
        <v>1.372539795176339</v>
      </c>
      <c r="E949" s="19" t="n">
        <v>1.20158683514546</v>
      </c>
      <c r="F949" s="20">
        <f>B949/B948-1</f>
        <v/>
      </c>
      <c r="G949" s="20">
        <f>B949/MAX(B$2:B949)-1</f>
        <v/>
      </c>
      <c r="H949" s="20">
        <f>C949/C948-1</f>
        <v/>
      </c>
      <c r="I949" s="20">
        <f>C949/MAX(C$2:C949)-1</f>
        <v/>
      </c>
      <c r="J949" s="20">
        <f>D949/D948-1</f>
        <v/>
      </c>
      <c r="K949" s="20">
        <f>D949/MAX(D$2:D949)-1</f>
        <v/>
      </c>
      <c r="L949" s="20">
        <f>E949/E948-1</f>
        <v/>
      </c>
      <c r="M949" s="20">
        <f>E949/MAX(E$2:E949)-1</f>
        <v/>
      </c>
    </row>
    <row r="950">
      <c r="A950" s="11" t="n">
        <v>45086</v>
      </c>
      <c r="B950" s="19" t="n">
        <v>1.927074122607104</v>
      </c>
      <c r="C950" s="19" t="n">
        <v>1.516697591115692</v>
      </c>
      <c r="D950" s="19" t="n">
        <v>1.384849066639646</v>
      </c>
      <c r="E950" s="19" t="n">
        <v>1.209759073341839</v>
      </c>
      <c r="F950" s="20">
        <f>B950/B949-1</f>
        <v/>
      </c>
      <c r="G950" s="20">
        <f>B950/MAX(B$2:B950)-1</f>
        <v/>
      </c>
      <c r="H950" s="20">
        <f>C950/C949-1</f>
        <v/>
      </c>
      <c r="I950" s="20">
        <f>C950/MAX(C$2:C950)-1</f>
        <v/>
      </c>
      <c r="J950" s="20">
        <f>D950/D949-1</f>
        <v/>
      </c>
      <c r="K950" s="20">
        <f>D950/MAX(D$2:D950)-1</f>
        <v/>
      </c>
      <c r="L950" s="20">
        <f>E950/E949-1</f>
        <v/>
      </c>
      <c r="M950" s="20">
        <f>E950/MAX(E$2:E950)-1</f>
        <v/>
      </c>
    </row>
    <row r="951">
      <c r="A951" s="11" t="n">
        <v>45089</v>
      </c>
      <c r="B951" s="19" t="n">
        <v>1.934416459409999</v>
      </c>
      <c r="C951" s="19" t="n">
        <v>1.518775714090221</v>
      </c>
      <c r="D951" s="19" t="n">
        <v>1.390931972279615</v>
      </c>
      <c r="E951" s="19" t="n">
        <v>1.214114872580783</v>
      </c>
      <c r="F951" s="20">
        <f>B951/B950-1</f>
        <v/>
      </c>
      <c r="G951" s="20">
        <f>B951/MAX(B$2:B951)-1</f>
        <v/>
      </c>
      <c r="H951" s="20">
        <f>C951/C950-1</f>
        <v/>
      </c>
      <c r="I951" s="20">
        <f>C951/MAX(C$2:C951)-1</f>
        <v/>
      </c>
      <c r="J951" s="20">
        <f>D951/D950-1</f>
        <v/>
      </c>
      <c r="K951" s="20">
        <f>D951/MAX(D$2:D951)-1</f>
        <v/>
      </c>
      <c r="L951" s="20">
        <f>E951/E950-1</f>
        <v/>
      </c>
      <c r="M951" s="20">
        <f>E951/MAX(E$2:E951)-1</f>
        <v/>
      </c>
    </row>
    <row r="952">
      <c r="A952" s="11" t="n">
        <v>45090</v>
      </c>
      <c r="B952" s="19" t="n">
        <v>1.964537025795138</v>
      </c>
      <c r="C952" s="19" t="n">
        <v>1.543005683284419</v>
      </c>
      <c r="D952" s="19" t="n">
        <v>1.400327968073259</v>
      </c>
      <c r="E952" s="19" t="n">
        <v>1.220185465542317</v>
      </c>
      <c r="F952" s="20">
        <f>B952/B951-1</f>
        <v/>
      </c>
      <c r="G952" s="20">
        <f>B952/MAX(B$2:B952)-1</f>
        <v/>
      </c>
      <c r="H952" s="20">
        <f>C952/C951-1</f>
        <v/>
      </c>
      <c r="I952" s="20">
        <f>C952/MAX(C$2:C952)-1</f>
        <v/>
      </c>
      <c r="J952" s="20">
        <f>D952/D951-1</f>
        <v/>
      </c>
      <c r="K952" s="20">
        <f>D952/MAX(D$2:D952)-1</f>
        <v/>
      </c>
      <c r="L952" s="20">
        <f>E952/E951-1</f>
        <v/>
      </c>
      <c r="M952" s="20">
        <f>E952/MAX(E$2:E952)-1</f>
        <v/>
      </c>
    </row>
    <row r="953">
      <c r="A953" s="11" t="n">
        <v>45091</v>
      </c>
      <c r="B953" s="19" t="n">
        <v>1.974283032743279</v>
      </c>
      <c r="C953" s="19" t="n">
        <v>1.545243018069097</v>
      </c>
      <c r="D953" s="19" t="n">
        <v>1.397987305324693</v>
      </c>
      <c r="E953" s="19" t="n">
        <v>1.222138321733988</v>
      </c>
      <c r="F953" s="20">
        <f>B953/B952-1</f>
        <v/>
      </c>
      <c r="G953" s="20">
        <f>B953/MAX(B$2:B953)-1</f>
        <v/>
      </c>
      <c r="H953" s="20">
        <f>C953/C952-1</f>
        <v/>
      </c>
      <c r="I953" s="20">
        <f>C953/MAX(C$2:C953)-1</f>
        <v/>
      </c>
      <c r="J953" s="20">
        <f>D953/D952-1</f>
        <v/>
      </c>
      <c r="K953" s="20">
        <f>D953/MAX(D$2:D953)-1</f>
        <v/>
      </c>
      <c r="L953" s="20">
        <f>E953/E952-1</f>
        <v/>
      </c>
      <c r="M953" s="20">
        <f>E953/MAX(E$2:E953)-1</f>
        <v/>
      </c>
    </row>
    <row r="954">
      <c r="A954" s="11" t="n">
        <v>45092</v>
      </c>
      <c r="B954" s="19" t="n">
        <v>1.986276412548699</v>
      </c>
      <c r="C954" s="19" t="n">
        <v>1.570858851515266</v>
      </c>
      <c r="D954" s="19" t="n">
        <v>1.446065465534434</v>
      </c>
      <c r="E954" s="19" t="n">
        <v>1.235216878629058</v>
      </c>
      <c r="F954" s="20">
        <f>B954/B953-1</f>
        <v/>
      </c>
      <c r="G954" s="20">
        <f>B954/MAX(B$2:B954)-1</f>
        <v/>
      </c>
      <c r="H954" s="20">
        <f>C954/C953-1</f>
        <v/>
      </c>
      <c r="I954" s="20">
        <f>C954/MAX(C$2:C954)-1</f>
        <v/>
      </c>
      <c r="J954" s="20">
        <f>D954/D953-1</f>
        <v/>
      </c>
      <c r="K954" s="20">
        <f>D954/MAX(D$2:D954)-1</f>
        <v/>
      </c>
      <c r="L954" s="20">
        <f>E954/E953-1</f>
        <v/>
      </c>
      <c r="M954" s="20">
        <f>E954/MAX(E$2:E954)-1</f>
        <v/>
      </c>
    </row>
    <row r="955">
      <c r="A955" s="11" t="n">
        <v>45093</v>
      </c>
      <c r="B955" s="19" t="n">
        <v>2.034349558464374</v>
      </c>
      <c r="C955" s="19" t="n">
        <v>1.604545761731109</v>
      </c>
      <c r="D955" s="19" t="n">
        <v>1.46695436680197</v>
      </c>
      <c r="E955" s="19" t="n">
        <v>1.246580641801538</v>
      </c>
      <c r="F955" s="20">
        <f>B955/B954-1</f>
        <v/>
      </c>
      <c r="G955" s="20">
        <f>B955/MAX(B$2:B955)-1</f>
        <v/>
      </c>
      <c r="H955" s="20">
        <f>C955/C954-1</f>
        <v/>
      </c>
      <c r="I955" s="20">
        <f>C955/MAX(C$2:C955)-1</f>
        <v/>
      </c>
      <c r="J955" s="20">
        <f>D955/D954-1</f>
        <v/>
      </c>
      <c r="K955" s="20">
        <f>D955/MAX(D$2:D955)-1</f>
        <v/>
      </c>
      <c r="L955" s="20">
        <f>E955/E954-1</f>
        <v/>
      </c>
      <c r="M955" s="20">
        <f>E955/MAX(E$2:E955)-1</f>
        <v/>
      </c>
    </row>
    <row r="956">
      <c r="A956" s="11" t="n">
        <v>45096</v>
      </c>
      <c r="B956" s="19" t="n">
        <v>2.072586092113332</v>
      </c>
      <c r="C956" s="19" t="n">
        <v>1.624841756207276</v>
      </c>
      <c r="D956" s="19" t="n">
        <v>1.463800892257719</v>
      </c>
      <c r="E956" s="19" t="n">
        <v>1.243589982033723</v>
      </c>
      <c r="F956" s="20">
        <f>B956/B955-1</f>
        <v/>
      </c>
      <c r="G956" s="20">
        <f>B956/MAX(B$2:B956)-1</f>
        <v/>
      </c>
      <c r="H956" s="20">
        <f>C956/C955-1</f>
        <v/>
      </c>
      <c r="I956" s="20">
        <f>C956/MAX(C$2:C956)-1</f>
        <v/>
      </c>
      <c r="J956" s="20">
        <f>D956/D955-1</f>
        <v/>
      </c>
      <c r="K956" s="20">
        <f>D956/MAX(D$2:D956)-1</f>
        <v/>
      </c>
      <c r="L956" s="20">
        <f>E956/E955-1</f>
        <v/>
      </c>
      <c r="M956" s="20">
        <f>E956/MAX(E$2:E956)-1</f>
        <v/>
      </c>
    </row>
    <row r="957">
      <c r="A957" s="11" t="n">
        <v>45097</v>
      </c>
      <c r="B957" s="19" t="n">
        <v>2.100216938590955</v>
      </c>
      <c r="C957" s="19" t="n">
        <v>1.645450257973638</v>
      </c>
      <c r="D957" s="19" t="n">
        <v>1.467829667785635</v>
      </c>
      <c r="E957" s="19" t="n">
        <v>1.241726399267958</v>
      </c>
      <c r="F957" s="20">
        <f>B957/B956-1</f>
        <v/>
      </c>
      <c r="G957" s="20">
        <f>B957/MAX(B$2:B957)-1</f>
        <v/>
      </c>
      <c r="H957" s="20">
        <f>C957/C956-1</f>
        <v/>
      </c>
      <c r="I957" s="20">
        <f>C957/MAX(C$2:C957)-1</f>
        <v/>
      </c>
      <c r="J957" s="20">
        <f>D957/D956-1</f>
        <v/>
      </c>
      <c r="K957" s="20">
        <f>D957/MAX(D$2:D957)-1</f>
        <v/>
      </c>
      <c r="L957" s="20">
        <f>E957/E956-1</f>
        <v/>
      </c>
      <c r="M957" s="20">
        <f>E957/MAX(E$2:E957)-1</f>
        <v/>
      </c>
    </row>
    <row r="958">
      <c r="A958" s="11" t="n">
        <v>45098</v>
      </c>
      <c r="B958" s="19" t="n">
        <v>2.040404221575761</v>
      </c>
      <c r="C958" s="19" t="n">
        <v>1.600079269203361</v>
      </c>
      <c r="D958" s="19" t="n">
        <v>1.429326311625115</v>
      </c>
      <c r="E958" s="19" t="n">
        <v>1.220244981159587</v>
      </c>
      <c r="F958" s="20">
        <f>B958/B957-1</f>
        <v/>
      </c>
      <c r="G958" s="20">
        <f>B958/MAX(B$2:B958)-1</f>
        <v/>
      </c>
      <c r="H958" s="20">
        <f>C958/C957-1</f>
        <v/>
      </c>
      <c r="I958" s="20">
        <f>C958/MAX(C$2:C958)-1</f>
        <v/>
      </c>
      <c r="J958" s="20">
        <f>D958/D957-1</f>
        <v/>
      </c>
      <c r="K958" s="20">
        <f>D958/MAX(D$2:D958)-1</f>
        <v/>
      </c>
      <c r="L958" s="20">
        <f>E958/E957-1</f>
        <v/>
      </c>
      <c r="M958" s="20">
        <f>E958/MAX(E$2:E958)-1</f>
        <v/>
      </c>
    </row>
    <row r="959">
      <c r="A959" s="11" t="n">
        <v>45103</v>
      </c>
      <c r="B959" s="19" t="n">
        <v>1.982153809106449</v>
      </c>
      <c r="C959" s="19" t="n">
        <v>1.565987451127145</v>
      </c>
      <c r="D959" s="19" t="n">
        <v>1.412793817925893</v>
      </c>
      <c r="E959" s="19" t="n">
        <v>1.19998735293133</v>
      </c>
      <c r="F959" s="20">
        <f>B959/B958-1</f>
        <v/>
      </c>
      <c r="G959" s="20">
        <f>B959/MAX(B$2:B959)-1</f>
        <v/>
      </c>
      <c r="H959" s="20">
        <f>C959/C958-1</f>
        <v/>
      </c>
      <c r="I959" s="20">
        <f>C959/MAX(C$2:C959)-1</f>
        <v/>
      </c>
      <c r="J959" s="20">
        <f>D959/D958-1</f>
        <v/>
      </c>
      <c r="K959" s="20">
        <f>D959/MAX(D$2:D959)-1</f>
        <v/>
      </c>
      <c r="L959" s="20">
        <f>E959/E958-1</f>
        <v/>
      </c>
      <c r="M959" s="20">
        <f>E959/MAX(E$2:E959)-1</f>
        <v/>
      </c>
    </row>
    <row r="960">
      <c r="A960" s="11" t="n">
        <v>45104</v>
      </c>
      <c r="B960" s="19" t="n">
        <v>1.994869058690736</v>
      </c>
      <c r="C960" s="19" t="n">
        <v>1.57810169017045</v>
      </c>
      <c r="D960" s="19" t="n">
        <v>1.416396413314475</v>
      </c>
      <c r="E960" s="19" t="n">
        <v>1.214505443819117</v>
      </c>
      <c r="F960" s="20">
        <f>B960/B959-1</f>
        <v/>
      </c>
      <c r="G960" s="20">
        <f>B960/MAX(B$2:B960)-1</f>
        <v/>
      </c>
      <c r="H960" s="20">
        <f>C960/C959-1</f>
        <v/>
      </c>
      <c r="I960" s="20">
        <f>C960/MAX(C$2:C960)-1</f>
        <v/>
      </c>
      <c r="J960" s="20">
        <f>D960/D959-1</f>
        <v/>
      </c>
      <c r="K960" s="20">
        <f>D960/MAX(D$2:D960)-1</f>
        <v/>
      </c>
      <c r="L960" s="20">
        <f>E960/E959-1</f>
        <v/>
      </c>
      <c r="M960" s="20">
        <f>E960/MAX(E$2:E960)-1</f>
        <v/>
      </c>
    </row>
    <row r="961">
      <c r="A961" s="11" t="n">
        <v>45105</v>
      </c>
      <c r="B961" s="19" t="n">
        <v>1.96341262435221</v>
      </c>
      <c r="C961" s="19" t="n">
        <v>1.561408885029111</v>
      </c>
      <c r="D961" s="19" t="n">
        <v>1.410107041329522</v>
      </c>
      <c r="E961" s="19" t="n">
        <v>1.211953711728668</v>
      </c>
      <c r="F961" s="20">
        <f>B961/B960-1</f>
        <v/>
      </c>
      <c r="G961" s="20">
        <f>B961/MAX(B$2:B961)-1</f>
        <v/>
      </c>
      <c r="H961" s="20">
        <f>C961/C960-1</f>
        <v/>
      </c>
      <c r="I961" s="20">
        <f>C961/MAX(C$2:C961)-1</f>
        <v/>
      </c>
      <c r="J961" s="20">
        <f>D961/D960-1</f>
        <v/>
      </c>
      <c r="K961" s="20">
        <f>D961/MAX(D$2:D961)-1</f>
        <v/>
      </c>
      <c r="L961" s="20">
        <f>E961/E960-1</f>
        <v/>
      </c>
      <c r="M961" s="20">
        <f>E961/MAX(E$2:E961)-1</f>
        <v/>
      </c>
    </row>
    <row r="962">
      <c r="A962" s="11" t="n">
        <v>45106</v>
      </c>
      <c r="B962" s="19" t="n">
        <v>1.985125975182814</v>
      </c>
      <c r="C962" s="19" t="n">
        <v>1.577125255201861</v>
      </c>
      <c r="D962" s="19" t="n">
        <v>1.408793540569538</v>
      </c>
      <c r="E962" s="19" t="n">
        <v>1.213285373665083</v>
      </c>
      <c r="F962" s="20">
        <f>B962/B961-1</f>
        <v/>
      </c>
      <c r="G962" s="20">
        <f>B962/MAX(B$2:B962)-1</f>
        <v/>
      </c>
      <c r="H962" s="20">
        <f>C962/C961-1</f>
        <v/>
      </c>
      <c r="I962" s="20">
        <f>C962/MAX(C$2:C962)-1</f>
        <v/>
      </c>
      <c r="J962" s="20">
        <f>D962/D961-1</f>
        <v/>
      </c>
      <c r="K962" s="20">
        <f>D962/MAX(D$2:D962)-1</f>
        <v/>
      </c>
      <c r="L962" s="20">
        <f>E962/E961-1</f>
        <v/>
      </c>
      <c r="M962" s="20">
        <f>E962/MAX(E$2:E962)-1</f>
        <v/>
      </c>
    </row>
    <row r="963">
      <c r="A963" s="11" t="n">
        <v>45107</v>
      </c>
      <c r="B963" s="19" t="n">
        <v>2.004059772433366</v>
      </c>
      <c r="C963" s="19" t="n">
        <v>1.594373618170156</v>
      </c>
      <c r="D963" s="19" t="n">
        <v>1.431371523941986</v>
      </c>
      <c r="E963" s="19" t="n">
        <v>1.224690053824437</v>
      </c>
      <c r="F963" s="20">
        <f>B963/B962-1</f>
        <v/>
      </c>
      <c r="G963" s="20">
        <f>B963/MAX(B$2:B963)-1</f>
        <v/>
      </c>
      <c r="H963" s="20">
        <f>C963/C962-1</f>
        <v/>
      </c>
      <c r="I963" s="20">
        <f>C963/MAX(C$2:C963)-1</f>
        <v/>
      </c>
      <c r="J963" s="20">
        <f>D963/D962-1</f>
        <v/>
      </c>
      <c r="K963" s="20">
        <f>D963/MAX(D$2:D963)-1</f>
        <v/>
      </c>
      <c r="L963" s="20">
        <f>E963/E962-1</f>
        <v/>
      </c>
      <c r="M963" s="20">
        <f>E963/MAX(E$2:E963)-1</f>
        <v/>
      </c>
    </row>
    <row r="964">
      <c r="A964" s="11" t="n">
        <v>45110</v>
      </c>
      <c r="B964" s="19" t="n">
        <v>1.994388018087167</v>
      </c>
      <c r="C964" s="19" t="n">
        <v>1.587215868847949</v>
      </c>
      <c r="D964" s="19" t="n">
        <v>1.439907857204386</v>
      </c>
      <c r="E964" s="19" t="n">
        <v>1.234978816159978</v>
      </c>
      <c r="F964" s="20">
        <f>B964/B963-1</f>
        <v/>
      </c>
      <c r="G964" s="20">
        <f>B964/MAX(B$2:B964)-1</f>
        <v/>
      </c>
      <c r="H964" s="20">
        <f>C964/C963-1</f>
        <v/>
      </c>
      <c r="I964" s="20">
        <f>C964/MAX(C$2:C964)-1</f>
        <v/>
      </c>
      <c r="J964" s="20">
        <f>D964/D963-1</f>
        <v/>
      </c>
      <c r="K964" s="20">
        <f>D964/MAX(D$2:D964)-1</f>
        <v/>
      </c>
      <c r="L964" s="20">
        <f>E964/E963-1</f>
        <v/>
      </c>
      <c r="M964" s="20">
        <f>E964/MAX(E$2:E964)-1</f>
        <v/>
      </c>
    </row>
    <row r="965">
      <c r="A965" s="11" t="n">
        <v>45111</v>
      </c>
      <c r="B965" s="19" t="n">
        <v>2.003474384733082</v>
      </c>
      <c r="C965" s="19" t="n">
        <v>1.593148360635433</v>
      </c>
      <c r="D965" s="19" t="n">
        <v>1.442841165602358</v>
      </c>
      <c r="E965" s="19" t="n">
        <v>1.238683663335032</v>
      </c>
      <c r="F965" s="20">
        <f>B965/B964-1</f>
        <v/>
      </c>
      <c r="G965" s="20">
        <f>B965/MAX(B$2:B965)-1</f>
        <v/>
      </c>
      <c r="H965" s="20">
        <f>C965/C964-1</f>
        <v/>
      </c>
      <c r="I965" s="20">
        <f>C965/MAX(C$2:C965)-1</f>
        <v/>
      </c>
      <c r="J965" s="20">
        <f>D965/D964-1</f>
        <v/>
      </c>
      <c r="K965" s="20">
        <f>D965/MAX(D$2:D965)-1</f>
        <v/>
      </c>
      <c r="L965" s="20">
        <f>E965/E964-1</f>
        <v/>
      </c>
      <c r="M965" s="20">
        <f>E965/MAX(E$2:E965)-1</f>
        <v/>
      </c>
    </row>
    <row r="966">
      <c r="A966" s="11" t="n">
        <v>45112</v>
      </c>
      <c r="B966" s="19" t="n">
        <v>1.974319294474112</v>
      </c>
      <c r="C966" s="19" t="n">
        <v>1.571003440851009</v>
      </c>
      <c r="D966" s="19" t="n">
        <v>1.429700406670847</v>
      </c>
      <c r="E966" s="19" t="n">
        <v>1.22964100923608</v>
      </c>
      <c r="F966" s="20">
        <f>B966/B965-1</f>
        <v/>
      </c>
      <c r="G966" s="20">
        <f>B966/MAX(B$2:B966)-1</f>
        <v/>
      </c>
      <c r="H966" s="20">
        <f>C966/C965-1</f>
        <v/>
      </c>
      <c r="I966" s="20">
        <f>C966/MAX(C$2:C966)-1</f>
        <v/>
      </c>
      <c r="J966" s="20">
        <f>D966/D965-1</f>
        <v/>
      </c>
      <c r="K966" s="20">
        <f>D966/MAX(D$2:D966)-1</f>
        <v/>
      </c>
      <c r="L966" s="20">
        <f>E966/E965-1</f>
        <v/>
      </c>
      <c r="M966" s="20">
        <f>E966/MAX(E$2:E966)-1</f>
        <v/>
      </c>
    </row>
    <row r="967">
      <c r="A967" s="11" t="n">
        <v>45113</v>
      </c>
      <c r="B967" s="19" t="n">
        <v>1.969604264051197</v>
      </c>
      <c r="C967" s="19" t="n">
        <v>1.55873965814675</v>
      </c>
      <c r="D967" s="19" t="n">
        <v>1.416628405232626</v>
      </c>
      <c r="E967" s="19" t="n">
        <v>1.224723531359151</v>
      </c>
      <c r="F967" s="20">
        <f>B967/B966-1</f>
        <v/>
      </c>
      <c r="G967" s="20">
        <f>B967/MAX(B$2:B967)-1</f>
        <v/>
      </c>
      <c r="H967" s="20">
        <f>C967/C966-1</f>
        <v/>
      </c>
      <c r="I967" s="20">
        <f>C967/MAX(C$2:C967)-1</f>
        <v/>
      </c>
      <c r="J967" s="20">
        <f>D967/D966-1</f>
        <v/>
      </c>
      <c r="K967" s="20">
        <f>D967/MAX(D$2:D967)-1</f>
        <v/>
      </c>
      <c r="L967" s="20">
        <f>E967/E966-1</f>
        <v/>
      </c>
      <c r="M967" s="20">
        <f>E967/MAX(E$2:E967)-1</f>
        <v/>
      </c>
    </row>
    <row r="968">
      <c r="A968" s="11" t="n">
        <v>45114</v>
      </c>
      <c r="B968" s="19" t="n">
        <v>1.951527288418652</v>
      </c>
      <c r="C968" s="19" t="n">
        <v>1.540749108401838</v>
      </c>
      <c r="D968" s="19" t="n">
        <v>1.401779436171753</v>
      </c>
      <c r="E968" s="19" t="n">
        <v>1.218355360311267</v>
      </c>
      <c r="F968" s="20">
        <f>B968/B967-1</f>
        <v/>
      </c>
      <c r="G968" s="20">
        <f>B968/MAX(B$2:B968)-1</f>
        <v/>
      </c>
      <c r="H968" s="20">
        <f>C968/C967-1</f>
        <v/>
      </c>
      <c r="I968" s="20">
        <f>C968/MAX(C$2:C968)-1</f>
        <v/>
      </c>
      <c r="J968" s="20">
        <f>D968/D967-1</f>
        <v/>
      </c>
      <c r="K968" s="20">
        <f>D968/MAX(D$2:D968)-1</f>
        <v/>
      </c>
      <c r="L968" s="20">
        <f>E968/E967-1</f>
        <v/>
      </c>
      <c r="M968" s="20">
        <f>E968/MAX(E$2:E968)-1</f>
        <v/>
      </c>
    </row>
    <row r="969">
      <c r="A969" s="11" t="n">
        <v>45117</v>
      </c>
      <c r="B969" s="19" t="n">
        <v>1.945610472795366</v>
      </c>
      <c r="C969" s="19" t="n">
        <v>1.548883725594838</v>
      </c>
      <c r="D969" s="19" t="n">
        <v>1.420943907262168</v>
      </c>
      <c r="E969" s="19" t="n">
        <v>1.22188910008667</v>
      </c>
      <c r="F969" s="20">
        <f>B969/B968-1</f>
        <v/>
      </c>
      <c r="G969" s="20">
        <f>B969/MAX(B$2:B969)-1</f>
        <v/>
      </c>
      <c r="H969" s="20">
        <f>C969/C968-1</f>
        <v/>
      </c>
      <c r="I969" s="20">
        <f>C969/MAX(C$2:C969)-1</f>
        <v/>
      </c>
      <c r="J969" s="20">
        <f>D969/D968-1</f>
        <v/>
      </c>
      <c r="K969" s="20">
        <f>D969/MAX(D$2:D969)-1</f>
        <v/>
      </c>
      <c r="L969" s="20">
        <f>E969/E968-1</f>
        <v/>
      </c>
      <c r="M969" s="20">
        <f>E969/MAX(E$2:E969)-1</f>
        <v/>
      </c>
    </row>
    <row r="970">
      <c r="A970" s="11" t="n">
        <v>45118</v>
      </c>
      <c r="B970" s="19" t="n">
        <v>1.963791608532046</v>
      </c>
      <c r="C970" s="19" t="n">
        <v>1.557269185564251</v>
      </c>
      <c r="D970" s="19" t="n">
        <v>1.432520239356208</v>
      </c>
      <c r="E970" s="19" t="n">
        <v>1.230809003225003</v>
      </c>
      <c r="F970" s="20">
        <f>B970/B969-1</f>
        <v/>
      </c>
      <c r="G970" s="20">
        <f>B970/MAX(B$2:B970)-1</f>
        <v/>
      </c>
      <c r="H970" s="20">
        <f>C970/C969-1</f>
        <v/>
      </c>
      <c r="I970" s="20">
        <f>C970/MAX(C$2:C970)-1</f>
        <v/>
      </c>
      <c r="J970" s="20">
        <f>D970/D969-1</f>
        <v/>
      </c>
      <c r="K970" s="20">
        <f>D970/MAX(D$2:D970)-1</f>
        <v/>
      </c>
      <c r="L970" s="20">
        <f>E970/E969-1</f>
        <v/>
      </c>
      <c r="M970" s="20">
        <f>E970/MAX(E$2:E970)-1</f>
        <v/>
      </c>
    </row>
    <row r="971">
      <c r="A971" s="11" t="n">
        <v>45119</v>
      </c>
      <c r="B971" s="19" t="n">
        <v>1.919396719169133</v>
      </c>
      <c r="C971" s="19" t="n">
        <v>1.532026032814468</v>
      </c>
      <c r="D971" s="19" t="n">
        <v>1.419642878491099</v>
      </c>
      <c r="E971" s="19" t="n">
        <v>1.218991433470839</v>
      </c>
      <c r="F971" s="20">
        <f>B971/B970-1</f>
        <v/>
      </c>
      <c r="G971" s="20">
        <f>B971/MAX(B$2:B971)-1</f>
        <v/>
      </c>
      <c r="H971" s="20">
        <f>C971/C970-1</f>
        <v/>
      </c>
      <c r="I971" s="20">
        <f>C971/MAX(C$2:C971)-1</f>
        <v/>
      </c>
      <c r="J971" s="20">
        <f>D971/D970-1</f>
        <v/>
      </c>
      <c r="K971" s="20">
        <f>D971/MAX(D$2:D971)-1</f>
        <v/>
      </c>
      <c r="L971" s="20">
        <f>E971/E970-1</f>
        <v/>
      </c>
      <c r="M971" s="20">
        <f>E971/MAX(E$2:E971)-1</f>
        <v/>
      </c>
    </row>
    <row r="972">
      <c r="A972" s="11" t="n">
        <v>45120</v>
      </c>
      <c r="B972" s="19" t="n">
        <v>1.953417576786472</v>
      </c>
      <c r="C972" s="19" t="n">
        <v>1.558845622985952</v>
      </c>
      <c r="D972" s="19" t="n">
        <v>1.445920325186755</v>
      </c>
      <c r="E972" s="19" t="n">
        <v>1.235447501645979</v>
      </c>
      <c r="F972" s="20">
        <f>B972/B971-1</f>
        <v/>
      </c>
      <c r="G972" s="20">
        <f>B972/MAX(B$2:B972)-1</f>
        <v/>
      </c>
      <c r="H972" s="20">
        <f>C972/C971-1</f>
        <v/>
      </c>
      <c r="I972" s="20">
        <f>C972/MAX(C$2:C972)-1</f>
        <v/>
      </c>
      <c r="J972" s="20">
        <f>D972/D971-1</f>
        <v/>
      </c>
      <c r="K972" s="20">
        <f>D972/MAX(D$2:D972)-1</f>
        <v/>
      </c>
      <c r="L972" s="20">
        <f>E972/E971-1</f>
        <v/>
      </c>
      <c r="M972" s="20">
        <f>E972/MAX(E$2:E972)-1</f>
        <v/>
      </c>
    </row>
    <row r="973">
      <c r="A973" s="11" t="n">
        <v>45121</v>
      </c>
      <c r="B973" s="19" t="n">
        <v>1.977424452357274</v>
      </c>
      <c r="C973" s="19" t="n">
        <v>1.569164424193173</v>
      </c>
      <c r="D973" s="19" t="n">
        <v>1.437248997184239</v>
      </c>
      <c r="E973" s="19" t="n">
        <v>1.235570252606598</v>
      </c>
      <c r="F973" s="20">
        <f>B973/B972-1</f>
        <v/>
      </c>
      <c r="G973" s="20">
        <f>B973/MAX(B$2:B973)-1</f>
        <v/>
      </c>
      <c r="H973" s="20">
        <f>C973/C972-1</f>
        <v/>
      </c>
      <c r="I973" s="20">
        <f>C973/MAX(C$2:C973)-1</f>
        <v/>
      </c>
      <c r="J973" s="20">
        <f>D973/D972-1</f>
        <v/>
      </c>
      <c r="K973" s="20">
        <f>D973/MAX(D$2:D973)-1</f>
        <v/>
      </c>
      <c r="L973" s="20">
        <f>E973/E972-1</f>
        <v/>
      </c>
      <c r="M973" s="20">
        <f>E973/MAX(E$2:E973)-1</f>
        <v/>
      </c>
    </row>
    <row r="974">
      <c r="A974" s="11" t="n">
        <v>45124</v>
      </c>
      <c r="B974" s="19" t="n">
        <v>1.97270618921099</v>
      </c>
      <c r="C974" s="19" t="n">
        <v>1.560333796458523</v>
      </c>
      <c r="D974" s="19" t="n">
        <v>1.426488255619164</v>
      </c>
      <c r="E974" s="19" t="n">
        <v>1.229514538549381</v>
      </c>
      <c r="F974" s="20">
        <f>B974/B973-1</f>
        <v/>
      </c>
      <c r="G974" s="20">
        <f>B974/MAX(B$2:B974)-1</f>
        <v/>
      </c>
      <c r="H974" s="20">
        <f>C974/C973-1</f>
        <v/>
      </c>
      <c r="I974" s="20">
        <f>C974/MAX(C$2:C974)-1</f>
        <v/>
      </c>
      <c r="J974" s="20">
        <f>D974/D973-1</f>
        <v/>
      </c>
      <c r="K974" s="20">
        <f>D974/MAX(D$2:D974)-1</f>
        <v/>
      </c>
      <c r="L974" s="20">
        <f>E974/E973-1</f>
        <v/>
      </c>
      <c r="M974" s="20">
        <f>E974/MAX(E$2:E974)-1</f>
        <v/>
      </c>
    </row>
    <row r="975">
      <c r="A975" s="11" t="n">
        <v>45125</v>
      </c>
      <c r="B975" s="19" t="n">
        <v>1.949270034096805</v>
      </c>
      <c r="C975" s="19" t="n">
        <v>1.548337787816833</v>
      </c>
      <c r="D975" s="19" t="n">
        <v>1.422077307332489</v>
      </c>
      <c r="E975" s="19" t="n">
        <v>1.226933048650297</v>
      </c>
      <c r="F975" s="20">
        <f>B975/B974-1</f>
        <v/>
      </c>
      <c r="G975" s="20">
        <f>B975/MAX(B$2:B975)-1</f>
        <v/>
      </c>
      <c r="H975" s="20">
        <f>C975/C974-1</f>
        <v/>
      </c>
      <c r="I975" s="20">
        <f>C975/MAX(C$2:C975)-1</f>
        <v/>
      </c>
      <c r="J975" s="20">
        <f>D975/D974-1</f>
        <v/>
      </c>
      <c r="K975" s="20">
        <f>D975/MAX(D$2:D975)-1</f>
        <v/>
      </c>
      <c r="L975" s="20">
        <f>E975/E974-1</f>
        <v/>
      </c>
      <c r="M975" s="20">
        <f>E975/MAX(E$2:E975)-1</f>
        <v/>
      </c>
    </row>
    <row r="976">
      <c r="A976" s="11" t="n">
        <v>45126</v>
      </c>
      <c r="B976" s="19" t="n">
        <v>1.93887100673389</v>
      </c>
      <c r="C976" s="19" t="n">
        <v>1.533870388599472</v>
      </c>
      <c r="D976" s="19" t="n">
        <v>1.406973858000396</v>
      </c>
      <c r="E976" s="19" t="n">
        <v>1.225091784241009</v>
      </c>
      <c r="F976" s="20">
        <f>B976/B975-1</f>
        <v/>
      </c>
      <c r="G976" s="20">
        <f>B976/MAX(B$2:B976)-1</f>
        <v/>
      </c>
      <c r="H976" s="20">
        <f>C976/C975-1</f>
        <v/>
      </c>
      <c r="I976" s="20">
        <f>C976/MAX(C$2:C976)-1</f>
        <v/>
      </c>
      <c r="J976" s="20">
        <f>D976/D975-1</f>
        <v/>
      </c>
      <c r="K976" s="20">
        <f>D976/MAX(D$2:D976)-1</f>
        <v/>
      </c>
      <c r="L976" s="20">
        <f>E976/E975-1</f>
        <v/>
      </c>
      <c r="M976" s="20">
        <f>E976/MAX(E$2:E976)-1</f>
        <v/>
      </c>
    </row>
    <row r="977">
      <c r="A977" s="11" t="n">
        <v>45127</v>
      </c>
      <c r="B977" s="19" t="n">
        <v>1.887866744172256</v>
      </c>
      <c r="C977" s="19" t="n">
        <v>1.504456944629163</v>
      </c>
      <c r="D977" s="19" t="n">
        <v>1.393016086862427</v>
      </c>
      <c r="E977" s="19" t="n">
        <v>1.213207259417417</v>
      </c>
      <c r="F977" s="20">
        <f>B977/B976-1</f>
        <v/>
      </c>
      <c r="G977" s="20">
        <f>B977/MAX(B$2:B977)-1</f>
        <v/>
      </c>
      <c r="H977" s="20">
        <f>C977/C976-1</f>
        <v/>
      </c>
      <c r="I977" s="20">
        <f>C977/MAX(C$2:C977)-1</f>
        <v/>
      </c>
      <c r="J977" s="20">
        <f>D977/D976-1</f>
        <v/>
      </c>
      <c r="K977" s="20">
        <f>D977/MAX(D$2:D977)-1</f>
        <v/>
      </c>
      <c r="L977" s="20">
        <f>E977/E976-1</f>
        <v/>
      </c>
      <c r="M977" s="20">
        <f>E977/MAX(E$2:E977)-1</f>
        <v/>
      </c>
    </row>
    <row r="978">
      <c r="A978" s="11" t="n">
        <v>45128</v>
      </c>
      <c r="B978" s="19" t="n">
        <v>1.876797130032828</v>
      </c>
      <c r="C978" s="19" t="n">
        <v>1.497830462510308</v>
      </c>
      <c r="D978" s="19" t="n">
        <v>1.39784332816769</v>
      </c>
      <c r="E978" s="19" t="n">
        <v>1.212113659950081</v>
      </c>
      <c r="F978" s="20">
        <f>B978/B977-1</f>
        <v/>
      </c>
      <c r="G978" s="20">
        <f>B978/MAX(B$2:B978)-1</f>
        <v/>
      </c>
      <c r="H978" s="20">
        <f>C978/C977-1</f>
        <v/>
      </c>
      <c r="I978" s="20">
        <f>C978/MAX(C$2:C978)-1</f>
        <v/>
      </c>
      <c r="J978" s="20">
        <f>D978/D977-1</f>
        <v/>
      </c>
      <c r="K978" s="20">
        <f>D978/MAX(D$2:D978)-1</f>
        <v/>
      </c>
      <c r="L978" s="20">
        <f>E978/E977-1</f>
        <v/>
      </c>
      <c r="M978" s="20">
        <f>E978/MAX(E$2:E978)-1</f>
        <v/>
      </c>
    </row>
    <row r="979">
      <c r="A979" s="11" t="n">
        <v>45131</v>
      </c>
      <c r="B979" s="19" t="n">
        <v>1.88488005858097</v>
      </c>
      <c r="C979" s="19" t="n">
        <v>1.505623904667239</v>
      </c>
      <c r="D979" s="19" t="n">
        <v>1.387382237445085</v>
      </c>
      <c r="E979" s="19" t="n">
        <v>1.209082083195393</v>
      </c>
      <c r="F979" s="20">
        <f>B979/B978-1</f>
        <v/>
      </c>
      <c r="G979" s="20">
        <f>B979/MAX(B$2:B979)-1</f>
        <v/>
      </c>
      <c r="H979" s="20">
        <f>C979/C978-1</f>
        <v/>
      </c>
      <c r="I979" s="20">
        <f>C979/MAX(C$2:C979)-1</f>
        <v/>
      </c>
      <c r="J979" s="20">
        <f>D979/D978-1</f>
        <v/>
      </c>
      <c r="K979" s="20">
        <f>D979/MAX(D$2:D979)-1</f>
        <v/>
      </c>
      <c r="L979" s="20">
        <f>E979/E978-1</f>
        <v/>
      </c>
      <c r="M979" s="20">
        <f>E979/MAX(E$2:E979)-1</f>
        <v/>
      </c>
    </row>
    <row r="980">
      <c r="A980" s="11" t="n">
        <v>45132</v>
      </c>
      <c r="B980" s="19" t="n">
        <v>1.916849380045386</v>
      </c>
      <c r="C980" s="19" t="n">
        <v>1.532502754340265</v>
      </c>
      <c r="D980" s="19" t="n">
        <v>1.417087542441112</v>
      </c>
      <c r="E980" s="19" t="n">
        <v>1.235681844388979</v>
      </c>
      <c r="F980" s="20">
        <f>B980/B979-1</f>
        <v/>
      </c>
      <c r="G980" s="20">
        <f>B980/MAX(B$2:B980)-1</f>
        <v/>
      </c>
      <c r="H980" s="20">
        <f>C980/C979-1</f>
        <v/>
      </c>
      <c r="I980" s="20">
        <f>C980/MAX(C$2:C980)-1</f>
        <v/>
      </c>
      <c r="J980" s="20">
        <f>D980/D979-1</f>
        <v/>
      </c>
      <c r="K980" s="20">
        <f>D980/MAX(D$2:D980)-1</f>
        <v/>
      </c>
      <c r="L980" s="20">
        <f>E980/E979-1</f>
        <v/>
      </c>
      <c r="M980" s="20">
        <f>E980/MAX(E$2:E980)-1</f>
        <v/>
      </c>
    </row>
    <row r="981">
      <c r="A981" s="11" t="n">
        <v>45133</v>
      </c>
      <c r="B981" s="19" t="n">
        <v>1.892876629966927</v>
      </c>
      <c r="C981" s="19" t="n">
        <v>1.523510894585187</v>
      </c>
      <c r="D981" s="19" t="n">
        <v>1.415970944013888</v>
      </c>
      <c r="E981" s="19" t="n">
        <v>1.231233051998051</v>
      </c>
      <c r="F981" s="20">
        <f>B981/B980-1</f>
        <v/>
      </c>
      <c r="G981" s="20">
        <f>B981/MAX(B$2:B981)-1</f>
        <v/>
      </c>
      <c r="H981" s="20">
        <f>C981/C980-1</f>
        <v/>
      </c>
      <c r="I981" s="20">
        <f>C981/MAX(C$2:C981)-1</f>
        <v/>
      </c>
      <c r="J981" s="20">
        <f>D981/D980-1</f>
        <v/>
      </c>
      <c r="K981" s="20">
        <f>D981/MAX(D$2:D981)-1</f>
        <v/>
      </c>
      <c r="L981" s="20">
        <f>E981/E980-1</f>
        <v/>
      </c>
      <c r="M981" s="20">
        <f>E981/MAX(E$2:E981)-1</f>
        <v/>
      </c>
    </row>
    <row r="982">
      <c r="A982" s="11" t="n">
        <v>45134</v>
      </c>
      <c r="B982" s="19" t="n">
        <v>1.874613014457693</v>
      </c>
      <c r="C982" s="19" t="n">
        <v>1.511322581164954</v>
      </c>
      <c r="D982" s="19" t="n">
        <v>1.411400380117789</v>
      </c>
      <c r="E982" s="19" t="n">
        <v>1.226062632747725</v>
      </c>
      <c r="F982" s="20">
        <f>B982/B981-1</f>
        <v/>
      </c>
      <c r="G982" s="20">
        <f>B982/MAX(B$2:B982)-1</f>
        <v/>
      </c>
      <c r="H982" s="20">
        <f>C982/C981-1</f>
        <v/>
      </c>
      <c r="I982" s="20">
        <f>C982/MAX(C$2:C982)-1</f>
        <v/>
      </c>
      <c r="J982" s="20">
        <f>D982/D981-1</f>
        <v/>
      </c>
      <c r="K982" s="20">
        <f>D982/MAX(D$2:D982)-1</f>
        <v/>
      </c>
      <c r="L982" s="20">
        <f>E982/E981-1</f>
        <v/>
      </c>
      <c r="M982" s="20">
        <f>E982/MAX(E$2:E982)-1</f>
        <v/>
      </c>
    </row>
    <row r="983">
      <c r="A983" s="11" t="n">
        <v>45135</v>
      </c>
      <c r="B983" s="19" t="n">
        <v>1.896769219320351</v>
      </c>
      <c r="C983" s="19" t="n">
        <v>1.533570675974385</v>
      </c>
      <c r="D983" s="19" t="n">
        <v>1.43430302293224</v>
      </c>
      <c r="E983" s="19" t="n">
        <v>1.24568046809033</v>
      </c>
      <c r="F983" s="20">
        <f>B983/B982-1</f>
        <v/>
      </c>
      <c r="G983" s="20">
        <f>B983/MAX(B$2:B983)-1</f>
        <v/>
      </c>
      <c r="H983" s="20">
        <f>C983/C982-1</f>
        <v/>
      </c>
      <c r="I983" s="20">
        <f>C983/MAX(C$2:C983)-1</f>
        <v/>
      </c>
      <c r="J983" s="20">
        <f>D983/D982-1</f>
        <v/>
      </c>
      <c r="K983" s="20">
        <f>D983/MAX(D$2:D983)-1</f>
        <v/>
      </c>
      <c r="L983" s="20">
        <f>E983/E982-1</f>
        <v/>
      </c>
      <c r="M983" s="20">
        <f>E983/MAX(E$2:E983)-1</f>
        <v/>
      </c>
    </row>
    <row r="984">
      <c r="A984" s="11" t="n">
        <v>45138</v>
      </c>
      <c r="B984" s="19" t="n">
        <v>1.896813490206161</v>
      </c>
      <c r="C984" s="19" t="n">
        <v>1.527616539076759</v>
      </c>
      <c r="D984" s="19" t="n">
        <v>1.445376339680628</v>
      </c>
      <c r="E984" s="19" t="n">
        <v>1.254648727667695</v>
      </c>
      <c r="F984" s="20">
        <f>B984/B983-1</f>
        <v/>
      </c>
      <c r="G984" s="20">
        <f>B984/MAX(B$2:B984)-1</f>
        <v/>
      </c>
      <c r="H984" s="20">
        <f>C984/C983-1</f>
        <v/>
      </c>
      <c r="I984" s="20">
        <f>C984/MAX(C$2:C984)-1</f>
        <v/>
      </c>
      <c r="J984" s="20">
        <f>D984/D983-1</f>
        <v/>
      </c>
      <c r="K984" s="20">
        <f>D984/MAX(D$2:D984)-1</f>
        <v/>
      </c>
      <c r="L984" s="20">
        <f>E984/E983-1</f>
        <v/>
      </c>
      <c r="M984" s="20">
        <f>E984/MAX(E$2:E984)-1</f>
        <v/>
      </c>
    </row>
    <row r="985">
      <c r="A985" s="11" t="n">
        <v>45139</v>
      </c>
      <c r="B985" s="19" t="n">
        <v>1.899374530807498</v>
      </c>
      <c r="C985" s="19" t="n">
        <v>1.526629762555547</v>
      </c>
      <c r="D985" s="19" t="n">
        <v>1.437054744341352</v>
      </c>
      <c r="E985" s="19" t="n">
        <v>1.251762220230102</v>
      </c>
      <c r="F985" s="20">
        <f>B985/B984-1</f>
        <v/>
      </c>
      <c r="G985" s="20">
        <f>B985/MAX(B$2:B985)-1</f>
        <v/>
      </c>
      <c r="H985" s="20">
        <f>C985/C984-1</f>
        <v/>
      </c>
      <c r="I985" s="20">
        <f>C985/MAX(C$2:C985)-1</f>
        <v/>
      </c>
      <c r="J985" s="20">
        <f>D985/D984-1</f>
        <v/>
      </c>
      <c r="K985" s="20">
        <f>D985/MAX(D$2:D985)-1</f>
        <v/>
      </c>
      <c r="L985" s="20">
        <f>E985/E984-1</f>
        <v/>
      </c>
      <c r="M985" s="20">
        <f>E985/MAX(E$2:E985)-1</f>
        <v/>
      </c>
    </row>
    <row r="986">
      <c r="A986" s="11" t="n">
        <v>45140</v>
      </c>
      <c r="B986" s="19" t="n">
        <v>1.895857929131722</v>
      </c>
      <c r="C986" s="19" t="n">
        <v>1.517923425853352</v>
      </c>
      <c r="D986" s="19" t="n">
        <v>1.433674770723809</v>
      </c>
      <c r="E986" s="19" t="n">
        <v>1.246379776593252</v>
      </c>
      <c r="F986" s="20">
        <f>B986/B985-1</f>
        <v/>
      </c>
      <c r="G986" s="20">
        <f>B986/MAX(B$2:B986)-1</f>
        <v/>
      </c>
      <c r="H986" s="20">
        <f>C986/C985-1</f>
        <v/>
      </c>
      <c r="I986" s="20">
        <f>C986/MAX(C$2:C986)-1</f>
        <v/>
      </c>
      <c r="J986" s="20">
        <f>D986/D985-1</f>
        <v/>
      </c>
      <c r="K986" s="20">
        <f>D986/MAX(D$2:D986)-1</f>
        <v/>
      </c>
      <c r="L986" s="20">
        <f>E986/E985-1</f>
        <v/>
      </c>
      <c r="M986" s="20">
        <f>E986/MAX(E$2:E986)-1</f>
        <v/>
      </c>
    </row>
    <row r="987">
      <c r="A987" s="11" t="n">
        <v>45141</v>
      </c>
      <c r="B987" s="19" t="n">
        <v>1.899377718877077</v>
      </c>
      <c r="C987" s="19" t="n">
        <v>1.527775847087398</v>
      </c>
      <c r="D987" s="19" t="n">
        <v>1.44880775217473</v>
      </c>
      <c r="E987" s="19" t="n">
        <v>1.252111874481563</v>
      </c>
      <c r="F987" s="20">
        <f>B987/B986-1</f>
        <v/>
      </c>
      <c r="G987" s="20">
        <f>B987/MAX(B$2:B987)-1</f>
        <v/>
      </c>
      <c r="H987" s="20">
        <f>C987/C986-1</f>
        <v/>
      </c>
      <c r="I987" s="20">
        <f>C987/MAX(C$2:C987)-1</f>
        <v/>
      </c>
      <c r="J987" s="20">
        <f>D987/D986-1</f>
        <v/>
      </c>
      <c r="K987" s="20">
        <f>D987/MAX(D$2:D987)-1</f>
        <v/>
      </c>
      <c r="L987" s="20">
        <f>E987/E986-1</f>
        <v/>
      </c>
      <c r="M987" s="20">
        <f>E987/MAX(E$2:E987)-1</f>
        <v/>
      </c>
    </row>
    <row r="988">
      <c r="A988" s="11" t="n">
        <v>45142</v>
      </c>
      <c r="B988" s="19" t="n">
        <v>1.920900426391567</v>
      </c>
      <c r="C988" s="19" t="n">
        <v>1.539938715478154</v>
      </c>
      <c r="D988" s="19" t="n">
        <v>1.462630334707471</v>
      </c>
      <c r="E988" s="19" t="n">
        <v>1.256869404137079</v>
      </c>
      <c r="F988" s="20">
        <f>B988/B987-1</f>
        <v/>
      </c>
      <c r="G988" s="20">
        <f>B988/MAX(B$2:B988)-1</f>
        <v/>
      </c>
      <c r="H988" s="20">
        <f>C988/C987-1</f>
        <v/>
      </c>
      <c r="I988" s="20">
        <f>C988/MAX(C$2:C988)-1</f>
        <v/>
      </c>
      <c r="J988" s="20">
        <f>D988/D987-1</f>
        <v/>
      </c>
      <c r="K988" s="20">
        <f>D988/MAX(D$2:D988)-1</f>
        <v/>
      </c>
      <c r="L988" s="20">
        <f>E988/E987-1</f>
        <v/>
      </c>
      <c r="M988" s="20">
        <f>E988/MAX(E$2:E988)-1</f>
        <v/>
      </c>
    </row>
    <row r="989">
      <c r="A989" s="11" t="n">
        <v>45145</v>
      </c>
      <c r="B989" s="19" t="n">
        <v>1.905265044119505</v>
      </c>
      <c r="C989" s="19" t="n">
        <v>1.517687205551346</v>
      </c>
      <c r="D989" s="19" t="n">
        <v>1.448026928122635</v>
      </c>
      <c r="E989" s="19" t="n">
        <v>1.248574414980081</v>
      </c>
      <c r="F989" s="20">
        <f>B989/B988-1</f>
        <v/>
      </c>
      <c r="G989" s="20">
        <f>B989/MAX(B$2:B989)-1</f>
        <v/>
      </c>
      <c r="H989" s="20">
        <f>C989/C988-1</f>
        <v/>
      </c>
      <c r="I989" s="20">
        <f>C989/MAX(C$2:C989)-1</f>
        <v/>
      </c>
      <c r="J989" s="20">
        <f>D989/D988-1</f>
        <v/>
      </c>
      <c r="K989" s="20">
        <f>D989/MAX(D$2:D989)-1</f>
        <v/>
      </c>
      <c r="L989" s="20">
        <f>E989/E988-1</f>
        <v/>
      </c>
      <c r="M989" s="20">
        <f>E989/MAX(E$2:E989)-1</f>
        <v/>
      </c>
    </row>
    <row r="990">
      <c r="A990" s="11" t="n">
        <v>45146</v>
      </c>
      <c r="B990" s="19" t="n">
        <v>1.895356697346345</v>
      </c>
      <c r="C990" s="19" t="n">
        <v>1.513835193650383</v>
      </c>
      <c r="D990" s="19" t="n">
        <v>1.440359045943253</v>
      </c>
      <c r="E990" s="19" t="n">
        <v>1.244330207523518</v>
      </c>
      <c r="F990" s="20">
        <f>B990/B989-1</f>
        <v/>
      </c>
      <c r="G990" s="20">
        <f>B990/MAX(B$2:B990)-1</f>
        <v/>
      </c>
      <c r="H990" s="20">
        <f>C990/C989-1</f>
        <v/>
      </c>
      <c r="I990" s="20">
        <f>C990/MAX(C$2:C990)-1</f>
        <v/>
      </c>
      <c r="J990" s="20">
        <f>D990/D989-1</f>
        <v/>
      </c>
      <c r="K990" s="20">
        <f>D990/MAX(D$2:D990)-1</f>
        <v/>
      </c>
      <c r="L990" s="20">
        <f>E990/E989-1</f>
        <v/>
      </c>
      <c r="M990" s="20">
        <f>E990/MAX(E$2:E990)-1</f>
        <v/>
      </c>
    </row>
    <row r="991">
      <c r="A991" s="11" t="n">
        <v>45147</v>
      </c>
      <c r="B991" s="19" t="n">
        <v>1.873224585764337</v>
      </c>
      <c r="C991" s="19" t="n">
        <v>1.500814216893142</v>
      </c>
      <c r="D991" s="19" t="n">
        <v>1.440243954688037</v>
      </c>
      <c r="E991" s="19" t="n">
        <v>1.237236689890157</v>
      </c>
      <c r="F991" s="20">
        <f>B991/B990-1</f>
        <v/>
      </c>
      <c r="G991" s="20">
        <f>B991/MAX(B$2:B991)-1</f>
        <v/>
      </c>
      <c r="H991" s="20">
        <f>C991/C990-1</f>
        <v/>
      </c>
      <c r="I991" s="20">
        <f>C991/MAX(C$2:C991)-1</f>
        <v/>
      </c>
      <c r="J991" s="20">
        <f>D991/D990-1</f>
        <v/>
      </c>
      <c r="K991" s="20">
        <f>D991/MAX(D$2:D991)-1</f>
        <v/>
      </c>
      <c r="L991" s="20">
        <f>E991/E990-1</f>
        <v/>
      </c>
      <c r="M991" s="20">
        <f>E991/MAX(E$2:E991)-1</f>
        <v/>
      </c>
    </row>
    <row r="992">
      <c r="A992" s="11" t="n">
        <v>45148</v>
      </c>
      <c r="B992" s="19" t="n">
        <v>1.870330392089449</v>
      </c>
      <c r="C992" s="19" t="n">
        <v>1.501246589993273</v>
      </c>
      <c r="D992" s="19" t="n">
        <v>1.447077958396159</v>
      </c>
      <c r="E992" s="19" t="n">
        <v>1.239833058693558</v>
      </c>
      <c r="F992" s="20">
        <f>B992/B991-1</f>
        <v/>
      </c>
      <c r="G992" s="20">
        <f>B992/MAX(B$2:B992)-1</f>
        <v/>
      </c>
      <c r="H992" s="20">
        <f>C992/C991-1</f>
        <v/>
      </c>
      <c r="I992" s="20">
        <f>C992/MAX(C$2:C992)-1</f>
        <v/>
      </c>
      <c r="J992" s="20">
        <f>D992/D991-1</f>
        <v/>
      </c>
      <c r="K992" s="20">
        <f>D992/MAX(D$2:D992)-1</f>
        <v/>
      </c>
      <c r="L992" s="20">
        <f>E992/E991-1</f>
        <v/>
      </c>
      <c r="M992" s="20">
        <f>E992/MAX(E$2:E992)-1</f>
        <v/>
      </c>
    </row>
    <row r="993">
      <c r="A993" s="11" t="n">
        <v>45149</v>
      </c>
      <c r="B993" s="19" t="n">
        <v>1.841039903708548</v>
      </c>
      <c r="C993" s="19" t="n">
        <v>1.471079751889317</v>
      </c>
      <c r="D993" s="19" t="n">
        <v>1.413300064356755</v>
      </c>
      <c r="E993" s="19" t="n">
        <v>1.214910893961769</v>
      </c>
      <c r="F993" s="20">
        <f>B993/B992-1</f>
        <v/>
      </c>
      <c r="G993" s="20">
        <f>B993/MAX(B$2:B993)-1</f>
        <v/>
      </c>
      <c r="H993" s="20">
        <f>C993/C992-1</f>
        <v/>
      </c>
      <c r="I993" s="20">
        <f>C993/MAX(C$2:C993)-1</f>
        <v/>
      </c>
      <c r="J993" s="20">
        <f>D993/D992-1</f>
        <v/>
      </c>
      <c r="K993" s="20">
        <f>D993/MAX(D$2:D993)-1</f>
        <v/>
      </c>
      <c r="L993" s="20">
        <f>E993/E992-1</f>
        <v/>
      </c>
      <c r="M993" s="20">
        <f>E993/MAX(E$2:E993)-1</f>
        <v/>
      </c>
    </row>
    <row r="994">
      <c r="A994" s="11" t="n">
        <v>45152</v>
      </c>
      <c r="B994" s="19" t="n">
        <v>1.844959145660374</v>
      </c>
      <c r="C994" s="19" t="n">
        <v>1.473671104475415</v>
      </c>
      <c r="D994" s="19" t="n">
        <v>1.398861378495978</v>
      </c>
      <c r="E994" s="19" t="n">
        <v>1.21235916187132</v>
      </c>
      <c r="F994" s="20">
        <f>B994/B993-1</f>
        <v/>
      </c>
      <c r="G994" s="20">
        <f>B994/MAX(B$2:B994)-1</f>
        <v/>
      </c>
      <c r="H994" s="20">
        <f>C994/C993-1</f>
        <v/>
      </c>
      <c r="I994" s="20">
        <f>C994/MAX(C$2:C994)-1</f>
        <v/>
      </c>
      <c r="J994" s="20">
        <f>D994/D993-1</f>
        <v/>
      </c>
      <c r="K994" s="20">
        <f>D994/MAX(D$2:D994)-1</f>
        <v/>
      </c>
      <c r="L994" s="20">
        <f>E994/E993-1</f>
        <v/>
      </c>
      <c r="M994" s="20">
        <f>E994/MAX(E$2:E994)-1</f>
        <v/>
      </c>
    </row>
    <row r="995">
      <c r="A995" s="11" t="n">
        <v>45153</v>
      </c>
      <c r="B995" s="19" t="n">
        <v>1.829634168911144</v>
      </c>
      <c r="C995" s="19" t="n">
        <v>1.45622490520043</v>
      </c>
      <c r="D995" s="19" t="n">
        <v>1.388509627696914</v>
      </c>
      <c r="E995" s="19" t="n">
        <v>1.206296008361944</v>
      </c>
      <c r="F995" s="20">
        <f>B995/B994-1</f>
        <v/>
      </c>
      <c r="G995" s="20">
        <f>B995/MAX(B$2:B995)-1</f>
        <v/>
      </c>
      <c r="H995" s="20">
        <f>C995/C994-1</f>
        <v/>
      </c>
      <c r="I995" s="20">
        <f>C995/MAX(C$2:C995)-1</f>
        <v/>
      </c>
      <c r="J995" s="20">
        <f>D995/D994-1</f>
        <v/>
      </c>
      <c r="K995" s="20">
        <f>D995/MAX(D$2:D995)-1</f>
        <v/>
      </c>
      <c r="L995" s="20">
        <f>E995/E994-1</f>
        <v/>
      </c>
      <c r="M995" s="20">
        <f>E995/MAX(E$2:E995)-1</f>
        <v/>
      </c>
    </row>
    <row r="996">
      <c r="A996" s="11" t="n">
        <v>45154</v>
      </c>
      <c r="B996" s="19" t="n">
        <v>1.805180860849843</v>
      </c>
      <c r="C996" s="19" t="n">
        <v>1.437047049013909</v>
      </c>
      <c r="D996" s="19" t="n">
        <v>1.378361241401032</v>
      </c>
      <c r="E996" s="19" t="n">
        <v>1.195560878896878</v>
      </c>
      <c r="F996" s="20">
        <f>B996/B995-1</f>
        <v/>
      </c>
      <c r="G996" s="20">
        <f>B996/MAX(B$2:B996)-1</f>
        <v/>
      </c>
      <c r="H996" s="20">
        <f>C996/C995-1</f>
        <v/>
      </c>
      <c r="I996" s="20">
        <f>C996/MAX(C$2:C996)-1</f>
        <v/>
      </c>
      <c r="J996" s="20">
        <f>D996/D995-1</f>
        <v/>
      </c>
      <c r="K996" s="20">
        <f>D996/MAX(D$2:D996)-1</f>
        <v/>
      </c>
      <c r="L996" s="20">
        <f>E996/E995-1</f>
        <v/>
      </c>
      <c r="M996" s="20">
        <f>E996/MAX(E$2:E996)-1</f>
        <v/>
      </c>
    </row>
    <row r="997">
      <c r="A997" s="11" t="n">
        <v>45155</v>
      </c>
      <c r="B997" s="19" t="n">
        <v>1.819951868659249</v>
      </c>
      <c r="C997" s="19" t="n">
        <v>1.445096673074421</v>
      </c>
      <c r="D997" s="19" t="n">
        <v>1.387467538094656</v>
      </c>
      <c r="E997" s="19" t="n">
        <v>1.203930262575464</v>
      </c>
      <c r="F997" s="20">
        <f>B997/B996-1</f>
        <v/>
      </c>
      <c r="G997" s="20">
        <f>B997/MAX(B$2:B997)-1</f>
        <v/>
      </c>
      <c r="H997" s="20">
        <f>C997/C996-1</f>
        <v/>
      </c>
      <c r="I997" s="20">
        <f>C997/MAX(C$2:C997)-1</f>
        <v/>
      </c>
      <c r="J997" s="20">
        <f>D997/D996-1</f>
        <v/>
      </c>
      <c r="K997" s="20">
        <f>D997/MAX(D$2:D997)-1</f>
        <v/>
      </c>
      <c r="L997" s="20">
        <f>E997/E996-1</f>
        <v/>
      </c>
      <c r="M997" s="20">
        <f>E997/MAX(E$2:E997)-1</f>
        <v/>
      </c>
    </row>
    <row r="998">
      <c r="A998" s="11" t="n">
        <v>45156</v>
      </c>
      <c r="B998" s="19" t="n">
        <v>1.790628198091355</v>
      </c>
      <c r="C998" s="19" t="n">
        <v>1.420003304486815</v>
      </c>
      <c r="D998" s="19" t="n">
        <v>1.369285123043279</v>
      </c>
      <c r="E998" s="19" t="n">
        <v>1.186354556850434</v>
      </c>
      <c r="F998" s="20">
        <f>B998/B997-1</f>
        <v/>
      </c>
      <c r="G998" s="20">
        <f>B998/MAX(B$2:B998)-1</f>
        <v/>
      </c>
      <c r="H998" s="20">
        <f>C998/C997-1</f>
        <v/>
      </c>
      <c r="I998" s="20">
        <f>C998/MAX(C$2:C998)-1</f>
        <v/>
      </c>
      <c r="J998" s="20">
        <f>D998/D997-1</f>
        <v/>
      </c>
      <c r="K998" s="20">
        <f>D998/MAX(D$2:D998)-1</f>
        <v/>
      </c>
      <c r="L998" s="20">
        <f>E998/E997-1</f>
        <v/>
      </c>
      <c r="M998" s="20">
        <f>E998/MAX(E$2:E998)-1</f>
        <v/>
      </c>
    </row>
    <row r="999">
      <c r="A999" s="11" t="n">
        <v>45159</v>
      </c>
      <c r="B999" s="19" t="n">
        <v>1.778744988882576</v>
      </c>
      <c r="C999" s="19" t="n">
        <v>1.406712389155992</v>
      </c>
      <c r="D999" s="19" t="n">
        <v>1.347342694131839</v>
      </c>
      <c r="E999" s="19" t="n">
        <v>1.172829632825839</v>
      </c>
      <c r="F999" s="20">
        <f>B999/B998-1</f>
        <v/>
      </c>
      <c r="G999" s="20">
        <f>B999/MAX(B$2:B999)-1</f>
        <v/>
      </c>
      <c r="H999" s="20">
        <f>C999/C998-1</f>
        <v/>
      </c>
      <c r="I999" s="20">
        <f>C999/MAX(C$2:C999)-1</f>
        <v/>
      </c>
      <c r="J999" s="20">
        <f>D999/D998-1</f>
        <v/>
      </c>
      <c r="K999" s="20">
        <f>D999/MAX(D$2:D999)-1</f>
        <v/>
      </c>
      <c r="L999" s="20">
        <f>E999/E998-1</f>
        <v/>
      </c>
      <c r="M999" s="20">
        <f>E999/MAX(E$2:E999)-1</f>
        <v/>
      </c>
    </row>
    <row r="1000">
      <c r="A1000" s="11" t="n">
        <v>45160</v>
      </c>
      <c r="B1000" s="19" t="n">
        <v>1.804002876627403</v>
      </c>
      <c r="C1000" s="19" t="n">
        <v>1.423502597292966</v>
      </c>
      <c r="D1000" s="19" t="n">
        <v>1.34861664640884</v>
      </c>
      <c r="E1000" s="19" t="n">
        <v>1.18033604005401</v>
      </c>
      <c r="F1000" s="20">
        <f>B1000/B999-1</f>
        <v/>
      </c>
      <c r="G1000" s="20">
        <f>B1000/MAX(B$2:B1000)-1</f>
        <v/>
      </c>
      <c r="H1000" s="20">
        <f>C1000/C999-1</f>
        <v/>
      </c>
      <c r="I1000" s="20">
        <f>C1000/MAX(C$2:C1000)-1</f>
        <v/>
      </c>
      <c r="J1000" s="20">
        <f>D1000/D999-1</f>
        <v/>
      </c>
      <c r="K1000" s="20">
        <f>D1000/MAX(D$2:D1000)-1</f>
        <v/>
      </c>
      <c r="L1000" s="20">
        <f>E1000/E999-1</f>
        <v/>
      </c>
      <c r="M1000" s="20">
        <f>E1000/MAX(E$2:E1000)-1</f>
        <v/>
      </c>
    </row>
    <row r="1001">
      <c r="A1001" s="11" t="n">
        <v>45161</v>
      </c>
      <c r="B1001" s="19" t="n">
        <v>1.763403216871946</v>
      </c>
      <c r="C1001" s="19" t="n">
        <v>1.386340540593841</v>
      </c>
      <c r="D1001" s="19" t="n">
        <v>1.317620781357827</v>
      </c>
      <c r="E1001" s="19" t="n">
        <v>1.15932702715772</v>
      </c>
      <c r="F1001" s="20">
        <f>B1001/B1000-1</f>
        <v/>
      </c>
      <c r="G1001" s="20">
        <f>B1001/MAX(B$2:B1001)-1</f>
        <v/>
      </c>
      <c r="H1001" s="20">
        <f>C1001/C1000-1</f>
        <v/>
      </c>
      <c r="I1001" s="20">
        <f>C1001/MAX(C$2:C1001)-1</f>
        <v/>
      </c>
      <c r="J1001" s="20">
        <f>D1001/D1000-1</f>
        <v/>
      </c>
      <c r="K1001" s="20">
        <f>D1001/MAX(D$2:D1001)-1</f>
        <v/>
      </c>
      <c r="L1001" s="20">
        <f>E1001/E1000-1</f>
        <v/>
      </c>
      <c r="M1001" s="20">
        <f>E1001/MAX(E$2:E1001)-1</f>
        <v/>
      </c>
    </row>
    <row r="1002">
      <c r="A1002" s="11" t="n">
        <v>45162</v>
      </c>
      <c r="B1002" s="19" t="n">
        <v>1.779000982151802</v>
      </c>
      <c r="C1002" s="19" t="n">
        <v>1.409236449499673</v>
      </c>
      <c r="D1002" s="19" t="n">
        <v>1.334162515960753</v>
      </c>
      <c r="E1002" s="19" t="n">
        <v>1.164545802847078</v>
      </c>
      <c r="F1002" s="20">
        <f>B1002/B1001-1</f>
        <v/>
      </c>
      <c r="G1002" s="20">
        <f>B1002/MAX(B$2:B1002)-1</f>
        <v/>
      </c>
      <c r="H1002" s="20">
        <f>C1002/C1001-1</f>
        <v/>
      </c>
      <c r="I1002" s="20">
        <f>C1002/MAX(C$2:C1002)-1</f>
        <v/>
      </c>
      <c r="J1002" s="20">
        <f>D1002/D1001-1</f>
        <v/>
      </c>
      <c r="K1002" s="20">
        <f>D1002/MAX(D$2:D1002)-1</f>
        <v/>
      </c>
      <c r="L1002" s="20">
        <f>E1002/E1001-1</f>
        <v/>
      </c>
      <c r="M1002" s="20">
        <f>E1002/MAX(E$2:E1002)-1</f>
        <v/>
      </c>
    </row>
    <row r="1003">
      <c r="A1003" s="11" t="n">
        <v>45163</v>
      </c>
      <c r="B1003" s="19" t="n">
        <v>1.743118390539715</v>
      </c>
      <c r="C1003" s="19" t="n">
        <v>1.384472904290373</v>
      </c>
      <c r="D1003" s="19" t="n">
        <v>1.318540477452292</v>
      </c>
      <c r="E1003" s="19" t="n">
        <v>1.151619754721262</v>
      </c>
      <c r="F1003" s="20">
        <f>B1003/B1002-1</f>
        <v/>
      </c>
      <c r="G1003" s="20">
        <f>B1003/MAX(B$2:B1003)-1</f>
        <v/>
      </c>
      <c r="H1003" s="20">
        <f>C1003/C1002-1</f>
        <v/>
      </c>
      <c r="I1003" s="20">
        <f>C1003/MAX(C$2:C1003)-1</f>
        <v/>
      </c>
      <c r="J1003" s="20">
        <f>D1003/D1002-1</f>
        <v/>
      </c>
      <c r="K1003" s="20">
        <f>D1003/MAX(D$2:D1003)-1</f>
        <v/>
      </c>
      <c r="L1003" s="20">
        <f>E1003/E1002-1</f>
        <v/>
      </c>
      <c r="M1003" s="20">
        <f>E1003/MAX(E$2:E1003)-1</f>
        <v/>
      </c>
    </row>
    <row r="1004">
      <c r="A1004" s="11" t="n">
        <v>45166</v>
      </c>
      <c r="B1004" s="19" t="n">
        <v>1.763458563030066</v>
      </c>
      <c r="C1004" s="19" t="n">
        <v>1.40621277191369</v>
      </c>
      <c r="D1004" s="19" t="n">
        <v>1.331235282002978</v>
      </c>
      <c r="E1004" s="19" t="n">
        <v>1.163481961188378</v>
      </c>
      <c r="F1004" s="20">
        <f>B1004/B1003-1</f>
        <v/>
      </c>
      <c r="G1004" s="20">
        <f>B1004/MAX(B$2:B1004)-1</f>
        <v/>
      </c>
      <c r="H1004" s="20">
        <f>C1004/C1003-1</f>
        <v/>
      </c>
      <c r="I1004" s="20">
        <f>C1004/MAX(C$2:C1004)-1</f>
        <v/>
      </c>
      <c r="J1004" s="20">
        <f>D1004/D1003-1</f>
        <v/>
      </c>
      <c r="K1004" s="20">
        <f>D1004/MAX(D$2:D1004)-1</f>
        <v/>
      </c>
      <c r="L1004" s="20">
        <f>E1004/E1003-1</f>
        <v/>
      </c>
      <c r="M1004" s="20">
        <f>E1004/MAX(E$2:E1004)-1</f>
        <v/>
      </c>
    </row>
    <row r="1005">
      <c r="A1005" s="11" t="n">
        <v>45167</v>
      </c>
      <c r="B1005" s="19" t="n">
        <v>1.80715786621242</v>
      </c>
      <c r="C1005" s="19" t="n">
        <v>1.441580881884317</v>
      </c>
      <c r="D1005" s="19" t="n">
        <v>1.368813126115654</v>
      </c>
      <c r="E1005" s="19" t="n">
        <v>1.187448156317769</v>
      </c>
      <c r="F1005" s="20">
        <f>B1005/B1004-1</f>
        <v/>
      </c>
      <c r="G1005" s="20">
        <f>B1005/MAX(B$2:B1005)-1</f>
        <v/>
      </c>
      <c r="H1005" s="20">
        <f>C1005/C1004-1</f>
        <v/>
      </c>
      <c r="I1005" s="20">
        <f>C1005/MAX(C$2:C1005)-1</f>
        <v/>
      </c>
      <c r="J1005" s="20">
        <f>D1005/D1004-1</f>
        <v/>
      </c>
      <c r="K1005" s="20">
        <f>D1005/MAX(D$2:D1005)-1</f>
        <v/>
      </c>
      <c r="L1005" s="20">
        <f>E1005/E1004-1</f>
        <v/>
      </c>
      <c r="M1005" s="20">
        <f>E1005/MAX(E$2:E1005)-1</f>
        <v/>
      </c>
    </row>
    <row r="1006">
      <c r="A1006" s="11" t="n">
        <v>45168</v>
      </c>
      <c r="B1006" s="19" t="n">
        <v>1.812907143710583</v>
      </c>
      <c r="C1006" s="19" t="n">
        <v>1.45116153673548</v>
      </c>
      <c r="D1006" s="19" t="n">
        <v>1.368122578584354</v>
      </c>
      <c r="E1006" s="19" t="n">
        <v>1.190773591432727</v>
      </c>
      <c r="F1006" s="20">
        <f>B1006/B1005-1</f>
        <v/>
      </c>
      <c r="G1006" s="20">
        <f>B1006/MAX(B$2:B1006)-1</f>
        <v/>
      </c>
      <c r="H1006" s="20">
        <f>C1006/C1005-1</f>
        <v/>
      </c>
      <c r="I1006" s="20">
        <f>C1006/MAX(C$2:C1006)-1</f>
        <v/>
      </c>
      <c r="J1006" s="20">
        <f>D1006/D1005-1</f>
        <v/>
      </c>
      <c r="K1006" s="20">
        <f>D1006/MAX(D$2:D1006)-1</f>
        <v/>
      </c>
      <c r="L1006" s="20">
        <f>E1006/E1005-1</f>
        <v/>
      </c>
      <c r="M1006" s="20">
        <f>E1006/MAX(E$2:E1006)-1</f>
        <v/>
      </c>
    </row>
    <row r="1007">
      <c r="A1007" s="11" t="n">
        <v>45169</v>
      </c>
      <c r="B1007" s="19" t="n">
        <v>1.809590660281019</v>
      </c>
      <c r="C1007" s="19" t="n">
        <v>1.445634914813264</v>
      </c>
      <c r="D1007" s="19" t="n">
        <v>1.358719797511767</v>
      </c>
      <c r="E1007" s="19" t="n">
        <v>1.183985091337874</v>
      </c>
      <c r="F1007" s="20">
        <f>B1007/B1006-1</f>
        <v/>
      </c>
      <c r="G1007" s="20">
        <f>B1007/MAX(B$2:B1007)-1</f>
        <v/>
      </c>
      <c r="H1007" s="20">
        <f>C1007/C1006-1</f>
        <v/>
      </c>
      <c r="I1007" s="20">
        <f>C1007/MAX(C$2:C1007)-1</f>
        <v/>
      </c>
      <c r="J1007" s="20">
        <f>D1007/D1006-1</f>
        <v/>
      </c>
      <c r="K1007" s="20">
        <f>D1007/MAX(D$2:D1007)-1</f>
        <v/>
      </c>
      <c r="L1007" s="20">
        <f>E1007/E1006-1</f>
        <v/>
      </c>
      <c r="M1007" s="20">
        <f>E1007/MAX(E$2:E1007)-1</f>
        <v/>
      </c>
    </row>
    <row r="1008">
      <c r="A1008" s="11" t="n">
        <v>45170</v>
      </c>
      <c r="B1008" s="19" t="n">
        <v>1.80447319974912</v>
      </c>
      <c r="C1008" s="19" t="n">
        <v>1.437107126219612</v>
      </c>
      <c r="D1008" s="19" t="n">
        <v>1.357222254138164</v>
      </c>
      <c r="E1008" s="19" t="n">
        <v>1.188366928659374</v>
      </c>
      <c r="F1008" s="20">
        <f>B1008/B1007-1</f>
        <v/>
      </c>
      <c r="G1008" s="20">
        <f>B1008/MAX(B$2:B1008)-1</f>
        <v/>
      </c>
      <c r="H1008" s="20">
        <f>C1008/C1007-1</f>
        <v/>
      </c>
      <c r="I1008" s="20">
        <f>C1008/MAX(C$2:C1008)-1</f>
        <v/>
      </c>
      <c r="J1008" s="20">
        <f>D1008/D1007-1</f>
        <v/>
      </c>
      <c r="K1008" s="20">
        <f>D1008/MAX(D$2:D1008)-1</f>
        <v/>
      </c>
      <c r="L1008" s="20">
        <f>E1008/E1007-1</f>
        <v/>
      </c>
      <c r="M1008" s="20">
        <f>E1008/MAX(E$2:E1008)-1</f>
        <v/>
      </c>
    </row>
    <row r="1009">
      <c r="A1009" s="11" t="n">
        <v>45173</v>
      </c>
      <c r="B1009" s="19" t="n">
        <v>1.810422018143979</v>
      </c>
      <c r="C1009" s="19" t="n">
        <v>1.447020298062787</v>
      </c>
      <c r="D1009" s="19" t="n">
        <v>1.368709472902084</v>
      </c>
      <c r="E1009" s="19" t="n">
        <v>1.205715731093562</v>
      </c>
      <c r="F1009" s="20">
        <f>B1009/B1008-1</f>
        <v/>
      </c>
      <c r="G1009" s="20">
        <f>B1009/MAX(B$2:B1009)-1</f>
        <v/>
      </c>
      <c r="H1009" s="20">
        <f>C1009/C1008-1</f>
        <v/>
      </c>
      <c r="I1009" s="20">
        <f>C1009/MAX(C$2:C1009)-1</f>
        <v/>
      </c>
      <c r="J1009" s="20">
        <f>D1009/D1008-1</f>
        <v/>
      </c>
      <c r="K1009" s="20">
        <f>D1009/MAX(D$2:D1009)-1</f>
        <v/>
      </c>
      <c r="L1009" s="20">
        <f>E1009/E1008-1</f>
        <v/>
      </c>
      <c r="M1009" s="20">
        <f>E1009/MAX(E$2:E1009)-1</f>
        <v/>
      </c>
    </row>
    <row r="1010">
      <c r="A1010" s="11" t="n">
        <v>45174</v>
      </c>
      <c r="B1010" s="19" t="n">
        <v>1.802864662854837</v>
      </c>
      <c r="C1010" s="19" t="n">
        <v>1.434426643879977</v>
      </c>
      <c r="D1010" s="19" t="n">
        <v>1.364375489065135</v>
      </c>
      <c r="E1010" s="19" t="n">
        <v>1.197878268244327</v>
      </c>
      <c r="F1010" s="20">
        <f>B1010/B1009-1</f>
        <v/>
      </c>
      <c r="G1010" s="20">
        <f>B1010/MAX(B$2:B1010)-1</f>
        <v/>
      </c>
      <c r="H1010" s="20">
        <f>C1010/C1009-1</f>
        <v/>
      </c>
      <c r="I1010" s="20">
        <f>C1010/MAX(C$2:C1010)-1</f>
        <v/>
      </c>
      <c r="J1010" s="20">
        <f>D1010/D1009-1</f>
        <v/>
      </c>
      <c r="K1010" s="20">
        <f>D1010/MAX(D$2:D1010)-1</f>
        <v/>
      </c>
      <c r="L1010" s="20">
        <f>E1010/E1009-1</f>
        <v/>
      </c>
      <c r="M1010" s="20">
        <f>E1010/MAX(E$2:E1010)-1</f>
        <v/>
      </c>
    </row>
    <row r="1011">
      <c r="A1011" s="11" t="n">
        <v>45175</v>
      </c>
      <c r="B1011" s="19" t="n">
        <v>1.798896994320477</v>
      </c>
      <c r="C1011" s="19" t="n">
        <v>1.427814880436019</v>
      </c>
      <c r="D1011" s="19" t="n">
        <v>1.357959070809685</v>
      </c>
      <c r="E1011" s="19" t="n">
        <v>1.199314082510964</v>
      </c>
      <c r="F1011" s="20">
        <f>B1011/B1010-1</f>
        <v/>
      </c>
      <c r="G1011" s="20">
        <f>B1011/MAX(B$2:B1011)-1</f>
        <v/>
      </c>
      <c r="H1011" s="20">
        <f>C1011/C1010-1</f>
        <v/>
      </c>
      <c r="I1011" s="20">
        <f>C1011/MAX(C$2:C1011)-1</f>
        <v/>
      </c>
      <c r="J1011" s="20">
        <f>D1011/D1010-1</f>
        <v/>
      </c>
      <c r="K1011" s="20">
        <f>D1011/MAX(D$2:D1011)-1</f>
        <v/>
      </c>
      <c r="L1011" s="20">
        <f>E1011/E1010-1</f>
        <v/>
      </c>
      <c r="M1011" s="20">
        <f>E1011/MAX(E$2:E1011)-1</f>
        <v/>
      </c>
    </row>
    <row r="1012">
      <c r="A1012" s="11" t="n">
        <v>45176</v>
      </c>
      <c r="B1012" s="19" t="n">
        <v>1.778342434627161</v>
      </c>
      <c r="C1012" s="19" t="n">
        <v>1.393562551843045</v>
      </c>
      <c r="D1012" s="19" t="n">
        <v>1.329255531472483</v>
      </c>
      <c r="E1012" s="19" t="n">
        <v>1.180603860331725</v>
      </c>
      <c r="F1012" s="20">
        <f>B1012/B1011-1</f>
        <v/>
      </c>
      <c r="G1012" s="20">
        <f>B1012/MAX(B$2:B1012)-1</f>
        <v/>
      </c>
      <c r="H1012" s="20">
        <f>C1012/C1011-1</f>
        <v/>
      </c>
      <c r="I1012" s="20">
        <f>C1012/MAX(C$2:C1012)-1</f>
        <v/>
      </c>
      <c r="J1012" s="20">
        <f>D1012/D1011-1</f>
        <v/>
      </c>
      <c r="K1012" s="20">
        <f>D1012/MAX(D$2:D1012)-1</f>
        <v/>
      </c>
      <c r="L1012" s="20">
        <f>E1012/E1011-1</f>
        <v/>
      </c>
      <c r="M1012" s="20">
        <f>E1012/MAX(E$2:E1012)-1</f>
        <v/>
      </c>
    </row>
    <row r="1013">
      <c r="A1013" s="11" t="n">
        <v>45177</v>
      </c>
      <c r="B1013" s="19" t="n">
        <v>1.777007880401971</v>
      </c>
      <c r="C1013" s="19" t="n">
        <v>1.391338637026655</v>
      </c>
      <c r="D1013" s="19" t="n">
        <v>1.324593075512982</v>
      </c>
      <c r="E1013" s="19" t="n">
        <v>1.179540018673025</v>
      </c>
      <c r="F1013" s="20">
        <f>B1013/B1012-1</f>
        <v/>
      </c>
      <c r="G1013" s="20">
        <f>B1013/MAX(B$2:B1013)-1</f>
        <v/>
      </c>
      <c r="H1013" s="20">
        <f>C1013/C1012-1</f>
        <v/>
      </c>
      <c r="I1013" s="20">
        <f>C1013/MAX(C$2:C1013)-1</f>
        <v/>
      </c>
      <c r="J1013" s="20">
        <f>D1013/D1012-1</f>
        <v/>
      </c>
      <c r="K1013" s="20">
        <f>D1013/MAX(D$2:D1013)-1</f>
        <v/>
      </c>
      <c r="L1013" s="20">
        <f>E1013/E1012-1</f>
        <v/>
      </c>
      <c r="M1013" s="20">
        <f>E1013/MAX(E$2:E1013)-1</f>
        <v/>
      </c>
    </row>
    <row r="1014">
      <c r="A1014" s="11" t="n">
        <v>45180</v>
      </c>
      <c r="B1014" s="19" t="n">
        <v>1.790896683064215</v>
      </c>
      <c r="C1014" s="19" t="n">
        <v>1.414483079897152</v>
      </c>
      <c r="D1014" s="19" t="n">
        <v>1.333267828465822</v>
      </c>
      <c r="E1014" s="19" t="n">
        <v>1.190390459646552</v>
      </c>
      <c r="F1014" s="20">
        <f>B1014/B1013-1</f>
        <v/>
      </c>
      <c r="G1014" s="20">
        <f>B1014/MAX(B$2:B1014)-1</f>
        <v/>
      </c>
      <c r="H1014" s="20">
        <f>C1014/C1013-1</f>
        <v/>
      </c>
      <c r="I1014" s="20">
        <f>C1014/MAX(C$2:C1014)-1</f>
        <v/>
      </c>
      <c r="J1014" s="20">
        <f>D1014/D1013-1</f>
        <v/>
      </c>
      <c r="K1014" s="20">
        <f>D1014/MAX(D$2:D1014)-1</f>
        <v/>
      </c>
      <c r="L1014" s="20">
        <f>E1014/E1013-1</f>
        <v/>
      </c>
      <c r="M1014" s="20">
        <f>E1014/MAX(E$2:E1014)-1</f>
        <v/>
      </c>
    </row>
    <row r="1015">
      <c r="A1015" s="11" t="n">
        <v>45181</v>
      </c>
      <c r="B1015" s="19" t="n">
        <v>1.788880231812619</v>
      </c>
      <c r="C1015" s="19" t="n">
        <v>1.411122844898596</v>
      </c>
      <c r="D1015" s="19" t="n">
        <v>1.325416226781341</v>
      </c>
      <c r="E1015" s="19" t="n">
        <v>1.188724022362993</v>
      </c>
      <c r="F1015" s="20">
        <f>B1015/B1014-1</f>
        <v/>
      </c>
      <c r="G1015" s="20">
        <f>B1015/MAX(B$2:B1015)-1</f>
        <v/>
      </c>
      <c r="H1015" s="20">
        <f>C1015/C1014-1</f>
        <v/>
      </c>
      <c r="I1015" s="20">
        <f>C1015/MAX(C$2:C1015)-1</f>
        <v/>
      </c>
      <c r="J1015" s="20">
        <f>D1015/D1014-1</f>
        <v/>
      </c>
      <c r="K1015" s="20">
        <f>D1015/MAX(D$2:D1015)-1</f>
        <v/>
      </c>
      <c r="L1015" s="20">
        <f>E1015/E1014-1</f>
        <v/>
      </c>
      <c r="M1015" s="20">
        <f>E1015/MAX(E$2:E1015)-1</f>
        <v/>
      </c>
    </row>
    <row r="1016">
      <c r="A1016" s="11" t="n">
        <v>45182</v>
      </c>
      <c r="B1016" s="19" t="n">
        <v>1.774069176699871</v>
      </c>
      <c r="C1016" s="19" t="n">
        <v>1.386441551107833</v>
      </c>
      <c r="D1016" s="19" t="n">
        <v>1.31035323063609</v>
      </c>
      <c r="E1016" s="19" t="n">
        <v>1.177907058924181</v>
      </c>
      <c r="F1016" s="20">
        <f>B1016/B1015-1</f>
        <v/>
      </c>
      <c r="G1016" s="20">
        <f>B1016/MAX(B$2:B1016)-1</f>
        <v/>
      </c>
      <c r="H1016" s="20">
        <f>C1016/C1015-1</f>
        <v/>
      </c>
      <c r="I1016" s="20">
        <f>C1016/MAX(C$2:C1016)-1</f>
        <v/>
      </c>
      <c r="J1016" s="20">
        <f>D1016/D1015-1</f>
        <v/>
      </c>
      <c r="K1016" s="20">
        <f>D1016/MAX(D$2:D1016)-1</f>
        <v/>
      </c>
      <c r="L1016" s="20">
        <f>E1016/E1015-1</f>
        <v/>
      </c>
      <c r="M1016" s="20">
        <f>E1016/MAX(E$2:E1016)-1</f>
        <v/>
      </c>
    </row>
    <row r="1017">
      <c r="A1017" s="11" t="n">
        <v>45183</v>
      </c>
      <c r="B1017" s="19" t="n">
        <v>1.770245427001172</v>
      </c>
      <c r="C1017" s="19" t="n">
        <v>1.380069615484238</v>
      </c>
      <c r="D1017" s="19" t="n">
        <v>1.30011314614192</v>
      </c>
      <c r="E1017" s="19" t="n">
        <v>1.174019945171238</v>
      </c>
      <c r="F1017" s="20">
        <f>B1017/B1016-1</f>
        <v/>
      </c>
      <c r="G1017" s="20">
        <f>B1017/MAX(B$2:B1017)-1</f>
        <v/>
      </c>
      <c r="H1017" s="20">
        <f>C1017/C1016-1</f>
        <v/>
      </c>
      <c r="I1017" s="20">
        <f>C1017/MAX(C$2:C1017)-1</f>
        <v/>
      </c>
      <c r="J1017" s="20">
        <f>D1017/D1016-1</f>
        <v/>
      </c>
      <c r="K1017" s="20">
        <f>D1017/MAX(D$2:D1017)-1</f>
        <v/>
      </c>
      <c r="L1017" s="20">
        <f>E1017/E1016-1</f>
        <v/>
      </c>
      <c r="M1017" s="20">
        <f>E1017/MAX(E$2:E1017)-1</f>
        <v/>
      </c>
    </row>
    <row r="1018">
      <c r="A1018" s="11" t="n">
        <v>45184</v>
      </c>
      <c r="B1018" s="19" t="n">
        <v>1.768331762547367</v>
      </c>
      <c r="C1018" s="19" t="n">
        <v>1.376880665457266</v>
      </c>
      <c r="D1018" s="19" t="n">
        <v>1.294196899877135</v>
      </c>
      <c r="E1018" s="19" t="n">
        <v>1.171438455272154</v>
      </c>
      <c r="F1018" s="20">
        <f>B1018/B1017-1</f>
        <v/>
      </c>
      <c r="G1018" s="20">
        <f>B1018/MAX(B$2:B1018)-1</f>
        <v/>
      </c>
      <c r="H1018" s="20">
        <f>C1018/C1017-1</f>
        <v/>
      </c>
      <c r="I1018" s="20">
        <f>C1018/MAX(C$2:C1018)-1</f>
        <v/>
      </c>
      <c r="J1018" s="20">
        <f>D1018/D1017-1</f>
        <v/>
      </c>
      <c r="K1018" s="20">
        <f>D1018/MAX(D$2:D1018)-1</f>
        <v/>
      </c>
      <c r="L1018" s="20">
        <f>E1018/E1017-1</f>
        <v/>
      </c>
      <c r="M1018" s="20">
        <f>E1018/MAX(E$2:E1018)-1</f>
        <v/>
      </c>
    </row>
    <row r="1019">
      <c r="A1019" s="11" t="n">
        <v>45187</v>
      </c>
      <c r="B1019" s="19" t="n">
        <v>1.77294025379944</v>
      </c>
      <c r="C1019" s="19" t="n">
        <v>1.384560302435099</v>
      </c>
      <c r="D1019" s="19" t="n">
        <v>1.305660079367085</v>
      </c>
      <c r="E1019" s="19" t="n">
        <v>1.176125310132162</v>
      </c>
      <c r="F1019" s="20">
        <f>B1019/B1018-1</f>
        <v/>
      </c>
      <c r="G1019" s="20">
        <f>B1019/MAX(B$2:B1019)-1</f>
        <v/>
      </c>
      <c r="H1019" s="20">
        <f>C1019/C1018-1</f>
        <v/>
      </c>
      <c r="I1019" s="20">
        <f>C1019/MAX(C$2:C1019)-1</f>
        <v/>
      </c>
      <c r="J1019" s="20">
        <f>D1019/D1018-1</f>
        <v/>
      </c>
      <c r="K1019" s="20">
        <f>D1019/MAX(D$2:D1019)-1</f>
        <v/>
      </c>
      <c r="L1019" s="20">
        <f>E1019/E1018-1</f>
        <v/>
      </c>
      <c r="M1019" s="20">
        <f>E1019/MAX(E$2:E1019)-1</f>
        <v/>
      </c>
    </row>
    <row r="1020">
      <c r="A1020" s="11" t="n">
        <v>45188</v>
      </c>
      <c r="B1020" s="19" t="n">
        <v>1.76569587723775</v>
      </c>
      <c r="C1020" s="19" t="n">
        <v>1.372488199206201</v>
      </c>
      <c r="D1020" s="19" t="n">
        <v>1.294155994338363</v>
      </c>
      <c r="E1020" s="19" t="n">
        <v>1.169775737714675</v>
      </c>
      <c r="F1020" s="20">
        <f>B1020/B1019-1</f>
        <v/>
      </c>
      <c r="G1020" s="20">
        <f>B1020/MAX(B$2:B1020)-1</f>
        <v/>
      </c>
      <c r="H1020" s="20">
        <f>C1020/C1019-1</f>
        <v/>
      </c>
      <c r="I1020" s="20">
        <f>C1020/MAX(C$2:C1020)-1</f>
        <v/>
      </c>
      <c r="J1020" s="20">
        <f>D1020/D1019-1</f>
        <v/>
      </c>
      <c r="K1020" s="20">
        <f>D1020/MAX(D$2:D1020)-1</f>
        <v/>
      </c>
      <c r="L1020" s="20">
        <f>E1020/E1019-1</f>
        <v/>
      </c>
      <c r="M1020" s="20">
        <f>E1020/MAX(E$2:E1020)-1</f>
        <v/>
      </c>
    </row>
    <row r="1021">
      <c r="A1021" s="11" t="n">
        <v>45189</v>
      </c>
      <c r="B1021" s="19" t="n">
        <v>1.761143123505064</v>
      </c>
      <c r="C1021" s="19" t="n">
        <v>1.364901443800997</v>
      </c>
      <c r="D1021" s="19" t="n">
        <v>1.284224543103549</v>
      </c>
      <c r="E1021" s="19" t="n">
        <v>1.162990957345901</v>
      </c>
      <c r="F1021" s="20">
        <f>B1021/B1020-1</f>
        <v/>
      </c>
      <c r="G1021" s="20">
        <f>B1021/MAX(B$2:B1021)-1</f>
        <v/>
      </c>
      <c r="H1021" s="20">
        <f>C1021/C1020-1</f>
        <v/>
      </c>
      <c r="I1021" s="20">
        <f>C1021/MAX(C$2:C1021)-1</f>
        <v/>
      </c>
      <c r="J1021" s="20">
        <f>D1021/D1020-1</f>
        <v/>
      </c>
      <c r="K1021" s="20">
        <f>D1021/MAX(D$2:D1021)-1</f>
        <v/>
      </c>
      <c r="L1021" s="20">
        <f>E1021/E1020-1</f>
        <v/>
      </c>
      <c r="M1021" s="20">
        <f>E1021/MAX(E$2:E1021)-1</f>
        <v/>
      </c>
    </row>
    <row r="1022">
      <c r="A1022" s="11" t="n">
        <v>45190</v>
      </c>
      <c r="B1022" s="19" t="n">
        <v>1.75675212692341</v>
      </c>
      <c r="C1022" s="19" t="n">
        <v>1.357584242167416</v>
      </c>
      <c r="D1022" s="19" t="n">
        <v>1.271501305003006</v>
      </c>
      <c r="E1022" s="19" t="n">
        <v>1.154037576672854</v>
      </c>
      <c r="F1022" s="20">
        <f>B1022/B1021-1</f>
        <v/>
      </c>
      <c r="G1022" s="20">
        <f>B1022/MAX(B$2:B1022)-1</f>
        <v/>
      </c>
      <c r="H1022" s="20">
        <f>C1022/C1021-1</f>
        <v/>
      </c>
      <c r="I1022" s="20">
        <f>C1022/MAX(C$2:C1022)-1</f>
        <v/>
      </c>
      <c r="J1022" s="20">
        <f>D1022/D1021-1</f>
        <v/>
      </c>
      <c r="K1022" s="20">
        <f>D1022/MAX(D$2:D1022)-1</f>
        <v/>
      </c>
      <c r="L1022" s="20">
        <f>E1022/E1021-1</f>
        <v/>
      </c>
      <c r="M1022" s="20">
        <f>E1022/MAX(E$2:E1022)-1</f>
        <v/>
      </c>
    </row>
    <row r="1023">
      <c r="A1023" s="11" t="n">
        <v>45191</v>
      </c>
      <c r="B1023" s="19" t="n">
        <v>1.777642006535272</v>
      </c>
      <c r="C1023" s="19" t="n">
        <v>1.392395351303745</v>
      </c>
      <c r="D1023" s="19" t="n">
        <v>1.301057333862284</v>
      </c>
      <c r="E1023" s="19" t="n">
        <v>1.175042869843065</v>
      </c>
      <c r="F1023" s="20">
        <f>B1023/B1022-1</f>
        <v/>
      </c>
      <c r="G1023" s="20">
        <f>B1023/MAX(B$2:B1023)-1</f>
        <v/>
      </c>
      <c r="H1023" s="20">
        <f>C1023/C1022-1</f>
        <v/>
      </c>
      <c r="I1023" s="20">
        <f>C1023/MAX(C$2:C1023)-1</f>
        <v/>
      </c>
      <c r="J1023" s="20">
        <f>D1023/D1022-1</f>
        <v/>
      </c>
      <c r="K1023" s="20">
        <f>D1023/MAX(D$2:D1023)-1</f>
        <v/>
      </c>
      <c r="L1023" s="20">
        <f>E1023/E1022-1</f>
        <v/>
      </c>
      <c r="M1023" s="20">
        <f>E1023/MAX(E$2:E1023)-1</f>
        <v/>
      </c>
    </row>
    <row r="1024">
      <c r="A1024" s="11" t="n">
        <v>45194</v>
      </c>
      <c r="B1024" s="19" t="n">
        <v>1.775623592491694</v>
      </c>
      <c r="C1024" s="19" t="n">
        <v>1.389031845488546</v>
      </c>
      <c r="D1024" s="19" t="n">
        <v>1.295830084207897</v>
      </c>
      <c r="E1024" s="19" t="n">
        <v>1.168697017151657</v>
      </c>
      <c r="F1024" s="20">
        <f>B1024/B1023-1</f>
        <v/>
      </c>
      <c r="G1024" s="20">
        <f>B1024/MAX(B$2:B1024)-1</f>
        <v/>
      </c>
      <c r="H1024" s="20">
        <f>C1024/C1023-1</f>
        <v/>
      </c>
      <c r="I1024" s="20">
        <f>C1024/MAX(C$2:C1024)-1</f>
        <v/>
      </c>
      <c r="J1024" s="20">
        <f>D1024/D1023-1</f>
        <v/>
      </c>
      <c r="K1024" s="20">
        <f>D1024/MAX(D$2:D1024)-1</f>
        <v/>
      </c>
      <c r="L1024" s="20">
        <f>E1024/E1023-1</f>
        <v/>
      </c>
      <c r="M1024" s="20">
        <f>E1024/MAX(E$2:E1024)-1</f>
        <v/>
      </c>
    </row>
    <row r="1025">
      <c r="A1025" s="11" t="n">
        <v>45195</v>
      </c>
      <c r="B1025" s="19" t="n">
        <v>1.775639121640026</v>
      </c>
      <c r="C1025" s="19" t="n">
        <v>1.389057723420225</v>
      </c>
      <c r="D1025" s="19" t="n">
        <v>1.285860764654409</v>
      </c>
      <c r="E1025" s="19" t="n">
        <v>1.163105896881754</v>
      </c>
      <c r="F1025" s="20">
        <f>B1025/B1024-1</f>
        <v/>
      </c>
      <c r="G1025" s="20">
        <f>B1025/MAX(B$2:B1025)-1</f>
        <v/>
      </c>
      <c r="H1025" s="20">
        <f>C1025/C1024-1</f>
        <v/>
      </c>
      <c r="I1025" s="20">
        <f>C1025/MAX(C$2:C1025)-1</f>
        <v/>
      </c>
      <c r="J1025" s="20">
        <f>D1025/D1024-1</f>
        <v/>
      </c>
      <c r="K1025" s="20">
        <f>D1025/MAX(D$2:D1025)-1</f>
        <v/>
      </c>
      <c r="L1025" s="20">
        <f>E1025/E1024-1</f>
        <v/>
      </c>
      <c r="M1025" s="20">
        <f>E1025/MAX(E$2:E1025)-1</f>
        <v/>
      </c>
    </row>
    <row r="1026">
      <c r="A1026" s="11" t="n">
        <v>45196</v>
      </c>
      <c r="B1026" s="19" t="n">
        <v>1.781593597494129</v>
      </c>
      <c r="C1026" s="19" t="n">
        <v>1.398980322911373</v>
      </c>
      <c r="D1026" s="19" t="n">
        <v>1.296455816169863</v>
      </c>
      <c r="E1026" s="19" t="n">
        <v>1.167357543790475</v>
      </c>
      <c r="F1026" s="20">
        <f>B1026/B1025-1</f>
        <v/>
      </c>
      <c r="G1026" s="20">
        <f>B1026/MAX(B$2:B1026)-1</f>
        <v/>
      </c>
      <c r="H1026" s="20">
        <f>C1026/C1025-1</f>
        <v/>
      </c>
      <c r="I1026" s="20">
        <f>C1026/MAX(C$2:C1026)-1</f>
        <v/>
      </c>
      <c r="J1026" s="20">
        <f>D1026/D1025-1</f>
        <v/>
      </c>
      <c r="K1026" s="20">
        <f>D1026/MAX(D$2:D1026)-1</f>
        <v/>
      </c>
      <c r="L1026" s="20">
        <f>E1026/E1025-1</f>
        <v/>
      </c>
      <c r="M1026" s="20">
        <f>E1026/MAX(E$2:E1026)-1</f>
        <v/>
      </c>
    </row>
    <row r="1027">
      <c r="A1027" s="11" t="n">
        <v>45197</v>
      </c>
      <c r="B1027" s="19" t="n">
        <v>1.784423741480841</v>
      </c>
      <c r="C1027" s="19" t="n">
        <v>1.40369650380966</v>
      </c>
      <c r="D1027" s="19" t="n">
        <v>1.29495950060864</v>
      </c>
      <c r="E1027" s="19" t="n">
        <v>1.170738774796624</v>
      </c>
      <c r="F1027" s="20">
        <f>B1027/B1026-1</f>
        <v/>
      </c>
      <c r="G1027" s="20">
        <f>B1027/MAX(B$2:B1027)-1</f>
        <v/>
      </c>
      <c r="H1027" s="20">
        <f>C1027/C1026-1</f>
        <v/>
      </c>
      <c r="I1027" s="20">
        <f>C1027/MAX(C$2:C1027)-1</f>
        <v/>
      </c>
      <c r="J1027" s="20">
        <f>D1027/D1026-1</f>
        <v/>
      </c>
      <c r="K1027" s="20">
        <f>D1027/MAX(D$2:D1027)-1</f>
        <v/>
      </c>
      <c r="L1027" s="20">
        <f>E1027/E1026-1</f>
        <v/>
      </c>
      <c r="M1027" s="20">
        <f>E1027/MAX(E$2:E1027)-1</f>
        <v/>
      </c>
    </row>
    <row r="1028">
      <c r="A1028" s="11" t="n">
        <v>45208</v>
      </c>
      <c r="B1028" s="19" t="n">
        <v>1.790683056248586</v>
      </c>
      <c r="C1028" s="19" t="n">
        <v>1.414127089985697</v>
      </c>
      <c r="D1028" s="19" t="n">
        <v>1.291534162554734</v>
      </c>
      <c r="E1028" s="19" t="n">
        <v>1.167408132065155</v>
      </c>
      <c r="F1028" s="20">
        <f>B1028/B1027-1</f>
        <v/>
      </c>
      <c r="G1028" s="20">
        <f>B1028/MAX(B$2:B1028)-1</f>
        <v/>
      </c>
      <c r="H1028" s="20">
        <f>C1028/C1027-1</f>
        <v/>
      </c>
      <c r="I1028" s="20">
        <f>C1028/MAX(C$2:C1028)-1</f>
        <v/>
      </c>
      <c r="J1028" s="20">
        <f>D1028/D1027-1</f>
        <v/>
      </c>
      <c r="K1028" s="20">
        <f>D1028/MAX(D$2:D1028)-1</f>
        <v/>
      </c>
      <c r="L1028" s="20">
        <f>E1028/E1027-1</f>
        <v/>
      </c>
      <c r="M1028" s="20">
        <f>E1028/MAX(E$2:E1028)-1</f>
        <v/>
      </c>
    </row>
    <row r="1029">
      <c r="A1029" s="11" t="n">
        <v>45209</v>
      </c>
      <c r="B1029" s="19" t="n">
        <v>1.78409861076185</v>
      </c>
      <c r="C1029" s="19" t="n">
        <v>1.403154702652704</v>
      </c>
      <c r="D1029" s="19" t="n">
        <v>1.28463934982294</v>
      </c>
      <c r="E1029" s="19" t="n">
        <v>1.162021596729617</v>
      </c>
      <c r="F1029" s="20">
        <f>B1029/B1028-1</f>
        <v/>
      </c>
      <c r="G1029" s="20">
        <f>B1029/MAX(B$2:B1029)-1</f>
        <v/>
      </c>
      <c r="H1029" s="20">
        <f>C1029/C1028-1</f>
        <v/>
      </c>
      <c r="I1029" s="20">
        <f>C1029/MAX(C$2:C1029)-1</f>
        <v/>
      </c>
      <c r="J1029" s="20">
        <f>D1029/D1028-1</f>
        <v/>
      </c>
      <c r="K1029" s="20">
        <f>D1029/MAX(D$2:D1029)-1</f>
        <v/>
      </c>
      <c r="L1029" s="20">
        <f>E1029/E1028-1</f>
        <v/>
      </c>
      <c r="M1029" s="20">
        <f>E1029/MAX(E$2:E1029)-1</f>
        <v/>
      </c>
    </row>
    <row r="1030">
      <c r="A1030" s="11" t="n">
        <v>45210</v>
      </c>
      <c r="B1030" s="19" t="n">
        <v>1.790822414479346</v>
      </c>
      <c r="C1030" s="19" t="n">
        <v>1.414359317967389</v>
      </c>
      <c r="D1030" s="19" t="n">
        <v>1.29495536481957</v>
      </c>
      <c r="E1030" s="19" t="n">
        <v>1.165085163128587</v>
      </c>
      <c r="F1030" s="20">
        <f>B1030/B1029-1</f>
        <v/>
      </c>
      <c r="G1030" s="20">
        <f>B1030/MAX(B$2:B1030)-1</f>
        <v/>
      </c>
      <c r="H1030" s="20">
        <f>C1030/C1029-1</f>
        <v/>
      </c>
      <c r="I1030" s="20">
        <f>C1030/MAX(C$2:C1030)-1</f>
        <v/>
      </c>
      <c r="J1030" s="20">
        <f>D1030/D1029-1</f>
        <v/>
      </c>
      <c r="K1030" s="20">
        <f>D1030/MAX(D$2:D1030)-1</f>
        <v/>
      </c>
      <c r="L1030" s="20">
        <f>E1030/E1029-1</f>
        <v/>
      </c>
      <c r="M1030" s="20">
        <f>E1030/MAX(E$2:E1030)-1</f>
        <v/>
      </c>
    </row>
    <row r="1031">
      <c r="A1031" s="11" t="n">
        <v>45211</v>
      </c>
      <c r="B1031" s="19" t="n">
        <v>1.7928634583599</v>
      </c>
      <c r="C1031" s="19" t="n">
        <v>1.417760534374479</v>
      </c>
      <c r="D1031" s="19" t="n">
        <v>1.304778380834702</v>
      </c>
      <c r="E1031" s="19" t="n">
        <v>1.174492722355926</v>
      </c>
      <c r="F1031" s="20">
        <f>B1031/B1030-1</f>
        <v/>
      </c>
      <c r="G1031" s="20">
        <f>B1031/MAX(B$2:B1031)-1</f>
        <v/>
      </c>
      <c r="H1031" s="20">
        <f>C1031/C1030-1</f>
        <v/>
      </c>
      <c r="I1031" s="20">
        <f>C1031/MAX(C$2:C1031)-1</f>
        <v/>
      </c>
      <c r="J1031" s="20">
        <f>D1031/D1030-1</f>
        <v/>
      </c>
      <c r="K1031" s="20">
        <f>D1031/MAX(D$2:D1031)-1</f>
        <v/>
      </c>
      <c r="L1031" s="20">
        <f>E1031/E1030-1</f>
        <v/>
      </c>
      <c r="M1031" s="20">
        <f>E1031/MAX(E$2:E1031)-1</f>
        <v/>
      </c>
    </row>
    <row r="1032">
      <c r="A1032" s="11" t="n">
        <v>45212</v>
      </c>
      <c r="B1032" s="19" t="n">
        <v>1.783946811893671</v>
      </c>
      <c r="C1032" s="19" t="n">
        <v>1.402901743465522</v>
      </c>
      <c r="D1032" s="19" t="n">
        <v>1.290237786546369</v>
      </c>
      <c r="E1032" s="19" t="n">
        <v>1.165702265685155</v>
      </c>
      <c r="F1032" s="20">
        <f>B1032/B1031-1</f>
        <v/>
      </c>
      <c r="G1032" s="20">
        <f>B1032/MAX(B$2:B1032)-1</f>
        <v/>
      </c>
      <c r="H1032" s="20">
        <f>C1032/C1031-1</f>
        <v/>
      </c>
      <c r="I1032" s="20">
        <f>C1032/MAX(C$2:C1032)-1</f>
        <v/>
      </c>
      <c r="J1032" s="20">
        <f>D1032/D1031-1</f>
        <v/>
      </c>
      <c r="K1032" s="20">
        <f>D1032/MAX(D$2:D1032)-1</f>
        <v/>
      </c>
      <c r="L1032" s="20">
        <f>E1032/E1031-1</f>
        <v/>
      </c>
      <c r="M1032" s="20">
        <f>E1032/MAX(E$2:E1032)-1</f>
        <v/>
      </c>
    </row>
    <row r="1033">
      <c r="A1033" s="11" t="n">
        <v>45215</v>
      </c>
      <c r="B1033" s="19" t="n">
        <v>1.770500070396318</v>
      </c>
      <c r="C1033" s="19" t="n">
        <v>1.380493955843494</v>
      </c>
      <c r="D1033" s="19" t="n">
        <v>1.264467555607138</v>
      </c>
      <c r="E1033" s="19" t="n">
        <v>1.155256902881672</v>
      </c>
      <c r="F1033" s="20">
        <f>B1033/B1032-1</f>
        <v/>
      </c>
      <c r="G1033" s="20">
        <f>B1033/MAX(B$2:B1033)-1</f>
        <v/>
      </c>
      <c r="H1033" s="20">
        <f>C1033/C1032-1</f>
        <v/>
      </c>
      <c r="I1033" s="20">
        <f>C1033/MAX(C$2:C1033)-1</f>
        <v/>
      </c>
      <c r="J1033" s="20">
        <f>D1033/D1032-1</f>
        <v/>
      </c>
      <c r="K1033" s="20">
        <f>D1033/MAX(D$2:D1033)-1</f>
        <v/>
      </c>
      <c r="L1033" s="20">
        <f>E1033/E1032-1</f>
        <v/>
      </c>
      <c r="M1033" s="20">
        <f>E1033/MAX(E$2:E1033)-1</f>
        <v/>
      </c>
    </row>
    <row r="1034">
      <c r="A1034" s="11" t="n">
        <v>45216</v>
      </c>
      <c r="B1034" s="19" t="n">
        <v>1.770448143002545</v>
      </c>
      <c r="C1034" s="19" t="n">
        <v>1.380407423503174</v>
      </c>
      <c r="D1034" s="19" t="n">
        <v>1.267804103439445</v>
      </c>
      <c r="E1034" s="19" t="n">
        <v>1.156841506191484</v>
      </c>
      <c r="F1034" s="20">
        <f>B1034/B1033-1</f>
        <v/>
      </c>
      <c r="G1034" s="20">
        <f>B1034/MAX(B$2:B1034)-1</f>
        <v/>
      </c>
      <c r="H1034" s="20">
        <f>C1034/C1033-1</f>
        <v/>
      </c>
      <c r="I1034" s="20">
        <f>C1034/MAX(C$2:C1034)-1</f>
        <v/>
      </c>
      <c r="J1034" s="20">
        <f>D1034/D1033-1</f>
        <v/>
      </c>
      <c r="K1034" s="20">
        <f>D1034/MAX(D$2:D1034)-1</f>
        <v/>
      </c>
      <c r="L1034" s="20">
        <f>E1034/E1033-1</f>
        <v/>
      </c>
      <c r="M1034" s="20">
        <f>E1034/MAX(E$2:E1034)-1</f>
        <v/>
      </c>
    </row>
    <row r="1035">
      <c r="A1035" s="11" t="n">
        <v>45217</v>
      </c>
      <c r="B1035" s="19" t="n">
        <v>1.757137815547979</v>
      </c>
      <c r="C1035" s="19" t="n">
        <v>1.358226957637874</v>
      </c>
      <c r="D1035" s="19" t="n">
        <v>1.252649796826131</v>
      </c>
      <c r="E1035" s="19" t="n">
        <v>1.143048389916567</v>
      </c>
      <c r="F1035" s="20">
        <f>B1035/B1034-1</f>
        <v/>
      </c>
      <c r="G1035" s="20">
        <f>B1035/MAX(B$2:B1035)-1</f>
        <v/>
      </c>
      <c r="H1035" s="20">
        <f>C1035/C1034-1</f>
        <v/>
      </c>
      <c r="I1035" s="20">
        <f>C1035/MAX(C$2:C1035)-1</f>
        <v/>
      </c>
      <c r="J1035" s="20">
        <f>D1035/D1034-1</f>
        <v/>
      </c>
      <c r="K1035" s="20">
        <f>D1035/MAX(D$2:D1035)-1</f>
        <v/>
      </c>
      <c r="L1035" s="20">
        <f>E1035/E1034-1</f>
        <v/>
      </c>
      <c r="M1035" s="20">
        <f>E1035/MAX(E$2:E1035)-1</f>
        <v/>
      </c>
    </row>
    <row r="1036">
      <c r="A1036" s="11" t="n">
        <v>45218</v>
      </c>
      <c r="B1036" s="19" t="n">
        <v>1.746833561743856</v>
      </c>
      <c r="C1036" s="19" t="n">
        <v>1.341055843662661</v>
      </c>
      <c r="D1036" s="19" t="n">
        <v>1.236666781477895</v>
      </c>
      <c r="E1036" s="19" t="n">
        <v>1.125368531861314</v>
      </c>
      <c r="F1036" s="20">
        <f>B1036/B1035-1</f>
        <v/>
      </c>
      <c r="G1036" s="20">
        <f>B1036/MAX(B$2:B1036)-1</f>
        <v/>
      </c>
      <c r="H1036" s="20">
        <f>C1036/C1035-1</f>
        <v/>
      </c>
      <c r="I1036" s="20">
        <f>C1036/MAX(C$2:C1036)-1</f>
        <v/>
      </c>
      <c r="J1036" s="20">
        <f>D1036/D1035-1</f>
        <v/>
      </c>
      <c r="K1036" s="20">
        <f>D1036/MAX(D$2:D1036)-1</f>
        <v/>
      </c>
      <c r="L1036" s="20">
        <f>E1036/E1035-1</f>
        <v/>
      </c>
      <c r="M1036" s="20">
        <f>E1036/MAX(E$2:E1036)-1</f>
        <v/>
      </c>
    </row>
    <row r="1037">
      <c r="A1037" s="11" t="n">
        <v>45219</v>
      </c>
      <c r="B1037" s="19" t="n">
        <v>1.732783117388931</v>
      </c>
      <c r="C1037" s="19" t="n">
        <v>1.317642039421517</v>
      </c>
      <c r="D1037" s="19" t="n">
        <v>1.22583851023191</v>
      </c>
      <c r="E1037" s="19" t="n">
        <v>1.115875046961542</v>
      </c>
      <c r="F1037" s="20">
        <f>B1037/B1036-1</f>
        <v/>
      </c>
      <c r="G1037" s="20">
        <f>B1037/MAX(B$2:B1037)-1</f>
        <v/>
      </c>
      <c r="H1037" s="20">
        <f>C1037/C1036-1</f>
        <v/>
      </c>
      <c r="I1037" s="20">
        <f>C1037/MAX(C$2:C1037)-1</f>
        <v/>
      </c>
      <c r="J1037" s="20">
        <f>D1037/D1036-1</f>
        <v/>
      </c>
      <c r="K1037" s="20">
        <f>D1037/MAX(D$2:D1037)-1</f>
        <v/>
      </c>
      <c r="L1037" s="20">
        <f>E1037/E1036-1</f>
        <v/>
      </c>
      <c r="M1037" s="20">
        <f>E1037/MAX(E$2:E1037)-1</f>
        <v/>
      </c>
    </row>
    <row r="1038">
      <c r="A1038" s="11" t="n">
        <v>45222</v>
      </c>
      <c r="B1038" s="19" t="n">
        <v>1.721900561564656</v>
      </c>
      <c r="C1038" s="19" t="n">
        <v>1.299507237042576</v>
      </c>
      <c r="D1038" s="19" t="n">
        <v>1.205135719472529</v>
      </c>
      <c r="E1038" s="19" t="n">
        <v>1.0964945301428</v>
      </c>
      <c r="F1038" s="20">
        <f>B1038/B1037-1</f>
        <v/>
      </c>
      <c r="G1038" s="20">
        <f>B1038/MAX(B$2:B1038)-1</f>
        <v/>
      </c>
      <c r="H1038" s="20">
        <f>C1038/C1037-1</f>
        <v/>
      </c>
      <c r="I1038" s="20">
        <f>C1038/MAX(C$2:C1038)-1</f>
        <v/>
      </c>
      <c r="J1038" s="20">
        <f>D1038/D1037-1</f>
        <v/>
      </c>
      <c r="K1038" s="20">
        <f>D1038/MAX(D$2:D1038)-1</f>
        <v/>
      </c>
      <c r="L1038" s="20">
        <f>E1038/E1037-1</f>
        <v/>
      </c>
      <c r="M1038" s="20">
        <f>E1038/MAX(E$2:E1038)-1</f>
        <v/>
      </c>
    </row>
    <row r="1039">
      <c r="A1039" s="11" t="n">
        <v>45223</v>
      </c>
      <c r="B1039" s="19" t="n">
        <v>1.725125024687744</v>
      </c>
      <c r="C1039" s="19" t="n">
        <v>1.304880515384502</v>
      </c>
      <c r="D1039" s="19" t="n">
        <v>1.215414253880711</v>
      </c>
      <c r="E1039" s="19" t="n">
        <v>1.108449357789292</v>
      </c>
      <c r="F1039" s="20">
        <f>B1039/B1038-1</f>
        <v/>
      </c>
      <c r="G1039" s="20">
        <f>B1039/MAX(B$2:B1039)-1</f>
        <v/>
      </c>
      <c r="H1039" s="20">
        <f>C1039/C1038-1</f>
        <v/>
      </c>
      <c r="I1039" s="20">
        <f>C1039/MAX(C$2:C1039)-1</f>
        <v/>
      </c>
      <c r="J1039" s="20">
        <f>D1039/D1038-1</f>
        <v/>
      </c>
      <c r="K1039" s="20">
        <f>D1039/MAX(D$2:D1039)-1</f>
        <v/>
      </c>
      <c r="L1039" s="20">
        <f>E1039/E1038-1</f>
        <v/>
      </c>
      <c r="M1039" s="20">
        <f>E1039/MAX(E$2:E1039)-1</f>
        <v/>
      </c>
    </row>
    <row r="1040">
      <c r="A1040" s="11" t="n">
        <v>45224</v>
      </c>
      <c r="B1040" s="19" t="n">
        <v>1.727102046912162</v>
      </c>
      <c r="C1040" s="19" t="n">
        <v>1.308175045448719</v>
      </c>
      <c r="D1040" s="19" t="n">
        <v>1.204416803013078</v>
      </c>
      <c r="E1040" s="19" t="n">
        <v>1.11773453802862</v>
      </c>
      <c r="F1040" s="20">
        <f>B1040/B1039-1</f>
        <v/>
      </c>
      <c r="G1040" s="20">
        <f>B1040/MAX(B$2:B1040)-1</f>
        <v/>
      </c>
      <c r="H1040" s="20">
        <f>C1040/C1039-1</f>
        <v/>
      </c>
      <c r="I1040" s="20">
        <f>C1040/MAX(C$2:C1040)-1</f>
        <v/>
      </c>
      <c r="J1040" s="20">
        <f>D1040/D1039-1</f>
        <v/>
      </c>
      <c r="K1040" s="20">
        <f>D1040/MAX(D$2:D1040)-1</f>
        <v/>
      </c>
      <c r="L1040" s="20">
        <f>E1040/E1039-1</f>
        <v/>
      </c>
      <c r="M1040" s="20">
        <f>E1040/MAX(E$2:E1040)-1</f>
        <v/>
      </c>
    </row>
    <row r="1041">
      <c r="A1041" s="11" t="n">
        <v>45225</v>
      </c>
      <c r="B1041" s="19" t="n">
        <v>1.730760950948915</v>
      </c>
      <c r="C1041" s="19" t="n">
        <v>1.3142722805745</v>
      </c>
      <c r="D1041" s="19" t="n">
        <v>1.212211085245915</v>
      </c>
      <c r="E1041" s="19" t="n">
        <v>1.121941920196997</v>
      </c>
      <c r="F1041" s="20">
        <f>B1041/B1040-1</f>
        <v/>
      </c>
      <c r="G1041" s="20">
        <f>B1041/MAX(B$2:B1041)-1</f>
        <v/>
      </c>
      <c r="H1041" s="20">
        <f>C1041/C1040-1</f>
        <v/>
      </c>
      <c r="I1041" s="20">
        <f>C1041/MAX(C$2:C1041)-1</f>
        <v/>
      </c>
      <c r="J1041" s="20">
        <f>D1041/D1040-1</f>
        <v/>
      </c>
      <c r="K1041" s="20">
        <f>D1041/MAX(D$2:D1041)-1</f>
        <v/>
      </c>
      <c r="L1041" s="20">
        <f>E1041/E1040-1</f>
        <v/>
      </c>
      <c r="M1041" s="20">
        <f>E1041/MAX(E$2:E1041)-1</f>
        <v/>
      </c>
    </row>
    <row r="1042">
      <c r="A1042" s="11" t="n">
        <v>45226</v>
      </c>
      <c r="B1042" s="19" t="n">
        <v>1.749394427989316</v>
      </c>
      <c r="C1042" s="19" t="n">
        <v>1.345323297377599</v>
      </c>
      <c r="D1042" s="19" t="n">
        <v>1.24713982721578</v>
      </c>
      <c r="E1042" s="19" t="n">
        <v>1.138130168094422</v>
      </c>
      <c r="F1042" s="20">
        <f>B1042/B1041-1</f>
        <v/>
      </c>
      <c r="G1042" s="20">
        <f>B1042/MAX(B$2:B1042)-1</f>
        <v/>
      </c>
      <c r="H1042" s="20">
        <f>C1042/C1041-1</f>
        <v/>
      </c>
      <c r="I1042" s="20">
        <f>C1042/MAX(C$2:C1042)-1</f>
        <v/>
      </c>
      <c r="J1042" s="20">
        <f>D1042/D1041-1</f>
        <v/>
      </c>
      <c r="K1042" s="20">
        <f>D1042/MAX(D$2:D1042)-1</f>
        <v/>
      </c>
      <c r="L1042" s="20">
        <f>E1042/E1041-1</f>
        <v/>
      </c>
      <c r="M1042" s="20">
        <f>E1042/MAX(E$2:E1042)-1</f>
        <v/>
      </c>
    </row>
    <row r="1043">
      <c r="A1043" s="11" t="n">
        <v>45229</v>
      </c>
      <c r="B1043" s="19" t="n">
        <v>1.76690764150568</v>
      </c>
      <c r="C1043" s="19" t="n">
        <v>1.374507495581391</v>
      </c>
      <c r="D1043" s="19" t="n">
        <v>1.278014138841153</v>
      </c>
      <c r="E1043" s="19" t="n">
        <v>1.149485003924311</v>
      </c>
      <c r="F1043" s="20">
        <f>B1043/B1042-1</f>
        <v/>
      </c>
      <c r="G1043" s="20">
        <f>B1043/MAX(B$2:B1043)-1</f>
        <v/>
      </c>
      <c r="H1043" s="20">
        <f>C1043/C1042-1</f>
        <v/>
      </c>
      <c r="I1043" s="20">
        <f>C1043/MAX(C$2:C1043)-1</f>
        <v/>
      </c>
      <c r="J1043" s="20">
        <f>D1043/D1042-1</f>
        <v/>
      </c>
      <c r="K1043" s="20">
        <f>D1043/MAX(D$2:D1043)-1</f>
        <v/>
      </c>
      <c r="L1043" s="20">
        <f>E1043/E1042-1</f>
        <v/>
      </c>
      <c r="M1043" s="20">
        <f>E1043/MAX(E$2:E1043)-1</f>
        <v/>
      </c>
    </row>
    <row r="1044">
      <c r="A1044" s="11" t="n">
        <v>45230</v>
      </c>
      <c r="B1044" s="19" t="n">
        <v>1.762243181817516</v>
      </c>
      <c r="C1044" s="19" t="n">
        <v>1.366734592228972</v>
      </c>
      <c r="D1044" s="19" t="n">
        <v>1.271901507217243</v>
      </c>
      <c r="E1044" s="19" t="n">
        <v>1.144824187146859</v>
      </c>
      <c r="F1044" s="20">
        <f>B1044/B1043-1</f>
        <v/>
      </c>
      <c r="G1044" s="20">
        <f>B1044/MAX(B$2:B1044)-1</f>
        <v/>
      </c>
      <c r="H1044" s="20">
        <f>C1044/C1043-1</f>
        <v/>
      </c>
      <c r="I1044" s="20">
        <f>C1044/MAX(C$2:C1044)-1</f>
        <v/>
      </c>
      <c r="J1044" s="20">
        <f>D1044/D1043-1</f>
        <v/>
      </c>
      <c r="K1044" s="20">
        <f>D1044/MAX(D$2:D1044)-1</f>
        <v/>
      </c>
      <c r="L1044" s="20">
        <f>E1044/E1043-1</f>
        <v/>
      </c>
      <c r="M1044" s="20">
        <f>E1044/MAX(E$2:E1044)-1</f>
        <v/>
      </c>
    </row>
    <row r="1045">
      <c r="A1045" s="11" t="n">
        <v>45231</v>
      </c>
      <c r="B1045" s="19" t="n">
        <v>1.756364100267213</v>
      </c>
      <c r="C1045" s="19" t="n">
        <v>1.356937630577133</v>
      </c>
      <c r="D1045" s="19" t="n">
        <v>1.266021384485117</v>
      </c>
      <c r="E1045" s="19" t="n">
        <v>1.144008451217652</v>
      </c>
      <c r="F1045" s="20">
        <f>B1045/B1044-1</f>
        <v/>
      </c>
      <c r="G1045" s="20">
        <f>B1045/MAX(B$2:B1045)-1</f>
        <v/>
      </c>
      <c r="H1045" s="20">
        <f>C1045/C1044-1</f>
        <v/>
      </c>
      <c r="I1045" s="20">
        <f>C1045/MAX(C$2:C1045)-1</f>
        <v/>
      </c>
      <c r="J1045" s="20">
        <f>D1045/D1044-1</f>
        <v/>
      </c>
      <c r="K1045" s="20">
        <f>D1045/MAX(D$2:D1045)-1</f>
        <v/>
      </c>
      <c r="L1045" s="20">
        <f>E1045/E1044-1</f>
        <v/>
      </c>
      <c r="M1045" s="20">
        <f>E1045/MAX(E$2:E1045)-1</f>
        <v/>
      </c>
    </row>
    <row r="1046">
      <c r="A1046" s="11" t="n">
        <v>45232</v>
      </c>
      <c r="B1046" s="19" t="n">
        <v>1.747086213482432</v>
      </c>
      <c r="C1046" s="19" t="n">
        <v>1.341476865105028</v>
      </c>
      <c r="D1046" s="19" t="n">
        <v>1.253470169361209</v>
      </c>
      <c r="E1046" s="19" t="n">
        <v>1.135060278161116</v>
      </c>
      <c r="F1046" s="20">
        <f>B1046/B1045-1</f>
        <v/>
      </c>
      <c r="G1046" s="20">
        <f>B1046/MAX(B$2:B1046)-1</f>
        <v/>
      </c>
      <c r="H1046" s="20">
        <f>C1046/C1045-1</f>
        <v/>
      </c>
      <c r="I1046" s="20">
        <f>C1046/MAX(C$2:C1046)-1</f>
        <v/>
      </c>
      <c r="J1046" s="20">
        <f>D1046/D1045-1</f>
        <v/>
      </c>
      <c r="K1046" s="20">
        <f>D1046/MAX(D$2:D1046)-1</f>
        <v/>
      </c>
      <c r="L1046" s="20">
        <f>E1046/E1045-1</f>
        <v/>
      </c>
      <c r="M1046" s="20">
        <f>E1046/MAX(E$2:E1046)-1</f>
        <v/>
      </c>
    </row>
    <row r="1047">
      <c r="A1047" s="11" t="n">
        <v>45233</v>
      </c>
      <c r="B1047" s="19" t="n">
        <v>1.756471476534494</v>
      </c>
      <c r="C1047" s="19" t="n">
        <v>1.357116563487633</v>
      </c>
      <c r="D1047" s="19" t="n">
        <v>1.27189258942206</v>
      </c>
      <c r="E1047" s="19" t="n">
        <v>1.147134880987364</v>
      </c>
      <c r="F1047" s="20">
        <f>B1047/B1046-1</f>
        <v/>
      </c>
      <c r="G1047" s="20">
        <f>B1047/MAX(B$2:B1047)-1</f>
        <v/>
      </c>
      <c r="H1047" s="20">
        <f>C1047/C1046-1</f>
        <v/>
      </c>
      <c r="I1047" s="20">
        <f>C1047/MAX(C$2:C1047)-1</f>
        <v/>
      </c>
      <c r="J1047" s="20">
        <f>D1047/D1046-1</f>
        <v/>
      </c>
      <c r="K1047" s="20">
        <f>D1047/MAX(D$2:D1047)-1</f>
        <v/>
      </c>
      <c r="L1047" s="20">
        <f>E1047/E1046-1</f>
        <v/>
      </c>
      <c r="M1047" s="20">
        <f>E1047/MAX(E$2:E1047)-1</f>
        <v/>
      </c>
    </row>
    <row r="1048">
      <c r="A1048" s="11" t="n">
        <v>45236</v>
      </c>
      <c r="B1048" s="19" t="n">
        <v>1.779601161579731</v>
      </c>
      <c r="C1048" s="19" t="n">
        <v>1.395660107316456</v>
      </c>
      <c r="D1048" s="19" t="n">
        <v>1.313329706332481</v>
      </c>
      <c r="E1048" s="19" t="n">
        <v>1.167019420689861</v>
      </c>
      <c r="F1048" s="20">
        <f>B1048/B1047-1</f>
        <v/>
      </c>
      <c r="G1048" s="20">
        <f>B1048/MAX(B$2:B1048)-1</f>
        <v/>
      </c>
      <c r="H1048" s="20">
        <f>C1048/C1047-1</f>
        <v/>
      </c>
      <c r="I1048" s="20">
        <f>C1048/MAX(C$2:C1048)-1</f>
        <v/>
      </c>
      <c r="J1048" s="20">
        <f>D1048/D1047-1</f>
        <v/>
      </c>
      <c r="K1048" s="20">
        <f>D1048/MAX(D$2:D1048)-1</f>
        <v/>
      </c>
      <c r="L1048" s="20">
        <f>E1048/E1047-1</f>
        <v/>
      </c>
      <c r="M1048" s="20">
        <f>E1048/MAX(E$2:E1048)-1</f>
        <v/>
      </c>
    </row>
    <row r="1049">
      <c r="A1049" s="11" t="n">
        <v>45237</v>
      </c>
      <c r="B1049" s="19" t="n">
        <v>1.777650694776254</v>
      </c>
      <c r="C1049" s="19" t="n">
        <v>1.392409829477417</v>
      </c>
      <c r="D1049" s="19" t="n">
        <v>1.307145667725407</v>
      </c>
      <c r="E1049" s="19" t="n">
        <v>1.168049412841238</v>
      </c>
      <c r="F1049" s="20">
        <f>B1049/B1048-1</f>
        <v/>
      </c>
      <c r="G1049" s="20">
        <f>B1049/MAX(B$2:B1049)-1</f>
        <v/>
      </c>
      <c r="H1049" s="20">
        <f>C1049/C1048-1</f>
        <v/>
      </c>
      <c r="I1049" s="20">
        <f>C1049/MAX(C$2:C1049)-1</f>
        <v/>
      </c>
      <c r="J1049" s="20">
        <f>D1049/D1048-1</f>
        <v/>
      </c>
      <c r="K1049" s="20">
        <f>D1049/MAX(D$2:D1049)-1</f>
        <v/>
      </c>
      <c r="L1049" s="20">
        <f>E1049/E1048-1</f>
        <v/>
      </c>
      <c r="M1049" s="20">
        <f>E1049/MAX(E$2:E1049)-1</f>
        <v/>
      </c>
    </row>
    <row r="1050">
      <c r="A1050" s="11" t="n">
        <v>45238</v>
      </c>
      <c r="B1050" s="19" t="n">
        <v>1.782782068039559</v>
      </c>
      <c r="C1050" s="19" t="n">
        <v>1.400960802389043</v>
      </c>
      <c r="D1050" s="19" t="n">
        <v>1.307380890728769</v>
      </c>
      <c r="E1050" s="19" t="n">
        <v>1.168503963368138</v>
      </c>
      <c r="F1050" s="20">
        <f>B1050/B1049-1</f>
        <v/>
      </c>
      <c r="G1050" s="20">
        <f>B1050/MAX(B$2:B1050)-1</f>
        <v/>
      </c>
      <c r="H1050" s="20">
        <f>C1050/C1049-1</f>
        <v/>
      </c>
      <c r="I1050" s="20">
        <f>C1050/MAX(C$2:C1050)-1</f>
        <v/>
      </c>
      <c r="J1050" s="20">
        <f>D1050/D1049-1</f>
        <v/>
      </c>
      <c r="K1050" s="20">
        <f>D1050/MAX(D$2:D1050)-1</f>
        <v/>
      </c>
      <c r="L1050" s="20">
        <f>E1050/E1049-1</f>
        <v/>
      </c>
      <c r="M1050" s="20">
        <f>E1050/MAX(E$2:E1050)-1</f>
        <v/>
      </c>
    </row>
    <row r="1051">
      <c r="A1051" s="11" t="n">
        <v>45239</v>
      </c>
      <c r="B1051" s="19" t="n">
        <v>1.781151132225005</v>
      </c>
      <c r="C1051" s="19" t="n">
        <v>1.398242994259476</v>
      </c>
      <c r="D1051" s="19" t="n">
        <v>1.304314655485216</v>
      </c>
      <c r="E1051" s="19" t="n">
        <v>1.164753363562307</v>
      </c>
      <c r="F1051" s="20">
        <f>B1051/B1050-1</f>
        <v/>
      </c>
      <c r="G1051" s="20">
        <f>B1051/MAX(B$2:B1051)-1</f>
        <v/>
      </c>
      <c r="H1051" s="20">
        <f>C1051/C1050-1</f>
        <v/>
      </c>
      <c r="I1051" s="20">
        <f>C1051/MAX(C$2:C1051)-1</f>
        <v/>
      </c>
      <c r="J1051" s="20">
        <f>D1051/D1050-1</f>
        <v/>
      </c>
      <c r="K1051" s="20">
        <f>D1051/MAX(D$2:D1051)-1</f>
        <v/>
      </c>
      <c r="L1051" s="20">
        <f>E1051/E1050-1</f>
        <v/>
      </c>
      <c r="M1051" s="20">
        <f>E1051/MAX(E$2:E1051)-1</f>
        <v/>
      </c>
    </row>
    <row r="1052">
      <c r="A1052" s="11" t="n">
        <v>45240</v>
      </c>
      <c r="B1052" s="19" t="n">
        <v>1.777788378860911</v>
      </c>
      <c r="C1052" s="19" t="n">
        <v>1.392639267644913</v>
      </c>
      <c r="D1052" s="19" t="n">
        <v>1.295817159867052</v>
      </c>
      <c r="E1052" s="19" t="n">
        <v>1.159142528744183</v>
      </c>
      <c r="F1052" s="20">
        <f>B1052/B1051-1</f>
        <v/>
      </c>
      <c r="G1052" s="20">
        <f>B1052/MAX(B$2:B1052)-1</f>
        <v/>
      </c>
      <c r="H1052" s="20">
        <f>C1052/C1051-1</f>
        <v/>
      </c>
      <c r="I1052" s="20">
        <f>C1052/MAX(C$2:C1052)-1</f>
        <v/>
      </c>
      <c r="J1052" s="20">
        <f>D1052/D1051-1</f>
        <v/>
      </c>
      <c r="K1052" s="20">
        <f>D1052/MAX(D$2:D1052)-1</f>
        <v/>
      </c>
      <c r="L1052" s="20">
        <f>E1052/E1051-1</f>
        <v/>
      </c>
      <c r="M1052" s="20">
        <f>E1052/MAX(E$2:E1052)-1</f>
        <v/>
      </c>
    </row>
    <row r="1053">
      <c r="A1053" s="11" t="n">
        <v>45243</v>
      </c>
      <c r="B1053" s="19" t="n">
        <v>1.781884696863893</v>
      </c>
      <c r="C1053" s="19" t="n">
        <v>1.399465413879759</v>
      </c>
      <c r="D1053" s="19" t="n">
        <v>1.29838858672139</v>
      </c>
      <c r="E1053" s="19" t="n">
        <v>1.163738250315247</v>
      </c>
      <c r="F1053" s="20">
        <f>B1053/B1052-1</f>
        <v/>
      </c>
      <c r="G1053" s="20">
        <f>B1053/MAX(B$2:B1053)-1</f>
        <v/>
      </c>
      <c r="H1053" s="20">
        <f>C1053/C1052-1</f>
        <v/>
      </c>
      <c r="I1053" s="20">
        <f>C1053/MAX(C$2:C1053)-1</f>
        <v/>
      </c>
      <c r="J1053" s="20">
        <f>D1053/D1052-1</f>
        <v/>
      </c>
      <c r="K1053" s="20">
        <f>D1053/MAX(D$2:D1053)-1</f>
        <v/>
      </c>
      <c r="L1053" s="20">
        <f>E1053/E1052-1</f>
        <v/>
      </c>
      <c r="M1053" s="20">
        <f>E1053/MAX(E$2:E1053)-1</f>
        <v/>
      </c>
    </row>
    <row r="1054">
      <c r="A1054" s="11" t="n">
        <v>45244</v>
      </c>
      <c r="B1054" s="19" t="n">
        <v>1.78225728096552</v>
      </c>
      <c r="C1054" s="19" t="n">
        <v>1.400086291839096</v>
      </c>
      <c r="D1054" s="19" t="n">
        <v>1.295544133166721</v>
      </c>
      <c r="E1054" s="19" t="n">
        <v>1.168308305776363</v>
      </c>
      <c r="F1054" s="20">
        <f>B1054/B1053-1</f>
        <v/>
      </c>
      <c r="G1054" s="20">
        <f>B1054/MAX(B$2:B1054)-1</f>
        <v/>
      </c>
      <c r="H1054" s="20">
        <f>C1054/C1053-1</f>
        <v/>
      </c>
      <c r="I1054" s="20">
        <f>C1054/MAX(C$2:C1054)-1</f>
        <v/>
      </c>
      <c r="J1054" s="20">
        <f>D1054/D1053-1</f>
        <v/>
      </c>
      <c r="K1054" s="20">
        <f>D1054/MAX(D$2:D1054)-1</f>
        <v/>
      </c>
      <c r="L1054" s="20">
        <f>E1054/E1053-1</f>
        <v/>
      </c>
      <c r="M1054" s="20">
        <f>E1054/MAX(E$2:E1054)-1</f>
        <v/>
      </c>
    </row>
    <row r="1055">
      <c r="A1055" s="11" t="n">
        <v>45245</v>
      </c>
      <c r="B1055" s="19" t="n">
        <v>1.786291408904634</v>
      </c>
      <c r="C1055" s="19" t="n">
        <v>1.40598501725476</v>
      </c>
      <c r="D1055" s="19" t="n">
        <v>1.30236275690924</v>
      </c>
      <c r="E1055" s="19" t="n">
        <v>1.175310318148172</v>
      </c>
      <c r="F1055" s="20">
        <f>B1055/B1054-1</f>
        <v/>
      </c>
      <c r="G1055" s="20">
        <f>B1055/MAX(B$2:B1055)-1</f>
        <v/>
      </c>
      <c r="H1055" s="20">
        <f>C1055/C1054-1</f>
        <v/>
      </c>
      <c r="I1055" s="20">
        <f>C1055/MAX(C$2:C1055)-1</f>
        <v/>
      </c>
      <c r="J1055" s="20">
        <f>D1055/D1054-1</f>
        <v/>
      </c>
      <c r="K1055" s="20">
        <f>D1055/MAX(D$2:D1055)-1</f>
        <v/>
      </c>
      <c r="L1055" s="20">
        <f>E1055/E1054-1</f>
        <v/>
      </c>
      <c r="M1055" s="20">
        <f>E1055/MAX(E$2:E1055)-1</f>
        <v/>
      </c>
    </row>
    <row r="1056">
      <c r="A1056" s="11" t="n">
        <v>45246</v>
      </c>
      <c r="B1056" s="19" t="n">
        <v>1.770544118949988</v>
      </c>
      <c r="C1056" s="19" t="n">
        <v>1.384961169874913</v>
      </c>
      <c r="D1056" s="19" t="n">
        <v>1.278293692333611</v>
      </c>
      <c r="E1056" s="19" t="n">
        <v>1.16459787901219</v>
      </c>
      <c r="F1056" s="20">
        <f>B1056/B1055-1</f>
        <v/>
      </c>
      <c r="G1056" s="20">
        <f>B1056/MAX(B$2:B1056)-1</f>
        <v/>
      </c>
      <c r="H1056" s="20">
        <f>C1056/C1055-1</f>
        <v/>
      </c>
      <c r="I1056" s="20">
        <f>C1056/MAX(C$2:C1056)-1</f>
        <v/>
      </c>
      <c r="J1056" s="20">
        <f>D1056/D1055-1</f>
        <v/>
      </c>
      <c r="K1056" s="20">
        <f>D1056/MAX(D$2:D1056)-1</f>
        <v/>
      </c>
      <c r="L1056" s="20">
        <f>E1056/E1055-1</f>
        <v/>
      </c>
      <c r="M1056" s="20">
        <f>E1056/MAX(E$2:E1056)-1</f>
        <v/>
      </c>
    </row>
    <row r="1057">
      <c r="A1057" s="11" t="n">
        <v>45247</v>
      </c>
      <c r="B1057" s="19" t="n">
        <v>1.773183728050924</v>
      </c>
      <c r="C1057" s="19" t="n">
        <v>1.389388556903672</v>
      </c>
      <c r="D1057" s="19" t="n">
        <v>1.283726891359348</v>
      </c>
      <c r="E1057" s="19" t="n">
        <v>1.168365961530593</v>
      </c>
      <c r="F1057" s="20">
        <f>B1057/B1056-1</f>
        <v/>
      </c>
      <c r="G1057" s="20">
        <f>B1057/MAX(B$2:B1057)-1</f>
        <v/>
      </c>
      <c r="H1057" s="20">
        <f>C1057/C1056-1</f>
        <v/>
      </c>
      <c r="I1057" s="20">
        <f>C1057/MAX(C$2:C1057)-1</f>
        <v/>
      </c>
      <c r="J1057" s="20">
        <f>D1057/D1056-1</f>
        <v/>
      </c>
      <c r="K1057" s="20">
        <f>D1057/MAX(D$2:D1057)-1</f>
        <v/>
      </c>
      <c r="L1057" s="20">
        <f>E1057/E1056-1</f>
        <v/>
      </c>
      <c r="M1057" s="20">
        <f>E1057/MAX(E$2:E1057)-1</f>
        <v/>
      </c>
    </row>
    <row r="1058">
      <c r="A1058" s="11" t="n">
        <v>45250</v>
      </c>
      <c r="B1058" s="19" t="n">
        <v>1.779645192547485</v>
      </c>
      <c r="C1058" s="19" t="n">
        <v>1.391203571539374</v>
      </c>
      <c r="D1058" s="19" t="n">
        <v>1.287891243222718</v>
      </c>
      <c r="E1058" s="19" t="n">
        <v>1.175006788500095</v>
      </c>
      <c r="F1058" s="20">
        <f>B1058/B1057-1</f>
        <v/>
      </c>
      <c r="G1058" s="20">
        <f>B1058/MAX(B$2:B1058)-1</f>
        <v/>
      </c>
      <c r="H1058" s="20">
        <f>C1058/C1057-1</f>
        <v/>
      </c>
      <c r="I1058" s="20">
        <f>C1058/MAX(C$2:C1058)-1</f>
        <v/>
      </c>
      <c r="J1058" s="20">
        <f>D1058/D1057-1</f>
        <v/>
      </c>
      <c r="K1058" s="20">
        <f>D1058/MAX(D$2:D1058)-1</f>
        <v/>
      </c>
      <c r="L1058" s="20">
        <f>E1058/E1057-1</f>
        <v/>
      </c>
      <c r="M1058" s="20">
        <f>E1058/MAX(E$2:E1058)-1</f>
        <v/>
      </c>
    </row>
    <row r="1059">
      <c r="A1059" s="11" t="n">
        <v>45251</v>
      </c>
      <c r="B1059" s="19" t="n">
        <v>1.76805775244223</v>
      </c>
      <c r="C1059" s="19" t="n">
        <v>1.383402673844506</v>
      </c>
      <c r="D1059" s="19" t="n">
        <v>1.282269736550882</v>
      </c>
      <c r="E1059" s="19" t="n">
        <v>1.172189467967579</v>
      </c>
      <c r="F1059" s="20">
        <f>B1059/B1058-1</f>
        <v/>
      </c>
      <c r="G1059" s="20">
        <f>B1059/MAX(B$2:B1059)-1</f>
        <v/>
      </c>
      <c r="H1059" s="20">
        <f>C1059/C1058-1</f>
        <v/>
      </c>
      <c r="I1059" s="20">
        <f>C1059/MAX(C$2:C1059)-1</f>
        <v/>
      </c>
      <c r="J1059" s="20">
        <f>D1059/D1058-1</f>
        <v/>
      </c>
      <c r="K1059" s="20">
        <f>D1059/MAX(D$2:D1059)-1</f>
        <v/>
      </c>
      <c r="L1059" s="20">
        <f>E1059/E1058-1</f>
        <v/>
      </c>
      <c r="M1059" s="20">
        <f>E1059/MAX(E$2:E1059)-1</f>
        <v/>
      </c>
    </row>
    <row r="1060">
      <c r="A1060" s="11" t="n">
        <v>45252</v>
      </c>
      <c r="B1060" s="19" t="n">
        <v>1.750968024730487</v>
      </c>
      <c r="C1060" s="19" t="n">
        <v>1.363388450602131</v>
      </c>
      <c r="D1060" s="19" t="n">
        <v>1.260128337412148</v>
      </c>
      <c r="E1060" s="19" t="n">
        <v>1.159926275029107</v>
      </c>
      <c r="F1060" s="20">
        <f>B1060/B1059-1</f>
        <v/>
      </c>
      <c r="G1060" s="20">
        <f>B1060/MAX(B$2:B1060)-1</f>
        <v/>
      </c>
      <c r="H1060" s="20">
        <f>C1060/C1059-1</f>
        <v/>
      </c>
      <c r="I1060" s="20">
        <f>C1060/MAX(C$2:C1060)-1</f>
        <v/>
      </c>
      <c r="J1060" s="20">
        <f>D1060/D1059-1</f>
        <v/>
      </c>
      <c r="K1060" s="20">
        <f>D1060/MAX(D$2:D1060)-1</f>
        <v/>
      </c>
      <c r="L1060" s="20">
        <f>E1060/E1059-1</f>
        <v/>
      </c>
      <c r="M1060" s="20">
        <f>E1060/MAX(E$2:E1060)-1</f>
        <v/>
      </c>
    </row>
    <row r="1061">
      <c r="A1061" s="11" t="n">
        <v>45253</v>
      </c>
      <c r="B1061" s="19" t="n">
        <v>1.761524778551329</v>
      </c>
      <c r="C1061" s="19" t="n">
        <v>1.375365940649589</v>
      </c>
      <c r="D1061" s="19" t="n">
        <v>1.267458635808683</v>
      </c>
      <c r="E1061" s="19" t="n">
        <v>1.168260321309939</v>
      </c>
      <c r="F1061" s="20">
        <f>B1061/B1060-1</f>
        <v/>
      </c>
      <c r="G1061" s="20">
        <f>B1061/MAX(B$2:B1061)-1</f>
        <v/>
      </c>
      <c r="H1061" s="20">
        <f>C1061/C1060-1</f>
        <v/>
      </c>
      <c r="I1061" s="20">
        <f>C1061/MAX(C$2:C1061)-1</f>
        <v/>
      </c>
      <c r="J1061" s="20">
        <f>D1061/D1060-1</f>
        <v/>
      </c>
      <c r="K1061" s="20">
        <f>D1061/MAX(D$2:D1061)-1</f>
        <v/>
      </c>
      <c r="L1061" s="20">
        <f>E1061/E1060-1</f>
        <v/>
      </c>
      <c r="M1061" s="20">
        <f>E1061/MAX(E$2:E1061)-1</f>
        <v/>
      </c>
    </row>
    <row r="1062">
      <c r="A1062" s="11" t="n">
        <v>45254</v>
      </c>
      <c r="B1062" s="19" t="n">
        <v>1.746703136525092</v>
      </c>
      <c r="C1062" s="19" t="n">
        <v>1.362472285240223</v>
      </c>
      <c r="D1062" s="19" t="n">
        <v>1.252329790146832</v>
      </c>
      <c r="E1062" s="19" t="n">
        <v>1.157543790475269</v>
      </c>
      <c r="F1062" s="20">
        <f>B1062/B1061-1</f>
        <v/>
      </c>
      <c r="G1062" s="20">
        <f>B1062/MAX(B$2:B1062)-1</f>
        <v/>
      </c>
      <c r="H1062" s="20">
        <f>C1062/C1061-1</f>
        <v/>
      </c>
      <c r="I1062" s="20">
        <f>C1062/MAX(C$2:C1062)-1</f>
        <v/>
      </c>
      <c r="J1062" s="20">
        <f>D1062/D1061-1</f>
        <v/>
      </c>
      <c r="K1062" s="20">
        <f>D1062/MAX(D$2:D1062)-1</f>
        <v/>
      </c>
      <c r="L1062" s="20">
        <f>E1062/E1061-1</f>
        <v/>
      </c>
      <c r="M1062" s="20">
        <f>E1062/MAX(E$2:E1062)-1</f>
        <v/>
      </c>
    </row>
    <row r="1063">
      <c r="A1063" s="11" t="n">
        <v>45257</v>
      </c>
      <c r="B1063" s="19" t="n">
        <v>1.744028462479147</v>
      </c>
      <c r="C1063" s="19" t="n">
        <v>1.354572012439685</v>
      </c>
      <c r="D1063" s="19" t="n">
        <v>1.244743912910105</v>
      </c>
      <c r="E1063" s="19" t="n">
        <v>1.154312092457511</v>
      </c>
      <c r="F1063" s="20">
        <f>B1063/B1062-1</f>
        <v/>
      </c>
      <c r="G1063" s="20">
        <f>B1063/MAX(B$2:B1063)-1</f>
        <v/>
      </c>
      <c r="H1063" s="20">
        <f>C1063/C1062-1</f>
        <v/>
      </c>
      <c r="I1063" s="20">
        <f>C1063/MAX(C$2:C1063)-1</f>
        <v/>
      </c>
      <c r="J1063" s="20">
        <f>D1063/D1062-1</f>
        <v/>
      </c>
      <c r="K1063" s="20">
        <f>D1063/MAX(D$2:D1063)-1</f>
        <v/>
      </c>
      <c r="L1063" s="20">
        <f>E1063/E1062-1</f>
        <v/>
      </c>
      <c r="M1063" s="20">
        <f>E1063/MAX(E$2:E1063)-1</f>
        <v/>
      </c>
    </row>
    <row r="1064">
      <c r="A1064" s="11" t="n">
        <v>45258</v>
      </c>
      <c r="B1064" s="19" t="n">
        <v>1.750194039683829</v>
      </c>
      <c r="C1064" s="19" t="n">
        <v>1.36419595751113</v>
      </c>
      <c r="D1064" s="19" t="n">
        <v>1.252642106843329</v>
      </c>
      <c r="E1064" s="19" t="n">
        <v>1.158848298411305</v>
      </c>
      <c r="F1064" s="20">
        <f>B1064/B1063-1</f>
        <v/>
      </c>
      <c r="G1064" s="20">
        <f>B1064/MAX(B$2:B1064)-1</f>
        <v/>
      </c>
      <c r="H1064" s="20">
        <f>C1064/C1063-1</f>
        <v/>
      </c>
      <c r="I1064" s="20">
        <f>C1064/MAX(C$2:C1064)-1</f>
        <v/>
      </c>
      <c r="J1064" s="20">
        <f>D1064/D1063-1</f>
        <v/>
      </c>
      <c r="K1064" s="20">
        <f>D1064/MAX(D$2:D1064)-1</f>
        <v/>
      </c>
      <c r="L1064" s="20">
        <f>E1064/E1063-1</f>
        <v/>
      </c>
      <c r="M1064" s="20">
        <f>E1064/MAX(E$2:E1064)-1</f>
        <v/>
      </c>
    </row>
    <row r="1065">
      <c r="A1065" s="11" t="n">
        <v>45259</v>
      </c>
      <c r="B1065" s="19" t="n">
        <v>1.741942324903158</v>
      </c>
      <c r="C1065" s="19" t="n">
        <v>1.350423414429544</v>
      </c>
      <c r="D1065" s="19" t="n">
        <v>1.239381668515601</v>
      </c>
      <c r="E1065" s="19" t="n">
        <v>1.150419771088057</v>
      </c>
      <c r="F1065" s="20">
        <f>B1065/B1064-1</f>
        <v/>
      </c>
      <c r="G1065" s="20">
        <f>B1065/MAX(B$2:B1065)-1</f>
        <v/>
      </c>
      <c r="H1065" s="20">
        <f>C1065/C1064-1</f>
        <v/>
      </c>
      <c r="I1065" s="20">
        <f>C1065/MAX(C$2:C1065)-1</f>
        <v/>
      </c>
      <c r="J1065" s="20">
        <f>D1065/D1064-1</f>
        <v/>
      </c>
      <c r="K1065" s="20">
        <f>D1065/MAX(D$2:D1065)-1</f>
        <v/>
      </c>
      <c r="L1065" s="20">
        <f>E1065/E1064-1</f>
        <v/>
      </c>
      <c r="M1065" s="20">
        <f>E1065/MAX(E$2:E1065)-1</f>
        <v/>
      </c>
    </row>
    <row r="1066">
      <c r="A1066" s="11" t="n">
        <v>45260</v>
      </c>
      <c r="B1066" s="19" t="n">
        <v>1.73647110550071</v>
      </c>
      <c r="C1066" s="19" t="n">
        <v>1.347152068683302</v>
      </c>
      <c r="D1066" s="19" t="n">
        <v>1.242411263252861</v>
      </c>
      <c r="E1066" s="19" t="n">
        <v>1.149093688740761</v>
      </c>
      <c r="F1066" s="20">
        <f>B1066/B1065-1</f>
        <v/>
      </c>
      <c r="G1066" s="20">
        <f>B1066/MAX(B$2:B1066)-1</f>
        <v/>
      </c>
      <c r="H1066" s="20">
        <f>C1066/C1065-1</f>
        <v/>
      </c>
      <c r="I1066" s="20">
        <f>C1066/MAX(C$2:C1066)-1</f>
        <v/>
      </c>
      <c r="J1066" s="20">
        <f>D1066/D1065-1</f>
        <v/>
      </c>
      <c r="K1066" s="20">
        <f>D1066/MAX(D$2:D1066)-1</f>
        <v/>
      </c>
      <c r="L1066" s="20">
        <f>E1066/E1065-1</f>
        <v/>
      </c>
      <c r="M1066" s="20">
        <f>E1066/MAX(E$2:E1066)-1</f>
        <v/>
      </c>
    </row>
    <row r="1067">
      <c r="A1067" s="11" t="n">
        <v>45261</v>
      </c>
      <c r="B1067" s="19" t="n">
        <v>1.740979832715938</v>
      </c>
      <c r="C1067" s="19" t="n">
        <v>1.35005751586767</v>
      </c>
      <c r="D1067" s="19" t="n">
        <v>1.244797290437791</v>
      </c>
      <c r="E1067" s="19" t="n">
        <v>1.151294278689317</v>
      </c>
      <c r="F1067" s="20">
        <f>B1067/B1066-1</f>
        <v/>
      </c>
      <c r="G1067" s="20">
        <f>B1067/MAX(B$2:B1067)-1</f>
        <v/>
      </c>
      <c r="H1067" s="20">
        <f>C1067/C1066-1</f>
        <v/>
      </c>
      <c r="I1067" s="20">
        <f>C1067/MAX(C$2:C1067)-1</f>
        <v/>
      </c>
      <c r="J1067" s="20">
        <f>D1067/D1066-1</f>
        <v/>
      </c>
      <c r="K1067" s="20">
        <f>D1067/MAX(D$2:D1067)-1</f>
        <v/>
      </c>
      <c r="L1067" s="20">
        <f>E1067/E1066-1</f>
        <v/>
      </c>
      <c r="M1067" s="20">
        <f>E1067/MAX(E$2:E1067)-1</f>
        <v/>
      </c>
    </row>
    <row r="1068">
      <c r="A1068" s="11" t="n">
        <v>45264</v>
      </c>
      <c r="B1068" s="19" t="n">
        <v>1.733929827065279</v>
      </c>
      <c r="C1068" s="19" t="n">
        <v>1.337269632896527</v>
      </c>
      <c r="D1068" s="19" t="n">
        <v>1.233574568309245</v>
      </c>
      <c r="E1068" s="19" t="n">
        <v>1.147498670197927</v>
      </c>
      <c r="F1068" s="20">
        <f>B1068/B1067-1</f>
        <v/>
      </c>
      <c r="G1068" s="20">
        <f>B1068/MAX(B$2:B1068)-1</f>
        <v/>
      </c>
      <c r="H1068" s="20">
        <f>C1068/C1067-1</f>
        <v/>
      </c>
      <c r="I1068" s="20">
        <f>C1068/MAX(C$2:C1068)-1</f>
        <v/>
      </c>
      <c r="J1068" s="20">
        <f>D1068/D1067-1</f>
        <v/>
      </c>
      <c r="K1068" s="20">
        <f>D1068/MAX(D$2:D1068)-1</f>
        <v/>
      </c>
      <c r="L1068" s="20">
        <f>E1068/E1067-1</f>
        <v/>
      </c>
      <c r="M1068" s="20">
        <f>E1068/MAX(E$2:E1068)-1</f>
        <v/>
      </c>
    </row>
    <row r="1069">
      <c r="A1069" s="11" t="n">
        <v>45265</v>
      </c>
      <c r="B1069" s="19" t="n">
        <v>1.706393788540438</v>
      </c>
      <c r="C1069" s="19" t="n">
        <v>1.307895294425206</v>
      </c>
      <c r="D1069" s="19" t="n">
        <v>1.20913425204287</v>
      </c>
      <c r="E1069" s="19" t="n">
        <v>1.126432745492622</v>
      </c>
      <c r="F1069" s="20">
        <f>B1069/B1068-1</f>
        <v/>
      </c>
      <c r="G1069" s="20">
        <f>B1069/MAX(B$2:B1069)-1</f>
        <v/>
      </c>
      <c r="H1069" s="20">
        <f>C1069/C1068-1</f>
        <v/>
      </c>
      <c r="I1069" s="20">
        <f>C1069/MAX(C$2:C1069)-1</f>
        <v/>
      </c>
      <c r="J1069" s="20">
        <f>D1069/D1068-1</f>
        <v/>
      </c>
      <c r="K1069" s="20">
        <f>D1069/MAX(D$2:D1069)-1</f>
        <v/>
      </c>
      <c r="L1069" s="20">
        <f>E1069/E1068-1</f>
        <v/>
      </c>
      <c r="M1069" s="20">
        <f>E1069/MAX(E$2:E1069)-1</f>
        <v/>
      </c>
    </row>
    <row r="1070">
      <c r="A1070" s="11" t="n">
        <v>45266</v>
      </c>
      <c r="B1070" s="19" t="n">
        <v>1.706708461502898</v>
      </c>
      <c r="C1070" s="19" t="n">
        <v>1.309002513959292</v>
      </c>
      <c r="D1070" s="19" t="n">
        <v>1.216142734352388</v>
      </c>
      <c r="E1070" s="19" t="n">
        <v>1.130134244914205</v>
      </c>
      <c r="F1070" s="20">
        <f>B1070/B1069-1</f>
        <v/>
      </c>
      <c r="G1070" s="20">
        <f>B1070/MAX(B$2:B1070)-1</f>
        <v/>
      </c>
      <c r="H1070" s="20">
        <f>C1070/C1069-1</f>
        <v/>
      </c>
      <c r="I1070" s="20">
        <f>C1070/MAX(C$2:C1070)-1</f>
        <v/>
      </c>
      <c r="J1070" s="20">
        <f>D1070/D1069-1</f>
        <v/>
      </c>
      <c r="K1070" s="20">
        <f>D1070/MAX(D$2:D1070)-1</f>
        <v/>
      </c>
      <c r="L1070" s="20">
        <f>E1070/E1069-1</f>
        <v/>
      </c>
      <c r="M1070" s="20">
        <f>E1070/MAX(E$2:E1070)-1</f>
        <v/>
      </c>
    </row>
    <row r="1071">
      <c r="A1071" s="11" t="n">
        <v>45267</v>
      </c>
      <c r="B1071" s="19" t="n">
        <v>1.704379193096563</v>
      </c>
      <c r="C1071" s="19" t="n">
        <v>1.303827745327482</v>
      </c>
      <c r="D1071" s="19" t="n">
        <v>1.213086063121059</v>
      </c>
      <c r="E1071" s="19" t="n">
        <v>1.128282565271894</v>
      </c>
      <c r="F1071" s="20">
        <f>B1071/B1070-1</f>
        <v/>
      </c>
      <c r="G1071" s="20">
        <f>B1071/MAX(B$2:B1071)-1</f>
        <v/>
      </c>
      <c r="H1071" s="20">
        <f>C1071/C1070-1</f>
        <v/>
      </c>
      <c r="I1071" s="20">
        <f>C1071/MAX(C$2:C1071)-1</f>
        <v/>
      </c>
      <c r="J1071" s="20">
        <f>D1071/D1070-1</f>
        <v/>
      </c>
      <c r="K1071" s="20">
        <f>D1071/MAX(D$2:D1071)-1</f>
        <v/>
      </c>
      <c r="L1071" s="20">
        <f>E1071/E1070-1</f>
        <v/>
      </c>
      <c r="M1071" s="20">
        <f>E1071/MAX(E$2:E1071)-1</f>
        <v/>
      </c>
    </row>
    <row r="1072">
      <c r="A1072" s="11" t="n">
        <v>45268</v>
      </c>
      <c r="B1072" s="19" t="n">
        <v>1.715118029789568</v>
      </c>
      <c r="C1072" s="19" t="n">
        <v>1.321000158009304</v>
      </c>
      <c r="D1072" s="19" t="n">
        <v>1.222757735104907</v>
      </c>
      <c r="E1072" s="19" t="n">
        <v>1.128106622228339</v>
      </c>
      <c r="F1072" s="20">
        <f>B1072/B1071-1</f>
        <v/>
      </c>
      <c r="G1072" s="20">
        <f>B1072/MAX(B$2:B1072)-1</f>
        <v/>
      </c>
      <c r="H1072" s="20">
        <f>C1072/C1071-1</f>
        <v/>
      </c>
      <c r="I1072" s="20">
        <f>C1072/MAX(C$2:C1072)-1</f>
        <v/>
      </c>
      <c r="J1072" s="20">
        <f>D1072/D1071-1</f>
        <v/>
      </c>
      <c r="K1072" s="20">
        <f>D1072/MAX(D$2:D1072)-1</f>
        <v/>
      </c>
      <c r="L1072" s="20">
        <f>E1072/E1071-1</f>
        <v/>
      </c>
      <c r="M1072" s="20">
        <f>E1072/MAX(E$2:E1072)-1</f>
        <v/>
      </c>
    </row>
    <row r="1073">
      <c r="A1073" s="11" t="n">
        <v>45271</v>
      </c>
      <c r="B1073" s="19" t="n">
        <v>1.727455990656427</v>
      </c>
      <c r="C1073" s="19" t="n">
        <v>1.33295417513732</v>
      </c>
      <c r="D1073" s="19" t="n">
        <v>1.237981639293667</v>
      </c>
      <c r="E1073" s="19" t="n">
        <v>1.138024155901159</v>
      </c>
      <c r="F1073" s="20">
        <f>B1073/B1072-1</f>
        <v/>
      </c>
      <c r="G1073" s="20">
        <f>B1073/MAX(B$2:B1073)-1</f>
        <v/>
      </c>
      <c r="H1073" s="20">
        <f>C1073/C1072-1</f>
        <v/>
      </c>
      <c r="I1073" s="20">
        <f>C1073/MAX(C$2:C1073)-1</f>
        <v/>
      </c>
      <c r="J1073" s="20">
        <f>D1073/D1072-1</f>
        <v/>
      </c>
      <c r="K1073" s="20">
        <f>D1073/MAX(D$2:D1073)-1</f>
        <v/>
      </c>
      <c r="L1073" s="20">
        <f>E1073/E1072-1</f>
        <v/>
      </c>
      <c r="M1073" s="20">
        <f>E1073/MAX(E$2:E1073)-1</f>
        <v/>
      </c>
    </row>
    <row r="1074">
      <c r="A1074" s="11" t="n">
        <v>45272</v>
      </c>
      <c r="B1074" s="19" t="n">
        <v>1.725270862947521</v>
      </c>
      <c r="C1074" s="19" t="n">
        <v>1.327511969144655</v>
      </c>
      <c r="D1074" s="19" t="n">
        <v>1.230314015601101</v>
      </c>
      <c r="E1074" s="19" t="n">
        <v>1.140693059363109</v>
      </c>
      <c r="F1074" s="20">
        <f>B1074/B1073-1</f>
        <v/>
      </c>
      <c r="G1074" s="20">
        <f>B1074/MAX(B$2:B1074)-1</f>
        <v/>
      </c>
      <c r="H1074" s="20">
        <f>C1074/C1073-1</f>
        <v/>
      </c>
      <c r="I1074" s="20">
        <f>C1074/MAX(C$2:C1074)-1</f>
        <v/>
      </c>
      <c r="J1074" s="20">
        <f>D1074/D1073-1</f>
        <v/>
      </c>
      <c r="K1074" s="20">
        <f>D1074/MAX(D$2:D1074)-1</f>
        <v/>
      </c>
      <c r="L1074" s="20">
        <f>E1074/E1073-1</f>
        <v/>
      </c>
      <c r="M1074" s="20">
        <f>E1074/MAX(E$2:E1074)-1</f>
        <v/>
      </c>
    </row>
    <row r="1075">
      <c r="A1075" s="11" t="n">
        <v>45273</v>
      </c>
      <c r="B1075" s="19" t="n">
        <v>1.712313090448678</v>
      </c>
      <c r="C1075" s="19" t="n">
        <v>1.308756962209802</v>
      </c>
      <c r="D1075" s="19" t="n">
        <v>1.209938856882118</v>
      </c>
      <c r="E1075" s="19" t="n">
        <v>1.127101924214301</v>
      </c>
      <c r="F1075" s="20">
        <f>B1075/B1074-1</f>
        <v/>
      </c>
      <c r="G1075" s="20">
        <f>B1075/MAX(B$2:B1075)-1</f>
        <v/>
      </c>
      <c r="H1075" s="20">
        <f>C1075/C1074-1</f>
        <v/>
      </c>
      <c r="I1075" s="20">
        <f>C1075/MAX(C$2:C1075)-1</f>
        <v/>
      </c>
      <c r="J1075" s="20">
        <f>D1075/D1074-1</f>
        <v/>
      </c>
      <c r="K1075" s="20">
        <f>D1075/MAX(D$2:D1075)-1</f>
        <v/>
      </c>
      <c r="L1075" s="20">
        <f>E1075/E1074-1</f>
        <v/>
      </c>
      <c r="M1075" s="20">
        <f>E1075/MAX(E$2:E1075)-1</f>
        <v/>
      </c>
    </row>
    <row r="1076">
      <c r="A1076" s="11" t="n">
        <v>45274</v>
      </c>
      <c r="B1076" s="19" t="n">
        <v>1.705674964114899</v>
      </c>
      <c r="C1076" s="19" t="n">
        <v>1.303045923949184</v>
      </c>
      <c r="D1076" s="19" t="n">
        <v>1.202295337085227</v>
      </c>
      <c r="E1076" s="19" t="n">
        <v>1.122210112447319</v>
      </c>
      <c r="F1076" s="20">
        <f>B1076/B1075-1</f>
        <v/>
      </c>
      <c r="G1076" s="20">
        <f>B1076/MAX(B$2:B1076)-1</f>
        <v/>
      </c>
      <c r="H1076" s="20">
        <f>C1076/C1075-1</f>
        <v/>
      </c>
      <c r="I1076" s="20">
        <f>C1076/MAX(C$2:C1076)-1</f>
        <v/>
      </c>
      <c r="J1076" s="20">
        <f>D1076/D1075-1</f>
        <v/>
      </c>
      <c r="K1076" s="20">
        <f>D1076/MAX(D$2:D1076)-1</f>
        <v/>
      </c>
      <c r="L1076" s="20">
        <f>E1076/E1075-1</f>
        <v/>
      </c>
      <c r="M1076" s="20">
        <f>E1076/MAX(E$2:E1076)-1</f>
        <v/>
      </c>
    </row>
    <row r="1077">
      <c r="A1077" s="11" t="n">
        <v>45275</v>
      </c>
      <c r="B1077" s="19" t="n">
        <v>1.696723721032853</v>
      </c>
      <c r="C1077" s="19" t="n">
        <v>1.293431743227425</v>
      </c>
      <c r="D1077" s="19" t="n">
        <v>1.194532719487457</v>
      </c>
      <c r="E1077" s="19" t="n">
        <v>1.11711594758162</v>
      </c>
      <c r="F1077" s="20">
        <f>B1077/B1076-1</f>
        <v/>
      </c>
      <c r="G1077" s="20">
        <f>B1077/MAX(B$2:B1077)-1</f>
        <v/>
      </c>
      <c r="H1077" s="20">
        <f>C1077/C1076-1</f>
        <v/>
      </c>
      <c r="I1077" s="20">
        <f>C1077/MAX(C$2:C1077)-1</f>
        <v/>
      </c>
      <c r="J1077" s="20">
        <f>D1077/D1076-1</f>
        <v/>
      </c>
      <c r="K1077" s="20">
        <f>D1077/MAX(D$2:D1077)-1</f>
        <v/>
      </c>
      <c r="L1077" s="20">
        <f>E1077/E1076-1</f>
        <v/>
      </c>
      <c r="M1077" s="20">
        <f>E1077/MAX(E$2:E1077)-1</f>
        <v/>
      </c>
    </row>
    <row r="1078">
      <c r="A1078" s="11" t="n">
        <v>45278</v>
      </c>
      <c r="B1078" s="19" t="n">
        <v>1.680741741825215</v>
      </c>
      <c r="C1078" s="19" t="n">
        <v>1.277376218228887</v>
      </c>
      <c r="D1078" s="19" t="n">
        <v>1.176112108834323</v>
      </c>
      <c r="E1078" s="19" t="n">
        <v>1.107038837659995</v>
      </c>
      <c r="F1078" s="20">
        <f>B1078/B1077-1</f>
        <v/>
      </c>
      <c r="G1078" s="20">
        <f>B1078/MAX(B$2:B1078)-1</f>
        <v/>
      </c>
      <c r="H1078" s="20">
        <f>C1078/C1077-1</f>
        <v/>
      </c>
      <c r="I1078" s="20">
        <f>C1078/MAX(C$2:C1078)-1</f>
        <v/>
      </c>
      <c r="J1078" s="20">
        <f>D1078/D1077-1</f>
        <v/>
      </c>
      <c r="K1078" s="20">
        <f>D1078/MAX(D$2:D1078)-1</f>
        <v/>
      </c>
      <c r="L1078" s="20">
        <f>E1078/E1077-1</f>
        <v/>
      </c>
      <c r="M1078" s="20">
        <f>E1078/MAX(E$2:E1078)-1</f>
        <v/>
      </c>
    </row>
    <row r="1079">
      <c r="A1079" s="11" t="n">
        <v>45279</v>
      </c>
      <c r="B1079" s="19" t="n">
        <v>1.686835144263883</v>
      </c>
      <c r="C1079" s="19" t="n">
        <v>1.284728292539916</v>
      </c>
      <c r="D1079" s="19" t="n">
        <v>1.181072987823914</v>
      </c>
      <c r="E1079" s="19" t="n">
        <v>1.108140248552097</v>
      </c>
      <c r="F1079" s="20">
        <f>B1079/B1078-1</f>
        <v/>
      </c>
      <c r="G1079" s="20">
        <f>B1079/MAX(B$2:B1079)-1</f>
        <v/>
      </c>
      <c r="H1079" s="20">
        <f>C1079/C1078-1</f>
        <v/>
      </c>
      <c r="I1079" s="20">
        <f>C1079/MAX(C$2:C1079)-1</f>
        <v/>
      </c>
      <c r="J1079" s="20">
        <f>D1079/D1078-1</f>
        <v/>
      </c>
      <c r="K1079" s="20">
        <f>D1079/MAX(D$2:D1079)-1</f>
        <v/>
      </c>
      <c r="L1079" s="20">
        <f>E1079/E1078-1</f>
        <v/>
      </c>
      <c r="M1079" s="20">
        <f>E1079/MAX(E$2:E1079)-1</f>
        <v/>
      </c>
    </row>
    <row r="1080">
      <c r="A1080" s="11" t="n">
        <v>45280</v>
      </c>
      <c r="B1080" s="19" t="n">
        <v>1.66540587341181</v>
      </c>
      <c r="C1080" s="19" t="n">
        <v>1.267603066198202</v>
      </c>
      <c r="D1080" s="19" t="n">
        <v>1.165052556508934</v>
      </c>
      <c r="E1080" s="19" t="n">
        <v>1.09492406179209</v>
      </c>
      <c r="F1080" s="20">
        <f>B1080/B1079-1</f>
        <v/>
      </c>
      <c r="G1080" s="20">
        <f>B1080/MAX(B$2:B1080)-1</f>
        <v/>
      </c>
      <c r="H1080" s="20">
        <f>C1080/C1079-1</f>
        <v/>
      </c>
      <c r="I1080" s="20">
        <f>C1080/MAX(C$2:C1080)-1</f>
        <v/>
      </c>
      <c r="J1080" s="20">
        <f>D1080/D1079-1</f>
        <v/>
      </c>
      <c r="K1080" s="20">
        <f>D1080/MAX(D$2:D1080)-1</f>
        <v/>
      </c>
      <c r="L1080" s="20">
        <f>E1080/E1079-1</f>
        <v/>
      </c>
      <c r="M1080" s="20">
        <f>E1080/MAX(E$2:E1080)-1</f>
        <v/>
      </c>
    </row>
    <row r="1081">
      <c r="A1081" s="11" t="n">
        <v>45281</v>
      </c>
      <c r="B1081" s="19" t="n">
        <v>1.680783272216724</v>
      </c>
      <c r="C1081" s="19" t="n">
        <v>1.283137280744053</v>
      </c>
      <c r="D1081" s="19" t="n">
        <v>1.184267497150344</v>
      </c>
      <c r="E1081" s="19" t="n">
        <v>1.103300884922834</v>
      </c>
      <c r="F1081" s="20">
        <f>B1081/B1080-1</f>
        <v/>
      </c>
      <c r="G1081" s="20">
        <f>B1081/MAX(B$2:B1081)-1</f>
        <v/>
      </c>
      <c r="H1081" s="20">
        <f>C1081/C1080-1</f>
        <v/>
      </c>
      <c r="I1081" s="20">
        <f>C1081/MAX(C$2:C1081)-1</f>
        <v/>
      </c>
      <c r="J1081" s="20">
        <f>D1081/D1080-1</f>
        <v/>
      </c>
      <c r="K1081" s="20">
        <f>D1081/MAX(D$2:D1081)-1</f>
        <v/>
      </c>
      <c r="L1081" s="20">
        <f>E1081/E1080-1</f>
        <v/>
      </c>
      <c r="M1081" s="20">
        <f>E1081/MAX(E$2:E1081)-1</f>
        <v/>
      </c>
    </row>
    <row r="1082">
      <c r="A1082" s="11" t="n">
        <v>45282</v>
      </c>
      <c r="B1082" s="19" t="n">
        <v>1.671777502869433</v>
      </c>
      <c r="C1082" s="19" t="n">
        <v>1.277626195200894</v>
      </c>
      <c r="D1082" s="19" t="n">
        <v>1.179890410636681</v>
      </c>
      <c r="E1082" s="19" t="n">
        <v>1.097140274590179</v>
      </c>
      <c r="F1082" s="20">
        <f>B1082/B1081-1</f>
        <v/>
      </c>
      <c r="G1082" s="20">
        <f>B1082/MAX(B$2:B1082)-1</f>
        <v/>
      </c>
      <c r="H1082" s="20">
        <f>C1082/C1081-1</f>
        <v/>
      </c>
      <c r="I1082" s="20">
        <f>C1082/MAX(C$2:C1082)-1</f>
        <v/>
      </c>
      <c r="J1082" s="20">
        <f>D1082/D1081-1</f>
        <v/>
      </c>
      <c r="K1082" s="20">
        <f>D1082/MAX(D$2:D1082)-1</f>
        <v/>
      </c>
      <c r="L1082" s="20">
        <f>E1082/E1081-1</f>
        <v/>
      </c>
      <c r="M1082" s="20">
        <f>E1082/MAX(E$2:E1082)-1</f>
        <v/>
      </c>
    </row>
    <row r="1083">
      <c r="A1083" s="11" t="n">
        <v>45285</v>
      </c>
      <c r="B1083" s="19" t="n">
        <v>1.671766719156035</v>
      </c>
      <c r="C1083" s="19" t="n">
        <v>1.282321837294669</v>
      </c>
      <c r="D1083" s="19" t="n">
        <v>1.183590907907157</v>
      </c>
      <c r="E1083" s="19" t="n">
        <v>1.098271443290916</v>
      </c>
      <c r="F1083" s="20">
        <f>B1083/B1082-1</f>
        <v/>
      </c>
      <c r="G1083" s="20">
        <f>B1083/MAX(B$2:B1083)-1</f>
        <v/>
      </c>
      <c r="H1083" s="20">
        <f>C1083/C1082-1</f>
        <v/>
      </c>
      <c r="I1083" s="20">
        <f>C1083/MAX(C$2:C1083)-1</f>
        <v/>
      </c>
      <c r="J1083" s="20">
        <f>D1083/D1082-1</f>
        <v/>
      </c>
      <c r="K1083" s="20">
        <f>D1083/MAX(D$2:D1083)-1</f>
        <v/>
      </c>
      <c r="L1083" s="20">
        <f>E1083/E1082-1</f>
        <v/>
      </c>
      <c r="M1083" s="20">
        <f>E1083/MAX(E$2:E1083)-1</f>
        <v/>
      </c>
    </row>
    <row r="1084">
      <c r="A1084" s="11" t="n">
        <v>45286</v>
      </c>
      <c r="B1084" s="19" t="n">
        <v>1.649506458616578</v>
      </c>
      <c r="C1084" s="19" t="n">
        <v>1.267669492636213</v>
      </c>
      <c r="D1084" s="19" t="n">
        <v>1.168683391582261</v>
      </c>
      <c r="E1084" s="19" t="n">
        <v>1.087176988286582</v>
      </c>
      <c r="F1084" s="20">
        <f>B1084/B1083-1</f>
        <v/>
      </c>
      <c r="G1084" s="20">
        <f>B1084/MAX(B$2:B1084)-1</f>
        <v/>
      </c>
      <c r="H1084" s="20">
        <f>C1084/C1083-1</f>
        <v/>
      </c>
      <c r="I1084" s="20">
        <f>C1084/MAX(C$2:C1084)-1</f>
        <v/>
      </c>
      <c r="J1084" s="20">
        <f>D1084/D1083-1</f>
        <v/>
      </c>
      <c r="K1084" s="20">
        <f>D1084/MAX(D$2:D1084)-1</f>
        <v/>
      </c>
      <c r="L1084" s="20">
        <f>E1084/E1083-1</f>
        <v/>
      </c>
      <c r="M1084" s="20">
        <f>E1084/MAX(E$2:E1084)-1</f>
        <v/>
      </c>
    </row>
    <row r="1085">
      <c r="A1085" s="11" t="n">
        <v>45287</v>
      </c>
      <c r="B1085" s="19" t="n">
        <v>1.660435351998903</v>
      </c>
      <c r="C1085" s="19" t="n">
        <v>1.276988915058094</v>
      </c>
      <c r="D1085" s="19" t="n">
        <v>1.169544281925885</v>
      </c>
      <c r="E1085" s="19" t="n">
        <v>1.092865193407157</v>
      </c>
      <c r="F1085" s="20">
        <f>B1085/B1084-1</f>
        <v/>
      </c>
      <c r="G1085" s="20">
        <f>B1085/MAX(B$2:B1085)-1</f>
        <v/>
      </c>
      <c r="H1085" s="20">
        <f>C1085/C1084-1</f>
        <v/>
      </c>
      <c r="I1085" s="20">
        <f>C1085/MAX(C$2:C1085)-1</f>
        <v/>
      </c>
      <c r="J1085" s="20">
        <f>D1085/D1084-1</f>
        <v/>
      </c>
      <c r="K1085" s="20">
        <f>D1085/MAX(D$2:D1085)-1</f>
        <v/>
      </c>
      <c r="L1085" s="20">
        <f>E1085/E1084-1</f>
        <v/>
      </c>
      <c r="M1085" s="20">
        <f>E1085/MAX(E$2:E1085)-1</f>
        <v/>
      </c>
    </row>
    <row r="1086">
      <c r="A1086" s="11" t="n">
        <v>45288</v>
      </c>
      <c r="B1086" s="19" t="n">
        <v>1.692959211766028</v>
      </c>
      <c r="C1086" s="19" t="n">
        <v>1.315795952027702</v>
      </c>
      <c r="D1086" s="19" t="n">
        <v>1.214562669062495</v>
      </c>
      <c r="E1086" s="19" t="n">
        <v>1.115098740128777</v>
      </c>
      <c r="F1086" s="20">
        <f>B1086/B1085-1</f>
        <v/>
      </c>
      <c r="G1086" s="20">
        <f>B1086/MAX(B$2:B1086)-1</f>
        <v/>
      </c>
      <c r="H1086" s="20">
        <f>C1086/C1085-1</f>
        <v/>
      </c>
      <c r="I1086" s="20">
        <f>C1086/MAX(C$2:C1086)-1</f>
        <v/>
      </c>
      <c r="J1086" s="20">
        <f>D1086/D1085-1</f>
        <v/>
      </c>
      <c r="K1086" s="20">
        <f>D1086/MAX(D$2:D1086)-1</f>
        <v/>
      </c>
      <c r="L1086" s="20">
        <f>E1086/E1085-1</f>
        <v/>
      </c>
      <c r="M1086" s="20">
        <f>E1086/MAX(E$2:E1086)-1</f>
        <v/>
      </c>
    </row>
    <row r="1087">
      <c r="A1087" s="11" t="n">
        <v>45289</v>
      </c>
      <c r="B1087" s="19" t="n">
        <v>1.715081923824822</v>
      </c>
      <c r="C1087" s="19" t="n">
        <v>1.33303161653138</v>
      </c>
      <c r="D1087" s="19" t="n">
        <v>1.222233265353455</v>
      </c>
      <c r="E1087" s="19" t="n">
        <v>1.12593541811581</v>
      </c>
      <c r="F1087" s="20">
        <f>B1087/B1086-1</f>
        <v/>
      </c>
      <c r="G1087" s="20">
        <f>B1087/MAX(B$2:B1087)-1</f>
        <v/>
      </c>
      <c r="H1087" s="20">
        <f>C1087/C1086-1</f>
        <v/>
      </c>
      <c r="I1087" s="20">
        <f>C1087/MAX(C$2:C1087)-1</f>
        <v/>
      </c>
      <c r="J1087" s="20">
        <f>D1087/D1086-1</f>
        <v/>
      </c>
      <c r="K1087" s="20">
        <f>D1087/MAX(D$2:D1087)-1</f>
        <v/>
      </c>
      <c r="L1087" s="20">
        <f>E1087/E1086-1</f>
        <v/>
      </c>
      <c r="M1087" s="20">
        <f>E1087/MAX(E$2:E1087)-1</f>
        <v/>
      </c>
    </row>
    <row r="1088">
      <c r="A1088" s="11" t="n">
        <v>45293</v>
      </c>
      <c r="B1088" s="19" t="n">
        <v>1.695691919571321</v>
      </c>
      <c r="C1088" s="19" t="n">
        <v>1.31388743051619</v>
      </c>
      <c r="D1088" s="19" t="n">
        <v>1.199328231535947</v>
      </c>
      <c r="E1088" s="19" t="n">
        <v>1.117791449837634</v>
      </c>
      <c r="F1088" s="20">
        <f>B1088/B1087-1</f>
        <v/>
      </c>
      <c r="G1088" s="20">
        <f>B1088/MAX(B$2:B1088)-1</f>
        <v/>
      </c>
      <c r="H1088" s="20">
        <f>C1088/C1087-1</f>
        <v/>
      </c>
      <c r="I1088" s="20">
        <f>C1088/MAX(C$2:C1088)-1</f>
        <v/>
      </c>
      <c r="J1088" s="20">
        <f>D1088/D1087-1</f>
        <v/>
      </c>
      <c r="K1088" s="20">
        <f>D1088/MAX(D$2:D1088)-1</f>
        <v/>
      </c>
      <c r="L1088" s="20">
        <f>E1088/E1087-1</f>
        <v/>
      </c>
      <c r="M1088" s="20">
        <f>E1088/MAX(E$2:E1088)-1</f>
        <v/>
      </c>
    </row>
    <row r="1089">
      <c r="A1089" s="11" t="n">
        <v>45294</v>
      </c>
      <c r="B1089" s="19" t="n">
        <v>1.677826136489036</v>
      </c>
      <c r="C1089" s="19" t="n">
        <v>1.303190368984193</v>
      </c>
      <c r="D1089" s="19" t="n">
        <v>1.185635021655056</v>
      </c>
      <c r="E1089" s="19" t="n">
        <v>1.114013696031424</v>
      </c>
      <c r="F1089" s="20">
        <f>B1089/B1088-1</f>
        <v/>
      </c>
      <c r="G1089" s="20">
        <f>B1089/MAX(B$2:B1089)-1</f>
        <v/>
      </c>
      <c r="H1089" s="20">
        <f>C1089/C1088-1</f>
        <v/>
      </c>
      <c r="I1089" s="20">
        <f>C1089/MAX(C$2:C1089)-1</f>
        <v/>
      </c>
      <c r="J1089" s="20">
        <f>D1089/D1088-1</f>
        <v/>
      </c>
      <c r="K1089" s="20">
        <f>D1089/MAX(D$2:D1089)-1</f>
        <v/>
      </c>
      <c r="L1089" s="20">
        <f>E1089/E1088-1</f>
        <v/>
      </c>
      <c r="M1089" s="20">
        <f>E1089/MAX(E$2:E1089)-1</f>
        <v/>
      </c>
    </row>
    <row r="1090">
      <c r="A1090" s="11" t="n">
        <v>45295</v>
      </c>
      <c r="B1090" s="19" t="n">
        <v>1.661265111562127</v>
      </c>
      <c r="C1090" s="19" t="n">
        <v>1.284777931992507</v>
      </c>
      <c r="D1090" s="19" t="n">
        <v>1.164328470313145</v>
      </c>
      <c r="E1090" s="19" t="n">
        <v>1.105760739779123</v>
      </c>
      <c r="F1090" s="20">
        <f>B1090/B1089-1</f>
        <v/>
      </c>
      <c r="G1090" s="20">
        <f>B1090/MAX(B$2:B1090)-1</f>
        <v/>
      </c>
      <c r="H1090" s="20">
        <f>C1090/C1089-1</f>
        <v/>
      </c>
      <c r="I1090" s="20">
        <f>C1090/MAX(C$2:C1090)-1</f>
        <v/>
      </c>
      <c r="J1090" s="20">
        <f>D1090/D1089-1</f>
        <v/>
      </c>
      <c r="K1090" s="20">
        <f>D1090/MAX(D$2:D1090)-1</f>
        <v/>
      </c>
      <c r="L1090" s="20">
        <f>E1090/E1089-1</f>
        <v/>
      </c>
      <c r="M1090" s="20">
        <f>E1090/MAX(E$2:E1090)-1</f>
        <v/>
      </c>
    </row>
    <row r="1091">
      <c r="A1091" s="11" t="n">
        <v>45296</v>
      </c>
      <c r="B1091" s="19" t="n">
        <v>1.63562632777973</v>
      </c>
      <c r="C1091" s="19" t="n">
        <v>1.26554249981301</v>
      </c>
      <c r="D1091" s="19" t="n">
        <v>1.147407923280079</v>
      </c>
      <c r="E1091" s="19" t="n">
        <v>1.092645729568475</v>
      </c>
      <c r="F1091" s="20">
        <f>B1091/B1090-1</f>
        <v/>
      </c>
      <c r="G1091" s="20">
        <f>B1091/MAX(B$2:B1091)-1</f>
        <v/>
      </c>
      <c r="H1091" s="20">
        <f>C1091/C1090-1</f>
        <v/>
      </c>
      <c r="I1091" s="20">
        <f>C1091/MAX(C$2:C1091)-1</f>
        <v/>
      </c>
      <c r="J1091" s="20">
        <f>D1091/D1090-1</f>
        <v/>
      </c>
      <c r="K1091" s="20">
        <f>D1091/MAX(D$2:D1091)-1</f>
        <v/>
      </c>
      <c r="L1091" s="20">
        <f>E1091/E1090-1</f>
        <v/>
      </c>
      <c r="M1091" s="20">
        <f>E1091/MAX(E$2:E1091)-1</f>
        <v/>
      </c>
    </row>
    <row r="1092">
      <c r="A1092" s="11" t="n">
        <v>45299</v>
      </c>
      <c r="B1092" s="19" t="n">
        <v>1.607004003510928</v>
      </c>
      <c r="C1092" s="19" t="n">
        <v>1.247089610515483</v>
      </c>
      <c r="D1092" s="19" t="n">
        <v>1.127268375294683</v>
      </c>
      <c r="E1092" s="19" t="n">
        <v>1.073771467469136</v>
      </c>
      <c r="F1092" s="20">
        <f>B1092/B1091-1</f>
        <v/>
      </c>
      <c r="G1092" s="20">
        <f>B1092/MAX(B$2:B1092)-1</f>
        <v/>
      </c>
      <c r="H1092" s="20">
        <f>C1092/C1091-1</f>
        <v/>
      </c>
      <c r="I1092" s="20">
        <f>C1092/MAX(C$2:C1092)-1</f>
        <v/>
      </c>
      <c r="J1092" s="20">
        <f>D1092/D1091-1</f>
        <v/>
      </c>
      <c r="K1092" s="20">
        <f>D1092/MAX(D$2:D1092)-1</f>
        <v/>
      </c>
      <c r="L1092" s="20">
        <f>E1092/E1091-1</f>
        <v/>
      </c>
      <c r="M1092" s="20">
        <f>E1092/MAX(E$2:E1092)-1</f>
        <v/>
      </c>
    </row>
    <row r="1093">
      <c r="A1093" s="11" t="n">
        <v>45300</v>
      </c>
      <c r="B1093" s="19" t="n">
        <v>1.604351926705432</v>
      </c>
      <c r="C1093" s="19" t="n">
        <v>1.246875949228267</v>
      </c>
      <c r="D1093" s="19" t="n">
        <v>1.131380706686156</v>
      </c>
      <c r="E1093" s="19" t="n">
        <v>1.076662810550631</v>
      </c>
      <c r="F1093" s="20">
        <f>B1093/B1092-1</f>
        <v/>
      </c>
      <c r="G1093" s="20">
        <f>B1093/MAX(B$2:B1093)-1</f>
        <v/>
      </c>
      <c r="H1093" s="20">
        <f>C1093/C1092-1</f>
        <v/>
      </c>
      <c r="I1093" s="20">
        <f>C1093/MAX(C$2:C1093)-1</f>
        <v/>
      </c>
      <c r="J1093" s="20">
        <f>D1093/D1092-1</f>
        <v/>
      </c>
      <c r="K1093" s="20">
        <f>D1093/MAX(D$2:D1093)-1</f>
        <v/>
      </c>
      <c r="L1093" s="20">
        <f>E1093/E1092-1</f>
        <v/>
      </c>
      <c r="M1093" s="20">
        <f>E1093/MAX(E$2:E1093)-1</f>
        <v/>
      </c>
    </row>
    <row r="1094">
      <c r="A1094" s="11" t="n">
        <v>45301</v>
      </c>
      <c r="B1094" s="19" t="n">
        <v>1.596943289080262</v>
      </c>
      <c r="C1094" s="19" t="n">
        <v>1.239465914122304</v>
      </c>
      <c r="D1094" s="19" t="n">
        <v>1.12648406167056</v>
      </c>
      <c r="E1094" s="19" t="n">
        <v>1.069879890044897</v>
      </c>
      <c r="F1094" s="20">
        <f>B1094/B1093-1</f>
        <v/>
      </c>
      <c r="G1094" s="20">
        <f>B1094/MAX(B$2:B1094)-1</f>
        <v/>
      </c>
      <c r="H1094" s="20">
        <f>C1094/C1093-1</f>
        <v/>
      </c>
      <c r="I1094" s="20">
        <f>C1094/MAX(C$2:C1094)-1</f>
        <v/>
      </c>
      <c r="J1094" s="20">
        <f>D1094/D1093-1</f>
        <v/>
      </c>
      <c r="K1094" s="20">
        <f>D1094/MAX(D$2:D1094)-1</f>
        <v/>
      </c>
      <c r="L1094" s="20">
        <f>E1094/E1093-1</f>
        <v/>
      </c>
      <c r="M1094" s="20">
        <f>E1094/MAX(E$2:E1094)-1</f>
        <v/>
      </c>
    </row>
    <row r="1095">
      <c r="A1095" s="11" t="n">
        <v>45302</v>
      </c>
      <c r="B1095" s="19" t="n">
        <v>1.612061866011736</v>
      </c>
      <c r="C1095" s="19" t="n">
        <v>1.25609065741731</v>
      </c>
      <c r="D1095" s="19" t="n">
        <v>1.14850364889684</v>
      </c>
      <c r="E1095" s="19" t="n">
        <v>1.082253930820534</v>
      </c>
      <c r="F1095" s="20">
        <f>B1095/B1094-1</f>
        <v/>
      </c>
      <c r="G1095" s="20">
        <f>B1095/MAX(B$2:B1095)-1</f>
        <v/>
      </c>
      <c r="H1095" s="20">
        <f>C1095/C1094-1</f>
        <v/>
      </c>
      <c r="I1095" s="20">
        <f>C1095/MAX(C$2:C1095)-1</f>
        <v/>
      </c>
      <c r="J1095" s="20">
        <f>D1095/D1094-1</f>
        <v/>
      </c>
      <c r="K1095" s="20">
        <f>D1095/MAX(D$2:D1095)-1</f>
        <v/>
      </c>
      <c r="L1095" s="20">
        <f>E1095/E1094-1</f>
        <v/>
      </c>
      <c r="M1095" s="20">
        <f>E1095/MAX(E$2:E1095)-1</f>
        <v/>
      </c>
    </row>
    <row r="1096">
      <c r="A1096" s="11" t="n">
        <v>45303</v>
      </c>
      <c r="B1096" s="19" t="n">
        <v>1.598486242645422</v>
      </c>
      <c r="C1096" s="19" t="n">
        <v>1.244252417578427</v>
      </c>
      <c r="D1096" s="19" t="n">
        <v>1.138091541426034</v>
      </c>
      <c r="E1096" s="19" t="n">
        <v>1.07632580336784</v>
      </c>
      <c r="F1096" s="20">
        <f>B1096/B1095-1</f>
        <v/>
      </c>
      <c r="G1096" s="20">
        <f>B1096/MAX(B$2:B1096)-1</f>
        <v/>
      </c>
      <c r="H1096" s="20">
        <f>C1096/C1095-1</f>
        <v/>
      </c>
      <c r="I1096" s="20">
        <f>C1096/MAX(C$2:C1096)-1</f>
        <v/>
      </c>
      <c r="J1096" s="20">
        <f>D1096/D1095-1</f>
        <v/>
      </c>
      <c r="K1096" s="20">
        <f>D1096/MAX(D$2:D1096)-1</f>
        <v/>
      </c>
      <c r="L1096" s="20">
        <f>E1096/E1095-1</f>
        <v/>
      </c>
      <c r="M1096" s="20">
        <f>E1096/MAX(E$2:E1096)-1</f>
        <v/>
      </c>
    </row>
    <row r="1097">
      <c r="A1097" s="11" t="n">
        <v>45306</v>
      </c>
      <c r="B1097" s="19" t="n">
        <v>1.59846103845369</v>
      </c>
      <c r="C1097" s="19" t="n">
        <v>1.242411140209087</v>
      </c>
      <c r="D1097" s="19" t="n">
        <v>1.128042090959314</v>
      </c>
      <c r="E1097" s="19" t="n">
        <v>1.074561909261002</v>
      </c>
      <c r="F1097" s="20">
        <f>B1097/B1096-1</f>
        <v/>
      </c>
      <c r="G1097" s="20">
        <f>B1097/MAX(B$2:B1097)-1</f>
        <v/>
      </c>
      <c r="H1097" s="20">
        <f>C1097/C1096-1</f>
        <v/>
      </c>
      <c r="I1097" s="20">
        <f>C1097/MAX(C$2:C1097)-1</f>
        <v/>
      </c>
      <c r="J1097" s="20">
        <f>D1097/D1096-1</f>
        <v/>
      </c>
      <c r="K1097" s="20">
        <f>D1097/MAX(D$2:D1097)-1</f>
        <v/>
      </c>
      <c r="L1097" s="20">
        <f>E1097/E1096-1</f>
        <v/>
      </c>
      <c r="M1097" s="20">
        <f>E1097/MAX(E$2:E1097)-1</f>
        <v/>
      </c>
    </row>
    <row r="1098">
      <c r="A1098" s="11" t="n">
        <v>45307</v>
      </c>
      <c r="B1098" s="19" t="n">
        <v>1.602246583004346</v>
      </c>
      <c r="C1098" s="19" t="n">
        <v>1.251274043207969</v>
      </c>
      <c r="D1098" s="19" t="n">
        <v>1.132320887860858</v>
      </c>
      <c r="E1098" s="19" t="n">
        <v>1.076090344707016</v>
      </c>
      <c r="F1098" s="20">
        <f>B1098/B1097-1</f>
        <v/>
      </c>
      <c r="G1098" s="20">
        <f>B1098/MAX(B$2:B1098)-1</f>
        <v/>
      </c>
      <c r="H1098" s="20">
        <f>C1098/C1097-1</f>
        <v/>
      </c>
      <c r="I1098" s="20">
        <f>C1098/MAX(C$2:C1098)-1</f>
        <v/>
      </c>
      <c r="J1098" s="20">
        <f>D1098/D1097-1</f>
        <v/>
      </c>
      <c r="K1098" s="20">
        <f>D1098/MAX(D$2:D1098)-1</f>
        <v/>
      </c>
      <c r="L1098" s="20">
        <f>E1098/E1097-1</f>
        <v/>
      </c>
      <c r="M1098" s="20">
        <f>E1098/MAX(E$2:E1098)-1</f>
        <v/>
      </c>
    </row>
    <row r="1099">
      <c r="A1099" s="11" t="n">
        <v>45308</v>
      </c>
      <c r="B1099" s="19" t="n">
        <v>1.577784736420051</v>
      </c>
      <c r="C1099" s="19" t="n">
        <v>1.222327123511568</v>
      </c>
      <c r="D1099" s="19" t="n">
        <v>1.098323150783697</v>
      </c>
      <c r="E1099" s="19" t="n">
        <v>1.050513136212649</v>
      </c>
      <c r="F1099" s="20">
        <f>B1099/B1098-1</f>
        <v/>
      </c>
      <c r="G1099" s="20">
        <f>B1099/MAX(B$2:B1099)-1</f>
        <v/>
      </c>
      <c r="H1099" s="20">
        <f>C1099/C1098-1</f>
        <v/>
      </c>
      <c r="I1099" s="20">
        <f>C1099/MAX(C$2:C1099)-1</f>
        <v/>
      </c>
      <c r="J1099" s="20">
        <f>D1099/D1098-1</f>
        <v/>
      </c>
      <c r="K1099" s="20">
        <f>D1099/MAX(D$2:D1099)-1</f>
        <v/>
      </c>
      <c r="L1099" s="20">
        <f>E1099/E1098-1</f>
        <v/>
      </c>
      <c r="M1099" s="20">
        <f>E1099/MAX(E$2:E1099)-1</f>
        <v/>
      </c>
    </row>
    <row r="1100">
      <c r="A1100" s="11" t="n">
        <v>45309</v>
      </c>
      <c r="B1100" s="19" t="n">
        <v>1.594527612627896</v>
      </c>
      <c r="C1100" s="19" t="n">
        <v>1.242745388809911</v>
      </c>
      <c r="D1100" s="19" t="n">
        <v>1.11947906893307</v>
      </c>
      <c r="E1100" s="19" t="n">
        <v>1.055727448230712</v>
      </c>
      <c r="F1100" s="20">
        <f>B1100/B1099-1</f>
        <v/>
      </c>
      <c r="G1100" s="20">
        <f>B1100/MAX(B$2:B1100)-1</f>
        <v/>
      </c>
      <c r="H1100" s="20">
        <f>C1100/C1099-1</f>
        <v/>
      </c>
      <c r="I1100" s="20">
        <f>C1100/MAX(C$2:C1100)-1</f>
        <v/>
      </c>
      <c r="J1100" s="20">
        <f>D1100/D1099-1</f>
        <v/>
      </c>
      <c r="K1100" s="20">
        <f>D1100/MAX(D$2:D1100)-1</f>
        <v/>
      </c>
      <c r="L1100" s="20">
        <f>E1100/E1099-1</f>
        <v/>
      </c>
      <c r="M1100" s="20">
        <f>E1100/MAX(E$2:E1100)-1</f>
        <v/>
      </c>
    </row>
    <row r="1101">
      <c r="A1101" s="11" t="n">
        <v>45310</v>
      </c>
      <c r="B1101" s="19" t="n">
        <v>1.586787936740015</v>
      </c>
      <c r="C1101" s="19" t="n">
        <v>1.233444003979814</v>
      </c>
      <c r="D1101" s="19" t="n">
        <v>1.108544042631714</v>
      </c>
      <c r="E1101" s="19" t="n">
        <v>1.048453151909893</v>
      </c>
      <c r="F1101" s="20">
        <f>B1101/B1100-1</f>
        <v/>
      </c>
      <c r="G1101" s="20">
        <f>B1101/MAX(B$2:B1101)-1</f>
        <v/>
      </c>
      <c r="H1101" s="20">
        <f>C1101/C1100-1</f>
        <v/>
      </c>
      <c r="I1101" s="20">
        <f>C1101/MAX(C$2:C1101)-1</f>
        <v/>
      </c>
      <c r="J1101" s="20">
        <f>D1101/D1100-1</f>
        <v/>
      </c>
      <c r="K1101" s="20">
        <f>D1101/MAX(D$2:D1101)-1</f>
        <v/>
      </c>
      <c r="L1101" s="20">
        <f>E1101/E1100-1</f>
        <v/>
      </c>
      <c r="M1101" s="20">
        <f>E1101/MAX(E$2:E1101)-1</f>
        <v/>
      </c>
    </row>
    <row r="1102">
      <c r="A1102" s="11" t="n">
        <v>45313</v>
      </c>
      <c r="B1102" s="19" t="n">
        <v>1.555067093992873</v>
      </c>
      <c r="C1102" s="19" t="n">
        <v>1.197617931578845</v>
      </c>
      <c r="D1102" s="19" t="n">
        <v>1.077165940200238</v>
      </c>
      <c r="E1102" s="19" t="n">
        <v>1.010392170720548</v>
      </c>
      <c r="F1102" s="20">
        <f>B1102/B1101-1</f>
        <v/>
      </c>
      <c r="G1102" s="20">
        <f>B1102/MAX(B$2:B1102)-1</f>
        <v/>
      </c>
      <c r="H1102" s="20">
        <f>C1102/C1101-1</f>
        <v/>
      </c>
      <c r="I1102" s="20">
        <f>C1102/MAX(C$2:C1102)-1</f>
        <v/>
      </c>
      <c r="J1102" s="20">
        <f>D1102/D1101-1</f>
        <v/>
      </c>
      <c r="K1102" s="20">
        <f>D1102/MAX(D$2:D1102)-1</f>
        <v/>
      </c>
      <c r="L1102" s="20">
        <f>E1102/E1101-1</f>
        <v/>
      </c>
      <c r="M1102" s="20">
        <f>E1102/MAX(E$2:E1102)-1</f>
        <v/>
      </c>
    </row>
    <row r="1103">
      <c r="A1103" s="11" t="n">
        <v>45314</v>
      </c>
      <c r="B1103" s="19" t="n">
        <v>1.568276629556153</v>
      </c>
      <c r="C1103" s="19" t="n">
        <v>1.211518709912955</v>
      </c>
      <c r="D1103" s="19" t="n">
        <v>1.090564668974997</v>
      </c>
      <c r="E1103" s="19" t="n">
        <v>1.01813292069172</v>
      </c>
      <c r="F1103" s="20">
        <f>B1103/B1102-1</f>
        <v/>
      </c>
      <c r="G1103" s="20">
        <f>B1103/MAX(B$2:B1103)-1</f>
        <v/>
      </c>
      <c r="H1103" s="20">
        <f>C1103/C1102-1</f>
        <v/>
      </c>
      <c r="I1103" s="20">
        <f>C1103/MAX(C$2:C1103)-1</f>
        <v/>
      </c>
      <c r="J1103" s="20">
        <f>D1103/D1102-1</f>
        <v/>
      </c>
      <c r="K1103" s="20">
        <f>D1103/MAX(D$2:D1103)-1</f>
        <v/>
      </c>
      <c r="L1103" s="20">
        <f>E1103/E1102-1</f>
        <v/>
      </c>
      <c r="M1103" s="20">
        <f>E1103/MAX(E$2:E1103)-1</f>
        <v/>
      </c>
    </row>
    <row r="1104">
      <c r="A1104" s="11" t="n">
        <v>45315</v>
      </c>
      <c r="B1104" s="19" t="n">
        <v>1.568904696581641</v>
      </c>
      <c r="C1104" s="19" t="n">
        <v>1.217723689586995</v>
      </c>
      <c r="D1104" s="19" t="n">
        <v>1.096105527759966</v>
      </c>
      <c r="E1104" s="19" t="n">
        <v>1.032096772393681</v>
      </c>
      <c r="F1104" s="20">
        <f>B1104/B1103-1</f>
        <v/>
      </c>
      <c r="G1104" s="20">
        <f>B1104/MAX(B$2:B1104)-1</f>
        <v/>
      </c>
      <c r="H1104" s="20">
        <f>C1104/C1103-1</f>
        <v/>
      </c>
      <c r="I1104" s="20">
        <f>C1104/MAX(C$2:C1104)-1</f>
        <v/>
      </c>
      <c r="J1104" s="20">
        <f>D1104/D1103-1</f>
        <v/>
      </c>
      <c r="K1104" s="20">
        <f>D1104/MAX(D$2:D1104)-1</f>
        <v/>
      </c>
      <c r="L1104" s="20">
        <f>E1104/E1103-1</f>
        <v/>
      </c>
      <c r="M1104" s="20">
        <f>E1104/MAX(E$2:E1104)-1</f>
        <v/>
      </c>
    </row>
    <row r="1105">
      <c r="A1105" s="11" t="n">
        <v>45316</v>
      </c>
      <c r="B1105" s="19" t="n">
        <v>1.588612503042997</v>
      </c>
      <c r="C1105" s="19" t="n">
        <v>1.24246809089888</v>
      </c>
      <c r="D1105" s="19" t="n">
        <v>1.111999494399786</v>
      </c>
      <c r="E1105" s="19" t="n">
        <v>1.059432295405766</v>
      </c>
      <c r="F1105" s="20">
        <f>B1105/B1104-1</f>
        <v/>
      </c>
      <c r="G1105" s="20">
        <f>B1105/MAX(B$2:B1105)-1</f>
        <v/>
      </c>
      <c r="H1105" s="20">
        <f>C1105/C1104-1</f>
        <v/>
      </c>
      <c r="I1105" s="20">
        <f>C1105/MAX(C$2:C1105)-1</f>
        <v/>
      </c>
      <c r="J1105" s="20">
        <f>D1105/D1104-1</f>
        <v/>
      </c>
      <c r="K1105" s="20">
        <f>D1105/MAX(D$2:D1105)-1</f>
        <v/>
      </c>
      <c r="L1105" s="20">
        <f>E1105/E1104-1</f>
        <v/>
      </c>
      <c r="M1105" s="20">
        <f>E1105/MAX(E$2:E1105)-1</f>
        <v/>
      </c>
    </row>
    <row r="1106">
      <c r="A1106" s="11" t="n">
        <v>45317</v>
      </c>
      <c r="B1106" s="19" t="n">
        <v>1.566715175484327</v>
      </c>
      <c r="C1106" s="19" t="n">
        <v>1.222861469130586</v>
      </c>
      <c r="D1106" s="19" t="n">
        <v>1.087245762867942</v>
      </c>
      <c r="E1106" s="19" t="n">
        <v>1.054378675554332</v>
      </c>
      <c r="F1106" s="20">
        <f>B1106/B1105-1</f>
        <v/>
      </c>
      <c r="G1106" s="20">
        <f>B1106/MAX(B$2:B1106)-1</f>
        <v/>
      </c>
      <c r="H1106" s="20">
        <f>C1106/C1105-1</f>
        <v/>
      </c>
      <c r="I1106" s="20">
        <f>C1106/MAX(C$2:C1106)-1</f>
        <v/>
      </c>
      <c r="J1106" s="20">
        <f>D1106/D1105-1</f>
        <v/>
      </c>
      <c r="K1106" s="20">
        <f>D1106/MAX(D$2:D1106)-1</f>
        <v/>
      </c>
      <c r="L1106" s="20">
        <f>E1106/E1105-1</f>
        <v/>
      </c>
      <c r="M1106" s="20">
        <f>E1106/MAX(E$2:E1106)-1</f>
        <v/>
      </c>
    </row>
    <row r="1107">
      <c r="A1107" s="11" t="n">
        <v>45320</v>
      </c>
      <c r="B1107" s="19" t="n">
        <v>1.540902779470583</v>
      </c>
      <c r="C1107" s="19" t="n">
        <v>1.188755701983389</v>
      </c>
      <c r="D1107" s="19" t="n">
        <v>1.049335181600236</v>
      </c>
      <c r="E1107" s="19" t="n">
        <v>1.034676402429725</v>
      </c>
      <c r="F1107" s="20">
        <f>B1107/B1106-1</f>
        <v/>
      </c>
      <c r="G1107" s="20">
        <f>B1107/MAX(B$2:B1107)-1</f>
        <v/>
      </c>
      <c r="H1107" s="20">
        <f>C1107/C1106-1</f>
        <v/>
      </c>
      <c r="I1107" s="20">
        <f>C1107/MAX(C$2:C1107)-1</f>
        <v/>
      </c>
      <c r="J1107" s="20">
        <f>D1107/D1106-1</f>
        <v/>
      </c>
      <c r="K1107" s="20">
        <f>D1107/MAX(D$2:D1107)-1</f>
        <v/>
      </c>
      <c r="L1107" s="20">
        <f>E1107/E1106-1</f>
        <v/>
      </c>
      <c r="M1107" s="20">
        <f>E1107/MAX(E$2:E1107)-1</f>
        <v/>
      </c>
    </row>
    <row r="1108">
      <c r="A1108" s="11" t="n">
        <v>45321</v>
      </c>
      <c r="B1108" s="19" t="n">
        <v>1.514190748797586</v>
      </c>
      <c r="C1108" s="19" t="n">
        <v>1.161797294505533</v>
      </c>
      <c r="D1108" s="19" t="n">
        <v>1.023459617283127</v>
      </c>
      <c r="E1108" s="19" t="n">
        <v>1.010647715902201</v>
      </c>
      <c r="F1108" s="20">
        <f>B1108/B1107-1</f>
        <v/>
      </c>
      <c r="G1108" s="20">
        <f>B1108/MAX(B$2:B1108)-1</f>
        <v/>
      </c>
      <c r="H1108" s="20">
        <f>C1108/C1107-1</f>
        <v/>
      </c>
      <c r="I1108" s="20">
        <f>C1108/MAX(C$2:C1108)-1</f>
        <v/>
      </c>
      <c r="J1108" s="20">
        <f>D1108/D1107-1</f>
        <v/>
      </c>
      <c r="K1108" s="20">
        <f>D1108/MAX(D$2:D1108)-1</f>
        <v/>
      </c>
      <c r="L1108" s="20">
        <f>E1108/E1107-1</f>
        <v/>
      </c>
      <c r="M1108" s="20">
        <f>E1108/MAX(E$2:E1108)-1</f>
        <v/>
      </c>
    </row>
    <row r="1109">
      <c r="A1109" s="11" t="n">
        <v>45322</v>
      </c>
      <c r="B1109" s="19" t="n">
        <v>1.500505672397294</v>
      </c>
      <c r="C1109" s="19" t="n">
        <v>1.138992343162538</v>
      </c>
      <c r="D1109" s="19" t="n">
        <v>1.016739735504657</v>
      </c>
      <c r="E1109" s="19" t="n">
        <v>0.9860480514214934</v>
      </c>
      <c r="F1109" s="20">
        <f>B1109/B1108-1</f>
        <v/>
      </c>
      <c r="G1109" s="20">
        <f>B1109/MAX(B$2:B1109)-1</f>
        <v/>
      </c>
      <c r="H1109" s="20">
        <f>C1109/C1108-1</f>
        <v/>
      </c>
      <c r="I1109" s="20">
        <f>C1109/MAX(C$2:C1109)-1</f>
        <v/>
      </c>
      <c r="J1109" s="20">
        <f>D1109/D1108-1</f>
        <v/>
      </c>
      <c r="K1109" s="20">
        <f>D1109/MAX(D$2:D1109)-1</f>
        <v/>
      </c>
      <c r="L1109" s="20">
        <f>E1109/E1108-1</f>
        <v/>
      </c>
      <c r="M1109" s="20">
        <f>E1109/MAX(E$2:E1109)-1</f>
        <v/>
      </c>
    </row>
    <row r="1110">
      <c r="A1110" s="11" t="n">
        <v>45323</v>
      </c>
      <c r="B1110" s="19" t="n">
        <v>1.504086786369446</v>
      </c>
      <c r="C1110" s="19" t="n">
        <v>1.144959948128696</v>
      </c>
      <c r="D1110" s="19" t="n">
        <v>1.026862983957597</v>
      </c>
      <c r="E1110" s="19" t="n">
        <v>0.9813425979310884</v>
      </c>
      <c r="F1110" s="20">
        <f>B1110/B1109-1</f>
        <v/>
      </c>
      <c r="G1110" s="20">
        <f>B1110/MAX(B$2:B1110)-1</f>
        <v/>
      </c>
      <c r="H1110" s="20">
        <f>C1110/C1109-1</f>
        <v/>
      </c>
      <c r="I1110" s="20">
        <f>C1110/MAX(C$2:C1110)-1</f>
        <v/>
      </c>
      <c r="J1110" s="20">
        <f>D1110/D1109-1</f>
        <v/>
      </c>
      <c r="K1110" s="20">
        <f>D1110/MAX(D$2:D1110)-1</f>
        <v/>
      </c>
      <c r="L1110" s="20">
        <f>E1110/E1109-1</f>
        <v/>
      </c>
      <c r="M1110" s="20">
        <f>E1110/MAX(E$2:E1110)-1</f>
        <v/>
      </c>
    </row>
    <row r="1111">
      <c r="A1111" s="11" t="n">
        <v>45324</v>
      </c>
      <c r="B1111" s="19" t="n">
        <v>1.485698802649803</v>
      </c>
      <c r="C1111" s="19" t="n">
        <v>1.114318023907265</v>
      </c>
      <c r="D1111" s="19" t="n">
        <v>1.001878035968053</v>
      </c>
      <c r="E1111" s="19" t="n">
        <v>0.9577855726704286</v>
      </c>
      <c r="F1111" s="20">
        <f>B1111/B1110-1</f>
        <v/>
      </c>
      <c r="G1111" s="20">
        <f>B1111/MAX(B$2:B1111)-1</f>
        <v/>
      </c>
      <c r="H1111" s="20">
        <f>C1111/C1110-1</f>
        <v/>
      </c>
      <c r="I1111" s="20">
        <f>C1111/MAX(C$2:C1111)-1</f>
        <v/>
      </c>
      <c r="J1111" s="20">
        <f>D1111/D1110-1</f>
        <v/>
      </c>
      <c r="K1111" s="20">
        <f>D1111/MAX(D$2:D1111)-1</f>
        <v/>
      </c>
      <c r="L1111" s="20">
        <f>E1111/E1110-1</f>
        <v/>
      </c>
      <c r="M1111" s="20">
        <f>E1111/MAX(E$2:E1111)-1</f>
        <v/>
      </c>
    </row>
    <row r="1112">
      <c r="A1112" s="11" t="n">
        <v>45327</v>
      </c>
      <c r="B1112" s="19" t="n">
        <v>1.483301425430653</v>
      </c>
      <c r="C1112" s="19" t="n">
        <v>1.110323009978636</v>
      </c>
      <c r="D1112" s="19" t="n">
        <v>1.009784953831347</v>
      </c>
      <c r="E1112" s="19" t="n">
        <v>0.9323307431640734</v>
      </c>
      <c r="F1112" s="20">
        <f>B1112/B1111-1</f>
        <v/>
      </c>
      <c r="G1112" s="20">
        <f>B1112/MAX(B$2:B1112)-1</f>
        <v/>
      </c>
      <c r="H1112" s="20">
        <f>C1112/C1111-1</f>
        <v/>
      </c>
      <c r="I1112" s="20">
        <f>C1112/MAX(C$2:C1112)-1</f>
        <v/>
      </c>
      <c r="J1112" s="20">
        <f>D1112/D1111-1</f>
        <v/>
      </c>
      <c r="K1112" s="20">
        <f>D1112/MAX(D$2:D1112)-1</f>
        <v/>
      </c>
      <c r="L1112" s="20">
        <f>E1112/E1111-1</f>
        <v/>
      </c>
      <c r="M1112" s="20">
        <f>E1112/MAX(E$2:E1112)-1</f>
        <v/>
      </c>
    </row>
    <row r="1113">
      <c r="A1113" s="11" t="n">
        <v>45328</v>
      </c>
      <c r="B1113" s="19" t="n">
        <v>1.526394234761525</v>
      </c>
      <c r="C1113" s="19" t="n">
        <v>1.18213330838534</v>
      </c>
      <c r="D1113" s="19" t="n">
        <v>1.077531505181013</v>
      </c>
      <c r="E1113" s="19" t="n">
        <v>0.9730100395406883</v>
      </c>
      <c r="F1113" s="20">
        <f>B1113/B1112-1</f>
        <v/>
      </c>
      <c r="G1113" s="20">
        <f>B1113/MAX(B$2:B1113)-1</f>
        <v/>
      </c>
      <c r="H1113" s="20">
        <f>C1113/C1112-1</f>
        <v/>
      </c>
      <c r="I1113" s="20">
        <f>C1113/MAX(C$2:C1113)-1</f>
        <v/>
      </c>
      <c r="J1113" s="20">
        <f>D1113/D1112-1</f>
        <v/>
      </c>
      <c r="K1113" s="20">
        <f>D1113/MAX(D$2:D1113)-1</f>
        <v/>
      </c>
      <c r="L1113" s="20">
        <f>E1113/E1112-1</f>
        <v/>
      </c>
      <c r="M1113" s="20">
        <f>E1113/MAX(E$2:E1113)-1</f>
        <v/>
      </c>
    </row>
    <row r="1114">
      <c r="A1114" s="11" t="n">
        <v>45329</v>
      </c>
      <c r="B1114" s="19" t="n">
        <v>1.545531110216272</v>
      </c>
      <c r="C1114" s="19" t="n">
        <v>1.21402319345702</v>
      </c>
      <c r="D1114" s="19" t="n">
        <v>1.103105350761118</v>
      </c>
      <c r="E1114" s="19" t="n">
        <v>0.9893028117409435</v>
      </c>
      <c r="F1114" s="20">
        <f>B1114/B1113-1</f>
        <v/>
      </c>
      <c r="G1114" s="20">
        <f>B1114/MAX(B$2:B1114)-1</f>
        <v/>
      </c>
      <c r="H1114" s="20">
        <f>C1114/C1113-1</f>
        <v/>
      </c>
      <c r="I1114" s="20">
        <f>C1114/MAX(C$2:C1114)-1</f>
        <v/>
      </c>
      <c r="J1114" s="20">
        <f>D1114/D1113-1</f>
        <v/>
      </c>
      <c r="K1114" s="20">
        <f>D1114/MAX(D$2:D1114)-1</f>
        <v/>
      </c>
      <c r="L1114" s="20">
        <f>E1114/E1113-1</f>
        <v/>
      </c>
      <c r="M1114" s="20">
        <f>E1114/MAX(E$2:E1114)-1</f>
        <v/>
      </c>
    </row>
    <row r="1115">
      <c r="A1115" s="11" t="n">
        <v>45330</v>
      </c>
      <c r="B1115" s="19" t="n">
        <v>1.555308181185555</v>
      </c>
      <c r="C1115" s="19" t="n">
        <v>1.230315804561972</v>
      </c>
      <c r="D1115" s="19" t="n">
        <v>1.115925521417992</v>
      </c>
      <c r="E1115" s="19" t="n">
        <v>1.012427976803788</v>
      </c>
      <c r="F1115" s="20">
        <f>B1115/B1114-1</f>
        <v/>
      </c>
      <c r="G1115" s="20">
        <f>B1115/MAX(B$2:B1115)-1</f>
        <v/>
      </c>
      <c r="H1115" s="20">
        <f>C1115/C1114-1</f>
        <v/>
      </c>
      <c r="I1115" s="20">
        <f>C1115/MAX(C$2:C1115)-1</f>
        <v/>
      </c>
      <c r="J1115" s="20">
        <f>D1115/D1114-1</f>
        <v/>
      </c>
      <c r="K1115" s="20">
        <f>D1115/MAX(D$2:D1115)-1</f>
        <v/>
      </c>
      <c r="L1115" s="20">
        <f>E1115/E1114-1</f>
        <v/>
      </c>
      <c r="M1115" s="20">
        <f>E1115/MAX(E$2:E1115)-1</f>
        <v/>
      </c>
    </row>
    <row r="1116">
      <c r="A1116" s="11" t="n">
        <v>45341</v>
      </c>
      <c r="B1116" s="19" t="n">
        <v>1.563757683159938</v>
      </c>
      <c r="C1116" s="19" t="n">
        <v>1.244396141109764</v>
      </c>
      <c r="D1116" s="19" t="n">
        <v>1.128567788523147</v>
      </c>
      <c r="E1116" s="19" t="n">
        <v>1.026886924046913</v>
      </c>
      <c r="F1116" s="20">
        <f>B1116/B1115-1</f>
        <v/>
      </c>
      <c r="G1116" s="20">
        <f>B1116/MAX(B$2:B1116)-1</f>
        <v/>
      </c>
      <c r="H1116" s="20">
        <f>C1116/C1115-1</f>
        <v/>
      </c>
      <c r="I1116" s="20">
        <f>C1116/MAX(C$2:C1116)-1</f>
        <v/>
      </c>
      <c r="J1116" s="20">
        <f>D1116/D1115-1</f>
        <v/>
      </c>
      <c r="K1116" s="20">
        <f>D1116/MAX(D$2:D1116)-1</f>
        <v/>
      </c>
      <c r="L1116" s="20">
        <f>E1116/E1115-1</f>
        <v/>
      </c>
      <c r="M1116" s="20">
        <f>E1116/MAX(E$2:E1116)-1</f>
        <v/>
      </c>
    </row>
    <row r="1117">
      <c r="A1117" s="11" t="n">
        <v>45342</v>
      </c>
      <c r="B1117" s="19" t="n">
        <v>1.561227644294439</v>
      </c>
      <c r="C1117" s="19" t="n">
        <v>1.240180058456227</v>
      </c>
      <c r="D1117" s="19" t="n">
        <v>1.128408948374173</v>
      </c>
      <c r="E1117" s="19" t="n">
        <v>1.031384072876874</v>
      </c>
      <c r="F1117" s="20">
        <f>B1117/B1116-1</f>
        <v/>
      </c>
      <c r="G1117" s="20">
        <f>B1117/MAX(B$2:B1117)-1</f>
        <v/>
      </c>
      <c r="H1117" s="20">
        <f>C1117/C1116-1</f>
        <v/>
      </c>
      <c r="I1117" s="20">
        <f>C1117/MAX(C$2:C1117)-1</f>
        <v/>
      </c>
      <c r="J1117" s="20">
        <f>D1117/D1116-1</f>
        <v/>
      </c>
      <c r="K1117" s="20">
        <f>D1117/MAX(D$2:D1117)-1</f>
        <v/>
      </c>
      <c r="L1117" s="20">
        <f>E1117/E1116-1</f>
        <v/>
      </c>
      <c r="M1117" s="20">
        <f>E1117/MAX(E$2:E1117)-1</f>
        <v/>
      </c>
    </row>
    <row r="1118">
      <c r="A1118" s="11" t="n">
        <v>45343</v>
      </c>
      <c r="B1118" s="19" t="n">
        <v>1.56318420152598</v>
      </c>
      <c r="C1118" s="19" t="n">
        <v>1.24344048544691</v>
      </c>
      <c r="D1118" s="19" t="n">
        <v>1.132481408174142</v>
      </c>
      <c r="E1118" s="19" t="n">
        <v>1.042223354672162</v>
      </c>
      <c r="F1118" s="20">
        <f>B1118/B1117-1</f>
        <v/>
      </c>
      <c r="G1118" s="20">
        <f>B1118/MAX(B$2:B1118)-1</f>
        <v/>
      </c>
      <c r="H1118" s="20">
        <f>C1118/C1117-1</f>
        <v/>
      </c>
      <c r="I1118" s="20">
        <f>C1118/MAX(C$2:C1118)-1</f>
        <v/>
      </c>
      <c r="J1118" s="20">
        <f>D1118/D1117-1</f>
        <v/>
      </c>
      <c r="K1118" s="20">
        <f>D1118/MAX(D$2:D1118)-1</f>
        <v/>
      </c>
      <c r="L1118" s="20">
        <f>E1118/E1117-1</f>
        <v/>
      </c>
      <c r="M1118" s="20">
        <f>E1118/MAX(E$2:E1118)-1</f>
        <v/>
      </c>
    </row>
    <row r="1119">
      <c r="A1119" s="11" t="n">
        <v>45344</v>
      </c>
      <c r="B1119" s="19" t="n">
        <v>1.569926161069314</v>
      </c>
      <c r="C1119" s="19" t="n">
        <v>1.254675355815548</v>
      </c>
      <c r="D1119" s="19" t="n">
        <v>1.135965164248663</v>
      </c>
      <c r="E1119" s="19" t="n">
        <v>1.054954117178811</v>
      </c>
      <c r="F1119" s="20">
        <f>B1119/B1118-1</f>
        <v/>
      </c>
      <c r="G1119" s="20">
        <f>B1119/MAX(B$2:B1119)-1</f>
        <v/>
      </c>
      <c r="H1119" s="20">
        <f>C1119/C1118-1</f>
        <v/>
      </c>
      <c r="I1119" s="20">
        <f>C1119/MAX(C$2:C1119)-1</f>
        <v/>
      </c>
      <c r="J1119" s="20">
        <f>D1119/D1118-1</f>
        <v/>
      </c>
      <c r="K1119" s="20">
        <f>D1119/MAX(D$2:D1119)-1</f>
        <v/>
      </c>
      <c r="L1119" s="20">
        <f>E1119/E1118-1</f>
        <v/>
      </c>
      <c r="M1119" s="20">
        <f>E1119/MAX(E$2:E1119)-1</f>
        <v/>
      </c>
    </row>
    <row r="1120">
      <c r="A1120" s="11" t="n">
        <v>45345</v>
      </c>
      <c r="B1120" s="19" t="n">
        <v>1.573370572352799</v>
      </c>
      <c r="C1120" s="19" t="n">
        <v>1.260415158022532</v>
      </c>
      <c r="D1120" s="19" t="n">
        <v>1.136174086218407</v>
      </c>
      <c r="E1120" s="19" t="n">
        <v>1.064572212902242</v>
      </c>
      <c r="F1120" s="20">
        <f>B1120/B1119-1</f>
        <v/>
      </c>
      <c r="G1120" s="20">
        <f>B1120/MAX(B$2:B1120)-1</f>
        <v/>
      </c>
      <c r="H1120" s="20">
        <f>C1120/C1119-1</f>
        <v/>
      </c>
      <c r="I1120" s="20">
        <f>C1120/MAX(C$2:C1120)-1</f>
        <v/>
      </c>
      <c r="J1120" s="20">
        <f>D1120/D1119-1</f>
        <v/>
      </c>
      <c r="K1120" s="20">
        <f>D1120/MAX(D$2:D1120)-1</f>
        <v/>
      </c>
      <c r="L1120" s="20">
        <f>E1120/E1119-1</f>
        <v/>
      </c>
      <c r="M1120" s="20">
        <f>E1120/MAX(E$2:E1120)-1</f>
        <v/>
      </c>
    </row>
    <row r="1121">
      <c r="A1121" s="11" t="n">
        <v>45348</v>
      </c>
      <c r="B1121" s="19" t="n">
        <v>1.572229295408714</v>
      </c>
      <c r="C1121" s="19" t="n">
        <v>1.258513322445041</v>
      </c>
      <c r="D1121" s="19" t="n">
        <v>1.131980266857912</v>
      </c>
      <c r="E1121" s="19" t="n">
        <v>1.063342099487794</v>
      </c>
      <c r="F1121" s="20">
        <f>B1121/B1120-1</f>
        <v/>
      </c>
      <c r="G1121" s="20">
        <f>B1121/MAX(B$2:B1121)-1</f>
        <v/>
      </c>
      <c r="H1121" s="20">
        <f>C1121/C1120-1</f>
        <v/>
      </c>
      <c r="I1121" s="20">
        <f>C1121/MAX(C$2:C1121)-1</f>
        <v/>
      </c>
      <c r="J1121" s="20">
        <f>D1121/D1120-1</f>
        <v/>
      </c>
      <c r="K1121" s="20">
        <f>D1121/MAX(D$2:D1121)-1</f>
        <v/>
      </c>
      <c r="L1121" s="20">
        <f>E1121/E1120-1</f>
        <v/>
      </c>
      <c r="M1121" s="20">
        <f>E1121/MAX(E$2:E1121)-1</f>
        <v/>
      </c>
    </row>
    <row r="1122">
      <c r="A1122" s="11" t="n">
        <v>45349</v>
      </c>
      <c r="B1122" s="19" t="n">
        <v>1.589845786420865</v>
      </c>
      <c r="C1122" s="19" t="n">
        <v>1.287869623324578</v>
      </c>
      <c r="D1122" s="19" t="n">
        <v>1.159299673912418</v>
      </c>
      <c r="E1122" s="19" t="n">
        <v>1.08387945111722</v>
      </c>
      <c r="F1122" s="20">
        <f>B1122/B1121-1</f>
        <v/>
      </c>
      <c r="G1122" s="20">
        <f>B1122/MAX(B$2:B1122)-1</f>
        <v/>
      </c>
      <c r="H1122" s="20">
        <f>C1122/C1121-1</f>
        <v/>
      </c>
      <c r="I1122" s="20">
        <f>C1122/MAX(C$2:C1122)-1</f>
        <v/>
      </c>
      <c r="J1122" s="20">
        <f>D1122/D1121-1</f>
        <v/>
      </c>
      <c r="K1122" s="20">
        <f>D1122/MAX(D$2:D1122)-1</f>
        <v/>
      </c>
      <c r="L1122" s="20">
        <f>E1122/E1121-1</f>
        <v/>
      </c>
      <c r="M1122" s="20">
        <f>E1122/MAX(E$2:E1122)-1</f>
        <v/>
      </c>
    </row>
    <row r="1123">
      <c r="A1123" s="11" t="n">
        <v>45350</v>
      </c>
      <c r="B1123" s="19" t="n">
        <v>1.572446992131248</v>
      </c>
      <c r="C1123" s="19" t="n">
        <v>1.258876094491007</v>
      </c>
      <c r="D1123" s="19" t="n">
        <v>1.130214026438161</v>
      </c>
      <c r="E1123" s="19" t="n">
        <v>1.051588880994804</v>
      </c>
      <c r="F1123" s="20">
        <f>B1123/B1122-1</f>
        <v/>
      </c>
      <c r="G1123" s="20">
        <f>B1123/MAX(B$2:B1123)-1</f>
        <v/>
      </c>
      <c r="H1123" s="20">
        <f>C1123/C1122-1</f>
        <v/>
      </c>
      <c r="I1123" s="20">
        <f>C1123/MAX(C$2:C1123)-1</f>
        <v/>
      </c>
      <c r="J1123" s="20">
        <f>D1123/D1122-1</f>
        <v/>
      </c>
      <c r="K1123" s="20">
        <f>D1123/MAX(D$2:D1123)-1</f>
        <v/>
      </c>
      <c r="L1123" s="20">
        <f>E1123/E1122-1</f>
        <v/>
      </c>
      <c r="M1123" s="20">
        <f>E1123/MAX(E$2:E1123)-1</f>
        <v/>
      </c>
    </row>
    <row r="1124">
      <c r="A1124" s="11" t="n">
        <v>45351</v>
      </c>
      <c r="B1124" s="19" t="n">
        <v>1.599329766363814</v>
      </c>
      <c r="C1124" s="19" t="n">
        <v>1.303673824544256</v>
      </c>
      <c r="D1124" s="19" t="n">
        <v>1.167736425128615</v>
      </c>
      <c r="E1124" s="19" t="n">
        <v>1.080911853651097</v>
      </c>
      <c r="F1124" s="20">
        <f>B1124/B1123-1</f>
        <v/>
      </c>
      <c r="G1124" s="20">
        <f>B1124/MAX(B$2:B1124)-1</f>
        <v/>
      </c>
      <c r="H1124" s="20">
        <f>C1124/C1123-1</f>
        <v/>
      </c>
      <c r="I1124" s="20">
        <f>C1124/MAX(C$2:C1124)-1</f>
        <v/>
      </c>
      <c r="J1124" s="20">
        <f>D1124/D1123-1</f>
        <v/>
      </c>
      <c r="K1124" s="20">
        <f>D1124/MAX(D$2:D1124)-1</f>
        <v/>
      </c>
      <c r="L1124" s="20">
        <f>E1124/E1123-1</f>
        <v/>
      </c>
      <c r="M1124" s="20">
        <f>E1124/MAX(E$2:E1124)-1</f>
        <v/>
      </c>
    </row>
    <row r="1125">
      <c r="A1125" s="11" t="n">
        <v>45352</v>
      </c>
      <c r="B1125" s="19" t="n">
        <v>1.614770560192491</v>
      </c>
      <c r="C1125" s="19" t="n">
        <v>1.329404521374907</v>
      </c>
      <c r="D1125" s="19" t="n">
        <v>1.178722179467785</v>
      </c>
      <c r="E1125" s="19" t="n">
        <v>1.089785632186046</v>
      </c>
      <c r="F1125" s="20">
        <f>B1125/B1124-1</f>
        <v/>
      </c>
      <c r="G1125" s="20">
        <f>B1125/MAX(B$2:B1125)-1</f>
        <v/>
      </c>
      <c r="H1125" s="20">
        <f>C1125/C1124-1</f>
        <v/>
      </c>
      <c r="I1125" s="20">
        <f>C1125/MAX(C$2:C1125)-1</f>
        <v/>
      </c>
      <c r="J1125" s="20">
        <f>D1125/D1124-1</f>
        <v/>
      </c>
      <c r="K1125" s="20">
        <f>D1125/MAX(D$2:D1125)-1</f>
        <v/>
      </c>
      <c r="L1125" s="20">
        <f>E1125/E1124-1</f>
        <v/>
      </c>
      <c r="M1125" s="20">
        <f>E1125/MAX(E$2:E1125)-1</f>
        <v/>
      </c>
    </row>
    <row r="1126">
      <c r="A1126" s="11" t="n">
        <v>45355</v>
      </c>
      <c r="B1126" s="19" t="n">
        <v>1.619743005034386</v>
      </c>
      <c r="C1126" s="19" t="n">
        <v>1.337690654338895</v>
      </c>
      <c r="D1126" s="19" t="n">
        <v>1.185700418819727</v>
      </c>
      <c r="E1126" s="19" t="n">
        <v>1.09235075529038</v>
      </c>
      <c r="F1126" s="20">
        <f>B1126/B1125-1</f>
        <v/>
      </c>
      <c r="G1126" s="20">
        <f>B1126/MAX(B$2:B1126)-1</f>
        <v/>
      </c>
      <c r="H1126" s="20">
        <f>C1126/C1125-1</f>
        <v/>
      </c>
      <c r="I1126" s="20">
        <f>C1126/MAX(C$2:C1126)-1</f>
        <v/>
      </c>
      <c r="J1126" s="20">
        <f>D1126/D1125-1</f>
        <v/>
      </c>
      <c r="K1126" s="20">
        <f>D1126/MAX(D$2:D1126)-1</f>
        <v/>
      </c>
      <c r="L1126" s="20">
        <f>E1126/E1125-1</f>
        <v/>
      </c>
      <c r="M1126" s="20">
        <f>E1126/MAX(E$2:E1126)-1</f>
        <v/>
      </c>
    </row>
    <row r="1127">
      <c r="A1127" s="11" t="n">
        <v>45356</v>
      </c>
      <c r="B1127" s="19" t="n">
        <v>1.618977747077897</v>
      </c>
      <c r="C1127" s="19" t="n">
        <v>1.336415420649868</v>
      </c>
      <c r="D1127" s="19" t="n">
        <v>1.184942858581152</v>
      </c>
      <c r="E1127" s="19" t="n">
        <v>1.089596670101214</v>
      </c>
      <c r="F1127" s="20">
        <f>B1127/B1126-1</f>
        <v/>
      </c>
      <c r="G1127" s="20">
        <f>B1127/MAX(B$2:B1127)-1</f>
        <v/>
      </c>
      <c r="H1127" s="20">
        <f>C1127/C1126-1</f>
        <v/>
      </c>
      <c r="I1127" s="20">
        <f>C1127/MAX(C$2:C1127)-1</f>
        <v/>
      </c>
      <c r="J1127" s="20">
        <f>D1127/D1126-1</f>
        <v/>
      </c>
      <c r="K1127" s="20">
        <f>D1127/MAX(D$2:D1127)-1</f>
        <v/>
      </c>
      <c r="L1127" s="20">
        <f>E1127/E1126-1</f>
        <v/>
      </c>
      <c r="M1127" s="20">
        <f>E1127/MAX(E$2:E1127)-1</f>
        <v/>
      </c>
    </row>
    <row r="1128">
      <c r="A1128" s="11" t="n">
        <v>45357</v>
      </c>
      <c r="B1128" s="19" t="n">
        <v>1.621972476945264</v>
      </c>
      <c r="C1128" s="19" t="n">
        <v>1.341405869143765</v>
      </c>
      <c r="D1128" s="19" t="n">
        <v>1.184244685688755</v>
      </c>
      <c r="E1128" s="19" t="n">
        <v>1.090097717204105</v>
      </c>
      <c r="F1128" s="20">
        <f>B1128/B1127-1</f>
        <v/>
      </c>
      <c r="G1128" s="20">
        <f>B1128/MAX(B$2:B1128)-1</f>
        <v/>
      </c>
      <c r="H1128" s="20">
        <f>C1128/C1127-1</f>
        <v/>
      </c>
      <c r="I1128" s="20">
        <f>C1128/MAX(C$2:C1128)-1</f>
        <v/>
      </c>
      <c r="J1128" s="20">
        <f>D1128/D1127-1</f>
        <v/>
      </c>
      <c r="K1128" s="20">
        <f>D1128/MAX(D$2:D1128)-1</f>
        <v/>
      </c>
      <c r="L1128" s="20">
        <f>E1128/E1127-1</f>
        <v/>
      </c>
      <c r="M1128" s="20">
        <f>E1128/MAX(E$2:E1128)-1</f>
        <v/>
      </c>
    </row>
    <row r="1129">
      <c r="A1129" s="11" t="n">
        <v>45358</v>
      </c>
      <c r="B1129" s="19" t="n">
        <v>1.603080084550695</v>
      </c>
      <c r="C1129" s="19" t="n">
        <v>1.309923393145186</v>
      </c>
      <c r="D1129" s="19" t="n">
        <v>1.156687212275901</v>
      </c>
      <c r="E1129" s="19" t="n">
        <v>1.080065987940648</v>
      </c>
      <c r="F1129" s="20">
        <f>B1129/B1128-1</f>
        <v/>
      </c>
      <c r="G1129" s="20">
        <f>B1129/MAX(B$2:B1129)-1</f>
        <v/>
      </c>
      <c r="H1129" s="20">
        <f>C1129/C1128-1</f>
        <v/>
      </c>
      <c r="I1129" s="20">
        <f>C1129/MAX(C$2:C1129)-1</f>
        <v/>
      </c>
      <c r="J1129" s="20">
        <f>D1129/D1128-1</f>
        <v/>
      </c>
      <c r="K1129" s="20">
        <f>D1129/MAX(D$2:D1129)-1</f>
        <v/>
      </c>
      <c r="L1129" s="20">
        <f>E1129/E1128-1</f>
        <v/>
      </c>
      <c r="M1129" s="20">
        <f>E1129/MAX(E$2:E1129)-1</f>
        <v/>
      </c>
    </row>
    <row r="1130">
      <c r="A1130" s="11" t="n">
        <v>45359</v>
      </c>
      <c r="B1130" s="19" t="n">
        <v>1.615814159370857</v>
      </c>
      <c r="C1130" s="19" t="n">
        <v>1.331143585724136</v>
      </c>
      <c r="D1130" s="19" t="n">
        <v>1.167904183072771</v>
      </c>
      <c r="E1130" s="19" t="n">
        <v>1.089370882728196</v>
      </c>
      <c r="F1130" s="20">
        <f>B1130/B1129-1</f>
        <v/>
      </c>
      <c r="G1130" s="20">
        <f>B1130/MAX(B$2:B1130)-1</f>
        <v/>
      </c>
      <c r="H1130" s="20">
        <f>C1130/C1129-1</f>
        <v/>
      </c>
      <c r="I1130" s="20">
        <f>C1130/MAX(C$2:C1130)-1</f>
        <v/>
      </c>
      <c r="J1130" s="20">
        <f>D1130/D1129-1</f>
        <v/>
      </c>
      <c r="K1130" s="20">
        <f>D1130/MAX(D$2:D1130)-1</f>
        <v/>
      </c>
      <c r="L1130" s="20">
        <f>E1130/E1129-1</f>
        <v/>
      </c>
      <c r="M1130" s="20">
        <f>E1130/MAX(E$2:E1130)-1</f>
        <v/>
      </c>
    </row>
    <row r="1131">
      <c r="A1131" s="11" t="n">
        <v>45362</v>
      </c>
      <c r="B1131" s="19" t="n">
        <v>1.639613881810786</v>
      </c>
      <c r="C1131" s="19" t="n">
        <v>1.369294006252551</v>
      </c>
      <c r="D1131" s="19" t="n">
        <v>1.221615094130883</v>
      </c>
      <c r="E1131" s="19" t="n">
        <v>1.106490178063288</v>
      </c>
      <c r="F1131" s="20">
        <f>B1131/B1130-1</f>
        <v/>
      </c>
      <c r="G1131" s="20">
        <f>B1131/MAX(B$2:B1131)-1</f>
        <v/>
      </c>
      <c r="H1131" s="20">
        <f>C1131/C1130-1</f>
        <v/>
      </c>
      <c r="I1131" s="20">
        <f>C1131/MAX(C$2:C1131)-1</f>
        <v/>
      </c>
      <c r="J1131" s="20">
        <f>D1131/D1130-1</f>
        <v/>
      </c>
      <c r="K1131" s="20">
        <f>D1131/MAX(D$2:D1131)-1</f>
        <v/>
      </c>
      <c r="L1131" s="20">
        <f>E1131/E1130-1</f>
        <v/>
      </c>
      <c r="M1131" s="20">
        <f>E1131/MAX(E$2:E1131)-1</f>
        <v/>
      </c>
    </row>
    <row r="1132">
      <c r="A1132" s="11" t="n">
        <v>45363</v>
      </c>
      <c r="B1132" s="19" t="n">
        <v>1.634273014155312</v>
      </c>
      <c r="C1132" s="19" t="n">
        <v>1.367347629848414</v>
      </c>
      <c r="D1132" s="19" t="n">
        <v>1.231713333984289</v>
      </c>
      <c r="E1132" s="19" t="n">
        <v>1.110468053132567</v>
      </c>
      <c r="F1132" s="20">
        <f>B1132/B1131-1</f>
        <v/>
      </c>
      <c r="G1132" s="20">
        <f>B1132/MAX(B$2:B1132)-1</f>
        <v/>
      </c>
      <c r="H1132" s="20">
        <f>C1132/C1131-1</f>
        <v/>
      </c>
      <c r="I1132" s="20">
        <f>C1132/MAX(C$2:C1132)-1</f>
        <v/>
      </c>
      <c r="J1132" s="20">
        <f>D1132/D1131-1</f>
        <v/>
      </c>
      <c r="K1132" s="20">
        <f>D1132/MAX(D$2:D1132)-1</f>
        <v/>
      </c>
      <c r="L1132" s="20">
        <f>E1132/E1131-1</f>
        <v/>
      </c>
      <c r="M1132" s="20">
        <f>E1132/MAX(E$2:E1132)-1</f>
        <v/>
      </c>
    </row>
    <row r="1133">
      <c r="A1133" s="11" t="n">
        <v>45364</v>
      </c>
      <c r="B1133" s="19" t="n">
        <v>1.631496832766564</v>
      </c>
      <c r="C1133" s="19" t="n">
        <v>1.362481568587462</v>
      </c>
      <c r="D1133" s="19" t="n">
        <v>1.224676611990027</v>
      </c>
      <c r="E1133" s="19" t="n">
        <v>1.107771995670239</v>
      </c>
      <c r="F1133" s="20">
        <f>B1133/B1132-1</f>
        <v/>
      </c>
      <c r="G1133" s="20">
        <f>B1133/MAX(B$2:B1133)-1</f>
        <v/>
      </c>
      <c r="H1133" s="20">
        <f>C1133/C1132-1</f>
        <v/>
      </c>
      <c r="I1133" s="20">
        <f>C1133/MAX(C$2:C1133)-1</f>
        <v/>
      </c>
      <c r="J1133" s="20">
        <f>D1133/D1132-1</f>
        <v/>
      </c>
      <c r="K1133" s="20">
        <f>D1133/MAX(D$2:D1133)-1</f>
        <v/>
      </c>
      <c r="L1133" s="20">
        <f>E1133/E1132-1</f>
        <v/>
      </c>
      <c r="M1133" s="20">
        <f>E1133/MAX(E$2:E1133)-1</f>
        <v/>
      </c>
    </row>
    <row r="1134">
      <c r="A1134" s="11" t="n">
        <v>45365</v>
      </c>
      <c r="B1134" s="19" t="n">
        <v>1.624736112493267</v>
      </c>
      <c r="C1134" s="19" t="n">
        <v>1.354687549227594</v>
      </c>
      <c r="D1134" s="19" t="n">
        <v>1.216840002540926</v>
      </c>
      <c r="E1134" s="19" t="n">
        <v>1.102759292805678</v>
      </c>
      <c r="F1134" s="20">
        <f>B1134/B1133-1</f>
        <v/>
      </c>
      <c r="G1134" s="20">
        <f>B1134/MAX(B$2:B1134)-1</f>
        <v/>
      </c>
      <c r="H1134" s="20">
        <f>C1134/C1133-1</f>
        <v/>
      </c>
      <c r="I1134" s="20">
        <f>C1134/MAX(C$2:C1134)-1</f>
        <v/>
      </c>
      <c r="J1134" s="20">
        <f>D1134/D1133-1</f>
        <v/>
      </c>
      <c r="K1134" s="20">
        <f>D1134/MAX(D$2:D1134)-1</f>
        <v/>
      </c>
      <c r="L1134" s="20">
        <f>E1134/E1133-1</f>
        <v/>
      </c>
      <c r="M1134" s="20">
        <f>E1134/MAX(E$2:E1134)-1</f>
        <v/>
      </c>
    </row>
    <row r="1135">
      <c r="A1135" s="11" t="n">
        <v>45366</v>
      </c>
      <c r="B1135" s="19" t="n">
        <v>1.632601404244945</v>
      </c>
      <c r="C1135" s="19" t="n">
        <v>1.356645758291941</v>
      </c>
      <c r="D1135" s="19" t="n">
        <v>1.217529839233478</v>
      </c>
      <c r="E1135" s="19" t="n">
        <v>1.11105725774354</v>
      </c>
      <c r="F1135" s="20">
        <f>B1135/B1134-1</f>
        <v/>
      </c>
      <c r="G1135" s="20">
        <f>B1135/MAX(B$2:B1135)-1</f>
        <v/>
      </c>
      <c r="H1135" s="20">
        <f>C1135/C1134-1</f>
        <v/>
      </c>
      <c r="I1135" s="20">
        <f>C1135/MAX(C$2:C1135)-1</f>
        <v/>
      </c>
      <c r="J1135" s="20">
        <f>D1135/D1134-1</f>
        <v/>
      </c>
      <c r="K1135" s="20">
        <f>D1135/MAX(D$2:D1135)-1</f>
        <v/>
      </c>
      <c r="L1135" s="20">
        <f>E1135/E1134-1</f>
        <v/>
      </c>
      <c r="M1135" s="20">
        <f>E1135/MAX(E$2:E1135)-1</f>
        <v/>
      </c>
    </row>
    <row r="1136">
      <c r="A1136" s="11" t="n">
        <v>45369</v>
      </c>
      <c r="B1136" s="19" t="n">
        <v>1.652569046866204</v>
      </c>
      <c r="C1136" s="19" t="n">
        <v>1.379207707198418</v>
      </c>
      <c r="D1136" s="19" t="n">
        <v>1.244870119098447</v>
      </c>
      <c r="E1136" s="19" t="n">
        <v>1.126047381870799</v>
      </c>
      <c r="F1136" s="20">
        <f>B1136/B1135-1</f>
        <v/>
      </c>
      <c r="G1136" s="20">
        <f>B1136/MAX(B$2:B1136)-1</f>
        <v/>
      </c>
      <c r="H1136" s="20">
        <f>C1136/C1135-1</f>
        <v/>
      </c>
      <c r="I1136" s="20">
        <f>C1136/MAX(C$2:C1136)-1</f>
        <v/>
      </c>
      <c r="J1136" s="20">
        <f>D1136/D1135-1</f>
        <v/>
      </c>
      <c r="K1136" s="20">
        <f>D1136/MAX(D$2:D1136)-1</f>
        <v/>
      </c>
      <c r="L1136" s="20">
        <f>E1136/E1135-1</f>
        <v/>
      </c>
      <c r="M1136" s="20">
        <f>E1136/MAX(E$2:E1136)-1</f>
        <v/>
      </c>
    </row>
    <row r="1137">
      <c r="A1137" s="11" t="n">
        <v>45370</v>
      </c>
      <c r="B1137" s="19" t="n">
        <v>1.643402296128707</v>
      </c>
      <c r="C1137" s="19" t="n">
        <v>1.366068211438094</v>
      </c>
      <c r="D1137" s="19" t="n">
        <v>1.232296157134653</v>
      </c>
      <c r="E1137" s="19" t="n">
        <v>1.11865405431544</v>
      </c>
      <c r="F1137" s="20">
        <f>B1137/B1136-1</f>
        <v/>
      </c>
      <c r="G1137" s="20">
        <f>B1137/MAX(B$2:B1137)-1</f>
        <v/>
      </c>
      <c r="H1137" s="20">
        <f>C1137/C1136-1</f>
        <v/>
      </c>
      <c r="I1137" s="20">
        <f>C1137/MAX(C$2:C1137)-1</f>
        <v/>
      </c>
      <c r="J1137" s="20">
        <f>D1137/D1136-1</f>
        <v/>
      </c>
      <c r="K1137" s="20">
        <f>D1137/MAX(D$2:D1137)-1</f>
        <v/>
      </c>
      <c r="L1137" s="20">
        <f>E1137/E1136-1</f>
        <v/>
      </c>
      <c r="M1137" s="20">
        <f>E1137/MAX(E$2:E1137)-1</f>
        <v/>
      </c>
    </row>
    <row r="1138">
      <c r="A1138" s="11" t="n">
        <v>45371</v>
      </c>
      <c r="B1138" s="19" t="n">
        <v>1.64331560794896</v>
      </c>
      <c r="C1138" s="19" t="n">
        <v>1.369375391866682</v>
      </c>
      <c r="D1138" s="19" t="n">
        <v>1.233786915229313</v>
      </c>
      <c r="E1138" s="19" t="n">
        <v>1.12457213850772</v>
      </c>
      <c r="F1138" s="20">
        <f>B1138/B1137-1</f>
        <v/>
      </c>
      <c r="G1138" s="20">
        <f>B1138/MAX(B$2:B1138)-1</f>
        <v/>
      </c>
      <c r="H1138" s="20">
        <f>C1138/C1137-1</f>
        <v/>
      </c>
      <c r="I1138" s="20">
        <f>C1138/MAX(C$2:C1138)-1</f>
        <v/>
      </c>
      <c r="J1138" s="20">
        <f>D1138/D1137-1</f>
        <v/>
      </c>
      <c r="K1138" s="20">
        <f>D1138/MAX(D$2:D1138)-1</f>
        <v/>
      </c>
      <c r="L1138" s="20">
        <f>E1138/E1137-1</f>
        <v/>
      </c>
      <c r="M1138" s="20">
        <f>E1138/MAX(E$2:E1138)-1</f>
        <v/>
      </c>
    </row>
    <row r="1139">
      <c r="A1139" s="11" t="n">
        <v>45372</v>
      </c>
      <c r="B1139" s="19" t="n">
        <v>1.63572428970498</v>
      </c>
      <c r="C1139" s="19" t="n">
        <v>1.36003725844959</v>
      </c>
      <c r="D1139" s="19" t="n">
        <v>1.22593466732779</v>
      </c>
      <c r="E1139" s="19" t="n">
        <v>1.12350829684902</v>
      </c>
      <c r="F1139" s="20">
        <f>B1139/B1138-1</f>
        <v/>
      </c>
      <c r="G1139" s="20">
        <f>B1139/MAX(B$2:B1139)-1</f>
        <v/>
      </c>
      <c r="H1139" s="20">
        <f>C1139/C1138-1</f>
        <v/>
      </c>
      <c r="I1139" s="20">
        <f>C1139/MAX(C$2:C1139)-1</f>
        <v/>
      </c>
      <c r="J1139" s="20">
        <f>D1139/D1138-1</f>
        <v/>
      </c>
      <c r="K1139" s="20">
        <f>D1139/MAX(D$2:D1139)-1</f>
        <v/>
      </c>
      <c r="L1139" s="20">
        <f>E1139/E1138-1</f>
        <v/>
      </c>
      <c r="M1139" s="20">
        <f>E1139/MAX(E$2:E1139)-1</f>
        <v/>
      </c>
    </row>
    <row r="1140">
      <c r="A1140" s="11" t="n">
        <v>45373</v>
      </c>
      <c r="B1140" s="19" t="n">
        <v>1.624101733527334</v>
      </c>
      <c r="C1140" s="19" t="n">
        <v>1.344019251641962</v>
      </c>
      <c r="D1140" s="19" t="n">
        <v>1.207892545996275</v>
      </c>
      <c r="E1140" s="19" t="n">
        <v>1.110756331903719</v>
      </c>
      <c r="F1140" s="20">
        <f>B1140/B1139-1</f>
        <v/>
      </c>
      <c r="G1140" s="20">
        <f>B1140/MAX(B$2:B1140)-1</f>
        <v/>
      </c>
      <c r="H1140" s="20">
        <f>C1140/C1139-1</f>
        <v/>
      </c>
      <c r="I1140" s="20">
        <f>C1140/MAX(C$2:C1140)-1</f>
        <v/>
      </c>
      <c r="J1140" s="20">
        <f>D1140/D1139-1</f>
        <v/>
      </c>
      <c r="K1140" s="20">
        <f>D1140/MAX(D$2:D1140)-1</f>
        <v/>
      </c>
      <c r="L1140" s="20">
        <f>E1140/E1139-1</f>
        <v/>
      </c>
      <c r="M1140" s="20">
        <f>E1140/MAX(E$2:E1140)-1</f>
        <v/>
      </c>
    </row>
    <row r="1141">
      <c r="A1141" s="11" t="n">
        <v>45376</v>
      </c>
      <c r="B1141" s="19" t="n">
        <v>1.607135278126068</v>
      </c>
      <c r="C1141" s="19" t="n">
        <v>1.325615472694333</v>
      </c>
      <c r="D1141" s="19" t="n">
        <v>1.184800949318684</v>
      </c>
      <c r="E1141" s="19" t="n">
        <v>1.094937452805975</v>
      </c>
      <c r="F1141" s="20">
        <f>B1141/B1140-1</f>
        <v/>
      </c>
      <c r="G1141" s="20">
        <f>B1141/MAX(B$2:B1141)-1</f>
        <v/>
      </c>
      <c r="H1141" s="20">
        <f>C1141/C1140-1</f>
        <v/>
      </c>
      <c r="I1141" s="20">
        <f>C1141/MAX(C$2:C1141)-1</f>
        <v/>
      </c>
      <c r="J1141" s="20">
        <f>D1141/D1140-1</f>
        <v/>
      </c>
      <c r="K1141" s="20">
        <f>D1141/MAX(D$2:D1141)-1</f>
        <v/>
      </c>
      <c r="L1141" s="20">
        <f>E1141/E1140-1</f>
        <v/>
      </c>
      <c r="M1141" s="20">
        <f>E1141/MAX(E$2:E1141)-1</f>
        <v/>
      </c>
    </row>
    <row r="1142">
      <c r="A1142" s="11" t="n">
        <v>45377</v>
      </c>
      <c r="B1142" s="19" t="n">
        <v>1.598645927633754</v>
      </c>
      <c r="C1142" s="19" t="n">
        <v>1.32173868916732</v>
      </c>
      <c r="D1142" s="19" t="n">
        <v>1.190031430058282</v>
      </c>
      <c r="E1142" s="19" t="n">
        <v>1.096158638877833</v>
      </c>
      <c r="F1142" s="20">
        <f>B1142/B1141-1</f>
        <v/>
      </c>
      <c r="G1142" s="20">
        <f>B1142/MAX(B$2:B1142)-1</f>
        <v/>
      </c>
      <c r="H1142" s="20">
        <f>C1142/C1141-1</f>
        <v/>
      </c>
      <c r="I1142" s="20">
        <f>C1142/MAX(C$2:C1142)-1</f>
        <v/>
      </c>
      <c r="J1142" s="20">
        <f>D1142/D1141-1</f>
        <v/>
      </c>
      <c r="K1142" s="20">
        <f>D1142/MAX(D$2:D1142)-1</f>
        <v/>
      </c>
      <c r="L1142" s="20">
        <f>E1142/E1141-1</f>
        <v/>
      </c>
      <c r="M1142" s="20">
        <f>E1142/MAX(E$2:E1142)-1</f>
        <v/>
      </c>
    </row>
    <row r="1143">
      <c r="A1143" s="11" t="n">
        <v>45378</v>
      </c>
      <c r="B1143" s="19" t="n">
        <v>1.570096655946262</v>
      </c>
      <c r="C1143" s="19" t="n">
        <v>1.291445203118916</v>
      </c>
      <c r="D1143" s="19" t="n">
        <v>1.156611604881963</v>
      </c>
      <c r="E1143" s="19" t="n">
        <v>1.07248853394436</v>
      </c>
      <c r="F1143" s="20">
        <f>B1143/B1142-1</f>
        <v/>
      </c>
      <c r="G1143" s="20">
        <f>B1143/MAX(B$2:B1143)-1</f>
        <v/>
      </c>
      <c r="H1143" s="20">
        <f>C1143/C1142-1</f>
        <v/>
      </c>
      <c r="I1143" s="20">
        <f>C1143/MAX(C$2:C1143)-1</f>
        <v/>
      </c>
      <c r="J1143" s="20">
        <f>D1143/D1142-1</f>
        <v/>
      </c>
      <c r="K1143" s="20">
        <f>D1143/MAX(D$2:D1143)-1</f>
        <v/>
      </c>
      <c r="L1143" s="20">
        <f>E1143/E1142-1</f>
        <v/>
      </c>
      <c r="M1143" s="20">
        <f>E1143/MAX(E$2:E1143)-1</f>
        <v/>
      </c>
    </row>
    <row r="1144">
      <c r="A1144" s="11" t="n">
        <v>45379</v>
      </c>
      <c r="B1144" s="19" t="n">
        <v>1.590142558226207</v>
      </c>
      <c r="C1144" s="19" t="n">
        <v>1.31169819597627</v>
      </c>
      <c r="D1144" s="19" t="n">
        <v>1.167647505663608</v>
      </c>
      <c r="E1144" s="19" t="n">
        <v>1.086187169176862</v>
      </c>
      <c r="F1144" s="20">
        <f>B1144/B1143-1</f>
        <v/>
      </c>
      <c r="G1144" s="20">
        <f>B1144/MAX(B$2:B1144)-1</f>
        <v/>
      </c>
      <c r="H1144" s="20">
        <f>C1144/C1143-1</f>
        <v/>
      </c>
      <c r="I1144" s="20">
        <f>C1144/MAX(C$2:C1144)-1</f>
        <v/>
      </c>
      <c r="J1144" s="20">
        <f>D1144/D1143-1</f>
        <v/>
      </c>
      <c r="K1144" s="20">
        <f>D1144/MAX(D$2:D1144)-1</f>
        <v/>
      </c>
      <c r="L1144" s="20">
        <f>E1144/E1143-1</f>
        <v/>
      </c>
      <c r="M1144" s="20">
        <f>E1144/MAX(E$2:E1144)-1</f>
        <v/>
      </c>
    </row>
    <row r="1145">
      <c r="A1145" s="11" t="n">
        <v>45380</v>
      </c>
      <c r="B1145" s="19" t="n">
        <v>1.596601268362868</v>
      </c>
      <c r="C1145" s="19" t="n">
        <v>1.317660269414281</v>
      </c>
      <c r="D1145" s="19" t="n">
        <v>1.174953894029581</v>
      </c>
      <c r="E1145" s="19" t="n">
        <v>1.095047184725317</v>
      </c>
      <c r="F1145" s="20">
        <f>B1145/B1144-1</f>
        <v/>
      </c>
      <c r="G1145" s="20">
        <f>B1145/MAX(B$2:B1145)-1</f>
        <v/>
      </c>
      <c r="H1145" s="20">
        <f>C1145/C1144-1</f>
        <v/>
      </c>
      <c r="I1145" s="20">
        <f>C1145/MAX(C$2:C1145)-1</f>
        <v/>
      </c>
      <c r="J1145" s="20">
        <f>D1145/D1144-1</f>
        <v/>
      </c>
      <c r="K1145" s="20">
        <f>D1145/MAX(D$2:D1145)-1</f>
        <v/>
      </c>
      <c r="L1145" s="20">
        <f>E1145/E1144-1</f>
        <v/>
      </c>
      <c r="M1145" s="20">
        <f>E1145/MAX(E$2:E1145)-1</f>
        <v/>
      </c>
    </row>
    <row r="1146">
      <c r="A1146" s="11" t="n">
        <v>45383</v>
      </c>
      <c r="B1146" s="19" t="n">
        <v>1.629733237514052</v>
      </c>
      <c r="C1146" s="19" t="n">
        <v>1.351873636809001</v>
      </c>
      <c r="D1146" s="19" t="n">
        <v>1.20979449199489</v>
      </c>
      <c r="E1146" s="19" t="n">
        <v>1.115770894631319</v>
      </c>
      <c r="F1146" s="20">
        <f>B1146/B1145-1</f>
        <v/>
      </c>
      <c r="G1146" s="20">
        <f>B1146/MAX(B$2:B1146)-1</f>
        <v/>
      </c>
      <c r="H1146" s="20">
        <f>C1146/C1145-1</f>
        <v/>
      </c>
      <c r="I1146" s="20">
        <f>C1146/MAX(C$2:C1146)-1</f>
        <v/>
      </c>
      <c r="J1146" s="20">
        <f>D1146/D1145-1</f>
        <v/>
      </c>
      <c r="K1146" s="20">
        <f>D1146/MAX(D$2:D1146)-1</f>
        <v/>
      </c>
      <c r="L1146" s="20">
        <f>E1146/E1145-1</f>
        <v/>
      </c>
      <c r="M1146" s="20">
        <f>E1146/MAX(E$2:E1146)-1</f>
        <v/>
      </c>
    </row>
    <row r="1147">
      <c r="A1147" s="11" t="n">
        <v>45384</v>
      </c>
      <c r="B1147" s="19" t="n">
        <v>1.621418951988976</v>
      </c>
      <c r="C1147" s="19" t="n">
        <v>1.337958139799994</v>
      </c>
      <c r="D1147" s="19" t="n">
        <v>1.202282671231199</v>
      </c>
      <c r="E1147" s="19" t="n">
        <v>1.111211254403226</v>
      </c>
      <c r="F1147" s="20">
        <f>B1147/B1146-1</f>
        <v/>
      </c>
      <c r="G1147" s="20">
        <f>B1147/MAX(B$2:B1147)-1</f>
        <v/>
      </c>
      <c r="H1147" s="20">
        <f>C1147/C1146-1</f>
        <v/>
      </c>
      <c r="I1147" s="20">
        <f>C1147/MAX(C$2:C1147)-1</f>
        <v/>
      </c>
      <c r="J1147" s="20">
        <f>D1147/D1146-1</f>
        <v/>
      </c>
      <c r="K1147" s="20">
        <f>D1147/MAX(D$2:D1147)-1</f>
        <v/>
      </c>
      <c r="L1147" s="20">
        <f>E1147/E1146-1</f>
        <v/>
      </c>
      <c r="M1147" s="20">
        <f>E1147/MAX(E$2:E1147)-1</f>
        <v/>
      </c>
    </row>
    <row r="1148">
      <c r="A1148" s="11" t="n">
        <v>45385</v>
      </c>
      <c r="B1148" s="19" t="n">
        <v>1.61361360682099</v>
      </c>
      <c r="C1148" s="19" t="n">
        <v>1.323706373979884</v>
      </c>
      <c r="D1148" s="19" t="n">
        <v>1.189305599076478</v>
      </c>
      <c r="E1148" s="19" t="n">
        <v>1.105764087532594</v>
      </c>
      <c r="F1148" s="20">
        <f>B1148/B1147-1</f>
        <v/>
      </c>
      <c r="G1148" s="20">
        <f>B1148/MAX(B$2:B1148)-1</f>
        <v/>
      </c>
      <c r="H1148" s="20">
        <f>C1148/C1147-1</f>
        <v/>
      </c>
      <c r="I1148" s="20">
        <f>C1148/MAX(C$2:C1148)-1</f>
        <v/>
      </c>
      <c r="J1148" s="20">
        <f>D1148/D1147-1</f>
        <v/>
      </c>
      <c r="K1148" s="20">
        <f>D1148/MAX(D$2:D1148)-1</f>
        <v/>
      </c>
      <c r="L1148" s="20">
        <f>E1148/E1147-1</f>
        <v/>
      </c>
      <c r="M1148" s="20">
        <f>E1148/MAX(E$2:E1148)-1</f>
        <v/>
      </c>
    </row>
    <row r="1149">
      <c r="A1149" s="11" t="n">
        <v>45390</v>
      </c>
      <c r="B1149" s="19" t="n">
        <v>1.598983708352546</v>
      </c>
      <c r="C1149" s="19" t="n">
        <v>1.305107837141229</v>
      </c>
      <c r="D1149" s="19" t="n">
        <v>1.167745278302093</v>
      </c>
      <c r="E1149" s="19" t="n">
        <v>1.090291142960232</v>
      </c>
      <c r="F1149" s="20">
        <f>B1149/B1148-1</f>
        <v/>
      </c>
      <c r="G1149" s="20">
        <f>B1149/MAX(B$2:B1149)-1</f>
        <v/>
      </c>
      <c r="H1149" s="20">
        <f>C1149/C1148-1</f>
        <v/>
      </c>
      <c r="I1149" s="20">
        <f>C1149/MAX(C$2:C1149)-1</f>
        <v/>
      </c>
      <c r="J1149" s="20">
        <f>D1149/D1148-1</f>
        <v/>
      </c>
      <c r="K1149" s="20">
        <f>D1149/MAX(D$2:D1149)-1</f>
        <v/>
      </c>
      <c r="L1149" s="20">
        <f>E1149/E1148-1</f>
        <v/>
      </c>
      <c r="M1149" s="20">
        <f>E1149/MAX(E$2:E1149)-1</f>
        <v/>
      </c>
    </row>
    <row r="1150">
      <c r="A1150" s="11" t="n">
        <v>45391</v>
      </c>
      <c r="B1150" s="19" t="n">
        <v>1.606391944863833</v>
      </c>
      <c r="C1150" s="19" t="n">
        <v>1.312170973281997</v>
      </c>
      <c r="D1150" s="19" t="n">
        <v>1.181012566530468</v>
      </c>
      <c r="E1150" s="19" t="n">
        <v>1.09606899347932</v>
      </c>
      <c r="F1150" s="20">
        <f>B1150/B1149-1</f>
        <v/>
      </c>
      <c r="G1150" s="20">
        <f>B1150/MAX(B$2:B1150)-1</f>
        <v/>
      </c>
      <c r="H1150" s="20">
        <f>C1150/C1149-1</f>
        <v/>
      </c>
      <c r="I1150" s="20">
        <f>C1150/MAX(C$2:C1150)-1</f>
        <v/>
      </c>
      <c r="J1150" s="20">
        <f>D1150/D1149-1</f>
        <v/>
      </c>
      <c r="K1150" s="20">
        <f>D1150/MAX(D$2:D1150)-1</f>
        <v/>
      </c>
      <c r="L1150" s="20">
        <f>E1150/E1149-1</f>
        <v/>
      </c>
      <c r="M1150" s="20">
        <f>E1150/MAX(E$2:E1150)-1</f>
        <v/>
      </c>
    </row>
    <row r="1151">
      <c r="A1151" s="11" t="n">
        <v>45392</v>
      </c>
      <c r="B1151" s="19" t="n">
        <v>1.583652042198403</v>
      </c>
      <c r="C1151" s="19" t="n">
        <v>1.287831912732688</v>
      </c>
      <c r="D1151" s="19" t="n">
        <v>1.15669057260452</v>
      </c>
      <c r="E1151" s="19" t="n">
        <v>1.081573592920617</v>
      </c>
      <c r="F1151" s="20">
        <f>B1151/B1150-1</f>
        <v/>
      </c>
      <c r="G1151" s="20">
        <f>B1151/MAX(B$2:B1151)-1</f>
        <v/>
      </c>
      <c r="H1151" s="20">
        <f>C1151/C1150-1</f>
        <v/>
      </c>
      <c r="I1151" s="20">
        <f>C1151/MAX(C$2:C1151)-1</f>
        <v/>
      </c>
      <c r="J1151" s="20">
        <f>D1151/D1150-1</f>
        <v/>
      </c>
      <c r="K1151" s="20">
        <f>D1151/MAX(D$2:D1151)-1</f>
        <v/>
      </c>
      <c r="L1151" s="20">
        <f>E1151/E1150-1</f>
        <v/>
      </c>
      <c r="M1151" s="20">
        <f>E1151/MAX(E$2:E1151)-1</f>
        <v/>
      </c>
    </row>
    <row r="1152">
      <c r="A1152" s="11" t="n">
        <v>45393</v>
      </c>
      <c r="B1152" s="19" t="n">
        <v>1.586885782074749</v>
      </c>
      <c r="C1152" s="19" t="n">
        <v>1.292305524096659</v>
      </c>
      <c r="D1152" s="19" t="n">
        <v>1.151613891520967</v>
      </c>
      <c r="E1152" s="19" t="n">
        <v>1.083038421050674</v>
      </c>
      <c r="F1152" s="20">
        <f>B1152/B1151-1</f>
        <v/>
      </c>
      <c r="G1152" s="20">
        <f>B1152/MAX(B$2:B1152)-1</f>
        <v/>
      </c>
      <c r="H1152" s="20">
        <f>C1152/C1151-1</f>
        <v/>
      </c>
      <c r="I1152" s="20">
        <f>C1152/MAX(C$2:C1152)-1</f>
        <v/>
      </c>
      <c r="J1152" s="20">
        <f>D1152/D1151-1</f>
        <v/>
      </c>
      <c r="K1152" s="20">
        <f>D1152/MAX(D$2:D1152)-1</f>
        <v/>
      </c>
      <c r="L1152" s="20">
        <f>E1152/E1151-1</f>
        <v/>
      </c>
      <c r="M1152" s="20">
        <f>E1152/MAX(E$2:E1152)-1</f>
        <v/>
      </c>
    </row>
    <row r="1153">
      <c r="A1153" s="11" t="n">
        <v>45394</v>
      </c>
      <c r="B1153" s="19" t="n">
        <v>1.589658450280367</v>
      </c>
      <c r="C1153" s="19" t="n">
        <v>1.285637387165845</v>
      </c>
      <c r="D1153" s="19" t="n">
        <v>1.139201225330907</v>
      </c>
      <c r="E1153" s="19" t="n">
        <v>1.075384340697151</v>
      </c>
      <c r="F1153" s="20">
        <f>B1153/B1152-1</f>
        <v/>
      </c>
      <c r="G1153" s="20">
        <f>B1153/MAX(B$2:B1153)-1</f>
        <v/>
      </c>
      <c r="H1153" s="20">
        <f>C1153/C1152-1</f>
        <v/>
      </c>
      <c r="I1153" s="20">
        <f>C1153/MAX(C$2:C1153)-1</f>
        <v/>
      </c>
      <c r="J1153" s="20">
        <f>D1153/D1152-1</f>
        <v/>
      </c>
      <c r="K1153" s="20">
        <f>D1153/MAX(D$2:D1153)-1</f>
        <v/>
      </c>
      <c r="L1153" s="20">
        <f>E1153/E1152-1</f>
        <v/>
      </c>
      <c r="M1153" s="20">
        <f>E1153/MAX(E$2:E1153)-1</f>
        <v/>
      </c>
    </row>
    <row r="1154">
      <c r="A1154" s="11" t="n">
        <v>45397</v>
      </c>
      <c r="B1154" s="19" t="n">
        <v>1.60884240246504</v>
      </c>
      <c r="C1154" s="19" t="n">
        <v>1.309782940430492</v>
      </c>
      <c r="D1154" s="19" t="n">
        <v>1.160294266562074</v>
      </c>
      <c r="E1154" s="19" t="n">
        <v>1.078484360411699</v>
      </c>
      <c r="F1154" s="20">
        <f>B1154/B1153-1</f>
        <v/>
      </c>
      <c r="G1154" s="20">
        <f>B1154/MAX(B$2:B1154)-1</f>
        <v/>
      </c>
      <c r="H1154" s="20">
        <f>C1154/C1153-1</f>
        <v/>
      </c>
      <c r="I1154" s="20">
        <f>C1154/MAX(C$2:C1154)-1</f>
        <v/>
      </c>
      <c r="J1154" s="20">
        <f>D1154/D1153-1</f>
        <v/>
      </c>
      <c r="K1154" s="20">
        <f>D1154/MAX(D$2:D1154)-1</f>
        <v/>
      </c>
      <c r="L1154" s="20">
        <f>E1154/E1153-1</f>
        <v/>
      </c>
      <c r="M1154" s="20">
        <f>E1154/MAX(E$2:E1154)-1</f>
        <v/>
      </c>
    </row>
    <row r="1155">
      <c r="A1155" s="11" t="n">
        <v>45398</v>
      </c>
      <c r="B1155" s="19" t="n">
        <v>1.573476666293311</v>
      </c>
      <c r="C1155" s="19" t="n">
        <v>1.285025167250563</v>
      </c>
      <c r="D1155" s="19" t="n">
        <v>1.13747149617404</v>
      </c>
      <c r="E1155" s="19" t="n">
        <v>1.046830607394072</v>
      </c>
      <c r="F1155" s="20">
        <f>B1155/B1154-1</f>
        <v/>
      </c>
      <c r="G1155" s="20">
        <f>B1155/MAX(B$2:B1155)-1</f>
        <v/>
      </c>
      <c r="H1155" s="20">
        <f>C1155/C1154-1</f>
        <v/>
      </c>
      <c r="I1155" s="20">
        <f>C1155/MAX(C$2:C1155)-1</f>
        <v/>
      </c>
      <c r="J1155" s="20">
        <f>D1155/D1154-1</f>
        <v/>
      </c>
      <c r="K1155" s="20">
        <f>D1155/MAX(D$2:D1155)-1</f>
        <v/>
      </c>
      <c r="L1155" s="20">
        <f>E1155/E1154-1</f>
        <v/>
      </c>
      <c r="M1155" s="20">
        <f>E1155/MAX(E$2:E1155)-1</f>
        <v/>
      </c>
    </row>
    <row r="1156">
      <c r="A1156" s="11" t="n">
        <v>45399</v>
      </c>
      <c r="B1156" s="19" t="n">
        <v>1.609284057391103</v>
      </c>
      <c r="C1156" s="19" t="n">
        <v>1.314022207402002</v>
      </c>
      <c r="D1156" s="19" t="n">
        <v>1.161453192205563</v>
      </c>
      <c r="E1156" s="19" t="n">
        <v>1.078831410854905</v>
      </c>
      <c r="F1156" s="20">
        <f>B1156/B1155-1</f>
        <v/>
      </c>
      <c r="G1156" s="20">
        <f>B1156/MAX(B$2:B1156)-1</f>
        <v/>
      </c>
      <c r="H1156" s="20">
        <f>C1156/C1155-1</f>
        <v/>
      </c>
      <c r="I1156" s="20">
        <f>C1156/MAX(C$2:C1156)-1</f>
        <v/>
      </c>
      <c r="J1156" s="20">
        <f>D1156/D1155-1</f>
        <v/>
      </c>
      <c r="K1156" s="20">
        <f>D1156/MAX(D$2:D1156)-1</f>
        <v/>
      </c>
      <c r="L1156" s="20">
        <f>E1156/E1155-1</f>
        <v/>
      </c>
      <c r="M1156" s="20">
        <f>E1156/MAX(E$2:E1156)-1</f>
        <v/>
      </c>
    </row>
    <row r="1157">
      <c r="A1157" s="11" t="n">
        <v>45400</v>
      </c>
      <c r="B1157" s="19" t="n">
        <v>1.608583466999869</v>
      </c>
      <c r="C1157" s="19" t="n">
        <v>1.3064170777033</v>
      </c>
      <c r="D1157" s="19" t="n">
        <v>1.155105596065107</v>
      </c>
      <c r="E1157" s="19" t="n">
        <v>1.079373746917277</v>
      </c>
      <c r="F1157" s="20">
        <f>B1157/B1156-1</f>
        <v/>
      </c>
      <c r="G1157" s="20">
        <f>B1157/MAX(B$2:B1157)-1</f>
        <v/>
      </c>
      <c r="H1157" s="20">
        <f>C1157/C1156-1</f>
        <v/>
      </c>
      <c r="I1157" s="20">
        <f>C1157/MAX(C$2:C1157)-1</f>
        <v/>
      </c>
      <c r="J1157" s="20">
        <f>D1157/D1156-1</f>
        <v/>
      </c>
      <c r="K1157" s="20">
        <f>D1157/MAX(D$2:D1157)-1</f>
        <v/>
      </c>
      <c r="L1157" s="20">
        <f>E1157/E1156-1</f>
        <v/>
      </c>
      <c r="M1157" s="20">
        <f>E1157/MAX(E$2:E1157)-1</f>
        <v/>
      </c>
    </row>
    <row r="1158">
      <c r="A1158" s="11" t="n">
        <v>45401</v>
      </c>
      <c r="B1158" s="19" t="n">
        <v>1.587281821458903</v>
      </c>
      <c r="C1158" s="19" t="n">
        <v>1.285365861284185</v>
      </c>
      <c r="D1158" s="19" t="n">
        <v>1.134757513840192</v>
      </c>
      <c r="E1158" s="19" t="n">
        <v>1.072164545802847</v>
      </c>
      <c r="F1158" s="20">
        <f>B1158/B1157-1</f>
        <v/>
      </c>
      <c r="G1158" s="20">
        <f>B1158/MAX(B$2:B1158)-1</f>
        <v/>
      </c>
      <c r="H1158" s="20">
        <f>C1158/C1157-1</f>
        <v/>
      </c>
      <c r="I1158" s="20">
        <f>C1158/MAX(C$2:C1158)-1</f>
        <v/>
      </c>
      <c r="J1158" s="20">
        <f>D1158/D1157-1</f>
        <v/>
      </c>
      <c r="K1158" s="20">
        <f>D1158/MAX(D$2:D1158)-1</f>
        <v/>
      </c>
      <c r="L1158" s="20">
        <f>E1158/E1157-1</f>
        <v/>
      </c>
      <c r="M1158" s="20">
        <f>E1158/MAX(E$2:E1158)-1</f>
        <v/>
      </c>
    </row>
    <row r="1159">
      <c r="A1159" s="11" t="n">
        <v>45404</v>
      </c>
      <c r="B1159" s="19" t="n">
        <v>1.57697897657185</v>
      </c>
      <c r="C1159" s="19" t="n">
        <v>1.28492353143339</v>
      </c>
      <c r="D1159" s="19" t="n">
        <v>1.131179280834101</v>
      </c>
      <c r="E1159" s="19" t="n">
        <v>1.067009377429446</v>
      </c>
      <c r="F1159" s="20">
        <f>B1159/B1158-1</f>
        <v/>
      </c>
      <c r="G1159" s="20">
        <f>B1159/MAX(B$2:B1159)-1</f>
        <v/>
      </c>
      <c r="H1159" s="20">
        <f>C1159/C1158-1</f>
        <v/>
      </c>
      <c r="I1159" s="20">
        <f>C1159/MAX(C$2:C1159)-1</f>
        <v/>
      </c>
      <c r="J1159" s="20">
        <f>D1159/D1158-1</f>
        <v/>
      </c>
      <c r="K1159" s="20">
        <f>D1159/MAX(D$2:D1159)-1</f>
        <v/>
      </c>
      <c r="L1159" s="20">
        <f>E1159/E1158-1</f>
        <v/>
      </c>
      <c r="M1159" s="20">
        <f>E1159/MAX(E$2:E1159)-1</f>
        <v/>
      </c>
    </row>
    <row r="1160">
      <c r="A1160" s="11" t="n">
        <v>45405</v>
      </c>
      <c r="B1160" s="19" t="n">
        <v>1.560573597093918</v>
      </c>
      <c r="C1160" s="19" t="n">
        <v>1.28061461530747</v>
      </c>
      <c r="D1160" s="19" t="n">
        <v>1.132922645170558</v>
      </c>
      <c r="E1160" s="19" t="n">
        <v>1.062097851114244</v>
      </c>
      <c r="F1160" s="20">
        <f>B1160/B1159-1</f>
        <v/>
      </c>
      <c r="G1160" s="20">
        <f>B1160/MAX(B$2:B1160)-1</f>
        <v/>
      </c>
      <c r="H1160" s="20">
        <f>C1160/C1159-1</f>
        <v/>
      </c>
      <c r="I1160" s="20">
        <f>C1160/MAX(C$2:C1160)-1</f>
        <v/>
      </c>
      <c r="J1160" s="20">
        <f>D1160/D1159-1</f>
        <v/>
      </c>
      <c r="K1160" s="20">
        <f>D1160/MAX(D$2:D1160)-1</f>
        <v/>
      </c>
      <c r="L1160" s="20">
        <f>E1160/E1159-1</f>
        <v/>
      </c>
      <c r="M1160" s="20">
        <f>E1160/MAX(E$2:E1160)-1</f>
        <v/>
      </c>
    </row>
    <row r="1161">
      <c r="A1161" s="11" t="n">
        <v>45406</v>
      </c>
      <c r="B1161" s="19" t="n">
        <v>1.577975176109791</v>
      </c>
      <c r="C1161" s="19" t="n">
        <v>1.292257375751656</v>
      </c>
      <c r="D1161" s="19" t="n">
        <v>1.140838222342218</v>
      </c>
      <c r="E1161" s="19" t="n">
        <v>1.072975074115542</v>
      </c>
      <c r="F1161" s="20">
        <f>B1161/B1160-1</f>
        <v/>
      </c>
      <c r="G1161" s="20">
        <f>B1161/MAX(B$2:B1161)-1</f>
        <v/>
      </c>
      <c r="H1161" s="20">
        <f>C1161/C1160-1</f>
        <v/>
      </c>
      <c r="I1161" s="20">
        <f>C1161/MAX(C$2:C1161)-1</f>
        <v/>
      </c>
      <c r="J1161" s="20">
        <f>D1161/D1160-1</f>
        <v/>
      </c>
      <c r="K1161" s="20">
        <f>D1161/MAX(D$2:D1161)-1</f>
        <v/>
      </c>
      <c r="L1161" s="20">
        <f>E1161/E1160-1</f>
        <v/>
      </c>
      <c r="M1161" s="20">
        <f>E1161/MAX(E$2:E1161)-1</f>
        <v/>
      </c>
    </row>
    <row r="1162">
      <c r="A1162" s="11" t="n">
        <v>45407</v>
      </c>
      <c r="B1162" s="19" t="n">
        <v>1.575782251392738</v>
      </c>
      <c r="C1162" s="19" t="n">
        <v>1.292113026917137</v>
      </c>
      <c r="D1162" s="19" t="n">
        <v>1.140396920724096</v>
      </c>
      <c r="E1162" s="19" t="n">
        <v>1.075076347377779</v>
      </c>
      <c r="F1162" s="20">
        <f>B1162/B1161-1</f>
        <v/>
      </c>
      <c r="G1162" s="20">
        <f>B1162/MAX(B$2:B1162)-1</f>
        <v/>
      </c>
      <c r="H1162" s="20">
        <f>C1162/C1161-1</f>
        <v/>
      </c>
      <c r="I1162" s="20">
        <f>C1162/MAX(C$2:C1162)-1</f>
        <v/>
      </c>
      <c r="J1162" s="20">
        <f>D1162/D1161-1</f>
        <v/>
      </c>
      <c r="K1162" s="20">
        <f>D1162/MAX(D$2:D1162)-1</f>
        <v/>
      </c>
      <c r="L1162" s="20">
        <f>E1162/E1161-1</f>
        <v/>
      </c>
      <c r="M1162" s="20">
        <f>E1162/MAX(E$2:E1162)-1</f>
        <v/>
      </c>
    </row>
    <row r="1163">
      <c r="A1163" s="11" t="n">
        <v>45408</v>
      </c>
      <c r="B1163" s="19" t="n">
        <v>1.611081807816088</v>
      </c>
      <c r="C1163" s="19" t="n">
        <v>1.319545173705616</v>
      </c>
      <c r="D1163" s="19" t="n">
        <v>1.178532837874419</v>
      </c>
      <c r="E1163" s="19" t="n">
        <v>1.09321447568601</v>
      </c>
      <c r="F1163" s="20">
        <f>B1163/B1162-1</f>
        <v/>
      </c>
      <c r="G1163" s="20">
        <f>B1163/MAX(B$2:B1163)-1</f>
        <v/>
      </c>
      <c r="H1163" s="20">
        <f>C1163/C1162-1</f>
        <v/>
      </c>
      <c r="I1163" s="20">
        <f>C1163/MAX(C$2:C1163)-1</f>
        <v/>
      </c>
      <c r="J1163" s="20">
        <f>D1163/D1162-1</f>
        <v/>
      </c>
      <c r="K1163" s="20">
        <f>D1163/MAX(D$2:D1163)-1</f>
        <v/>
      </c>
      <c r="L1163" s="20">
        <f>E1163/E1162-1</f>
        <v/>
      </c>
      <c r="M1163" s="20">
        <f>E1163/MAX(E$2:E1163)-1</f>
        <v/>
      </c>
    </row>
    <row r="1164">
      <c r="A1164" s="11" t="n">
        <v>45411</v>
      </c>
      <c r="B1164" s="19" t="n">
        <v>1.634898232836193</v>
      </c>
      <c r="C1164" s="19" t="n">
        <v>1.349490269681237</v>
      </c>
      <c r="D1164" s="19" t="n">
        <v>1.219780677813178</v>
      </c>
      <c r="E1164" s="19" t="n">
        <v>1.112754940726165</v>
      </c>
      <c r="F1164" s="20">
        <f>B1164/B1163-1</f>
        <v/>
      </c>
      <c r="G1164" s="20">
        <f>B1164/MAX(B$2:B1164)-1</f>
        <v/>
      </c>
      <c r="H1164" s="20">
        <f>C1164/C1163-1</f>
        <v/>
      </c>
      <c r="I1164" s="20">
        <f>C1164/MAX(C$2:C1164)-1</f>
        <v/>
      </c>
      <c r="J1164" s="20">
        <f>D1164/D1163-1</f>
        <v/>
      </c>
      <c r="K1164" s="20">
        <f>D1164/MAX(D$2:D1164)-1</f>
        <v/>
      </c>
      <c r="L1164" s="20">
        <f>E1164/E1163-1</f>
        <v/>
      </c>
      <c r="M1164" s="20">
        <f>E1164/MAX(E$2:E1164)-1</f>
        <v/>
      </c>
    </row>
    <row r="1165">
      <c r="A1165" s="11" t="n">
        <v>45412</v>
      </c>
      <c r="B1165" s="19" t="n">
        <v>1.622781341775662</v>
      </c>
      <c r="C1165" s="19" t="n">
        <v>1.337806046826069</v>
      </c>
      <c r="D1165" s="19" t="n">
        <v>1.200925486199163</v>
      </c>
      <c r="E1165" s="19" t="n">
        <v>1.106373006691787</v>
      </c>
      <c r="F1165" s="20">
        <f>B1165/B1164-1</f>
        <v/>
      </c>
      <c r="G1165" s="20">
        <f>B1165/MAX(B$2:B1165)-1</f>
        <v/>
      </c>
      <c r="H1165" s="20">
        <f>C1165/C1164-1</f>
        <v/>
      </c>
      <c r="I1165" s="20">
        <f>C1165/MAX(C$2:C1165)-1</f>
        <v/>
      </c>
      <c r="J1165" s="20">
        <f>D1165/D1164-1</f>
        <v/>
      </c>
      <c r="K1165" s="20">
        <f>D1165/MAX(D$2:D1165)-1</f>
        <v/>
      </c>
      <c r="L1165" s="20">
        <f>E1165/E1164-1</f>
        <v/>
      </c>
      <c r="M1165" s="20">
        <f>E1165/MAX(E$2:E1165)-1</f>
        <v/>
      </c>
    </row>
    <row r="1166">
      <c r="A1166" s="11" t="n">
        <v>45418</v>
      </c>
      <c r="B1166" s="19" t="n">
        <v>1.664418559987875</v>
      </c>
      <c r="C1166" s="19" t="n">
        <v>1.364224144254558</v>
      </c>
      <c r="D1166" s="19" t="n">
        <v>1.22471538501256</v>
      </c>
      <c r="E1166" s="19" t="n">
        <v>1.125138652789609</v>
      </c>
      <c r="F1166" s="20">
        <f>B1166/B1165-1</f>
        <v/>
      </c>
      <c r="G1166" s="20">
        <f>B1166/MAX(B$2:B1166)-1</f>
        <v/>
      </c>
      <c r="H1166" s="20">
        <f>C1166/C1165-1</f>
        <v/>
      </c>
      <c r="I1166" s="20">
        <f>C1166/MAX(C$2:C1166)-1</f>
        <v/>
      </c>
      <c r="J1166" s="20">
        <f>D1166/D1165-1</f>
        <v/>
      </c>
      <c r="K1166" s="20">
        <f>D1166/MAX(D$2:D1166)-1</f>
        <v/>
      </c>
      <c r="L1166" s="20">
        <f>E1166/E1165-1</f>
        <v/>
      </c>
      <c r="M1166" s="20">
        <f>E1166/MAX(E$2:E1166)-1</f>
        <v/>
      </c>
    </row>
    <row r="1167">
      <c r="A1167" s="11" t="n">
        <v>45419</v>
      </c>
      <c r="B1167" s="19" t="n">
        <v>1.652958169837726</v>
      </c>
      <c r="C1167" s="19" t="n">
        <v>1.356976495574898</v>
      </c>
      <c r="D1167" s="19" t="n">
        <v>1.222991148700551</v>
      </c>
      <c r="E1167" s="19" t="n">
        <v>1.126981405089329</v>
      </c>
      <c r="F1167" s="20">
        <f>B1167/B1166-1</f>
        <v/>
      </c>
      <c r="G1167" s="20">
        <f>B1167/MAX(B$2:B1167)-1</f>
        <v/>
      </c>
      <c r="H1167" s="20">
        <f>C1167/C1166-1</f>
        <v/>
      </c>
      <c r="I1167" s="20">
        <f>C1167/MAX(C$2:C1167)-1</f>
        <v/>
      </c>
      <c r="J1167" s="20">
        <f>D1167/D1166-1</f>
        <v/>
      </c>
      <c r="K1167" s="20">
        <f>D1167/MAX(D$2:D1167)-1</f>
        <v/>
      </c>
      <c r="L1167" s="20">
        <f>E1167/E1166-1</f>
        <v/>
      </c>
      <c r="M1167" s="20">
        <f>E1167/MAX(E$2:E1167)-1</f>
        <v/>
      </c>
    </row>
    <row r="1168">
      <c r="A1168" s="11" t="n">
        <v>45420</v>
      </c>
      <c r="B1168" s="19" t="n">
        <v>1.630620793689962</v>
      </c>
      <c r="C1168" s="19" t="n">
        <v>1.336641106998273</v>
      </c>
      <c r="D1168" s="19" t="n">
        <v>1.20526451052904</v>
      </c>
      <c r="E1168" s="19" t="n">
        <v>1.114846542700596</v>
      </c>
      <c r="F1168" s="20">
        <f>B1168/B1167-1</f>
        <v/>
      </c>
      <c r="G1168" s="20">
        <f>B1168/MAX(B$2:B1168)-1</f>
        <v/>
      </c>
      <c r="H1168" s="20">
        <f>C1168/C1167-1</f>
        <v/>
      </c>
      <c r="I1168" s="20">
        <f>C1168/MAX(C$2:C1168)-1</f>
        <v/>
      </c>
      <c r="J1168" s="20">
        <f>D1168/D1167-1</f>
        <v/>
      </c>
      <c r="K1168" s="20">
        <f>D1168/MAX(D$2:D1168)-1</f>
        <v/>
      </c>
      <c r="L1168" s="20">
        <f>E1168/E1167-1</f>
        <v/>
      </c>
      <c r="M1168" s="20">
        <f>E1168/MAX(E$2:E1168)-1</f>
        <v/>
      </c>
    </row>
    <row r="1169">
      <c r="A1169" s="11" t="n">
        <v>45421</v>
      </c>
      <c r="B1169" s="19" t="n">
        <v>1.659025992435416</v>
      </c>
      <c r="C1169" s="19" t="n">
        <v>1.358034316157618</v>
      </c>
      <c r="D1169" s="19" t="n">
        <v>1.22781832538411</v>
      </c>
      <c r="E1169" s="19" t="n">
        <v>1.128628871769883</v>
      </c>
      <c r="F1169" s="20">
        <f>B1169/B1168-1</f>
        <v/>
      </c>
      <c r="G1169" s="20">
        <f>B1169/MAX(B$2:B1169)-1</f>
        <v/>
      </c>
      <c r="H1169" s="20">
        <f>C1169/C1168-1</f>
        <v/>
      </c>
      <c r="I1169" s="20">
        <f>C1169/MAX(C$2:C1169)-1</f>
        <v/>
      </c>
      <c r="J1169" s="20">
        <f>D1169/D1168-1</f>
        <v/>
      </c>
      <c r="K1169" s="20">
        <f>D1169/MAX(D$2:D1169)-1</f>
        <v/>
      </c>
      <c r="L1169" s="20">
        <f>E1169/E1168-1</f>
        <v/>
      </c>
      <c r="M1169" s="20">
        <f>E1169/MAX(E$2:E1169)-1</f>
        <v/>
      </c>
    </row>
    <row r="1170">
      <c r="A1170" s="11" t="n">
        <v>45422</v>
      </c>
      <c r="B1170" s="19" t="n">
        <v>1.652646038499653</v>
      </c>
      <c r="C1170" s="19" t="n">
        <v>1.348887958416376</v>
      </c>
      <c r="D1170" s="19" t="n">
        <v>1.213702360314209</v>
      </c>
      <c r="E1170" s="19" t="n">
        <v>1.124175615707659</v>
      </c>
      <c r="F1170" s="20">
        <f>B1170/B1169-1</f>
        <v/>
      </c>
      <c r="G1170" s="20">
        <f>B1170/MAX(B$2:B1170)-1</f>
        <v/>
      </c>
      <c r="H1170" s="20">
        <f>C1170/C1169-1</f>
        <v/>
      </c>
      <c r="I1170" s="20">
        <f>C1170/MAX(C$2:C1170)-1</f>
        <v/>
      </c>
      <c r="J1170" s="20">
        <f>D1170/D1169-1</f>
        <v/>
      </c>
      <c r="K1170" s="20">
        <f>D1170/MAX(D$2:D1170)-1</f>
        <v/>
      </c>
      <c r="L1170" s="20">
        <f>E1170/E1169-1</f>
        <v/>
      </c>
      <c r="M1170" s="20">
        <f>E1170/MAX(E$2:E1170)-1</f>
        <v/>
      </c>
    </row>
    <row r="1171">
      <c r="A1171" s="11" t="n">
        <v>45425</v>
      </c>
      <c r="B1171" s="19" t="n">
        <v>1.653251433418824</v>
      </c>
      <c r="C1171" s="19" t="n">
        <v>1.347666837502703</v>
      </c>
      <c r="D1171" s="19" t="n">
        <v>1.202200472423431</v>
      </c>
      <c r="E1171" s="19" t="n">
        <v>1.117381536023687</v>
      </c>
      <c r="F1171" s="20">
        <f>B1171/B1170-1</f>
        <v/>
      </c>
      <c r="G1171" s="20">
        <f>B1171/MAX(B$2:B1171)-1</f>
        <v/>
      </c>
      <c r="H1171" s="20">
        <f>C1171/C1170-1</f>
        <v/>
      </c>
      <c r="I1171" s="20">
        <f>C1171/MAX(C$2:C1171)-1</f>
        <v/>
      </c>
      <c r="J1171" s="20">
        <f>D1171/D1170-1</f>
        <v/>
      </c>
      <c r="K1171" s="20">
        <f>D1171/MAX(D$2:D1171)-1</f>
        <v/>
      </c>
      <c r="L1171" s="20">
        <f>E1171/E1170-1</f>
        <v/>
      </c>
      <c r="M1171" s="20">
        <f>E1171/MAX(E$2:E1171)-1</f>
        <v/>
      </c>
    </row>
    <row r="1172">
      <c r="A1172" s="11" t="n">
        <v>45426</v>
      </c>
      <c r="B1172" s="19" t="n">
        <v>1.654004030646696</v>
      </c>
      <c r="C1172" s="19" t="n">
        <v>1.346564476093336</v>
      </c>
      <c r="D1172" s="19" t="n">
        <v>1.199118792592569</v>
      </c>
      <c r="E1172" s="19" t="n">
        <v>1.118921502620547</v>
      </c>
      <c r="F1172" s="20">
        <f>B1172/B1171-1</f>
        <v/>
      </c>
      <c r="G1172" s="20">
        <f>B1172/MAX(B$2:B1172)-1</f>
        <v/>
      </c>
      <c r="H1172" s="20">
        <f>C1172/C1171-1</f>
        <v/>
      </c>
      <c r="I1172" s="20">
        <f>C1172/MAX(C$2:C1172)-1</f>
        <v/>
      </c>
      <c r="J1172" s="20">
        <f>D1172/D1171-1</f>
        <v/>
      </c>
      <c r="K1172" s="20">
        <f>D1172/MAX(D$2:D1172)-1</f>
        <v/>
      </c>
      <c r="L1172" s="20">
        <f>E1172/E1171-1</f>
        <v/>
      </c>
      <c r="M1172" s="20">
        <f>E1172/MAX(E$2:E1172)-1</f>
        <v/>
      </c>
    </row>
    <row r="1173">
      <c r="A1173" s="11" t="n">
        <v>45427</v>
      </c>
      <c r="B1173" s="19" t="n">
        <v>1.639478891141707</v>
      </c>
      <c r="C1173" s="19" t="n">
        <v>1.332336712295361</v>
      </c>
      <c r="D1173" s="19" t="n">
        <v>1.188320247330526</v>
      </c>
      <c r="E1173" s="19" t="n">
        <v>1.109651945230753</v>
      </c>
      <c r="F1173" s="20">
        <f>B1173/B1172-1</f>
        <v/>
      </c>
      <c r="G1173" s="20">
        <f>B1173/MAX(B$2:B1173)-1</f>
        <v/>
      </c>
      <c r="H1173" s="20">
        <f>C1173/C1172-1</f>
        <v/>
      </c>
      <c r="I1173" s="20">
        <f>C1173/MAX(C$2:C1173)-1</f>
        <v/>
      </c>
      <c r="J1173" s="20">
        <f>D1173/D1172-1</f>
        <v/>
      </c>
      <c r="K1173" s="20">
        <f>D1173/MAX(D$2:D1173)-1</f>
        <v/>
      </c>
      <c r="L1173" s="20">
        <f>E1173/E1172-1</f>
        <v/>
      </c>
      <c r="M1173" s="20">
        <f>E1173/MAX(E$2:E1173)-1</f>
        <v/>
      </c>
    </row>
    <row r="1174">
      <c r="A1174" s="11" t="n">
        <v>45428</v>
      </c>
      <c r="B1174" s="19" t="n">
        <v>1.64331378727404</v>
      </c>
      <c r="C1174" s="19" t="n">
        <v>1.332449795970787</v>
      </c>
      <c r="D1174" s="19" t="n">
        <v>1.191760642241515</v>
      </c>
      <c r="E1174" s="19" t="n">
        <v>1.112077578607111</v>
      </c>
      <c r="F1174" s="20">
        <f>B1174/B1173-1</f>
        <v/>
      </c>
      <c r="G1174" s="20">
        <f>B1174/MAX(B$2:B1174)-1</f>
        <v/>
      </c>
      <c r="H1174" s="20">
        <f>C1174/C1173-1</f>
        <v/>
      </c>
      <c r="I1174" s="20">
        <f>C1174/MAX(C$2:C1174)-1</f>
        <v/>
      </c>
      <c r="J1174" s="20">
        <f>D1174/D1173-1</f>
        <v/>
      </c>
      <c r="K1174" s="20">
        <f>D1174/MAX(D$2:D1174)-1</f>
        <v/>
      </c>
      <c r="L1174" s="20">
        <f>E1174/E1173-1</f>
        <v/>
      </c>
      <c r="M1174" s="20">
        <f>E1174/MAX(E$2:E1174)-1</f>
        <v/>
      </c>
    </row>
    <row r="1175">
      <c r="A1175" s="11" t="n">
        <v>45429</v>
      </c>
      <c r="B1175" s="19" t="n">
        <v>1.65484152790861</v>
      </c>
      <c r="C1175" s="19" t="n">
        <v>1.339365071959169</v>
      </c>
      <c r="D1175" s="19" t="n">
        <v>1.205155429092317</v>
      </c>
      <c r="E1175" s="19" t="n">
        <v>1.124850745991065</v>
      </c>
      <c r="F1175" s="20">
        <f>B1175/B1174-1</f>
        <v/>
      </c>
      <c r="G1175" s="20">
        <f>B1175/MAX(B$2:B1175)-1</f>
        <v/>
      </c>
      <c r="H1175" s="20">
        <f>C1175/C1174-1</f>
        <v/>
      </c>
      <c r="I1175" s="20">
        <f>C1175/MAX(C$2:C1175)-1</f>
        <v/>
      </c>
      <c r="J1175" s="20">
        <f>D1175/D1174-1</f>
        <v/>
      </c>
      <c r="K1175" s="20">
        <f>D1175/MAX(D$2:D1175)-1</f>
        <v/>
      </c>
      <c r="L1175" s="20">
        <f>E1175/E1174-1</f>
        <v/>
      </c>
      <c r="M1175" s="20">
        <f>E1175/MAX(E$2:E1175)-1</f>
        <v/>
      </c>
    </row>
    <row r="1176">
      <c r="A1176" s="11" t="n">
        <v>45432</v>
      </c>
      <c r="B1176" s="19" t="n">
        <v>1.667546897622041</v>
      </c>
      <c r="C1176" s="19" t="n">
        <v>1.33630767610161</v>
      </c>
      <c r="D1176" s="19" t="n">
        <v>1.212256385060573</v>
      </c>
      <c r="E1176" s="19" t="n">
        <v>1.12982848343048</v>
      </c>
      <c r="F1176" s="20">
        <f>B1176/B1175-1</f>
        <v/>
      </c>
      <c r="G1176" s="20">
        <f>B1176/MAX(B$2:B1176)-1</f>
        <v/>
      </c>
      <c r="H1176" s="20">
        <f>C1176/C1175-1</f>
        <v/>
      </c>
      <c r="I1176" s="20">
        <f>C1176/MAX(C$2:C1176)-1</f>
        <v/>
      </c>
      <c r="J1176" s="20">
        <f>D1176/D1175-1</f>
        <v/>
      </c>
      <c r="K1176" s="20">
        <f>D1176/MAX(D$2:D1176)-1</f>
        <v/>
      </c>
      <c r="L1176" s="20">
        <f>E1176/E1175-1</f>
        <v/>
      </c>
      <c r="M1176" s="20">
        <f>E1176/MAX(E$2:E1176)-1</f>
        <v/>
      </c>
    </row>
    <row r="1177">
      <c r="A1177" s="11" t="n">
        <v>45433</v>
      </c>
      <c r="B1177" s="19" t="n">
        <v>1.642686091786757</v>
      </c>
      <c r="C1177" s="19" t="n">
        <v>1.327147369289388</v>
      </c>
      <c r="D1177" s="19" t="n">
        <v>1.202921069047193</v>
      </c>
      <c r="E1177" s="19" t="n">
        <v>1.122597335932182</v>
      </c>
      <c r="F1177" s="20">
        <f>B1177/B1176-1</f>
        <v/>
      </c>
      <c r="G1177" s="20">
        <f>B1177/MAX(B$2:B1177)-1</f>
        <v/>
      </c>
      <c r="H1177" s="20">
        <f>C1177/C1176-1</f>
        <v/>
      </c>
      <c r="I1177" s="20">
        <f>C1177/MAX(C$2:C1177)-1</f>
        <v/>
      </c>
      <c r="J1177" s="20">
        <f>D1177/D1176-1</f>
        <v/>
      </c>
      <c r="K1177" s="20">
        <f>D1177/MAX(D$2:D1177)-1</f>
        <v/>
      </c>
      <c r="L1177" s="20">
        <f>E1177/E1176-1</f>
        <v/>
      </c>
      <c r="M1177" s="20">
        <f>E1177/MAX(E$2:E1177)-1</f>
        <v/>
      </c>
    </row>
    <row r="1178">
      <c r="A1178" s="11" t="n">
        <v>45434</v>
      </c>
      <c r="B1178" s="19" t="n">
        <v>1.64554200156911</v>
      </c>
      <c r="C1178" s="19" t="n">
        <v>1.338640874674091</v>
      </c>
      <c r="D1178" s="19" t="n">
        <v>1.213548237549643</v>
      </c>
      <c r="E1178" s="19" t="n">
        <v>1.12478490683946</v>
      </c>
      <c r="F1178" s="20">
        <f>B1178/B1177-1</f>
        <v/>
      </c>
      <c r="G1178" s="20">
        <f>B1178/MAX(B$2:B1178)-1</f>
        <v/>
      </c>
      <c r="H1178" s="20">
        <f>C1178/C1177-1</f>
        <v/>
      </c>
      <c r="I1178" s="20">
        <f>C1178/MAX(C$2:C1178)-1</f>
        <v/>
      </c>
      <c r="J1178" s="20">
        <f>D1178/D1177-1</f>
        <v/>
      </c>
      <c r="K1178" s="20">
        <f>D1178/MAX(D$2:D1178)-1</f>
        <v/>
      </c>
      <c r="L1178" s="20">
        <f>E1178/E1177-1</f>
        <v/>
      </c>
      <c r="M1178" s="20">
        <f>E1178/MAX(E$2:E1178)-1</f>
        <v/>
      </c>
    </row>
    <row r="1179">
      <c r="A1179" s="11" t="n">
        <v>45435</v>
      </c>
      <c r="B1179" s="19" t="n">
        <v>1.618338910922154</v>
      </c>
      <c r="C1179" s="19" t="n">
        <v>1.31851438546045</v>
      </c>
      <c r="D1179" s="19" t="n">
        <v>1.196837258703364</v>
      </c>
      <c r="E1179" s="19" t="n">
        <v>1.106812678314369</v>
      </c>
      <c r="F1179" s="20">
        <f>B1179/B1178-1</f>
        <v/>
      </c>
      <c r="G1179" s="20">
        <f>B1179/MAX(B$2:B1179)-1</f>
        <v/>
      </c>
      <c r="H1179" s="20">
        <f>C1179/C1178-1</f>
        <v/>
      </c>
      <c r="I1179" s="20">
        <f>C1179/MAX(C$2:C1179)-1</f>
        <v/>
      </c>
      <c r="J1179" s="20">
        <f>D1179/D1178-1</f>
        <v/>
      </c>
      <c r="K1179" s="20">
        <f>D1179/MAX(D$2:D1179)-1</f>
        <v/>
      </c>
      <c r="L1179" s="20">
        <f>E1179/E1178-1</f>
        <v/>
      </c>
      <c r="M1179" s="20">
        <f>E1179/MAX(E$2:E1179)-1</f>
        <v/>
      </c>
    </row>
    <row r="1180">
      <c r="A1180" s="11" t="n">
        <v>45436</v>
      </c>
      <c r="B1180" s="19" t="n">
        <v>1.591930803607517</v>
      </c>
      <c r="C1180" s="19" t="n">
        <v>1.302801334204589</v>
      </c>
      <c r="D1180" s="19" t="n">
        <v>1.175185498217507</v>
      </c>
      <c r="E1180" s="19" t="n">
        <v>1.095240982454052</v>
      </c>
      <c r="F1180" s="20">
        <f>B1180/B1179-1</f>
        <v/>
      </c>
      <c r="G1180" s="20">
        <f>B1180/MAX(B$2:B1180)-1</f>
        <v/>
      </c>
      <c r="H1180" s="20">
        <f>C1180/C1179-1</f>
        <v/>
      </c>
      <c r="I1180" s="20">
        <f>C1180/MAX(C$2:C1180)-1</f>
        <v/>
      </c>
      <c r="J1180" s="20">
        <f>D1180/D1179-1</f>
        <v/>
      </c>
      <c r="K1180" s="20">
        <f>D1180/MAX(D$2:D1180)-1</f>
        <v/>
      </c>
      <c r="L1180" s="20">
        <f>E1180/E1179-1</f>
        <v/>
      </c>
      <c r="M1180" s="20">
        <f>E1180/MAX(E$2:E1180)-1</f>
        <v/>
      </c>
    </row>
    <row r="1181">
      <c r="A1181" s="11" t="n">
        <v>45439</v>
      </c>
      <c r="B1181" s="19" t="n">
        <v>1.61329564082533</v>
      </c>
      <c r="C1181" s="19" t="n">
        <v>1.318431075836529</v>
      </c>
      <c r="D1181" s="19" t="n">
        <v>1.183196133916075</v>
      </c>
      <c r="E1181" s="19" t="n">
        <v>1.105593352105551</v>
      </c>
      <c r="F1181" s="20">
        <f>B1181/B1180-1</f>
        <v/>
      </c>
      <c r="G1181" s="20">
        <f>B1181/MAX(B$2:B1181)-1</f>
        <v/>
      </c>
      <c r="H1181" s="20">
        <f>C1181/C1180-1</f>
        <v/>
      </c>
      <c r="I1181" s="20">
        <f>C1181/MAX(C$2:C1181)-1</f>
        <v/>
      </c>
      <c r="J1181" s="20">
        <f>D1181/D1180-1</f>
        <v/>
      </c>
      <c r="K1181" s="20">
        <f>D1181/MAX(D$2:D1181)-1</f>
        <v/>
      </c>
      <c r="L1181" s="20">
        <f>E1181/E1180-1</f>
        <v/>
      </c>
      <c r="M1181" s="20">
        <f>E1181/MAX(E$2:E1181)-1</f>
        <v/>
      </c>
    </row>
    <row r="1182">
      <c r="A1182" s="11" t="n">
        <v>45440</v>
      </c>
      <c r="B1182" s="19" t="n">
        <v>1.598826616590538</v>
      </c>
      <c r="C1182" s="19" t="n">
        <v>1.302833128466374</v>
      </c>
      <c r="D1182" s="19" t="n">
        <v>1.167232505079104</v>
      </c>
      <c r="E1182" s="19" t="n">
        <v>1.096262419235448</v>
      </c>
      <c r="F1182" s="20">
        <f>B1182/B1181-1</f>
        <v/>
      </c>
      <c r="G1182" s="20">
        <f>B1182/MAX(B$2:B1182)-1</f>
        <v/>
      </c>
      <c r="H1182" s="20">
        <f>C1182/C1181-1</f>
        <v/>
      </c>
      <c r="I1182" s="20">
        <f>C1182/MAX(C$2:C1182)-1</f>
        <v/>
      </c>
      <c r="J1182" s="20">
        <f>D1182/D1181-1</f>
        <v/>
      </c>
      <c r="K1182" s="20">
        <f>D1182/MAX(D$2:D1182)-1</f>
        <v/>
      </c>
      <c r="L1182" s="20">
        <f>E1182/E1181-1</f>
        <v/>
      </c>
      <c r="M1182" s="20">
        <f>E1182/MAX(E$2:E1182)-1</f>
        <v/>
      </c>
    </row>
    <row r="1183">
      <c r="A1183" s="11" t="n">
        <v>45441</v>
      </c>
      <c r="B1183" s="19" t="n">
        <v>1.601375657122105</v>
      </c>
      <c r="C1183" s="19" t="n">
        <v>1.308744263745186</v>
      </c>
      <c r="D1183" s="19" t="n">
        <v>1.170343200055161</v>
      </c>
      <c r="E1183" s="19" t="n">
        <v>1.097951918820698</v>
      </c>
      <c r="F1183" s="20">
        <f>B1183/B1182-1</f>
        <v/>
      </c>
      <c r="G1183" s="20">
        <f>B1183/MAX(B$2:B1183)-1</f>
        <v/>
      </c>
      <c r="H1183" s="20">
        <f>C1183/C1182-1</f>
        <v/>
      </c>
      <c r="I1183" s="20">
        <f>C1183/MAX(C$2:C1183)-1</f>
        <v/>
      </c>
      <c r="J1183" s="20">
        <f>D1183/D1182-1</f>
        <v/>
      </c>
      <c r="K1183" s="20">
        <f>D1183/MAX(D$2:D1183)-1</f>
        <v/>
      </c>
      <c r="L1183" s="20">
        <f>E1183/E1182-1</f>
        <v/>
      </c>
      <c r="M1183" s="20">
        <f>E1183/MAX(E$2:E1183)-1</f>
        <v/>
      </c>
    </row>
    <row r="1184">
      <c r="A1184" s="11" t="n">
        <v>45442</v>
      </c>
      <c r="B1184" s="19" t="n">
        <v>1.594335416641611</v>
      </c>
      <c r="C1184" s="19" t="n">
        <v>1.311958177799188</v>
      </c>
      <c r="D1184" s="19" t="n">
        <v>1.171691338048607</v>
      </c>
      <c r="E1184" s="19" t="n">
        <v>1.092742442446538</v>
      </c>
      <c r="F1184" s="20">
        <f>B1184/B1183-1</f>
        <v/>
      </c>
      <c r="G1184" s="20">
        <f>B1184/MAX(B$2:B1184)-1</f>
        <v/>
      </c>
      <c r="H1184" s="20">
        <f>C1184/C1183-1</f>
        <v/>
      </c>
      <c r="I1184" s="20">
        <f>C1184/MAX(C$2:C1184)-1</f>
        <v/>
      </c>
      <c r="J1184" s="20">
        <f>D1184/D1183-1</f>
        <v/>
      </c>
      <c r="K1184" s="20">
        <f>D1184/MAX(D$2:D1184)-1</f>
        <v/>
      </c>
      <c r="L1184" s="20">
        <f>E1184/E1183-1</f>
        <v/>
      </c>
      <c r="M1184" s="20">
        <f>E1184/MAX(E$2:E1184)-1</f>
        <v/>
      </c>
    </row>
    <row r="1185">
      <c r="A1185" s="11" t="n">
        <v>45443</v>
      </c>
      <c r="B1185" s="19" t="n">
        <v>1.580376869461672</v>
      </c>
      <c r="C1185" s="19" t="n">
        <v>1.303847177826364</v>
      </c>
      <c r="D1185" s="19" t="n">
        <v>1.166492134213851</v>
      </c>
      <c r="E1185" s="19" t="n">
        <v>1.093069406368915</v>
      </c>
      <c r="F1185" s="20">
        <f>B1185/B1184-1</f>
        <v/>
      </c>
      <c r="G1185" s="20">
        <f>B1185/MAX(B$2:B1185)-1</f>
        <v/>
      </c>
      <c r="H1185" s="20">
        <f>C1185/C1184-1</f>
        <v/>
      </c>
      <c r="I1185" s="20">
        <f>C1185/MAX(C$2:C1185)-1</f>
        <v/>
      </c>
      <c r="J1185" s="20">
        <f>D1185/D1184-1</f>
        <v/>
      </c>
      <c r="K1185" s="20">
        <f>D1185/MAX(D$2:D1185)-1</f>
        <v/>
      </c>
      <c r="L1185" s="20">
        <f>E1185/E1184-1</f>
        <v/>
      </c>
      <c r="M1185" s="20">
        <f>E1185/MAX(E$2:E1185)-1</f>
        <v/>
      </c>
    </row>
    <row r="1186">
      <c r="A1186" s="11" t="n">
        <v>45446</v>
      </c>
      <c r="B1186" s="19" t="n">
        <v>1.591347932774494</v>
      </c>
      <c r="C1186" s="19" t="n">
        <v>1.31173609896914</v>
      </c>
      <c r="D1186" s="19" t="n">
        <v>1.175762957766421</v>
      </c>
      <c r="E1186" s="19" t="n">
        <v>1.087317221959775</v>
      </c>
      <c r="F1186" s="20">
        <f>B1186/B1185-1</f>
        <v/>
      </c>
      <c r="G1186" s="20">
        <f>B1186/MAX(B$2:B1186)-1</f>
        <v/>
      </c>
      <c r="H1186" s="20">
        <f>C1186/C1185-1</f>
        <v/>
      </c>
      <c r="I1186" s="20">
        <f>C1186/MAX(C$2:C1186)-1</f>
        <v/>
      </c>
      <c r="J1186" s="20">
        <f>D1186/D1185-1</f>
        <v/>
      </c>
      <c r="K1186" s="20">
        <f>D1186/MAX(D$2:D1186)-1</f>
        <v/>
      </c>
      <c r="L1186" s="20">
        <f>E1186/E1185-1</f>
        <v/>
      </c>
      <c r="M1186" s="20">
        <f>E1186/MAX(E$2:E1186)-1</f>
        <v/>
      </c>
    </row>
    <row r="1187">
      <c r="A1187" s="11" t="n">
        <v>45447</v>
      </c>
      <c r="B1187" s="19" t="n">
        <v>1.612287948309108</v>
      </c>
      <c r="C1187" s="19" t="n">
        <v>1.334234603652781</v>
      </c>
      <c r="D1187" s="19" t="n">
        <v>1.191360827757503</v>
      </c>
      <c r="E1187" s="19" t="n">
        <v>1.092670279760598</v>
      </c>
      <c r="F1187" s="20">
        <f>B1187/B1186-1</f>
        <v/>
      </c>
      <c r="G1187" s="20">
        <f>B1187/MAX(B$2:B1187)-1</f>
        <v/>
      </c>
      <c r="H1187" s="20">
        <f>C1187/C1186-1</f>
        <v/>
      </c>
      <c r="I1187" s="20">
        <f>C1187/MAX(C$2:C1187)-1</f>
        <v/>
      </c>
      <c r="J1187" s="20">
        <f>D1187/D1186-1</f>
        <v/>
      </c>
      <c r="K1187" s="20">
        <f>D1187/MAX(D$2:D1187)-1</f>
        <v/>
      </c>
      <c r="L1187" s="20">
        <f>E1187/E1186-1</f>
        <v/>
      </c>
      <c r="M1187" s="20">
        <f>E1187/MAX(E$2:E1187)-1</f>
        <v/>
      </c>
    </row>
    <row r="1188">
      <c r="A1188" s="11" t="n">
        <v>45448</v>
      </c>
      <c r="B1188" s="19" t="n">
        <v>1.596936169300195</v>
      </c>
      <c r="C1188" s="19" t="n">
        <v>1.326411724146058</v>
      </c>
      <c r="D1188" s="19" t="n">
        <v>1.184870934624354</v>
      </c>
      <c r="E1188" s="19" t="n">
        <v>1.081419968233539</v>
      </c>
      <c r="F1188" s="20">
        <f>B1188/B1187-1</f>
        <v/>
      </c>
      <c r="G1188" s="20">
        <f>B1188/MAX(B$2:B1188)-1</f>
        <v/>
      </c>
      <c r="H1188" s="20">
        <f>C1188/C1187-1</f>
        <v/>
      </c>
      <c r="I1188" s="20">
        <f>C1188/MAX(C$2:C1188)-1</f>
        <v/>
      </c>
      <c r="J1188" s="20">
        <f>D1188/D1187-1</f>
        <v/>
      </c>
      <c r="K1188" s="20">
        <f>D1188/MAX(D$2:D1188)-1</f>
        <v/>
      </c>
      <c r="L1188" s="20">
        <f>E1188/E1187-1</f>
        <v/>
      </c>
      <c r="M1188" s="20">
        <f>E1188/MAX(E$2:E1188)-1</f>
        <v/>
      </c>
    </row>
    <row r="1189">
      <c r="A1189" s="11" t="n">
        <v>45449</v>
      </c>
      <c r="B1189" s="19" t="n">
        <v>1.596067181851476</v>
      </c>
      <c r="C1189" s="19" t="n">
        <v>1.316865749571367</v>
      </c>
      <c r="D1189" s="19" t="n">
        <v>1.176404845154442</v>
      </c>
      <c r="E1189" s="19" t="n">
        <v>1.068686229946027</v>
      </c>
      <c r="F1189" s="20">
        <f>B1189/B1188-1</f>
        <v/>
      </c>
      <c r="G1189" s="20">
        <f>B1189/MAX(B$2:B1189)-1</f>
        <v/>
      </c>
      <c r="H1189" s="20">
        <f>C1189/C1188-1</f>
        <v/>
      </c>
      <c r="I1189" s="20">
        <f>C1189/MAX(C$2:C1189)-1</f>
        <v/>
      </c>
      <c r="J1189" s="20">
        <f>D1189/D1188-1</f>
        <v/>
      </c>
      <c r="K1189" s="20">
        <f>D1189/MAX(D$2:D1189)-1</f>
        <v/>
      </c>
      <c r="L1189" s="20">
        <f>E1189/E1188-1</f>
        <v/>
      </c>
      <c r="M1189" s="20">
        <f>E1189/MAX(E$2:E1189)-1</f>
        <v/>
      </c>
    </row>
    <row r="1190">
      <c r="A1190" s="11" t="n">
        <v>45450</v>
      </c>
      <c r="B1190" s="19" t="n">
        <v>1.571637809874494</v>
      </c>
      <c r="C1190" s="19" t="n">
        <v>1.297828730901497</v>
      </c>
      <c r="D1190" s="19" t="n">
        <v>1.150957787358017</v>
      </c>
      <c r="E1190" s="19" t="n">
        <v>1.070043186019782</v>
      </c>
      <c r="F1190" s="20">
        <f>B1190/B1189-1</f>
        <v/>
      </c>
      <c r="G1190" s="20">
        <f>B1190/MAX(B$2:B1190)-1</f>
        <v/>
      </c>
      <c r="H1190" s="20">
        <f>C1190/C1189-1</f>
        <v/>
      </c>
      <c r="I1190" s="20">
        <f>C1190/MAX(C$2:C1190)-1</f>
        <v/>
      </c>
      <c r="J1190" s="20">
        <f>D1190/D1189-1</f>
        <v/>
      </c>
      <c r="K1190" s="20">
        <f>D1190/MAX(D$2:D1190)-1</f>
        <v/>
      </c>
      <c r="L1190" s="20">
        <f>E1190/E1189-1</f>
        <v/>
      </c>
      <c r="M1190" s="20">
        <f>E1190/MAX(E$2:E1190)-1</f>
        <v/>
      </c>
    </row>
    <row r="1191">
      <c r="A1191" s="11" t="n">
        <v>45454</v>
      </c>
      <c r="B1191" s="19" t="n">
        <v>1.573714240760392</v>
      </c>
      <c r="C1191" s="19" t="n">
        <v>1.305674602325214</v>
      </c>
      <c r="D1191" s="19" t="n">
        <v>1.154984753478215</v>
      </c>
      <c r="E1191" s="19" t="n">
        <v>1.068677674576044</v>
      </c>
      <c r="F1191" s="20">
        <f>B1191/B1190-1</f>
        <v/>
      </c>
      <c r="G1191" s="20">
        <f>B1191/MAX(B$2:B1191)-1</f>
        <v/>
      </c>
      <c r="H1191" s="20">
        <f>C1191/C1190-1</f>
        <v/>
      </c>
      <c r="I1191" s="20">
        <f>C1191/MAX(C$2:C1191)-1</f>
        <v/>
      </c>
      <c r="J1191" s="20">
        <f>D1191/D1190-1</f>
        <v/>
      </c>
      <c r="K1191" s="20">
        <f>D1191/MAX(D$2:D1191)-1</f>
        <v/>
      </c>
      <c r="L1191" s="20">
        <f>E1191/E1190-1</f>
        <v/>
      </c>
      <c r="M1191" s="20">
        <f>E1191/MAX(E$2:E1191)-1</f>
        <v/>
      </c>
    </row>
    <row r="1192">
      <c r="A1192" s="11" t="n">
        <v>45455</v>
      </c>
      <c r="B1192" s="19" t="n">
        <v>1.572680693182358</v>
      </c>
      <c r="C1192" s="19" t="n">
        <v>1.302454771941107</v>
      </c>
      <c r="D1192" s="19" t="n">
        <v>1.149890366047705</v>
      </c>
      <c r="E1192" s="19" t="n">
        <v>1.073170731707317</v>
      </c>
      <c r="F1192" s="20">
        <f>B1192/B1191-1</f>
        <v/>
      </c>
      <c r="G1192" s="20">
        <f>B1192/MAX(B$2:B1192)-1</f>
        <v/>
      </c>
      <c r="H1192" s="20">
        <f>C1192/C1191-1</f>
        <v/>
      </c>
      <c r="I1192" s="20">
        <f>C1192/MAX(C$2:C1192)-1</f>
        <v/>
      </c>
      <c r="J1192" s="20">
        <f>D1192/D1191-1</f>
        <v/>
      </c>
      <c r="K1192" s="20">
        <f>D1192/MAX(D$2:D1192)-1</f>
        <v/>
      </c>
      <c r="L1192" s="20">
        <f>E1192/E1191-1</f>
        <v/>
      </c>
      <c r="M1192" s="20">
        <f>E1192/MAX(E$2:E1192)-1</f>
        <v/>
      </c>
    </row>
    <row r="1193">
      <c r="A1193" s="11" t="n">
        <v>45456</v>
      </c>
      <c r="B1193" s="19" t="n">
        <v>1.577907851227129</v>
      </c>
      <c r="C1193" s="19" t="n">
        <v>1.301575739968153</v>
      </c>
      <c r="D1193" s="19" t="n">
        <v>1.148838906298335</v>
      </c>
      <c r="E1193" s="19" t="n">
        <v>1.067867518235957</v>
      </c>
      <c r="F1193" s="20">
        <f>B1193/B1192-1</f>
        <v/>
      </c>
      <c r="G1193" s="20">
        <f>B1193/MAX(B$2:B1193)-1</f>
        <v/>
      </c>
      <c r="H1193" s="20">
        <f>C1193/C1192-1</f>
        <v/>
      </c>
      <c r="I1193" s="20">
        <f>C1193/MAX(C$2:C1193)-1</f>
        <v/>
      </c>
      <c r="J1193" s="20">
        <f>D1193/D1192-1</f>
        <v/>
      </c>
      <c r="K1193" s="20">
        <f>D1193/MAX(D$2:D1193)-1</f>
        <v/>
      </c>
      <c r="L1193" s="20">
        <f>E1193/E1192-1</f>
        <v/>
      </c>
      <c r="M1193" s="20">
        <f>E1193/MAX(E$2:E1193)-1</f>
        <v/>
      </c>
    </row>
    <row r="1194">
      <c r="A1194" s="11" t="n">
        <v>45457</v>
      </c>
      <c r="B1194" s="19" t="n">
        <v>1.592494296620244</v>
      </c>
      <c r="C1194" s="19" t="n">
        <v>1.306423859837811</v>
      </c>
      <c r="D1194" s="19" t="n">
        <v>1.157608653156379</v>
      </c>
      <c r="E1194" s="19" t="n">
        <v>1.07155637058887</v>
      </c>
      <c r="F1194" s="20">
        <f>B1194/B1193-1</f>
        <v/>
      </c>
      <c r="G1194" s="20">
        <f>B1194/MAX(B$2:B1194)-1</f>
        <v/>
      </c>
      <c r="H1194" s="20">
        <f>C1194/C1193-1</f>
        <v/>
      </c>
      <c r="I1194" s="20">
        <f>C1194/MAX(C$2:C1194)-1</f>
        <v/>
      </c>
      <c r="J1194" s="20">
        <f>D1194/D1193-1</f>
        <v/>
      </c>
      <c r="K1194" s="20">
        <f>D1194/MAX(D$2:D1194)-1</f>
        <v/>
      </c>
      <c r="L1194" s="20">
        <f>E1194/E1193-1</f>
        <v/>
      </c>
      <c r="M1194" s="20">
        <f>E1194/MAX(E$2:E1194)-1</f>
        <v/>
      </c>
    </row>
    <row r="1195">
      <c r="A1195" s="11" t="n">
        <v>45460</v>
      </c>
      <c r="B1195" s="19" t="n">
        <v>1.600626874037688</v>
      </c>
      <c r="C1195" s="19" t="n">
        <v>1.325084542192693</v>
      </c>
      <c r="D1195" s="19" t="n">
        <v>1.167192698109305</v>
      </c>
      <c r="E1195" s="19" t="n">
        <v>1.069940149607383</v>
      </c>
      <c r="F1195" s="20">
        <f>B1195/B1194-1</f>
        <v/>
      </c>
      <c r="G1195" s="20">
        <f>B1195/MAX(B$2:B1195)-1</f>
        <v/>
      </c>
      <c r="H1195" s="20">
        <f>C1195/C1194-1</f>
        <v/>
      </c>
      <c r="I1195" s="20">
        <f>C1195/MAX(C$2:C1195)-1</f>
        <v/>
      </c>
      <c r="J1195" s="20">
        <f>D1195/D1194-1</f>
        <v/>
      </c>
      <c r="K1195" s="20">
        <f>D1195/MAX(D$2:D1195)-1</f>
        <v/>
      </c>
      <c r="L1195" s="20">
        <f>E1195/E1194-1</f>
        <v/>
      </c>
      <c r="M1195" s="20">
        <f>E1195/MAX(E$2:E1195)-1</f>
        <v/>
      </c>
    </row>
    <row r="1196">
      <c r="A1196" s="11" t="n">
        <v>45461</v>
      </c>
      <c r="B1196" s="19" t="n">
        <v>1.61298801510477</v>
      </c>
      <c r="C1196" s="19" t="n">
        <v>1.333257543381009</v>
      </c>
      <c r="D1196" s="19" t="n">
        <v>1.170534868029879</v>
      </c>
      <c r="E1196" s="19" t="n">
        <v>1.076554194549113</v>
      </c>
      <c r="F1196" s="20">
        <f>B1196/B1195-1</f>
        <v/>
      </c>
      <c r="G1196" s="20">
        <f>B1196/MAX(B$2:B1196)-1</f>
        <v/>
      </c>
      <c r="H1196" s="20">
        <f>C1196/C1195-1</f>
        <v/>
      </c>
      <c r="I1196" s="20">
        <f>C1196/MAX(C$2:C1196)-1</f>
        <v/>
      </c>
      <c r="J1196" s="20">
        <f>D1196/D1195-1</f>
        <v/>
      </c>
      <c r="K1196" s="20">
        <f>D1196/MAX(D$2:D1196)-1</f>
        <v/>
      </c>
      <c r="L1196" s="20">
        <f>E1196/E1195-1</f>
        <v/>
      </c>
      <c r="M1196" s="20">
        <f>E1196/MAX(E$2:E1196)-1</f>
        <v/>
      </c>
    </row>
    <row r="1197">
      <c r="A1197" s="11" t="n">
        <v>45462</v>
      </c>
      <c r="B1197" s="19" t="n">
        <v>1.615744055441828</v>
      </c>
      <c r="C1197" s="19" t="n">
        <v>1.322031331056428</v>
      </c>
      <c r="D1197" s="19" t="n">
        <v>1.155756336626606</v>
      </c>
      <c r="E1197" s="19" t="n">
        <v>1.070047277718469</v>
      </c>
      <c r="F1197" s="20">
        <f>B1197/B1196-1</f>
        <v/>
      </c>
      <c r="G1197" s="20">
        <f>B1197/MAX(B$2:B1197)-1</f>
        <v/>
      </c>
      <c r="H1197" s="20">
        <f>C1197/C1196-1</f>
        <v/>
      </c>
      <c r="I1197" s="20">
        <f>C1197/MAX(C$2:C1197)-1</f>
        <v/>
      </c>
      <c r="J1197" s="20">
        <f>D1197/D1196-1</f>
        <v/>
      </c>
      <c r="K1197" s="20">
        <f>D1197/MAX(D$2:D1197)-1</f>
        <v/>
      </c>
      <c r="L1197" s="20">
        <f>E1197/E1196-1</f>
        <v/>
      </c>
      <c r="M1197" s="20">
        <f>E1197/MAX(E$2:E1197)-1</f>
        <v/>
      </c>
    </row>
    <row r="1198">
      <c r="A1198" s="11" t="n">
        <v>45463</v>
      </c>
      <c r="B1198" s="19" t="n">
        <v>1.593114556153489</v>
      </c>
      <c r="C1198" s="19" t="n">
        <v>1.30171835719386</v>
      </c>
      <c r="D1198" s="19" t="n">
        <v>1.139087297266366</v>
      </c>
      <c r="E1198" s="19" t="n">
        <v>1.056674862463128</v>
      </c>
      <c r="F1198" s="20">
        <f>B1198/B1197-1</f>
        <v/>
      </c>
      <c r="G1198" s="20">
        <f>B1198/MAX(B$2:B1198)-1</f>
        <v/>
      </c>
      <c r="H1198" s="20">
        <f>C1198/C1197-1</f>
        <v/>
      </c>
      <c r="I1198" s="20">
        <f>C1198/MAX(C$2:C1198)-1</f>
        <v/>
      </c>
      <c r="J1198" s="20">
        <f>D1198/D1197-1</f>
        <v/>
      </c>
      <c r="K1198" s="20">
        <f>D1198/MAX(D$2:D1198)-1</f>
        <v/>
      </c>
      <c r="L1198" s="20">
        <f>E1198/E1197-1</f>
        <v/>
      </c>
      <c r="M1198" s="20">
        <f>E1198/MAX(E$2:E1198)-1</f>
        <v/>
      </c>
    </row>
    <row r="1199">
      <c r="A1199" s="11" t="n">
        <v>45464</v>
      </c>
      <c r="B1199" s="19" t="n">
        <v>1.593519504434313</v>
      </c>
      <c r="C1199" s="19" t="n">
        <v>1.310253841826674</v>
      </c>
      <c r="D1199" s="19" t="n">
        <v>1.134677318305255</v>
      </c>
      <c r="E1199" s="19" t="n">
        <v>1.055701782120765</v>
      </c>
      <c r="F1199" s="20">
        <f>B1199/B1198-1</f>
        <v/>
      </c>
      <c r="G1199" s="20">
        <f>B1199/MAX(B$2:B1199)-1</f>
        <v/>
      </c>
      <c r="H1199" s="20">
        <f>C1199/C1198-1</f>
        <v/>
      </c>
      <c r="I1199" s="20">
        <f>C1199/MAX(C$2:C1199)-1</f>
        <v/>
      </c>
      <c r="J1199" s="20">
        <f>D1199/D1198-1</f>
        <v/>
      </c>
      <c r="K1199" s="20">
        <f>D1199/MAX(D$2:D1199)-1</f>
        <v/>
      </c>
      <c r="L1199" s="20">
        <f>E1199/E1198-1</f>
        <v/>
      </c>
      <c r="M1199" s="20">
        <f>E1199/MAX(E$2:E1199)-1</f>
        <v/>
      </c>
    </row>
    <row r="1200">
      <c r="A1200" s="11" t="n">
        <v>45467</v>
      </c>
      <c r="B1200" s="19" t="n">
        <v>1.57038991748952</v>
      </c>
      <c r="C1200" s="19" t="n">
        <v>1.290154192549609</v>
      </c>
      <c r="D1200" s="19" t="n">
        <v>1.118934307966493</v>
      </c>
      <c r="E1200" s="19" t="n">
        <v>1.036715928239045</v>
      </c>
      <c r="F1200" s="20">
        <f>B1200/B1199-1</f>
        <v/>
      </c>
      <c r="G1200" s="20">
        <f>B1200/MAX(B$2:B1200)-1</f>
        <v/>
      </c>
      <c r="H1200" s="20">
        <f>C1200/C1199-1</f>
        <v/>
      </c>
      <c r="I1200" s="20">
        <f>C1200/MAX(C$2:C1200)-1</f>
        <v/>
      </c>
      <c r="J1200" s="20">
        <f>D1200/D1199-1</f>
        <v/>
      </c>
      <c r="K1200" s="20">
        <f>D1200/MAX(D$2:D1200)-1</f>
        <v/>
      </c>
      <c r="L1200" s="20">
        <f>E1200/E1199-1</f>
        <v/>
      </c>
      <c r="M1200" s="20">
        <f>E1200/MAX(E$2:E1200)-1</f>
        <v/>
      </c>
    </row>
    <row r="1201">
      <c r="A1201" s="11" t="n">
        <v>45468</v>
      </c>
      <c r="B1201" s="19" t="n">
        <v>1.547914391553204</v>
      </c>
      <c r="C1201" s="19" t="n">
        <v>1.268747948223934</v>
      </c>
      <c r="D1201" s="19" t="n">
        <v>1.098585062550902</v>
      </c>
      <c r="E1201" s="19" t="n">
        <v>1.030799703909804</v>
      </c>
      <c r="F1201" s="20">
        <f>B1201/B1200-1</f>
        <v/>
      </c>
      <c r="G1201" s="20">
        <f>B1201/MAX(B$2:B1201)-1</f>
        <v/>
      </c>
      <c r="H1201" s="20">
        <f>C1201/C1200-1</f>
        <v/>
      </c>
      <c r="I1201" s="20">
        <f>C1201/MAX(C$2:C1201)-1</f>
        <v/>
      </c>
      <c r="J1201" s="20">
        <f>D1201/D1200-1</f>
        <v/>
      </c>
      <c r="K1201" s="20">
        <f>D1201/MAX(D$2:D1201)-1</f>
        <v/>
      </c>
      <c r="L1201" s="20">
        <f>E1201/E1200-1</f>
        <v/>
      </c>
      <c r="M1201" s="20">
        <f>E1201/MAX(E$2:E1201)-1</f>
        <v/>
      </c>
    </row>
    <row r="1202">
      <c r="A1202" s="11" t="n">
        <v>45469</v>
      </c>
      <c r="B1202" s="19" t="n">
        <v>1.57411223712196</v>
      </c>
      <c r="C1202" s="19" t="n">
        <v>1.298546530854022</v>
      </c>
      <c r="D1202" s="19" t="n">
        <v>1.118370160488649</v>
      </c>
      <c r="E1202" s="19" t="n">
        <v>1.04642329738838</v>
      </c>
      <c r="F1202" s="20">
        <f>B1202/B1201-1</f>
        <v/>
      </c>
      <c r="G1202" s="20">
        <f>B1202/MAX(B$2:B1202)-1</f>
        <v/>
      </c>
      <c r="H1202" s="20">
        <f>C1202/C1201-1</f>
        <v/>
      </c>
      <c r="I1202" s="20">
        <f>C1202/MAX(C$2:C1202)-1</f>
        <v/>
      </c>
      <c r="J1202" s="20">
        <f>D1202/D1201-1</f>
        <v/>
      </c>
      <c r="K1202" s="20">
        <f>D1202/MAX(D$2:D1202)-1</f>
        <v/>
      </c>
      <c r="L1202" s="20">
        <f>E1202/E1201-1</f>
        <v/>
      </c>
      <c r="M1202" s="20">
        <f>E1202/MAX(E$2:E1202)-1</f>
        <v/>
      </c>
    </row>
    <row r="1203">
      <c r="A1203" s="11" t="n">
        <v>45470</v>
      </c>
      <c r="B1203" s="19" t="n">
        <v>1.551649806214308</v>
      </c>
      <c r="C1203" s="19" t="n">
        <v>1.285526371800943</v>
      </c>
      <c r="D1203" s="19" t="n">
        <v>1.100637447876941</v>
      </c>
      <c r="E1203" s="19" t="n">
        <v>1.032487715604623</v>
      </c>
      <c r="F1203" s="20">
        <f>B1203/B1202-1</f>
        <v/>
      </c>
      <c r="G1203" s="20">
        <f>B1203/MAX(B$2:B1203)-1</f>
        <v/>
      </c>
      <c r="H1203" s="20">
        <f>C1203/C1202-1</f>
        <v/>
      </c>
      <c r="I1203" s="20">
        <f>C1203/MAX(C$2:C1203)-1</f>
        <v/>
      </c>
      <c r="J1203" s="20">
        <f>D1203/D1202-1</f>
        <v/>
      </c>
      <c r="K1203" s="20">
        <f>D1203/MAX(D$2:D1203)-1</f>
        <v/>
      </c>
      <c r="L1203" s="20">
        <f>E1203/E1202-1</f>
        <v/>
      </c>
      <c r="M1203" s="20">
        <f>E1203/MAX(E$2:E1203)-1</f>
        <v/>
      </c>
    </row>
    <row r="1204">
      <c r="A1204" s="11" t="n">
        <v>45471</v>
      </c>
      <c r="B1204" s="19" t="n">
        <v>1.562167879597919</v>
      </c>
      <c r="C1204" s="19" t="n">
        <v>1.296101643513213</v>
      </c>
      <c r="D1204" s="19" t="n">
        <v>1.087861155357233</v>
      </c>
      <c r="E1204" s="19" t="n">
        <v>1.036865833200043</v>
      </c>
      <c r="F1204" s="20">
        <f>B1204/B1203-1</f>
        <v/>
      </c>
      <c r="G1204" s="20">
        <f>B1204/MAX(B$2:B1204)-1</f>
        <v/>
      </c>
      <c r="H1204" s="20">
        <f>C1204/C1203-1</f>
        <v/>
      </c>
      <c r="I1204" s="20">
        <f>C1204/MAX(C$2:C1204)-1</f>
        <v/>
      </c>
      <c r="J1204" s="20">
        <f>D1204/D1203-1</f>
        <v/>
      </c>
      <c r="K1204" s="20">
        <f>D1204/MAX(D$2:D1204)-1</f>
        <v/>
      </c>
      <c r="L1204" s="20">
        <f>E1204/E1203-1</f>
        <v/>
      </c>
      <c r="M1204" s="20">
        <f>E1204/MAX(E$2:E1204)-1</f>
        <v/>
      </c>
    </row>
    <row r="1205">
      <c r="A1205" s="11" t="n">
        <v>45474</v>
      </c>
      <c r="B1205" s="19" t="n">
        <v>1.567427419234935</v>
      </c>
      <c r="C1205" s="19" t="n">
        <v>1.296789140311541</v>
      </c>
      <c r="D1205" s="19" t="n">
        <v>1.087384117936678</v>
      </c>
      <c r="E1205" s="19" t="n">
        <v>1.044516193827487</v>
      </c>
      <c r="F1205" s="20">
        <f>B1205/B1204-1</f>
        <v/>
      </c>
      <c r="G1205" s="20">
        <f>B1205/MAX(B$2:B1205)-1</f>
        <v/>
      </c>
      <c r="H1205" s="20">
        <f>C1205/C1204-1</f>
        <v/>
      </c>
      <c r="I1205" s="20">
        <f>C1205/MAX(C$2:C1205)-1</f>
        <v/>
      </c>
      <c r="J1205" s="20">
        <f>D1205/D1204-1</f>
        <v/>
      </c>
      <c r="K1205" s="20">
        <f>D1205/MAX(D$2:D1205)-1</f>
        <v/>
      </c>
      <c r="L1205" s="20">
        <f>E1205/E1204-1</f>
        <v/>
      </c>
      <c r="M1205" s="20">
        <f>E1205/MAX(E$2:E1205)-1</f>
        <v/>
      </c>
    </row>
    <row r="1206">
      <c r="A1206" s="11" t="n">
        <v>45475</v>
      </c>
      <c r="B1206" s="19" t="n">
        <v>1.551422636715093</v>
      </c>
      <c r="C1206" s="19" t="n">
        <v>1.278924517007405</v>
      </c>
      <c r="D1206" s="19" t="n">
        <v>1.075974122109302</v>
      </c>
      <c r="E1206" s="19" t="n">
        <v>1.040831061200653</v>
      </c>
      <c r="F1206" s="20">
        <f>B1206/B1205-1</f>
        <v/>
      </c>
      <c r="G1206" s="20">
        <f>B1206/MAX(B$2:B1206)-1</f>
        <v/>
      </c>
      <c r="H1206" s="20">
        <f>C1206/C1205-1</f>
        <v/>
      </c>
      <c r="I1206" s="20">
        <f>C1206/MAX(C$2:C1206)-1</f>
        <v/>
      </c>
      <c r="J1206" s="20">
        <f>D1206/D1205-1</f>
        <v/>
      </c>
      <c r="K1206" s="20">
        <f>D1206/MAX(D$2:D1206)-1</f>
        <v/>
      </c>
      <c r="L1206" s="20">
        <f>E1206/E1205-1</f>
        <v/>
      </c>
      <c r="M1206" s="20">
        <f>E1206/MAX(E$2:E1206)-1</f>
        <v/>
      </c>
    </row>
    <row r="1207">
      <c r="A1207" s="11" t="n">
        <v>45476</v>
      </c>
      <c r="B1207" s="19" t="n">
        <v>1.552717043214582</v>
      </c>
      <c r="C1207" s="19" t="n">
        <v>1.274620362805716</v>
      </c>
      <c r="D1207" s="19" t="n">
        <v>1.072800550215038</v>
      </c>
      <c r="E1207" s="19" t="n">
        <v>1.035231385560767</v>
      </c>
      <c r="F1207" s="20">
        <f>B1207/B1206-1</f>
        <v/>
      </c>
      <c r="G1207" s="20">
        <f>B1207/MAX(B$2:B1207)-1</f>
        <v/>
      </c>
      <c r="H1207" s="20">
        <f>C1207/C1206-1</f>
        <v/>
      </c>
      <c r="I1207" s="20">
        <f>C1207/MAX(C$2:C1207)-1</f>
        <v/>
      </c>
      <c r="J1207" s="20">
        <f>D1207/D1206-1</f>
        <v/>
      </c>
      <c r="K1207" s="20">
        <f>D1207/MAX(D$2:D1207)-1</f>
        <v/>
      </c>
      <c r="L1207" s="20">
        <f>E1207/E1206-1</f>
        <v/>
      </c>
      <c r="M1207" s="20">
        <f>E1207/MAX(E$2:E1207)-1</f>
        <v/>
      </c>
    </row>
    <row r="1208">
      <c r="A1208" s="11" t="n">
        <v>45477</v>
      </c>
      <c r="B1208" s="19" t="n">
        <v>1.543705839876496</v>
      </c>
      <c r="C1208" s="19" t="n">
        <v>1.262946818204884</v>
      </c>
      <c r="D1208" s="19" t="n">
        <v>1.064461571637327</v>
      </c>
      <c r="E1208" s="19" t="n">
        <v>1.021739195125671</v>
      </c>
      <c r="F1208" s="20">
        <f>B1208/B1207-1</f>
        <v/>
      </c>
      <c r="G1208" s="20">
        <f>B1208/MAX(B$2:B1208)-1</f>
        <v/>
      </c>
      <c r="H1208" s="20">
        <f>C1208/C1207-1</f>
        <v/>
      </c>
      <c r="I1208" s="20">
        <f>C1208/MAX(C$2:C1208)-1</f>
        <v/>
      </c>
      <c r="J1208" s="20">
        <f>D1208/D1207-1</f>
        <v/>
      </c>
      <c r="K1208" s="20">
        <f>D1208/MAX(D$2:D1208)-1</f>
        <v/>
      </c>
      <c r="L1208" s="20">
        <f>E1208/E1207-1</f>
        <v/>
      </c>
      <c r="M1208" s="20">
        <f>E1208/MAX(E$2:E1208)-1</f>
        <v/>
      </c>
    </row>
    <row r="1209">
      <c r="A1209" s="11" t="n">
        <v>45478</v>
      </c>
      <c r="B1209" s="19" t="n">
        <v>1.545307013154468</v>
      </c>
      <c r="C1209" s="19" t="n">
        <v>1.270944253499834</v>
      </c>
      <c r="D1209" s="19" t="n">
        <v>1.069873057770447</v>
      </c>
      <c r="E1209" s="19" t="n">
        <v>1.024523410096081</v>
      </c>
      <c r="F1209" s="20">
        <f>B1209/B1208-1</f>
        <v/>
      </c>
      <c r="G1209" s="20">
        <f>B1209/MAX(B$2:B1209)-1</f>
        <v/>
      </c>
      <c r="H1209" s="20">
        <f>C1209/C1208-1</f>
        <v/>
      </c>
      <c r="I1209" s="20">
        <f>C1209/MAX(C$2:C1209)-1</f>
        <v/>
      </c>
      <c r="J1209" s="20">
        <f>D1209/D1208-1</f>
        <v/>
      </c>
      <c r="K1209" s="20">
        <f>D1209/MAX(D$2:D1209)-1</f>
        <v/>
      </c>
      <c r="L1209" s="20">
        <f>E1209/E1208-1</f>
        <v/>
      </c>
      <c r="M1209" s="20">
        <f>E1209/MAX(E$2:E1209)-1</f>
        <v/>
      </c>
    </row>
    <row r="1210">
      <c r="A1210" s="11" t="n">
        <v>45481</v>
      </c>
      <c r="B1210" s="19" t="n">
        <v>1.533842533363995</v>
      </c>
      <c r="C1210" s="19" t="n">
        <v>1.258517603366825</v>
      </c>
      <c r="D1210" s="19" t="n">
        <v>1.052531435712681</v>
      </c>
      <c r="E1210" s="19" t="n">
        <v>1.009135647250937</v>
      </c>
      <c r="F1210" s="20">
        <f>B1210/B1209-1</f>
        <v/>
      </c>
      <c r="G1210" s="20">
        <f>B1210/MAX(B$2:B1210)-1</f>
        <v/>
      </c>
      <c r="H1210" s="20">
        <f>C1210/C1209-1</f>
        <v/>
      </c>
      <c r="I1210" s="20">
        <f>C1210/MAX(C$2:C1210)-1</f>
        <v/>
      </c>
      <c r="J1210" s="20">
        <f>D1210/D1209-1</f>
        <v/>
      </c>
      <c r="K1210" s="20">
        <f>D1210/MAX(D$2:D1210)-1</f>
        <v/>
      </c>
      <c r="L1210" s="20">
        <f>E1210/E1209-1</f>
        <v/>
      </c>
      <c r="M1210" s="20">
        <f>E1210/MAX(E$2:E1210)-1</f>
        <v/>
      </c>
    </row>
    <row r="1211">
      <c r="A1211" s="11" t="n">
        <v>45482</v>
      </c>
      <c r="B1211" s="19" t="n">
        <v>1.569307649547344</v>
      </c>
      <c r="C1211" s="19" t="n">
        <v>1.290357367983467</v>
      </c>
      <c r="D1211" s="19" t="n">
        <v>1.067626225736408</v>
      </c>
      <c r="E1211" s="19" t="n">
        <v>1.025234249749848</v>
      </c>
      <c r="F1211" s="20">
        <f>B1211/B1210-1</f>
        <v/>
      </c>
      <c r="G1211" s="20">
        <f>B1211/MAX(B$2:B1211)-1</f>
        <v/>
      </c>
      <c r="H1211" s="20">
        <f>C1211/C1210-1</f>
        <v/>
      </c>
      <c r="I1211" s="20">
        <f>C1211/MAX(C$2:C1211)-1</f>
        <v/>
      </c>
      <c r="J1211" s="20">
        <f>D1211/D1210-1</f>
        <v/>
      </c>
      <c r="K1211" s="20">
        <f>D1211/MAX(D$2:D1211)-1</f>
        <v/>
      </c>
      <c r="L1211" s="20">
        <f>E1211/E1210-1</f>
        <v/>
      </c>
      <c r="M1211" s="20">
        <f>E1211/MAX(E$2:E1211)-1</f>
        <v/>
      </c>
    </row>
    <row r="1212">
      <c r="A1212" s="11" t="n">
        <v>45483</v>
      </c>
      <c r="B1212" s="19" t="n">
        <v>1.571839010344697</v>
      </c>
      <c r="C1212" s="19" t="n">
        <v>1.292937080310333</v>
      </c>
      <c r="D1212" s="19" t="n">
        <v>1.066975226688092</v>
      </c>
      <c r="E1212" s="19" t="n">
        <v>1.021049557910555</v>
      </c>
      <c r="F1212" s="20">
        <f>B1212/B1211-1</f>
        <v/>
      </c>
      <c r="G1212" s="20">
        <f>B1212/MAX(B$2:B1212)-1</f>
        <v/>
      </c>
      <c r="H1212" s="20">
        <f>C1212/C1211-1</f>
        <v/>
      </c>
      <c r="I1212" s="20">
        <f>C1212/MAX(C$2:C1212)-1</f>
        <v/>
      </c>
      <c r="J1212" s="20">
        <f>D1212/D1211-1</f>
        <v/>
      </c>
      <c r="K1212" s="20">
        <f>D1212/MAX(D$2:D1212)-1</f>
        <v/>
      </c>
      <c r="L1212" s="20">
        <f>E1212/E1211-1</f>
        <v/>
      </c>
      <c r="M1212" s="20">
        <f>E1212/MAX(E$2:E1212)-1</f>
        <v/>
      </c>
    </row>
    <row r="1213">
      <c r="A1213" s="11" t="n">
        <v>45484</v>
      </c>
      <c r="B1213" s="19" t="n">
        <v>1.591080487009085</v>
      </c>
      <c r="C1213" s="19" t="n">
        <v>1.316516830395891</v>
      </c>
      <c r="D1213" s="19" t="n">
        <v>1.088951711237656</v>
      </c>
      <c r="E1213" s="19" t="n">
        <v>1.0405989502933</v>
      </c>
      <c r="F1213" s="20">
        <f>B1213/B1212-1</f>
        <v/>
      </c>
      <c r="G1213" s="20">
        <f>B1213/MAX(B$2:B1213)-1</f>
        <v/>
      </c>
      <c r="H1213" s="20">
        <f>C1213/C1212-1</f>
        <v/>
      </c>
      <c r="I1213" s="20">
        <f>C1213/MAX(C$2:C1213)-1</f>
        <v/>
      </c>
      <c r="J1213" s="20">
        <f>D1213/D1212-1</f>
        <v/>
      </c>
      <c r="K1213" s="20">
        <f>D1213/MAX(D$2:D1213)-1</f>
        <v/>
      </c>
      <c r="L1213" s="20">
        <f>E1213/E1212-1</f>
        <v/>
      </c>
      <c r="M1213" s="20">
        <f>E1213/MAX(E$2:E1213)-1</f>
        <v/>
      </c>
    </row>
    <row r="1214">
      <c r="A1214" s="11" t="n">
        <v>45485</v>
      </c>
      <c r="B1214" s="19" t="n">
        <v>1.589677351447273</v>
      </c>
      <c r="C1214" s="19" t="n">
        <v>1.313104839533976</v>
      </c>
      <c r="D1214" s="19" t="n">
        <v>1.08798942944011</v>
      </c>
      <c r="E1214" s="19" t="n">
        <v>1.04051786026477</v>
      </c>
      <c r="F1214" s="20">
        <f>B1214/B1213-1</f>
        <v/>
      </c>
      <c r="G1214" s="20">
        <f>B1214/MAX(B$2:B1214)-1</f>
        <v/>
      </c>
      <c r="H1214" s="20">
        <f>C1214/C1213-1</f>
        <v/>
      </c>
      <c r="I1214" s="20">
        <f>C1214/MAX(C$2:C1214)-1</f>
        <v/>
      </c>
      <c r="J1214" s="20">
        <f>D1214/D1213-1</f>
        <v/>
      </c>
      <c r="K1214" s="20">
        <f>D1214/MAX(D$2:D1214)-1</f>
        <v/>
      </c>
      <c r="L1214" s="20">
        <f>E1214/E1213-1</f>
        <v/>
      </c>
      <c r="M1214" s="20">
        <f>E1214/MAX(E$2:E1214)-1</f>
        <v/>
      </c>
    </row>
    <row r="1215">
      <c r="A1215" s="11" t="n">
        <v>45488</v>
      </c>
      <c r="B1215" s="19" t="n">
        <v>1.570273064633315</v>
      </c>
      <c r="C1215" s="19" t="n">
        <v>1.298727820676516</v>
      </c>
      <c r="D1215" s="19" t="n">
        <v>1.081125764369751</v>
      </c>
      <c r="E1215" s="19" t="n">
        <v>1.035338513671853</v>
      </c>
      <c r="F1215" s="20">
        <f>B1215/B1214-1</f>
        <v/>
      </c>
      <c r="G1215" s="20">
        <f>B1215/MAX(B$2:B1215)-1</f>
        <v/>
      </c>
      <c r="H1215" s="20">
        <f>C1215/C1214-1</f>
        <v/>
      </c>
      <c r="I1215" s="20">
        <f>C1215/MAX(C$2:C1215)-1</f>
        <v/>
      </c>
      <c r="J1215" s="20">
        <f>D1215/D1214-1</f>
        <v/>
      </c>
      <c r="K1215" s="20">
        <f>D1215/MAX(D$2:D1215)-1</f>
        <v/>
      </c>
      <c r="L1215" s="20">
        <f>E1215/E1214-1</f>
        <v/>
      </c>
      <c r="M1215" s="20">
        <f>E1215/MAX(E$2:E1215)-1</f>
        <v/>
      </c>
    </row>
    <row r="1216">
      <c r="A1216" s="11" t="n">
        <v>45489</v>
      </c>
      <c r="B1216" s="19" t="n">
        <v>1.590275028087149</v>
      </c>
      <c r="C1216" s="19" t="n">
        <v>1.327364926696429</v>
      </c>
      <c r="D1216" s="19" t="n">
        <v>1.096201167882212</v>
      </c>
      <c r="E1216" s="19" t="n">
        <v>1.040437886154064</v>
      </c>
      <c r="F1216" s="20">
        <f>B1216/B1215-1</f>
        <v/>
      </c>
      <c r="G1216" s="20">
        <f>B1216/MAX(B$2:B1216)-1</f>
        <v/>
      </c>
      <c r="H1216" s="20">
        <f>C1216/C1215-1</f>
        <v/>
      </c>
      <c r="I1216" s="20">
        <f>C1216/MAX(C$2:C1216)-1</f>
        <v/>
      </c>
      <c r="J1216" s="20">
        <f>D1216/D1215-1</f>
        <v/>
      </c>
      <c r="K1216" s="20">
        <f>D1216/MAX(D$2:D1216)-1</f>
        <v/>
      </c>
      <c r="L1216" s="20">
        <f>E1216/E1215-1</f>
        <v/>
      </c>
      <c r="M1216" s="20">
        <f>E1216/MAX(E$2:E1216)-1</f>
        <v/>
      </c>
    </row>
    <row r="1217">
      <c r="A1217" s="11" t="n">
        <v>45490</v>
      </c>
      <c r="B1217" s="19" t="n">
        <v>1.57460859859578</v>
      </c>
      <c r="C1217" s="19" t="n">
        <v>1.31417170296271</v>
      </c>
      <c r="D1217" s="19" t="n">
        <v>1.096275418220361</v>
      </c>
      <c r="E1217" s="19" t="n">
        <v>1.035890521022032</v>
      </c>
      <c r="F1217" s="20">
        <f>B1217/B1216-1</f>
        <v/>
      </c>
      <c r="G1217" s="20">
        <f>B1217/MAX(B$2:B1217)-1</f>
        <v/>
      </c>
      <c r="H1217" s="20">
        <f>C1217/C1216-1</f>
        <v/>
      </c>
      <c r="I1217" s="20">
        <f>C1217/MAX(C$2:C1217)-1</f>
        <v/>
      </c>
      <c r="J1217" s="20">
        <f>D1217/D1216-1</f>
        <v/>
      </c>
      <c r="K1217" s="20">
        <f>D1217/MAX(D$2:D1217)-1</f>
        <v/>
      </c>
      <c r="L1217" s="20">
        <f>E1217/E1216-1</f>
        <v/>
      </c>
      <c r="M1217" s="20">
        <f>E1217/MAX(E$2:E1217)-1</f>
        <v/>
      </c>
    </row>
    <row r="1218">
      <c r="A1218" s="11" t="n">
        <v>45491</v>
      </c>
      <c r="B1218" s="19" t="n">
        <v>1.570368835682136</v>
      </c>
      <c r="C1218" s="19" t="n">
        <v>1.311075971210079</v>
      </c>
      <c r="D1218" s="19" t="n">
        <v>1.110012893968643</v>
      </c>
      <c r="E1218" s="19" t="n">
        <v>1.04007074919003</v>
      </c>
      <c r="F1218" s="20">
        <f>B1218/B1217-1</f>
        <v/>
      </c>
      <c r="G1218" s="20">
        <f>B1218/MAX(B$2:B1218)-1</f>
        <v/>
      </c>
      <c r="H1218" s="20">
        <f>C1218/C1217-1</f>
        <v/>
      </c>
      <c r="I1218" s="20">
        <f>C1218/MAX(C$2:C1218)-1</f>
        <v/>
      </c>
      <c r="J1218" s="20">
        <f>D1218/D1217-1</f>
        <v/>
      </c>
      <c r="K1218" s="20">
        <f>D1218/MAX(D$2:D1218)-1</f>
        <v/>
      </c>
      <c r="L1218" s="20">
        <f>E1218/E1217-1</f>
        <v/>
      </c>
      <c r="M1218" s="20">
        <f>E1218/MAX(E$2:E1218)-1</f>
        <v/>
      </c>
    </row>
    <row r="1219">
      <c r="A1219" s="11" t="n">
        <v>45492</v>
      </c>
      <c r="B1219" s="19" t="n">
        <v>1.572812701596796</v>
      </c>
      <c r="C1219" s="19" t="n">
        <v>1.318346611806734</v>
      </c>
      <c r="D1219" s="19" t="n">
        <v>1.115039363988017</v>
      </c>
      <c r="E1219" s="19" t="n">
        <v>1.044179186644695</v>
      </c>
      <c r="F1219" s="20">
        <f>B1219/B1218-1</f>
        <v/>
      </c>
      <c r="G1219" s="20">
        <f>B1219/MAX(B$2:B1219)-1</f>
        <v/>
      </c>
      <c r="H1219" s="20">
        <f>C1219/C1218-1</f>
        <v/>
      </c>
      <c r="I1219" s="20">
        <f>C1219/MAX(C$2:C1219)-1</f>
        <v/>
      </c>
      <c r="J1219" s="20">
        <f>D1219/D1218-1</f>
        <v/>
      </c>
      <c r="K1219" s="20">
        <f>D1219/MAX(D$2:D1219)-1</f>
        <v/>
      </c>
      <c r="L1219" s="20">
        <f>E1219/E1218-1</f>
        <v/>
      </c>
      <c r="M1219" s="20">
        <f>E1219/MAX(E$2:E1219)-1</f>
        <v/>
      </c>
    </row>
    <row r="1220">
      <c r="A1220" s="11" t="n">
        <v>45495</v>
      </c>
      <c r="B1220" s="19" t="n">
        <v>1.573740237960841</v>
      </c>
      <c r="C1220" s="19" t="n">
        <v>1.318416501462368</v>
      </c>
      <c r="D1220" s="19" t="n">
        <v>1.114022670715518</v>
      </c>
      <c r="E1220" s="19" t="n">
        <v>1.041764340473968</v>
      </c>
      <c r="F1220" s="20">
        <f>B1220/B1219-1</f>
        <v/>
      </c>
      <c r="G1220" s="20">
        <f>B1220/MAX(B$2:B1220)-1</f>
        <v/>
      </c>
      <c r="H1220" s="20">
        <f>C1220/C1219-1</f>
        <v/>
      </c>
      <c r="I1220" s="20">
        <f>C1220/MAX(C$2:C1220)-1</f>
        <v/>
      </c>
      <c r="J1220" s="20">
        <f>D1220/D1219-1</f>
        <v/>
      </c>
      <c r="K1220" s="20">
        <f>D1220/MAX(D$2:D1220)-1</f>
        <v/>
      </c>
      <c r="L1220" s="20">
        <f>E1220/E1219-1</f>
        <v/>
      </c>
      <c r="M1220" s="20">
        <f>E1220/MAX(E$2:E1220)-1</f>
        <v/>
      </c>
    </row>
    <row r="1221">
      <c r="A1221" s="11" t="n">
        <v>45496</v>
      </c>
      <c r="B1221" s="19" t="n">
        <v>1.540801971159861</v>
      </c>
      <c r="C1221" s="19" t="n">
        <v>1.275426859609575</v>
      </c>
      <c r="D1221" s="19" t="n">
        <v>1.080115080915744</v>
      </c>
      <c r="E1221" s="19" t="n">
        <v>1.017894858222641</v>
      </c>
      <c r="F1221" s="20">
        <f>B1221/B1220-1</f>
        <v/>
      </c>
      <c r="G1221" s="20">
        <f>B1221/MAX(B$2:B1221)-1</f>
        <v/>
      </c>
      <c r="H1221" s="20">
        <f>C1221/C1220-1</f>
        <v/>
      </c>
      <c r="I1221" s="20">
        <f>C1221/MAX(C$2:C1221)-1</f>
        <v/>
      </c>
      <c r="J1221" s="20">
        <f>D1221/D1220-1</f>
        <v/>
      </c>
      <c r="K1221" s="20">
        <f>D1221/MAX(D$2:D1221)-1</f>
        <v/>
      </c>
      <c r="L1221" s="20">
        <f>E1221/E1220-1</f>
        <v/>
      </c>
      <c r="M1221" s="20">
        <f>E1221/MAX(E$2:E1221)-1</f>
        <v/>
      </c>
    </row>
    <row r="1222">
      <c r="A1222" s="11" t="n">
        <v>45497</v>
      </c>
      <c r="B1222" s="19" t="n">
        <v>1.530335608483171</v>
      </c>
      <c r="C1222" s="19" t="n">
        <v>1.260481488260053</v>
      </c>
      <c r="D1222" s="19" t="n">
        <v>1.066844755467271</v>
      </c>
      <c r="E1222" s="19" t="n">
        <v>1.007592704873213</v>
      </c>
      <c r="F1222" s="20">
        <f>B1222/B1221-1</f>
        <v/>
      </c>
      <c r="G1222" s="20">
        <f>B1222/MAX(B$2:B1222)-1</f>
        <v/>
      </c>
      <c r="H1222" s="20">
        <f>C1222/C1221-1</f>
        <v/>
      </c>
      <c r="I1222" s="20">
        <f>C1222/MAX(C$2:C1222)-1</f>
        <v/>
      </c>
      <c r="J1222" s="20">
        <f>D1222/D1221-1</f>
        <v/>
      </c>
      <c r="K1222" s="20">
        <f>D1222/MAX(D$2:D1222)-1</f>
        <v/>
      </c>
      <c r="L1222" s="20">
        <f>E1222/E1221-1</f>
        <v/>
      </c>
      <c r="M1222" s="20">
        <f>E1222/MAX(E$2:E1222)-1</f>
        <v/>
      </c>
    </row>
    <row r="1223">
      <c r="A1223" s="11" t="n">
        <v>45498</v>
      </c>
      <c r="B1223" s="19" t="n">
        <v>1.5218935710307</v>
      </c>
      <c r="C1223" s="19" t="n">
        <v>1.256379787988551</v>
      </c>
      <c r="D1223" s="19" t="n">
        <v>1.062674006055183</v>
      </c>
      <c r="E1223" s="19" t="n">
        <v>1.005415177226349</v>
      </c>
      <c r="F1223" s="20">
        <f>B1223/B1222-1</f>
        <v/>
      </c>
      <c r="G1223" s="20">
        <f>B1223/MAX(B$2:B1223)-1</f>
        <v/>
      </c>
      <c r="H1223" s="20">
        <f>C1223/C1222-1</f>
        <v/>
      </c>
      <c r="I1223" s="20">
        <f>C1223/MAX(C$2:C1223)-1</f>
        <v/>
      </c>
      <c r="J1223" s="20">
        <f>D1223/D1222-1</f>
        <v/>
      </c>
      <c r="K1223" s="20">
        <f>D1223/MAX(D$2:D1223)-1</f>
        <v/>
      </c>
      <c r="L1223" s="20">
        <f>E1223/E1222-1</f>
        <v/>
      </c>
      <c r="M1223" s="20">
        <f>E1223/MAX(E$2:E1223)-1</f>
        <v/>
      </c>
    </row>
    <row r="1224">
      <c r="A1224" s="11" t="n">
        <v>45499</v>
      </c>
      <c r="B1224" s="19" t="n">
        <v>1.533432162709007</v>
      </c>
      <c r="C1224" s="19" t="n">
        <v>1.268606293003122</v>
      </c>
      <c r="D1224" s="19" t="n">
        <v>1.072418894429913</v>
      </c>
      <c r="E1224" s="19" t="n">
        <v>1.015419752489427</v>
      </c>
      <c r="F1224" s="20">
        <f>B1224/B1223-1</f>
        <v/>
      </c>
      <c r="G1224" s="20">
        <f>B1224/MAX(B$2:B1224)-1</f>
        <v/>
      </c>
      <c r="H1224" s="20">
        <f>C1224/C1223-1</f>
        <v/>
      </c>
      <c r="I1224" s="20">
        <f>C1224/MAX(C$2:C1224)-1</f>
        <v/>
      </c>
      <c r="J1224" s="20">
        <f>D1224/D1223-1</f>
        <v/>
      </c>
      <c r="K1224" s="20">
        <f>D1224/MAX(D$2:D1224)-1</f>
        <v/>
      </c>
      <c r="L1224" s="20">
        <f>E1224/E1223-1</f>
        <v/>
      </c>
      <c r="M1224" s="20">
        <f>E1224/MAX(E$2:E1224)-1</f>
        <v/>
      </c>
    </row>
    <row r="1225">
      <c r="A1225" s="11" t="n">
        <v>45502</v>
      </c>
      <c r="B1225" s="19" t="n">
        <v>1.528132093288868</v>
      </c>
      <c r="C1225" s="19" t="n">
        <v>1.255975361130625</v>
      </c>
      <c r="D1225" s="19" t="n">
        <v>1.05700093126338</v>
      </c>
      <c r="E1225" s="19" t="n">
        <v>1.012218556225519</v>
      </c>
      <c r="F1225" s="20">
        <f>B1225/B1224-1</f>
        <v/>
      </c>
      <c r="G1225" s="20">
        <f>B1225/MAX(B$2:B1225)-1</f>
        <v/>
      </c>
      <c r="H1225" s="20">
        <f>C1225/C1224-1</f>
        <v/>
      </c>
      <c r="I1225" s="20">
        <f>C1225/MAX(C$2:C1225)-1</f>
        <v/>
      </c>
      <c r="J1225" s="20">
        <f>D1225/D1224-1</f>
        <v/>
      </c>
      <c r="K1225" s="20">
        <f>D1225/MAX(D$2:D1225)-1</f>
        <v/>
      </c>
      <c r="L1225" s="20">
        <f>E1225/E1224-1</f>
        <v/>
      </c>
      <c r="M1225" s="20">
        <f>E1225/MAX(E$2:E1225)-1</f>
        <v/>
      </c>
    </row>
    <row r="1226">
      <c r="A1226" s="11" t="n">
        <v>45503</v>
      </c>
      <c r="B1226" s="19" t="n">
        <v>1.520533846010109</v>
      </c>
      <c r="C1226" s="19" t="n">
        <v>1.246538381710555</v>
      </c>
      <c r="D1226" s="19" t="n">
        <v>1.053948331199417</v>
      </c>
      <c r="E1226" s="19" t="n">
        <v>1.010416720912672</v>
      </c>
      <c r="F1226" s="20">
        <f>B1226/B1225-1</f>
        <v/>
      </c>
      <c r="G1226" s="20">
        <f>B1226/MAX(B$2:B1226)-1</f>
        <v/>
      </c>
      <c r="H1226" s="20">
        <f>C1226/C1225-1</f>
        <v/>
      </c>
      <c r="I1226" s="20">
        <f>C1226/MAX(C$2:C1226)-1</f>
        <v/>
      </c>
      <c r="J1226" s="20">
        <f>D1226/D1225-1</f>
        <v/>
      </c>
      <c r="K1226" s="20">
        <f>D1226/MAX(D$2:D1226)-1</f>
        <v/>
      </c>
      <c r="L1226" s="20">
        <f>E1226/E1225-1</f>
        <v/>
      </c>
      <c r="M1226" s="20">
        <f>E1226/MAX(E$2:E1226)-1</f>
        <v/>
      </c>
    </row>
    <row r="1227">
      <c r="A1227" s="11" t="n">
        <v>45504</v>
      </c>
      <c r="B1227" s="19" t="n">
        <v>1.552013824586221</v>
      </c>
      <c r="C1227" s="19" t="n">
        <v>1.287267696861675</v>
      </c>
      <c r="D1227" s="19" t="n">
        <v>1.090906065438394</v>
      </c>
      <c r="E1227" s="19" t="n">
        <v>1.039908941105577</v>
      </c>
      <c r="F1227" s="20">
        <f>B1227/B1226-1</f>
        <v/>
      </c>
      <c r="G1227" s="20">
        <f>B1227/MAX(B$2:B1227)-1</f>
        <v/>
      </c>
      <c r="H1227" s="20">
        <f>C1227/C1226-1</f>
        <v/>
      </c>
      <c r="I1227" s="20">
        <f>C1227/MAX(C$2:C1227)-1</f>
        <v/>
      </c>
      <c r="J1227" s="20">
        <f>D1227/D1226-1</f>
        <v/>
      </c>
      <c r="K1227" s="20">
        <f>D1227/MAX(D$2:D1227)-1</f>
        <v/>
      </c>
      <c r="L1227" s="20">
        <f>E1227/E1226-1</f>
        <v/>
      </c>
      <c r="M1227" s="20">
        <f>E1227/MAX(E$2:E1227)-1</f>
        <v/>
      </c>
    </row>
    <row r="1228">
      <c r="A1228" s="11" t="n">
        <v>45505</v>
      </c>
      <c r="B1228" s="19" t="n">
        <v>1.548658951620076</v>
      </c>
      <c r="C1228" s="19" t="n">
        <v>1.281236118569989</v>
      </c>
      <c r="D1228" s="19" t="n">
        <v>1.076580079829776</v>
      </c>
      <c r="E1228" s="19" t="n">
        <v>1.035634975840379</v>
      </c>
      <c r="F1228" s="20">
        <f>B1228/B1227-1</f>
        <v/>
      </c>
      <c r="G1228" s="20">
        <f>B1228/MAX(B$2:B1228)-1</f>
        <v/>
      </c>
      <c r="H1228" s="20">
        <f>C1228/C1227-1</f>
        <v/>
      </c>
      <c r="I1228" s="20">
        <f>C1228/MAX(C$2:C1228)-1</f>
        <v/>
      </c>
      <c r="J1228" s="20">
        <f>D1228/D1227-1</f>
        <v/>
      </c>
      <c r="K1228" s="20">
        <f>D1228/MAX(D$2:D1228)-1</f>
        <v/>
      </c>
      <c r="L1228" s="20">
        <f>E1228/E1227-1</f>
        <v/>
      </c>
      <c r="M1228" s="20">
        <f>E1228/MAX(E$2:E1228)-1</f>
        <v/>
      </c>
    </row>
    <row r="1229">
      <c r="A1229" s="11" t="n">
        <v>45506</v>
      </c>
      <c r="B1229" s="19" t="n">
        <v>1.527131466183122</v>
      </c>
      <c r="C1229" s="19" t="n">
        <v>1.265047067292002</v>
      </c>
      <c r="D1229" s="19" t="n">
        <v>1.058700158975855</v>
      </c>
      <c r="E1229" s="19" t="n">
        <v>1.023408236217485</v>
      </c>
      <c r="F1229" s="20">
        <f>B1229/B1228-1</f>
        <v/>
      </c>
      <c r="G1229" s="20">
        <f>B1229/MAX(B$2:B1229)-1</f>
        <v/>
      </c>
      <c r="H1229" s="20">
        <f>C1229/C1228-1</f>
        <v/>
      </c>
      <c r="I1229" s="20">
        <f>C1229/MAX(C$2:C1229)-1</f>
        <v/>
      </c>
      <c r="J1229" s="20">
        <f>D1229/D1228-1</f>
        <v/>
      </c>
      <c r="K1229" s="20">
        <f>D1229/MAX(D$2:D1229)-1</f>
        <v/>
      </c>
      <c r="L1229" s="20">
        <f>E1229/E1228-1</f>
        <v/>
      </c>
      <c r="M1229" s="20">
        <f>E1229/MAX(E$2:E1229)-1</f>
        <v/>
      </c>
    </row>
    <row r="1230">
      <c r="A1230" s="11" t="n">
        <v>45509</v>
      </c>
      <c r="B1230" s="19" t="n">
        <v>1.489556902171793</v>
      </c>
      <c r="C1230" s="19" t="n">
        <v>1.224053922298384</v>
      </c>
      <c r="D1230" s="19" t="n">
        <v>1.038657155816564</v>
      </c>
      <c r="E1230" s="19" t="n">
        <v>1.004637754475761</v>
      </c>
      <c r="F1230" s="20">
        <f>B1230/B1229-1</f>
        <v/>
      </c>
      <c r="G1230" s="20">
        <f>B1230/MAX(B$2:B1230)-1</f>
        <v/>
      </c>
      <c r="H1230" s="20">
        <f>C1230/C1229-1</f>
        <v/>
      </c>
      <c r="I1230" s="20">
        <f>C1230/MAX(C$2:C1230)-1</f>
        <v/>
      </c>
      <c r="J1230" s="20">
        <f>D1230/D1229-1</f>
        <v/>
      </c>
      <c r="K1230" s="20">
        <f>D1230/MAX(D$2:D1230)-1</f>
        <v/>
      </c>
      <c r="L1230" s="20">
        <f>E1230/E1229-1</f>
        <v/>
      </c>
      <c r="M1230" s="20">
        <f>E1230/MAX(E$2:E1230)-1</f>
        <v/>
      </c>
    </row>
    <row r="1231">
      <c r="A1231" s="11" t="n">
        <v>45510</v>
      </c>
      <c r="B1231" s="19" t="n">
        <v>1.499860713432887</v>
      </c>
      <c r="C1231" s="19" t="n">
        <v>1.235157478998832</v>
      </c>
      <c r="D1231" s="19" t="n">
        <v>1.051624793202469</v>
      </c>
      <c r="E1231" s="19" t="n">
        <v>1.012182846855157</v>
      </c>
      <c r="F1231" s="20">
        <f>B1231/B1230-1</f>
        <v/>
      </c>
      <c r="G1231" s="20">
        <f>B1231/MAX(B$2:B1231)-1</f>
        <v/>
      </c>
      <c r="H1231" s="20">
        <f>C1231/C1230-1</f>
        <v/>
      </c>
      <c r="I1231" s="20">
        <f>C1231/MAX(C$2:C1231)-1</f>
        <v/>
      </c>
      <c r="J1231" s="20">
        <f>D1231/D1230-1</f>
        <v/>
      </c>
      <c r="K1231" s="20">
        <f>D1231/MAX(D$2:D1231)-1</f>
        <v/>
      </c>
      <c r="L1231" s="20">
        <f>E1231/E1230-1</f>
        <v/>
      </c>
      <c r="M1231" s="20">
        <f>E1231/MAX(E$2:E1231)-1</f>
        <v/>
      </c>
    </row>
    <row r="1232">
      <c r="A1232" s="11" t="n">
        <v>45511</v>
      </c>
      <c r="B1232" s="19" t="n">
        <v>1.496233784999028</v>
      </c>
      <c r="C1232" s="19" t="n">
        <v>1.227142294713567</v>
      </c>
      <c r="D1232" s="19" t="n">
        <v>1.047085829319733</v>
      </c>
      <c r="E1232" s="19" t="n">
        <v>1.012022898633745</v>
      </c>
      <c r="F1232" s="20">
        <f>B1232/B1231-1</f>
        <v/>
      </c>
      <c r="G1232" s="20">
        <f>B1232/MAX(B$2:B1232)-1</f>
        <v/>
      </c>
      <c r="H1232" s="20">
        <f>C1232/C1231-1</f>
        <v/>
      </c>
      <c r="I1232" s="20">
        <f>C1232/MAX(C$2:C1232)-1</f>
        <v/>
      </c>
      <c r="J1232" s="20">
        <f>D1232/D1231-1</f>
        <v/>
      </c>
      <c r="K1232" s="20">
        <f>D1232/MAX(D$2:D1232)-1</f>
        <v/>
      </c>
      <c r="L1232" s="20">
        <f>E1232/E1231-1</f>
        <v/>
      </c>
      <c r="M1232" s="20">
        <f>E1232/MAX(E$2:E1232)-1</f>
        <v/>
      </c>
    </row>
    <row r="1233">
      <c r="A1233" s="11" t="n">
        <v>45512</v>
      </c>
      <c r="B1233" s="19" t="n">
        <v>1.495454315823313</v>
      </c>
      <c r="C1233" s="19" t="n">
        <v>1.230897047919628</v>
      </c>
      <c r="D1233" s="19" t="n">
        <v>1.041384256356368</v>
      </c>
      <c r="E1233" s="19" t="n">
        <v>1.011398356625018</v>
      </c>
      <c r="F1233" s="20">
        <f>B1233/B1232-1</f>
        <v/>
      </c>
      <c r="G1233" s="20">
        <f>B1233/MAX(B$2:B1233)-1</f>
        <v/>
      </c>
      <c r="H1233" s="20">
        <f>C1233/C1232-1</f>
        <v/>
      </c>
      <c r="I1233" s="20">
        <f>C1233/MAX(C$2:C1233)-1</f>
        <v/>
      </c>
      <c r="J1233" s="20">
        <f>D1233/D1232-1</f>
        <v/>
      </c>
      <c r="K1233" s="20">
        <f>D1233/MAX(D$2:D1233)-1</f>
        <v/>
      </c>
      <c r="L1233" s="20">
        <f>E1233/E1232-1</f>
        <v/>
      </c>
      <c r="M1233" s="20">
        <f>E1233/MAX(E$2:E1233)-1</f>
        <v/>
      </c>
    </row>
    <row r="1234">
      <c r="A1234" s="11" t="n">
        <v>45513</v>
      </c>
      <c r="B1234" s="19" t="n">
        <v>1.491883275592366</v>
      </c>
      <c r="C1234" s="19" t="n">
        <v>1.224946229938891</v>
      </c>
      <c r="D1234" s="19" t="n">
        <v>1.031130989034537</v>
      </c>
      <c r="E1234" s="19" t="n">
        <v>1.006276665786332</v>
      </c>
      <c r="F1234" s="20">
        <f>B1234/B1233-1</f>
        <v/>
      </c>
      <c r="G1234" s="20">
        <f>B1234/MAX(B$2:B1234)-1</f>
        <v/>
      </c>
      <c r="H1234" s="20">
        <f>C1234/C1233-1</f>
        <v/>
      </c>
      <c r="I1234" s="20">
        <f>C1234/MAX(C$2:C1234)-1</f>
        <v/>
      </c>
      <c r="J1234" s="20">
        <f>D1234/D1233-1</f>
        <v/>
      </c>
      <c r="K1234" s="20">
        <f>D1234/MAX(D$2:D1234)-1</f>
        <v/>
      </c>
      <c r="L1234" s="20">
        <f>E1234/E1233-1</f>
        <v/>
      </c>
      <c r="M1234" s="20">
        <f>E1234/MAX(E$2:E1234)-1</f>
        <v/>
      </c>
    </row>
    <row r="1235">
      <c r="A1235" s="11" t="n">
        <v>45516</v>
      </c>
      <c r="B1235" s="19" t="n">
        <v>1.491913958649387</v>
      </c>
      <c r="C1235" s="19" t="n">
        <v>1.224997360499069</v>
      </c>
      <c r="D1235" s="19" t="n">
        <v>1.02903239918998</v>
      </c>
      <c r="E1235" s="19" t="n">
        <v>1.00260752798164</v>
      </c>
      <c r="F1235" s="20">
        <f>B1235/B1234-1</f>
        <v/>
      </c>
      <c r="G1235" s="20">
        <f>B1235/MAX(B$2:B1235)-1</f>
        <v/>
      </c>
      <c r="H1235" s="20">
        <f>C1235/C1234-1</f>
        <v/>
      </c>
      <c r="I1235" s="20">
        <f>C1235/MAX(C$2:C1235)-1</f>
        <v/>
      </c>
      <c r="J1235" s="20">
        <f>D1235/D1234-1</f>
        <v/>
      </c>
      <c r="K1235" s="20">
        <f>D1235/MAX(D$2:D1235)-1</f>
        <v/>
      </c>
      <c r="L1235" s="20">
        <f>E1235/E1234-1</f>
        <v/>
      </c>
      <c r="M1235" s="20">
        <f>E1235/MAX(E$2:E1235)-1</f>
        <v/>
      </c>
    </row>
    <row r="1236">
      <c r="A1236" s="11" t="n">
        <v>45517</v>
      </c>
      <c r="B1236" s="19" t="n">
        <v>1.493870140641284</v>
      </c>
      <c r="C1236" s="19" t="n">
        <v>1.22825716218657</v>
      </c>
      <c r="D1236" s="19" t="n">
        <v>1.038590660082921</v>
      </c>
      <c r="E1236" s="19" t="n">
        <v>1.006751674806667</v>
      </c>
      <c r="F1236" s="20">
        <f>B1236/B1235-1</f>
        <v/>
      </c>
      <c r="G1236" s="20">
        <f>B1236/MAX(B$2:B1236)-1</f>
        <v/>
      </c>
      <c r="H1236" s="20">
        <f>C1236/C1235-1</f>
        <v/>
      </c>
      <c r="I1236" s="20">
        <f>C1236/MAX(C$2:C1236)-1</f>
        <v/>
      </c>
      <c r="J1236" s="20">
        <f>D1236/D1235-1</f>
        <v/>
      </c>
      <c r="K1236" s="20">
        <f>D1236/MAX(D$2:D1236)-1</f>
        <v/>
      </c>
      <c r="L1236" s="20">
        <f>E1236/E1235-1</f>
        <v/>
      </c>
      <c r="M1236" s="20">
        <f>E1236/MAX(E$2:E1236)-1</f>
        <v/>
      </c>
    </row>
    <row r="1237">
      <c r="A1237" s="11" t="n">
        <v>45518</v>
      </c>
      <c r="B1237" s="19" t="n">
        <v>1.485803123322205</v>
      </c>
      <c r="C1237" s="19" t="n">
        <v>1.214814201982067</v>
      </c>
      <c r="D1237" s="19" t="n">
        <v>1.023819754040747</v>
      </c>
      <c r="E1237" s="19" t="n">
        <v>0.9986002670763325</v>
      </c>
      <c r="F1237" s="20">
        <f>B1237/B1236-1</f>
        <v/>
      </c>
      <c r="G1237" s="20">
        <f>B1237/MAX(B$2:B1237)-1</f>
        <v/>
      </c>
      <c r="H1237" s="20">
        <f>C1237/C1236-1</f>
        <v/>
      </c>
      <c r="I1237" s="20">
        <f>C1237/MAX(C$2:C1237)-1</f>
        <v/>
      </c>
      <c r="J1237" s="20">
        <f>D1237/D1236-1</f>
        <v/>
      </c>
      <c r="K1237" s="20">
        <f>D1237/MAX(D$2:D1237)-1</f>
        <v/>
      </c>
      <c r="L1237" s="20">
        <f>E1237/E1236-1</f>
        <v/>
      </c>
      <c r="M1237" s="20">
        <f>E1237/MAX(E$2:E1237)-1</f>
        <v/>
      </c>
    </row>
    <row r="1238">
      <c r="A1238" s="11" t="n">
        <v>45519</v>
      </c>
      <c r="B1238" s="19" t="n">
        <v>1.491067187096447</v>
      </c>
      <c r="C1238" s="19" t="n">
        <v>1.223586291718845</v>
      </c>
      <c r="D1238" s="19" t="n">
        <v>1.029236409910204</v>
      </c>
      <c r="E1238" s="19" t="n">
        <v>1.00780063756105</v>
      </c>
      <c r="F1238" s="20">
        <f>B1238/B1237-1</f>
        <v/>
      </c>
      <c r="G1238" s="20">
        <f>B1238/MAX(B$2:B1238)-1</f>
        <v/>
      </c>
      <c r="H1238" s="20">
        <f>C1238/C1237-1</f>
        <v/>
      </c>
      <c r="I1238" s="20">
        <f>C1238/MAX(C$2:C1238)-1</f>
        <v/>
      </c>
      <c r="J1238" s="20">
        <f>D1238/D1237-1</f>
        <v/>
      </c>
      <c r="K1238" s="20">
        <f>D1238/MAX(D$2:D1238)-1</f>
        <v/>
      </c>
      <c r="L1238" s="20">
        <f>E1238/E1237-1</f>
        <v/>
      </c>
      <c r="M1238" s="20">
        <f>E1238/MAX(E$2:E1238)-1</f>
        <v/>
      </c>
    </row>
    <row r="1239">
      <c r="A1239" s="11" t="n">
        <v>45520</v>
      </c>
      <c r="B1239" s="19" t="n">
        <v>1.491749517091673</v>
      </c>
      <c r="C1239" s="19" t="n">
        <v>1.224723333404682</v>
      </c>
      <c r="D1239" s="19" t="n">
        <v>1.028429220202787</v>
      </c>
      <c r="E1239" s="19" t="n">
        <v>1.006077660441085</v>
      </c>
      <c r="F1239" s="20">
        <f>B1239/B1238-1</f>
        <v/>
      </c>
      <c r="G1239" s="20">
        <f>B1239/MAX(B$2:B1239)-1</f>
        <v/>
      </c>
      <c r="H1239" s="20">
        <f>C1239/C1238-1</f>
        <v/>
      </c>
      <c r="I1239" s="20">
        <f>C1239/MAX(C$2:C1239)-1</f>
        <v/>
      </c>
      <c r="J1239" s="20">
        <f>D1239/D1238-1</f>
        <v/>
      </c>
      <c r="K1239" s="20">
        <f>D1239/MAX(D$2:D1239)-1</f>
        <v/>
      </c>
      <c r="L1239" s="20">
        <f>E1239/E1238-1</f>
        <v/>
      </c>
      <c r="M1239" s="20">
        <f>E1239/MAX(E$2:E1239)-1</f>
        <v/>
      </c>
    </row>
    <row r="1240">
      <c r="A1240" s="11" t="n">
        <v>45523</v>
      </c>
      <c r="B1240" s="19" t="n">
        <v>1.488941858618996</v>
      </c>
      <c r="C1240" s="19" t="n">
        <v>1.220044622597062</v>
      </c>
      <c r="D1240" s="19" t="n">
        <v>1.027024473596444</v>
      </c>
      <c r="E1240" s="19" t="n">
        <v>1.007442427939607</v>
      </c>
      <c r="F1240" s="20">
        <f>B1240/B1239-1</f>
        <v/>
      </c>
      <c r="G1240" s="20">
        <f>B1240/MAX(B$2:B1240)-1</f>
        <v/>
      </c>
      <c r="H1240" s="20">
        <f>C1240/C1239-1</f>
        <v/>
      </c>
      <c r="I1240" s="20">
        <f>C1240/MAX(C$2:C1240)-1</f>
        <v/>
      </c>
      <c r="J1240" s="20">
        <f>D1240/D1239-1</f>
        <v/>
      </c>
      <c r="K1240" s="20">
        <f>D1240/MAX(D$2:D1240)-1</f>
        <v/>
      </c>
      <c r="L1240" s="20">
        <f>E1240/E1239-1</f>
        <v/>
      </c>
      <c r="M1240" s="20">
        <f>E1240/MAX(E$2:E1240)-1</f>
        <v/>
      </c>
    </row>
    <row r="1241">
      <c r="A1241" s="11" t="n">
        <v>45524</v>
      </c>
      <c r="B1241" s="19" t="n">
        <v>1.481158868845626</v>
      </c>
      <c r="C1241" s="19" t="n">
        <v>1.207074968800979</v>
      </c>
      <c r="D1241" s="19" t="n">
        <v>1.013248160203926</v>
      </c>
      <c r="E1241" s="19" t="n">
        <v>0.9953544340994729</v>
      </c>
      <c r="F1241" s="20">
        <f>B1241/B1240-1</f>
        <v/>
      </c>
      <c r="G1241" s="20">
        <f>B1241/MAX(B$2:B1241)-1</f>
        <v/>
      </c>
      <c r="H1241" s="20">
        <f>C1241/C1240-1</f>
        <v/>
      </c>
      <c r="I1241" s="20">
        <f>C1241/MAX(C$2:C1241)-1</f>
        <v/>
      </c>
      <c r="J1241" s="20">
        <f>D1241/D1240-1</f>
        <v/>
      </c>
      <c r="K1241" s="20">
        <f>D1241/MAX(D$2:D1241)-1</f>
        <v/>
      </c>
      <c r="L1241" s="20">
        <f>E1241/E1240-1</f>
        <v/>
      </c>
      <c r="M1241" s="20">
        <f>E1241/MAX(E$2:E1241)-1</f>
        <v/>
      </c>
    </row>
    <row r="1242">
      <c r="A1242" s="11" t="n">
        <v>45525</v>
      </c>
      <c r="B1242" s="19" t="n">
        <v>1.481575875548153</v>
      </c>
      <c r="C1242" s="19" t="n">
        <v>1.207769873036999</v>
      </c>
      <c r="D1242" s="19" t="n">
        <v>1.007136756392395</v>
      </c>
      <c r="E1242" s="19" t="n">
        <v>0.9918913691195781</v>
      </c>
      <c r="F1242" s="20">
        <f>B1242/B1241-1</f>
        <v/>
      </c>
      <c r="G1242" s="20">
        <f>B1242/MAX(B$2:B1242)-1</f>
        <v/>
      </c>
      <c r="H1242" s="20">
        <f>C1242/C1241-1</f>
        <v/>
      </c>
      <c r="I1242" s="20">
        <f>C1242/MAX(C$2:C1242)-1</f>
        <v/>
      </c>
      <c r="J1242" s="20">
        <f>D1242/D1241-1</f>
        <v/>
      </c>
      <c r="K1242" s="20">
        <f>D1242/MAX(D$2:D1242)-1</f>
        <v/>
      </c>
      <c r="L1242" s="20">
        <f>E1242/E1241-1</f>
        <v/>
      </c>
      <c r="M1242" s="20">
        <f>E1242/MAX(E$2:E1242)-1</f>
        <v/>
      </c>
    </row>
    <row r="1243">
      <c r="A1243" s="11" t="n">
        <v>45526</v>
      </c>
      <c r="B1243" s="19" t="n">
        <v>1.476237831834921</v>
      </c>
      <c r="C1243" s="19" t="n">
        <v>1.198874502372905</v>
      </c>
      <c r="D1243" s="19" t="n">
        <v>0.999459568687605</v>
      </c>
      <c r="E1243" s="19" t="n">
        <v>0.9840278681877868</v>
      </c>
      <c r="F1243" s="20">
        <f>B1243/B1242-1</f>
        <v/>
      </c>
      <c r="G1243" s="20">
        <f>B1243/MAX(B$2:B1243)-1</f>
        <v/>
      </c>
      <c r="H1243" s="20">
        <f>C1243/C1242-1</f>
        <v/>
      </c>
      <c r="I1243" s="20">
        <f>C1243/MAX(C$2:C1243)-1</f>
        <v/>
      </c>
      <c r="J1243" s="20">
        <f>D1243/D1242-1</f>
        <v/>
      </c>
      <c r="K1243" s="20">
        <f>D1243/MAX(D$2:D1243)-1</f>
        <v/>
      </c>
      <c r="L1243" s="20">
        <f>E1243/E1242-1</f>
        <v/>
      </c>
      <c r="M1243" s="20">
        <f>E1243/MAX(E$2:E1243)-1</f>
        <v/>
      </c>
    </row>
    <row r="1244">
      <c r="A1244" s="11" t="n">
        <v>45527</v>
      </c>
      <c r="B1244" s="19" t="n">
        <v>1.475113382945626</v>
      </c>
      <c r="C1244" s="19" t="n">
        <v>1.197000709238109</v>
      </c>
      <c r="D1244" s="19" t="n">
        <v>0.9996350812362675</v>
      </c>
      <c r="E1244" s="19" t="n">
        <v>0.9857843228424659</v>
      </c>
      <c r="F1244" s="20">
        <f>B1244/B1243-1</f>
        <v/>
      </c>
      <c r="G1244" s="20">
        <f>B1244/MAX(B$2:B1244)-1</f>
        <v/>
      </c>
      <c r="H1244" s="20">
        <f>C1244/C1243-1</f>
        <v/>
      </c>
      <c r="I1244" s="20">
        <f>C1244/MAX(C$2:C1244)-1</f>
        <v/>
      </c>
      <c r="J1244" s="20">
        <f>D1244/D1243-1</f>
        <v/>
      </c>
      <c r="K1244" s="20">
        <f>D1244/MAX(D$2:D1244)-1</f>
        <v/>
      </c>
      <c r="L1244" s="20">
        <f>E1244/E1243-1</f>
        <v/>
      </c>
      <c r="M1244" s="20">
        <f>E1244/MAX(E$2:E1244)-1</f>
        <v/>
      </c>
    </row>
    <row r="1245">
      <c r="A1245" s="11" t="n">
        <v>45530</v>
      </c>
      <c r="B1245" s="19" t="n">
        <v>1.471496448019794</v>
      </c>
      <c r="C1245" s="19" t="n">
        <v>1.190973411868206</v>
      </c>
      <c r="D1245" s="19" t="n">
        <v>0.9986052697578115</v>
      </c>
      <c r="E1245" s="19" t="n">
        <v>0.9883475860837608</v>
      </c>
      <c r="F1245" s="20">
        <f>B1245/B1244-1</f>
        <v/>
      </c>
      <c r="G1245" s="20">
        <f>B1245/MAX(B$2:B1245)-1</f>
        <v/>
      </c>
      <c r="H1245" s="20">
        <f>C1245/C1244-1</f>
        <v/>
      </c>
      <c r="I1245" s="20">
        <f>C1245/MAX(C$2:C1245)-1</f>
        <v/>
      </c>
      <c r="J1245" s="20">
        <f>D1245/D1244-1</f>
        <v/>
      </c>
      <c r="K1245" s="20">
        <f>D1245/MAX(D$2:D1245)-1</f>
        <v/>
      </c>
      <c r="L1245" s="20">
        <f>E1245/E1244-1</f>
        <v/>
      </c>
      <c r="M1245" s="20">
        <f>E1245/MAX(E$2:E1245)-1</f>
        <v/>
      </c>
    </row>
    <row r="1246">
      <c r="A1246" s="11" t="n">
        <v>45531</v>
      </c>
      <c r="B1246" s="19" t="n">
        <v>1.462121922594461</v>
      </c>
      <c r="C1246" s="19" t="n">
        <v>1.175351606776651</v>
      </c>
      <c r="D1246" s="19" t="n">
        <v>0.989192989294704</v>
      </c>
      <c r="E1246" s="19" t="n">
        <v>0.9791319647221178</v>
      </c>
      <c r="F1246" s="20">
        <f>B1246/B1245-1</f>
        <v/>
      </c>
      <c r="G1246" s="20">
        <f>B1246/MAX(B$2:B1246)-1</f>
        <v/>
      </c>
      <c r="H1246" s="20">
        <f>C1246/C1245-1</f>
        <v/>
      </c>
      <c r="I1246" s="20">
        <f>C1246/MAX(C$2:C1246)-1</f>
        <v/>
      </c>
      <c r="J1246" s="20">
        <f>D1246/D1245-1</f>
        <v/>
      </c>
      <c r="K1246" s="20">
        <f>D1246/MAX(D$2:D1246)-1</f>
        <v/>
      </c>
      <c r="L1246" s="20">
        <f>E1246/E1245-1</f>
        <v/>
      </c>
      <c r="M1246" s="20">
        <f>E1246/MAX(E$2:E1246)-1</f>
        <v/>
      </c>
    </row>
    <row r="1247">
      <c r="A1247" s="11" t="n">
        <v>45532</v>
      </c>
      <c r="B1247" s="19" t="n">
        <v>1.463139543643646</v>
      </c>
      <c r="C1247" s="19" t="n">
        <v>1.177047380905598</v>
      </c>
      <c r="D1247" s="19" t="n">
        <v>0.9896492185264998</v>
      </c>
      <c r="E1247" s="19" t="n">
        <v>0.977741159141041</v>
      </c>
      <c r="F1247" s="20">
        <f>B1247/B1246-1</f>
        <v/>
      </c>
      <c r="G1247" s="20">
        <f>B1247/MAX(B$2:B1247)-1</f>
        <v/>
      </c>
      <c r="H1247" s="20">
        <f>C1247/C1246-1</f>
        <v/>
      </c>
      <c r="I1247" s="20">
        <f>C1247/MAX(C$2:C1247)-1</f>
        <v/>
      </c>
      <c r="J1247" s="20">
        <f>D1247/D1246-1</f>
        <v/>
      </c>
      <c r="K1247" s="20">
        <f>D1247/MAX(D$2:D1247)-1</f>
        <v/>
      </c>
      <c r="L1247" s="20">
        <f>E1247/E1246-1</f>
        <v/>
      </c>
      <c r="M1247" s="20">
        <f>E1247/MAX(E$2:E1247)-1</f>
        <v/>
      </c>
    </row>
    <row r="1248">
      <c r="A1248" s="11" t="n">
        <v>45533</v>
      </c>
      <c r="B1248" s="19" t="n">
        <v>1.473348775224144</v>
      </c>
      <c r="C1248" s="19" t="n">
        <v>1.194060148875068</v>
      </c>
      <c r="D1248" s="19" t="n">
        <v>0.9960786257444986</v>
      </c>
      <c r="E1248" s="19" t="n">
        <v>0.9830503241741279</v>
      </c>
      <c r="F1248" s="20">
        <f>B1248/B1247-1</f>
        <v/>
      </c>
      <c r="G1248" s="20">
        <f>B1248/MAX(B$2:B1248)-1</f>
        <v/>
      </c>
      <c r="H1248" s="20">
        <f>C1248/C1247-1</f>
        <v/>
      </c>
      <c r="I1248" s="20">
        <f>C1248/MAX(C$2:C1248)-1</f>
        <v/>
      </c>
      <c r="J1248" s="20">
        <f>D1248/D1247-1</f>
        <v/>
      </c>
      <c r="K1248" s="20">
        <f>D1248/MAX(D$2:D1248)-1</f>
        <v/>
      </c>
      <c r="L1248" s="20">
        <f>E1248/E1247-1</f>
        <v/>
      </c>
      <c r="M1248" s="20">
        <f>E1248/MAX(E$2:E1248)-1</f>
        <v/>
      </c>
    </row>
    <row r="1249">
      <c r="A1249" s="11" t="n">
        <v>45534</v>
      </c>
      <c r="B1249" s="19" t="n">
        <v>1.493970557850628</v>
      </c>
      <c r="C1249" s="19" t="n">
        <v>1.228703051455477</v>
      </c>
      <c r="D1249" s="19" t="n">
        <v>1.021319863412981</v>
      </c>
      <c r="E1249" s="19" t="n">
        <v>0.9988974731900743</v>
      </c>
      <c r="F1249" s="20">
        <f>B1249/B1248-1</f>
        <v/>
      </c>
      <c r="G1249" s="20">
        <f>B1249/MAX(B$2:B1249)-1</f>
        <v/>
      </c>
      <c r="H1249" s="20">
        <f>C1249/C1248-1</f>
        <v/>
      </c>
      <c r="I1249" s="20">
        <f>C1249/MAX(C$2:C1249)-1</f>
        <v/>
      </c>
      <c r="J1249" s="20">
        <f>D1249/D1248-1</f>
        <v/>
      </c>
      <c r="K1249" s="20">
        <f>D1249/MAX(D$2:D1249)-1</f>
        <v/>
      </c>
      <c r="L1249" s="20">
        <f>E1249/E1248-1</f>
        <v/>
      </c>
      <c r="M1249" s="20">
        <f>E1249/MAX(E$2:E1249)-1</f>
        <v/>
      </c>
    </row>
    <row r="1250">
      <c r="A1250" s="11" t="n">
        <v>45537</v>
      </c>
      <c r="B1250" s="19" t="n">
        <v>1.474306930934285</v>
      </c>
      <c r="C1250" s="19" t="n">
        <v>1.200976723570058</v>
      </c>
      <c r="D1250" s="19" t="n">
        <v>0.9932032183935084</v>
      </c>
      <c r="E1250" s="19" t="n">
        <v>0.981191205079658</v>
      </c>
      <c r="F1250" s="20">
        <f>B1250/B1249-1</f>
        <v/>
      </c>
      <c r="G1250" s="20">
        <f>B1250/MAX(B$2:B1250)-1</f>
        <v/>
      </c>
      <c r="H1250" s="20">
        <f>C1250/C1249-1</f>
        <v/>
      </c>
      <c r="I1250" s="20">
        <f>C1250/MAX(C$2:C1250)-1</f>
        <v/>
      </c>
      <c r="J1250" s="20">
        <f>D1250/D1249-1</f>
        <v/>
      </c>
      <c r="K1250" s="20">
        <f>D1250/MAX(D$2:D1250)-1</f>
        <v/>
      </c>
      <c r="L1250" s="20">
        <f>E1250/E1249-1</f>
        <v/>
      </c>
      <c r="M1250" s="20">
        <f>E1250/MAX(E$2:E1250)-1</f>
        <v/>
      </c>
    </row>
    <row r="1251">
      <c r="A1251" s="11" t="n">
        <v>45538</v>
      </c>
      <c r="B1251" s="19" t="n">
        <v>1.482593380074634</v>
      </c>
      <c r="C1251" s="19" t="n">
        <v>1.213831946883862</v>
      </c>
      <c r="D1251" s="19" t="n">
        <v>1.005720959474631</v>
      </c>
      <c r="E1251" s="19" t="n">
        <v>0.9873800853305164</v>
      </c>
      <c r="F1251" s="20">
        <f>B1251/B1250-1</f>
        <v/>
      </c>
      <c r="G1251" s="20">
        <f>B1251/MAX(B$2:B1251)-1</f>
        <v/>
      </c>
      <c r="H1251" s="20">
        <f>C1251/C1250-1</f>
        <v/>
      </c>
      <c r="I1251" s="20">
        <f>C1251/MAX(C$2:C1251)-1</f>
        <v/>
      </c>
      <c r="J1251" s="20">
        <f>D1251/D1250-1</f>
        <v/>
      </c>
      <c r="K1251" s="20">
        <f>D1251/MAX(D$2:D1251)-1</f>
        <v/>
      </c>
      <c r="L1251" s="20">
        <f>E1251/E1250-1</f>
        <v/>
      </c>
      <c r="M1251" s="20">
        <f>E1251/MAX(E$2:E1251)-1</f>
        <v/>
      </c>
    </row>
    <row r="1252">
      <c r="A1252" s="11" t="n">
        <v>45539</v>
      </c>
      <c r="B1252" s="19" t="n">
        <v>1.477714295245905</v>
      </c>
      <c r="C1252" s="19" t="n">
        <v>1.206000697934551</v>
      </c>
      <c r="D1252" s="19" t="n">
        <v>1.004634539383278</v>
      </c>
      <c r="E1252" s="19" t="n">
        <v>0.9815851240714635</v>
      </c>
      <c r="F1252" s="20">
        <f>B1252/B1251-1</f>
        <v/>
      </c>
      <c r="G1252" s="20">
        <f>B1252/MAX(B$2:B1252)-1</f>
        <v/>
      </c>
      <c r="H1252" s="20">
        <f>C1252/C1251-1</f>
        <v/>
      </c>
      <c r="I1252" s="20">
        <f>C1252/MAX(C$2:C1252)-1</f>
        <v/>
      </c>
      <c r="J1252" s="20">
        <f>D1252/D1251-1</f>
        <v/>
      </c>
      <c r="K1252" s="20">
        <f>D1252/MAX(D$2:D1252)-1</f>
        <v/>
      </c>
      <c r="L1252" s="20">
        <f>E1252/E1251-1</f>
        <v/>
      </c>
      <c r="M1252" s="20">
        <f>E1252/MAX(E$2:E1252)-1</f>
        <v/>
      </c>
    </row>
    <row r="1253">
      <c r="A1253" s="11" t="n">
        <v>45540</v>
      </c>
      <c r="B1253" s="19" t="n">
        <v>1.480344324642235</v>
      </c>
      <c r="C1253" s="19" t="n">
        <v>1.207304887970922</v>
      </c>
      <c r="D1253" s="19" t="n">
        <v>1.01115066892834</v>
      </c>
      <c r="E1253" s="19" t="n">
        <v>0.9859851880507521</v>
      </c>
      <c r="F1253" s="20">
        <f>B1253/B1252-1</f>
        <v/>
      </c>
      <c r="G1253" s="20">
        <f>B1253/MAX(B$2:B1253)-1</f>
        <v/>
      </c>
      <c r="H1253" s="20">
        <f>C1253/C1252-1</f>
        <v/>
      </c>
      <c r="I1253" s="20">
        <f>C1253/MAX(C$2:C1253)-1</f>
        <v/>
      </c>
      <c r="J1253" s="20">
        <f>D1253/D1252-1</f>
        <v/>
      </c>
      <c r="K1253" s="20">
        <f>D1253/MAX(D$2:D1253)-1</f>
        <v/>
      </c>
      <c r="L1253" s="20">
        <f>E1253/E1252-1</f>
        <v/>
      </c>
      <c r="M1253" s="20">
        <f>E1253/MAX(E$2:E1253)-1</f>
        <v/>
      </c>
    </row>
    <row r="1254">
      <c r="A1254" s="11" t="n">
        <v>45541</v>
      </c>
      <c r="B1254" s="19" t="n">
        <v>1.467522703526735</v>
      </c>
      <c r="C1254" s="19" t="n">
        <v>1.185938807349621</v>
      </c>
      <c r="D1254" s="19" t="n">
        <v>0.9939283385365653</v>
      </c>
      <c r="E1254" s="19" t="n">
        <v>0.9739972548421535</v>
      </c>
      <c r="F1254" s="20">
        <f>B1254/B1253-1</f>
        <v/>
      </c>
      <c r="G1254" s="20">
        <f>B1254/MAX(B$2:B1254)-1</f>
        <v/>
      </c>
      <c r="H1254" s="20">
        <f>C1254/C1253-1</f>
        <v/>
      </c>
      <c r="I1254" s="20">
        <f>C1254/MAX(C$2:C1254)-1</f>
        <v/>
      </c>
      <c r="J1254" s="20">
        <f>D1254/D1253-1</f>
        <v/>
      </c>
      <c r="K1254" s="20">
        <f>D1254/MAX(D$2:D1254)-1</f>
        <v/>
      </c>
      <c r="L1254" s="20">
        <f>E1254/E1253-1</f>
        <v/>
      </c>
      <c r="M1254" s="20">
        <f>E1254/MAX(E$2:E1254)-1</f>
        <v/>
      </c>
    </row>
    <row r="1255">
      <c r="A1255" s="11" t="n">
        <v>45544</v>
      </c>
      <c r="B1255" s="19" t="n">
        <v>1.462539135543106</v>
      </c>
      <c r="C1255" s="19" t="n">
        <v>1.178587695043486</v>
      </c>
      <c r="D1255" s="19" t="n">
        <v>0.9945526488210384</v>
      </c>
      <c r="E1255" s="19" t="n">
        <v>0.9654749904217054</v>
      </c>
      <c r="F1255" s="20">
        <f>B1255/B1254-1</f>
        <v/>
      </c>
      <c r="G1255" s="20">
        <f>B1255/MAX(B$2:B1255)-1</f>
        <v/>
      </c>
      <c r="H1255" s="20">
        <f>C1255/C1254-1</f>
        <v/>
      </c>
      <c r="I1255" s="20">
        <f>C1255/MAX(C$2:C1255)-1</f>
        <v/>
      </c>
      <c r="J1255" s="20">
        <f>D1255/D1254-1</f>
        <v/>
      </c>
      <c r="K1255" s="20">
        <f>D1255/MAX(D$2:D1255)-1</f>
        <v/>
      </c>
      <c r="L1255" s="20">
        <f>E1255/E1254-1</f>
        <v/>
      </c>
      <c r="M1255" s="20">
        <f>E1255/MAX(E$2:E1255)-1</f>
        <v/>
      </c>
    </row>
    <row r="1256">
      <c r="A1256" s="11" t="n">
        <v>45545</v>
      </c>
      <c r="B1256" s="19" t="n">
        <v>1.464319937794171</v>
      </c>
      <c r="C1256" s="19" t="n">
        <v>1.186849777885095</v>
      </c>
      <c r="D1256" s="19" t="n">
        <v>0.9951614498964987</v>
      </c>
      <c r="E1256" s="19" t="n">
        <v>0.9674802947510946</v>
      </c>
      <c r="F1256" s="20">
        <f>B1256/B1255-1</f>
        <v/>
      </c>
      <c r="G1256" s="20">
        <f>B1256/MAX(B$2:B1256)-1</f>
        <v/>
      </c>
      <c r="H1256" s="20">
        <f>C1256/C1255-1</f>
        <v/>
      </c>
      <c r="I1256" s="20">
        <f>C1256/MAX(C$2:C1256)-1</f>
        <v/>
      </c>
      <c r="J1256" s="20">
        <f>D1256/D1255-1</f>
        <v/>
      </c>
      <c r="K1256" s="20">
        <f>D1256/MAX(D$2:D1256)-1</f>
        <v/>
      </c>
      <c r="L1256" s="20">
        <f>E1256/E1255-1</f>
        <v/>
      </c>
      <c r="M1256" s="20">
        <f>E1256/MAX(E$2:E1256)-1</f>
        <v/>
      </c>
    </row>
    <row r="1257">
      <c r="A1257" s="11" t="n">
        <v>45546</v>
      </c>
      <c r="B1257" s="19" t="n">
        <v>1.471860795990068</v>
      </c>
      <c r="C1257" s="19" t="n">
        <v>1.187992302998834</v>
      </c>
      <c r="D1257" s="19" t="n">
        <v>1.007017787834926</v>
      </c>
      <c r="E1257" s="19" t="n">
        <v>0.9652183293222287</v>
      </c>
      <c r="F1257" s="20">
        <f>B1257/B1256-1</f>
        <v/>
      </c>
      <c r="G1257" s="20">
        <f>B1257/MAX(B$2:B1257)-1</f>
        <v/>
      </c>
      <c r="H1257" s="20">
        <f>C1257/C1256-1</f>
        <v/>
      </c>
      <c r="I1257" s="20">
        <f>C1257/MAX(C$2:C1257)-1</f>
        <v/>
      </c>
      <c r="J1257" s="20">
        <f>D1257/D1256-1</f>
        <v/>
      </c>
      <c r="K1257" s="20">
        <f>D1257/MAX(D$2:D1257)-1</f>
        <v/>
      </c>
      <c r="L1257" s="20">
        <f>E1257/E1256-1</f>
        <v/>
      </c>
      <c r="M1257" s="20">
        <f>E1257/MAX(E$2:E1257)-1</f>
        <v/>
      </c>
    </row>
    <row r="1258">
      <c r="A1258" s="11" t="n">
        <v>45547</v>
      </c>
      <c r="B1258" s="19" t="n">
        <v>1.464171978787077</v>
      </c>
      <c r="C1258" s="19" t="n">
        <v>1.176504617743747</v>
      </c>
      <c r="D1258" s="19" t="n">
        <v>1.002808459265418</v>
      </c>
      <c r="E1258" s="19" t="n">
        <v>0.9617917176579117</v>
      </c>
      <c r="F1258" s="20">
        <f>B1258/B1257-1</f>
        <v/>
      </c>
      <c r="G1258" s="20">
        <f>B1258/MAX(B$2:B1258)-1</f>
        <v/>
      </c>
      <c r="H1258" s="20">
        <f>C1258/C1257-1</f>
        <v/>
      </c>
      <c r="I1258" s="20">
        <f>C1258/MAX(C$2:C1258)-1</f>
        <v/>
      </c>
      <c r="J1258" s="20">
        <f>D1258/D1257-1</f>
        <v/>
      </c>
      <c r="K1258" s="20">
        <f>D1258/MAX(D$2:D1258)-1</f>
        <v/>
      </c>
      <c r="L1258" s="20">
        <f>E1258/E1257-1</f>
        <v/>
      </c>
      <c r="M1258" s="20">
        <f>E1258/MAX(E$2:E1258)-1</f>
        <v/>
      </c>
    </row>
    <row r="1259">
      <c r="A1259" s="11" t="n">
        <v>45548</v>
      </c>
      <c r="B1259" s="19" t="n">
        <v>1.466722353517453</v>
      </c>
      <c r="C1259" s="19" t="n">
        <v>1.170638744795253</v>
      </c>
      <c r="D1259" s="19" t="n">
        <v>0.9920519827328222</v>
      </c>
      <c r="E1259" s="19" t="n">
        <v>0.954291261991467</v>
      </c>
      <c r="F1259" s="20">
        <f>B1259/B1258-1</f>
        <v/>
      </c>
      <c r="G1259" s="20">
        <f>B1259/MAX(B$2:B1259)-1</f>
        <v/>
      </c>
      <c r="H1259" s="20">
        <f>C1259/C1258-1</f>
        <v/>
      </c>
      <c r="I1259" s="20">
        <f>C1259/MAX(C$2:C1259)-1</f>
        <v/>
      </c>
      <c r="J1259" s="20">
        <f>D1259/D1258-1</f>
        <v/>
      </c>
      <c r="K1259" s="20">
        <f>D1259/MAX(D$2:D1259)-1</f>
        <v/>
      </c>
      <c r="L1259" s="20">
        <f>E1259/E1258-1</f>
        <v/>
      </c>
      <c r="M1259" s="20">
        <f>E1259/MAX(E$2:E1259)-1</f>
        <v/>
      </c>
    </row>
    <row r="1260">
      <c r="A1260" s="11" t="n">
        <v>45553</v>
      </c>
      <c r="B1260" s="19" t="n">
        <v>1.466826089940634</v>
      </c>
      <c r="C1260" s="19" t="n">
        <v>1.163242851161248</v>
      </c>
      <c r="D1260" s="19" t="n">
        <v>0.990956127872653</v>
      </c>
      <c r="E1260" s="19" t="n">
        <v>0.9549399822197093</v>
      </c>
      <c r="F1260" s="20">
        <f>B1260/B1259-1</f>
        <v/>
      </c>
      <c r="G1260" s="20">
        <f>B1260/MAX(B$2:B1260)-1</f>
        <v/>
      </c>
      <c r="H1260" s="20">
        <f>C1260/C1259-1</f>
        <v/>
      </c>
      <c r="I1260" s="20">
        <f>C1260/MAX(C$2:C1260)-1</f>
        <v/>
      </c>
      <c r="J1260" s="20">
        <f>D1260/D1259-1</f>
        <v/>
      </c>
      <c r="K1260" s="20">
        <f>D1260/MAX(D$2:D1260)-1</f>
        <v/>
      </c>
      <c r="L1260" s="20">
        <f>E1260/E1259-1</f>
        <v/>
      </c>
      <c r="M1260" s="20">
        <f>E1260/MAX(E$2:E1260)-1</f>
        <v/>
      </c>
    </row>
    <row r="1261">
      <c r="A1261" s="11" t="n">
        <v>45554</v>
      </c>
      <c r="B1261" s="19" t="n">
        <v>1.469183944132259</v>
      </c>
      <c r="C1261" s="19" t="n">
        <v>1.170819409314564</v>
      </c>
      <c r="D1261" s="19" t="n">
        <v>0.9993577248817537</v>
      </c>
      <c r="E1261" s="19" t="n">
        <v>0.9673545680096118</v>
      </c>
      <c r="F1261" s="20">
        <f>B1261/B1260-1</f>
        <v/>
      </c>
      <c r="G1261" s="20">
        <f>B1261/MAX(B$2:B1261)-1</f>
        <v/>
      </c>
      <c r="H1261" s="20">
        <f>C1261/C1260-1</f>
        <v/>
      </c>
      <c r="I1261" s="20">
        <f>C1261/MAX(C$2:C1261)-1</f>
        <v/>
      </c>
      <c r="J1261" s="20">
        <f>D1261/D1260-1</f>
        <v/>
      </c>
      <c r="K1261" s="20">
        <f>D1261/MAX(D$2:D1261)-1</f>
        <v/>
      </c>
      <c r="L1261" s="20">
        <f>E1261/E1260-1</f>
        <v/>
      </c>
      <c r="M1261" s="20">
        <f>E1261/MAX(E$2:E1261)-1</f>
        <v/>
      </c>
    </row>
    <row r="1262">
      <c r="A1262" s="11" t="n">
        <v>45555</v>
      </c>
      <c r="B1262" s="19" t="n">
        <v>1.476267509605327</v>
      </c>
      <c r="C1262" s="19" t="n">
        <v>1.167485388949402</v>
      </c>
      <c r="D1262" s="19" t="n">
        <v>0.9929765254551032</v>
      </c>
      <c r="E1262" s="19" t="n">
        <v>0.9665098182169864</v>
      </c>
      <c r="F1262" s="20">
        <f>B1262/B1261-1</f>
        <v/>
      </c>
      <c r="G1262" s="20">
        <f>B1262/MAX(B$2:B1262)-1</f>
        <v/>
      </c>
      <c r="H1262" s="20">
        <f>C1262/C1261-1</f>
        <v/>
      </c>
      <c r="I1262" s="20">
        <f>C1262/MAX(C$2:C1262)-1</f>
        <v/>
      </c>
      <c r="J1262" s="20">
        <f>D1262/D1261-1</f>
        <v/>
      </c>
      <c r="K1262" s="20">
        <f>D1262/MAX(D$2:D1262)-1</f>
        <v/>
      </c>
      <c r="L1262" s="20">
        <f>E1262/E1261-1</f>
        <v/>
      </c>
      <c r="M1262" s="20">
        <f>E1262/MAX(E$2:E1262)-1</f>
        <v/>
      </c>
    </row>
    <row r="1263">
      <c r="A1263" s="11" t="n">
        <v>45558</v>
      </c>
      <c r="B1263" s="19" t="n">
        <v>1.465555127227893</v>
      </c>
      <c r="C1263" s="19" t="n">
        <v>1.160825910062643</v>
      </c>
      <c r="D1263" s="19" t="n">
        <v>0.9890391896386594</v>
      </c>
      <c r="E1263" s="19" t="n">
        <v>0.9687141278916221</v>
      </c>
      <c r="F1263" s="20">
        <f>B1263/B1262-1</f>
        <v/>
      </c>
      <c r="G1263" s="20">
        <f>B1263/MAX(B$2:B1263)-1</f>
        <v/>
      </c>
      <c r="H1263" s="20">
        <f>C1263/C1262-1</f>
        <v/>
      </c>
      <c r="I1263" s="20">
        <f>C1263/MAX(C$2:C1263)-1</f>
        <v/>
      </c>
      <c r="J1263" s="20">
        <f>D1263/D1262-1</f>
        <v/>
      </c>
      <c r="K1263" s="20">
        <f>D1263/MAX(D$2:D1263)-1</f>
        <v/>
      </c>
      <c r="L1263" s="20">
        <f>E1263/E1262-1</f>
        <v/>
      </c>
      <c r="M1263" s="20">
        <f>E1263/MAX(E$2:E1263)-1</f>
        <v/>
      </c>
    </row>
    <row r="1264">
      <c r="A1264" s="11" t="n">
        <v>45559</v>
      </c>
      <c r="B1264" s="19" t="n">
        <v>1.492014749347172</v>
      </c>
      <c r="C1264" s="19" t="n">
        <v>1.200310198478445</v>
      </c>
      <c r="D1264" s="19" t="n">
        <v>1.043848281938292</v>
      </c>
      <c r="E1264" s="19" t="n">
        <v>1.007882471534796</v>
      </c>
      <c r="F1264" s="20">
        <f>B1264/B1263-1</f>
        <v/>
      </c>
      <c r="G1264" s="20">
        <f>B1264/MAX(B$2:B1264)-1</f>
        <v/>
      </c>
      <c r="H1264" s="20">
        <f>C1264/C1263-1</f>
        <v/>
      </c>
      <c r="I1264" s="20">
        <f>C1264/MAX(C$2:C1264)-1</f>
        <v/>
      </c>
      <c r="J1264" s="20">
        <f>D1264/D1263-1</f>
        <v/>
      </c>
      <c r="K1264" s="20">
        <f>D1264/MAX(D$2:D1264)-1</f>
        <v/>
      </c>
      <c r="L1264" s="20">
        <f>E1264/E1263-1</f>
        <v/>
      </c>
      <c r="M1264" s="20">
        <f>E1264/MAX(E$2:E1264)-1</f>
        <v/>
      </c>
    </row>
    <row r="1265">
      <c r="A1265" s="11" t="n">
        <v>45560</v>
      </c>
      <c r="B1265" s="19" t="n">
        <v>1.500569601448326</v>
      </c>
      <c r="C1265" s="19" t="n">
        <v>1.209956702564681</v>
      </c>
      <c r="D1265" s="19" t="n">
        <v>1.060792157406581</v>
      </c>
      <c r="E1265" s="19" t="n">
        <v>1.020946521498157</v>
      </c>
      <c r="F1265" s="20">
        <f>B1265/B1264-1</f>
        <v/>
      </c>
      <c r="G1265" s="20">
        <f>B1265/MAX(B$2:B1265)-1</f>
        <v/>
      </c>
      <c r="H1265" s="20">
        <f>C1265/C1264-1</f>
        <v/>
      </c>
      <c r="I1265" s="20">
        <f>C1265/MAX(C$2:C1265)-1</f>
        <v/>
      </c>
      <c r="J1265" s="20">
        <f>D1265/D1264-1</f>
        <v/>
      </c>
      <c r="K1265" s="20">
        <f>D1265/MAX(D$2:D1265)-1</f>
        <v/>
      </c>
      <c r="L1265" s="20">
        <f>E1265/E1264-1</f>
        <v/>
      </c>
      <c r="M1265" s="20">
        <f>E1265/MAX(E$2:E1265)-1</f>
        <v/>
      </c>
    </row>
    <row r="1266">
      <c r="A1266" s="11" t="n">
        <v>45561</v>
      </c>
      <c r="B1266" s="19" t="n">
        <v>1.530956846396571</v>
      </c>
      <c r="C1266" s="19" t="n">
        <v>1.245352085374086</v>
      </c>
      <c r="D1266" s="19" t="n">
        <v>1.107708742482961</v>
      </c>
      <c r="E1266" s="19" t="n">
        <v>1.062048750729996</v>
      </c>
      <c r="F1266" s="20">
        <f>B1266/B1265-1</f>
        <v/>
      </c>
      <c r="G1266" s="20">
        <f>B1266/MAX(B$2:B1266)-1</f>
        <v/>
      </c>
      <c r="H1266" s="20">
        <f>C1266/C1265-1</f>
        <v/>
      </c>
      <c r="I1266" s="20">
        <f>C1266/MAX(C$2:C1266)-1</f>
        <v/>
      </c>
      <c r="J1266" s="20">
        <f>D1266/D1265-1</f>
        <v/>
      </c>
      <c r="K1266" s="20">
        <f>D1266/MAX(D$2:D1266)-1</f>
        <v/>
      </c>
      <c r="L1266" s="20">
        <f>E1266/E1265-1</f>
        <v/>
      </c>
      <c r="M1266" s="20">
        <f>E1266/MAX(E$2:E1266)-1</f>
        <v/>
      </c>
    </row>
    <row r="1267">
      <c r="A1267" s="11" t="n">
        <v>45562</v>
      </c>
      <c r="B1267" s="19" t="n">
        <v>1.599359894826463</v>
      </c>
      <c r="C1267" s="19" t="n">
        <v>1.325867229375397</v>
      </c>
      <c r="D1267" s="19" t="n">
        <v>1.218434995444493</v>
      </c>
      <c r="E1267" s="19" t="n">
        <v>1.113269378842942</v>
      </c>
      <c r="F1267" s="20">
        <f>B1267/B1266-1</f>
        <v/>
      </c>
      <c r="G1267" s="20">
        <f>B1267/MAX(B$2:B1267)-1</f>
        <v/>
      </c>
      <c r="H1267" s="20">
        <f>C1267/C1266-1</f>
        <v/>
      </c>
      <c r="I1267" s="20">
        <f>C1267/MAX(C$2:C1267)-1</f>
        <v/>
      </c>
      <c r="J1267" s="20">
        <f>D1267/D1266-1</f>
        <v/>
      </c>
      <c r="K1267" s="20">
        <f>D1267/MAX(D$2:D1267)-1</f>
        <v/>
      </c>
      <c r="L1267" s="20">
        <f>E1267/E1266-1</f>
        <v/>
      </c>
      <c r="M1267" s="20">
        <f>E1267/MAX(E$2:E1267)-1</f>
        <v/>
      </c>
    </row>
    <row r="1268">
      <c r="A1268" s="11" t="n">
        <v>45565</v>
      </c>
      <c r="B1268" s="19" t="n">
        <v>1.697165456067431</v>
      </c>
      <c r="C1268" s="19" t="n">
        <v>1.461485340368154</v>
      </c>
      <c r="D1268" s="19" t="n">
        <v>1.405577964567532</v>
      </c>
      <c r="E1268" s="19" t="n">
        <v>1.221717992687019</v>
      </c>
      <c r="F1268" s="20">
        <f>B1268/B1267-1</f>
        <v/>
      </c>
      <c r="G1268" s="20">
        <f>B1268/MAX(B$2:B1268)-1</f>
        <v/>
      </c>
      <c r="H1268" s="20">
        <f>C1268/C1267-1</f>
        <v/>
      </c>
      <c r="I1268" s="20">
        <f>C1268/MAX(C$2:C1268)-1</f>
        <v/>
      </c>
      <c r="J1268" s="20">
        <f>D1268/D1267-1</f>
        <v/>
      </c>
      <c r="K1268" s="20">
        <f>D1268/MAX(D$2:D1268)-1</f>
        <v/>
      </c>
      <c r="L1268" s="20">
        <f>E1268/E1267-1</f>
        <v/>
      </c>
      <c r="M1268" s="20">
        <f>E1268/MAX(E$2:E1268)-1</f>
        <v/>
      </c>
    </row>
    <row r="1269">
      <c r="A1269" s="11" t="n">
        <v>45573</v>
      </c>
      <c r="B1269" s="19" t="n">
        <v>1.786976069047616</v>
      </c>
      <c r="C1269" s="19" t="n">
        <v>1.595640001414147</v>
      </c>
      <c r="D1269" s="19" t="n">
        <v>1.648032072010292</v>
      </c>
      <c r="E1269" s="19" t="n">
        <v>1.309603960764329</v>
      </c>
      <c r="F1269" s="20">
        <f>B1269/B1268-1</f>
        <v/>
      </c>
      <c r="G1269" s="20">
        <f>B1269/MAX(B$2:B1269)-1</f>
        <v/>
      </c>
      <c r="H1269" s="20">
        <f>C1269/C1268-1</f>
        <v/>
      </c>
      <c r="I1269" s="20">
        <f>C1269/MAX(C$2:C1269)-1</f>
        <v/>
      </c>
      <c r="J1269" s="20">
        <f>D1269/D1268-1</f>
        <v/>
      </c>
      <c r="K1269" s="20">
        <f>D1269/MAX(D$2:D1269)-1</f>
        <v/>
      </c>
      <c r="L1269" s="20">
        <f>E1269/E1268-1</f>
        <v/>
      </c>
      <c r="M1269" s="20">
        <f>E1269/MAX(E$2:E1269)-1</f>
        <v/>
      </c>
    </row>
    <row r="1270">
      <c r="A1270" s="11" t="n">
        <v>45574</v>
      </c>
      <c r="B1270" s="19" t="n">
        <v>1.722957287554612</v>
      </c>
      <c r="C1270" s="19" t="n">
        <v>1.504960265590311</v>
      </c>
      <c r="D1270" s="19" t="n">
        <v>1.47343708692595</v>
      </c>
      <c r="E1270" s="19" t="n">
        <v>1.211299783883915</v>
      </c>
      <c r="F1270" s="20">
        <f>B1270/B1269-1</f>
        <v/>
      </c>
      <c r="G1270" s="20">
        <f>B1270/MAX(B$2:B1270)-1</f>
        <v/>
      </c>
      <c r="H1270" s="20">
        <f>C1270/C1269-1</f>
        <v/>
      </c>
      <c r="I1270" s="20">
        <f>C1270/MAX(C$2:C1270)-1</f>
        <v/>
      </c>
      <c r="J1270" s="20">
        <f>D1270/D1269-1</f>
        <v/>
      </c>
      <c r="K1270" s="20">
        <f>D1270/MAX(D$2:D1270)-1</f>
        <v/>
      </c>
      <c r="L1270" s="20">
        <f>E1270/E1269-1</f>
        <v/>
      </c>
      <c r="M1270" s="20">
        <f>E1270/MAX(E$2:E1270)-1</f>
        <v/>
      </c>
    </row>
    <row r="1271">
      <c r="A1271" s="11" t="n">
        <v>45575</v>
      </c>
      <c r="B1271" s="19" t="n">
        <v>1.720767782032163</v>
      </c>
      <c r="C1271" s="19" t="n">
        <v>1.495116694801301</v>
      </c>
      <c r="D1271" s="19" t="n">
        <v>1.430019314781174</v>
      </c>
      <c r="E1271" s="19" t="n">
        <v>1.213391385858345</v>
      </c>
      <c r="F1271" s="20">
        <f>B1271/B1270-1</f>
        <v/>
      </c>
      <c r="G1271" s="20">
        <f>B1271/MAX(B$2:B1271)-1</f>
        <v/>
      </c>
      <c r="H1271" s="20">
        <f>C1271/C1270-1</f>
        <v/>
      </c>
      <c r="I1271" s="20">
        <f>C1271/MAX(C$2:C1271)-1</f>
        <v/>
      </c>
      <c r="J1271" s="20">
        <f>D1271/D1270-1</f>
        <v/>
      </c>
      <c r="K1271" s="20">
        <f>D1271/MAX(D$2:D1271)-1</f>
        <v/>
      </c>
      <c r="L1271" s="20">
        <f>E1271/E1270-1</f>
        <v/>
      </c>
      <c r="M1271" s="20">
        <f>E1271/MAX(E$2:E1271)-1</f>
        <v/>
      </c>
    </row>
    <row r="1272">
      <c r="A1272" s="11" t="n">
        <v>45576</v>
      </c>
      <c r="B1272" s="19" t="n">
        <v>1.680952373478732</v>
      </c>
      <c r="C1272" s="19" t="n">
        <v>1.428767890585411</v>
      </c>
      <c r="D1272" s="19" t="n">
        <v>1.357618449806739</v>
      </c>
      <c r="E1272" s="19" t="n">
        <v>1.17261128490498</v>
      </c>
      <c r="F1272" s="20">
        <f>B1272/B1271-1</f>
        <v/>
      </c>
      <c r="G1272" s="20">
        <f>B1272/MAX(B$2:B1272)-1</f>
        <v/>
      </c>
      <c r="H1272" s="20">
        <f>C1272/C1271-1</f>
        <v/>
      </c>
      <c r="I1272" s="20">
        <f>C1272/MAX(C$2:C1272)-1</f>
        <v/>
      </c>
      <c r="J1272" s="20">
        <f>D1272/D1271-1</f>
        <v/>
      </c>
      <c r="K1272" s="20">
        <f>D1272/MAX(D$2:D1272)-1</f>
        <v/>
      </c>
      <c r="L1272" s="20">
        <f>E1272/E1271-1</f>
        <v/>
      </c>
      <c r="M1272" s="20">
        <f>E1272/MAX(E$2:E1272)-1</f>
        <v/>
      </c>
    </row>
    <row r="1273">
      <c r="A1273" s="11" t="n">
        <v>45579</v>
      </c>
      <c r="B1273" s="19" t="n">
        <v>1.688743827081491</v>
      </c>
      <c r="C1273" s="19" t="n">
        <v>1.459985478536107</v>
      </c>
      <c r="D1273" s="19" t="n">
        <v>1.392858151417312</v>
      </c>
      <c r="E1273" s="19" t="n">
        <v>1.202834431272481</v>
      </c>
      <c r="F1273" s="20">
        <f>B1273/B1272-1</f>
        <v/>
      </c>
      <c r="G1273" s="20">
        <f>B1273/MAX(B$2:B1273)-1</f>
        <v/>
      </c>
      <c r="H1273" s="20">
        <f>C1273/C1272-1</f>
        <v/>
      </c>
      <c r="I1273" s="20">
        <f>C1273/MAX(C$2:C1273)-1</f>
        <v/>
      </c>
      <c r="J1273" s="20">
        <f>D1273/D1272-1</f>
        <v/>
      </c>
      <c r="K1273" s="20">
        <f>D1273/MAX(D$2:D1273)-1</f>
        <v/>
      </c>
      <c r="L1273" s="20">
        <f>E1273/E1272-1</f>
        <v/>
      </c>
      <c r="M1273" s="20">
        <f>E1273/MAX(E$2:E1273)-1</f>
        <v/>
      </c>
    </row>
    <row r="1274">
      <c r="A1274" s="11" t="n">
        <v>45580</v>
      </c>
      <c r="B1274" s="19" t="n">
        <v>1.660155529939714</v>
      </c>
      <c r="C1274" s="19" t="n">
        <v>1.429581602425984</v>
      </c>
      <c r="D1274" s="19" t="n">
        <v>1.34799989686376</v>
      </c>
      <c r="E1274" s="19" t="n">
        <v>1.175790162812411</v>
      </c>
      <c r="F1274" s="20">
        <f>B1274/B1273-1</f>
        <v/>
      </c>
      <c r="G1274" s="20">
        <f>B1274/MAX(B$2:B1274)-1</f>
        <v/>
      </c>
      <c r="H1274" s="20">
        <f>C1274/C1273-1</f>
        <v/>
      </c>
      <c r="I1274" s="20">
        <f>C1274/MAX(C$2:C1274)-1</f>
        <v/>
      </c>
      <c r="J1274" s="20">
        <f>D1274/D1273-1</f>
        <v/>
      </c>
      <c r="K1274" s="20">
        <f>D1274/MAX(D$2:D1274)-1</f>
        <v/>
      </c>
      <c r="L1274" s="20">
        <f>E1274/E1273-1</f>
        <v/>
      </c>
      <c r="M1274" s="20">
        <f>E1274/MAX(E$2:E1274)-1</f>
        <v/>
      </c>
    </row>
    <row r="1275">
      <c r="A1275" s="11" t="n">
        <v>45581</v>
      </c>
      <c r="B1275" s="19" t="n">
        <v>1.640768632409115</v>
      </c>
      <c r="C1275" s="19" t="n">
        <v>1.402488850964518</v>
      </c>
      <c r="D1275" s="19" t="n">
        <v>1.318250326000342</v>
      </c>
      <c r="E1275" s="19" t="n">
        <v>1.173445991437191</v>
      </c>
      <c r="F1275" s="20">
        <f>B1275/B1274-1</f>
        <v/>
      </c>
      <c r="G1275" s="20">
        <f>B1275/MAX(B$2:B1275)-1</f>
        <v/>
      </c>
      <c r="H1275" s="20">
        <f>C1275/C1274-1</f>
        <v/>
      </c>
      <c r="I1275" s="20">
        <f>C1275/MAX(C$2:C1275)-1</f>
        <v/>
      </c>
      <c r="J1275" s="20">
        <f>D1275/D1274-1</f>
        <v/>
      </c>
      <c r="K1275" s="20">
        <f>D1275/MAX(D$2:D1275)-1</f>
        <v/>
      </c>
      <c r="L1275" s="20">
        <f>E1275/E1274-1</f>
        <v/>
      </c>
      <c r="M1275" s="20">
        <f>E1275/MAX(E$2:E1275)-1</f>
        <v/>
      </c>
    </row>
    <row r="1276">
      <c r="A1276" s="11" t="n">
        <v>45582</v>
      </c>
      <c r="B1276" s="19" t="n">
        <v>1.637175595337057</v>
      </c>
      <c r="C1276" s="19" t="n">
        <v>1.40189091682193</v>
      </c>
      <c r="D1276" s="19" t="n">
        <v>1.314072338957382</v>
      </c>
      <c r="E1276" s="19" t="n">
        <v>1.164722117863241</v>
      </c>
      <c r="F1276" s="20">
        <f>B1276/B1275-1</f>
        <v/>
      </c>
      <c r="G1276" s="20">
        <f>B1276/MAX(B$2:B1276)-1</f>
        <v/>
      </c>
      <c r="H1276" s="20">
        <f>C1276/C1275-1</f>
        <v/>
      </c>
      <c r="I1276" s="20">
        <f>C1276/MAX(C$2:C1276)-1</f>
        <v/>
      </c>
      <c r="J1276" s="20">
        <f>D1276/D1275-1</f>
        <v/>
      </c>
      <c r="K1276" s="20">
        <f>D1276/MAX(D$2:D1276)-1</f>
        <v/>
      </c>
      <c r="L1276" s="20">
        <f>E1276/E1275-1</f>
        <v/>
      </c>
      <c r="M1276" s="20">
        <f>E1276/MAX(E$2:E1276)-1</f>
        <v/>
      </c>
    </row>
    <row r="1277">
      <c r="A1277" s="11" t="n">
        <v>45583</v>
      </c>
      <c r="B1277" s="19" t="n">
        <v>1.711283507495187</v>
      </c>
      <c r="C1277" s="19" t="n">
        <v>1.474462353501686</v>
      </c>
      <c r="D1277" s="19" t="n">
        <v>1.418511481693608</v>
      </c>
      <c r="E1277" s="19" t="n">
        <v>1.208935897960474</v>
      </c>
      <c r="F1277" s="20">
        <f>B1277/B1276-1</f>
        <v/>
      </c>
      <c r="G1277" s="20">
        <f>B1277/MAX(B$2:B1277)-1</f>
        <v/>
      </c>
      <c r="H1277" s="20">
        <f>C1277/C1276-1</f>
        <v/>
      </c>
      <c r="I1277" s="20">
        <f>C1277/MAX(C$2:C1277)-1</f>
        <v/>
      </c>
      <c r="J1277" s="20">
        <f>D1277/D1276-1</f>
        <v/>
      </c>
      <c r="K1277" s="20">
        <f>D1277/MAX(D$2:D1277)-1</f>
        <v/>
      </c>
      <c r="L1277" s="20">
        <f>E1277/E1276-1</f>
        <v/>
      </c>
      <c r="M1277" s="20">
        <f>E1277/MAX(E$2:E1277)-1</f>
        <v/>
      </c>
    </row>
    <row r="1278">
      <c r="A1278" s="11" t="n">
        <v>45586</v>
      </c>
      <c r="B1278" s="19" t="n">
        <v>1.713294113213437</v>
      </c>
      <c r="C1278" s="19" t="n">
        <v>1.496105683933773</v>
      </c>
      <c r="D1278" s="19" t="n">
        <v>1.428356404466471</v>
      </c>
      <c r="E1278" s="19" t="n">
        <v>1.222563114452252</v>
      </c>
      <c r="F1278" s="20">
        <f>B1278/B1277-1</f>
        <v/>
      </c>
      <c r="G1278" s="20">
        <f>B1278/MAX(B$2:B1278)-1</f>
        <v/>
      </c>
      <c r="H1278" s="20">
        <f>C1278/C1277-1</f>
        <v/>
      </c>
      <c r="I1278" s="20">
        <f>C1278/MAX(C$2:C1278)-1</f>
        <v/>
      </c>
      <c r="J1278" s="20">
        <f>D1278/D1277-1</f>
        <v/>
      </c>
      <c r="K1278" s="20">
        <f>D1278/MAX(D$2:D1278)-1</f>
        <v/>
      </c>
      <c r="L1278" s="20">
        <f>E1278/E1277-1</f>
        <v/>
      </c>
      <c r="M1278" s="20">
        <f>E1278/MAX(E$2:E1278)-1</f>
        <v/>
      </c>
    </row>
    <row r="1279">
      <c r="A1279" s="11" t="n">
        <v>45587</v>
      </c>
      <c r="B1279" s="19" t="n">
        <v>1.71915883601973</v>
      </c>
      <c r="C1279" s="19" t="n">
        <v>1.501401568981884</v>
      </c>
      <c r="D1279" s="19" t="n">
        <v>1.432656591152113</v>
      </c>
      <c r="E1279" s="19" t="n">
        <v>1.230488734809569</v>
      </c>
      <c r="F1279" s="20">
        <f>B1279/B1278-1</f>
        <v/>
      </c>
      <c r="G1279" s="20">
        <f>B1279/MAX(B$2:B1279)-1</f>
        <v/>
      </c>
      <c r="H1279" s="20">
        <f>C1279/C1278-1</f>
        <v/>
      </c>
      <c r="I1279" s="20">
        <f>C1279/MAX(C$2:C1279)-1</f>
        <v/>
      </c>
      <c r="J1279" s="20">
        <f>D1279/D1278-1</f>
        <v/>
      </c>
      <c r="K1279" s="20">
        <f>D1279/MAX(D$2:D1279)-1</f>
        <v/>
      </c>
      <c r="L1279" s="20">
        <f>E1279/E1278-1</f>
        <v/>
      </c>
      <c r="M1279" s="20">
        <f>E1279/MAX(E$2:E1279)-1</f>
        <v/>
      </c>
    </row>
    <row r="1280">
      <c r="A1280" s="11" t="n">
        <v>45588</v>
      </c>
      <c r="B1280" s="19" t="n">
        <v>1.727865817895801</v>
      </c>
      <c r="C1280" s="19" t="n">
        <v>1.499485928634148</v>
      </c>
      <c r="D1280" s="19" t="n">
        <v>1.425103994093059</v>
      </c>
      <c r="E1280" s="19" t="n">
        <v>1.234870572131068</v>
      </c>
      <c r="F1280" s="20">
        <f>B1280/B1279-1</f>
        <v/>
      </c>
      <c r="G1280" s="20">
        <f>B1280/MAX(B$2:B1280)-1</f>
        <v/>
      </c>
      <c r="H1280" s="20">
        <f>C1280/C1279-1</f>
        <v/>
      </c>
      <c r="I1280" s="20">
        <f>C1280/MAX(C$2:C1280)-1</f>
        <v/>
      </c>
      <c r="J1280" s="20">
        <f>D1280/D1279-1</f>
        <v/>
      </c>
      <c r="K1280" s="20">
        <f>D1280/MAX(D$2:D1280)-1</f>
        <v/>
      </c>
      <c r="L1280" s="20">
        <f>E1280/E1279-1</f>
        <v/>
      </c>
      <c r="M1280" s="20">
        <f>E1280/MAX(E$2:E1280)-1</f>
        <v/>
      </c>
    </row>
    <row r="1281">
      <c r="A1281" s="11" t="n">
        <v>45589</v>
      </c>
      <c r="B1281" s="19" t="n">
        <v>1.699125799818766</v>
      </c>
      <c r="C1281" s="19" t="n">
        <v>1.479558863035275</v>
      </c>
      <c r="D1281" s="19" t="n">
        <v>1.405583586655799</v>
      </c>
      <c r="E1281" s="19" t="n">
        <v>1.225500210164524</v>
      </c>
      <c r="F1281" s="20">
        <f>B1281/B1280-1</f>
        <v/>
      </c>
      <c r="G1281" s="20">
        <f>B1281/MAX(B$2:B1281)-1</f>
        <v/>
      </c>
      <c r="H1281" s="20">
        <f>C1281/C1280-1</f>
        <v/>
      </c>
      <c r="I1281" s="20">
        <f>C1281/MAX(C$2:C1281)-1</f>
        <v/>
      </c>
      <c r="J1281" s="20">
        <f>D1281/D1280-1</f>
        <v/>
      </c>
      <c r="K1281" s="20">
        <f>D1281/MAX(D$2:D1281)-1</f>
        <v/>
      </c>
      <c r="L1281" s="20">
        <f>E1281/E1280-1</f>
        <v/>
      </c>
      <c r="M1281" s="20">
        <f>E1281/MAX(E$2:E1281)-1</f>
        <v/>
      </c>
    </row>
    <row r="1282">
      <c r="A1282" s="11" t="n">
        <v>45590</v>
      </c>
      <c r="B1282" s="19" t="n">
        <v>1.718069680101523</v>
      </c>
      <c r="C1282" s="19" t="n">
        <v>1.493528809521347</v>
      </c>
      <c r="D1282" s="19" t="n">
        <v>1.446813397139081</v>
      </c>
      <c r="E1282" s="19" t="n">
        <v>1.241644193321604</v>
      </c>
      <c r="F1282" s="20">
        <f>B1282/B1281-1</f>
        <v/>
      </c>
      <c r="G1282" s="20">
        <f>B1282/MAX(B$2:B1282)-1</f>
        <v/>
      </c>
      <c r="H1282" s="20">
        <f>C1282/C1281-1</f>
        <v/>
      </c>
      <c r="I1282" s="20">
        <f>C1282/MAX(C$2:C1282)-1</f>
        <v/>
      </c>
      <c r="J1282" s="20">
        <f>D1282/D1281-1</f>
        <v/>
      </c>
      <c r="K1282" s="20">
        <f>D1282/MAX(D$2:D1282)-1</f>
        <v/>
      </c>
      <c r="L1282" s="20">
        <f>E1282/E1281-1</f>
        <v/>
      </c>
      <c r="M1282" s="20">
        <f>E1282/MAX(E$2:E1282)-1</f>
        <v/>
      </c>
    </row>
    <row r="1283">
      <c r="A1283" s="11" t="n">
        <v>45593</v>
      </c>
      <c r="B1283" s="19" t="n">
        <v>1.716697531088253</v>
      </c>
      <c r="C1283" s="19" t="n">
        <v>1.496873123338888</v>
      </c>
      <c r="D1283" s="19" t="n">
        <v>1.440494040683369</v>
      </c>
      <c r="E1283" s="19" t="n">
        <v>1.256062967523072</v>
      </c>
      <c r="F1283" s="20">
        <f>B1283/B1282-1</f>
        <v/>
      </c>
      <c r="G1283" s="20">
        <f>B1283/MAX(B$2:B1283)-1</f>
        <v/>
      </c>
      <c r="H1283" s="20">
        <f>C1283/C1282-1</f>
        <v/>
      </c>
      <c r="I1283" s="20">
        <f>C1283/MAX(C$2:C1283)-1</f>
        <v/>
      </c>
      <c r="J1283" s="20">
        <f>D1283/D1282-1</f>
        <v/>
      </c>
      <c r="K1283" s="20">
        <f>D1283/MAX(D$2:D1283)-1</f>
        <v/>
      </c>
      <c r="L1283" s="20">
        <f>E1283/E1282-1</f>
        <v/>
      </c>
      <c r="M1283" s="20">
        <f>E1283/MAX(E$2:E1283)-1</f>
        <v/>
      </c>
    </row>
    <row r="1284">
      <c r="A1284" s="11" t="n">
        <v>45594</v>
      </c>
      <c r="B1284" s="19" t="n">
        <v>1.715609980457167</v>
      </c>
      <c r="C1284" s="19" t="n">
        <v>1.495892263147781</v>
      </c>
      <c r="D1284" s="19" t="n">
        <v>1.407012114049295</v>
      </c>
      <c r="E1284" s="19" t="n">
        <v>1.241022255121133</v>
      </c>
      <c r="F1284" s="20">
        <f>B1284/B1283-1</f>
        <v/>
      </c>
      <c r="G1284" s="20">
        <f>B1284/MAX(B$2:B1284)-1</f>
        <v/>
      </c>
      <c r="H1284" s="20">
        <f>C1284/C1283-1</f>
        <v/>
      </c>
      <c r="I1284" s="20">
        <f>C1284/MAX(C$2:C1284)-1</f>
        <v/>
      </c>
      <c r="J1284" s="20">
        <f>D1284/D1283-1</f>
        <v/>
      </c>
      <c r="K1284" s="20">
        <f>D1284/MAX(D$2:D1284)-1</f>
        <v/>
      </c>
      <c r="L1284" s="20">
        <f>E1284/E1283-1</f>
        <v/>
      </c>
      <c r="M1284" s="20">
        <f>E1284/MAX(E$2:E1284)-1</f>
        <v/>
      </c>
    </row>
    <row r="1285">
      <c r="A1285" s="11" t="n">
        <v>45595</v>
      </c>
      <c r="B1285" s="19" t="n">
        <v>1.700090605606198</v>
      </c>
      <c r="C1285" s="19" t="n">
        <v>1.492348044713026</v>
      </c>
      <c r="D1285" s="19" t="n">
        <v>1.390345401070407</v>
      </c>
      <c r="E1285" s="19" t="n">
        <v>1.239123706930222</v>
      </c>
      <c r="F1285" s="20">
        <f>B1285/B1284-1</f>
        <v/>
      </c>
      <c r="G1285" s="20">
        <f>B1285/MAX(B$2:B1285)-1</f>
        <v/>
      </c>
      <c r="H1285" s="20">
        <f>C1285/C1284-1</f>
        <v/>
      </c>
      <c r="I1285" s="20">
        <f>C1285/MAX(C$2:C1285)-1</f>
        <v/>
      </c>
      <c r="J1285" s="20">
        <f>D1285/D1284-1</f>
        <v/>
      </c>
      <c r="K1285" s="20">
        <f>D1285/MAX(D$2:D1285)-1</f>
        <v/>
      </c>
      <c r="L1285" s="20">
        <f>E1285/E1284-1</f>
        <v/>
      </c>
      <c r="M1285" s="20">
        <f>E1285/MAX(E$2:E1285)-1</f>
        <v/>
      </c>
    </row>
    <row r="1286">
      <c r="A1286" s="11" t="n">
        <v>45596</v>
      </c>
      <c r="B1286" s="19" t="n">
        <v>1.698528328580003</v>
      </c>
      <c r="C1286" s="19" t="n">
        <v>1.502697389575667</v>
      </c>
      <c r="D1286" s="19" t="n">
        <v>1.398712166980933</v>
      </c>
      <c r="E1286" s="19" t="n">
        <v>1.248941179971507</v>
      </c>
      <c r="F1286" s="20">
        <f>B1286/B1285-1</f>
        <v/>
      </c>
      <c r="G1286" s="20">
        <f>B1286/MAX(B$2:B1286)-1</f>
        <v/>
      </c>
      <c r="H1286" s="20">
        <f>C1286/C1285-1</f>
        <v/>
      </c>
      <c r="I1286" s="20">
        <f>C1286/MAX(C$2:C1286)-1</f>
        <v/>
      </c>
      <c r="J1286" s="20">
        <f>D1286/D1285-1</f>
        <v/>
      </c>
      <c r="K1286" s="20">
        <f>D1286/MAX(D$2:D1286)-1</f>
        <v/>
      </c>
      <c r="L1286" s="20">
        <f>E1286/E1285-1</f>
        <v/>
      </c>
      <c r="M1286" s="20">
        <f>E1286/MAX(E$2:E1286)-1</f>
        <v/>
      </c>
    </row>
    <row r="1287">
      <c r="A1287" s="11" t="n">
        <v>45597</v>
      </c>
      <c r="B1287" s="19" t="n">
        <v>1.689509281324621</v>
      </c>
      <c r="C1287" s="19" t="n">
        <v>1.479356793907046</v>
      </c>
      <c r="D1287" s="19" t="n">
        <v>1.37239588264104</v>
      </c>
      <c r="E1287" s="19" t="n">
        <v>1.229907713595971</v>
      </c>
      <c r="F1287" s="20">
        <f>B1287/B1286-1</f>
        <v/>
      </c>
      <c r="G1287" s="20">
        <f>B1287/MAX(B$2:B1287)-1</f>
        <v/>
      </c>
      <c r="H1287" s="20">
        <f>C1287/C1286-1</f>
        <v/>
      </c>
      <c r="I1287" s="20">
        <f>C1287/MAX(C$2:C1287)-1</f>
        <v/>
      </c>
      <c r="J1287" s="20">
        <f>D1287/D1286-1</f>
        <v/>
      </c>
      <c r="K1287" s="20">
        <f>D1287/MAX(D$2:D1287)-1</f>
        <v/>
      </c>
      <c r="L1287" s="20">
        <f>E1287/E1286-1</f>
        <v/>
      </c>
      <c r="M1287" s="20">
        <f>E1287/MAX(E$2:E1287)-1</f>
        <v/>
      </c>
    </row>
    <row r="1288">
      <c r="A1288" s="11" t="n">
        <v>45600</v>
      </c>
      <c r="B1288" s="19" t="n">
        <v>1.713123375329494</v>
      </c>
      <c r="C1288" s="19" t="n">
        <v>1.506268255546018</v>
      </c>
      <c r="D1288" s="19" t="n">
        <v>1.412620244028357</v>
      </c>
      <c r="E1288" s="19" t="n">
        <v>1.250847539587185</v>
      </c>
      <c r="F1288" s="20">
        <f>B1288/B1287-1</f>
        <v/>
      </c>
      <c r="G1288" s="20">
        <f>B1288/MAX(B$2:B1288)-1</f>
        <v/>
      </c>
      <c r="H1288" s="20">
        <f>C1288/C1287-1</f>
        <v/>
      </c>
      <c r="I1288" s="20">
        <f>C1288/MAX(C$2:C1288)-1</f>
        <v/>
      </c>
      <c r="J1288" s="20">
        <f>D1288/D1287-1</f>
        <v/>
      </c>
      <c r="K1288" s="20">
        <f>D1288/MAX(D$2:D1288)-1</f>
        <v/>
      </c>
      <c r="L1288" s="20">
        <f>E1288/E1287-1</f>
        <v/>
      </c>
      <c r="M1288" s="20">
        <f>E1288/MAX(E$2:E1288)-1</f>
        <v/>
      </c>
    </row>
    <row r="1289">
      <c r="A1289" s="11" t="n">
        <v>45601</v>
      </c>
      <c r="B1289" s="19" t="n">
        <v>1.754633378723879</v>
      </c>
      <c r="C1289" s="19" t="n">
        <v>1.549403352538959</v>
      </c>
      <c r="D1289" s="19" t="n">
        <v>1.479733955028593</v>
      </c>
      <c r="E1289" s="19" t="n">
        <v>1.28799607196926</v>
      </c>
      <c r="F1289" s="20">
        <f>B1289/B1288-1</f>
        <v/>
      </c>
      <c r="G1289" s="20">
        <f>B1289/MAX(B$2:B1289)-1</f>
        <v/>
      </c>
      <c r="H1289" s="20">
        <f>C1289/C1288-1</f>
        <v/>
      </c>
      <c r="I1289" s="20">
        <f>C1289/MAX(C$2:C1289)-1</f>
        <v/>
      </c>
      <c r="J1289" s="20">
        <f>D1289/D1288-1</f>
        <v/>
      </c>
      <c r="K1289" s="20">
        <f>D1289/MAX(D$2:D1289)-1</f>
        <v/>
      </c>
      <c r="L1289" s="20">
        <f>E1289/E1288-1</f>
        <v/>
      </c>
      <c r="M1289" s="20">
        <f>E1289/MAX(E$2:E1289)-1</f>
        <v/>
      </c>
    </row>
    <row r="1290">
      <c r="A1290" s="11" t="n">
        <v>45602</v>
      </c>
      <c r="B1290" s="19" t="n">
        <v>1.743393322143025</v>
      </c>
      <c r="C1290" s="19" t="n">
        <v>1.543833199895238</v>
      </c>
      <c r="D1290" s="19" t="n">
        <v>1.464219511657658</v>
      </c>
      <c r="E1290" s="19" t="n">
        <v>1.289364931166469</v>
      </c>
      <c r="F1290" s="20">
        <f>B1290/B1289-1</f>
        <v/>
      </c>
      <c r="G1290" s="20">
        <f>B1290/MAX(B$2:B1290)-1</f>
        <v/>
      </c>
      <c r="H1290" s="20">
        <f>C1290/C1289-1</f>
        <v/>
      </c>
      <c r="I1290" s="20">
        <f>C1290/MAX(C$2:C1290)-1</f>
        <v/>
      </c>
      <c r="J1290" s="20">
        <f>D1290/D1289-1</f>
        <v/>
      </c>
      <c r="K1290" s="20">
        <f>D1290/MAX(D$2:D1290)-1</f>
        <v/>
      </c>
      <c r="L1290" s="20">
        <f>E1290/E1289-1</f>
        <v/>
      </c>
      <c r="M1290" s="20">
        <f>E1290/MAX(E$2:E1290)-1</f>
        <v/>
      </c>
    </row>
    <row r="1291">
      <c r="A1291" s="11" t="n">
        <v>45603</v>
      </c>
      <c r="B1291" s="19" t="n">
        <v>1.779901395081984</v>
      </c>
      <c r="C1291" s="19" t="n">
        <v>1.572880023800001</v>
      </c>
      <c r="D1291" s="19" t="n">
        <v>1.519101109509426</v>
      </c>
      <c r="E1291" s="19" t="n">
        <v>1.322217551899478</v>
      </c>
      <c r="F1291" s="20">
        <f>B1291/B1290-1</f>
        <v/>
      </c>
      <c r="G1291" s="20">
        <f>B1291/MAX(B$2:B1291)-1</f>
        <v/>
      </c>
      <c r="H1291" s="20">
        <f>C1291/C1290-1</f>
        <v/>
      </c>
      <c r="I1291" s="20">
        <f>C1291/MAX(C$2:C1291)-1</f>
        <v/>
      </c>
      <c r="J1291" s="20">
        <f>D1291/D1290-1</f>
        <v/>
      </c>
      <c r="K1291" s="20">
        <f>D1291/MAX(D$2:D1291)-1</f>
        <v/>
      </c>
      <c r="L1291" s="20">
        <f>E1291/E1290-1</f>
        <v/>
      </c>
      <c r="M1291" s="20">
        <f>E1291/MAX(E$2:E1291)-1</f>
        <v/>
      </c>
    </row>
    <row r="1292">
      <c r="A1292" s="11" t="n">
        <v>45604</v>
      </c>
      <c r="B1292" s="19" t="n">
        <v>1.779977793168916</v>
      </c>
      <c r="C1292" s="19" t="n">
        <v>1.57546906757435</v>
      </c>
      <c r="D1292" s="19" t="n">
        <v>1.500248890493805</v>
      </c>
      <c r="E1292" s="19" t="n">
        <v>1.317195921692327</v>
      </c>
      <c r="F1292" s="20">
        <f>B1292/B1291-1</f>
        <v/>
      </c>
      <c r="G1292" s="20">
        <f>B1292/MAX(B$2:B1292)-1</f>
        <v/>
      </c>
      <c r="H1292" s="20">
        <f>C1292/C1291-1</f>
        <v/>
      </c>
      <c r="I1292" s="20">
        <f>C1292/MAX(C$2:C1292)-1</f>
        <v/>
      </c>
      <c r="J1292" s="20">
        <f>D1292/D1291-1</f>
        <v/>
      </c>
      <c r="K1292" s="20">
        <f>D1292/MAX(D$2:D1292)-1</f>
        <v/>
      </c>
      <c r="L1292" s="20">
        <f>E1292/E1291-1</f>
        <v/>
      </c>
      <c r="M1292" s="20">
        <f>E1292/MAX(E$2:E1292)-1</f>
        <v/>
      </c>
    </row>
    <row r="1293">
      <c r="A1293" s="11" t="n">
        <v>45607</v>
      </c>
      <c r="B1293" s="19" t="n">
        <v>1.818370294429253</v>
      </c>
      <c r="C1293" s="19" t="n">
        <v>1.624646132511845</v>
      </c>
      <c r="D1293" s="19" t="n">
        <v>1.546037632966426</v>
      </c>
      <c r="E1293" s="19" t="n">
        <v>1.336244638944788</v>
      </c>
      <c r="F1293" s="20">
        <f>B1293/B1292-1</f>
        <v/>
      </c>
      <c r="G1293" s="20">
        <f>B1293/MAX(B$2:B1293)-1</f>
        <v/>
      </c>
      <c r="H1293" s="20">
        <f>C1293/C1292-1</f>
        <v/>
      </c>
      <c r="I1293" s="20">
        <f>C1293/MAX(C$2:C1293)-1</f>
        <v/>
      </c>
      <c r="J1293" s="20">
        <f>D1293/D1292-1</f>
        <v/>
      </c>
      <c r="K1293" s="20">
        <f>D1293/MAX(D$2:D1293)-1</f>
        <v/>
      </c>
      <c r="L1293" s="20">
        <f>E1293/E1292-1</f>
        <v/>
      </c>
      <c r="M1293" s="20">
        <f>E1293/MAX(E$2:E1293)-1</f>
        <v/>
      </c>
    </row>
    <row r="1294">
      <c r="A1294" s="11" t="n">
        <v>45608</v>
      </c>
      <c r="B1294" s="19" t="n">
        <v>1.788365500290583</v>
      </c>
      <c r="C1294" s="19" t="n">
        <v>1.603168122620992</v>
      </c>
      <c r="D1294" s="19" t="n">
        <v>1.544977966260621</v>
      </c>
      <c r="E1294" s="19" t="n">
        <v>1.320841253250111</v>
      </c>
      <c r="F1294" s="20">
        <f>B1294/B1293-1</f>
        <v/>
      </c>
      <c r="G1294" s="20">
        <f>B1294/MAX(B$2:B1294)-1</f>
        <v/>
      </c>
      <c r="H1294" s="20">
        <f>C1294/C1293-1</f>
        <v/>
      </c>
      <c r="I1294" s="20">
        <f>C1294/MAX(C$2:C1294)-1</f>
        <v/>
      </c>
      <c r="J1294" s="20">
        <f>D1294/D1293-1</f>
        <v/>
      </c>
      <c r="K1294" s="20">
        <f>D1294/MAX(D$2:D1294)-1</f>
        <v/>
      </c>
      <c r="L1294" s="20">
        <f>E1294/E1293-1</f>
        <v/>
      </c>
      <c r="M1294" s="20">
        <f>E1294/MAX(E$2:E1294)-1</f>
        <v/>
      </c>
    </row>
    <row r="1295">
      <c r="A1295" s="11" t="n">
        <v>45609</v>
      </c>
      <c r="B1295" s="19" t="n">
        <v>1.786188531636058</v>
      </c>
      <c r="C1295" s="19" t="n">
        <v>1.605306659502937</v>
      </c>
      <c r="D1295" s="19" t="n">
        <v>1.562069566944758</v>
      </c>
      <c r="E1295" s="19" t="n">
        <v>1.324560979329482</v>
      </c>
      <c r="F1295" s="20">
        <f>B1295/B1294-1</f>
        <v/>
      </c>
      <c r="G1295" s="20">
        <f>B1295/MAX(B$2:B1295)-1</f>
        <v/>
      </c>
      <c r="H1295" s="20">
        <f>C1295/C1294-1</f>
        <v/>
      </c>
      <c r="I1295" s="20">
        <f>C1295/MAX(C$2:C1295)-1</f>
        <v/>
      </c>
      <c r="J1295" s="20">
        <f>D1295/D1294-1</f>
        <v/>
      </c>
      <c r="K1295" s="20">
        <f>D1295/MAX(D$2:D1295)-1</f>
        <v/>
      </c>
      <c r="L1295" s="20">
        <f>E1295/E1294-1</f>
        <v/>
      </c>
      <c r="M1295" s="20">
        <f>E1295/MAX(E$2:E1295)-1</f>
        <v/>
      </c>
    </row>
    <row r="1296">
      <c r="A1296" s="11" t="n">
        <v>45610</v>
      </c>
      <c r="B1296" s="19" t="n">
        <v>1.734752684865832</v>
      </c>
      <c r="C1296" s="19" t="n">
        <v>1.551722169138257</v>
      </c>
      <c r="D1296" s="19" t="n">
        <v>1.508893723597591</v>
      </c>
      <c r="E1296" s="19" t="n">
        <v>1.29255273641649</v>
      </c>
      <c r="F1296" s="20">
        <f>B1296/B1295-1</f>
        <v/>
      </c>
      <c r="G1296" s="20">
        <f>B1296/MAX(B$2:B1296)-1</f>
        <v/>
      </c>
      <c r="H1296" s="20">
        <f>C1296/C1295-1</f>
        <v/>
      </c>
      <c r="I1296" s="20">
        <f>C1296/MAX(C$2:C1296)-1</f>
        <v/>
      </c>
      <c r="J1296" s="20">
        <f>D1296/D1295-1</f>
        <v/>
      </c>
      <c r="K1296" s="20">
        <f>D1296/MAX(D$2:D1296)-1</f>
        <v/>
      </c>
      <c r="L1296" s="20">
        <f>E1296/E1295-1</f>
        <v/>
      </c>
      <c r="M1296" s="20">
        <f>E1296/MAX(E$2:E1296)-1</f>
        <v/>
      </c>
    </row>
    <row r="1297">
      <c r="A1297" s="11" t="n">
        <v>45611</v>
      </c>
      <c r="B1297" s="19" t="n">
        <v>1.704561502018485</v>
      </c>
      <c r="C1297" s="19" t="n">
        <v>1.518544736714893</v>
      </c>
      <c r="D1297" s="19" t="n">
        <v>1.44986548022941</v>
      </c>
      <c r="E1297" s="19" t="n">
        <v>1.265621919601841</v>
      </c>
      <c r="F1297" s="20">
        <f>B1297/B1296-1</f>
        <v/>
      </c>
      <c r="G1297" s="20">
        <f>B1297/MAX(B$2:B1297)-1</f>
        <v/>
      </c>
      <c r="H1297" s="20">
        <f>C1297/C1296-1</f>
        <v/>
      </c>
      <c r="I1297" s="20">
        <f>C1297/MAX(C$2:C1297)-1</f>
        <v/>
      </c>
      <c r="J1297" s="20">
        <f>D1297/D1296-1</f>
        <v/>
      </c>
      <c r="K1297" s="20">
        <f>D1297/MAX(D$2:D1297)-1</f>
        <v/>
      </c>
      <c r="L1297" s="20">
        <f>E1297/E1296-1</f>
        <v/>
      </c>
      <c r="M1297" s="20">
        <f>E1297/MAX(E$2:E1297)-1</f>
        <v/>
      </c>
    </row>
    <row r="1298">
      <c r="A1298" s="11" t="n">
        <v>45614</v>
      </c>
      <c r="B1298" s="19" t="n">
        <v>1.663402528549014</v>
      </c>
      <c r="C1298" s="19" t="n">
        <v>1.485877166885964</v>
      </c>
      <c r="D1298" s="19" t="n">
        <v>1.415829422481645</v>
      </c>
      <c r="E1298" s="19" t="n">
        <v>1.247670521542794</v>
      </c>
      <c r="F1298" s="20">
        <f>B1298/B1297-1</f>
        <v/>
      </c>
      <c r="G1298" s="20">
        <f>B1298/MAX(B$2:B1298)-1</f>
        <v/>
      </c>
      <c r="H1298" s="20">
        <f>C1298/C1297-1</f>
        <v/>
      </c>
      <c r="I1298" s="20">
        <f>C1298/MAX(C$2:C1298)-1</f>
        <v/>
      </c>
      <c r="J1298" s="20">
        <f>D1298/D1297-1</f>
        <v/>
      </c>
      <c r="K1298" s="20">
        <f>D1298/MAX(D$2:D1298)-1</f>
        <v/>
      </c>
      <c r="L1298" s="20">
        <f>E1298/E1297-1</f>
        <v/>
      </c>
      <c r="M1298" s="20">
        <f>E1298/MAX(E$2:E1298)-1</f>
        <v/>
      </c>
    </row>
    <row r="1299">
      <c r="A1299" s="11" t="n">
        <v>45615</v>
      </c>
      <c r="B1299" s="19" t="n">
        <v>1.687600325802183</v>
      </c>
      <c r="C1299" s="19" t="n">
        <v>1.512034079985416</v>
      </c>
      <c r="D1299" s="19" t="n">
        <v>1.458258224065032</v>
      </c>
      <c r="E1299" s="19" t="n">
        <v>1.267132128390065</v>
      </c>
      <c r="F1299" s="20">
        <f>B1299/B1298-1</f>
        <v/>
      </c>
      <c r="G1299" s="20">
        <f>B1299/MAX(B$2:B1299)-1</f>
        <v/>
      </c>
      <c r="H1299" s="20">
        <f>C1299/C1298-1</f>
        <v/>
      </c>
      <c r="I1299" s="20">
        <f>C1299/MAX(C$2:C1299)-1</f>
        <v/>
      </c>
      <c r="J1299" s="20">
        <f>D1299/D1298-1</f>
        <v/>
      </c>
      <c r="K1299" s="20">
        <f>D1299/MAX(D$2:D1299)-1</f>
        <v/>
      </c>
      <c r="L1299" s="20">
        <f>E1299/E1298-1</f>
        <v/>
      </c>
      <c r="M1299" s="20">
        <f>E1299/MAX(E$2:E1299)-1</f>
        <v/>
      </c>
    </row>
    <row r="1300">
      <c r="A1300" s="11" t="n">
        <v>45616</v>
      </c>
      <c r="B1300" s="19" t="n">
        <v>1.718636900644445</v>
      </c>
      <c r="C1300" s="19" t="n">
        <v>1.527991817186362</v>
      </c>
      <c r="D1300" s="19" t="n">
        <v>1.465526421003812</v>
      </c>
      <c r="E1300" s="19" t="n">
        <v>1.280965789679248</v>
      </c>
      <c r="F1300" s="20">
        <f>B1300/B1299-1</f>
        <v/>
      </c>
      <c r="G1300" s="20">
        <f>B1300/MAX(B$2:B1300)-1</f>
        <v/>
      </c>
      <c r="H1300" s="20">
        <f>C1300/C1299-1</f>
        <v/>
      </c>
      <c r="I1300" s="20">
        <f>C1300/MAX(C$2:C1300)-1</f>
        <v/>
      </c>
      <c r="J1300" s="20">
        <f>D1300/D1299-1</f>
        <v/>
      </c>
      <c r="K1300" s="20">
        <f>D1300/MAX(D$2:D1300)-1</f>
        <v/>
      </c>
      <c r="L1300" s="20">
        <f>E1300/E1299-1</f>
        <v/>
      </c>
      <c r="M1300" s="20">
        <f>E1300/MAX(E$2:E1300)-1</f>
        <v/>
      </c>
    </row>
    <row r="1301">
      <c r="A1301" s="11" t="n">
        <v>45617</v>
      </c>
      <c r="B1301" s="19" t="n">
        <v>1.716492490301822</v>
      </c>
      <c r="C1301" s="19" t="n">
        <v>1.525817012719869</v>
      </c>
      <c r="D1301" s="19" t="n">
        <v>1.464241095306868</v>
      </c>
      <c r="E1301" s="19" t="n">
        <v>1.282661984771442</v>
      </c>
      <c r="F1301" s="20">
        <f>B1301/B1300-1</f>
        <v/>
      </c>
      <c r="G1301" s="20">
        <f>B1301/MAX(B$2:B1301)-1</f>
        <v/>
      </c>
      <c r="H1301" s="20">
        <f>C1301/C1300-1</f>
        <v/>
      </c>
      <c r="I1301" s="20">
        <f>C1301/MAX(C$2:C1301)-1</f>
        <v/>
      </c>
      <c r="J1301" s="20">
        <f>D1301/D1300-1</f>
        <v/>
      </c>
      <c r="K1301" s="20">
        <f>D1301/MAX(D$2:D1301)-1</f>
        <v/>
      </c>
      <c r="L1301" s="20">
        <f>E1301/E1300-1</f>
        <v/>
      </c>
      <c r="M1301" s="20">
        <f>E1301/MAX(E$2:E1301)-1</f>
        <v/>
      </c>
    </row>
    <row r="1302">
      <c r="A1302" s="11" t="n">
        <v>45618</v>
      </c>
      <c r="B1302" s="19" t="n">
        <v>1.658880578619848</v>
      </c>
      <c r="C1302" s="19" t="n">
        <v>1.46913861841186</v>
      </c>
      <c r="D1302" s="19" t="n">
        <v>1.405891250589592</v>
      </c>
      <c r="E1302" s="19" t="n">
        <v>1.239245341973017</v>
      </c>
      <c r="F1302" s="20">
        <f>B1302/B1301-1</f>
        <v/>
      </c>
      <c r="G1302" s="20">
        <f>B1302/MAX(B$2:B1302)-1</f>
        <v/>
      </c>
      <c r="H1302" s="20">
        <f>C1302/C1301-1</f>
        <v/>
      </c>
      <c r="I1302" s="20">
        <f>C1302/MAX(C$2:C1302)-1</f>
        <v/>
      </c>
      <c r="J1302" s="20">
        <f>D1302/D1301-1</f>
        <v/>
      </c>
      <c r="K1302" s="20">
        <f>D1302/MAX(D$2:D1302)-1</f>
        <v/>
      </c>
      <c r="L1302" s="20">
        <f>E1302/E1301-1</f>
        <v/>
      </c>
      <c r="M1302" s="20">
        <f>E1302/MAX(E$2:E1302)-1</f>
        <v/>
      </c>
    </row>
    <row r="1303">
      <c r="A1303" s="11" t="n">
        <v>45621</v>
      </c>
      <c r="B1303" s="19" t="n">
        <v>1.655775119591017</v>
      </c>
      <c r="C1303" s="19" t="n">
        <v>1.457866229852311</v>
      </c>
      <c r="D1303" s="19" t="n">
        <v>1.405640776864034</v>
      </c>
      <c r="E1303" s="19" t="n">
        <v>1.240074840888717</v>
      </c>
      <c r="F1303" s="20">
        <f>B1303/B1302-1</f>
        <v/>
      </c>
      <c r="G1303" s="20">
        <f>B1303/MAX(B$2:B1303)-1</f>
        <v/>
      </c>
      <c r="H1303" s="20">
        <f>C1303/C1302-1</f>
        <v/>
      </c>
      <c r="I1303" s="20">
        <f>C1303/MAX(C$2:C1303)-1</f>
        <v/>
      </c>
      <c r="J1303" s="20">
        <f>D1303/D1302-1</f>
        <v/>
      </c>
      <c r="K1303" s="20">
        <f>D1303/MAX(D$2:D1303)-1</f>
        <v/>
      </c>
      <c r="L1303" s="20">
        <f>E1303/E1302-1</f>
        <v/>
      </c>
      <c r="M1303" s="20">
        <f>E1303/MAX(E$2:E1303)-1</f>
        <v/>
      </c>
    </row>
    <row r="1304">
      <c r="A1304" s="11" t="n">
        <v>45622</v>
      </c>
      <c r="B1304" s="19" t="n">
        <v>1.644461814116652</v>
      </c>
      <c r="C1304" s="19" t="n">
        <v>1.450268218989832</v>
      </c>
      <c r="D1304" s="19" t="n">
        <v>1.38942919454797</v>
      </c>
      <c r="E1304" s="19" t="n">
        <v>1.231850526527227</v>
      </c>
      <c r="F1304" s="20">
        <f>B1304/B1303-1</f>
        <v/>
      </c>
      <c r="G1304" s="20">
        <f>B1304/MAX(B$2:B1304)-1</f>
        <v/>
      </c>
      <c r="H1304" s="20">
        <f>C1304/C1303-1</f>
        <v/>
      </c>
      <c r="I1304" s="20">
        <f>C1304/MAX(C$2:C1304)-1</f>
        <v/>
      </c>
      <c r="J1304" s="20">
        <f>D1304/D1303-1</f>
        <v/>
      </c>
      <c r="K1304" s="20">
        <f>D1304/MAX(D$2:D1304)-1</f>
        <v/>
      </c>
      <c r="L1304" s="20">
        <f>E1304/E1303-1</f>
        <v/>
      </c>
      <c r="M1304" s="20">
        <f>E1304/MAX(E$2:E1304)-1</f>
        <v/>
      </c>
    </row>
    <row r="1305">
      <c r="A1305" s="11" t="n">
        <v>45623</v>
      </c>
      <c r="B1305" s="19" t="n">
        <v>1.689416516167785</v>
      </c>
      <c r="C1305" s="19" t="n">
        <v>1.494281385950832</v>
      </c>
      <c r="D1305" s="19" t="n">
        <v>1.427351601587548</v>
      </c>
      <c r="E1305" s="19" t="n">
        <v>1.254749160271838</v>
      </c>
      <c r="F1305" s="20">
        <f>B1305/B1304-1</f>
        <v/>
      </c>
      <c r="G1305" s="20">
        <f>B1305/MAX(B$2:B1305)-1</f>
        <v/>
      </c>
      <c r="H1305" s="20">
        <f>C1305/C1304-1</f>
        <v/>
      </c>
      <c r="I1305" s="20">
        <f>C1305/MAX(C$2:C1305)-1</f>
        <v/>
      </c>
      <c r="J1305" s="20">
        <f>D1305/D1304-1</f>
        <v/>
      </c>
      <c r="K1305" s="20">
        <f>D1305/MAX(D$2:D1305)-1</f>
        <v/>
      </c>
      <c r="L1305" s="20">
        <f>E1305/E1304-1</f>
        <v/>
      </c>
      <c r="M1305" s="20">
        <f>E1305/MAX(E$2:E1305)-1</f>
        <v/>
      </c>
    </row>
    <row r="1306">
      <c r="A1306" s="11" t="n">
        <v>45624</v>
      </c>
      <c r="B1306" s="19" t="n">
        <v>1.674846132982209</v>
      </c>
      <c r="C1306" s="19" t="n">
        <v>1.482114669540496</v>
      </c>
      <c r="D1306" s="19" t="n">
        <v>1.402163482959935</v>
      </c>
      <c r="E1306" s="19" t="n">
        <v>1.248176404289588</v>
      </c>
      <c r="F1306" s="20">
        <f>B1306/B1305-1</f>
        <v/>
      </c>
      <c r="G1306" s="20">
        <f>B1306/MAX(B$2:B1306)-1</f>
        <v/>
      </c>
      <c r="H1306" s="20">
        <f>C1306/C1305-1</f>
        <v/>
      </c>
      <c r="I1306" s="20">
        <f>C1306/MAX(C$2:C1306)-1</f>
        <v/>
      </c>
      <c r="J1306" s="20">
        <f>D1306/D1305-1</f>
        <v/>
      </c>
      <c r="K1306" s="20">
        <f>D1306/MAX(D$2:D1306)-1</f>
        <v/>
      </c>
      <c r="L1306" s="20">
        <f>E1306/E1305-1</f>
        <v/>
      </c>
      <c r="M1306" s="20">
        <f>E1306/MAX(E$2:E1306)-1</f>
        <v/>
      </c>
    </row>
    <row r="1307">
      <c r="A1307" s="11" t="n">
        <v>45625</v>
      </c>
      <c r="B1307" s="19" t="n">
        <v>1.699359150548461</v>
      </c>
      <c r="C1307" s="19" t="n">
        <v>1.50651048837862</v>
      </c>
      <c r="D1307" s="19" t="n">
        <v>1.43718838202568</v>
      </c>
      <c r="E1307" s="19" t="n">
        <v>1.265938096318587</v>
      </c>
      <c r="F1307" s="20">
        <f>B1307/B1306-1</f>
        <v/>
      </c>
      <c r="G1307" s="20">
        <f>B1307/MAX(B$2:B1307)-1</f>
        <v/>
      </c>
      <c r="H1307" s="20">
        <f>C1307/C1306-1</f>
        <v/>
      </c>
      <c r="I1307" s="20">
        <f>C1307/MAX(C$2:C1307)-1</f>
        <v/>
      </c>
      <c r="J1307" s="20">
        <f>D1307/D1306-1</f>
        <v/>
      </c>
      <c r="K1307" s="20">
        <f>D1307/MAX(D$2:D1307)-1</f>
        <v/>
      </c>
      <c r="L1307" s="20">
        <f>E1307/E1306-1</f>
        <v/>
      </c>
      <c r="M1307" s="20">
        <f>E1307/MAX(E$2:E1307)-1</f>
        <v/>
      </c>
    </row>
    <row r="1308">
      <c r="A1308" s="11" t="n">
        <v>45628</v>
      </c>
      <c r="B1308" s="19" t="n">
        <v>1.716372577104511</v>
      </c>
      <c r="C1308" s="19" t="n">
        <v>1.527071948105608</v>
      </c>
      <c r="D1308" s="19" t="n">
        <v>1.457541181635003</v>
      </c>
      <c r="E1308" s="19" t="n">
        <v>1.284975654392811</v>
      </c>
      <c r="F1308" s="20">
        <f>B1308/B1307-1</f>
        <v/>
      </c>
      <c r="G1308" s="20">
        <f>B1308/MAX(B$2:B1308)-1</f>
        <v/>
      </c>
      <c r="H1308" s="20">
        <f>C1308/C1307-1</f>
        <v/>
      </c>
      <c r="I1308" s="20">
        <f>C1308/MAX(C$2:C1308)-1</f>
        <v/>
      </c>
      <c r="J1308" s="20">
        <f>D1308/D1307-1</f>
        <v/>
      </c>
      <c r="K1308" s="20">
        <f>D1308/MAX(D$2:D1308)-1</f>
        <v/>
      </c>
      <c r="L1308" s="20">
        <f>E1308/E1307-1</f>
        <v/>
      </c>
      <c r="M1308" s="20">
        <f>E1308/MAX(E$2:E1308)-1</f>
        <v/>
      </c>
    </row>
    <row r="1309">
      <c r="A1309" s="11" t="n">
        <v>45629</v>
      </c>
      <c r="B1309" s="19" t="n">
        <v>1.706526300853757</v>
      </c>
      <c r="C1309" s="19" t="n">
        <v>1.509896312707387</v>
      </c>
      <c r="D1309" s="19" t="n">
        <v>1.451079463564894</v>
      </c>
      <c r="E1309" s="19" t="n">
        <v>1.285942783173447</v>
      </c>
      <c r="F1309" s="20">
        <f>B1309/B1308-1</f>
        <v/>
      </c>
      <c r="G1309" s="20">
        <f>B1309/MAX(B$2:B1309)-1</f>
        <v/>
      </c>
      <c r="H1309" s="20">
        <f>C1309/C1308-1</f>
        <v/>
      </c>
      <c r="I1309" s="20">
        <f>C1309/MAX(C$2:C1309)-1</f>
        <v/>
      </c>
      <c r="J1309" s="20">
        <f>D1309/D1308-1</f>
        <v/>
      </c>
      <c r="K1309" s="20">
        <f>D1309/MAX(D$2:D1309)-1</f>
        <v/>
      </c>
      <c r="L1309" s="20">
        <f>E1309/E1308-1</f>
        <v/>
      </c>
      <c r="M1309" s="20">
        <f>E1309/MAX(E$2:E1309)-1</f>
        <v/>
      </c>
    </row>
    <row r="1310">
      <c r="A1310" s="11" t="n">
        <v>45630</v>
      </c>
      <c r="B1310" s="19" t="n">
        <v>1.691930646540174</v>
      </c>
      <c r="C1310" s="19" t="n">
        <v>1.494768400929008</v>
      </c>
      <c r="D1310" s="19" t="n">
        <v>1.430340420029446</v>
      </c>
      <c r="E1310" s="19" t="n">
        <v>1.273719763276632</v>
      </c>
      <c r="F1310" s="20">
        <f>B1310/B1309-1</f>
        <v/>
      </c>
      <c r="G1310" s="20">
        <f>B1310/MAX(B$2:B1310)-1</f>
        <v/>
      </c>
      <c r="H1310" s="20">
        <f>C1310/C1309-1</f>
        <v/>
      </c>
      <c r="I1310" s="20">
        <f>C1310/MAX(C$2:C1310)-1</f>
        <v/>
      </c>
      <c r="J1310" s="20">
        <f>D1310/D1309-1</f>
        <v/>
      </c>
      <c r="K1310" s="20">
        <f>D1310/MAX(D$2:D1310)-1</f>
        <v/>
      </c>
      <c r="L1310" s="20">
        <f>E1310/E1309-1</f>
        <v/>
      </c>
      <c r="M1310" s="20">
        <f>E1310/MAX(E$2:E1310)-1</f>
        <v/>
      </c>
    </row>
    <row r="1311">
      <c r="A1311" s="11" t="n">
        <v>45631</v>
      </c>
      <c r="B1311" s="19" t="n">
        <v>1.694218790868308</v>
      </c>
      <c r="C1311" s="19" t="n">
        <v>1.490194837256429</v>
      </c>
      <c r="D1311" s="19" t="n">
        <v>1.435543113436229</v>
      </c>
      <c r="E1311" s="19" t="n">
        <v>1.28012513158531</v>
      </c>
      <c r="F1311" s="20">
        <f>B1311/B1310-1</f>
        <v/>
      </c>
      <c r="G1311" s="20">
        <f>B1311/MAX(B$2:B1311)-1</f>
        <v/>
      </c>
      <c r="H1311" s="20">
        <f>C1311/C1310-1</f>
        <v/>
      </c>
      <c r="I1311" s="20">
        <f>C1311/MAX(C$2:C1311)-1</f>
        <v/>
      </c>
      <c r="J1311" s="20">
        <f>D1311/D1310-1</f>
        <v/>
      </c>
      <c r="K1311" s="20">
        <f>D1311/MAX(D$2:D1311)-1</f>
        <v/>
      </c>
      <c r="L1311" s="20">
        <f>E1311/E1310-1</f>
        <v/>
      </c>
      <c r="M1311" s="20">
        <f>E1311/MAX(E$2:E1311)-1</f>
        <v/>
      </c>
    </row>
    <row r="1312">
      <c r="A1312" s="11" t="n">
        <v>45632</v>
      </c>
      <c r="B1312" s="19" t="n">
        <v>1.716629371459192</v>
      </c>
      <c r="C1312" s="19" t="n">
        <v>1.516643815042053</v>
      </c>
      <c r="D1312" s="19" t="n">
        <v>1.465015457188541</v>
      </c>
      <c r="E1312" s="19" t="n">
        <v>1.295167703850288</v>
      </c>
      <c r="F1312" s="20">
        <f>B1312/B1311-1</f>
        <v/>
      </c>
      <c r="G1312" s="20">
        <f>B1312/MAX(B$2:B1312)-1</f>
        <v/>
      </c>
      <c r="H1312" s="20">
        <f>C1312/C1311-1</f>
        <v/>
      </c>
      <c r="I1312" s="20">
        <f>C1312/MAX(C$2:C1312)-1</f>
        <v/>
      </c>
      <c r="J1312" s="20">
        <f>D1312/D1311-1</f>
        <v/>
      </c>
      <c r="K1312" s="20">
        <f>D1312/MAX(D$2:D1312)-1</f>
        <v/>
      </c>
      <c r="L1312" s="20">
        <f>E1312/E1311-1</f>
        <v/>
      </c>
      <c r="M1312" s="20">
        <f>E1312/MAX(E$2:E1312)-1</f>
        <v/>
      </c>
    </row>
    <row r="1313">
      <c r="A1313" s="11" t="n">
        <v>45635</v>
      </c>
      <c r="B1313" s="19" t="n">
        <v>1.723074861430045</v>
      </c>
      <c r="C1313" s="19" t="n">
        <v>1.510692371758134</v>
      </c>
      <c r="D1313" s="19" t="n">
        <v>1.453101282824837</v>
      </c>
      <c r="E1313" s="19" t="n">
        <v>1.290510606798915</v>
      </c>
      <c r="F1313" s="20">
        <f>B1313/B1312-1</f>
        <v/>
      </c>
      <c r="G1313" s="20">
        <f>B1313/MAX(B$2:B1313)-1</f>
        <v/>
      </c>
      <c r="H1313" s="20">
        <f>C1313/C1312-1</f>
        <v/>
      </c>
      <c r="I1313" s="20">
        <f>C1313/MAX(C$2:C1313)-1</f>
        <v/>
      </c>
      <c r="J1313" s="20">
        <f>D1313/D1312-1</f>
        <v/>
      </c>
      <c r="K1313" s="20">
        <f>D1313/MAX(D$2:D1313)-1</f>
        <v/>
      </c>
      <c r="L1313" s="20">
        <f>E1313/E1312-1</f>
        <v/>
      </c>
      <c r="M1313" s="20">
        <f>E1313/MAX(E$2:E1313)-1</f>
        <v/>
      </c>
    </row>
    <row r="1314">
      <c r="A1314" s="11" t="n">
        <v>45636</v>
      </c>
      <c r="B1314" s="19" t="n">
        <v>1.729541966486894</v>
      </c>
      <c r="C1314" s="19" t="n">
        <v>1.522975779362253</v>
      </c>
      <c r="D1314" s="19" t="n">
        <v>1.463068340618677</v>
      </c>
      <c r="E1314" s="19" t="n">
        <v>1.300300925839821</v>
      </c>
      <c r="F1314" s="20">
        <f>B1314/B1313-1</f>
        <v/>
      </c>
      <c r="G1314" s="20">
        <f>B1314/MAX(B$2:B1314)-1</f>
        <v/>
      </c>
      <c r="H1314" s="20">
        <f>C1314/C1313-1</f>
        <v/>
      </c>
      <c r="I1314" s="20">
        <f>C1314/MAX(C$2:C1314)-1</f>
        <v/>
      </c>
      <c r="J1314" s="20">
        <f>D1314/D1313-1</f>
        <v/>
      </c>
      <c r="K1314" s="20">
        <f>D1314/MAX(D$2:D1314)-1</f>
        <v/>
      </c>
      <c r="L1314" s="20">
        <f>E1314/E1313-1</f>
        <v/>
      </c>
      <c r="M1314" s="20">
        <f>E1314/MAX(E$2:E1314)-1</f>
        <v/>
      </c>
    </row>
    <row r="1315">
      <c r="A1315" s="11" t="n">
        <v>45637</v>
      </c>
      <c r="B1315" s="19" t="n">
        <v>1.727503645846345</v>
      </c>
      <c r="C1315" s="19" t="n">
        <v>1.524886032482576</v>
      </c>
      <c r="D1315" s="19" t="n">
        <v>1.461473024606588</v>
      </c>
      <c r="E1315" s="19" t="n">
        <v>1.307695741285612</v>
      </c>
      <c r="F1315" s="20">
        <f>B1315/B1314-1</f>
        <v/>
      </c>
      <c r="G1315" s="20">
        <f>B1315/MAX(B$2:B1315)-1</f>
        <v/>
      </c>
      <c r="H1315" s="20">
        <f>C1315/C1314-1</f>
        <v/>
      </c>
      <c r="I1315" s="20">
        <f>C1315/MAX(C$2:C1315)-1</f>
        <v/>
      </c>
      <c r="J1315" s="20">
        <f>D1315/D1314-1</f>
        <v/>
      </c>
      <c r="K1315" s="20">
        <f>D1315/MAX(D$2:D1315)-1</f>
        <v/>
      </c>
      <c r="L1315" s="20">
        <f>E1315/E1314-1</f>
        <v/>
      </c>
      <c r="M1315" s="20">
        <f>E1315/MAX(E$2:E1315)-1</f>
        <v/>
      </c>
    </row>
    <row r="1316">
      <c r="A1316" s="11" t="n">
        <v>45638</v>
      </c>
      <c r="B1316" s="19" t="n">
        <v>1.737546107870086</v>
      </c>
      <c r="C1316" s="19" t="n">
        <v>1.530818428069571</v>
      </c>
      <c r="D1316" s="19" t="n">
        <v>1.481223226824056</v>
      </c>
      <c r="E1316" s="19" t="n">
        <v>1.319703017069823</v>
      </c>
      <c r="F1316" s="20">
        <f>B1316/B1315-1</f>
        <v/>
      </c>
      <c r="G1316" s="20">
        <f>B1316/MAX(B$2:B1316)-1</f>
        <v/>
      </c>
      <c r="H1316" s="20">
        <f>C1316/C1315-1</f>
        <v/>
      </c>
      <c r="I1316" s="20">
        <f>C1316/MAX(C$2:C1316)-1</f>
        <v/>
      </c>
      <c r="J1316" s="20">
        <f>D1316/D1315-1</f>
        <v/>
      </c>
      <c r="K1316" s="20">
        <f>D1316/MAX(D$2:D1316)-1</f>
        <v/>
      </c>
      <c r="L1316" s="20">
        <f>E1316/E1315-1</f>
        <v/>
      </c>
      <c r="M1316" s="20">
        <f>E1316/MAX(E$2:E1316)-1</f>
        <v/>
      </c>
    </row>
    <row r="1317">
      <c r="A1317" s="11" t="n">
        <v>45639</v>
      </c>
      <c r="B1317" s="19" t="n">
        <v>1.707875837381096</v>
      </c>
      <c r="C1317" s="19" t="n">
        <v>1.502872763068055</v>
      </c>
      <c r="D1317" s="19" t="n">
        <v>1.444462201052726</v>
      </c>
      <c r="E1317" s="19" t="n">
        <v>1.292441144634109</v>
      </c>
      <c r="F1317" s="20">
        <f>B1317/B1316-1</f>
        <v/>
      </c>
      <c r="G1317" s="20">
        <f>B1317/MAX(B$2:B1317)-1</f>
        <v/>
      </c>
      <c r="H1317" s="20">
        <f>C1317/C1316-1</f>
        <v/>
      </c>
      <c r="I1317" s="20">
        <f>C1317/MAX(C$2:C1317)-1</f>
        <v/>
      </c>
      <c r="J1317" s="20">
        <f>D1317/D1316-1</f>
        <v/>
      </c>
      <c r="K1317" s="20">
        <f>D1317/MAX(D$2:D1317)-1</f>
        <v/>
      </c>
      <c r="L1317" s="20">
        <f>E1317/E1316-1</f>
        <v/>
      </c>
      <c r="M1317" s="20">
        <f>E1317/MAX(E$2:E1317)-1</f>
        <v/>
      </c>
    </row>
    <row r="1318">
      <c r="A1318" s="11" t="n">
        <v>45642</v>
      </c>
      <c r="B1318" s="19" t="n">
        <v>1.688287173419026</v>
      </c>
      <c r="C1318" s="19" t="n">
        <v>1.484529301827352</v>
      </c>
      <c r="D1318" s="19" t="n">
        <v>1.422667755843951</v>
      </c>
      <c r="E1318" s="19" t="n">
        <v>1.282338368602536</v>
      </c>
      <c r="F1318" s="20">
        <f>B1318/B1317-1</f>
        <v/>
      </c>
      <c r="G1318" s="20">
        <f>B1318/MAX(B$2:B1318)-1</f>
        <v/>
      </c>
      <c r="H1318" s="20">
        <f>C1318/C1317-1</f>
        <v/>
      </c>
      <c r="I1318" s="20">
        <f>C1318/MAX(C$2:C1318)-1</f>
        <v/>
      </c>
      <c r="J1318" s="20">
        <f>D1318/D1317-1</f>
        <v/>
      </c>
      <c r="K1318" s="20">
        <f>D1318/MAX(D$2:D1318)-1</f>
        <v/>
      </c>
      <c r="L1318" s="20">
        <f>E1318/E1317-1</f>
        <v/>
      </c>
      <c r="M1318" s="20">
        <f>E1318/MAX(E$2:E1318)-1</f>
        <v/>
      </c>
    </row>
    <row r="1319">
      <c r="A1319" s="11" t="n">
        <v>45643</v>
      </c>
      <c r="B1319" s="19" t="n">
        <v>1.676387367200973</v>
      </c>
      <c r="C1319" s="19" t="n">
        <v>1.482751853482806</v>
      </c>
      <c r="D1319" s="19" t="n">
        <v>1.42244067517532</v>
      </c>
      <c r="E1319" s="19" t="n">
        <v>1.265714912753825</v>
      </c>
      <c r="F1319" s="20">
        <f>B1319/B1318-1</f>
        <v/>
      </c>
      <c r="G1319" s="20">
        <f>B1319/MAX(B$2:B1319)-1</f>
        <v/>
      </c>
      <c r="H1319" s="20">
        <f>C1319/C1318-1</f>
        <v/>
      </c>
      <c r="I1319" s="20">
        <f>C1319/MAX(C$2:C1319)-1</f>
        <v/>
      </c>
      <c r="J1319" s="20">
        <f>D1319/D1318-1</f>
        <v/>
      </c>
      <c r="K1319" s="20">
        <f>D1319/MAX(D$2:D1319)-1</f>
        <v/>
      </c>
      <c r="L1319" s="20">
        <f>E1319/E1318-1</f>
        <v/>
      </c>
      <c r="M1319" s="20">
        <f>E1319/MAX(E$2:E1319)-1</f>
        <v/>
      </c>
    </row>
    <row r="1320">
      <c r="A1320" s="11" t="n">
        <v>45644</v>
      </c>
      <c r="B1320" s="19" t="n">
        <v>1.708010750368383</v>
      </c>
      <c r="C1320" s="19" t="n">
        <v>1.50388282010773</v>
      </c>
      <c r="D1320" s="19" t="n">
        <v>1.42305865253278</v>
      </c>
      <c r="E1320" s="19" t="n">
        <v>1.273630489850727</v>
      </c>
      <c r="F1320" s="20">
        <f>B1320/B1319-1</f>
        <v/>
      </c>
      <c r="G1320" s="20">
        <f>B1320/MAX(B$2:B1320)-1</f>
        <v/>
      </c>
      <c r="H1320" s="20">
        <f>C1320/C1319-1</f>
        <v/>
      </c>
      <c r="I1320" s="20">
        <f>C1320/MAX(C$2:C1320)-1</f>
        <v/>
      </c>
      <c r="J1320" s="20">
        <f>D1320/D1319-1</f>
        <v/>
      </c>
      <c r="K1320" s="20">
        <f>D1320/MAX(D$2:D1320)-1</f>
        <v/>
      </c>
      <c r="L1320" s="20">
        <f>E1320/E1319-1</f>
        <v/>
      </c>
      <c r="M1320" s="20">
        <f>E1320/MAX(E$2:E1320)-1</f>
        <v/>
      </c>
    </row>
    <row r="1321">
      <c r="A1321" s="11" t="n">
        <v>45645</v>
      </c>
      <c r="B1321" s="19" t="n">
        <v>1.734043432214698</v>
      </c>
      <c r="C1321" s="19" t="n">
        <v>1.533289962945976</v>
      </c>
      <c r="D1321" s="19" t="n">
        <v>1.43042914562934</v>
      </c>
      <c r="E1321" s="19" t="n">
        <v>1.274876598087317</v>
      </c>
      <c r="F1321" s="20">
        <f>B1321/B1320-1</f>
        <v/>
      </c>
      <c r="G1321" s="20">
        <f>B1321/MAX(B$2:B1321)-1</f>
        <v/>
      </c>
      <c r="H1321" s="20">
        <f>C1321/C1320-1</f>
        <v/>
      </c>
      <c r="I1321" s="20">
        <f>C1321/MAX(C$2:C1321)-1</f>
        <v/>
      </c>
      <c r="J1321" s="20">
        <f>D1321/D1320-1</f>
        <v/>
      </c>
      <c r="K1321" s="20">
        <f>D1321/MAX(D$2:D1321)-1</f>
        <v/>
      </c>
      <c r="L1321" s="20">
        <f>E1321/E1320-1</f>
        <v/>
      </c>
      <c r="M1321" s="20">
        <f>E1321/MAX(E$2:E1321)-1</f>
        <v/>
      </c>
    </row>
    <row r="1322">
      <c r="A1322" s="11" t="n">
        <v>45646</v>
      </c>
      <c r="B1322" s="19" t="n">
        <v>1.748360143402502</v>
      </c>
      <c r="C1322" s="19" t="n">
        <v>1.536364819192382</v>
      </c>
      <c r="D1322" s="19" t="n">
        <v>1.427920983423434</v>
      </c>
      <c r="E1322" s="19" t="n">
        <v>1.278614922797085</v>
      </c>
      <c r="F1322" s="20">
        <f>B1322/B1321-1</f>
        <v/>
      </c>
      <c r="G1322" s="20">
        <f>B1322/MAX(B$2:B1322)-1</f>
        <v/>
      </c>
      <c r="H1322" s="20">
        <f>C1322/C1321-1</f>
        <v/>
      </c>
      <c r="I1322" s="20">
        <f>C1322/MAX(C$2:C1322)-1</f>
        <v/>
      </c>
      <c r="J1322" s="20">
        <f>D1322/D1321-1</f>
        <v/>
      </c>
      <c r="K1322" s="20">
        <f>D1322/MAX(D$2:D1322)-1</f>
        <v/>
      </c>
      <c r="L1322" s="20">
        <f>E1322/E1321-1</f>
        <v/>
      </c>
      <c r="M1322" s="20">
        <f>E1322/MAX(E$2:E1322)-1</f>
        <v/>
      </c>
    </row>
    <row r="1323">
      <c r="A1323" s="11" t="n">
        <v>45649</v>
      </c>
      <c r="B1323" s="19" t="n">
        <v>1.710900376992582</v>
      </c>
      <c r="C1323" s="19" t="n">
        <v>1.509007901186705</v>
      </c>
      <c r="D1323" s="19" t="n">
        <v>1.413887217161302</v>
      </c>
      <c r="E1323" s="19" t="n">
        <v>1.257851411822034</v>
      </c>
      <c r="F1323" s="20">
        <f>B1323/B1322-1</f>
        <v/>
      </c>
      <c r="G1323" s="20">
        <f>B1323/MAX(B$2:B1323)-1</f>
        <v/>
      </c>
      <c r="H1323" s="20">
        <f>C1323/C1322-1</f>
        <v/>
      </c>
      <c r="I1323" s="20">
        <f>C1323/MAX(C$2:C1323)-1</f>
        <v/>
      </c>
      <c r="J1323" s="20">
        <f>D1323/D1322-1</f>
        <v/>
      </c>
      <c r="K1323" s="20">
        <f>D1323/MAX(D$2:D1323)-1</f>
        <v/>
      </c>
      <c r="L1323" s="20">
        <f>E1323/E1322-1</f>
        <v/>
      </c>
      <c r="M1323" s="20">
        <f>E1323/MAX(E$2:E1323)-1</f>
        <v/>
      </c>
    </row>
    <row r="1324">
      <c r="A1324" s="11" t="n">
        <v>45650</v>
      </c>
      <c r="B1324" s="19" t="n">
        <v>1.730264626011596</v>
      </c>
      <c r="C1324" s="19" t="n">
        <v>1.527549054433363</v>
      </c>
      <c r="D1324" s="19" t="n">
        <v>1.430432441336255</v>
      </c>
      <c r="E1324" s="19" t="n">
        <v>1.272324865996868</v>
      </c>
      <c r="F1324" s="20">
        <f>B1324/B1323-1</f>
        <v/>
      </c>
      <c r="G1324" s="20">
        <f>B1324/MAX(B$2:B1324)-1</f>
        <v/>
      </c>
      <c r="H1324" s="20">
        <f>C1324/C1323-1</f>
        <v/>
      </c>
      <c r="I1324" s="20">
        <f>C1324/MAX(C$2:C1324)-1</f>
        <v/>
      </c>
      <c r="J1324" s="20">
        <f>D1324/D1323-1</f>
        <v/>
      </c>
      <c r="K1324" s="20">
        <f>D1324/MAX(D$2:D1324)-1</f>
        <v/>
      </c>
      <c r="L1324" s="20">
        <f>E1324/E1323-1</f>
        <v/>
      </c>
      <c r="M1324" s="20">
        <f>E1324/MAX(E$2:E1324)-1</f>
        <v/>
      </c>
    </row>
    <row r="1325">
      <c r="A1325" s="11" t="n">
        <v>45651</v>
      </c>
      <c r="B1325" s="19" t="n">
        <v>1.723029451078196</v>
      </c>
      <c r="C1325" s="19" t="n">
        <v>1.521591983420808</v>
      </c>
      <c r="D1325" s="19" t="n">
        <v>1.422514990135174</v>
      </c>
      <c r="E1325" s="19" t="n">
        <v>1.262248128047851</v>
      </c>
      <c r="F1325" s="20">
        <f>B1325/B1324-1</f>
        <v/>
      </c>
      <c r="G1325" s="20">
        <f>B1325/MAX(B$2:B1325)-1</f>
        <v/>
      </c>
      <c r="H1325" s="20">
        <f>C1325/C1324-1</f>
        <v/>
      </c>
      <c r="I1325" s="20">
        <f>C1325/MAX(C$2:C1325)-1</f>
        <v/>
      </c>
      <c r="J1325" s="20">
        <f>D1325/D1324-1</f>
        <v/>
      </c>
      <c r="K1325" s="20">
        <f>D1325/MAX(D$2:D1325)-1</f>
        <v/>
      </c>
      <c r="L1325" s="20">
        <f>E1325/E1324-1</f>
        <v/>
      </c>
      <c r="M1325" s="20">
        <f>E1325/MAX(E$2:E1325)-1</f>
        <v/>
      </c>
    </row>
    <row r="1326">
      <c r="A1326" s="11" t="n">
        <v>45652</v>
      </c>
      <c r="B1326" s="19" t="n">
        <v>1.751301050377739</v>
      </c>
      <c r="C1326" s="19" t="n">
        <v>1.546603052489633</v>
      </c>
      <c r="D1326" s="19" t="n">
        <v>1.428040404332834</v>
      </c>
      <c r="E1326" s="19" t="n">
        <v>1.269672701302276</v>
      </c>
      <c r="F1326" s="20">
        <f>B1326/B1325-1</f>
        <v/>
      </c>
      <c r="G1326" s="20">
        <f>B1326/MAX(B$2:B1326)-1</f>
        <v/>
      </c>
      <c r="H1326" s="20">
        <f>C1326/C1325-1</f>
        <v/>
      </c>
      <c r="I1326" s="20">
        <f>C1326/MAX(C$2:C1326)-1</f>
        <v/>
      </c>
      <c r="J1326" s="20">
        <f>D1326/D1325-1</f>
        <v/>
      </c>
      <c r="K1326" s="20">
        <f>D1326/MAX(D$2:D1326)-1</f>
        <v/>
      </c>
      <c r="L1326" s="20">
        <f>E1326/E1325-1</f>
        <v/>
      </c>
      <c r="M1326" s="20">
        <f>E1326/MAX(E$2:E1326)-1</f>
        <v/>
      </c>
    </row>
    <row r="1327">
      <c r="A1327" s="11" t="n">
        <v>45653</v>
      </c>
      <c r="B1327" s="19" t="n">
        <v>1.737698748778737</v>
      </c>
      <c r="C1327" s="19" t="n">
        <v>1.534138739864978</v>
      </c>
      <c r="D1327" s="19" t="n">
        <v>1.424841694595629</v>
      </c>
      <c r="E1327" s="19" t="n">
        <v>1.271231266529533</v>
      </c>
      <c r="F1327" s="20">
        <f>B1327/B1326-1</f>
        <v/>
      </c>
      <c r="G1327" s="20">
        <f>B1327/MAX(B$2:B1327)-1</f>
        <v/>
      </c>
      <c r="H1327" s="20">
        <f>C1327/C1326-1</f>
        <v/>
      </c>
      <c r="I1327" s="20">
        <f>C1327/MAX(C$2:C1327)-1</f>
        <v/>
      </c>
      <c r="J1327" s="20">
        <f>D1327/D1326-1</f>
        <v/>
      </c>
      <c r="K1327" s="20">
        <f>D1327/MAX(D$2:D1327)-1</f>
        <v/>
      </c>
      <c r="L1327" s="20">
        <f>E1327/E1326-1</f>
        <v/>
      </c>
      <c r="M1327" s="20">
        <f>E1327/MAX(E$2:E1327)-1</f>
        <v/>
      </c>
    </row>
    <row r="1328">
      <c r="A1328" s="11" t="n">
        <v>45656</v>
      </c>
      <c r="B1328" s="19" t="n">
        <v>1.735396057854456</v>
      </c>
      <c r="C1328" s="19" t="n">
        <v>1.538675410649827</v>
      </c>
      <c r="D1328" s="19" t="n">
        <v>1.425739096202137</v>
      </c>
      <c r="E1328" s="19" t="n">
        <v>1.270100469801404</v>
      </c>
      <c r="F1328" s="20">
        <f>B1328/B1327-1</f>
        <v/>
      </c>
      <c r="G1328" s="20">
        <f>B1328/MAX(B$2:B1328)-1</f>
        <v/>
      </c>
      <c r="H1328" s="20">
        <f>C1328/C1327-1</f>
        <v/>
      </c>
      <c r="I1328" s="20">
        <f>C1328/MAX(C$2:C1328)-1</f>
        <v/>
      </c>
      <c r="J1328" s="20">
        <f>D1328/D1327-1</f>
        <v/>
      </c>
      <c r="K1328" s="20">
        <f>D1328/MAX(D$2:D1328)-1</f>
        <v/>
      </c>
      <c r="L1328" s="20">
        <f>E1328/E1327-1</f>
        <v/>
      </c>
      <c r="M1328" s="20">
        <f>E1328/MAX(E$2:E1328)-1</f>
        <v/>
      </c>
    </row>
    <row r="1329">
      <c r="A1329" s="11" t="n">
        <v>45657</v>
      </c>
      <c r="B1329" s="19" t="n">
        <v>1.685257128659593</v>
      </c>
      <c r="C1329" s="19" t="n">
        <v>1.496368215069662</v>
      </c>
      <c r="D1329" s="19" t="n">
        <v>1.383935703472195</v>
      </c>
      <c r="E1329" s="19" t="n">
        <v>1.24177103598091</v>
      </c>
      <c r="F1329" s="20">
        <f>B1329/B1328-1</f>
        <v/>
      </c>
      <c r="G1329" s="20">
        <f>B1329/MAX(B$2:B1329)-1</f>
        <v/>
      </c>
      <c r="H1329" s="20">
        <f>C1329/C1328-1</f>
        <v/>
      </c>
      <c r="I1329" s="20">
        <f>C1329/MAX(C$2:C1329)-1</f>
        <v/>
      </c>
      <c r="J1329" s="20">
        <f>D1329/D1328-1</f>
        <v/>
      </c>
      <c r="K1329" s="20">
        <f>D1329/MAX(D$2:D1329)-1</f>
        <v/>
      </c>
      <c r="L1329" s="20">
        <f>E1329/E1328-1</f>
        <v/>
      </c>
      <c r="M1329" s="20">
        <f>E1329/MAX(E$2:E1329)-1</f>
        <v/>
      </c>
    </row>
    <row r="1330">
      <c r="A1330" s="11" t="n">
        <v>45659</v>
      </c>
      <c r="B1330" s="19" t="n">
        <v>1.628635610698789</v>
      </c>
      <c r="C1330" s="19" t="n">
        <v>1.443397964830544</v>
      </c>
      <c r="D1330" s="19" t="n">
        <v>1.331492864116001</v>
      </c>
      <c r="E1330" s="19" t="n">
        <v>1.209089522647552</v>
      </c>
      <c r="F1330" s="20">
        <f>B1330/B1329-1</f>
        <v/>
      </c>
      <c r="G1330" s="20">
        <f>B1330/MAX(B$2:B1330)-1</f>
        <v/>
      </c>
      <c r="H1330" s="20">
        <f>C1330/C1329-1</f>
        <v/>
      </c>
      <c r="I1330" s="20">
        <f>C1330/MAX(C$2:C1330)-1</f>
        <v/>
      </c>
      <c r="J1330" s="20">
        <f>D1330/D1329-1</f>
        <v/>
      </c>
      <c r="K1330" s="20">
        <f>D1330/MAX(D$2:D1330)-1</f>
        <v/>
      </c>
      <c r="L1330" s="20">
        <f>E1330/E1329-1</f>
        <v/>
      </c>
      <c r="M1330" s="20">
        <f>E1330/MAX(E$2:E1330)-1</f>
        <v/>
      </c>
    </row>
    <row r="1331">
      <c r="A1331" s="11" t="n">
        <v>45660</v>
      </c>
      <c r="B1331" s="19" t="n">
        <v>1.596577039963015</v>
      </c>
      <c r="C1331" s="19" t="n">
        <v>1.41278432355303</v>
      </c>
      <c r="D1331" s="19" t="n">
        <v>1.30275229654228</v>
      </c>
      <c r="E1331" s="19" t="n">
        <v>1.182448844467094</v>
      </c>
      <c r="F1331" s="20">
        <f>B1331/B1330-1</f>
        <v/>
      </c>
      <c r="G1331" s="20">
        <f>B1331/MAX(B$2:B1331)-1</f>
        <v/>
      </c>
      <c r="H1331" s="20">
        <f>C1331/C1330-1</f>
        <v/>
      </c>
      <c r="I1331" s="20">
        <f>C1331/MAX(C$2:C1331)-1</f>
        <v/>
      </c>
      <c r="J1331" s="20">
        <f>D1331/D1330-1</f>
        <v/>
      </c>
      <c r="K1331" s="20">
        <f>D1331/MAX(D$2:D1331)-1</f>
        <v/>
      </c>
      <c r="L1331" s="20">
        <f>E1331/E1330-1</f>
        <v/>
      </c>
      <c r="M1331" s="20">
        <f>E1331/MAX(E$2:E1331)-1</f>
        <v/>
      </c>
    </row>
    <row r="1332">
      <c r="A1332" s="11" t="n">
        <v>45663</v>
      </c>
      <c r="B1332" s="19" t="n">
        <v>1.586977950827936</v>
      </c>
      <c r="C1332" s="19" t="n">
        <v>1.410807451593717</v>
      </c>
      <c r="D1332" s="19" t="n">
        <v>1.301603839614875</v>
      </c>
      <c r="E1332" s="19" t="n">
        <v>1.178889066609135</v>
      </c>
      <c r="F1332" s="20">
        <f>B1332/B1331-1</f>
        <v/>
      </c>
      <c r="G1332" s="20">
        <f>B1332/MAX(B$2:B1332)-1</f>
        <v/>
      </c>
      <c r="H1332" s="20">
        <f>C1332/C1331-1</f>
        <v/>
      </c>
      <c r="I1332" s="20">
        <f>C1332/MAX(C$2:C1332)-1</f>
        <v/>
      </c>
      <c r="J1332" s="20">
        <f>D1332/D1331-1</f>
        <v/>
      </c>
      <c r="K1332" s="20">
        <f>D1332/MAX(D$2:D1332)-1</f>
        <v/>
      </c>
      <c r="L1332" s="20">
        <f>E1332/E1331-1</f>
        <v/>
      </c>
      <c r="M1332" s="20">
        <f>E1332/MAX(E$2:E1332)-1</f>
        <v/>
      </c>
    </row>
    <row r="1333">
      <c r="A1333" s="11" t="n">
        <v>45664</v>
      </c>
      <c r="B1333" s="19" t="n">
        <v>1.616780909697581</v>
      </c>
      <c r="C1333" s="19" t="n">
        <v>1.43719091684598</v>
      </c>
      <c r="D1333" s="19" t="n">
        <v>1.310759636533932</v>
      </c>
      <c r="E1333" s="19" t="n">
        <v>1.194281293125574</v>
      </c>
      <c r="F1333" s="20">
        <f>B1333/B1332-1</f>
        <v/>
      </c>
      <c r="G1333" s="20">
        <f>B1333/MAX(B$2:B1333)-1</f>
        <v/>
      </c>
      <c r="H1333" s="20">
        <f>C1333/C1332-1</f>
        <v/>
      </c>
      <c r="I1333" s="20">
        <f>C1333/MAX(C$2:C1333)-1</f>
        <v/>
      </c>
      <c r="J1333" s="20">
        <f>D1333/D1332-1</f>
        <v/>
      </c>
      <c r="K1333" s="20">
        <f>D1333/MAX(D$2:D1333)-1</f>
        <v/>
      </c>
      <c r="L1333" s="20">
        <f>E1333/E1332-1</f>
        <v/>
      </c>
      <c r="M1333" s="20">
        <f>E1333/MAX(E$2:E1333)-1</f>
        <v/>
      </c>
    </row>
    <row r="1334">
      <c r="A1334" s="11" t="n">
        <v>45665</v>
      </c>
      <c r="B1334" s="19" t="n">
        <v>1.608747926834109</v>
      </c>
      <c r="C1334" s="19" t="n">
        <v>1.428230995653421</v>
      </c>
      <c r="D1334" s="19" t="n">
        <v>1.29789080573378</v>
      </c>
      <c r="E1334" s="19" t="n">
        <v>1.192469786524921</v>
      </c>
      <c r="F1334" s="20">
        <f>B1334/B1333-1</f>
        <v/>
      </c>
      <c r="G1334" s="20">
        <f>B1334/MAX(B$2:B1334)-1</f>
        <v/>
      </c>
      <c r="H1334" s="20">
        <f>C1334/C1333-1</f>
        <v/>
      </c>
      <c r="I1334" s="20">
        <f>C1334/MAX(C$2:C1334)-1</f>
        <v/>
      </c>
      <c r="J1334" s="20">
        <f>D1334/D1333-1</f>
        <v/>
      </c>
      <c r="K1334" s="20">
        <f>D1334/MAX(D$2:D1334)-1</f>
        <v/>
      </c>
      <c r="L1334" s="20">
        <f>E1334/E1333-1</f>
        <v/>
      </c>
      <c r="M1334" s="20">
        <f>E1334/MAX(E$2:E1334)-1</f>
        <v/>
      </c>
    </row>
    <row r="1335">
      <c r="A1335" s="11" t="n">
        <v>45666</v>
      </c>
      <c r="B1335" s="19" t="n">
        <v>1.616737720143748</v>
      </c>
      <c r="C1335" s="19" t="n">
        <v>1.440478231873483</v>
      </c>
      <c r="D1335" s="19" t="n">
        <v>1.299322822699304</v>
      </c>
      <c r="E1335" s="19" t="n">
        <v>1.192447468168444</v>
      </c>
      <c r="F1335" s="20">
        <f>B1335/B1334-1</f>
        <v/>
      </c>
      <c r="G1335" s="20">
        <f>B1335/MAX(B$2:B1335)-1</f>
        <v/>
      </c>
      <c r="H1335" s="20">
        <f>C1335/C1334-1</f>
        <v/>
      </c>
      <c r="I1335" s="20">
        <f>C1335/MAX(C$2:C1335)-1</f>
        <v/>
      </c>
      <c r="J1335" s="20">
        <f>D1335/D1334-1</f>
        <v/>
      </c>
      <c r="K1335" s="20">
        <f>D1335/MAX(D$2:D1335)-1</f>
        <v/>
      </c>
      <c r="L1335" s="20">
        <f>E1335/E1334-1</f>
        <v/>
      </c>
      <c r="M1335" s="20">
        <f>E1335/MAX(E$2:E1335)-1</f>
        <v/>
      </c>
    </row>
    <row r="1336">
      <c r="A1336" s="11" t="n">
        <v>45667</v>
      </c>
      <c r="B1336" s="19" t="n">
        <v>1.594818673542946</v>
      </c>
      <c r="C1336" s="19" t="n">
        <v>1.417594829031288</v>
      </c>
      <c r="D1336" s="19" t="n">
        <v>1.276475625307074</v>
      </c>
      <c r="E1336" s="19" t="n">
        <v>1.171062762938137</v>
      </c>
      <c r="F1336" s="20">
        <f>B1336/B1335-1</f>
        <v/>
      </c>
      <c r="G1336" s="20">
        <f>B1336/MAX(B$2:B1336)-1</f>
        <v/>
      </c>
      <c r="H1336" s="20">
        <f>C1336/C1335-1</f>
        <v/>
      </c>
      <c r="I1336" s="20">
        <f>C1336/MAX(C$2:C1336)-1</f>
        <v/>
      </c>
      <c r="J1336" s="20">
        <f>D1336/D1335-1</f>
        <v/>
      </c>
      <c r="K1336" s="20">
        <f>D1336/MAX(D$2:D1336)-1</f>
        <v/>
      </c>
      <c r="L1336" s="20">
        <f>E1336/E1335-1</f>
        <v/>
      </c>
      <c r="M1336" s="20">
        <f>E1336/MAX(E$2:E1336)-1</f>
        <v/>
      </c>
    </row>
    <row r="1337">
      <c r="A1337" s="11" t="n">
        <v>45670</v>
      </c>
      <c r="B1337" s="19" t="n">
        <v>1.59502869373713</v>
      </c>
      <c r="C1337" s="19" t="n">
        <v>1.417767364609235</v>
      </c>
      <c r="D1337" s="19" t="n">
        <v>1.28109911437893</v>
      </c>
      <c r="E1337" s="19" t="n">
        <v>1.170285340187549</v>
      </c>
      <c r="F1337" s="20">
        <f>B1337/B1336-1</f>
        <v/>
      </c>
      <c r="G1337" s="20">
        <f>B1337/MAX(B$2:B1337)-1</f>
        <v/>
      </c>
      <c r="H1337" s="20">
        <f>C1337/C1336-1</f>
        <v/>
      </c>
      <c r="I1337" s="20">
        <f>C1337/MAX(C$2:C1337)-1</f>
        <v/>
      </c>
      <c r="J1337" s="20">
        <f>D1337/D1336-1</f>
        <v/>
      </c>
      <c r="K1337" s="20">
        <f>D1337/MAX(D$2:D1337)-1</f>
        <v/>
      </c>
      <c r="L1337" s="20">
        <f>E1337/E1336-1</f>
        <v/>
      </c>
      <c r="M1337" s="20">
        <f>E1337/MAX(E$2:E1337)-1</f>
        <v/>
      </c>
    </row>
    <row r="1338">
      <c r="A1338" s="11" t="n">
        <v>45671</v>
      </c>
      <c r="B1338" s="19" t="n">
        <v>1.656320486881746</v>
      </c>
      <c r="C1338" s="19" t="n">
        <v>1.480899368756438</v>
      </c>
      <c r="D1338" s="19" t="n">
        <v>1.341388773413493</v>
      </c>
      <c r="E1338" s="19" t="n">
        <v>1.212221532006383</v>
      </c>
      <c r="F1338" s="20">
        <f>B1338/B1337-1</f>
        <v/>
      </c>
      <c r="G1338" s="20">
        <f>B1338/MAX(B$2:B1338)-1</f>
        <v/>
      </c>
      <c r="H1338" s="20">
        <f>C1338/C1337-1</f>
        <v/>
      </c>
      <c r="I1338" s="20">
        <f>C1338/MAX(C$2:C1338)-1</f>
        <v/>
      </c>
      <c r="J1338" s="20">
        <f>D1338/D1337-1</f>
        <v/>
      </c>
      <c r="K1338" s="20">
        <f>D1338/MAX(D$2:D1338)-1</f>
        <v/>
      </c>
      <c r="L1338" s="20">
        <f>E1338/E1337-1</f>
        <v/>
      </c>
      <c r="M1338" s="20">
        <f>E1338/MAX(E$2:E1338)-1</f>
        <v/>
      </c>
    </row>
    <row r="1339">
      <c r="A1339" s="11" t="n">
        <v>45672</v>
      </c>
      <c r="B1339" s="19" t="n">
        <v>1.644719473183155</v>
      </c>
      <c r="C1339" s="19" t="n">
        <v>1.463396170691414</v>
      </c>
      <c r="D1339" s="19" t="n">
        <v>1.316947358578147</v>
      </c>
      <c r="E1339" s="19" t="n">
        <v>1.204930868890815</v>
      </c>
      <c r="F1339" s="20">
        <f>B1339/B1338-1</f>
        <v/>
      </c>
      <c r="G1339" s="20">
        <f>B1339/MAX(B$2:B1339)-1</f>
        <v/>
      </c>
      <c r="H1339" s="20">
        <f>C1339/C1338-1</f>
        <v/>
      </c>
      <c r="I1339" s="20">
        <f>C1339/MAX(C$2:C1339)-1</f>
        <v/>
      </c>
      <c r="J1339" s="20">
        <f>D1339/D1338-1</f>
        <v/>
      </c>
      <c r="K1339" s="20">
        <f>D1339/MAX(D$2:D1339)-1</f>
        <v/>
      </c>
      <c r="L1339" s="20">
        <f>E1339/E1338-1</f>
        <v/>
      </c>
      <c r="M1339" s="20">
        <f>E1339/MAX(E$2:E1339)-1</f>
        <v/>
      </c>
    </row>
    <row r="1340">
      <c r="A1340" s="11" t="n">
        <v>45673</v>
      </c>
      <c r="B1340" s="19" t="n">
        <v>1.635393778644438</v>
      </c>
      <c r="C1340" s="19" t="n">
        <v>1.464239512282758</v>
      </c>
      <c r="D1340" s="19" t="n">
        <v>1.325617781876804</v>
      </c>
      <c r="E1340" s="19" t="n">
        <v>1.209186235525616</v>
      </c>
      <c r="F1340" s="20">
        <f>B1340/B1339-1</f>
        <v/>
      </c>
      <c r="G1340" s="20">
        <f>B1340/MAX(B$2:B1340)-1</f>
        <v/>
      </c>
      <c r="H1340" s="20">
        <f>C1340/C1339-1</f>
        <v/>
      </c>
      <c r="I1340" s="20">
        <f>C1340/MAX(C$2:C1340)-1</f>
        <v/>
      </c>
      <c r="J1340" s="20">
        <f>D1340/D1339-1</f>
        <v/>
      </c>
      <c r="K1340" s="20">
        <f>D1340/MAX(D$2:D1340)-1</f>
        <v/>
      </c>
      <c r="L1340" s="20">
        <f>E1340/E1339-1</f>
        <v/>
      </c>
      <c r="M1340" s="20">
        <f>E1340/MAX(E$2:E1340)-1</f>
        <v/>
      </c>
    </row>
    <row r="1341">
      <c r="A1341" s="11" t="n">
        <v>45674</v>
      </c>
      <c r="B1341" s="19" t="n">
        <v>1.651463199165399</v>
      </c>
      <c r="C1341" s="19" t="n">
        <v>1.479807878002387</v>
      </c>
      <c r="D1341" s="19" t="n">
        <v>1.335908142056858</v>
      </c>
      <c r="E1341" s="19" t="n">
        <v>1.213218418595655</v>
      </c>
      <c r="F1341" s="20">
        <f>B1341/B1340-1</f>
        <v/>
      </c>
      <c r="G1341" s="20">
        <f>B1341/MAX(B$2:B1341)-1</f>
        <v/>
      </c>
      <c r="H1341" s="20">
        <f>C1341/C1340-1</f>
        <v/>
      </c>
      <c r="I1341" s="20">
        <f>C1341/MAX(C$2:C1341)-1</f>
        <v/>
      </c>
      <c r="J1341" s="20">
        <f>D1341/D1340-1</f>
        <v/>
      </c>
      <c r="K1341" s="20">
        <f>D1341/MAX(D$2:D1341)-1</f>
        <v/>
      </c>
      <c r="L1341" s="20">
        <f>E1341/E1340-1</f>
        <v/>
      </c>
      <c r="M1341" s="20">
        <f>E1341/MAX(E$2:E1341)-1</f>
        <v/>
      </c>
    </row>
    <row r="1342">
      <c r="A1342" s="11" t="n">
        <v>45677</v>
      </c>
      <c r="B1342" s="19" t="n">
        <v>1.663041139447687</v>
      </c>
      <c r="C1342" s="19" t="n">
        <v>1.497008188826169</v>
      </c>
      <c r="D1342" s="19" t="n">
        <v>1.360110908938519</v>
      </c>
      <c r="E1342" s="19" t="n">
        <v>1.220434687189635</v>
      </c>
      <c r="F1342" s="20">
        <f>B1342/B1341-1</f>
        <v/>
      </c>
      <c r="G1342" s="20">
        <f>B1342/MAX(B$2:B1342)-1</f>
        <v/>
      </c>
      <c r="H1342" s="20">
        <f>C1342/C1341-1</f>
        <v/>
      </c>
      <c r="I1342" s="20">
        <f>C1342/MAX(C$2:C1342)-1</f>
        <v/>
      </c>
      <c r="J1342" s="20">
        <f>D1342/D1341-1</f>
        <v/>
      </c>
      <c r="K1342" s="20">
        <f>D1342/MAX(D$2:D1342)-1</f>
        <v/>
      </c>
      <c r="L1342" s="20">
        <f>E1342/E1341-1</f>
        <v/>
      </c>
      <c r="M1342" s="20">
        <f>E1342/MAX(E$2:E1342)-1</f>
        <v/>
      </c>
    </row>
    <row r="1343">
      <c r="A1343" s="11" t="n">
        <v>45678</v>
      </c>
      <c r="B1343" s="19" t="n">
        <v>1.687274454397499</v>
      </c>
      <c r="C1343" s="19" t="n">
        <v>1.519014435604955</v>
      </c>
      <c r="D1343" s="19" t="n">
        <v>1.365062482402702</v>
      </c>
      <c r="E1343" s="19" t="n">
        <v>1.222517733794083</v>
      </c>
      <c r="F1343" s="20">
        <f>B1343/B1342-1</f>
        <v/>
      </c>
      <c r="G1343" s="20">
        <f>B1343/MAX(B$2:B1343)-1</f>
        <v/>
      </c>
      <c r="H1343" s="20">
        <f>C1343/C1342-1</f>
        <v/>
      </c>
      <c r="I1343" s="20">
        <f>C1343/MAX(C$2:C1343)-1</f>
        <v/>
      </c>
      <c r="J1343" s="20">
        <f>D1343/D1342-1</f>
        <v/>
      </c>
      <c r="K1343" s="20">
        <f>D1343/MAX(D$2:D1343)-1</f>
        <v/>
      </c>
      <c r="L1343" s="20">
        <f>E1343/E1342-1</f>
        <v/>
      </c>
      <c r="M1343" s="20">
        <f>E1343/MAX(E$2:E1343)-1</f>
        <v/>
      </c>
    </row>
    <row r="1344">
      <c r="A1344" s="11" t="n">
        <v>45679</v>
      </c>
      <c r="B1344" s="19" t="n">
        <v>1.681435154749721</v>
      </c>
      <c r="C1344" s="19" t="n">
        <v>1.511086024161234</v>
      </c>
      <c r="D1344" s="19" t="n">
        <v>1.357724364779956</v>
      </c>
      <c r="E1344" s="19" t="n">
        <v>1.211187448156318</v>
      </c>
      <c r="F1344" s="20">
        <f>B1344/B1343-1</f>
        <v/>
      </c>
      <c r="G1344" s="20">
        <f>B1344/MAX(B$2:B1344)-1</f>
        <v/>
      </c>
      <c r="H1344" s="20">
        <f>C1344/C1343-1</f>
        <v/>
      </c>
      <c r="I1344" s="20">
        <f>C1344/MAX(C$2:C1344)-1</f>
        <v/>
      </c>
      <c r="J1344" s="20">
        <f>D1344/D1343-1</f>
        <v/>
      </c>
      <c r="K1344" s="20">
        <f>D1344/MAX(D$2:D1344)-1</f>
        <v/>
      </c>
      <c r="L1344" s="20">
        <f>E1344/E1343-1</f>
        <v/>
      </c>
      <c r="M1344" s="20">
        <f>E1344/MAX(E$2:E1344)-1</f>
        <v/>
      </c>
    </row>
    <row r="1345">
      <c r="A1345" s="11" t="n">
        <v>45680</v>
      </c>
      <c r="B1345" s="19" t="n">
        <v>1.666740251919394</v>
      </c>
      <c r="C1345" s="19" t="n">
        <v>1.494008224660851</v>
      </c>
      <c r="D1345" s="19" t="n">
        <v>1.352734470645171</v>
      </c>
      <c r="E1345" s="19" t="n">
        <v>1.210432343762206</v>
      </c>
      <c r="F1345" s="20">
        <f>B1345/B1344-1</f>
        <v/>
      </c>
      <c r="G1345" s="20">
        <f>B1345/MAX(B$2:B1345)-1</f>
        <v/>
      </c>
      <c r="H1345" s="20">
        <f>C1345/C1344-1</f>
        <v/>
      </c>
      <c r="I1345" s="20">
        <f>C1345/MAX(C$2:C1345)-1</f>
        <v/>
      </c>
      <c r="J1345" s="20">
        <f>D1345/D1344-1</f>
        <v/>
      </c>
      <c r="K1345" s="20">
        <f>D1345/MAX(D$2:D1345)-1</f>
        <v/>
      </c>
      <c r="L1345" s="20">
        <f>E1345/E1344-1</f>
        <v/>
      </c>
      <c r="M1345" s="20">
        <f>E1345/MAX(E$2:E1345)-1</f>
        <v/>
      </c>
    </row>
    <row r="1346">
      <c r="A1346" s="11" t="n">
        <v>45681</v>
      </c>
      <c r="B1346" s="19" t="n">
        <v>1.697247525129516</v>
      </c>
      <c r="C1346" s="19" t="n">
        <v>1.522594007719608</v>
      </c>
      <c r="D1346" s="19" t="n">
        <v>1.371168587234487</v>
      </c>
      <c r="E1346" s="19" t="n">
        <v>1.223867994360895</v>
      </c>
      <c r="F1346" s="20">
        <f>B1346/B1345-1</f>
        <v/>
      </c>
      <c r="G1346" s="20">
        <f>B1346/MAX(B$2:B1346)-1</f>
        <v/>
      </c>
      <c r="H1346" s="20">
        <f>C1346/C1345-1</f>
        <v/>
      </c>
      <c r="I1346" s="20">
        <f>C1346/MAX(C$2:C1346)-1</f>
        <v/>
      </c>
      <c r="J1346" s="20">
        <f>D1346/D1345-1</f>
        <v/>
      </c>
      <c r="K1346" s="20">
        <f>D1346/MAX(D$2:D1346)-1</f>
        <v/>
      </c>
      <c r="L1346" s="20">
        <f>E1346/E1345-1</f>
        <v/>
      </c>
      <c r="M1346" s="20">
        <f>E1346/MAX(E$2:E1346)-1</f>
        <v/>
      </c>
    </row>
    <row r="1347">
      <c r="A1347" s="11" t="n">
        <v>45684</v>
      </c>
      <c r="B1347" s="19" t="n">
        <v>1.672316122554966</v>
      </c>
      <c r="C1347" s="19" t="n">
        <v>1.49970035952528</v>
      </c>
      <c r="D1347" s="19" t="n">
        <v>1.333675591419453</v>
      </c>
      <c r="E1347" s="19" t="n">
        <v>1.21318866078702</v>
      </c>
      <c r="F1347" s="20">
        <f>B1347/B1346-1</f>
        <v/>
      </c>
      <c r="G1347" s="20">
        <f>B1347/MAX(B$2:B1347)-1</f>
        <v/>
      </c>
      <c r="H1347" s="20">
        <f>C1347/C1346-1</f>
        <v/>
      </c>
      <c r="I1347" s="20">
        <f>C1347/MAX(C$2:C1347)-1</f>
        <v/>
      </c>
      <c r="J1347" s="20">
        <f>D1347/D1346-1</f>
        <v/>
      </c>
      <c r="K1347" s="20">
        <f>D1347/MAX(D$2:D1347)-1</f>
        <v/>
      </c>
      <c r="L1347" s="20">
        <f>E1347/E1346-1</f>
        <v/>
      </c>
      <c r="M1347" s="20">
        <f>E1347/MAX(E$2:E1347)-1</f>
        <v/>
      </c>
    </row>
    <row r="1348">
      <c r="A1348" s="11" t="n">
        <v>45693</v>
      </c>
      <c r="B1348" s="19" t="n">
        <v>1.705022687006432</v>
      </c>
      <c r="C1348" s="19" t="n">
        <v>1.520165041559814</v>
      </c>
      <c r="D1348" s="19" t="n">
        <v>1.333096063976004</v>
      </c>
      <c r="E1348" s="19" t="n">
        <v>1.21501876601807</v>
      </c>
      <c r="F1348" s="20">
        <f>B1348/B1347-1</f>
        <v/>
      </c>
      <c r="G1348" s="20">
        <f>B1348/MAX(B$2:B1348)-1</f>
        <v/>
      </c>
      <c r="H1348" s="20">
        <f>C1348/C1347-1</f>
        <v/>
      </c>
      <c r="I1348" s="20">
        <f>C1348/MAX(C$2:C1348)-1</f>
        <v/>
      </c>
      <c r="J1348" s="20">
        <f>D1348/D1347-1</f>
        <v/>
      </c>
      <c r="K1348" s="20">
        <f>D1348/MAX(D$2:D1348)-1</f>
        <v/>
      </c>
      <c r="L1348" s="20">
        <f>E1348/E1347-1</f>
        <v/>
      </c>
      <c r="M1348" s="20">
        <f>E1348/MAX(E$2:E1348)-1</f>
        <v/>
      </c>
    </row>
    <row r="1349">
      <c r="A1349" s="11" t="n">
        <v>45694</v>
      </c>
      <c r="B1349" s="19" t="n">
        <v>1.748369470646978</v>
      </c>
      <c r="C1349" s="19" t="n">
        <v>1.559072271339253</v>
      </c>
      <c r="D1349" s="19" t="n">
        <v>1.370461625790315</v>
      </c>
      <c r="E1349" s="19" t="n">
        <v>1.238553472922254</v>
      </c>
      <c r="F1349" s="20">
        <f>B1349/B1348-1</f>
        <v/>
      </c>
      <c r="G1349" s="20">
        <f>B1349/MAX(B$2:B1349)-1</f>
        <v/>
      </c>
      <c r="H1349" s="20">
        <f>C1349/C1348-1</f>
        <v/>
      </c>
      <c r="I1349" s="20">
        <f>C1349/MAX(C$2:C1349)-1</f>
        <v/>
      </c>
      <c r="J1349" s="20">
        <f>D1349/D1348-1</f>
        <v/>
      </c>
      <c r="K1349" s="20">
        <f>D1349/MAX(D$2:D1349)-1</f>
        <v/>
      </c>
      <c r="L1349" s="20">
        <f>E1349/E1348-1</f>
        <v/>
      </c>
      <c r="M1349" s="20">
        <f>E1349/MAX(E$2:E1349)-1</f>
        <v/>
      </c>
    </row>
    <row r="1350">
      <c r="A1350" s="11" t="n">
        <v>45695</v>
      </c>
      <c r="B1350" s="19" t="n">
        <v>1.76763785756506</v>
      </c>
      <c r="C1350" s="19" t="n">
        <v>1.574986237317468</v>
      </c>
      <c r="D1350" s="19" t="n">
        <v>1.405102607311287</v>
      </c>
      <c r="E1350" s="19" t="n">
        <v>1.256237050703586</v>
      </c>
      <c r="F1350" s="20">
        <f>B1350/B1349-1</f>
        <v/>
      </c>
      <c r="G1350" s="20">
        <f>B1350/MAX(B$2:B1350)-1</f>
        <v/>
      </c>
      <c r="H1350" s="20">
        <f>C1350/C1349-1</f>
        <v/>
      </c>
      <c r="I1350" s="20">
        <f>C1350/MAX(C$2:C1350)-1</f>
        <v/>
      </c>
      <c r="J1350" s="20">
        <f>D1350/D1349-1</f>
        <v/>
      </c>
      <c r="K1350" s="20">
        <f>D1350/MAX(D$2:D1350)-1</f>
        <v/>
      </c>
      <c r="L1350" s="20">
        <f>E1350/E1349-1</f>
        <v/>
      </c>
      <c r="M1350" s="20">
        <f>E1350/MAX(E$2:E1350)-1</f>
        <v/>
      </c>
    </row>
    <row r="1351">
      <c r="A1351" s="11" t="n">
        <v>45698</v>
      </c>
      <c r="B1351" s="19" t="n">
        <v>1.784874269778055</v>
      </c>
      <c r="C1351" s="19" t="n">
        <v>1.57645036066766</v>
      </c>
      <c r="D1351" s="19" t="n">
        <v>1.411258341611912</v>
      </c>
      <c r="E1351" s="19" t="n">
        <v>1.267835156619067</v>
      </c>
      <c r="F1351" s="20">
        <f>B1351/B1350-1</f>
        <v/>
      </c>
      <c r="G1351" s="20">
        <f>B1351/MAX(B$2:B1351)-1</f>
        <v/>
      </c>
      <c r="H1351" s="20">
        <f>C1351/C1350-1</f>
        <v/>
      </c>
      <c r="I1351" s="20">
        <f>C1351/MAX(C$2:C1351)-1</f>
        <v/>
      </c>
      <c r="J1351" s="20">
        <f>D1351/D1350-1</f>
        <v/>
      </c>
      <c r="K1351" s="20">
        <f>D1351/MAX(D$2:D1351)-1</f>
        <v/>
      </c>
      <c r="L1351" s="20">
        <f>E1351/E1350-1</f>
        <v/>
      </c>
      <c r="M1351" s="20">
        <f>E1351/MAX(E$2:E1351)-1</f>
        <v/>
      </c>
    </row>
    <row r="1352">
      <c r="A1352" s="11" t="n">
        <v>45699</v>
      </c>
      <c r="B1352" s="19" t="n">
        <v>1.772736519283029</v>
      </c>
      <c r="C1352" s="19" t="n">
        <v>1.568858747137735</v>
      </c>
      <c r="D1352" s="19" t="n">
        <v>1.391132364184403</v>
      </c>
      <c r="E1352" s="19" t="n">
        <v>1.262627540107947</v>
      </c>
      <c r="F1352" s="20">
        <f>B1352/B1351-1</f>
        <v/>
      </c>
      <c r="G1352" s="20">
        <f>B1352/MAX(B$2:B1352)-1</f>
        <v/>
      </c>
      <c r="H1352" s="20">
        <f>C1352/C1351-1</f>
        <v/>
      </c>
      <c r="I1352" s="20">
        <f>C1352/MAX(C$2:C1352)-1</f>
        <v/>
      </c>
      <c r="J1352" s="20">
        <f>D1352/D1351-1</f>
        <v/>
      </c>
      <c r="K1352" s="20">
        <f>D1352/MAX(D$2:D1352)-1</f>
        <v/>
      </c>
      <c r="L1352" s="20">
        <f>E1352/E1351-1</f>
        <v/>
      </c>
      <c r="M1352" s="20">
        <f>E1352/MAX(E$2:E1352)-1</f>
        <v/>
      </c>
    </row>
    <row r="1353">
      <c r="A1353" s="11" t="n">
        <v>45700</v>
      </c>
      <c r="B1353" s="19" t="n">
        <v>1.805733556389501</v>
      </c>
      <c r="C1353" s="19" t="n">
        <v>1.593417818206568</v>
      </c>
      <c r="D1353" s="19" t="n">
        <v>1.416352276690493</v>
      </c>
      <c r="E1353" s="19" t="n">
        <v>1.277673832099004</v>
      </c>
      <c r="F1353" s="20">
        <f>B1353/B1352-1</f>
        <v/>
      </c>
      <c r="G1353" s="20">
        <f>B1353/MAX(B$2:B1353)-1</f>
        <v/>
      </c>
      <c r="H1353" s="20">
        <f>C1353/C1352-1</f>
        <v/>
      </c>
      <c r="I1353" s="20">
        <f>C1353/MAX(C$2:C1353)-1</f>
        <v/>
      </c>
      <c r="J1353" s="20">
        <f>D1353/D1352-1</f>
        <v/>
      </c>
      <c r="K1353" s="20">
        <f>D1353/MAX(D$2:D1353)-1</f>
        <v/>
      </c>
      <c r="L1353" s="20">
        <f>E1353/E1352-1</f>
        <v/>
      </c>
      <c r="M1353" s="20">
        <f>E1353/MAX(E$2:E1353)-1</f>
        <v/>
      </c>
    </row>
    <row r="1354">
      <c r="A1354" s="11" t="n">
        <v>45701</v>
      </c>
      <c r="B1354" s="19" t="n">
        <v>1.766262680470997</v>
      </c>
      <c r="C1354" s="19" t="n">
        <v>1.561564441220659</v>
      </c>
      <c r="D1354" s="19" t="n">
        <v>1.406269029072465</v>
      </c>
      <c r="E1354" s="19" t="n">
        <v>1.269192856638037</v>
      </c>
      <c r="F1354" s="20">
        <f>B1354/B1353-1</f>
        <v/>
      </c>
      <c r="G1354" s="20">
        <f>B1354/MAX(B$2:B1354)-1</f>
        <v/>
      </c>
      <c r="H1354" s="20">
        <f>C1354/C1353-1</f>
        <v/>
      </c>
      <c r="I1354" s="20">
        <f>C1354/MAX(C$2:C1354)-1</f>
        <v/>
      </c>
      <c r="J1354" s="20">
        <f>D1354/D1353-1</f>
        <v/>
      </c>
      <c r="K1354" s="20">
        <f>D1354/MAX(D$2:D1354)-1</f>
        <v/>
      </c>
      <c r="L1354" s="20">
        <f>E1354/E1353-1</f>
        <v/>
      </c>
      <c r="M1354" s="20">
        <f>E1354/MAX(E$2:E1354)-1</f>
        <v/>
      </c>
    </row>
    <row r="1355">
      <c r="A1355" s="11" t="n">
        <v>45702</v>
      </c>
      <c r="B1355" s="19" t="n">
        <v>1.789980897987781</v>
      </c>
      <c r="C1355" s="19" t="n">
        <v>1.581723109498043</v>
      </c>
      <c r="D1355" s="19" t="n">
        <v>1.431563579646929</v>
      </c>
      <c r="E1355" s="19" t="n">
        <v>1.27734277647794</v>
      </c>
      <c r="F1355" s="20">
        <f>B1355/B1354-1</f>
        <v/>
      </c>
      <c r="G1355" s="20">
        <f>B1355/MAX(B$2:B1355)-1</f>
        <v/>
      </c>
      <c r="H1355" s="20">
        <f>C1355/C1354-1</f>
        <v/>
      </c>
      <c r="I1355" s="20">
        <f>C1355/MAX(C$2:C1355)-1</f>
        <v/>
      </c>
      <c r="J1355" s="20">
        <f>D1355/D1354-1</f>
        <v/>
      </c>
      <c r="K1355" s="20">
        <f>D1355/MAX(D$2:D1355)-1</f>
        <v/>
      </c>
      <c r="L1355" s="20">
        <f>E1355/E1354-1</f>
        <v/>
      </c>
      <c r="M1355" s="20">
        <f>E1355/MAX(E$2:E1355)-1</f>
        <v/>
      </c>
    </row>
    <row r="1356">
      <c r="A1356" s="11" t="n">
        <v>45705</v>
      </c>
      <c r="B1356" s="19" t="n">
        <v>1.806418541947774</v>
      </c>
      <c r="C1356" s="19" t="n">
        <v>1.593303916826981</v>
      </c>
      <c r="D1356" s="19" t="n">
        <v>1.438876688670142</v>
      </c>
      <c r="E1356" s="19" t="n">
        <v>1.284112677942396</v>
      </c>
      <c r="F1356" s="20">
        <f>B1356/B1355-1</f>
        <v/>
      </c>
      <c r="G1356" s="20">
        <f>B1356/MAX(B$2:B1356)-1</f>
        <v/>
      </c>
      <c r="H1356" s="20">
        <f>C1356/C1355-1</f>
        <v/>
      </c>
      <c r="I1356" s="20">
        <f>C1356/MAX(C$2:C1356)-1</f>
        <v/>
      </c>
      <c r="J1356" s="20">
        <f>D1356/D1355-1</f>
        <v/>
      </c>
      <c r="K1356" s="20">
        <f>D1356/MAX(D$2:D1356)-1</f>
        <v/>
      </c>
      <c r="L1356" s="20">
        <f>E1356/E1355-1</f>
        <v/>
      </c>
      <c r="M1356" s="20">
        <f>E1356/MAX(E$2:E1356)-1</f>
        <v/>
      </c>
    </row>
    <row r="1357">
      <c r="A1357" s="11" t="n">
        <v>45706</v>
      </c>
      <c r="B1357" s="19" t="n">
        <v>1.76414394342424</v>
      </c>
      <c r="C1357" s="19" t="n">
        <v>1.565579272450128</v>
      </c>
      <c r="D1357" s="19" t="n">
        <v>1.410416514671033</v>
      </c>
      <c r="E1357" s="19" t="n">
        <v>1.263226416006725</v>
      </c>
      <c r="F1357" s="20">
        <f>B1357/B1356-1</f>
        <v/>
      </c>
      <c r="G1357" s="20">
        <f>B1357/MAX(B$2:B1357)-1</f>
        <v/>
      </c>
      <c r="H1357" s="20">
        <f>C1357/C1356-1</f>
        <v/>
      </c>
      <c r="I1357" s="20">
        <f>C1357/MAX(C$2:C1357)-1</f>
        <v/>
      </c>
      <c r="J1357" s="20">
        <f>D1357/D1356-1</f>
        <v/>
      </c>
      <c r="K1357" s="20">
        <f>D1357/MAX(D$2:D1357)-1</f>
        <v/>
      </c>
      <c r="L1357" s="20">
        <f>E1357/E1356-1</f>
        <v/>
      </c>
      <c r="M1357" s="20">
        <f>E1357/MAX(E$2:E1357)-1</f>
        <v/>
      </c>
    </row>
    <row r="1358">
      <c r="A1358" s="11" t="n">
        <v>45707</v>
      </c>
      <c r="B1358" s="19" t="n">
        <v>1.816170385042305</v>
      </c>
      <c r="C1358" s="19" t="n">
        <v>1.59571008347076</v>
      </c>
      <c r="D1358" s="19" t="n">
        <v>1.439113785702926</v>
      </c>
      <c r="E1358" s="19" t="n">
        <v>1.282621067784568</v>
      </c>
      <c r="F1358" s="20">
        <f>B1358/B1357-1</f>
        <v/>
      </c>
      <c r="G1358" s="20">
        <f>B1358/MAX(B$2:B1358)-1</f>
        <v/>
      </c>
      <c r="H1358" s="20">
        <f>C1358/C1357-1</f>
        <v/>
      </c>
      <c r="I1358" s="20">
        <f>C1358/MAX(C$2:C1358)-1</f>
        <v/>
      </c>
      <c r="J1358" s="20">
        <f>D1358/D1357-1</f>
        <v/>
      </c>
      <c r="K1358" s="20">
        <f>D1358/MAX(D$2:D1358)-1</f>
        <v/>
      </c>
      <c r="L1358" s="20">
        <f>E1358/E1357-1</f>
        <v/>
      </c>
      <c r="M1358" s="20">
        <f>E1358/MAX(E$2:E1358)-1</f>
        <v/>
      </c>
    </row>
    <row r="1359">
      <c r="A1359" s="11" t="n">
        <v>45708</v>
      </c>
      <c r="B1359" s="19" t="n">
        <v>1.827223278390397</v>
      </c>
      <c r="C1359" s="19" t="n">
        <v>1.604675969093669</v>
      </c>
      <c r="D1359" s="19" t="n">
        <v>1.438210180412812</v>
      </c>
      <c r="E1359" s="19" t="n">
        <v>1.285909305638733</v>
      </c>
      <c r="F1359" s="20">
        <f>B1359/B1358-1</f>
        <v/>
      </c>
      <c r="G1359" s="20">
        <f>B1359/MAX(B$2:B1359)-1</f>
        <v/>
      </c>
      <c r="H1359" s="20">
        <f>C1359/C1358-1</f>
        <v/>
      </c>
      <c r="I1359" s="20">
        <f>C1359/MAX(C$2:C1359)-1</f>
        <v/>
      </c>
      <c r="J1359" s="20">
        <f>D1359/D1358-1</f>
        <v/>
      </c>
      <c r="K1359" s="20">
        <f>D1359/MAX(D$2:D1359)-1</f>
        <v/>
      </c>
      <c r="L1359" s="20">
        <f>E1359/E1358-1</f>
        <v/>
      </c>
      <c r="M1359" s="20">
        <f>E1359/MAX(E$2:E1359)-1</f>
        <v/>
      </c>
    </row>
    <row r="1360">
      <c r="A1360" s="11" t="n">
        <v>45709</v>
      </c>
      <c r="B1360" s="19" t="n">
        <v>1.896262943452273</v>
      </c>
      <c r="C1360" s="19" t="n">
        <v>1.64887485109968</v>
      </c>
      <c r="D1360" s="19" t="n">
        <v>1.47435180714919</v>
      </c>
      <c r="E1360" s="19" t="n">
        <v>1.303685876572049</v>
      </c>
      <c r="F1360" s="20">
        <f>B1360/B1359-1</f>
        <v/>
      </c>
      <c r="G1360" s="20">
        <f>B1360/MAX(B$2:B1360)-1</f>
        <v/>
      </c>
      <c r="H1360" s="20">
        <f>C1360/C1359-1</f>
        <v/>
      </c>
      <c r="I1360" s="20">
        <f>C1360/MAX(C$2:C1360)-1</f>
        <v/>
      </c>
      <c r="J1360" s="20">
        <f>D1360/D1359-1</f>
        <v/>
      </c>
      <c r="K1360" s="20">
        <f>D1360/MAX(D$2:D1360)-1</f>
        <v/>
      </c>
      <c r="L1360" s="20">
        <f>E1360/E1359-1</f>
        <v/>
      </c>
      <c r="M1360" s="20">
        <f>E1360/MAX(E$2:E1360)-1</f>
        <v/>
      </c>
    </row>
    <row r="1361">
      <c r="A1361" s="11" t="n">
        <v>45712</v>
      </c>
      <c r="B1361" s="19" t="n">
        <v>1.895253873260491</v>
      </c>
      <c r="C1361" s="19" t="n">
        <v>1.647695866000414</v>
      </c>
      <c r="D1361" s="19" t="n">
        <v>1.464485559213934</v>
      </c>
      <c r="E1361" s="19" t="n">
        <v>1.303016325877762</v>
      </c>
      <c r="F1361" s="20">
        <f>B1361/B1360-1</f>
        <v/>
      </c>
      <c r="G1361" s="20">
        <f>B1361/MAX(B$2:B1361)-1</f>
        <v/>
      </c>
      <c r="H1361" s="20">
        <f>C1361/C1360-1</f>
        <v/>
      </c>
      <c r="I1361" s="20">
        <f>C1361/MAX(C$2:C1361)-1</f>
        <v/>
      </c>
      <c r="J1361" s="20">
        <f>D1361/D1360-1</f>
        <v/>
      </c>
      <c r="K1361" s="20">
        <f>D1361/MAX(D$2:D1361)-1</f>
        <v/>
      </c>
      <c r="L1361" s="20">
        <f>E1361/E1360-1</f>
        <v/>
      </c>
      <c r="M1361" s="20">
        <f>E1361/MAX(E$2:E1361)-1</f>
        <v/>
      </c>
    </row>
    <row r="1362">
      <c r="A1362" s="11" t="n">
        <v>45713</v>
      </c>
      <c r="B1362" s="19" t="n">
        <v>1.886001790076146</v>
      </c>
      <c r="C1362" s="19" t="n">
        <v>1.628691747897959</v>
      </c>
      <c r="D1362" s="19" t="n">
        <v>1.447906602509377</v>
      </c>
      <c r="E1362" s="19" t="n">
        <v>1.292429985455871</v>
      </c>
      <c r="F1362" s="20">
        <f>B1362/B1361-1</f>
        <v/>
      </c>
      <c r="G1362" s="20">
        <f>B1362/MAX(B$2:B1362)-1</f>
        <v/>
      </c>
      <c r="H1362" s="20">
        <f>C1362/C1361-1</f>
        <v/>
      </c>
      <c r="I1362" s="20">
        <f>C1362/MAX(C$2:C1362)-1</f>
        <v/>
      </c>
      <c r="J1362" s="20">
        <f>D1362/D1361-1</f>
        <v/>
      </c>
      <c r="K1362" s="20">
        <f>D1362/MAX(D$2:D1362)-1</f>
        <v/>
      </c>
      <c r="L1362" s="20">
        <f>E1362/E1361-1</f>
        <v/>
      </c>
      <c r="M1362" s="20">
        <f>E1362/MAX(E$2:E1362)-1</f>
        <v/>
      </c>
    </row>
    <row r="1363">
      <c r="A1363" s="11" t="n">
        <v>45714</v>
      </c>
      <c r="B1363" s="19" t="n">
        <v>1.907631396907236</v>
      </c>
      <c r="C1363" s="19" t="n">
        <v>1.638985633178394</v>
      </c>
      <c r="D1363" s="19" t="n">
        <v>1.46575944686923</v>
      </c>
      <c r="E1363" s="19" t="n">
        <v>1.307085706208595</v>
      </c>
      <c r="F1363" s="20">
        <f>B1363/B1362-1</f>
        <v/>
      </c>
      <c r="G1363" s="20">
        <f>B1363/MAX(B$2:B1363)-1</f>
        <v/>
      </c>
      <c r="H1363" s="20">
        <f>C1363/C1362-1</f>
        <v/>
      </c>
      <c r="I1363" s="20">
        <f>C1363/MAX(C$2:C1363)-1</f>
        <v/>
      </c>
      <c r="J1363" s="20">
        <f>D1363/D1362-1</f>
        <v/>
      </c>
      <c r="K1363" s="20">
        <f>D1363/MAX(D$2:D1363)-1</f>
        <v/>
      </c>
      <c r="L1363" s="20">
        <f>E1363/E1362-1</f>
        <v/>
      </c>
      <c r="M1363" s="20">
        <f>E1363/MAX(E$2:E1363)-1</f>
        <v/>
      </c>
    </row>
    <row r="1364">
      <c r="A1364" s="11" t="n">
        <v>45715</v>
      </c>
      <c r="B1364" s="19" t="n">
        <v>1.89311995653292</v>
      </c>
      <c r="C1364" s="19" t="n">
        <v>1.620785318266092</v>
      </c>
      <c r="D1364" s="19" t="n">
        <v>1.45819418395615</v>
      </c>
      <c r="E1364" s="19" t="n">
        <v>1.306181812771308</v>
      </c>
      <c r="F1364" s="20">
        <f>B1364/B1363-1</f>
        <v/>
      </c>
      <c r="G1364" s="20">
        <f>B1364/MAX(B$2:B1364)-1</f>
        <v/>
      </c>
      <c r="H1364" s="20">
        <f>C1364/C1363-1</f>
        <v/>
      </c>
      <c r="I1364" s="20">
        <f>C1364/MAX(C$2:C1364)-1</f>
        <v/>
      </c>
      <c r="J1364" s="20">
        <f>D1364/D1363-1</f>
        <v/>
      </c>
      <c r="K1364" s="20">
        <f>D1364/MAX(D$2:D1364)-1</f>
        <v/>
      </c>
      <c r="L1364" s="20">
        <f>E1364/E1363-1</f>
        <v/>
      </c>
      <c r="M1364" s="20">
        <f>E1364/MAX(E$2:E1364)-1</f>
        <v/>
      </c>
    </row>
    <row r="1365">
      <c r="A1365" s="11" t="n">
        <v>45716</v>
      </c>
      <c r="B1365" s="19" t="n">
        <v>1.798401300242667</v>
      </c>
      <c r="C1365" s="19" t="n">
        <v>1.56114370837976</v>
      </c>
      <c r="D1365" s="19" t="n">
        <v>1.402544234041202</v>
      </c>
      <c r="E1365" s="19" t="n">
        <v>1.270576594739564</v>
      </c>
      <c r="F1365" s="20">
        <f>B1365/B1364-1</f>
        <v/>
      </c>
      <c r="G1365" s="20">
        <f>B1365/MAX(B$2:B1365)-1</f>
        <v/>
      </c>
      <c r="H1365" s="20">
        <f>C1365/C1364-1</f>
        <v/>
      </c>
      <c r="I1365" s="20">
        <f>C1365/MAX(C$2:C1365)-1</f>
        <v/>
      </c>
      <c r="J1365" s="20">
        <f>D1365/D1364-1</f>
        <v/>
      </c>
      <c r="K1365" s="20">
        <f>D1365/MAX(D$2:D1365)-1</f>
        <v/>
      </c>
      <c r="L1365" s="20">
        <f>E1365/E1364-1</f>
        <v/>
      </c>
      <c r="M1365" s="20">
        <f>E1365/MAX(E$2:E1365)-1</f>
        <v/>
      </c>
    </row>
    <row r="1366">
      <c r="A1366" s="11" t="n">
        <v>45719</v>
      </c>
      <c r="B1366" s="19" t="n">
        <v>1.786419172455804</v>
      </c>
      <c r="C1366" s="19" t="n">
        <v>1.554917949399985</v>
      </c>
      <c r="D1366" s="19" t="n">
        <v>1.419431759383411</v>
      </c>
      <c r="E1366" s="19" t="n">
        <v>1.272350904079424</v>
      </c>
      <c r="F1366" s="20">
        <f>B1366/B1365-1</f>
        <v/>
      </c>
      <c r="G1366" s="20">
        <f>B1366/MAX(B$2:B1366)-1</f>
        <v/>
      </c>
      <c r="H1366" s="20">
        <f>C1366/C1365-1</f>
        <v/>
      </c>
      <c r="I1366" s="20">
        <f>C1366/MAX(C$2:C1366)-1</f>
        <v/>
      </c>
      <c r="J1366" s="20">
        <f>D1366/D1365-1</f>
        <v/>
      </c>
      <c r="K1366" s="20">
        <f>D1366/MAX(D$2:D1366)-1</f>
        <v/>
      </c>
      <c r="L1366" s="20">
        <f>E1366/E1365-1</f>
        <v/>
      </c>
      <c r="M1366" s="20">
        <f>E1366/MAX(E$2:E1366)-1</f>
        <v/>
      </c>
    </row>
    <row r="1367">
      <c r="A1367" s="11" t="n">
        <v>45720</v>
      </c>
      <c r="B1367" s="19" t="n">
        <v>1.822299901931509</v>
      </c>
      <c r="C1367" s="19" t="n">
        <v>1.572578387165123</v>
      </c>
      <c r="D1367" s="19" t="n">
        <v>1.415265921220844</v>
      </c>
      <c r="E1367" s="19" t="n">
        <v>1.280180927476501</v>
      </c>
      <c r="F1367" s="20">
        <f>B1367/B1366-1</f>
        <v/>
      </c>
      <c r="G1367" s="20">
        <f>B1367/MAX(B$2:B1367)-1</f>
        <v/>
      </c>
      <c r="H1367" s="20">
        <f>C1367/C1366-1</f>
        <v/>
      </c>
      <c r="I1367" s="20">
        <f>C1367/MAX(C$2:C1367)-1</f>
        <v/>
      </c>
      <c r="J1367" s="20">
        <f>D1367/D1366-1</f>
        <v/>
      </c>
      <c r="K1367" s="20">
        <f>D1367/MAX(D$2:D1367)-1</f>
        <v/>
      </c>
      <c r="L1367" s="20">
        <f>E1367/E1366-1</f>
        <v/>
      </c>
      <c r="M1367" s="20">
        <f>E1367/MAX(E$2:E1367)-1</f>
        <v/>
      </c>
    </row>
    <row r="1368">
      <c r="A1368" s="11" t="n">
        <v>45721</v>
      </c>
      <c r="B1368" s="19" t="n">
        <v>1.834986415069832</v>
      </c>
      <c r="C1368" s="19" t="n">
        <v>1.575569933787608</v>
      </c>
      <c r="D1368" s="19" t="n">
        <v>1.415449511482534</v>
      </c>
      <c r="E1368" s="19" t="n">
        <v>1.286355672768257</v>
      </c>
      <c r="F1368" s="20">
        <f>B1368/B1367-1</f>
        <v/>
      </c>
      <c r="G1368" s="20">
        <f>B1368/MAX(B$2:B1368)-1</f>
        <v/>
      </c>
      <c r="H1368" s="20">
        <f>C1368/C1367-1</f>
        <v/>
      </c>
      <c r="I1368" s="20">
        <f>C1368/MAX(C$2:C1368)-1</f>
        <v/>
      </c>
      <c r="J1368" s="20">
        <f>D1368/D1367-1</f>
        <v/>
      </c>
      <c r="K1368" s="20">
        <f>D1368/MAX(D$2:D1368)-1</f>
        <v/>
      </c>
      <c r="L1368" s="20">
        <f>E1368/E1367-1</f>
        <v/>
      </c>
      <c r="M1368" s="20">
        <f>E1368/MAX(E$2:E1368)-1</f>
        <v/>
      </c>
    </row>
    <row r="1369">
      <c r="A1369" s="11" t="n">
        <v>45722</v>
      </c>
      <c r="B1369" s="19" t="n">
        <v>1.891539093464819</v>
      </c>
      <c r="C1369" s="19" t="n">
        <v>1.619421483926221</v>
      </c>
      <c r="D1369" s="19" t="n">
        <v>1.444094115825487</v>
      </c>
      <c r="E1369" s="19" t="n">
        <v>1.307264253060405</v>
      </c>
      <c r="F1369" s="20">
        <f>B1369/B1368-1</f>
        <v/>
      </c>
      <c r="G1369" s="20">
        <f>B1369/MAX(B$2:B1369)-1</f>
        <v/>
      </c>
      <c r="H1369" s="20">
        <f>C1369/C1368-1</f>
        <v/>
      </c>
      <c r="I1369" s="20">
        <f>C1369/MAX(C$2:C1369)-1</f>
        <v/>
      </c>
      <c r="J1369" s="20">
        <f>D1369/D1368-1</f>
        <v/>
      </c>
      <c r="K1369" s="20">
        <f>D1369/MAX(D$2:D1369)-1</f>
        <v/>
      </c>
      <c r="L1369" s="20">
        <f>E1369/E1368-1</f>
        <v/>
      </c>
      <c r="M1369" s="20">
        <f>E1369/MAX(E$2:E1369)-1</f>
        <v/>
      </c>
    </row>
    <row r="1370">
      <c r="A1370" s="11" t="n">
        <v>45723</v>
      </c>
      <c r="B1370" s="19" t="n">
        <v>1.872088028293216</v>
      </c>
      <c r="C1370" s="19" t="n">
        <v>1.603258310579913</v>
      </c>
      <c r="D1370" s="19" t="n">
        <v>1.425106772826341</v>
      </c>
      <c r="E1370" s="19" t="n">
        <v>1.301621428597998</v>
      </c>
      <c r="F1370" s="20">
        <f>B1370/B1369-1</f>
        <v/>
      </c>
      <c r="G1370" s="20">
        <f>B1370/MAX(B$2:B1370)-1</f>
        <v/>
      </c>
      <c r="H1370" s="20">
        <f>C1370/C1369-1</f>
        <v/>
      </c>
      <c r="I1370" s="20">
        <f>C1370/MAX(C$2:C1370)-1</f>
        <v/>
      </c>
      <c r="J1370" s="20">
        <f>D1370/D1369-1</f>
        <v/>
      </c>
      <c r="K1370" s="20">
        <f>D1370/MAX(D$2:D1370)-1</f>
        <v/>
      </c>
      <c r="L1370" s="20">
        <f>E1370/E1369-1</f>
        <v/>
      </c>
      <c r="M1370" s="20">
        <f>E1370/MAX(E$2:E1370)-1</f>
        <v/>
      </c>
    </row>
    <row r="1371">
      <c r="A1371" s="11" t="n">
        <v>45726</v>
      </c>
      <c r="B1371" s="19" t="n">
        <v>1.867181148381444</v>
      </c>
      <c r="C1371" s="19" t="n">
        <v>1.596509220937171</v>
      </c>
      <c r="D1371" s="19" t="n">
        <v>1.421598072773991</v>
      </c>
      <c r="E1371" s="19" t="n">
        <v>1.301089507768648</v>
      </c>
      <c r="F1371" s="20">
        <f>B1371/B1370-1</f>
        <v/>
      </c>
      <c r="G1371" s="20">
        <f>B1371/MAX(B$2:B1371)-1</f>
        <v/>
      </c>
      <c r="H1371" s="20">
        <f>C1371/C1370-1</f>
        <v/>
      </c>
      <c r="I1371" s="20">
        <f>C1371/MAX(C$2:C1371)-1</f>
        <v/>
      </c>
      <c r="J1371" s="20">
        <f>D1371/D1370-1</f>
        <v/>
      </c>
      <c r="K1371" s="20">
        <f>D1371/MAX(D$2:D1371)-1</f>
        <v/>
      </c>
      <c r="L1371" s="20">
        <f>E1371/E1370-1</f>
        <v/>
      </c>
      <c r="M1371" s="20">
        <f>E1371/MAX(E$2:E1371)-1</f>
        <v/>
      </c>
    </row>
    <row r="1372">
      <c r="A1372" s="11" t="n">
        <v>45727</v>
      </c>
      <c r="B1372" s="19" t="n">
        <v>1.857260622557104</v>
      </c>
      <c r="C1372" s="19" t="n">
        <v>1.587865414553162</v>
      </c>
      <c r="D1372" s="19" t="n">
        <v>1.424281876771968</v>
      </c>
      <c r="E1372" s="19" t="n">
        <v>1.305895393863196</v>
      </c>
      <c r="F1372" s="20">
        <f>B1372/B1371-1</f>
        <v/>
      </c>
      <c r="G1372" s="20">
        <f>B1372/MAX(B$2:B1372)-1</f>
        <v/>
      </c>
      <c r="H1372" s="20">
        <f>C1372/C1371-1</f>
        <v/>
      </c>
      <c r="I1372" s="20">
        <f>C1372/MAX(C$2:C1372)-1</f>
        <v/>
      </c>
      <c r="J1372" s="20">
        <f>D1372/D1371-1</f>
        <v/>
      </c>
      <c r="K1372" s="20">
        <f>D1372/MAX(D$2:D1372)-1</f>
        <v/>
      </c>
      <c r="L1372" s="20">
        <f>E1372/E1371-1</f>
        <v/>
      </c>
      <c r="M1372" s="20">
        <f>E1372/MAX(E$2:E1372)-1</f>
        <v/>
      </c>
    </row>
    <row r="1373">
      <c r="A1373" s="11" t="n">
        <v>45728</v>
      </c>
      <c r="B1373" s="19" t="n">
        <v>1.856644324879829</v>
      </c>
      <c r="C1373" s="19" t="n">
        <v>1.58875752979269</v>
      </c>
      <c r="D1373" s="19" t="n">
        <v>1.416034596392545</v>
      </c>
      <c r="E1373" s="19" t="n">
        <v>1.30592887139791</v>
      </c>
      <c r="F1373" s="20">
        <f>B1373/B1372-1</f>
        <v/>
      </c>
      <c r="G1373" s="20">
        <f>B1373/MAX(B$2:B1373)-1</f>
        <v/>
      </c>
      <c r="H1373" s="20">
        <f>C1373/C1372-1</f>
        <v/>
      </c>
      <c r="I1373" s="20">
        <f>C1373/MAX(C$2:C1373)-1</f>
        <v/>
      </c>
      <c r="J1373" s="20">
        <f>D1373/D1372-1</f>
        <v/>
      </c>
      <c r="K1373" s="20">
        <f>D1373/MAX(D$2:D1373)-1</f>
        <v/>
      </c>
      <c r="L1373" s="20">
        <f>E1373/E1372-1</f>
        <v/>
      </c>
      <c r="M1373" s="20">
        <f>E1373/MAX(E$2:E1373)-1</f>
        <v/>
      </c>
    </row>
    <row r="1374">
      <c r="A1374" s="11" t="n">
        <v>45729</v>
      </c>
      <c r="B1374" s="19" t="n">
        <v>1.814856952727699</v>
      </c>
      <c r="C1374" s="19" t="n">
        <v>1.566131511360195</v>
      </c>
      <c r="D1374" s="19" t="n">
        <v>1.399708504416603</v>
      </c>
      <c r="E1374" s="19" t="n">
        <v>1.294438637538732</v>
      </c>
      <c r="F1374" s="20">
        <f>B1374/B1373-1</f>
        <v/>
      </c>
      <c r="G1374" s="20">
        <f>B1374/MAX(B$2:B1374)-1</f>
        <v/>
      </c>
      <c r="H1374" s="20">
        <f>C1374/C1373-1</f>
        <v/>
      </c>
      <c r="I1374" s="20">
        <f>C1374/MAX(C$2:C1374)-1</f>
        <v/>
      </c>
      <c r="J1374" s="20">
        <f>D1374/D1373-1</f>
        <v/>
      </c>
      <c r="K1374" s="20">
        <f>D1374/MAX(D$2:D1374)-1</f>
        <v/>
      </c>
      <c r="L1374" s="20">
        <f>E1374/E1373-1</f>
        <v/>
      </c>
      <c r="M1374" s="20">
        <f>E1374/MAX(E$2:E1374)-1</f>
        <v/>
      </c>
    </row>
    <row r="1375">
      <c r="A1375" s="11" t="n">
        <v>45730</v>
      </c>
      <c r="B1375" s="19" t="n">
        <v>1.84954967113911</v>
      </c>
      <c r="C1375" s="19" t="n">
        <v>1.597537123167651</v>
      </c>
      <c r="D1375" s="19" t="n">
        <v>1.438942021213109</v>
      </c>
      <c r="E1375" s="19" t="n">
        <v>1.320852412428349</v>
      </c>
      <c r="F1375" s="20">
        <f>B1375/B1374-1</f>
        <v/>
      </c>
      <c r="G1375" s="20">
        <f>B1375/MAX(B$2:B1375)-1</f>
        <v/>
      </c>
      <c r="H1375" s="20">
        <f>C1375/C1374-1</f>
        <v/>
      </c>
      <c r="I1375" s="20">
        <f>C1375/MAX(C$2:C1375)-1</f>
        <v/>
      </c>
      <c r="J1375" s="20">
        <f>D1375/D1374-1</f>
        <v/>
      </c>
      <c r="K1375" s="20">
        <f>D1375/MAX(D$2:D1375)-1</f>
        <v/>
      </c>
      <c r="L1375" s="20">
        <f>E1375/E1374-1</f>
        <v/>
      </c>
      <c r="M1375" s="20">
        <f>E1375/MAX(E$2:E1375)-1</f>
        <v/>
      </c>
    </row>
    <row r="1376">
      <c r="A1376" s="11" t="n">
        <v>45733</v>
      </c>
      <c r="B1376" s="19" t="n">
        <v>1.847735080862666</v>
      </c>
      <c r="C1376" s="19" t="n">
        <v>1.593631383293294</v>
      </c>
      <c r="D1376" s="19" t="n">
        <v>1.431452559559079</v>
      </c>
      <c r="E1376" s="19" t="n">
        <v>1.322552327246622</v>
      </c>
      <c r="F1376" s="20">
        <f>B1376/B1375-1</f>
        <v/>
      </c>
      <c r="G1376" s="20">
        <f>B1376/MAX(B$2:B1376)-1</f>
        <v/>
      </c>
      <c r="H1376" s="20">
        <f>C1376/C1375-1</f>
        <v/>
      </c>
      <c r="I1376" s="20">
        <f>C1376/MAX(C$2:C1376)-1</f>
        <v/>
      </c>
      <c r="J1376" s="20">
        <f>D1376/D1375-1</f>
        <v/>
      </c>
      <c r="K1376" s="20">
        <f>D1376/MAX(D$2:D1376)-1</f>
        <v/>
      </c>
      <c r="L1376" s="20">
        <f>E1376/E1375-1</f>
        <v/>
      </c>
      <c r="M1376" s="20">
        <f>E1376/MAX(E$2:E1376)-1</f>
        <v/>
      </c>
    </row>
    <row r="1377">
      <c r="A1377" s="11" t="n">
        <v>45734</v>
      </c>
      <c r="B1377" s="19" t="n">
        <v>1.859761690915638</v>
      </c>
      <c r="C1377" s="19" t="n">
        <v>1.602290004552688</v>
      </c>
      <c r="D1377" s="19" t="n">
        <v>1.440187863048773</v>
      </c>
      <c r="E1377" s="19" t="n">
        <v>1.327231742654471</v>
      </c>
      <c r="F1377" s="20">
        <f>B1377/B1376-1</f>
        <v/>
      </c>
      <c r="G1377" s="20">
        <f>B1377/MAX(B$2:B1377)-1</f>
        <v/>
      </c>
      <c r="H1377" s="20">
        <f>C1377/C1376-1</f>
        <v/>
      </c>
      <c r="I1377" s="20">
        <f>C1377/MAX(C$2:C1377)-1</f>
        <v/>
      </c>
      <c r="J1377" s="20">
        <f>D1377/D1376-1</f>
        <v/>
      </c>
      <c r="K1377" s="20">
        <f>D1377/MAX(D$2:D1377)-1</f>
        <v/>
      </c>
      <c r="L1377" s="20">
        <f>E1377/E1376-1</f>
        <v/>
      </c>
      <c r="M1377" s="20">
        <f>E1377/MAX(E$2:E1377)-1</f>
        <v/>
      </c>
    </row>
    <row r="1378">
      <c r="A1378" s="11" t="n">
        <v>45735</v>
      </c>
      <c r="B1378" s="19" t="n">
        <v>1.842726060287489</v>
      </c>
      <c r="C1378" s="19" t="n">
        <v>1.590341134150861</v>
      </c>
      <c r="D1378" s="19" t="n">
        <v>1.436118311225494</v>
      </c>
      <c r="E1378" s="19" t="n">
        <v>1.322950337937114</v>
      </c>
      <c r="F1378" s="20">
        <f>B1378/B1377-1</f>
        <v/>
      </c>
      <c r="G1378" s="20">
        <f>B1378/MAX(B$2:B1378)-1</f>
        <v/>
      </c>
      <c r="H1378" s="20">
        <f>C1378/C1377-1</f>
        <v/>
      </c>
      <c r="I1378" s="20">
        <f>C1378/MAX(C$2:C1378)-1</f>
        <v/>
      </c>
      <c r="J1378" s="20">
        <f>D1378/D1377-1</f>
        <v/>
      </c>
      <c r="K1378" s="20">
        <f>D1378/MAX(D$2:D1378)-1</f>
        <v/>
      </c>
      <c r="L1378" s="20">
        <f>E1378/E1377-1</f>
        <v/>
      </c>
      <c r="M1378" s="20">
        <f>E1378/MAX(E$2:E1378)-1</f>
        <v/>
      </c>
    </row>
    <row r="1379">
      <c r="A1379" s="11" t="n">
        <v>45736</v>
      </c>
      <c r="B1379" s="19" t="n">
        <v>1.824698935196051</v>
      </c>
      <c r="C1379" s="19" t="n">
        <v>1.571733169664234</v>
      </c>
      <c r="D1379" s="19" t="n">
        <v>1.421698236415532</v>
      </c>
      <c r="E1379" s="19" t="n">
        <v>1.314923169057831</v>
      </c>
      <c r="F1379" s="20">
        <f>B1379/B1378-1</f>
        <v/>
      </c>
      <c r="G1379" s="20">
        <f>B1379/MAX(B$2:B1379)-1</f>
        <v/>
      </c>
      <c r="H1379" s="20">
        <f>C1379/C1378-1</f>
        <v/>
      </c>
      <c r="I1379" s="20">
        <f>C1379/MAX(C$2:C1379)-1</f>
        <v/>
      </c>
      <c r="J1379" s="20">
        <f>D1379/D1378-1</f>
        <v/>
      </c>
      <c r="K1379" s="20">
        <f>D1379/MAX(D$2:D1379)-1</f>
        <v/>
      </c>
      <c r="L1379" s="20">
        <f>E1379/E1378-1</f>
        <v/>
      </c>
      <c r="M1379" s="20">
        <f>E1379/MAX(E$2:E1379)-1</f>
        <v/>
      </c>
    </row>
    <row r="1380">
      <c r="A1380" s="11" t="n">
        <v>45737</v>
      </c>
      <c r="B1380" s="19" t="n">
        <v>1.773392580128792</v>
      </c>
      <c r="C1380" s="19" t="n">
        <v>1.536072995007435</v>
      </c>
      <c r="D1380" s="19" t="n">
        <v>1.390839498620876</v>
      </c>
      <c r="E1380" s="19" t="n">
        <v>1.292932148476586</v>
      </c>
      <c r="F1380" s="20">
        <f>B1380/B1379-1</f>
        <v/>
      </c>
      <c r="G1380" s="20">
        <f>B1380/MAX(B$2:B1380)-1</f>
        <v/>
      </c>
      <c r="H1380" s="20">
        <f>C1380/C1379-1</f>
        <v/>
      </c>
      <c r="I1380" s="20">
        <f>C1380/MAX(C$2:C1380)-1</f>
        <v/>
      </c>
      <c r="J1380" s="20">
        <f>D1380/D1379-1</f>
        <v/>
      </c>
      <c r="K1380" s="20">
        <f>D1380/MAX(D$2:D1380)-1</f>
        <v/>
      </c>
      <c r="L1380" s="20">
        <f>E1380/E1379-1</f>
        <v/>
      </c>
      <c r="M1380" s="20">
        <f>E1380/MAX(E$2:E1380)-1</f>
        <v/>
      </c>
    </row>
    <row r="1381">
      <c r="A1381" s="11" t="n">
        <v>45740</v>
      </c>
      <c r="B1381" s="19" t="n">
        <v>1.771691378401143</v>
      </c>
      <c r="C1381" s="19" t="n">
        <v>1.539899225177207</v>
      </c>
      <c r="D1381" s="19" t="n">
        <v>1.391017596037707</v>
      </c>
      <c r="E1381" s="19" t="n">
        <v>1.289506280757485</v>
      </c>
      <c r="F1381" s="20">
        <f>B1381/B1380-1</f>
        <v/>
      </c>
      <c r="G1381" s="20">
        <f>B1381/MAX(B$2:B1381)-1</f>
        <v/>
      </c>
      <c r="H1381" s="20">
        <f>C1381/C1380-1</f>
        <v/>
      </c>
      <c r="I1381" s="20">
        <f>C1381/MAX(C$2:C1381)-1</f>
        <v/>
      </c>
      <c r="J1381" s="20">
        <f>D1381/D1380-1</f>
        <v/>
      </c>
      <c r="K1381" s="20">
        <f>D1381/MAX(D$2:D1381)-1</f>
        <v/>
      </c>
      <c r="L1381" s="20">
        <f>E1381/E1380-1</f>
        <v/>
      </c>
      <c r="M1381" s="20">
        <f>E1381/MAX(E$2:E1381)-1</f>
        <v/>
      </c>
    </row>
    <row r="1382">
      <c r="A1382" s="11" t="n">
        <v>45741</v>
      </c>
      <c r="B1382" s="19" t="n">
        <v>1.748208398468859</v>
      </c>
      <c r="C1382" s="19" t="n">
        <v>1.531546761975698</v>
      </c>
      <c r="D1382" s="19" t="n">
        <v>1.386444835003664</v>
      </c>
      <c r="E1382" s="19" t="n">
        <v>1.284637159319588</v>
      </c>
      <c r="F1382" s="20">
        <f>B1382/B1381-1</f>
        <v/>
      </c>
      <c r="G1382" s="20">
        <f>B1382/MAX(B$2:B1382)-1</f>
        <v/>
      </c>
      <c r="H1382" s="20">
        <f>C1382/C1381-1</f>
        <v/>
      </c>
      <c r="I1382" s="20">
        <f>C1382/MAX(C$2:C1382)-1</f>
        <v/>
      </c>
      <c r="J1382" s="20">
        <f>D1382/D1381-1</f>
        <v/>
      </c>
      <c r="K1382" s="20">
        <f>D1382/MAX(D$2:D1382)-1</f>
        <v/>
      </c>
      <c r="L1382" s="20">
        <f>E1382/E1381-1</f>
        <v/>
      </c>
      <c r="M1382" s="20">
        <f>E1382/MAX(E$2:E1382)-1</f>
        <v/>
      </c>
    </row>
    <row r="1383">
      <c r="A1383" s="11" t="n">
        <v>45742</v>
      </c>
      <c r="B1383" s="19" t="n">
        <v>1.757884041970047</v>
      </c>
      <c r="C1383" s="19" t="n">
        <v>1.536101470352332</v>
      </c>
      <c r="D1383" s="19" t="n">
        <v>1.382840882559294</v>
      </c>
      <c r="E1383" s="19" t="n">
        <v>1.286165966738209</v>
      </c>
      <c r="F1383" s="20">
        <f>B1383/B1382-1</f>
        <v/>
      </c>
      <c r="G1383" s="20">
        <f>B1383/MAX(B$2:B1383)-1</f>
        <v/>
      </c>
      <c r="H1383" s="20">
        <f>C1383/C1382-1</f>
        <v/>
      </c>
      <c r="I1383" s="20">
        <f>C1383/MAX(C$2:C1383)-1</f>
        <v/>
      </c>
      <c r="J1383" s="20">
        <f>D1383/D1382-1</f>
        <v/>
      </c>
      <c r="K1383" s="20">
        <f>D1383/MAX(D$2:D1383)-1</f>
        <v/>
      </c>
      <c r="L1383" s="20">
        <f>E1383/E1382-1</f>
        <v/>
      </c>
      <c r="M1383" s="20">
        <f>E1383/MAX(E$2:E1383)-1</f>
        <v/>
      </c>
    </row>
    <row r="1384">
      <c r="A1384" s="11" t="n">
        <v>45743</v>
      </c>
      <c r="B1384" s="19" t="n">
        <v>1.765240995362943</v>
      </c>
      <c r="C1384" s="19" t="n">
        <v>1.543640943216939</v>
      </c>
      <c r="D1384" s="19" t="n">
        <v>1.386197010767979</v>
      </c>
      <c r="E1384" s="19" t="n">
        <v>1.286426347563765</v>
      </c>
      <c r="F1384" s="20">
        <f>B1384/B1383-1</f>
        <v/>
      </c>
      <c r="G1384" s="20">
        <f>B1384/MAX(B$2:B1384)-1</f>
        <v/>
      </c>
      <c r="H1384" s="20">
        <f>C1384/C1383-1</f>
        <v/>
      </c>
      <c r="I1384" s="20">
        <f>C1384/MAX(C$2:C1384)-1</f>
        <v/>
      </c>
      <c r="J1384" s="20">
        <f>D1384/D1383-1</f>
        <v/>
      </c>
      <c r="K1384" s="20">
        <f>D1384/MAX(D$2:D1384)-1</f>
        <v/>
      </c>
      <c r="L1384" s="20">
        <f>E1384/E1383-1</f>
        <v/>
      </c>
      <c r="M1384" s="20">
        <f>E1384/MAX(E$2:E1384)-1</f>
        <v/>
      </c>
    </row>
    <row r="1385">
      <c r="A1385" s="11" t="n">
        <v>45744</v>
      </c>
      <c r="B1385" s="19" t="n">
        <v>1.751762930160433</v>
      </c>
      <c r="C1385" s="19" t="n">
        <v>1.536605128015194</v>
      </c>
      <c r="D1385" s="19" t="n">
        <v>1.375285054415029</v>
      </c>
      <c r="E1385" s="19" t="n">
        <v>1.276118986597827</v>
      </c>
      <c r="F1385" s="20">
        <f>B1385/B1384-1</f>
        <v/>
      </c>
      <c r="G1385" s="20">
        <f>B1385/MAX(B$2:B1385)-1</f>
        <v/>
      </c>
      <c r="H1385" s="20">
        <f>C1385/C1384-1</f>
        <v/>
      </c>
      <c r="I1385" s="20">
        <f>C1385/MAX(C$2:C1385)-1</f>
        <v/>
      </c>
      <c r="J1385" s="20">
        <f>D1385/D1384-1</f>
        <v/>
      </c>
      <c r="K1385" s="20">
        <f>D1385/MAX(D$2:D1385)-1</f>
        <v/>
      </c>
      <c r="L1385" s="20">
        <f>E1385/E1384-1</f>
        <v/>
      </c>
      <c r="M1385" s="20">
        <f>E1385/MAX(E$2:E1385)-1</f>
        <v/>
      </c>
    </row>
    <row r="1386">
      <c r="A1386" s="11" t="n">
        <v>45747</v>
      </c>
      <c r="B1386" s="19" t="n">
        <v>1.740193600867866</v>
      </c>
      <c r="C1386" s="19" t="n">
        <v>1.525886998575992</v>
      </c>
      <c r="D1386" s="19" t="n">
        <v>1.359445951602092</v>
      </c>
      <c r="E1386" s="19" t="n">
        <v>1.265168113020157</v>
      </c>
      <c r="F1386" s="20">
        <f>B1386/B1385-1</f>
        <v/>
      </c>
      <c r="G1386" s="20">
        <f>B1386/MAX(B$2:B1386)-1</f>
        <v/>
      </c>
      <c r="H1386" s="20">
        <f>C1386/C1385-1</f>
        <v/>
      </c>
      <c r="I1386" s="20">
        <f>C1386/MAX(C$2:C1386)-1</f>
        <v/>
      </c>
      <c r="J1386" s="20">
        <f>D1386/D1385-1</f>
        <v/>
      </c>
      <c r="K1386" s="20">
        <f>D1386/MAX(D$2:D1386)-1</f>
        <v/>
      </c>
      <c r="L1386" s="20">
        <f>E1386/E1385-1</f>
        <v/>
      </c>
      <c r="M1386" s="20">
        <f>E1386/MAX(E$2:E1386)-1</f>
        <v/>
      </c>
    </row>
    <row r="1387">
      <c r="A1387" s="11" t="n">
        <v>45748</v>
      </c>
      <c r="B1387" s="19" t="n">
        <v>1.744008051232474</v>
      </c>
      <c r="C1387" s="19" t="n">
        <v>1.53996618071791</v>
      </c>
      <c r="D1387" s="19" t="n">
        <v>1.358269254989943</v>
      </c>
      <c r="E1387" s="19" t="n">
        <v>1.269735936645626</v>
      </c>
      <c r="F1387" s="20">
        <f>B1387/B1386-1</f>
        <v/>
      </c>
      <c r="G1387" s="20">
        <f>B1387/MAX(B$2:B1387)-1</f>
        <v/>
      </c>
      <c r="H1387" s="20">
        <f>C1387/C1386-1</f>
        <v/>
      </c>
      <c r="I1387" s="20">
        <f>C1387/MAX(C$2:C1387)-1</f>
        <v/>
      </c>
      <c r="J1387" s="20">
        <f>D1387/D1386-1</f>
        <v/>
      </c>
      <c r="K1387" s="20">
        <f>D1387/MAX(D$2:D1387)-1</f>
        <v/>
      </c>
      <c r="L1387" s="20">
        <f>E1387/E1386-1</f>
        <v/>
      </c>
      <c r="M1387" s="20">
        <f>E1387/MAX(E$2:E1387)-1</f>
        <v/>
      </c>
    </row>
    <row r="1388">
      <c r="A1388" s="11" t="n">
        <v>45749</v>
      </c>
      <c r="B1388" s="19" t="n">
        <v>1.748012279764759</v>
      </c>
      <c r="C1388" s="19" t="n">
        <v>1.543460615399341</v>
      </c>
      <c r="D1388" s="19" t="n">
        <v>1.360044542448285</v>
      </c>
      <c r="E1388" s="19" t="n">
        <v>1.270743982413135</v>
      </c>
      <c r="F1388" s="20">
        <f>B1388/B1387-1</f>
        <v/>
      </c>
      <c r="G1388" s="20">
        <f>B1388/MAX(B$2:B1388)-1</f>
        <v/>
      </c>
      <c r="H1388" s="20">
        <f>C1388/C1387-1</f>
        <v/>
      </c>
      <c r="I1388" s="20">
        <f>C1388/MAX(C$2:C1388)-1</f>
        <v/>
      </c>
      <c r="J1388" s="20">
        <f>D1388/D1387-1</f>
        <v/>
      </c>
      <c r="K1388" s="20">
        <f>D1388/MAX(D$2:D1388)-1</f>
        <v/>
      </c>
      <c r="L1388" s="20">
        <f>E1388/E1387-1</f>
        <v/>
      </c>
      <c r="M1388" s="20">
        <f>E1388/MAX(E$2:E1388)-1</f>
        <v/>
      </c>
    </row>
    <row r="1389">
      <c r="A1389" s="11" t="n">
        <v>45750</v>
      </c>
      <c r="B1389" s="19" t="n">
        <v>1.711599635146589</v>
      </c>
      <c r="C1389" s="19" t="n">
        <v>1.50533539939918</v>
      </c>
      <c r="D1389" s="19" t="n">
        <v>1.334698359132149</v>
      </c>
      <c r="E1389" s="19" t="n">
        <v>1.260436621447197</v>
      </c>
      <c r="F1389" s="20">
        <f>B1389/B1388-1</f>
        <v/>
      </c>
      <c r="G1389" s="20">
        <f>B1389/MAX(B$2:B1389)-1</f>
        <v/>
      </c>
      <c r="H1389" s="20">
        <f>C1389/C1388-1</f>
        <v/>
      </c>
      <c r="I1389" s="20">
        <f>C1389/MAX(C$2:C1389)-1</f>
        <v/>
      </c>
      <c r="J1389" s="20">
        <f>D1389/D1388-1</f>
        <v/>
      </c>
      <c r="K1389" s="20">
        <f>D1389/MAX(D$2:D1389)-1</f>
        <v/>
      </c>
      <c r="L1389" s="20">
        <f>E1389/E1388-1</f>
        <v/>
      </c>
      <c r="M1389" s="20">
        <f>E1389/MAX(E$2:E1389)-1</f>
        <v/>
      </c>
    </row>
    <row r="1390">
      <c r="A1390" s="11" t="n">
        <v>45754</v>
      </c>
      <c r="B1390" s="19" t="n">
        <v>1.512519573761281</v>
      </c>
      <c r="C1390" s="19" t="n">
        <v>1.353962005135663</v>
      </c>
      <c r="D1390" s="19" t="n">
        <v>1.167847380594762</v>
      </c>
      <c r="E1390" s="19" t="n">
        <v>1.143131339808136</v>
      </c>
      <c r="F1390" s="20">
        <f>B1390/B1389-1</f>
        <v/>
      </c>
      <c r="G1390" s="20">
        <f>B1390/MAX(B$2:B1390)-1</f>
        <v/>
      </c>
      <c r="H1390" s="20">
        <f>C1390/C1389-1</f>
        <v/>
      </c>
      <c r="I1390" s="20">
        <f>C1390/MAX(C$2:C1390)-1</f>
        <v/>
      </c>
      <c r="J1390" s="20">
        <f>D1390/D1389-1</f>
        <v/>
      </c>
      <c r="K1390" s="20">
        <f>D1390/MAX(D$2:D1390)-1</f>
        <v/>
      </c>
      <c r="L1390" s="20">
        <f>E1390/E1389-1</f>
        <v/>
      </c>
      <c r="M1390" s="20">
        <f>E1390/MAX(E$2:E1390)-1</f>
        <v/>
      </c>
    </row>
    <row r="1391">
      <c r="A1391" s="11" t="n">
        <v>45755</v>
      </c>
      <c r="B1391" s="19" t="n">
        <v>1.508546359029015</v>
      </c>
      <c r="C1391" s="19" t="n">
        <v>1.339436404622145</v>
      </c>
      <c r="D1391" s="19" t="n">
        <v>1.189241171237371</v>
      </c>
      <c r="E1391" s="19" t="n">
        <v>1.154729445723617</v>
      </c>
      <c r="F1391" s="20">
        <f>B1391/B1390-1</f>
        <v/>
      </c>
      <c r="G1391" s="20">
        <f>B1391/MAX(B$2:B1391)-1</f>
        <v/>
      </c>
      <c r="H1391" s="20">
        <f>C1391/C1390-1</f>
        <v/>
      </c>
      <c r="I1391" s="20">
        <f>C1391/MAX(C$2:C1391)-1</f>
        <v/>
      </c>
      <c r="J1391" s="20">
        <f>D1391/D1390-1</f>
        <v/>
      </c>
      <c r="K1391" s="20">
        <f>D1391/MAX(D$2:D1391)-1</f>
        <v/>
      </c>
      <c r="L1391" s="20">
        <f>E1391/E1390-1</f>
        <v/>
      </c>
      <c r="M1391" s="20">
        <f>E1391/MAX(E$2:E1391)-1</f>
        <v/>
      </c>
    </row>
    <row r="1392">
      <c r="A1392" s="11" t="n">
        <v>45756</v>
      </c>
      <c r="B1392" s="19" t="n">
        <v>1.544318633997471</v>
      </c>
      <c r="C1392" s="19" t="n">
        <v>1.357335130999814</v>
      </c>
      <c r="D1392" s="19" t="n">
        <v>1.200901382303488</v>
      </c>
      <c r="E1392" s="19" t="n">
        <v>1.174737852304556</v>
      </c>
      <c r="F1392" s="20">
        <f>B1392/B1391-1</f>
        <v/>
      </c>
      <c r="G1392" s="20">
        <f>B1392/MAX(B$2:B1392)-1</f>
        <v/>
      </c>
      <c r="H1392" s="20">
        <f>C1392/C1391-1</f>
        <v/>
      </c>
      <c r="I1392" s="20">
        <f>C1392/MAX(C$2:C1392)-1</f>
        <v/>
      </c>
      <c r="J1392" s="20">
        <f>D1392/D1391-1</f>
        <v/>
      </c>
      <c r="K1392" s="20">
        <f>D1392/MAX(D$2:D1392)-1</f>
        <v/>
      </c>
      <c r="L1392" s="20">
        <f>E1392/E1391-1</f>
        <v/>
      </c>
      <c r="M1392" s="20">
        <f>E1392/MAX(E$2:E1392)-1</f>
        <v/>
      </c>
    </row>
    <row r="1393">
      <c r="A1393" s="11" t="n">
        <v>45757</v>
      </c>
      <c r="B1393" s="19" t="n">
        <v>1.581884018525132</v>
      </c>
      <c r="C1393" s="19" t="n">
        <v>1.393109880439627</v>
      </c>
      <c r="D1393" s="19" t="n">
        <v>1.228153324298788</v>
      </c>
      <c r="E1393" s="19" t="n">
        <v>1.197312869880262</v>
      </c>
      <c r="F1393" s="20">
        <f>B1393/B1392-1</f>
        <v/>
      </c>
      <c r="G1393" s="20">
        <f>B1393/MAX(B$2:B1393)-1</f>
        <v/>
      </c>
      <c r="H1393" s="20">
        <f>C1393/C1392-1</f>
        <v/>
      </c>
      <c r="I1393" s="20">
        <f>C1393/MAX(C$2:C1393)-1</f>
        <v/>
      </c>
      <c r="J1393" s="20">
        <f>D1393/D1392-1</f>
        <v/>
      </c>
      <c r="K1393" s="20">
        <f>D1393/MAX(D$2:D1393)-1</f>
        <v/>
      </c>
      <c r="L1393" s="20">
        <f>E1393/E1392-1</f>
        <v/>
      </c>
      <c r="M1393" s="20">
        <f>E1393/MAX(E$2:E1393)-1</f>
        <v/>
      </c>
    </row>
    <row r="1394">
      <c r="A1394" s="11" t="n">
        <v>45758</v>
      </c>
      <c r="B1394" s="19" t="n">
        <v>1.616341308194969</v>
      </c>
      <c r="C1394" s="19" t="n">
        <v>1.411678498926042</v>
      </c>
      <c r="D1394" s="19" t="n">
        <v>1.244853252833646</v>
      </c>
      <c r="E1394" s="19" t="n">
        <v>1.206076544523261</v>
      </c>
      <c r="F1394" s="20">
        <f>B1394/B1393-1</f>
        <v/>
      </c>
      <c r="G1394" s="20">
        <f>B1394/MAX(B$2:B1394)-1</f>
        <v/>
      </c>
      <c r="H1394" s="20">
        <f>C1394/C1393-1</f>
        <v/>
      </c>
      <c r="I1394" s="20">
        <f>C1394/MAX(C$2:C1394)-1</f>
        <v/>
      </c>
      <c r="J1394" s="20">
        <f>D1394/D1393-1</f>
        <v/>
      </c>
      <c r="K1394" s="20">
        <f>D1394/MAX(D$2:D1394)-1</f>
        <v/>
      </c>
      <c r="L1394" s="20">
        <f>E1394/E1393-1</f>
        <v/>
      </c>
      <c r="M1394" s="20">
        <f>E1394/MAX(E$2:E1394)-1</f>
        <v/>
      </c>
    </row>
    <row r="1395">
      <c r="A1395" s="11" t="n">
        <v>45761</v>
      </c>
      <c r="B1395" s="19" t="n">
        <v>1.628606788776352</v>
      </c>
      <c r="C1395" s="19" t="n">
        <v>1.420304027217043</v>
      </c>
      <c r="D1395" s="19" t="n">
        <v>1.249081127832264</v>
      </c>
      <c r="E1395" s="19" t="n">
        <v>1.216871189605597</v>
      </c>
      <c r="F1395" s="20">
        <f>B1395/B1394-1</f>
        <v/>
      </c>
      <c r="G1395" s="20">
        <f>B1395/MAX(B$2:B1395)-1</f>
        <v/>
      </c>
      <c r="H1395" s="20">
        <f>C1395/C1394-1</f>
        <v/>
      </c>
      <c r="I1395" s="20">
        <f>C1395/MAX(C$2:C1395)-1</f>
        <v/>
      </c>
      <c r="J1395" s="20">
        <f>D1395/D1394-1</f>
        <v/>
      </c>
      <c r="K1395" s="20">
        <f>D1395/MAX(D$2:D1395)-1</f>
        <v/>
      </c>
      <c r="L1395" s="20">
        <f>E1395/E1394-1</f>
        <v/>
      </c>
      <c r="M1395" s="20">
        <f>E1395/MAX(E$2:E1395)-1</f>
        <v/>
      </c>
    </row>
    <row r="1396">
      <c r="A1396" s="11" t="n">
        <v>45762</v>
      </c>
      <c r="B1396" s="19" t="n">
        <v>1.617628533062178</v>
      </c>
      <c r="C1396" s="19" t="n">
        <v>1.408099840716039</v>
      </c>
      <c r="D1396" s="19" t="n">
        <v>1.247456990540093</v>
      </c>
      <c r="E1396" s="19" t="n">
        <v>1.215710635068834</v>
      </c>
      <c r="F1396" s="20">
        <f>B1396/B1395-1</f>
        <v/>
      </c>
      <c r="G1396" s="20">
        <f>B1396/MAX(B$2:B1396)-1</f>
        <v/>
      </c>
      <c r="H1396" s="20">
        <f>C1396/C1395-1</f>
        <v/>
      </c>
      <c r="I1396" s="20">
        <f>C1396/MAX(C$2:C1396)-1</f>
        <v/>
      </c>
      <c r="J1396" s="20">
        <f>D1396/D1395-1</f>
        <v/>
      </c>
      <c r="K1396" s="20">
        <f>D1396/MAX(D$2:D1396)-1</f>
        <v/>
      </c>
      <c r="L1396" s="20">
        <f>E1396/E1395-1</f>
        <v/>
      </c>
      <c r="M1396" s="20">
        <f>E1396/MAX(E$2:E1396)-1</f>
        <v/>
      </c>
    </row>
    <row r="1397">
      <c r="A1397" s="11" t="n">
        <v>45763</v>
      </c>
      <c r="B1397" s="19" t="n">
        <v>1.600175663653975</v>
      </c>
      <c r="C1397" s="19" t="n">
        <v>1.396464824411259</v>
      </c>
      <c r="D1397" s="19" t="n">
        <v>1.23240666024887</v>
      </c>
      <c r="E1397" s="19" t="n">
        <v>1.20928294840368</v>
      </c>
      <c r="F1397" s="20">
        <f>B1397/B1396-1</f>
        <v/>
      </c>
      <c r="G1397" s="20">
        <f>B1397/MAX(B$2:B1397)-1</f>
        <v/>
      </c>
      <c r="H1397" s="20">
        <f>C1397/C1396-1</f>
        <v/>
      </c>
      <c r="I1397" s="20">
        <f>C1397/MAX(C$2:C1397)-1</f>
        <v/>
      </c>
      <c r="J1397" s="20">
        <f>D1397/D1396-1</f>
        <v/>
      </c>
      <c r="K1397" s="20">
        <f>D1397/MAX(D$2:D1397)-1</f>
        <v/>
      </c>
      <c r="L1397" s="20">
        <f>E1397/E1396-1</f>
        <v/>
      </c>
      <c r="M1397" s="20">
        <f>E1397/MAX(E$2:E1397)-1</f>
        <v/>
      </c>
    </row>
    <row r="1398">
      <c r="A1398" s="11" t="n">
        <v>45764</v>
      </c>
      <c r="B1398" s="19" t="n">
        <v>1.607534072065895</v>
      </c>
      <c r="C1398" s="19" t="n">
        <v>1.395316382967415</v>
      </c>
      <c r="D1398" s="19" t="n">
        <v>1.23348383943652</v>
      </c>
      <c r="E1398" s="19" t="n">
        <v>1.210845233357016</v>
      </c>
      <c r="F1398" s="20">
        <f>B1398/B1397-1</f>
        <v/>
      </c>
      <c r="G1398" s="20">
        <f>B1398/MAX(B$2:B1398)-1</f>
        <v/>
      </c>
      <c r="H1398" s="20">
        <f>C1398/C1397-1</f>
        <v/>
      </c>
      <c r="I1398" s="20">
        <f>C1398/MAX(C$2:C1398)-1</f>
        <v/>
      </c>
      <c r="J1398" s="20">
        <f>D1398/D1397-1</f>
        <v/>
      </c>
      <c r="K1398" s="20">
        <f>D1398/MAX(D$2:D1398)-1</f>
        <v/>
      </c>
      <c r="L1398" s="20">
        <f>E1398/E1397-1</f>
        <v/>
      </c>
      <c r="M1398" s="20">
        <f>E1398/MAX(E$2:E1398)-1</f>
        <v/>
      </c>
    </row>
    <row r="1399">
      <c r="A1399" s="11" t="n">
        <v>45765</v>
      </c>
      <c r="B1399" s="19" t="n">
        <v>1.606481219243493</v>
      </c>
      <c r="C1399" s="19" t="n">
        <v>1.399258679027788</v>
      </c>
      <c r="D1399" s="19" t="n">
        <v>1.236839903023501</v>
      </c>
      <c r="E1399" s="19" t="n">
        <v>1.210882430617809</v>
      </c>
      <c r="F1399" s="20">
        <f>B1399/B1398-1</f>
        <v/>
      </c>
      <c r="G1399" s="20">
        <f>B1399/MAX(B$2:B1399)-1</f>
        <v/>
      </c>
      <c r="H1399" s="20">
        <f>C1399/C1398-1</f>
        <v/>
      </c>
      <c r="I1399" s="20">
        <f>C1399/MAX(C$2:C1399)-1</f>
        <v/>
      </c>
      <c r="J1399" s="20">
        <f>D1399/D1398-1</f>
        <v/>
      </c>
      <c r="K1399" s="20">
        <f>D1399/MAX(D$2:D1399)-1</f>
        <v/>
      </c>
      <c r="L1399" s="20">
        <f>E1399/E1398-1</f>
        <v/>
      </c>
      <c r="M1399" s="20">
        <f>E1399/MAX(E$2:E1399)-1</f>
        <v/>
      </c>
    </row>
    <row r="1400">
      <c r="A1400" s="11" t="n">
        <v>45768</v>
      </c>
      <c r="B1400" s="19" t="n">
        <v>1.630058601541901</v>
      </c>
      <c r="C1400" s="19" t="n">
        <v>1.422270605723977</v>
      </c>
      <c r="D1400" s="19" t="n">
        <v>1.256451362442008</v>
      </c>
      <c r="E1400" s="19" t="n">
        <v>1.224585901494214</v>
      </c>
      <c r="F1400" s="20">
        <f>B1400/B1399-1</f>
        <v/>
      </c>
      <c r="G1400" s="20">
        <f>B1400/MAX(B$2:B1400)-1</f>
        <v/>
      </c>
      <c r="H1400" s="20">
        <f>C1400/C1399-1</f>
        <v/>
      </c>
      <c r="I1400" s="20">
        <f>C1400/MAX(C$2:C1400)-1</f>
        <v/>
      </c>
      <c r="J1400" s="20">
        <f>D1400/D1399-1</f>
        <v/>
      </c>
      <c r="K1400" s="20">
        <f>D1400/MAX(D$2:D1400)-1</f>
        <v/>
      </c>
      <c r="L1400" s="20">
        <f>E1400/E1399-1</f>
        <v/>
      </c>
      <c r="M1400" s="20">
        <f>E1400/MAX(E$2:E1400)-1</f>
        <v/>
      </c>
    </row>
    <row r="1401">
      <c r="A1401" s="11" t="n">
        <v>45769</v>
      </c>
      <c r="B1401" s="19" t="n">
        <v>1.62425610310148</v>
      </c>
      <c r="C1401" s="19" t="n">
        <v>1.41857169690208</v>
      </c>
      <c r="D1401" s="19" t="n">
        <v>1.24618530002274</v>
      </c>
      <c r="E1401" s="19" t="n">
        <v>1.223979586143277</v>
      </c>
      <c r="F1401" s="20">
        <f>B1401/B1400-1</f>
        <v/>
      </c>
      <c r="G1401" s="20">
        <f>B1401/MAX(B$2:B1401)-1</f>
        <v/>
      </c>
      <c r="H1401" s="20">
        <f>C1401/C1400-1</f>
        <v/>
      </c>
      <c r="I1401" s="20">
        <f>C1401/MAX(C$2:C1401)-1</f>
        <v/>
      </c>
      <c r="J1401" s="20">
        <f>D1401/D1400-1</f>
        <v/>
      </c>
      <c r="K1401" s="20">
        <f>D1401/MAX(D$2:D1401)-1</f>
        <v/>
      </c>
      <c r="L1401" s="20">
        <f>E1401/E1400-1</f>
        <v/>
      </c>
      <c r="M1401" s="20">
        <f>E1401/MAX(E$2:E1401)-1</f>
        <v/>
      </c>
    </row>
    <row r="1402">
      <c r="A1402" s="11" t="n">
        <v>45770</v>
      </c>
      <c r="B1402" s="19" t="n">
        <v>1.647895032403067</v>
      </c>
      <c r="C1402" s="19" t="n">
        <v>1.430199209568678</v>
      </c>
      <c r="D1402" s="19" t="n">
        <v>1.259582025524668</v>
      </c>
      <c r="E1402" s="19" t="n">
        <v>1.228238672504157</v>
      </c>
      <c r="F1402" s="20">
        <f>B1402/B1401-1</f>
        <v/>
      </c>
      <c r="G1402" s="20">
        <f>B1402/MAX(B$2:B1402)-1</f>
        <v/>
      </c>
      <c r="H1402" s="20">
        <f>C1402/C1401-1</f>
        <v/>
      </c>
      <c r="I1402" s="20">
        <f>C1402/MAX(C$2:C1402)-1</f>
        <v/>
      </c>
      <c r="J1402" s="20">
        <f>D1402/D1401-1</f>
        <v/>
      </c>
      <c r="K1402" s="20">
        <f>D1402/MAX(D$2:D1402)-1</f>
        <v/>
      </c>
      <c r="L1402" s="20">
        <f>E1402/E1401-1</f>
        <v/>
      </c>
      <c r="M1402" s="20">
        <f>E1402/MAX(E$2:E1402)-1</f>
        <v/>
      </c>
    </row>
    <row r="1403">
      <c r="A1403" s="11" t="n">
        <v>45771</v>
      </c>
      <c r="B1403" s="19" t="n">
        <v>1.634772841199529</v>
      </c>
      <c r="C1403" s="19" t="n">
        <v>1.421021538568099</v>
      </c>
      <c r="D1403" s="19" t="n">
        <v>1.250984237021555</v>
      </c>
      <c r="E1403" s="19" t="n">
        <v>1.222320588311877</v>
      </c>
      <c r="F1403" s="20">
        <f>B1403/B1402-1</f>
        <v/>
      </c>
      <c r="G1403" s="20">
        <f>B1403/MAX(B$2:B1403)-1</f>
        <v/>
      </c>
      <c r="H1403" s="20">
        <f>C1403/C1402-1</f>
        <v/>
      </c>
      <c r="I1403" s="20">
        <f>C1403/MAX(C$2:C1403)-1</f>
        <v/>
      </c>
      <c r="J1403" s="20">
        <f>D1403/D1402-1</f>
        <v/>
      </c>
      <c r="K1403" s="20">
        <f>D1403/MAX(D$2:D1403)-1</f>
        <v/>
      </c>
      <c r="L1403" s="20">
        <f>E1403/E1402-1</f>
        <v/>
      </c>
      <c r="M1403" s="20">
        <f>E1403/MAX(E$2:E1403)-1</f>
        <v/>
      </c>
    </row>
    <row r="1404">
      <c r="A1404" s="11" t="n">
        <v>45772</v>
      </c>
      <c r="B1404" s="19" t="n">
        <v>1.636827533480853</v>
      </c>
      <c r="C1404" s="19" t="n">
        <v>1.429775061610401</v>
      </c>
      <c r="D1404" s="19" t="n">
        <v>1.258304971405865</v>
      </c>
      <c r="E1404" s="19" t="n">
        <v>1.224697493276595</v>
      </c>
      <c r="F1404" s="20">
        <f>B1404/B1403-1</f>
        <v/>
      </c>
      <c r="G1404" s="20">
        <f>B1404/MAX(B$2:B1404)-1</f>
        <v/>
      </c>
      <c r="H1404" s="20">
        <f>C1404/C1403-1</f>
        <v/>
      </c>
      <c r="I1404" s="20">
        <f>C1404/MAX(C$2:C1404)-1</f>
        <v/>
      </c>
      <c r="J1404" s="20">
        <f>D1404/D1403-1</f>
        <v/>
      </c>
      <c r="K1404" s="20">
        <f>D1404/MAX(D$2:D1404)-1</f>
        <v/>
      </c>
      <c r="L1404" s="20">
        <f>E1404/E1403-1</f>
        <v/>
      </c>
      <c r="M1404" s="20">
        <f>E1404/MAX(E$2:E1404)-1</f>
        <v/>
      </c>
    </row>
    <row r="1405">
      <c r="A1405" s="11" t="n">
        <v>45775</v>
      </c>
      <c r="B1405" s="19" t="n">
        <v>1.636965756858702</v>
      </c>
      <c r="C1405" s="19" t="n">
        <v>1.426412662100831</v>
      </c>
      <c r="D1405" s="19" t="n">
        <v>1.250078886945427</v>
      </c>
      <c r="E1405" s="19" t="n">
        <v>1.217351034269836</v>
      </c>
      <c r="F1405" s="20">
        <f>B1405/B1404-1</f>
        <v/>
      </c>
      <c r="G1405" s="20">
        <f>B1405/MAX(B$2:B1405)-1</f>
        <v/>
      </c>
      <c r="H1405" s="20">
        <f>C1405/C1404-1</f>
        <v/>
      </c>
      <c r="I1405" s="20">
        <f>C1405/MAX(C$2:C1405)-1</f>
        <v/>
      </c>
      <c r="J1405" s="20">
        <f>D1405/D1404-1</f>
        <v/>
      </c>
      <c r="K1405" s="20">
        <f>D1405/MAX(D$2:D1405)-1</f>
        <v/>
      </c>
      <c r="L1405" s="20">
        <f>E1405/E1404-1</f>
        <v/>
      </c>
      <c r="M1405" s="20">
        <f>E1405/MAX(E$2:E1405)-1</f>
        <v/>
      </c>
    </row>
    <row r="1406">
      <c r="A1406" s="11" t="n">
        <v>45776</v>
      </c>
      <c r="B1406" s="19" t="n">
        <v>1.642465956775946</v>
      </c>
      <c r="C1406" s="19" t="n">
        <v>1.430304885806411</v>
      </c>
      <c r="D1406" s="19" t="n">
        <v>1.24845358646258</v>
      </c>
      <c r="E1406" s="19" t="n">
        <v>1.219846970469095</v>
      </c>
      <c r="F1406" s="20">
        <f>B1406/B1405-1</f>
        <v/>
      </c>
      <c r="G1406" s="20">
        <f>B1406/MAX(B$2:B1406)-1</f>
        <v/>
      </c>
      <c r="H1406" s="20">
        <f>C1406/C1405-1</f>
        <v/>
      </c>
      <c r="I1406" s="20">
        <f>C1406/MAX(C$2:C1406)-1</f>
        <v/>
      </c>
      <c r="J1406" s="20">
        <f>D1406/D1405-1</f>
        <v/>
      </c>
      <c r="K1406" s="20">
        <f>D1406/MAX(D$2:D1406)-1</f>
        <v/>
      </c>
      <c r="L1406" s="20">
        <f>E1406/E1405-1</f>
        <v/>
      </c>
      <c r="M1406" s="20">
        <f>E1406/MAX(E$2:E1406)-1</f>
        <v/>
      </c>
    </row>
    <row r="1407">
      <c r="A1407" s="11" t="n">
        <v>45777</v>
      </c>
      <c r="B1407" s="19" t="n">
        <v>1.664545421727365</v>
      </c>
      <c r="C1407" s="19" t="n">
        <v>1.446338765694809</v>
      </c>
      <c r="D1407" s="19" t="n">
        <v>1.258849861615852</v>
      </c>
      <c r="E1407" s="19" t="n">
        <v>1.224972753006469</v>
      </c>
      <c r="F1407" s="20">
        <f>B1407/B1406-1</f>
        <v/>
      </c>
      <c r="G1407" s="20">
        <f>B1407/MAX(B$2:B1407)-1</f>
        <v/>
      </c>
      <c r="H1407" s="20">
        <f>C1407/C1406-1</f>
        <v/>
      </c>
      <c r="I1407" s="20">
        <f>C1407/MAX(C$2:C1407)-1</f>
        <v/>
      </c>
      <c r="J1407" s="20">
        <f>D1407/D1406-1</f>
        <v/>
      </c>
      <c r="K1407" s="20">
        <f>D1407/MAX(D$2:D1407)-1</f>
        <v/>
      </c>
      <c r="L1407" s="20">
        <f>E1407/E1406-1</f>
        <v/>
      </c>
      <c r="M1407" s="20">
        <f>E1407/MAX(E$2:E1407)-1</f>
        <v/>
      </c>
    </row>
    <row r="1408">
      <c r="A1408" s="11" t="n">
        <v>45783</v>
      </c>
      <c r="B1408" s="19" t="n">
        <v>1.693373400556649</v>
      </c>
      <c r="C1408" s="19" t="n">
        <v>1.474861874134646</v>
      </c>
      <c r="D1408" s="19" t="n">
        <v>1.283651477830523</v>
      </c>
      <c r="E1408" s="19" t="n">
        <v>1.246718271666474</v>
      </c>
      <c r="F1408" s="20">
        <f>B1408/B1407-1</f>
        <v/>
      </c>
      <c r="G1408" s="20">
        <f>B1408/MAX(B$2:B1408)-1</f>
        <v/>
      </c>
      <c r="H1408" s="20">
        <f>C1408/C1407-1</f>
        <v/>
      </c>
      <c r="I1408" s="20">
        <f>C1408/MAX(C$2:C1408)-1</f>
        <v/>
      </c>
      <c r="J1408" s="20">
        <f>D1408/D1407-1</f>
        <v/>
      </c>
      <c r="K1408" s="20">
        <f>D1408/MAX(D$2:D1408)-1</f>
        <v/>
      </c>
      <c r="L1408" s="20">
        <f>E1408/E1407-1</f>
        <v/>
      </c>
      <c r="M1408" s="20">
        <f>E1408/MAX(E$2:E1408)-1</f>
        <v/>
      </c>
    </row>
    <row r="1409">
      <c r="A1409" s="11" t="n">
        <v>45784</v>
      </c>
      <c r="B1409" s="19" t="n">
        <v>1.684360943416798</v>
      </c>
      <c r="C1409" s="19" t="n">
        <v>1.467754726269924</v>
      </c>
      <c r="D1409" s="19" t="n">
        <v>1.290178786930416</v>
      </c>
      <c r="E1409" s="19" t="n">
        <v>1.253101321618676</v>
      </c>
      <c r="F1409" s="20">
        <f>B1409/B1408-1</f>
        <v/>
      </c>
      <c r="G1409" s="20">
        <f>B1409/MAX(B$2:B1409)-1</f>
        <v/>
      </c>
      <c r="H1409" s="20">
        <f>C1409/C1408-1</f>
        <v/>
      </c>
      <c r="I1409" s="20">
        <f>C1409/MAX(C$2:C1409)-1</f>
        <v/>
      </c>
      <c r="J1409" s="20">
        <f>D1409/D1408-1</f>
        <v/>
      </c>
      <c r="K1409" s="20">
        <f>D1409/MAX(D$2:D1409)-1</f>
        <v/>
      </c>
      <c r="L1409" s="20">
        <f>E1409/E1408-1</f>
        <v/>
      </c>
      <c r="M1409" s="20">
        <f>E1409/MAX(E$2:E1409)-1</f>
        <v/>
      </c>
    </row>
    <row r="1410">
      <c r="A1410" s="11" t="n">
        <v>45785</v>
      </c>
      <c r="B1410" s="19" t="n">
        <v>1.68992027216169</v>
      </c>
      <c r="C1410" s="19" t="n">
        <v>1.479551936600029</v>
      </c>
      <c r="D1410" s="19" t="n">
        <v>1.311466339491286</v>
      </c>
      <c r="E1410" s="19" t="n">
        <v>1.261682729683786</v>
      </c>
      <c r="F1410" s="20">
        <f>B1410/B1409-1</f>
        <v/>
      </c>
      <c r="G1410" s="20">
        <f>B1410/MAX(B$2:B1410)-1</f>
        <v/>
      </c>
      <c r="H1410" s="20">
        <f>C1410/C1409-1</f>
        <v/>
      </c>
      <c r="I1410" s="20">
        <f>C1410/MAX(C$2:C1410)-1</f>
        <v/>
      </c>
      <c r="J1410" s="20">
        <f>D1410/D1409-1</f>
        <v/>
      </c>
      <c r="K1410" s="20">
        <f>D1410/MAX(D$2:D1410)-1</f>
        <v/>
      </c>
      <c r="L1410" s="20">
        <f>E1410/E1409-1</f>
        <v/>
      </c>
      <c r="M1410" s="20">
        <f>E1410/MAX(E$2:E1410)-1</f>
        <v/>
      </c>
    </row>
    <row r="1411">
      <c r="A1411" s="11" t="n">
        <v>45786</v>
      </c>
      <c r="B1411" s="19" t="n">
        <v>1.673409057140454</v>
      </c>
      <c r="C1411" s="19" t="n">
        <v>1.465291608936352</v>
      </c>
      <c r="D1411" s="19" t="n">
        <v>1.300038184965024</v>
      </c>
      <c r="E1411" s="19" t="n">
        <v>1.252986010110215</v>
      </c>
      <c r="F1411" s="20">
        <f>B1411/B1410-1</f>
        <v/>
      </c>
      <c r="G1411" s="20">
        <f>B1411/MAX(B$2:B1411)-1</f>
        <v/>
      </c>
      <c r="H1411" s="20">
        <f>C1411/C1410-1</f>
        <v/>
      </c>
      <c r="I1411" s="20">
        <f>C1411/MAX(C$2:C1411)-1</f>
        <v/>
      </c>
      <c r="J1411" s="20">
        <f>D1411/D1410-1</f>
        <v/>
      </c>
      <c r="K1411" s="20">
        <f>D1411/MAX(D$2:D1411)-1</f>
        <v/>
      </c>
      <c r="L1411" s="20">
        <f>E1411/E1410-1</f>
        <v/>
      </c>
      <c r="M1411" s="20">
        <f>E1411/MAX(E$2:E1411)-1</f>
        <v/>
      </c>
    </row>
    <row r="1412">
      <c r="A1412" s="11" t="n">
        <v>45789</v>
      </c>
      <c r="B1412" s="19" t="n">
        <v>1.698256837192946</v>
      </c>
      <c r="C1412" s="19" t="n">
        <v>1.490921680054969</v>
      </c>
      <c r="D1412" s="19" t="n">
        <v>1.334253180211774</v>
      </c>
      <c r="E1412" s="19" t="n">
        <v>1.269159379103323</v>
      </c>
      <c r="F1412" s="20">
        <f>B1412/B1411-1</f>
        <v/>
      </c>
      <c r="G1412" s="20">
        <f>B1412/MAX(B$2:B1412)-1</f>
        <v/>
      </c>
      <c r="H1412" s="20">
        <f>C1412/C1411-1</f>
        <v/>
      </c>
      <c r="I1412" s="20">
        <f>C1412/MAX(C$2:C1412)-1</f>
        <v/>
      </c>
      <c r="J1412" s="20">
        <f>D1412/D1411-1</f>
        <v/>
      </c>
      <c r="K1412" s="20">
        <f>D1412/MAX(D$2:D1412)-1</f>
        <v/>
      </c>
      <c r="L1412" s="20">
        <f>E1412/E1411-1</f>
        <v/>
      </c>
      <c r="M1412" s="20">
        <f>E1412/MAX(E$2:E1412)-1</f>
        <v/>
      </c>
    </row>
    <row r="1413">
      <c r="A1413" s="11" t="n">
        <v>45790</v>
      </c>
      <c r="B1413" s="19" t="n">
        <v>1.687708271174074</v>
      </c>
      <c r="C1413" s="19" t="n">
        <v>1.486981308004386</v>
      </c>
      <c r="D1413" s="19" t="n">
        <v>1.332668139050657</v>
      </c>
      <c r="E1413" s="19" t="n">
        <v>1.268329880187623</v>
      </c>
      <c r="F1413" s="20">
        <f>B1413/B1412-1</f>
        <v/>
      </c>
      <c r="G1413" s="20">
        <f>B1413/MAX(B$2:B1413)-1</f>
        <v/>
      </c>
      <c r="H1413" s="20">
        <f>C1413/C1412-1</f>
        <v/>
      </c>
      <c r="I1413" s="20">
        <f>C1413/MAX(C$2:C1413)-1</f>
        <v/>
      </c>
      <c r="J1413" s="20">
        <f>D1413/D1412-1</f>
        <v/>
      </c>
      <c r="K1413" s="20">
        <f>D1413/MAX(D$2:D1413)-1</f>
        <v/>
      </c>
      <c r="L1413" s="20">
        <f>E1413/E1412-1</f>
        <v/>
      </c>
      <c r="M1413" s="20">
        <f>E1413/MAX(E$2:E1413)-1</f>
        <v/>
      </c>
    </row>
    <row r="1414">
      <c r="A1414" s="11" t="n">
        <v>45791</v>
      </c>
      <c r="B1414" s="19" t="n">
        <v>1.693530819537752</v>
      </c>
      <c r="C1414" s="19" t="n">
        <v>1.487562551362043</v>
      </c>
      <c r="D1414" s="19" t="n">
        <v>1.346161926352324</v>
      </c>
      <c r="E1414" s="19" t="n">
        <v>1.277097274556702</v>
      </c>
      <c r="F1414" s="20">
        <f>B1414/B1413-1</f>
        <v/>
      </c>
      <c r="G1414" s="20">
        <f>B1414/MAX(B$2:B1414)-1</f>
        <v/>
      </c>
      <c r="H1414" s="20">
        <f>C1414/C1413-1</f>
        <v/>
      </c>
      <c r="I1414" s="20">
        <f>C1414/MAX(C$2:C1414)-1</f>
        <v/>
      </c>
      <c r="J1414" s="20">
        <f>D1414/D1413-1</f>
        <v/>
      </c>
      <c r="K1414" s="20">
        <f>D1414/MAX(D$2:D1414)-1</f>
        <v/>
      </c>
      <c r="L1414" s="20">
        <f>E1414/E1413-1</f>
        <v/>
      </c>
      <c r="M1414" s="20">
        <f>E1414/MAX(E$2:E1414)-1</f>
        <v/>
      </c>
    </row>
    <row r="1415">
      <c r="A1415" s="11" t="n">
        <v>45792</v>
      </c>
      <c r="B1415" s="19" t="n">
        <v>1.670755006386127</v>
      </c>
      <c r="C1415" s="19" t="n">
        <v>1.462435512603106</v>
      </c>
      <c r="D1415" s="19" t="n">
        <v>1.320380838966784</v>
      </c>
      <c r="E1415" s="19" t="n">
        <v>1.262508508873407</v>
      </c>
      <c r="F1415" s="20">
        <f>B1415/B1414-1</f>
        <v/>
      </c>
      <c r="G1415" s="20">
        <f>B1415/MAX(B$2:B1415)-1</f>
        <v/>
      </c>
      <c r="H1415" s="20">
        <f>C1415/C1414-1</f>
        <v/>
      </c>
      <c r="I1415" s="20">
        <f>C1415/MAX(C$2:C1415)-1</f>
        <v/>
      </c>
      <c r="J1415" s="20">
        <f>D1415/D1414-1</f>
        <v/>
      </c>
      <c r="K1415" s="20">
        <f>D1415/MAX(D$2:D1415)-1</f>
        <v/>
      </c>
      <c r="L1415" s="20">
        <f>E1415/E1414-1</f>
        <v/>
      </c>
      <c r="M1415" s="20">
        <f>E1415/MAX(E$2:E1415)-1</f>
        <v/>
      </c>
    </row>
    <row r="1416">
      <c r="A1416" s="11" t="n">
        <v>45793</v>
      </c>
      <c r="B1416" s="19" t="n">
        <v>1.672182666462964</v>
      </c>
      <c r="C1416" s="19" t="n">
        <v>1.468436499139126</v>
      </c>
      <c r="D1416" s="19" t="n">
        <v>1.317924244880846</v>
      </c>
      <c r="E1416" s="19" t="n">
        <v>1.262069581196041</v>
      </c>
      <c r="F1416" s="20">
        <f>B1416/B1415-1</f>
        <v/>
      </c>
      <c r="G1416" s="20">
        <f>B1416/MAX(B$2:B1416)-1</f>
        <v/>
      </c>
      <c r="H1416" s="20">
        <f>C1416/C1415-1</f>
        <v/>
      </c>
      <c r="I1416" s="20">
        <f>C1416/MAX(C$2:C1416)-1</f>
        <v/>
      </c>
      <c r="J1416" s="20">
        <f>D1416/D1415-1</f>
        <v/>
      </c>
      <c r="K1416" s="20">
        <f>D1416/MAX(D$2:D1416)-1</f>
        <v/>
      </c>
      <c r="L1416" s="20">
        <f>E1416/E1415-1</f>
        <v/>
      </c>
      <c r="M1416" s="20">
        <f>E1416/MAX(E$2:E1416)-1</f>
        <v/>
      </c>
    </row>
    <row r="1417">
      <c r="A1417" s="11" t="n">
        <v>45796</v>
      </c>
      <c r="B1417" s="19" t="n">
        <v>1.670607475103953</v>
      </c>
      <c r="C1417" s="19" t="n">
        <v>1.466547939229189</v>
      </c>
      <c r="D1417" s="19" t="n">
        <v>1.313601634463841</v>
      </c>
      <c r="E1417" s="19" t="n">
        <v>1.264249340678552</v>
      </c>
      <c r="F1417" s="20">
        <f>B1417/B1416-1</f>
        <v/>
      </c>
      <c r="G1417" s="20">
        <f>B1417/MAX(B$2:B1417)-1</f>
        <v/>
      </c>
      <c r="H1417" s="20">
        <f>C1417/C1416-1</f>
        <v/>
      </c>
      <c r="I1417" s="20">
        <f>C1417/MAX(C$2:C1417)-1</f>
        <v/>
      </c>
      <c r="J1417" s="20">
        <f>D1417/D1416-1</f>
        <v/>
      </c>
      <c r="K1417" s="20">
        <f>D1417/MAX(D$2:D1417)-1</f>
        <v/>
      </c>
      <c r="L1417" s="20">
        <f>E1417/E1416-1</f>
        <v/>
      </c>
      <c r="M1417" s="20">
        <f>E1417/MAX(E$2:E1417)-1</f>
        <v/>
      </c>
    </row>
    <row r="1418">
      <c r="A1418" s="11" t="n">
        <v>45797</v>
      </c>
      <c r="B1418" s="19" t="n">
        <v>1.680934605428467</v>
      </c>
      <c r="C1418" s="19" t="n">
        <v>1.475993047590623</v>
      </c>
      <c r="D1418" s="19" t="n">
        <v>1.323748922190751</v>
      </c>
      <c r="E1418" s="19" t="n">
        <v>1.272853067100139</v>
      </c>
      <c r="F1418" s="20">
        <f>B1418/B1417-1</f>
        <v/>
      </c>
      <c r="G1418" s="20">
        <f>B1418/MAX(B$2:B1418)-1</f>
        <v/>
      </c>
      <c r="H1418" s="20">
        <f>C1418/C1417-1</f>
        <v/>
      </c>
      <c r="I1418" s="20">
        <f>C1418/MAX(C$2:C1418)-1</f>
        <v/>
      </c>
      <c r="J1418" s="20">
        <f>D1418/D1417-1</f>
        <v/>
      </c>
      <c r="K1418" s="20">
        <f>D1418/MAX(D$2:D1418)-1</f>
        <v/>
      </c>
      <c r="L1418" s="20">
        <f>E1418/E1417-1</f>
        <v/>
      </c>
      <c r="M1418" s="20">
        <f>E1418/MAX(E$2:E1418)-1</f>
        <v/>
      </c>
    </row>
    <row r="1419">
      <c r="A1419" s="11" t="n">
        <v>45798</v>
      </c>
      <c r="B1419" s="19" t="n">
        <v>1.686952721127855</v>
      </c>
      <c r="C1419" s="19" t="n">
        <v>1.474437341374412</v>
      </c>
      <c r="D1419" s="19" t="n">
        <v>1.334690216797417</v>
      </c>
      <c r="E1419" s="19" t="n">
        <v>1.273939227115315</v>
      </c>
      <c r="F1419" s="20">
        <f>B1419/B1418-1</f>
        <v/>
      </c>
      <c r="G1419" s="20">
        <f>B1419/MAX(B$2:B1419)-1</f>
        <v/>
      </c>
      <c r="H1419" s="20">
        <f>C1419/C1418-1</f>
        <v/>
      </c>
      <c r="I1419" s="20">
        <f>C1419/MAX(C$2:C1419)-1</f>
        <v/>
      </c>
      <c r="J1419" s="20">
        <f>D1419/D1418-1</f>
        <v/>
      </c>
      <c r="K1419" s="20">
        <f>D1419/MAX(D$2:D1419)-1</f>
        <v/>
      </c>
      <c r="L1419" s="20">
        <f>E1419/E1418-1</f>
        <v/>
      </c>
      <c r="M1419" s="20">
        <f>E1419/MAX(E$2:E1419)-1</f>
        <v/>
      </c>
    </row>
    <row r="1420">
      <c r="A1420" s="11" t="n">
        <v>45799</v>
      </c>
      <c r="B1420" s="19" t="n">
        <v>1.673985086429155</v>
      </c>
      <c r="C1420" s="19" t="n">
        <v>1.463492611682154</v>
      </c>
      <c r="D1420" s="19" t="n">
        <v>1.321879287044247</v>
      </c>
      <c r="E1420" s="19" t="n">
        <v>1.265964134401143</v>
      </c>
      <c r="F1420" s="20">
        <f>B1420/B1419-1</f>
        <v/>
      </c>
      <c r="G1420" s="20">
        <f>B1420/MAX(B$2:B1420)-1</f>
        <v/>
      </c>
      <c r="H1420" s="20">
        <f>C1420/C1419-1</f>
        <v/>
      </c>
      <c r="I1420" s="20">
        <f>C1420/MAX(C$2:C1420)-1</f>
        <v/>
      </c>
      <c r="J1420" s="20">
        <f>D1420/D1419-1</f>
        <v/>
      </c>
      <c r="K1420" s="20">
        <f>D1420/MAX(D$2:D1420)-1</f>
        <v/>
      </c>
      <c r="L1420" s="20">
        <f>E1420/E1419-1</f>
        <v/>
      </c>
      <c r="M1420" s="20">
        <f>E1420/MAX(E$2:E1420)-1</f>
        <v/>
      </c>
    </row>
    <row r="1421">
      <c r="A1421" s="11" t="n">
        <v>45800</v>
      </c>
      <c r="B1421" s="19" t="n">
        <v>1.661324007264167</v>
      </c>
      <c r="C1421" s="19" t="n">
        <v>1.44845825487983</v>
      </c>
      <c r="D1421" s="19" t="n">
        <v>1.306327169219752</v>
      </c>
      <c r="E1421" s="19" t="n">
        <v>1.254206080264249</v>
      </c>
      <c r="F1421" s="20">
        <f>B1421/B1420-1</f>
        <v/>
      </c>
      <c r="G1421" s="20">
        <f>B1421/MAX(B$2:B1421)-1</f>
        <v/>
      </c>
      <c r="H1421" s="20">
        <f>C1421/C1420-1</f>
        <v/>
      </c>
      <c r="I1421" s="20">
        <f>C1421/MAX(C$2:C1421)-1</f>
        <v/>
      </c>
      <c r="J1421" s="20">
        <f>D1421/D1420-1</f>
        <v/>
      </c>
      <c r="K1421" s="20">
        <f>D1421/MAX(D$2:D1421)-1</f>
        <v/>
      </c>
      <c r="L1421" s="20">
        <f>E1421/E1420-1</f>
        <v/>
      </c>
      <c r="M1421" s="20">
        <f>E1421/MAX(E$2:E1421)-1</f>
        <v/>
      </c>
    </row>
    <row r="1422">
      <c r="A1422" s="11" t="n">
        <v>45803</v>
      </c>
      <c r="B1422" s="19" t="n">
        <v>1.65252223328074</v>
      </c>
      <c r="C1422" s="19" t="n">
        <v>1.450129257382726</v>
      </c>
      <c r="D1422" s="19" t="n">
        <v>1.295832345967544</v>
      </c>
      <c r="E1422" s="19" t="n">
        <v>1.255898555630363</v>
      </c>
      <c r="F1422" s="20">
        <f>B1422/B1421-1</f>
        <v/>
      </c>
      <c r="G1422" s="20">
        <f>B1422/MAX(B$2:B1422)-1</f>
        <v/>
      </c>
      <c r="H1422" s="20">
        <f>C1422/C1421-1</f>
        <v/>
      </c>
      <c r="I1422" s="20">
        <f>C1422/MAX(C$2:C1422)-1</f>
        <v/>
      </c>
      <c r="J1422" s="20">
        <f>D1422/D1421-1</f>
        <v/>
      </c>
      <c r="K1422" s="20">
        <f>D1422/MAX(D$2:D1422)-1</f>
        <v/>
      </c>
      <c r="L1422" s="20">
        <f>E1422/E1421-1</f>
        <v/>
      </c>
      <c r="M1422" s="20">
        <f>E1422/MAX(E$2:E1422)-1</f>
        <v/>
      </c>
    </row>
    <row r="1423">
      <c r="A1423" s="11" t="n">
        <v>45804</v>
      </c>
      <c r="B1423" s="19" t="n">
        <v>1.655187948081745</v>
      </c>
      <c r="C1423" s="19" t="n">
        <v>1.4415833349968</v>
      </c>
      <c r="D1423" s="19" t="n">
        <v>1.287033713207714</v>
      </c>
      <c r="E1423" s="19" t="n">
        <v>1.252212307085706</v>
      </c>
      <c r="F1423" s="20">
        <f>B1423/B1422-1</f>
        <v/>
      </c>
      <c r="G1423" s="20">
        <f>B1423/MAX(B$2:B1423)-1</f>
        <v/>
      </c>
      <c r="H1423" s="20">
        <f>C1423/C1422-1</f>
        <v/>
      </c>
      <c r="I1423" s="20">
        <f>C1423/MAX(C$2:C1423)-1</f>
        <v/>
      </c>
      <c r="J1423" s="20">
        <f>D1423/D1422-1</f>
        <v/>
      </c>
      <c r="K1423" s="20">
        <f>D1423/MAX(D$2:D1423)-1</f>
        <v/>
      </c>
      <c r="L1423" s="20">
        <f>E1423/E1422-1</f>
        <v/>
      </c>
      <c r="M1423" s="20">
        <f>E1423/MAX(E$2:E1423)-1</f>
        <v/>
      </c>
    </row>
    <row r="1424">
      <c r="A1424" s="11" t="n">
        <v>45805</v>
      </c>
      <c r="B1424" s="19" t="n">
        <v>1.648368155168918</v>
      </c>
      <c r="C1424" s="19" t="n">
        <v>1.437198660985386</v>
      </c>
      <c r="D1424" s="19" t="n">
        <v>1.282988329901813</v>
      </c>
      <c r="E1424" s="19" t="n">
        <v>1.249653135543099</v>
      </c>
      <c r="F1424" s="20">
        <f>B1424/B1423-1</f>
        <v/>
      </c>
      <c r="G1424" s="20">
        <f>B1424/MAX(B$2:B1424)-1</f>
        <v/>
      </c>
      <c r="H1424" s="20">
        <f>C1424/C1423-1</f>
        <v/>
      </c>
      <c r="I1424" s="20">
        <f>C1424/MAX(C$2:C1424)-1</f>
        <v/>
      </c>
      <c r="J1424" s="20">
        <f>D1424/D1423-1</f>
        <v/>
      </c>
      <c r="K1424" s="20">
        <f>D1424/MAX(D$2:D1424)-1</f>
        <v/>
      </c>
      <c r="L1424" s="20">
        <f>E1424/E1423-1</f>
        <v/>
      </c>
      <c r="M1424" s="20">
        <f>E1424/MAX(E$2:E1424)-1</f>
        <v/>
      </c>
    </row>
    <row r="1425">
      <c r="A1425" s="11" t="n">
        <v>45806</v>
      </c>
      <c r="B1425" s="19" t="n">
        <v>1.687733252568077</v>
      </c>
      <c r="C1425" s="19" t="n">
        <v>1.462909059512749</v>
      </c>
      <c r="D1425" s="19" t="n">
        <v>1.300542945096689</v>
      </c>
      <c r="E1425" s="19" t="n">
        <v>1.264372091639172</v>
      </c>
      <c r="F1425" s="20">
        <f>B1425/B1424-1</f>
        <v/>
      </c>
      <c r="G1425" s="20">
        <f>B1425/MAX(B$2:B1425)-1</f>
        <v/>
      </c>
      <c r="H1425" s="20">
        <f>C1425/C1424-1</f>
        <v/>
      </c>
      <c r="I1425" s="20">
        <f>C1425/MAX(C$2:C1425)-1</f>
        <v/>
      </c>
      <c r="J1425" s="20">
        <f>D1425/D1424-1</f>
        <v/>
      </c>
      <c r="K1425" s="20">
        <f>D1425/MAX(D$2:D1425)-1</f>
        <v/>
      </c>
      <c r="L1425" s="20">
        <f>E1425/E1424-1</f>
        <v/>
      </c>
      <c r="M1425" s="20">
        <f>E1425/MAX(E$2:E1425)-1</f>
        <v/>
      </c>
    </row>
    <row r="1426">
      <c r="A1426" s="11" t="n">
        <v>45807</v>
      </c>
      <c r="B1426" s="19" t="n">
        <v>1.669319504291274</v>
      </c>
      <c r="C1426" s="19" t="n">
        <v>1.448666144137674</v>
      </c>
      <c r="D1426" s="19" t="n">
        <v>1.288031860051102</v>
      </c>
      <c r="E1426" s="19" t="n">
        <v>1.253949419164773</v>
      </c>
      <c r="F1426" s="20">
        <f>B1426/B1425-1</f>
        <v/>
      </c>
      <c r="G1426" s="20">
        <f>B1426/MAX(B$2:B1426)-1</f>
        <v/>
      </c>
      <c r="H1426" s="20">
        <f>C1426/C1425-1</f>
        <v/>
      </c>
      <c r="I1426" s="20">
        <f>C1426/MAX(C$2:C1426)-1</f>
        <v/>
      </c>
      <c r="J1426" s="20">
        <f>D1426/D1425-1</f>
        <v/>
      </c>
      <c r="K1426" s="20">
        <f>D1426/MAX(D$2:D1426)-1</f>
        <v/>
      </c>
      <c r="L1426" s="20">
        <f>E1426/E1425-1</f>
        <v/>
      </c>
      <c r="M1426" s="20">
        <f>E1426/MAX(E$2:E1426)-1</f>
        <v/>
      </c>
    </row>
    <row r="1427">
      <c r="A1427" s="11" t="n">
        <v>45811</v>
      </c>
      <c r="B1427" s="19" t="n">
        <v>1.680763021170047</v>
      </c>
      <c r="C1427" s="19" t="n">
        <v>1.456344915311102</v>
      </c>
      <c r="D1427" s="19" t="n">
        <v>1.294179193530178</v>
      </c>
      <c r="E1427" s="19" t="n">
        <v>1.260514735694863</v>
      </c>
      <c r="F1427" s="20">
        <f>B1427/B1426-1</f>
        <v/>
      </c>
      <c r="G1427" s="20">
        <f>B1427/MAX(B$2:B1427)-1</f>
        <v/>
      </c>
      <c r="H1427" s="20">
        <f>C1427/C1426-1</f>
        <v/>
      </c>
      <c r="I1427" s="20">
        <f>C1427/MAX(C$2:C1427)-1</f>
        <v/>
      </c>
      <c r="J1427" s="20">
        <f>D1427/D1426-1</f>
        <v/>
      </c>
      <c r="K1427" s="20">
        <f>D1427/MAX(D$2:D1427)-1</f>
        <v/>
      </c>
      <c r="L1427" s="20">
        <f>E1427/E1426-1</f>
        <v/>
      </c>
      <c r="M1427" s="20">
        <f>E1427/MAX(E$2:E1427)-1</f>
        <v/>
      </c>
    </row>
    <row r="1428">
      <c r="A1428" s="11" t="n">
        <v>45812</v>
      </c>
      <c r="B1428" s="19" t="n">
        <v>1.703701460017694</v>
      </c>
      <c r="C1428" s="19" t="n">
        <v>1.47396643997823</v>
      </c>
      <c r="D1428" s="19" t="n">
        <v>1.308546537029497</v>
      </c>
      <c r="E1428" s="19" t="n">
        <v>1.269516472806943</v>
      </c>
      <c r="F1428" s="20">
        <f>B1428/B1427-1</f>
        <v/>
      </c>
      <c r="G1428" s="20">
        <f>B1428/MAX(B$2:B1428)-1</f>
        <v/>
      </c>
      <c r="H1428" s="20">
        <f>C1428/C1427-1</f>
        <v/>
      </c>
      <c r="I1428" s="20">
        <f>C1428/MAX(C$2:C1428)-1</f>
        <v/>
      </c>
      <c r="J1428" s="20">
        <f>D1428/D1427-1</f>
        <v/>
      </c>
      <c r="K1428" s="20">
        <f>D1428/MAX(D$2:D1428)-1</f>
        <v/>
      </c>
      <c r="L1428" s="20">
        <f>E1428/E1427-1</f>
        <v/>
      </c>
      <c r="M1428" s="20">
        <f>E1428/MAX(E$2:E1428)-1</f>
        <v/>
      </c>
    </row>
    <row r="1429">
      <c r="A1429" s="11" t="n">
        <v>45813</v>
      </c>
      <c r="B1429" s="19" t="n">
        <v>1.722140440143392</v>
      </c>
      <c r="C1429" s="19" t="n">
        <v>1.487383474150808</v>
      </c>
      <c r="D1429" s="19" t="n">
        <v>1.323849925914447</v>
      </c>
      <c r="E1429" s="19" t="n">
        <v>1.274850560004761</v>
      </c>
      <c r="F1429" s="20">
        <f>B1429/B1428-1</f>
        <v/>
      </c>
      <c r="G1429" s="20">
        <f>B1429/MAX(B$2:B1429)-1</f>
        <v/>
      </c>
      <c r="H1429" s="20">
        <f>C1429/C1428-1</f>
        <v/>
      </c>
      <c r="I1429" s="20">
        <f>C1429/MAX(C$2:C1429)-1</f>
        <v/>
      </c>
      <c r="J1429" s="20">
        <f>D1429/D1428-1</f>
        <v/>
      </c>
      <c r="K1429" s="20">
        <f>D1429/MAX(D$2:D1429)-1</f>
        <v/>
      </c>
      <c r="L1429" s="20">
        <f>E1429/E1428-1</f>
        <v/>
      </c>
      <c r="M1429" s="20">
        <f>E1429/MAX(E$2:E1429)-1</f>
        <v/>
      </c>
    </row>
    <row r="1430">
      <c r="A1430" s="11" t="n">
        <v>45814</v>
      </c>
      <c r="B1430" s="19" t="n">
        <v>1.723809268042031</v>
      </c>
      <c r="C1430" s="19" t="n">
        <v>1.485601504383255</v>
      </c>
      <c r="D1430" s="19" t="n">
        <v>1.317917847332129</v>
      </c>
      <c r="E1430" s="19" t="n">
        <v>1.274255403832062</v>
      </c>
      <c r="F1430" s="20">
        <f>B1430/B1429-1</f>
        <v/>
      </c>
      <c r="G1430" s="20">
        <f>B1430/MAX(B$2:B1430)-1</f>
        <v/>
      </c>
      <c r="H1430" s="20">
        <f>C1430/C1429-1</f>
        <v/>
      </c>
      <c r="I1430" s="20">
        <f>C1430/MAX(C$2:C1430)-1</f>
        <v/>
      </c>
      <c r="J1430" s="20">
        <f>D1430/D1429-1</f>
        <v/>
      </c>
      <c r="K1430" s="20">
        <f>D1430/MAX(D$2:D1430)-1</f>
        <v/>
      </c>
      <c r="L1430" s="20">
        <f>E1430/E1429-1</f>
        <v/>
      </c>
      <c r="M1430" s="20">
        <f>E1430/MAX(E$2:E1430)-1</f>
        <v/>
      </c>
    </row>
    <row r="1431">
      <c r="A1431" s="11" t="n">
        <v>45817</v>
      </c>
      <c r="B1431" s="19" t="n">
        <v>1.754842554939927</v>
      </c>
      <c r="C1431" s="19" t="n">
        <v>1.498989774609468</v>
      </c>
      <c r="D1431" s="19" t="n">
        <v>1.332041308519719</v>
      </c>
      <c r="E1431" s="19" t="n">
        <v>1.283844857664681</v>
      </c>
      <c r="F1431" s="20">
        <f>B1431/B1430-1</f>
        <v/>
      </c>
      <c r="G1431" s="20">
        <f>B1431/MAX(B$2:B1431)-1</f>
        <v/>
      </c>
      <c r="H1431" s="20">
        <f>C1431/C1430-1</f>
        <v/>
      </c>
      <c r="I1431" s="20">
        <f>C1431/MAX(C$2:C1431)-1</f>
        <v/>
      </c>
      <c r="J1431" s="20">
        <f>D1431/D1430-1</f>
        <v/>
      </c>
      <c r="K1431" s="20">
        <f>D1431/MAX(D$2:D1431)-1</f>
        <v/>
      </c>
      <c r="L1431" s="20">
        <f>E1431/E1430-1</f>
        <v/>
      </c>
      <c r="M1431" s="20">
        <f>E1431/MAX(E$2:E1431)-1</f>
        <v/>
      </c>
    </row>
    <row r="1432">
      <c r="A1432" s="11" t="n">
        <v>45818</v>
      </c>
      <c r="B1432" s="19" t="n">
        <v>1.746190508392054</v>
      </c>
      <c r="C1432" s="19" t="n">
        <v>1.484228290495656</v>
      </c>
      <c r="D1432" s="19" t="n">
        <v>1.316519045922574</v>
      </c>
      <c r="E1432" s="19" t="n">
        <v>1.275088622473841</v>
      </c>
      <c r="F1432" s="20">
        <f>B1432/B1431-1</f>
        <v/>
      </c>
      <c r="G1432" s="20">
        <f>B1432/MAX(B$2:B1432)-1</f>
        <v/>
      </c>
      <c r="H1432" s="20">
        <f>C1432/C1431-1</f>
        <v/>
      </c>
      <c r="I1432" s="20">
        <f>C1432/MAX(C$2:C1432)-1</f>
        <v/>
      </c>
      <c r="J1432" s="20">
        <f>D1432/D1431-1</f>
        <v/>
      </c>
      <c r="K1432" s="20">
        <f>D1432/MAX(D$2:D1432)-1</f>
        <v/>
      </c>
      <c r="L1432" s="20">
        <f>E1432/E1431-1</f>
        <v/>
      </c>
      <c r="M1432" s="20">
        <f>E1432/MAX(E$2:E1432)-1</f>
        <v/>
      </c>
    </row>
    <row r="1433">
      <c r="A1433" s="11" t="n">
        <v>45819</v>
      </c>
      <c r="B1433" s="19" t="n">
        <v>1.746857644746945</v>
      </c>
      <c r="C1433" s="19" t="n">
        <v>1.486210501582137</v>
      </c>
      <c r="D1433" s="19" t="n">
        <v>1.33241385264455</v>
      </c>
      <c r="E1433" s="19" t="n">
        <v>1.283402210261237</v>
      </c>
      <c r="F1433" s="20">
        <f>B1433/B1432-1</f>
        <v/>
      </c>
      <c r="G1433" s="20">
        <f>B1433/MAX(B$2:B1433)-1</f>
        <v/>
      </c>
      <c r="H1433" s="20">
        <f>C1433/C1432-1</f>
        <v/>
      </c>
      <c r="I1433" s="20">
        <f>C1433/MAX(C$2:C1433)-1</f>
        <v/>
      </c>
      <c r="J1433" s="20">
        <f>D1433/D1432-1</f>
        <v/>
      </c>
      <c r="K1433" s="20">
        <f>D1433/MAX(D$2:D1433)-1</f>
        <v/>
      </c>
      <c r="L1433" s="20">
        <f>E1433/E1432-1</f>
        <v/>
      </c>
      <c r="M1433" s="20">
        <f>E1433/MAX(E$2:E1433)-1</f>
        <v/>
      </c>
    </row>
    <row r="1434">
      <c r="A1434" s="11" t="n">
        <v>45820</v>
      </c>
      <c r="B1434" s="19" t="n">
        <v>1.761692430250445</v>
      </c>
      <c r="C1434" s="19" t="n">
        <v>1.490920958551297</v>
      </c>
      <c r="D1434" s="19" t="n">
        <v>1.335829820551343</v>
      </c>
      <c r="E1434" s="19" t="n">
        <v>1.285024010831842</v>
      </c>
      <c r="F1434" s="20">
        <f>B1434/B1433-1</f>
        <v/>
      </c>
      <c r="G1434" s="20">
        <f>B1434/MAX(B$2:B1434)-1</f>
        <v/>
      </c>
      <c r="H1434" s="20">
        <f>C1434/C1433-1</f>
        <v/>
      </c>
      <c r="I1434" s="20">
        <f>C1434/MAX(C$2:C1434)-1</f>
        <v/>
      </c>
      <c r="J1434" s="20">
        <f>D1434/D1433-1</f>
        <v/>
      </c>
      <c r="K1434" s="20">
        <f>D1434/MAX(D$2:D1434)-1</f>
        <v/>
      </c>
      <c r="L1434" s="20">
        <f>E1434/E1433-1</f>
        <v/>
      </c>
      <c r="M1434" s="20">
        <f>E1434/MAX(E$2:E1434)-1</f>
        <v/>
      </c>
    </row>
    <row r="1435">
      <c r="A1435" s="11" t="n">
        <v>45821</v>
      </c>
      <c r="B1435" s="19" t="n">
        <v>1.742369410583775</v>
      </c>
      <c r="C1435" s="19" t="n">
        <v>1.472125403110114</v>
      </c>
      <c r="D1435" s="19" t="n">
        <v>1.320754029308657</v>
      </c>
      <c r="E1435" s="19" t="n">
        <v>1.270829536112961</v>
      </c>
      <c r="F1435" s="20">
        <f>B1435/B1434-1</f>
        <v/>
      </c>
      <c r="G1435" s="20">
        <f>B1435/MAX(B$2:B1435)-1</f>
        <v/>
      </c>
      <c r="H1435" s="20">
        <f>C1435/C1434-1</f>
        <v/>
      </c>
      <c r="I1435" s="20">
        <f>C1435/MAX(C$2:C1435)-1</f>
        <v/>
      </c>
      <c r="J1435" s="20">
        <f>D1435/D1434-1</f>
        <v/>
      </c>
      <c r="K1435" s="20">
        <f>D1435/MAX(D$2:D1435)-1</f>
        <v/>
      </c>
      <c r="L1435" s="20">
        <f>E1435/E1434-1</f>
        <v/>
      </c>
      <c r="M1435" s="20">
        <f>E1435/MAX(E$2:E1435)-1</f>
        <v/>
      </c>
    </row>
    <row r="1436">
      <c r="A1436" s="11" t="n">
        <v>45824</v>
      </c>
      <c r="B1436" s="19" t="n">
        <v>1.749456347363099</v>
      </c>
      <c r="C1436" s="19" t="n">
        <v>1.480398500907772</v>
      </c>
      <c r="D1436" s="19" t="n">
        <v>1.329476990052846</v>
      </c>
      <c r="E1436" s="19" t="n">
        <v>1.277692430729401</v>
      </c>
      <c r="F1436" s="20">
        <f>B1436/B1435-1</f>
        <v/>
      </c>
      <c r="G1436" s="20">
        <f>B1436/MAX(B$2:B1436)-1</f>
        <v/>
      </c>
      <c r="H1436" s="20">
        <f>C1436/C1435-1</f>
        <v/>
      </c>
      <c r="I1436" s="20">
        <f>C1436/MAX(C$2:C1436)-1</f>
        <v/>
      </c>
      <c r="J1436" s="20">
        <f>D1436/D1435-1</f>
        <v/>
      </c>
      <c r="K1436" s="20">
        <f>D1436/MAX(D$2:D1436)-1</f>
        <v/>
      </c>
      <c r="L1436" s="20">
        <f>E1436/E1435-1</f>
        <v/>
      </c>
      <c r="M1436" s="20">
        <f>E1436/MAX(E$2:E1436)-1</f>
        <v/>
      </c>
    </row>
    <row r="1437">
      <c r="A1437" s="11" t="n">
        <v>45825</v>
      </c>
      <c r="B1437" s="19" t="n">
        <v>1.729356188870548</v>
      </c>
      <c r="C1437" s="19" t="n">
        <v>1.473122569284194</v>
      </c>
      <c r="D1437" s="19" t="n">
        <v>1.324708296011607</v>
      </c>
      <c r="E1437" s="19" t="n">
        <v>1.27639796605378</v>
      </c>
      <c r="F1437" s="20">
        <f>B1437/B1436-1</f>
        <v/>
      </c>
      <c r="G1437" s="20">
        <f>B1437/MAX(B$2:B1437)-1</f>
        <v/>
      </c>
      <c r="H1437" s="20">
        <f>C1437/C1436-1</f>
        <v/>
      </c>
      <c r="I1437" s="20">
        <f>C1437/MAX(C$2:C1437)-1</f>
        <v/>
      </c>
      <c r="J1437" s="20">
        <f>D1437/D1436-1</f>
        <v/>
      </c>
      <c r="K1437" s="20">
        <f>D1437/MAX(D$2:D1437)-1</f>
        <v/>
      </c>
      <c r="L1437" s="20">
        <f>E1437/E1436-1</f>
        <v/>
      </c>
      <c r="M1437" s="20">
        <f>E1437/MAX(E$2:E1437)-1</f>
        <v/>
      </c>
    </row>
    <row r="1438">
      <c r="A1438" s="11" t="n">
        <v>45826</v>
      </c>
      <c r="B1438" s="19" t="n">
        <v>1.732832893925323</v>
      </c>
      <c r="C1438" s="19" t="n">
        <v>1.483642621915481</v>
      </c>
      <c r="D1438" s="19" t="n">
        <v>1.327800638423665</v>
      </c>
      <c r="E1438" s="19" t="n">
        <v>1.2763942463277</v>
      </c>
      <c r="F1438" s="20">
        <f>B1438/B1437-1</f>
        <v/>
      </c>
      <c r="G1438" s="20">
        <f>B1438/MAX(B$2:B1438)-1</f>
        <v/>
      </c>
      <c r="H1438" s="20">
        <f>C1438/C1437-1</f>
        <v/>
      </c>
      <c r="I1438" s="20">
        <f>C1438/MAX(C$2:C1438)-1</f>
        <v/>
      </c>
      <c r="J1438" s="20">
        <f>D1438/D1437-1</f>
        <v/>
      </c>
      <c r="K1438" s="20">
        <f>D1438/MAX(D$2:D1438)-1</f>
        <v/>
      </c>
      <c r="L1438" s="20">
        <f>E1438/E1437-1</f>
        <v/>
      </c>
      <c r="M1438" s="20">
        <f>E1438/MAX(E$2:E1438)-1</f>
        <v/>
      </c>
    </row>
    <row r="1439">
      <c r="A1439" s="11" t="n">
        <v>45827</v>
      </c>
      <c r="B1439" s="19" t="n">
        <v>1.707910989951007</v>
      </c>
      <c r="C1439" s="19" t="n">
        <v>1.468631497531375</v>
      </c>
      <c r="D1439" s="19" t="n">
        <v>1.309763686828488</v>
      </c>
      <c r="E1439" s="19" t="n">
        <v>1.261031777619896</v>
      </c>
      <c r="F1439" s="20">
        <f>B1439/B1438-1</f>
        <v/>
      </c>
      <c r="G1439" s="20">
        <f>B1439/MAX(B$2:B1439)-1</f>
        <v/>
      </c>
      <c r="H1439" s="20">
        <f>C1439/C1438-1</f>
        <v/>
      </c>
      <c r="I1439" s="20">
        <f>C1439/MAX(C$2:C1439)-1</f>
        <v/>
      </c>
      <c r="J1439" s="20">
        <f>D1439/D1438-1</f>
        <v/>
      </c>
      <c r="K1439" s="20">
        <f>D1439/MAX(D$2:D1439)-1</f>
        <v/>
      </c>
      <c r="L1439" s="20">
        <f>E1439/E1438-1</f>
        <v/>
      </c>
      <c r="M1439" s="20">
        <f>E1439/MAX(E$2:E1439)-1</f>
        <v/>
      </c>
    </row>
    <row r="1440">
      <c r="A1440" s="11" t="n">
        <v>45828</v>
      </c>
      <c r="B1440" s="19" t="n">
        <v>1.705431942622695</v>
      </c>
      <c r="C1440" s="19" t="n">
        <v>1.459213373407251</v>
      </c>
      <c r="D1440" s="19" t="n">
        <v>1.298827368093046</v>
      </c>
      <c r="E1440" s="19" t="n">
        <v>1.25722277811462</v>
      </c>
      <c r="F1440" s="20">
        <f>B1440/B1439-1</f>
        <v/>
      </c>
      <c r="G1440" s="20">
        <f>B1440/MAX(B$2:B1440)-1</f>
        <v/>
      </c>
      <c r="H1440" s="20">
        <f>C1440/C1439-1</f>
        <v/>
      </c>
      <c r="I1440" s="20">
        <f>C1440/MAX(C$2:C1440)-1</f>
        <v/>
      </c>
      <c r="J1440" s="20">
        <f>D1440/D1439-1</f>
        <v/>
      </c>
      <c r="K1440" s="20">
        <f>D1440/MAX(D$2:D1440)-1</f>
        <v/>
      </c>
      <c r="L1440" s="20">
        <f>E1440/E1439-1</f>
        <v/>
      </c>
      <c r="M1440" s="20">
        <f>E1440/MAX(E$2:E1440)-1</f>
        <v/>
      </c>
    </row>
    <row r="1441">
      <c r="A1441" s="11" t="n">
        <v>45831</v>
      </c>
      <c r="B1441" s="19" t="n">
        <v>1.720713458964657</v>
      </c>
      <c r="C1441" s="19" t="n">
        <v>1.469735013346615</v>
      </c>
      <c r="D1441" s="19" t="n">
        <v>1.303829217243113</v>
      </c>
      <c r="E1441" s="19" t="n">
        <v>1.2679913851144</v>
      </c>
      <c r="F1441" s="20">
        <f>B1441/B1440-1</f>
        <v/>
      </c>
      <c r="G1441" s="20">
        <f>B1441/MAX(B$2:B1441)-1</f>
        <v/>
      </c>
      <c r="H1441" s="20">
        <f>C1441/C1440-1</f>
        <v/>
      </c>
      <c r="I1441" s="20">
        <f>C1441/MAX(C$2:C1441)-1</f>
        <v/>
      </c>
      <c r="J1441" s="20">
        <f>D1441/D1440-1</f>
        <v/>
      </c>
      <c r="K1441" s="20">
        <f>D1441/MAX(D$2:D1441)-1</f>
        <v/>
      </c>
      <c r="L1441" s="20">
        <f>E1441/E1440-1</f>
        <v/>
      </c>
      <c r="M1441" s="20">
        <f>E1441/MAX(E$2:E1441)-1</f>
        <v/>
      </c>
    </row>
    <row r="1442">
      <c r="A1442" s="11" t="n">
        <v>45832</v>
      </c>
      <c r="B1442" s="19" t="n">
        <v>1.750146515159597</v>
      </c>
      <c r="C1442" s="19" t="n">
        <v>1.493189366094089</v>
      </c>
      <c r="D1442" s="19" t="n">
        <v>1.333878955922634</v>
      </c>
      <c r="E1442" s="19" t="n">
        <v>1.287609220457006</v>
      </c>
      <c r="F1442" s="20">
        <f>B1442/B1441-1</f>
        <v/>
      </c>
      <c r="G1442" s="20">
        <f>B1442/MAX(B$2:B1442)-1</f>
        <v/>
      </c>
      <c r="H1442" s="20">
        <f>C1442/C1441-1</f>
        <v/>
      </c>
      <c r="I1442" s="20">
        <f>C1442/MAX(C$2:C1442)-1</f>
        <v/>
      </c>
      <c r="J1442" s="20">
        <f>D1442/D1441-1</f>
        <v/>
      </c>
      <c r="K1442" s="20">
        <f>D1442/MAX(D$2:D1442)-1</f>
        <v/>
      </c>
      <c r="L1442" s="20">
        <f>E1442/E1441-1</f>
        <v/>
      </c>
      <c r="M1442" s="20">
        <f>E1442/MAX(E$2:E1442)-1</f>
        <v/>
      </c>
    </row>
    <row r="1443">
      <c r="A1443" s="11" t="n">
        <v>45833</v>
      </c>
      <c r="B1443" s="19" t="n">
        <v>1.765879200741528</v>
      </c>
      <c r="C1443" s="19" t="n">
        <v>1.514716245833617</v>
      </c>
      <c r="D1443" s="19" t="n">
        <v>1.375403312133752</v>
      </c>
      <c r="E1443" s="19" t="n">
        <v>1.305478784542306</v>
      </c>
      <c r="F1443" s="20">
        <f>B1443/B1442-1</f>
        <v/>
      </c>
      <c r="G1443" s="20">
        <f>B1443/MAX(B$2:B1443)-1</f>
        <v/>
      </c>
      <c r="H1443" s="20">
        <f>C1443/C1442-1</f>
        <v/>
      </c>
      <c r="I1443" s="20">
        <f>C1443/MAX(C$2:C1443)-1</f>
        <v/>
      </c>
      <c r="J1443" s="20">
        <f>D1443/D1442-1</f>
        <v/>
      </c>
      <c r="K1443" s="20">
        <f>D1443/MAX(D$2:D1443)-1</f>
        <v/>
      </c>
      <c r="L1443" s="20">
        <f>E1443/E1442-1</f>
        <v/>
      </c>
      <c r="M1443" s="20">
        <f>E1443/MAX(E$2:E1443)-1</f>
        <v/>
      </c>
    </row>
    <row r="1444">
      <c r="A1444" s="11" t="n">
        <v>45834</v>
      </c>
      <c r="B1444" s="19" t="n">
        <v>1.754580878327121</v>
      </c>
      <c r="C1444" s="19" t="n">
        <v>1.508827284767638</v>
      </c>
      <c r="D1444" s="19" t="n">
        <v>1.3663777279487</v>
      </c>
      <c r="E1444" s="19" t="n">
        <v>1.301762778189014</v>
      </c>
      <c r="F1444" s="20">
        <f>B1444/B1443-1</f>
        <v/>
      </c>
      <c r="G1444" s="20">
        <f>B1444/MAX(B$2:B1444)-1</f>
        <v/>
      </c>
      <c r="H1444" s="20">
        <f>C1444/C1443-1</f>
        <v/>
      </c>
      <c r="I1444" s="20">
        <f>C1444/MAX(C$2:C1444)-1</f>
        <v/>
      </c>
      <c r="J1444" s="20">
        <f>D1444/D1443-1</f>
        <v/>
      </c>
      <c r="K1444" s="20">
        <f>D1444/MAX(D$2:D1444)-1</f>
        <v/>
      </c>
      <c r="L1444" s="20">
        <f>E1444/E1443-1</f>
        <v/>
      </c>
      <c r="M1444" s="20">
        <f>E1444/MAX(E$2:E1444)-1</f>
        <v/>
      </c>
    </row>
    <row r="1445">
      <c r="A1445" s="11" t="n">
        <v>45835</v>
      </c>
      <c r="B1445" s="19" t="n">
        <v>1.760430055420868</v>
      </c>
      <c r="C1445" s="19" t="n">
        <v>1.521669809616826</v>
      </c>
      <c r="D1445" s="19" t="n">
        <v>1.372787684033728</v>
      </c>
      <c r="E1445" s="19" t="n">
        <v>1.301770217641173</v>
      </c>
      <c r="F1445" s="20">
        <f>B1445/B1444-1</f>
        <v/>
      </c>
      <c r="G1445" s="20">
        <f>B1445/MAX(B$2:B1445)-1</f>
        <v/>
      </c>
      <c r="H1445" s="20">
        <f>C1445/C1444-1</f>
        <v/>
      </c>
      <c r="I1445" s="20">
        <f>C1445/MAX(C$2:C1445)-1</f>
        <v/>
      </c>
      <c r="J1445" s="20">
        <f>D1445/D1444-1</f>
        <v/>
      </c>
      <c r="K1445" s="20">
        <f>D1445/MAX(D$2:D1445)-1</f>
        <v/>
      </c>
      <c r="L1445" s="20">
        <f>E1445/E1444-1</f>
        <v/>
      </c>
      <c r="M1445" s="20">
        <f>E1445/MAX(E$2:E1445)-1</f>
        <v/>
      </c>
    </row>
    <row r="1446">
      <c r="A1446" s="11" t="n">
        <v>45838</v>
      </c>
      <c r="B1446" s="19" t="n">
        <v>1.773392327400932</v>
      </c>
      <c r="C1446" s="19" t="n">
        <v>1.540838767258067</v>
      </c>
      <c r="D1446" s="19" t="n">
        <v>1.391314145038375</v>
      </c>
      <c r="E1446" s="19" t="n">
        <v>1.31332740656978</v>
      </c>
      <c r="F1446" s="20">
        <f>B1446/B1445-1</f>
        <v/>
      </c>
      <c r="G1446" s="20">
        <f>B1446/MAX(B$2:B1446)-1</f>
        <v/>
      </c>
      <c r="H1446" s="20">
        <f>C1446/C1445-1</f>
        <v/>
      </c>
      <c r="I1446" s="20">
        <f>C1446/MAX(C$2:C1446)-1</f>
        <v/>
      </c>
      <c r="J1446" s="20">
        <f>D1446/D1445-1</f>
        <v/>
      </c>
      <c r="K1446" s="20">
        <f>D1446/MAX(D$2:D1446)-1</f>
        <v/>
      </c>
      <c r="L1446" s="20">
        <f>E1446/E1445-1</f>
        <v/>
      </c>
      <c r="M1446" s="20">
        <f>E1446/MAX(E$2:E1446)-1</f>
        <v/>
      </c>
    </row>
    <row r="1447">
      <c r="A1447" s="11" t="n">
        <v>45839</v>
      </c>
      <c r="B1447" s="19" t="n">
        <v>1.773200320161699</v>
      </c>
      <c r="C1447" s="19" t="n">
        <v>1.540518804429936</v>
      </c>
      <c r="D1447" s="19" t="n">
        <v>1.388021604586642</v>
      </c>
      <c r="E1447" s="19" t="n">
        <v>1.316946700045009</v>
      </c>
      <c r="F1447" s="20">
        <f>B1447/B1446-1</f>
        <v/>
      </c>
      <c r="G1447" s="20">
        <f>B1447/MAX(B$2:B1447)-1</f>
        <v/>
      </c>
      <c r="H1447" s="20">
        <f>C1447/C1446-1</f>
        <v/>
      </c>
      <c r="I1447" s="20">
        <f>C1447/MAX(C$2:C1447)-1</f>
        <v/>
      </c>
      <c r="J1447" s="20">
        <f>D1447/D1446-1</f>
        <v/>
      </c>
      <c r="K1447" s="20">
        <f>D1447/MAX(D$2:D1447)-1</f>
        <v/>
      </c>
      <c r="L1447" s="20">
        <f>E1447/E1446-1</f>
        <v/>
      </c>
      <c r="M1447" s="20">
        <f>E1447/MAX(E$2:E1447)-1</f>
        <v/>
      </c>
    </row>
    <row r="1448">
      <c r="A1448" s="11" t="n">
        <v>45840</v>
      </c>
      <c r="B1448" s="19" t="n">
        <v>1.76458653343005</v>
      </c>
      <c r="C1448" s="19" t="n">
        <v>1.525441205507574</v>
      </c>
      <c r="D1448" s="19" t="n">
        <v>1.372383346030421</v>
      </c>
      <c r="E1448" s="19" t="n">
        <v>1.311839516138032</v>
      </c>
      <c r="F1448" s="20">
        <f>B1448/B1447-1</f>
        <v/>
      </c>
      <c r="G1448" s="20">
        <f>B1448/MAX(B$2:B1448)-1</f>
        <v/>
      </c>
      <c r="H1448" s="20">
        <f>C1448/C1447-1</f>
        <v/>
      </c>
      <c r="I1448" s="20">
        <f>C1448/MAX(C$2:C1448)-1</f>
        <v/>
      </c>
      <c r="J1448" s="20">
        <f>D1448/D1447-1</f>
        <v/>
      </c>
      <c r="K1448" s="20">
        <f>D1448/MAX(D$2:D1448)-1</f>
        <v/>
      </c>
      <c r="L1448" s="20">
        <f>E1448/E1447-1</f>
        <v/>
      </c>
      <c r="M1448" s="20">
        <f>E1448/MAX(E$2:E1448)-1</f>
        <v/>
      </c>
    </row>
    <row r="1449">
      <c r="A1449" s="11" t="n">
        <v>45841</v>
      </c>
      <c r="B1449" s="19" t="n">
        <v>1.788181498127918</v>
      </c>
      <c r="C1449" s="19" t="n">
        <v>1.552344201503469</v>
      </c>
      <c r="D1449" s="19" t="n">
        <v>1.39847080491567</v>
      </c>
      <c r="E1449" s="19" t="n">
        <v>1.319869660798179</v>
      </c>
      <c r="F1449" s="20">
        <f>B1449/B1448-1</f>
        <v/>
      </c>
      <c r="G1449" s="20">
        <f>B1449/MAX(B$2:B1449)-1</f>
        <v/>
      </c>
      <c r="H1449" s="20">
        <f>C1449/C1448-1</f>
        <v/>
      </c>
      <c r="I1449" s="20">
        <f>C1449/MAX(C$2:C1449)-1</f>
        <v/>
      </c>
      <c r="J1449" s="20">
        <f>D1449/D1448-1</f>
        <v/>
      </c>
      <c r="K1449" s="20">
        <f>D1449/MAX(D$2:D1449)-1</f>
        <v/>
      </c>
      <c r="L1449" s="20">
        <f>E1449/E1448-1</f>
        <v/>
      </c>
      <c r="M1449" s="20">
        <f>E1449/MAX(E$2:E1449)-1</f>
        <v/>
      </c>
    </row>
    <row r="1450">
      <c r="A1450" s="11" t="n">
        <v>45842</v>
      </c>
      <c r="B1450" s="19" t="n">
        <v>1.789418128144207</v>
      </c>
      <c r="C1450" s="19" t="n">
        <v>1.546098769523589</v>
      </c>
      <c r="D1450" s="19" t="n">
        <v>1.393395157779384</v>
      </c>
      <c r="E1450" s="19" t="n">
        <v>1.318115066006539</v>
      </c>
      <c r="F1450" s="20">
        <f>B1450/B1449-1</f>
        <v/>
      </c>
      <c r="G1450" s="20">
        <f>B1450/MAX(B$2:B1450)-1</f>
        <v/>
      </c>
      <c r="H1450" s="20">
        <f>C1450/C1449-1</f>
        <v/>
      </c>
      <c r="I1450" s="20">
        <f>C1450/MAX(C$2:C1450)-1</f>
        <v/>
      </c>
      <c r="J1450" s="20">
        <f>D1450/D1449-1</f>
        <v/>
      </c>
      <c r="K1450" s="20">
        <f>D1450/MAX(D$2:D1450)-1</f>
        <v/>
      </c>
      <c r="L1450" s="20">
        <f>E1450/E1449-1</f>
        <v/>
      </c>
      <c r="M1450" s="20">
        <f>E1450/MAX(E$2:E1450)-1</f>
        <v/>
      </c>
    </row>
    <row r="1451">
      <c r="A1451" s="11" t="n">
        <v>45845</v>
      </c>
      <c r="B1451" s="19" t="n">
        <v>1.771745834008046</v>
      </c>
      <c r="C1451" s="19" t="n">
        <v>1.529803031902728</v>
      </c>
      <c r="D1451" s="19" t="n">
        <v>1.376562367020649</v>
      </c>
      <c r="E1451" s="19" t="n">
        <v>1.317824183427132</v>
      </c>
      <c r="F1451" s="20">
        <f>B1451/B1450-1</f>
        <v/>
      </c>
      <c r="G1451" s="20">
        <f>B1451/MAX(B$2:B1451)-1</f>
        <v/>
      </c>
      <c r="H1451" s="20">
        <f>C1451/C1450-1</f>
        <v/>
      </c>
      <c r="I1451" s="20">
        <f>C1451/MAX(C$2:C1451)-1</f>
        <v/>
      </c>
      <c r="J1451" s="20">
        <f>D1451/D1450-1</f>
        <v/>
      </c>
      <c r="K1451" s="20">
        <f>D1451/MAX(D$2:D1451)-1</f>
        <v/>
      </c>
      <c r="L1451" s="20">
        <f>E1451/E1450-1</f>
        <v/>
      </c>
      <c r="M1451" s="20">
        <f>E1451/MAX(E$2:E1451)-1</f>
        <v/>
      </c>
    </row>
    <row r="1452">
      <c r="A1452" s="11" t="n">
        <v>45846</v>
      </c>
      <c r="B1452" s="19" t="n">
        <v>1.796887590454963</v>
      </c>
      <c r="C1452" s="19" t="n">
        <v>1.564154014097701</v>
      </c>
      <c r="D1452" s="19" t="n">
        <v>1.409449127758854</v>
      </c>
      <c r="E1452" s="19" t="n">
        <v>1.331911902007536</v>
      </c>
      <c r="F1452" s="20">
        <f>B1452/B1451-1</f>
        <v/>
      </c>
      <c r="G1452" s="20">
        <f>B1452/MAX(B$2:B1452)-1</f>
        <v/>
      </c>
      <c r="H1452" s="20">
        <f>C1452/C1451-1</f>
        <v/>
      </c>
      <c r="I1452" s="20">
        <f>C1452/MAX(C$2:C1452)-1</f>
        <v/>
      </c>
      <c r="J1452" s="20">
        <f>D1452/D1451-1</f>
        <v/>
      </c>
      <c r="K1452" s="20">
        <f>D1452/MAX(D$2:D1452)-1</f>
        <v/>
      </c>
      <c r="L1452" s="20">
        <f>E1452/E1451-1</f>
        <v/>
      </c>
      <c r="M1452" s="20">
        <f>E1452/MAX(E$2:E1452)-1</f>
        <v/>
      </c>
    </row>
    <row r="1453">
      <c r="A1453" s="11" t="n">
        <v>45847</v>
      </c>
      <c r="B1453" s="19" t="n">
        <v>1.799577860250441</v>
      </c>
      <c r="C1453" s="19" t="n">
        <v>1.563902257416637</v>
      </c>
      <c r="D1453" s="19" t="n">
        <v>1.411773893568183</v>
      </c>
      <c r="E1453" s="19" t="n">
        <v>1.32950040359028</v>
      </c>
      <c r="F1453" s="20">
        <f>B1453/B1452-1</f>
        <v/>
      </c>
      <c r="G1453" s="20">
        <f>B1453/MAX(B$2:B1453)-1</f>
        <v/>
      </c>
      <c r="H1453" s="20">
        <f>C1453/C1452-1</f>
        <v/>
      </c>
      <c r="I1453" s="20">
        <f>C1453/MAX(C$2:C1453)-1</f>
        <v/>
      </c>
      <c r="J1453" s="20">
        <f>D1453/D1452-1</f>
        <v/>
      </c>
      <c r="K1453" s="20">
        <f>D1453/MAX(D$2:D1453)-1</f>
        <v/>
      </c>
      <c r="L1453" s="20">
        <f>E1453/E1452-1</f>
        <v/>
      </c>
      <c r="M1453" s="20">
        <f>E1453/MAX(E$2:E1453)-1</f>
        <v/>
      </c>
    </row>
    <row r="1454">
      <c r="A1454" s="11" t="n">
        <v>45848</v>
      </c>
      <c r="B1454" s="19" t="n">
        <v>1.80130091193473</v>
      </c>
      <c r="C1454" s="19" t="n">
        <v>1.570377464265727</v>
      </c>
      <c r="D1454" s="19" t="n">
        <v>1.4149421664827</v>
      </c>
      <c r="E1454" s="19" t="n">
        <v>1.334606843552041</v>
      </c>
      <c r="F1454" s="20">
        <f>B1454/B1453-1</f>
        <v/>
      </c>
      <c r="G1454" s="20">
        <f>B1454/MAX(B$2:B1454)-1</f>
        <v/>
      </c>
      <c r="H1454" s="20">
        <f>C1454/C1453-1</f>
        <v/>
      </c>
      <c r="I1454" s="20">
        <f>C1454/MAX(C$2:C1454)-1</f>
        <v/>
      </c>
      <c r="J1454" s="20">
        <f>D1454/D1453-1</f>
        <v/>
      </c>
      <c r="K1454" s="20">
        <f>D1454/MAX(D$2:D1454)-1</f>
        <v/>
      </c>
      <c r="L1454" s="20">
        <f>E1454/E1453-1</f>
        <v/>
      </c>
      <c r="M1454" s="20">
        <f>E1454/MAX(E$2:E1454)-1</f>
        <v/>
      </c>
    </row>
    <row r="1455">
      <c r="A1455" s="11" t="n">
        <v>45849</v>
      </c>
      <c r="B1455" s="19" t="n">
        <v>1.810621434682713</v>
      </c>
      <c r="C1455" s="19" t="n">
        <v>1.576892594317966</v>
      </c>
      <c r="D1455" s="19" t="n">
        <v>1.42626356595359</v>
      </c>
      <c r="E1455" s="19" t="n">
        <v>1.340523811826497</v>
      </c>
      <c r="F1455" s="20">
        <f>B1455/B1454-1</f>
        <v/>
      </c>
      <c r="G1455" s="20">
        <f>B1455/MAX(B$2:B1455)-1</f>
        <v/>
      </c>
      <c r="H1455" s="20">
        <f>C1455/C1454-1</f>
        <v/>
      </c>
      <c r="I1455" s="20">
        <f>C1455/MAX(C$2:C1455)-1</f>
        <v/>
      </c>
      <c r="J1455" s="20">
        <f>D1455/D1454-1</f>
        <v/>
      </c>
      <c r="K1455" s="20">
        <f>D1455/MAX(D$2:D1455)-1</f>
        <v/>
      </c>
      <c r="L1455" s="20">
        <f>E1455/E1454-1</f>
        <v/>
      </c>
      <c r="M1455" s="20">
        <f>E1455/MAX(E$2:E1455)-1</f>
        <v/>
      </c>
    </row>
    <row r="1456">
      <c r="A1456" s="11" t="n">
        <v>45852</v>
      </c>
      <c r="B1456" s="19" t="n">
        <v>1.821356811744566</v>
      </c>
      <c r="C1456" s="19" t="n">
        <v>1.577353346562504</v>
      </c>
      <c r="D1456" s="19" t="n">
        <v>1.41978284910244</v>
      </c>
      <c r="E1456" s="19" t="n">
        <v>1.342764946789319</v>
      </c>
      <c r="F1456" s="20">
        <f>B1456/B1455-1</f>
        <v/>
      </c>
      <c r="G1456" s="20">
        <f>B1456/MAX(B$2:B1456)-1</f>
        <v/>
      </c>
      <c r="H1456" s="20">
        <f>C1456/C1455-1</f>
        <v/>
      </c>
      <c r="I1456" s="20">
        <f>C1456/MAX(C$2:C1456)-1</f>
        <v/>
      </c>
      <c r="J1456" s="20">
        <f>D1456/D1455-1</f>
        <v/>
      </c>
      <c r="K1456" s="20">
        <f>D1456/MAX(D$2:D1456)-1</f>
        <v/>
      </c>
      <c r="L1456" s="20">
        <f>E1456/E1455-1</f>
        <v/>
      </c>
      <c r="M1456" s="20">
        <f>E1456/MAX(E$2:E1456)-1</f>
        <v/>
      </c>
    </row>
    <row r="1457">
      <c r="A1457" s="11" t="n">
        <v>45853</v>
      </c>
      <c r="B1457" s="19" t="n">
        <v>1.872316661375298</v>
      </c>
      <c r="C1457" s="19" t="n">
        <v>1.602319009000277</v>
      </c>
      <c r="D1457" s="19" t="n">
        <v>1.444326883204089</v>
      </c>
      <c r="E1457" s="19" t="n">
        <v>1.339958041489825</v>
      </c>
      <c r="F1457" s="20">
        <f>B1457/B1456-1</f>
        <v/>
      </c>
      <c r="G1457" s="20">
        <f>B1457/MAX(B$2:B1457)-1</f>
        <v/>
      </c>
      <c r="H1457" s="20">
        <f>C1457/C1456-1</f>
        <v/>
      </c>
      <c r="I1457" s="20">
        <f>C1457/MAX(C$2:C1457)-1</f>
        <v/>
      </c>
      <c r="J1457" s="20">
        <f>D1457/D1456-1</f>
        <v/>
      </c>
      <c r="K1457" s="20">
        <f>D1457/MAX(D$2:D1457)-1</f>
        <v/>
      </c>
      <c r="L1457" s="20">
        <f>E1457/E1456-1</f>
        <v/>
      </c>
      <c r="M1457" s="20">
        <f>E1457/MAX(E$2:E1457)-1</f>
        <v/>
      </c>
    </row>
    <row r="1458">
      <c r="A1458" s="11" t="n">
        <v>45854</v>
      </c>
      <c r="B1458" s="19" t="n">
        <v>1.870154768996937</v>
      </c>
      <c r="C1458" s="19" t="n">
        <v>1.595048464604112</v>
      </c>
      <c r="D1458" s="19" t="n">
        <v>1.441189499464189</v>
      </c>
      <c r="E1458" s="19" t="n">
        <v>1.340659209855786</v>
      </c>
      <c r="F1458" s="20">
        <f>B1458/B1457-1</f>
        <v/>
      </c>
      <c r="G1458" s="20">
        <f>B1458/MAX(B$2:B1458)-1</f>
        <v/>
      </c>
      <c r="H1458" s="20">
        <f>C1458/C1457-1</f>
        <v/>
      </c>
      <c r="I1458" s="20">
        <f>C1458/MAX(C$2:C1458)-1</f>
        <v/>
      </c>
      <c r="J1458" s="20">
        <f>D1458/D1457-1</f>
        <v/>
      </c>
      <c r="K1458" s="20">
        <f>D1458/MAX(D$2:D1458)-1</f>
        <v/>
      </c>
      <c r="L1458" s="20">
        <f>E1458/E1457-1</f>
        <v/>
      </c>
      <c r="M1458" s="20">
        <f>E1458/MAX(E$2:E1458)-1</f>
        <v/>
      </c>
    </row>
    <row r="1459">
      <c r="A1459" s="11" t="n">
        <v>45855</v>
      </c>
      <c r="B1459" s="19" t="n">
        <v>1.916597349327248</v>
      </c>
      <c r="C1459" s="19" t="n">
        <v>1.622211634823904</v>
      </c>
      <c r="D1459" s="19" t="n">
        <v>1.466477523246527</v>
      </c>
      <c r="E1459" s="19" t="n">
        <v>1.35314558635902</v>
      </c>
      <c r="F1459" s="20">
        <f>B1459/B1458-1</f>
        <v/>
      </c>
      <c r="G1459" s="20">
        <f>B1459/MAX(B$2:B1459)-1</f>
        <v/>
      </c>
      <c r="H1459" s="20">
        <f>C1459/C1458-1</f>
        <v/>
      </c>
      <c r="I1459" s="20">
        <f>C1459/MAX(C$2:C1459)-1</f>
        <v/>
      </c>
      <c r="J1459" s="20">
        <f>D1459/D1458-1</f>
        <v/>
      </c>
      <c r="K1459" s="20">
        <f>D1459/MAX(D$2:D1459)-1</f>
        <v/>
      </c>
      <c r="L1459" s="20">
        <f>E1459/E1458-1</f>
        <v/>
      </c>
      <c r="M1459" s="20">
        <f>E1459/MAX(E$2:E1459)-1</f>
        <v/>
      </c>
    </row>
    <row r="1460">
      <c r="A1460" s="11" t="n">
        <v>45856</v>
      </c>
      <c r="B1460" s="19" t="n">
        <v>1.926266405740297</v>
      </c>
      <c r="C1460" s="19" t="n">
        <v>1.623291581519213</v>
      </c>
      <c r="D1460" s="19" t="n">
        <v>1.471534430088589</v>
      </c>
      <c r="E1460" s="19" t="n">
        <v>1.359046187838728</v>
      </c>
      <c r="F1460" s="20">
        <f>B1460/B1459-1</f>
        <v/>
      </c>
      <c r="G1460" s="20">
        <f>B1460/MAX(B$2:B1460)-1</f>
        <v/>
      </c>
      <c r="H1460" s="20">
        <f>C1460/C1459-1</f>
        <v/>
      </c>
      <c r="I1460" s="20">
        <f>C1460/MAX(C$2:C1460)-1</f>
        <v/>
      </c>
      <c r="J1460" s="20">
        <f>D1460/D1459-1</f>
        <v/>
      </c>
      <c r="K1460" s="20">
        <f>D1460/MAX(D$2:D1460)-1</f>
        <v/>
      </c>
      <c r="L1460" s="20">
        <f>E1460/E1459-1</f>
        <v/>
      </c>
      <c r="M1460" s="20">
        <f>E1460/MAX(E$2:E1460)-1</f>
        <v/>
      </c>
    </row>
    <row r="1461">
      <c r="A1461" s="11" t="n">
        <v>45859</v>
      </c>
      <c r="B1461" s="19" t="n">
        <v>1.931481084971592</v>
      </c>
      <c r="C1461" s="19" t="n">
        <v>1.637872353013468</v>
      </c>
      <c r="D1461" s="19" t="n">
        <v>1.484285132413426</v>
      </c>
      <c r="E1461" s="19" t="n">
        <v>1.371408697463519</v>
      </c>
      <c r="F1461" s="20">
        <f>B1461/B1460-1</f>
        <v/>
      </c>
      <c r="G1461" s="20">
        <f>B1461/MAX(B$2:B1461)-1</f>
        <v/>
      </c>
      <c r="H1461" s="20">
        <f>C1461/C1460-1</f>
        <v/>
      </c>
      <c r="I1461" s="20">
        <f>C1461/MAX(C$2:C1461)-1</f>
        <v/>
      </c>
      <c r="J1461" s="20">
        <f>D1461/D1460-1</f>
        <v/>
      </c>
      <c r="K1461" s="20">
        <f>D1461/MAX(D$2:D1461)-1</f>
        <v/>
      </c>
      <c r="L1461" s="20">
        <f>E1461/E1460-1</f>
        <v/>
      </c>
      <c r="M1461" s="20">
        <f>E1461/MAX(E$2:E1461)-1</f>
        <v/>
      </c>
    </row>
    <row r="1462">
      <c r="A1462" s="11" t="n">
        <v>45860</v>
      </c>
      <c r="B1462" s="19" t="n">
        <v>1.932186593701455</v>
      </c>
      <c r="C1462" s="19" t="n">
        <v>1.644805714693879</v>
      </c>
      <c r="D1462" s="19" t="n">
        <v>1.493314529279028</v>
      </c>
      <c r="E1462" s="19" t="n">
        <v>1.379671696976235</v>
      </c>
      <c r="F1462" s="20">
        <f>B1462/B1461-1</f>
        <v/>
      </c>
      <c r="G1462" s="20">
        <f>B1462/MAX(B$2:B1462)-1</f>
        <v/>
      </c>
      <c r="H1462" s="20">
        <f>C1462/C1461-1</f>
        <v/>
      </c>
      <c r="I1462" s="20">
        <f>C1462/MAX(C$2:C1462)-1</f>
        <v/>
      </c>
      <c r="J1462" s="20">
        <f>D1462/D1461-1</f>
        <v/>
      </c>
      <c r="K1462" s="20">
        <f>D1462/MAX(D$2:D1462)-1</f>
        <v/>
      </c>
      <c r="L1462" s="20">
        <f>E1462/E1461-1</f>
        <v/>
      </c>
      <c r="M1462" s="20">
        <f>E1462/MAX(E$2:E1462)-1</f>
        <v/>
      </c>
    </row>
    <row r="1463">
      <c r="A1463" s="11" t="n">
        <v>45861</v>
      </c>
      <c r="B1463" s="19" t="n">
        <v>1.93156347122542</v>
      </c>
      <c r="C1463" s="19" t="n">
        <v>1.635616643935293</v>
      </c>
      <c r="D1463" s="19" t="n">
        <v>1.49319497912622</v>
      </c>
      <c r="E1463" s="19" t="n">
        <v>1.375883527937003</v>
      </c>
      <c r="F1463" s="20">
        <f>B1463/B1462-1</f>
        <v/>
      </c>
      <c r="G1463" s="20">
        <f>B1463/MAX(B$2:B1463)-1</f>
        <v/>
      </c>
      <c r="H1463" s="20">
        <f>C1463/C1462-1</f>
        <v/>
      </c>
      <c r="I1463" s="20">
        <f>C1463/MAX(C$2:C1463)-1</f>
        <v/>
      </c>
      <c r="J1463" s="20">
        <f>D1463/D1462-1</f>
        <v/>
      </c>
      <c r="K1463" s="20">
        <f>D1463/MAX(D$2:D1463)-1</f>
        <v/>
      </c>
      <c r="L1463" s="20">
        <f>E1463/E1462-1</f>
        <v/>
      </c>
      <c r="M1463" s="20">
        <f>E1463/MAX(E$2:E1463)-1</f>
        <v/>
      </c>
    </row>
    <row r="1464">
      <c r="A1464" s="11" t="n">
        <v>45862</v>
      </c>
      <c r="B1464" s="19" t="n">
        <v>1.955898217574195</v>
      </c>
      <c r="C1464" s="19" t="n">
        <v>1.654753133911322</v>
      </c>
      <c r="D1464" s="19" t="n">
        <v>1.515616319487638</v>
      </c>
      <c r="E1464" s="19" t="n">
        <v>1.390541852497982</v>
      </c>
      <c r="F1464" s="20">
        <f>B1464/B1463-1</f>
        <v/>
      </c>
      <c r="G1464" s="20">
        <f>B1464/MAX(B$2:B1464)-1</f>
        <v/>
      </c>
      <c r="H1464" s="20">
        <f>C1464/C1463-1</f>
        <v/>
      </c>
      <c r="I1464" s="20">
        <f>C1464/MAX(C$2:C1464)-1</f>
        <v/>
      </c>
      <c r="J1464" s="20">
        <f>D1464/D1463-1</f>
        <v/>
      </c>
      <c r="K1464" s="20">
        <f>D1464/MAX(D$2:D1464)-1</f>
        <v/>
      </c>
      <c r="L1464" s="20">
        <f>E1464/E1463-1</f>
        <v/>
      </c>
      <c r="M1464" s="20">
        <f>E1464/MAX(E$2:E1464)-1</f>
        <v/>
      </c>
    </row>
    <row r="1465">
      <c r="A1465" s="11" t="n">
        <v>45863</v>
      </c>
      <c r="B1465" s="19" t="n">
        <v>1.950229409313494</v>
      </c>
      <c r="C1465" s="19" t="n">
        <v>1.65562644195515</v>
      </c>
      <c r="D1465" s="19" t="n">
        <v>1.512183873046268</v>
      </c>
      <c r="E1465" s="19" t="n">
        <v>1.388756012007276</v>
      </c>
      <c r="F1465" s="20">
        <f>B1465/B1464-1</f>
        <v/>
      </c>
      <c r="G1465" s="20">
        <f>B1465/MAX(B$2:B1465)-1</f>
        <v/>
      </c>
      <c r="H1465" s="20">
        <f>C1465/C1464-1</f>
        <v/>
      </c>
      <c r="I1465" s="20">
        <f>C1465/MAX(C$2:C1465)-1</f>
        <v/>
      </c>
      <c r="J1465" s="20">
        <f>D1465/D1464-1</f>
        <v/>
      </c>
      <c r="K1465" s="20">
        <f>D1465/MAX(D$2:D1465)-1</f>
        <v/>
      </c>
      <c r="L1465" s="20">
        <f>E1465/E1464-1</f>
        <v/>
      </c>
      <c r="M1465" s="20">
        <f>E1465/MAX(E$2:E1465)-1</f>
        <v/>
      </c>
    </row>
    <row r="1466">
      <c r="A1466" s="11" t="n">
        <v>45866</v>
      </c>
      <c r="B1466" s="19" t="n">
        <v>1.979350621776916</v>
      </c>
      <c r="C1466" s="19" t="n">
        <v>1.673125118597166</v>
      </c>
      <c r="D1466" s="19" t="n">
        <v>1.526752060802303</v>
      </c>
      <c r="E1466" s="19" t="n">
        <v>1.393660470842927</v>
      </c>
      <c r="F1466" s="20">
        <f>B1466/B1465-1</f>
        <v/>
      </c>
      <c r="G1466" s="20">
        <f>B1466/MAX(B$2:B1466)-1</f>
        <v/>
      </c>
      <c r="H1466" s="20">
        <f>C1466/C1465-1</f>
        <v/>
      </c>
      <c r="I1466" s="20">
        <f>C1466/MAX(C$2:C1466)-1</f>
        <v/>
      </c>
      <c r="J1466" s="20">
        <f>D1466/D1465-1</f>
        <v/>
      </c>
      <c r="K1466" s="20">
        <f>D1466/MAX(D$2:D1466)-1</f>
        <v/>
      </c>
      <c r="L1466" s="20">
        <f>E1466/E1465-1</f>
        <v/>
      </c>
      <c r="M1466" s="20">
        <f>E1466/MAX(E$2:E1466)-1</f>
        <v/>
      </c>
    </row>
    <row r="1467">
      <c r="A1467" s="11" t="n">
        <v>45867</v>
      </c>
      <c r="B1467" s="19" t="n">
        <v>2.029145482992574</v>
      </c>
      <c r="C1467" s="19" t="n">
        <v>1.705829196511866</v>
      </c>
      <c r="D1467" s="19" t="n">
        <v>1.555182379574062</v>
      </c>
      <c r="E1467" s="19" t="n">
        <v>1.399847491230746</v>
      </c>
      <c r="F1467" s="20">
        <f>B1467/B1466-1</f>
        <v/>
      </c>
      <c r="G1467" s="20">
        <f>B1467/MAX(B$2:B1467)-1</f>
        <v/>
      </c>
      <c r="H1467" s="20">
        <f>C1467/C1466-1</f>
        <v/>
      </c>
      <c r="I1467" s="20">
        <f>C1467/MAX(C$2:C1467)-1</f>
        <v/>
      </c>
      <c r="J1467" s="20">
        <f>D1467/D1466-1</f>
        <v/>
      </c>
      <c r="K1467" s="20">
        <f>D1467/MAX(D$2:D1467)-1</f>
        <v/>
      </c>
      <c r="L1467" s="20">
        <f>E1467/E1466-1</f>
        <v/>
      </c>
      <c r="M1467" s="20">
        <f>E1467/MAX(E$2:E1467)-1</f>
        <v/>
      </c>
    </row>
    <row r="1468">
      <c r="A1468" s="11" t="n">
        <v>45868</v>
      </c>
      <c r="B1468" s="19" t="n">
        <v>2.009713998275466</v>
      </c>
      <c r="C1468" s="19" t="n">
        <v>1.689522443934956</v>
      </c>
      <c r="D1468" s="19" t="n">
        <v>1.530037428244867</v>
      </c>
      <c r="E1468" s="19" t="n">
        <v>1.394129900274144</v>
      </c>
      <c r="F1468" s="20">
        <f>B1468/B1467-1</f>
        <v/>
      </c>
      <c r="G1468" s="20">
        <f>B1468/MAX(B$2:B1468)-1</f>
        <v/>
      </c>
      <c r="H1468" s="20">
        <f>C1468/C1467-1</f>
        <v/>
      </c>
      <c r="I1468" s="20">
        <f>C1468/MAX(C$2:C1468)-1</f>
        <v/>
      </c>
      <c r="J1468" s="20">
        <f>D1468/D1467-1</f>
        <v/>
      </c>
      <c r="K1468" s="20">
        <f>D1468/MAX(D$2:D1468)-1</f>
        <v/>
      </c>
      <c r="L1468" s="20">
        <f>E1468/E1467-1</f>
        <v/>
      </c>
      <c r="M1468" s="20">
        <f>E1468/MAX(E$2:E1468)-1</f>
        <v/>
      </c>
    </row>
    <row r="1469">
      <c r="A1469" s="11" t="n">
        <v>45869</v>
      </c>
      <c r="B1469" s="19" t="n">
        <v>1.998314059818814</v>
      </c>
      <c r="C1469" s="19" t="n">
        <v>1.676546344706075</v>
      </c>
      <c r="D1469" s="19" t="n">
        <v>1.504595540184781</v>
      </c>
      <c r="E1469" s="19" t="n">
        <v>1.375174920118883</v>
      </c>
      <c r="F1469" s="20">
        <f>B1469/B1468-1</f>
        <v/>
      </c>
      <c r="G1469" s="20">
        <f>B1469/MAX(B$2:B1469)-1</f>
        <v/>
      </c>
      <c r="H1469" s="20">
        <f>C1469/C1468-1</f>
        <v/>
      </c>
      <c r="I1469" s="20">
        <f>C1469/MAX(C$2:C1469)-1</f>
        <v/>
      </c>
      <c r="J1469" s="20">
        <f>D1469/D1468-1</f>
        <v/>
      </c>
      <c r="K1469" s="20">
        <f>D1469/MAX(D$2:D1469)-1</f>
        <v/>
      </c>
      <c r="L1469" s="20">
        <f>E1469/E1468-1</f>
        <v/>
      </c>
      <c r="M1469" s="20">
        <f>E1469/MAX(E$2:E1469)-1</f>
        <v/>
      </c>
    </row>
    <row r="1470">
      <c r="A1470" s="11" t="n">
        <v>45870</v>
      </c>
      <c r="B1470" s="19" t="n">
        <v>1.976512213511959</v>
      </c>
      <c r="C1470" s="19" t="n">
        <v>1.670993556250711</v>
      </c>
      <c r="D1470" s="19" t="n">
        <v>1.500921020839401</v>
      </c>
      <c r="E1470" s="19" t="n">
        <v>1.373374200723859</v>
      </c>
      <c r="F1470" s="20">
        <f>B1470/B1469-1</f>
        <v/>
      </c>
      <c r="G1470" s="20">
        <f>B1470/MAX(B$2:B1470)-1</f>
        <v/>
      </c>
      <c r="H1470" s="20">
        <f>C1470/C1469-1</f>
        <v/>
      </c>
      <c r="I1470" s="20">
        <f>C1470/MAX(C$2:C1470)-1</f>
        <v/>
      </c>
      <c r="J1470" s="20">
        <f>D1470/D1469-1</f>
        <v/>
      </c>
      <c r="K1470" s="20">
        <f>D1470/MAX(D$2:D1470)-1</f>
        <v/>
      </c>
      <c r="L1470" s="20">
        <f>E1470/E1469-1</f>
        <v/>
      </c>
      <c r="M1470" s="20">
        <f>E1470/MAX(E$2:E1470)-1</f>
        <v/>
      </c>
    </row>
    <row r="1471">
      <c r="A1471" s="11" t="n">
        <v>45873</v>
      </c>
      <c r="B1471" s="19" t="n">
        <v>1.985285125178187</v>
      </c>
      <c r="C1471" s="19" t="n">
        <v>1.674789579466775</v>
      </c>
      <c r="D1471" s="19" t="n">
        <v>1.508479304608426</v>
      </c>
      <c r="E1471" s="19" t="n">
        <v>1.383790177691315</v>
      </c>
      <c r="F1471" s="20">
        <f>B1471/B1470-1</f>
        <v/>
      </c>
      <c r="G1471" s="20">
        <f>B1471/MAX(B$2:B1471)-1</f>
        <v/>
      </c>
      <c r="H1471" s="20">
        <f>C1471/C1470-1</f>
        <v/>
      </c>
      <c r="I1471" s="20">
        <f>C1471/MAX(C$2:C1471)-1</f>
        <v/>
      </c>
      <c r="J1471" s="20">
        <f>D1471/D1470-1</f>
        <v/>
      </c>
      <c r="K1471" s="20">
        <f>D1471/MAX(D$2:D1471)-1</f>
        <v/>
      </c>
      <c r="L1471" s="20">
        <f>E1471/E1470-1</f>
        <v/>
      </c>
      <c r="M1471" s="20">
        <f>E1471/MAX(E$2:E1471)-1</f>
        <v/>
      </c>
    </row>
    <row r="1472">
      <c r="A1472" s="11" t="n">
        <v>45874</v>
      </c>
      <c r="B1472" s="19" t="n">
        <v>2.017267242136632</v>
      </c>
      <c r="C1472" s="19" t="n">
        <v>1.686247923572559</v>
      </c>
      <c r="D1472" s="19" t="n">
        <v>1.514329313626385</v>
      </c>
      <c r="E1472" s="19" t="n">
        <v>1.394723196583804</v>
      </c>
      <c r="F1472" s="20">
        <f>B1472/B1471-1</f>
        <v/>
      </c>
      <c r="G1472" s="20">
        <f>B1472/MAX(B$2:B1472)-1</f>
        <v/>
      </c>
      <c r="H1472" s="20">
        <f>C1472/C1471-1</f>
        <v/>
      </c>
      <c r="I1472" s="20">
        <f>C1472/MAX(C$2:C1472)-1</f>
        <v/>
      </c>
      <c r="J1472" s="20">
        <f>D1472/D1471-1</f>
        <v/>
      </c>
      <c r="K1472" s="20">
        <f>D1472/MAX(D$2:D1472)-1</f>
        <v/>
      </c>
      <c r="L1472" s="20">
        <f>E1472/E1471-1</f>
        <v/>
      </c>
      <c r="M1472" s="20">
        <f>E1472/MAX(E$2:E1472)-1</f>
        <v/>
      </c>
    </row>
    <row r="1473">
      <c r="A1473" s="11" t="n">
        <v>45875</v>
      </c>
      <c r="B1473" s="19" t="n">
        <v>2.022606466484116</v>
      </c>
      <c r="C1473" s="19" t="n">
        <v>1.691478777089757</v>
      </c>
      <c r="D1473" s="19" t="n">
        <v>1.524396728926878</v>
      </c>
      <c r="E1473" s="19" t="n">
        <v>1.40325290045641</v>
      </c>
      <c r="F1473" s="20">
        <f>B1473/B1472-1</f>
        <v/>
      </c>
      <c r="G1473" s="20">
        <f>B1473/MAX(B$2:B1473)-1</f>
        <v/>
      </c>
      <c r="H1473" s="20">
        <f>C1473/C1472-1</f>
        <v/>
      </c>
      <c r="I1473" s="20">
        <f>C1473/MAX(C$2:C1473)-1</f>
        <v/>
      </c>
      <c r="J1473" s="20">
        <f>D1473/D1472-1</f>
        <v/>
      </c>
      <c r="K1473" s="20">
        <f>D1473/MAX(D$2:D1473)-1</f>
        <v/>
      </c>
      <c r="L1473" s="20">
        <f>E1473/E1472-1</f>
        <v/>
      </c>
      <c r="M1473" s="20">
        <f>E1473/MAX(E$2:E1473)-1</f>
        <v/>
      </c>
    </row>
    <row r="1474">
      <c r="A1474" s="11" t="n">
        <v>45876</v>
      </c>
      <c r="B1474" s="19" t="n">
        <v>1.9962018205417</v>
      </c>
      <c r="C1474" s="19" t="n">
        <v>1.674413531753256</v>
      </c>
      <c r="D1474" s="19" t="n">
        <v>1.513996641093058</v>
      </c>
      <c r="E1474" s="19" t="n">
        <v>1.403215331223009</v>
      </c>
      <c r="F1474" s="20">
        <f>B1474/B1473-1</f>
        <v/>
      </c>
      <c r="G1474" s="20">
        <f>B1474/MAX(B$2:B1474)-1</f>
        <v/>
      </c>
      <c r="H1474" s="20">
        <f>C1474/C1473-1</f>
        <v/>
      </c>
      <c r="I1474" s="20">
        <f>C1474/MAX(C$2:C1474)-1</f>
        <v/>
      </c>
      <c r="J1474" s="20">
        <f>D1474/D1473-1</f>
        <v/>
      </c>
      <c r="K1474" s="20">
        <f>D1474/MAX(D$2:D1474)-1</f>
        <v/>
      </c>
      <c r="L1474" s="20">
        <f>E1474/E1473-1</f>
        <v/>
      </c>
      <c r="M1474" s="20">
        <f>E1474/MAX(E$2:E1474)-1</f>
        <v/>
      </c>
    </row>
    <row r="1475">
      <c r="A1475" s="11" t="n">
        <v>45877</v>
      </c>
      <c r="B1475" s="19" t="n">
        <v>1.992231130164233</v>
      </c>
      <c r="C1475" s="19" t="n">
        <v>1.676633790951045</v>
      </c>
      <c r="D1475" s="19" t="n">
        <v>1.508244081605064</v>
      </c>
      <c r="E1475" s="19" t="n">
        <v>1.400158460330981</v>
      </c>
      <c r="F1475" s="20">
        <f>B1475/B1474-1</f>
        <v/>
      </c>
      <c r="G1475" s="20">
        <f>B1475/MAX(B$2:B1475)-1</f>
        <v/>
      </c>
      <c r="H1475" s="20">
        <f>C1475/C1474-1</f>
        <v/>
      </c>
      <c r="I1475" s="20">
        <f>C1475/MAX(C$2:C1475)-1</f>
        <v/>
      </c>
      <c r="J1475" s="20">
        <f>D1475/D1474-1</f>
        <v/>
      </c>
      <c r="K1475" s="20">
        <f>D1475/MAX(D$2:D1475)-1</f>
        <v/>
      </c>
      <c r="L1475" s="20">
        <f>E1475/E1474-1</f>
        <v/>
      </c>
      <c r="M1475" s="20">
        <f>E1475/MAX(E$2:E1475)-1</f>
        <v/>
      </c>
    </row>
    <row r="1476">
      <c r="A1476" s="11" t="n">
        <v>45880</v>
      </c>
      <c r="B1476" s="19" t="n">
        <v>2.016445674368391</v>
      </c>
      <c r="C1476" s="19" t="n">
        <v>1.700872899191747</v>
      </c>
      <c r="D1476" s="19" t="n">
        <v>1.537877979617927</v>
      </c>
      <c r="E1476" s="19" t="n">
        <v>1.413893920851669</v>
      </c>
      <c r="F1476" s="20">
        <f>B1476/B1475-1</f>
        <v/>
      </c>
      <c r="G1476" s="20">
        <f>B1476/MAX(B$2:B1476)-1</f>
        <v/>
      </c>
      <c r="H1476" s="20">
        <f>C1476/C1475-1</f>
        <v/>
      </c>
      <c r="I1476" s="20">
        <f>C1476/MAX(C$2:C1476)-1</f>
        <v/>
      </c>
      <c r="J1476" s="20">
        <f>D1476/D1475-1</f>
        <v/>
      </c>
      <c r="K1476" s="20">
        <f>D1476/MAX(D$2:D1476)-1</f>
        <v/>
      </c>
      <c r="L1476" s="20">
        <f>E1476/E1475-1</f>
        <v/>
      </c>
      <c r="M1476" s="20">
        <f>E1476/MAX(E$2:E1476)-1</f>
        <v/>
      </c>
    </row>
    <row r="1477">
      <c r="A1477" s="11" t="n">
        <v>45881</v>
      </c>
      <c r="B1477" s="19" t="n">
        <v>2.026791678024168</v>
      </c>
      <c r="C1477" s="19" t="n">
        <v>1.712400555750228</v>
      </c>
      <c r="D1477" s="19" t="n">
        <v>1.556994242916993</v>
      </c>
      <c r="E1477" s="19" t="n">
        <v>1.418707990343591</v>
      </c>
      <c r="F1477" s="20">
        <f>B1477/B1476-1</f>
        <v/>
      </c>
      <c r="G1477" s="20">
        <f>B1477/MAX(B$2:B1477)-1</f>
        <v/>
      </c>
      <c r="H1477" s="20">
        <f>C1477/C1476-1</f>
        <v/>
      </c>
      <c r="I1477" s="20">
        <f>C1477/MAX(C$2:C1477)-1</f>
        <v/>
      </c>
      <c r="J1477" s="20">
        <f>D1477/D1476-1</f>
        <v/>
      </c>
      <c r="K1477" s="20">
        <f>D1477/MAX(D$2:D1477)-1</f>
        <v/>
      </c>
      <c r="L1477" s="20">
        <f>E1477/E1476-1</f>
        <v/>
      </c>
      <c r="M1477" s="20">
        <f>E1477/MAX(E$2:E1477)-1</f>
        <v/>
      </c>
    </row>
    <row r="1478">
      <c r="A1478" s="11" t="n">
        <v>45882</v>
      </c>
      <c r="B1478" s="19" t="n">
        <v>2.101760422786968</v>
      </c>
      <c r="C1478" s="19" t="n">
        <v>1.753991827287413</v>
      </c>
      <c r="D1478" s="19" t="n">
        <v>1.613283495351793</v>
      </c>
      <c r="E1478" s="19" t="n">
        <v>1.433086219530794</v>
      </c>
      <c r="F1478" s="20">
        <f>B1478/B1477-1</f>
        <v/>
      </c>
      <c r="G1478" s="20">
        <f>B1478/MAX(B$2:B1478)-1</f>
        <v/>
      </c>
      <c r="H1478" s="20">
        <f>C1478/C1477-1</f>
        <v/>
      </c>
      <c r="I1478" s="20">
        <f>C1478/MAX(C$2:C1478)-1</f>
        <v/>
      </c>
      <c r="J1478" s="20">
        <f>D1478/D1477-1</f>
        <v/>
      </c>
      <c r="K1478" s="20">
        <f>D1478/MAX(D$2:D1478)-1</f>
        <v/>
      </c>
      <c r="L1478" s="20">
        <f>E1478/E1477-1</f>
        <v/>
      </c>
      <c r="M1478" s="20">
        <f>E1478/MAX(E$2:E1478)-1</f>
        <v/>
      </c>
    </row>
    <row r="1479">
      <c r="A1479" s="11" t="n">
        <v>45883</v>
      </c>
      <c r="B1479" s="19" t="n">
        <v>2.083955992535268</v>
      </c>
      <c r="C1479" s="19" t="n">
        <v>1.733787848579468</v>
      </c>
      <c r="D1479" s="19" t="n">
        <v>1.595933407850775</v>
      </c>
      <c r="E1479" s="19" t="n">
        <v>1.420886633908279</v>
      </c>
      <c r="F1479" s="20">
        <f>B1479/B1478-1</f>
        <v/>
      </c>
      <c r="G1479" s="20">
        <f>B1479/MAX(B$2:B1479)-1</f>
        <v/>
      </c>
      <c r="H1479" s="20">
        <f>C1479/C1478-1</f>
        <v/>
      </c>
      <c r="I1479" s="20">
        <f>C1479/MAX(C$2:C1479)-1</f>
        <v/>
      </c>
      <c r="J1479" s="20">
        <f>D1479/D1478-1</f>
        <v/>
      </c>
      <c r="K1479" s="20">
        <f>D1479/MAX(D$2:D1479)-1</f>
        <v/>
      </c>
      <c r="L1479" s="20">
        <f>E1479/E1478-1</f>
        <v/>
      </c>
      <c r="M1479" s="20">
        <f>E1479/MAX(E$2:E1479)-1</f>
        <v/>
      </c>
    </row>
    <row r="1480">
      <c r="A1480" s="11" t="n">
        <v>45884</v>
      </c>
      <c r="B1480" s="19" t="n">
        <v>2.111936455710986</v>
      </c>
      <c r="C1480" s="19" t="n">
        <v>1.759622971041488</v>
      </c>
      <c r="D1480" s="19" t="n">
        <v>1.637655312611695</v>
      </c>
      <c r="E1480" s="19" t="n">
        <v>1.441293795124927</v>
      </c>
      <c r="F1480" s="20">
        <f>B1480/B1479-1</f>
        <v/>
      </c>
      <c r="G1480" s="20">
        <f>B1480/MAX(B$2:B1480)-1</f>
        <v/>
      </c>
      <c r="H1480" s="20">
        <f>C1480/C1479-1</f>
        <v/>
      </c>
      <c r="I1480" s="20">
        <f>C1480/MAX(C$2:C1480)-1</f>
        <v/>
      </c>
      <c r="J1480" s="20">
        <f>D1480/D1479-1</f>
        <v/>
      </c>
      <c r="K1480" s="20">
        <f>D1480/MAX(D$2:D1480)-1</f>
        <v/>
      </c>
      <c r="L1480" s="20">
        <f>E1480/E1479-1</f>
        <v/>
      </c>
      <c r="M1480" s="20">
        <f>E1480/MAX(E$2:E1480)-1</f>
        <v/>
      </c>
    </row>
    <row r="1481">
      <c r="A1481" s="11" t="n">
        <v>45887</v>
      </c>
      <c r="B1481" s="19" t="n">
        <v>2.160025694840005</v>
      </c>
      <c r="C1481" s="19" t="n">
        <v>1.800045983833989</v>
      </c>
      <c r="D1481" s="19" t="n">
        <v>1.684172018582359</v>
      </c>
      <c r="E1481" s="19" t="n">
        <v>1.461410445734776</v>
      </c>
      <c r="F1481" s="20">
        <f>B1481/B1480-1</f>
        <v/>
      </c>
      <c r="G1481" s="20">
        <f>B1481/MAX(B$2:B1481)-1</f>
        <v/>
      </c>
      <c r="H1481" s="20">
        <f>C1481/C1480-1</f>
        <v/>
      </c>
      <c r="I1481" s="20">
        <f>C1481/MAX(C$2:C1481)-1</f>
        <v/>
      </c>
      <c r="J1481" s="20">
        <f>D1481/D1480-1</f>
        <v/>
      </c>
      <c r="K1481" s="20">
        <f>D1481/MAX(D$2:D1481)-1</f>
        <v/>
      </c>
      <c r="L1481" s="20">
        <f>E1481/E1480-1</f>
        <v/>
      </c>
      <c r="M1481" s="20">
        <f>E1481/MAX(E$2:E1481)-1</f>
        <v/>
      </c>
    </row>
    <row r="1482">
      <c r="A1482" s="11" t="n">
        <v>45888</v>
      </c>
      <c r="B1482" s="19" t="n">
        <v>2.166375943369922</v>
      </c>
      <c r="C1482" s="19" t="n">
        <v>1.801076291076707</v>
      </c>
      <c r="D1482" s="19" t="n">
        <v>1.681290730656285</v>
      </c>
      <c r="E1482" s="19" t="n">
        <v>1.460561976216072</v>
      </c>
      <c r="F1482" s="20">
        <f>B1482/B1481-1</f>
        <v/>
      </c>
      <c r="G1482" s="20">
        <f>B1482/MAX(B$2:B1482)-1</f>
        <v/>
      </c>
      <c r="H1482" s="20">
        <f>C1482/C1481-1</f>
        <v/>
      </c>
      <c r="I1482" s="20">
        <f>C1482/MAX(C$2:C1482)-1</f>
        <v/>
      </c>
      <c r="J1482" s="20">
        <f>D1482/D1481-1</f>
        <v/>
      </c>
      <c r="K1482" s="20">
        <f>D1482/MAX(D$2:D1482)-1</f>
        <v/>
      </c>
      <c r="L1482" s="20">
        <f>E1482/E1481-1</f>
        <v/>
      </c>
      <c r="M1482" s="20">
        <f>E1482/MAX(E$2:E1482)-1</f>
        <v/>
      </c>
    </row>
    <row r="1483">
      <c r="A1483" s="11" t="n">
        <v>45889</v>
      </c>
      <c r="B1483" s="19" t="n">
        <v>2.170940007061591</v>
      </c>
      <c r="C1483" s="19" t="n">
        <v>1.826772884833824</v>
      </c>
      <c r="D1483" s="19" t="n">
        <v>1.685110067240822</v>
      </c>
      <c r="E1483" s="19" t="n">
        <v>1.474752731208874</v>
      </c>
      <c r="F1483" s="20">
        <f>B1483/B1482-1</f>
        <v/>
      </c>
      <c r="G1483" s="20">
        <f>B1483/MAX(B$2:B1483)-1</f>
        <v/>
      </c>
      <c r="H1483" s="20">
        <f>C1483/C1482-1</f>
        <v/>
      </c>
      <c r="I1483" s="20">
        <f>C1483/MAX(C$2:C1483)-1</f>
        <v/>
      </c>
      <c r="J1483" s="20">
        <f>D1483/D1482-1</f>
        <v/>
      </c>
      <c r="K1483" s="20">
        <f>D1483/MAX(D$2:D1483)-1</f>
        <v/>
      </c>
      <c r="L1483" s="20">
        <f>E1483/E1482-1</f>
        <v/>
      </c>
      <c r="M1483" s="20">
        <f>E1483/MAX(E$2:E1483)-1</f>
        <v/>
      </c>
    </row>
    <row r="1484">
      <c r="A1484" s="11" t="n">
        <v>45890</v>
      </c>
      <c r="B1484" s="19" t="n">
        <v>2.175056263154785</v>
      </c>
      <c r="C1484" s="19" t="n">
        <v>1.82688616091023</v>
      </c>
      <c r="D1484" s="19" t="n">
        <v>1.677233973930441</v>
      </c>
      <c r="E1484" s="19" t="n">
        <v>1.472853811045355</v>
      </c>
      <c r="F1484" s="20">
        <f>B1484/B1483-1</f>
        <v/>
      </c>
      <c r="G1484" s="20">
        <f>B1484/MAX(B$2:B1484)-1</f>
        <v/>
      </c>
      <c r="H1484" s="20">
        <f>C1484/C1483-1</f>
        <v/>
      </c>
      <c r="I1484" s="20">
        <f>C1484/MAX(C$2:C1484)-1</f>
        <v/>
      </c>
      <c r="J1484" s="20">
        <f>D1484/D1483-1</f>
        <v/>
      </c>
      <c r="K1484" s="20">
        <f>D1484/MAX(D$2:D1484)-1</f>
        <v/>
      </c>
      <c r="L1484" s="20">
        <f>E1484/E1483-1</f>
        <v/>
      </c>
      <c r="M1484" s="20">
        <f>E1484/MAX(E$2:E1484)-1</f>
        <v/>
      </c>
    </row>
    <row r="1485">
      <c r="A1485" s="11" t="n">
        <v>45891</v>
      </c>
      <c r="B1485" s="19" t="n">
        <v>2.239997927275392</v>
      </c>
      <c r="C1485" s="19" t="n">
        <v>1.896273938589936</v>
      </c>
      <c r="D1485" s="19" t="n">
        <v>1.73351140059337</v>
      </c>
      <c r="E1485" s="19" t="n">
        <v>1.497125395685862</v>
      </c>
      <c r="F1485" s="20">
        <f>B1485/B1484-1</f>
        <v/>
      </c>
      <c r="G1485" s="20">
        <f>B1485/MAX(B$2:B1485)-1</f>
        <v/>
      </c>
      <c r="H1485" s="20">
        <f>C1485/C1484-1</f>
        <v/>
      </c>
      <c r="I1485" s="20">
        <f>C1485/MAX(C$2:C1485)-1</f>
        <v/>
      </c>
      <c r="J1485" s="20">
        <f>D1485/D1484-1</f>
        <v/>
      </c>
      <c r="K1485" s="20">
        <f>D1485/MAX(D$2:D1485)-1</f>
        <v/>
      </c>
      <c r="L1485" s="20">
        <f>E1485/E1484-1</f>
        <v/>
      </c>
      <c r="M1485" s="20">
        <f>E1485/MAX(E$2:E1485)-1</f>
        <v/>
      </c>
    </row>
    <row r="1486">
      <c r="A1486" s="11" t="n">
        <v>45894</v>
      </c>
      <c r="B1486" s="19" t="n">
        <v>2.304588795399987</v>
      </c>
      <c r="C1486" s="19" t="n">
        <v>1.961142986876089</v>
      </c>
      <c r="D1486" s="19" t="n">
        <v>1.78549161316905</v>
      </c>
      <c r="E1486" s="19" t="n">
        <v>1.524014551568422</v>
      </c>
      <c r="F1486" s="20">
        <f>B1486/B1485-1</f>
        <v/>
      </c>
      <c r="G1486" s="20">
        <f>B1486/MAX(B$2:B1486)-1</f>
        <v/>
      </c>
      <c r="H1486" s="20">
        <f>C1486/C1485-1</f>
        <v/>
      </c>
      <c r="I1486" s="20">
        <f>C1486/MAX(C$2:C1486)-1</f>
        <v/>
      </c>
      <c r="J1486" s="20">
        <f>D1486/D1485-1</f>
        <v/>
      </c>
      <c r="K1486" s="20">
        <f>D1486/MAX(D$2:D1486)-1</f>
        <v/>
      </c>
      <c r="L1486" s="20">
        <f>E1486/E1485-1</f>
        <v/>
      </c>
      <c r="M1486" s="20">
        <f>E1486/MAX(E$2:E1486)-1</f>
        <v/>
      </c>
    </row>
    <row r="1487">
      <c r="A1487" s="11" t="n">
        <v>45895</v>
      </c>
      <c r="B1487" s="19" t="n">
        <v>2.28379126463864</v>
      </c>
      <c r="C1487" s="19" t="n">
        <v>1.946370632106961</v>
      </c>
      <c r="D1487" s="19" t="n">
        <v>1.772009070043918</v>
      </c>
      <c r="E1487" s="19" t="n">
        <v>1.522525917191458</v>
      </c>
      <c r="F1487" s="20">
        <f>B1487/B1486-1</f>
        <v/>
      </c>
      <c r="G1487" s="20">
        <f>B1487/MAX(B$2:B1487)-1</f>
        <v/>
      </c>
      <c r="H1487" s="20">
        <f>C1487/C1486-1</f>
        <v/>
      </c>
      <c r="I1487" s="20">
        <f>C1487/MAX(C$2:C1487)-1</f>
        <v/>
      </c>
      <c r="J1487" s="20">
        <f>D1487/D1486-1</f>
        <v/>
      </c>
      <c r="K1487" s="20">
        <f>D1487/MAX(D$2:D1487)-1</f>
        <v/>
      </c>
      <c r="L1487" s="20">
        <f>E1487/E1486-1</f>
        <v/>
      </c>
      <c r="M1487" s="20">
        <f>E1487/MAX(E$2:E1487)-1</f>
        <v/>
      </c>
    </row>
    <row r="1488">
      <c r="A1488" s="11" t="n">
        <v>45896</v>
      </c>
      <c r="B1488" s="19" t="n">
        <v>2.265523367762527</v>
      </c>
      <c r="C1488" s="19" t="n">
        <v>1.929476816042778</v>
      </c>
      <c r="D1488" s="19" t="n">
        <v>1.75977728000397</v>
      </c>
      <c r="E1488" s="19" t="n">
        <v>1.495797453475526</v>
      </c>
      <c r="F1488" s="20">
        <f>B1488/B1487-1</f>
        <v/>
      </c>
      <c r="G1488" s="20">
        <f>B1488/MAX(B$2:B1488)-1</f>
        <v/>
      </c>
      <c r="H1488" s="20">
        <f>C1488/C1487-1</f>
        <v/>
      </c>
      <c r="I1488" s="20">
        <f>C1488/MAX(C$2:C1488)-1</f>
        <v/>
      </c>
      <c r="J1488" s="20">
        <f>D1488/D1487-1</f>
        <v/>
      </c>
      <c r="K1488" s="20">
        <f>D1488/MAX(D$2:D1488)-1</f>
        <v/>
      </c>
      <c r="L1488" s="20">
        <f>E1488/E1487-1</f>
        <v/>
      </c>
      <c r="M1488" s="20">
        <f>E1488/MAX(E$2:E1488)-1</f>
        <v/>
      </c>
    </row>
    <row r="1489">
      <c r="A1489" s="11" t="n">
        <v>45897</v>
      </c>
      <c r="B1489" s="19" t="n">
        <v>2.339161397047391</v>
      </c>
      <c r="C1489" s="19" t="n">
        <v>1.999230059382157</v>
      </c>
      <c r="D1489" s="19" t="n">
        <v>1.826966727641553</v>
      </c>
      <c r="E1489" s="19" t="n">
        <v>1.519376425120054</v>
      </c>
      <c r="F1489" s="20">
        <f>B1489/B1488-1</f>
        <v/>
      </c>
      <c r="G1489" s="20">
        <f>B1489/MAX(B$2:B1489)-1</f>
        <v/>
      </c>
      <c r="H1489" s="20">
        <f>C1489/C1488-1</f>
        <v/>
      </c>
      <c r="I1489" s="20">
        <f>C1489/MAX(C$2:C1489)-1</f>
        <v/>
      </c>
      <c r="J1489" s="20">
        <f>D1489/D1488-1</f>
        <v/>
      </c>
      <c r="K1489" s="20">
        <f>D1489/MAX(D$2:D1489)-1</f>
        <v/>
      </c>
      <c r="L1489" s="20">
        <f>E1489/E1488-1</f>
        <v/>
      </c>
      <c r="M1489" s="20">
        <f>E1489/MAX(E$2:E1489)-1</f>
        <v/>
      </c>
    </row>
    <row r="1490">
      <c r="A1490" s="11" t="n">
        <v>45898</v>
      </c>
      <c r="B1490" s="19" t="n">
        <v>2.36553405946651</v>
      </c>
      <c r="C1490" s="19" t="n">
        <v>2.01248307172011</v>
      </c>
      <c r="D1490" s="19" t="n">
        <v>1.86764815834282</v>
      </c>
      <c r="E1490" s="19" t="n">
        <v>1.525003626732928</v>
      </c>
      <c r="F1490" s="20">
        <f>B1490/B1489-1</f>
        <v/>
      </c>
      <c r="G1490" s="20">
        <f>B1490/MAX(B$2:B1490)-1</f>
        <v/>
      </c>
      <c r="H1490" s="20">
        <f>C1490/C1489-1</f>
        <v/>
      </c>
      <c r="I1490" s="20">
        <f>C1490/MAX(C$2:C1490)-1</f>
        <v/>
      </c>
      <c r="J1490" s="20">
        <f>D1490/D1489-1</f>
        <v/>
      </c>
      <c r="K1490" s="20">
        <f>D1490/MAX(D$2:D1490)-1</f>
        <v/>
      </c>
      <c r="L1490" s="20">
        <f>E1490/E1489-1</f>
        <v/>
      </c>
      <c r="M1490" s="20">
        <f>E1490/MAX(E$2:E1490)-1</f>
        <v/>
      </c>
    </row>
    <row r="1491">
      <c r="A1491" s="11" t="n">
        <v>45901</v>
      </c>
      <c r="B1491" s="19" t="n">
        <v>2.450880465844555</v>
      </c>
      <c r="C1491" s="19" t="n">
        <v>2.072388367148206</v>
      </c>
      <c r="D1491" s="19" t="n">
        <v>1.910459778902009</v>
      </c>
      <c r="E1491" s="19" t="n">
        <v>1.537075997723528</v>
      </c>
      <c r="F1491" s="20">
        <f>B1491/B1490-1</f>
        <v/>
      </c>
      <c r="G1491" s="20">
        <f>B1491/MAX(B$2:B1491)-1</f>
        <v/>
      </c>
      <c r="H1491" s="20">
        <f>C1491/C1490-1</f>
        <v/>
      </c>
      <c r="I1491" s="20">
        <f>C1491/MAX(C$2:C1491)-1</f>
        <v/>
      </c>
      <c r="J1491" s="20">
        <f>D1491/D1490-1</f>
        <v/>
      </c>
      <c r="K1491" s="20">
        <f>D1491/MAX(D$2:D1491)-1</f>
        <v/>
      </c>
      <c r="L1491" s="20">
        <f>E1491/E1490-1</f>
        <v/>
      </c>
      <c r="M1491" s="20">
        <f>E1491/MAX(E$2:E1491)-1</f>
        <v/>
      </c>
    </row>
    <row r="1492">
      <c r="A1492" s="11" t="n">
        <v>45902</v>
      </c>
      <c r="B1492" s="19" t="n">
        <v>2.381733181590524</v>
      </c>
      <c r="C1492" s="19" t="n">
        <v>2.009294121693138</v>
      </c>
      <c r="D1492" s="19" t="n">
        <v>1.856079063879653</v>
      </c>
      <c r="E1492" s="19" t="n">
        <v>1.514265893459606</v>
      </c>
      <c r="F1492" s="20">
        <f>B1492/B1491-1</f>
        <v/>
      </c>
      <c r="G1492" s="20">
        <f>B1492/MAX(B$2:B1492)-1</f>
        <v/>
      </c>
      <c r="H1492" s="20">
        <f>C1492/C1491-1</f>
        <v/>
      </c>
      <c r="I1492" s="20">
        <f>C1492/MAX(C$2:C1492)-1</f>
        <v/>
      </c>
      <c r="J1492" s="20">
        <f>D1492/D1491-1</f>
        <v/>
      </c>
      <c r="K1492" s="20">
        <f>D1492/MAX(D$2:D1492)-1</f>
        <v/>
      </c>
      <c r="L1492" s="20">
        <f>E1492/E1491-1</f>
        <v/>
      </c>
      <c r="M1492" s="20">
        <f>E1492/MAX(E$2:E1492)-1</f>
        <v/>
      </c>
    </row>
    <row r="1493">
      <c r="A1493" s="11" t="n">
        <v>45903</v>
      </c>
      <c r="B1493" s="19" t="n">
        <v>2.411291199677739</v>
      </c>
      <c r="C1493" s="19" t="n">
        <v>2.030977952531312</v>
      </c>
      <c r="D1493" s="19" t="n">
        <v>1.873624115062305</v>
      </c>
      <c r="E1493" s="19" t="n">
        <v>1.496232289454205</v>
      </c>
      <c r="F1493" s="20">
        <f>B1493/B1492-1</f>
        <v/>
      </c>
      <c r="G1493" s="20">
        <f>B1493/MAX(B$2:B1493)-1</f>
        <v/>
      </c>
      <c r="H1493" s="20">
        <f>C1493/C1492-1</f>
        <v/>
      </c>
      <c r="I1493" s="20">
        <f>C1493/MAX(C$2:C1493)-1</f>
        <v/>
      </c>
      <c r="J1493" s="20">
        <f>D1493/D1492-1</f>
        <v/>
      </c>
      <c r="K1493" s="20">
        <f>D1493/MAX(D$2:D1493)-1</f>
        <v/>
      </c>
      <c r="L1493" s="20">
        <f>E1493/E1492-1</f>
        <v/>
      </c>
      <c r="M1493" s="20">
        <f>E1493/MAX(E$2:E1493)-1</f>
        <v/>
      </c>
    </row>
    <row r="1494">
      <c r="A1494" s="11" t="n">
        <v>45904</v>
      </c>
      <c r="B1494" s="19" t="n">
        <v>2.287482141983261</v>
      </c>
      <c r="C1494" s="19" t="n">
        <v>1.932321993620465</v>
      </c>
      <c r="D1494" s="19" t="n">
        <v>1.794058964849476</v>
      </c>
      <c r="E1494" s="19" t="n">
        <v>1.465919869660798</v>
      </c>
      <c r="F1494" s="20">
        <f>B1494/B1493-1</f>
        <v/>
      </c>
      <c r="G1494" s="20">
        <f>B1494/MAX(B$2:B1494)-1</f>
        <v/>
      </c>
      <c r="H1494" s="20">
        <f>C1494/C1493-1</f>
        <v/>
      </c>
      <c r="I1494" s="20">
        <f>C1494/MAX(C$2:C1494)-1</f>
        <v/>
      </c>
      <c r="J1494" s="20">
        <f>D1494/D1493-1</f>
        <v/>
      </c>
      <c r="K1494" s="20">
        <f>D1494/MAX(D$2:D1494)-1</f>
        <v/>
      </c>
      <c r="L1494" s="20">
        <f>E1494/E1493-1</f>
        <v/>
      </c>
      <c r="M1494" s="20">
        <f>E1494/MAX(E$2:E1494)-1</f>
        <v/>
      </c>
    </row>
    <row r="1495">
      <c r="A1495" s="11" t="n">
        <v>45905</v>
      </c>
      <c r="B1495" s="19" t="n">
        <v>2.399560139016091</v>
      </c>
      <c r="C1495" s="19" t="n">
        <v>2.034637322952018</v>
      </c>
      <c r="D1495" s="19" t="n">
        <v>1.911626976123638</v>
      </c>
      <c r="E1495" s="19" t="n">
        <v>1.503785565230976</v>
      </c>
      <c r="F1495" s="20">
        <f>B1495/B1494-1</f>
        <v/>
      </c>
      <c r="G1495" s="20">
        <f>B1495/MAX(B$2:B1495)-1</f>
        <v/>
      </c>
      <c r="H1495" s="20">
        <f>C1495/C1494-1</f>
        <v/>
      </c>
      <c r="I1495" s="20">
        <f>C1495/MAX(C$2:C1495)-1</f>
        <v/>
      </c>
      <c r="J1495" s="20">
        <f>D1495/D1494-1</f>
        <v/>
      </c>
      <c r="K1495" s="20">
        <f>D1495/MAX(D$2:D1495)-1</f>
        <v/>
      </c>
      <c r="L1495" s="20">
        <f>E1495/E1494-1</f>
        <v/>
      </c>
      <c r="M1495" s="20">
        <f>E1495/MAX(E$2:E1495)-1</f>
        <v/>
      </c>
    </row>
    <row r="1496">
      <c r="A1496" s="11" t="n">
        <v>45908</v>
      </c>
      <c r="B1496" s="19" t="n">
        <v>2.374134155233807</v>
      </c>
      <c r="C1496" s="19" t="n">
        <v>2.025121892032748</v>
      </c>
      <c r="D1496" s="19" t="n">
        <v>1.895513812663101</v>
      </c>
      <c r="E1496" s="19" t="n">
        <v>1.514400547543679</v>
      </c>
      <c r="F1496" s="20">
        <f>B1496/B1495-1</f>
        <v/>
      </c>
      <c r="G1496" s="20">
        <f>B1496/MAX(B$2:B1496)-1</f>
        <v/>
      </c>
      <c r="H1496" s="20">
        <f>C1496/C1495-1</f>
        <v/>
      </c>
      <c r="I1496" s="20">
        <f>C1496/MAX(C$2:C1496)-1</f>
        <v/>
      </c>
      <c r="J1496" s="20">
        <f>D1496/D1495-1</f>
        <v/>
      </c>
      <c r="K1496" s="20">
        <f>D1496/MAX(D$2:D1496)-1</f>
        <v/>
      </c>
      <c r="L1496" s="20">
        <f>E1496/E1495-1</f>
        <v/>
      </c>
      <c r="M1496" s="20">
        <f>E1496/MAX(E$2:E1496)-1</f>
        <v/>
      </c>
    </row>
    <row r="1497">
      <c r="A1497" s="11" t="n">
        <v>45909</v>
      </c>
      <c r="B1497" s="19" t="n">
        <v>2.33598775670754</v>
      </c>
      <c r="C1497" s="19" t="n">
        <v>1.981597231157511</v>
      </c>
      <c r="D1497" s="19" t="n">
        <v>1.853330056582118</v>
      </c>
      <c r="E1497" s="19" t="n">
        <v>1.500880087190379</v>
      </c>
      <c r="F1497" s="20">
        <f>B1497/B1496-1</f>
        <v/>
      </c>
      <c r="G1497" s="20">
        <f>B1497/MAX(B$2:B1497)-1</f>
        <v/>
      </c>
      <c r="H1497" s="20">
        <f>C1497/C1496-1</f>
        <v/>
      </c>
      <c r="I1497" s="20">
        <f>C1497/MAX(C$2:C1497)-1</f>
        <v/>
      </c>
      <c r="J1497" s="20">
        <f>D1497/D1496-1</f>
        <v/>
      </c>
      <c r="K1497" s="20">
        <f>D1497/MAX(D$2:D1497)-1</f>
        <v/>
      </c>
      <c r="L1497" s="20">
        <f>E1497/E1496-1</f>
        <v/>
      </c>
      <c r="M1497" s="20">
        <f>E1497/MAX(E$2:E1497)-1</f>
        <v/>
      </c>
    </row>
    <row r="1498">
      <c r="A1498" s="11" t="n">
        <v>45910</v>
      </c>
      <c r="B1498" s="19" t="n">
        <v>2.357893202135116</v>
      </c>
      <c r="C1498" s="19" t="n">
        <v>1.997220864058367</v>
      </c>
      <c r="D1498" s="19" t="n">
        <v>1.876787929079231</v>
      </c>
      <c r="E1498" s="19" t="n">
        <v>1.504139683153733</v>
      </c>
      <c r="F1498" s="20">
        <f>B1498/B1497-1</f>
        <v/>
      </c>
      <c r="G1498" s="20">
        <f>B1498/MAX(B$2:B1498)-1</f>
        <v/>
      </c>
      <c r="H1498" s="20">
        <f>C1498/C1497-1</f>
        <v/>
      </c>
      <c r="I1498" s="20">
        <f>C1498/MAX(C$2:C1498)-1</f>
        <v/>
      </c>
      <c r="J1498" s="20">
        <f>D1498/D1497-1</f>
        <v/>
      </c>
      <c r="K1498" s="20">
        <f>D1498/MAX(D$2:D1498)-1</f>
        <v/>
      </c>
      <c r="L1498" s="20">
        <f>E1498/E1497-1</f>
        <v/>
      </c>
      <c r="M1498" s="20">
        <f>E1498/MAX(E$2:E1498)-1</f>
        <v/>
      </c>
    </row>
    <row r="1499">
      <c r="A1499" s="11" t="n">
        <v>45911</v>
      </c>
      <c r="B1499" s="19" t="n">
        <v>2.445533355269046</v>
      </c>
      <c r="C1499" s="19" t="n">
        <v>2.097532192892563</v>
      </c>
      <c r="D1499" s="19" t="n">
        <v>1.973384517169567</v>
      </c>
      <c r="E1499" s="19" t="n">
        <v>1.538133143875285</v>
      </c>
      <c r="F1499" s="20">
        <f>B1499/B1498-1</f>
        <v/>
      </c>
      <c r="G1499" s="20">
        <f>B1499/MAX(B$2:B1499)-1</f>
        <v/>
      </c>
      <c r="H1499" s="20">
        <f>C1499/C1498-1</f>
        <v/>
      </c>
      <c r="I1499" s="20">
        <f>C1499/MAX(C$2:C1499)-1</f>
        <v/>
      </c>
      <c r="J1499" s="20">
        <f>D1499/D1498-1</f>
        <v/>
      </c>
      <c r="K1499" s="20">
        <f>D1499/MAX(D$2:D1499)-1</f>
        <v/>
      </c>
      <c r="L1499" s="20">
        <f>E1499/E1498-1</f>
        <v/>
      </c>
      <c r="M1499" s="20">
        <f>E1499/MAX(E$2:E1499)-1</f>
        <v/>
      </c>
    </row>
    <row r="1500">
      <c r="A1500" s="11" t="n">
        <v>45912</v>
      </c>
      <c r="B1500" s="19" t="n">
        <v>2.450617283175298</v>
      </c>
      <c r="C1500" s="19" t="n">
        <v>2.089459240213344</v>
      </c>
      <c r="D1500" s="19" t="n">
        <v>1.951848752642785</v>
      </c>
      <c r="E1500" s="19" t="n">
        <v>1.535697095265905</v>
      </c>
      <c r="F1500" s="20">
        <f>B1500/B1499-1</f>
        <v/>
      </c>
      <c r="G1500" s="20">
        <f>B1500/MAX(B$2:B1500)-1</f>
        <v/>
      </c>
      <c r="H1500" s="20">
        <f>C1500/C1499-1</f>
        <v/>
      </c>
      <c r="I1500" s="20">
        <f>C1500/MAX(C$2:C1500)-1</f>
        <v/>
      </c>
      <c r="J1500" s="20">
        <f>D1500/D1499-1</f>
        <v/>
      </c>
      <c r="K1500" s="20">
        <f>D1500/MAX(D$2:D1500)-1</f>
        <v/>
      </c>
      <c r="L1500" s="20">
        <f>E1500/E1499-1</f>
        <v/>
      </c>
      <c r="M1500" s="20">
        <f>E1500/MAX(E$2:E1500)-1</f>
        <v/>
      </c>
    </row>
    <row r="1501">
      <c r="A1501" s="11" t="n">
        <v>45915</v>
      </c>
      <c r="B1501" s="19" t="n">
        <v>2.440055306383713</v>
      </c>
      <c r="C1501" s="19" t="n">
        <v>2.091818942020687</v>
      </c>
      <c r="D1501" s="19" t="n">
        <v>1.981418028951428</v>
      </c>
      <c r="E1501" s="19" t="n">
        <v>1.537225530711918</v>
      </c>
      <c r="F1501" s="20">
        <f>B1501/B1500-1</f>
        <v/>
      </c>
      <c r="G1501" s="20">
        <f>B1501/MAX(B$2:B1501)-1</f>
        <v/>
      </c>
      <c r="H1501" s="20">
        <f>C1501/C1500-1</f>
        <v/>
      </c>
      <c r="I1501" s="20">
        <f>C1501/MAX(C$2:C1501)-1</f>
        <v/>
      </c>
      <c r="J1501" s="20">
        <f>D1501/D1500-1</f>
        <v/>
      </c>
      <c r="K1501" s="20">
        <f>D1501/MAX(D$2:D1501)-1</f>
        <v/>
      </c>
      <c r="L1501" s="20">
        <f>E1501/E1500-1</f>
        <v/>
      </c>
      <c r="M1501" s="20">
        <f>E1501/MAX(E$2:E1501)-1</f>
        <v/>
      </c>
    </row>
    <row r="1502">
      <c r="A1502" s="11" t="n">
        <v>45916</v>
      </c>
      <c r="B1502" s="19" t="n">
        <v>2.45165148750616</v>
      </c>
      <c r="C1502" s="19" t="n">
        <v>2.117750601673936</v>
      </c>
      <c r="D1502" s="19" t="n">
        <v>1.994897599478167</v>
      </c>
      <c r="E1502" s="19" t="n">
        <v>1.544525121170077</v>
      </c>
      <c r="F1502" s="20">
        <f>B1502/B1501-1</f>
        <v/>
      </c>
      <c r="G1502" s="20">
        <f>B1502/MAX(B$2:B1502)-1</f>
        <v/>
      </c>
      <c r="H1502" s="20">
        <f>C1502/C1501-1</f>
        <v/>
      </c>
      <c r="I1502" s="20">
        <f>C1502/MAX(C$2:C1502)-1</f>
        <v/>
      </c>
      <c r="J1502" s="20">
        <f>D1502/D1501-1</f>
        <v/>
      </c>
      <c r="K1502" s="20">
        <f>D1502/MAX(D$2:D1502)-1</f>
        <v/>
      </c>
      <c r="L1502" s="20">
        <f>E1502/E1501-1</f>
        <v/>
      </c>
      <c r="M1502" s="20">
        <f>E1502/MAX(E$2:E1502)-1</f>
        <v/>
      </c>
    </row>
    <row r="1503">
      <c r="A1503" s="11" t="n">
        <v>45917</v>
      </c>
      <c r="B1503" s="19" t="n">
        <v>2.466222916250784</v>
      </c>
      <c r="C1503" s="19" t="n">
        <v>2.137769298239074</v>
      </c>
      <c r="D1503" s="19" t="n">
        <v>2.033868235181904</v>
      </c>
      <c r="E1503" s="19" t="n">
        <v>1.555079843920294</v>
      </c>
      <c r="F1503" s="20">
        <f>B1503/B1502-1</f>
        <v/>
      </c>
      <c r="G1503" s="20">
        <f>B1503/MAX(B$2:B1503)-1</f>
        <v/>
      </c>
      <c r="H1503" s="20">
        <f>C1503/C1502-1</f>
        <v/>
      </c>
      <c r="I1503" s="20">
        <f>C1503/MAX(C$2:C1503)-1</f>
        <v/>
      </c>
      <c r="J1503" s="20">
        <f>D1503/D1502-1</f>
        <v/>
      </c>
      <c r="K1503" s="20">
        <f>D1503/MAX(D$2:D1503)-1</f>
        <v/>
      </c>
      <c r="L1503" s="20">
        <f>E1503/E1502-1</f>
        <v/>
      </c>
      <c r="M1503" s="20">
        <f>E1503/MAX(E$2:E1503)-1</f>
        <v/>
      </c>
    </row>
    <row r="1504">
      <c r="A1504" s="11" t="n">
        <v>45918</v>
      </c>
      <c r="B1504" s="19" t="n">
        <v>2.470855492368822</v>
      </c>
      <c r="C1504" s="19" t="n">
        <v>2.147103679837075</v>
      </c>
      <c r="D1504" s="19" t="n">
        <v>2.00059180556725</v>
      </c>
      <c r="E1504" s="19" t="n">
        <v>1.538146162916563</v>
      </c>
      <c r="F1504" s="20">
        <f>B1504/B1503-1</f>
        <v/>
      </c>
      <c r="G1504" s="20">
        <f>B1504/MAX(B$2:B1504)-1</f>
        <v/>
      </c>
      <c r="H1504" s="20">
        <f>C1504/C1503-1</f>
        <v/>
      </c>
      <c r="I1504" s="20">
        <f>C1504/MAX(C$2:C1504)-1</f>
        <v/>
      </c>
      <c r="J1504" s="20">
        <f>D1504/D1503-1</f>
        <v/>
      </c>
      <c r="K1504" s="20">
        <f>D1504/MAX(D$2:D1504)-1</f>
        <v/>
      </c>
      <c r="L1504" s="20">
        <f>E1504/E1503-1</f>
        <v/>
      </c>
      <c r="M1504" s="20">
        <f>E1504/MAX(E$2:E1504)-1</f>
        <v/>
      </c>
    </row>
    <row r="1505">
      <c r="A1505" s="11" t="n">
        <v>45919</v>
      </c>
      <c r="B1505" s="19" t="n">
        <v>2.46430953651803</v>
      </c>
      <c r="C1505" s="19" t="n">
        <v>2.13602422135925</v>
      </c>
      <c r="D1505" s="19" t="n">
        <v>1.997459139211759</v>
      </c>
      <c r="E1505" s="19" t="n">
        <v>1.533255095094797</v>
      </c>
      <c r="F1505" s="20">
        <f>B1505/B1504-1</f>
        <v/>
      </c>
      <c r="G1505" s="20">
        <f>B1505/MAX(B$2:B1505)-1</f>
        <v/>
      </c>
      <c r="H1505" s="20">
        <f>C1505/C1504-1</f>
        <v/>
      </c>
      <c r="I1505" s="20">
        <f>C1505/MAX(C$2:C1505)-1</f>
        <v/>
      </c>
      <c r="J1505" s="20">
        <f>D1505/D1504-1</f>
        <v/>
      </c>
      <c r="K1505" s="20">
        <f>D1505/MAX(D$2:D1505)-1</f>
        <v/>
      </c>
      <c r="L1505" s="20">
        <f>E1505/E1504-1</f>
        <v/>
      </c>
      <c r="M1505" s="20">
        <f>E1505/MAX(E$2:E1505)-1</f>
        <v/>
      </c>
    </row>
    <row r="1506">
      <c r="A1506" s="11" t="n">
        <v>45922</v>
      </c>
      <c r="B1506" s="19" t="n">
        <v>2.502160359839616</v>
      </c>
      <c r="C1506" s="19" t="n">
        <v>2.173789262726663</v>
      </c>
      <c r="D1506" s="19" t="n">
        <v>2.00836973850892</v>
      </c>
      <c r="E1506" s="19" t="n">
        <v>1.541179227561682</v>
      </c>
      <c r="F1506" s="20">
        <f>B1506/B1505-1</f>
        <v/>
      </c>
      <c r="G1506" s="20">
        <f>B1506/MAX(B$2:B1506)-1</f>
        <v/>
      </c>
      <c r="H1506" s="20">
        <f>C1506/C1505-1</f>
        <v/>
      </c>
      <c r="I1506" s="20">
        <f>C1506/MAX(C$2:C1506)-1</f>
        <v/>
      </c>
      <c r="J1506" s="20">
        <f>D1506/D1505-1</f>
        <v/>
      </c>
      <c r="K1506" s="20">
        <f>D1506/MAX(D$2:D1506)-1</f>
        <v/>
      </c>
      <c r="L1506" s="20">
        <f>E1506/E1505-1</f>
        <v/>
      </c>
      <c r="M1506" s="20">
        <f>E1506/MAX(E$2:E1506)-1</f>
        <v/>
      </c>
    </row>
    <row r="1507">
      <c r="A1507" s="11" t="n">
        <v>45923</v>
      </c>
      <c r="B1507" s="19" t="n">
        <v>2.493357372732674</v>
      </c>
      <c r="C1507" s="19" t="n">
        <v>2.170493433955838</v>
      </c>
      <c r="D1507" s="19" t="n">
        <v>2.012677227447139</v>
      </c>
      <c r="E1507" s="19" t="n">
        <v>1.531538813481775</v>
      </c>
      <c r="F1507" s="20">
        <f>B1507/B1506-1</f>
        <v/>
      </c>
      <c r="G1507" s="20">
        <f>B1507/MAX(B$2:B1507)-1</f>
        <v/>
      </c>
      <c r="H1507" s="20">
        <f>C1507/C1506-1</f>
        <v/>
      </c>
      <c r="I1507" s="20">
        <f>C1507/MAX(C$2:C1507)-1</f>
        <v/>
      </c>
      <c r="J1507" s="20">
        <f>D1507/D1506-1</f>
        <v/>
      </c>
      <c r="K1507" s="20">
        <f>D1507/MAX(D$2:D1507)-1</f>
        <v/>
      </c>
      <c r="L1507" s="20">
        <f>E1507/E1506-1</f>
        <v/>
      </c>
      <c r="M1507" s="20">
        <f>E1507/MAX(E$2:E1507)-1</f>
        <v/>
      </c>
    </row>
    <row r="1508">
      <c r="A1508" s="11" t="n">
        <v>45924</v>
      </c>
      <c r="B1508" s="19" t="n">
        <v>2.518895367109885</v>
      </c>
      <c r="C1508" s="19" t="n">
        <v>2.217241147931581</v>
      </c>
      <c r="D1508" s="19" t="n">
        <v>2.058570204728667</v>
      </c>
      <c r="E1508" s="19" t="n">
        <v>1.553254574333146</v>
      </c>
      <c r="F1508" s="20">
        <f>B1508/B1507-1</f>
        <v/>
      </c>
      <c r="G1508" s="20">
        <f>B1508/MAX(B$2:B1508)-1</f>
        <v/>
      </c>
      <c r="H1508" s="20">
        <f>C1508/C1507-1</f>
        <v/>
      </c>
      <c r="I1508" s="20">
        <f>C1508/MAX(C$2:C1508)-1</f>
        <v/>
      </c>
      <c r="J1508" s="20">
        <f>D1508/D1507-1</f>
        <v/>
      </c>
      <c r="K1508" s="20">
        <f>D1508/MAX(D$2:D1508)-1</f>
        <v/>
      </c>
      <c r="L1508" s="20">
        <f>E1508/E1507-1</f>
        <v/>
      </c>
      <c r="M1508" s="20">
        <f>E1508/MAX(E$2:E1508)-1</f>
        <v/>
      </c>
    </row>
    <row r="1509">
      <c r="A1509" s="11" t="n">
        <v>45925</v>
      </c>
      <c r="B1509" s="19" t="n">
        <v>2.56405919974969</v>
      </c>
      <c r="C1509" s="19" t="n">
        <v>2.255705085855329</v>
      </c>
      <c r="D1509" s="19" t="n">
        <v>2.091006358323344</v>
      </c>
      <c r="E1509" s="19" t="n">
        <v>1.556043996920067</v>
      </c>
      <c r="F1509" s="20">
        <f>B1509/B1508-1</f>
        <v/>
      </c>
      <c r="G1509" s="20">
        <f>B1509/MAX(B$2:B1509)-1</f>
        <v/>
      </c>
      <c r="H1509" s="20">
        <f>C1509/C1508-1</f>
        <v/>
      </c>
      <c r="I1509" s="20">
        <f>C1509/MAX(C$2:C1509)-1</f>
        <v/>
      </c>
      <c r="J1509" s="20">
        <f>D1509/D1508-1</f>
        <v/>
      </c>
      <c r="K1509" s="20">
        <f>D1509/MAX(D$2:D1509)-1</f>
        <v/>
      </c>
      <c r="L1509" s="20">
        <f>E1509/E1508-1</f>
        <v/>
      </c>
      <c r="M1509" s="20">
        <f>E1509/MAX(E$2:E1509)-1</f>
        <v/>
      </c>
    </row>
    <row r="1510">
      <c r="A1510" s="11" t="n">
        <v>45926</v>
      </c>
      <c r="B1510" s="19" t="n">
        <v>2.505097488545023</v>
      </c>
      <c r="C1510" s="19" t="n">
        <v>2.200767247004136</v>
      </c>
      <c r="D1510" s="19" t="n">
        <v>2.036572330395006</v>
      </c>
      <c r="E1510" s="19" t="n">
        <v>1.537299925233506</v>
      </c>
      <c r="F1510" s="20">
        <f>B1510/B1509-1</f>
        <v/>
      </c>
      <c r="G1510" s="20">
        <f>B1510/MAX(B$2:B1510)-1</f>
        <v/>
      </c>
      <c r="H1510" s="20">
        <f>C1510/C1509-1</f>
        <v/>
      </c>
      <c r="I1510" s="20">
        <f>C1510/MAX(C$2:C1510)-1</f>
        <v/>
      </c>
      <c r="J1510" s="20">
        <f>D1510/D1509-1</f>
        <v/>
      </c>
      <c r="K1510" s="20">
        <f>D1510/MAX(D$2:D1510)-1</f>
        <v/>
      </c>
      <c r="L1510" s="20">
        <f>E1510/E1509-1</f>
        <v/>
      </c>
      <c r="M1510" s="20">
        <f>E1510/MAX(E$2:E1510)-1</f>
        <v/>
      </c>
    </row>
    <row r="1511">
      <c r="A1511" s="11" t="n">
        <v>45929</v>
      </c>
      <c r="B1511" s="19" t="n">
        <v>2.549891467494583</v>
      </c>
      <c r="C1511" s="19" t="n">
        <v>2.234986723129941</v>
      </c>
      <c r="D1511" s="19" t="n">
        <v>2.09245847263888</v>
      </c>
      <c r="E1511" s="19" t="n">
        <v>1.558368825719674</v>
      </c>
      <c r="F1511" s="20">
        <f>B1511/B1510-1</f>
        <v/>
      </c>
      <c r="G1511" s="20">
        <f>B1511/MAX(B$2:B1511)-1</f>
        <v/>
      </c>
      <c r="H1511" s="20">
        <f>C1511/C1510-1</f>
        <v/>
      </c>
      <c r="I1511" s="20">
        <f>C1511/MAX(C$2:C1511)-1</f>
        <v/>
      </c>
      <c r="J1511" s="20">
        <f>D1511/D1510-1</f>
        <v/>
      </c>
      <c r="K1511" s="20">
        <f>D1511/MAX(D$2:D1511)-1</f>
        <v/>
      </c>
      <c r="L1511" s="20">
        <f>E1511/E1510-1</f>
        <v/>
      </c>
      <c r="M1511" s="20">
        <f>E1511/MAX(E$2:E1511)-1</f>
        <v/>
      </c>
    </row>
    <row r="1512">
      <c r="A1512" s="11" t="n">
        <v>45930</v>
      </c>
      <c r="B1512" s="19" t="n">
        <v>2.571442779914627</v>
      </c>
      <c r="C1512" s="19" t="n">
        <v>2.25174393449901</v>
      </c>
      <c r="D1512" s="19" t="n">
        <v>2.092554371247943</v>
      </c>
      <c r="E1512" s="19" t="n">
        <v>1.568072475142931</v>
      </c>
      <c r="F1512" s="20">
        <f>B1512/B1511-1</f>
        <v/>
      </c>
      <c r="G1512" s="20">
        <f>B1512/MAX(B$2:B1512)-1</f>
        <v/>
      </c>
      <c r="H1512" s="20">
        <f>C1512/C1511-1</f>
        <v/>
      </c>
      <c r="I1512" s="20">
        <f>C1512/MAX(C$2:C1512)-1</f>
        <v/>
      </c>
      <c r="J1512" s="20">
        <f>D1512/D1511-1</f>
        <v/>
      </c>
      <c r="K1512" s="20">
        <f>D1512/MAX(D$2:D1512)-1</f>
        <v/>
      </c>
      <c r="L1512" s="20">
        <f>E1512/E1511-1</f>
        <v/>
      </c>
      <c r="M1512" s="20">
        <f>E1512/MAX(E$2:E1512)-1</f>
        <v/>
      </c>
    </row>
    <row r="1513">
      <c r="A1513" s="11" t="n">
        <v>45939</v>
      </c>
      <c r="B1513" s="19" t="n">
        <v>2.626446758206468</v>
      </c>
      <c r="C1513" s="19" t="n">
        <v>2.309665768234261</v>
      </c>
      <c r="D1513" s="19" t="n">
        <v>2.107844965035458</v>
      </c>
      <c r="E1513" s="19" t="n">
        <v>1.588586020525449</v>
      </c>
      <c r="F1513" s="20">
        <f>B1513/B1512-1</f>
        <v/>
      </c>
      <c r="G1513" s="20">
        <f>B1513/MAX(B$2:B1513)-1</f>
        <v/>
      </c>
      <c r="H1513" s="20">
        <f>C1513/C1512-1</f>
        <v/>
      </c>
      <c r="I1513" s="20">
        <f>C1513/MAX(C$2:C1513)-1</f>
        <v/>
      </c>
      <c r="J1513" s="20">
        <f>D1513/D1512-1</f>
        <v/>
      </c>
      <c r="K1513" s="20">
        <f>D1513/MAX(D$2:D1513)-1</f>
        <v/>
      </c>
      <c r="L1513" s="20">
        <f>E1513/E1512-1</f>
        <v/>
      </c>
      <c r="M1513" s="20">
        <f>E1513/MAX(E$2:E1513)-1</f>
        <v/>
      </c>
    </row>
    <row r="1514">
      <c r="A1514" s="11" t="n">
        <v>45940</v>
      </c>
      <c r="B1514" s="19" t="n">
        <v>2.543884846501698</v>
      </c>
      <c r="C1514" s="19" t="n">
        <v>2.221261173987484</v>
      </c>
      <c r="D1514" s="19" t="n">
        <v>2.011843025867357</v>
      </c>
      <c r="E1514" s="19" t="n">
        <v>1.562300948158178</v>
      </c>
      <c r="F1514" s="20">
        <f>B1514/B1513-1</f>
        <v/>
      </c>
      <c r="G1514" s="20">
        <f>B1514/MAX(B$2:B1514)-1</f>
        <v/>
      </c>
      <c r="H1514" s="20">
        <f>C1514/C1513-1</f>
        <v/>
      </c>
      <c r="I1514" s="20">
        <f>C1514/MAX(C$2:C1514)-1</f>
        <v/>
      </c>
      <c r="J1514" s="20">
        <f>D1514/D1513-1</f>
        <v/>
      </c>
      <c r="K1514" s="20">
        <f>D1514/MAX(D$2:D1514)-1</f>
        <v/>
      </c>
      <c r="L1514" s="20">
        <f>E1514/E1513-1</f>
        <v/>
      </c>
      <c r="M1514" s="20">
        <f>E1514/MAX(E$2:E1514)-1</f>
        <v/>
      </c>
    </row>
    <row r="1515">
      <c r="A1515" s="11" t="n">
        <v>45943</v>
      </c>
      <c r="B1515" s="19" t="n">
        <v>2.527471131774033</v>
      </c>
      <c r="C1515" s="19" t="n">
        <v>2.19482917558826</v>
      </c>
      <c r="D1515" s="19" t="n">
        <v>1.989548667154733</v>
      </c>
      <c r="E1515" s="19" t="n">
        <v>1.556873495835767</v>
      </c>
      <c r="F1515" s="20">
        <f>B1515/B1514-1</f>
        <v/>
      </c>
      <c r="G1515" s="20">
        <f>B1515/MAX(B$2:B1515)-1</f>
        <v/>
      </c>
      <c r="H1515" s="20">
        <f>C1515/C1514-1</f>
        <v/>
      </c>
      <c r="I1515" s="20">
        <f>C1515/MAX(C$2:C1515)-1</f>
        <v/>
      </c>
      <c r="J1515" s="20">
        <f>D1515/D1514-1</f>
        <v/>
      </c>
      <c r="K1515" s="20">
        <f>D1515/MAX(D$2:D1515)-1</f>
        <v/>
      </c>
      <c r="L1515" s="20">
        <f>E1515/E1514-1</f>
        <v/>
      </c>
      <c r="M1515" s="20">
        <f>E1515/MAX(E$2:E1515)-1</f>
        <v/>
      </c>
    </row>
    <row r="1516">
      <c r="A1516" s="11" t="n">
        <v>45944</v>
      </c>
      <c r="B1516" s="19" t="n">
        <v>2.42277771882602</v>
      </c>
      <c r="C1516" s="19" t="n">
        <v>2.106859648055319</v>
      </c>
      <c r="D1516" s="19" t="n">
        <v>1.910206655686578</v>
      </c>
      <c r="E1516" s="19" t="n">
        <v>1.532018658146014</v>
      </c>
      <c r="F1516" s="20">
        <f>B1516/B1515-1</f>
        <v/>
      </c>
      <c r="G1516" s="20">
        <f>B1516/MAX(B$2:B1516)-1</f>
        <v/>
      </c>
      <c r="H1516" s="20">
        <f>C1516/C1515-1</f>
        <v/>
      </c>
      <c r="I1516" s="20">
        <f>C1516/MAX(C$2:C1516)-1</f>
        <v/>
      </c>
      <c r="J1516" s="20">
        <f>D1516/D1515-1</f>
        <v/>
      </c>
      <c r="K1516" s="20">
        <f>D1516/MAX(D$2:D1516)-1</f>
        <v/>
      </c>
      <c r="L1516" s="20">
        <f>E1516/E1515-1</f>
        <v/>
      </c>
      <c r="M1516" s="20">
        <f>E1516/MAX(E$2:E1516)-1</f>
        <v/>
      </c>
    </row>
    <row r="1517">
      <c r="A1517" s="11" t="n">
        <v>45945</v>
      </c>
      <c r="B1517" s="19" t="n">
        <v>2.481914565785452</v>
      </c>
      <c r="C1517" s="19" t="n">
        <v>2.163467046402066</v>
      </c>
      <c r="D1517" s="19" t="n">
        <v>1.95536701670736</v>
      </c>
      <c r="E1517" s="19" t="n">
        <v>1.554872283205065</v>
      </c>
      <c r="F1517" s="20">
        <f>B1517/B1516-1</f>
        <v/>
      </c>
      <c r="G1517" s="20">
        <f>B1517/MAX(B$2:B1517)-1</f>
        <v/>
      </c>
      <c r="H1517" s="20">
        <f>C1517/C1516-1</f>
        <v/>
      </c>
      <c r="I1517" s="20">
        <f>C1517/MAX(C$2:C1517)-1</f>
        <v/>
      </c>
      <c r="J1517" s="20">
        <f>D1517/D1516-1</f>
        <v/>
      </c>
      <c r="K1517" s="20">
        <f>D1517/MAX(D$2:D1517)-1</f>
        <v/>
      </c>
      <c r="L1517" s="20">
        <f>E1517/E1516-1</f>
        <v/>
      </c>
      <c r="M1517" s="20">
        <f>E1517/MAX(E$2:E1517)-1</f>
        <v/>
      </c>
    </row>
    <row r="1518">
      <c r="A1518" s="11" t="n">
        <v>45946</v>
      </c>
      <c r="B1518" s="19" t="n">
        <v>2.487249573870879</v>
      </c>
      <c r="C1518" s="19" t="n">
        <v>2.170568807039375</v>
      </c>
      <c r="D1518" s="19" t="n">
        <v>1.96284697897087</v>
      </c>
      <c r="E1518" s="19" t="n">
        <v>1.548123212206653</v>
      </c>
      <c r="F1518" s="20">
        <f>B1518/B1517-1</f>
        <v/>
      </c>
      <c r="G1518" s="20">
        <f>B1518/MAX(B$2:B1518)-1</f>
        <v/>
      </c>
      <c r="H1518" s="20">
        <f>C1518/C1517-1</f>
        <v/>
      </c>
      <c r="I1518" s="20">
        <f>C1518/MAX(C$2:C1518)-1</f>
        <v/>
      </c>
      <c r="J1518" s="20">
        <f>D1518/D1517-1</f>
        <v/>
      </c>
      <c r="K1518" s="20">
        <f>D1518/MAX(D$2:D1518)-1</f>
        <v/>
      </c>
      <c r="L1518" s="20">
        <f>E1518/E1517-1</f>
        <v/>
      </c>
      <c r="M1518" s="20">
        <f>E1518/MAX(E$2:E1518)-1</f>
        <v/>
      </c>
    </row>
    <row r="1519">
      <c r="A1519" s="11" t="n">
        <v>45947</v>
      </c>
      <c r="B1519" s="19" t="n">
        <v>2.389524949606954</v>
      </c>
      <c r="C1519" s="19" t="n">
        <v>2.086492176615441</v>
      </c>
      <c r="D1519" s="19" t="n">
        <v>1.896885989930517</v>
      </c>
      <c r="E1519" s="19" t="n">
        <v>1.508568389023832</v>
      </c>
      <c r="F1519" s="20">
        <f>B1519/B1518-1</f>
        <v/>
      </c>
      <c r="G1519" s="20">
        <f>B1519/MAX(B$2:B1519)-1</f>
        <v/>
      </c>
      <c r="H1519" s="20">
        <f>C1519/C1518-1</f>
        <v/>
      </c>
      <c r="I1519" s="20">
        <f>C1519/MAX(C$2:C1519)-1</f>
        <v/>
      </c>
      <c r="J1519" s="20">
        <f>D1519/D1518-1</f>
        <v/>
      </c>
      <c r="K1519" s="20">
        <f>D1519/MAX(D$2:D1519)-1</f>
        <v/>
      </c>
      <c r="L1519" s="20">
        <f>E1519/E1518-1</f>
        <v/>
      </c>
      <c r="M1519" s="20">
        <f>E1519/MAX(E$2:E1519)-1</f>
        <v/>
      </c>
    </row>
    <row r="1520">
      <c r="A1520" s="11" t="n">
        <v>45950</v>
      </c>
      <c r="B1520" s="19" t="n">
        <v>2.43057488540971</v>
      </c>
      <c r="C1520" s="19" t="n">
        <v>2.119786348332833</v>
      </c>
      <c r="D1520" s="19" t="n">
        <v>1.934421571448632</v>
      </c>
      <c r="E1520" s="19" t="n">
        <v>1.520366616202383</v>
      </c>
      <c r="F1520" s="20">
        <f>B1520/B1519-1</f>
        <v/>
      </c>
      <c r="G1520" s="20">
        <f>B1520/MAX(B$2:B1520)-1</f>
        <v/>
      </c>
      <c r="H1520" s="20">
        <f>C1520/C1519-1</f>
        <v/>
      </c>
      <c r="I1520" s="20">
        <f>C1520/MAX(C$2:C1520)-1</f>
        <v/>
      </c>
      <c r="J1520" s="20">
        <f>D1520/D1519-1</f>
        <v/>
      </c>
      <c r="K1520" s="20">
        <f>D1520/MAX(D$2:D1520)-1</f>
        <v/>
      </c>
      <c r="L1520" s="20">
        <f>E1520/E1519-1</f>
        <v/>
      </c>
      <c r="M1520" s="20">
        <f>E1520/MAX(E$2:E1520)-1</f>
        <v/>
      </c>
    </row>
    <row r="1521">
      <c r="A1521" s="11" t="n">
        <v>45951</v>
      </c>
      <c r="B1521" s="19" t="n">
        <v>2.512782208538608</v>
      </c>
      <c r="C1521" s="19" t="n">
        <v>2.181693046845069</v>
      </c>
      <c r="D1521" s="19" t="n">
        <v>1.992749638651586</v>
      </c>
      <c r="E1521" s="19" t="n">
        <v>1.544941730490967</v>
      </c>
      <c r="F1521" s="20">
        <f>B1521/B1520-1</f>
        <v/>
      </c>
      <c r="G1521" s="20">
        <f>B1521/MAX(B$2:B1521)-1</f>
        <v/>
      </c>
      <c r="H1521" s="20">
        <f>C1521/C1520-1</f>
        <v/>
      </c>
      <c r="I1521" s="20">
        <f>C1521/MAX(C$2:C1521)-1</f>
        <v/>
      </c>
      <c r="J1521" s="20">
        <f>D1521/D1520-1</f>
        <v/>
      </c>
      <c r="K1521" s="20">
        <f>D1521/MAX(D$2:D1521)-1</f>
        <v/>
      </c>
      <c r="L1521" s="20">
        <f>E1521/E1520-1</f>
        <v/>
      </c>
      <c r="M1521" s="20">
        <f>E1521/MAX(E$2:E1521)-1</f>
        <v/>
      </c>
    </row>
    <row r="1522">
      <c r="A1522" s="11" t="n">
        <v>45952</v>
      </c>
      <c r="B1522" s="19" t="n">
        <v>2.490746160759253</v>
      </c>
      <c r="C1522" s="19" t="n">
        <v>2.166180669810338</v>
      </c>
      <c r="D1522" s="19" t="n">
        <v>1.976984204581459</v>
      </c>
      <c r="E1522" s="19" t="n">
        <v>1.539164251944487</v>
      </c>
      <c r="F1522" s="20">
        <f>B1522/B1521-1</f>
        <v/>
      </c>
      <c r="G1522" s="20">
        <f>B1522/MAX(B$2:B1522)-1</f>
        <v/>
      </c>
      <c r="H1522" s="20">
        <f>C1522/C1521-1</f>
        <v/>
      </c>
      <c r="I1522" s="20">
        <f>C1522/MAX(C$2:C1522)-1</f>
        <v/>
      </c>
      <c r="J1522" s="20">
        <f>D1522/D1521-1</f>
        <v/>
      </c>
      <c r="K1522" s="20">
        <f>D1522/MAX(D$2:D1522)-1</f>
        <v/>
      </c>
      <c r="L1522" s="20">
        <f>E1522/E1521-1</f>
        <v/>
      </c>
      <c r="M1522" s="20">
        <f>E1522/MAX(E$2:E1522)-1</f>
        <v/>
      </c>
    </row>
    <row r="1523">
      <c r="A1523" s="11" t="n">
        <v>45953</v>
      </c>
      <c r="B1523" s="19" t="n">
        <v>2.482620541954268</v>
      </c>
      <c r="C1523" s="19" t="n">
        <v>2.158737205034268</v>
      </c>
      <c r="D1523" s="19" t="n">
        <v>1.978821658119262</v>
      </c>
      <c r="E1523" s="19" t="n">
        <v>1.541378232906929</v>
      </c>
      <c r="F1523" s="20">
        <f>B1523/B1522-1</f>
        <v/>
      </c>
      <c r="G1523" s="20">
        <f>B1523/MAX(B$2:B1523)-1</f>
        <v/>
      </c>
      <c r="H1523" s="20">
        <f>C1523/C1522-1</f>
        <v/>
      </c>
      <c r="I1523" s="20">
        <f>C1523/MAX(C$2:C1523)-1</f>
        <v/>
      </c>
      <c r="J1523" s="20">
        <f>D1523/D1522-1</f>
        <v/>
      </c>
      <c r="K1523" s="20">
        <f>D1523/MAX(D$2:D1523)-1</f>
        <v/>
      </c>
      <c r="L1523" s="20">
        <f>E1523/E1522-1</f>
        <v/>
      </c>
      <c r="M1523" s="20">
        <f>E1523/MAX(E$2:E1523)-1</f>
        <v/>
      </c>
    </row>
    <row r="1524">
      <c r="A1524" s="11" t="n">
        <v>45954</v>
      </c>
      <c r="B1524" s="19" t="n">
        <v>2.579585901758239</v>
      </c>
      <c r="C1524" s="19" t="n">
        <v>2.239301218884252</v>
      </c>
      <c r="D1524" s="19" t="n">
        <v>2.04952174446032</v>
      </c>
      <c r="E1524" s="19" t="n">
        <v>1.560910142577101</v>
      </c>
      <c r="F1524" s="20">
        <f>B1524/B1523-1</f>
        <v/>
      </c>
      <c r="G1524" s="20">
        <f>B1524/MAX(B$2:B1524)-1</f>
        <v/>
      </c>
      <c r="H1524" s="20">
        <f>C1524/C1523-1</f>
        <v/>
      </c>
      <c r="I1524" s="20">
        <f>C1524/MAX(C$2:C1524)-1</f>
        <v/>
      </c>
      <c r="J1524" s="20">
        <f>D1524/D1523-1</f>
        <v/>
      </c>
      <c r="K1524" s="20">
        <f>D1524/MAX(D$2:D1524)-1</f>
        <v/>
      </c>
      <c r="L1524" s="20">
        <f>E1524/E1523-1</f>
        <v/>
      </c>
      <c r="M1524" s="20">
        <f>E1524/MAX(E$2:E1524)-1</f>
        <v/>
      </c>
    </row>
    <row r="1525">
      <c r="A1525" s="11" t="n">
        <v>45957</v>
      </c>
      <c r="B1525" s="19" t="n">
        <v>2.637298386961751</v>
      </c>
      <c r="C1525" s="19" t="n">
        <v>2.278408978584088</v>
      </c>
      <c r="D1525" s="19" t="n">
        <v>2.090159684754648</v>
      </c>
      <c r="E1525" s="19" t="n">
        <v>1.57940387669852</v>
      </c>
      <c r="F1525" s="20">
        <f>B1525/B1524-1</f>
        <v/>
      </c>
      <c r="G1525" s="20">
        <f>B1525/MAX(B$2:B1525)-1</f>
        <v/>
      </c>
      <c r="H1525" s="20">
        <f>C1525/C1524-1</f>
        <v/>
      </c>
      <c r="I1525" s="20">
        <f>C1525/MAX(C$2:C1525)-1</f>
        <v/>
      </c>
      <c r="J1525" s="20">
        <f>D1525/D1524-1</f>
        <v/>
      </c>
      <c r="K1525" s="20">
        <f>D1525/MAX(D$2:D1525)-1</f>
        <v/>
      </c>
      <c r="L1525" s="20">
        <f>E1525/E1524-1</f>
        <v/>
      </c>
      <c r="M1525" s="20">
        <f>E1525/MAX(E$2:E1525)-1</f>
        <v/>
      </c>
    </row>
    <row r="1526">
      <c r="A1526" s="11" t="n">
        <v>45958</v>
      </c>
      <c r="B1526" s="19" t="n">
        <v>2.617727178643396</v>
      </c>
      <c r="C1526" s="19" t="n">
        <v>2.264468277046828</v>
      </c>
      <c r="D1526" s="19" t="n">
        <v>2.087006662562327</v>
      </c>
      <c r="E1526" s="19" t="n">
        <v>1.573861484840257</v>
      </c>
      <c r="F1526" s="20">
        <f>B1526/B1525-1</f>
        <v/>
      </c>
      <c r="G1526" s="20">
        <f>B1526/MAX(B$2:B1526)-1</f>
        <v/>
      </c>
      <c r="H1526" s="20">
        <f>C1526/C1525-1</f>
        <v/>
      </c>
      <c r="I1526" s="20">
        <f>C1526/MAX(C$2:C1526)-1</f>
        <v/>
      </c>
      <c r="J1526" s="20">
        <f>D1526/D1525-1</f>
        <v/>
      </c>
      <c r="K1526" s="20">
        <f>D1526/MAX(D$2:D1526)-1</f>
        <v/>
      </c>
      <c r="L1526" s="20">
        <f>E1526/E1525-1</f>
        <v/>
      </c>
      <c r="M1526" s="20">
        <f>E1526/MAX(E$2:E1526)-1</f>
        <v/>
      </c>
    </row>
    <row r="1527">
      <c r="A1527" s="11" t="n">
        <v>45959</v>
      </c>
      <c r="B1527" s="19" t="n">
        <v>2.6962522695787</v>
      </c>
      <c r="C1527" s="19" t="n">
        <v>2.318424438002753</v>
      </c>
      <c r="D1527" s="19" t="n">
        <v>2.148200766969159</v>
      </c>
      <c r="E1527" s="19" t="n">
        <v>1.591980642545483</v>
      </c>
      <c r="F1527" s="20">
        <f>B1527/B1526-1</f>
        <v/>
      </c>
      <c r="G1527" s="20">
        <f>B1527/MAX(B$2:B1527)-1</f>
        <v/>
      </c>
      <c r="H1527" s="20">
        <f>C1527/C1526-1</f>
        <v/>
      </c>
      <c r="I1527" s="20">
        <f>C1527/MAX(C$2:C1527)-1</f>
        <v/>
      </c>
      <c r="J1527" s="20">
        <f>D1527/D1526-1</f>
        <v/>
      </c>
      <c r="K1527" s="20">
        <f>D1527/MAX(D$2:D1527)-1</f>
        <v/>
      </c>
      <c r="L1527" s="20">
        <f>E1527/E1526-1</f>
        <v/>
      </c>
      <c r="M1527" s="20">
        <f>E1527/MAX(E$2:E1527)-1</f>
        <v/>
      </c>
    </row>
    <row r="1528">
      <c r="A1528" s="11" t="n">
        <v>45960</v>
      </c>
      <c r="B1528" s="19" t="n">
        <v>2.660828061954168</v>
      </c>
      <c r="C1528" s="19" t="n">
        <v>2.291055446835641</v>
      </c>
      <c r="D1528" s="19" t="n">
        <v>2.10862055472951</v>
      </c>
      <c r="E1528" s="19" t="n">
        <v>1.575217324996187</v>
      </c>
      <c r="F1528" s="20">
        <f>B1528/B1527-1</f>
        <v/>
      </c>
      <c r="G1528" s="20">
        <f>B1528/MAX(B$2:B1528)-1</f>
        <v/>
      </c>
      <c r="H1528" s="20">
        <f>C1528/C1527-1</f>
        <v/>
      </c>
      <c r="I1528" s="20">
        <f>C1528/MAX(C$2:C1528)-1</f>
        <v/>
      </c>
      <c r="J1528" s="20">
        <f>D1528/D1527-1</f>
        <v/>
      </c>
      <c r="K1528" s="20">
        <f>D1528/MAX(D$2:D1528)-1</f>
        <v/>
      </c>
      <c r="L1528" s="20">
        <f>E1528/E1527-1</f>
        <v/>
      </c>
      <c r="M1528" s="20">
        <f>E1528/MAX(E$2:E1528)-1</f>
        <v/>
      </c>
    </row>
    <row r="1529">
      <c r="A1529" s="11" t="n">
        <v>45961</v>
      </c>
      <c r="B1529" s="19" t="n">
        <v>2.586935381714802</v>
      </c>
      <c r="C1529" s="19" t="n">
        <v>2.239751437175188</v>
      </c>
      <c r="D1529" s="19" t="n">
        <v>2.059837953322063</v>
      </c>
      <c r="E1529" s="19" t="n">
        <v>1.566925311620053</v>
      </c>
      <c r="F1529" s="20">
        <f>B1529/B1528-1</f>
        <v/>
      </c>
      <c r="G1529" s="20">
        <f>B1529/MAX(B$2:B1529)-1</f>
        <v/>
      </c>
      <c r="H1529" s="20">
        <f>C1529/C1528-1</f>
        <v/>
      </c>
      <c r="I1529" s="20">
        <f>C1529/MAX(C$2:C1529)-1</f>
        <v/>
      </c>
      <c r="J1529" s="20">
        <f>D1529/D1528-1</f>
        <v/>
      </c>
      <c r="K1529" s="20">
        <f>D1529/MAX(D$2:D1529)-1</f>
        <v/>
      </c>
      <c r="L1529" s="20">
        <f>E1529/E1528-1</f>
        <v/>
      </c>
      <c r="M1529" s="20">
        <f>E1529/MAX(E$2:E1529)-1</f>
        <v/>
      </c>
    </row>
    <row r="1530">
      <c r="A1530" s="11" t="n">
        <v>45964</v>
      </c>
      <c r="B1530" s="19" t="n">
        <v>2.597438649991552</v>
      </c>
      <c r="C1530" s="19" t="n">
        <v>2.248017127535153</v>
      </c>
      <c r="D1530" s="19" t="n">
        <v>2.065872457305571</v>
      </c>
      <c r="E1530" s="19" t="n">
        <v>1.573016363075023</v>
      </c>
      <c r="F1530" s="20">
        <f>B1530/B1529-1</f>
        <v/>
      </c>
      <c r="G1530" s="20">
        <f>B1530/MAX(B$2:B1530)-1</f>
        <v/>
      </c>
      <c r="H1530" s="20">
        <f>C1530/C1529-1</f>
        <v/>
      </c>
      <c r="I1530" s="20">
        <f>C1530/MAX(C$2:C1530)-1</f>
        <v/>
      </c>
      <c r="J1530" s="20">
        <f>D1530/D1529-1</f>
        <v/>
      </c>
      <c r="K1530" s="20">
        <f>D1530/MAX(D$2:D1530)-1</f>
        <v/>
      </c>
      <c r="L1530" s="20">
        <f>E1530/E1529-1</f>
        <v/>
      </c>
      <c r="M1530" s="20">
        <f>E1530/MAX(E$2:E1530)-1</f>
        <v/>
      </c>
    </row>
    <row r="1531">
      <c r="A1531" s="11" t="n">
        <v>45965</v>
      </c>
      <c r="B1531" s="19" t="n">
        <v>2.540333785033071</v>
      </c>
      <c r="C1531" s="19" t="n">
        <v>2.198288545191262</v>
      </c>
      <c r="D1531" s="19" t="n">
        <v>2.025302046692154</v>
      </c>
      <c r="E1531" s="19" t="n">
        <v>1.556970208713831</v>
      </c>
      <c r="F1531" s="20">
        <f>B1531/B1530-1</f>
        <v/>
      </c>
      <c r="G1531" s="20">
        <f>B1531/MAX(B$2:B1531)-1</f>
        <v/>
      </c>
      <c r="H1531" s="20">
        <f>C1531/C1530-1</f>
        <v/>
      </c>
      <c r="I1531" s="20">
        <f>C1531/MAX(C$2:C1531)-1</f>
        <v/>
      </c>
      <c r="J1531" s="20">
        <f>D1531/D1530-1</f>
        <v/>
      </c>
      <c r="K1531" s="20">
        <f>D1531/MAX(D$2:D1531)-1</f>
        <v/>
      </c>
      <c r="L1531" s="20">
        <f>E1531/E1530-1</f>
        <v/>
      </c>
      <c r="M1531" s="20">
        <f>E1531/MAX(E$2:E1531)-1</f>
        <v/>
      </c>
    </row>
    <row r="1532">
      <c r="A1532" s="11" t="n">
        <v>45966</v>
      </c>
      <c r="B1532" s="19" t="n">
        <v>2.56835095499316</v>
      </c>
      <c r="C1532" s="19" t="n">
        <v>2.22039003045467</v>
      </c>
      <c r="D1532" s="19" t="n">
        <v>2.046072560997558</v>
      </c>
      <c r="E1532" s="19" t="n">
        <v>1.562315455089887</v>
      </c>
      <c r="F1532" s="20">
        <f>B1532/B1531-1</f>
        <v/>
      </c>
      <c r="G1532" s="20">
        <f>B1532/MAX(B$2:B1532)-1</f>
        <v/>
      </c>
      <c r="H1532" s="20">
        <f>C1532/C1531-1</f>
        <v/>
      </c>
      <c r="I1532" s="20">
        <f>C1532/MAX(C$2:C1532)-1</f>
        <v/>
      </c>
      <c r="J1532" s="20">
        <f>D1532/D1531-1</f>
        <v/>
      </c>
      <c r="K1532" s="20">
        <f>D1532/MAX(D$2:D1532)-1</f>
        <v/>
      </c>
      <c r="L1532" s="20">
        <f>E1532/E1531-1</f>
        <v/>
      </c>
      <c r="M1532" s="20">
        <f>E1532/MAX(E$2:E1532)-1</f>
        <v/>
      </c>
    </row>
    <row r="1533">
      <c r="A1533" s="11" t="n">
        <v>45967</v>
      </c>
      <c r="B1533" s="19" t="n">
        <v>2.631835470647845</v>
      </c>
      <c r="C1533" s="19" t="n">
        <v>2.273844890659726</v>
      </c>
      <c r="D1533" s="19" t="n">
        <v>2.08380685425615</v>
      </c>
      <c r="E1533" s="19" t="n">
        <v>1.580846758444708</v>
      </c>
      <c r="F1533" s="20">
        <f>B1533/B1532-1</f>
        <v/>
      </c>
      <c r="G1533" s="20">
        <f>B1533/MAX(B$2:B1533)-1</f>
        <v/>
      </c>
      <c r="H1533" s="20">
        <f>C1533/C1532-1</f>
        <v/>
      </c>
      <c r="I1533" s="20">
        <f>C1533/MAX(C$2:C1533)-1</f>
        <v/>
      </c>
      <c r="J1533" s="20">
        <f>D1533/D1532-1</f>
        <v/>
      </c>
      <c r="K1533" s="20">
        <f>D1533/MAX(D$2:D1533)-1</f>
        <v/>
      </c>
      <c r="L1533" s="20">
        <f>E1533/E1532-1</f>
        <v/>
      </c>
      <c r="M1533" s="20">
        <f>E1533/MAX(E$2:E1533)-1</f>
        <v/>
      </c>
    </row>
    <row r="1534">
      <c r="A1534" s="11" t="n">
        <v>45968</v>
      </c>
      <c r="B1534" s="19" t="n">
        <v>2.610451394663783</v>
      </c>
      <c r="C1534" s="19" t="n">
        <v>2.250214731517661</v>
      </c>
      <c r="D1534" s="19" t="n">
        <v>2.073197198235543</v>
      </c>
      <c r="E1534" s="19" t="n">
        <v>1.576890457786689</v>
      </c>
      <c r="F1534" s="20">
        <f>B1534/B1533-1</f>
        <v/>
      </c>
      <c r="G1534" s="20">
        <f>B1534/MAX(B$2:B1534)-1</f>
        <v/>
      </c>
      <c r="H1534" s="20">
        <f>C1534/C1533-1</f>
        <v/>
      </c>
      <c r="I1534" s="20">
        <f>C1534/MAX(C$2:C1534)-1</f>
        <v/>
      </c>
      <c r="J1534" s="20">
        <f>D1534/D1533-1</f>
        <v/>
      </c>
      <c r="K1534" s="20">
        <f>D1534/MAX(D$2:D1534)-1</f>
        <v/>
      </c>
      <c r="L1534" s="20">
        <f>E1534/E1533-1</f>
        <v/>
      </c>
      <c r="M1534" s="20">
        <f>E1534/MAX(E$2:E1534)-1</f>
        <v/>
      </c>
    </row>
    <row r="1535">
      <c r="A1535" s="11" t="n">
        <v>45971</v>
      </c>
      <c r="B1535" s="19" t="n">
        <v>2.583490749712445</v>
      </c>
      <c r="C1535" s="19" t="n">
        <v>2.229477321095348</v>
      </c>
      <c r="D1535" s="19" t="n">
        <v>2.054212310861157</v>
      </c>
      <c r="E1535" s="19" t="n">
        <v>1.582961422720831</v>
      </c>
      <c r="F1535" s="20">
        <f>B1535/B1534-1</f>
        <v/>
      </c>
      <c r="G1535" s="20">
        <f>B1535/MAX(B$2:B1535)-1</f>
        <v/>
      </c>
      <c r="H1535" s="20">
        <f>C1535/C1534-1</f>
        <v/>
      </c>
      <c r="I1535" s="20">
        <f>C1535/MAX(C$2:C1535)-1</f>
        <v/>
      </c>
      <c r="J1535" s="20">
        <f>D1535/D1534-1</f>
        <v/>
      </c>
      <c r="K1535" s="20">
        <f>D1535/MAX(D$2:D1535)-1</f>
        <v/>
      </c>
      <c r="L1535" s="20">
        <f>E1535/E1534-1</f>
        <v/>
      </c>
      <c r="M1535" s="20">
        <f>E1535/MAX(E$2:E1535)-1</f>
        <v/>
      </c>
    </row>
    <row r="1536">
      <c r="A1536" s="11" t="n">
        <v>45972</v>
      </c>
      <c r="B1536" s="19" t="n">
        <v>2.541452642802221</v>
      </c>
      <c r="C1536" s="19" t="n">
        <v>2.192252926479016</v>
      </c>
      <c r="D1536" s="19" t="n">
        <v>2.025448350230509</v>
      </c>
      <c r="E1536" s="19" t="n">
        <v>1.575013484007038</v>
      </c>
      <c r="F1536" s="20">
        <f>B1536/B1535-1</f>
        <v/>
      </c>
      <c r="G1536" s="20">
        <f>B1536/MAX(B$2:B1536)-1</f>
        <v/>
      </c>
      <c r="H1536" s="20">
        <f>C1536/C1535-1</f>
        <v/>
      </c>
      <c r="I1536" s="20">
        <f>C1536/MAX(C$2:C1536)-1</f>
        <v/>
      </c>
      <c r="J1536" s="20">
        <f>D1536/D1535-1</f>
        <v/>
      </c>
      <c r="K1536" s="20">
        <f>D1536/MAX(D$2:D1536)-1</f>
        <v/>
      </c>
      <c r="L1536" s="20">
        <f>E1536/E1535-1</f>
        <v/>
      </c>
      <c r="M1536" s="20">
        <f>E1536/MAX(E$2:E1536)-1</f>
        <v/>
      </c>
    </row>
    <row r="1537">
      <c r="A1537" s="11" t="n">
        <v>45973</v>
      </c>
      <c r="B1537" s="19" t="n">
        <v>2.530737482189762</v>
      </c>
      <c r="C1537" s="19" t="n">
        <v>2.181655913456116</v>
      </c>
      <c r="D1537" s="19" t="n">
        <v>2.01750705362057</v>
      </c>
      <c r="E1537" s="19" t="n">
        <v>1.569082008800872</v>
      </c>
      <c r="F1537" s="20">
        <f>B1537/B1536-1</f>
        <v/>
      </c>
      <c r="G1537" s="20">
        <f>B1537/MAX(B$2:B1537)-1</f>
        <v/>
      </c>
      <c r="H1537" s="20">
        <f>C1537/C1536-1</f>
        <v/>
      </c>
      <c r="I1537" s="20">
        <f>C1537/MAX(C$2:C1537)-1</f>
        <v/>
      </c>
      <c r="J1537" s="20">
        <f>D1537/D1536-1</f>
        <v/>
      </c>
      <c r="K1537" s="20">
        <f>D1537/MAX(D$2:D1537)-1</f>
        <v/>
      </c>
      <c r="L1537" s="20">
        <f>E1537/E1536-1</f>
        <v/>
      </c>
      <c r="M1537" s="20">
        <f>E1537/MAX(E$2:E1537)-1</f>
        <v/>
      </c>
    </row>
    <row r="1538">
      <c r="A1538" s="11" t="n">
        <v>45974</v>
      </c>
      <c r="B1538" s="19" t="n">
        <v>2.575558160018222</v>
      </c>
      <c r="C1538" s="19" t="n">
        <v>2.212499762505042</v>
      </c>
      <c r="D1538" s="19" t="n">
        <v>2.06902774125754</v>
      </c>
      <c r="E1538" s="19" t="n">
        <v>1.589942976599203</v>
      </c>
      <c r="F1538" s="20">
        <f>B1538/B1537-1</f>
        <v/>
      </c>
      <c r="G1538" s="20">
        <f>B1538/MAX(B$2:B1538)-1</f>
        <v/>
      </c>
      <c r="H1538" s="20">
        <f>C1538/C1537-1</f>
        <v/>
      </c>
      <c r="I1538" s="20">
        <f>C1538/MAX(C$2:C1538)-1</f>
        <v/>
      </c>
      <c r="J1538" s="20">
        <f>D1538/D1537-1</f>
        <v/>
      </c>
      <c r="K1538" s="20">
        <f>D1538/MAX(D$2:D1538)-1</f>
        <v/>
      </c>
      <c r="L1538" s="20">
        <f>E1538/E1537-1</f>
        <v/>
      </c>
      <c r="M1538" s="20">
        <f>E1538/MAX(E$2:E1538)-1</f>
        <v/>
      </c>
    </row>
    <row r="1539">
      <c r="A1539" s="11" t="n">
        <v>45975</v>
      </c>
      <c r="B1539" s="19" t="n">
        <v>2.511529532590855</v>
      </c>
      <c r="C1539" s="19" t="n">
        <v>2.161691377766576</v>
      </c>
      <c r="D1539" s="19" t="n">
        <v>2.010708850336585</v>
      </c>
      <c r="E1539" s="19" t="n">
        <v>1.569804007632878</v>
      </c>
      <c r="F1539" s="20">
        <f>B1539/B1538-1</f>
        <v/>
      </c>
      <c r="G1539" s="20">
        <f>B1539/MAX(B$2:B1539)-1</f>
        <v/>
      </c>
      <c r="H1539" s="20">
        <f>C1539/C1538-1</f>
        <v/>
      </c>
      <c r="I1539" s="20">
        <f>C1539/MAX(C$2:C1539)-1</f>
        <v/>
      </c>
      <c r="J1539" s="20">
        <f>D1539/D1538-1</f>
        <v/>
      </c>
      <c r="K1539" s="20">
        <f>D1539/MAX(D$2:D1539)-1</f>
        <v/>
      </c>
      <c r="L1539" s="20">
        <f>E1539/E1538-1</f>
        <v/>
      </c>
      <c r="M1539" s="20">
        <f>E1539/MAX(E$2:E1539)-1</f>
        <v/>
      </c>
    </row>
    <row r="1540">
      <c r="A1540" s="11" t="n">
        <v>45978</v>
      </c>
      <c r="B1540" s="19" t="n">
        <v>2.509598963518882</v>
      </c>
      <c r="C1540" s="19" t="n">
        <v>2.158245428131861</v>
      </c>
      <c r="D1540" s="19" t="n">
        <v>2.006635356589349</v>
      </c>
      <c r="E1540" s="19" t="n">
        <v>1.567258227104156</v>
      </c>
      <c r="F1540" s="20">
        <f>B1540/B1539-1</f>
        <v/>
      </c>
      <c r="G1540" s="20">
        <f>B1540/MAX(B$2:B1540)-1</f>
        <v/>
      </c>
      <c r="H1540" s="20">
        <f>C1540/C1539-1</f>
        <v/>
      </c>
      <c r="I1540" s="20">
        <f>C1540/MAX(C$2:C1540)-1</f>
        <v/>
      </c>
      <c r="J1540" s="20">
        <f>D1540/D1539-1</f>
        <v/>
      </c>
      <c r="K1540" s="20">
        <f>D1540/MAX(D$2:D1540)-1</f>
        <v/>
      </c>
      <c r="L1540" s="20">
        <f>E1540/E1539-1</f>
        <v/>
      </c>
      <c r="M1540" s="20">
        <f>E1540/MAX(E$2:E1540)-1</f>
        <v/>
      </c>
    </row>
    <row r="1541">
      <c r="A1541" s="11" t="n">
        <v>45979</v>
      </c>
      <c r="B1541" s="19" t="n">
        <v>2.474434192853977</v>
      </c>
      <c r="C1541" s="19" t="n">
        <v>2.139277385212974</v>
      </c>
      <c r="D1541" s="19" t="n">
        <v>1.983382011786094</v>
      </c>
      <c r="E1541" s="19" t="n">
        <v>1.552776961504555</v>
      </c>
      <c r="F1541" s="20">
        <f>B1541/B1540-1</f>
        <v/>
      </c>
      <c r="G1541" s="20">
        <f>B1541/MAX(B$2:B1541)-1</f>
        <v/>
      </c>
      <c r="H1541" s="20">
        <f>C1541/C1540-1</f>
        <v/>
      </c>
      <c r="I1541" s="20">
        <f>C1541/MAX(C$2:C1541)-1</f>
        <v/>
      </c>
      <c r="J1541" s="20">
        <f>D1541/D1540-1</f>
        <v/>
      </c>
      <c r="K1541" s="20">
        <f>D1541/MAX(D$2:D1541)-1</f>
        <v/>
      </c>
      <c r="L1541" s="20">
        <f>E1541/E1540-1</f>
        <v/>
      </c>
      <c r="M1541" s="20">
        <f>E1541/MAX(E$2:E1541)-1</f>
        <v/>
      </c>
    </row>
    <row r="1542">
      <c r="A1542" s="11" t="n">
        <v>45980</v>
      </c>
      <c r="B1542" s="19" t="n">
        <v>2.482193339358904</v>
      </c>
      <c r="C1542" s="19" t="n">
        <v>2.138088780064757</v>
      </c>
      <c r="D1542" s="19" t="n">
        <v>1.988309804463124</v>
      </c>
      <c r="E1542" s="19" t="n">
        <v>1.548026127355982</v>
      </c>
      <c r="F1542" s="20">
        <f>B1542/B1541-1</f>
        <v/>
      </c>
      <c r="G1542" s="20">
        <f>B1542/MAX(B$2:B1542)-1</f>
        <v/>
      </c>
      <c r="H1542" s="20">
        <f>C1542/C1541-1</f>
        <v/>
      </c>
      <c r="I1542" s="20">
        <f>C1542/MAX(C$2:C1542)-1</f>
        <v/>
      </c>
      <c r="J1542" s="20">
        <f>D1542/D1541-1</f>
        <v/>
      </c>
      <c r="K1542" s="20">
        <f>D1542/MAX(D$2:D1542)-1</f>
        <v/>
      </c>
      <c r="L1542" s="20">
        <f>E1542/E1541-1</f>
        <v/>
      </c>
      <c r="M1542" s="20">
        <f>E1542/MAX(E$2:E1542)-1</f>
        <v/>
      </c>
    </row>
    <row r="1543">
      <c r="A1543" s="11" t="n">
        <v>45981</v>
      </c>
      <c r="B1543" s="19" t="n">
        <v>2.471971681870694</v>
      </c>
      <c r="C1543" s="19" t="n">
        <v>2.127939628420799</v>
      </c>
      <c r="D1543" s="19" t="n">
        <v>1.966012343908697</v>
      </c>
      <c r="E1543" s="19" t="n">
        <v>1.537856024282372</v>
      </c>
      <c r="F1543" s="20">
        <f>B1543/B1542-1</f>
        <v/>
      </c>
      <c r="G1543" s="20">
        <f>B1543/MAX(B$2:B1543)-1</f>
        <v/>
      </c>
      <c r="H1543" s="20">
        <f>C1543/C1542-1</f>
        <v/>
      </c>
      <c r="I1543" s="20">
        <f>C1543/MAX(C$2:C1543)-1</f>
        <v/>
      </c>
      <c r="J1543" s="20">
        <f>D1543/D1542-1</f>
        <v/>
      </c>
      <c r="K1543" s="20">
        <f>D1543/MAX(D$2:D1543)-1</f>
        <v/>
      </c>
      <c r="L1543" s="20">
        <f>E1543/E1542-1</f>
        <v/>
      </c>
      <c r="M1543" s="20">
        <f>E1543/MAX(E$2:E1543)-1</f>
        <v/>
      </c>
    </row>
    <row r="1544">
      <c r="A1544" s="11" t="n">
        <v>45982</v>
      </c>
      <c r="B1544" s="19" t="n">
        <v>2.362381379477007</v>
      </c>
      <c r="C1544" s="19" t="n">
        <v>2.045584409556268</v>
      </c>
      <c r="D1544" s="19" t="n">
        <v>1.887004038921136</v>
      </c>
      <c r="E1544" s="19" t="n">
        <v>1.489140259711275</v>
      </c>
      <c r="F1544" s="20">
        <f>B1544/B1543-1</f>
        <v/>
      </c>
      <c r="G1544" s="20">
        <f>B1544/MAX(B$2:B1544)-1</f>
        <v/>
      </c>
      <c r="H1544" s="20">
        <f>C1544/C1543-1</f>
        <v/>
      </c>
      <c r="I1544" s="20">
        <f>C1544/MAX(C$2:C1544)-1</f>
        <v/>
      </c>
      <c r="J1544" s="20">
        <f>D1544/D1543-1</f>
        <v/>
      </c>
      <c r="K1544" s="20">
        <f>D1544/MAX(D$2:D1544)-1</f>
        <v/>
      </c>
      <c r="L1544" s="20">
        <f>E1544/E1543-1</f>
        <v/>
      </c>
      <c r="M1544" s="20">
        <f>E1544/MAX(E$2:E1544)-1</f>
        <v/>
      </c>
    </row>
    <row r="1545">
      <c r="A1545" s="11" t="n">
        <v>45985</v>
      </c>
      <c r="B1545" s="19" t="n">
        <v>2.366824926774053</v>
      </c>
      <c r="C1545" s="19" t="n">
        <v>2.056048136800944</v>
      </c>
      <c r="D1545" s="19" t="n">
        <v>1.892797439326197</v>
      </c>
      <c r="E1545" s="19" t="n">
        <v>1.498349185565975</v>
      </c>
      <c r="F1545" s="20">
        <f>B1545/B1544-1</f>
        <v/>
      </c>
      <c r="G1545" s="20">
        <f>B1545/MAX(B$2:B1545)-1</f>
        <v/>
      </c>
      <c r="H1545" s="20">
        <f>C1545/C1544-1</f>
        <v/>
      </c>
      <c r="I1545" s="20">
        <f>C1545/MAX(C$2:C1545)-1</f>
        <v/>
      </c>
      <c r="J1545" s="20">
        <f>D1545/D1544-1</f>
        <v/>
      </c>
      <c r="K1545" s="20">
        <f>D1545/MAX(D$2:D1545)-1</f>
        <v/>
      </c>
      <c r="L1545" s="20">
        <f>E1545/E1544-1</f>
        <v/>
      </c>
      <c r="M1545" s="20">
        <f>E1545/MAX(E$2:E1545)-1</f>
        <v/>
      </c>
    </row>
    <row r="1546">
      <c r="A1546" s="11" t="n">
        <v>45986</v>
      </c>
      <c r="B1546" s="19" t="n">
        <v>2.422084106262812</v>
      </c>
      <c r="C1546" s="19" t="n">
        <v>2.098234119764318</v>
      </c>
      <c r="D1546" s="19" t="n">
        <v>1.926330029376381</v>
      </c>
      <c r="E1546" s="19" t="n">
        <v>1.516947815962833</v>
      </c>
      <c r="F1546" s="20">
        <f>B1546/B1545-1</f>
        <v/>
      </c>
      <c r="G1546" s="20">
        <f>B1546/MAX(B$2:B1546)-1</f>
        <v/>
      </c>
      <c r="H1546" s="20">
        <f>C1546/C1545-1</f>
        <v/>
      </c>
      <c r="I1546" s="20">
        <f>C1546/MAX(C$2:C1546)-1</f>
        <v/>
      </c>
      <c r="J1546" s="20">
        <f>D1546/D1545-1</f>
        <v/>
      </c>
      <c r="K1546" s="20">
        <f>D1546/MAX(D$2:D1546)-1</f>
        <v/>
      </c>
      <c r="L1546" s="20">
        <f>E1546/E1545-1</f>
        <v/>
      </c>
      <c r="M1546" s="20">
        <f>E1546/MAX(E$2:E1546)-1</f>
        <v/>
      </c>
    </row>
    <row r="1547">
      <c r="A1547" s="11" t="n">
        <v>45987</v>
      </c>
      <c r="B1547" s="19" t="n">
        <v>2.486080033816699</v>
      </c>
      <c r="C1547" s="19" t="n">
        <v>2.155038681014328</v>
      </c>
      <c r="D1547" s="19" t="n">
        <v>1.967533474204341</v>
      </c>
      <c r="E1547" s="19" t="n">
        <v>1.520612118123621</v>
      </c>
      <c r="F1547" s="20">
        <f>B1547/B1546-1</f>
        <v/>
      </c>
      <c r="G1547" s="20">
        <f>B1547/MAX(B$2:B1547)-1</f>
        <v/>
      </c>
      <c r="H1547" s="20">
        <f>C1547/C1546-1</f>
        <v/>
      </c>
      <c r="I1547" s="20">
        <f>C1547/MAX(C$2:C1547)-1</f>
        <v/>
      </c>
      <c r="J1547" s="20">
        <f>D1547/D1546-1</f>
        <v/>
      </c>
      <c r="K1547" s="20">
        <f>D1547/MAX(D$2:D1547)-1</f>
        <v/>
      </c>
      <c r="L1547" s="20">
        <f>E1547/E1546-1</f>
        <v/>
      </c>
      <c r="M1547" s="20">
        <f>E1547/MAX(E$2:E1547)-1</f>
        <v/>
      </c>
    </row>
    <row r="1548">
      <c r="A1548" s="11" t="n">
        <v>45988</v>
      </c>
      <c r="B1548" s="19" t="n">
        <v>2.478711940912846</v>
      </c>
      <c r="C1548" s="19" t="n">
        <v>2.139952712649378</v>
      </c>
      <c r="D1548" s="19" t="n">
        <v>1.958874876677555</v>
      </c>
      <c r="E1548" s="19" t="n">
        <v>1.520555578287215</v>
      </c>
      <c r="F1548" s="20">
        <f>B1548/B1547-1</f>
        <v/>
      </c>
      <c r="G1548" s="20">
        <f>B1548/MAX(B$2:B1548)-1</f>
        <v/>
      </c>
      <c r="H1548" s="20">
        <f>C1548/C1547-1</f>
        <v/>
      </c>
      <c r="I1548" s="20">
        <f>C1548/MAX(C$2:C1548)-1</f>
        <v/>
      </c>
      <c r="J1548" s="20">
        <f>D1548/D1547-1</f>
        <v/>
      </c>
      <c r="K1548" s="20">
        <f>D1548/MAX(D$2:D1548)-1</f>
        <v/>
      </c>
      <c r="L1548" s="20">
        <f>E1548/E1547-1</f>
        <v/>
      </c>
      <c r="M1548" s="20">
        <f>E1548/MAX(E$2:E1548)-1</f>
        <v/>
      </c>
    </row>
    <row r="1549">
      <c r="A1549" s="11" t="n">
        <v>45989</v>
      </c>
      <c r="B1549" s="19" t="n">
        <v>2.496359219362933</v>
      </c>
      <c r="C1549" s="19" t="n">
        <v>2.151994512724078</v>
      </c>
      <c r="D1549" s="19" t="n">
        <v>1.972633806831639</v>
      </c>
      <c r="E1549" s="19" t="n">
        <v>1.532215431655613</v>
      </c>
      <c r="F1549" s="20">
        <f>B1549/B1548-1</f>
        <v/>
      </c>
      <c r="G1549" s="20">
        <f>B1549/MAX(B$2:B1549)-1</f>
        <v/>
      </c>
      <c r="H1549" s="20">
        <f>C1549/C1548-1</f>
        <v/>
      </c>
      <c r="I1549" s="20">
        <f>C1549/MAX(C$2:C1549)-1</f>
        <v/>
      </c>
      <c r="J1549" s="20">
        <f>D1549/D1548-1</f>
        <v/>
      </c>
      <c r="K1549" s="20">
        <f>D1549/MAX(D$2:D1549)-1</f>
        <v/>
      </c>
      <c r="L1549" s="20">
        <f>E1549/E1548-1</f>
        <v/>
      </c>
      <c r="M1549" s="20">
        <f>E1549/MAX(E$2:E1549)-1</f>
        <v/>
      </c>
    </row>
    <row r="1550">
      <c r="A1550" s="11" t="n">
        <v>45992</v>
      </c>
      <c r="B1550" s="19" t="n">
        <v>2.546786032072644</v>
      </c>
      <c r="C1550" s="19" t="n">
        <v>2.191027187941846</v>
      </c>
      <c r="D1550" s="19" t="n">
        <v>1.998425233689854</v>
      </c>
      <c r="E1550" s="19" t="n">
        <v>1.546783366872864</v>
      </c>
      <c r="F1550" s="20">
        <f>B1550/B1549-1</f>
        <v/>
      </c>
      <c r="G1550" s="20">
        <f>B1550/MAX(B$2:B1550)-1</f>
        <v/>
      </c>
      <c r="H1550" s="20">
        <f>C1550/C1549-1</f>
        <v/>
      </c>
      <c r="I1550" s="20">
        <f>C1550/MAX(C$2:C1550)-1</f>
        <v/>
      </c>
      <c r="J1550" s="20">
        <f>D1550/D1549-1</f>
        <v/>
      </c>
      <c r="K1550" s="20">
        <f>D1550/MAX(D$2:D1550)-1</f>
        <v/>
      </c>
      <c r="L1550" s="20">
        <f>E1550/E1549-1</f>
        <v/>
      </c>
      <c r="M1550" s="20">
        <f>E1550/MAX(E$2:E1550)-1</f>
        <v/>
      </c>
    </row>
    <row r="1551">
      <c r="A1551" s="11" t="n">
        <v>45993</v>
      </c>
      <c r="B1551" s="19" t="n">
        <v>2.531042822037864</v>
      </c>
      <c r="C1551" s="19" t="n">
        <v>2.173274734408486</v>
      </c>
      <c r="D1551" s="19" t="n">
        <v>1.98462862908221</v>
      </c>
      <c r="E1551" s="19" t="n">
        <v>1.53677432793849</v>
      </c>
      <c r="F1551" s="20">
        <f>B1551/B1550-1</f>
        <v/>
      </c>
      <c r="G1551" s="20">
        <f>B1551/MAX(B$2:B1551)-1</f>
        <v/>
      </c>
      <c r="H1551" s="20">
        <f>C1551/C1550-1</f>
        <v/>
      </c>
      <c r="I1551" s="20">
        <f>C1551/MAX(C$2:C1551)-1</f>
        <v/>
      </c>
      <c r="J1551" s="20">
        <f>D1551/D1550-1</f>
        <v/>
      </c>
      <c r="K1551" s="20">
        <f>D1551/MAX(D$2:D1551)-1</f>
        <v/>
      </c>
      <c r="L1551" s="20">
        <f>E1551/E1550-1</f>
        <v/>
      </c>
      <c r="M1551" s="20">
        <f>E1551/MAX(E$2:E1551)-1</f>
        <v/>
      </c>
    </row>
    <row r="1552">
      <c r="A1552" s="11" t="n">
        <v>45994</v>
      </c>
      <c r="B1552" s="19" t="n">
        <v>2.514960751683935</v>
      </c>
      <c r="C1552" s="19" t="n">
        <v>2.149430769678471</v>
      </c>
      <c r="D1552" s="19" t="n">
        <v>1.962423125212888</v>
      </c>
      <c r="E1552" s="19" t="n">
        <v>1.525582416110878</v>
      </c>
      <c r="F1552" s="20">
        <f>B1552/B1551-1</f>
        <v/>
      </c>
      <c r="G1552" s="20">
        <f>B1552/MAX(B$2:B1552)-1</f>
        <v/>
      </c>
      <c r="H1552" s="20">
        <f>C1552/C1551-1</f>
        <v/>
      </c>
      <c r="I1552" s="20">
        <f>C1552/MAX(C$2:C1552)-1</f>
        <v/>
      </c>
      <c r="J1552" s="20">
        <f>D1552/D1551-1</f>
        <v/>
      </c>
      <c r="K1552" s="20">
        <f>D1552/MAX(D$2:D1552)-1</f>
        <v/>
      </c>
      <c r="L1552" s="20">
        <f>E1552/E1551-1</f>
        <v/>
      </c>
      <c r="M1552" s="20">
        <f>E1552/MAX(E$2:E1552)-1</f>
        <v/>
      </c>
    </row>
    <row r="1553">
      <c r="A1553" s="11" t="n">
        <v>45995</v>
      </c>
      <c r="B1553" s="19" t="n">
        <v>2.529411222917339</v>
      </c>
      <c r="C1553" s="19" t="n">
        <v>2.165425976970084</v>
      </c>
      <c r="D1553" s="19" t="n">
        <v>1.982260566731054</v>
      </c>
      <c r="E1553" s="19" t="n">
        <v>1.525785141182203</v>
      </c>
      <c r="F1553" s="20">
        <f>B1553/B1552-1</f>
        <v/>
      </c>
      <c r="G1553" s="20">
        <f>B1553/MAX(B$2:B1553)-1</f>
        <v/>
      </c>
      <c r="H1553" s="20">
        <f>C1553/C1552-1</f>
        <v/>
      </c>
      <c r="I1553" s="20">
        <f>C1553/MAX(C$2:C1553)-1</f>
        <v/>
      </c>
      <c r="J1553" s="20">
        <f>D1553/D1552-1</f>
        <v/>
      </c>
      <c r="K1553" s="20">
        <f>D1553/MAX(D$2:D1553)-1</f>
        <v/>
      </c>
      <c r="L1553" s="20">
        <f>E1553/E1552-1</f>
        <v/>
      </c>
      <c r="M1553" s="20">
        <f>E1553/MAX(E$2:E1553)-1</f>
        <v/>
      </c>
    </row>
    <row r="1554">
      <c r="A1554" s="11" t="n">
        <v>45996</v>
      </c>
      <c r="B1554" s="19" t="n">
        <v>2.563396162955458</v>
      </c>
      <c r="C1554" s="19" t="n">
        <v>2.184058905483741</v>
      </c>
      <c r="D1554" s="19" t="n">
        <v>2.009280969160132</v>
      </c>
      <c r="E1554" s="19" t="n">
        <v>1.543163701425027</v>
      </c>
      <c r="F1554" s="20">
        <f>B1554/B1553-1</f>
        <v/>
      </c>
      <c r="G1554" s="20">
        <f>B1554/MAX(B$2:B1554)-1</f>
        <v/>
      </c>
      <c r="H1554" s="20">
        <f>C1554/C1553-1</f>
        <v/>
      </c>
      <c r="I1554" s="20">
        <f>C1554/MAX(C$2:C1554)-1</f>
        <v/>
      </c>
      <c r="J1554" s="20">
        <f>D1554/D1553-1</f>
        <v/>
      </c>
      <c r="K1554" s="20">
        <f>D1554/MAX(D$2:D1554)-1</f>
        <v/>
      </c>
      <c r="L1554" s="20">
        <f>E1554/E1553-1</f>
        <v/>
      </c>
      <c r="M1554" s="20">
        <f>E1554/MAX(E$2:E1554)-1</f>
        <v/>
      </c>
    </row>
    <row r="1555">
      <c r="A1555" s="11" t="n">
        <v>45999</v>
      </c>
      <c r="B1555" s="19" t="n">
        <v>2.622521622418937</v>
      </c>
      <c r="C1555" s="19" t="n">
        <v>2.222938910524646</v>
      </c>
      <c r="D1555" s="19" t="n">
        <v>2.061606067771237</v>
      </c>
      <c r="E1555" s="19" t="n">
        <v>1.559174146415858</v>
      </c>
      <c r="F1555" s="20">
        <f>B1555/B1554-1</f>
        <v/>
      </c>
      <c r="G1555" s="20">
        <f>B1555/MAX(B$2:B1555)-1</f>
        <v/>
      </c>
      <c r="H1555" s="20">
        <f>C1555/C1554-1</f>
        <v/>
      </c>
      <c r="I1555" s="20">
        <f>C1555/MAX(C$2:C1555)-1</f>
        <v/>
      </c>
      <c r="J1555" s="20">
        <f>D1555/D1554-1</f>
        <v/>
      </c>
      <c r="K1555" s="20">
        <f>D1555/MAX(D$2:D1555)-1</f>
        <v/>
      </c>
      <c r="L1555" s="20">
        <f>E1555/E1554-1</f>
        <v/>
      </c>
      <c r="M1555" s="20">
        <f>E1555/MAX(E$2:E1555)-1</f>
        <v/>
      </c>
    </row>
    <row r="1556">
      <c r="A1556" s="11" t="n">
        <v>46000</v>
      </c>
      <c r="B1556" s="19" t="n">
        <v>2.635210391916161</v>
      </c>
      <c r="C1556" s="19" t="n">
        <v>2.23520658934873</v>
      </c>
      <c r="D1556" s="19" t="n">
        <v>2.074100221930319</v>
      </c>
      <c r="E1556" s="19" t="n">
        <v>1.550450644814516</v>
      </c>
      <c r="F1556" s="20">
        <f>B1556/B1555-1</f>
        <v/>
      </c>
      <c r="G1556" s="20">
        <f>B1556/MAX(B$2:B1556)-1</f>
        <v/>
      </c>
      <c r="H1556" s="20">
        <f>C1556/C1555-1</f>
        <v/>
      </c>
      <c r="I1556" s="20">
        <f>C1556/MAX(C$2:C1556)-1</f>
        <v/>
      </c>
      <c r="J1556" s="20">
        <f>D1556/D1555-1</f>
        <v/>
      </c>
      <c r="K1556" s="20">
        <f>D1556/MAX(D$2:D1556)-1</f>
        <v/>
      </c>
      <c r="L1556" s="20">
        <f>E1556/E1555-1</f>
        <v/>
      </c>
      <c r="M1556" s="20">
        <f>E1556/MAX(E$2:E1556)-1</f>
        <v/>
      </c>
    </row>
    <row r="1557">
      <c r="A1557" s="11" t="n">
        <v>46001</v>
      </c>
      <c r="B1557" s="19" t="n">
        <v>2.634687914615821</v>
      </c>
      <c r="C1557" s="19" t="n">
        <v>2.230338074975295</v>
      </c>
      <c r="D1557" s="19" t="n">
        <v>2.073713202543743</v>
      </c>
      <c r="E1557" s="19" t="n">
        <v>1.55229451303206</v>
      </c>
      <c r="F1557" s="20">
        <f>B1557/B1556-1</f>
        <v/>
      </c>
      <c r="G1557" s="20">
        <f>B1557/MAX(B$2:B1557)-1</f>
        <v/>
      </c>
      <c r="H1557" s="20">
        <f>C1557/C1556-1</f>
        <v/>
      </c>
      <c r="I1557" s="20">
        <f>C1557/MAX(C$2:C1557)-1</f>
        <v/>
      </c>
      <c r="J1557" s="20">
        <f>D1557/D1556-1</f>
        <v/>
      </c>
      <c r="K1557" s="20">
        <f>D1557/MAX(D$2:D1557)-1</f>
        <v/>
      </c>
      <c r="L1557" s="20">
        <f>E1557/E1556-1</f>
        <v/>
      </c>
      <c r="M1557" s="20">
        <f>E1557/MAX(E$2:E1557)-1</f>
        <v/>
      </c>
    </row>
    <row r="1558">
      <c r="A1558" s="11" t="n">
        <v>46002</v>
      </c>
      <c r="B1558" s="19" t="n">
        <v>2.579350949518847</v>
      </c>
      <c r="C1558" s="19" t="n">
        <v>2.188741416210696</v>
      </c>
      <c r="D1558" s="19" t="n">
        <v>2.044420442507459</v>
      </c>
      <c r="E1558" s="19" t="n">
        <v>1.535411792275617</v>
      </c>
      <c r="F1558" s="20">
        <f>B1558/B1557-1</f>
        <v/>
      </c>
      <c r="G1558" s="20">
        <f>B1558/MAX(B$2:B1558)-1</f>
        <v/>
      </c>
      <c r="H1558" s="20">
        <f>C1558/C1557-1</f>
        <v/>
      </c>
      <c r="I1558" s="20">
        <f>C1558/MAX(C$2:C1558)-1</f>
        <v/>
      </c>
      <c r="J1558" s="20">
        <f>D1558/D1557-1</f>
        <v/>
      </c>
      <c r="K1558" s="20">
        <f>D1558/MAX(D$2:D1558)-1</f>
        <v/>
      </c>
      <c r="L1558" s="20">
        <f>E1558/E1557-1</f>
        <v/>
      </c>
      <c r="M1558" s="20">
        <f>E1558/MAX(E$2:E1558)-1</f>
        <v/>
      </c>
    </row>
    <row r="1559">
      <c r="A1559" s="11" t="n">
        <v>46003</v>
      </c>
      <c r="B1559" s="19" t="n">
        <v>2.606073431840819</v>
      </c>
      <c r="C1559" s="19" t="n">
        <v>2.205282801781537</v>
      </c>
      <c r="D1559" s="19" t="n">
        <v>2.064248966230442</v>
      </c>
      <c r="E1559" s="19" t="n">
        <v>1.547298176962248</v>
      </c>
      <c r="F1559" s="20">
        <f>B1559/B1558-1</f>
        <v/>
      </c>
      <c r="G1559" s="20">
        <f>B1559/MAX(B$2:B1559)-1</f>
        <v/>
      </c>
      <c r="H1559" s="20">
        <f>C1559/C1558-1</f>
        <v/>
      </c>
      <c r="I1559" s="20">
        <f>C1559/MAX(C$2:C1559)-1</f>
        <v/>
      </c>
      <c r="J1559" s="20">
        <f>D1559/D1558-1</f>
        <v/>
      </c>
      <c r="K1559" s="20">
        <f>D1559/MAX(D$2:D1559)-1</f>
        <v/>
      </c>
      <c r="L1559" s="20">
        <f>E1559/E1558-1</f>
        <v/>
      </c>
      <c r="M1559" s="20">
        <f>E1559/MAX(E$2:E1559)-1</f>
        <v/>
      </c>
    </row>
    <row r="1560">
      <c r="A1560" s="11" t="n">
        <v>46006</v>
      </c>
      <c r="B1560" s="19" t="n">
        <v>2.569874429258872</v>
      </c>
      <c r="C1560" s="19" t="n">
        <v>2.178550513554288</v>
      </c>
      <c r="D1560" s="19" t="n">
        <v>2.027700675109406</v>
      </c>
      <c r="E1560" s="19" t="n">
        <v>1.537484795619651</v>
      </c>
      <c r="F1560" s="20">
        <f>B1560/B1559-1</f>
        <v/>
      </c>
      <c r="G1560" s="20">
        <f>B1560/MAX(B$2:B1560)-1</f>
        <v/>
      </c>
      <c r="H1560" s="20">
        <f>C1560/C1559-1</f>
        <v/>
      </c>
      <c r="I1560" s="20">
        <f>C1560/MAX(C$2:C1560)-1</f>
        <v/>
      </c>
      <c r="J1560" s="20">
        <f>D1560/D1559-1</f>
        <v/>
      </c>
      <c r="K1560" s="20">
        <f>D1560/MAX(D$2:D1560)-1</f>
        <v/>
      </c>
      <c r="L1560" s="20">
        <f>E1560/E1559-1</f>
        <v/>
      </c>
      <c r="M1560" s="20">
        <f>E1560/MAX(E$2:E1560)-1</f>
        <v/>
      </c>
    </row>
    <row r="1561">
      <c r="A1561" s="11" t="n">
        <v>46007</v>
      </c>
      <c r="B1561" s="19" t="n">
        <v>2.516313075599581</v>
      </c>
      <c r="C1561" s="19" t="n">
        <v>2.144022137656648</v>
      </c>
      <c r="D1561" s="19" t="n">
        <v>1.985024889372489</v>
      </c>
      <c r="E1561" s="19" t="n">
        <v>1.515265383857133</v>
      </c>
      <c r="F1561" s="20">
        <f>B1561/B1560-1</f>
        <v/>
      </c>
      <c r="G1561" s="20">
        <f>B1561/MAX(B$2:B1561)-1</f>
        <v/>
      </c>
      <c r="H1561" s="20">
        <f>C1561/C1560-1</f>
        <v/>
      </c>
      <c r="I1561" s="20">
        <f>C1561/MAX(C$2:C1561)-1</f>
        <v/>
      </c>
      <c r="J1561" s="20">
        <f>D1561/D1560-1</f>
        <v/>
      </c>
      <c r="K1561" s="20">
        <f>D1561/MAX(D$2:D1561)-1</f>
        <v/>
      </c>
      <c r="L1561" s="20">
        <f>E1561/E1560-1</f>
        <v/>
      </c>
      <c r="M1561" s="20">
        <f>E1561/MAX(E$2:E1561)-1</f>
        <v/>
      </c>
    </row>
    <row r="1562">
      <c r="A1562" s="11" t="n">
        <v>46008</v>
      </c>
      <c r="B1562" s="19" t="n">
        <v>2.594164938212257</v>
      </c>
      <c r="C1562" s="19" t="n">
        <v>2.18702168815986</v>
      </c>
      <c r="D1562" s="19" t="n">
        <v>2.05232593869326</v>
      </c>
      <c r="E1562" s="19" t="n">
        <v>1.53850548845583</v>
      </c>
      <c r="F1562" s="20">
        <f>B1562/B1561-1</f>
        <v/>
      </c>
      <c r="G1562" s="20">
        <f>B1562/MAX(B$2:B1562)-1</f>
        <v/>
      </c>
      <c r="H1562" s="20">
        <f>C1562/C1561-1</f>
        <v/>
      </c>
      <c r="I1562" s="20">
        <f>C1562/MAX(C$2:C1562)-1</f>
        <v/>
      </c>
      <c r="J1562" s="20">
        <f>D1562/D1561-1</f>
        <v/>
      </c>
      <c r="K1562" s="20">
        <f>D1562/MAX(D$2:D1562)-1</f>
        <v/>
      </c>
      <c r="L1562" s="20">
        <f>E1562/E1561-1</f>
        <v/>
      </c>
      <c r="M1562" s="20">
        <f>E1562/MAX(E$2:E1562)-1</f>
        <v/>
      </c>
    </row>
    <row r="1563">
      <c r="A1563" s="11" t="n">
        <v>46009</v>
      </c>
      <c r="B1563" s="19" t="n">
        <v>2.556965359652722</v>
      </c>
      <c r="C1563" s="19" t="n">
        <v>2.158801130259552</v>
      </c>
      <c r="D1563" s="19" t="n">
        <v>2.007838095748299</v>
      </c>
      <c r="E1563" s="19" t="n">
        <v>1.532760743498849</v>
      </c>
      <c r="F1563" s="20">
        <f>B1563/B1562-1</f>
        <v/>
      </c>
      <c r="G1563" s="20">
        <f>B1563/MAX(B$2:B1563)-1</f>
        <v/>
      </c>
      <c r="H1563" s="20">
        <f>C1563/C1562-1</f>
        <v/>
      </c>
      <c r="I1563" s="20">
        <f>C1563/MAX(C$2:C1563)-1</f>
        <v/>
      </c>
      <c r="J1563" s="20">
        <f>D1563/D1562-1</f>
        <v/>
      </c>
      <c r="K1563" s="20">
        <f>D1563/MAX(D$2:D1563)-1</f>
        <v/>
      </c>
      <c r="L1563" s="20">
        <f>E1563/E1562-1</f>
        <v/>
      </c>
      <c r="M1563" s="20">
        <f>E1563/MAX(E$2:E1563)-1</f>
        <v/>
      </c>
    </row>
    <row r="1564">
      <c r="A1564" s="11" t="n">
        <v>46010</v>
      </c>
      <c r="B1564" s="19" t="n">
        <v>2.578957341728159</v>
      </c>
      <c r="C1564" s="19" t="n">
        <v>2.174332170189248</v>
      </c>
      <c r="D1564" s="19" t="n">
        <v>2.017643405416475</v>
      </c>
      <c r="E1564" s="19" t="n">
        <v>1.545038443369031</v>
      </c>
      <c r="F1564" s="20">
        <f>B1564/B1563-1</f>
        <v/>
      </c>
      <c r="G1564" s="20">
        <f>B1564/MAX(B$2:B1564)-1</f>
        <v/>
      </c>
      <c r="H1564" s="20">
        <f>C1564/C1563-1</f>
        <v/>
      </c>
      <c r="I1564" s="20">
        <f>C1564/MAX(C$2:C1564)-1</f>
        <v/>
      </c>
      <c r="J1564" s="20">
        <f>D1564/D1563-1</f>
        <v/>
      </c>
      <c r="K1564" s="20">
        <f>D1564/MAX(D$2:D1564)-1</f>
        <v/>
      </c>
      <c r="L1564" s="20">
        <f>E1564/E1563-1</f>
        <v/>
      </c>
      <c r="M1564" s="20">
        <f>E1564/MAX(E$2:E1564)-1</f>
        <v/>
      </c>
    </row>
    <row r="1565">
      <c r="A1565" s="11" t="n">
        <v>46013</v>
      </c>
      <c r="B1565" s="19" t="n">
        <v>2.633472601992563</v>
      </c>
      <c r="C1565" s="19" t="n">
        <v>2.201950176323472</v>
      </c>
      <c r="D1565" s="19" t="n">
        <v>2.062715040837363</v>
      </c>
      <c r="E1565" s="19" t="n">
        <v>1.560133463771728</v>
      </c>
      <c r="F1565" s="20">
        <f>B1565/B1564-1</f>
        <v/>
      </c>
      <c r="G1565" s="20">
        <f>B1565/MAX(B$2:B1565)-1</f>
        <v/>
      </c>
      <c r="H1565" s="20">
        <f>C1565/C1564-1</f>
        <v/>
      </c>
      <c r="I1565" s="20">
        <f>C1565/MAX(C$2:C1565)-1</f>
        <v/>
      </c>
      <c r="J1565" s="20">
        <f>D1565/D1564-1</f>
        <v/>
      </c>
      <c r="K1565" s="20">
        <f>D1565/MAX(D$2:D1565)-1</f>
        <v/>
      </c>
      <c r="L1565" s="20">
        <f>E1565/E1564-1</f>
        <v/>
      </c>
      <c r="M1565" s="20">
        <f>E1565/MAX(E$2:E1565)-1</f>
        <v/>
      </c>
    </row>
    <row r="1566">
      <c r="A1566" s="11" t="n">
        <v>46014</v>
      </c>
      <c r="B1566" s="19" t="n">
        <v>2.631884121755544</v>
      </c>
      <c r="C1566" s="19" t="n">
        <v>2.199244104653626</v>
      </c>
      <c r="D1566" s="19" t="n">
        <v>2.071132599407406</v>
      </c>
      <c r="E1566" s="19" t="n">
        <v>1.559160383429364</v>
      </c>
      <c r="F1566" s="20">
        <f>B1566/B1565-1</f>
        <v/>
      </c>
      <c r="G1566" s="20">
        <f>B1566/MAX(B$2:B1566)-1</f>
        <v/>
      </c>
      <c r="H1566" s="20">
        <f>C1566/C1565-1</f>
        <v/>
      </c>
      <c r="I1566" s="20">
        <f>C1566/MAX(C$2:C1566)-1</f>
        <v/>
      </c>
      <c r="J1566" s="20">
        <f>D1566/D1565-1</f>
        <v/>
      </c>
      <c r="K1566" s="20">
        <f>D1566/MAX(D$2:D1566)-1</f>
        <v/>
      </c>
      <c r="L1566" s="20">
        <f>E1566/E1565-1</f>
        <v/>
      </c>
      <c r="M1566" s="20">
        <f>E1566/MAX(E$2:E1566)-1</f>
        <v/>
      </c>
    </row>
    <row r="1567">
      <c r="A1567" s="11" t="n">
        <v>46015</v>
      </c>
      <c r="B1567" s="19" t="n">
        <v>2.655254085765312</v>
      </c>
      <c r="C1567" s="19" t="n">
        <v>2.217097809202202</v>
      </c>
      <c r="D1567" s="19" t="n">
        <v>2.087007825753003</v>
      </c>
      <c r="E1567" s="19" t="n">
        <v>1.573039425376715</v>
      </c>
      <c r="F1567" s="20">
        <f>B1567/B1566-1</f>
        <v/>
      </c>
      <c r="G1567" s="20">
        <f>B1567/MAX(B$2:B1567)-1</f>
        <v/>
      </c>
      <c r="H1567" s="20">
        <f>C1567/C1566-1</f>
        <v/>
      </c>
      <c r="I1567" s="20">
        <f>C1567/MAX(C$2:C1567)-1</f>
        <v/>
      </c>
      <c r="J1567" s="20">
        <f>D1567/D1566-1</f>
        <v/>
      </c>
      <c r="K1567" s="20">
        <f>D1567/MAX(D$2:D1567)-1</f>
        <v/>
      </c>
      <c r="L1567" s="20">
        <f>E1567/E1566-1</f>
        <v/>
      </c>
      <c r="M1567" s="20">
        <f>E1567/MAX(E$2:E1567)-1</f>
        <v/>
      </c>
    </row>
    <row r="1568">
      <c r="A1568" s="11" t="n">
        <v>46016</v>
      </c>
      <c r="B1568" s="19" t="n">
        <v>2.663954260662606</v>
      </c>
      <c r="C1568" s="19" t="n">
        <v>2.232686569425608</v>
      </c>
      <c r="D1568" s="19" t="n">
        <v>2.093318652143757</v>
      </c>
      <c r="E1568" s="19" t="n">
        <v>1.582498316823949</v>
      </c>
      <c r="F1568" s="20">
        <f>B1568/B1567-1</f>
        <v/>
      </c>
      <c r="G1568" s="20">
        <f>B1568/MAX(B$2:B1568)-1</f>
        <v/>
      </c>
      <c r="H1568" s="20">
        <f>C1568/C1567-1</f>
        <v/>
      </c>
      <c r="I1568" s="20">
        <f>C1568/MAX(C$2:C1568)-1</f>
        <v/>
      </c>
      <c r="J1568" s="20">
        <f>D1568/D1567-1</f>
        <v/>
      </c>
      <c r="K1568" s="20">
        <f>D1568/MAX(D$2:D1568)-1</f>
        <v/>
      </c>
      <c r="L1568" s="20">
        <f>E1568/E1567-1</f>
        <v/>
      </c>
      <c r="M1568" s="20">
        <f>E1568/MAX(E$2:E1568)-1</f>
        <v/>
      </c>
    </row>
    <row r="1569">
      <c r="A1569" s="11" t="n">
        <v>46017</v>
      </c>
      <c r="B1569" s="19" t="n">
        <v>2.673740099209521</v>
      </c>
      <c r="C1569" s="19" t="n">
        <v>2.238359416091889</v>
      </c>
      <c r="D1569" s="19" t="n">
        <v>2.096247760130955</v>
      </c>
      <c r="E1569" s="19" t="n">
        <v>1.587808225802252</v>
      </c>
      <c r="F1569" s="20">
        <f>B1569/B1568-1</f>
        <v/>
      </c>
      <c r="G1569" s="20">
        <f>B1569/MAX(B$2:B1569)-1</f>
        <v/>
      </c>
      <c r="H1569" s="20">
        <f>C1569/C1568-1</f>
        <v/>
      </c>
      <c r="I1569" s="20">
        <f>C1569/MAX(C$2:C1569)-1</f>
        <v/>
      </c>
      <c r="J1569" s="20">
        <f>D1569/D1568-1</f>
        <v/>
      </c>
      <c r="K1569" s="20">
        <f>D1569/MAX(D$2:D1569)-1</f>
        <v/>
      </c>
      <c r="L1569" s="20">
        <f>E1569/E1568-1</f>
        <v/>
      </c>
      <c r="M1569" s="20">
        <f>E1569/MAX(E$2:E1569)-1</f>
        <v/>
      </c>
    </row>
    <row r="1570">
      <c r="A1570" s="11" t="n">
        <v>46020</v>
      </c>
      <c r="B1570" s="19" t="n">
        <v>2.660470641582381</v>
      </c>
      <c r="C1570" s="19" t="n">
        <v>2.225148250966875</v>
      </c>
      <c r="D1570" s="19" t="n">
        <v>2.082506019350194</v>
      </c>
      <c r="E1570" s="19" t="n">
        <v>1.583346042397438</v>
      </c>
      <c r="F1570" s="20">
        <f>B1570/B1569-1</f>
        <v/>
      </c>
      <c r="G1570" s="20">
        <f>B1570/MAX(B$2:B1570)-1</f>
        <v/>
      </c>
      <c r="H1570" s="20">
        <f>C1570/C1569-1</f>
        <v/>
      </c>
      <c r="I1570" s="20">
        <f>C1570/MAX(C$2:C1570)-1</f>
        <v/>
      </c>
      <c r="J1570" s="20">
        <f>D1570/D1569-1</f>
        <v/>
      </c>
      <c r="K1570" s="20">
        <f>D1570/MAX(D$2:D1570)-1</f>
        <v/>
      </c>
      <c r="L1570" s="20">
        <f>E1570/E1569-1</f>
        <v/>
      </c>
      <c r="M1570" s="20">
        <f>E1570/MAX(E$2:E1570)-1</f>
        <v/>
      </c>
    </row>
    <row r="1571">
      <c r="A1571" s="11" t="n">
        <v>46021</v>
      </c>
      <c r="B1571" s="19" t="n">
        <v>2.670037985180216</v>
      </c>
      <c r="C1571" s="19" t="n">
        <v>2.228312285067063</v>
      </c>
      <c r="D1571" s="19" t="n">
        <v>2.09562021876127</v>
      </c>
      <c r="E1571" s="19" t="n">
        <v>1.585242358752701</v>
      </c>
      <c r="F1571" s="20">
        <f>B1571/B1570-1</f>
        <v/>
      </c>
      <c r="G1571" s="20">
        <f>B1571/MAX(B$2:B1571)-1</f>
        <v/>
      </c>
      <c r="H1571" s="20">
        <f>C1571/C1570-1</f>
        <v/>
      </c>
      <c r="I1571" s="20">
        <f>C1571/MAX(C$2:C1571)-1</f>
        <v/>
      </c>
      <c r="J1571" s="20">
        <f>D1571/D1570-1</f>
        <v/>
      </c>
      <c r="K1571" s="20">
        <f>D1571/MAX(D$2:D1571)-1</f>
        <v/>
      </c>
      <c r="L1571" s="20">
        <f>E1571/E1570-1</f>
        <v/>
      </c>
      <c r="M1571" s="20">
        <f>E1571/MAX(E$2:E1571)-1</f>
        <v/>
      </c>
    </row>
    <row r="1572">
      <c r="A1572" s="11" t="n">
        <v>46022</v>
      </c>
      <c r="B1572" s="19" t="n">
        <v>2.662740201983316</v>
      </c>
      <c r="C1572" s="19" t="n">
        <v>2.219428266060731</v>
      </c>
      <c r="D1572" s="19" t="n">
        <v>2.069944141645089</v>
      </c>
      <c r="E1572" s="19" t="n">
        <v>1.582644502058869</v>
      </c>
      <c r="F1572" s="20">
        <f>B1572/B1571-1</f>
        <v/>
      </c>
      <c r="G1572" s="20">
        <f>B1572/MAX(B$2:B1572)-1</f>
        <v/>
      </c>
      <c r="H1572" s="20">
        <f>C1572/C1571-1</f>
        <v/>
      </c>
      <c r="I1572" s="20">
        <f>C1572/MAX(C$2:C1572)-1</f>
        <v/>
      </c>
      <c r="J1572" s="20">
        <f>D1572/D1571-1</f>
        <v/>
      </c>
      <c r="K1572" s="20">
        <f>D1572/MAX(D$2:D1572)-1</f>
        <v/>
      </c>
      <c r="L1572" s="20">
        <f>E1572/E1571-1</f>
        <v/>
      </c>
      <c r="M1572" s="20">
        <f>E1572/MAX(E$2:E1572)-1</f>
        <v/>
      </c>
    </row>
    <row r="1573">
      <c r="A1573" s="11" t="n">
        <v>46027</v>
      </c>
      <c r="B1573" s="19" t="n">
        <v>2.726676622782285</v>
      </c>
      <c r="C1573" s="19" t="n">
        <v>2.293106874174329</v>
      </c>
      <c r="D1573" s="19" t="n">
        <v>2.12899519647486</v>
      </c>
      <c r="E1573" s="19" t="n">
        <v>1.614158021403304</v>
      </c>
      <c r="F1573" s="20">
        <f>B1573/B1572-1</f>
        <v/>
      </c>
      <c r="G1573" s="20">
        <f>B1573/MAX(B$2:B1573)-1</f>
        <v/>
      </c>
      <c r="H1573" s="20">
        <f>C1573/C1572-1</f>
        <v/>
      </c>
      <c r="I1573" s="20">
        <f>C1573/MAX(C$2:C1573)-1</f>
        <v/>
      </c>
      <c r="J1573" s="20">
        <f>D1573/D1572-1</f>
        <v/>
      </c>
      <c r="K1573" s="20">
        <f>D1573/MAX(D$2:D1573)-1</f>
        <v/>
      </c>
      <c r="L1573" s="20">
        <f>E1573/E1572-1</f>
        <v/>
      </c>
      <c r="M1573" s="20">
        <f>E1573/MAX(E$2:E1573)-1</f>
        <v/>
      </c>
    </row>
    <row r="1574">
      <c r="A1574" s="11" t="n">
        <v>46028</v>
      </c>
      <c r="B1574" s="19" t="n">
        <v>2.766377528202558</v>
      </c>
      <c r="C1574" s="19" t="n">
        <v>2.336006376168445</v>
      </c>
      <c r="D1574" s="19" t="n">
        <v>2.144982670720688</v>
      </c>
      <c r="E1574" s="19" t="n">
        <v>1.639848309570483</v>
      </c>
      <c r="F1574" s="20">
        <f>B1574/B1573-1</f>
        <v/>
      </c>
      <c r="G1574" s="20">
        <f>B1574/MAX(B$2:B1574)-1</f>
        <v/>
      </c>
      <c r="H1574" s="20">
        <f>C1574/C1573-1</f>
        <v/>
      </c>
      <c r="I1574" s="20">
        <f>C1574/MAX(C$2:C1574)-1</f>
        <v/>
      </c>
      <c r="J1574" s="20">
        <f>D1574/D1573-1</f>
        <v/>
      </c>
      <c r="K1574" s="20">
        <f>D1574/MAX(D$2:D1574)-1</f>
        <v/>
      </c>
      <c r="L1574" s="20">
        <f>E1574/E1573-1</f>
        <v/>
      </c>
      <c r="M1574" s="20">
        <f>E1574/MAX(E$2:E1574)-1</f>
        <v/>
      </c>
    </row>
    <row r="1575">
      <c r="A1575" s="11" t="n">
        <v>46029</v>
      </c>
      <c r="B1575" s="19" t="n">
        <v>2.786584330689252</v>
      </c>
      <c r="C1575" s="19" t="n">
        <v>2.350819135143169</v>
      </c>
      <c r="D1575" s="19" t="n">
        <v>2.151704103420058</v>
      </c>
      <c r="E1575" s="19" t="n">
        <v>1.642392974181381</v>
      </c>
      <c r="F1575" s="20">
        <f>B1575/B1574-1</f>
        <v/>
      </c>
      <c r="G1575" s="20">
        <f>B1575/MAX(B$2:B1575)-1</f>
        <v/>
      </c>
      <c r="H1575" s="20">
        <f>C1575/C1574-1</f>
        <v/>
      </c>
      <c r="I1575" s="20">
        <f>C1575/MAX(C$2:C1575)-1</f>
        <v/>
      </c>
      <c r="J1575" s="20">
        <f>D1575/D1574-1</f>
        <v/>
      </c>
      <c r="K1575" s="20">
        <f>D1575/MAX(D$2:D1575)-1</f>
        <v/>
      </c>
      <c r="L1575" s="20">
        <f>E1575/E1574-1</f>
        <v/>
      </c>
      <c r="M1575" s="20">
        <f>E1575/MAX(E$2:E1575)-1</f>
        <v/>
      </c>
    </row>
    <row r="1576">
      <c r="A1576" s="11" t="n">
        <v>46030</v>
      </c>
      <c r="B1576" s="19" t="n">
        <v>2.775836348052658</v>
      </c>
      <c r="C1576" s="19" t="n">
        <v>2.352904328853677</v>
      </c>
      <c r="D1576" s="19" t="n">
        <v>2.134006868123968</v>
      </c>
      <c r="E1576" s="19" t="n">
        <v>1.643646149897522</v>
      </c>
      <c r="F1576" s="20">
        <f>B1576/B1575-1</f>
        <v/>
      </c>
      <c r="G1576" s="20">
        <f>B1576/MAX(B$2:B1576)-1</f>
        <v/>
      </c>
      <c r="H1576" s="20">
        <f>C1576/C1575-1</f>
        <v/>
      </c>
      <c r="I1576" s="20">
        <f>C1576/MAX(C$2:C1576)-1</f>
        <v/>
      </c>
      <c r="J1576" s="20">
        <f>D1576/D1575-1</f>
        <v/>
      </c>
      <c r="K1576" s="20">
        <f>D1576/MAX(D$2:D1576)-1</f>
        <v/>
      </c>
      <c r="L1576" s="20">
        <f>E1576/E1575-1</f>
        <v/>
      </c>
      <c r="M1576" s="20">
        <f>E1576/MAX(E$2:E1576)-1</f>
        <v/>
      </c>
    </row>
    <row r="1577">
      <c r="A1577" s="11" t="n">
        <v>46031</v>
      </c>
      <c r="B1577" s="19" t="n">
        <v>2.815237496527978</v>
      </c>
      <c r="C1577" s="19" t="n">
        <v>2.391596791040271</v>
      </c>
      <c r="D1577" s="19" t="n">
        <v>2.150489280002419</v>
      </c>
      <c r="E1577" s="19" t="n">
        <v>1.663093621785692</v>
      </c>
      <c r="F1577" s="20">
        <f>B1577/B1576-1</f>
        <v/>
      </c>
      <c r="G1577" s="20">
        <f>B1577/MAX(B$2:B1577)-1</f>
        <v/>
      </c>
      <c r="H1577" s="20">
        <f>C1577/C1576-1</f>
        <v/>
      </c>
      <c r="I1577" s="20">
        <f>C1577/MAX(C$2:C1577)-1</f>
        <v/>
      </c>
      <c r="J1577" s="20">
        <f>D1577/D1576-1</f>
        <v/>
      </c>
      <c r="K1577" s="20">
        <f>D1577/MAX(D$2:D1577)-1</f>
        <v/>
      </c>
      <c r="L1577" s="20">
        <f>E1577/E1576-1</f>
        <v/>
      </c>
      <c r="M1577" s="20">
        <f>E1577/MAX(E$2:E1577)-1</f>
        <v/>
      </c>
    </row>
    <row r="1578">
      <c r="A1578" s="11" t="n">
        <v>46034</v>
      </c>
      <c r="B1578" s="19" t="n">
        <v>2.87038087896617</v>
      </c>
      <c r="C1578" s="19" t="n">
        <v>2.449168599294417</v>
      </c>
      <c r="D1578" s="19" t="n">
        <v>2.189603505132935</v>
      </c>
      <c r="E1578" s="19" t="n">
        <v>1.691798375967594</v>
      </c>
      <c r="F1578" s="20">
        <f>B1578/B1577-1</f>
        <v/>
      </c>
      <c r="G1578" s="20">
        <f>B1578/MAX(B$2:B1578)-1</f>
        <v/>
      </c>
      <c r="H1578" s="20">
        <f>C1578/C1577-1</f>
        <v/>
      </c>
      <c r="I1578" s="20">
        <f>C1578/MAX(C$2:C1578)-1</f>
        <v/>
      </c>
      <c r="J1578" s="20">
        <f>D1578/D1577-1</f>
        <v/>
      </c>
      <c r="K1578" s="20">
        <f>D1578/MAX(D$2:D1578)-1</f>
        <v/>
      </c>
      <c r="L1578" s="20">
        <f>E1578/E1577-1</f>
        <v/>
      </c>
      <c r="M1578" s="20">
        <f>E1578/MAX(E$2:E1578)-1</f>
        <v/>
      </c>
    </row>
    <row r="1579">
      <c r="A1579" s="11" t="n">
        <v>46035</v>
      </c>
      <c r="B1579" s="19" t="n">
        <v>2.831184800702305</v>
      </c>
      <c r="C1579" s="19" t="n">
        <v>2.416968419543803</v>
      </c>
      <c r="D1579" s="19" t="n">
        <v>2.1466610256227</v>
      </c>
      <c r="E1579" s="19" t="n">
        <v>1.671786621633183</v>
      </c>
      <c r="F1579" s="20">
        <f>B1579/B1578-1</f>
        <v/>
      </c>
      <c r="G1579" s="20">
        <f>B1579/MAX(B$2:B1579)-1</f>
        <v/>
      </c>
      <c r="H1579" s="20">
        <f>C1579/C1578-1</f>
        <v/>
      </c>
      <c r="I1579" s="20">
        <f>C1579/MAX(C$2:C1579)-1</f>
        <v/>
      </c>
      <c r="J1579" s="20">
        <f>D1579/D1578-1</f>
        <v/>
      </c>
      <c r="K1579" s="20">
        <f>D1579/MAX(D$2:D1579)-1</f>
        <v/>
      </c>
      <c r="L1579" s="20">
        <f>E1579/E1578-1</f>
        <v/>
      </c>
      <c r="M1579" s="20">
        <f>E1579/MAX(E$2:E1579)-1</f>
        <v/>
      </c>
    </row>
    <row r="1580">
      <c r="A1580" s="11" t="n">
        <v>46036</v>
      </c>
      <c r="B1580" s="19" t="n">
        <v>2.857858473804879</v>
      </c>
      <c r="C1580" s="19" t="n">
        <v>2.434932947056301</v>
      </c>
      <c r="D1580" s="19" t="n">
        <v>2.164269793805713</v>
      </c>
      <c r="E1580" s="19" t="n">
        <v>1.67692802702009</v>
      </c>
      <c r="F1580" s="20">
        <f>B1580/B1579-1</f>
        <v/>
      </c>
      <c r="G1580" s="20">
        <f>B1580/MAX(B$2:B1580)-1</f>
        <v/>
      </c>
      <c r="H1580" s="20">
        <f>C1580/C1579-1</f>
        <v/>
      </c>
      <c r="I1580" s="20">
        <f>C1580/MAX(C$2:C1580)-1</f>
        <v/>
      </c>
      <c r="J1580" s="20">
        <f>D1580/D1579-1</f>
        <v/>
      </c>
      <c r="K1580" s="20">
        <f>D1580/MAX(D$2:D1580)-1</f>
        <v/>
      </c>
      <c r="L1580" s="20">
        <f>E1580/E1579-1</f>
        <v/>
      </c>
      <c r="M1580" s="20">
        <f>E1580/MAX(E$2:E1580)-1</f>
        <v/>
      </c>
    </row>
    <row r="1581">
      <c r="A1581" s="11" t="n">
        <v>46037</v>
      </c>
      <c r="B1581" s="19" t="n">
        <v>2.845665447480673</v>
      </c>
      <c r="C1581" s="19" t="n">
        <v>2.446862240658512</v>
      </c>
      <c r="D1581" s="19" t="n">
        <v>2.176405103641259</v>
      </c>
      <c r="E1581" s="19" t="n">
        <v>1.67408801615849</v>
      </c>
      <c r="F1581" s="20">
        <f>B1581/B1580-1</f>
        <v/>
      </c>
      <c r="G1581" s="20">
        <f>B1581/MAX(B$2:B1581)-1</f>
        <v/>
      </c>
      <c r="H1581" s="20">
        <f>C1581/C1580-1</f>
        <v/>
      </c>
      <c r="I1581" s="20">
        <f>C1581/MAX(C$2:C1581)-1</f>
        <v/>
      </c>
      <c r="J1581" s="20">
        <f>D1581/D1580-1</f>
        <v/>
      </c>
      <c r="K1581" s="20">
        <f>D1581/MAX(D$2:D1581)-1</f>
        <v/>
      </c>
      <c r="L1581" s="20">
        <f>E1581/E1580-1</f>
        <v/>
      </c>
      <c r="M1581" s="20">
        <f>E1581/MAX(E$2:E1581)-1</f>
        <v/>
      </c>
    </row>
    <row r="1582">
      <c r="A1582" s="11" t="n">
        <v>46038</v>
      </c>
      <c r="B1582" s="19" t="n">
        <v>2.85198157081164</v>
      </c>
      <c r="C1582" s="19" t="n">
        <v>2.459880956704248</v>
      </c>
      <c r="D1582" s="19" t="n">
        <v>2.171946270671756</v>
      </c>
      <c r="E1582" s="19" t="n">
        <v>1.671526612780235</v>
      </c>
      <c r="F1582" s="20">
        <f>B1582/B1581-1</f>
        <v/>
      </c>
      <c r="G1582" s="20">
        <f>B1582/MAX(B$2:B1582)-1</f>
        <v/>
      </c>
      <c r="H1582" s="20">
        <f>C1582/C1581-1</f>
        <v/>
      </c>
      <c r="I1582" s="20">
        <f>C1582/MAX(C$2:C1582)-1</f>
        <v/>
      </c>
      <c r="J1582" s="20">
        <f>D1582/D1581-1</f>
        <v/>
      </c>
      <c r="K1582" s="20">
        <f>D1582/MAX(D$2:D1582)-1</f>
        <v/>
      </c>
      <c r="L1582" s="20">
        <f>E1582/E1581-1</f>
        <v/>
      </c>
      <c r="M1582" s="20">
        <f>E1582/MAX(E$2:E1582)-1</f>
        <v/>
      </c>
    </row>
    <row r="1583">
      <c r="A1583" s="11" t="n">
        <v>46041</v>
      </c>
      <c r="B1583" s="19" t="n">
        <v>2.856651625567982</v>
      </c>
      <c r="C1583" s="19" t="n">
        <v>2.480766131078458</v>
      </c>
      <c r="D1583" s="19" t="n">
        <v>2.156819234417623</v>
      </c>
      <c r="E1583" s="19" t="n">
        <v>1.678274195888215</v>
      </c>
      <c r="F1583" s="20">
        <f>B1583/B1582-1</f>
        <v/>
      </c>
      <c r="G1583" s="20">
        <f>B1583/MAX(B$2:B1583)-1</f>
        <v/>
      </c>
      <c r="H1583" s="20">
        <f>C1583/C1582-1</f>
        <v/>
      </c>
      <c r="I1583" s="20">
        <f>C1583/MAX(C$2:C1583)-1</f>
        <v/>
      </c>
      <c r="J1583" s="20">
        <f>D1583/D1582-1</f>
        <v/>
      </c>
      <c r="K1583" s="20">
        <f>D1583/MAX(D$2:D1583)-1</f>
        <v/>
      </c>
      <c r="L1583" s="20">
        <f>E1583/E1582-1</f>
        <v/>
      </c>
      <c r="M1583" s="20">
        <f>E1583/MAX(E$2:E1583)-1</f>
        <v/>
      </c>
    </row>
    <row r="1584">
      <c r="A1584" s="11" t="n">
        <v>46042</v>
      </c>
      <c r="B1584" s="19" t="n">
        <v>2.799049030860776</v>
      </c>
      <c r="C1584" s="19" t="n">
        <v>2.443479109943451</v>
      </c>
      <c r="D1584" s="19" t="n">
        <v>2.118285893786345</v>
      </c>
      <c r="E1584" s="19" t="n">
        <v>1.668496151943371</v>
      </c>
      <c r="F1584" s="20">
        <f>B1584/B1583-1</f>
        <v/>
      </c>
      <c r="G1584" s="20">
        <f>B1584/MAX(B$2:B1584)-1</f>
        <v/>
      </c>
      <c r="H1584" s="20">
        <f>C1584/C1583-1</f>
        <v/>
      </c>
      <c r="I1584" s="20">
        <f>C1584/MAX(C$2:C1584)-1</f>
        <v/>
      </c>
      <c r="J1584" s="20">
        <f>D1584/D1583-1</f>
        <v/>
      </c>
      <c r="K1584" s="20">
        <f>D1584/MAX(D$2:D1584)-1</f>
        <v/>
      </c>
      <c r="L1584" s="20">
        <f>E1584/E1583-1</f>
        <v/>
      </c>
      <c r="M1584" s="20">
        <f>E1584/MAX(E$2:E1584)-1</f>
        <v/>
      </c>
    </row>
    <row r="1585">
      <c r="A1585" s="11" t="n">
        <v>46043</v>
      </c>
      <c r="B1585" s="19" t="n">
        <v>2.818393778095612</v>
      </c>
      <c r="C1585" s="19" t="n">
        <v>2.456949487287466</v>
      </c>
      <c r="D1585" s="19" t="n">
        <v>2.129622867087953</v>
      </c>
      <c r="E1585" s="19" t="n">
        <v>1.677930865171089</v>
      </c>
      <c r="F1585" s="20">
        <f>B1585/B1584-1</f>
        <v/>
      </c>
      <c r="G1585" s="20">
        <f>B1585/MAX(B$2:B1585)-1</f>
        <v/>
      </c>
      <c r="H1585" s="20">
        <f>C1585/C1584-1</f>
        <v/>
      </c>
      <c r="I1585" s="20">
        <f>C1585/MAX(C$2:C1585)-1</f>
        <v/>
      </c>
      <c r="J1585" s="20">
        <f>D1585/D1584-1</f>
        <v/>
      </c>
      <c r="K1585" s="20">
        <f>D1585/MAX(D$2:D1585)-1</f>
        <v/>
      </c>
      <c r="L1585" s="20">
        <f>E1585/E1584-1</f>
        <v/>
      </c>
      <c r="M1585" s="20">
        <f>E1585/MAX(E$2:E1585)-1</f>
        <v/>
      </c>
    </row>
    <row r="1586">
      <c r="A1586" s="11" t="n">
        <v>46044</v>
      </c>
      <c r="B1586" s="19" t="n">
        <v>2.837402015840841</v>
      </c>
      <c r="C1586" s="19" t="n">
        <v>2.447232564442904</v>
      </c>
      <c r="D1586" s="19" t="n">
        <v>2.151028483502435</v>
      </c>
      <c r="E1586" s="19" t="n">
        <v>1.685201069793221</v>
      </c>
      <c r="F1586" s="20">
        <f>B1586/B1585-1</f>
        <v/>
      </c>
      <c r="G1586" s="20">
        <f>B1586/MAX(B$2:B1586)-1</f>
        <v/>
      </c>
      <c r="H1586" s="20">
        <f>C1586/C1585-1</f>
        <v/>
      </c>
      <c r="I1586" s="20">
        <f>C1586/MAX(C$2:C1586)-1</f>
        <v/>
      </c>
      <c r="J1586" s="20">
        <f>D1586/D1585-1</f>
        <v/>
      </c>
      <c r="K1586" s="20">
        <f>D1586/MAX(D$2:D1586)-1</f>
        <v/>
      </c>
      <c r="L1586" s="20">
        <f>E1586/E1585-1</f>
        <v/>
      </c>
      <c r="M1586" s="20">
        <f>E1586/MAX(E$2:E1586)-1</f>
        <v/>
      </c>
    </row>
    <row r="1587">
      <c r="A1587" s="11" t="n">
        <v>46045</v>
      </c>
      <c r="B1587" s="19" t="n">
        <v>2.900394309106005</v>
      </c>
      <c r="C1587" s="19" t="n">
        <v>2.491103643280889</v>
      </c>
      <c r="D1587" s="19" t="n">
        <v>2.164506179999751</v>
      </c>
      <c r="E1587" s="19" t="n">
        <v>1.701552241692922</v>
      </c>
      <c r="F1587" s="20">
        <f>B1587/B1586-1</f>
        <v/>
      </c>
      <c r="G1587" s="20">
        <f>B1587/MAX(B$2:B1587)-1</f>
        <v/>
      </c>
      <c r="H1587" s="20">
        <f>C1587/C1586-1</f>
        <v/>
      </c>
      <c r="I1587" s="20">
        <f>C1587/MAX(C$2:C1587)-1</f>
        <v/>
      </c>
      <c r="J1587" s="20">
        <f>D1587/D1586-1</f>
        <v/>
      </c>
      <c r="K1587" s="20">
        <f>D1587/MAX(D$2:D1587)-1</f>
        <v/>
      </c>
      <c r="L1587" s="20">
        <f>E1587/E1586-1</f>
        <v/>
      </c>
      <c r="M1587" s="20">
        <f>E1587/MAX(E$2:E1587)-1</f>
        <v/>
      </c>
    </row>
    <row r="1588">
      <c r="A1588" s="11" t="n">
        <v>46048</v>
      </c>
      <c r="B1588" s="19" t="n">
        <v>2.865488022371046</v>
      </c>
      <c r="C1588" s="19" t="n">
        <v>2.451018342306835</v>
      </c>
      <c r="D1588" s="19" t="n">
        <v>2.144890584792174</v>
      </c>
      <c r="E1588" s="19" t="n">
        <v>1.689790095857341</v>
      </c>
      <c r="F1588" s="20">
        <f>B1588/B1587-1</f>
        <v/>
      </c>
      <c r="G1588" s="20">
        <f>B1588/MAX(B$2:B1588)-1</f>
        <v/>
      </c>
      <c r="H1588" s="20">
        <f>C1588/C1587-1</f>
        <v/>
      </c>
      <c r="I1588" s="20">
        <f>C1588/MAX(C$2:C1588)-1</f>
        <v/>
      </c>
      <c r="J1588" s="20">
        <f>D1588/D1587-1</f>
        <v/>
      </c>
      <c r="K1588" s="20">
        <f>D1588/MAX(D$2:D1588)-1</f>
        <v/>
      </c>
      <c r="L1588" s="20">
        <f>E1588/E1587-1</f>
        <v/>
      </c>
      <c r="M1588" s="20">
        <f>E1588/MAX(E$2:E1588)-1</f>
        <v/>
      </c>
    </row>
    <row r="1589">
      <c r="A1589" s="11" t="n">
        <v>46049</v>
      </c>
      <c r="B1589" s="19" t="n">
        <v>2.881987091504493</v>
      </c>
      <c r="C1589" s="19" t="n">
        <v>2.456473102463382</v>
      </c>
      <c r="D1589" s="19" t="n">
        <v>2.160044503675262</v>
      </c>
      <c r="E1589" s="19" t="n">
        <v>1.692124595944755</v>
      </c>
      <c r="F1589" s="20">
        <f>B1589/B1588-1</f>
        <v/>
      </c>
      <c r="G1589" s="20">
        <f>B1589/MAX(B$2:B1589)-1</f>
        <v/>
      </c>
      <c r="H1589" s="20">
        <f>C1589/C1588-1</f>
        <v/>
      </c>
      <c r="I1589" s="20">
        <f>C1589/MAX(C$2:C1589)-1</f>
        <v/>
      </c>
      <c r="J1589" s="20">
        <f>D1589/D1588-1</f>
        <v/>
      </c>
      <c r="K1589" s="20">
        <f>D1589/MAX(D$2:D1589)-1</f>
        <v/>
      </c>
      <c r="L1589" s="20">
        <f>E1589/E1588-1</f>
        <v/>
      </c>
      <c r="M1589" s="20">
        <f>E1589/MAX(E$2:E1589)-1</f>
        <v/>
      </c>
    </row>
    <row r="1590">
      <c r="A1590" s="11" t="n">
        <v>46050</v>
      </c>
      <c r="B1590" s="19" t="n">
        <v>2.899329563172523</v>
      </c>
      <c r="C1590" s="19" t="n">
        <v>2.442797288974005</v>
      </c>
      <c r="D1590" s="19" t="n">
        <v>2.147742340599419</v>
      </c>
      <c r="E1590" s="19" t="n">
        <v>1.693929779011074</v>
      </c>
      <c r="F1590" s="20">
        <f>B1590/B1589-1</f>
        <v/>
      </c>
      <c r="G1590" s="20">
        <f>B1590/MAX(B$2:B1590)-1</f>
        <v/>
      </c>
      <c r="H1590" s="20">
        <f>C1590/C1589-1</f>
        <v/>
      </c>
      <c r="I1590" s="20">
        <f>C1590/MAX(C$2:C1590)-1</f>
        <v/>
      </c>
      <c r="J1590" s="20">
        <f>D1590/D1589-1</f>
        <v/>
      </c>
      <c r="K1590" s="20">
        <f>D1590/MAX(D$2:D1590)-1</f>
        <v/>
      </c>
      <c r="L1590" s="20">
        <f>E1590/E1589-1</f>
        <v/>
      </c>
      <c r="M1590" s="20">
        <f>E1590/MAX(E$2:E1590)-1</f>
        <v/>
      </c>
    </row>
    <row r="1591">
      <c r="A1591" s="11" t="n">
        <v>46051</v>
      </c>
      <c r="B1591" s="19" t="n">
        <v>2.870315299697984</v>
      </c>
      <c r="C1591" s="19" t="n">
        <v>2.398981573517737</v>
      </c>
      <c r="D1591" s="19" t="n">
        <v>2.135430871998168</v>
      </c>
      <c r="E1591" s="19" t="n">
        <v>1.689885320844973</v>
      </c>
      <c r="F1591" s="20">
        <f>B1591/B1590-1</f>
        <v/>
      </c>
      <c r="G1591" s="20">
        <f>B1591/MAX(B$2:B1591)-1</f>
        <v/>
      </c>
      <c r="H1591" s="20">
        <f>C1591/C1590-1</f>
        <v/>
      </c>
      <c r="I1591" s="20">
        <f>C1591/MAX(C$2:C1591)-1</f>
        <v/>
      </c>
      <c r="J1591" s="20">
        <f>D1591/D1590-1</f>
        <v/>
      </c>
      <c r="K1591" s="20">
        <f>D1591/MAX(D$2:D1591)-1</f>
        <v/>
      </c>
      <c r="L1591" s="20">
        <f>E1591/E1590-1</f>
        <v/>
      </c>
      <c r="M1591" s="20">
        <f>E1591/MAX(E$2:E1591)-1</f>
        <v/>
      </c>
    </row>
    <row r="1592">
      <c r="A1592" s="11" t="n">
        <v>46052</v>
      </c>
      <c r="B1592" s="19" t="n">
        <v>2.827506377450534</v>
      </c>
      <c r="C1592" s="19" t="n">
        <v>2.371513976848871</v>
      </c>
      <c r="D1592" s="19" t="n">
        <v>2.162471759507484</v>
      </c>
      <c r="E1592" s="19" t="n">
        <v>1.674288509394168</v>
      </c>
      <c r="F1592" s="20">
        <f>B1592/B1591-1</f>
        <v/>
      </c>
      <c r="G1592" s="20">
        <f>B1592/MAX(B$2:B1592)-1</f>
        <v/>
      </c>
      <c r="H1592" s="20">
        <f>C1592/C1591-1</f>
        <v/>
      </c>
      <c r="I1592" s="20">
        <f>C1592/MAX(C$2:C1592)-1</f>
        <v/>
      </c>
      <c r="J1592" s="20">
        <f>D1592/D1591-1</f>
        <v/>
      </c>
      <c r="K1592" s="20">
        <f>D1592/MAX(D$2:D1592)-1</f>
        <v/>
      </c>
      <c r="L1592" s="20">
        <f>E1592/E1591-1</f>
        <v/>
      </c>
      <c r="M1592" s="20">
        <f>E1592/MAX(E$2:E1592)-1</f>
        <v/>
      </c>
    </row>
    <row r="1593">
      <c r="A1593" s="11" t="n">
        <v>46055</v>
      </c>
      <c r="B1593" s="19" t="n">
        <v>2.7328564950684</v>
      </c>
      <c r="C1593" s="19" t="n">
        <v>2.314119225595679</v>
      </c>
      <c r="D1593" s="19" t="n">
        <v>2.109324091223358</v>
      </c>
      <c r="E1593" s="19" t="n">
        <v>1.628896692047598</v>
      </c>
      <c r="F1593" s="20">
        <f>B1593/B1592-1</f>
        <v/>
      </c>
      <c r="G1593" s="20">
        <f>B1593/MAX(B$2:B1593)-1</f>
        <v/>
      </c>
      <c r="H1593" s="20">
        <f>C1593/C1592-1</f>
        <v/>
      </c>
      <c r="I1593" s="20">
        <f>C1593/MAX(C$2:C1593)-1</f>
        <v/>
      </c>
      <c r="J1593" s="20">
        <f>D1593/D1592-1</f>
        <v/>
      </c>
      <c r="K1593" s="20">
        <f>D1593/MAX(D$2:D1593)-1</f>
        <v/>
      </c>
      <c r="L1593" s="20">
        <f>E1593/E1592-1</f>
        <v/>
      </c>
      <c r="M1593" s="20">
        <f>E1593/MAX(E$2:E1593)-1</f>
        <v/>
      </c>
    </row>
    <row r="1594">
      <c r="A1594" s="11" t="n">
        <v>46056</v>
      </c>
      <c r="B1594" s="19" t="n">
        <v>2.811675027230472</v>
      </c>
      <c r="C1594" s="19" t="n">
        <v>2.37174586812885</v>
      </c>
      <c r="D1594" s="19" t="n">
        <v>2.148602067752368</v>
      </c>
      <c r="E1594" s="19" t="n">
        <v>1.663309737870903</v>
      </c>
      <c r="F1594" s="20">
        <f>B1594/B1593-1</f>
        <v/>
      </c>
      <c r="G1594" s="20">
        <f>B1594/MAX(B$2:B1594)-1</f>
        <v/>
      </c>
      <c r="H1594" s="20">
        <f>C1594/C1593-1</f>
        <v/>
      </c>
      <c r="I1594" s="20">
        <f>C1594/MAX(C$2:C1594)-1</f>
        <v/>
      </c>
      <c r="J1594" s="20">
        <f>D1594/D1593-1</f>
        <v/>
      </c>
      <c r="K1594" s="20">
        <f>D1594/MAX(D$2:D1594)-1</f>
        <v/>
      </c>
      <c r="L1594" s="20">
        <f>E1594/E1593-1</f>
        <v/>
      </c>
      <c r="M1594" s="20">
        <f>E1594/MAX(E$2:E1594)-1</f>
        <v/>
      </c>
    </row>
    <row r="1595">
      <c r="A1595" s="11" t="n">
        <v>46057</v>
      </c>
      <c r="B1595" s="19" t="n">
        <v>2.792147414133883</v>
      </c>
      <c r="C1595" s="19" t="n">
        <v>2.374883158492952</v>
      </c>
      <c r="D1595" s="19" t="n">
        <v>2.139957299270285</v>
      </c>
      <c r="E1595" s="19" t="n">
        <v>1.670752909755726</v>
      </c>
      <c r="F1595" s="20">
        <f>B1595/B1594-1</f>
        <v/>
      </c>
      <c r="G1595" s="20">
        <f>B1595/MAX(B$2:B1595)-1</f>
        <v/>
      </c>
      <c r="H1595" s="20">
        <f>C1595/C1594-1</f>
        <v/>
      </c>
      <c r="I1595" s="20">
        <f>C1595/MAX(C$2:C1595)-1</f>
        <v/>
      </c>
      <c r="J1595" s="20">
        <f>D1595/D1594-1</f>
        <v/>
      </c>
      <c r="K1595" s="20">
        <f>D1595/MAX(D$2:D1595)-1</f>
        <v/>
      </c>
      <c r="L1595" s="20">
        <f>E1595/E1594-1</f>
        <v/>
      </c>
      <c r="M1595" s="20">
        <f>E1595/MAX(E$2:E1595)-1</f>
        <v/>
      </c>
    </row>
    <row r="1596">
      <c r="A1596" s="11" t="n">
        <v>46058</v>
      </c>
      <c r="B1596" s="19" t="n">
        <v>2.727241156394838</v>
      </c>
      <c r="C1596" s="19" t="n">
        <v>2.337442072273985</v>
      </c>
      <c r="D1596" s="19" t="n">
        <v>2.106847399787408</v>
      </c>
      <c r="E1596" s="19" t="n">
        <v>1.652374487142767</v>
      </c>
      <c r="F1596" s="20">
        <f>B1596/B1595-1</f>
        <v/>
      </c>
      <c r="G1596" s="20">
        <f>B1596/MAX(B$2:B1596)-1</f>
        <v/>
      </c>
      <c r="H1596" s="20">
        <f>C1596/C1595-1</f>
        <v/>
      </c>
      <c r="I1596" s="20">
        <f>C1596/MAX(C$2:C1596)-1</f>
        <v/>
      </c>
      <c r="J1596" s="20">
        <f>D1596/D1595-1</f>
        <v/>
      </c>
      <c r="K1596" s="20">
        <f>D1596/MAX(D$2:D1596)-1</f>
        <v/>
      </c>
      <c r="L1596" s="20">
        <f>E1596/E1595-1</f>
        <v/>
      </c>
      <c r="M1596" s="20">
        <f>E1596/MAX(E$2:E1596)-1</f>
        <v/>
      </c>
    </row>
    <row r="1597">
      <c r="A1597" s="11" t="n">
        <v>46059</v>
      </c>
      <c r="B1597" s="19" t="n">
        <v>2.712793532201889</v>
      </c>
      <c r="C1597" s="19" t="n">
        <v>2.327659540695573</v>
      </c>
      <c r="D1597" s="19" t="n">
        <v>2.091458387144365</v>
      </c>
      <c r="E1597" s="19" t="n">
        <v>1.649265912058236</v>
      </c>
      <c r="F1597" s="20">
        <f>B1597/B1596-1</f>
        <v/>
      </c>
      <c r="G1597" s="20">
        <f>B1597/MAX(B$2:B1597)-1</f>
        <v/>
      </c>
      <c r="H1597" s="20">
        <f>C1597/C1596-1</f>
        <v/>
      </c>
      <c r="I1597" s="20">
        <f>C1597/MAX(C$2:C1597)-1</f>
        <v/>
      </c>
      <c r="J1597" s="20">
        <f>D1597/D1596-1</f>
        <v/>
      </c>
      <c r="K1597" s="20">
        <f>D1597/MAX(D$2:D1597)-1</f>
        <v/>
      </c>
      <c r="L1597" s="20">
        <f>E1597/E1596-1</f>
        <v/>
      </c>
      <c r="M1597" s="20">
        <f>E1597/MAX(E$2:E1597)-1</f>
        <v/>
      </c>
    </row>
    <row r="1598">
      <c r="A1598" s="11" t="n">
        <v>46062</v>
      </c>
      <c r="B1598" s="19" t="n">
        <v>2.790947998979206</v>
      </c>
      <c r="C1598" s="19" t="n">
        <v>2.374554778121988</v>
      </c>
      <c r="D1598" s="19" t="n">
        <v>2.153692448637215</v>
      </c>
      <c r="E1598" s="19" t="n">
        <v>1.680342363588345</v>
      </c>
      <c r="F1598" s="20">
        <f>B1598/B1597-1</f>
        <v/>
      </c>
      <c r="G1598" s="20">
        <f>B1598/MAX(B$2:B1598)-1</f>
        <v/>
      </c>
      <c r="H1598" s="20">
        <f>C1598/C1597-1</f>
        <v/>
      </c>
      <c r="I1598" s="20">
        <f>C1598/MAX(C$2:C1598)-1</f>
        <v/>
      </c>
      <c r="J1598" s="20">
        <f>D1598/D1597-1</f>
        <v/>
      </c>
      <c r="K1598" s="20">
        <f>D1598/MAX(D$2:D1598)-1</f>
        <v/>
      </c>
      <c r="L1598" s="20">
        <f>E1598/E1597-1</f>
        <v/>
      </c>
      <c r="M1598" s="20">
        <f>E1598/MAX(E$2:E1598)-1</f>
        <v/>
      </c>
    </row>
    <row r="1599">
      <c r="A1599" s="11" t="n">
        <v>46063</v>
      </c>
      <c r="B1599" s="19" t="n">
        <v>2.79153980943294</v>
      </c>
      <c r="C1599" s="19" t="n">
        <v>2.383095361380747</v>
      </c>
      <c r="D1599" s="19" t="n">
        <v>2.145787598668457</v>
      </c>
      <c r="E1599" s="19" t="n">
        <v>1.681341110040657</v>
      </c>
      <c r="F1599" s="20">
        <f>B1599/B1598-1</f>
        <v/>
      </c>
      <c r="G1599" s="20">
        <f>B1599/MAX(B$2:B1599)-1</f>
        <v/>
      </c>
      <c r="H1599" s="20">
        <f>C1599/C1598-1</f>
        <v/>
      </c>
      <c r="I1599" s="20">
        <f>C1599/MAX(C$2:C1599)-1</f>
        <v/>
      </c>
      <c r="J1599" s="20">
        <f>D1599/D1598-1</f>
        <v/>
      </c>
      <c r="K1599" s="20">
        <f>D1599/MAX(D$2:D1599)-1</f>
        <v/>
      </c>
      <c r="L1599" s="20">
        <f>E1599/E1598-1</f>
        <v/>
      </c>
      <c r="M1599" s="20">
        <f>E1599/MAX(E$2:E1599)-1</f>
        <v/>
      </c>
    </row>
    <row r="1600">
      <c r="A1600" s="11" t="n">
        <v>46064</v>
      </c>
      <c r="B1600" s="19" t="n">
        <v>2.780143185489491</v>
      </c>
      <c r="C1600" s="19" t="n">
        <v>2.374711681120389</v>
      </c>
      <c r="D1600" s="19" t="n">
        <v>2.122651865366883</v>
      </c>
      <c r="E1600" s="19" t="n">
        <v>1.678711635675149</v>
      </c>
      <c r="F1600" s="20">
        <f>B1600/B1599-1</f>
        <v/>
      </c>
      <c r="G1600" s="20">
        <f>B1600/MAX(B$2:B1600)-1</f>
        <v/>
      </c>
      <c r="H1600" s="20">
        <f>C1600/C1599-1</f>
        <v/>
      </c>
      <c r="I1600" s="20">
        <f>C1600/MAX(C$2:C1600)-1</f>
        <v/>
      </c>
      <c r="J1600" s="20">
        <f>D1600/D1599-1</f>
        <v/>
      </c>
      <c r="K1600" s="20">
        <f>D1600/MAX(D$2:D1600)-1</f>
        <v/>
      </c>
      <c r="L1600" s="20">
        <f>E1600/E1599-1</f>
        <v/>
      </c>
      <c r="M1600" s="20">
        <f>E1600/MAX(E$2:E1600)-1</f>
        <v/>
      </c>
    </row>
    <row r="1601">
      <c r="A1601" s="11" t="n">
        <v>46065</v>
      </c>
      <c r="B1601" s="19" t="n">
        <v>2.808533472584092</v>
      </c>
      <c r="C1601" s="19" t="n">
        <v>2.399108510063654</v>
      </c>
      <c r="D1601" s="19" t="n">
        <v>2.150650640397858</v>
      </c>
      <c r="E1601" s="19" t="n">
        <v>1.686273838794511</v>
      </c>
      <c r="F1601" s="20">
        <f>B1601/B1600-1</f>
        <v/>
      </c>
      <c r="G1601" s="20">
        <f>B1601/MAX(B$2:B1601)-1</f>
        <v/>
      </c>
      <c r="H1601" s="20">
        <f>C1601/C1600-1</f>
        <v/>
      </c>
      <c r="I1601" s="20">
        <f>C1601/MAX(C$2:C1601)-1</f>
        <v/>
      </c>
      <c r="J1601" s="20">
        <f>D1601/D1600-1</f>
        <v/>
      </c>
      <c r="K1601" s="20">
        <f>D1601/MAX(D$2:D1601)-1</f>
        <v/>
      </c>
      <c r="L1601" s="20">
        <f>E1601/E1600-1</f>
        <v/>
      </c>
      <c r="M1601" s="20">
        <f>E1601/MAX(E$2:E1601)-1</f>
        <v/>
      </c>
    </row>
    <row r="1602">
      <c r="A1602" s="11" t="n">
        <v>46066</v>
      </c>
      <c r="B1602" s="19" t="n">
        <v>2.760402499954154</v>
      </c>
      <c r="C1602" s="19" t="n">
        <v>2.373136013302604</v>
      </c>
      <c r="D1602" s="19" t="n">
        <v>2.116980147630868</v>
      </c>
      <c r="E1602" s="19" t="n">
        <v>1.66730435170754</v>
      </c>
      <c r="F1602" s="20">
        <f>B1602/B1601-1</f>
        <v/>
      </c>
      <c r="G1602" s="20">
        <f>B1602/MAX(B$2:B1602)-1</f>
        <v/>
      </c>
      <c r="H1602" s="20">
        <f>C1602/C1601-1</f>
        <v/>
      </c>
      <c r="I1602" s="20">
        <f>C1602/MAX(C$2:C1602)-1</f>
        <v/>
      </c>
      <c r="J1602" s="20">
        <f>D1602/D1601-1</f>
        <v/>
      </c>
      <c r="K1602" s="20">
        <f>D1602/MAX(D$2:D1602)-1</f>
        <v/>
      </c>
      <c r="L1602" s="20">
        <f>E1602/E1601-1</f>
        <v/>
      </c>
      <c r="M1602" s="20">
        <f>E1602/MAX(E$2:E1602)-1</f>
        <v/>
      </c>
    </row>
    <row r="1603">
      <c r="A1603" s="11" t="n">
        <v>46077</v>
      </c>
      <c r="B1603" s="19" t="n">
        <v>2.807812372845513</v>
      </c>
      <c r="C1603" s="19" t="n">
        <v>2.403044504991963</v>
      </c>
      <c r="D1603" s="19" t="n">
        <v>2.137857093883123</v>
      </c>
      <c r="E1603" s="19" t="n">
        <v>1.684932877542898</v>
      </c>
      <c r="F1603" s="20">
        <f>B1603/B1602-1</f>
        <v/>
      </c>
      <c r="G1603" s="20">
        <f>B1603/MAX(B$2:B1603)-1</f>
        <v/>
      </c>
      <c r="H1603" s="20">
        <f>C1603/C1602-1</f>
        <v/>
      </c>
      <c r="I1603" s="20">
        <f>C1603/MAX(C$2:C1603)-1</f>
        <v/>
      </c>
      <c r="J1603" s="20">
        <f>D1603/D1602-1</f>
        <v/>
      </c>
      <c r="K1603" s="20">
        <f>D1603/MAX(D$2:D1603)-1</f>
        <v/>
      </c>
      <c r="L1603" s="20">
        <f>E1603/E1602-1</f>
        <v/>
      </c>
      <c r="M1603" s="20">
        <f>E1603/MAX(E$2:E1603)-1</f>
        <v/>
      </c>
    </row>
    <row r="1604">
      <c r="A1604" s="11" t="n">
        <v>46078</v>
      </c>
      <c r="B1604" s="19" t="n">
        <v>2.856214528000651</v>
      </c>
      <c r="C1604" s="19" t="n">
        <v>2.433559540767723</v>
      </c>
      <c r="D1604" s="19" t="n">
        <v>2.16794121130929</v>
      </c>
      <c r="E1604" s="19" t="n">
        <v>1.702484405048412</v>
      </c>
      <c r="F1604" s="20">
        <f>B1604/B1603-1</f>
        <v/>
      </c>
      <c r="G1604" s="20">
        <f>B1604/MAX(B$2:B1604)-1</f>
        <v/>
      </c>
      <c r="H1604" s="20">
        <f>C1604/C1603-1</f>
        <v/>
      </c>
      <c r="I1604" s="20">
        <f>C1604/MAX(C$2:C1604)-1</f>
        <v/>
      </c>
      <c r="J1604" s="20">
        <f>D1604/D1603-1</f>
        <v/>
      </c>
      <c r="K1604" s="20">
        <f>D1604/MAX(D$2:D1604)-1</f>
        <v/>
      </c>
      <c r="L1604" s="20">
        <f>E1604/E1603-1</f>
        <v/>
      </c>
      <c r="M1604" s="20">
        <f>E1604/MAX(E$2:E1604)-1</f>
        <v/>
      </c>
    </row>
    <row r="1605">
      <c r="A1605" s="11" t="n">
        <v>46079</v>
      </c>
      <c r="B1605" s="19" t="n">
        <v>2.881661750033268</v>
      </c>
      <c r="C1605" s="19" t="n">
        <v>2.448400726987099</v>
      </c>
      <c r="D1605" s="19" t="n">
        <v>2.161584568130243</v>
      </c>
      <c r="E1605" s="19" t="n">
        <v>1.705983179398669</v>
      </c>
      <c r="F1605" s="20">
        <f>B1605/B1604-1</f>
        <v/>
      </c>
      <c r="G1605" s="20">
        <f>B1605/MAX(B$2:B1605)-1</f>
        <v/>
      </c>
      <c r="H1605" s="20">
        <f>C1605/C1604-1</f>
        <v/>
      </c>
      <c r="I1605" s="20">
        <f>C1605/MAX(C$2:C1605)-1</f>
        <v/>
      </c>
      <c r="J1605" s="20">
        <f>D1605/D1604-1</f>
        <v/>
      </c>
      <c r="K1605" s="20">
        <f>D1605/MAX(D$2:D1605)-1</f>
        <v/>
      </c>
      <c r="L1605" s="20">
        <f>E1605/E1604-1</f>
        <v/>
      </c>
      <c r="M1605" s="20">
        <f>E1605/MAX(E$2:E1605)-1</f>
        <v/>
      </c>
    </row>
    <row r="1606">
      <c r="A1606" s="11" t="n">
        <v>46080</v>
      </c>
      <c r="B1606" s="19" t="n">
        <v>2.888355800838113</v>
      </c>
      <c r="C1606" s="19" t="n">
        <v>2.439057687345042</v>
      </c>
      <c r="D1606" s="19" t="n">
        <v>2.139175441270923</v>
      </c>
      <c r="E1606" s="19" t="n">
        <v>1.712858721083779</v>
      </c>
      <c r="F1606" s="20">
        <f>B1606/B1605-1</f>
        <v/>
      </c>
      <c r="G1606" s="20">
        <f>B1606/MAX(B$2:B1606)-1</f>
        <v/>
      </c>
      <c r="H1606" s="20">
        <f>C1606/C1605-1</f>
        <v/>
      </c>
      <c r="I1606" s="20">
        <f>C1606/MAX(C$2:C1606)-1</f>
        <v/>
      </c>
      <c r="J1606" s="20">
        <f>D1606/D1605-1</f>
        <v/>
      </c>
      <c r="K1606" s="20">
        <f>D1606/MAX(D$2:D1606)-1</f>
        <v/>
      </c>
      <c r="L1606" s="20">
        <f>E1606/E1605-1</f>
        <v/>
      </c>
      <c r="M1606" s="20">
        <f>E1606/MAX(E$2:E1606)-1</f>
        <v/>
      </c>
    </row>
    <row r="1607">
      <c r="A1607" s="11" t="n">
        <v>46083</v>
      </c>
      <c r="B1607" s="19" t="n">
        <v>2.924395393366277</v>
      </c>
      <c r="C1607" s="19" t="n">
        <v>2.430640866016046</v>
      </c>
      <c r="D1607" s="19" t="n">
        <v>2.128743042584992</v>
      </c>
      <c r="E1607" s="19" t="n">
        <v>1.70588200284931</v>
      </c>
      <c r="F1607" s="20">
        <f>B1607/B1606-1</f>
        <v/>
      </c>
      <c r="G1607" s="20">
        <f>B1607/MAX(B$2:B1607)-1</f>
        <v/>
      </c>
      <c r="H1607" s="20">
        <f>C1607/C1606-1</f>
        <v/>
      </c>
      <c r="I1607" s="20">
        <f>C1607/MAX(C$2:C1607)-1</f>
        <v/>
      </c>
      <c r="J1607" s="20">
        <f>D1607/D1606-1</f>
        <v/>
      </c>
      <c r="K1607" s="20">
        <f>D1607/MAX(D$2:D1607)-1</f>
        <v/>
      </c>
      <c r="L1607" s="20">
        <f>E1607/E1606-1</f>
        <v/>
      </c>
      <c r="M1607" s="20">
        <f>E1607/MAX(E$2:E1607)-1</f>
        <v/>
      </c>
    </row>
    <row r="1608">
      <c r="A1608" s="11" t="n">
        <v>46084</v>
      </c>
      <c r="B1608" s="19" t="n">
        <v>2.792982190890053</v>
      </c>
      <c r="C1608" s="19" t="n">
        <v>2.338124133744655</v>
      </c>
      <c r="D1608" s="19" t="n">
        <v>2.074021900424804</v>
      </c>
      <c r="E1608" s="19" t="n">
        <v>1.655146427017114</v>
      </c>
      <c r="F1608" s="20">
        <f>B1608/B1607-1</f>
        <v/>
      </c>
      <c r="G1608" s="20">
        <f>B1608/MAX(B$2:B1608)-1</f>
        <v/>
      </c>
      <c r="H1608" s="20">
        <f>C1608/C1607-1</f>
        <v/>
      </c>
      <c r="I1608" s="20">
        <f>C1608/MAX(C$2:C1608)-1</f>
        <v/>
      </c>
      <c r="J1608" s="20">
        <f>D1608/D1607-1</f>
        <v/>
      </c>
      <c r="K1608" s="20">
        <f>D1608/MAX(D$2:D1608)-1</f>
        <v/>
      </c>
      <c r="L1608" s="20">
        <f>E1608/E1607-1</f>
        <v/>
      </c>
      <c r="M1608" s="20">
        <f>E1608/MAX(E$2:E1608)-1</f>
        <v/>
      </c>
    </row>
    <row r="1609">
      <c r="A1609" s="11" t="n">
        <v>46085</v>
      </c>
      <c r="B1609" s="19" t="n">
        <v>2.789261126849656</v>
      </c>
      <c r="C1609" s="19" t="n">
        <v>2.334970393096845</v>
      </c>
      <c r="D1609" s="19" t="n">
        <v>2.044870726542467</v>
      </c>
      <c r="E1609" s="19" t="n">
        <v>1.643694506336554</v>
      </c>
      <c r="F1609" s="20">
        <f>B1609/B1608-1</f>
        <v/>
      </c>
      <c r="G1609" s="20">
        <f>B1609/MAX(B$2:B1609)-1</f>
        <v/>
      </c>
      <c r="H1609" s="20">
        <f>C1609/C1608-1</f>
        <v/>
      </c>
      <c r="I1609" s="20">
        <f>C1609/MAX(C$2:C1609)-1</f>
        <v/>
      </c>
      <c r="J1609" s="20">
        <f>D1609/D1608-1</f>
        <v/>
      </c>
      <c r="K1609" s="20">
        <f>D1609/MAX(D$2:D1609)-1</f>
        <v/>
      </c>
      <c r="L1609" s="20">
        <f>E1609/E1608-1</f>
        <v/>
      </c>
      <c r="M1609" s="20">
        <f>E1609/MAX(E$2:E1609)-1</f>
        <v/>
      </c>
    </row>
    <row r="1610">
      <c r="A1610" s="11" t="n">
        <v>46086</v>
      </c>
      <c r="B1610" s="19" t="n">
        <v>2.833937506415679</v>
      </c>
      <c r="C1610" s="19" t="n">
        <v>2.378265038601649</v>
      </c>
      <c r="D1610" s="19" t="n">
        <v>2.078840999395335</v>
      </c>
      <c r="E1610" s="19" t="n">
        <v>1.661551051380576</v>
      </c>
      <c r="F1610" s="20">
        <f>B1610/B1609-1</f>
        <v/>
      </c>
      <c r="G1610" s="20">
        <f>B1610/MAX(B$2:B1610)-1</f>
        <v/>
      </c>
      <c r="H1610" s="20">
        <f>C1610/C1609-1</f>
        <v/>
      </c>
      <c r="I1610" s="20">
        <f>C1610/MAX(C$2:C1610)-1</f>
        <v/>
      </c>
      <c r="J1610" s="20">
        <f>D1610/D1609-1</f>
        <v/>
      </c>
      <c r="K1610" s="20">
        <f>D1610/MAX(D$2:D1610)-1</f>
        <v/>
      </c>
      <c r="L1610" s="20">
        <f>E1610/E1609-1</f>
        <v/>
      </c>
      <c r="M1610" s="20">
        <f>E1610/MAX(E$2:E1610)-1</f>
        <v/>
      </c>
    </row>
    <row r="1611">
      <c r="A1611" s="11" t="n">
        <v>46087</v>
      </c>
      <c r="B1611" s="19" t="n">
        <v>2.823083567948082</v>
      </c>
      <c r="C1611" s="19" t="n">
        <v>2.388793604976259</v>
      </c>
      <c r="D1611" s="19" t="n">
        <v>2.086829663714467</v>
      </c>
      <c r="E1611" s="19" t="n">
        <v>1.673578041713008</v>
      </c>
      <c r="F1611" s="20">
        <f>B1611/B1610-1</f>
        <v/>
      </c>
      <c r="G1611" s="20">
        <f>B1611/MAX(B$2:B1611)-1</f>
        <v/>
      </c>
      <c r="H1611" s="20">
        <f>C1611/C1610-1</f>
        <v/>
      </c>
      <c r="I1611" s="20">
        <f>C1611/MAX(C$2:C1611)-1</f>
        <v/>
      </c>
      <c r="J1611" s="20">
        <f>D1611/D1610-1</f>
        <v/>
      </c>
      <c r="K1611" s="20">
        <f>D1611/MAX(D$2:D1611)-1</f>
        <v/>
      </c>
      <c r="L1611" s="20">
        <f>E1611/E1610-1</f>
        <v/>
      </c>
      <c r="M1611" s="20">
        <f>E1611/MAX(E$2:E1611)-1</f>
        <v/>
      </c>
    </row>
    <row r="1612">
      <c r="A1612" s="11" t="n">
        <v>46090</v>
      </c>
      <c r="B1612" s="19" t="n">
        <v>2.789771925509121</v>
      </c>
      <c r="C1612" s="19" t="n">
        <v>2.375905913997243</v>
      </c>
      <c r="D1612" s="19" t="n">
        <v>2.073440240465116</v>
      </c>
      <c r="E1612" s="19" t="n">
        <v>1.6598228666441</v>
      </c>
      <c r="F1612" s="20">
        <f>B1612/B1611-1</f>
        <v/>
      </c>
      <c r="G1612" s="20">
        <f>B1612/MAX(B$2:B1612)-1</f>
        <v/>
      </c>
      <c r="H1612" s="20">
        <f>C1612/C1611-1</f>
        <v/>
      </c>
      <c r="I1612" s="20">
        <f>C1612/MAX(C$2:C1612)-1</f>
        <v/>
      </c>
      <c r="J1612" s="20">
        <f>D1612/D1611-1</f>
        <v/>
      </c>
      <c r="K1612" s="20">
        <f>D1612/MAX(D$2:D1612)-1</f>
        <v/>
      </c>
      <c r="L1612" s="20">
        <f>E1612/E1611-1</f>
        <v/>
      </c>
      <c r="M1612" s="20">
        <f>E1612/MAX(E$2:E1612)-1</f>
        <v/>
      </c>
    </row>
    <row r="1613">
      <c r="A1613" s="11" t="n">
        <v>46091</v>
      </c>
      <c r="B1613" s="19" t="n">
        <v>2.844605540573661</v>
      </c>
      <c r="C1613" s="19" t="n">
        <v>2.408636591347295</v>
      </c>
      <c r="D1613" s="19" t="n">
        <v>2.136484916615707</v>
      </c>
      <c r="E1613" s="19" t="n">
        <v>1.686042099859766</v>
      </c>
      <c r="F1613" s="20">
        <f>B1613/B1612-1</f>
        <v/>
      </c>
      <c r="G1613" s="20">
        <f>B1613/MAX(B$2:B1613)-1</f>
        <v/>
      </c>
      <c r="H1613" s="20">
        <f>C1613/C1612-1</f>
        <v/>
      </c>
      <c r="I1613" s="20">
        <f>C1613/MAX(C$2:C1613)-1</f>
        <v/>
      </c>
      <c r="J1613" s="20">
        <f>D1613/D1612-1</f>
        <v/>
      </c>
      <c r="K1613" s="20">
        <f>D1613/MAX(D$2:D1613)-1</f>
        <v/>
      </c>
      <c r="L1613" s="20">
        <f>E1613/E1612-1</f>
        <v/>
      </c>
      <c r="M1613" s="20">
        <f>E1613/MAX(E$2:E1613)-1</f>
        <v/>
      </c>
    </row>
    <row r="1614">
      <c r="A1614" s="11" t="n">
        <v>46092</v>
      </c>
      <c r="B1614" s="19" t="n">
        <v>2.839565416693631</v>
      </c>
      <c r="C1614" s="19" t="n">
        <v>2.414603282408802</v>
      </c>
      <c r="D1614" s="19" t="n">
        <v>2.164522529290918</v>
      </c>
      <c r="E1614" s="19" t="n">
        <v>1.690706636363298</v>
      </c>
      <c r="F1614" s="20">
        <f>B1614/B1613-1</f>
        <v/>
      </c>
      <c r="G1614" s="20">
        <f>B1614/MAX(B$2:B1614)-1</f>
        <v/>
      </c>
      <c r="H1614" s="20">
        <f>C1614/C1613-1</f>
        <v/>
      </c>
      <c r="I1614" s="20">
        <f>C1614/MAX(C$2:C1614)-1</f>
        <v/>
      </c>
      <c r="J1614" s="20">
        <f>D1614/D1613-1</f>
        <v/>
      </c>
      <c r="K1614" s="20">
        <f>D1614/MAX(D$2:D1614)-1</f>
        <v/>
      </c>
      <c r="L1614" s="20">
        <f>E1614/E1613-1</f>
        <v/>
      </c>
      <c r="M1614" s="20">
        <f>E1614/MAX(E$2:E1614)-1</f>
        <v/>
      </c>
    </row>
    <row r="1615">
      <c r="A1615" s="11" t="n">
        <v>46093</v>
      </c>
      <c r="B1615" s="19" t="n">
        <v>2.813371443653743</v>
      </c>
      <c r="C1615" s="19" t="n">
        <v>2.397932940081765</v>
      </c>
      <c r="D1615" s="19" t="n">
        <v>2.143839577394734</v>
      </c>
      <c r="E1615" s="19" t="n">
        <v>1.681930314651629</v>
      </c>
      <c r="F1615" s="20">
        <f>B1615/B1614-1</f>
        <v/>
      </c>
      <c r="G1615" s="20">
        <f>B1615/MAX(B$2:B1615)-1</f>
        <v/>
      </c>
      <c r="H1615" s="20">
        <f>C1615/C1614-1</f>
        <v/>
      </c>
      <c r="I1615" s="20">
        <f>C1615/MAX(C$2:C1615)-1</f>
        <v/>
      </c>
      <c r="J1615" s="20">
        <f>D1615/D1614-1</f>
        <v/>
      </c>
      <c r="K1615" s="20">
        <f>D1615/MAX(D$2:D1615)-1</f>
        <v/>
      </c>
      <c r="L1615" s="20">
        <f>E1615/E1614-1</f>
        <v/>
      </c>
      <c r="M1615" s="20">
        <f>E1615/MAX(E$2:E1615)-1</f>
        <v/>
      </c>
    </row>
    <row r="1616">
      <c r="A1616" s="11" t="n">
        <v>46094</v>
      </c>
      <c r="B1616" s="19" t="n">
        <v>2.765956329419425</v>
      </c>
      <c r="C1616" s="19" t="n">
        <v>2.369658125105369</v>
      </c>
      <c r="D1616" s="19" t="n">
        <v>2.139157993410783</v>
      </c>
      <c r="E1616" s="19" t="n">
        <v>1.666236418350153</v>
      </c>
      <c r="F1616" s="20">
        <f>B1616/B1615-1</f>
        <v/>
      </c>
      <c r="G1616" s="20">
        <f>B1616/MAX(B$2:B1616)-1</f>
        <v/>
      </c>
      <c r="H1616" s="20">
        <f>C1616/C1615-1</f>
        <v/>
      </c>
      <c r="I1616" s="20">
        <f>C1616/MAX(C$2:C1616)-1</f>
        <v/>
      </c>
      <c r="J1616" s="20">
        <f>D1616/D1615-1</f>
        <v/>
      </c>
      <c r="K1616" s="20">
        <f>D1616/MAX(D$2:D1616)-1</f>
        <v/>
      </c>
      <c r="L1616" s="20">
        <f>E1616/E1615-1</f>
        <v/>
      </c>
      <c r="M1616" s="20">
        <f>E1616/MAX(E$2:E1616)-1</f>
        <v/>
      </c>
    </row>
    <row r="1617">
      <c r="A1617" s="11" t="n">
        <v>46097</v>
      </c>
      <c r="B1617" s="19" t="n">
        <v>2.746197233446444</v>
      </c>
      <c r="C1617" s="19" t="n">
        <v>2.355484666483725</v>
      </c>
      <c r="D1617" s="19" t="n">
        <v>2.16936476283156</v>
      </c>
      <c r="E1617" s="19" t="n">
        <v>1.665561660039355</v>
      </c>
      <c r="F1617" s="20">
        <f>B1617/B1616-1</f>
        <v/>
      </c>
      <c r="G1617" s="20">
        <f>B1617/MAX(B$2:B1617)-1</f>
        <v/>
      </c>
      <c r="H1617" s="20">
        <f>C1617/C1616-1</f>
        <v/>
      </c>
      <c r="I1617" s="20">
        <f>C1617/MAX(C$2:C1617)-1</f>
        <v/>
      </c>
      <c r="J1617" s="20">
        <f>D1617/D1616-1</f>
        <v/>
      </c>
      <c r="K1617" s="20">
        <f>D1617/MAX(D$2:D1617)-1</f>
        <v/>
      </c>
      <c r="L1617" s="20">
        <f>E1617/E1616-1</f>
        <v/>
      </c>
      <c r="M1617" s="20">
        <f>E1617/MAX(E$2:E1617)-1</f>
        <v/>
      </c>
    </row>
    <row r="1618">
      <c r="A1618" s="11" t="n">
        <v>46098</v>
      </c>
      <c r="B1618" s="19" t="n">
        <v>2.667503690592393</v>
      </c>
      <c r="C1618" s="19" t="n">
        <v>2.309571347453801</v>
      </c>
      <c r="D1618" s="19" t="n">
        <v>2.119629960612425</v>
      </c>
      <c r="E1618" s="19" t="n">
        <v>1.639682781759951</v>
      </c>
      <c r="F1618" s="20">
        <f>B1618/B1617-1</f>
        <v/>
      </c>
      <c r="G1618" s="20">
        <f>B1618/MAX(B$2:B1618)-1</f>
        <v/>
      </c>
      <c r="H1618" s="20">
        <f>C1618/C1617-1</f>
        <v/>
      </c>
      <c r="I1618" s="20">
        <f>C1618/MAX(C$2:C1618)-1</f>
        <v/>
      </c>
      <c r="J1618" s="20">
        <f>D1618/D1617-1</f>
        <v/>
      </c>
      <c r="K1618" s="20">
        <f>D1618/MAX(D$2:D1618)-1</f>
        <v/>
      </c>
      <c r="L1618" s="20">
        <f>E1618/E1617-1</f>
        <v/>
      </c>
      <c r="M1618" s="20">
        <f>E1618/MAX(E$2:E1618)-1</f>
        <v/>
      </c>
    </row>
    <row r="1619">
      <c r="A1619" s="11" t="n">
        <v>46099</v>
      </c>
      <c r="B1619" s="19" t="n">
        <v>2.723040548556857</v>
      </c>
      <c r="C1619" s="19" t="n">
        <v>2.344232480026974</v>
      </c>
      <c r="D1619" s="19" t="n">
        <v>2.162478157056202</v>
      </c>
      <c r="E1619" s="19" t="n">
        <v>1.652784400956714</v>
      </c>
      <c r="F1619" s="20">
        <f>B1619/B1618-1</f>
        <v/>
      </c>
      <c r="G1619" s="20">
        <f>B1619/MAX(B$2:B1619)-1</f>
        <v/>
      </c>
      <c r="H1619" s="20">
        <f>C1619/C1618-1</f>
        <v/>
      </c>
      <c r="I1619" s="20">
        <f>C1619/MAX(C$2:C1619)-1</f>
        <v/>
      </c>
      <c r="J1619" s="20">
        <f>D1619/D1618-1</f>
        <v/>
      </c>
      <c r="K1619" s="20">
        <f>D1619/MAX(D$2:D1619)-1</f>
        <v/>
      </c>
      <c r="L1619" s="20">
        <f>E1619/E1618-1</f>
        <v/>
      </c>
      <c r="M1619" s="20">
        <f>E1619/MAX(E$2:E1619)-1</f>
        <v/>
      </c>
    </row>
    <row r="1620">
      <c r="A1620" s="11" t="n">
        <v>46100</v>
      </c>
      <c r="B1620" s="19" t="n">
        <v>2.653734267421165</v>
      </c>
      <c r="C1620" s="19" t="n">
        <v>2.286474523825615</v>
      </c>
      <c r="D1620" s="19" t="n">
        <v>2.138398946873011</v>
      </c>
      <c r="E1620" s="19" t="n">
        <v>1.617885186934834</v>
      </c>
      <c r="F1620" s="20">
        <f>B1620/B1619-1</f>
        <v/>
      </c>
      <c r="G1620" s="20">
        <f>B1620/MAX(B$2:B1620)-1</f>
        <v/>
      </c>
      <c r="H1620" s="20">
        <f>C1620/C1619-1</f>
        <v/>
      </c>
      <c r="I1620" s="20">
        <f>C1620/MAX(C$2:C1620)-1</f>
        <v/>
      </c>
      <c r="J1620" s="20">
        <f>D1620/D1619-1</f>
        <v/>
      </c>
      <c r="K1620" s="20">
        <f>D1620/MAX(D$2:D1620)-1</f>
        <v/>
      </c>
      <c r="L1620" s="20">
        <f>E1620/E1619-1</f>
        <v/>
      </c>
      <c r="M1620" s="20">
        <f>E1620/MAX(E$2:E1620)-1</f>
        <v/>
      </c>
    </row>
    <row r="1621">
      <c r="A1621" s="11" t="n">
        <v>46101</v>
      </c>
      <c r="B1621" s="19" t="n">
        <v>2.6373352477989</v>
      </c>
      <c r="C1621" s="19" t="n">
        <v>2.268938713794645</v>
      </c>
      <c r="D1621" s="19" t="n">
        <v>2.166185827335847</v>
      </c>
      <c r="E1621" s="19" t="n">
        <v>1.597954522628954</v>
      </c>
      <c r="F1621" s="20">
        <f>B1621/B1620-1</f>
        <v/>
      </c>
      <c r="G1621" s="20">
        <f>B1621/MAX(B$2:B1621)-1</f>
        <v/>
      </c>
      <c r="H1621" s="20">
        <f>C1621/C1620-1</f>
        <v/>
      </c>
      <c r="I1621" s="20">
        <f>C1621/MAX(C$2:C1621)-1</f>
        <v/>
      </c>
      <c r="J1621" s="20">
        <f>D1621/D1620-1</f>
        <v/>
      </c>
      <c r="K1621" s="20">
        <f>D1621/MAX(D$2:D1621)-1</f>
        <v/>
      </c>
      <c r="L1621" s="20">
        <f>E1621/E1620-1</f>
        <v/>
      </c>
      <c r="M1621" s="20">
        <f>E1621/MAX(E$2:E1621)-1</f>
        <v/>
      </c>
    </row>
    <row r="1622">
      <c r="A1622" s="11" t="n">
        <v>46104</v>
      </c>
      <c r="B1622" s="19" t="n">
        <v>2.52576451376468</v>
      </c>
      <c r="C1622" s="19" t="n">
        <v>2.182785980606462</v>
      </c>
      <c r="D1622" s="19" t="n">
        <v>2.09065475163068</v>
      </c>
      <c r="E1622" s="19" t="n">
        <v>1.532779714101854</v>
      </c>
      <c r="F1622" s="20">
        <f>B1622/B1621-1</f>
        <v/>
      </c>
      <c r="G1622" s="20">
        <f>B1622/MAX(B$2:B1622)-1</f>
        <v/>
      </c>
      <c r="H1622" s="20">
        <f>C1622/C1621-1</f>
        <v/>
      </c>
      <c r="I1622" s="20">
        <f>C1622/MAX(C$2:C1622)-1</f>
        <v/>
      </c>
      <c r="J1622" s="20">
        <f>D1622/D1621-1</f>
        <v/>
      </c>
      <c r="K1622" s="20">
        <f>D1622/MAX(D$2:D1622)-1</f>
        <v/>
      </c>
      <c r="L1622" s="20">
        <f>E1622/E1621-1</f>
        <v/>
      </c>
      <c r="M1622" s="20">
        <f>E1622/MAX(E$2:E1622)-1</f>
        <v/>
      </c>
    </row>
    <row r="1623">
      <c r="A1623" s="11" t="n">
        <v>46105</v>
      </c>
      <c r="B1623" s="19" t="n">
        <v>2.573156377119973</v>
      </c>
      <c r="C1623" s="19" t="n">
        <v>2.214242241971648</v>
      </c>
      <c r="D1623" s="19" t="n">
        <v>2.101203986357842</v>
      </c>
      <c r="E1623" s="19" t="n">
        <v>1.565087394964235</v>
      </c>
      <c r="F1623" s="20">
        <f>B1623/B1622-1</f>
        <v/>
      </c>
      <c r="G1623" s="20">
        <f>B1623/MAX(B$2:B1623)-1</f>
        <v/>
      </c>
      <c r="H1623" s="20">
        <f>C1623/C1622-1</f>
        <v/>
      </c>
      <c r="I1623" s="20">
        <f>C1623/MAX(C$2:C1623)-1</f>
        <v/>
      </c>
      <c r="J1623" s="20">
        <f>D1623/D1622-1</f>
        <v/>
      </c>
      <c r="K1623" s="20">
        <f>D1623/MAX(D$2:D1623)-1</f>
        <v/>
      </c>
      <c r="L1623" s="20">
        <f>E1623/E1622-1</f>
        <v/>
      </c>
      <c r="M1623" s="20">
        <f>E1623/MAX(E$2:E1623)-1</f>
        <v/>
      </c>
    </row>
    <row r="1624">
      <c r="A1624" s="11" t="n">
        <v>46106</v>
      </c>
      <c r="B1624" s="19" t="n">
        <v>2.636366478825436</v>
      </c>
      <c r="C1624" s="19" t="n">
        <v>2.259300290549529</v>
      </c>
      <c r="D1624" s="19" t="n">
        <v>2.143483447182775</v>
      </c>
      <c r="E1624" s="19" t="n">
        <v>1.592967857846948</v>
      </c>
      <c r="F1624" s="20">
        <f>B1624/B1623-1</f>
        <v/>
      </c>
      <c r="G1624" s="20">
        <f>B1624/MAX(B$2:B1624)-1</f>
        <v/>
      </c>
      <c r="H1624" s="20">
        <f>C1624/C1623-1</f>
        <v/>
      </c>
      <c r="I1624" s="20">
        <f>C1624/MAX(C$2:C1624)-1</f>
        <v/>
      </c>
      <c r="J1624" s="20">
        <f>D1624/D1623-1</f>
        <v/>
      </c>
      <c r="K1624" s="20">
        <f>D1624/MAX(D$2:D1624)-1</f>
        <v/>
      </c>
      <c r="L1624" s="20">
        <f>E1624/E1623-1</f>
        <v/>
      </c>
      <c r="M1624" s="20">
        <f>E1624/MAX(E$2:E1624)-1</f>
        <v/>
      </c>
    </row>
    <row r="1625">
      <c r="A1625" s="11" t="n">
        <v>46107</v>
      </c>
      <c r="B1625" s="19" t="n">
        <v>2.58994422596955</v>
      </c>
      <c r="C1625" s="19" t="n">
        <v>2.219669488788194</v>
      </c>
      <c r="D1625" s="19" t="n">
        <v>2.114737516007604</v>
      </c>
      <c r="E1625" s="19" t="n">
        <v>1.569879518072289</v>
      </c>
      <c r="F1625" s="20">
        <f>B1625/B1624-1</f>
        <v/>
      </c>
      <c r="G1625" s="20">
        <f>B1625/MAX(B$2:B1625)-1</f>
        <v/>
      </c>
      <c r="H1625" s="20">
        <f>C1625/C1624-1</f>
        <v/>
      </c>
      <c r="I1625" s="20">
        <f>C1625/MAX(C$2:C1625)-1</f>
        <v/>
      </c>
      <c r="J1625" s="20">
        <f>D1625/D1624-1</f>
        <v/>
      </c>
      <c r="K1625" s="20">
        <f>D1625/MAX(D$2:D1625)-1</f>
        <v/>
      </c>
      <c r="L1625" s="20">
        <f>E1625/E1624-1</f>
        <v/>
      </c>
      <c r="M1625" s="20">
        <f>E1625/MAX(E$2:E1625)-1</f>
        <v/>
      </c>
    </row>
    <row r="1626">
      <c r="A1626" s="11" t="n">
        <v>46108</v>
      </c>
      <c r="B1626" s="19" t="n">
        <v>2.606484164905497</v>
      </c>
      <c r="C1626" s="19" t="n">
        <v>2.240732297366295</v>
      </c>
      <c r="D1626" s="19" t="n">
        <v>2.129854083545653</v>
      </c>
      <c r="E1626" s="19" t="n">
        <v>1.586325914959622</v>
      </c>
      <c r="F1626" s="20">
        <f>B1626/B1625-1</f>
        <v/>
      </c>
      <c r="G1626" s="20">
        <f>B1626/MAX(B$2:B1626)-1</f>
        <v/>
      </c>
      <c r="H1626" s="20">
        <f>C1626/C1625-1</f>
        <v/>
      </c>
      <c r="I1626" s="20">
        <f>C1626/MAX(C$2:C1626)-1</f>
        <v/>
      </c>
      <c r="J1626" s="20">
        <f>D1626/D1625-1</f>
        <v/>
      </c>
      <c r="K1626" s="20">
        <f>D1626/MAX(D$2:D1626)-1</f>
        <v/>
      </c>
      <c r="L1626" s="20">
        <f>E1626/E1625-1</f>
        <v/>
      </c>
      <c r="M1626" s="20">
        <f>E1626/MAX(E$2:E1626)-1</f>
        <v/>
      </c>
    </row>
    <row r="1627">
      <c r="A1627" s="11" t="n">
        <v>46111</v>
      </c>
      <c r="B1627" s="19" t="n">
        <v>2.623376903440102</v>
      </c>
      <c r="C1627" s="19" t="n">
        <v>2.234125055345344</v>
      </c>
      <c r="D1627" s="19" t="n">
        <v>2.115297850804899</v>
      </c>
      <c r="E1627" s="19" t="n">
        <v>1.587031175024271</v>
      </c>
      <c r="F1627" s="20">
        <f>B1627/B1626-1</f>
        <v/>
      </c>
      <c r="G1627" s="20">
        <f>B1627/MAX(B$2:B1627)-1</f>
        <v/>
      </c>
      <c r="H1627" s="20">
        <f>C1627/C1626-1</f>
        <v/>
      </c>
      <c r="I1627" s="20">
        <f>C1627/MAX(C$2:C1627)-1</f>
        <v/>
      </c>
      <c r="J1627" s="20">
        <f>D1627/D1626-1</f>
        <v/>
      </c>
      <c r="K1627" s="20">
        <f>D1627/MAX(D$2:D1627)-1</f>
        <v/>
      </c>
      <c r="L1627" s="20">
        <f>E1627/E1626-1</f>
        <v/>
      </c>
      <c r="M1627" s="20">
        <f>E1627/MAX(E$2:E1627)-1</f>
        <v/>
      </c>
    </row>
    <row r="1628">
      <c r="A1628" s="11" t="n">
        <v>46112</v>
      </c>
      <c r="B1628" s="19" t="n">
        <v>2.586046563924975</v>
      </c>
      <c r="C1628" s="19" t="n">
        <v>2.197461028580444</v>
      </c>
      <c r="D1628" s="19" t="n">
        <v>2.058170519488065</v>
      </c>
      <c r="E1628" s="19" t="n">
        <v>1.564326710981003</v>
      </c>
      <c r="F1628" s="20">
        <f>B1628/B1627-1</f>
        <v/>
      </c>
      <c r="G1628" s="20">
        <f>B1628/MAX(B$2:B1628)-1</f>
        <v/>
      </c>
      <c r="H1628" s="20">
        <f>C1628/C1627-1</f>
        <v/>
      </c>
      <c r="I1628" s="20">
        <f>C1628/MAX(C$2:C1628)-1</f>
        <v/>
      </c>
      <c r="J1628" s="20">
        <f>D1628/D1627-1</f>
        <v/>
      </c>
      <c r="K1628" s="20">
        <f>D1628/MAX(D$2:D1628)-1</f>
        <v/>
      </c>
      <c r="L1628" s="20">
        <f>E1628/E1627-1</f>
        <v/>
      </c>
      <c r="M1628" s="20">
        <f>E1628/MAX(E$2:E1628)-1</f>
        <v/>
      </c>
    </row>
    <row r="1629">
      <c r="A1629" s="11" t="n">
        <v>46113</v>
      </c>
      <c r="B1629" s="19" t="n">
        <v>2.631453344721061</v>
      </c>
      <c r="C1629" s="19" t="n">
        <v>2.226795155247147</v>
      </c>
      <c r="D1629" s="19" t="n">
        <v>2.098604642927281</v>
      </c>
      <c r="E1629" s="19" t="n">
        <v>1.592085166848313</v>
      </c>
      <c r="F1629" s="20">
        <f>B1629/B1628-1</f>
        <v/>
      </c>
      <c r="G1629" s="20">
        <f>B1629/MAX(B$2:B1629)-1</f>
        <v/>
      </c>
      <c r="H1629" s="20">
        <f>C1629/C1628-1</f>
        <v/>
      </c>
      <c r="I1629" s="20">
        <f>C1629/MAX(C$2:C1629)-1</f>
        <v/>
      </c>
      <c r="J1629" s="20">
        <f>D1629/D1628-1</f>
        <v/>
      </c>
      <c r="K1629" s="20">
        <f>D1629/MAX(D$2:D1629)-1</f>
        <v/>
      </c>
      <c r="L1629" s="20">
        <f>E1629/E1628-1</f>
        <v/>
      </c>
      <c r="M1629" s="20">
        <f>E1629/MAX(E$2:E1629)-1</f>
        <v/>
      </c>
    </row>
    <row r="1630">
      <c r="A1630" s="11" t="n">
        <v>46114</v>
      </c>
      <c r="B1630" s="19" t="n">
        <v>2.57600647439013</v>
      </c>
      <c r="C1630" s="19" t="n">
        <v>2.177554694187061</v>
      </c>
      <c r="D1630" s="19" t="n">
        <v>2.05022011121783</v>
      </c>
      <c r="E1630" s="19" t="n">
        <v>1.568942891045504</v>
      </c>
      <c r="F1630" s="20">
        <f>B1630/B1629-1</f>
        <v/>
      </c>
      <c r="G1630" s="20">
        <f>B1630/MAX(B$2:B1630)-1</f>
        <v/>
      </c>
      <c r="H1630" s="20">
        <f>C1630/C1629-1</f>
        <v/>
      </c>
      <c r="I1630" s="20">
        <f>C1630/MAX(C$2:C1630)-1</f>
        <v/>
      </c>
      <c r="J1630" s="20">
        <f>D1630/D1629-1</f>
        <v/>
      </c>
      <c r="K1630" s="20">
        <f>D1630/MAX(D$2:D1630)-1</f>
        <v/>
      </c>
      <c r="L1630" s="20">
        <f>E1630/E1629-1</f>
        <v/>
      </c>
      <c r="M1630" s="20">
        <f>E1630/MAX(E$2:E1630)-1</f>
        <v/>
      </c>
    </row>
    <row r="1631">
      <c r="A1631" s="11" t="n">
        <v>46115</v>
      </c>
      <c r="B1631" s="19" t="n">
        <v>2.572425422441505</v>
      </c>
      <c r="C1631" s="19" t="n">
        <v>2.151555068887968</v>
      </c>
      <c r="D1631" s="19" t="n">
        <v>2.035322740500496</v>
      </c>
      <c r="E1631" s="19" t="n">
        <v>1.550197331468511</v>
      </c>
      <c r="F1631" s="20">
        <f>B1631/B1630-1</f>
        <v/>
      </c>
      <c r="G1631" s="20">
        <f>B1631/MAX(B$2:B1631)-1</f>
        <v/>
      </c>
      <c r="H1631" s="20">
        <f>C1631/C1630-1</f>
        <v/>
      </c>
      <c r="I1631" s="20">
        <f>C1631/MAX(C$2:C1631)-1</f>
        <v/>
      </c>
      <c r="J1631" s="20">
        <f>D1631/D1630-1</f>
        <v/>
      </c>
      <c r="K1631" s="20">
        <f>D1631/MAX(D$2:D1631)-1</f>
        <v/>
      </c>
      <c r="L1631" s="20">
        <f>E1631/E1630-1</f>
        <v/>
      </c>
      <c r="M1631" s="20">
        <f>E1631/MAX(E$2:E1631)-1</f>
        <v/>
      </c>
    </row>
    <row r="1632">
      <c r="A1632" s="11" t="n">
        <v>46119</v>
      </c>
      <c r="B1632" s="19" t="n">
        <v>2.573367219602126</v>
      </c>
      <c r="C1632" s="19" t="n">
        <v>2.14063943984379</v>
      </c>
      <c r="D1632" s="19" t="n">
        <v>2.042572972605503</v>
      </c>
      <c r="E1632" s="19" t="n">
        <v>1.558487484981606</v>
      </c>
      <c r="F1632" s="20">
        <f>B1632/B1631-1</f>
        <v/>
      </c>
      <c r="G1632" s="20">
        <f>B1632/MAX(B$2:B1632)-1</f>
        <v/>
      </c>
      <c r="H1632" s="20">
        <f>C1632/C1631-1</f>
        <v/>
      </c>
      <c r="I1632" s="20">
        <f>C1632/MAX(C$2:C1632)-1</f>
        <v/>
      </c>
      <c r="J1632" s="20">
        <f>D1632/D1631-1</f>
        <v/>
      </c>
      <c r="K1632" s="20">
        <f>D1632/MAX(D$2:D1632)-1</f>
        <v/>
      </c>
      <c r="L1632" s="20">
        <f>E1632/E1631-1</f>
        <v/>
      </c>
      <c r="M1632" s="20">
        <f>E1632/MAX(E$2:E1632)-1</f>
        <v/>
      </c>
    </row>
    <row r="1633">
      <c r="A1633" s="11" t="n">
        <v>46120</v>
      </c>
      <c r="B1633" s="19" t="n">
        <v>2.701125903984937</v>
      </c>
      <c r="C1633" s="19" t="n">
        <v>2.243488585691668</v>
      </c>
      <c r="D1633" s="19" t="n">
        <v>2.163282632652042</v>
      </c>
      <c r="E1633" s="19" t="n">
        <v>1.621479558245331</v>
      </c>
      <c r="F1633" s="20">
        <f>B1633/B1632-1</f>
        <v/>
      </c>
      <c r="G1633" s="20">
        <f>B1633/MAX(B$2:B1633)-1</f>
        <v/>
      </c>
      <c r="H1633" s="20">
        <f>C1633/C1632-1</f>
        <v/>
      </c>
      <c r="I1633" s="20">
        <f>C1633/MAX(C$2:C1633)-1</f>
        <v/>
      </c>
      <c r="J1633" s="20">
        <f>D1633/D1632-1</f>
        <v/>
      </c>
      <c r="K1633" s="20">
        <f>D1633/MAX(D$2:D1633)-1</f>
        <v/>
      </c>
      <c r="L1633" s="20">
        <f>E1633/E1632-1</f>
        <v/>
      </c>
      <c r="M1633" s="20">
        <f>E1633/MAX(E$2:E1633)-1</f>
        <v/>
      </c>
    </row>
    <row r="1634">
      <c r="A1634" s="11" t="n">
        <v>46121</v>
      </c>
      <c r="B1634" s="19" t="n">
        <v>2.707184511730371</v>
      </c>
      <c r="C1634" s="19" t="n">
        <v>2.242244905763203</v>
      </c>
      <c r="D1634" s="19" t="n">
        <v>2.14757238551732</v>
      </c>
      <c r="E1634" s="19" t="n">
        <v>1.610731409738987</v>
      </c>
      <c r="F1634" s="20">
        <f>B1634/B1633-1</f>
        <v/>
      </c>
      <c r="G1634" s="20">
        <f>B1634/MAX(B$2:B1634)-1</f>
        <v/>
      </c>
      <c r="H1634" s="20">
        <f>C1634/C1633-1</f>
        <v/>
      </c>
      <c r="I1634" s="20">
        <f>C1634/MAX(C$2:C1634)-1</f>
        <v/>
      </c>
      <c r="J1634" s="20">
        <f>D1634/D1633-1</f>
        <v/>
      </c>
      <c r="K1634" s="20">
        <f>D1634/MAX(D$2:D1634)-1</f>
        <v/>
      </c>
      <c r="L1634" s="20">
        <f>E1634/E1633-1</f>
        <v/>
      </c>
      <c r="M1634" s="20">
        <f>E1634/MAX(E$2:E1634)-1</f>
        <v/>
      </c>
    </row>
    <row r="1635">
      <c r="A1635" s="11" t="n">
        <v>46122</v>
      </c>
      <c r="B1635" s="19" t="n">
        <v>2.742173057322209</v>
      </c>
      <c r="C1635" s="19" t="n">
        <v>2.285112469194799</v>
      </c>
      <c r="D1635" s="19" t="n">
        <v>2.228664934331101</v>
      </c>
      <c r="E1635" s="19" t="n">
        <v>1.629616087071348</v>
      </c>
      <c r="F1635" s="20">
        <f>B1635/B1634-1</f>
        <v/>
      </c>
      <c r="G1635" s="20">
        <f>B1635/MAX(B$2:B1635)-1</f>
        <v/>
      </c>
      <c r="H1635" s="20">
        <f>C1635/C1634-1</f>
        <v/>
      </c>
      <c r="I1635" s="20">
        <f>C1635/MAX(C$2:C1635)-1</f>
        <v/>
      </c>
      <c r="J1635" s="20">
        <f>D1635/D1634-1</f>
        <v/>
      </c>
      <c r="K1635" s="20">
        <f>D1635/MAX(D$2:D1635)-1</f>
        <v/>
      </c>
      <c r="L1635" s="20">
        <f>E1635/E1634-1</f>
        <v/>
      </c>
      <c r="M1635" s="20">
        <f>E1635/MAX(E$2:E1635)-1</f>
        <v/>
      </c>
    </row>
    <row r="1636">
      <c r="A1636" s="11" t="n">
        <v>46125</v>
      </c>
      <c r="B1636" s="19" t="n">
        <v>2.731967197051204</v>
      </c>
      <c r="C1636" s="19" t="n">
        <v>2.276177560129514</v>
      </c>
      <c r="D1636" s="19" t="n">
        <v>2.246534515712348</v>
      </c>
      <c r="E1636" s="19" t="n">
        <v>1.633779204499381</v>
      </c>
      <c r="F1636" s="20">
        <f>B1636/B1635-1</f>
        <v/>
      </c>
      <c r="G1636" s="20">
        <f>B1636/MAX(B$2:B1636)-1</f>
        <v/>
      </c>
      <c r="H1636" s="20">
        <f>C1636/C1635-1</f>
        <v/>
      </c>
      <c r="I1636" s="20">
        <f>C1636/MAX(C$2:C1636)-1</f>
        <v/>
      </c>
      <c r="J1636" s="20">
        <f>D1636/D1635-1</f>
        <v/>
      </c>
      <c r="K1636" s="20">
        <f>D1636/MAX(D$2:D1636)-1</f>
        <v/>
      </c>
      <c r="L1636" s="20">
        <f>E1636/E1635-1</f>
        <v/>
      </c>
      <c r="M1636" s="20">
        <f>E1636/MAX(E$2:E1636)-1</f>
        <v/>
      </c>
    </row>
    <row r="1637">
      <c r="A1637" s="11" t="n">
        <v>46126</v>
      </c>
      <c r="B1637" s="19" t="n">
        <v>2.775912538446677</v>
      </c>
      <c r="C1637" s="19" t="n">
        <v>2.314168624547046</v>
      </c>
      <c r="D1637" s="19" t="n">
        <v>2.299580986407665</v>
      </c>
      <c r="E1637" s="19" t="n">
        <v>1.654628641146866</v>
      </c>
      <c r="F1637" s="20">
        <f>B1637/B1636-1</f>
        <v/>
      </c>
      <c r="G1637" s="20">
        <f>B1637/MAX(B$2:B1637)-1</f>
        <v/>
      </c>
      <c r="H1637" s="20">
        <f>C1637/C1636-1</f>
        <v/>
      </c>
      <c r="I1637" s="20">
        <f>C1637/MAX(C$2:C1637)-1</f>
        <v/>
      </c>
      <c r="J1637" s="20">
        <f>D1637/D1636-1</f>
        <v/>
      </c>
      <c r="K1637" s="20">
        <f>D1637/MAX(D$2:D1637)-1</f>
        <v/>
      </c>
      <c r="L1637" s="20">
        <f>E1637/E1636-1</f>
        <v/>
      </c>
      <c r="M1637" s="20">
        <f>E1637/MAX(E$2:E1637)-1</f>
        <v/>
      </c>
    </row>
    <row r="1638">
      <c r="A1638" s="11" t="n">
        <v>46127</v>
      </c>
      <c r="B1638" s="19" t="n">
        <v>2.757101033940709</v>
      </c>
      <c r="C1638" s="19" t="n">
        <v>2.307753350602924</v>
      </c>
      <c r="D1638" s="19" t="n">
        <v>2.271427313151674</v>
      </c>
      <c r="E1638" s="19" t="n">
        <v>1.647486395101865</v>
      </c>
      <c r="F1638" s="20">
        <f>B1638/B1637-1</f>
        <v/>
      </c>
      <c r="G1638" s="20">
        <f>B1638/MAX(B$2:B1638)-1</f>
        <v/>
      </c>
      <c r="H1638" s="20">
        <f>C1638/C1637-1</f>
        <v/>
      </c>
      <c r="I1638" s="20">
        <f>C1638/MAX(C$2:C1638)-1</f>
        <v/>
      </c>
      <c r="J1638" s="20">
        <f>D1638/D1637-1</f>
        <v/>
      </c>
      <c r="K1638" s="20">
        <f>D1638/MAX(D$2:D1638)-1</f>
        <v/>
      </c>
      <c r="L1638" s="20">
        <f>E1638/E1637-1</f>
        <v/>
      </c>
      <c r="M1638" s="20">
        <f>E1638/MAX(E$2:E1638)-1</f>
        <v/>
      </c>
    </row>
    <row r="1639">
      <c r="A1639" s="11" t="n">
        <v>46128</v>
      </c>
      <c r="B1639" s="19" t="n">
        <v>2.807378709424023</v>
      </c>
      <c r="C1639" s="19" t="n">
        <v>2.331310926475649</v>
      </c>
      <c r="D1639" s="19" t="n">
        <v>2.34335811984961</v>
      </c>
      <c r="E1639" s="19" t="n">
        <v>1.670340392133524</v>
      </c>
      <c r="F1639" s="20">
        <f>B1639/B1638-1</f>
        <v/>
      </c>
      <c r="G1639" s="20">
        <f>B1639/MAX(B$2:B1639)-1</f>
        <v/>
      </c>
      <c r="H1639" s="20">
        <f>C1639/C1638-1</f>
        <v/>
      </c>
      <c r="I1639" s="20">
        <f>C1639/MAX(C$2:C1639)-1</f>
        <v/>
      </c>
      <c r="J1639" s="20">
        <f>D1639/D1638-1</f>
        <v/>
      </c>
      <c r="K1639" s="20">
        <f>D1639/MAX(D$2:D1639)-1</f>
        <v/>
      </c>
      <c r="L1639" s="20">
        <f>E1639/E1638-1</f>
        <v/>
      </c>
      <c r="M1639" s="20">
        <f>E1639/MAX(E$2:E1639)-1</f>
        <v/>
      </c>
    </row>
    <row r="1640">
      <c r="A1640" s="11" t="n">
        <v>46129</v>
      </c>
      <c r="B1640" s="19" t="n">
        <v>2.83772292394809</v>
      </c>
      <c r="C1640" s="19" t="n">
        <v>2.322699539656607</v>
      </c>
      <c r="D1640" s="19" t="n">
        <v>2.376975881305956</v>
      </c>
      <c r="E1640" s="19" t="n">
        <v>1.674200723858695</v>
      </c>
      <c r="F1640" s="20">
        <f>B1640/B1639-1</f>
        <v/>
      </c>
      <c r="G1640" s="20">
        <f>B1640/MAX(B$2:B1640)-1</f>
        <v/>
      </c>
      <c r="H1640" s="20">
        <f>C1640/C1639-1</f>
        <v/>
      </c>
      <c r="I1640" s="20">
        <f>C1640/MAX(C$2:C1640)-1</f>
        <v/>
      </c>
      <c r="J1640" s="20">
        <f>D1640/D1639-1</f>
        <v/>
      </c>
      <c r="K1640" s="20">
        <f>D1640/MAX(D$2:D1640)-1</f>
        <v/>
      </c>
      <c r="L1640" s="20">
        <f>E1640/E1639-1</f>
        <v/>
      </c>
      <c r="M1640" s="20">
        <f>E1640/MAX(E$2:E1640)-1</f>
        <v/>
      </c>
    </row>
    <row r="1641">
      <c r="A1641" s="11" t="n">
        <v>46132</v>
      </c>
      <c r="B1641" s="19" t="n">
        <v>2.877250150992865</v>
      </c>
      <c r="C1641" s="19" t="n">
        <v>2.370614646572629</v>
      </c>
      <c r="D1641" s="19" t="n">
        <v>2.37651215595647</v>
      </c>
      <c r="E1641" s="19" t="n">
        <v>1.686258215944978</v>
      </c>
      <c r="F1641" s="20">
        <f>B1641/B1640-1</f>
        <v/>
      </c>
      <c r="G1641" s="20">
        <f>B1641/MAX(B$2:B1641)-1</f>
        <v/>
      </c>
      <c r="H1641" s="20">
        <f>C1641/C1640-1</f>
        <v/>
      </c>
      <c r="I1641" s="20">
        <f>C1641/MAX(C$2:C1641)-1</f>
        <v/>
      </c>
      <c r="J1641" s="20">
        <f>D1641/D1640-1</f>
        <v/>
      </c>
      <c r="K1641" s="20">
        <f>D1641/MAX(D$2:D1641)-1</f>
        <v/>
      </c>
      <c r="L1641" s="20">
        <f>E1641/E1640-1</f>
        <v/>
      </c>
      <c r="M1641" s="20">
        <f>E1641/MAX(E$2:E1641)-1</f>
        <v/>
      </c>
    </row>
    <row r="1642">
      <c r="A1642" s="11" t="n">
        <v>46133</v>
      </c>
      <c r="B1642" s="19" t="n">
        <v>2.867956544582362</v>
      </c>
      <c r="C1642" s="19" t="n">
        <v>2.36085034498698</v>
      </c>
      <c r="D1642" s="19" t="n">
        <v>2.383854086259765</v>
      </c>
      <c r="E1642" s="19" t="n">
        <v>1.685600568374145</v>
      </c>
      <c r="F1642" s="20">
        <f>B1642/B1641-1</f>
        <v/>
      </c>
      <c r="G1642" s="20">
        <f>B1642/MAX(B$2:B1642)-1</f>
        <v/>
      </c>
      <c r="H1642" s="20">
        <f>C1642/C1641-1</f>
        <v/>
      </c>
      <c r="I1642" s="20">
        <f>C1642/MAX(C$2:C1642)-1</f>
        <v/>
      </c>
      <c r="J1642" s="20">
        <f>D1642/D1641-1</f>
        <v/>
      </c>
      <c r="K1642" s="20">
        <f>D1642/MAX(D$2:D1642)-1</f>
        <v/>
      </c>
      <c r="L1642" s="20">
        <f>E1642/E1641-1</f>
        <v/>
      </c>
      <c r="M1642" s="20">
        <f>E1642/MAX(E$2:E1642)-1</f>
        <v/>
      </c>
    </row>
    <row r="1643">
      <c r="A1643" s="11" t="n">
        <v>46134</v>
      </c>
      <c r="B1643" s="19" t="n">
        <v>2.934371867153921</v>
      </c>
      <c r="C1643" s="19" t="n">
        <v>2.39925242599597</v>
      </c>
      <c r="D1643" s="19" t="n">
        <v>2.425096885705595</v>
      </c>
      <c r="E1643" s="19" t="n">
        <v>1.701758686490327</v>
      </c>
      <c r="F1643" s="20">
        <f>B1643/B1642-1</f>
        <v/>
      </c>
      <c r="G1643" s="20">
        <f>B1643/MAX(B$2:B1643)-1</f>
        <v/>
      </c>
      <c r="H1643" s="20">
        <f>C1643/C1642-1</f>
        <v/>
      </c>
      <c r="I1643" s="20">
        <f>C1643/MAX(C$2:C1643)-1</f>
        <v/>
      </c>
      <c r="J1643" s="20">
        <f>D1643/D1642-1</f>
        <v/>
      </c>
      <c r="K1643" s="20">
        <f>D1643/MAX(D$2:D1643)-1</f>
        <v/>
      </c>
      <c r="L1643" s="20">
        <f>E1643/E1642-1</f>
        <v/>
      </c>
      <c r="M1643" s="20">
        <f>E1643/MAX(E$2:E1643)-1</f>
        <v/>
      </c>
    </row>
    <row r="1644">
      <c r="A1644" s="11" t="n">
        <v>46135</v>
      </c>
      <c r="B1644" s="19" t="n">
        <v>2.897956843664144</v>
      </c>
      <c r="C1644" s="19" t="n">
        <v>2.376670178786205</v>
      </c>
      <c r="D1644" s="19" t="n">
        <v>2.404087271094576</v>
      </c>
      <c r="E1644" s="19" t="n">
        <v>1.686569557017821</v>
      </c>
      <c r="F1644" s="20">
        <f>B1644/B1643-1</f>
        <v/>
      </c>
      <c r="G1644" s="20">
        <f>B1644/MAX(B$2:B1644)-1</f>
        <v/>
      </c>
      <c r="H1644" s="20">
        <f>C1644/C1643-1</f>
        <v/>
      </c>
      <c r="I1644" s="20">
        <f>C1644/MAX(C$2:C1644)-1</f>
        <v/>
      </c>
      <c r="J1644" s="20">
        <f>D1644/D1643-1</f>
        <v/>
      </c>
      <c r="K1644" s="20">
        <f>D1644/MAX(D$2:D1644)-1</f>
        <v/>
      </c>
      <c r="L1644" s="20">
        <f>E1644/E1643-1</f>
        <v/>
      </c>
      <c r="M1644" s="20">
        <f>E1644/MAX(E$2:E1644)-1</f>
        <v/>
      </c>
    </row>
    <row r="1645">
      <c r="A1645" s="11" t="n">
        <v>46136</v>
      </c>
      <c r="B1645" s="19" t="n">
        <v>2.855386899937677</v>
      </c>
      <c r="C1645" s="19" t="n">
        <v>2.359228741435451</v>
      </c>
      <c r="D1645" s="19" t="n">
        <v>2.370185238761365</v>
      </c>
      <c r="E1645" s="19" t="n">
        <v>1.678563218604582</v>
      </c>
      <c r="F1645" s="20">
        <f>B1645/B1644-1</f>
        <v/>
      </c>
      <c r="G1645" s="20">
        <f>B1645/MAX(B$2:B1645)-1</f>
        <v/>
      </c>
      <c r="H1645" s="20">
        <f>C1645/C1644-1</f>
        <v/>
      </c>
      <c r="I1645" s="20">
        <f>C1645/MAX(C$2:C1645)-1</f>
        <v/>
      </c>
      <c r="J1645" s="20">
        <f>D1645/D1644-1</f>
        <v/>
      </c>
      <c r="K1645" s="20">
        <f>D1645/MAX(D$2:D1645)-1</f>
        <v/>
      </c>
      <c r="L1645" s="20">
        <f>E1645/E1644-1</f>
        <v/>
      </c>
      <c r="M1645" s="20">
        <f>E1645/MAX(E$2:E1645)-1</f>
        <v/>
      </c>
    </row>
    <row r="1646">
      <c r="A1646" s="11" t="n">
        <v>46139</v>
      </c>
      <c r="B1646" s="19" t="n">
        <v>2.890465776641569</v>
      </c>
      <c r="C1646" s="19" t="n">
        <v>2.404137823555315</v>
      </c>
      <c r="D1646" s="19" t="n">
        <v>2.357908988988914</v>
      </c>
      <c r="E1646" s="19" t="n">
        <v>1.685975144790337</v>
      </c>
      <c r="F1646" s="20">
        <f>B1646/B1645-1</f>
        <v/>
      </c>
      <c r="G1646" s="20">
        <f>B1646/MAX(B$2:B1646)-1</f>
        <v/>
      </c>
      <c r="H1646" s="20">
        <f>C1646/C1645-1</f>
        <v/>
      </c>
      <c r="I1646" s="20">
        <f>C1646/MAX(C$2:C1646)-1</f>
        <v/>
      </c>
      <c r="J1646" s="20">
        <f>D1646/D1645-1</f>
        <v/>
      </c>
      <c r="K1646" s="20">
        <f>D1646/MAX(D$2:D1646)-1</f>
        <v/>
      </c>
      <c r="L1646" s="20">
        <f>E1646/E1645-1</f>
        <v/>
      </c>
      <c r="M1646" s="20">
        <f>E1646/MAX(E$2:E1646)-1</f>
        <v/>
      </c>
    </row>
    <row r="1647">
      <c r="A1647" s="11" t="n">
        <v>46140</v>
      </c>
      <c r="B1647" s="19" t="n">
        <v>2.85962457421408</v>
      </c>
      <c r="C1647" s="19" t="n">
        <v>2.377513087475346</v>
      </c>
      <c r="D1647" s="19" t="n">
        <v>2.324256461055698</v>
      </c>
      <c r="E1647" s="19" t="n">
        <v>1.672740359399934</v>
      </c>
      <c r="F1647" s="20">
        <f>B1647/B1646-1</f>
        <v/>
      </c>
      <c r="G1647" s="20">
        <f>B1647/MAX(B$2:B1647)-1</f>
        <v/>
      </c>
      <c r="H1647" s="20">
        <f>C1647/C1646-1</f>
        <v/>
      </c>
      <c r="I1647" s="20">
        <f>C1647/MAX(C$2:C1647)-1</f>
        <v/>
      </c>
      <c r="J1647" s="20">
        <f>D1647/D1646-1</f>
        <v/>
      </c>
      <c r="K1647" s="20">
        <f>D1647/MAX(D$2:D1647)-1</f>
        <v/>
      </c>
      <c r="L1647" s="20">
        <f>E1647/E1646-1</f>
        <v/>
      </c>
      <c r="M1647" s="20">
        <f>E1647/MAX(E$2:E1647)-1</f>
        <v/>
      </c>
    </row>
    <row r="1648">
      <c r="A1648" s="11" t="n">
        <v>46141</v>
      </c>
      <c r="B1648" s="19" t="n">
        <v>2.869330415583835</v>
      </c>
      <c r="C1648" s="19" t="n">
        <v>2.395364627512907</v>
      </c>
      <c r="D1648" s="19" t="n">
        <v>2.382710863690402</v>
      </c>
      <c r="E1648" s="19" t="n">
        <v>1.694858594613093</v>
      </c>
      <c r="F1648" s="20">
        <f>B1648/B1647-1</f>
        <v/>
      </c>
      <c r="G1648" s="20">
        <f>B1648/MAX(B$2:B1648)-1</f>
        <v/>
      </c>
      <c r="H1648" s="20">
        <f>C1648/C1647-1</f>
        <v/>
      </c>
      <c r="I1648" s="20">
        <f>C1648/MAX(C$2:C1648)-1</f>
        <v/>
      </c>
      <c r="J1648" s="20">
        <f>D1648/D1647-1</f>
        <v/>
      </c>
      <c r="K1648" s="20">
        <f>D1648/MAX(D$2:D1648)-1</f>
        <v/>
      </c>
      <c r="L1648" s="20">
        <f>E1648/E1647-1</f>
        <v/>
      </c>
      <c r="M1648" s="20">
        <f>E1648/MAX(E$2:E1648)-1</f>
        <v/>
      </c>
    </row>
    <row r="1649">
      <c r="A1649" s="11" t="n">
        <v>46142</v>
      </c>
      <c r="B1649" s="19" t="n">
        <v>2.870354379201431</v>
      </c>
      <c r="C1649" s="19" t="n">
        <v>2.402591977889279</v>
      </c>
      <c r="D1649" s="19" t="n">
        <v>2.376236027414336</v>
      </c>
      <c r="E1649" s="19" t="n">
        <v>1.699121400700053</v>
      </c>
      <c r="F1649" s="20">
        <f>B1649/B1648-1</f>
        <v/>
      </c>
      <c r="G1649" s="20">
        <f>B1649/MAX(B$2:B1649)-1</f>
        <v/>
      </c>
      <c r="H1649" s="20">
        <f>C1649/C1648-1</f>
        <v/>
      </c>
      <c r="I1649" s="20">
        <f>C1649/MAX(C$2:C1649)-1</f>
        <v/>
      </c>
      <c r="J1649" s="20">
        <f>D1649/D1648-1</f>
        <v/>
      </c>
      <c r="K1649" s="20">
        <f>D1649/MAX(D$2:D1649)-1</f>
        <v/>
      </c>
      <c r="L1649" s="20">
        <f>E1649/E1648-1</f>
        <v/>
      </c>
      <c r="M1649" s="20">
        <f>E1649/MAX(E$2:E1649)-1</f>
        <v/>
      </c>
    </row>
    <row r="1650">
      <c r="A1650" s="11" t="n">
        <v>46148</v>
      </c>
      <c r="B1650" s="19" t="n">
        <v>2.919281936128733</v>
      </c>
      <c r="C1650" s="19" t="n">
        <v>2.455292049053591</v>
      </c>
      <c r="D1650" s="19" t="n">
        <v>2.44151105706439</v>
      </c>
      <c r="E1650" s="19" t="n">
        <v>1.73283625393826</v>
      </c>
      <c r="F1650" s="20">
        <f>B1650/B1649-1</f>
        <v/>
      </c>
      <c r="G1650" s="20">
        <f>B1650/MAX(B$2:B1650)-1</f>
        <v/>
      </c>
      <c r="H1650" s="20">
        <f>C1650/C1649-1</f>
        <v/>
      </c>
      <c r="I1650" s="20">
        <f>C1650/MAX(C$2:C1650)-1</f>
        <v/>
      </c>
      <c r="J1650" s="20">
        <f>D1650/D1649-1</f>
        <v/>
      </c>
      <c r="K1650" s="20">
        <f>D1650/MAX(D$2:D1650)-1</f>
        <v/>
      </c>
      <c r="L1650" s="20">
        <f>E1650/E1649-1</f>
        <v/>
      </c>
      <c r="M1650" s="20">
        <f>E1650/MAX(E$2:E1650)-1</f>
        <v/>
      </c>
    </row>
    <row r="1651">
      <c r="A1651" s="11" t="n">
        <v>46149</v>
      </c>
      <c r="B1651" s="19" t="n">
        <v>2.970891631416396</v>
      </c>
      <c r="C1651" s="19" t="n">
        <v>2.484749600948344</v>
      </c>
      <c r="D1651" s="19" t="n">
        <v>2.476986886382185</v>
      </c>
      <c r="E1651" s="19" t="n">
        <v>1.751168179975227</v>
      </c>
      <c r="F1651" s="20">
        <f>B1651/B1650-1</f>
        <v/>
      </c>
      <c r="G1651" s="20">
        <f>B1651/MAX(B$2:B1651)-1</f>
        <v/>
      </c>
      <c r="H1651" s="20">
        <f>C1651/C1650-1</f>
        <v/>
      </c>
      <c r="I1651" s="20">
        <f>C1651/MAX(C$2:C1651)-1</f>
        <v/>
      </c>
      <c r="J1651" s="20">
        <f>D1651/D1650-1</f>
        <v/>
      </c>
      <c r="K1651" s="20">
        <f>D1651/MAX(D$2:D1651)-1</f>
        <v/>
      </c>
      <c r="L1651" s="20">
        <f>E1651/E1650-1</f>
        <v/>
      </c>
      <c r="M1651" s="20">
        <f>E1651/MAX(E$2:E1651)-1</f>
        <v/>
      </c>
    </row>
    <row r="1652">
      <c r="A1652" s="11" t="n">
        <v>46150</v>
      </c>
      <c r="B1652" s="19" t="n">
        <v>2.974582380433751</v>
      </c>
      <c r="C1652" s="19" t="n">
        <v>2.475886697949462</v>
      </c>
      <c r="D1652" s="19" t="n">
        <v>2.453122801852342</v>
      </c>
      <c r="E1652" s="19" t="n">
        <v>1.751202029482549</v>
      </c>
      <c r="F1652" s="20">
        <f>B1652/B1651-1</f>
        <v/>
      </c>
      <c r="G1652" s="20">
        <f>B1652/MAX(B$2:B1652)-1</f>
        <v/>
      </c>
      <c r="H1652" s="20">
        <f>C1652/C1651-1</f>
        <v/>
      </c>
      <c r="I1652" s="20">
        <f>C1652/MAX(C$2:C1652)-1</f>
        <v/>
      </c>
      <c r="J1652" s="20">
        <f>D1652/D1651-1</f>
        <v/>
      </c>
      <c r="K1652" s="20">
        <f>D1652/MAX(D$2:D1652)-1</f>
        <v/>
      </c>
      <c r="L1652" s="20">
        <f>E1652/E1651-1</f>
        <v/>
      </c>
      <c r="M1652" s="20">
        <f>E1652/MAX(E$2:E1652)-1</f>
        <v/>
      </c>
    </row>
    <row r="1653">
      <c r="A1653" s="11" t="n">
        <v>46153</v>
      </c>
      <c r="B1653" s="19" t="n">
        <v>3.04417345485963</v>
      </c>
      <c r="C1653" s="19" t="n">
        <v>2.541325156933061</v>
      </c>
      <c r="D1653" s="19" t="n">
        <v>2.538969892554139</v>
      </c>
      <c r="E1653" s="19" t="n">
        <v>1.778546479837225</v>
      </c>
      <c r="F1653" s="20">
        <f>B1653/B1652-1</f>
        <v/>
      </c>
      <c r="G1653" s="20">
        <f>B1653/MAX(B$2:B1653)-1</f>
        <v/>
      </c>
      <c r="H1653" s="20">
        <f>C1653/C1652-1</f>
        <v/>
      </c>
      <c r="I1653" s="20">
        <f>C1653/MAX(C$2:C1653)-1</f>
        <v/>
      </c>
      <c r="J1653" s="20">
        <f>D1653/D1652-1</f>
        <v/>
      </c>
      <c r="K1653" s="20">
        <f>D1653/MAX(D$2:D1653)-1</f>
        <v/>
      </c>
      <c r="L1653" s="20">
        <f>E1653/E1652-1</f>
        <v/>
      </c>
      <c r="M1653" s="20">
        <f>E1653/MAX(E$2:E1653)-1</f>
        <v/>
      </c>
    </row>
    <row r="1654">
      <c r="A1654" s="11" t="n">
        <v>46154</v>
      </c>
      <c r="B1654" s="19" t="n">
        <v>3.048726508066025</v>
      </c>
      <c r="C1654" s="19" t="n">
        <v>2.526824664747306</v>
      </c>
      <c r="D1654" s="19" t="n">
        <v>2.542787807461183</v>
      </c>
      <c r="E1654" s="19" t="n">
        <v>1.770541257341809</v>
      </c>
      <c r="F1654" s="20">
        <f>B1654/B1653-1</f>
        <v/>
      </c>
      <c r="G1654" s="20">
        <f>B1654/MAX(B$2:B1654)-1</f>
        <v/>
      </c>
      <c r="H1654" s="20">
        <f>C1654/C1653-1</f>
        <v/>
      </c>
      <c r="I1654" s="20">
        <f>C1654/MAX(C$2:C1654)-1</f>
        <v/>
      </c>
      <c r="J1654" s="20">
        <f>D1654/D1653-1</f>
        <v/>
      </c>
      <c r="K1654" s="20">
        <f>D1654/MAX(D$2:D1654)-1</f>
        <v/>
      </c>
      <c r="L1654" s="20">
        <f>E1654/E1653-1</f>
        <v/>
      </c>
      <c r="M1654" s="20">
        <f>E1654/MAX(E$2:E1654)-1</f>
        <v/>
      </c>
    </row>
    <row r="1655">
      <c r="A1655" s="11" t="n">
        <v>46155</v>
      </c>
      <c r="B1655" s="19" t="n">
        <v>3.107587570391318</v>
      </c>
      <c r="C1655" s="19" t="n">
        <v>2.576264934224118</v>
      </c>
      <c r="D1655" s="19" t="n">
        <v>2.609639412829102</v>
      </c>
      <c r="E1655" s="19" t="n">
        <v>1.792701153487057</v>
      </c>
      <c r="F1655" s="20">
        <f>B1655/B1654-1</f>
        <v/>
      </c>
      <c r="G1655" s="20">
        <f>B1655/MAX(B$2:B1655)-1</f>
        <v/>
      </c>
      <c r="H1655" s="20">
        <f>C1655/C1654-1</f>
        <v/>
      </c>
      <c r="I1655" s="20">
        <f>C1655/MAX(C$2:C1655)-1</f>
        <v/>
      </c>
      <c r="J1655" s="20">
        <f>D1655/D1654-1</f>
        <v/>
      </c>
      <c r="K1655" s="20">
        <f>D1655/MAX(D$2:D1655)-1</f>
        <v/>
      </c>
      <c r="L1655" s="20">
        <f>E1655/E1654-1</f>
        <v/>
      </c>
      <c r="M1655" s="20">
        <f>E1655/MAX(E$2:E1655)-1</f>
        <v/>
      </c>
    </row>
    <row r="1656">
      <c r="A1656" s="11" t="n">
        <v>46156</v>
      </c>
      <c r="B1656" s="19" t="n">
        <v>3.051522402525969</v>
      </c>
      <c r="C1656" s="19" t="n">
        <v>2.493238957446435</v>
      </c>
      <c r="D1656" s="19" t="n">
        <v>2.553294262620151</v>
      </c>
      <c r="E1656" s="19" t="n">
        <v>1.756410761911493</v>
      </c>
      <c r="F1656" s="20">
        <f>B1656/B1655-1</f>
        <v/>
      </c>
      <c r="G1656" s="20">
        <f>B1656/MAX(B$2:B1656)-1</f>
        <v/>
      </c>
      <c r="H1656" s="20">
        <f>C1656/C1655-1</f>
        <v/>
      </c>
      <c r="I1656" s="20">
        <f>C1656/MAX(C$2:C1656)-1</f>
        <v/>
      </c>
      <c r="J1656" s="20">
        <f>D1656/D1655-1</f>
        <v/>
      </c>
      <c r="K1656" s="20">
        <f>D1656/MAX(D$2:D1656)-1</f>
        <v/>
      </c>
      <c r="L1656" s="20">
        <f>E1656/E1655-1</f>
        <v/>
      </c>
      <c r="M1656" s="20">
        <f>E1656/MAX(E$2:E1656)-1</f>
        <v/>
      </c>
    </row>
    <row r="1657">
      <c r="A1657" s="11" t="n">
        <v>46157</v>
      </c>
      <c r="B1657" s="19" t="n">
        <v>3.021514533459194</v>
      </c>
      <c r="C1657" s="19" t="n">
        <v>2.482616451293812</v>
      </c>
      <c r="D1657" s="19" t="n">
        <v>2.53902824595305</v>
      </c>
      <c r="E1657" s="19" t="n">
        <v>1.738302763384505</v>
      </c>
      <c r="F1657" s="20">
        <f>B1657/B1656-1</f>
        <v/>
      </c>
      <c r="G1657" s="20">
        <f>B1657/MAX(B$2:B1657)-1</f>
        <v/>
      </c>
      <c r="H1657" s="20">
        <f>C1657/C1656-1</f>
        <v/>
      </c>
      <c r="I1657" s="20">
        <f>C1657/MAX(C$2:C1657)-1</f>
        <v/>
      </c>
      <c r="J1657" s="20">
        <f>D1657/D1656-1</f>
        <v/>
      </c>
      <c r="K1657" s="20">
        <f>D1657/MAX(D$2:D1657)-1</f>
        <v/>
      </c>
      <c r="L1657" s="20">
        <f>E1657/E1656-1</f>
        <v/>
      </c>
      <c r="M1657" s="20">
        <f>E1657/MAX(E$2:E1657)-1</f>
        <v/>
      </c>
    </row>
    <row r="1658">
      <c r="A1658" s="11" t="n">
        <v>46160</v>
      </c>
      <c r="B1658" s="19" t="n">
        <v>3.043644248286689</v>
      </c>
      <c r="C1658" s="19" t="n">
        <v>2.501989931175765</v>
      </c>
      <c r="D1658" s="19" t="n">
        <v>2.529859136962924</v>
      </c>
      <c r="E1658" s="19" t="n">
        <v>1.737628377046314</v>
      </c>
      <c r="F1658" s="20">
        <f>B1658/B1657-1</f>
        <v/>
      </c>
      <c r="G1658" s="20">
        <f>B1658/MAX(B$2:B1658)-1</f>
        <v/>
      </c>
      <c r="H1658" s="20">
        <f>C1658/C1657-1</f>
        <v/>
      </c>
      <c r="I1658" s="20">
        <f>C1658/MAX(C$2:C1658)-1</f>
        <v/>
      </c>
      <c r="J1658" s="20">
        <f>D1658/D1657-1</f>
        <v/>
      </c>
      <c r="K1658" s="20">
        <f>D1658/MAX(D$2:D1658)-1</f>
        <v/>
      </c>
      <c r="L1658" s="20">
        <f>E1658/E1657-1</f>
        <v/>
      </c>
      <c r="M1658" s="20">
        <f>E1658/MAX(E$2:E1658)-1</f>
        <v/>
      </c>
    </row>
    <row r="1659">
      <c r="A1659" s="11" t="n">
        <v>46161</v>
      </c>
      <c r="B1659" s="19" t="n">
        <v>3.067023308926392</v>
      </c>
      <c r="C1659" s="19" t="n">
        <v>2.548772758330181</v>
      </c>
      <c r="D1659" s="19" t="n">
        <v>2.525698856266919</v>
      </c>
      <c r="E1659" s="19" t="n">
        <v>1.751002280192087</v>
      </c>
      <c r="F1659" s="20">
        <f>B1659/B1658-1</f>
        <v/>
      </c>
      <c r="G1659" s="20">
        <f>B1659/MAX(B$2:B1659)-1</f>
        <v/>
      </c>
      <c r="H1659" s="20">
        <f>C1659/C1658-1</f>
        <v/>
      </c>
      <c r="I1659" s="20">
        <f>C1659/MAX(C$2:C1659)-1</f>
        <v/>
      </c>
      <c r="J1659" s="20">
        <f>D1659/D1658-1</f>
        <v/>
      </c>
      <c r="K1659" s="20">
        <f>D1659/MAX(D$2:D1659)-1</f>
        <v/>
      </c>
      <c r="L1659" s="20">
        <f>E1659/E1658-1</f>
        <v/>
      </c>
      <c r="M1659" s="20">
        <f>E1659/MAX(E$2:E1659)-1</f>
        <v/>
      </c>
    </row>
    <row r="1660">
      <c r="A1660" s="11" t="n">
        <v>46162</v>
      </c>
      <c r="B1660" s="19" t="n">
        <v>3.081218912763394</v>
      </c>
      <c r="C1660" s="19" t="n">
        <v>2.5647894664312</v>
      </c>
      <c r="D1660" s="19" t="n">
        <v>2.534327146214425</v>
      </c>
      <c r="E1660" s="19" t="n">
        <v>1.751623102474734</v>
      </c>
      <c r="F1660" s="20">
        <f>B1660/B1659-1</f>
        <v/>
      </c>
      <c r="G1660" s="20">
        <f>B1660/MAX(B$2:B1660)-1</f>
        <v/>
      </c>
      <c r="H1660" s="20">
        <f>C1660/C1659-1</f>
        <v/>
      </c>
      <c r="I1660" s="20">
        <f>C1660/MAX(C$2:C1660)-1</f>
        <v/>
      </c>
      <c r="J1660" s="20">
        <f>D1660/D1659-1</f>
        <v/>
      </c>
      <c r="K1660" s="20">
        <f>D1660/MAX(D$2:D1660)-1</f>
        <v/>
      </c>
      <c r="L1660" s="20">
        <f>E1660/E1659-1</f>
        <v/>
      </c>
      <c r="M1660" s="20">
        <f>E1660/MAX(E$2:E1660)-1</f>
        <v/>
      </c>
    </row>
    <row r="1661">
      <c r="A1661" s="11" t="n">
        <v>46163</v>
      </c>
      <c r="B1661" s="19" t="n">
        <v>2.973169518011282</v>
      </c>
      <c r="C1661" s="19" t="n">
        <v>2.515154920065811</v>
      </c>
      <c r="D1661" s="19" t="n">
        <v>2.474868199187615</v>
      </c>
      <c r="E1661" s="19" t="n">
        <v>1.708973095221268</v>
      </c>
      <c r="F1661" s="20">
        <f>B1661/B1660-1</f>
        <v/>
      </c>
      <c r="G1661" s="20">
        <f>B1661/MAX(B$2:B1661)-1</f>
        <v/>
      </c>
      <c r="H1661" s="20">
        <f>C1661/C1660-1</f>
        <v/>
      </c>
      <c r="I1661" s="20">
        <f>C1661/MAX(C$2:C1661)-1</f>
        <v/>
      </c>
      <c r="J1661" s="20">
        <f>D1661/D1660-1</f>
        <v/>
      </c>
      <c r="K1661" s="20">
        <f>D1661/MAX(D$2:D1661)-1</f>
        <v/>
      </c>
      <c r="L1661" s="20">
        <f>E1661/E1660-1</f>
        <v/>
      </c>
      <c r="M1661" s="20">
        <f>E1661/MAX(E$2:E1661)-1</f>
        <v/>
      </c>
    </row>
    <row r="1662">
      <c r="A1662" s="11" t="n">
        <v>46164</v>
      </c>
      <c r="B1662" s="19" t="n">
        <v>3.048990775444998</v>
      </c>
      <c r="C1662" s="19" t="n">
        <v>2.561313935145959</v>
      </c>
      <c r="D1662" s="19" t="n">
        <v>2.545127113153961</v>
      </c>
      <c r="E1662" s="19" t="n">
        <v>1.73883914788515</v>
      </c>
      <c r="F1662" s="20">
        <f>B1662/B1661-1</f>
        <v/>
      </c>
      <c r="G1662" s="20">
        <f>B1662/MAX(B$2:B1662)-1</f>
        <v/>
      </c>
      <c r="H1662" s="20">
        <f>C1662/C1661-1</f>
        <v/>
      </c>
      <c r="I1662" s="20">
        <f>C1662/MAX(C$2:C1662)-1</f>
        <v/>
      </c>
      <c r="J1662" s="20">
        <f>D1662/D1661-1</f>
        <v/>
      </c>
      <c r="K1662" s="20">
        <f>D1662/MAX(D$2:D1662)-1</f>
        <v/>
      </c>
      <c r="L1662" s="20">
        <f>E1662/E1661-1</f>
        <v/>
      </c>
      <c r="M1662" s="20">
        <f>E1662/MAX(E$2:E1662)-1</f>
        <v/>
      </c>
    </row>
    <row r="1663">
      <c r="A1663" s="11" t="n">
        <v>46167</v>
      </c>
      <c r="B1663" s="19" t="n">
        <v>3.146027684625875</v>
      </c>
      <c r="C1663" s="19" t="n">
        <v>2.614350852324312</v>
      </c>
      <c r="D1663" s="19" t="n">
        <v>2.598542250671856</v>
      </c>
      <c r="E1663" s="19" t="n">
        <v>1.759955660865134</v>
      </c>
      <c r="F1663" s="20">
        <f>B1663/B1662-1</f>
        <v/>
      </c>
      <c r="G1663" s="20">
        <f>B1663/MAX(B$2:B1663)-1</f>
        <v/>
      </c>
      <c r="H1663" s="20">
        <f>C1663/C1662-1</f>
        <v/>
      </c>
      <c r="I1663" s="20">
        <f>C1663/MAX(C$2:C1663)-1</f>
        <v/>
      </c>
      <c r="J1663" s="20">
        <f>D1663/D1662-1</f>
        <v/>
      </c>
      <c r="K1663" s="20">
        <f>D1663/MAX(D$2:D1663)-1</f>
        <v/>
      </c>
      <c r="L1663" s="20">
        <f>E1663/E1662-1</f>
        <v/>
      </c>
      <c r="M1663" s="20">
        <f>E1663/MAX(E$2:E1663)-1</f>
        <v/>
      </c>
    </row>
    <row r="1664">
      <c r="A1664" s="11" t="n">
        <v>46168</v>
      </c>
      <c r="B1664" s="19" t="n">
        <v>3.113041171179193</v>
      </c>
      <c r="C1664" s="19" t="n">
        <v>2.60558237010589</v>
      </c>
      <c r="D1664" s="19" t="n">
        <v>2.612698022711557</v>
      </c>
      <c r="E1664" s="19" t="n">
        <v>1.752165438537106</v>
      </c>
      <c r="F1664" s="20">
        <f>B1664/B1663-1</f>
        <v/>
      </c>
      <c r="G1664" s="20">
        <f>B1664/MAX(B$2:B1664)-1</f>
        <v/>
      </c>
      <c r="H1664" s="20">
        <f>C1664/C1663-1</f>
        <v/>
      </c>
      <c r="I1664" s="20">
        <f>C1664/MAX(C$2:C1664)-1</f>
        <v/>
      </c>
      <c r="J1664" s="20">
        <f>D1664/D1663-1</f>
        <v/>
      </c>
      <c r="K1664" s="20">
        <f>D1664/MAX(D$2:D1664)-1</f>
        <v/>
      </c>
      <c r="L1664" s="20">
        <f>E1664/E1663-1</f>
        <v/>
      </c>
      <c r="M1664" s="20">
        <f>E1664/MAX(E$2:E1664)-1</f>
        <v/>
      </c>
    </row>
    <row r="1665">
      <c r="A1665" s="11" t="n">
        <v>46169</v>
      </c>
      <c r="B1665" s="19" t="n">
        <v>3.076067210228087</v>
      </c>
      <c r="C1665" s="19" t="n">
        <v>2.582917871477589</v>
      </c>
      <c r="D1665" s="19" t="n">
        <v>2.614447526109915</v>
      </c>
      <c r="E1665" s="19" t="n">
        <v>1.728591302536481</v>
      </c>
      <c r="F1665" s="20">
        <f>B1665/B1664-1</f>
        <v/>
      </c>
      <c r="G1665" s="20">
        <f>B1665/MAX(B$2:B1665)-1</f>
        <v/>
      </c>
      <c r="H1665" s="20">
        <f>C1665/C1664-1</f>
        <v/>
      </c>
      <c r="I1665" s="20">
        <f>C1665/MAX(C$2:C1665)-1</f>
        <v/>
      </c>
      <c r="J1665" s="20">
        <f>D1665/D1664-1</f>
        <v/>
      </c>
      <c r="K1665" s="20">
        <f>D1665/MAX(D$2:D1665)-1</f>
        <v/>
      </c>
      <c r="L1665" s="20">
        <f>E1665/E1664-1</f>
        <v/>
      </c>
      <c r="M1665" s="20">
        <f>E1665/MAX(E$2:E1665)-1</f>
        <v/>
      </c>
    </row>
    <row r="1666">
      <c r="A1666" s="11" t="n">
        <v>46170</v>
      </c>
      <c r="B1666" s="19" t="n">
        <v>3.13276432695778</v>
      </c>
      <c r="C1666" s="19" t="n">
        <v>2.593192083757918</v>
      </c>
      <c r="D1666" s="19" t="n">
        <v>2.665693700747356</v>
      </c>
      <c r="E1666" s="19" t="n">
        <v>1.738849563118172</v>
      </c>
      <c r="F1666" s="20">
        <f>B1666/B1665-1</f>
        <v/>
      </c>
      <c r="G1666" s="20">
        <f>B1666/MAX(B$2:B1666)-1</f>
        <v/>
      </c>
      <c r="H1666" s="20">
        <f>C1666/C1665-1</f>
        <v/>
      </c>
      <c r="I1666" s="20">
        <f>C1666/MAX(C$2:C1666)-1</f>
        <v/>
      </c>
      <c r="J1666" s="20">
        <f>D1666/D1665-1</f>
        <v/>
      </c>
      <c r="K1666" s="20">
        <f>D1666/MAX(D$2:D1666)-1</f>
        <v/>
      </c>
      <c r="L1666" s="20">
        <f>E1666/E1665-1</f>
        <v/>
      </c>
      <c r="M1666" s="20">
        <f>E1666/MAX(E$2:E1666)-1</f>
        <v/>
      </c>
    </row>
    <row r="1667">
      <c r="A1667" s="11" t="n">
        <v>46171</v>
      </c>
      <c r="B1667" s="19" t="n">
        <v>3.036577292041184</v>
      </c>
      <c r="C1667" s="19" t="n">
        <v>2.51886142872638</v>
      </c>
      <c r="D1667" s="19" t="n">
        <v>2.609392751784092</v>
      </c>
      <c r="E1667" s="19" t="n">
        <v>1.708836209301547</v>
      </c>
      <c r="F1667" s="20">
        <f>B1667/B1666-1</f>
        <v/>
      </c>
      <c r="G1667" s="20">
        <f>B1667/MAX(B$2:B1667)-1</f>
        <v/>
      </c>
      <c r="H1667" s="20">
        <f>C1667/C1666-1</f>
        <v/>
      </c>
      <c r="I1667" s="20">
        <f>C1667/MAX(C$2:C1667)-1</f>
        <v/>
      </c>
      <c r="J1667" s="20">
        <f>D1667/D1666-1</f>
        <v/>
      </c>
      <c r="K1667" s="20">
        <f>D1667/MAX(D$2:D1667)-1</f>
        <v/>
      </c>
      <c r="L1667" s="20">
        <f>E1667/E1666-1</f>
        <v/>
      </c>
      <c r="M1667" s="20">
        <f>E1667/MAX(E$2:E1667)-1</f>
        <v/>
      </c>
    </row>
    <row r="1668">
      <c r="A1668" s="11" t="n">
        <v>46174</v>
      </c>
      <c r="B1668" s="19" t="n">
        <v>2.952439993738497</v>
      </c>
      <c r="C1668" s="19" t="n">
        <v>2.486384624468161</v>
      </c>
      <c r="D1668" s="19" t="n">
        <v>2.553166828619428</v>
      </c>
      <c r="E1668" s="19" t="n">
        <v>1.695666147144925</v>
      </c>
      <c r="F1668" s="20">
        <f>B1668/B1667-1</f>
        <v/>
      </c>
      <c r="G1668" s="20">
        <f>B1668/MAX(B$2:B1668)-1</f>
        <v/>
      </c>
      <c r="H1668" s="20">
        <f>C1668/C1667-1</f>
        <v/>
      </c>
      <c r="I1668" s="20">
        <f>C1668/MAX(C$2:C1668)-1</f>
        <v/>
      </c>
      <c r="J1668" s="20">
        <f>D1668/D1667-1</f>
        <v/>
      </c>
      <c r="K1668" s="20">
        <f>D1668/MAX(D$2:D1668)-1</f>
        <v/>
      </c>
      <c r="L1668" s="20">
        <f>E1668/E1667-1</f>
        <v/>
      </c>
      <c r="M1668" s="20">
        <f>E1668/MAX(E$2:E1668)-1</f>
        <v/>
      </c>
    </row>
    <row r="1669">
      <c r="A1669" s="11" t="n">
        <v>46175</v>
      </c>
      <c r="B1669" s="19" t="n">
        <v>3.029257052226934</v>
      </c>
      <c r="C1669" s="19" t="n">
        <v>2.505175706586583</v>
      </c>
      <c r="D1669" s="19" t="n">
        <v>2.620972896558681</v>
      </c>
      <c r="E1669" s="19" t="n">
        <v>1.708239565238416</v>
      </c>
      <c r="F1669" s="20">
        <f>B1669/B1668-1</f>
        <v/>
      </c>
      <c r="G1669" s="20">
        <f>B1669/MAX(B$2:B1669)-1</f>
        <v/>
      </c>
      <c r="H1669" s="20">
        <f>C1669/C1668-1</f>
        <v/>
      </c>
      <c r="I1669" s="20">
        <f>C1669/MAX(C$2:C1669)-1</f>
        <v/>
      </c>
      <c r="J1669" s="20">
        <f>D1669/D1668-1</f>
        <v/>
      </c>
      <c r="K1669" s="20">
        <f>D1669/MAX(D$2:D1669)-1</f>
        <v/>
      </c>
      <c r="L1669" s="20">
        <f>E1669/E1668-1</f>
        <v/>
      </c>
      <c r="M1669" s="20">
        <f>E1669/MAX(E$2:E1669)-1</f>
        <v/>
      </c>
    </row>
    <row r="1670">
      <c r="A1670" s="11" t="n">
        <v>46176</v>
      </c>
      <c r="B1670" s="19" t="n">
        <v>3.092420409773487</v>
      </c>
      <c r="C1670" s="19" t="n">
        <v>2.508780146527775</v>
      </c>
      <c r="D1670" s="19" t="n">
        <v>2.664344464184939</v>
      </c>
      <c r="E1670" s="19" t="n">
        <v>1.715202892458999</v>
      </c>
      <c r="F1670" s="20">
        <f>B1670/B1669-1</f>
        <v/>
      </c>
      <c r="G1670" s="20">
        <f>B1670/MAX(B$2:B1670)-1</f>
        <v/>
      </c>
      <c r="H1670" s="20">
        <f>C1670/C1669-1</f>
        <v/>
      </c>
      <c r="I1670" s="20">
        <f>C1670/MAX(C$2:C1670)-1</f>
        <v/>
      </c>
      <c r="J1670" s="20">
        <f>D1670/D1669-1</f>
        <v/>
      </c>
      <c r="K1670" s="20">
        <f>D1670/MAX(D$2:D1670)-1</f>
        <v/>
      </c>
      <c r="L1670" s="20">
        <f>E1670/E1669-1</f>
        <v/>
      </c>
      <c r="M1670" s="20">
        <f>E1670/MAX(E$2:E1670)-1</f>
        <v/>
      </c>
    </row>
    <row r="1671">
      <c r="A1671" s="11" t="n">
        <v>46177</v>
      </c>
      <c r="B1671" s="19" t="n">
        <v>3.108456109810788</v>
      </c>
      <c r="C1671" s="19" t="n">
        <v>2.514873533633976</v>
      </c>
      <c r="D1671" s="19" t="n">
        <v>2.642306524394661</v>
      </c>
      <c r="E1671" s="19" t="n">
        <v>1.708021217317557</v>
      </c>
      <c r="F1671" s="20">
        <f>B1671/B1670-1</f>
        <v/>
      </c>
      <c r="G1671" s="20">
        <f>B1671/MAX(B$2:B1671)-1</f>
        <v/>
      </c>
      <c r="H1671" s="20">
        <f>C1671/C1670-1</f>
        <v/>
      </c>
      <c r="I1671" s="20">
        <f>C1671/MAX(C$2:C1671)-1</f>
        <v/>
      </c>
      <c r="J1671" s="20">
        <f>D1671/D1670-1</f>
        <v/>
      </c>
      <c r="K1671" s="20">
        <f>D1671/MAX(D$2:D1671)-1</f>
        <v/>
      </c>
      <c r="L1671" s="20">
        <f>E1671/E1670-1</f>
        <v/>
      </c>
      <c r="M1671" s="20">
        <f>E1671/MAX(E$2:E1671)-1</f>
        <v/>
      </c>
    </row>
    <row r="1672">
      <c r="A1672" s="11" t="n">
        <v>46178</v>
      </c>
      <c r="B1672" s="19" t="n">
        <v>3.034862672021284</v>
      </c>
      <c r="C1672" s="19" t="n">
        <v>2.474887559665347</v>
      </c>
      <c r="D1672" s="19" t="n">
        <v>2.557685048935109</v>
      </c>
      <c r="E1672" s="19" t="n">
        <v>1.688475172688283</v>
      </c>
      <c r="F1672" s="20">
        <f>B1672/B1671-1</f>
        <v/>
      </c>
      <c r="G1672" s="20">
        <f>B1672/MAX(B$2:B1672)-1</f>
        <v/>
      </c>
      <c r="H1672" s="20">
        <f>C1672/C1671-1</f>
        <v/>
      </c>
      <c r="I1672" s="20">
        <f>C1672/MAX(C$2:C1672)-1</f>
        <v/>
      </c>
      <c r="J1672" s="20">
        <f>D1672/D1671-1</f>
        <v/>
      </c>
      <c r="K1672" s="20">
        <f>D1672/MAX(D$2:D1672)-1</f>
        <v/>
      </c>
      <c r="L1672" s="20">
        <f>E1672/E1671-1</f>
        <v/>
      </c>
      <c r="M1672" s="20">
        <f>E1672/MAX(E$2:E1672)-1</f>
        <v/>
      </c>
    </row>
    <row r="1673">
      <c r="A1673" s="11" t="n">
        <v>46181</v>
      </c>
      <c r="B1673" s="19" t="n">
        <v>2.929313115967358</v>
      </c>
      <c r="C1673" s="19" t="n">
        <v>2.397652948557029</v>
      </c>
      <c r="D1673" s="19" t="n">
        <v>2.463240686703833</v>
      </c>
      <c r="E1673" s="19" t="n">
        <v>1.641985292203082</v>
      </c>
      <c r="F1673" s="20">
        <f>B1673/B1672-1</f>
        <v/>
      </c>
      <c r="G1673" s="20">
        <f>B1673/MAX(B$2:B1673)-1</f>
        <v/>
      </c>
      <c r="H1673" s="20">
        <f>C1673/C1672-1</f>
        <v/>
      </c>
      <c r="I1673" s="20">
        <f>C1673/MAX(C$2:C1673)-1</f>
        <v/>
      </c>
      <c r="J1673" s="20">
        <f>D1673/D1672-1</f>
        <v/>
      </c>
      <c r="K1673" s="20">
        <f>D1673/MAX(D$2:D1673)-1</f>
        <v/>
      </c>
      <c r="L1673" s="20">
        <f>E1673/E1672-1</f>
        <v/>
      </c>
      <c r="M1673" s="20">
        <f>E1673/MAX(E$2:E1673)-1</f>
        <v/>
      </c>
    </row>
    <row r="1674">
      <c r="A1674" s="11" t="n">
        <v>46182</v>
      </c>
      <c r="B1674" s="19" t="n">
        <v>3.063366559713566</v>
      </c>
      <c r="C1674" s="19" t="n">
        <v>2.476843315617211</v>
      </c>
      <c r="D1674" s="19" t="n">
        <v>2.560149914599187</v>
      </c>
      <c r="E1674" s="19" t="n">
        <v>1.678342638848075</v>
      </c>
      <c r="F1674" s="20">
        <f>B1674/B1673-1</f>
        <v/>
      </c>
      <c r="G1674" s="20">
        <f>B1674/MAX(B$2:B1674)-1</f>
        <v/>
      </c>
      <c r="H1674" s="20">
        <f>C1674/C1673-1</f>
        <v/>
      </c>
      <c r="I1674" s="20">
        <f>C1674/MAX(C$2:C1674)-1</f>
        <v/>
      </c>
      <c r="J1674" s="20">
        <f>D1674/D1673-1</f>
        <v/>
      </c>
      <c r="K1674" s="20">
        <f>D1674/MAX(D$2:D1674)-1</f>
        <v/>
      </c>
      <c r="L1674" s="20">
        <f>E1674/E1673-1</f>
        <v/>
      </c>
      <c r="M1674" s="20">
        <f>E1674/MAX(E$2:E1674)-1</f>
        <v/>
      </c>
    </row>
    <row r="1675">
      <c r="A1675" s="11" t="n">
        <v>46183</v>
      </c>
      <c r="B1675" s="19" t="n">
        <v>2.998614469197827</v>
      </c>
      <c r="C1675" s="19" t="n">
        <v>2.414771969967169</v>
      </c>
      <c r="D1675" s="19" t="n">
        <v>2.49103325387664</v>
      </c>
      <c r="E1675" s="19" t="n">
        <v>1.657206039347263</v>
      </c>
      <c r="F1675" s="20">
        <f>B1675/B1674-1</f>
        <v/>
      </c>
      <c r="G1675" s="20">
        <f>B1675/MAX(B$2:B1675)-1</f>
        <v/>
      </c>
      <c r="H1675" s="20">
        <f>C1675/C1674-1</f>
        <v/>
      </c>
      <c r="I1675" s="20">
        <f>C1675/MAX(C$2:C1675)-1</f>
        <v/>
      </c>
      <c r="J1675" s="20">
        <f>D1675/D1674-1</f>
        <v/>
      </c>
      <c r="K1675" s="20">
        <f>D1675/MAX(D$2:D1675)-1</f>
        <v/>
      </c>
      <c r="L1675" s="20">
        <f>E1675/E1674-1</f>
        <v/>
      </c>
      <c r="M1675" s="20">
        <f>E1675/MAX(E$2:E1675)-1</f>
        <v/>
      </c>
    </row>
    <row r="1676">
      <c r="A1676" s="11" t="n">
        <v>46184</v>
      </c>
      <c r="B1676" s="19" t="n">
        <v>2.994011801947956</v>
      </c>
      <c r="C1676" s="19" t="n">
        <v>2.40297865575689</v>
      </c>
      <c r="D1676" s="19" t="n">
        <v>2.462892117231268</v>
      </c>
      <c r="E1676" s="19" t="n">
        <v>1.649183706111882</v>
      </c>
      <c r="F1676" s="20">
        <f>B1676/B1675-1</f>
        <v/>
      </c>
      <c r="G1676" s="20">
        <f>B1676/MAX(B$2:B1676)-1</f>
        <v/>
      </c>
      <c r="H1676" s="20">
        <f>C1676/C1675-1</f>
        <v/>
      </c>
      <c r="I1676" s="20">
        <f>C1676/MAX(C$2:C1676)-1</f>
        <v/>
      </c>
      <c r="J1676" s="20">
        <f>D1676/D1675-1</f>
        <v/>
      </c>
      <c r="K1676" s="20">
        <f>D1676/MAX(D$2:D1676)-1</f>
        <v/>
      </c>
      <c r="L1676" s="20">
        <f>E1676/E1675-1</f>
        <v/>
      </c>
      <c r="M1676" s="20">
        <f>E1676/MAX(E$2:E1676)-1</f>
        <v/>
      </c>
    </row>
    <row r="1677">
      <c r="A1677" s="11" t="n">
        <v>46185</v>
      </c>
      <c r="B1677" s="19" t="n">
        <v>2.974921913378612</v>
      </c>
      <c r="C1677" s="19" t="n">
        <v>2.405732539070025</v>
      </c>
      <c r="D1677" s="19" t="n">
        <v>2.475239386256657</v>
      </c>
      <c r="E1677" s="19" t="n">
        <v>1.6643687438857</v>
      </c>
      <c r="F1677" s="20">
        <f>B1677/B1676-1</f>
        <v/>
      </c>
      <c r="G1677" s="20">
        <f>B1677/MAX(B$2:B1677)-1</f>
        <v/>
      </c>
      <c r="H1677" s="20">
        <f>C1677/C1676-1</f>
        <v/>
      </c>
      <c r="I1677" s="20">
        <f>C1677/MAX(C$2:C1677)-1</f>
        <v/>
      </c>
      <c r="J1677" s="20">
        <f>D1677/D1676-1</f>
        <v/>
      </c>
      <c r="K1677" s="20">
        <f>D1677/MAX(D$2:D1677)-1</f>
        <v/>
      </c>
      <c r="L1677" s="20">
        <f>E1677/E1676-1</f>
        <v/>
      </c>
      <c r="M1677" s="20">
        <f>E1677/MAX(E$2:E1677)-1</f>
        <v/>
      </c>
    </row>
    <row r="1678">
      <c r="A1678" s="11" t="n">
        <v>46188</v>
      </c>
      <c r="B1678" s="19" t="n">
        <v>3.105360762719716</v>
      </c>
      <c r="C1678" s="19" t="n">
        <v>2.474421131591928</v>
      </c>
      <c r="D1678" s="19" t="n">
        <v>2.606538992704016</v>
      </c>
      <c r="E1678" s="19" t="n">
        <v>1.713989517811908</v>
      </c>
      <c r="F1678" s="20">
        <f>B1678/B1677-1</f>
        <v/>
      </c>
      <c r="G1678" s="20">
        <f>B1678/MAX(B$2:B1678)-1</f>
        <v/>
      </c>
      <c r="H1678" s="20">
        <f>C1678/C1677-1</f>
        <v/>
      </c>
      <c r="I1678" s="20">
        <f>C1678/MAX(C$2:C1678)-1</f>
        <v/>
      </c>
      <c r="J1678" s="20">
        <f>D1678/D1677-1</f>
        <v/>
      </c>
      <c r="K1678" s="20">
        <f>D1678/MAX(D$2:D1678)-1</f>
        <v/>
      </c>
      <c r="L1678" s="20">
        <f>E1678/E1677-1</f>
        <v/>
      </c>
      <c r="M1678" s="20">
        <f>E1678/MAX(E$2:E1678)-1</f>
        <v/>
      </c>
    </row>
    <row r="1679">
      <c r="A1679" s="11" t="n">
        <v>46189</v>
      </c>
      <c r="B1679" s="19" t="n">
        <v>3.161290069999695</v>
      </c>
      <c r="C1679" s="19" t="n">
        <v>2.508591304966855</v>
      </c>
      <c r="D1679" s="19" t="n">
        <v>2.651391108195667</v>
      </c>
      <c r="E1679" s="19" t="n">
        <v>1.725432139177271</v>
      </c>
      <c r="F1679" s="20">
        <f>B1679/B1678-1</f>
        <v/>
      </c>
      <c r="G1679" s="20">
        <f>B1679/MAX(B$2:B1679)-1</f>
        <v/>
      </c>
      <c r="H1679" s="20">
        <f>C1679/C1678-1</f>
        <v/>
      </c>
      <c r="I1679" s="20">
        <f>C1679/MAX(C$2:C1679)-1</f>
        <v/>
      </c>
      <c r="J1679" s="20">
        <f>D1679/D1678-1</f>
        <v/>
      </c>
      <c r="K1679" s="20">
        <f>D1679/MAX(D$2:D1679)-1</f>
        <v/>
      </c>
      <c r="L1679" s="20">
        <f>E1679/E1678-1</f>
        <v/>
      </c>
      <c r="M1679" s="20">
        <f>E1679/MAX(E$2:E1679)-1</f>
        <v/>
      </c>
    </row>
    <row r="1680">
      <c r="A1680" s="11" t="n">
        <v>46190</v>
      </c>
      <c r="B1680" s="19" t="n">
        <v>3.252878830387299</v>
      </c>
      <c r="C1680" s="19" t="n">
        <v>2.57082917366425</v>
      </c>
      <c r="D1680" s="19" t="n">
        <v>2.692817304038075</v>
      </c>
      <c r="E1680" s="19" t="n">
        <v>1.740511536730435</v>
      </c>
      <c r="F1680" s="20">
        <f>B1680/B1679-1</f>
        <v/>
      </c>
      <c r="G1680" s="20">
        <f>B1680/MAX(B$2:B1680)-1</f>
        <v/>
      </c>
      <c r="H1680" s="20">
        <f>C1680/C1679-1</f>
        <v/>
      </c>
      <c r="I1680" s="20">
        <f>C1680/MAX(C$2:C1680)-1</f>
        <v/>
      </c>
      <c r="J1680" s="20">
        <f>D1680/D1679-1</f>
        <v/>
      </c>
      <c r="K1680" s="20">
        <f>D1680/MAX(D$2:D1680)-1</f>
        <v/>
      </c>
      <c r="L1680" s="20">
        <f>E1680/E1679-1</f>
        <v/>
      </c>
      <c r="M1680" s="20">
        <f>E1680/MAX(E$2:E1680)-1</f>
        <v/>
      </c>
    </row>
    <row r="1681">
      <c r="A1681" s="11" t="n">
        <v>46191</v>
      </c>
      <c r="B1681" s="19" t="n">
        <v>3.327046700426061</v>
      </c>
      <c r="C1681" s="19" t="n">
        <v>2.600208562661271</v>
      </c>
      <c r="D1681" s="19" t="n">
        <v>2.747967081962357</v>
      </c>
      <c r="E1681" s="19" t="n">
        <v>1.746323236756845</v>
      </c>
      <c r="F1681" s="20">
        <f>B1681/B1680-1</f>
        <v/>
      </c>
      <c r="G1681" s="20">
        <f>B1681/MAX(B$2:B1681)-1</f>
        <v/>
      </c>
      <c r="H1681" s="20">
        <f>C1681/C1680-1</f>
        <v/>
      </c>
      <c r="I1681" s="20">
        <f>C1681/MAX(C$2:C1681)-1</f>
        <v/>
      </c>
      <c r="J1681" s="20">
        <f>D1681/D1680-1</f>
        <v/>
      </c>
      <c r="K1681" s="20">
        <f>D1681/MAX(D$2:D1681)-1</f>
        <v/>
      </c>
      <c r="L1681" s="20">
        <f>E1681/E1680-1</f>
        <v/>
      </c>
      <c r="M1681" s="20">
        <f>E1681/MAX(E$2:E1681)-1</f>
        <v/>
      </c>
    </row>
    <row r="1682">
      <c r="A1682" s="11" t="n">
        <v>46195</v>
      </c>
      <c r="B1682" s="19" t="n">
        <v>3.406248647383486</v>
      </c>
      <c r="C1682" s="19" t="n">
        <v>2.67646572869586</v>
      </c>
      <c r="D1682" s="19" t="n">
        <v>2.817113404047141</v>
      </c>
      <c r="E1682" s="19" t="n">
        <v>1.779531091330434</v>
      </c>
      <c r="F1682" s="20">
        <f>B1682/B1681-1</f>
        <v/>
      </c>
      <c r="G1682" s="20">
        <f>B1682/MAX(B$2:B1682)-1</f>
        <v/>
      </c>
      <c r="H1682" s="20">
        <f>C1682/C1681-1</f>
        <v/>
      </c>
      <c r="I1682" s="20">
        <f>C1682/MAX(C$2:C1682)-1</f>
        <v/>
      </c>
      <c r="J1682" s="20">
        <f>D1682/D1681-1</f>
        <v/>
      </c>
      <c r="K1682" s="20">
        <f>D1682/MAX(D$2:D1682)-1</f>
        <v/>
      </c>
      <c r="L1682" s="20">
        <f>E1682/E1681-1</f>
        <v/>
      </c>
      <c r="M1682" s="20">
        <f>E1682/MAX(E$2:E1682)-1</f>
        <v/>
      </c>
    </row>
    <row r="1683">
      <c r="A1683" s="11" t="n">
        <v>46196</v>
      </c>
      <c r="B1683" s="19" t="n">
        <v>3.340108622436852</v>
      </c>
      <c r="C1683" s="19" t="n">
        <v>2.629145910408965</v>
      </c>
      <c r="D1683" s="19" t="n">
        <v>2.709067530133262</v>
      </c>
      <c r="E1683" s="19" t="n">
        <v>1.743049505834391</v>
      </c>
      <c r="F1683" s="20">
        <f>B1683/B1682-1</f>
        <v/>
      </c>
      <c r="G1683" s="20">
        <f>B1683/MAX(B$2:B1683)-1</f>
        <v/>
      </c>
      <c r="H1683" s="20">
        <f>C1683/C1682-1</f>
        <v/>
      </c>
      <c r="I1683" s="20">
        <f>C1683/MAX(C$2:C1683)-1</f>
        <v/>
      </c>
      <c r="J1683" s="20">
        <f>D1683/D1682-1</f>
        <v/>
      </c>
      <c r="K1683" s="20">
        <f>D1683/MAX(D$2:D1683)-1</f>
        <v/>
      </c>
      <c r="L1683" s="20">
        <f>E1683/E1682-1</f>
        <v/>
      </c>
      <c r="M1683" s="20">
        <f>E1683/MAX(E$2:E1683)-1</f>
        <v/>
      </c>
    </row>
    <row r="1684">
      <c r="A1684" s="11" t="n">
        <v>46197</v>
      </c>
      <c r="B1684" s="19" t="n">
        <v>3.433115257136957</v>
      </c>
      <c r="C1684" s="19" t="n">
        <v>2.699583043028314</v>
      </c>
      <c r="D1684" s="19" t="n">
        <v>2.747342900921292</v>
      </c>
      <c r="E1684" s="19" t="n">
        <v>1.755943936288532</v>
      </c>
      <c r="F1684" s="20">
        <f>B1684/B1683-1</f>
        <v/>
      </c>
      <c r="G1684" s="20">
        <f>B1684/MAX(B$2:B1684)-1</f>
        <v/>
      </c>
      <c r="H1684" s="20">
        <f>C1684/C1683-1</f>
        <v/>
      </c>
      <c r="I1684" s="20">
        <f>C1684/MAX(C$2:C1684)-1</f>
        <v/>
      </c>
      <c r="J1684" s="20">
        <f>D1684/D1683-1</f>
        <v/>
      </c>
      <c r="K1684" s="20">
        <f>D1684/MAX(D$2:D1684)-1</f>
        <v/>
      </c>
      <c r="L1684" s="20">
        <f>E1684/E1683-1</f>
        <v/>
      </c>
      <c r="M1684" s="20">
        <f>E1684/MAX(E$2:E1684)-1</f>
        <v/>
      </c>
    </row>
    <row r="1685">
      <c r="A1685" s="11" t="n">
        <v>46198</v>
      </c>
      <c r="B1685" s="19" t="n">
        <v>3.53641952135267</v>
      </c>
      <c r="C1685" s="19" t="n">
        <v>2.764432225913382</v>
      </c>
      <c r="D1685" s="19" t="n">
        <v>2.825253864749487</v>
      </c>
      <c r="E1685" s="19" t="n">
        <v>1.770105305445307</v>
      </c>
      <c r="F1685" s="20">
        <f>B1685/B1684-1</f>
        <v/>
      </c>
      <c r="G1685" s="20">
        <f>B1685/MAX(B$2:B1685)-1</f>
        <v/>
      </c>
      <c r="H1685" s="20">
        <f>C1685/C1684-1</f>
        <v/>
      </c>
      <c r="I1685" s="20">
        <f>C1685/MAX(C$2:C1685)-1</f>
        <v/>
      </c>
      <c r="J1685" s="20">
        <f>D1685/D1684-1</f>
        <v/>
      </c>
      <c r="K1685" s="20">
        <f>D1685/MAX(D$2:D1685)-1</f>
        <v/>
      </c>
      <c r="L1685" s="20">
        <f>E1685/E1684-1</f>
        <v/>
      </c>
      <c r="M1685" s="20">
        <f>E1685/MAX(E$2:E1685)-1</f>
        <v/>
      </c>
    </row>
    <row r="1686">
      <c r="A1686" s="11" t="n">
        <v>46199</v>
      </c>
      <c r="B1686" s="19" t="n">
        <v>3.415353577815672</v>
      </c>
      <c r="C1686" s="19" t="n">
        <v>2.669947760729181</v>
      </c>
      <c r="D1686" s="19" t="n">
        <v>2.710369269743078</v>
      </c>
      <c r="E1686" s="19" t="n">
        <v>1.722416185272117</v>
      </c>
      <c r="F1686" s="20">
        <f>B1686/B1685-1</f>
        <v/>
      </c>
      <c r="G1686" s="20">
        <f>B1686/MAX(B$2:B1686)-1</f>
        <v/>
      </c>
      <c r="H1686" s="20">
        <f>C1686/C1685-1</f>
        <v/>
      </c>
      <c r="I1686" s="20">
        <f>C1686/MAX(C$2:C1686)-1</f>
        <v/>
      </c>
      <c r="J1686" s="20">
        <f>D1686/D1685-1</f>
        <v/>
      </c>
      <c r="K1686" s="20">
        <f>D1686/MAX(D$2:D1686)-1</f>
        <v/>
      </c>
      <c r="L1686" s="20">
        <f>E1686/E1685-1</f>
        <v/>
      </c>
      <c r="M1686" s="20">
        <f>E1686/MAX(E$2:E1686)-1</f>
        <v/>
      </c>
    </row>
    <row r="1687">
      <c r="A1687" s="11" t="n">
        <v>46202</v>
      </c>
      <c r="B1687" s="19" t="n">
        <v>3.475684384537671</v>
      </c>
      <c r="C1687" s="19" t="n">
        <v>2.735638745997759</v>
      </c>
      <c r="D1687" s="19" t="n">
        <v>2.724902432535426</v>
      </c>
      <c r="E1687" s="19" t="n">
        <v>1.734808080732935</v>
      </c>
      <c r="F1687" s="20">
        <f>B1687/B1686-1</f>
        <v/>
      </c>
      <c r="G1687" s="20">
        <f>B1687/MAX(B$2:B1687)-1</f>
        <v/>
      </c>
      <c r="H1687" s="20">
        <f>C1687/C1686-1</f>
        <v/>
      </c>
      <c r="I1687" s="20">
        <f>C1687/MAX(C$2:C1687)-1</f>
        <v/>
      </c>
      <c r="J1687" s="20">
        <f>D1687/D1686-1</f>
        <v/>
      </c>
      <c r="K1687" s="20">
        <f>D1687/MAX(D$2:D1687)-1</f>
        <v/>
      </c>
      <c r="L1687" s="20">
        <f>E1687/E1686-1</f>
        <v/>
      </c>
      <c r="M1687" s="20">
        <f>E1687/MAX(E$2:E1687)-1</f>
        <v/>
      </c>
    </row>
    <row r="1688">
      <c r="A1688" s="11" t="n">
        <v>46203</v>
      </c>
      <c r="B1688" s="19" t="n">
        <v>3.601597967100555</v>
      </c>
      <c r="C1688" s="19" t="n">
        <v>2.812402263308917</v>
      </c>
      <c r="D1688" s="19" t="n">
        <v>2.806334697648293</v>
      </c>
      <c r="E1688" s="19" t="n">
        <v>1.763900058399699</v>
      </c>
      <c r="F1688" s="20">
        <f>B1688/B1687-1</f>
        <v/>
      </c>
      <c r="G1688" s="20">
        <f>B1688/MAX(B$2:B1688)-1</f>
        <v/>
      </c>
      <c r="H1688" s="20">
        <f>C1688/C1687-1</f>
        <v/>
      </c>
      <c r="I1688" s="20">
        <f>C1688/MAX(C$2:C1688)-1</f>
        <v/>
      </c>
      <c r="J1688" s="20">
        <f>D1688/D1687-1</f>
        <v/>
      </c>
      <c r="K1688" s="20">
        <f>D1688/MAX(D$2:D1688)-1</f>
        <v/>
      </c>
      <c r="L1688" s="20">
        <f>E1688/E1687-1</f>
        <v/>
      </c>
      <c r="M1688" s="20">
        <f>E1688/MAX(E$2:E1688)-1</f>
        <v/>
      </c>
    </row>
    <row r="1689">
      <c r="A1689" s="11" t="n">
        <v>46204</v>
      </c>
      <c r="B1689" s="19" t="n">
        <v>3.554343080813018</v>
      </c>
      <c r="C1689" s="19" t="n">
        <v>2.819750922502569</v>
      </c>
      <c r="D1689" s="19" t="n">
        <v>2.753350393032436</v>
      </c>
      <c r="E1689" s="19" t="n">
        <v>1.767551341519211</v>
      </c>
      <c r="F1689" s="20">
        <f>B1689/B1688-1</f>
        <v/>
      </c>
      <c r="G1689" s="20">
        <f>B1689/MAX(B$2:B1689)-1</f>
        <v/>
      </c>
      <c r="H1689" s="20">
        <f>C1689/C1688-1</f>
        <v/>
      </c>
      <c r="I1689" s="20">
        <f>C1689/MAX(C$2:C1689)-1</f>
        <v/>
      </c>
      <c r="J1689" s="20">
        <f>D1689/D1688-1</f>
        <v/>
      </c>
      <c r="K1689" s="20">
        <f>D1689/MAX(D$2:D1689)-1</f>
        <v/>
      </c>
      <c r="L1689" s="20">
        <f>E1689/E1688-1</f>
        <v/>
      </c>
      <c r="M1689" s="20">
        <f>E1689/MAX(E$2:E1689)-1</f>
        <v/>
      </c>
    </row>
    <row r="1690">
      <c r="A1690" s="11" t="n">
        <v>46205</v>
      </c>
      <c r="B1690" s="19" t="n">
        <v>3.347445213336671</v>
      </c>
      <c r="C1690" s="19" t="n">
        <v>2.728999709715023</v>
      </c>
      <c r="D1690" s="19" t="n">
        <v>2.596030598893922</v>
      </c>
      <c r="E1690" s="19" t="n">
        <v>1.718162306527747</v>
      </c>
      <c r="F1690" s="20">
        <f>B1690/B1689-1</f>
        <v/>
      </c>
      <c r="G1690" s="20">
        <f>B1690/MAX(B$2:B1690)-1</f>
        <v/>
      </c>
      <c r="H1690" s="20">
        <f>C1690/C1689-1</f>
        <v/>
      </c>
      <c r="I1690" s="20">
        <f>C1690/MAX(C$2:C1690)-1</f>
        <v/>
      </c>
      <c r="J1690" s="20">
        <f>D1690/D1689-1</f>
        <v/>
      </c>
      <c r="K1690" s="20">
        <f>D1690/MAX(D$2:D1690)-1</f>
        <v/>
      </c>
      <c r="L1690" s="20">
        <f>E1690/E1689-1</f>
        <v/>
      </c>
      <c r="M1690" s="20">
        <f>E1690/MAX(E$2:E1690)-1</f>
        <v/>
      </c>
    </row>
    <row r="1691">
      <c r="A1691" s="11" t="n">
        <v>46206</v>
      </c>
      <c r="B1691" s="19" t="n">
        <v>3.326721263828391</v>
      </c>
      <c r="C1691" s="19" t="n">
        <v>2.719011501490025</v>
      </c>
      <c r="D1691" s="19" t="n">
        <v>2.597749923956409</v>
      </c>
      <c r="E1691" s="19" t="n">
        <v>1.726520159055487</v>
      </c>
      <c r="F1691" s="20">
        <f>B1691/B1690-1</f>
        <v/>
      </c>
      <c r="G1691" s="20">
        <f>B1691/MAX(B$2:B1691)-1</f>
        <v/>
      </c>
      <c r="H1691" s="20">
        <f>C1691/C1690-1</f>
        <v/>
      </c>
      <c r="I1691" s="20">
        <f>C1691/MAX(C$2:C1691)-1</f>
        <v/>
      </c>
      <c r="J1691" s="20">
        <f>D1691/D1690-1</f>
        <v/>
      </c>
      <c r="K1691" s="20">
        <f>D1691/MAX(D$2:D1691)-1</f>
        <v/>
      </c>
      <c r="L1691" s="20">
        <f>E1691/E1690-1</f>
        <v/>
      </c>
      <c r="M1691" s="20">
        <f>E1691/MAX(E$2:E1691)-1</f>
        <v/>
      </c>
    </row>
    <row r="1692">
      <c r="A1692" s="11" t="n">
        <v>46209</v>
      </c>
      <c r="B1692" s="19" t="n">
        <v>3.265938127091708</v>
      </c>
      <c r="C1692" s="19" t="n">
        <v>2.67332511941487</v>
      </c>
      <c r="D1692" s="19" t="n">
        <v>2.551820629277109</v>
      </c>
      <c r="E1692" s="19" t="n">
        <v>1.712251289815018</v>
      </c>
      <c r="F1692" s="20">
        <f>B1692/B1691-1</f>
        <v/>
      </c>
      <c r="G1692" s="20">
        <f>B1692/MAX(B$2:B1692)-1</f>
        <v/>
      </c>
      <c r="H1692" s="20">
        <f>C1692/C1691-1</f>
        <v/>
      </c>
      <c r="I1692" s="20">
        <f>C1692/MAX(C$2:C1692)-1</f>
        <v/>
      </c>
      <c r="J1692" s="20">
        <f>D1692/D1691-1</f>
        <v/>
      </c>
      <c r="K1692" s="20">
        <f>D1692/MAX(D$2:D1692)-1</f>
        <v/>
      </c>
      <c r="L1692" s="20">
        <f>E1692/E1691-1</f>
        <v/>
      </c>
      <c r="M1692" s="20">
        <f>E1692/MAX(E$2:E1692)-1</f>
        <v/>
      </c>
    </row>
    <row r="1693">
      <c r="A1693" s="11" t="n">
        <v>46210</v>
      </c>
      <c r="B1693" s="19" t="n">
        <v>3.243147415639109</v>
      </c>
      <c r="C1693" s="19" t="n">
        <v>2.629191749942219</v>
      </c>
      <c r="D1693" s="19" t="n">
        <v>2.527941294025071</v>
      </c>
      <c r="E1693" s="19" t="n">
        <v>1.683832954541228</v>
      </c>
      <c r="F1693" s="20">
        <f>B1693/B1692-1</f>
        <v/>
      </c>
      <c r="G1693" s="20">
        <f>B1693/MAX(B$2:B1693)-1</f>
        <v/>
      </c>
      <c r="H1693" s="20">
        <f>C1693/C1692-1</f>
        <v/>
      </c>
      <c r="I1693" s="20">
        <f>C1693/MAX(C$2:C1693)-1</f>
        <v/>
      </c>
      <c r="J1693" s="20">
        <f>D1693/D1692-1</f>
        <v/>
      </c>
      <c r="K1693" s="20">
        <f>D1693/MAX(D$2:D1693)-1</f>
        <v/>
      </c>
      <c r="L1693" s="20">
        <f>E1693/E1692-1</f>
        <v/>
      </c>
      <c r="M1693" s="20">
        <f>E1693/MAX(E$2:E1693)-1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2026-07-08T08:32:51Z</dcterms:created>
  <dcterms:modified xmlns:dcterms="http://purl.org/dc/terms/" xmlns:xsi="http://www.w3.org/2001/XMLSchema-instance" xsi:type="dcterms:W3CDTF">2026-07-08T08:32:52Z</dcterms:modified>
</cp:coreProperties>
</file>