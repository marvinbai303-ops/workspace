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23f4b2ed6a4cf5" /></Relationships>
</file>

<file path=xl/workbook.xml><?xml version="1.0" encoding="utf-8"?>
<x:workbook xmlns:x="http://schemas.openxmlformats.org/spreadsheetml/2006/main">
  <x:sheets>
    <x:sheet xmlns:r="http://schemas.openxmlformats.org/officeDocument/2006/relationships" name="结论与方法" sheetId="1" r:id="R58a30e810ac84634"/>
    <x:sheet xmlns:r="http://schemas.openxmlformats.org/officeDocument/2006/relationships" name="组合持仓诊断" sheetId="2" r:id="Re72f3056e8ce4709"/>
    <x:sheet xmlns:r="http://schemas.openxmlformats.org/officeDocument/2006/relationships" name="双链Beta映射" sheetId="3" r:id="R011aa68cd8734d72"/>
    <x:sheet xmlns:r="http://schemas.openxmlformats.org/officeDocument/2006/relationships" name="候选基金经理" sheetId="4" r:id="R65d0588aa0ff449c"/>
    <x:sheet xmlns:r="http://schemas.openxmlformats.org/officeDocument/2006/relationships" name="回归明细" sheetId="5" r:id="R42642a6d8dcc4dcc"/>
    <x:sheet xmlns:r="http://schemas.openxmlformats.org/officeDocument/2006/relationships" name="日频因子" sheetId="6" r:id="R61cd413cbde94f05"/>
    <x:sheet xmlns:r="http://schemas.openxmlformats.org/officeDocument/2006/relationships" name="机构研究与来源" sheetId="7" r:id="R8fd2b26bae96404e"/>
    <x:sheet xmlns:r="http://schemas.openxmlformats.org/officeDocument/2006/relationships" name="验证清单" sheetId="8" r:id="Rc040f7190a054fa3"/>
    <x:sheet xmlns:r="http://schemas.openxmlformats.org/officeDocument/2006/relationships" name="三年锐度" sheetId="9" r:id="Rc9c6883f5ebb45d9"/>
    <x:sheet xmlns:r="http://schemas.openxmlformats.org/officeDocument/2006/relationships" name="三年持仓验证" sheetId="10" r:id="R9cf60e7946c3464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
    <x:numFmt numFmtId="202" formatCode="0%"/>
    <x:numFmt numFmtId="203" formatCode="0.00"/>
    <x:numFmt numFmtId="204" formatCode="0.000"/>
    <x:numFmt numFmtId="205" formatCode="0.0000"/>
  </x:numFmts>
  <x:fonts count="11">
    <x:font>
      <x:sz val="11"/>
      <x:name val="Carlito"/>
    </x:font>
    <x:font>
      <x:b/>
      <x:sz val="18"/>
      <x:color rgb="FFFFFFFF"/>
      <x:name val="Carlito"/>
    </x:font>
    <x:font>
      <x:i/>
      <x:sz val="10"/>
      <x:color rgb="FF1F2937"/>
      <x:name val="Carlito"/>
    </x:font>
    <x:font>
      <x:b/>
      <x:sz val="11"/>
      <x:color rgb="FFFFFFFF"/>
      <x:name val="Carlito"/>
    </x:font>
    <x:font>
      <x:sz val="10"/>
      <x:color rgb="FF1F2937"/>
      <x:name val="Carlito"/>
    </x:font>
    <x:font>
      <x:b/>
      <x:sz val="10"/>
      <x:color rgb="FF1F2937"/>
      <x:name val="Carlito"/>
    </x:font>
    <x:font>
      <x:b/>
      <x:sz val="11"/>
      <x:color rgb="FFB45309"/>
      <x:name val="Carlito"/>
    </x:font>
    <x:font>
      <x:b/>
      <x:sz val="11"/>
      <x:color rgb="FF16324F"/>
      <x:name val="Carlito"/>
    </x:font>
    <x:font>
      <x:b/>
      <x:sz val="10"/>
      <x:color rgb="FF15803D"/>
      <x:name val="Carlito"/>
    </x:font>
    <x:font>
      <x:b/>
      <x:sz val="10"/>
      <x:color rgb="FFB45309"/>
      <x:name val="Carlito"/>
    </x:font>
    <x:font>
      <x:sz val="10"/>
      <x:color rgb="FFB91C1C"/>
      <x:name val="Carlito"/>
    </x:font>
  </x:fonts>
  <x:fills count="16">
    <x:fill>
      <x:patternFill patternType="none"/>
    </x:fill>
    <x:fill>
      <x:patternFill patternType="gray125"/>
    </x:fill>
    <x:fill>
      <x:patternFill patternType="solid">
        <x:fgColor rgb="FF16324F"/>
      </x:patternFill>
    </x:fill>
    <x:fill>
      <x:patternFill patternType="solid">
        <x:fgColor rgb="FFEAF2FF"/>
      </x:patternFill>
    </x:fill>
    <x:fill>
      <x:patternFill patternType="solid">
        <x:fgColor rgb="FF0E7490"/>
      </x:patternFill>
    </x:fill>
    <x:fill>
      <x:patternFill patternType="solid">
        <x:fgColor rgb="FFF3F4F6"/>
      </x:patternFill>
    </x:fill>
    <x:fill>
      <x:patternFill patternType="solid">
        <x:fgColor rgb="FFFFF7ED"/>
      </x:patternFill>
    </x:fill>
    <x:fill>
      <x:patternFill patternType="solid">
        <x:fgColor rgb="FFFEF2F2"/>
      </x:patternFill>
    </x:fill>
    <x:fill>
      <x:patternFill patternType="solid">
        <x:fgColor rgb="FFECFDF5"/>
      </x:patternFill>
    </x:fill>
    <x:fill>
      <x:patternFill patternType="solid">
        <x:fgColor rgb="FF0E7490"/>
      </x:patternFill>
    </x:fill>
    <x:fill>
      <x:patternFill patternType="solid">
        <x:fgColor rgb="FFF3F4F6"/>
      </x:patternFill>
    </x:fill>
    <x:fill>
      <x:patternFill patternType="solid">
        <x:fgColor rgb="FF16324F"/>
      </x:patternFill>
    </x:fill>
    <x:fill>
      <x:patternFill patternType="solid">
        <x:fgColor rgb="FFEAF2FF"/>
      </x:patternFill>
    </x:fill>
    <x:fill>
      <x:patternFill patternType="solid">
        <x:fgColor rgb="FFFFF7ED"/>
      </x:patternFill>
    </x:fill>
    <x:fill>
      <x:patternFill patternType="solid">
        <x:fgColor rgb="FFECFDF5"/>
      </x:patternFill>
    </x:fill>
    <x:fill>
      <x:patternFill patternType="solid">
        <x:fgColor rgb="FFFEF2F2"/>
      </x:patternFill>
    </x:fill>
  </x:fills>
  <x:borders count="1">
    <x:border/>
  </x:borders>
  <x:cellStyleXfs count="1">
    <x:xf numFmtId="0" fontId="0" fillId="0" borderId="0"/>
  </x:cellStyleXfs>
  <x:cellXfs count="6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200" fontId="4" fillId="0" borderId="0"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202" fontId="4"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202" fontId="4" fillId="6"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203" fontId="4" fillId="0" borderId="0"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4" fontId="4" fillId="3" borderId="0" xfId="0" applyNumberFormat="1" applyFont="1" applyFill="1" applyBorder="1" applyAlignment="1">
      <x:alignment vertical="top" wrapText="1"/>
    </x:xf>
    <x:xf numFmtId="204" fontId="4" fillId="7" borderId="0" xfId="0" applyNumberFormat="1" applyFont="1" applyFill="1" applyBorder="1" applyAlignment="1">
      <x:alignment vertical="top" wrapText="1"/>
    </x:xf>
    <x:xf numFmtId="204" fontId="4" fillId="8" borderId="0" xfId="0" applyNumberFormat="1" applyFont="1" applyFill="1" applyBorder="1" applyAlignment="1">
      <x:alignment vertical="top" wrapText="1"/>
    </x:xf>
    <x:xf numFmtId="205" fontId="4" fillId="0" borderId="0" xfId="0" applyNumberFormat="1" applyFont="1" applyFill="1" applyBorder="1" applyAlignment="1">
      <x:alignment vertical="top" wrapText="1"/>
    </x:xf>
    <x:xf numFmtId="0" fontId="3" fillId="9" borderId="0" xfId="0" applyNumberFormat="1" applyFont="1" applyFill="1" applyBorder="1" applyAlignment="1">
      <x:alignment horizontal="center" vertical="center" wrapText="1"/>
    </x:xf>
    <x:xf numFmtId="0" fontId="5"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201" fontId="4" fillId="13"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201" fontId="4" fillId="12" borderId="0" xfId="0" applyNumberFormat="1" applyFont="1" applyFill="1" applyBorder="1" applyAlignment="1">
      <x:alignment vertical="top" wrapText="1"/>
    </x:xf>
    <x:xf numFmtId="203" fontId="4" fillId="12"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201" fontId="4" fillId="10" borderId="0" xfId="0" applyNumberFormat="1" applyFont="1" applyFill="1" applyBorder="1" applyAlignment="1">
      <x:alignment vertical="top" wrapText="1"/>
    </x:xf>
    <x:xf numFmtId="203" fontId="4" fillId="10"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9" fillId="13" borderId="0" xfId="0" applyNumberFormat="1" applyFont="1" applyFill="1" applyBorder="1" applyAlignment="1">
      <x:alignment vertical="top" wrapText="1"/>
    </x:xf>
    <x:xf numFmtId="0" fontId="4" fillId="15" borderId="0" xfId="0" applyNumberFormat="1" applyFont="1" applyFill="1" applyBorder="1" applyAlignment="1">
      <x:alignment vertical="top" wrapText="1"/>
    </x:xf>
    <x:xf numFmtId="0" fontId="10" fillId="15" borderId="0" xfId="0" applyNumberFormat="1" applyFont="1" applyFill="1" applyBorder="1" applyAlignment="1">
      <x:alignment vertical="top" wrapText="1"/>
    </x:xf>
  </x:cellXfs>
  <x:cellStyles count="1">
    <x:cellStyle name="Normal" xfId="0"/>
  </x:cellStyles>
  <x:dxfs count="6">
    <x:dxf>
      <x:font>
        <x:b/>
        <x:color rgb="FF15803D"/>
      </x:font>
      <x:fill>
        <x:patternFill patternType="solid">
          <x:bgColor rgb="FFECFDF5"/>
        </x:patternFill>
      </x:fill>
    </x:dxf>
    <x:dxf>
      <x:font>
        <x:color rgb="FFB91C1C"/>
      </x:font>
      <x:fill>
        <x:patternFill patternType="solid">
          <x:bgColor rgb="FFFEF2F2"/>
        </x:patternFill>
      </x:fill>
    </x:dxf>
    <x:dxf>
      <x:font>
        <x:color rgb="FF15803D"/>
      </x:font>
      <x:fill>
        <x:patternFill patternType="solid">
          <x:bgColor rgb="FFECFDF5"/>
        </x:patternFill>
      </x:fill>
    </x:dxf>
    <x:dxf>
      <x:font>
        <x:color rgb="FFB91C1C"/>
      </x:font>
      <x:fill>
        <x:patternFill patternType="solid">
          <x:bgColor rgb="FFFEF2F2"/>
        </x:patternFill>
      </x:fill>
    </x:dxf>
    <x:dxf>
      <x:font>
        <x:b/>
        <x:color rgb="FF15803D"/>
      </x:font>
      <x:fill>
        <x:patternFill patternType="solid">
          <x:bgColor rgb="FFECFDF5"/>
        </x:patternFill>
      </x:fill>
    </x:dxf>
    <x:dxf>
      <x:font>
        <x:color rgb="FFB91C1C"/>
      </x:font>
      <x:fill>
        <x:patternFill patternType="solid">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e5f2366abc4cd7" /><Relationship Type="http://schemas.openxmlformats.org/officeDocument/2006/relationships/theme" Target="/xl/theme/theme1.xml" Id="Ra1d7d09b06154009" /><Relationship Type="http://schemas.openxmlformats.org/officeDocument/2006/relationships/sharedStrings" Target="/xl/sharedStrings.xml" Id="R5abd939dab1c41cf" /><Relationship Type="http://schemas.openxmlformats.org/officeDocument/2006/relationships/worksheet" Target="/xl/worksheets/sheet1.xml" Id="R58a30e810ac84634" /><Relationship Type="http://schemas.openxmlformats.org/officeDocument/2006/relationships/worksheet" Target="/xl/worksheets/sheet2.xml" Id="Re72f3056e8ce4709" /><Relationship Type="http://schemas.openxmlformats.org/officeDocument/2006/relationships/worksheet" Target="/xl/worksheets/sheet3.xml" Id="R011aa68cd8734d72" /><Relationship Type="http://schemas.openxmlformats.org/officeDocument/2006/relationships/worksheet" Target="/xl/worksheets/sheet4.xml" Id="R65d0588aa0ff449c" /><Relationship Type="http://schemas.openxmlformats.org/officeDocument/2006/relationships/worksheet" Target="/xl/worksheets/sheet5.xml" Id="R42642a6d8dcc4dcc" /><Relationship Type="http://schemas.openxmlformats.org/officeDocument/2006/relationships/worksheet" Target="/xl/worksheets/sheet6.xml" Id="R61cd413cbde94f05" /><Relationship Type="http://schemas.openxmlformats.org/officeDocument/2006/relationships/worksheet" Target="/xl/worksheets/sheet7.xml" Id="R8fd2b26bae96404e" /><Relationship Type="http://schemas.openxmlformats.org/officeDocument/2006/relationships/worksheet" Target="/xl/worksheets/sheet8.xml" Id="Rc040f7190a054fa3" /><Relationship Type="http://schemas.openxmlformats.org/officeDocument/2006/relationships/worksheet" Target="/xl/worksheets/sheet9.xml" Id="Rc9c6883f5ebb45d9" /><Relationship Type="http://schemas.openxmlformats.org/officeDocument/2006/relationships/worksheet" Target="/xl/worksheets/sheet10.xml" Id="R9cf60e7946c3464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84" hidden="0" customWidth="1"/>
    <x:col min="3" max="3" width="4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0" customHeight="1">
      <x:c r="A1" s="3" t="str">
        <x:v>产业趋势组合：北美算力链 / 国产算力链基金经理轮动研究</x:v>
      </x:c>
      <x:c r="B1" s="3"/>
      <x:c r="C1" s="3"/>
      <x:c r="D1" s="3"/>
      <x:c r="E1" s="3"/>
      <x:c r="F1" s="3"/>
      <x:c r="G1" s="3"/>
      <x:c r="H1" s="3"/>
      <x:c r="I1" s="3"/>
      <x:c r="J1" s="3"/>
    </x:row>
    <x:row r="2" ht="24" customHeight="1">
      <x:c r="A2" s="7" t="str">
        <x:v>严格版：现任本基金&gt;3年、过去3年连续AI暴露、业绩锐度接近当前组合、且北美/国产链发生过主动切换。2026年才转向AI者直接剔除。</x:v>
      </x:c>
      <x:c r="B2" s="7"/>
      <x:c r="C2" s="7"/>
      <x:c r="D2" s="7"/>
      <x:c r="E2" s="7"/>
      <x:c r="F2" s="7"/>
      <x:c r="G2" s="7"/>
      <x:c r="H2" s="7"/>
      <x:c r="I2" s="7"/>
      <x:c r="J2" s="7"/>
    </x:row>
    <x:row r="4" ht="34" customHeight="1">
      <x:c r="A4" s="38" t="str">
        <x:v>严格筛选结论</x:v>
      </x:c>
      <x:c r="B4" s="38" t="str">
        <x:v>结果</x:v>
      </x:c>
    </x:row>
    <x:row r="5">
      <x:c r="A5" s="39" t="str">
        <x:v>完全通过</x:v>
      </x:c>
      <x:c r="B5" s="15" t="str">
        <x:v>李涛｜嘉实信息产业A（017488，已在组合）：任职约3.62年；2023国产算力/信创→2024双链偏国产→2025双链均衡→2026北美链偏重；三年业绩锐度落在组合基准区间。</x:v>
      </x:c>
    </x:row>
    <x:row r="6">
      <x:c r="A6" s="39" t="str">
        <x:v>外部最近似</x:v>
      </x:c>
      <x:c r="B6" s="15" t="str">
        <x:v>耿嘉洲｜万家人工智能A（006281）：任职约6.22年，三年持续AI，2024年底至2025年确实发生“减北美、留国产→再加北美”的切换；上涨弹性达标，但三年年化收益、夏普、卡玛低于组合基准，因此不算完全通过。</x:v>
      </x:c>
    </x:row>
    <x:row r="7">
      <x:c r="A7" s="39" t="str">
        <x:v>没有新增完全合格者</x:v>
      </x:c>
      <x:c r="B7" s="15" t="str">
        <x:v>严格按四道门槛，全市场扩展样本中暂未找到可以直接与现有景气成长基金等价替代的新经理。</x:v>
      </x:c>
    </x:row>
    <x:row r="8">
      <x:c r="A8" s="39" t="str">
        <x:v>高业绩但不轮动</x:v>
      </x:c>
      <x:c r="B8" s="15" t="str">
        <x:v>雷志勇、周建胜、容志能、刘元海近三年业绩或弹性较强，但历史持仓长期以北美链为主，国产算力多为卫星仓，未发生主导链切换。</x:v>
      </x:c>
    </x:row>
    <x:row r="9">
      <x:c r="A9" s="39" t="str">
        <x:v>业绩好但AI不连续</x:v>
      </x:c>
      <x:c r="B9" s="15" t="str">
        <x:v>王贵重三年年化收益与风险调整后表现较强，但2023年底前十大以教育、互联网、生物医药为主，不满足“三年持续AI主题暴露”。</x:v>
      </x:c>
    </x:row>
    <x:row r="10">
      <x:c r="A10" s="39" t="str">
        <x:v>原候选修正</x:v>
      </x:c>
      <x:c r="B10" s="15" t="str">
        <x:v>何珅华满足长期任职和双链配置，但三年波动、强势周收益和上涨捕获均低于组合景气成长基准；麦健沛、韩浩等则未满三年。</x:v>
      </x:c>
    </x:row>
    <x:row r="11">
      <x:c r="A11" s="39" t="str">
        <x:v>锐度口径</x:v>
      </x:c>
      <x:c r="B11" s="15" t="str">
        <x:v>攻击锐度=年化波动率、最强10%周均收益、相对组合上涨捕获；收益质量=三年年化收益、夏普、卡玛。两类都达标才视为“与当前组合相同”。</x:v>
      </x:c>
    </x:row>
    <x:row r="13" ht="34" customHeight="1">
      <x:c r="A13" s="12" t="str">
        <x:v>Beta定义</x:v>
      </x:c>
      <x:c r="B13" s="12" t="str">
        <x:v>操作规则</x:v>
      </x:c>
      <x:c r="C13" s="12" t="str">
        <x:v>为何这样做</x:v>
      </x:c>
    </x:row>
    <x:row r="14">
      <x:c r="A14" s="15" t="str">
        <x:v>股票篮子Beta</x:v>
      </x:c>
      <x:c r="B14" s="15" t="str">
        <x:v>北美链与国产链各选10只等权核心股，计算日涨跌幅均值。</x:v>
      </x:c>
      <x:c r="C14" s="15" t="str">
        <x:v>透明、可复制，但国产链与科创50高度相关，需二次校验。</x:v>
      </x:c>
    </x:row>
    <x:row r="15">
      <x:c r="A15" s="15" t="str">
        <x:v>纯基金锚定Beta</x:v>
      </x:c>
      <x:c r="B15" s="15" t="str">
        <x:v>北美锚定=宏利复兴+信澳业绩驱动；国产锚定=银华集成电路+宏利领先中小盘+国泰半导体材料设备联接。</x:v>
      </x:c>
      <x:c r="C15" s="15" t="str">
        <x:v>把真实基金交易结构、涨跌停与细分行业权重纳入映射。</x:v>
      </x:c>
    </x:row>
    <x:row r="16">
      <x:c r="A16" s="15" t="str">
        <x:v>基金暴露回归</x:v>
      </x:c>
      <x:c r="B16" s="15" t="str">
        <x:v>在季度、近60日、近20日窗口，用标准化双因子回归估计北美/国产Beta。</x:v>
      </x:c>
      <x:c r="C16" s="15" t="str">
        <x:v>同一尺度比较，识别暴露漂移。</x:v>
      </x:c>
    </x:row>
    <x:row r="17">
      <x:c r="A17" s="15" t="str">
        <x:v>标签阈值</x:v>
      </x:c>
      <x:c r="B17" s="15" t="str">
        <x:v>北美正Beta占比≥70%为北美链；≤30%为国产链；中间为双链混合；R²&lt;25%则不明确。</x:v>
      </x:c>
      <x:c r="C17" s="15" t="str">
        <x:v>防止对低解释力结果强行贴标签。</x:v>
      </x:c>
    </x:row>
    <x:row r="18">
      <x:c r="A18" s="15" t="str">
        <x:v>验证优先级</x:v>
      </x:c>
      <x:c r="B18" s="15" t="str">
        <x:v>持仓变化 + 净值Beta变化 + 经理/机构文字表述，三类证据交叉确认。</x:v>
      </x:c>
      <x:c r="C18" s="15" t="str">
        <x:v>季报滞后，净值也会受仓位、风格、非前十大持仓影响。</x:v>
      </x:c>
    </x:row>
    <x:row r="20">
      <x:c r="A20" s="21" t="str">
        <x:v>重要限制：国产链股票篮子与科创50日收益相关系数约 0.943，因此“只看股票篮子回归”容易把科创成长风格误判为国产算力。本报告以纯基金锚定、持仓明细和经理表述联合裁决；净值数据截至 7 月 29 日，不能替代下一期完整持仓。</x:v>
      </x:c>
      <x:c r="B20" s="21"/>
      <x:c r="C20" s="21"/>
      <x:c r="D20" s="21"/>
      <x:c r="E20" s="21"/>
      <x:c r="F20" s="21"/>
      <x:c r="G20" s="21"/>
      <x:c r="H20" s="21"/>
      <x:c r="I20" s="21"/>
      <x:c r="J20" s="21"/>
    </x:row>
    <x:row r="21">
      <x:c r="A21" s="21"/>
      <x:c r="B21" s="21"/>
      <x:c r="C21" s="21"/>
      <x:c r="D21" s="21"/>
      <x:c r="E21" s="21"/>
      <x:c r="F21" s="21"/>
      <x:c r="G21" s="21"/>
      <x:c r="H21" s="21"/>
      <x:c r="I21" s="21"/>
      <x:c r="J21" s="21"/>
    </x:row>
  </x:sheetData>
  <x:mergeCells>
    <x:mergeCell ref="A1:J1"/>
    <x:mergeCell ref="A2:J2"/>
    <x:mergeCell ref="A20:J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3" hidden="0" customWidth="1"/>
    <x:col min="4" max="4" width="12" hidden="0" customWidth="1"/>
    <x:col min="5" max="5" width="13" hidden="0" customWidth="1"/>
    <x:col min="6" max="6" width="52" hidden="0" customWidth="1"/>
    <x:col min="7" max="7" width="15" hidden="0" customWidth="1"/>
    <x:col min="8" max="8" width="17" hidden="0" customWidth="1"/>
    <x:col min="9" max="9" width="18" hidden="0" customWidth="1"/>
    <x:col min="10" max="10" width="34" hidden="0" customWidth="1"/>
    <x:col min="11" max="11" width="36" hidden="0" customWidth="1"/>
  </x:cols>
  <x:sheetData>
    <x:row r="1" ht="30" customHeight="1">
      <x:c r="A1" s="3" t="str">
        <x:v>产业趋势组合持仓诊断</x:v>
      </x:c>
      <x:c r="B1" s="3"/>
      <x:c r="C1" s="3"/>
      <x:c r="D1" s="3"/>
      <x:c r="E1" s="3"/>
      <x:c r="F1" s="3"/>
      <x:c r="G1" s="3"/>
      <x:c r="H1" s="3"/>
      <x:c r="I1" s="3"/>
      <x:c r="J1" s="3"/>
      <x:c r="K1" s="3"/>
    </x:row>
    <x:row r="2" ht="24" customHeight="1">
      <x:c r="A2" s="7" t="str">
        <x:v>组合权重取自源文件“分期持仓明细”中 2026-07-10 调仓后（P1）；分类以 2026Q2 持仓 + 日净值锚定回归联合判断。</x:v>
      </x:c>
      <x:c r="B2" s="7"/>
      <x:c r="C2" s="7"/>
      <x:c r="D2" s="7"/>
      <x:c r="E2" s="7"/>
      <x:c r="F2" s="7"/>
      <x:c r="G2" s="7"/>
      <x:c r="H2" s="7"/>
      <x:c r="I2" s="7"/>
      <x:c r="J2" s="7"/>
      <x:c r="K2" s="7"/>
    </x:row>
    <x:row r="4" ht="34" customHeight="1">
      <x:c r="A4" s="12" t="str">
        <x:v>基金代码</x:v>
      </x:c>
      <x:c r="B4" s="12" t="str">
        <x:v>基金简称</x:v>
      </x:c>
      <x:c r="C4" s="12" t="str">
        <x:v>组合权重</x:v>
      </x:c>
      <x:c r="D4" s="12" t="str">
        <x:v>基金经理</x:v>
      </x:c>
      <x:c r="E4" s="12" t="str">
        <x:v>Q2持仓主线</x:v>
      </x:c>
      <x:c r="F4" s="12" t="str">
        <x:v>Q2重仓摘要</x:v>
      </x:c>
      <x:c r="G4" s="12" t="str">
        <x:v>Q2锚定标签</x:v>
      </x:c>
      <x:c r="H4" s="12" t="str">
        <x:v>近20日锚定标签</x:v>
      </x:c>
      <x:c r="I4" s="12" t="str">
        <x:v>Q2北美正Beta占比</x:v>
      </x:c>
      <x:c r="J4" s="12" t="str">
        <x:v>联合结论</x:v>
      </x:c>
      <x:c r="K4" s="12" t="str">
        <x:v>后续监控</x:v>
      </x:c>
    </x:row>
    <x:row r="5">
      <x:c r="A5" s="15" t="str">
        <x:v>000917.OF</x:v>
      </x:c>
      <x:c r="B5" s="15" t="str">
        <x:v>嘉实快线货币A</x:v>
      </x:c>
      <x:c r="C5" s="22" t="n">
        <x:v>0.04632803</x:v>
      </x:c>
      <x:c r="D5" s="15" t="str">
        <x:v>—</x:v>
      </x:c>
      <x:c r="E5" s="16" t="str">
        <x:v>现金</x:v>
      </x:c>
      <x:c r="F5" s="15" t="str">
        <x:v>货币基金</x:v>
      </x:c>
      <x:c r="G5" s="16" t="str">
        <x:v>现金</x:v>
      </x:c>
      <x:c r="H5" s="16" t="str">
        <x:v>现金</x:v>
      </x:c>
      <x:c r="I5" s="23"/>
      <x:c r="J5" s="15" t="str">
        <x:v>流动性仓</x:v>
      </x:c>
      <x:c r="K5" s="15" t="str">
        <x:v>保持现金属性</x:v>
      </x:c>
    </x:row>
    <x:row r="6">
      <x:c r="A6" s="15" t="str">
        <x:v>001170.OF</x:v>
      </x:c>
      <x:c r="B6" s="15" t="str">
        <x:v>宏利复兴混合A</x:v>
      </x:c>
      <x:c r="C6" s="22" t="n">
        <x:v>0.16457821</x:v>
      </x:c>
      <x:c r="D6" s="15" t="str">
        <x:v>孙硕</x:v>
      </x:c>
      <x:c r="E6" s="24" t="str">
        <x:v>北美链</x:v>
      </x:c>
      <x:c r="F6" s="15" t="str">
        <x:v>新易盛、中际旭创、源杰科技、生益科技、东山精密等</x:v>
      </x:c>
      <x:c r="G6" s="24" t="str">
        <x:v>北美链</x:v>
      </x:c>
      <x:c r="H6" s="24" t="str">
        <x:v>北美链</x:v>
      </x:c>
      <x:c r="I6" s="23" t="n">
        <x:v>1</x:v>
      </x:c>
      <x:c r="J6" s="15" t="str">
        <x:v>持仓与净值一致，稳定北美链</x:v>
      </x:c>
      <x:c r="K6" s="15" t="str">
        <x:v>监控北美云厂CapEx与光模块/PCB景气</x:v>
      </x:c>
    </x:row>
    <x:row r="7">
      <x:c r="A7" s="15" t="str">
        <x:v>013840.OF</x:v>
      </x:c>
      <x:c r="B7" s="15" t="str">
        <x:v>银华集成电路混合A</x:v>
      </x:c>
      <x:c r="C7" s="22" t="n">
        <x:v>0.24720581</x:v>
      </x:c>
      <x:c r="D7" s="15" t="str">
        <x:v>方建</x:v>
      </x:c>
      <x:c r="E7" s="25" t="str">
        <x:v>国产链</x:v>
      </x:c>
      <x:c r="F7" s="15" t="str">
        <x:v>中科飞测、芯源微、华海清科、北方华创、中微公司、拓荆科技等</x:v>
      </x:c>
      <x:c r="G7" s="25" t="str">
        <x:v>国产链</x:v>
      </x:c>
      <x:c r="H7" s="25" t="str">
        <x:v>国产链</x:v>
      </x:c>
      <x:c r="I7" s="23" t="n">
        <x:v>0.000975243440061089</x:v>
      </x:c>
      <x:c r="J7" s="15" t="str">
        <x:v>纯国产半导体设备锚</x:v>
      </x:c>
      <x:c r="K7" s="15" t="str">
        <x:v>监控晶圆厂扩产、设备验收与国产化率</x:v>
      </x:c>
    </x:row>
    <x:row r="8">
      <x:c r="A8" s="15" t="str">
        <x:v>016370.OF</x:v>
      </x:c>
      <x:c r="B8" s="15" t="str">
        <x:v>信澳业绩驱动混合A</x:v>
      </x:c>
      <x:c r="C8" s="22" t="n">
        <x:v>0.16397773</x:v>
      </x:c>
      <x:c r="D8" s="15" t="str">
        <x:v>童昌希</x:v>
      </x:c>
      <x:c r="E8" s="24" t="str">
        <x:v>北美链</x:v>
      </x:c>
      <x:c r="F8" s="15" t="str">
        <x:v>中际旭创、新易盛、天孚通信、长芯博创、剑桥科技等</x:v>
      </x:c>
      <x:c r="G8" s="24" t="str">
        <x:v>北美链</x:v>
      </x:c>
      <x:c r="H8" s="24" t="str">
        <x:v>北美链</x:v>
      </x:c>
      <x:c r="I8" s="23" t="n">
        <x:v>0.9915852134928135</x:v>
      </x:c>
      <x:c r="J8" s="15" t="str">
        <x:v>持仓与净值一致，稳定北美链</x:v>
      </x:c>
      <x:c r="K8" s="15" t="str">
        <x:v>关注任职较短带来的风格持续性</x:v>
      </x:c>
    </x:row>
    <x:row r="9">
      <x:c r="A9" s="15" t="str">
        <x:v>017488.OF</x:v>
      </x:c>
      <x:c r="B9" s="15" t="str">
        <x:v>嘉实信息产业A</x:v>
      </x:c>
      <x:c r="C9" s="22" t="n">
        <x:v>0.17265148</x:v>
      </x:c>
      <x:c r="D9" s="15" t="str">
        <x:v>李涛</x:v>
      </x:c>
      <x:c r="E9" s="16" t="str">
        <x:v>混合</x:v>
      </x:c>
      <x:c r="F9" s="15" t="str">
        <x:v>新易盛、中际旭创、东山精密、源杰科技；亦持海光、曙光、华虹</x:v>
      </x:c>
      <x:c r="G9" s="24" t="str">
        <x:v>北美链</x:v>
      </x:c>
      <x:c r="H9" s="24" t="str">
        <x:v>北美链</x:v>
      </x:c>
      <x:c r="I9" s="23" t="n">
        <x:v>0.9237060717543296</x:v>
      </x:c>
      <x:c r="J9" s="15" t="str">
        <x:v>持仓看双链，净值实为北美主导</x:v>
      </x:c>
      <x:c r="K9" s="15" t="str">
        <x:v>重点监控国产股增减仓是否能改变净值Beta</x:v>
      </x:c>
    </x:row>
    <x:row r="10">
      <x:c r="A10" s="15" t="str">
        <x:v>019632.OF</x:v>
      </x:c>
      <x:c r="B10" s="15" t="str">
        <x:v>国泰半导体材料设备联接A</x:v>
      </x:c>
      <x:c r="C10" s="22" t="n">
        <x:v>0.13525837</x:v>
      </x:c>
      <x:c r="D10" s="15" t="str">
        <x:v>朱碧莹</x:v>
      </x:c>
      <x:c r="E10" s="25" t="str">
        <x:v>国产链</x:v>
      </x:c>
      <x:c r="F10" s="15" t="str">
        <x:v>跟踪中证半导体材料设备主题指数</x:v>
      </x:c>
      <x:c r="G10" s="25" t="str">
        <x:v>国产链</x:v>
      </x:c>
      <x:c r="H10" s="25" t="str">
        <x:v>国产链</x:v>
      </x:c>
      <x:c r="I10" s="23" t="n">
        <x:v>0</x:v>
      </x:c>
      <x:c r="J10" s="15" t="str">
        <x:v>稳定国产链指数锚</x:v>
      </x:c>
      <x:c r="K10" s="15" t="str">
        <x:v>监控指数成分调整与跟踪误差</x:v>
      </x:c>
    </x:row>
    <x:row r="11">
      <x:c r="A11" s="15" t="str">
        <x:v>162214.OF</x:v>
      </x:c>
      <x:c r="B11" s="15" t="str">
        <x:v>宏利领先中小盘</x:v>
      </x:c>
      <x:c r="C11" s="22" t="n">
        <x:v>0.07000038</x:v>
      </x:c>
      <x:c r="D11" s="15" t="str">
        <x:v>张岩</x:v>
      </x:c>
      <x:c r="E11" s="25" t="str">
        <x:v>国产链</x:v>
      </x:c>
      <x:c r="F11" s="15" t="str">
        <x:v>长川科技、中微公司、中科飞测、华海清科、拓荆科技、盛美上海等</x:v>
      </x:c>
      <x:c r="G11" s="25" t="str">
        <x:v>国产链</x:v>
      </x:c>
      <x:c r="H11" s="25" t="str">
        <x:v>国产链</x:v>
      </x:c>
      <x:c r="I11" s="23" t="n">
        <x:v>0.004558484335540518</x:v>
      </x:c>
      <x:c r="J11" s="15" t="str">
        <x:v>用户补充后明确纳入国产链；净值验证通过</x:v>
      </x:c>
      <x:c r="K11" s="15" t="str">
        <x:v>作为国产设备主动基金锚持续跟踪</x:v>
      </x:c>
    </x:row>
    <x:row r="13">
      <x:c r="A13" s="27" t="str">
        <x:f>CONCAT("映射汇总：北美链 ",TEXT(SUMIF(G5:G11,"北美链",C5:C11),"0.00%"),"；国产链 ",TEXT(SUMIF(G5:G11,"国产链",C5:C11),"0.00%"),"；现金 ",TEXT(SUMIF(G5:G11,"现金",C5:C11),"0.00%"))</x:f>
        <x:v>映射汇总：北美链 50.12%；国产链 45.25%；现金 4.63%</x:v>
      </x:c>
      <x:c r="B13" s="27"/>
      <x:c r="C13" s="27"/>
      <x:c r="D13" s="27"/>
      <x:c r="E13" s="27"/>
      <x:c r="F13" s="27"/>
      <x:c r="G13" s="27"/>
      <x:c r="H13" s="27"/>
      <x:c r="I13" s="27"/>
      <x:c r="J13" s="27"/>
      <x:c r="K13" s="27"/>
    </x:row>
  </x:sheetData>
  <x:mergeCells>
    <x:mergeCell ref="A1:K1"/>
    <x:mergeCell ref="A2:K2"/>
    <x:mergeCell ref="A13:K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15" hidden="0" customWidth="1"/>
    <x:col min="4" max="4" width="13" hidden="0" customWidth="1"/>
    <x:col min="5" max="5" width="13" hidden="0" customWidth="1"/>
    <x:col min="6" max="6" width="16" hidden="0" customWidth="1"/>
    <x:col min="7" max="7" width="52" hidden="0" customWidth="1"/>
    <x:col min="8" max="8" width="12" hidden="0" customWidth="1"/>
    <x:col min="9" max="9" width="12" hidden="0" customWidth="1"/>
  </x:cols>
  <x:sheetData>
    <x:row r="1" ht="30" customHeight="1">
      <x:c r="A1" s="3" t="str">
        <x:v>双链Beta映射：产业特征与个股篮子</x:v>
      </x:c>
      <x:c r="B1" s="3"/>
      <x:c r="C1" s="3"/>
      <x:c r="D1" s="3"/>
      <x:c r="E1" s="3"/>
      <x:c r="F1" s="3"/>
      <x:c r="G1" s="3"/>
      <x:c r="H1" s="3"/>
      <x:c r="I1" s="3"/>
    </x:row>
    <x:row r="2" ht="24" customHeight="1">
      <x:c r="A2" s="7" t="str">
        <x:v>核心篮子用于日频等权Beta；扩展观察池用于解释持仓。纳入原则是“需求/订单直接映射”，而不是仅凭AI概念。</x:v>
      </x:c>
      <x:c r="B2" s="7"/>
      <x:c r="C2" s="7"/>
      <x:c r="D2" s="7"/>
      <x:c r="E2" s="7"/>
      <x:c r="F2" s="7"/>
      <x:c r="G2" s="7"/>
      <x:c r="H2" s="7"/>
      <x:c r="I2" s="7"/>
    </x:row>
    <x:row r="4" ht="34" customHeight="1">
      <x:c r="A4" s="12" t="str">
        <x:v>链条</x:v>
      </x:c>
      <x:c r="B4" s="12" t="str">
        <x:v>核心驱动</x:v>
      </x:c>
      <x:c r="C4" s="12" t="str">
        <x:v>交易特征</x:v>
      </x:c>
      <x:c r="D4" s="12" t="str">
        <x:v>主要验证指标</x:v>
      </x:c>
    </x:row>
    <x:row r="5">
      <x:c r="A5" s="15" t="str">
        <x:v>北美算力链</x:v>
      </x:c>
      <x:c r="B5" s="15" t="str">
        <x:v>北美云厂CapEx、NVIDIA/ASIC平台迭代、800G/1.6T光互联、AI服务器放量</x:v>
      </x:c>
      <x:c r="C5" s="15" t="str">
        <x:v>出口链、高增速高估值；对海外CapEx指引、产品升级、汇率/贸易限制敏感</x:v>
      </x:c>
      <x:c r="D5" s="15" t="str">
        <x:v>云厂CapEx指引；光模块出货/ASP；PCB/CCL稼动率与涨价；海外收入占比</x:v>
      </x:c>
    </x:row>
    <x:row r="6">
      <x:c r="A6" s="15" t="str">
        <x:v>国产算力链</x:v>
      </x:c>
      <x:c r="B6" s="15" t="str">
        <x:v>自主可控算力芯片、运营商/政企智算、晶圆厂扩产、设备材料国产化</x:v>
      </x:c>
      <x:c r="C6" s="15" t="str">
        <x:v>政策与供给约束共振；科创成长风格强；设备验收和订单兑现节奏影响大</x:v>
      </x:c>
      <x:c r="D6" s="15" t="str">
        <x:v>国产GPU出货与生态适配；服务器招标；晶圆厂CapEx；设备验收；国产化率与在手订单</x:v>
      </x:c>
    </x:row>
    <x:row r="9" ht="34" customHeight="1">
      <x:c r="A9" s="12" t="str">
        <x:v>链条</x:v>
      </x:c>
      <x:c r="B9" s="12" t="str">
        <x:v>产业节点</x:v>
      </x:c>
      <x:c r="C9" s="12" t="str">
        <x:v>个股</x:v>
      </x:c>
      <x:c r="D9" s="12" t="str">
        <x:v>代码</x:v>
      </x:c>
      <x:c r="E9" s="12" t="str">
        <x:v>篮子层级</x:v>
      </x:c>
      <x:c r="F9" s="12" t="str">
        <x:v>核心篮子权重</x:v>
      </x:c>
      <x:c r="G9" s="12" t="str">
        <x:v>纳入理由</x:v>
      </x:c>
    </x:row>
    <x:row r="10">
      <x:c r="A10" s="24" t="str">
        <x:v>北美链</x:v>
      </x:c>
      <x:c r="B10" s="15" t="str">
        <x:v>光模块/光器件</x:v>
      </x:c>
      <x:c r="C10" s="15" t="str">
        <x:v>中际旭创</x:v>
      </x:c>
      <x:c r="D10" s="15" t="str">
        <x:v>300308.SZ</x:v>
      </x:c>
      <x:c r="E10" s="29" t="str">
        <x:v>核心</x:v>
      </x:c>
      <x:c r="F10" s="30" t="n">
        <x:v>0.1</x:v>
      </x:c>
      <x:c r="G10" s="15" t="str">
        <x:v>海外数通光模块龙头，直接映射云厂高速光互联</x:v>
      </x:c>
    </x:row>
    <x:row r="11">
      <x:c r="A11" s="24" t="str">
        <x:v>北美链</x:v>
      </x:c>
      <x:c r="B11" s="15" t="str">
        <x:v>光模块/光器件</x:v>
      </x:c>
      <x:c r="C11" s="15" t="str">
        <x:v>新易盛</x:v>
      </x:c>
      <x:c r="D11" s="15" t="str">
        <x:v>300502.SZ</x:v>
      </x:c>
      <x:c r="E11" s="29" t="str">
        <x:v>核心</x:v>
      </x:c>
      <x:c r="F11" s="30" t="n">
        <x:v>0.1</x:v>
      </x:c>
      <x:c r="G11" s="15" t="str">
        <x:v>海外数通光模块高弹性</x:v>
      </x:c>
    </x:row>
    <x:row r="12">
      <x:c r="A12" s="24" t="str">
        <x:v>北美链</x:v>
      </x:c>
      <x:c r="B12" s="15" t="str">
        <x:v>光器件</x:v>
      </x:c>
      <x:c r="C12" s="15" t="str">
        <x:v>天孚通信</x:v>
      </x:c>
      <x:c r="D12" s="15" t="str">
        <x:v>300394.SZ</x:v>
      </x:c>
      <x:c r="E12" s="29" t="str">
        <x:v>核心</x:v>
      </x:c>
      <x:c r="F12" s="30" t="n">
        <x:v>0.1</x:v>
      </x:c>
      <x:c r="G12" s="15" t="str">
        <x:v>光引擎与精密器件平台</x:v>
      </x:c>
    </x:row>
    <x:row r="13">
      <x:c r="A13" s="24" t="str">
        <x:v>北美链</x:v>
      </x:c>
      <x:c r="B13" s="15" t="str">
        <x:v>光芯片</x:v>
      </x:c>
      <x:c r="C13" s="15" t="str">
        <x:v>源杰科技</x:v>
      </x:c>
      <x:c r="D13" s="15" t="str">
        <x:v>688498.SH</x:v>
      </x:c>
      <x:c r="E13" s="29" t="str">
        <x:v>核心</x:v>
      </x:c>
      <x:c r="F13" s="30" t="n">
        <x:v>0.1</x:v>
      </x:c>
      <x:c r="G13" s="15" t="str">
        <x:v>高速激光器国产供给</x:v>
      </x:c>
    </x:row>
    <x:row r="14">
      <x:c r="A14" s="24" t="str">
        <x:v>北美链</x:v>
      </x:c>
      <x:c r="B14" s="15" t="str">
        <x:v>PCB/组装</x:v>
      </x:c>
      <x:c r="C14" s="15" t="str">
        <x:v>东山精密</x:v>
      </x:c>
      <x:c r="D14" s="15" t="str">
        <x:v>002384.SZ</x:v>
      </x:c>
      <x:c r="E14" s="29" t="str">
        <x:v>核心</x:v>
      </x:c>
      <x:c r="F14" s="30" t="n">
        <x:v>0.1</x:v>
      </x:c>
      <x:c r="G14" s="15" t="str">
        <x:v>AI服务器/高速连接配套</x:v>
      </x:c>
    </x:row>
    <x:row r="15">
      <x:c r="A15" s="24" t="str">
        <x:v>北美链</x:v>
      </x:c>
      <x:c r="B15" s="15" t="str">
        <x:v>覆铜板</x:v>
      </x:c>
      <x:c r="C15" s="15" t="str">
        <x:v>生益科技</x:v>
      </x:c>
      <x:c r="D15" s="15" t="str">
        <x:v>600183.SH</x:v>
      </x:c>
      <x:c r="E15" s="29" t="str">
        <x:v>核心</x:v>
      </x:c>
      <x:c r="F15" s="30" t="n">
        <x:v>0.1</x:v>
      </x:c>
      <x:c r="G15" s="15" t="str">
        <x:v>高速高频材料需求映射</x:v>
      </x:c>
    </x:row>
    <x:row r="16">
      <x:c r="A16" s="24" t="str">
        <x:v>北美链</x:v>
      </x:c>
      <x:c r="B16" s="15" t="str">
        <x:v>PCB</x:v>
      </x:c>
      <x:c r="C16" s="15" t="str">
        <x:v>胜宏科技</x:v>
      </x:c>
      <x:c r="D16" s="15" t="str">
        <x:v>300476.SZ</x:v>
      </x:c>
      <x:c r="E16" s="29" t="str">
        <x:v>核心</x:v>
      </x:c>
      <x:c r="F16" s="30" t="n">
        <x:v>0.1</x:v>
      </x:c>
      <x:c r="G16" s="15" t="str">
        <x:v>AI服务器高阶PCB</x:v>
      </x:c>
    </x:row>
    <x:row r="17">
      <x:c r="A17" s="24" t="str">
        <x:v>北美链</x:v>
      </x:c>
      <x:c r="B17" s="15" t="str">
        <x:v>PCB</x:v>
      </x:c>
      <x:c r="C17" s="15" t="str">
        <x:v>沪电股份</x:v>
      </x:c>
      <x:c r="D17" s="15" t="str">
        <x:v>002463.SZ</x:v>
      </x:c>
      <x:c r="E17" s="29" t="str">
        <x:v>核心</x:v>
      </x:c>
      <x:c r="F17" s="30" t="n">
        <x:v>0.1</x:v>
      </x:c>
      <x:c r="G17" s="15" t="str">
        <x:v>交换机/服务器PCB</x:v>
      </x:c>
    </x:row>
    <x:row r="18">
      <x:c r="A18" s="24" t="str">
        <x:v>北美链</x:v>
      </x:c>
      <x:c r="B18" s="15" t="str">
        <x:v>服务器代工</x:v>
      </x:c>
      <x:c r="C18" s="15" t="str">
        <x:v>工业富联</x:v>
      </x:c>
      <x:c r="D18" s="15" t="str">
        <x:v>601138.SH</x:v>
      </x:c>
      <x:c r="E18" s="29" t="str">
        <x:v>核心</x:v>
      </x:c>
      <x:c r="F18" s="30" t="n">
        <x:v>0.1</x:v>
      </x:c>
      <x:c r="G18" s="15" t="str">
        <x:v>AI服务器制造与海外客户CapEx</x:v>
      </x:c>
    </x:row>
    <x:row r="19">
      <x:c r="A19" s="24" t="str">
        <x:v>北美链</x:v>
      </x:c>
      <x:c r="B19" s="15" t="str">
        <x:v>高速铜连接</x:v>
      </x:c>
      <x:c r="C19" s="15" t="str">
        <x:v>沃尔核材</x:v>
      </x:c>
      <x:c r="D19" s="15" t="str">
        <x:v>002130.SZ</x:v>
      </x:c>
      <x:c r="E19" s="29" t="str">
        <x:v>核心</x:v>
      </x:c>
      <x:c r="F19" s="30" t="n">
        <x:v>0.1</x:v>
      </x:c>
      <x:c r="G19" s="15" t="str">
        <x:v>高速通信线缆</x:v>
      </x:c>
    </x:row>
    <x:row r="20">
      <x:c r="A20" s="24" t="str">
        <x:v>北美链</x:v>
      </x:c>
      <x:c r="B20" s="15" t="str">
        <x:v>光器件</x:v>
      </x:c>
      <x:c r="C20" s="15" t="str">
        <x:v>太辰光</x:v>
      </x:c>
      <x:c r="D20" s="15" t="str">
        <x:v>300570.SZ</x:v>
      </x:c>
      <x:c r="E20" s="15" t="str">
        <x:v>扩展</x:v>
      </x:c>
      <x:c r="F20" s="28" t="n">
        <x:v>0</x:v>
      </x:c>
      <x:c r="G20" s="15" t="str">
        <x:v>连接器件与数通客户</x:v>
      </x:c>
    </x:row>
    <x:row r="21">
      <x:c r="A21" s="24" t="str">
        <x:v>北美链</x:v>
      </x:c>
      <x:c r="B21" s="15" t="str">
        <x:v>光芯片</x:v>
      </x:c>
      <x:c r="C21" s="15" t="str">
        <x:v>仕佳光子</x:v>
      </x:c>
      <x:c r="D21" s="15" t="str">
        <x:v>688313.SH</x:v>
      </x:c>
      <x:c r="E21" s="15" t="str">
        <x:v>扩展</x:v>
      </x:c>
      <x:c r="F21" s="28" t="n">
        <x:v>0</x:v>
      </x:c>
      <x:c r="G21" s="15" t="str">
        <x:v>AWG/光芯片</x:v>
      </x:c>
    </x:row>
    <x:row r="22">
      <x:c r="A22" s="24" t="str">
        <x:v>北美链</x:v>
      </x:c>
      <x:c r="B22" s="15" t="str">
        <x:v>PCB</x:v>
      </x:c>
      <x:c r="C22" s="15" t="str">
        <x:v>深南电路</x:v>
      </x:c>
      <x:c r="D22" s="15" t="str">
        <x:v>002916.SZ</x:v>
      </x:c>
      <x:c r="E22" s="15" t="str">
        <x:v>扩展</x:v>
      </x:c>
      <x:c r="F22" s="28" t="n">
        <x:v>0</x:v>
      </x:c>
      <x:c r="G22" s="15" t="str">
        <x:v>高速PCB与封装基板</x:v>
      </x:c>
    </x:row>
    <x:row r="23">
      <x:c r="A23" s="24" t="str">
        <x:v>北美链</x:v>
      </x:c>
      <x:c r="B23" s="15" t="str">
        <x:v>高频材料</x:v>
      </x:c>
      <x:c r="C23" s="15" t="str">
        <x:v>联瑞新材</x:v>
      </x:c>
      <x:c r="D23" s="15" t="str">
        <x:v>688300.SH</x:v>
      </x:c>
      <x:c r="E23" s="15" t="str">
        <x:v>扩展</x:v>
      </x:c>
      <x:c r="F23" s="28" t="n">
        <x:v>0</x:v>
      </x:c>
      <x:c r="G23" s="15" t="str">
        <x:v>高频高速填料</x:v>
      </x:c>
    </x:row>
    <x:row r="24">
      <x:c r="A24" s="24" t="str">
        <x:v>北美链</x:v>
      </x:c>
      <x:c r="B24" s="15" t="str">
        <x:v>光纤光缆</x:v>
      </x:c>
      <x:c r="C24" s="15" t="str">
        <x:v>长飞光纤</x:v>
      </x:c>
      <x:c r="D24" s="15" t="str">
        <x:v>601869.SH</x:v>
      </x:c>
      <x:c r="E24" s="15" t="str">
        <x:v>扩展</x:v>
      </x:c>
      <x:c r="F24" s="28" t="n">
        <x:v>0</x:v>
      </x:c>
      <x:c r="G24" s="15" t="str">
        <x:v>数据中心与运营商光纤需求</x:v>
      </x:c>
    </x:row>
    <x:row r="25">
      <x:c r="A25" s="24" t="str">
        <x:v>北美链</x:v>
      </x:c>
      <x:c r="B25" s="15" t="str">
        <x:v>光纤光缆</x:v>
      </x:c>
      <x:c r="C25" s="15" t="str">
        <x:v>亨通光电</x:v>
      </x:c>
      <x:c r="D25" s="15" t="str">
        <x:v>600487.SH</x:v>
      </x:c>
      <x:c r="E25" s="15" t="str">
        <x:v>扩展</x:v>
      </x:c>
      <x:c r="F25" s="28" t="n">
        <x:v>0</x:v>
      </x:c>
      <x:c r="G25" s="15" t="str">
        <x:v>海外通信与算力互联</x:v>
      </x:c>
    </x:row>
    <x:row r="26">
      <x:c r="A26" s="24" t="str">
        <x:v>北美链</x:v>
      </x:c>
      <x:c r="B26" s="15" t="str">
        <x:v>光纤光缆</x:v>
      </x:c>
      <x:c r="C26" s="15" t="str">
        <x:v>中天科技</x:v>
      </x:c>
      <x:c r="D26" s="15" t="str">
        <x:v>600522.SH</x:v>
      </x:c>
      <x:c r="E26" s="15" t="str">
        <x:v>扩展</x:v>
      </x:c>
      <x:c r="F26" s="28" t="n">
        <x:v>0</x:v>
      </x:c>
      <x:c r="G26" s="15" t="str">
        <x:v>海外通信基础设施</x:v>
      </x:c>
    </x:row>
    <x:row r="27">
      <x:c r="A27" s="24" t="str">
        <x:v>北美链</x:v>
      </x:c>
      <x:c r="B27" s="15" t="str">
        <x:v>温控</x:v>
      </x:c>
      <x:c r="C27" s="15" t="str">
        <x:v>英维克</x:v>
      </x:c>
      <x:c r="D27" s="15" t="str">
        <x:v>002837.SZ</x:v>
      </x:c>
      <x:c r="E27" s="15" t="str">
        <x:v>扩展</x:v>
      </x:c>
      <x:c r="F27" s="28" t="n">
        <x:v>0</x:v>
      </x:c>
      <x:c r="G27" s="15" t="str">
        <x:v>数据中心液冷/温控</x:v>
      </x:c>
    </x:row>
    <x:row r="28">
      <x:c r="A28" s="25" t="str">
        <x:v>国产链</x:v>
      </x:c>
      <x:c r="B28" s="15" t="str">
        <x:v>AI芯片</x:v>
      </x:c>
      <x:c r="C28" s="15" t="str">
        <x:v>寒武纪</x:v>
      </x:c>
      <x:c r="D28" s="15" t="str">
        <x:v>688256.SH</x:v>
      </x:c>
      <x:c r="E28" s="29" t="str">
        <x:v>核心</x:v>
      </x:c>
      <x:c r="F28" s="30" t="n">
        <x:v>0.1</x:v>
      </x:c>
      <x:c r="G28" s="15" t="str">
        <x:v>国产训练/推理芯片核心标的</x:v>
      </x:c>
    </x:row>
    <x:row r="29">
      <x:c r="A29" s="25" t="str">
        <x:v>国产链</x:v>
      </x:c>
      <x:c r="B29" s="15" t="str">
        <x:v>CPU/DCU</x:v>
      </x:c>
      <x:c r="C29" s="15" t="str">
        <x:v>海光信息</x:v>
      </x:c>
      <x:c r="D29" s="15" t="str">
        <x:v>688041.SH</x:v>
      </x:c>
      <x:c r="E29" s="29" t="str">
        <x:v>核心</x:v>
      </x:c>
      <x:c r="F29" s="30" t="n">
        <x:v>0.1</x:v>
      </x:c>
      <x:c r="G29" s="15" t="str">
        <x:v>国产算力芯片与服务器生态</x:v>
      </x:c>
    </x:row>
    <x:row r="30">
      <x:c r="A30" s="25" t="str">
        <x:v>国产链</x:v>
      </x:c>
      <x:c r="B30" s="15" t="str">
        <x:v>服务器</x:v>
      </x:c>
      <x:c r="C30" s="15" t="str">
        <x:v>中科曙光</x:v>
      </x:c>
      <x:c r="D30" s="15" t="str">
        <x:v>603019.SH</x:v>
      </x:c>
      <x:c r="E30" s="29" t="str">
        <x:v>核心</x:v>
      </x:c>
      <x:c r="F30" s="30" t="n">
        <x:v>0.1</x:v>
      </x:c>
      <x:c r="G30" s="15" t="str">
        <x:v>国产高性能计算与服务器</x:v>
      </x:c>
    </x:row>
    <x:row r="31">
      <x:c r="A31" s="25" t="str">
        <x:v>国产链</x:v>
      </x:c>
      <x:c r="B31" s="15" t="str">
        <x:v>服务器</x:v>
      </x:c>
      <x:c r="C31" s="15" t="str">
        <x:v>浪潮信息</x:v>
      </x:c>
      <x:c r="D31" s="15" t="str">
        <x:v>000977.SZ</x:v>
      </x:c>
      <x:c r="E31" s="29" t="str">
        <x:v>核心</x:v>
      </x:c>
      <x:c r="F31" s="30" t="n">
        <x:v>0.1</x:v>
      </x:c>
      <x:c r="G31" s="15" t="str">
        <x:v>国内AI服务器与招标需求</x:v>
      </x:c>
    </x:row>
    <x:row r="32">
      <x:c r="A32" s="25" t="str">
        <x:v>国产链</x:v>
      </x:c>
      <x:c r="B32" s="15" t="str">
        <x:v>前道设备</x:v>
      </x:c>
      <x:c r="C32" s="15" t="str">
        <x:v>北方华创</x:v>
      </x:c>
      <x:c r="D32" s="15" t="str">
        <x:v>002371.SZ</x:v>
      </x:c>
      <x:c r="E32" s="29" t="str">
        <x:v>核心</x:v>
      </x:c>
      <x:c r="F32" s="30" t="n">
        <x:v>0.1</x:v>
      </x:c>
      <x:c r="G32" s="15" t="str">
        <x:v>平台型半导体设备龙头</x:v>
      </x:c>
    </x:row>
    <x:row r="33">
      <x:c r="A33" s="25" t="str">
        <x:v>国产链</x:v>
      </x:c>
      <x:c r="B33" s="15" t="str">
        <x:v>刻蚀设备</x:v>
      </x:c>
      <x:c r="C33" s="15" t="str">
        <x:v>中微公司</x:v>
      </x:c>
      <x:c r="D33" s="15" t="str">
        <x:v>688012.SH</x:v>
      </x:c>
      <x:c r="E33" s="29" t="str">
        <x:v>核心</x:v>
      </x:c>
      <x:c r="F33" s="30" t="n">
        <x:v>0.1</x:v>
      </x:c>
      <x:c r="G33" s="15" t="str">
        <x:v>先进制程刻蚀/薄膜设备</x:v>
      </x:c>
    </x:row>
    <x:row r="34">
      <x:c r="A34" s="25" t="str">
        <x:v>国产链</x:v>
      </x:c>
      <x:c r="B34" s="15" t="str">
        <x:v>薄膜设备</x:v>
      </x:c>
      <x:c r="C34" s="15" t="str">
        <x:v>拓荆科技</x:v>
      </x:c>
      <x:c r="D34" s="15" t="str">
        <x:v>688072.SH</x:v>
      </x:c>
      <x:c r="E34" s="29" t="str">
        <x:v>核心</x:v>
      </x:c>
      <x:c r="F34" s="30" t="n">
        <x:v>0.1</x:v>
      </x:c>
      <x:c r="G34" s="15" t="str">
        <x:v>薄膜沉积设备国产替代</x:v>
      </x:c>
    </x:row>
    <x:row r="35">
      <x:c r="A35" s="25" t="str">
        <x:v>国产链</x:v>
      </x:c>
      <x:c r="B35" s="15" t="str">
        <x:v>CMP设备</x:v>
      </x:c>
      <x:c r="C35" s="15" t="str">
        <x:v>华海清科</x:v>
      </x:c>
      <x:c r="D35" s="15" t="str">
        <x:v>688120.SH</x:v>
      </x:c>
      <x:c r="E35" s="29" t="str">
        <x:v>核心</x:v>
      </x:c>
      <x:c r="F35" s="30" t="n">
        <x:v>0.1</x:v>
      </x:c>
      <x:c r="G35" s="15" t="str">
        <x:v>CMP设备与耗材</x:v>
      </x:c>
    </x:row>
    <x:row r="36">
      <x:c r="A36" s="25" t="str">
        <x:v>国产链</x:v>
      </x:c>
      <x:c r="B36" s="15" t="str">
        <x:v>量检测</x:v>
      </x:c>
      <x:c r="C36" s="15" t="str">
        <x:v>中科飞测</x:v>
      </x:c>
      <x:c r="D36" s="15" t="str">
        <x:v>688361.SH</x:v>
      </x:c>
      <x:c r="E36" s="29" t="str">
        <x:v>核心</x:v>
      </x:c>
      <x:c r="F36" s="30" t="n">
        <x:v>0.1</x:v>
      </x:c>
      <x:c r="G36" s="15" t="str">
        <x:v>半导体量检测设备</x:v>
      </x:c>
    </x:row>
    <x:row r="37">
      <x:c r="A37" s="25" t="str">
        <x:v>国产链</x:v>
      </x:c>
      <x:c r="B37" s="15" t="str">
        <x:v>测试设备</x:v>
      </x:c>
      <x:c r="C37" s="15" t="str">
        <x:v>长川科技</x:v>
      </x:c>
      <x:c r="D37" s="15" t="str">
        <x:v>300604.SZ</x:v>
      </x:c>
      <x:c r="E37" s="29" t="str">
        <x:v>核心</x:v>
      </x:c>
      <x:c r="F37" s="30" t="n">
        <x:v>0.1</x:v>
      </x:c>
      <x:c r="G37" s="15" t="str">
        <x:v>测试机/分选机国产替代</x:v>
      </x:c>
    </x:row>
    <x:row r="38">
      <x:c r="A38" s="25" t="str">
        <x:v>国产链</x:v>
      </x:c>
      <x:c r="B38" s="15" t="str">
        <x:v>IP/芯片设计</x:v>
      </x:c>
      <x:c r="C38" s="15" t="str">
        <x:v>芯原股份</x:v>
      </x:c>
      <x:c r="D38" s="15" t="str">
        <x:v>688521.SH</x:v>
      </x:c>
      <x:c r="E38" s="15" t="str">
        <x:v>扩展</x:v>
      </x:c>
      <x:c r="F38" s="28" t="n">
        <x:v>0</x:v>
      </x:c>
      <x:c r="G38" s="15" t="str">
        <x:v>国产AI芯片IP与平台</x:v>
      </x:c>
    </x:row>
    <x:row r="39">
      <x:c r="A39" s="25" t="str">
        <x:v>国产链</x:v>
      </x:c>
      <x:c r="B39" s="15" t="str">
        <x:v>网络设备</x:v>
      </x:c>
      <x:c r="C39" s="15" t="str">
        <x:v>紫光股份</x:v>
      </x:c>
      <x:c r="D39" s="15" t="str">
        <x:v>000938.SZ</x:v>
      </x:c>
      <x:c r="E39" s="15" t="str">
        <x:v>扩展</x:v>
      </x:c>
      <x:c r="F39" s="28" t="n">
        <x:v>0</x:v>
      </x:c>
      <x:c r="G39" s="15" t="str">
        <x:v>国产服务器/交换机生态</x:v>
      </x:c>
    </x:row>
    <x:row r="40">
      <x:c r="A40" s="25" t="str">
        <x:v>国产链</x:v>
      </x:c>
      <x:c r="B40" s="15" t="str">
        <x:v>晶圆制造</x:v>
      </x:c>
      <x:c r="C40" s="15" t="str">
        <x:v>中芯国际</x:v>
      </x:c>
      <x:c r="D40" s="15" t="str">
        <x:v>688981.SH</x:v>
      </x:c>
      <x:c r="E40" s="15" t="str">
        <x:v>扩展</x:v>
      </x:c>
      <x:c r="F40" s="28" t="n">
        <x:v>0</x:v>
      </x:c>
      <x:c r="G40" s="15" t="str">
        <x:v>国产先进/成熟制程代工</x:v>
      </x:c>
    </x:row>
    <x:row r="41">
      <x:c r="A41" s="25" t="str">
        <x:v>国产链</x:v>
      </x:c>
      <x:c r="B41" s="15" t="str">
        <x:v>晶圆制造</x:v>
      </x:c>
      <x:c r="C41" s="15" t="str">
        <x:v>华虹公司</x:v>
      </x:c>
      <x:c r="D41" s="15" t="str">
        <x:v>688347.SH</x:v>
      </x:c>
      <x:c r="E41" s="15" t="str">
        <x:v>扩展</x:v>
      </x:c>
      <x:c r="F41" s="28" t="n">
        <x:v>0</x:v>
      </x:c>
      <x:c r="G41" s="15" t="str">
        <x:v>特色工艺与国产制造</x:v>
      </x:c>
    </x:row>
    <x:row r="42">
      <x:c r="A42" s="25" t="str">
        <x:v>国产链</x:v>
      </x:c>
      <x:c r="B42" s="15" t="str">
        <x:v>涂胶显影</x:v>
      </x:c>
      <x:c r="C42" s="15" t="str">
        <x:v>芯源微</x:v>
      </x:c>
      <x:c r="D42" s="15" t="str">
        <x:v>688037.SH</x:v>
      </x:c>
      <x:c r="E42" s="15" t="str">
        <x:v>扩展</x:v>
      </x:c>
      <x:c r="F42" s="28" t="n">
        <x:v>0</x:v>
      </x:c>
      <x:c r="G42" s="15" t="str">
        <x:v>涂胶显影/清洗设备</x:v>
      </x:c>
    </x:row>
    <x:row r="43">
      <x:c r="A43" s="25" t="str">
        <x:v>国产链</x:v>
      </x:c>
      <x:c r="B43" s="15" t="str">
        <x:v>清洗设备</x:v>
      </x:c>
      <x:c r="C43" s="15" t="str">
        <x:v>盛美上海</x:v>
      </x:c>
      <x:c r="D43" s="15" t="str">
        <x:v>688082.SH</x:v>
      </x:c>
      <x:c r="E43" s="15" t="str">
        <x:v>扩展</x:v>
      </x:c>
      <x:c r="F43" s="28" t="n">
        <x:v>0</x:v>
      </x:c>
      <x:c r="G43" s="15" t="str">
        <x:v>清洗与电镀设备</x:v>
      </x:c>
    </x:row>
    <x:row r="44">
      <x:c r="A44" s="25" t="str">
        <x:v>国产链</x:v>
      </x:c>
      <x:c r="B44" s="15" t="str">
        <x:v>薄膜设备</x:v>
      </x:c>
      <x:c r="C44" s="15" t="str">
        <x:v>微导纳米</x:v>
      </x:c>
      <x:c r="D44" s="15" t="str">
        <x:v>688147.SH</x:v>
      </x:c>
      <x:c r="E44" s="15" t="str">
        <x:v>扩展</x:v>
      </x:c>
      <x:c r="F44" s="28" t="n">
        <x:v>0</x:v>
      </x:c>
      <x:c r="G44" s="15" t="str">
        <x:v>ALD/CVD设备</x:v>
      </x:c>
    </x:row>
    <x:row r="45">
      <x:c r="A45" s="25" t="str">
        <x:v>国产链</x:v>
      </x:c>
      <x:c r="B45" s="15" t="str">
        <x:v>半导体材料</x:v>
      </x:c>
      <x:c r="C45" s="15" t="str">
        <x:v>安集科技</x:v>
      </x:c>
      <x:c r="D45" s="15" t="str">
        <x:v>688019.SH</x:v>
      </x:c>
      <x:c r="E45" s="15" t="str">
        <x:v>扩展</x:v>
      </x:c>
      <x:c r="F45" s="28" t="n">
        <x:v>0</x:v>
      </x:c>
      <x:c r="G45" s="15" t="str">
        <x:v>CMP抛光液等关键材料</x:v>
      </x:c>
    </x:row>
    <x:row r="46">
      <x:c r="A46" s="25" t="str">
        <x:v>国产链</x:v>
      </x:c>
      <x:c r="B46" s="15" t="str">
        <x:v>存储/MCU</x:v>
      </x:c>
      <x:c r="C46" s="15" t="str">
        <x:v>兆易创新</x:v>
      </x:c>
      <x:c r="D46" s="15" t="str">
        <x:v>603986.SH</x:v>
      </x:c>
      <x:c r="E46" s="15" t="str">
        <x:v>扩展</x:v>
      </x:c>
      <x:c r="F46" s="28" t="n">
        <x:v>0</x:v>
      </x:c>
      <x:c r="G46" s="15" t="str">
        <x:v>国产存储与控制芯片</x:v>
      </x:c>
    </x:row>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14" hidden="0" customWidth="1"/>
    <x:col min="4" max="4" width="18" hidden="0" customWidth="1"/>
    <x:col min="5" max="5" width="16" hidden="0" customWidth="1"/>
    <x:col min="6" max="6" width="18" hidden="0" customWidth="1"/>
    <x:col min="7" max="7" width="48" hidden="0" customWidth="1"/>
    <x:col min="8" max="8" width="16" hidden="0" customWidth="1"/>
    <x:col min="9" max="9" width="18" hidden="0" customWidth="1"/>
    <x:col min="10" max="10" width="16" hidden="0" customWidth="1"/>
    <x:col min="11" max="11" width="12" hidden="0" customWidth="1"/>
    <x:col min="12" max="12" width="12" hidden="0" customWidth="1"/>
    <x:col min="13" max="13" width="14" hidden="0" customWidth="1"/>
    <x:col min="14" max="14" width="14" hidden="0" customWidth="1"/>
    <x:col min="15" max="15" width="14" hidden="0" customWidth="1"/>
    <x:col min="16" max="16" width="14" hidden="0" customWidth="1"/>
    <x:col min="17" max="17" width="14" hidden="0" customWidth="1"/>
    <x:col min="18" max="18" width="34" hidden="0" customWidth="1"/>
  </x:cols>
  <x:sheetData>
    <x:row r="1" ht="30" customHeight="1">
      <x:c r="A1" s="42" t="str">
        <x:v>严格候选筛选：长期AI + 双链切换 + 组合同类锐度</x:v>
      </x:c>
      <x:c r="B1" s="42"/>
      <x:c r="C1" s="42"/>
      <x:c r="D1" s="42"/>
      <x:c r="E1" s="42"/>
      <x:c r="F1" s="42"/>
      <x:c r="G1" s="42"/>
      <x:c r="H1" s="42"/>
      <x:c r="I1" s="42"/>
      <x:c r="J1" s="42"/>
      <x:c r="K1" s="42"/>
      <x:c r="L1" s="42"/>
      <x:c r="M1" s="42"/>
      <x:c r="N1" s="42"/>
      <x:c r="O1" s="42"/>
      <x:c r="P1" s="42"/>
      <x:c r="Q1" s="42"/>
      <x:c r="R1" s="42"/>
    </x:row>
    <x:row r="2" ht="25" customHeight="1">
      <x:c r="A2" s="46" t="str">
        <x:v>任职&gt;3年、三年持续AI、主导链切换、攻击锐度与收益质量同时达标；任何一项失败均不算完整通过。</x:v>
      </x:c>
      <x:c r="B2" s="46"/>
      <x:c r="C2" s="46"/>
      <x:c r="D2" s="46"/>
      <x:c r="E2" s="46"/>
      <x:c r="F2" s="46"/>
      <x:c r="G2" s="46"/>
      <x:c r="H2" s="46"/>
      <x:c r="I2" s="46"/>
      <x:c r="J2" s="46"/>
      <x:c r="K2" s="46"/>
      <x:c r="L2" s="46"/>
      <x:c r="M2" s="46"/>
      <x:c r="N2" s="46"/>
      <x:c r="O2" s="46"/>
      <x:c r="P2" s="46"/>
      <x:c r="Q2" s="46"/>
      <x:c r="R2" s="46"/>
    </x:row>
    <x:row r="4" ht="35" customHeight="1">
      <x:c r="A4" s="38" t="str">
        <x:v>基金代码</x:v>
      </x:c>
      <x:c r="B4" s="38" t="str">
        <x:v>基金简称</x:v>
      </x:c>
      <x:c r="C4" s="38" t="str">
        <x:v>基金经理</x:v>
      </x:c>
      <x:c r="D4" s="38" t="str">
        <x:v>现任本基金年限</x:v>
      </x:c>
      <x:c r="E4" s="38" t="str">
        <x:v>任职起始日</x:v>
      </x:c>
      <x:c r="F4" s="38" t="str">
        <x:v>三年AI连续暴露</x:v>
      </x:c>
      <x:c r="G4" s="38" t="str">
        <x:v>三年链条轨迹</x:v>
      </x:c>
      <x:c r="H4" s="38" t="str">
        <x:v>主导链切换</x:v>
      </x:c>
      <x:c r="I4" s="38" t="str">
        <x:v>综合锐度</x:v>
      </x:c>
      <x:c r="J4" s="38" t="str">
        <x:v>三年年化收益</x:v>
      </x:c>
      <x:c r="K4" s="38" t="str">
        <x:v>夏普</x:v>
      </x:c>
      <x:c r="L4" s="38" t="str">
        <x:v>卡玛</x:v>
      </x:c>
      <x:c r="M4" s="38" t="str">
        <x:v>攻击锐度</x:v>
      </x:c>
      <x:c r="N4" s="38" t="str">
        <x:v>任职门槛</x:v>
      </x:c>
      <x:c r="O4" s="38" t="str">
        <x:v>AI门槛</x:v>
      </x:c>
      <x:c r="P4" s="38" t="str">
        <x:v>切换门槛</x:v>
      </x:c>
      <x:c r="Q4" s="38" t="str">
        <x:v>锐度门槛</x:v>
      </x:c>
      <x:c r="R4" s="38" t="str">
        <x:v>最终裁决</x:v>
      </x:c>
    </x:row>
    <x:row r="5">
      <x:c r="A5" s="15" t="str">
        <x:v>017488.OF</x:v>
      </x:c>
      <x:c r="B5" s="15" t="str">
        <x:v>嘉实信息产业A</x:v>
      </x:c>
      <x:c r="C5" s="15" t="str">
        <x:v>李涛</x:v>
      </x:c>
      <x:c r="D5" s="32" t="n">
        <x:v>3.62</x:v>
      </x:c>
      <x:c r="E5" s="15" t="str">
        <x:v>2022-12-16</x:v>
      </x:c>
      <x:c r="F5" s="15" t="str">
        <x:v>是</x:v>
      </x:c>
      <x:c r="G5" s="15" t="str">
        <x:v>国产→双链偏国产→均衡→北美偏重</x:v>
      </x:c>
      <x:c r="H5" s="15" t="str">
        <x:v>是</x:v>
      </x:c>
      <x:c r="I5" s="15" t="str">
        <x:f>'三年锐度'!P19</x:f>
        <x:v>达标</x:v>
      </x:c>
      <x:c r="J5" s="23" t="n">
        <x:f>'三年锐度'!E19</x:f>
        <x:v>0.32281207408321544</x:v>
      </x:c>
      <x:c r="K5" s="32" t="n">
        <x:f>'三年锐度'!H19</x:f>
        <x:v>0.8636321146626765</x:v>
      </x:c>
      <x:c r="L5" s="32" t="n">
        <x:f>'三年锐度'!I19</x:f>
        <x:v>0.9111653064514861</x:v>
      </x:c>
      <x:c r="M5" s="15" t="str">
        <x:f>'三年锐度'!N19</x:f>
        <x:v>是</x:v>
      </x:c>
      <x:c r="N5" s="15" t="str">
        <x:f>IF(D5&gt;3,"是","否")</x:f>
        <x:v>是</x:v>
      </x:c>
      <x:c r="O5" s="15" t="str">
        <x:f>IF(F5="是","是","否")</x:f>
        <x:v>是</x:v>
      </x:c>
      <x:c r="P5" s="15" t="str">
        <x:f>IF(H5="是","是","否")</x:f>
        <x:v>是</x:v>
      </x:c>
      <x:c r="Q5" s="15" t="str">
        <x:f>IF(I5="达标","是","否")</x:f>
        <x:v>是</x:v>
      </x:c>
      <x:c r="R5" s="59" t="str">
        <x:f>IF(AND(N5="是",O5="是",P5="是",Q5="是"),"严格通过",IF(AND(N5="是",O5="是",P5="是",M5="是"),"最近似：仅攻击锐度达标","剔除"))</x:f>
        <x:v>严格通过</x:v>
      </x:c>
    </x:row>
    <x:row r="6">
      <x:c r="A6" s="15" t="str">
        <x:v>006281.OF</x:v>
      </x:c>
      <x:c r="B6" s="15" t="str">
        <x:v>万家人工智能A</x:v>
      </x:c>
      <x:c r="C6" s="15" t="str">
        <x:v>耿嘉洲</x:v>
      </x:c>
      <x:c r="D6" s="32" t="n">
        <x:v>6.22</x:v>
      </x:c>
      <x:c r="E6" s="15" t="str">
        <x:v>2020-05-14</x:v>
      </x:c>
      <x:c r="F6" s="15" t="str">
        <x:v>是</x:v>
      </x:c>
      <x:c r="G6" s="15" t="str">
        <x:v>双链→国产偏重→双链均衡</x:v>
      </x:c>
      <x:c r="H6" s="15" t="str">
        <x:v>是</x:v>
      </x:c>
      <x:c r="I6" s="15" t="str">
        <x:f>'三年锐度'!P21</x:f>
        <x:v>仅攻击锐度</x:v>
      </x:c>
      <x:c r="J6" s="23" t="n">
        <x:f>'三年锐度'!E21</x:f>
        <x:v>0.2028992703341681</x:v>
      </x:c>
      <x:c r="K6" s="32" t="n">
        <x:f>'三年锐度'!H21</x:f>
        <x:v>0.5948691626205629</x:v>
      </x:c>
      <x:c r="L6" s="32" t="n">
        <x:f>'三年锐度'!I21</x:f>
        <x:v>0.5784995305656566</x:v>
      </x:c>
      <x:c r="M6" s="15" t="str">
        <x:f>'三年锐度'!N21</x:f>
        <x:v>是</x:v>
      </x:c>
      <x:c r="N6" s="15" t="str">
        <x:f>IF(D6&gt;3,"是","否")</x:f>
        <x:v>是</x:v>
      </x:c>
      <x:c r="O6" s="15" t="str">
        <x:f>IF(F6="是","是","否")</x:f>
        <x:v>是</x:v>
      </x:c>
      <x:c r="P6" s="15" t="str">
        <x:f>IF(H6="是","是","否")</x:f>
        <x:v>是</x:v>
      </x:c>
      <x:c r="Q6" s="15" t="str">
        <x:f>IF(I6="达标","是","否")</x:f>
        <x:v>否</x:v>
      </x:c>
      <x:c r="R6" s="61" t="str">
        <x:f>IF(AND(N6="是",O6="是",P6="是",Q6="是"),"严格通过",IF(AND(N6="是",O6="是",P6="是",M6="是"),"最近似：仅攻击锐度达标","剔除"))</x:f>
        <x:v>最近似：仅攻击锐度达标</x:v>
      </x:c>
    </x:row>
    <x:row r="7">
      <x:c r="A7" s="15" t="str">
        <x:v>017102.OF</x:v>
      </x:c>
      <x:c r="B7" s="15" t="str">
        <x:v>大摩数字经济A</x:v>
      </x:c>
      <x:c r="C7" s="15" t="str">
        <x:v>雷志勇</x:v>
      </x:c>
      <x:c r="D7" s="32" t="n">
        <x:v>3.42</x:v>
      </x:c>
      <x:c r="E7" s="15" t="str">
        <x:v>2023-03-02</x:v>
      </x:c>
      <x:c r="F7" s="15" t="str">
        <x:v>是</x:v>
      </x:c>
      <x:c r="G7" s="15" t="str">
        <x:v>长期北美链，国产芯片为卫星仓</x:v>
      </x:c>
      <x:c r="H7" s="15" t="str">
        <x:v>否</x:v>
      </x:c>
      <x:c r="I7" s="15" t="str">
        <x:f>'三年锐度'!P20</x:f>
        <x:v>达标</x:v>
      </x:c>
      <x:c r="J7" s="23" t="n">
        <x:f>'三年锐度'!E20</x:f>
        <x:v>0.5691854725776884</x:v>
      </x:c>
      <x:c r="K7" s="32" t="n">
        <x:f>'三年锐度'!H20</x:f>
        <x:v>1.2227312826104435</x:v>
      </x:c>
      <x:c r="L7" s="32" t="n">
        <x:f>'三年锐度'!I20</x:f>
        <x:v>1.707491501506722</x:v>
      </x:c>
      <x:c r="M7" s="15" t="str">
        <x:f>'三年锐度'!N20</x:f>
        <x:v>是</x:v>
      </x:c>
      <x:c r="N7" s="15" t="str">
        <x:f>IF(D7&gt;3,"是","否")</x:f>
        <x:v>是</x:v>
      </x:c>
      <x:c r="O7" s="15" t="str">
        <x:f>IF(F7="是","是","否")</x:f>
        <x:v>是</x:v>
      </x:c>
      <x:c r="P7" s="15" t="str">
        <x:f>IF(H7="是","是","否")</x:f>
        <x:v>否</x:v>
      </x:c>
      <x:c r="Q7" s="15" t="str">
        <x:f>IF(I7="达标","是","否")</x:f>
        <x:v>是</x:v>
      </x:c>
      <x:c r="R7" s="63" t="str">
        <x:f>IF(AND(N7="是",O7="是",P7="是",Q7="是"),"严格通过",IF(AND(N7="是",O7="是",P7="是",M7="是"),"最近似：仅攻击锐度达标","剔除"))</x:f>
        <x:v>剔除</x:v>
      </x:c>
    </x:row>
    <x:row r="8">
      <x:c r="A8" s="15" t="str">
        <x:v>007343.OF</x:v>
      </x:c>
      <x:c r="B8" s="15" t="str">
        <x:v>嘉实科技创新</x:v>
      </x:c>
      <x:c r="C8" s="15" t="str">
        <x:v>王贵重</x:v>
      </x:c>
      <x:c r="D8" s="32" t="n">
        <x:v>7.23</x:v>
      </x:c>
      <x:c r="E8" s="15" t="str">
        <x:v>2019-05-07</x:v>
      </x:c>
      <x:c r="F8" s="15" t="str">
        <x:v>否</x:v>
      </x:c>
      <x:c r="G8" s="15" t="str">
        <x:v>2023非AI硬件→2024后国产半导体</x:v>
      </x:c>
      <x:c r="H8" s="15" t="str">
        <x:v>否</x:v>
      </x:c>
      <x:c r="I8" s="15" t="str">
        <x:f>'三年锐度'!P22</x:f>
        <x:v>仅收益质量</x:v>
      </x:c>
      <x:c r="J8" s="23" t="n">
        <x:f>'三年锐度'!E22</x:f>
        <x:v>0.4006630216503433</x:v>
      </x:c>
      <x:c r="K8" s="32" t="n">
        <x:f>'三年锐度'!H22</x:f>
        <x:v>1.1513381793957929</x:v>
      </x:c>
      <x:c r="L8" s="32" t="n">
        <x:f>'三年锐度'!I22</x:f>
        <x:v>1.4726351312874517</x:v>
      </x:c>
      <x:c r="M8" s="15" t="str">
        <x:f>'三年锐度'!N22</x:f>
        <x:v>否</x:v>
      </x:c>
      <x:c r="N8" s="15" t="str">
        <x:f>IF(D8&gt;3,"是","否")</x:f>
        <x:v>是</x:v>
      </x:c>
      <x:c r="O8" s="15" t="str">
        <x:f>IF(F8="是","是","否")</x:f>
        <x:v>否</x:v>
      </x:c>
      <x:c r="P8" s="15" t="str">
        <x:f>IF(H8="是","是","否")</x:f>
        <x:v>否</x:v>
      </x:c>
      <x:c r="Q8" s="15" t="str">
        <x:f>IF(I8="达标","是","否")</x:f>
        <x:v>否</x:v>
      </x:c>
      <x:c r="R8" s="63" t="str">
        <x:f>IF(AND(N8="是",O8="是",P8="是",Q8="是"),"严格通过",IF(AND(N8="是",O8="是",P8="是",M8="是"),"最近似：仅攻击锐度达标","剔除"))</x:f>
        <x:v>剔除</x:v>
      </x:c>
    </x:row>
    <x:row r="9">
      <x:c r="A9" s="15" t="str">
        <x:v>009491.OF</x:v>
      </x:c>
      <x:c r="B9" s="15" t="str">
        <x:v>宝盈创新驱动A</x:v>
      </x:c>
      <x:c r="C9" s="15" t="str">
        <x:v>容志能</x:v>
      </x:c>
      <x:c r="D9" s="32" t="n">
        <x:v>3.3</x:v>
      </x:c>
      <x:c r="E9" s="15" t="str">
        <x:v>2023-04-15</x:v>
      </x:c>
      <x:c r="F9" s="15" t="str">
        <x:v>部分</x:v>
      </x:c>
      <x:c r="G9" s="15" t="str">
        <x:v>2023泛科技→2024后长期北美链</x:v>
      </x:c>
      <x:c r="H9" s="15" t="str">
        <x:v>否</x:v>
      </x:c>
      <x:c r="I9" s="15" t="str">
        <x:f>'三年锐度'!P23</x:f>
        <x:v>仅收益质量</x:v>
      </x:c>
      <x:c r="J9" s="23" t="n">
        <x:f>'三年锐度'!E23</x:f>
        <x:v>0.34773985863173107</x:v>
      </x:c>
      <x:c r="K9" s="32" t="n">
        <x:f>'三年锐度'!H23</x:f>
        <x:v>0.9663142745220336</x:v>
      </x:c>
      <x:c r="L9" s="32" t="n">
        <x:f>'三年锐度'!I23</x:f>
        <x:v>1.0127511647363239</x:v>
      </x:c>
      <x:c r="M9" s="15" t="str">
        <x:f>'三年锐度'!N23</x:f>
        <x:v>否</x:v>
      </x:c>
      <x:c r="N9" s="15" t="str">
        <x:f>IF(D9&gt;3,"是","否")</x:f>
        <x:v>是</x:v>
      </x:c>
      <x:c r="O9" s="15" t="str">
        <x:f>IF(F9="是","是","否")</x:f>
        <x:v>否</x:v>
      </x:c>
      <x:c r="P9" s="15" t="str">
        <x:f>IF(H9="是","是","否")</x:f>
        <x:v>否</x:v>
      </x:c>
      <x:c r="Q9" s="15" t="str">
        <x:f>IF(I9="达标","是","否")</x:f>
        <x:v>否</x:v>
      </x:c>
      <x:c r="R9" s="63" t="str">
        <x:f>IF(AND(N9="是",O9="是",P9="是",Q9="是"),"严格通过",IF(AND(N9="是",O9="是",P9="是",M9="是"),"最近似：仅攻击锐度达标","剔除"))</x:f>
        <x:v>剔除</x:v>
      </x:c>
    </x:row>
    <x:row r="10">
      <x:c r="A10" s="15" t="str">
        <x:v>006887.OF</x:v>
      </x:c>
      <x:c r="B10" s="15" t="str">
        <x:v>诺德新生活A</x:v>
      </x:c>
      <x:c r="C10" s="15" t="str">
        <x:v>周建胜</x:v>
      </x:c>
      <x:c r="D10" s="32" t="n">
        <x:v>4.05</x:v>
      </x:c>
      <x:c r="E10" s="15" t="str">
        <x:v>2022-07-14</x:v>
      </x:c>
      <x:c r="F10" s="15" t="str">
        <x:v>是</x:v>
      </x:c>
      <x:c r="G10" s="15" t="str">
        <x:v>三年持续北美光通信/PCB</x:v>
      </x:c>
      <x:c r="H10" s="15" t="str">
        <x:v>否</x:v>
      </x:c>
      <x:c r="I10" s="15" t="str">
        <x:f>'三年锐度'!P24</x:f>
        <x:v>仅攻击锐度</x:v>
      </x:c>
      <x:c r="J10" s="23" t="n">
        <x:f>'三年锐度'!E24</x:f>
        <x:v>0.3473071805622696</x:v>
      </x:c>
      <x:c r="K10" s="32" t="n">
        <x:f>'三年锐度'!H24</x:f>
        <x:v>0.7987599470966193</x:v>
      </x:c>
      <x:c r="L10" s="32" t="n">
        <x:f>'三年锐度'!I24</x:f>
        <x:v>0.664357295077855</x:v>
      </x:c>
      <x:c r="M10" s="15" t="str">
        <x:f>'三年锐度'!N24</x:f>
        <x:v>是</x:v>
      </x:c>
      <x:c r="N10" s="15" t="str">
        <x:f>IF(D10&gt;3,"是","否")</x:f>
        <x:v>是</x:v>
      </x:c>
      <x:c r="O10" s="15" t="str">
        <x:f>IF(F10="是","是","否")</x:f>
        <x:v>是</x:v>
      </x:c>
      <x:c r="P10" s="15" t="str">
        <x:f>IF(H10="是","是","否")</x:f>
        <x:v>否</x:v>
      </x:c>
      <x:c r="Q10" s="15" t="str">
        <x:f>IF(I10="达标","是","否")</x:f>
        <x:v>否</x:v>
      </x:c>
      <x:c r="R10" s="63" t="str">
        <x:f>IF(AND(N10="是",O10="是",P10="是",Q10="是"),"严格通过",IF(AND(N10="是",O10="是",P10="是",M10="是"),"最近似：仅攻击锐度达标","剔除"))</x:f>
        <x:v>剔除</x:v>
      </x:c>
    </x:row>
    <x:row r="11">
      <x:c r="A11" s="15" t="str">
        <x:v>001323.OF</x:v>
      </x:c>
      <x:c r="B11" s="15" t="str">
        <x:v>东吴移动互联A</x:v>
      </x:c>
      <x:c r="C11" s="15" t="str">
        <x:v>刘元海</x:v>
      </x:c>
      <x:c r="D11" s="32" t="n">
        <x:v>10.27</x:v>
      </x:c>
      <x:c r="E11" s="15" t="str">
        <x:v>2016-04-27</x:v>
      </x:c>
      <x:c r="F11" s="15" t="str">
        <x:v>是</x:v>
      </x:c>
      <x:c r="G11" s="15" t="str">
        <x:v>北美链+端侧，国产芯片为卫星仓</x:v>
      </x:c>
      <x:c r="H11" s="15" t="str">
        <x:v>否</x:v>
      </x:c>
      <x:c r="I11" s="15" t="str">
        <x:f>'三年锐度'!P25</x:f>
        <x:v>仅收益质量</x:v>
      </x:c>
      <x:c r="J11" s="23" t="n">
        <x:f>'三年锐度'!E25</x:f>
        <x:v>0.32926808165562527</x:v>
      </x:c>
      <x:c r="K11" s="32" t="n">
        <x:f>'三年锐度'!H25</x:f>
        <x:v>0.9243500714260005</x:v>
      </x:c>
      <x:c r="L11" s="32" t="n">
        <x:f>'三年锐度'!I25</x:f>
        <x:v>1.0574483785063984</x:v>
      </x:c>
      <x:c r="M11" s="15" t="str">
        <x:f>'三年锐度'!N25</x:f>
        <x:v>否</x:v>
      </x:c>
      <x:c r="N11" s="15" t="str">
        <x:f>IF(D11&gt;3,"是","否")</x:f>
        <x:v>是</x:v>
      </x:c>
      <x:c r="O11" s="15" t="str">
        <x:f>IF(F11="是","是","否")</x:f>
        <x:v>是</x:v>
      </x:c>
      <x:c r="P11" s="15" t="str">
        <x:f>IF(H11="是","是","否")</x:f>
        <x:v>否</x:v>
      </x:c>
      <x:c r="Q11" s="15" t="str">
        <x:f>IF(I11="达标","是","否")</x:f>
        <x:v>否</x:v>
      </x:c>
      <x:c r="R11" s="63" t="str">
        <x:f>IF(AND(N11="是",O11="是",P11="是",Q11="是"),"严格通过",IF(AND(N11="是",O11="是",P11="是",M11="是"),"最近似：仅攻击锐度达标","剔除"))</x:f>
        <x:v>剔除</x:v>
      </x:c>
    </x:row>
    <x:row r="12">
      <x:c r="A12" s="15" t="str">
        <x:v>001396.OF</x:v>
      </x:c>
      <x:c r="B12" s="15" t="str">
        <x:v>建信互联网+产业升级</x:v>
      </x:c>
      <x:c r="C12" s="15" t="str">
        <x:v>何珅华</x:v>
      </x:c>
      <x:c r="D12" s="32" t="n">
        <x:v>11.11</x:v>
      </x:c>
      <x:c r="E12" s="15" t="str">
        <x:v>2015-06-23</x:v>
      </x:c>
      <x:c r="F12" s="15" t="str">
        <x:v>是</x:v>
      </x:c>
      <x:c r="G12" s="15" t="str">
        <x:v>数字基建/北美链/国产半导体动态配置</x:v>
      </x:c>
      <x:c r="H12" s="15" t="str">
        <x:v>是</x:v>
      </x:c>
      <x:c r="I12" s="15" t="str">
        <x:f>'三年锐度'!P26</x:f>
        <x:v>未达标</x:v>
      </x:c>
      <x:c r="J12" s="23" t="n">
        <x:f>'三年锐度'!E26</x:f>
        <x:v>0.2286490224880613</x:v>
      </x:c>
      <x:c r="K12" s="32" t="n">
        <x:f>'三年锐度'!H26</x:f>
        <x:v>0.7989245967562972</x:v>
      </x:c>
      <x:c r="L12" s="32" t="n">
        <x:f>'三年锐度'!I26</x:f>
        <x:v>0.7656697290580842</x:v>
      </x:c>
      <x:c r="M12" s="15" t="str">
        <x:f>'三年锐度'!N26</x:f>
        <x:v>否</x:v>
      </x:c>
      <x:c r="N12" s="15" t="str">
        <x:f>IF(D12&gt;3,"是","否")</x:f>
        <x:v>是</x:v>
      </x:c>
      <x:c r="O12" s="15" t="str">
        <x:f>IF(F12="是","是","否")</x:f>
        <x:v>是</x:v>
      </x:c>
      <x:c r="P12" s="15" t="str">
        <x:f>IF(H12="是","是","否")</x:f>
        <x:v>是</x:v>
      </x:c>
      <x:c r="Q12" s="15" t="str">
        <x:f>IF(I12="达标","是","否")</x:f>
        <x:v>否</x:v>
      </x:c>
      <x:c r="R12" s="63" t="str">
        <x:f>IF(AND(N12="是",O12="是",P12="是",Q12="是"),"严格通过",IF(AND(N12="是",O12="是",P12="是",M12="是"),"最近似：仅攻击锐度达标","剔除"))</x:f>
        <x:v>剔除</x:v>
      </x:c>
    </x:row>
    <x:row r="13">
      <x:c r="A13" s="15" t="str">
        <x:v>001167.OF</x:v>
      </x:c>
      <x:c r="B13" s="15" t="str">
        <x:v>金鹰科技创新A</x:v>
      </x:c>
      <x:c r="C13" s="15" t="str">
        <x:v>陈颖</x:v>
      </x:c>
      <x:c r="D13" s="32" t="n">
        <x:v>5.21</x:v>
      </x:c>
      <x:c r="E13" s="15" t="str">
        <x:v>2021-05-18</x:v>
      </x:c>
      <x:c r="F13" s="15" t="str">
        <x:v>未复核</x:v>
      </x:c>
      <x:c r="G13" s="15" t="str">
        <x:v>锐度先失败，停止后续门槛</x:v>
      </x:c>
      <x:c r="H13" s="15" t="str">
        <x:v>未确认</x:v>
      </x:c>
      <x:c r="I13" s="15" t="str">
        <x:f>'三年锐度'!P27</x:f>
        <x:v>未达标</x:v>
      </x:c>
      <x:c r="J13" s="23" t="n">
        <x:f>'三年锐度'!E27</x:f>
        <x:v>0.07039339146565915</x:v>
      </x:c>
      <x:c r="K13" s="32" t="n">
        <x:f>'三年锐度'!H27</x:f>
        <x:v>0.3239680701371765</x:v>
      </x:c>
      <x:c r="L13" s="32" t="n">
        <x:f>'三年锐度'!I27</x:f>
        <x:v>0.24329606934724726</x:v>
      </x:c>
      <x:c r="M13" s="15" t="str">
        <x:f>'三年锐度'!N27</x:f>
        <x:v>否</x:v>
      </x:c>
      <x:c r="N13" s="15" t="str">
        <x:f>IF(D13&gt;3,"是","否")</x:f>
        <x:v>是</x:v>
      </x:c>
      <x:c r="O13" s="15" t="str">
        <x:f>IF(F13="是","是","否")</x:f>
        <x:v>否</x:v>
      </x:c>
      <x:c r="P13" s="15" t="str">
        <x:f>IF(H13="是","是","否")</x:f>
        <x:v>否</x:v>
      </x:c>
      <x:c r="Q13" s="15" t="str">
        <x:f>IF(I13="达标","是","否")</x:f>
        <x:v>否</x:v>
      </x:c>
      <x:c r="R13" s="63" t="str">
        <x:f>IF(AND(N13="是",O13="是",P13="是",Q13="是"),"严格通过",IF(AND(N13="是",O13="是",P13="是",M13="是"),"最近似：仅攻击锐度达标","剔除"))</x:f>
        <x:v>剔除</x:v>
      </x:c>
    </x:row>
    <x:row r="14">
      <x:c r="A14" s="15" t="str">
        <x:v>519644.OF</x:v>
      </x:c>
      <x:c r="B14" s="15" t="str">
        <x:v>银河智联A</x:v>
      </x:c>
      <x:c r="C14" s="15" t="str">
        <x:v>郑巍山</x:v>
      </x:c>
      <x:c r="D14" s="32" t="n">
        <x:v>4.38</x:v>
      </x:c>
      <x:c r="E14" s="15" t="str">
        <x:v>2022-03-17</x:v>
      </x:c>
      <x:c r="F14" s="15" t="str">
        <x:v>未复核</x:v>
      </x:c>
      <x:c r="G14" s="15" t="str">
        <x:v>锐度/收益质量先失败</x:v>
      </x:c>
      <x:c r="H14" s="15" t="str">
        <x:v>未确认</x:v>
      </x:c>
      <x:c r="I14" s="15" t="str">
        <x:f>'三年锐度'!P28</x:f>
        <x:v>仅攻击锐度</x:v>
      </x:c>
      <x:c r="J14" s="23" t="n">
        <x:f>'三年锐度'!E28</x:f>
        <x:v>0.1493165150687017</x:v>
      </x:c>
      <x:c r="K14" s="32" t="n">
        <x:f>'三年锐度'!H28</x:f>
        <x:v>0.47930829268420466</x:v>
      </x:c>
      <x:c r="L14" s="32" t="n">
        <x:f>'三年锐度'!I28</x:f>
        <x:v>0.3385410728947745</x:v>
      </x:c>
      <x:c r="M14" s="15" t="str">
        <x:f>'三年锐度'!N28</x:f>
        <x:v>是</x:v>
      </x:c>
      <x:c r="N14" s="15" t="str">
        <x:f>IF(D14&gt;3,"是","否")</x:f>
        <x:v>是</x:v>
      </x:c>
      <x:c r="O14" s="15" t="str">
        <x:f>IF(F14="是","是","否")</x:f>
        <x:v>否</x:v>
      </x:c>
      <x:c r="P14" s="15" t="str">
        <x:f>IF(H14="是","是","否")</x:f>
        <x:v>否</x:v>
      </x:c>
      <x:c r="Q14" s="15" t="str">
        <x:f>IF(I14="达标","是","否")</x:f>
        <x:v>否</x:v>
      </x:c>
      <x:c r="R14" s="63" t="str">
        <x:f>IF(AND(N14="是",O14="是",P14="是",Q14="是"),"严格通过",IF(AND(N14="是",O14="是",P14="是",M14="是"),"最近似：仅攻击锐度达标","剔除"))</x:f>
        <x:v>剔除</x:v>
      </x:c>
    </x:row>
    <x:row r="15">
      <x:c r="A15" s="15" t="str">
        <x:v>009537.OF</x:v>
      </x:c>
      <x:c r="B15" s="15" t="str">
        <x:v>太平行业优选A</x:v>
      </x:c>
      <x:c r="C15" s="15" t="str">
        <x:v>林开盛</x:v>
      </x:c>
      <x:c r="D15" s="32" t="n">
        <x:v>5.92</x:v>
      </x:c>
      <x:c r="E15" s="15" t="str">
        <x:v>2020-09-01</x:v>
      </x:c>
      <x:c r="F15" s="15" t="str">
        <x:v>未复核</x:v>
      </x:c>
      <x:c r="G15" s="15" t="str">
        <x:v>锐度/收益质量先失败</x:v>
      </x:c>
      <x:c r="H15" s="15" t="str">
        <x:v>未确认</x:v>
      </x:c>
      <x:c r="I15" s="15" t="str">
        <x:f>'三年锐度'!P29</x:f>
        <x:v>未达标</x:v>
      </x:c>
      <x:c r="J15" s="23" t="n">
        <x:f>'三年锐度'!E29</x:f>
        <x:v>0.13417756392076785</x:v>
      </x:c>
      <x:c r="K15" s="32" t="n">
        <x:f>'三年锐度'!H29</x:f>
        <x:v>0.44492353152266195</x:v>
      </x:c>
      <x:c r="L15" s="32" t="n">
        <x:f>'三年锐度'!I29</x:f>
        <x:v>0.36181077934823525</x:v>
      </x:c>
      <x:c r="M15" s="15" t="str">
        <x:f>'三年锐度'!N29</x:f>
        <x:v>否</x:v>
      </x:c>
      <x:c r="N15" s="15" t="str">
        <x:f>IF(D15&gt;3,"是","否")</x:f>
        <x:v>是</x:v>
      </x:c>
      <x:c r="O15" s="15" t="str">
        <x:f>IF(F15="是","是","否")</x:f>
        <x:v>否</x:v>
      </x:c>
      <x:c r="P15" s="15" t="str">
        <x:f>IF(H15="是","是","否")</x:f>
        <x:v>否</x:v>
      </x:c>
      <x:c r="Q15" s="15" t="str">
        <x:f>IF(I15="达标","是","否")</x:f>
        <x:v>否</x:v>
      </x:c>
      <x:c r="R15" s="63" t="str">
        <x:f>IF(AND(N15="是",O15="是",P15="是",Q15="是"),"严格通过",IF(AND(N15="是",O15="是",P15="是",M15="是"),"最近似：仅攻击锐度达标","剔除"))</x:f>
        <x:v>剔除</x:v>
      </x:c>
    </x:row>
    <x:row r="16">
      <x:c r="A16" s="15" t="str">
        <x:v>012696.OF</x:v>
      </x:c>
      <x:c r="B16" s="15" t="str">
        <x:v>同泰数字经济A</x:v>
      </x:c>
      <x:c r="C16" s="15" t="str">
        <x:v>麦健沛</x:v>
      </x:c>
      <x:c r="D16" s="32" t="n">
        <x:v>0.13</x:v>
      </x:c>
      <x:c r="E16" s="15" t="str">
        <x:v>2026-06-11</x:v>
      </x:c>
      <x:c r="F16" s="15" t="str">
        <x:v>否</x:v>
      </x:c>
      <x:c r="G16" s="15" t="str">
        <x:v>2026年才接管</x:v>
      </x:c>
      <x:c r="H16" s="15" t="str">
        <x:v>未确认</x:v>
      </x:c>
      <x:c r="I16" s="15" t="str">
        <x:v>数据不足</x:v>
      </x:c>
      <x:c r="J16" s="23"/>
      <x:c r="K16" s="32"/>
      <x:c r="L16" s="32"/>
      <x:c r="M16" s="15" t="str">
        <x:v>数据不足</x:v>
      </x:c>
      <x:c r="N16" s="15" t="str">
        <x:f>IF(D16&gt;3,"是","否")</x:f>
        <x:v>否</x:v>
      </x:c>
      <x:c r="O16" s="15" t="str">
        <x:f>IF(F16="是","是","否")</x:f>
        <x:v>否</x:v>
      </x:c>
      <x:c r="P16" s="15" t="str">
        <x:f>IF(H16="是","是","否")</x:f>
        <x:v>否</x:v>
      </x:c>
      <x:c r="Q16" s="15" t="str">
        <x:f>IF(I16="达标","是","否")</x:f>
        <x:v>否</x:v>
      </x:c>
      <x:c r="R16" s="63" t="str">
        <x:f>IF(AND(N16="是",O16="是",P16="是",Q16="是"),"严格通过",IF(AND(N16="是",O16="是",P16="是",M16="是"),"最近似：仅攻击锐度达标","剔除"))</x:f>
        <x:v>剔除</x:v>
      </x:c>
    </x:row>
    <x:row r="17">
      <x:c r="A17" s="15" t="str">
        <x:v>018956.OF</x:v>
      </x:c>
      <x:c r="B17" s="15" t="str">
        <x:v>中航机遇领航A</x:v>
      </x:c>
      <x:c r="C17" s="15" t="str">
        <x:v>韩浩</x:v>
      </x:c>
      <x:c r="D17" s="32" t="n">
        <x:v>2.97</x:v>
      </x:c>
      <x:c r="E17" s="15" t="str">
        <x:v>2023-08-10</x:v>
      </x:c>
      <x:c r="F17" s="15" t="str">
        <x:v>是</x:v>
      </x:c>
      <x:c r="G17" s="15" t="str">
        <x:v>持续北美链高弹性</x:v>
      </x:c>
      <x:c r="H17" s="15" t="str">
        <x:v>否</x:v>
      </x:c>
      <x:c r="I17" s="15" t="str">
        <x:v>数据不足</x:v>
      </x:c>
      <x:c r="J17" s="23"/>
      <x:c r="K17" s="32"/>
      <x:c r="L17" s="32"/>
      <x:c r="M17" s="15" t="str">
        <x:v>数据不足</x:v>
      </x:c>
      <x:c r="N17" s="15" t="str">
        <x:f>IF(D17&gt;3,"是","否")</x:f>
        <x:v>否</x:v>
      </x:c>
      <x:c r="O17" s="15" t="str">
        <x:f>IF(F17="是","是","否")</x:f>
        <x:v>是</x:v>
      </x:c>
      <x:c r="P17" s="15" t="str">
        <x:f>IF(H17="是","是","否")</x:f>
        <x:v>否</x:v>
      </x:c>
      <x:c r="Q17" s="15" t="str">
        <x:f>IF(I17="达标","是","否")</x:f>
        <x:v>否</x:v>
      </x:c>
      <x:c r="R17" s="63" t="str">
        <x:f>IF(AND(N17="是",O17="是",P17="是",Q17="是"),"严格通过",IF(AND(N17="是",O17="是",P17="是",M17="是"),"最近似：仅攻击锐度达标","剔除"))</x:f>
        <x:v>剔除</x:v>
      </x:c>
    </x:row>
  </x:sheetData>
  <x:mergeCells>
    <x:mergeCell ref="A1:R1"/>
    <x:mergeCell ref="A2:R2"/>
  </x:mergeCells>
  <x:conditionalFormatting sqref="N5:Q17">
    <x:cfRule type="containsText" dxfId="4" priority="1" operator="containsText" text="是"/>
    <x:cfRule type="containsText" dxfId="5" priority="2" operator="containsText" text="否"/>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5" hidden="0" customWidth="1"/>
    <x:col min="4" max="4" width="10" hidden="0" customWidth="1"/>
    <x:col min="5" max="5" width="14" hidden="0" customWidth="1"/>
    <x:col min="6" max="6" width="14" hidden="0" customWidth="1"/>
    <x:col min="7" max="7" width="14" hidden="0" customWidth="1"/>
    <x:col min="8" max="8" width="13" hidden="0" customWidth="1"/>
    <x:col min="9" max="9" width="15" hidden="0" customWidth="1"/>
    <x:col min="10" max="10" width="16" hidden="0" customWidth="1"/>
    <x:col min="11" max="11" width="16" hidden="0" customWidth="1"/>
    <x:col min="12" max="12" width="13" hidden="0" customWidth="1"/>
    <x:col min="13" max="13" width="14" hidden="0" customWidth="1"/>
    <x:col min="14" max="14" width="14" hidden="0" customWidth="1"/>
    <x:col min="15" max="15" width="13" hidden="0" customWidth="1"/>
    <x:col min="16" max="16" width="13" hidden="0" customWidth="1"/>
    <x:col min="17" max="17" width="15" hidden="0" customWidth="1"/>
  </x:cols>
  <x:sheetData>
    <x:row r="1" ht="30" customHeight="1">
      <x:c r="A1" s="3" t="str">
        <x:v>净值Beta回归明细</x:v>
      </x:c>
      <x:c r="B1" s="3"/>
      <x:c r="C1" s="3"/>
      <x:c r="D1" s="3"/>
      <x:c r="E1" s="3"/>
      <x:c r="F1" s="3"/>
      <x:c r="G1" s="3"/>
      <x:c r="H1" s="3"/>
      <x:c r="I1" s="3"/>
      <x:c r="J1" s="3"/>
      <x:c r="K1" s="3"/>
      <x:c r="L1" s="3"/>
      <x:c r="M1" s="3"/>
      <x:c r="N1" s="3"/>
      <x:c r="O1" s="3"/>
      <x:c r="P1" s="3"/>
      <x:c r="Q1" s="3"/>
    </x:row>
    <x:row r="2" ht="24" customHeight="1">
      <x:c r="A2" s="7" t="str">
        <x:v>标准化OLS；股票篮子模型另用科创50和中证1000控制风格。正Beta占比只在正Beta之间归一化。</x:v>
      </x:c>
      <x:c r="B2" s="7"/>
      <x:c r="C2" s="7"/>
      <x:c r="D2" s="7"/>
      <x:c r="E2" s="7"/>
      <x:c r="F2" s="7"/>
      <x:c r="G2" s="7"/>
      <x:c r="H2" s="7"/>
      <x:c r="I2" s="7"/>
      <x:c r="J2" s="7"/>
      <x:c r="K2" s="7"/>
      <x:c r="L2" s="7"/>
      <x:c r="M2" s="7"/>
      <x:c r="N2" s="7"/>
      <x:c r="O2" s="7"/>
      <x:c r="P2" s="7"/>
      <x:c r="Q2" s="7"/>
    </x:row>
    <x:row r="4" ht="34" customHeight="1">
      <x:c r="A4" s="12" t="str">
        <x:v>基金代码</x:v>
      </x:c>
      <x:c r="B4" s="12" t="str">
        <x:v>基金简称</x:v>
      </x:c>
      <x:c r="C4" s="12" t="str">
        <x:v>窗口</x:v>
      </x:c>
      <x:c r="D4" s="12" t="str">
        <x:v>样本数</x:v>
      </x:c>
      <x:c r="E4" s="12" t="str">
        <x:v>股票北美Beta</x:v>
      </x:c>
      <x:c r="F4" s="12" t="str">
        <x:v>股票国产Beta</x:v>
      </x:c>
      <x:c r="G4" s="12" t="str">
        <x:v>股票双因子R²</x:v>
      </x:c>
      <x:c r="H4" s="12" t="str">
        <x:v>股票标签</x:v>
      </x:c>
      <x:c r="I4" s="12" t="str">
        <x:v>股票北美占比</x:v>
      </x:c>
      <x:c r="J4" s="12" t="str">
        <x:v>控制后北美Beta</x:v>
      </x:c>
      <x:c r="K4" s="12" t="str">
        <x:v>控制后国产Beta</x:v>
      </x:c>
      <x:c r="L4" s="12" t="str">
        <x:v>四因子R²</x:v>
      </x:c>
      <x:c r="M4" s="12" t="str">
        <x:v>锚定北美Beta</x:v>
      </x:c>
      <x:c r="N4" s="12" t="str">
        <x:v>锚定国产Beta</x:v>
      </x:c>
      <x:c r="O4" s="12" t="str">
        <x:v>锚定R²</x:v>
      </x:c>
      <x:c r="P4" s="12" t="str">
        <x:v>锚定标签</x:v>
      </x:c>
      <x:c r="Q4" s="12" t="str">
        <x:v>锚定北美占比</x:v>
      </x:c>
    </x:row>
    <x:row r="5">
      <x:c r="A5" s="15" t="str">
        <x:v>001170.OF</x:v>
      </x:c>
      <x:c r="B5" s="15" t="str">
        <x:v>宏利复兴混合A</x:v>
      </x:c>
      <x:c r="C5" s="15" t="str">
        <x:v>2026Q1</x:v>
      </x:c>
      <x:c r="D5" s="15" t="n">
        <x:v>55</x:v>
      </x:c>
      <x:c r="E5" s="33" t="n">
        <x:v>0.8709227485711122</x:v>
      </x:c>
      <x:c r="F5" s="33" t="n">
        <x:v>0.11166381486498908</x:v>
      </x:c>
      <x:c r="G5" s="33" t="n">
        <x:v>0.8801924405691918</x:v>
      </x:c>
      <x:c r="H5" s="34" t="str">
        <x:v>北美链</x:v>
      </x:c>
      <x:c r="I5" s="33" t="n">
        <x:v>0.8863572747478846</x:v>
      </x:c>
      <x:c r="J5" s="33" t="n">
        <x:v>0.8699840545122401</x:v>
      </x:c>
      <x:c r="K5" s="33" t="n">
        <x:v>-0.048597587410925194</x:v>
      </x:c>
      <x:c r="L5" s="33" t="n">
        <x:v>0.8936803104478999</x:v>
      </x:c>
      <x:c r="M5" s="33" t="n">
        <x:v>0.9652810319346616</x:v>
      </x:c>
      <x:c r="N5" s="33" t="n">
        <x:v>0.04006860767038222</x:v>
      </x:c>
      <x:c r="O5" s="33" t="n">
        <x:v>0.9749717301559341</x:v>
      </x:c>
      <x:c r="P5" s="34" t="str">
        <x:v>北美链</x:v>
      </x:c>
      <x:c r="Q5" s="33" t="n">
        <x:v>0.960144604332754</x:v>
      </x:c>
    </x:row>
    <x:row r="6">
      <x:c r="A6" s="15" t="str">
        <x:v>001170.OF</x:v>
      </x:c>
      <x:c r="B6" s="15" t="str">
        <x:v>宏利复兴混合A</x:v>
      </x:c>
      <x:c r="C6" s="15" t="str">
        <x:v>2026Q2</x:v>
      </x:c>
      <x:c r="D6" s="15" t="n">
        <x:v>60</x:v>
      </x:c>
      <x:c r="E6" s="33" t="n">
        <x:v>0.9473884622623611</x:v>
      </x:c>
      <x:c r="F6" s="33" t="n">
        <x:v>0.014275872459283712</x:v>
      </x:c>
      <x:c r="G6" s="33" t="n">
        <x:v>0.9108285361882746</x:v>
      </x:c>
      <x:c r="H6" s="34" t="str">
        <x:v>北美链</x:v>
      </x:c>
      <x:c r="I6" s="33" t="n">
        <x:v>0.9851550359685368</x:v>
      </x:c>
      <x:c r="J6" s="33" t="n">
        <x:v>0.8702027943997249</x:v>
      </x:c>
      <x:c r="K6" s="33" t="n">
        <x:v>-0.1572212623347234</x:v>
      </x:c>
      <x:c r="L6" s="33" t="n">
        <x:v>0.9166829272788115</x:v>
      </x:c>
      <x:c r="M6" s="33" t="n">
        <x:v>0.99426061086762</x:v>
      </x:c>
      <x:c r="N6" s="33" t="n">
        <x:v>-0.00983846296780965</x:v>
      </x:c>
      <x:c r="O6" s="33" t="n">
        <x:v>0.9805579109857985</x:v>
      </x:c>
      <x:c r="P6" s="34" t="str">
        <x:v>北美链</x:v>
      </x:c>
      <x:c r="Q6" s="33" t="n">
        <x:v>1</x:v>
      </x:c>
    </x:row>
    <x:row r="7">
      <x:c r="A7" s="15" t="str">
        <x:v>001170.OF</x:v>
      </x:c>
      <x:c r="B7" s="15" t="str">
        <x:v>宏利复兴混合A</x:v>
      </x:c>
      <x:c r="C7" s="15" t="str">
        <x:v>近60交易日</x:v>
      </x:c>
      <x:c r="D7" s="15" t="n">
        <x:v>60</x:v>
      </x:c>
      <x:c r="E7" s="33" t="n">
        <x:v>0.9488285715467588</x:v>
      </x:c>
      <x:c r="F7" s="33" t="n">
        <x:v>0.03805864943048682</x:v>
      </x:c>
      <x:c r="G7" s="33" t="n">
        <x:v>0.9475993719465255</x:v>
      </x:c>
      <x:c r="H7" s="34" t="str">
        <x:v>北美链</x:v>
      </x:c>
      <x:c r="I7" s="33" t="n">
        <x:v>0.9614356649660535</x:v>
      </x:c>
      <x:c r="J7" s="33" t="n">
        <x:v>0.8421351706998452</x:v>
      </x:c>
      <x:c r="K7" s="33" t="n">
        <x:v>-0.08463821534291117</x:v>
      </x:c>
      <x:c r="L7" s="33" t="n">
        <x:v>0.9544113108093788</x:v>
      </x:c>
      <x:c r="M7" s="33" t="n">
        <x:v>1.0095099834542016</x:v>
      </x:c>
      <x:c r="N7" s="33" t="n">
        <x:v>-0.023294557692156808</x:v>
      </x:c>
      <x:c r="O7" s="33" t="n">
        <x:v>0.9892362427965533</x:v>
      </x:c>
      <x:c r="P7" s="34" t="str">
        <x:v>北美链</x:v>
      </x:c>
      <x:c r="Q7" s="33" t="n">
        <x:v>1</x:v>
      </x:c>
    </x:row>
    <x:row r="8">
      <x:c r="A8" s="15" t="str">
        <x:v>001170.OF</x:v>
      </x:c>
      <x:c r="B8" s="15" t="str">
        <x:v>宏利复兴混合A</x:v>
      </x:c>
      <x:c r="C8" s="15" t="str">
        <x:v>近20交易日</x:v>
      </x:c>
      <x:c r="D8" s="15" t="n">
        <x:v>20</x:v>
      </x:c>
      <x:c r="E8" s="33" t="n">
        <x:v>0.9505749068727332</x:v>
      </x:c>
      <x:c r="F8" s="33" t="n">
        <x:v>0.05023395148047925</x:v>
      </x:c>
      <x:c r="G8" s="33" t="n">
        <x:v>0.9746270499506574</x:v>
      </x:c>
      <x:c r="H8" s="34" t="str">
        <x:v>北美链</x:v>
      </x:c>
      <x:c r="I8" s="33" t="n">
        <x:v>0.9498066478316978</x:v>
      </x:c>
      <x:c r="J8" s="33" t="n">
        <x:v>0.8456569243407366</x:v>
      </x:c>
      <x:c r="K8" s="33" t="n">
        <x:v>0.07133922470490735</x:v>
      </x:c>
      <x:c r="L8" s="33" t="n">
        <x:v>0.9803984921154175</x:v>
      </x:c>
      <x:c r="M8" s="33" t="n">
        <x:v>1.0092684168148098</x:v>
      </x:c>
      <x:c r="N8" s="33" t="n">
        <x:v>-0.01770169703828175</x:v>
      </x:c>
      <x:c r="O8" s="33" t="n">
        <x:v>0.9912280758054767</x:v>
      </x:c>
      <x:c r="P8" s="34" t="str">
        <x:v>北美链</x:v>
      </x:c>
      <x:c r="Q8" s="33" t="n">
        <x:v>1</x:v>
      </x:c>
    </x:row>
    <x:row r="9">
      <x:c r="A9" s="15" t="str">
        <x:v>013840.OF</x:v>
      </x:c>
      <x:c r="B9" s="15" t="str">
        <x:v>银华集成电路混合A</x:v>
      </x:c>
      <x:c r="C9" s="15" t="str">
        <x:v>2026Q1</x:v>
      </x:c>
      <x:c r="D9" s="15" t="n">
        <x:v>55</x:v>
      </x:c>
      <x:c r="E9" s="33" t="n">
        <x:v>-0.03141581353923897</x:v>
      </x:c>
      <x:c r="F9" s="33" t="n">
        <x:v>0.9370798910543842</x:v>
      </x:c>
      <x:c r="G9" s="33" t="n">
        <x:v>0.8460440754920986</x:v>
      </x:c>
      <x:c r="H9" s="35" t="str">
        <x:v>国产链</x:v>
      </x:c>
      <x:c r="I9" s="33" t="n">
        <x:v>0</x:v>
      </x:c>
      <x:c r="J9" s="33" t="n">
        <x:v>-0.01436647676987588</x:v>
      </x:c>
      <x:c r="K9" s="33" t="n">
        <x:v>1.1834096561403264</x:v>
      </x:c>
      <x:c r="L9" s="33" t="n">
        <x:v>0.8669253562072932</x:v>
      </x:c>
      <x:c r="M9" s="33" t="n">
        <x:v>-0.044496322319457396</x:v>
      </x:c>
      <x:c r="N9" s="33" t="n">
        <x:v>1.0104147468537605</x:v>
      </x:c>
      <x:c r="O9" s="33" t="n">
        <x:v>0.9745623453378203</x:v>
      </x:c>
      <x:c r="P9" s="35" t="str">
        <x:v>国产链</x:v>
      </x:c>
      <x:c r="Q9" s="33" t="n">
        <x:v>0</x:v>
      </x:c>
    </x:row>
    <x:row r="10">
      <x:c r="A10" s="15" t="str">
        <x:v>013840.OF</x:v>
      </x:c>
      <x:c r="B10" s="15" t="str">
        <x:v>银华集成电路混合A</x:v>
      </x:c>
      <x:c r="C10" s="15" t="str">
        <x:v>2026Q2</x:v>
      </x:c>
      <x:c r="D10" s="15" t="n">
        <x:v>60</x:v>
      </x:c>
      <x:c r="E10" s="33" t="n">
        <x:v>-0.07267750971975989</x:v>
      </x:c>
      <x:c r="F10" s="33" t="n">
        <x:v>0.9683372801820368</x:v>
      </x:c>
      <x:c r="G10" s="33" t="n">
        <x:v>0.8748981159835074</x:v>
      </x:c>
      <x:c r="H10" s="35" t="str">
        <x:v>国产链</x:v>
      </x:c>
      <x:c r="I10" s="33" t="n">
        <x:v>0</x:v>
      </x:c>
      <x:c r="J10" s="33" t="n">
        <x:v>-0.02314383346989558</x:v>
      </x:c>
      <x:c r="K10" s="33" t="n">
        <x:v>1.0229002553305306</x:v>
      </x:c>
      <x:c r="L10" s="33" t="n">
        <x:v>0.8766554587700184</x:v>
      </x:c>
      <x:c r="M10" s="33" t="n">
        <x:v>0.0009590779836904453</x:v>
      </x:c>
      <x:c r="N10" s="33" t="n">
        <x:v>0.982465105449288</x:v>
      </x:c>
      <x:c r="O10" s="33" t="n">
        <x:v>0.9660181741430486</x:v>
      </x:c>
      <x:c r="P10" s="35" t="str">
        <x:v>国产链</x:v>
      </x:c>
      <x:c r="Q10" s="33" t="n">
        <x:v>0.000975243440061089</x:v>
      </x:c>
    </x:row>
    <x:row r="11">
      <x:c r="A11" s="15" t="str">
        <x:v>013840.OF</x:v>
      </x:c>
      <x:c r="B11" s="15" t="str">
        <x:v>银华集成电路混合A</x:v>
      </x:c>
      <x:c r="C11" s="15" t="str">
        <x:v>近60交易日</x:v>
      </x:c>
      <x:c r="D11" s="15" t="n">
        <x:v>60</x:v>
      </x:c>
      <x:c r="E11" s="33" t="n">
        <x:v>-0.012896835114499409</x:v>
      </x:c>
      <x:c r="F11" s="33" t="n">
        <x:v>0.9639981643528691</x:v>
      </x:c>
      <x:c r="G11" s="33" t="n">
        <x:v>0.9136646231702642</x:v>
      </x:c>
      <x:c r="H11" s="35" t="str">
        <x:v>国产链</x:v>
      </x:c>
      <x:c r="I11" s="33" t="n">
        <x:v>0</x:v>
      </x:c>
      <x:c r="J11" s="33" t="n">
        <x:v>-0.007200556135298957</x:v>
      </x:c>
      <x:c r="K11" s="33" t="n">
        <x:v>1.0848992117113962</x:v>
      </x:c>
      <x:c r="L11" s="33" t="n">
        <x:v>0.9151848703584295</x:v>
      </x:c>
      <x:c r="M11" s="33" t="n">
        <x:v>0.0056909258579536</x:v>
      </x:c>
      <x:c r="N11" s="33" t="n">
        <x:v>0.9848120021127595</x:v>
      </x:c>
      <x:c r="O11" s="33" t="n">
        <x:v>0.9771361763142138</x:v>
      </x:c>
      <x:c r="P11" s="35" t="str">
        <x:v>国产链</x:v>
      </x:c>
      <x:c r="Q11" s="33" t="n">
        <x:v>0.00574549120174016</x:v>
      </x:c>
    </x:row>
    <x:row r="12">
      <x:c r="A12" s="15" t="str">
        <x:v>013840.OF</x:v>
      </x:c>
      <x:c r="B12" s="15" t="str">
        <x:v>银华集成电路混合A</x:v>
      </x:c>
      <x:c r="C12" s="15" t="str">
        <x:v>近20交易日</x:v>
      </x:c>
      <x:c r="D12" s="15" t="n">
        <x:v>20</x:v>
      </x:c>
      <x:c r="E12" s="33" t="n">
        <x:v>0.04741988012959647</x:v>
      </x:c>
      <x:c r="F12" s="33" t="n">
        <x:v>0.9408408796450408</x:v>
      </x:c>
      <x:c r="G12" s="33" t="n">
        <x:v>0.951440955152681</x:v>
      </x:c>
      <x:c r="H12" s="35" t="str">
        <x:v>国产链</x:v>
      </x:c>
      <x:c r="I12" s="33" t="n">
        <x:v>0.04798316604254335</x:v>
      </x:c>
      <x:c r="J12" s="33" t="n">
        <x:v>0.01743331602285196</x:v>
      </x:c>
      <x:c r="K12" s="33" t="n">
        <x:v>1.0807408252564</x:v>
      </x:c>
      <x:c r="L12" s="33" t="n">
        <x:v>0.9542321047007875</x:v>
      </x:c>
      <x:c r="M12" s="33" t="n">
        <x:v>-0.009129229036508521</x:v>
      </x:c>
      <x:c r="N12" s="33" t="n">
        <x:v>1.0000999359512945</x:v>
      </x:c>
      <x:c r="O12" s="33" t="n">
        <x:v>0.9861232892412233</x:v>
      </x:c>
      <x:c r="P12" s="35" t="str">
        <x:v>国产链</x:v>
      </x:c>
      <x:c r="Q12" s="33" t="n">
        <x:v>0</x:v>
      </x:c>
    </x:row>
    <x:row r="13">
      <x:c r="A13" s="15" t="str">
        <x:v>016370.OF</x:v>
      </x:c>
      <x:c r="B13" s="15" t="str">
        <x:v>信澳业绩驱动混合A</x:v>
      </x:c>
      <x:c r="C13" s="15" t="str">
        <x:v>2026Q1</x:v>
      </x:c>
      <x:c r="D13" s="15" t="n">
        <x:v>55</x:v>
      </x:c>
      <x:c r="E13" s="33" t="n">
        <x:v>0.8264530711538572</x:v>
      </x:c>
      <x:c r="F13" s="33" t="n">
        <x:v>0.09051805306639432</x:v>
      </x:c>
      <x:c r="G13" s="33" t="n">
        <x:v>0.7752323280538818</x:v>
      </x:c>
      <x:c r="H13" s="34" t="str">
        <x:v>北美链</x:v>
      </x:c>
      <x:c r="I13" s="33" t="n">
        <x:v>0.9012858195034587</x:v>
      </x:c>
      <x:c r="J13" s="33" t="n">
        <x:v>0.8374916592785024</x:v>
      </x:c>
      <x:c r="K13" s="33" t="n">
        <x:v>-0.08896004342679348</x:v>
      </x:c>
      <x:c r="L13" s="33" t="n">
        <x:v>0.8045996801007689</x:v>
      </x:c>
      <x:c r="M13" s="33" t="n">
        <x:v>1.0088125715642218</x:v>
      </x:c>
      <x:c r="N13" s="33" t="n">
        <x:v>-0.03422272671263318</x:v>
      </x:c>
      <x:c r="O13" s="33" t="n">
        <x:v>0.9817420697333465</x:v>
      </x:c>
      <x:c r="P13" s="34" t="str">
        <x:v>北美链</x:v>
      </x:c>
      <x:c r="Q13" s="33" t="n">
        <x:v>1</x:v>
      </x:c>
    </x:row>
    <x:row r="14">
      <x:c r="A14" s="15" t="str">
        <x:v>016370.OF</x:v>
      </x:c>
      <x:c r="B14" s="15" t="str">
        <x:v>信澳业绩驱动混合A</x:v>
      </x:c>
      <x:c r="C14" s="15" t="str">
        <x:v>2026Q2</x:v>
      </x:c>
      <x:c r="D14" s="15" t="n">
        <x:v>60</x:v>
      </x:c>
      <x:c r="E14" s="33" t="n">
        <x:v>0.910693043846156</x:v>
      </x:c>
      <x:c r="F14" s="33" t="n">
        <x:v>0.039479430038525415</x:v>
      </x:c>
      <x:c r="G14" s="33" t="n">
        <x:v>0.8656912294292649</x:v>
      </x:c>
      <x:c r="H14" s="34" t="str">
        <x:v>北美链</x:v>
      </x:c>
      <x:c r="I14" s="33" t="n">
        <x:v>0.9584502486405254</x:v>
      </x:c>
      <x:c r="J14" s="33" t="n">
        <x:v>0.8560107030805789</x:v>
      </x:c>
      <x:c r="K14" s="33" t="n">
        <x:v>-0.07528922929723347</x:v>
      </x:c>
      <x:c r="L14" s="33" t="n">
        <x:v>0.8684875970320094</x:v>
      </x:c>
      <x:c r="M14" s="33" t="n">
        <x:v>0.9893922732847404</x:v>
      </x:c>
      <x:c r="N14" s="33" t="n">
        <x:v>0.008396176786687626</x:v>
      </x:c>
      <x:c r="O14" s="33" t="n">
        <x:v>0.9858403810778957</x:v>
      </x:c>
      <x:c r="P14" s="34" t="str">
        <x:v>北美链</x:v>
      </x:c>
      <x:c r="Q14" s="33" t="n">
        <x:v>0.9915852134928135</x:v>
      </x:c>
    </x:row>
    <x:row r="15">
      <x:c r="A15" s="15" t="str">
        <x:v>016370.OF</x:v>
      </x:c>
      <x:c r="B15" s="15" t="str">
        <x:v>信澳业绩驱动混合A</x:v>
      </x:c>
      <x:c r="C15" s="15" t="str">
        <x:v>近60交易日</x:v>
      </x:c>
      <x:c r="D15" s="15" t="n">
        <x:v>60</x:v>
      </x:c>
      <x:c r="E15" s="33" t="n">
        <x:v>0.900774337466989</x:v>
      </x:c>
      <x:c r="F15" s="33" t="n">
        <x:v>0.10169200071894074</x:v>
      </x:c>
      <x:c r="G15" s="33" t="n">
        <x:v>0.9381054310333107</x:v>
      </x:c>
      <x:c r="H15" s="34" t="str">
        <x:v>北美链</x:v>
      </x:c>
      <x:c r="I15" s="33" t="n">
        <x:v>0.8985581890929492</x:v>
      </x:c>
      <x:c r="J15" s="33" t="n">
        <x:v>0.8362191531675394</x:v>
      </x:c>
      <x:c r="K15" s="33" t="n">
        <x:v>0.06821667482062015</x:v>
      </x:c>
      <x:c r="L15" s="33" t="n">
        <x:v>0.9411405949718507</x:v>
      </x:c>
      <x:c r="M15" s="33" t="n">
        <x:v>0.9833364101262442</x:v>
      </x:c>
      <x:c r="N15" s="33" t="n">
        <x:v>0.01965552142697951</x:v>
      </x:c>
      <x:c r="O15" s="33" t="n">
        <x:v>0.9923365541263033</x:v>
      </x:c>
      <x:c r="P15" s="34" t="str">
        <x:v>北美链</x:v>
      </x:c>
      <x:c r="Q15" s="33" t="n">
        <x:v>0.9804031111231961</x:v>
      </x:c>
    </x:row>
    <x:row r="16">
      <x:c r="A16" s="15" t="str">
        <x:v>016370.OF</x:v>
      </x:c>
      <x:c r="B16" s="15" t="str">
        <x:v>信澳业绩驱动混合A</x:v>
      </x:c>
      <x:c r="C16" s="15" t="str">
        <x:v>近20交易日</x:v>
      </x:c>
      <x:c r="D16" s="15" t="n">
        <x:v>20</x:v>
      </x:c>
      <x:c r="E16" s="33" t="n">
        <x:v>0.8965074390376395</x:v>
      </x:c>
      <x:c r="F16" s="33" t="n">
        <x:v>0.12562322213420624</x:v>
      </x:c>
      <x:c r="G16" s="33" t="n">
        <x:v>0.9810914337572709</x:v>
      </x:c>
      <x:c r="H16" s="34" t="str">
        <x:v>北美链</x:v>
      </x:c>
      <x:c r="I16" s="33" t="n">
        <x:v>0.8770967089567762</x:v>
      </x:c>
      <x:c r="J16" s="33" t="n">
        <x:v>0.8569283421955383</x:v>
      </x:c>
      <x:c r="K16" s="33" t="n">
        <x:v>0.2148007103646376</x:v>
      </x:c>
      <x:c r="L16" s="33" t="n">
        <x:v>0.983185942625975</x:v>
      </x:c>
      <x:c r="M16" s="33" t="n">
        <x:v>0.9856625926695928</x:v>
      </x:c>
      <x:c r="N16" s="33" t="n">
        <x:v>0.014587534819151348</x:v>
      </x:c>
      <x:c r="O16" s="33" t="n">
        <x:v>0.9940429825253264</x:v>
      </x:c>
      <x:c r="P16" s="34" t="str">
        <x:v>北美链</x:v>
      </x:c>
      <x:c r="Q16" s="33" t="n">
        <x:v>0.9854161130118771</x:v>
      </x:c>
    </x:row>
    <x:row r="17">
      <x:c r="A17" s="15" t="str">
        <x:v>017488.OF</x:v>
      </x:c>
      <x:c r="B17" s="15" t="str">
        <x:v>嘉实信息产业A</x:v>
      </x:c>
      <x:c r="C17" s="15" t="str">
        <x:v>2026Q1</x:v>
      </x:c>
      <x:c r="D17" s="15" t="n">
        <x:v>55</x:v>
      </x:c>
      <x:c r="E17" s="33" t="n">
        <x:v>0.7325650658785071</x:v>
      </x:c>
      <x:c r="F17" s="33" t="n">
        <x:v>0.300992669582135</x:v>
      </x:c>
      <x:c r="G17" s="33" t="n">
        <x:v>0.8748769111714364</x:v>
      </x:c>
      <x:c r="H17" s="34" t="str">
        <x:v>北美链</x:v>
      </x:c>
      <x:c r="I17" s="33" t="n">
        <x:v>0.7087800136796549</x:v>
      </x:c>
      <x:c r="J17" s="33" t="n">
        <x:v>0.7045750099877348</x:v>
      </x:c>
      <x:c r="K17" s="33" t="n">
        <x:v>-0.016828561900719276</x:v>
      </x:c>
      <x:c r="L17" s="33" t="n">
        <x:v>0.9076467670970945</x:v>
      </x:c>
      <x:c r="M17" s="33" t="n">
        <x:v>0.8571780794364812</x:v>
      </x:c>
      <x:c r="N17" s="33" t="n">
        <x:v>0.15700100261307698</x:v>
      </x:c>
      <x:c r="O17" s="33" t="n">
        <x:v>0.9041460210033654</x:v>
      </x:c>
      <x:c r="P17" s="34" t="str">
        <x:v>北美链</x:v>
      </x:c>
      <x:c r="Q17" s="33" t="n">
        <x:v>0.8451940043016928</x:v>
      </x:c>
    </x:row>
    <x:row r="18">
      <x:c r="A18" s="15" t="str">
        <x:v>017488.OF</x:v>
      </x:c>
      <x:c r="B18" s="15" t="str">
        <x:v>嘉实信息产业A</x:v>
      </x:c>
      <x:c r="C18" s="15" t="str">
        <x:v>2026Q2</x:v>
      </x:c>
      <x:c r="D18" s="15" t="n">
        <x:v>60</x:v>
      </x:c>
      <x:c r="E18" s="33" t="n">
        <x:v>0.8858075833254171</x:v>
      </x:c>
      <x:c r="F18" s="33" t="n">
        <x:v>0.12927316658084922</x:v>
      </x:c>
      <x:c r="G18" s="33" t="n">
        <x:v>0.912110413049843</x:v>
      </x:c>
      <x:c r="H18" s="34" t="str">
        <x:v>北美链</x:v>
      </x:c>
      <x:c r="I18" s="33" t="n">
        <x:v>0.8726474060385969</x:v>
      </x:c>
      <x:c r="J18" s="33" t="n">
        <x:v>0.8210827025513642</x:v>
      </x:c>
      <x:c r="K18" s="33" t="n">
        <x:v>-0.022000958737455476</x:v>
      </x:c>
      <x:c r="L18" s="33" t="n">
        <x:v>0.9164306160564619</x:v>
      </x:c>
      <x:c r="M18" s="33" t="n">
        <x:v>0.9458285875568075</x:v>
      </x:c>
      <x:c r="N18" s="33" t="n">
        <x:v>0.07812114762297989</x:v>
      </x:c>
      <x:c r="O18" s="33" t="n">
        <x:v>0.9618262088376105</x:v>
      </x:c>
      <x:c r="P18" s="34" t="str">
        <x:v>北美链</x:v>
      </x:c>
      <x:c r="Q18" s="33" t="n">
        <x:v>0.9237060717543296</x:v>
      </x:c>
    </x:row>
    <x:row r="19">
      <x:c r="A19" s="15" t="str">
        <x:v>017488.OF</x:v>
      </x:c>
      <x:c r="B19" s="15" t="str">
        <x:v>嘉实信息产业A</x:v>
      </x:c>
      <x:c r="C19" s="15" t="str">
        <x:v>近60交易日</x:v>
      </x:c>
      <x:c r="D19" s="15" t="n">
        <x:v>60</x:v>
      </x:c>
      <x:c r="E19" s="33" t="n">
        <x:v>0.8294048793354619</x:v>
      </x:c>
      <x:c r="F19" s="33" t="n">
        <x:v>0.20687081588999115</x:v>
      </x:c>
      <x:c r="G19" s="33" t="n">
        <x:v>0.9486812178563214</x:v>
      </x:c>
      <x:c r="H19" s="34" t="str">
        <x:v>北美链</x:v>
      </x:c>
      <x:c r="I19" s="33" t="n">
        <x:v>0.8003708696024332</x:v>
      </x:c>
      <x:c r="J19" s="33" t="n">
        <x:v>0.76345769949839</x:v>
      </x:c>
      <x:c r="K19" s="33" t="n">
        <x:v>-0.008023147841723801</x:v>
      </x:c>
      <x:c r="L19" s="33" t="n">
        <x:v>0.952442742182508</x:v>
      </x:c>
      <x:c r="M19" s="33" t="n">
        <x:v>0.9190206965784414</x:v>
      </x:c>
      <x:c r="N19" s="33" t="n">
        <x:v>0.09522003528704713</x:v>
      </x:c>
      <x:c r="O19" s="33" t="n">
        <x:v>0.9668543346662423</x:v>
      </x:c>
      <x:c r="P19" s="34" t="str">
        <x:v>北美链</x:v>
      </x:c>
      <x:c r="Q19" s="33" t="n">
        <x:v>0.9061169283628461</x:v>
      </x:c>
    </x:row>
    <x:row r="20">
      <x:c r="A20" s="15" t="str">
        <x:v>017488.OF</x:v>
      </x:c>
      <x:c r="B20" s="15" t="str">
        <x:v>嘉实信息产业A</x:v>
      </x:c>
      <x:c r="C20" s="15" t="str">
        <x:v>近20交易日</x:v>
      </x:c>
      <x:c r="D20" s="15" t="n">
        <x:v>20</x:v>
      </x:c>
      <x:c r="E20" s="33" t="n">
        <x:v>0.7540669645688401</x:v>
      </x:c>
      <x:c r="F20" s="33" t="n">
        <x:v>0.30220804975471643</x:v>
      </x:c>
      <x:c r="G20" s="33" t="n">
        <x:v>0.9869048843476109</x:v>
      </x:c>
      <x:c r="H20" s="34" t="str">
        <x:v>北美链</x:v>
      </x:c>
      <x:c r="I20" s="33" t="n">
        <x:v>0.7138926457062398</x:v>
      </x:c>
      <x:c r="J20" s="33" t="n">
        <x:v>0.7457763512440486</x:v>
      </x:c>
      <x:c r="K20" s="33" t="n">
        <x:v>0.2399598419910369</x:v>
      </x:c>
      <x:c r="L20" s="33" t="n">
        <x:v>0.987120839300993</x:v>
      </x:c>
      <x:c r="M20" s="33" t="n">
        <x:v>0.8364499310955215</x:v>
      </x:c>
      <x:c r="N20" s="33" t="n">
        <x:v>0.18459044847297318</x:v>
      </x:c>
      <x:c r="O20" s="33" t="n">
        <x:v>0.9731821034495256</x:v>
      </x:c>
      <x:c r="P20" s="34" t="str">
        <x:v>北美链</x:v>
      </x:c>
      <x:c r="Q20" s="33" t="n">
        <x:v>0.8192133708257615</x:v>
      </x:c>
    </x:row>
    <x:row r="21">
      <x:c r="A21" s="15" t="str">
        <x:v>162214.OF</x:v>
      </x:c>
      <x:c r="B21" s="15" t="str">
        <x:v>宏利领先中小盘</x:v>
      </x:c>
      <x:c r="C21" s="15" t="str">
        <x:v>2026Q1</x:v>
      </x:c>
      <x:c r="D21" s="15" t="n">
        <x:v>55</x:v>
      </x:c>
      <x:c r="E21" s="33" t="n">
        <x:v>0.018722997391827197</x:v>
      </x:c>
      <x:c r="F21" s="33" t="n">
        <x:v>0.9442535836053393</x:v>
      </x:c>
      <x:c r="G21" s="33" t="n">
        <x:v>0.9118200637875483</x:v>
      </x:c>
      <x:c r="H21" s="35" t="str">
        <x:v>国产链</x:v>
      </x:c>
      <x:c r="I21" s="33" t="n">
        <x:v>0.019442837719313436</x:v>
      </x:c>
      <x:c r="J21" s="33" t="n">
        <x:v>0.03374845852100413</x:v>
      </x:c>
      <x:c r="K21" s="33" t="n">
        <x:v>1.14881530952541</x:v>
      </x:c>
      <x:c r="L21" s="33" t="n">
        <x:v>0.9259778448930646</x:v>
      </x:c>
      <x:c r="M21" s="33" t="n">
        <x:v>0.037757156670849557</x:v>
      </x:c>
      <x:c r="N21" s="33" t="n">
        <x:v>0.9697760427008517</x:v>
      </x:c>
      <x:c r="O21" s="33" t="n">
        <x:v>0.9812727579832872</x:v>
      </x:c>
      <x:c r="P21" s="35" t="str">
        <x:v>国产链</x:v>
      </x:c>
      <x:c r="Q21" s="33" t="n">
        <x:v>0.03747485114574384</x:v>
      </x:c>
    </x:row>
    <x:row r="22">
      <x:c r="A22" s="15" t="str">
        <x:v>162214.OF</x:v>
      </x:c>
      <x:c r="B22" s="15" t="str">
        <x:v>宏利领先中小盘</x:v>
      </x:c>
      <x:c r="C22" s="15" t="str">
        <x:v>2026Q2</x:v>
      </x:c>
      <x:c r="D22" s="15" t="n">
        <x:v>60</x:v>
      </x:c>
      <x:c r="E22" s="33" t="n">
        <x:v>-0.07179200388038125</x:v>
      </x:c>
      <x:c r="F22" s="33" t="n">
        <x:v>0.9892159085693065</x:v>
      </x:c>
      <x:c r="G22" s="33" t="n">
        <x:v>0.9150208661277265</x:v>
      </x:c>
      <x:c r="H22" s="35" t="str">
        <x:v>国产链</x:v>
      </x:c>
      <x:c r="I22" s="33" t="n">
        <x:v>0</x:v>
      </x:c>
      <x:c r="J22" s="33" t="n">
        <x:v>-0.02583353998773077</x:v>
      </x:c>
      <x:c r="K22" s="33" t="n">
        <x:v>1.1903972480104081</x:v>
      </x:c>
      <x:c r="L22" s="33" t="n">
        <x:v>0.9203932987362167</x:v>
      </x:c>
      <x:c r="M22" s="33" t="n">
        <x:v>0.004533011781330208</x:v>
      </x:c>
      <x:c r="N22" s="33" t="n">
        <x:v>0.9898790444339973</x:v>
      </x:c>
      <x:c r="O22" s="33" t="n">
        <x:v>0.9835934602942606</x:v>
      </x:c>
      <x:c r="P22" s="35" t="str">
        <x:v>国产链</x:v>
      </x:c>
      <x:c r="Q22" s="33" t="n">
        <x:v>0.004558484335540518</x:v>
      </x:c>
    </x:row>
    <x:row r="23">
      <x:c r="A23" s="15" t="str">
        <x:v>162214.OF</x:v>
      </x:c>
      <x:c r="B23" s="15" t="str">
        <x:v>宏利领先中小盘</x:v>
      </x:c>
      <x:c r="C23" s="15" t="str">
        <x:v>近60交易日</x:v>
      </x:c>
      <x:c r="D23" s="15" t="n">
        <x:v>60</x:v>
      </x:c>
      <x:c r="E23" s="33" t="n">
        <x:v>-0.014147264968668674</x:v>
      </x:c>
      <x:c r="F23" s="33" t="n">
        <x:v>0.9666047131376302</x:v>
      </x:c>
      <x:c r="G23" s="33" t="n">
        <x:v>0.9171524597204401</x:v>
      </x:c>
      <x:c r="H23" s="35" t="str">
        <x:v>国产链</x:v>
      </x:c>
      <x:c r="I23" s="33" t="n">
        <x:v>0</x:v>
      </x:c>
      <x:c r="J23" s="33" t="n">
        <x:v>-0.020670235664957164</x:v>
      </x:c>
      <x:c r="K23" s="33" t="n">
        <x:v>1.1829946975351173</x:v>
      </x:c>
      <x:c r="L23" s="33" t="n">
        <x:v>0.9234427080790104</x:v>
      </x:c>
      <x:c r="M23" s="33" t="n">
        <x:v>-0.00012978494148042008</x:v>
      </x:c>
      <x:c r="N23" s="33" t="n">
        <x:v>0.9948937100320943</x:v>
      </x:c>
      <x:c r="O23" s="33" t="n">
        <x:v>0.9896464984311291</x:v>
      </x:c>
      <x:c r="P23" s="35" t="str">
        <x:v>国产链</x:v>
      </x:c>
      <x:c r="Q23" s="33" t="n">
        <x:v>0</x:v>
      </x:c>
    </x:row>
    <x:row r="24">
      <x:c r="A24" s="15" t="str">
        <x:v>162214.OF</x:v>
      </x:c>
      <x:c r="B24" s="15" t="str">
        <x:v>宏利领先中小盘</x:v>
      </x:c>
      <x:c r="C24" s="15" t="str">
        <x:v>近20交易日</x:v>
      </x:c>
      <x:c r="D24" s="15" t="n">
        <x:v>20</x:v>
      </x:c>
      <x:c r="E24" s="33" t="n">
        <x:v>0.0705253368598316</x:v>
      </x:c>
      <x:c r="F24" s="33" t="n">
        <x:v>0.9073514732502197</x:v>
      </x:c>
      <x:c r="G24" s="33" t="n">
        <x:v>0.9200720011865157</x:v>
      </x:c>
      <x:c r="H24" s="35" t="str">
        <x:v>国产链</x:v>
      </x:c>
      <x:c r="I24" s="33" t="n">
        <x:v>0.07212088080081847</x:v>
      </x:c>
      <x:c r="J24" s="33" t="n">
        <x:v>0.013564803475914627</x:v>
      </x:c>
      <x:c r="K24" s="33" t="n">
        <x:v>1.1426879803930856</x:v>
      </x:c>
      <x:c r="L24" s="33" t="n">
        <x:v>0.9286291845598018</x:v>
      </x:c>
      <x:c r="M24" s="33" t="n">
        <x:v>-0.006790118363311915</x:v>
      </x:c>
      <x:c r="N24" s="33" t="n">
        <x:v>1.0025327882081603</x:v>
      </x:c>
      <x:c r="O24" s="33" t="n">
        <x:v>0.9945606308843672</x:v>
      </x:c>
      <x:c r="P24" s="35" t="str">
        <x:v>国产链</x:v>
      </x:c>
      <x:c r="Q24" s="33" t="n">
        <x:v>0</x:v>
      </x:c>
    </x:row>
    <x:row r="25">
      <x:c r="A25" s="15" t="str">
        <x:v>019632.OF</x:v>
      </x:c>
      <x:c r="B25" s="15" t="str">
        <x:v>国泰半导体材料设备联接A</x:v>
      </x:c>
      <x:c r="C25" s="15" t="str">
        <x:v>2026Q1</x:v>
      </x:c>
      <x:c r="D25" s="15" t="n">
        <x:v>55</x:v>
      </x:c>
      <x:c r="E25" s="33" t="n">
        <x:v>-0.031434669150124786</x:v>
      </x:c>
      <x:c r="F25" s="33" t="n">
        <x:v>0.9451821322889115</x:v>
      </x:c>
      <x:c r="G25" s="33" t="n">
        <x:v>0.8609899272196655</x:v>
      </x:c>
      <x:c r="H25" s="35" t="str">
        <x:v>国产链</x:v>
      </x:c>
      <x:c r="I25" s="33" t="n">
        <x:v>0</x:v>
      </x:c>
      <x:c r="J25" s="33" t="n">
        <x:v>0.008989410316720174</x:v>
      </x:c>
      <x:c r="K25" s="33" t="n">
        <x:v>1.191273628322184</x:v>
      </x:c>
      <x:c r="L25" s="33" t="n">
        <x:v>0.8854802093905484</x:v>
      </x:c>
      <x:c r="M25" s="33" t="n">
        <x:v>0.009280745631949227</x:v>
      </x:c>
      <x:c r="N25" s="33" t="n">
        <x:v>0.982348908063863</x:v>
      </x:c>
      <x:c r="O25" s="33" t="n">
        <x:v>0.9749010391856029</x:v>
      </x:c>
      <x:c r="P25" s="35" t="str">
        <x:v>国产链</x:v>
      </x:c>
      <x:c r="Q25" s="33" t="n">
        <x:v>0.009359084409547263</x:v>
      </x:c>
    </x:row>
    <x:row r="26">
      <x:c r="A26" s="15" t="str">
        <x:v>019632.OF</x:v>
      </x:c>
      <x:c r="B26" s="15" t="str">
        <x:v>国泰半导体材料设备联接A</x:v>
      </x:c>
      <x:c r="C26" s="15" t="str">
        <x:v>2026Q2</x:v>
      </x:c>
      <x:c r="D26" s="15" t="n">
        <x:v>60</x:v>
      </x:c>
      <x:c r="E26" s="33" t="n">
        <x:v>-0.08060596599871332</x:v>
      </x:c>
      <x:c r="F26" s="33" t="n">
        <x:v>0.956919331857034</x:v>
      </x:c>
      <x:c r="G26" s="33" t="n">
        <x:v>0.847596176124789</x:v>
      </x:c>
      <x:c r="H26" s="35" t="str">
        <x:v>国产链</x:v>
      </x:c>
      <x:c r="I26" s="33" t="n">
        <x:v>0</x:v>
      </x:c>
      <x:c r="J26" s="33" t="n">
        <x:v>-0.07586905379622222</x:v>
      </x:c>
      <x:c r="K26" s="33" t="n">
        <x:v>1.1180891497490253</x:v>
      </x:c>
      <x:c r="L26" s="33" t="n">
        <x:v>0.8512753849128257</x:v>
      </x:c>
      <x:c r="M26" s="33" t="n">
        <x:v>-0.0059198750955209494</x:v>
      </x:c>
      <x:c r="N26" s="33" t="n">
        <x:v>0.9825261574426016</x:v>
      </x:c>
      <x:c r="O26" s="33" t="n">
        <x:v>0.9605805221026883</x:v>
      </x:c>
      <x:c r="P26" s="35" t="str">
        <x:v>国产链</x:v>
      </x:c>
      <x:c r="Q26" s="33" t="n">
        <x:v>0</x:v>
      </x:c>
    </x:row>
    <x:row r="27">
      <x:c r="A27" s="15" t="str">
        <x:v>019632.OF</x:v>
      </x:c>
      <x:c r="B27" s="15" t="str">
        <x:v>国泰半导体材料设备联接A</x:v>
      </x:c>
      <x:c r="C27" s="15" t="str">
        <x:v>近60交易日</x:v>
      </x:c>
      <x:c r="D27" s="15" t="n">
        <x:v>60</x:v>
      </x:c>
      <x:c r="E27" s="33" t="n">
        <x:v>-0.03236864157613685</x:v>
      </x:c>
      <x:c r="F27" s="33" t="n">
        <x:v>0.9566559565839856</x:v>
      </x:c>
      <x:c r="G27" s="33" t="n">
        <x:v>0.8768998660548103</x:v>
      </x:c>
      <x:c r="H27" s="35" t="str">
        <x:v>国产链</x:v>
      </x:c>
      <x:c r="I27" s="33" t="n">
        <x:v>0</x:v>
      </x:c>
      <x:c r="J27" s="33" t="n">
        <x:v>-0.1287378051131508</x:v>
      </x:c>
      <x:c r="K27" s="33" t="n">
        <x:v>1.0404089563465344</x:v>
      </x:c>
      <x:c r="L27" s="33" t="n">
        <x:v>0.8894690420561941</x:v>
      </x:c>
      <x:c r="M27" s="33" t="n">
        <x:v>-0.0057690904186500115</x:v>
      </x:c>
      <x:c r="N27" s="33" t="n">
        <x:v>0.9895865707768856</x:v>
      </x:c>
      <x:c r="O27" s="33" t="n">
        <x:v>0.9719305592802565</x:v>
      </x:c>
      <x:c r="P27" s="35" t="str">
        <x:v>国产链</x:v>
      </x:c>
      <x:c r="Q27" s="33" t="n">
        <x:v>0</x:v>
      </x:c>
    </x:row>
    <x:row r="28">
      <x:c r="A28" s="15" t="str">
        <x:v>019632.OF</x:v>
      </x:c>
      <x:c r="B28" s="15" t="str">
        <x:v>国泰半导体材料设备联接A</x:v>
      </x:c>
      <x:c r="C28" s="15" t="str">
        <x:v>近20交易日</x:v>
      </x:c>
      <x:c r="D28" s="15" t="n">
        <x:v>20</x:v>
      </x:c>
      <x:c r="E28" s="33" t="n">
        <x:v>0.06882404092964231</x:v>
      </x:c>
      <x:c r="F28" s="33" t="n">
        <x:v>0.9091763761137358</x:v>
      </x:c>
      <x:c r="G28" s="33" t="n">
        <x:v>0.921115328514768</x:v>
      </x:c>
      <x:c r="H28" s="35" t="str">
        <x:v>国产链</x:v>
      </x:c>
      <x:c r="I28" s="33" t="n">
        <x:v>0.0703721999809635</x:v>
      </x:c>
      <x:c r="J28" s="33" t="n">
        <x:v>-0.07476083595341997</x:v>
      </x:c>
      <x:c r="K28" s="33" t="n">
        <x:v>1.02816483820617</x:v>
      </x:c>
      <x:c r="L28" s="33" t="n">
        <x:v>0.9356603216894988</x:v>
      </x:c>
      <x:c r="M28" s="33" t="n">
        <x:v>0.016628560440451832</x:v>
      </x:c>
      <x:c r="N28" s="33" t="n">
        <x:v>0.978527997734802</x:v>
      </x:c>
      <x:c r="O28" s="33" t="n">
        <x:v>0.9830290378591625</x:v>
      </x:c>
      <x:c r="P28" s="35" t="str">
        <x:v>国产链</x:v>
      </x:c>
      <x:c r="Q28" s="33" t="n">
        <x:v>0.016709491892353514</x:v>
      </x:c>
    </x:row>
    <x:row r="29">
      <x:c r="A29" s="15" t="str">
        <x:v>012696.OF</x:v>
      </x:c>
      <x:c r="B29" s="15" t="str">
        <x:v>同泰数字经济A</x:v>
      </x:c>
      <x:c r="C29" s="15" t="str">
        <x:v>2026Q1</x:v>
      </x:c>
      <x:c r="D29" s="15" t="n">
        <x:v>55</x:v>
      </x:c>
      <x:c r="E29" s="33" t="n">
        <x:v>0.47917980828621914</x:v>
      </x:c>
      <x:c r="F29" s="33" t="n">
        <x:v>0.5752708293079433</x:v>
      </x:c>
      <x:c r="G29" s="33" t="n">
        <x:v>0.8701276095763826</x:v>
      </x:c>
      <x:c r="H29" s="36" t="str">
        <x:v>双链混合</x:v>
      </x:c>
      <x:c r="I29" s="33" t="n">
        <x:v>0.45443550527838567</x:v>
      </x:c>
      <x:c r="J29" s="33" t="n">
        <x:v>0.4437516850211977</x:v>
      </x:c>
      <x:c r="K29" s="33" t="n">
        <x:v>0.3149078214895764</x:v>
      </x:c>
      <x:c r="L29" s="33" t="n">
        <x:v>0.8935130900447412</x:v>
      </x:c>
      <x:c r="M29" s="33" t="n">
        <x:v>0.5827086330811195</x:v>
      </x:c>
      <x:c r="N29" s="33" t="n">
        <x:v>0.47717579594240533</x:v>
      </x:c>
      <x:c r="O29" s="33" t="n">
        <x:v>0.8663019295623671</x:v>
      </x:c>
      <x:c r="P29" s="36" t="str">
        <x:v>双链混合</x:v>
      </x:c>
      <x:c r="Q29" s="33" t="n">
        <x:v>0.5497850681870767</x:v>
      </x:c>
    </x:row>
    <x:row r="30">
      <x:c r="A30" s="15" t="str">
        <x:v>012696.OF</x:v>
      </x:c>
      <x:c r="B30" s="15" t="str">
        <x:v>同泰数字经济A</x:v>
      </x:c>
      <x:c r="C30" s="15" t="str">
        <x:v>2026Q2</x:v>
      </x:c>
      <x:c r="D30" s="15" t="n">
        <x:v>60</x:v>
      </x:c>
      <x:c r="E30" s="33" t="n">
        <x:v>0.556096426328652</x:v>
      </x:c>
      <x:c r="F30" s="33" t="n">
        <x:v>0.5641701787474254</x:v>
      </x:c>
      <x:c r="G30" s="33" t="n">
        <x:v>0.930942573333379</x:v>
      </x:c>
      <x:c r="H30" s="36" t="str">
        <x:v>双链混合</x:v>
      </x:c>
      <x:c r="I30" s="33" t="n">
        <x:v>0.49639650401869073</x:v>
      </x:c>
      <x:c r="J30" s="33" t="n">
        <x:v>0.4598011479917058</x:v>
      </x:c>
      <x:c r="K30" s="33" t="n">
        <x:v>0.39910654057887585</x:v>
      </x:c>
      <x:c r="L30" s="33" t="n">
        <x:v>0.9385068482562895</x:v>
      </x:c>
      <x:c r="M30" s="33" t="n">
        <x:v>0.6139934497219292</x:v>
      </x:c>
      <x:c r="N30" s="33" t="n">
        <x:v>0.5362996679764889</x:v>
      </x:c>
      <x:c r="O30" s="33" t="n">
        <x:v>0.9370358496065172</x:v>
      </x:c>
      <x:c r="P30" s="36" t="str">
        <x:v>双链混合</x:v>
      </x:c>
      <x:c r="Q30" s="33" t="n">
        <x:v>0.5337712973111127</x:v>
      </x:c>
    </x:row>
    <x:row r="31">
      <x:c r="A31" s="15" t="str">
        <x:v>012696.OF</x:v>
      </x:c>
      <x:c r="B31" s="15" t="str">
        <x:v>同泰数字经济A</x:v>
      </x:c>
      <x:c r="C31" s="15" t="str">
        <x:v>近60交易日</x:v>
      </x:c>
      <x:c r="D31" s="15" t="n">
        <x:v>60</x:v>
      </x:c>
      <x:c r="E31" s="33" t="n">
        <x:v>0.562175483676315</x:v>
      </x:c>
      <x:c r="F31" s="33" t="n">
        <x:v>0.5128848680295447</x:v>
      </x:c>
      <x:c r="G31" s="33" t="n">
        <x:v>0.9453855962877326</x:v>
      </x:c>
      <x:c r="H31" s="36" t="str">
        <x:v>双链混合</x:v>
      </x:c>
      <x:c r="I31" s="33" t="n">
        <x:v>0.5229245807310064</x:v>
      </x:c>
      <x:c r="J31" s="33" t="n">
        <x:v>0.39659033721356196</x:v>
      </x:c>
      <x:c r="K31" s="33" t="n">
        <x:v>0.1418412698841363</x:v>
      </x:c>
      <x:c r="L31" s="33" t="n">
        <x:v>0.9618833559537531</x:v>
      </x:c>
      <x:c r="M31" s="33" t="n">
        <x:v>0.6168057599403153</x:v>
      </x:c>
      <x:c r="N31" s="33" t="n">
        <x:v>0.44613362218715347</x:v>
      </x:c>
      <x:c r="O31" s="33" t="n">
        <x:v>0.9354122762001978</x:v>
      </x:c>
      <x:c r="P31" s="36" t="str">
        <x:v>双链混合</x:v>
      </x:c>
      <x:c r="Q31" s="33" t="n">
        <x:v>0.5802831001573966</x:v>
      </x:c>
    </x:row>
    <x:row r="32">
      <x:c r="A32" s="15" t="str">
        <x:v>012696.OF</x:v>
      </x:c>
      <x:c r="B32" s="15" t="str">
        <x:v>同泰数字经济A</x:v>
      </x:c>
      <x:c r="C32" s="15" t="str">
        <x:v>近20交易日</x:v>
      </x:c>
      <x:c r="D32" s="15" t="n">
        <x:v>20</x:v>
      </x:c>
      <x:c r="E32" s="33" t="n">
        <x:v>0.6329304947678814</x:v>
      </x:c>
      <x:c r="F32" s="33" t="n">
        <x:v>0.42869406694821605</x:v>
      </x:c>
      <x:c r="G32" s="33" t="n">
        <x:v>0.9736754638247938</x:v>
      </x:c>
      <x:c r="H32" s="36" t="str">
        <x:v>双链混合</x:v>
      </x:c>
      <x:c r="I32" s="33" t="n">
        <x:v>0.5961905155479451</x:v>
      </x:c>
      <x:c r="J32" s="33" t="n">
        <x:v>0.4871079190701803</x:v>
      </x:c>
      <x:c r="K32" s="33" t="n">
        <x:v>0.00675754217809807</x:v>
      </x:c>
      <x:c r="L32" s="33" t="n">
        <x:v>0.9842824385784235</x:v>
      </x:c>
      <x:c r="M32" s="33" t="n">
        <x:v>0.7016400129976592</x:v>
      </x:c>
      <x:c r="N32" s="33" t="n">
        <x:v>0.3233826235645233</x:v>
      </x:c>
      <x:c r="O32" s="33" t="n">
        <x:v>0.9487714095941773</x:v>
      </x:c>
      <x:c r="P32" s="36" t="str">
        <x:v>双链混合</x:v>
      </x:c>
      <x:c r="Q32" s="33" t="n">
        <x:v>0.6845117248833505</x:v>
      </x:c>
    </x:row>
    <x:row r="33">
      <x:c r="A33" s="15" t="str">
        <x:v>001753.OF</x:v>
      </x:c>
      <x:c r="B33" s="15" t="str">
        <x:v>红土创新新兴产业</x:v>
      </x:c>
      <x:c r="C33" s="15" t="str">
        <x:v>2026Q1</x:v>
      </x:c>
      <x:c r="D33" s="15" t="n">
        <x:v>55</x:v>
      </x:c>
      <x:c r="E33" s="33" t="n">
        <x:v>0.7399256804836545</x:v>
      </x:c>
      <x:c r="F33" s="33" t="n">
        <x:v>0.17643004257657088</x:v>
      </x:c>
      <x:c r="G33" s="33" t="n">
        <x:v>0.7252262171213486</x:v>
      </x:c>
      <x:c r="H33" s="34" t="str">
        <x:v>北美链</x:v>
      </x:c>
      <x:c r="I33" s="33" t="n">
        <x:v>0.8074655528015123</x:v>
      </x:c>
      <x:c r="J33" s="33" t="n">
        <x:v>0.7235497060616676</x:v>
      </x:c>
      <x:c r="K33" s="33" t="n">
        <x:v>-0.1500742571686645</x:v>
      </x:c>
      <x:c r="L33" s="33" t="n">
        <x:v>0.7657336884474878</x:v>
      </x:c>
      <x:c r="M33" s="33" t="n">
        <x:v>0.9288116915900262</x:v>
      </x:c>
      <x:c r="N33" s="33" t="n">
        <x:v>0.034903969353365864</x:v>
      </x:c>
      <x:c r="O33" s="33" t="n">
        <x:v>0.8987772753956683</x:v>
      </x:c>
      <x:c r="P33" s="34" t="str">
        <x:v>北美链</x:v>
      </x:c>
      <x:c r="Q33" s="33" t="n">
        <x:v>0.9637818801043474</x:v>
      </x:c>
    </x:row>
    <x:row r="34">
      <x:c r="A34" s="15" t="str">
        <x:v>001753.OF</x:v>
      </x:c>
      <x:c r="B34" s="15" t="str">
        <x:v>红土创新新兴产业</x:v>
      </x:c>
      <x:c r="C34" s="15" t="str">
        <x:v>2026Q2</x:v>
      </x:c>
      <x:c r="D34" s="15" t="n">
        <x:v>60</x:v>
      </x:c>
      <x:c r="E34" s="33" t="n">
        <x:v>0.8228002757174393</x:v>
      </x:c>
      <x:c r="F34" s="33" t="n">
        <x:v>0.1867405570447468</x:v>
      </x:c>
      <x:c r="G34" s="33" t="n">
        <x:v>0.8604674904837069</x:v>
      </x:c>
      <x:c r="H34" s="34" t="str">
        <x:v>北美链</x:v>
      </x:c>
      <x:c r="I34" s="33" t="n">
        <x:v>0.8150242655031501</x:v>
      </x:c>
      <x:c r="J34" s="33" t="n">
        <x:v>0.7030496036729829</x:v>
      </x:c>
      <x:c r="K34" s="33" t="n">
        <x:v>0.09554547654206623</x:v>
      </x:c>
      <x:c r="L34" s="33" t="n">
        <x:v>0.8706358825938899</x:v>
      </x:c>
      <x:c r="M34" s="33" t="n">
        <x:v>0.9050145883800026</x:v>
      </x:c>
      <x:c r="N34" s="33" t="n">
        <x:v>0.14759116936256073</x:v>
      </x:c>
      <x:c r="O34" s="33" t="n">
        <x:v>0.9513442863818491</x:v>
      </x:c>
      <x:c r="P34" s="34" t="str">
        <x:v>北美链</x:v>
      </x:c>
      <x:c r="Q34" s="33" t="n">
        <x:v>0.859784949610111</x:v>
      </x:c>
    </x:row>
    <x:row r="35">
      <x:c r="A35" s="15" t="str">
        <x:v>001753.OF</x:v>
      </x:c>
      <x:c r="B35" s="15" t="str">
        <x:v>红土创新新兴产业</x:v>
      </x:c>
      <x:c r="C35" s="15" t="str">
        <x:v>近60交易日</x:v>
      </x:c>
      <x:c r="D35" s="15" t="n">
        <x:v>60</x:v>
      </x:c>
      <x:c r="E35" s="33" t="n">
        <x:v>0.7672864282243163</x:v>
      </x:c>
      <x:c r="F35" s="33" t="n">
        <x:v>0.2627972197227422</x:v>
      </x:c>
      <x:c r="G35" s="33" t="n">
        <x:v>0.9139533860041991</x:v>
      </x:c>
      <x:c r="H35" s="34" t="str">
        <x:v>北美链</x:v>
      </x:c>
      <x:c r="I35" s="33" t="n">
        <x:v>0.7448777871132182</x:v>
      </x:c>
      <x:c r="J35" s="33" t="n">
        <x:v>0.6129838243221926</x:v>
      </x:c>
      <x:c r="K35" s="33" t="n">
        <x:v>0.13447519222794815</x:v>
      </x:c>
      <x:c r="L35" s="33" t="n">
        <x:v>0.9294728567875455</x:v>
      </x:c>
      <x:c r="M35" s="33" t="n">
        <x:v>0.8376052835346035</x:v>
      </x:c>
      <x:c r="N35" s="33" t="n">
        <x:v>0.20434558937322003</x:v>
      </x:c>
      <x:c r="O35" s="33" t="n">
        <x:v>0.964727241183607</x:v>
      </x:c>
      <x:c r="P35" s="34" t="str">
        <x:v>北美链</x:v>
      </x:c>
      <x:c r="Q35" s="33" t="n">
        <x:v>0.8038817427131255</x:v>
      </x:c>
    </x:row>
    <x:row r="36">
      <x:c r="A36" s="15" t="str">
        <x:v>001753.OF</x:v>
      </x:c>
      <x:c r="B36" s="15" t="str">
        <x:v>红土创新新兴产业</x:v>
      </x:c>
      <x:c r="C36" s="15" t="str">
        <x:v>近20交易日</x:v>
      </x:c>
      <x:c r="D36" s="15" t="n">
        <x:v>20</x:v>
      </x:c>
      <x:c r="E36" s="33" t="n">
        <x:v>0.7526077430755768</x:v>
      </x:c>
      <x:c r="F36" s="33" t="n">
        <x:v>0.28345871005996476</x:v>
      </x:c>
      <x:c r="G36" s="33" t="n">
        <x:v>0.9528471255027383</x:v>
      </x:c>
      <x:c r="H36" s="34" t="str">
        <x:v>北美链</x:v>
      </x:c>
      <x:c r="I36" s="33" t="n">
        <x:v>0.7264087557298009</x:v>
      </x:c>
      <x:c r="J36" s="33" t="n">
        <x:v>0.614157395924817</x:v>
      </x:c>
      <x:c r="K36" s="33" t="n">
        <x:v>0.22680880255855665</x:v>
      </x:c>
      <x:c r="L36" s="33" t="n">
        <x:v>0.960610660836204</x:v>
      </x:c>
      <x:c r="M36" s="33" t="n">
        <x:v>0.7832618565447927</x:v>
      </x:c>
      <x:c r="N36" s="33" t="n">
        <x:v>0.24694576947111954</x:v>
      </x:c>
      <x:c r="O36" s="33" t="n">
        <x:v>0.9744613760797813</x:v>
      </x:c>
      <x:c r="P36" s="34" t="str">
        <x:v>北美链</x:v>
      </x:c>
      <x:c r="Q36" s="33" t="n">
        <x:v>0.7602951451387283</x:v>
      </x:c>
    </x:row>
    <x:row r="37">
      <x:c r="A37" s="15" t="str">
        <x:v>018993.OF</x:v>
      </x:c>
      <x:c r="B37" s="15" t="str">
        <x:v>中欧数字经济A</x:v>
      </x:c>
      <x:c r="C37" s="15" t="str">
        <x:v>2026Q1</x:v>
      </x:c>
      <x:c r="D37" s="15" t="n">
        <x:v>55</x:v>
      </x:c>
      <x:c r="E37" s="33" t="n">
        <x:v>0.6967280946393645</x:v>
      </x:c>
      <x:c r="F37" s="33" t="n">
        <x:v>0.3667913799930092</x:v>
      </x:c>
      <x:c r="G37" s="33" t="n">
        <x:v>0.9069656148221765</x:v>
      </x:c>
      <x:c r="H37" s="36" t="str">
        <x:v>双链混合</x:v>
      </x:c>
      <x:c r="I37" s="33" t="n">
        <x:v>0.655115502121108</x:v>
      </x:c>
      <x:c r="J37" s="33" t="n">
        <x:v>0.6803545117974863</x:v>
      </x:c>
      <x:c r="K37" s="33" t="n">
        <x:v>0.12324486502878856</x:v>
      </x:c>
      <x:c r="L37" s="33" t="n">
        <x:v>0.9275547244759794</x:v>
      </x:c>
      <x:c r="M37" s="33" t="n">
        <x:v>0.7478455091749212</x:v>
      </x:c>
      <x:c r="N37" s="33" t="n">
        <x:v>0.2813967177463074</x:v>
      </x:c>
      <x:c r="O37" s="33" t="n">
        <x:v>0.8647928658480653</x:v>
      </x:c>
      <x:c r="P37" s="34" t="str">
        <x:v>北美链</x:v>
      </x:c>
      <x:c r="Q37" s="33" t="n">
        <x:v>0.7265981608740936</x:v>
      </x:c>
    </x:row>
    <x:row r="38">
      <x:c r="A38" s="15" t="str">
        <x:v>018993.OF</x:v>
      </x:c>
      <x:c r="B38" s="15" t="str">
        <x:v>中欧数字经济A</x:v>
      </x:c>
      <x:c r="C38" s="15" t="str">
        <x:v>2026Q2</x:v>
      </x:c>
      <x:c r="D38" s="15" t="n">
        <x:v>60</x:v>
      </x:c>
      <x:c r="E38" s="33" t="n">
        <x:v>0.8375535360137795</x:v>
      </x:c>
      <x:c r="F38" s="33" t="n">
        <x:v>0.19000953641177382</x:v>
      </x:c>
      <x:c r="G38" s="33" t="n">
        <x:v>0.891506971568238</x:v>
      </x:c>
      <x:c r="H38" s="34" t="str">
        <x:v>北美链</x:v>
      </x:c>
      <x:c r="I38" s="33" t="n">
        <x:v>0.8150872277229094</x:v>
      </x:c>
      <x:c r="J38" s="33" t="n">
        <x:v>0.8155726638156086</x:v>
      </x:c>
      <x:c r="K38" s="33" t="n">
        <x:v>0.06848411119931527</x:v>
      </x:c>
      <x:c r="L38" s="33" t="n">
        <x:v>0.8934117168448064</x:v>
      </x:c>
      <x:c r="M38" s="33" t="n">
        <x:v>0.8248365869136796</x:v>
      </x:c>
      <x:c r="N38" s="33" t="n">
        <x:v>0.17271626357212083</x:v>
      </x:c>
      <x:c r="O38" s="33" t="n">
        <x:v>0.8280515325000817</x:v>
      </x:c>
      <x:c r="P38" s="34" t="str">
        <x:v>北美链</x:v>
      </x:c>
      <x:c r="Q38" s="33" t="n">
        <x:v>0.8268600370516616</x:v>
      </x:c>
    </x:row>
    <x:row r="39">
      <x:c r="A39" s="15" t="str">
        <x:v>018993.OF</x:v>
      </x:c>
      <x:c r="B39" s="15" t="str">
        <x:v>中欧数字经济A</x:v>
      </x:c>
      <x:c r="C39" s="15" t="str">
        <x:v>近60交易日</x:v>
      </x:c>
      <x:c r="D39" s="15" t="n">
        <x:v>60</x:v>
      </x:c>
      <x:c r="E39" s="33" t="n">
        <x:v>0.8191366133595471</x:v>
      </x:c>
      <x:c r="F39" s="33" t="n">
        <x:v>0.19700178842328858</x:v>
      </x:c>
      <x:c r="G39" s="33" t="n">
        <x:v>0.9147992123509139</x:v>
      </x:c>
      <x:c r="H39" s="34" t="str">
        <x:v>北美链</x:v>
      </x:c>
      <x:c r="I39" s="33" t="n">
        <x:v>0.8061270117558348</x:v>
      </x:c>
      <x:c r="J39" s="33" t="n">
        <x:v>0.6570991407553372</x:v>
      </x:c>
      <x:c r="K39" s="33" t="n">
        <x:v>-0.15419802423200826</x:v>
      </x:c>
      <x:c r="L39" s="33" t="n">
        <x:v>0.9303541074739778</x:v>
      </x:c>
      <x:c r="M39" s="33" t="n">
        <x:v>0.8531798035312497</x:v>
      </x:c>
      <x:c r="N39" s="33" t="n">
        <x:v>0.1301056127962818</x:v>
      </x:c>
      <x:c r="O39" s="33" t="n">
        <x:v>0.8884203018553408</x:v>
      </x:c>
      <x:c r="P39" s="34" t="str">
        <x:v>北美链</x:v>
      </x:c>
      <x:c r="Q39" s="33" t="n">
        <x:v>0.8676827596180439</x:v>
      </x:c>
    </x:row>
    <x:row r="40">
      <x:c r="A40" s="15" t="str">
        <x:v>018993.OF</x:v>
      </x:c>
      <x:c r="B40" s="15" t="str">
        <x:v>中欧数字经济A</x:v>
      </x:c>
      <x:c r="C40" s="15" t="str">
        <x:v>近20交易日</x:v>
      </x:c>
      <x:c r="D40" s="15" t="n">
        <x:v>20</x:v>
      </x:c>
      <x:c r="E40" s="33" t="n">
        <x:v>0.837199912966284</x:v>
      </x:c>
      <x:c r="F40" s="33" t="n">
        <x:v>0.17775782323146408</x:v>
      </x:c>
      <x:c r="G40" s="33" t="n">
        <x:v>0.9460193831613767</x:v>
      </x:c>
      <x:c r="H40" s="34" t="str">
        <x:v>北美链</x:v>
      </x:c>
      <x:c r="I40" s="33" t="n">
        <x:v>0.8248618470583972</x:v>
      </x:c>
      <x:c r="J40" s="33" t="n">
        <x:v>0.5530626401845333</x:v>
      </x:c>
      <x:c r="K40" s="33" t="n">
        <x:v>-0.3937321589076639</x:v>
      </x:c>
      <x:c r="L40" s="33" t="n">
        <x:v>0.975002765010865</x:v>
      </x:c>
      <x:c r="M40" s="33" t="n">
        <x:v>0.9220577677580084</x:v>
      </x:c>
      <x:c r="N40" s="33" t="n">
        <x:v>0.06650561641301868</x:v>
      </x:c>
      <x:c r="O40" s="33" t="n">
        <x:v>0.9497178399624174</x:v>
      </x:c>
      <x:c r="P40" s="34" t="str">
        <x:v>北美链</x:v>
      </x:c>
      <x:c r="Q40" s="33" t="n">
        <x:v>0.9327249850865276</x:v>
      </x:c>
    </x:row>
    <x:row r="41">
      <x:c r="A41" s="15" t="str">
        <x:v>017102.OF</x:v>
      </x:c>
      <x:c r="B41" s="15" t="str">
        <x:v>大摩数字经济A</x:v>
      </x:c>
      <x:c r="C41" s="15" t="str">
        <x:v>2026Q1</x:v>
      </x:c>
      <x:c r="D41" s="15" t="n">
        <x:v>55</x:v>
      </x:c>
      <x:c r="E41" s="33" t="n">
        <x:v>0.8145157036252583</x:v>
      </x:c>
      <x:c r="F41" s="33" t="n">
        <x:v>0.2340154262841696</x:v>
      </x:c>
      <x:c r="G41" s="33" t="n">
        <x:v>0.932262682259004</x:v>
      </x:c>
      <x:c r="H41" s="34" t="str">
        <x:v>北美链</x:v>
      </x:c>
      <x:c r="I41" s="33" t="n">
        <x:v>0.7768159479400638</x:v>
      </x:c>
      <x:c r="J41" s="33" t="n">
        <x:v>0.7940193154595252</x:v>
      </x:c>
      <x:c r="K41" s="33" t="n">
        <x:v>-0.025760082997591055</x:v>
      </x:c>
      <x:c r="L41" s="33" t="n">
        <x:v>0.9546703321553535</x:v>
      </x:c>
      <x:c r="M41" s="33" t="n">
        <x:v>0.8500063861994926</x:v>
      </x:c>
      <x:c r="N41" s="33" t="n">
        <x:v>0.17043986240003667</x:v>
      </x:c>
      <x:c r="O41" s="33" t="n">
        <x:v>0.9073779446025705</x:v>
      </x:c>
      <x:c r="P41" s="34" t="str">
        <x:v>北美链</x:v>
      </x:c>
      <x:c r="Q41" s="33" t="n">
        <x:v>0.8329751688205527</x:v>
      </x:c>
    </x:row>
    <x:row r="42">
      <x:c r="A42" s="15" t="str">
        <x:v>017102.OF</x:v>
      </x:c>
      <x:c r="B42" s="15" t="str">
        <x:v>大摩数字经济A</x:v>
      </x:c>
      <x:c r="C42" s="15" t="str">
        <x:v>2026Q2</x:v>
      </x:c>
      <x:c r="D42" s="15" t="n">
        <x:v>60</x:v>
      </x:c>
      <x:c r="E42" s="33" t="n">
        <x:v>0.887826520323681</x:v>
      </x:c>
      <x:c r="F42" s="33" t="n">
        <x:v>0.15896696557498688</x:v>
      </x:c>
      <x:c r="G42" s="33" t="n">
        <x:v>0.9499982343868713</x:v>
      </x:c>
      <x:c r="H42" s="34" t="str">
        <x:v>北美链</x:v>
      </x:c>
      <x:c r="I42" s="33" t="n">
        <x:v>0.8481391337294057</x:v>
      </x:c>
      <x:c r="J42" s="33" t="n">
        <x:v>0.8182950504557903</x:v>
      </x:c>
      <x:c r="K42" s="33" t="n">
        <x:v>0.003249791873649453</x:v>
      </x:c>
      <x:c r="L42" s="33" t="n">
        <x:v>0.954783777193965</x:v>
      </x:c>
      <x:c r="M42" s="33" t="n">
        <x:v>0.8923099236919337</x:v>
      </x:c>
      <x:c r="N42" s="33" t="n">
        <x:v>0.1312437179457932</x:v>
      </x:c>
      <x:c r="O42" s="33" t="n">
        <x:v>0.9103318795143157</x:v>
      </x:c>
      <x:c r="P42" s="34" t="str">
        <x:v>北美链</x:v>
      </x:c>
      <x:c r="Q42" s="33" t="n">
        <x:v>0.8717764144380378</x:v>
      </x:c>
    </x:row>
    <x:row r="43">
      <x:c r="A43" s="15" t="str">
        <x:v>017102.OF</x:v>
      </x:c>
      <x:c r="B43" s="15" t="str">
        <x:v>大摩数字经济A</x:v>
      </x:c>
      <x:c r="C43" s="15" t="str">
        <x:v>近60交易日</x:v>
      </x:c>
      <x:c r="D43" s="15" t="n">
        <x:v>60</x:v>
      </x:c>
      <x:c r="E43" s="33" t="n">
        <x:v>0.8723342874641709</x:v>
      </x:c>
      <x:c r="F43" s="33" t="n">
        <x:v>0.16306596441083032</x:v>
      </x:c>
      <x:c r="G43" s="33" t="n">
        <x:v>0.9682682111630448</x:v>
      </x:c>
      <x:c r="H43" s="34" t="str">
        <x:v>北美链</x:v>
      </x:c>
      <x:c r="I43" s="33" t="n">
        <x:v>0.8425092478821258</x:v>
      </x:c>
      <x:c r="J43" s="33" t="n">
        <x:v>0.7720969523232339</x:v>
      </x:c>
      <x:c r="K43" s="33" t="n">
        <x:v>-0.029019077150315948</x:v>
      </x:c>
      <x:c r="L43" s="33" t="n">
        <x:v>0.9740011307357859</x:v>
      </x:c>
      <x:c r="M43" s="33" t="n">
        <x:v>0.9130781343438741</x:v>
      </x:c>
      <x:c r="N43" s="33" t="n">
        <x:v>0.0960471528161511</x:v>
      </x:c>
      <x:c r="O43" s="33" t="n">
        <x:v>0.95637011624966</x:v>
      </x:c>
      <x:c r="P43" s="34" t="str">
        <x:v>北美链</x:v>
      </x:c>
      <x:c r="Q43" s="33" t="n">
        <x:v>0.904821379428063</x:v>
      </x:c>
    </x:row>
    <x:row r="44">
      <x:c r="A44" s="15" t="str">
        <x:v>017102.OF</x:v>
      </x:c>
      <x:c r="B44" s="15" t="str">
        <x:v>大摩数字经济A</x:v>
      </x:c>
      <x:c r="C44" s="15" t="str">
        <x:v>近20交易日</x:v>
      </x:c>
      <x:c r="D44" s="15" t="n">
        <x:v>20</x:v>
      </x:c>
      <x:c r="E44" s="33" t="n">
        <x:v>0.879257881720074</x:v>
      </x:c>
      <x:c r="F44" s="33" t="n">
        <x:v>0.1479812602984585</x:v>
      </x:c>
      <x:c r="G44" s="33" t="n">
        <x:v>0.9816735119386433</x:v>
      </x:c>
      <x:c r="H44" s="34" t="str">
        <x:v>北美链</x:v>
      </x:c>
      <x:c r="I44" s="33" t="n">
        <x:v>0.8559427359751165</x:v>
      </x:c>
      <x:c r="J44" s="33" t="n">
        <x:v>0.7500327337142788</x:v>
      </x:c>
      <x:c r="K44" s="33" t="n">
        <x:v>-0.05838797696335298</x:v>
      </x:c>
      <x:c r="L44" s="33" t="n">
        <x:v>0.9872478654195058</x:v>
      </x:c>
      <x:c r="M44" s="33" t="n">
        <x:v>0.9522972922979718</x:v>
      </x:c>
      <x:c r="N44" s="33" t="n">
        <x:v>0.049802996135178475</x:v>
      </x:c>
      <x:c r="O44" s="33" t="n">
        <x:v>0.9829054022584494</x:v>
      </x:c>
      <x:c r="P44" s="34" t="str">
        <x:v>北美链</x:v>
      </x:c>
      <x:c r="Q44" s="33" t="n">
        <x:v>0.9503013852904396</x:v>
      </x:c>
    </x:row>
    <x:row r="45">
      <x:c r="A45" s="15" t="str">
        <x:v>018956.OF</x:v>
      </x:c>
      <x:c r="B45" s="15" t="str">
        <x:v>中航机遇领航A</x:v>
      </x:c>
      <x:c r="C45" s="15" t="str">
        <x:v>2026Q1</x:v>
      </x:c>
      <x:c r="D45" s="15" t="n">
        <x:v>55</x:v>
      </x:c>
      <x:c r="E45" s="33" t="n">
        <x:v>0.8678730602695756</x:v>
      </x:c>
      <x:c r="F45" s="33" t="n">
        <x:v>0.0792791100415428</x:v>
      </x:c>
      <x:c r="G45" s="33" t="n">
        <x:v>0.8367593599211018</x:v>
      </x:c>
      <x:c r="H45" s="34" t="str">
        <x:v>北美链</x:v>
      </x:c>
      <x:c r="I45" s="33" t="n">
        <x:v>0.9162973886070479</x:v>
      </x:c>
      <x:c r="J45" s="33" t="n">
        <x:v>0.8602688119871512</x:v>
      </x:c>
      <x:c r="K45" s="33" t="n">
        <x:v>-0.15858996767956335</x:v>
      </x:c>
      <x:c r="L45" s="33" t="n">
        <x:v>0.8610394011540463</x:v>
      </x:c>
      <x:c r="M45" s="33" t="n">
        <x:v>0.984922608704575</x:v>
      </x:c>
      <x:c r="N45" s="33" t="n">
        <x:v>-0.01899408869416819</x:v>
      </x:c>
      <x:c r="O45" s="33" t="n">
        <x:v>0.9503126247656944</x:v>
      </x:c>
      <x:c r="P45" s="34" t="str">
        <x:v>北美链</x:v>
      </x:c>
      <x:c r="Q45" s="33" t="n">
        <x:v>1</x:v>
      </x:c>
    </x:row>
    <x:row r="46">
      <x:c r="A46" s="15" t="str">
        <x:v>018956.OF</x:v>
      </x:c>
      <x:c r="B46" s="15" t="str">
        <x:v>中航机遇领航A</x:v>
      </x:c>
      <x:c r="C46" s="15" t="str">
        <x:v>2026Q2</x:v>
      </x:c>
      <x:c r="D46" s="15" t="n">
        <x:v>60</x:v>
      </x:c>
      <x:c r="E46" s="33" t="n">
        <x:v>0.9367653577008301</x:v>
      </x:c>
      <x:c r="F46" s="33" t="n">
        <x:v>0.03407731237192693</x:v>
      </x:c>
      <x:c r="G46" s="33" t="n">
        <x:v>0.909562810456948</x:v>
      </x:c>
      <x:c r="H46" s="34" t="str">
        <x:v>北美链</x:v>
      </x:c>
      <x:c r="I46" s="33" t="n">
        <x:v>0.964899243283803</x:v>
      </x:c>
      <x:c r="J46" s="33" t="n">
        <x:v>0.8571541200577841</x:v>
      </x:c>
      <x:c r="K46" s="33" t="n">
        <x:v>-0.08000764777576068</x:v>
      </x:c>
      <x:c r="L46" s="33" t="n">
        <x:v>0.9143558927730885</x:v>
      </x:c>
      <x:c r="M46" s="33" t="n">
        <x:v>0.955436761731514</x:v>
      </x:c>
      <x:c r="N46" s="33" t="n">
        <x:v>0.02282304138768171</x:v>
      </x:c>
      <x:c r="O46" s="33" t="n">
        <x:v>0.9314212725762578</x:v>
      </x:c>
      <x:c r="P46" s="34" t="str">
        <x:v>北美链</x:v>
      </x:c>
      <x:c r="Q46" s="33" t="n">
        <x:v>0.9766697544814679</x:v>
      </x:c>
    </x:row>
    <x:row r="47">
      <x:c r="A47" s="15" t="str">
        <x:v>018956.OF</x:v>
      </x:c>
      <x:c r="B47" s="15" t="str">
        <x:v>中航机遇领航A</x:v>
      </x:c>
      <x:c r="C47" s="15" t="str">
        <x:v>近60交易日</x:v>
      </x:c>
      <x:c r="D47" s="15" t="n">
        <x:v>60</x:v>
      </x:c>
      <x:c r="E47" s="33" t="n">
        <x:v>0.9244623844586918</x:v>
      </x:c>
      <x:c r="F47" s="33" t="n">
        <x:v>0.07727005102968586</x:v>
      </x:c>
      <x:c r="G47" s="33" t="n">
        <x:v>0.9513495129853323</x:v>
      </x:c>
      <x:c r="H47" s="34" t="str">
        <x:v>北美链</x:v>
      </x:c>
      <x:c r="I47" s="33" t="n">
        <x:v>0.9228635828368539</x:v>
      </x:c>
      <x:c r="J47" s="33" t="n">
        <x:v>0.8302721696125638</x:v>
      </x:c>
      <x:c r="K47" s="33" t="n">
        <x:v>-0.008073308412105294</x:v>
      </x:c>
      <x:c r="L47" s="33" t="n">
        <x:v>0.957002012124843</x:v>
      </x:c>
      <x:c r="M47" s="33" t="n">
        <x:v>0.9786644599424487</x:v>
      </x:c>
      <x:c r="N47" s="33" t="n">
        <x:v>0.008689762912018013</x:v>
      </x:c>
      <x:c r="O47" s="33" t="n">
        <x:v>0.9688595737977309</x:v>
      </x:c>
      <x:c r="P47" s="34" t="str">
        <x:v>北美链</x:v>
      </x:c>
      <x:c r="Q47" s="33" t="n">
        <x:v>0.9911989408553946</x:v>
      </x:c>
    </x:row>
    <x:row r="48">
      <x:c r="A48" s="15" t="str">
        <x:v>018956.OF</x:v>
      </x:c>
      <x:c r="B48" s="15" t="str">
        <x:v>中航机遇领航A</x:v>
      </x:c>
      <x:c r="C48" s="15" t="str">
        <x:v>近20交易日</x:v>
      </x:c>
      <x:c r="D48" s="15" t="n">
        <x:v>20</x:v>
      </x:c>
      <x:c r="E48" s="33" t="n">
        <x:v>0.9070347835330302</x:v>
      </x:c>
      <x:c r="F48" s="33" t="n">
        <x:v>0.11250767771538299</x:v>
      </x:c>
      <x:c r="G48" s="33" t="n">
        <x:v>0.9817840008278662</x:v>
      </x:c>
      <x:c r="H48" s="34" t="str">
        <x:v>北美链</x:v>
      </x:c>
      <x:c r="I48" s="33" t="n">
        <x:v>0.8896488552545235</x:v>
      </x:c>
      <x:c r="J48" s="33" t="n">
        <x:v>0.7974120758086884</x:v>
      </x:c>
      <x:c r="K48" s="33" t="n">
        <x:v>0.10789101550050474</x:v>
      </x:c>
      <x:c r="L48" s="33" t="n">
        <x:v>0.9874323931545559</x:v>
      </x:c>
      <x:c r="M48" s="33" t="n">
        <x:v>0.9905526719997917</x:v>
      </x:c>
      <x:c r="N48" s="33" t="n">
        <x:v>0.0060609851988082525</x:v>
      </x:c>
      <x:c r="O48" s="33" t="n">
        <x:v>0.9905425082624262</x:v>
      </x:c>
      <x:c r="P48" s="34" t="str">
        <x:v>北美链</x:v>
      </x:c>
      <x:c r="Q48" s="33" t="n">
        <x:v>0.9939184204881908</x:v>
      </x:c>
    </x:row>
    <x:row r="49">
      <x:c r="A49" s="15" t="str">
        <x:v>006281.OF</x:v>
      </x:c>
      <x:c r="B49" s="15" t="str">
        <x:v>万家人工智能A</x:v>
      </x:c>
      <x:c r="C49" s="15" t="str">
        <x:v>2026Q1</x:v>
      </x:c>
      <x:c r="D49" s="15" t="n">
        <x:v>55</x:v>
      </x:c>
      <x:c r="E49" s="33" t="n">
        <x:v>0.32673148191398277</x:v>
      </x:c>
      <x:c r="F49" s="33" t="n">
        <x:v>0.5854068301990817</x:v>
      </x:c>
      <x:c r="G49" s="33" t="n">
        <x:v>0.6642612605491829</x:v>
      </x:c>
      <x:c r="H49" s="36" t="str">
        <x:v>双链混合</x:v>
      </x:c>
      <x:c r="I49" s="33" t="n">
        <x:v>0.3582038793624126</x:v>
      </x:c>
      <x:c r="J49" s="33" t="n">
        <x:v>0.2885370650213513</x:v>
      </x:c>
      <x:c r="K49" s="33" t="n">
        <x:v>-0.1041928987129679</x:v>
      </x:c>
      <x:c r="L49" s="33" t="n">
        <x:v>0.8395215992592253</x:v>
      </x:c>
      <x:c r="M49" s="33" t="n">
        <x:v>0.5533218629860505</x:v>
      </x:c>
      <x:c r="N49" s="33" t="n">
        <x:v>0.34790163351731734</x:v>
      </x:c>
      <x:c r="O49" s="33" t="n">
        <x:v>0.6342418061312491</x:v>
      </x:c>
      <x:c r="P49" s="36" t="str">
        <x:v>双链混合</x:v>
      </x:c>
      <x:c r="Q49" s="33" t="n">
        <x:v>0.6139674177746903</x:v>
      </x:c>
    </x:row>
    <x:row r="50">
      <x:c r="A50" s="15" t="str">
        <x:v>006281.OF</x:v>
      </x:c>
      <x:c r="B50" s="15" t="str">
        <x:v>万家人工智能A</x:v>
      </x:c>
      <x:c r="C50" s="15" t="str">
        <x:v>2026Q2</x:v>
      </x:c>
      <x:c r="D50" s="15" t="n">
        <x:v>60</x:v>
      </x:c>
      <x:c r="E50" s="33" t="n">
        <x:v>0.6849207801402186</x:v>
      </x:c>
      <x:c r="F50" s="33" t="n">
        <x:v>0.38033714179850214</x:v>
      </x:c>
      <x:c r="G50" s="33" t="n">
        <x:v>0.8657032708118144</x:v>
      </x:c>
      <x:c r="H50" s="36" t="str">
        <x:v>双链混合</x:v>
      </x:c>
      <x:c r="I50" s="33" t="n">
        <x:v>0.6429623906421593</x:v>
      </x:c>
      <x:c r="J50" s="33" t="n">
        <x:v>0.5708155052898444</x:v>
      </x:c>
      <x:c r="K50" s="33" t="n">
        <x:v>-0.2028063903679147</x:v>
      </x:c>
      <x:c r="L50" s="33" t="n">
        <x:v>0.9098251056054528</x:v>
      </x:c>
      <x:c r="M50" s="33" t="n">
        <x:v>0.7411403757010903</x:v>
      </x:c>
      <x:c r="N50" s="33" t="n">
        <x:v>0.3102287390118848</x:v>
      </x:c>
      <x:c r="O50" s="33" t="n">
        <x:v>0.8357556923497216</x:v>
      </x:c>
      <x:c r="P50" s="34" t="str">
        <x:v>北美链</x:v>
      </x:c>
      <x:c r="Q50" s="33" t="n">
        <x:v>0.704928806952278</x:v>
      </x:c>
    </x:row>
    <x:row r="51">
      <x:c r="A51" s="15" t="str">
        <x:v>006281.OF</x:v>
      </x:c>
      <x:c r="B51" s="15" t="str">
        <x:v>万家人工智能A</x:v>
      </x:c>
      <x:c r="C51" s="15" t="str">
        <x:v>近60交易日</x:v>
      </x:c>
      <x:c r="D51" s="15" t="n">
        <x:v>60</x:v>
      </x:c>
      <x:c r="E51" s="33" t="n">
        <x:v>0.6409336034422715</x:v>
      </x:c>
      <x:c r="F51" s="33" t="n">
        <x:v>0.415683919152128</x:v>
      </x:c>
      <x:c r="G51" s="33" t="n">
        <x:v>0.9220538842910065</x:v>
      </x:c>
      <x:c r="H51" s="36" t="str">
        <x:v>双链混合</x:v>
      </x:c>
      <x:c r="I51" s="33" t="n">
        <x:v>0.6065899814613472</x:v>
      </x:c>
      <x:c r="J51" s="33" t="n">
        <x:v>0.5024853420319332</x:v>
      </x:c>
      <x:c r="K51" s="33" t="n">
        <x:v>-0.08960269857942169</x:v>
      </x:c>
      <x:c r="L51" s="33" t="n">
        <x:v>0.9418510328699023</x:v>
      </x:c>
      <x:c r="M51" s="33" t="n">
        <x:v>0.6986377133288454</x:v>
      </x:c>
      <x:c r="N51" s="33" t="n">
        <x:v>0.33243606506740286</x:v>
      </x:c>
      <x:c r="O51" s="33" t="n">
        <x:v>0.8990143890674244</x:v>
      </x:c>
      <x:c r="P51" s="36" t="str">
        <x:v>双链混合</x:v>
      </x:c>
      <x:c r="Q51" s="33" t="n">
        <x:v>0.6775826599096718</x:v>
      </x:c>
    </x:row>
    <x:row r="52">
      <x:c r="A52" s="15" t="str">
        <x:v>006281.OF</x:v>
      </x:c>
      <x:c r="B52" s="15" t="str">
        <x:v>万家人工智能A</x:v>
      </x:c>
      <x:c r="C52" s="15" t="str">
        <x:v>近20交易日</x:v>
      </x:c>
      <x:c r="D52" s="15" t="n">
        <x:v>20</x:v>
      </x:c>
      <x:c r="E52" s="33" t="n">
        <x:v>0.5323146843882683</x:v>
      </x:c>
      <x:c r="F52" s="33" t="n">
        <x:v>0.5160619227782658</x:v>
      </x:c>
      <x:c r="G52" s="33" t="n">
        <x:v>0.9438152290281632</x:v>
      </x:c>
      <x:c r="H52" s="36" t="str">
        <x:v>双链混合</x:v>
      </x:c>
      <x:c r="I52" s="33" t="n">
        <x:v>0.507751394631901</x:v>
      </x:c>
      <x:c r="J52" s="33" t="n">
        <x:v>0.34657240067741024</x:v>
      </x:c>
      <x:c r="K52" s="33" t="n">
        <x:v>-0.05584870965243952</x:v>
      </x:c>
      <x:c r="L52" s="33" t="n">
        <x:v>0.9625543312391293</x:v>
      </x:c>
      <x:c r="M52" s="33" t="n">
        <x:v>0.569120606930217</x:v>
      </x:c>
      <x:c r="N52" s="33" t="n">
        <x:v>0.4578761223479967</x:v>
      </x:c>
      <x:c r="O52" s="33" t="n">
        <x:v>0.9376927560665925</x:v>
      </x:c>
      <x:c r="P52" s="36" t="str">
        <x:v>双链混合</x:v>
      </x:c>
      <x:c r="Q52" s="33" t="n">
        <x:v>0.5541600968195898</x:v>
      </x:c>
    </x:row>
    <x:row r="53">
      <x:c r="A53" s="15" t="str">
        <x:v>001072.OF</x:v>
      </x:c>
      <x:c r="B53" s="15" t="str">
        <x:v>华安智能装备主题A</x:v>
      </x:c>
      <x:c r="C53" s="15" t="str">
        <x:v>2026Q1</x:v>
      </x:c>
      <x:c r="D53" s="15" t="n">
        <x:v>55</x:v>
      </x:c>
      <x:c r="E53" s="33" t="n">
        <x:v>0.1878601662417187</x:v>
      </x:c>
      <x:c r="F53" s="33" t="n">
        <x:v>0.7456960479301364</x:v>
      </x:c>
      <x:c r="G53" s="33" t="n">
        <x:v>0.748678220130857</x:v>
      </x:c>
      <x:c r="H53" s="35" t="str">
        <x:v>国产链</x:v>
      </x:c>
      <x:c r="I53" s="33" t="n">
        <x:v>0.20123069547383052</x:v>
      </x:c>
      <x:c r="J53" s="33" t="n">
        <x:v>0.17740579529416237</x:v>
      </x:c>
      <x:c r="K53" s="33" t="n">
        <x:v>0.16815090162040067</x:v>
      </x:c>
      <x:c r="L53" s="33" t="n">
        <x:v>0.9075773885559539</x:v>
      </x:c>
      <x:c r="M53" s="33" t="n">
        <x:v>0.40486083196238576</x:v>
      </x:c>
      <x:c r="N53" s="33" t="n">
        <x:v>0.5688941562138594</x:v>
      </x:c>
      <x:c r="O53" s="33" t="n">
        <x:v>0.7352720504263615</x:v>
      </x:c>
      <x:c r="P53" s="36" t="str">
        <x:v>双链混合</x:v>
      </x:c>
      <x:c r="Q53" s="33" t="n">
        <x:v>0.41577279385305477</x:v>
      </x:c>
    </x:row>
    <x:row r="54">
      <x:c r="A54" s="15" t="str">
        <x:v>001072.OF</x:v>
      </x:c>
      <x:c r="B54" s="15" t="str">
        <x:v>华安智能装备主题A</x:v>
      </x:c>
      <x:c r="C54" s="15" t="str">
        <x:v>2026Q2</x:v>
      </x:c>
      <x:c r="D54" s="15" t="n">
        <x:v>60</x:v>
      </x:c>
      <x:c r="E54" s="33" t="n">
        <x:v>0.7186102000027264</x:v>
      </x:c>
      <x:c r="F54" s="33" t="n">
        <x:v>0.3333406034863721</x:v>
      </x:c>
      <x:c r="G54" s="33" t="n">
        <x:v>0.8591777143715894</x:v>
      </x:c>
      <x:c r="H54" s="36" t="str">
        <x:v>双链混合</x:v>
      </x:c>
      <x:c r="I54" s="33" t="n">
        <x:v>0.6831214897305541</x:v>
      </x:c>
      <x:c r="J54" s="33" t="n">
        <x:v>0.42842831584170266</x:v>
      </x:c>
      <x:c r="K54" s="33" t="n">
        <x:v>-0.019812674442579434</x:v>
      </x:c>
      <x:c r="L54" s="33" t="n">
        <x:v>0.9203506200543587</x:v>
      </x:c>
      <x:c r="M54" s="33" t="n">
        <x:v>0.7718774745401096</x:v>
      </x:c>
      <x:c r="N54" s="33" t="n">
        <x:v>0.28346181662579817</x:v>
      </x:c>
      <x:c r="O54" s="33" t="n">
        <x:v>0.8571658243633874</x:v>
      </x:c>
      <x:c r="P54" s="34" t="str">
        <x:v>北美链</x:v>
      </x:c>
      <x:c r="Q54" s="33" t="n">
        <x:v>0.7314021954847924</x:v>
      </x:c>
    </x:row>
    <x:row r="55">
      <x:c r="A55" s="15" t="str">
        <x:v>001072.OF</x:v>
      </x:c>
      <x:c r="B55" s="15" t="str">
        <x:v>华安智能装备主题A</x:v>
      </x:c>
      <x:c r="C55" s="15" t="str">
        <x:v>近60交易日</x:v>
      </x:c>
      <x:c r="D55" s="15" t="n">
        <x:v>60</x:v>
      </x:c>
      <x:c r="E55" s="33" t="n">
        <x:v>0.7117610494246955</x:v>
      </x:c>
      <x:c r="F55" s="33" t="n">
        <x:v>0.30915712221507274</x:v>
      </x:c>
      <x:c r="G55" s="33" t="n">
        <x:v>0.8817263323912082</x:v>
      </x:c>
      <x:c r="H55" s="36" t="str">
        <x:v>双链混合</x:v>
      </x:c>
      <x:c r="I55" s="33" t="n">
        <x:v>0.6971773734632289</x:v>
      </x:c>
      <x:c r="J55" s="33" t="n">
        <x:v>0.3953187325221185</x:v>
      </x:c>
      <x:c r="K55" s="33" t="n">
        <x:v>0.13283840028952232</x:v>
      </x:c>
      <x:c r="L55" s="33" t="n">
        <x:v>0.9535828114135404</x:v>
      </x:c>
      <x:c r="M55" s="33" t="n">
        <x:v>0.7566638833634141</x:v>
      </x:c>
      <x:c r="N55" s="33" t="n">
        <x:v>0.27102117256992614</x:v>
      </x:c>
      <x:c r="O55" s="33" t="n">
        <x:v>0.9112422638042834</x:v>
      </x:c>
      <x:c r="P55" s="34" t="str">
        <x:v>北美链</x:v>
      </x:c>
      <x:c r="Q55" s="33" t="n">
        <x:v>0.7362799322563024</x:v>
      </x:c>
    </x:row>
    <x:row r="56">
      <x:c r="A56" s="15" t="str">
        <x:v>001072.OF</x:v>
      </x:c>
      <x:c r="B56" s="15" t="str">
        <x:v>华安智能装备主题A</x:v>
      </x:c>
      <x:c r="C56" s="15" t="str">
        <x:v>近20交易日</x:v>
      </x:c>
      <x:c r="D56" s="15" t="n">
        <x:v>20</x:v>
      </x:c>
      <x:c r="E56" s="33" t="n">
        <x:v>0.724689407610899</x:v>
      </x:c>
      <x:c r="F56" s="33" t="n">
        <x:v>0.2821733503515048</x:v>
      </x:c>
      <x:c r="G56" s="33" t="n">
        <x:v>0.8981857812832935</x:v>
      </x:c>
      <x:c r="H56" s="34" t="str">
        <x:v>北美链</x:v>
      </x:c>
      <x:c r="I56" s="33" t="n">
        <x:v>0.7197499379929978</x:v>
      </x:c>
      <x:c r="J56" s="33" t="n">
        <x:v>0.3568942113653962</x:v>
      </x:c>
      <x:c r="K56" s="33" t="n">
        <x:v>0.41825744849835556</x:v>
      </x:c>
      <x:c r="L56" s="33" t="n">
        <x:v>0.9749154391627995</x:v>
      </x:c>
      <x:c r="M56" s="33" t="n">
        <x:v>0.7387968012721661</x:v>
      </x:c>
      <x:c r="N56" s="33" t="n">
        <x:v>0.27971671495227507</x:v>
      </x:c>
      <x:c r="O56" s="33" t="n">
        <x:v>0.9445615369382571</x:v>
      </x:c>
      <x:c r="P56" s="34" t="str">
        <x:v>北美链</x:v>
      </x:c>
      <x:c r="Q56" s="33" t="n">
        <x:v>0.7253676946878765</x:v>
      </x:c>
    </x:row>
    <x:row r="57">
      <x:c r="A57" s="15" t="str">
        <x:v>006265.OF</x:v>
      </x:c>
      <x:c r="B57" s="15" t="str">
        <x:v>红土创新新科技A</x:v>
      </x:c>
      <x:c r="C57" s="15" t="str">
        <x:v>2026Q1</x:v>
      </x:c>
      <x:c r="D57" s="15" t="n">
        <x:v>55</x:v>
      </x:c>
      <x:c r="E57" s="33" t="n">
        <x:v>0.6955945958306049</x:v>
      </x:c>
      <x:c r="F57" s="33" t="n">
        <x:v>0.20591338783888594</x:v>
      </x:c>
      <x:c r="G57" s="33" t="n">
        <x:v>0.6871090752292444</x:v>
      </x:c>
      <x:c r="H57" s="34" t="str">
        <x:v>北美链</x:v>
      </x:c>
      <x:c r="I57" s="33" t="n">
        <x:v>0.7715900562513737</x:v>
      </x:c>
      <x:c r="J57" s="33" t="n">
        <x:v>0.6665606212005528</x:v>
      </x:c>
      <x:c r="K57" s="33" t="n">
        <x:v>-0.2512621978243806</x:v>
      </x:c>
      <x:c r="L57" s="33" t="n">
        <x:v>0.760927964176974</x:v>
      </x:c>
      <x:c r="M57" s="33" t="n">
        <x:v>0.9070514407480342</x:v>
      </x:c>
      <x:c r="N57" s="33" t="n">
        <x:v>0.0275733115608247</x:v>
      </x:c>
      <x:c r="O57" s="33" t="n">
        <x:v>0.8504020457193409</x:v>
      </x:c>
      <x:c r="P57" s="34" t="str">
        <x:v>北美链</x:v>
      </x:c>
      <x:c r="Q57" s="33" t="n">
        <x:v>0.9704979870341454</x:v>
      </x:c>
    </x:row>
    <x:row r="58">
      <x:c r="A58" s="15" t="str">
        <x:v>006265.OF</x:v>
      </x:c>
      <x:c r="B58" s="15" t="str">
        <x:v>红土创新新科技A</x:v>
      </x:c>
      <x:c r="C58" s="15" t="str">
        <x:v>2026Q2</x:v>
      </x:c>
      <x:c r="D58" s="15" t="n">
        <x:v>60</x:v>
      </x:c>
      <x:c r="E58" s="33" t="n">
        <x:v>0.7533635503980359</x:v>
      </x:c>
      <x:c r="F58" s="33" t="n">
        <x:v>0.26766699779398867</x:v>
      </x:c>
      <x:c r="G58" s="33" t="n">
        <x:v>0.8342186093717209</x:v>
      </x:c>
      <x:c r="H58" s="34" t="str">
        <x:v>北美链</x:v>
      </x:c>
      <x:c r="I58" s="33" t="n">
        <x:v>0.7378462394999286</x:v>
      </x:c>
      <x:c r="J58" s="33" t="n">
        <x:v>0.6290752032273254</x:v>
      </x:c>
      <x:c r="K58" s="33" t="n">
        <x:v>0.022372555593398243</x:v>
      </x:c>
      <x:c r="L58" s="33" t="n">
        <x:v>0.8479898877617962</x:v>
      </x:c>
      <x:c r="M58" s="33" t="n">
        <x:v>0.8376520224433757</x:v>
      </x:c>
      <x:c r="N58" s="33" t="n">
        <x:v>0.23873116925934643</x:v>
      </x:c>
      <x:c r="O58" s="33" t="n">
        <x:v>0.9240998822760274</x:v>
      </x:c>
      <x:c r="P58" s="34" t="str">
        <x:v>北美链</x:v>
      </x:c>
      <x:c r="Q58" s="33" t="n">
        <x:v>0.7782098688463358</x:v>
      </x:c>
    </x:row>
    <x:row r="59">
      <x:c r="A59" s="15" t="str">
        <x:v>006265.OF</x:v>
      </x:c>
      <x:c r="B59" s="15" t="str">
        <x:v>红土创新新科技A</x:v>
      </x:c>
      <x:c r="C59" s="15" t="str">
        <x:v>近60交易日</x:v>
      </x:c>
      <x:c r="D59" s="15" t="n">
        <x:v>60</x:v>
      </x:c>
      <x:c r="E59" s="33" t="n">
        <x:v>0.6860635801164459</x:v>
      </x:c>
      <x:c r="F59" s="33" t="n">
        <x:v>0.3576940770120623</x:v>
      </x:c>
      <x:c r="G59" s="33" t="n">
        <x:v>0.9103833117610008</x:v>
      </x:c>
      <x:c r="H59" s="36" t="str">
        <x:v>双链混合</x:v>
      </x:c>
      <x:c r="I59" s="33" t="n">
        <x:v>0.6573016019866931</x:v>
      </x:c>
      <x:c r="J59" s="33" t="n">
        <x:v>0.5356058816915923</x:v>
      </x:c>
      <x:c r="K59" s="33" t="n">
        <x:v>0.08457144818289926</x:v>
      </x:c>
      <x:c r="L59" s="33" t="n">
        <x:v>0.9231984550020506</x:v>
      </x:c>
      <x:c r="M59" s="33" t="n">
        <x:v>0.7646777450170221</x:v>
      </x:c>
      <x:c r="N59" s="33" t="n">
        <x:v>0.29233236072315344</x:v>
      </x:c>
      <x:c r="O59" s="33" t="n">
        <x:v>0.9593273385463562</x:v>
      </x:c>
      <x:c r="P59" s="34" t="str">
        <x:v>北美链</x:v>
      </x:c>
      <x:c r="Q59" s="33" t="n">
        <x:v>0.7234346586322876</x:v>
      </x:c>
    </x:row>
    <x:row r="60">
      <x:c r="A60" s="15" t="str">
        <x:v>006265.OF</x:v>
      </x:c>
      <x:c r="B60" s="15" t="str">
        <x:v>红土创新新科技A</x:v>
      </x:c>
      <x:c r="C60" s="15" t="str">
        <x:v>近20交易日</x:v>
      </x:c>
      <x:c r="D60" s="15" t="n">
        <x:v>20</x:v>
      </x:c>
      <x:c r="E60" s="33" t="n">
        <x:v>0.6617769324976883</x:v>
      </x:c>
      <x:c r="F60" s="33" t="n">
        <x:v>0.4020334722950774</x:v>
      </x:c>
      <x:c r="G60" s="33" t="n">
        <x:v>0.9813041940470459</x:v>
      </x:c>
      <x:c r="H60" s="36" t="str">
        <x:v>双链混合</x:v>
      </x:c>
      <x:c r="I60" s="33" t="n">
        <x:v>0.6220816505612248</x:v>
      </x:c>
      <x:c r="J60" s="33" t="n">
        <x:v>0.5387589917882781</x:v>
      </x:c>
      <x:c r="K60" s="33" t="n">
        <x:v>0.14774143893756927</x:v>
      </x:c>
      <x:c r="L60" s="33" t="n">
        <x:v>0.9868183138511547</x:v>
      </x:c>
      <x:c r="M60" s="33" t="n">
        <x:v>0.7079228137757538</x:v>
      </x:c>
      <x:c r="N60" s="33" t="n">
        <x:v>0.3355845271781632</x:v>
      </x:c>
      <x:c r="O60" s="33" t="n">
        <x:v>0.9822157870714353</x:v>
      </x:c>
      <x:c r="P60" s="36" t="str">
        <x:v>双链混合</x:v>
      </x:c>
      <x:c r="Q60" s="33" t="n">
        <x:v>0.6784071237377302</x:v>
      </x:c>
    </x:row>
    <x:row r="61">
      <x:c r="A61" s="15" t="str">
        <x:v>012496.OF</x:v>
      </x:c>
      <x:c r="B61" s="15" t="str">
        <x:v>同泰行业优选A</x:v>
      </x:c>
      <x:c r="C61" s="15" t="str">
        <x:v>2026Q1</x:v>
      </x:c>
      <x:c r="D61" s="15" t="n">
        <x:v>55</x:v>
      </x:c>
      <x:c r="E61" s="33" t="n">
        <x:v>0.2421292663114295</x:v>
      </x:c>
      <x:c r="F61" s="33" t="n">
        <x:v>0.6083367979299529</x:v>
      </x:c>
      <x:c r="G61" s="33" t="n">
        <x:v>0.5941211158985868</x:v>
      </x:c>
      <x:c r="H61" s="35" t="str">
        <x:v>国产链</x:v>
      </x:c>
      <x:c r="I61" s="33" t="n">
        <x:v>0.2847018552438178</x:v>
      </x:c>
      <x:c r="J61" s="33" t="n">
        <x:v>0.19730144557103466</x:v>
      </x:c>
      <x:c r="K61" s="33" t="n">
        <x:v>-0.007604322578423824</x:v>
      </x:c>
      <x:c r="L61" s="33" t="n">
        <x:v>0.7228085499929342</x:v>
      </x:c>
      <x:c r="M61" s="33" t="n">
        <x:v>0.49261647591475005</x:v>
      </x:c>
      <x:c r="N61" s="33" t="n">
        <x:v>0.38763095226995914</x:v>
      </x:c>
      <x:c r="O61" s="33" t="n">
        <x:v>0.598304802517664</x:v>
      </x:c>
      <x:c r="P61" s="36" t="str">
        <x:v>双链混合</x:v>
      </x:c>
      <x:c r="Q61" s="33" t="n">
        <x:v>0.5596340984837055</x:v>
      </x:c>
    </x:row>
    <x:row r="62">
      <x:c r="A62" s="15" t="str">
        <x:v>012496.OF</x:v>
      </x:c>
      <x:c r="B62" s="15" t="str">
        <x:v>同泰行业优选A</x:v>
      </x:c>
      <x:c r="C62" s="15" t="str">
        <x:v>2026Q2</x:v>
      </x:c>
      <x:c r="D62" s="15" t="n">
        <x:v>60</x:v>
      </x:c>
      <x:c r="E62" s="33" t="n">
        <x:v>0.8028017551401574</x:v>
      </x:c>
      <x:c r="F62" s="33" t="n">
        <x:v>0.17220609202875797</x:v>
      </x:c>
      <x:c r="G62" s="33" t="n">
        <x:v>0.8078446744339092</x:v>
      </x:c>
      <x:c r="H62" s="34" t="str">
        <x:v>北美链</x:v>
      </x:c>
      <x:c r="I62" s="33" t="n">
        <x:v>0.8233797886562813</x:v>
      </x:c>
      <x:c r="J62" s="33" t="n">
        <x:v>0.6835466472513604</x:v>
      </x:c>
      <x:c r="K62" s="33" t="n">
        <x:v>-0.1302398847939772</x:v>
      </x:c>
      <x:c r="L62" s="33" t="n">
        <x:v>0.8238345972838368</x:v>
      </x:c>
      <x:c r="M62" s="33" t="n">
        <x:v>0.8944053983987124</x:v>
      </x:c>
      <x:c r="N62" s="33" t="n">
        <x:v>0.13315538891225515</x:v>
      </x:c>
      <x:c r="O62" s="33" t="n">
        <x:v>0.916223468937501</x:v>
      </x:c>
      <x:c r="P62" s="34" t="str">
        <x:v>北美链</x:v>
      </x:c>
      <x:c r="Q62" s="33" t="n">
        <x:v>0.8704160468591735</x:v>
      </x:c>
    </x:row>
    <x:row r="63">
      <x:c r="A63" s="15" t="str">
        <x:v>012496.OF</x:v>
      </x:c>
      <x:c r="B63" s="15" t="str">
        <x:v>同泰行业优选A</x:v>
      </x:c>
      <x:c r="C63" s="15" t="str">
        <x:v>近60交易日</x:v>
      </x:c>
      <x:c r="D63" s="15" t="n">
        <x:v>60</x:v>
      </x:c>
      <x:c r="E63" s="33" t="n">
        <x:v>0.8066081181509654</x:v>
      </x:c>
      <x:c r="F63" s="33" t="n">
        <x:v>0.20509130596720296</x:v>
      </x:c>
      <x:c r="G63" s="33" t="n">
        <x:v>0.9028377088211221</x:v>
      </x:c>
      <x:c r="H63" s="34" t="str">
        <x:v>北美链</x:v>
      </x:c>
      <x:c r="I63" s="33" t="n">
        <x:v>0.7972803966494618</x:v>
      </x:c>
      <x:c r="J63" s="33" t="n">
        <x:v>0.6599423050577595</x:v>
      </x:c>
      <x:c r="K63" s="33" t="n">
        <x:v>0.004793697718274139</x:v>
      </x:c>
      <x:c r="L63" s="33" t="n">
        <x:v>0.915231814177376</x:v>
      </x:c>
      <x:c r="M63" s="33" t="n">
        <x:v>0.8959726457847209</x:v>
      </x:c>
      <x:c r="N63" s="33" t="n">
        <x:v>0.1225451989669261</x:v>
      </x:c>
      <x:c r="O63" s="33" t="n">
        <x:v>0.9598010323075146</x:v>
      </x:c>
      <x:c r="P63" s="34" t="str">
        <x:v>北美链</x:v>
      </x:c>
      <x:c r="Q63" s="33" t="n">
        <x:v>0.8796828159679351</x:v>
      </x:c>
    </x:row>
    <x:row r="64">
      <x:c r="A64" s="15" t="str">
        <x:v>012496.OF</x:v>
      </x:c>
      <x:c r="B64" s="15" t="str">
        <x:v>同泰行业优选A</x:v>
      </x:c>
      <x:c r="C64" s="15" t="str">
        <x:v>近20交易日</x:v>
      </x:c>
      <x:c r="D64" s="15" t="n">
        <x:v>20</x:v>
      </x:c>
      <x:c r="E64" s="33" t="n">
        <x:v>0.7955290011078306</x:v>
      </x:c>
      <x:c r="F64" s="33" t="n">
        <x:v>0.24444848218377774</x:v>
      </x:c>
      <x:c r="G64" s="33" t="n">
        <x:v>0.9716313700784847</x:v>
      </x:c>
      <x:c r="H64" s="34" t="str">
        <x:v>北美链</x:v>
      </x:c>
      <x:c r="I64" s="33" t="n">
        <x:v>0.7649482934860478</x:v>
      </x:c>
      <x:c r="J64" s="33" t="n">
        <x:v>0.5980576648363637</x:v>
      </x:c>
      <x:c r="K64" s="33" t="n">
        <x:v>0.004318047767545138</x:v>
      </x:c>
      <x:c r="L64" s="33" t="n">
        <x:v>0.984635563333019</x:v>
      </x:c>
      <x:c r="M64" s="33" t="n">
        <x:v>0.858270938220719</x:v>
      </x:c>
      <x:c r="N64" s="33" t="n">
        <x:v>0.16398621652687445</x:v>
      </x:c>
      <x:c r="O64" s="33" t="n">
        <x:v>0.9818012766883584</x:v>
      </x:c>
      <x:c r="P64" s="34" t="str">
        <x:v>北美链</x:v>
      </x:c>
      <x:c r="Q64" s="33" t="n">
        <x:v>0.8395841831330939</x:v>
      </x:c>
    </x:row>
    <x:row r="65">
      <x:c r="A65" s="15" t="str">
        <x:v>001396.OF</x:v>
      </x:c>
      <x:c r="B65" s="15" t="str">
        <x:v>建信互联网+产业升级</x:v>
      </x:c>
      <x:c r="C65" s="15" t="str">
        <x:v>2026Q1</x:v>
      </x:c>
      <x:c r="D65" s="15" t="n">
        <x:v>55</x:v>
      </x:c>
      <x:c r="E65" s="33" t="n">
        <x:v>0.4901765888020928</x:v>
      </x:c>
      <x:c r="F65" s="33" t="n">
        <x:v>0.5389925559303165</x:v>
      </x:c>
      <x:c r="G65" s="33" t="n">
        <x:v>0.8274974899826808</x:v>
      </x:c>
      <x:c r="H65" s="36" t="str">
        <x:v>双链混合</x:v>
      </x:c>
      <x:c r="I65" s="33" t="n">
        <x:v>0.4762837977712031</x:v>
      </x:c>
      <x:c r="J65" s="33" t="n">
        <x:v>0.4553987432353118</x:v>
      </x:c>
      <x:c r="K65" s="33" t="n">
        <x:v>0.14710236501915455</x:v>
      </x:c>
      <x:c r="L65" s="33" t="n">
        <x:v>0.8772575938898493</x:v>
      </x:c>
      <x:c r="M65" s="33" t="n">
        <x:v>0.6357558603907257</x:v>
      </x:c>
      <x:c r="N65" s="33" t="n">
        <x:v>0.38658729978911976</x:v>
      </x:c>
      <x:c r="O65" s="33" t="n">
        <x:v>0.8179737298185031</x:v>
      </x:c>
      <x:c r="P65" s="36" t="str">
        <x:v>双链混合</x:v>
      </x:c>
      <x:c r="Q65" s="33" t="n">
        <x:v>0.6218615090835905</x:v>
      </x:c>
    </x:row>
    <x:row r="66">
      <x:c r="A66" s="15" t="str">
        <x:v>001396.OF</x:v>
      </x:c>
      <x:c r="B66" s="15" t="str">
        <x:v>建信互联网+产业升级</x:v>
      </x:c>
      <x:c r="C66" s="15" t="str">
        <x:v>2026Q2</x:v>
      </x:c>
      <x:c r="D66" s="15" t="n">
        <x:v>60</x:v>
      </x:c>
      <x:c r="E66" s="33" t="n">
        <x:v>0.7117352769135948</x:v>
      </x:c>
      <x:c r="F66" s="33" t="n">
        <x:v>0.38049758951218815</x:v>
      </x:c>
      <x:c r="G66" s="33" t="n">
        <x:v>0.9132494350942676</x:v>
      </x:c>
      <x:c r="H66" s="36" t="str">
        <x:v>双链混合</x:v>
      </x:c>
      <x:c r="I66" s="33" t="n">
        <x:v>0.6516332723466504</x:v>
      </x:c>
      <x:c r="J66" s="33" t="n">
        <x:v>0.5703463111662936</x:v>
      </x:c>
      <x:c r="K66" s="33" t="n">
        <x:v>0.14209175365461793</x:v>
      </x:c>
      <x:c r="L66" s="33" t="n">
        <x:v>0.9294176123789331</x:v>
      </x:c>
      <x:c r="M66" s="33" t="n">
        <x:v>0.7663799524366639</x:v>
      </x:c>
      <x:c r="N66" s="33" t="n">
        <x:v>0.3288399563238837</x:v>
      </x:c>
      <x:c r="O66" s="33" t="n">
        <x:v>0.9039774119057883</x:v>
      </x:c>
      <x:c r="P66" s="36" t="str">
        <x:v>双链混合</x:v>
      </x:c>
      <x:c r="Q66" s="33" t="n">
        <x:v>0.6997498368195028</x:v>
      </x:c>
    </x:row>
    <x:row r="67">
      <x:c r="A67" s="15" t="str">
        <x:v>001396.OF</x:v>
      </x:c>
      <x:c r="B67" s="15" t="str">
        <x:v>建信互联网+产业升级</x:v>
      </x:c>
      <x:c r="C67" s="15" t="str">
        <x:v>近60交易日</x:v>
      </x:c>
      <x:c r="D67" s="15" t="n">
        <x:v>60</x:v>
      </x:c>
      <x:c r="E67" s="33" t="n">
        <x:v>0.6845733630221439</x:v>
      </x:c>
      <x:c r="F67" s="33" t="n">
        <x:v>0.38422299503383556</x:v>
      </x:c>
      <x:c r="G67" s="33" t="n">
        <x:v>0.9504174066063342</x:v>
      </x:c>
      <x:c r="H67" s="36" t="str">
        <x:v>双链混合</x:v>
      </x:c>
      <x:c r="I67" s="33" t="n">
        <x:v>0.6405086973418453</x:v>
      </x:c>
      <x:c r="J67" s="33" t="n">
        <x:v>0.5040517431886856</x:v>
      </x:c>
      <x:c r="K67" s="33" t="n">
        <x:v>0.08050970432098532</x:v>
      </x:c>
      <x:c r="L67" s="33" t="n">
        <x:v>0.9687963769762895</x:v>
      </x:c>
      <x:c r="M67" s="33" t="n">
        <x:v>0.7495108840477361</x:v>
      </x:c>
      <x:c r="N67" s="33" t="n">
        <x:v>0.3041388327449202</x:v>
      </x:c>
      <x:c r="O67" s="33" t="n">
        <x:v>0.9491150439354847</x:v>
      </x:c>
      <x:c r="P67" s="34" t="str">
        <x:v>北美链</x:v>
      </x:c>
      <x:c r="Q67" s="33" t="n">
        <x:v>0.7113473027158128</x:v>
      </x:c>
    </x:row>
    <x:row r="68">
      <x:c r="A68" s="15" t="str">
        <x:v>001396.OF</x:v>
      </x:c>
      <x:c r="B68" s="15" t="str">
        <x:v>建信互联网+产业升级</x:v>
      </x:c>
      <x:c r="C68" s="15" t="str">
        <x:v>近20交易日</x:v>
      </x:c>
      <x:c r="D68" s="15" t="n">
        <x:v>20</x:v>
      </x:c>
      <x:c r="E68" s="33" t="n">
        <x:v>0.6480018576584007</x:v>
      </x:c>
      <x:c r="F68" s="33" t="n">
        <x:v>0.40824561780406876</x:v>
      </x:c>
      <x:c r="G68" s="33" t="n">
        <x:v>0.9661253200561939</x:v>
      </x:c>
      <x:c r="H68" s="36" t="str">
        <x:v>双链混合</x:v>
      </x:c>
      <x:c r="I68" s="33" t="n">
        <x:v>0.6134943492997967</x:v>
      </x:c>
      <x:c r="J68" s="33" t="n">
        <x:v>0.4089701703368414</x:v>
      </x:c>
      <x:c r="K68" s="33" t="n">
        <x:v>0.08285272120560301</x:v>
      </x:c>
      <x:c r="L68" s="33" t="n">
        <x:v>0.9850390258565543</x:v>
      </x:c>
      <x:c r="M68" s="33" t="n">
        <x:v>0.6977252745828102</x:v>
      </x:c>
      <x:c r="N68" s="33" t="n">
        <x:v>0.3366714070674915</x:v>
      </x:c>
      <x:c r="O68" s="33" t="n">
        <x:v>0.9644810210315219</x:v>
      </x:c>
      <x:c r="P68" s="36" t="str">
        <x:v>双链混合</x:v>
      </x:c>
      <x:c r="Q68" s="33" t="n">
        <x:v>0.6745238910372782</x:v>
      </x:c>
    </x:row>
  </x:sheetData>
  <x:mergeCells>
    <x:mergeCell ref="A1:Q1"/>
    <x:mergeCell ref="A2:Q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14" hidden="0" customWidth="1"/>
    <x:col min="5" max="5" width="14" hidden="0" customWidth="1"/>
    <x:col min="6" max="6" width="18" hidden="0" customWidth="1"/>
    <x:col min="7" max="7" width="18" hidden="0" customWidth="1"/>
  </x:cols>
  <x:sheetData>
    <x:row r="1" ht="30" customHeight="1">
      <x:c r="A1" s="3" t="str">
        <x:v>日频Beta因子（可复算底稿）</x:v>
      </x:c>
      <x:c r="B1" s="3"/>
      <x:c r="C1" s="3"/>
      <x:c r="D1" s="3"/>
      <x:c r="E1" s="3"/>
      <x:c r="F1" s="3"/>
      <x:c r="G1" s="3"/>
    </x:row>
    <x:row r="2" ht="24" customHeight="1">
      <x:c r="A2" s="7" t="str">
        <x:v>单位：日涨跌幅（%）。股票篮子为核心股等权；纯基金锚定为锚定产品等权。</x:v>
      </x:c>
      <x:c r="B2" s="7"/>
      <x:c r="C2" s="7"/>
      <x:c r="D2" s="7"/>
      <x:c r="E2" s="7"/>
      <x:c r="F2" s="7"/>
      <x:c r="G2" s="7"/>
    </x:row>
    <x:row r="4" ht="34" customHeight="1">
      <x:c r="A4" s="12" t="str">
        <x:v>日期</x:v>
      </x:c>
      <x:c r="B4" s="12" t="str">
        <x:v>北美股票篮子</x:v>
      </x:c>
      <x:c r="C4" s="12" t="str">
        <x:v>国产股票篮子</x:v>
      </x:c>
      <x:c r="D4" s="12" t="str">
        <x:v>科创50</x:v>
      </x:c>
      <x:c r="E4" s="12" t="str">
        <x:v>中证1000</x:v>
      </x:c>
      <x:c r="F4" s="12" t="str">
        <x:v>北美基金锚定</x:v>
      </x:c>
      <x:c r="G4" s="12" t="str">
        <x:v>国产基金锚定</x:v>
      </x:c>
    </x:row>
    <x:row r="5">
      <x:c r="A5" s="15" t="str">
        <x:v>2026-01-05</x:v>
      </x:c>
      <x:c r="B5" s="37" t="n">
        <x:v>2.426796518899952</x:v>
      </x:c>
      <x:c r="C5" s="37" t="n">
        <x:v>4.963733741613957</x:v>
      </x:c>
      <x:c r="D5" s="37" t="n">
        <x:v>4.4051473880156</x:v>
      </x:c>
      <x:c r="E5" s="37" t="n">
        <x:v>2.0880784650002</x:v>
      </x:c>
      <x:c r="F5" s="37" t="n">
        <x:v>0</x:v>
      </x:c>
      <x:c r="G5" s="37" t="n">
        <x:v>0</x:v>
      </x:c>
    </x:row>
    <x:row r="6">
      <x:c r="A6" s="15" t="str">
        <x:v>2026-01-06</x:v>
      </x:c>
      <x:c r="B6" s="37" t="n">
        <x:v>-1.413728173701393</x:v>
      </x:c>
      <x:c r="C6" s="37" t="n">
        <x:v>2.582974249500042</x:v>
      </x:c>
      <x:c r="D6" s="37" t="n">
        <x:v>1.8446514222245</x:v>
      </x:c>
      <x:c r="E6" s="37" t="n">
        <x:v>1.4318431546529</x:v>
      </x:c>
      <x:c r="F6" s="37" t="n">
        <x:v>-1.3398746330511468</x:v>
      </x:c>
      <x:c r="G6" s="37" t="n">
        <x:v>3.2974357368957965</x:v>
      </x:c>
    </x:row>
    <x:row r="7">
      <x:c r="A7" s="15" t="str">
        <x:v>2026-01-07</x:v>
      </x:c>
      <x:c r="B7" s="37" t="n">
        <x:v>0.8839239466953279</x:v>
      </x:c>
      <x:c r="C7" s="37" t="n">
        <x:v>3.9713926441345677</x:v>
      </x:c>
      <x:c r="D7" s="37" t="n">
        <x:v>0.98549481099973</x:v>
      </x:c>
      <x:c r="E7" s="37" t="n">
        <x:v>0.52786789472837</x:v>
      </x:c>
      <x:c r="F7" s="37" t="n">
        <x:v>2.321866723803323</x:v>
      </x:c>
      <x:c r="G7" s="37" t="n">
        <x:v>6.140596218252078</x:v>
      </x:c>
    </x:row>
    <x:row r="8">
      <x:c r="A8" s="15" t="str">
        <x:v>2026-01-08</x:v>
      </x:c>
      <x:c r="B8" s="37" t="n">
        <x:v>-1.8878731296031959</x:v>
      </x:c>
      <x:c r="C8" s="37" t="n">
        <x:v>0.586561624304122</x:v>
      </x:c>
      <x:c r="D8" s="37" t="n">
        <x:v>0.81647484945144</x:v>
      </x:c>
      <x:c r="E8" s="37" t="n">
        <x:v>0.82425424493971</x:v>
      </x:c>
      <x:c r="F8" s="37" t="n">
        <x:v>-1.810004055590081</x:v>
      </x:c>
      <x:c r="G8" s="37" t="n">
        <x:v>0.30230446599145794</x:v>
      </x:c>
    </x:row>
    <x:row r="9">
      <x:c r="A9" s="15" t="str">
        <x:v>2026-01-09</x:v>
      </x:c>
      <x:c r="B9" s="37" t="n">
        <x:v>0.15874710071760897</x:v>
      </x:c>
      <x:c r="C9" s="37" t="n">
        <x:v>0.7245871482214113</x:v>
      </x:c>
      <x:c r="D9" s="37" t="n">
        <x:v>1.4290191907779</x:v>
      </x:c>
      <x:c r="E9" s="37" t="n">
        <x:v>1.976950968381</x:v>
      </x:c>
      <x:c r="F9" s="37" t="n">
        <x:v>0.31764615911259453</x:v>
      </x:c>
      <x:c r="G9" s="37" t="n">
        <x:v>-0.312044258484175</x:v>
      </x:c>
    </x:row>
    <x:row r="10">
      <x:c r="A10" s="15" t="str">
        <x:v>2026-01-12</x:v>
      </x:c>
      <x:c r="B10" s="37" t="n">
        <x:v>-1.6249300803317681</x:v>
      </x:c>
      <x:c r="C10" s="37" t="n">
        <x:v>1.5203978476505329</x:v>
      </x:c>
      <x:c r="D10" s="37" t="n">
        <x:v>2.430161746098</x:v>
      </x:c>
      <x:c r="E10" s="37" t="n">
        <x:v>2.8025891064011</x:v>
      </x:c>
      <x:c r="F10" s="37" t="n">
        <x:v>-1.0218083214758145</x:v>
      </x:c>
      <x:c r="G10" s="37" t="n">
        <x:v>0.688115383661847</x:v>
      </x:c>
    </x:row>
    <x:row r="11">
      <x:c r="A11" s="15" t="str">
        <x:v>2026-01-13</x:v>
      </x:c>
      <x:c r="B11" s="37" t="n">
        <x:v>-2.9117972617016847</x:v>
      </x:c>
      <x:c r="C11" s="37" t="n">
        <x:v>-3.6638807952896797</x:v>
      </x:c>
      <x:c r="D11" s="37" t="n">
        <x:v>-2.795680219283</x:v>
      </x:c>
      <x:c r="E11" s="37" t="n">
        <x:v>-1.8413043314639</x:v>
      </x:c>
      <x:c r="F11" s="37" t="n">
        <x:v>-3.2624000231939174</x:v>
      </x:c>
      <x:c r="G11" s="37" t="n">
        <x:v>-3.0677907617091438</x:v>
      </x:c>
    </x:row>
    <x:row r="12">
      <x:c r="A12" s="15" t="str">
        <x:v>2026-01-14</x:v>
      </x:c>
      <x:c r="B12" s="37" t="n">
        <x:v>1.7045365791657807</x:v>
      </x:c>
      <x:c r="C12" s="37" t="n">
        <x:v>3.122036709664665</x:v>
      </x:c>
      <x:c r="D12" s="37" t="n">
        <x:v>2.1326716068423</x:v>
      </x:c>
      <x:c r="E12" s="37" t="n">
        <x:v>0.65875930545412</x:v>
      </x:c>
      <x:c r="F12" s="37" t="n">
        <x:v>2.213897376978391</x:v>
      </x:c>
      <x:c r="G12" s="37" t="n">
        <x:v>2.4747181348251526</x:v>
      </x:c>
    </x:row>
    <x:row r="13">
      <x:c r="A13" s="15" t="str">
        <x:v>2026-01-15</x:v>
      </x:c>
      <x:c r="B13" s="37" t="n">
        <x:v>4.084863312874567</x:v>
      </x:c>
      <x:c r="C13" s="37" t="n">
        <x:v>2.2623826938742773</x:v>
      </x:c>
      <x:c r="D13" s="37" t="n">
        <x:v>-0.46411812559173</x:v>
      </x:c>
      <x:c r="E13" s="37" t="n">
        <x:v>-0.19857283818589</x:v>
      </x:c>
      <x:c r="F13" s="37" t="n">
        <x:v>2.845318976481215</x:v>
      </x:c>
      <x:c r="G13" s="37" t="n">
        <x:v>4.3065116539014054</x:v>
      </x:c>
    </x:row>
    <x:row r="14">
      <x:c r="A14" s="15" t="str">
        <x:v>2026-01-16</x:v>
      </x:c>
      <x:c r="B14" s="37" t="n">
        <x:v>0.9418998216601402</x:v>
      </x:c>
      <x:c r="C14" s="37" t="n">
        <x:v>2.359577573644792</x:v>
      </x:c>
      <x:c r="D14" s="37" t="n">
        <x:v>1.3469772983611</x:v>
      </x:c>
      <x:c r="E14" s="37" t="n">
        <x:v>-0.097634019887278</x:v>
      </x:c>
      <x:c r="F14" s="37" t="n">
        <x:v>0.7939886069421531</x:v>
      </x:c>
      <x:c r="G14" s="37" t="n">
        <x:v>4.236466209695533</x:v>
      </x:c>
    </x:row>
    <x:row r="15">
      <x:c r="A15" s="15" t="str">
        <x:v>2026-01-19</x:v>
      </x:c>
      <x:c r="B15" s="37" t="n">
        <x:v>-1.65033831403275</x:v>
      </x:c>
      <x:c r="C15" s="37" t="n">
        <x:v>-0.16504781561120496</x:v>
      </x:c>
      <x:c r="D15" s="37" t="n">
        <x:v>-0.47626655630615</x:v>
      </x:c>
      <x:c r="E15" s="37" t="n">
        <x:v>0.39982973811611</x:v>
      </x:c>
      <x:c r="F15" s="37" t="n">
        <x:v>-0.7195895654494577</x:v>
      </x:c>
      <x:c r="G15" s="37" t="n">
        <x:v>-0.1635088644849255</x:v>
      </x:c>
    </x:row>
    <x:row r="16">
      <x:c r="A16" s="15" t="str">
        <x:v>2026-01-20</x:v>
      </x:c>
      <x:c r="B16" s="37" t="n">
        <x:v>-3.4986251407193203</x:v>
      </x:c>
      <x:c r="C16" s="37" t="n">
        <x:v>-1.8972465024088716</x:v>
      </x:c>
      <x:c r="D16" s="37" t="n">
        <x:v>-1.5836272729511</x:v>
      </x:c>
      <x:c r="E16" s="37" t="n">
        <x:v>-1.0028737983002</x:v>
      </x:c>
      <x:c r="F16" s="37" t="n">
        <x:v>-3.6239092886894975</x:v>
      </x:c>
      <x:c r="G16" s="37" t="n">
        <x:v>-1.2029100290608146</x:v>
      </x:c>
    </x:row>
    <x:row r="17">
      <x:c r="A17" s="15" t="str">
        <x:v>2026-01-21</x:v>
      </x:c>
      <x:c r="B17" s="37" t="n">
        <x:v>1.8773452573162959</x:v>
      </x:c>
      <x:c r="C17" s="37" t="n">
        <x:v>1.9532971169632873</x:v>
      </x:c>
      <x:c r="D17" s="37" t="n">
        <x:v>3.5333451427757</x:v>
      </x:c>
      <x:c r="E17" s="37" t="n">
        <x:v>0.79346897490065</x:v>
      </x:c>
      <x:c r="F17" s="37" t="n">
        <x:v>2.842636532475007</x:v>
      </x:c>
      <x:c r="G17" s="37" t="n">
        <x:v>0.6620437502523169</x:v>
      </x:c>
    </x:row>
    <x:row r="18">
      <x:c r="A18" s="15" t="str">
        <x:v>2026-01-22</x:v>
      </x:c>
      <x:c r="B18" s="37" t="n">
        <x:v>4.522606054520849</x:v>
      </x:c>
      <x:c r="C18" s="37" t="n">
        <x:v>-1.30899950133473</x:v>
      </x:c>
      <x:c r="D18" s="37" t="n">
        <x:v>0.4067100978811</x:v>
      </x:c>
      <x:c r="E18" s="37" t="n">
        <x:v>0.74767451568623</x:v>
      </x:c>
      <x:c r="F18" s="37" t="n">
        <x:v>3.133298092527148</x:v>
      </x:c>
      <x:c r="G18" s="37" t="n">
        <x:v>-1.639804361000663</x:v>
      </x:c>
    </x:row>
    <x:row r="19">
      <x:c r="A19" s="15" t="str">
        <x:v>2026-01-23</x:v>
      </x:c>
      <x:c r="B19" s="37" t="n">
        <x:v>-4.908968821446569</x:v>
      </x:c>
      <x:c r="C19" s="37" t="n">
        <x:v>0.6196235731644929</x:v>
      </x:c>
      <x:c r="D19" s="37" t="n">
        <x:v>0.78288807099981</x:v>
      </x:c>
      <x:c r="E19" s="37" t="n">
        <x:v>1.9423695651797</x:v>
      </x:c>
      <x:c r="F19" s="37" t="n">
        <x:v>-2.6358305174124963</x:v>
      </x:c>
      <x:c r="G19" s="37" t="n">
        <x:v>1.4919619454764794</x:v>
      </x:c>
    </x:row>
    <x:row r="20">
      <x:c r="A20" s="15" t="str">
        <x:v>2026-01-26</x:v>
      </x:c>
      <x:c r="B20" s="37" t="n">
        <x:v>1.1974492156875662</x:v>
      </x:c>
      <x:c r="C20" s="37" t="n">
        <x:v>-2.73737262866005</x:v>
      </x:c>
      <x:c r="D20" s="37" t="n">
        <x:v>-1.3458970038951</x:v>
      </x:c>
      <x:c r="E20" s="37" t="n">
        <x:v>-1.2432119597337</x:v>
      </x:c>
      <x:c r="F20" s="37" t="n">
        <x:v>0.9400179238487683</x:v>
      </x:c>
      <x:c r="G20" s="37" t="n">
        <x:v>-3.114735064234264</x:v>
      </x:c>
    </x:row>
    <x:row r="21">
      <x:c r="A21" s="15" t="str">
        <x:v>2026-01-27</x:v>
      </x:c>
      <x:c r="B21" s="37" t="n">
        <x:v>3.4781762364883995</x:v>
      </x:c>
      <x:c r="C21" s="37" t="n">
        <x:v>0.4351479697089415</x:v>
      </x:c>
      <x:c r="D21" s="37" t="n">
        <x:v>1.5124191347055</x:v>
      </x:c>
      <x:c r="E21" s="37" t="n">
        <x:v>0.19985572775689</x:v>
      </x:c>
      <x:c r="F21" s="37" t="n">
        <x:v>3.2251627985616427</x:v>
      </x:c>
      <x:c r="G21" s="37" t="n">
        <x:v>2.674581167282978</x:v>
      </x:c>
    </x:row>
    <x:row r="22">
      <x:c r="A22" s="15" t="str">
        <x:v>2026-01-28</x:v>
      </x:c>
      <x:c r="B22" s="37" t="n">
        <x:v>-0.4301140728879197</x:v>
      </x:c>
      <x:c r="C22" s="37" t="n">
        <x:v>0.709026428328505</x:v>
      </x:c>
      <x:c r="D22" s="37" t="n">
        <x:v>-0.075489484654128</x:v>
      </x:c>
      <x:c r="E22" s="37" t="n">
        <x:v>0.21045308250327</x:v>
      </x:c>
      <x:c r="F22" s="37" t="n">
        <x:v>0.7322491107409013</x:v>
      </x:c>
      <x:c r="G22" s="37" t="n">
        <x:v>1.412033725822015</x:v>
      </x:c>
    </x:row>
    <x:row r="23">
      <x:c r="A23" s="15" t="str">
        <x:v>2026-01-29</x:v>
      </x:c>
      <x:c r="B23" s="37" t="n">
        <x:v>-2.7300266418613797</x:v>
      </x:c>
      <x:c r="C23" s="37" t="n">
        <x:v>-3.84432824667761</x:v>
      </x:c>
      <x:c r="D23" s="37" t="n">
        <x:v>-3.0334311656192</x:v>
      </x:c>
      <x:c r="E23" s="37" t="n">
        <x:v>-0.80462808503703</x:v>
      </x:c>
      <x:c r="F23" s="37" t="n">
        <x:v>-1.954554008101167</x:v>
      </x:c>
      <x:c r="G23" s="37" t="n">
        <x:v>-4.233987046094649</x:v>
      </x:c>
    </x:row>
    <x:row r="24">
      <x:c r="A24" s="15" t="str">
        <x:v>2026-01-30</x:v>
      </x:c>
      <x:c r="B24" s="37" t="n">
        <x:v>2.9532987105387276</x:v>
      </x:c>
      <x:c r="C24" s="37" t="n">
        <x:v>-0.1884406811642904</x:v>
      </x:c>
      <x:c r="D24" s="37" t="n">
        <x:v>0.11687141716477</x:v>
      </x:c>
      <x:c r="E24" s="37" t="n">
        <x:v>-0.92828230005384</x:v>
      </x:c>
      <x:c r="F24" s="37" t="n">
        <x:v>3.547248398236724</x:v>
      </x:c>
      <x:c r="G24" s="37" t="n">
        <x:v>-0.223529705742768</x:v>
      </x:c>
    </x:row>
    <x:row r="25">
      <x:c r="A25" s="15" t="str">
        <x:v>2026-02-02</x:v>
      </x:c>
      <x:c r="B25" s="37" t="n">
        <x:v>-1.5224107146715202</x:v>
      </x:c>
      <x:c r="C25" s="37" t="n">
        <x:v>-4.09691770684152</x:v>
      </x:c>
      <x:c r="D25" s="37" t="n">
        <x:v>-3.8759858375682</x:v>
      </x:c>
      <x:c r="E25" s="37" t="n">
        <x:v>-3.3850603141037</x:v>
      </x:c>
      <x:c r="F25" s="37" t="n">
        <x:v>-2.7429065965570762</x:v>
      </x:c>
      <x:c r="G25" s="37" t="n">
        <x:v>-5.202969321993977</x:v>
      </x:c>
    </x:row>
    <x:row r="26">
      <x:c r="A26" s="15" t="str">
        <x:v>2026-02-03</x:v>
      </x:c>
      <x:c r="B26" s="37" t="n">
        <x:v>0.898918606850183</x:v>
      </x:c>
      <x:c r="C26" s="37" t="n">
        <x:v>1.578466727030185</x:v>
      </x:c>
      <x:c r="D26" s="37" t="n">
        <x:v>1.3902566245888</x:v>
      </x:c>
      <x:c r="E26" s="37" t="n">
        <x:v>2.9299078520962</x:v>
      </x:c>
      <x:c r="F26" s="37" t="n">
        <x:v>3.6313441766849808</x:v>
      </x:c>
      <x:c r="G26" s="37" t="n">
        <x:v>2.324568227076762</x:v>
      </x:c>
    </x:row>
    <x:row r="27">
      <x:c r="A27" s="15" t="str">
        <x:v>2026-02-04</x:v>
      </x:c>
      <x:c r="B27" s="37" t="n">
        <x:v>-3.2253224055106777</x:v>
      </x:c>
      <x:c r="C27" s="37" t="n">
        <x:v>-1.1572351643273169</x:v>
      </x:c>
      <x:c r="D27" s="37" t="n">
        <x:v>-1.1958924014975</x:v>
      </x:c>
      <x:c r="E27" s="37" t="n">
        <x:v>-0.024128098801563</x:v>
      </x:c>
      <x:c r="F27" s="37" t="n">
        <x:v>-1.843048138601161</x:v>
      </x:c>
      <x:c r="G27" s="37" t="n">
        <x:v>-0.8160055580363442</x:v>
      </x:c>
    </x:row>
    <x:row r="28">
      <x:c r="A28" s="15" t="str">
        <x:v>2026-02-05</x:v>
      </x:c>
      <x:c r="B28" s="37" t="n">
        <x:v>-1.867563567035192</x:v>
      </x:c>
      <x:c r="C28" s="37" t="n">
        <x:v>-0.4811630275997526</x:v>
      </x:c>
      <x:c r="D28" s="37" t="n">
        <x:v>-1.441702115012</x:v>
      </x:c>
      <x:c r="E28" s="37" t="n">
        <x:v>-1.6941825502424</x:v>
      </x:c>
      <x:c r="F28" s="37" t="n">
        <x:v>-3.807883521950922</x:v>
      </x:c>
      <x:c r="G28" s="37" t="n">
        <x:v>0.027243546292902526</x:v>
      </x:c>
    </x:row>
    <x:row r="29">
      <x:c r="A29" s="15" t="str">
        <x:v>2026-02-06</x:v>
      </x:c>
      <x:c r="B29" s="37" t="n">
        <x:v>-0.756248618276961</x:v>
      </x:c>
      <x:c r="C29" s="37" t="n">
        <x:v>-0.250099796050314</x:v>
      </x:c>
      <x:c r="D29" s="37" t="n">
        <x:v>-0.70613943971247</x:v>
      </x:c>
      <x:c r="E29" s="37" t="n">
        <x:v>-0.20454069307496</x:v>
      </x:c>
      <x:c r="F29" s="37" t="n">
        <x:v>-1.2290414611404732</x:v>
      </x:c>
      <x:c r="G29" s="37" t="n">
        <x:v>-0.7331012921324395</x:v>
      </x:c>
    </x:row>
    <x:row r="30">
      <x:c r="A30" s="15" t="str">
        <x:v>2026-02-09</x:v>
      </x:c>
      <x:c r="B30" s="37" t="n">
        <x:v>5.233489731419879</x:v>
      </x:c>
      <x:c r="C30" s="37" t="n">
        <x:v>2.566710172351227</x:v>
      </x:c>
      <x:c r="D30" s="37" t="n">
        <x:v>2.5138181363127</x:v>
      </x:c>
      <x:c r="E30" s="37" t="n">
        <x:v>2.2629624403138</x:v>
      </x:c>
      <x:c r="F30" s="37" t="n">
        <x:v>6.074763340209355</x:v>
      </x:c>
      <x:c r="G30" s="37" t="n">
        <x:v>2.26731441882723</x:v>
      </x:c>
    </x:row>
    <x:row r="31">
      <x:c r="A31" s="15" t="str">
        <x:v>2026-02-10</x:v>
      </x:c>
      <x:c r="B31" s="37" t="n">
        <x:v>0.600672710750983</x:v>
      </x:c>
      <x:c r="C31" s="37" t="n">
        <x:v>0.20155714833221322</x:v>
      </x:c>
      <x:c r="D31" s="37" t="n">
        <x:v>0.91451386049033</x:v>
      </x:c>
      <x:c r="E31" s="37" t="n">
        <x:v>0.20065879111659</x:v>
      </x:c>
      <x:c r="F31" s="37" t="n">
        <x:v>-0.08005226315307978</x:v>
      </x:c>
      <x:c r="G31" s="37" t="n">
        <x:v>0.04171979878302423</x:v>
      </x:c>
    </x:row>
    <x:row r="32">
      <x:c r="A32" s="15" t="str">
        <x:v>2026-02-11</x:v>
      </x:c>
      <x:c r="B32" s="37" t="n">
        <x:v>-2.618955767218739</x:v>
      </x:c>
      <x:c r="C32" s="37" t="n">
        <x:v>-0.9383826906264201</x:v>
      </x:c>
      <x:c r="D32" s="37" t="n">
        <x:v>-1.1133825684279</x:v>
      </x:c>
      <x:c r="E32" s="37" t="n">
        <x:v>-0.13074797121622</x:v>
      </x:c>
      <x:c r="F32" s="37" t="n">
        <x:v>-1.8574536963328503</x:v>
      </x:c>
      <x:c r="G32" s="37" t="n">
        <x:v>-1.0518223493756567</x:v>
      </x:c>
    </x:row>
    <x:row r="33">
      <x:c r="A33" s="15" t="str">
        <x:v>2026-02-12</x:v>
      </x:c>
      <x:c r="B33" s="37" t="n">
        <x:v>2.030374790639217</x:v>
      </x:c>
      <x:c r="C33" s="37" t="n">
        <x:v>1.2029139904512207</x:v>
      </x:c>
      <x:c r="D33" s="37" t="n">
        <x:v>1.7785680631021</x:v>
      </x:c>
      <x:c r="E33" s="37" t="n">
        <x:v>0.91412198754951</x:v>
      </x:c>
      <x:c r="F33" s="37" t="n">
        <x:v>3.6621610146594485</x:v>
      </x:c>
      <x:c r="G33" s="37" t="n">
        <x:v>0.40487573489588574</x:v>
      </x:c>
    </x:row>
    <x:row r="34">
      <x:c r="A34" s="15" t="str">
        <x:v>2026-02-13</x:v>
      </x:c>
      <x:c r="B34" s="37" t="n">
        <x:v>-1.3162395512495315</x:v>
      </x:c>
      <x:c r="C34" s="37" t="n">
        <x:v>0.9327743472301989</x:v>
      </x:c>
      <x:c r="D34" s="37" t="n">
        <x:v>-0.7198743331002</x:v>
      </x:c>
      <x:c r="E34" s="37" t="n">
        <x:v>-1.3229707750446</x:v>
      </x:c>
      <x:c r="F34" s="37" t="n">
        <x:v>-3.035739942528731</x:v>
      </x:c>
      <x:c r="G34" s="37" t="n">
        <x:v>1.4238622526051052</x:v>
      </x:c>
    </x:row>
    <x:row r="35">
      <x:c r="A35" s="15" t="str">
        <x:v>2026-02-24</x:v>
      </x:c>
      <x:c r="B35" s="37" t="n">
        <x:v>3.850767674319175</x:v>
      </x:c>
      <x:c r="C35" s="37" t="n">
        <x:v>-0.646045659359549</x:v>
      </x:c>
      <x:c r="D35" s="37" t="n">
        <x:v>-0.33790297750857</x:v>
      </x:c>
      <x:c r="E35" s="37" t="n">
        <x:v>1.157136795556</x:v>
      </x:c>
      <x:c r="F35" s="37" t="n">
        <x:v>4.453303890768057</x:v>
      </x:c>
      <x:c r="G35" s="37" t="n">
        <x:v>-0.3379923845647559</x:v>
      </x:c>
    </x:row>
    <x:row r="36">
      <x:c r="A36" s="15" t="str">
        <x:v>2026-02-25</x:v>
      </x:c>
      <x:c r="B36" s="37" t="n">
        <x:v>2.786356240000174</x:v>
      </x:c>
      <x:c r="C36" s="37" t="n">
        <x:v>2.8866670361670423</x:v>
      </x:c>
      <x:c r="D36" s="37" t="n">
        <x:v>0.54047285147387</x:v>
      </x:c>
      <x:c r="E36" s="37" t="n">
        <x:v>1.5248722841192</x:v>
      </x:c>
      <x:c r="F36" s="37" t="n">
        <x:v>-0.23613196474653875</x:v>
      </x:c>
      <x:c r="G36" s="37" t="n">
        <x:v>4.321368337264389</x:v>
      </x:c>
    </x:row>
    <x:row r="37">
      <x:c r="A37" s="15" t="str">
        <x:v>2026-02-26</x:v>
      </x:c>
      <x:c r="B37" s="37" t="n">
        <x:v>4.725897647607565</x:v>
      </x:c>
      <x:c r="C37" s="37" t="n">
        <x:v>2.2447471715691902</x:v>
      </x:c>
      <x:c r="D37" s="37" t="n">
        <x:v>0.85387422351237</x:v>
      </x:c>
      <x:c r="E37" s="37" t="n">
        <x:v>0.76291682522718</x:v>
      </x:c>
      <x:c r="F37" s="37" t="n">
        <x:v>2.403092068248791</x:v>
      </x:c>
      <x:c r="G37" s="37" t="n">
        <x:v>1.4374414626533734</x:v>
      </x:c>
    </x:row>
    <x:row r="38">
      <x:c r="A38" s="15" t="str">
        <x:v>2026-02-27</x:v>
      </x:c>
      <x:c r="B38" s="37" t="n">
        <x:v>-3.3238664845558916</x:v>
      </x:c>
      <x:c r="C38" s="37" t="n">
        <x:v>-1.168872291672845</x:v>
      </x:c>
      <x:c r="D38" s="37" t="n">
        <x:v>0.14525546703473</x:v>
      </x:c>
      <x:c r="E38" s="37" t="n">
        <x:v>0.82710122855261</x:v>
      </x:c>
      <x:c r="F38" s="37" t="n">
        <x:v>-2.549588740288955</x:v>
      </x:c>
      <x:c r="G38" s="37" t="n">
        <x:v>-1.9232014578478747</x:v>
      </x:c>
    </x:row>
    <x:row r="39">
      <x:c r="A39" s="15" t="str">
        <x:v>2026-03-02</x:v>
      </x:c>
      <x:c r="B39" s="37" t="n">
        <x:v>1.9043671296294633</x:v>
      </x:c>
      <x:c r="C39" s="37" t="n">
        <x:v>-1.4621989719206163</x:v>
      </x:c>
      <x:c r="D39" s="37" t="n">
        <x:v>-1.5625764437006</x:v>
      </x:c>
      <x:c r="E39" s="37" t="n">
        <x:v>-0.97979015688794</x:v>
      </x:c>
      <x:c r="F39" s="37" t="n">
        <x:v>2.9935043403805928</x:v>
      </x:c>
      <x:c r="G39" s="37" t="n">
        <x:v>-1.521930274569742</x:v>
      </x:c>
    </x:row>
    <x:row r="40">
      <x:c r="A40" s="15" t="str">
        <x:v>2026-03-03</x:v>
      </x:c>
      <x:c r="B40" s="37" t="n">
        <x:v>-2.245823373632634</x:v>
      </x:c>
      <x:c r="C40" s="37" t="n">
        <x:v>-5.501611739942939</x:v>
      </x:c>
      <x:c r="D40" s="37" t="n">
        <x:v>-5.2132492729072</x:v>
      </x:c>
      <x:c r="E40" s="37" t="n">
        <x:v>-3.946119867193</x:v>
      </x:c>
      <x:c r="F40" s="37" t="n">
        <x:v>-1.7657301938014291</x:v>
      </x:c>
      <x:c r="G40" s="37" t="n">
        <x:v>-4.956437888794167</x:v>
      </x:c>
    </x:row>
    <x:row r="41">
      <x:c r="A41" s="15" t="str">
        <x:v>2026-03-04</x:v>
      </x:c>
      <x:c r="B41" s="37" t="n">
        <x:v>-0.9720953588114669</x:v>
      </x:c>
      <x:c r="C41" s="37" t="n">
        <x:v>-0.5040508944101321</x:v>
      </x:c>
      <x:c r="D41" s="37" t="n">
        <x:v>-0.493449519036</x:v>
      </x:c>
      <x:c r="E41" s="37" t="n">
        <x:v>-0.58871073975268</x:v>
      </x:c>
      <x:c r="F41" s="37" t="n">
        <x:v>-1.2171964654604683</x:v>
      </x:c>
      <x:c r="G41" s="37" t="n">
        <x:v>-0.597144537405799</x:v>
      </x:c>
    </x:row>
    <x:row r="42">
      <x:c r="A42" s="15" t="str">
        <x:v>2026-03-05</x:v>
      </x:c>
      <x:c r="B42" s="37" t="n">
        <x:v>1.2412818180871887</x:v>
      </x:c>
      <x:c r="C42" s="37" t="n">
        <x:v>2.169708675157267</x:v>
      </x:c>
      <x:c r="D42" s="37" t="n">
        <x:v>1.7223303770583</x:v>
      </x:c>
      <x:c r="E42" s="37" t="n">
        <x:v>0.94633302638898</x:v>
      </x:c>
      <x:c r="F42" s="37" t="n">
        <x:v>0.7808888039389505</x:v>
      </x:c>
      <x:c r="G42" s="37" t="n">
        <x:v>1.628491653420235</x:v>
      </x:c>
    </x:row>
    <x:row r="43">
      <x:c r="A43" s="15" t="str">
        <x:v>2026-03-06</x:v>
      </x:c>
      <x:c r="B43" s="37" t="n">
        <x:v>-1.254503376492213</x:v>
      </x:c>
      <x:c r="C43" s="37" t="n">
        <x:v>-0.8607831011838799</x:v>
      </x:c>
      <x:c r="D43" s="37" t="n">
        <x:v>0.64331861295529</x:v>
      </x:c>
      <x:c r="E43" s="37" t="n">
        <x:v>0.95136903763762</x:v>
      </x:c>
      <x:c r="F43" s="37" t="n">
        <x:v>-1.2238464882756983</x:v>
      </x:c>
      <x:c r="G43" s="37" t="n">
        <x:v>-1.2980329063309444</x:v>
      </x:c>
    </x:row>
    <x:row r="44">
      <x:c r="A44" s="15" t="str">
        <x:v>2026-03-09</x:v>
      </x:c>
      <x:c r="B44" s="37" t="n">
        <x:v>-3.0459228641686096</x:v>
      </x:c>
      <x:c r="C44" s="37" t="n">
        <x:v>-1.14490701193984</x:v>
      </x:c>
      <x:c r="D44" s="37" t="n">
        <x:v>-1.6905964623868</x:v>
      </x:c>
      <x:c r="E44" s="37" t="n">
        <x:v>-0.54538708266354</x:v>
      </x:c>
      <x:c r="F44" s="37" t="n">
        <x:v>-3.3907709007330866</x:v>
      </x:c>
      <x:c r="G44" s="37" t="n">
        <x:v>-2.3355631742207708</x:v>
      </x:c>
    </x:row>
    <x:row r="45">
      <x:c r="A45" s="15" t="str">
        <x:v>2026-03-10</x:v>
      </x:c>
      <x:c r="B45" s="37" t="n">
        <x:v>6.47491166992395</x:v>
      </x:c>
      <x:c r="C45" s="37" t="n">
        <x:v>1.935111958323975</x:v>
      </x:c>
      <x:c r="D45" s="37" t="n">
        <x:v>2.161566063466</x:v>
      </x:c>
      <x:c r="E45" s="37" t="n">
        <x:v>1.7823408119635</x:v>
      </x:c>
      <x:c r="F45" s="37" t="n">
        <x:v>6.568452991416218</x:v>
      </x:c>
      <x:c r="G45" s="37" t="n">
        <x:v>2.0523716841924924</x:v>
      </x:c>
    </x:row>
    <x:row r="46">
      <x:c r="A46" s="15" t="str">
        <x:v>2026-03-11</x:v>
      </x:c>
      <x:c r="B46" s="37" t="n">
        <x:v>-1.0660429027326888</x:v>
      </x:c>
      <x:c r="C46" s="37" t="n">
        <x:v>-1.3730316353594618</x:v>
      </x:c>
      <x:c r="D46" s="37" t="n">
        <x:v>-1.3695226064927</x:v>
      </x:c>
      <x:c r="E46" s="37" t="n">
        <x:v>0.16091563855795</x:v>
      </x:c>
      <x:c r="F46" s="37" t="n">
        <x:v>-0.009911682538382705</x:v>
      </x:c>
      <x:c r="G46" s="37" t="n">
        <x:v>-1.5363319762541092</x:v>
      </x:c>
    </x:row>
    <x:row r="47">
      <x:c r="A47" s="15" t="str">
        <x:v>2026-03-12</x:v>
      </x:c>
      <x:c r="B47" s="37" t="n">
        <x:v>-1.257706352867125</x:v>
      </x:c>
      <x:c r="C47" s="37" t="n">
        <x:v>-0.8909534685084871</x:v>
      </x:c>
      <x:c r="D47" s="37" t="n">
        <x:v>-1.2441721917926</x:v>
      </x:c>
      <x:c r="E47" s="37" t="n">
        <x:v>-0.33022434962898</x:v>
      </x:c>
      <x:c r="F47" s="37" t="n">
        <x:v>-1.6462286227167389</x:v>
      </x:c>
      <x:c r="G47" s="37" t="n">
        <x:v>-1.3216718969350283</x:v>
      </x:c>
    </x:row>
    <x:row r="48">
      <x:c r="A48" s="15" t="str">
        <x:v>2026-03-13</x:v>
      </x:c>
      <x:c r="B48" s="37" t="n">
        <x:v>0.9831224410563453</x:v>
      </x:c>
      <x:c r="C48" s="37" t="n">
        <x:v>-1.309359509597591</x:v>
      </x:c>
      <x:c r="D48" s="37" t="n">
        <x:v>-0.72393909943993</x:v>
      </x:c>
      <x:c r="E48" s="37" t="n">
        <x:v>-1.4589316834814</x:v>
      </x:c>
      <x:c r="F48" s="37" t="n">
        <x:v>-0.7155840262835944</x:v>
      </x:c>
      <x:c r="G48" s="37" t="n">
        <x:v>-1.2904078704583322</x:v>
      </x:c>
    </x:row>
    <x:row r="49">
      <x:c r="A49" s="15" t="str">
        <x:v>2026-03-16</x:v>
      </x:c>
      <x:c r="B49" s="37" t="n">
        <x:v>2.8242066624147624</x:v>
      </x:c>
      <x:c r="C49" s="37" t="n">
        <x:v>0.2704367577384771</x:v>
      </x:c>
      <x:c r="D49" s="37" t="n">
        <x:v>0.82634730974847</x:v>
      </x:c>
      <x:c r="E49" s="37" t="n">
        <x:v>-0.035802230857973</x:v>
      </x:c>
      <x:c r="F49" s="37" t="n">
        <x:v>1.1374050521109291</x:v>
      </x:c>
      <x:c r="G49" s="37" t="n">
        <x:v>1.4469946054604055</x:v>
      </x:c>
    </x:row>
    <x:row r="50">
      <x:c r="A50" s="15" t="str">
        <x:v>2026-03-17</x:v>
      </x:c>
      <x:c r="B50" s="37" t="n">
        <x:v>-4.08254173510724</x:v>
      </x:c>
      <x:c r="C50" s="37" t="n">
        <x:v>-2.238661497302922</x:v>
      </x:c>
      <x:c r="D50" s="37" t="n">
        <x:v>-2.2262527468679</x:v>
      </x:c>
      <x:c r="E50" s="37" t="n">
        <x:v>-2.3320740238175</x:v>
      </x:c>
      <x:c r="F50" s="37" t="n">
        <x:v>-6.025866024723592</x:v>
      </x:c>
      <x:c r="G50" s="37" t="n">
        <x:v>-2.64314392743394</x:v>
      </x:c>
    </x:row>
    <x:row r="51">
      <x:c r="A51" s="15" t="str">
        <x:v>2026-03-18</x:v>
      </x:c>
      <x:c r="B51" s="37" t="n">
        <x:v>4.17592499059281</x:v>
      </x:c>
      <x:c r="C51" s="37" t="n">
        <x:v>2.5526928718405815</x:v>
      </x:c>
      <x:c r="D51" s="37" t="n">
        <x:v>1.3604959911478</x:v>
      </x:c>
      <x:c r="E51" s="37" t="n">
        <x:v>0.95684874377247</x:v>
      </x:c>
      <x:c r="F51" s="37" t="n">
        <x:v>4.4720779177346515</x:v>
      </x:c>
      <x:c r="G51" s="37" t="n">
        <x:v>1.9086519234021642</x:v>
      </x:c>
    </x:row>
    <x:row r="52">
      <x:c r="A52" s="15" t="str">
        <x:v>2026-03-19</x:v>
      </x:c>
      <x:c r="B52" s="37" t="n">
        <x:v>-0.8121717302863839</x:v>
      </x:c>
      <x:c r="C52" s="37" t="n">
        <x:v>-2.467426085162434</x:v>
      </x:c>
      <x:c r="D52" s="37" t="n">
        <x:v>-2.4437619647256</x:v>
      </x:c>
      <x:c r="E52" s="37" t="n">
        <x:v>-2.3140654142653</x:v>
      </x:c>
      <x:c r="F52" s="37" t="n">
        <x:v>-0.4723570636290253</x:v>
      </x:c>
      <x:c r="G52" s="37" t="n">
        <x:v>-2.436160340106474</x:v>
      </x:c>
    </x:row>
    <x:row r="53">
      <x:c r="A53" s="15" t="str">
        <x:v>2026-03-20</x:v>
      </x:c>
      <x:c r="B53" s="37" t="n">
        <x:v>3.215629834454627</x:v>
      </x:c>
      <x:c r="C53" s="37" t="n">
        <x:v>-0.18572901547362503</x:v>
      </x:c>
      <x:c r="D53" s="37" t="n">
        <x:v>-1.5478696991913</x:v>
      </x:c>
      <x:c r="E53" s="37" t="n">
        <x:v>-1.59054334754</x:v>
      </x:c>
      <x:c r="F53" s="37" t="n">
        <x:v>3.8428567050844187</x:v>
      </x:c>
      <x:c r="G53" s="37" t="n">
        <x:v>-0.06685552705188631</x:v>
      </x:c>
    </x:row>
    <x:row r="54">
      <x:c r="A54" s="15" t="str">
        <x:v>2026-03-23</x:v>
      </x:c>
      <x:c r="B54" s="37" t="n">
        <x:v>-5.662947636082561</x:v>
      </x:c>
      <x:c r="C54" s="37" t="n">
        <x:v>-4.45967419544535</x:v>
      </x:c>
      <x:c r="D54" s="37" t="n">
        <x:v>-4.3138421281713</x:v>
      </x:c>
      <x:c r="E54" s="37" t="n">
        <x:v>-4.809286954236</x:v>
      </x:c>
      <x:c r="F54" s="37" t="n">
        <x:v>-4.69879289672408</x:v>
      </x:c>
      <x:c r="G54" s="37" t="n">
        <x:v>-4.2674537899230005</x:v>
      </x:c>
    </x:row>
    <x:row r="55">
      <x:c r="A55" s="15" t="str">
        <x:v>2026-03-24</x:v>
      </x:c>
      <x:c r="B55" s="37" t="n">
        <x:v>1.9329753145653725</x:v>
      </x:c>
      <x:c r="C55" s="37" t="n">
        <x:v>2.4350151194165104</x:v>
      </x:c>
      <x:c r="D55" s="37" t="n">
        <x:v>2.3269876903156</x:v>
      </x:c>
      <x:c r="E55" s="37" t="n">
        <x:v>2.588032608735</x:v>
      </x:c>
      <x:c r="F55" s="37" t="n">
        <x:v>2.5658308690057474</x:v>
      </x:c>
      <x:c r="G55" s="37" t="n">
        <x:v>2.1756081937519767</x:v>
      </x:c>
    </x:row>
    <x:row r="56">
      <x:c r="A56" s="15" t="str">
        <x:v>2026-03-25</x:v>
      </x:c>
      <x:c r="B56" s="37" t="n">
        <x:v>2.913216872711635</x:v>
      </x:c>
      <x:c r="C56" s="37" t="n">
        <x:v>2.3108389305498998</x:v>
      </x:c>
      <x:c r="D56" s="37" t="n">
        <x:v>1.9074347578447</x:v>
      </x:c>
      <x:c r="E56" s="37" t="n">
        <x:v>1.9777243799972</x:v>
      </x:c>
      <x:c r="F56" s="37" t="n">
        <x:v>4.507107925831355</x:v>
      </x:c>
      <x:c r="G56" s="37" t="n">
        <x:v>2.254486151937122</x:v>
      </x:c>
    </x:row>
    <x:row r="57">
      <x:c r="A57" s="15" t="str">
        <x:v>2026-03-26</x:v>
      </x:c>
      <x:c r="B57" s="37" t="n">
        <x:v>-2.0201930847984273</x:v>
      </x:c>
      <x:c r="C57" s="37" t="n">
        <x:v>-1.6312063898669902</x:v>
      </x:c>
      <x:c r="D57" s="37" t="n">
        <x:v>-2.0225523223823</x:v>
      </x:c>
      <x:c r="E57" s="37" t="n">
        <x:v>-1.4424215025094</x:v>
      </x:c>
      <x:c r="F57" s="37" t="n">
        <x:v>-1.5423969387575232</x:v>
      </x:c>
      <x:c r="G57" s="37" t="n">
        <x:v>-1.9988610833169826</x:v>
      </x:c>
    </x:row>
    <x:row r="58">
      <x:c r="A58" s="15" t="str">
        <x:v>2026-03-27</x:v>
      </x:c>
      <x:c r="B58" s="37" t="n">
        <x:v>-1.3706064446893298</x:v>
      </x:c>
      <x:c r="C58" s="37" t="n">
        <x:v>1.0108512345977825</x:v>
      </x:c>
      <x:c r="D58" s="37" t="n">
        <x:v>0.9271129981961</x:v>
      </x:c>
      <x:c r="E58" s="37" t="n">
        <x:v>1.3998119375244</x:v>
      </x:c>
      <x:c r="F58" s="37" t="n">
        <x:v>0.1821889720430847</x:v>
      </x:c>
      <x:c r="G58" s="37" t="n">
        <x:v>1.985290665037165</x:v>
      </x:c>
    </x:row>
    <x:row r="59">
      <x:c r="A59" s="15" t="str">
        <x:v>2026-03-30</x:v>
      </x:c>
      <x:c r="B59" s="37" t="n">
        <x:v>-0.43642800029053797</x:v>
      </x:c>
      <x:c r="C59" s="37" t="n">
        <x:v>1.25583957050478</x:v>
      </x:c>
      <x:c r="D59" s="37" t="n">
        <x:v>-0.84380929244225</x:v>
      </x:c>
      <x:c r="E59" s="37" t="n">
        <x:v>0.27906179005338</x:v>
      </x:c>
      <x:c r="F59" s="37" t="n">
        <x:v>1.0422909652516799</x:v>
      </x:c>
      <x:c r="G59" s="37" t="n">
        <x:v>2.2939682506889048</x:v>
      </x:c>
    </x:row>
    <x:row r="60">
      <x:c r="A60" s="15" t="str">
        <x:v>2026-03-31</x:v>
      </x:c>
      <x:c r="B60" s="37" t="n">
        <x:v>-2.3237404440301703</x:v>
      </x:c>
      <x:c r="C60" s="37" t="n">
        <x:v>-3.2462051003977797</x:v>
      </x:c>
      <x:c r="D60" s="37" t="n">
        <x:v>-2.5937134554952</x:v>
      </x:c>
      <x:c r="E60" s="37" t="n">
        <x:v>-1.9062967623769</x:v>
      </x:c>
      <x:c r="F60" s="37" t="n">
        <x:v>-2.886972931506737</x:v>
      </x:c>
      <x:c r="G60" s="37" t="n">
        <x:v>-3.731555682688755</x:v>
      </x:c>
    </x:row>
    <x:row r="61">
      <x:c r="A61" s="15" t="str">
        <x:v>2026-04-01</x:v>
      </x:c>
      <x:c r="B61" s="37" t="n">
        <x:v>4.495075414096639</x:v>
      </x:c>
      <x:c r="C61" s="37" t="n">
        <x:v>2.856407193126249</x:v>
      </x:c>
      <x:c r="D61" s="37" t="n">
        <x:v>3.3328268303417</x:v>
      </x:c>
      <x:c r="E61" s="37" t="n">
        <x:v>1.8937668631102</x:v>
      </x:c>
      <x:c r="F61" s="37" t="n">
        <x:v>4.299873949969257</x:v>
      </x:c>
      <x:c r="G61" s="37" t="n">
        <x:v>2.1567121079183162</x:v>
      </x:c>
    </x:row>
    <x:row r="62">
      <x:c r="A62" s="15" t="str">
        <x:v>2026-04-02</x:v>
      </x:c>
      <x:c r="B62" s="37" t="n">
        <x:v>-2.9704858425490017</x:v>
      </x:c>
      <x:c r="C62" s="37" t="n">
        <x:v>-3.8563128457785902</x:v>
      </x:c>
      <x:c r="D62" s="37" t="n">
        <x:v>-2.7743531591981</x:v>
      </x:c>
      <x:c r="E62" s="37" t="n">
        <x:v>-1.8126344118048</x:v>
      </x:c>
      <x:c r="F62" s="37" t="n">
        <x:v>-1.6887902410599787</x:v>
      </x:c>
      <x:c r="G62" s="37" t="n">
        <x:v>-3.6878695067532017</x:v>
      </x:c>
    </x:row>
    <x:row r="63">
      <x:c r="A63" s="15" t="str">
        <x:v>2026-04-03</x:v>
      </x:c>
      <x:c r="B63" s="37" t="n">
        <x:v>2.177697247205335</x:v>
      </x:c>
      <x:c r="C63" s="37" t="n">
        <x:v>-0.17409504852767604</x:v>
      </x:c>
      <x:c r="D63" s="37" t="n">
        <x:v>-0.47308568537884</x:v>
      </x:c>
      <x:c r="E63" s="37" t="n">
        <x:v>-1.138818751193</x:v>
      </x:c>
      <x:c r="F63" s="37" t="n">
        <x:v>3.841636641202628</x:v>
      </x:c>
      <x:c r="G63" s="37" t="n">
        <x:v>-0.2454034625708109</x:v>
      </x:c>
    </x:row>
    <x:row r="64">
      <x:c r="A64" s="15" t="str">
        <x:v>2026-04-07</x:v>
      </x:c>
      <x:c r="B64" s="37" t="n">
        <x:v>0.28075300761262295</x:v>
      </x:c>
      <x:c r="C64" s="37" t="n">
        <x:v>1.4787909831121184</x:v>
      </x:c>
      <x:c r="D64" s="37" t="n">
        <x:v>1.4172945405718</x:v>
      </x:c>
      <x:c r="E64" s="37" t="n">
        <x:v>0.92106123346152</x:v>
      </x:c>
      <x:c r="F64" s="37" t="n">
        <x:v>0.15476664787482663</x:v>
      </x:c>
      <x:c r="G64" s="37" t="n">
        <x:v>0.9018056243693895</x:v>
      </x:c>
    </x:row>
    <x:row r="65">
      <x:c r="A65" s="15" t="str">
        <x:v>2026-04-08</x:v>
      </x:c>
      <x:c r="B65" s="37" t="n">
        <x:v>8.08188124444714</x:v>
      </x:c>
      <x:c r="C65" s="37" t="n">
        <x:v>7.150761947506579</x:v>
      </x:c>
      <x:c r="D65" s="37" t="n">
        <x:v>6.175353577216</x:v>
      </x:c>
      <x:c r="E65" s="37" t="n">
        <x:v>4.5983570427653</x:v>
      </x:c>
      <x:c r="F65" s="37" t="n">
        <x:v>6.869417733775163</x:v>
      </x:c>
      <x:c r="G65" s="37" t="n">
        <x:v>7.090867165435781</x:v>
      </x:c>
    </x:row>
    <x:row r="66">
      <x:c r="A66" s="15" t="str">
        <x:v>2026-04-09</x:v>
      </x:c>
      <x:c r="B66" s="37" t="n">
        <x:v>0.6965330442938102</x:v>
      </x:c>
      <x:c r="C66" s="37" t="n">
        <x:v>2.127169436907977</x:v>
      </x:c>
      <x:c r="D66" s="37" t="n">
        <x:v>-0.64635680593046</x:v>
      </x:c>
      <x:c r="E66" s="37" t="n">
        <x:v>-0.43140898872823</x:v>
      </x:c>
      <x:c r="F66" s="37" t="n">
        <x:v>1.7578977654004624</x:v>
      </x:c>
      <x:c r="G66" s="37" t="n">
        <x:v>1.1444959253044857</x:v>
      </x:c>
    </x:row>
    <x:row r="67">
      <x:c r="A67" s="15" t="str">
        <x:v>2026-04-10</x:v>
      </x:c>
      <x:c r="B67" s="37" t="n">
        <x:v>4.81109636581073</x:v>
      </x:c>
      <x:c r="C67" s="37" t="n">
        <x:v>1.617504598812787</x:v>
      </x:c>
      <x:c r="D67" s="37" t="n">
        <x:v>1.5289600134291</x:v>
      </x:c>
      <x:c r="E67" s="37" t="n">
        <x:v>0.96933685028359</x:v>
      </x:c>
      <x:c r="F67" s="37" t="n">
        <x:v>2.8426860838833945</x:v>
      </x:c>
      <x:c r="G67" s="37" t="n">
        <x:v>1.0422553606115474</x:v>
      </x:c>
    </x:row>
    <x:row r="68">
      <x:c r="A68" s="15" t="str">
        <x:v>2026-04-13</x:v>
      </x:c>
      <x:c r="B68" s="37" t="n">
        <x:v>0.957205788155931</x:v>
      </x:c>
      <x:c r="C68" s="37" t="n">
        <x:v>0.084500628149175</x:v>
      </x:c>
      <x:c r="D68" s="37" t="n">
        <x:v>0.7909668532217</x:v>
      </x:c>
      <x:c r="E68" s="37" t="n">
        <x:v>0.34183054455035</x:v>
      </x:c>
      <x:c r="F68" s="37" t="n">
        <x:v>0.48916344344523965</x:v>
      </x:c>
      <x:c r="G68" s="37" t="n">
        <x:v>-1.3701216073475628</x:v>
      </x:c>
    </x:row>
    <x:row r="69">
      <x:c r="A69" s="15" t="str">
        <x:v>2026-04-14</x:v>
      </x:c>
      <x:c r="B69" s="37" t="n">
        <x:v>3.004732443103616</x:v>
      </x:c>
      <x:c r="C69" s="37" t="n">
        <x:v>2.340254991851931</x:v>
      </x:c>
      <x:c r="D69" s="37" t="n">
        <x:v>2.165729298889</x:v>
      </x:c>
      <x:c r="E69" s="37" t="n">
        <x:v>1.4851252229685</x:v>
      </x:c>
      <x:c r="F69" s="37" t="n">
        <x:v>1.2230910760820723</x:v>
      </x:c>
      <x:c r="G69" s="37" t="n">
        <x:v>3.331430556079481</x:v>
      </x:c>
    </x:row>
    <x:row r="70">
      <x:c r="A70" s="15" t="str">
        <x:v>2026-04-15</x:v>
      </x:c>
      <x:c r="B70" s="37" t="n">
        <x:v>-1.771710166179028</x:v>
      </x:c>
      <x:c r="C70" s="37" t="n">
        <x:v>-0.085806507889351</x:v>
      </x:c>
      <x:c r="D70" s="37" t="n">
        <x:v>0.088970510627814</x:v>
      </x:c>
      <x:c r="E70" s="37" t="n">
        <x:v>-0.47389474428118</x:v>
      </x:c>
      <x:c r="F70" s="37" t="n">
        <x:v>-0.6273689831913731</x:v>
      </x:c>
      <x:c r="G70" s="37" t="n">
        <x:v>-1.25860323874184</x:v>
      </x:c>
    </x:row>
    <x:row r="71">
      <x:c r="A71" s="15" t="str">
        <x:v>2026-04-16</x:v>
      </x:c>
      <x:c r="B71" s="37" t="n">
        <x:v>3.3680288234362097</x:v>
      </x:c>
      <x:c r="C71" s="37" t="n">
        <x:v>1.6173272812351178</x:v>
      </x:c>
      <x:c r="D71" s="37" t="n">
        <x:v>1.1309782166593</x:v>
      </x:c>
      <x:c r="E71" s="37" t="n">
        <x:v>1.5644735365971</x:v>
      </x:c>
      <x:c r="F71" s="37" t="n">
        <x:v>2.850016820150547</x:v>
      </x:c>
      <x:c r="G71" s="37" t="n">
        <x:v>1.2428251344405616</x:v>
      </x:c>
    </x:row>
    <x:row r="72">
      <x:c r="A72" s="15" t="str">
        <x:v>2026-04-17</x:v>
      </x:c>
      <x:c r="B72" s="37" t="n">
        <x:v>5.629088535877703</x:v>
      </x:c>
      <x:c r="C72" s="37" t="n">
        <x:v>-0.1492444958745462</x:v>
      </x:c>
      <x:c r="D72" s="37" t="n">
        <x:v>0.079002826270572</x:v>
      </x:c>
      <x:c r="E72" s="37" t="n">
        <x:v>0.9043222411939</x:v>
      </x:c>
      <x:c r="F72" s="37" t="n">
        <x:v>5.429419276854919</x:v>
      </x:c>
      <x:c r="G72" s="37" t="n">
        <x:v>-0.25726071527490957</x:v>
      </x:c>
    </x:row>
    <x:row r="73">
      <x:c r="A73" s="15" t="str">
        <x:v>2026-04-20</x:v>
      </x:c>
      <x:c r="B73" s="37" t="n">
        <x:v>-0.013958538000311016</x:v>
      </x:c>
      <x:c r="C73" s="37" t="n">
        <x:v>1.2446162558074105</x:v>
      </x:c>
      <x:c r="D73" s="37" t="n">
        <x:v>1.9088542588786</x:v>
      </x:c>
      <x:c r="E73" s="37" t="n">
        <x:v>0.60641814626776</x:v>
      </x:c>
      <x:c r="F73" s="37" t="n">
        <x:v>-0.07132670412248743</x:v>
      </x:c>
      <x:c r="G73" s="37" t="n">
        <x:v>0.6015403083466042</x:v>
      </x:c>
    </x:row>
    <x:row r="74">
      <x:c r="A74" s="15" t="str">
        <x:v>2026-04-21</x:v>
      </x:c>
      <x:c r="B74" s="37" t="n">
        <x:v>0.528680370210368</x:v>
      </x:c>
      <x:c r="C74" s="37" t="n">
        <x:v>-2.790534236056394</x:v>
      </x:c>
      <x:c r="D74" s="37" t="n">
        <x:v>-1.6438439459921</x:v>
      </x:c>
      <x:c r="E74" s="37" t="n">
        <x:v>-0.07966078306671</x:v>
      </x:c>
      <x:c r="F74" s="37" t="n">
        <x:v>1.4302286473361958</x:v>
      </x:c>
      <x:c r="G74" s="37" t="n">
        <x:v>-1.7111319479840608</x:v>
      </x:c>
    </x:row>
    <x:row r="75">
      <x:c r="A75" s="15" t="str">
        <x:v>2026-04-22</x:v>
      </x:c>
      <x:c r="B75" s="37" t="n">
        <x:v>5.29277252833197</x:v>
      </x:c>
      <x:c r="C75" s="37" t="n">
        <x:v>3.1621575625597265</x:v>
      </x:c>
      <x:c r="D75" s="37" t="n">
        <x:v>1.7146142300224</x:v>
      </x:c>
      <x:c r="E75" s="37" t="n">
        <x:v>1.5576729736578</x:v>
      </x:c>
      <x:c r="F75" s="37" t="n">
        <x:v>5.066198835808011</x:v>
      </x:c>
      <x:c r="G75" s="37" t="n">
        <x:v>3.1948644294711226</x:v>
      </x:c>
    </x:row>
    <x:row r="76">
      <x:c r="A76" s="15" t="str">
        <x:v>2026-04-23</x:v>
      </x:c>
      <x:c r="B76" s="37" t="n">
        <x:v>-1.2993166574923278</x:v>
      </x:c>
      <x:c r="C76" s="37" t="n">
        <x:v>-1.044269632870664</x:v>
      </x:c>
      <x:c r="D76" s="37" t="n">
        <x:v>-1.2780447022772</x:v>
      </x:c>
      <x:c r="E76" s="37" t="n">
        <x:v>-1.3971955066899</x:v>
      </x:c>
      <x:c r="F76" s="37" t="n">
        <x:v>-1.7051624835320023</x:v>
      </x:c>
      <x:c r="G76" s="37" t="n">
        <x:v>-1.6545931157706084</x:v>
      </x:c>
    </x:row>
    <x:row r="77">
      <x:c r="A77" s="15" t="str">
        <x:v>2026-04-24</x:v>
      </x:c>
      <x:c r="B77" s="37" t="n">
        <x:v>-4.52623691893219</x:v>
      </x:c>
      <x:c r="C77" s="37" t="n">
        <x:v>1.766406135145801</x:v>
      </x:c>
      <x:c r="D77" s="37" t="n">
        <x:v>1.4723657615383</x:v>
      </x:c>
      <x:c r="E77" s="37" t="n">
        <x:v>-0.7007152990356</x:v>
      </x:c>
      <x:c r="F77" s="37" t="n">
        <x:v>-2.2817045134537084</x:v>
      </x:c>
      <x:c r="G77" s="37" t="n">
        <x:v>1.2582386825464864</x:v>
      </x:c>
    </x:row>
    <x:row r="78">
      <x:c r="A78" s="15" t="str">
        <x:v>2026-04-27</x:v>
      </x:c>
      <x:c r="B78" s="37" t="n">
        <x:v>0.9698608086622651</x:v>
      </x:c>
      <x:c r="C78" s="37" t="n">
        <x:v>5.563685986373449</x:v>
      </x:c>
      <x:c r="D78" s="37" t="n">
        <x:v>3.7628086517207</x:v>
      </x:c>
      <x:c r="E78" s="37" t="n">
        <x:v>0.4164801532999</x:v>
      </x:c>
      <x:c r="F78" s="37" t="n">
        <x:v>0.2740017902547631</x:v>
      </x:c>
      <x:c r="G78" s="37" t="n">
        <x:v>6.585879133925432</x:v>
      </x:c>
    </x:row>
    <x:row r="79">
      <x:c r="A79" s="15" t="str">
        <x:v>2026-04-28</x:v>
      </x:c>
      <x:c r="B79" s="37" t="n">
        <x:v>-1.432230350469097</x:v>
      </x:c>
      <x:c r="C79" s="37" t="n">
        <x:v>0.0851696700206109</x:v>
      </x:c>
      <x:c r="D79" s="37" t="n">
        <x:v>-1.3076305197454</x:v>
      </x:c>
      <x:c r="E79" s="37" t="n">
        <x:v>-1.3435433178806</x:v>
      </x:c>
      <x:c r="F79" s="37" t="n">
        <x:v>-1.7212469645774386</x:v>
      </x:c>
      <x:c r="G79" s="37" t="n">
        <x:v>-0.21188568550211118</x:v>
      </x:c>
    </x:row>
    <x:row r="80">
      <x:c r="A80" s="15" t="str">
        <x:v>2026-04-29</x:v>
      </x:c>
      <x:c r="B80" s="37" t="n">
        <x:v>1.4330339227497135</x:v>
      </x:c>
      <x:c r="C80" s="37" t="n">
        <x:v>-0.29954366072547717</x:v>
      </x:c>
      <x:c r="D80" s="37" t="n">
        <x:v>0.3253797188305</x:v>
      </x:c>
      <x:c r="E80" s="37" t="n">
        <x:v>1.4145807502527</x:v>
      </x:c>
      <x:c r="F80" s="37" t="n">
        <x:v>0.7640062807781178</x:v>
      </x:c>
      <x:c r="G80" s="37" t="n">
        <x:v>-0.2063584804734527</x:v>
      </x:c>
    </x:row>
    <x:row r="81">
      <x:c r="A81" s="15" t="str">
        <x:v>2026-04-30</x:v>
      </x:c>
      <x:c r="B81" s="37" t="n">
        <x:v>-0.5462797295778719</x:v>
      </x:c>
      <x:c r="C81" s="37" t="n">
        <x:v>4.728689651947011</x:v>
      </x:c>
      <x:c r="D81" s="37" t="n">
        <x:v>5.1932016274474</x:v>
      </x:c>
      <x:c r="E81" s="37" t="n">
        <x:v>0.4660325615822</x:v>
      </x:c>
      <x:c r="F81" s="37" t="n">
        <x:v>0.4693134324636805</x:v>
      </x:c>
      <x:c r="G81" s="37" t="n">
        <x:v>4.698495484406647</x:v>
      </x:c>
    </x:row>
    <x:row r="82">
      <x:c r="A82" s="15" t="str">
        <x:v>2026-05-06</x:v>
      </x:c>
      <x:c r="B82" s="37" t="n">
        <x:v>1.2314987380279583</x:v>
      </x:c>
      <x:c r="C82" s="37" t="n">
        <x:v>4.06027072150181</x:v>
      </x:c>
      <x:c r="D82" s="37" t="n">
        <x:v>5.4664058499927</x:v>
      </x:c>
      <x:c r="E82" s="37" t="n">
        <x:v>2.2979053851036</x:v>
      </x:c>
      <x:c r="F82" s="37" t="n">
        <x:v>2.159737605365586</x:v>
      </x:c>
      <x:c r="G82" s="37" t="n">
        <x:v>2.0531685047521084</x:v>
      </x:c>
    </x:row>
    <x:row r="83">
      <x:c r="A83" s="15" t="str">
        <x:v>2026-05-07</x:v>
      </x:c>
      <x:c r="B83" s="37" t="n">
        <x:v>4.21941973219309</x:v>
      </x:c>
      <x:c r="C83" s="37" t="n">
        <x:v>1.754724699030859</x:v>
      </x:c>
      <x:c r="D83" s="37" t="n">
        <x:v>1.3241952362962</x:v>
      </x:c>
      <x:c r="E83" s="37" t="n">
        <x:v>1.6322046867105</x:v>
      </x:c>
      <x:c r="F83" s="37" t="n">
        <x:v>6.000325946398344</x:v>
      </x:c>
      <x:c r="G83" s="37" t="n">
        <x:v>2.4980845353646495</x:v>
      </x:c>
    </x:row>
    <x:row r="84">
      <x:c r="A84" s="15" t="str">
        <x:v>2026-05-08</x:v>
      </x:c>
      <x:c r="B84" s="37" t="n">
        <x:v>0.02375250600480503</x:v>
      </x:c>
      <x:c r="C84" s="37" t="n">
        <x:v>-2.60711436421956</x:v>
      </x:c>
      <x:c r="D84" s="37" t="n">
        <x:v>-2.2888315546155</x:v>
      </x:c>
      <x:c r="E84" s="37" t="n">
        <x:v>0.30570508267246</x:v>
      </x:c>
      <x:c r="F84" s="37" t="n">
        <x:v>0.7667805113373616</x:v>
      </x:c>
      <x:c r="G84" s="37" t="n">
        <x:v>-2.8459736133553712</x:v>
      </x:c>
    </x:row>
    <x:row r="85">
      <x:c r="A85" s="15" t="str">
        <x:v>2026-05-11</x:v>
      </x:c>
      <x:c r="B85" s="37" t="n">
        <x:v>2.757047177812428</x:v>
      </x:c>
      <x:c r="C85" s="37" t="n">
        <x:v>5.818362683941249</x:v>
      </x:c>
      <x:c r="D85" s="37" t="n">
        <x:v>4.6469335466393</x:v>
      </x:c>
      <x:c r="E85" s="37" t="n">
        <x:v>1.4372078037735</x:v>
      </x:c>
      <x:c r="F85" s="37" t="n">
        <x:v>2.144538608673152</x:v>
      </x:c>
      <x:c r="G85" s="37" t="n">
        <x:v>5.727485738960951</x:v>
      </x:c>
    </x:row>
    <x:row r="86">
      <x:c r="A86" s="15" t="str">
        <x:v>2026-05-12</x:v>
      </x:c>
      <x:c r="B86" s="37" t="n">
        <x:v>2.4574271043087133</x:v>
      </x:c>
      <x:c r="C86" s="37" t="n">
        <x:v>1.7372295320514968</x:v>
      </x:c>
      <x:c r="D86" s="37" t="n">
        <x:v>0.41313191176935</x:v>
      </x:c>
      <x:c r="E86" s="37" t="n">
        <x:v>-0.5062920705187</x:v>
      </x:c>
      <x:c r="F86" s="37" t="n">
        <x:v>2.2913583559382666</x:v>
      </x:c>
      <x:c r="G86" s="37" t="n">
        <x:v>3.0400811749821046</x:v>
      </x:c>
    </x:row>
    <x:row r="87">
      <x:c r="A87" s="15" t="str">
        <x:v>2026-05-13</x:v>
      </x:c>
      <x:c r="B87" s="37" t="n">
        <x:v>4.5481447994475275</x:v>
      </x:c>
      <x:c r="C87" s="37" t="n">
        <x:v>3.48827007768205</x:v>
      </x:c>
      <x:c r="D87" s="37" t="n">
        <x:v>2.6896357524227</x:v>
      </x:c>
      <x:c r="E87" s="37" t="n">
        <x:v>1.5139606066611</x:v>
      </x:c>
      <x:c r="F87" s="37" t="n">
        <x:v>2.162814185122919</x:v>
      </x:c>
      <x:c r="G87" s="37" t="n">
        <x:v>2.968138028972593</x:v>
      </x:c>
    </x:row>
    <x:row r="88">
      <x:c r="A88" s="15" t="str">
        <x:v>2026-05-14</x:v>
      </x:c>
      <x:c r="B88" s="37" t="n">
        <x:v>-2.375003818232188</x:v>
      </x:c>
      <x:c r="C88" s="37" t="n">
        <x:v>-4.253828791396666</x:v>
      </x:c>
      <x:c r="D88" s="37" t="n">
        <x:v>-2.5452065537378</x:v>
      </x:c>
      <x:c r="E88" s="37" t="n">
        <x:v>-1.9735306800365</x:v>
      </x:c>
      <x:c r="F88" s="37" t="n">
        <x:v>-0.7501636405277512</x:v>
      </x:c>
      <x:c r="G88" s="37" t="n">
        <x:v>-2.623015065437395</x:v>
      </x:c>
    </x:row>
    <x:row r="89">
      <x:c r="A89" s="15" t="str">
        <x:v>2026-05-15</x:v>
      </x:c>
      <x:c r="B89" s="37" t="n">
        <x:v>-2.6315453096605097</x:v>
      </x:c>
      <x:c r="C89" s="37" t="n">
        <x:v>1.6933243967311893</x:v>
      </x:c>
      <x:c r="D89" s="37" t="n">
        <x:v>-1.6713299895913</x:v>
      </x:c>
      <x:c r="E89" s="37" t="n">
        <x:v>-1.094183691342</x:v>
      </x:c>
      <x:c r="F89" s="37" t="n">
        <x:v>-2.8765678647303394</x:v>
      </x:c>
      <x:c r="G89" s="37" t="n">
        <x:v>3.867581714723633</x:v>
      </x:c>
    </x:row>
    <x:row r="90">
      <x:c r="A90" s="15" t="str">
        <x:v>2026-05-18</x:v>
      </x:c>
      <x:c r="B90" s="37" t="n">
        <x:v>0.7988034469438281</x:v>
      </x:c>
      <x:c r="C90" s="37" t="n">
        <x:v>0.6948518188437751</x:v>
      </x:c>
      <x:c r="D90" s="37" t="n">
        <x:v>0.80774706159642</x:v>
      </x:c>
      <x:c r="E90" s="37" t="n">
        <x:v>0.43258203920516</x:v>
      </x:c>
      <x:c r="F90" s="37" t="n">
        <x:v>0.5301227749429649</x:v>
      </x:c>
      <x:c r="G90" s="37" t="n">
        <x:v>0.8896994164972286</x:v>
      </x:c>
    </x:row>
    <x:row r="91">
      <x:c r="A91" s="15" t="str">
        <x:v>2026-05-19</x:v>
      </x:c>
      <x:c r="B91" s="37" t="n">
        <x:v>-0.7922398728001381</x:v>
      </x:c>
      <x:c r="C91" s="37" t="n">
        <x:v>4.9200100443305645</x:v>
      </x:c>
      <x:c r="D91" s="37" t="n">
        <x:v>3.8112995096326</x:v>
      </x:c>
      <x:c r="E91" s="37" t="n">
        <x:v>1.0140956186713</x:v>
      </x:c>
      <x:c r="F91" s="37" t="n">
        <x:v>-0.9913634710664254</x:v>
      </x:c>
      <x:c r="G91" s="37" t="n">
        <x:v>4.723169062849515</x:v>
      </x:c>
    </x:row>
    <x:row r="92">
      <x:c r="A92" s="15" t="str">
        <x:v>2026-05-20</x:v>
      </x:c>
      <x:c r="B92" s="37" t="n">
        <x:v>0.434465216411394</x:v>
      </x:c>
      <x:c r="C92" s="37" t="n">
        <x:v>5.8698889734161686</x:v>
      </x:c>
      <x:c r="D92" s="37" t="n">
        <x:v>3.2046867434552</x:v>
      </x:c>
      <x:c r="E92" s="37" t="n">
        <x:v>0.0030084083879128</x:v>
      </x:c>
      <x:c r="F92" s="37" t="n">
        <x:v>1.230609111940173</x:v>
      </x:c>
      <x:c r="G92" s="37" t="n">
        <x:v>6.641965777121306</x:v>
      </x:c>
    </x:row>
    <x:row r="93">
      <x:c r="A93" s="15" t="str">
        <x:v>2026-05-21</x:v>
      </x:c>
      <x:c r="B93" s="37" t="n">
        <x:v>-3.9637549209751377</x:v>
      </x:c>
      <x:c r="C93" s="37" t="n">
        <x:v>-4.24045261073517</x:v>
      </x:c>
      <x:c r="D93" s="37" t="n">
        <x:v>-3.7034271422505</x:v>
      </x:c>
      <x:c r="E93" s="37" t="n">
        <x:v>-3.3876349847844</x:v>
      </x:c>
      <x:c r="F93" s="37" t="n">
        <x:v>-4.882250113927084</x:v>
      </x:c>
      <x:c r="G93" s="37" t="n">
        <x:v>-4.877859648773183</x:v>
      </x:c>
    </x:row>
    <x:row r="94">
      <x:c r="A94" s="15" t="str">
        <x:v>2026-05-22</x:v>
      </x:c>
      <x:c r="B94" s="37" t="n">
        <x:v>6.9888779413801085</x:v>
      </x:c>
      <x:c r="C94" s="37" t="n">
        <x:v>0.8142152730772472</x:v>
      </x:c>
      <x:c r="D94" s="37" t="n">
        <x:v>1.507594713992</x:v>
      </x:c>
      <x:c r="E94" s="37" t="n">
        <x:v>2.1405298149609</x:v>
      </x:c>
      <x:c r="F94" s="37" t="n">
        <x:v>5.656003370165208</x:v>
      </x:c>
      <x:c r="G94" s="37" t="n">
        <x:v>1.1164987316900261</x:v>
      </x:c>
    </x:row>
    <x:row r="95">
      <x:c r="A95" s="15" t="str">
        <x:v>2026-05-25</x:v>
      </x:c>
      <x:c r="B95" s="37" t="n">
        <x:v>5.0015297955166895</x:v>
      </x:c>
      <x:c r="C95" s="37" t="n">
        <x:v>5.86235038370977</x:v>
      </x:c>
      <x:c r="D95" s="37" t="n">
        <x:v>5.8782446220092</x:v>
      </x:c>
      <x:c r="E95" s="37" t="n">
        <x:v>1.2268515336291</x:v>
      </x:c>
      <x:c r="F95" s="37" t="n">
        <x:v>4.110508437431526</x:v>
      </x:c>
      <x:c r="G95" s="37" t="n">
        <x:v>6.07598955239262</x:v>
      </x:c>
    </x:row>
    <x:row r="96">
      <x:c r="A96" s="15" t="str">
        <x:v>2026-05-26</x:v>
      </x:c>
      <x:c r="B96" s="37" t="n">
        <x:v>2.3603193373675877</x:v>
      </x:c>
      <x:c r="C96" s="37" t="n">
        <x:v>-1.5057495746648664</x:v>
      </x:c>
      <x:c r="D96" s="37" t="n">
        <x:v>-1.4940690236567</x:v>
      </x:c>
      <x:c r="E96" s="37" t="n">
        <x:v>-1.2734950765921</x:v>
      </x:c>
      <x:c r="F96" s="37" t="n">
        <x:v>-0.5298446443172511</x:v>
      </x:c>
      <x:c r="G96" s="37" t="n">
        <x:v>-2.011529198275667</x:v>
      </x:c>
    </x:row>
    <x:row r="97">
      <x:c r="A97" s="15" t="str">
        <x:v>2026-05-27</x:v>
      </x:c>
      <x:c r="B97" s="37" t="n">
        <x:v>1.225890082775183</x:v>
      </x:c>
      <x:c r="C97" s="37" t="n">
        <x:v>-4.99465424742581</x:v>
      </x:c>
      <x:c r="D97" s="37" t="n">
        <x:v>-2.7979468748019</x:v>
      </x:c>
      <x:c r="E97" s="37" t="n">
        <x:v>-1.6200587601181</x:v>
      </x:c>
      <x:c r="F97" s="37" t="n">
        <x:v>0.7560448961465016</x:v>
      </x:c>
      <x:c r="G97" s="37" t="n">
        <x:v>-3.7962820211285835</x:v>
      </x:c>
    </x:row>
    <x:row r="98">
      <x:c r="A98" s="15" t="str">
        <x:v>2026-05-28</x:v>
      </x:c>
      <x:c r="B98" s="37" t="n">
        <x:v>2.863615626046548</x:v>
      </x:c>
      <x:c r="C98" s="37" t="n">
        <x:v>0.3322329856720131</x:v>
      </x:c>
      <x:c r="D98" s="37" t="n">
        <x:v>1.5862722398557</x:v>
      </x:c>
      <x:c r="E98" s="37" t="n">
        <x:v>1.06743869916</x:v>
      </x:c>
      <x:c r="F98" s="37" t="n">
        <x:v>3.625042224622521</x:v>
      </x:c>
      <x:c r="G98" s="37" t="n">
        <x:v>1.292660458216588</x:v>
      </x:c>
    </x:row>
    <x:row r="99">
      <x:c r="A99" s="15" t="str">
        <x:v>2026-05-29</x:v>
      </x:c>
      <x:c r="B99" s="37" t="n">
        <x:v>-0.8408378793654381</x:v>
      </x:c>
      <x:c r="C99" s="37" t="n">
        <x:v>-4.63964115673861</x:v>
      </x:c>
      <x:c r="D99" s="37" t="n">
        <x:v>-5.0386843036893</x:v>
      </x:c>
      <x:c r="E99" s="37" t="n">
        <x:v>-2.6512400287899</x:v>
      </x:c>
      <x:c r="F99" s="37" t="n">
        <x:v>-1.2269249337367505</x:v>
      </x:c>
      <x:c r="G99" s="37" t="n">
        <x:v>-5.418674243117206</x:v>
      </x:c>
    </x:row>
    <x:row r="100">
      <x:c r="A100" s="15" t="str">
        <x:v>2026-06-01</x:v>
      </x:c>
      <x:c r="B100" s="37" t="n">
        <x:v>-4.318011550083628</x:v>
      </x:c>
      <x:c r="C100" s="37" t="n">
        <x:v>-5.384547887960841</x:v>
      </x:c>
      <x:c r="D100" s="37" t="n">
        <x:v>-5.0036389623984</x:v>
      </x:c>
      <x:c r="E100" s="37" t="n">
        <x:v>-0.75643476343298</x:v>
      </x:c>
      <x:c r="F100" s="37" t="n">
        <x:v>-5.39823288387557</x:v>
      </x:c>
      <x:c r="G100" s="37" t="n">
        <x:v>-5.2727829965779</x:v>
      </x:c>
    </x:row>
    <x:row r="101">
      <x:c r="A101" s="15" t="str">
        <x:v>2026-06-02</x:v>
      </x:c>
      <x:c r="B101" s="37" t="n">
        <x:v>6.17148906251081</x:v>
      </x:c>
      <x:c r="C101" s="37" t="n">
        <x:v>2.104888944651863</x:v>
      </x:c>
      <x:c r="D101" s="37" t="n">
        <x:v>1.6147505535124</x:v>
      </x:c>
      <x:c r="E101" s="37" t="n">
        <x:v>0.47515262526016</x:v>
      </x:c>
      <x:c r="F101" s="37" t="n">
        <x:v>6.467504907054201</x:v>
      </x:c>
      <x:c r="G101" s="37" t="n">
        <x:v>1.7293615723752283</x:v>
      </x:c>
    </x:row>
    <x:row r="102">
      <x:c r="A102" s="15" t="str">
        <x:v>2026-06-03</x:v>
      </x:c>
      <x:c r="B102" s="37" t="n">
        <x:v>4.562526877686318</x:v>
      </x:c>
      <x:c r="C102" s="37" t="n">
        <x:v>1.721258319604828</x:v>
      </x:c>
      <x:c r="D102" s="37" t="n">
        <x:v>2.1071504201571</x:v>
      </x:c>
      <x:c r="E102" s="37" t="n">
        <x:v>0.57124686807571</x:v>
      </x:c>
      <x:c r="F102" s="37" t="n">
        <x:v>5.43672137072636</x:v>
      </x:c>
      <x:c r="G102" s="37" t="n">
        <x:v>2.6487735174661076</x:v>
      </x:c>
    </x:row>
    <x:row r="103">
      <x:c r="A103" s="15" t="str">
        <x:v>2026-06-04</x:v>
      </x:c>
      <x:c r="B103" s="37" t="n">
        <x:v>0.818826265496946</x:v>
      </x:c>
      <x:c r="C103" s="37" t="n">
        <x:v>0.9354319561175721</x:v>
      </x:c>
      <x:c r="D103" s="37" t="n">
        <x:v>0.68812614392724</x:v>
      </x:c>
      <x:c r="E103" s="37" t="n">
        <x:v>-0.1492337132719</x:v>
      </x:c>
      <x:c r="F103" s="37" t="n">
        <x:v>0.39461012248998006</x:v>
      </x:c>
      <x:c r="G103" s="37" t="n">
        <x:v>3.2328828883051663</x:v>
      </x:c>
    </x:row>
    <x:row r="104">
      <x:c r="A104" s="15" t="str">
        <x:v>2026-06-05</x:v>
      </x:c>
      <x:c r="B104" s="37" t="n">
        <x:v>-5.17170377546251</x:v>
      </x:c>
      <x:c r="C104" s="37" t="n">
        <x:v>-4.323710980177521</x:v>
      </x:c>
      <x:c r="D104" s="37" t="n">
        <x:v>-4.0119353837778</x:v>
      </x:c>
      <x:c r="E104" s="37" t="n">
        <x:v>-0.93979347927991</x:v>
      </x:c>
      <x:c r="F104" s="37" t="n">
        <x:v>-3.1538239221940434</x:v>
      </x:c>
      <x:c r="G104" s="37" t="n">
        <x:v>-4.182838453152674</x:v>
      </x:c>
    </x:row>
    <x:row r="105">
      <x:c r="A105" s="15" t="str">
        <x:v>2026-06-08</x:v>
      </x:c>
      <x:c r="B105" s="37" t="n">
        <x:v>-2.95880449411539</x:v>
      </x:c>
      <x:c r="C105" s="37" t="n">
        <x:v>-3.9788297123256497</x:v>
      </x:c>
      <x:c r="D105" s="37" t="n">
        <x:v>-4.3015194064528</x:v>
      </x:c>
      <x:c r="E105" s="37" t="n">
        <x:v>-3.1135697027601</x:v>
      </x:c>
      <x:c r="F105" s="37" t="n">
        <x:v>-2.6941882678373386</x:v>
      </x:c>
      <x:c r="G105" s="37" t="n">
        <x:v>-3.5418295221357385</x:v>
      </x:c>
    </x:row>
    <x:row r="106">
      <x:c r="A106" s="15" t="str">
        <x:v>2026-06-09</x:v>
      </x:c>
      <x:c r="B106" s="37" t="n">
        <x:v>5.65480495967093</x:v>
      </x:c>
      <x:c r="C106" s="37" t="n">
        <x:v>4.5820398352603195</x:v>
      </x:c>
      <x:c r="D106" s="37" t="n">
        <x:v>4.1679026530448</x:v>
      </x:c>
      <x:c r="E106" s="37" t="n">
        <x:v>2.9381106271355</x:v>
      </x:c>
      <x:c r="F106" s="37" t="n">
        <x:v>5.7421911071849685</x:v>
      </x:c>
      <x:c r="G106" s="37" t="n">
        <x:v>6.5098200018020025</x:v>
      </x:c>
    </x:row>
    <x:row r="107">
      <x:c r="A107" s="15" t="str">
        <x:v>2026-06-10</x:v>
      </x:c>
      <x:c r="B107" s="37" t="n">
        <x:v>-3.5885281108925042</x:v>
      </x:c>
      <x:c r="C107" s="37" t="n">
        <x:v>1.7833407169405493</x:v>
      </x:c>
      <x:c r="D107" s="37" t="n">
        <x:v>-0.65448510317034</x:v>
      </x:c>
      <x:c r="E107" s="37" t="n">
        <x:v>-1.4422281333504</x:v>
      </x:c>
      <x:c r="F107" s="37" t="n">
        <x:v>-3.1679713993124805</x:v>
      </x:c>
      <x:c r="G107" s="37" t="n">
        <x:v>1.1130212676607372</x:v>
      </x:c>
    </x:row>
    <x:row r="108">
      <x:c r="A108" s="15" t="str">
        <x:v>2026-06-11</x:v>
      </x:c>
      <x:c r="B108" s="37" t="n">
        <x:v>-1.489849548586804</x:v>
      </x:c>
      <x:c r="C108" s="37" t="n">
        <x:v>2.0335305847012237</x:v>
      </x:c>
      <x:c r="D108" s="37" t="n">
        <x:v>0.61806990952378</x:v>
      </x:c>
      <x:c r="E108" s="37" t="n">
        <x:v>-0.47895750401721</x:v>
      </x:c>
      <x:c r="F108" s="37" t="n">
        <x:v>-0.030816673023070784</x:v>
      </x:c>
      <x:c r="G108" s="37" t="n">
        <x:v>3.952346648159562</x:v>
      </x:c>
    </x:row>
    <x:row r="109">
      <x:c r="A109" s="15" t="str">
        <x:v>2026-06-12</x:v>
      </x:c>
      <x:c r="B109" s="37" t="n">
        <x:v>-0.24637782824334006</x:v>
      </x:c>
      <x:c r="C109" s="37" t="n">
        <x:v>0.3453215162267186</x:v>
      </x:c>
      <x:c r="D109" s="37" t="n">
        <x:v>0.047237908707463</x:v>
      </x:c>
      <x:c r="E109" s="37" t="n">
        <x:v>0.53121563955474</x:v>
      </x:c>
      <x:c r="F109" s="37" t="n">
        <x:v>-0.7439733746129995</x:v>
      </x:c>
      <x:c r="G109" s="37" t="n">
        <x:v>-0.3449386866890669</x:v>
      </x:c>
    </x:row>
    <x:row r="110">
      <x:c r="A110" s="15" t="str">
        <x:v>2026-06-15</x:v>
      </x:c>
      <x:c r="B110" s="37" t="n">
        <x:v>7.2052619349077505</x:v>
      </x:c>
      <x:c r="C110" s="37" t="n">
        <x:v>5.4793955545458</x:v>
      </x:c>
      <x:c r="D110" s="37" t="n">
        <x:v>5.1168837243727</x:v>
      </x:c>
      <x:c r="E110" s="37" t="n">
        <x:v>3.8820151038442</x:v>
      </x:c>
      <x:c r="F110" s="37" t="n">
        <x:v>8.210968137180942</x:v>
      </x:c>
      <x:c r="G110" s="37" t="n">
        <x:v>4.691547671439866</x:v>
      </x:c>
    </x:row>
    <x:row r="111">
      <x:c r="A111" s="15" t="str">
        <x:v>2026-06-16</x:v>
      </x:c>
      <x:c r="B111" s="37" t="n">
        <x:v>3.9140971017264787</x:v>
      </x:c>
      <x:c r="C111" s="37" t="n">
        <x:v>-0.267330701157166</x:v>
      </x:c>
      <x:c r="D111" s="37" t="n">
        <x:v>0.57758093683194</x:v>
      </x:c>
      <x:c r="E111" s="37" t="n">
        <x:v>1.4689235700984</x:v>
      </x:c>
      <x:c r="F111" s="37" t="n">
        <x:v>4.080296335420264</x:v>
      </x:c>
      <x:c r="G111" s="37" t="n">
        <x:v>0.34538056153009533</x:v>
      </x:c>
    </x:row>
    <x:row r="112">
      <x:c r="A112" s="15" t="str">
        <x:v>2026-06-17</x:v>
      </x:c>
      <x:c r="B112" s="37" t="n">
        <x:v>1.364080952853803</x:v>
      </x:c>
      <x:c r="C112" s="37" t="n">
        <x:v>6.407188169133067</x:v>
      </x:c>
      <x:c r="D112" s="37" t="n">
        <x:v>4.6858255606553</x:v>
      </x:c>
      <x:c r="E112" s="37" t="n">
        <x:v>0.67154280587926</x:v>
      </x:c>
      <x:c r="F112" s="37" t="n">
        <x:v>1.527158641077686</x:v>
      </x:c>
      <x:c r="G112" s="37" t="n">
        <x:v>7.41608440802161</x:v>
      </x:c>
    </x:row>
    <x:row r="113">
      <x:c r="A113" s="15" t="str">
        <x:v>2026-06-18</x:v>
      </x:c>
      <x:c r="B113" s="37" t="n">
        <x:v>3.5412205748050263</x:v>
      </x:c>
      <x:c r="C113" s="37" t="n">
        <x:v>3.1347011669532607</x:v>
      </x:c>
      <x:c r="D113" s="37" t="n">
        <x:v>3.8402482457421</x:v>
      </x:c>
      <x:c r="E113" s="37" t="n">
        <x:v>0.76462688235377</x:v>
      </x:c>
      <x:c r="F113" s="37" t="n">
        <x:v>2.995288691796971</x:v>
      </x:c>
      <x:c r="G113" s="37" t="n">
        <x:v>1.5541884629116727</x:v>
      </x:c>
    </x:row>
    <x:row r="114">
      <x:c r="A114" s="15" t="str">
        <x:v>2026-06-22</x:v>
      </x:c>
      <x:c r="B114" s="37" t="n">
        <x:v>0.720620846952603</x:v>
      </x:c>
      <x:c r="C114" s="37" t="n">
        <x:v>1.8196078325686798</x:v>
      </x:c>
      <x:c r="D114" s="37" t="n">
        <x:v>1.9573445791533</x:v>
      </x:c>
      <x:c r="E114" s="37" t="n">
        <x:v>1.0791396270657</x:v>
      </x:c>
      <x:c r="F114" s="37" t="n">
        <x:v>2.737452510531113</x:v>
      </x:c>
      <x:c r="G114" s="37" t="n">
        <x:v>1.9850213873039497</x:v>
      </x:c>
    </x:row>
    <x:row r="115">
      <x:c r="A115" s="15" t="str">
        <x:v>2026-06-23</x:v>
      </x:c>
      <x:c r="B115" s="37" t="n">
        <x:v>-5.410129560164111</x:v>
      </x:c>
      <x:c r="C115" s="37" t="n">
        <x:v>-0.359337598113153</x:v>
      </x:c>
      <x:c r="D115" s="37" t="n">
        <x:v>-1.6786560776665</x:v>
      </x:c>
      <x:c r="E115" s="37" t="n">
        <x:v>-2.0938877080552</x:v>
      </x:c>
      <x:c r="F115" s="37" t="n">
        <x:v>-3.5118098110278773</x:v>
      </x:c>
      <x:c r="G115" s="37" t="n">
        <x:v>0.647946279129156</x:v>
      </x:c>
    </x:row>
    <x:row r="116">
      <x:c r="A116" s="15" t="str">
        <x:v>2026-06-24</x:v>
      </x:c>
      <x:c r="B116" s="37" t="n">
        <x:v>2.0767123147256448</x:v>
      </x:c>
      <x:c r="C116" s="37" t="n">
        <x:v>5.32990639888568</x:v>
      </x:c>
      <x:c r="D116" s="37" t="n">
        <x:v>3.8207353120529</x:v>
      </x:c>
      <x:c r="E116" s="37" t="n">
        <x:v>1.3069976289392</x:v>
      </x:c>
      <x:c r="F116" s="37" t="n">
        <x:v>2.2546173049237783</x:v>
      </x:c>
      <x:c r="G116" s="37" t="n">
        <x:v>6.7823484380265056</x:v>
      </x:c>
    </x:row>
    <x:row r="117">
      <x:c r="A117" s="15" t="str">
        <x:v>2026-06-25</x:v>
      </x:c>
      <x:c r="B117" s="37" t="n">
        <x:v>3.909068159164679</x:v>
      </x:c>
      <x:c r="C117" s="37" t="n">
        <x:v>4.575529663236254</x:v>
      </x:c>
      <x:c r="D117" s="37" t="n">
        <x:v>3.8656985279722</x:v>
      </x:c>
      <x:c r="E117" s="37" t="n">
        <x:v>0.36883549694611</x:v>
      </x:c>
      <x:c r="F117" s="37" t="n">
        <x:v>3.430197120162115</x:v>
      </x:c>
      <x:c r="G117" s="37" t="n">
        <x:v>2.7411761336418423</x:v>
      </x:c>
    </x:row>
    <x:row r="118">
      <x:c r="A118" s="15" t="str">
        <x:v>2026-06-26</x:v>
      </x:c>
      <x:c r="B118" s="37" t="n">
        <x:v>-6.48053007433313</x:v>
      </x:c>
      <x:c r="C118" s="37" t="n">
        <x:v>0.614633700735949</x:v>
      </x:c>
      <x:c r="D118" s="37" t="n">
        <x:v>-1.6476886639986</x:v>
      </x:c>
      <x:c r="E118" s="37" t="n">
        <x:v>-2.5437869078375</x:v>
      </x:c>
      <x:c r="F118" s="37" t="n">
        <x:v>-5.7427124919548875</x:v>
      </x:c>
      <x:c r="G118" s="37" t="n">
        <x:v>3.1222539734280246</x:v>
      </x:c>
    </x:row>
    <x:row r="119">
      <x:c r="A119" s="15" t="str">
        <x:v>2026-06-29</x:v>
      </x:c>
      <x:c r="B119" s="37" t="n">
        <x:v>-3.0344674541548597</x:v>
      </x:c>
      <x:c r="C119" s="37" t="n">
        <x:v>6.208314002293644</x:v>
      </x:c>
      <x:c r="D119" s="37" t="n">
        <x:v>4.6118697375101</x:v>
      </x:c>
      <x:c r="E119" s="37" t="n">
        <x:v>-0.040857266674075</x:v>
      </x:c>
      <x:c r="F119" s="37" t="n">
        <x:v>-3.073321817533503</x:v>
      </x:c>
      <x:c r="G119" s="37" t="n">
        <x:v>7.673189998468666</x:v>
      </x:c>
    </x:row>
    <x:row r="120">
      <x:c r="A120" s="15" t="str">
        <x:v>2026-06-30</x:v>
      </x:c>
      <x:c r="B120" s="37" t="n">
        <x:v>6.13154343170541</x:v>
      </x:c>
      <x:c r="C120" s="37" t="n">
        <x:v>5.663741154945222</x:v>
      </x:c>
      <x:c r="D120" s="37" t="n">
        <x:v>3.8501362058184</x:v>
      </x:c>
      <x:c r="E120" s="37" t="n">
        <x:v>2.4644723430619</x:v>
      </x:c>
      <x:c r="F120" s="37" t="n">
        <x:v>4.679743220635957</x:v>
      </x:c>
      <x:c r="G120" s="37" t="n">
        <x:v>3.736692809810105</x:v>
      </x:c>
    </x:row>
    <x:row r="121">
      <x:c r="A121" s="15" t="str">
        <x:v>2026-07-01</x:v>
      </x:c>
      <x:c r="B121" s="37" t="n">
        <x:v>-4.935392904588071</x:v>
      </x:c>
      <x:c r="C121" s="37" t="n">
        <x:v>-2.0151803639537778</x:v>
      </x:c>
      <x:c r="D121" s="37" t="n">
        <x:v>-2.4830188877507</x:v>
      </x:c>
      <x:c r="E121" s="37" t="n">
        <x:v>0.75875169679209</x:v>
      </x:c>
      <x:c r="F121" s="37" t="n">
        <x:v>-4.661485327926023</x:v>
      </x:c>
      <x:c r="G121" s="37" t="n">
        <x:v>-0.7606962703678444</x:v>
      </x:c>
    </x:row>
    <x:row r="122">
      <x:c r="A122" s="15" t="str">
        <x:v>2026-07-02</x:v>
      </x:c>
      <x:c r="B122" s="37" t="n">
        <x:v>-8.378327043860448</x:v>
      </x:c>
      <x:c r="C122" s="37" t="n">
        <x:v>-10.001851303575954</x:v>
      </x:c>
      <x:c r="D122" s="37" t="n">
        <x:v>-7.6985035738486</x:v>
      </x:c>
      <x:c r="E122" s="37" t="n">
        <x:v>-2.8309920713945</x:v>
      </x:c>
      <x:c r="F122" s="37" t="n">
        <x:v>-8.464683097247894</x:v>
      </x:c>
      <x:c r="G122" s="37" t="n">
        <x:v>-9.18685667370368</x:v>
      </x:c>
    </x:row>
    <x:row r="123">
      <x:c r="A123" s="15" t="str">
        <x:v>2026-07-03</x:v>
      </x:c>
      <x:c r="B123" s="37" t="n">
        <x:v>2.199403556521242</x:v>
      </x:c>
      <x:c r="C123" s="37" t="n">
        <x:v>-0.9472446146891378</x:v>
      </x:c>
      <x:c r="D123" s="37" t="n">
        <x:v>-0.58828324588597</x:v>
      </x:c>
      <x:c r="E123" s="37" t="n">
        <x:v>-0.052693614076562</x:v>
      </x:c>
      <x:c r="F123" s="37" t="n">
        <x:v>0.21214984266720305</x:v>
      </x:c>
      <x:c r="G123" s="37" t="n">
        <x:v>-2.0225949754934818</x:v>
      </x:c>
    </x:row>
    <x:row r="124">
      <x:c r="A124" s="15" t="str">
        <x:v>2026-07-06</x:v>
      </x:c>
      <x:c r="B124" s="37" t="n">
        <x:v>-2.93795239154689</x:v>
      </x:c>
      <x:c r="C124" s="37" t="n">
        <x:v>1.532776120245563</x:v>
      </x:c>
      <x:c r="D124" s="37" t="n">
        <x:v>1.0378011217959</x:v>
      </x:c>
      <x:c r="E124" s="37" t="n">
        <x:v>-1.7189355507453</x:v>
      </x:c>
      <x:c r="F124" s="37" t="n">
        <x:v>-3.5705864908029517</x:v>
      </x:c>
      <x:c r="G124" s="37" t="n">
        <x:v>0.23022907558577868</x:v>
      </x:c>
    </x:row>
    <x:row r="125">
      <x:c r="A125" s="15" t="str">
        <x:v>2026-07-07</x:v>
      </x:c>
      <x:c r="B125" s="37" t="n">
        <x:v>0.710838007826158</x:v>
      </x:c>
      <x:c r="C125" s="37" t="n">
        <x:v>1.1380476727586082</x:v>
      </x:c>
      <x:c r="D125" s="37" t="n">
        <x:v>0.27468523792035</x:v>
      </x:c>
      <x:c r="E125" s="37" t="n">
        <x:v>-2.0159011821019</x:v>
      </x:c>
      <x:c r="F125" s="37" t="n">
        <x:v>0.4740721761791744</x:v>
      </x:c>
      <x:c r="G125" s="37" t="n">
        <x:v>1.571484362226679</x:v>
      </x:c>
    </x:row>
    <x:row r="126">
      <x:c r="A126" s="15" t="str">
        <x:v>2026-07-08</x:v>
      </x:c>
      <x:c r="B126" s="37" t="n">
        <x:v>-0.806093207245864</x:v>
      </x:c>
      <x:c r="C126" s="37" t="n">
        <x:v>4.741100060802432</x:v>
      </x:c>
      <x:c r="D126" s="37" t="n">
        <x:v>0.73175975110536</x:v>
      </x:c>
      <x:c r="E126" s="37" t="n">
        <x:v>-2.2156968663496</x:v>
      </x:c>
      <x:c r="F126" s="37" t="n">
        <x:v>-1.656106169897209</x:v>
      </x:c>
      <x:c r="G126" s="37" t="n">
        <x:v>3.1704117860341667</x:v>
      </x:c>
    </x:row>
    <x:row r="127">
      <x:c r="A127" s="15" t="str">
        <x:v>2026-07-09</x:v>
      </x:c>
      <x:c r="B127" s="37" t="n">
        <x:v>6.698904949856095</x:v>
      </x:c>
      <x:c r="C127" s="37" t="n">
        <x:v>10.603378969358976</x:v>
      </x:c>
      <x:c r="D127" s="37" t="n">
        <x:v>8.4113505350846</x:v>
      </x:c>
      <x:c r="E127" s="37" t="n">
        <x:v>2.2446344761742</x:v>
      </x:c>
      <x:c r="F127" s="37" t="n">
        <x:v>6.4363465504528765</x:v>
      </x:c>
      <x:c r="G127" s="37" t="n">
        <x:v>8.310355058942909</x:v>
      </x:c>
    </x:row>
    <x:row r="128">
      <x:c r="A128" s="15" t="str">
        <x:v>2026-07-10</x:v>
      </x:c>
      <x:c r="B128" s="37" t="n">
        <x:v>-4.891345723447188</x:v>
      </x:c>
      <x:c r="C128" s="37" t="n">
        <x:v>-4.181173964348201</x:v>
      </x:c>
      <x:c r="D128" s="37" t="n">
        <x:v>-5.5287817858803</x:v>
      </x:c>
      <x:c r="E128" s="37" t="n">
        <x:v>-1.2261235648778</x:v>
      </x:c>
      <x:c r="F128" s="37" t="n">
        <x:v>-4.622168472225724</x:v>
      </x:c>
      <x:c r="G128" s="37" t="n">
        <x:v>-5.89731434969977</x:v>
      </x:c>
    </x:row>
    <x:row r="129">
      <x:c r="A129" s="15" t="str">
        <x:v>2026-07-13</x:v>
      </x:c>
      <x:c r="B129" s="37" t="n">
        <x:v>-3.402811686098454</x:v>
      </x:c>
      <x:c r="C129" s="37" t="n">
        <x:v>-3.2889399857831427</x:v>
      </x:c>
      <x:c r="D129" s="37" t="n">
        <x:v>-3.4216578636571</x:v>
      </x:c>
      <x:c r="E129" s="37" t="n">
        <x:v>-5.0065807482856</x:v>
      </x:c>
      <x:c r="F129" s="37" t="n">
        <x:v>-4.544331220841297</x:v>
      </x:c>
      <x:c r="G129" s="37" t="n">
        <x:v>-3.60369411780754</x:v>
      </x:c>
    </x:row>
    <x:row r="130">
      <x:c r="A130" s="15" t="str">
        <x:v>2026-07-14</x:v>
      </x:c>
      <x:c r="B130" s="37" t="n">
        <x:v>7.7331956300858025</x:v>
      </x:c>
      <x:c r="C130" s="37" t="n">
        <x:v>-0.4624795105545919</x:v>
      </x:c>
      <x:c r="D130" s="37" t="n">
        <x:v>0.77271481917238</x:v>
      </x:c>
      <x:c r="E130" s="37" t="n">
        <x:v>1.7626206062521</x:v>
      </x:c>
      <x:c r="F130" s="37" t="n">
        <x:v>7.597918844184348</x:v>
      </x:c>
      <x:c r="G130" s="37" t="n">
        <x:v>-0.2042814827605599</x:v>
      </x:c>
    </x:row>
    <x:row r="131">
      <x:c r="A131" s="15" t="str">
        <x:v>2026-07-15</x:v>
      </x:c>
      <x:c r="B131" s="37" t="n">
        <x:v>-1.4193617169477488</x:v>
      </x:c>
      <x:c r="C131" s="37" t="n">
        <x:v>-4.9447690082397555</x:v>
      </x:c>
      <x:c r="D131" s="37" t="n">
        <x:v>-4.2521192900776</x:v>
      </x:c>
      <x:c r="E131" s="37" t="n">
        <x:v>-1.3538199633288</x:v>
      </x:c>
      <x:c r="F131" s="37" t="n">
        <x:v>-1.9105199061149547</x:v>
      </x:c>
      <x:c r="G131" s="37" t="n">
        <x:v>-5.0724983565829955</x:v>
      </x:c>
    </x:row>
    <x:row r="132">
      <x:c r="A132" s="15" t="str">
        <x:v>2026-07-16</x:v>
      </x:c>
      <x:c r="B132" s="37" t="n">
        <x:v>-1.7075412977427518</x:v>
      </x:c>
      <x:c r="C132" s="37" t="n">
        <x:v>-4.719979796022857</x:v>
      </x:c>
      <x:c r="D132" s="37" t="n">
        <x:v>-4.022136146447</x:v>
      </x:c>
      <x:c r="E132" s="37" t="n">
        <x:v>-2.380060311611</x:v>
      </x:c>
      <x:c r="F132" s="37" t="n">
        <x:v>-3.679098141171072</x:v>
      </x:c>
      <x:c r="G132" s="37" t="n">
        <x:v>-6.553564297017867</x:v>
      </x:c>
    </x:row>
    <x:row r="133">
      <x:c r="A133" s="15" t="str">
        <x:v>2026-07-17</x:v>
      </x:c>
      <x:c r="B133" s="37" t="n">
        <x:v>-9.636717171432</x:v>
      </x:c>
      <x:c r="C133" s="37" t="n">
        <x:v>-6.31784335436898</x:v>
      </x:c>
      <x:c r="D133" s="37" t="n">
        <x:v>-7.1186239513782</x:v>
      </x:c>
      <x:c r="E133" s="37" t="n">
        <x:v>-6.0767918056986</x:v>
      </x:c>
      <x:c r="F133" s="37" t="n">
        <x:v>-10.146450472088864</x:v>
      </x:c>
      <x:c r="G133" s="37" t="n">
        <x:v>-6.761758631310795</x:v>
      </x:c>
    </x:row>
    <x:row r="134">
      <x:c r="A134" s="15" t="str">
        <x:v>2026-07-20</x:v>
      </x:c>
      <x:c r="B134" s="37" t="n">
        <x:v>-4.14372116436393</x:v>
      </x:c>
      <x:c r="C134" s="37" t="n">
        <x:v>-0.8538141537472219</x:v>
      </x:c>
      <x:c r="D134" s="37" t="n">
        <x:v>0.19150586299068</x:v>
      </x:c>
      <x:c r="E134" s="37" t="n">
        <x:v>-2.826734317747</x:v>
      </x:c>
      <x:c r="F134" s="37" t="n">
        <x:v>-4.644290683498325</x:v>
      </x:c>
      <x:c r="G134" s="37" t="n">
        <x:v>-4.979358404374719</x:v>
      </x:c>
    </x:row>
    <x:row r="135">
      <x:c r="A135" s="15" t="str">
        <x:v>2026-07-21</x:v>
      </x:c>
      <x:c r="B135" s="37" t="n">
        <x:v>7.75304064987094</x:v>
      </x:c>
      <x:c r="C135" s="37" t="n">
        <x:v>14.496031593995443</x:v>
      </x:c>
      <x:c r="D135" s="37" t="n">
        <x:v>10.733282538818</x:v>
      </x:c>
      <x:c r="E135" s="37" t="n">
        <x:v>4.2278738819501</x:v>
      </x:c>
      <x:c r="F135" s="37" t="n">
        <x:v>8.45406656759552</x:v>
      </x:c>
      <x:c r="G135" s="37" t="n">
        <x:v>16.359165371896122</x:v>
      </x:c>
    </x:row>
    <x:row r="136">
      <x:c r="A136" s="15" t="str">
        <x:v>2026-07-22</x:v>
      </x:c>
      <x:c r="B136" s="37" t="n">
        <x:v>-4.722855851657309</x:v>
      </x:c>
      <x:c r="C136" s="37" t="n">
        <x:v>-0.3479299791609069</x:v>
      </x:c>
      <x:c r="D136" s="37" t="n">
        <x:v>-2.2634182399568</x:v>
      </x:c>
      <x:c r="E136" s="37" t="n">
        <x:v>-1.3925992818322</x:v>
      </x:c>
      <x:c r="F136" s="37" t="n">
        <x:v>-4.525384397746329</x:v>
      </x:c>
      <x:c r="G136" s="37" t="n">
        <x:v>-1.992977114059317</x:v>
      </x:c>
    </x:row>
    <x:row r="137">
      <x:c r="A137" s="15" t="str">
        <x:v>2026-07-23</x:v>
      </x:c>
      <x:c r="B137" s="37" t="n">
        <x:v>0.0008172637523250259</x:v>
      </x:c>
      <x:c r="C137" s="37" t="n">
        <x:v>-4.8729651026805705</x:v>
      </x:c>
      <x:c r="D137" s="37" t="n">
        <x:v>-3.784273706231</x:v>
      </x:c>
      <x:c r="E137" s="37" t="n">
        <x:v>0.51318229288298</x:v>
      </x:c>
      <x:c r="F137" s="37" t="n">
        <x:v>-0.6631293460681864</x:v>
      </x:c>
      <x:c r="G137" s="37" t="n">
        <x:v>-4.3451918043255136</x:v>
      </x:c>
    </x:row>
    <x:row r="138">
      <x:c r="A138" s="15" t="str">
        <x:v>2026-07-24</x:v>
      </x:c>
      <x:c r="B138" s="37" t="n">
        <x:v>-3.8133900793286806</x:v>
      </x:c>
      <x:c r="C138" s="37" t="n">
        <x:v>2.095370831972685</x:v>
      </x:c>
      <x:c r="D138" s="37" t="n">
        <x:v>-0.13959368810569</x:v>
      </x:c>
      <x:c r="E138" s="37" t="n">
        <x:v>-2.7768272994299</x:v>
      </x:c>
      <x:c r="F138" s="37" t="n">
        <x:v>-2.858904705702825</x:v>
      </x:c>
      <x:c r="G138" s="37" t="n">
        <x:v>3.105941425975422</x:v>
      </x:c>
    </x:row>
    <x:row r="139">
      <x:c r="A139" s="15" t="str">
        <x:v>2026-07-27</x:v>
      </x:c>
      <x:c r="B139" s="37" t="n">
        <x:v>4.11111573162197</x:v>
      </x:c>
      <x:c r="C139" s="37" t="n">
        <x:v>1.6908440094478252</x:v>
      </x:c>
      <x:c r="D139" s="37" t="n">
        <x:v>1.1613277067907</x:v>
      </x:c>
      <x:c r="E139" s="37" t="n">
        <x:v>3.3319271824546</x:v>
      </x:c>
      <x:c r="F139" s="37" t="n">
        <x:v>3.7698943117316253</x:v>
      </x:c>
      <x:c r="G139" s="37" t="n">
        <x:v>2.6108912438414547</x:v>
      </x:c>
    </x:row>
    <x:row r="140">
      <x:c r="A140" s="15" t="str">
        <x:v>2026-07-28</x:v>
      </x:c>
      <x:c r="B140" s="37" t="n">
        <x:v>-11.299586164078551</x:v>
      </x:c>
      <x:c r="C140" s="37" t="n">
        <x:v>-6.60306936456805</x:v>
      </x:c>
      <x:c r="D140" s="37" t="n">
        <x:v>-6.3316096509253</x:v>
      </x:c>
      <x:c r="E140" s="37" t="n">
        <x:v>-2.8014170293775</x:v>
      </x:c>
      <x:c r="F140" s="37" t="n">
        <x:v>-11.0046946888327</x:v>
      </x:c>
      <x:c r="G140" s="37" t="n">
        <x:v>-5.843087046794937</x:v>
      </x:c>
    </x:row>
    <x:row r="141">
      <x:c r="A141" s="15" t="str">
        <x:v>2026-07-29</x:v>
      </x:c>
      <x:c r="B141" s="37" t="n">
        <x:v>-0.069041633013917</x:v>
      </x:c>
      <x:c r="C141" s="37" t="n">
        <x:v>-2.3740343517601294</x:v>
      </x:c>
      <x:c r="D141" s="37" t="n">
        <x:v>-0.87045682183406</x:v>
      </x:c>
      <x:c r="E141" s="37" t="n">
        <x:v>0.9807499594273</x:v>
      </x:c>
      <x:c r="F141" s="37" t="n">
        <x:v>-0.804291108644456</x:v>
      </x:c>
      <x:c r="G141" s="37" t="n">
        <x:v>-1.6182964353864238</x:v>
      </x:c>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17" hidden="0" customWidth="1"/>
    <x:col min="4" max="4" width="72" hidden="0" customWidth="1"/>
    <x:col min="5" max="5" width="75" hidden="0" customWidth="1"/>
    <x:col min="6" max="6" width="12" hidden="0" customWidth="1"/>
  </x:cols>
  <x:sheetData>
    <x:row r="1" ht="30" customHeight="1">
      <x:c r="A1" s="3" t="str">
        <x:v>专业机构研究与数据来源</x:v>
      </x:c>
      <x:c r="B1" s="3"/>
      <x:c r="C1" s="3"/>
      <x:c r="D1" s="3"/>
      <x:c r="E1" s="3"/>
      <x:c r="F1" s="3"/>
    </x:row>
    <x:row r="2" ht="24" customHeight="1">
      <x:c r="A2" s="7" t="str">
        <x:v>网页资料用于建立候选池和读取经理表述；最终分类由最新持仓与净值回归二次验证。</x:v>
      </x:c>
      <x:c r="B2" s="7"/>
      <x:c r="C2" s="7"/>
      <x:c r="D2" s="7"/>
      <x:c r="E2" s="7"/>
      <x:c r="F2" s="7"/>
    </x:row>
    <x:row r="4" ht="34" customHeight="1">
      <x:c r="A4" s="12" t="str">
        <x:v>来源类型</x:v>
      </x:c>
      <x:c r="B4" s="12" t="str">
        <x:v>标题/数据集</x:v>
      </x:c>
      <x:c r="C4" s="12" t="str">
        <x:v>日期</x:v>
      </x:c>
      <x:c r="D4" s="12" t="str">
        <x:v>用于本研究的证据</x:v>
      </x:c>
      <x:c r="E4" s="12" t="str">
        <x:v>URL/位置</x:v>
      </x:c>
    </x:row>
    <x:row r="5">
      <x:c r="A5" s="15" t="str">
        <x:v>组合源文件</x:v>
      </x:c>
      <x:c r="B5" s="15" t="str">
        <x:v>样板间投顾组合监控模板-20260716调仓.xlsx</x:v>
      </x:c>
      <x:c r="C5" s="15" t="str">
        <x:v>2026-07-16</x:v>
      </x:c>
      <x:c r="D5" s="15" t="str">
        <x:v>产业趋势组合 P1(7/10调仓后) 权重</x:v>
      </x:c>
      <x:c r="E5" s="15" t="str">
        <x:v>本地源文件</x:v>
      </x:c>
    </x:row>
    <x:row r="6">
      <x:c r="A6" s="15" t="str">
        <x:v>同花顺iFinD</x:v>
      </x:c>
      <x:c r="B6" s="15" t="str">
        <x:v>基金持仓、基金经理、基金净值、股票/指数日行情</x:v>
      </x:c>
      <x:c r="C6" s="15" t="str">
        <x:v>2026-07-30查询</x:v>
      </x:c>
      <x:c r="D6" s="15" t="str">
        <x:v>2026Q1/Q2前十大持仓；2026-01-01至07-29日频数据</x:v>
      </x:c>
      <x:c r="E6" s="15" t="str">
        <x:v>iFind金融数据接口</x:v>
      </x:c>
    </x:row>
    <x:row r="7">
      <x:c r="A7" s="15" t="str">
        <x:v>国金证券</x:v>
      </x:c>
      <x:c r="B7" s="15" t="str">
        <x:v>建信互联网+产业升级基金专题报告：砺炼十余年投研功底，聚焦高景气硬科技</x:v>
      </x:c>
      <x:c r="C7" s="15" t="str">
        <x:v>2026-06-10</x:v>
      </x:c>
      <x:c r="D7" s="15" t="str">
        <x:v>何珅华“七三分”框架；在AI算力、光通信、设备材料、国产算力芯片等高景气赛道内动态切换</x:v>
      </x:c>
      <x:c r="E7" s="15" t="str">
        <x:v>https://pdf.dfcfw.com/pdf/H301_AP202606121823492958_1.pdf</x:v>
      </x:c>
    </x:row>
    <x:row r="8">
      <x:c r="A8" s="15" t="str">
        <x:v>国金证券</x:v>
      </x:c>
      <x:c r="B8" s="15" t="str">
        <x:v>科技基金专题报告：拥抱AI产业趋势，布局新一轮创新周期</x:v>
      </x:c>
      <x:c r="C8" s="15" t="str">
        <x:v>2024-11-11</x:v>
      </x:c>
      <x:c r="D8" s="15" t="str">
        <x:v>筛选66只AI基金；雷志勇、韩浩、耿嘉洲、孙硕等进入重点量化样本</x:v>
      </x:c>
      <x:c r="E8" s="15" t="str">
        <x:v>https://pdf.dfcfw.com/pdf/H301_AP202411141640874542_1.pdf</x:v>
      </x:c>
    </x:row>
    <x:row r="9">
      <x:c r="A9" s="15" t="str">
        <x:v>中国基金报</x:v>
      </x:c>
      <x:c r="B9" s="15" t="str">
        <x:v>绩优基金二季度调仓换股：配置向硬科技集中，细分赛道结构再平衡</x:v>
      </x:c>
      <x:c r="C9" s="15" t="str">
        <x:v>2026-07-20</x:v>
      </x:c>
      <x:c r="D9" s="15" t="str">
        <x:v>确认二季度硬科技内部从设备材料、光通信向国产算力等方向再平衡</x:v>
      </x:c>
      <x:c r="E9" s="15" t="str">
        <x:v>https://www.chnfund.com/article/AR20260719030849817</x:v>
      </x:c>
    </x:row>
    <x:row r="10">
      <x:c r="A10" s="15" t="str">
        <x:v>基金二季报转述</x:v>
      </x:c>
      <x:c r="B10" s="15" t="str">
        <x:v>同泰数字经济：2026下半年AI算力基建仍为投资重点</x:v>
      </x:c>
      <x:c r="C10" s="15" t="str">
        <x:v>2026-07-09</x:v>
      </x:c>
      <x:c r="D10" s="15" t="str">
        <x:v>麦健沛明确在海外算力链与国产算力产业链间均衡布局并动态调整</x:v>
      </x:c>
      <x:c r="E10" s="15" t="str">
        <x:v>https://finance.sina.com.cn/stock/aigc/jjjlgd/2026-07-09/doc-inihewsv1454114.shtml</x:v>
      </x:c>
    </x:row>
    <x:row r="11">
      <x:c r="A11" s="15" t="str">
        <x:v>中国证券报转述</x:v>
      </x:c>
      <x:c r="B11" s="15" t="str">
        <x:v>翻倍基二季度持仓披露，围绕AI产业链重点布局</x:v>
      </x:c>
      <x:c r="C11" s="15" t="str">
        <x:v>2026-07-13</x:v>
      </x:c>
      <x:c r="D11" s="15" t="str">
        <x:v>同泰数字经济从光模块延伸至AI服务器、芯片、半导体设备</x:v>
      </x:c>
      <x:c r="E11" s="15" t="str">
        <x:v>https://finance.ce.cn/jjpd/jjpdgd/202607/t20260713_3083208.shtml</x:v>
      </x:c>
    </x:row>
    <x:row r="13">
      <x:c r="A13" s="15" t="str">
        <x:v>基金公司/季报汇总</x:v>
      </x:c>
      <x:c r="B13" s="15" t="str">
        <x:v>万家人工智能投资策略与运作</x:v>
      </x:c>
      <x:c r="C13" s="15" t="str">
        <x:v>2023-2026</x:v>
      </x:c>
      <x:c r="D13" s="15" t="str">
        <x:v>经理自述2024年底减北美、维持国产，2025Q2重新加北美、保留国产芯片</x:v>
      </x:c>
      <x:c r="E13" s="15" t="str">
        <x:v>https://www.lixinger.com/equity/fund/detail/jj/006281/6281/strategy-and-operation</x:v>
      </x:c>
    </x:row>
    <x:row r="14">
      <x:c r="A14" s="15" t="str">
        <x:v>嘉实基金</x:v>
      </x:c>
      <x:c r="B14" s="15" t="str">
        <x:v>王贵重：科技颠簸，看清产业趋势更重要</x:v>
      </x:c>
      <x:c r="C14" s="15" t="str">
        <x:v>2026-07-16</x:v>
      </x:c>
      <x:c r="D14" s="15" t="str">
        <x:v>确认王贵重长期任职及近三年业绩，但不替代历史持仓连续性验证</x:v>
      </x:c>
      <x:c r="E14" s="15" t="str">
        <x:v>https://www.jsfund.cn/main/a/20260716/484196.shtml</x:v>
      </x:c>
    </x:row>
    <x:row r="15">
      <x:c r="A15" s="15" t="str">
        <x:v>上海证券报</x:v>
      </x:c>
      <x:c r="B15" s="15" t="str">
        <x:v>嘉实基金李涛：成长股迎来AI驱动新周期</x:v>
      </x:c>
      <x:c r="C15" s="15" t="str">
        <x:v>2025-06-09</x:v>
      </x:c>
      <x:c r="D15" s="15" t="str">
        <x:v>李涛长期以AI算力为基准配置，允许细分方向偏离</x:v>
      </x:c>
      <x:c r="E15" s="15" t="str">
        <x:v>https://paper.cnstock.com/html/2025-06/09/content_2078575.htm</x:v>
      </x:c>
    </x:row>
    <x:row r="16">
      <x:c r="A16" s="15" t="str">
        <x:v>国金证券</x:v>
      </x:c>
      <x:c r="B16" s="15" t="str">
        <x:v>科技基金专题：66只AI赛道基金筛选</x:v>
      </x:c>
      <x:c r="C16" s="15" t="str">
        <x:v>2024-11-11</x:v>
      </x:c>
      <x:c r="D16" s="15" t="str">
        <x:v>长期AI候选池及雷志勇、耿嘉洲、韩浩、孙硕等定量样本来源</x:v>
      </x:c>
      <x:c r="E16" s="15" t="str">
        <x:v>https://pdf.dfcfw.com/pdf/H301_AP202411141640874542_1.pdf</x:v>
      </x:c>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42" hidden="0" customWidth="1"/>
    <x:col min="4" max="4" width="45" hidden="0" customWidth="1"/>
    <x:col min="5" max="5" width="38" hidden="0" customWidth="1"/>
    <x:col min="6" max="6" width="38" hidden="0" customWidth="1"/>
    <x:col min="7" max="7" width="30" hidden="0" customWidth="1"/>
    <x:col min="8" max="8" width="12" hidden="0" customWidth="1"/>
  </x:cols>
  <x:sheetData>
    <x:row r="1" ht="30" customHeight="1">
      <x:c r="A1" s="3" t="str">
        <x:v>下一步监控与证伪清单</x:v>
      </x:c>
      <x:c r="B1" s="3"/>
      <x:c r="C1" s="3"/>
      <x:c r="D1" s="3"/>
      <x:c r="E1" s="3"/>
      <x:c r="F1" s="3"/>
      <x:c r="G1" s="3"/>
      <x:c r="H1" s="3"/>
    </x:row>
    <x:row r="2" ht="24" customHeight="1">
      <x:c r="A2" s="7" t="str">
        <x:v>把“会轮动”拆成可证伪指标：持仓、净值、产业景气三层同时跟踪。</x:v>
      </x:c>
      <x:c r="B2" s="7"/>
      <x:c r="C2" s="7"/>
      <x:c r="D2" s="7"/>
      <x:c r="E2" s="7"/>
      <x:c r="F2" s="7"/>
      <x:c r="G2" s="7"/>
      <x:c r="H2" s="7"/>
    </x:row>
    <x:row r="4" ht="34" customHeight="1">
      <x:c r="A4" s="12" t="str">
        <x:v>频率</x:v>
      </x:c>
      <x:c r="B4" s="12" t="str">
        <x:v>对象</x:v>
      </x:c>
      <x:c r="C4" s="12" t="str">
        <x:v>监控指标</x:v>
      </x:c>
      <x:c r="D4" s="12" t="str">
        <x:v>触发/证伪条件</x:v>
      </x:c>
      <x:c r="E4" s="12" t="str">
        <x:v>要回答的问题</x:v>
      </x:c>
      <x:c r="F4" s="12" t="str">
        <x:v>常见误判</x:v>
      </x:c>
      <x:c r="G4" s="12" t="str">
        <x:v>动作</x:v>
      </x:c>
    </x:row>
    <x:row r="5">
      <x:c r="A5" s="15" t="str">
        <x:v>每周</x:v>
      </x:c>
      <x:c r="B5" s="15" t="str">
        <x:v>组合基金</x:v>
      </x:c>
      <x:c r="C5" s="15" t="str">
        <x:v>20日/60日锚定Beta与标签</x:v>
      </x:c>
      <x:c r="D5" s="15" t="str">
        <x:v>标签跨越70%/30%阈值且持续10个交易日</x:v>
      </x:c>
      <x:c r="E5" s="15" t="str">
        <x:v>净值层面的真实暴露改变</x:v>
      </x:c>
      <x:c r="F5" s="15" t="str">
        <x:v>短期风格共振造成伪切换</x:v>
      </x:c>
      <x:c r="G5" s="15" t="str">
        <x:v>更新候选经理状态</x:v>
      </x:c>
    </x:row>
    <x:row r="6">
      <x:c r="A6" s="15" t="str">
        <x:v>每周</x:v>
      </x:c>
      <x:c r="B6" s="15" t="str">
        <x:v>北美链</x:v>
      </x:c>
      <x:c r="C6" s="15" t="str">
        <x:v>北美云厂CapEx、800G/1.6T出货、PCB/CCL价格</x:v>
      </x:c>
      <x:c r="D6" s="15" t="str">
        <x:v>CapEx下修或出货/ASP连续低于预期</x:v>
      </x:c>
      <x:c r="E6" s="15" t="str">
        <x:v>北美链景气与盈利兑现</x:v>
      </x:c>
      <x:c r="F6" s="15" t="str">
        <x:v>只涨估值、不涨订单</x:v>
      </x:c>
      <x:c r="G6" s="15" t="str">
        <x:v>降低北美Beta可信度</x:v>
      </x:c>
    </x:row>
    <x:row r="7">
      <x:c r="A7" s="15" t="str">
        <x:v>每周/月</x:v>
      </x:c>
      <x:c r="B7" s="15" t="str">
        <x:v>国产链</x:v>
      </x:c>
      <x:c r="C7" s="15" t="str">
        <x:v>国产GPU出货/适配、服务器招标、晶圆厂CapEx、设备验收</x:v>
      </x:c>
      <x:c r="D7" s="15" t="str">
        <x:v>订单延后、验收不及预期或国产化率停滞</x:v>
      </x:c>
      <x:c r="E7" s="15" t="str">
        <x:v>国产链从主题到业绩的兑现</x:v>
      </x:c>
      <x:c r="F7" s="15" t="str">
        <x:v>政策催化但利润未兑现</x:v>
      </x:c>
      <x:c r="G7" s="15" t="str">
        <x:v>降低国产Beta可信度</x:v>
      </x:c>
    </x:row>
    <x:row r="8">
      <x:c r="A8" s="15" t="str">
        <x:v>季报</x:v>
      </x:c>
      <x:c r="B8" s="15" t="str">
        <x:v>基金经理</x:v>
      </x:c>
      <x:c r="C8" s="15" t="str">
        <x:v>前十大持仓链条权重、换手、行业集中度</x:v>
      </x:c>
      <x:c r="D8" s="15" t="str">
        <x:v>持仓切换与净值Beta同向</x:v>
      </x:c>
      <x:c r="E8" s="15" t="str">
        <x:v>确认主动轮动而非价格漂移</x:v>
      </x:c>
      <x:c r="F8" s="15" t="str">
        <x:v>季报时点粉饰/滞后</x:v>
      </x:c>
      <x:c r="G8" s="15" t="str">
        <x:v>升级轮动置信度</x:v>
      </x:c>
    </x:row>
    <x:row r="9">
      <x:c r="A9" s="15" t="str">
        <x:v>季报/定期报告</x:v>
      </x:c>
      <x:c r="B9" s="15" t="str">
        <x:v>麦健沛</x:v>
      </x:c>
      <x:c r="C9" s="15" t="str">
        <x:v>同泰数字经济任职后完整季度持仓</x:v>
      </x:c>
      <x:c r="D9" s="15" t="str">
        <x:v>仍保持双链且能解释比例变化</x:v>
      </x:c>
      <x:c r="E9" s="15" t="str">
        <x:v>验证其公开策略可执行性</x:v>
      </x:c>
      <x:c r="F9" s="15" t="str">
        <x:v>任期短、前任业绩混入</x:v>
      </x:c>
      <x:c r="G9" s="15" t="str">
        <x:v>决定是否列入高置信组</x:v>
      </x:c>
    </x:row>
    <x:row r="10">
      <x:c r="A10" s="15" t="str">
        <x:v>季报</x:v>
      </x:c>
      <x:c r="B10" s="15" t="str">
        <x:v>刘畅畅</x:v>
      </x:c>
      <x:c r="C10" s="15" t="str">
        <x:v>华安智能装备完整持仓与北美链隐含仓位</x:v>
      </x:c>
      <x:c r="D10" s="15" t="str">
        <x:v>持仓偏国产但净值仍偏北美</x:v>
      </x:c>
      <x:c r="E10" s="15" t="str">
        <x:v>解释当前持仓—净值错位</x:v>
      </x:c>
      <x:c r="F10" s="15" t="str">
        <x:v>非前十大持仓或高频交易</x:v>
      </x:c>
      <x:c r="G10" s="15" t="str">
        <x:v>未解释前不认定轮动</x:v>
      </x:c>
    </x:row>
    <x:row r="11">
      <x:c r="A11" s="15" t="str">
        <x:v>季报</x:v>
      </x:c>
      <x:c r="B11" s="15" t="str">
        <x:v>何珅华</x:v>
      </x:c>
      <x:c r="C11" s="15" t="str">
        <x:v>建信互联网+的30%战术仓变化</x:v>
      </x:c>
      <x:c r="D11" s="15" t="str">
        <x:v>副仓在北美/国产间切换且R²保持高</x:v>
      </x:c>
      <x:c r="E11" s="15" t="str">
        <x:v>验证机构所述“动态切换”</x:v>
      </x:c>
      <x:c r="F11" s="15" t="str">
        <x:v>只是个股选择而非链条切换</x:v>
      </x:c>
      <x:c r="G11" s="15" t="str">
        <x:v>维持/下调核心跟踪</x:v>
      </x:c>
    </x:row>
    <x:row r="12">
      <x:c r="A12" s="15" t="str">
        <x:v>季报</x:v>
      </x:c>
      <x:c r="B12" s="15" t="str">
        <x:v>耿嘉洲</x:v>
      </x:c>
      <x:c r="C12" s="15" t="str">
        <x:v>万家人工智能双链权重及Beta方向</x:v>
      </x:c>
      <x:c r="D12" s="15" t="str">
        <x:v>季度北美占比变化&gt;15个百分点并被持仓验证</x:v>
      </x:c>
      <x:c r="E12" s="15" t="str">
        <x:v>确认可重复的轮动能力</x:v>
      </x:c>
      <x:c r="F12" s="15" t="str">
        <x:v>单季价格弹性造成被动漂移</x:v>
      </x:c>
      <x:c r="G12" s="15" t="str">
        <x:v>至少观察2个完整季度</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26" hidden="0" customWidth="1"/>
    <x:col min="4" max="4" width="25" hidden="0" customWidth="1"/>
    <x:col min="5" max="5" width="16" hidden="0" customWidth="1"/>
    <x:col min="6" max="6" width="15" hidden="0" customWidth="1"/>
    <x:col min="7" max="7" width="15" hidden="0" customWidth="1"/>
    <x:col min="8" max="8" width="13" hidden="0" customWidth="1"/>
    <x:col min="9" max="9" width="13" hidden="0" customWidth="1"/>
    <x:col min="10" max="10" width="16" hidden="0" customWidth="1"/>
    <x:col min="11" max="11" width="18" hidden="0" customWidth="1"/>
    <x:col min="12" max="12" width="19" hidden="0" customWidth="1"/>
    <x:col min="13" max="13" width="19" hidden="0" customWidth="1"/>
    <x:col min="14" max="14" width="14" hidden="0" customWidth="1"/>
    <x:col min="15" max="15" width="14" hidden="0" customWidth="1"/>
    <x:col min="16" max="16" width="16" hidden="0" customWidth="1"/>
  </x:cols>
  <x:sheetData>
    <x:row r="1" ht="30" customHeight="1">
      <x:c r="A1" s="42" t="str">
        <x:v>三年业绩锐度：现有组合基准与候选比较</x:v>
      </x:c>
      <x:c r="B1" s="42"/>
      <x:c r="C1" s="42"/>
      <x:c r="D1" s="42"/>
      <x:c r="E1" s="42"/>
      <x:c r="F1" s="42"/>
      <x:c r="G1" s="42"/>
      <x:c r="H1" s="42"/>
      <x:c r="I1" s="42"/>
      <x:c r="J1" s="42"/>
      <x:c r="K1" s="42"/>
      <x:c r="L1" s="42"/>
      <x:c r="M1" s="42"/>
      <x:c r="N1" s="42"/>
      <x:c r="O1" s="42"/>
      <x:c r="P1" s="42"/>
    </x:row>
    <x:row r="2" ht="25" customHeight="1">
      <x:c r="A2" s="46" t="str">
        <x:v>区间为2023-07-31至2026-07-29。周频计算年化波动/夏普，复权净值计算年化收益和最大回撤；无风险利率假设1.5%。</x:v>
      </x:c>
      <x:c r="B2" s="46"/>
      <x:c r="C2" s="46"/>
      <x:c r="D2" s="46"/>
      <x:c r="E2" s="46"/>
      <x:c r="F2" s="46"/>
      <x:c r="G2" s="46"/>
      <x:c r="H2" s="46"/>
      <x:c r="I2" s="46"/>
      <x:c r="J2" s="46"/>
      <x:c r="K2" s="46"/>
      <x:c r="L2" s="46"/>
      <x:c r="M2" s="46"/>
      <x:c r="N2" s="46"/>
      <x:c r="O2" s="46"/>
      <x:c r="P2" s="46"/>
    </x:row>
    <x:row r="4" ht="35" customHeight="1">
      <x:c r="A4" s="38" t="str">
        <x:v>指标</x:v>
      </x:c>
      <x:c r="B4" s="38" t="str">
        <x:v>组合基准下限</x:v>
      </x:c>
      <x:c r="C4" s="38" t="str">
        <x:v>候选达标线</x:v>
      </x:c>
      <x:c r="D4" s="38" t="str">
        <x:v>说明</x:v>
      </x:c>
    </x:row>
    <x:row r="5">
      <x:c r="A5" s="15" t="str">
        <x:v>三年年化收益</x:v>
      </x:c>
      <x:c r="B5" s="51" t="n">
        <x:f>MIN(E15:E19)</x:f>
        <x:v>0.32281207408321544</x:v>
      </x:c>
      <x:c r="C5" s="51" t="n">
        <x:f>B5</x:f>
        <x:v>0.32281207408321544</x:v>
      </x:c>
      <x:c r="D5" s="15" t="str">
        <x:v>收益质量：不得低于当前组合最低值</x:v>
      </x:c>
    </x:row>
    <x:row r="6">
      <x:c r="A6" s="15" t="str">
        <x:v>年化波动率</x:v>
      </x:c>
      <x:c r="B6" s="51" t="n">
        <x:f>MIN(F15:F19)</x:f>
        <x:v>0.37395072648884886</x:v>
      </x:c>
      <x:c r="C6" s="51" t="n">
        <x:f>B6*90%</x:f>
        <x:v>0.336555653839964</x:v>
      </x:c>
      <x:c r="D6" s="15" t="str">
        <x:v>攻击锐度：允许比组合最低值低10%</x:v>
      </x:c>
    </x:row>
    <x:row r="7">
      <x:c r="A7" s="15" t="str">
        <x:v>夏普比率</x:v>
      </x:c>
      <x:c r="B7" s="51" t="n">
        <x:f>MIN(H15:H19)</x:f>
        <x:v>0.8636321146626765</x:v>
      </x:c>
      <x:c r="C7" s="51" t="n">
        <x:f>B7*90%</x:f>
        <x:v>0.7772689031964088</x:v>
      </x:c>
      <x:c r="D7" s="15" t="str">
        <x:v>收益质量：允许比组合最低值低10%</x:v>
      </x:c>
    </x:row>
    <x:row r="8">
      <x:c r="A8" s="15" t="str">
        <x:v>卡玛比率</x:v>
      </x:c>
      <x:c r="B8" s="51" t="n">
        <x:f>MIN(I15:I19)</x:f>
        <x:v>0.9111653064514861</x:v>
      </x:c>
      <x:c r="C8" s="51" t="n">
        <x:f>B8*80%</x:f>
        <x:v>0.7289322451611889</x:v>
      </x:c>
      <x:c r="D8" s="15" t="str">
        <x:v>收益质量：允许比组合最低值低20%</x:v>
      </x:c>
    </x:row>
    <x:row r="9">
      <x:c r="A9" s="15" t="str">
        <x:v>最强10%周均收益</x:v>
      </x:c>
      <x:c r="B9" s="51" t="n">
        <x:f>MIN(K15:K19)</x:f>
        <x:v>0.111859882163115</x:v>
      </x:c>
      <x:c r="C9" s="51" t="n">
        <x:f>B9*90%</x:f>
        <x:v>0.1006738939468035</x:v>
      </x:c>
      <x:c r="D9" s="15" t="str">
        <x:v>攻击锐度：允许比组合最低值低10%</x:v>
      </x:c>
    </x:row>
    <x:row r="10">
      <x:c r="A10" s="15" t="str">
        <x:v>相对组合上涨捕获</x:v>
      </x:c>
      <x:c r="B10" s="51" t="n">
        <x:f>MIN(L15:L19)</x:f>
        <x:v>0.9193710478084928</x:v>
      </x:c>
      <x:c r="C10" s="51" t="n">
        <x:f>B10*90%</x:f>
        <x:v>0.8274339430276435</x:v>
      </x:c>
      <x:c r="D10" s="15" t="str">
        <x:v>攻击锐度：允许比组合最低值低10%</x:v>
      </x:c>
    </x:row>
    <x:row r="14" ht="35" customHeight="1">
      <x:c r="A14" s="38" t="str">
        <x:v>角色</x:v>
      </x:c>
      <x:c r="B14" s="38" t="str">
        <x:v>基金代码</x:v>
      </x:c>
      <x:c r="C14" s="38" t="str">
        <x:v>基金简称</x:v>
      </x:c>
      <x:c r="D14" s="38" t="str">
        <x:v>基金经理</x:v>
      </x:c>
      <x:c r="E14" s="38" t="str">
        <x:v>三年年化收益</x:v>
      </x:c>
      <x:c r="F14" s="38" t="str">
        <x:v>年化波动率</x:v>
      </x:c>
      <x:c r="G14" s="38" t="str">
        <x:v>最大回撤</x:v>
      </x:c>
      <x:c r="H14" s="38" t="str">
        <x:v>夏普比率</x:v>
      </x:c>
      <x:c r="I14" s="38" t="str">
        <x:v>卡玛比率</x:v>
      </x:c>
      <x:c r="J14" s="38" t="str">
        <x:v>正收益周均值</x:v>
      </x:c>
      <x:c r="K14" s="38" t="str">
        <x:v>最强10%周均收益</x:v>
      </x:c>
      <x:c r="L14" s="38" t="str">
        <x:v>相对组合上涨捕获</x:v>
      </x:c>
      <x:c r="M14" s="38" t="str">
        <x:v>相对组合下跌捕获</x:v>
      </x:c>
      <x:c r="N14" s="38" t="str">
        <x:v>攻击锐度</x:v>
      </x:c>
      <x:c r="O14" s="38" t="str">
        <x:v>收益质量</x:v>
      </x:c>
      <x:c r="P14" s="38" t="str">
        <x:v>综合锐度</x:v>
      </x:c>
    </x:row>
    <x:row r="15">
      <x:c r="A15" s="52" t="str">
        <x:v>当前组合</x:v>
      </x:c>
      <x:c r="B15" s="52" t="str">
        <x:v>001170.OF</x:v>
      </x:c>
      <x:c r="C15" s="52" t="str">
        <x:v>宏利复兴混合A</x:v>
      </x:c>
      <x:c r="D15" s="52" t="str">
        <x:v>孙硕</x:v>
      </x:c>
      <x:c r="E15" s="53" t="n">
        <x:v>0.5180194172148593</x:v>
      </x:c>
      <x:c r="F15" s="53" t="n">
        <x:v>0.4054139060228497</x:v>
      </x:c>
      <x:c r="G15" s="53" t="n">
        <x:v>-0.403968253968254</x:v>
      </x:c>
      <x:c r="H15" s="54" t="n">
        <x:v>1.1467053489710144</x:v>
      </x:c>
      <x:c r="I15" s="54" t="n">
        <x:v>1.2823270445790231</x:v>
      </x:c>
      <x:c r="J15" s="53" t="n">
        <x:v>0.0488006669061921</x:v>
      </x:c>
      <x:c r="K15" s="53" t="n">
        <x:v>0.11707860034405966</x:v>
      </x:c>
      <x:c r="L15" s="53" t="n">
        <x:v>1.0746794480835458</x:v>
      </x:c>
      <x:c r="M15" s="53" t="n">
        <x:v>1.0688471086439795</x:v>
      </x:c>
      <x:c r="N15" s="52" t="str">
        <x:f>IF(AND(F15&gt;=$C$6,K15&gt;=$C$9,L15&gt;=$C$10),"是","否")</x:f>
        <x:v>是</x:v>
      </x:c>
      <x:c r="O15" s="52" t="str">
        <x:f>IF(AND(E15&gt;=$C$5,H15&gt;=$C$7,I15&gt;=$C$8),"是","否")</x:f>
        <x:v>是</x:v>
      </x:c>
      <x:c r="P15" s="52" t="str">
        <x:f>IF(AND(N15="是",O15="是"),"达标",IF(N15="是","仅攻击锐度",IF(O15="是","仅收益质量","未达标")))</x:f>
        <x:v>达标</x:v>
      </x:c>
    </x:row>
    <x:row r="16">
      <x:c r="A16" s="52" t="str">
        <x:v>当前组合</x:v>
      </x:c>
      <x:c r="B16" s="52" t="str">
        <x:v>013840.OF</x:v>
      </x:c>
      <x:c r="C16" s="52" t="str">
        <x:v>银华集成电路混合A</x:v>
      </x:c>
      <x:c r="D16" s="52" t="str">
        <x:v>方建</x:v>
      </x:c>
      <x:c r="E16" s="53" t="n">
        <x:v>0.49015101281093787</x:v>
      </x:c>
      <x:c r="F16" s="53" t="n">
        <x:v>0.4358719430400028</x:v>
      </x:c>
      <x:c r="G16" s="53" t="n">
        <x:v>-0.3680485338725986</x:v>
      </x:c>
      <x:c r="H16" s="54" t="n">
        <x:v>1.0812084963262767</x:v>
      </x:c>
      <x:c r="I16" s="54" t="n">
        <x:v>1.3317564606319163</x:v>
      </x:c>
      <x:c r="J16" s="53" t="n">
        <x:v>0.05537652859337356</x:v>
      </x:c>
      <x:c r="K16" s="53" t="n">
        <x:v>0.1323829075228175</x:v>
      </x:c>
      <x:c r="L16" s="53" t="n">
        <x:v>1.0180148949397934</x:v>
      </x:c>
      <x:c r="M16" s="53" t="n">
        <x:v>0.9708169885024605</x:v>
      </x:c>
      <x:c r="N16" s="52" t="str">
        <x:f>IF(AND(F16&gt;=$C$6,K16&gt;=$C$9,L16&gt;=$C$10),"是","否")</x:f>
        <x:v>是</x:v>
      </x:c>
      <x:c r="O16" s="52" t="str">
        <x:f>IF(AND(E16&gt;=$C$5,H16&gt;=$C$7,I16&gt;=$C$8),"是","否")</x:f>
        <x:v>是</x:v>
      </x:c>
      <x:c r="P16" s="52" t="str">
        <x:f>IF(AND(N16="是",O16="是"),"达标",IF(N16="是","仅攻击锐度",IF(O16="是","仅收益质量","未达标")))</x:f>
        <x:v>达标</x:v>
      </x:c>
    </x:row>
    <x:row r="17">
      <x:c r="A17" s="52" t="str">
        <x:v>当前组合</x:v>
      </x:c>
      <x:c r="B17" s="52" t="str">
        <x:v>016370.OF</x:v>
      </x:c>
      <x:c r="C17" s="52" t="str">
        <x:v>信澳业绩驱动混合A</x:v>
      </x:c>
      <x:c r="D17" s="52" t="str">
        <x:v>基金基准（现任童昌希不足3年）</x:v>
      </x:c>
      <x:c r="E17" s="53" t="n">
        <x:v>0.46689990222754263</x:v>
      </x:c>
      <x:c r="F17" s="53" t="n">
        <x:v>0.4461876735411058</x:v>
      </x:c>
      <x:c r="G17" s="53" t="n">
        <x:v>-0.42044034978138656</x:v>
      </x:c>
      <x:c r="H17" s="54" t="n">
        <x:v>1.0403820843335645</x:v>
      </x:c>
      <x:c r="I17" s="54" t="n">
        <x:v>1.1105021258552215</x:v>
      </x:c>
      <x:c r="J17" s="53" t="n">
        <x:v>0.05508318370545026</x:v>
      </x:c>
      <x:c r="K17" s="53" t="n">
        <x:v>0.1320416155824204</x:v>
      </x:c>
      <x:c r="L17" s="53" t="n">
        <x:v>1.0625204769401706</x:v>
      </x:c>
      <x:c r="M17" s="53" t="n">
        <x:v>1.0505127997855415</x:v>
      </x:c>
      <x:c r="N17" s="52" t="str">
        <x:f>IF(AND(F17&gt;=$C$6,K17&gt;=$C$9,L17&gt;=$C$10),"是","否")</x:f>
        <x:v>是</x:v>
      </x:c>
      <x:c r="O17" s="52" t="str">
        <x:f>IF(AND(E17&gt;=$C$5,H17&gt;=$C$7,I17&gt;=$C$8),"是","否")</x:f>
        <x:v>是</x:v>
      </x:c>
      <x:c r="P17" s="52" t="str">
        <x:f>IF(AND(N17="是",O17="是"),"达标",IF(N17="是","仅攻击锐度",IF(O17="是","仅收益质量","未达标")))</x:f>
        <x:v>达标</x:v>
      </x:c>
    </x:row>
    <x:row r="18">
      <x:c r="A18" s="52" t="str">
        <x:v>当前组合</x:v>
      </x:c>
      <x:c r="B18" s="52" t="str">
        <x:v>162214.OF</x:v>
      </x:c>
      <x:c r="C18" s="52" t="str">
        <x:v>宏利领先中小盘混合</x:v>
      </x:c>
      <x:c r="D18" s="52" t="str">
        <x:v>张岩</x:v>
      </x:c>
      <x:c r="E18" s="53" t="n">
        <x:v>0.44049322972008675</x:v>
      </x:c>
      <x:c r="F18" s="53" t="n">
        <x:v>0.3871915450061472</x:v>
      </x:c>
      <x:c r="G18" s="53" t="n">
        <x:v>-0.30518697225572977</x:v>
      </x:c>
      <x:c r="H18" s="54" t="n">
        <x:v>1.068629348097529</x:v>
      </x:c>
      <x:c r="I18" s="54" t="n">
        <x:v>1.4433552863160155</x:v>
      </x:c>
      <x:c r="J18" s="53" t="n">
        <x:v>0.046613747885764986</x:v>
      </x:c>
      <x:c r="K18" s="53" t="n">
        <x:v>0.11682553206983744</x:v>
      </x:c>
      <x:c r="L18" s="53" t="n">
        <x:v>0.9193710478084928</x:v>
      </x:c>
      <x:c r="M18" s="53" t="n">
        <x:v>0.8904076519818489</x:v>
      </x:c>
      <x:c r="N18" s="52" t="str">
        <x:f>IF(AND(F18&gt;=$C$6,K18&gt;=$C$9,L18&gt;=$C$10),"是","否")</x:f>
        <x:v>是</x:v>
      </x:c>
      <x:c r="O18" s="52" t="str">
        <x:f>IF(AND(E18&gt;=$C$5,H18&gt;=$C$7,I18&gt;=$C$8),"是","否")</x:f>
        <x:v>是</x:v>
      </x:c>
      <x:c r="P18" s="52" t="str">
        <x:f>IF(AND(N18="是",O18="是"),"达标",IF(N18="是","仅攻击锐度",IF(O18="是","仅收益质量","未达标")))</x:f>
        <x:v>达标</x:v>
      </x:c>
    </x:row>
    <x:row r="19">
      <x:c r="A19" s="52" t="str">
        <x:v>当前组合</x:v>
      </x:c>
      <x:c r="B19" s="52" t="str">
        <x:v>017488.OF</x:v>
      </x:c>
      <x:c r="C19" s="52" t="str">
        <x:v>嘉实信息产业股票发起式A</x:v>
      </x:c>
      <x:c r="D19" s="52" t="str">
        <x:v>李涛</x:v>
      </x:c>
      <x:c r="E19" s="53" t="n">
        <x:v>0.32281207408321544</x:v>
      </x:c>
      <x:c r="F19" s="53" t="n">
        <x:v>0.37395072648884886</x:v>
      </x:c>
      <x:c r="G19" s="53" t="n">
        <x:v>-0.35428486115258295</x:v>
      </x:c>
      <x:c r="H19" s="54" t="n">
        <x:v>0.8636321146626765</x:v>
      </x:c>
      <x:c r="I19" s="54" t="n">
        <x:v>0.9111653064514861</x:v>
      </x:c>
      <x:c r="J19" s="53" t="n">
        <x:v>0.04265798827595115</x:v>
      </x:c>
      <x:c r="K19" s="53" t="n">
        <x:v>0.111859882163115</x:v>
      </x:c>
      <x:c r="L19" s="53" t="n">
        <x:v>0.9254141322279966</x:v>
      </x:c>
      <x:c r="M19" s="53" t="n">
        <x:v>1.0194154510861702</x:v>
      </x:c>
      <x:c r="N19" s="52" t="str">
        <x:f>IF(AND(F19&gt;=$C$6,K19&gt;=$C$9,L19&gt;=$C$10),"是","否")</x:f>
        <x:v>是</x:v>
      </x:c>
      <x:c r="O19" s="52" t="str">
        <x:f>IF(AND(E19&gt;=$C$5,H19&gt;=$C$7,I19&gt;=$C$8),"是","否")</x:f>
        <x:v>是</x:v>
      </x:c>
      <x:c r="P19" s="52" t="str">
        <x:f>IF(AND(N19="是",O19="是"),"达标",IF(N19="是","仅攻击锐度",IF(O19="是","仅收益质量","未达标")))</x:f>
        <x:v>达标</x:v>
      </x:c>
    </x:row>
    <x:row r="20">
      <x:c r="A20" s="55" t="str">
        <x:v>候选</x:v>
      </x:c>
      <x:c r="B20" s="55" t="str">
        <x:v>017102.OF</x:v>
      </x:c>
      <x:c r="C20" s="55" t="str">
        <x:v>大摩数字经济混合A</x:v>
      </x:c>
      <x:c r="D20" s="55" t="str">
        <x:v>雷志勇</x:v>
      </x:c>
      <x:c r="E20" s="56" t="n">
        <x:v>0.5691854725776884</x:v>
      </x:c>
      <x:c r="F20" s="56" t="n">
        <x:v>0.4076276779062215</x:v>
      </x:c>
      <x:c r="G20" s="56" t="n">
        <x:v>-0.33334600615899324</x:v>
      </x:c>
      <x:c r="H20" s="57" t="n">
        <x:v>1.2227312826104435</x:v>
      </x:c>
      <x:c r="I20" s="57" t="n">
        <x:v>1.707491501506722</x:v>
      </x:c>
      <x:c r="J20" s="56" t="n">
        <x:v>0.04859526627606053</x:v>
      </x:c>
      <x:c r="K20" s="56" t="n">
        <x:v>0.11652196513450135</x:v>
      </x:c>
      <x:c r="L20" s="56" t="n">
        <x:v>1.1082229728279334</x:v>
      </x:c>
      <x:c r="M20" s="56" t="n">
        <x:v>1.0778079429660408</x:v>
      </x:c>
      <x:c r="N20" s="55" t="str">
        <x:f>IF(AND(F20&gt;=$C$6,K20&gt;=$C$9,L20&gt;=$C$10),"是","否")</x:f>
        <x:v>是</x:v>
      </x:c>
      <x:c r="O20" s="55" t="str">
        <x:f>IF(AND(E20&gt;=$C$5,H20&gt;=$C$7,I20&gt;=$C$8),"是","否")</x:f>
        <x:v>是</x:v>
      </x:c>
      <x:c r="P20" s="55" t="str">
        <x:f>IF(AND(N20="是",O20="是"),"达标",IF(N20="是","仅攻击锐度",IF(O20="是","仅收益质量","未达标")))</x:f>
        <x:v>达标</x:v>
      </x:c>
    </x:row>
    <x:row r="21">
      <x:c r="A21" s="55" t="str">
        <x:v>候选</x:v>
      </x:c>
      <x:c r="B21" s="55" t="str">
        <x:v>006281.OF</x:v>
      </x:c>
      <x:c r="C21" s="55" t="str">
        <x:v>万家人工智能混合A</x:v>
      </x:c>
      <x:c r="D21" s="55" t="str">
        <x:v>耿嘉洲</x:v>
      </x:c>
      <x:c r="E21" s="56" t="n">
        <x:v>0.2028992703341681</x:v>
      </x:c>
      <x:c r="F21" s="56" t="n">
        <x:v>0.3823799669148176</x:v>
      </x:c>
      <x:c r="G21" s="56" t="n">
        <x:v>-0.350733681902513</x:v>
      </x:c>
      <x:c r="H21" s="57" t="n">
        <x:v>0.5948691626205629</x:v>
      </x:c>
      <x:c r="I21" s="57" t="n">
        <x:v>0.5784995305656566</x:v>
      </x:c>
      <x:c r="J21" s="56" t="n">
        <x:v>0.04699050244561291</x:v>
      </x:c>
      <x:c r="K21" s="56" t="n">
        <x:v>0.11241850923111403</x:v>
      </x:c>
      <x:c r="L21" s="56" t="n">
        <x:v>0.8744256314486507</x:v>
      </x:c>
      <x:c r="M21" s="56" t="n">
        <x:v>1.0643600885839235</x:v>
      </x:c>
      <x:c r="N21" s="55" t="str">
        <x:f>IF(AND(F21&gt;=$C$6,K21&gt;=$C$9,L21&gt;=$C$10),"是","否")</x:f>
        <x:v>是</x:v>
      </x:c>
      <x:c r="O21" s="55" t="str">
        <x:f>IF(AND(E21&gt;=$C$5,H21&gt;=$C$7,I21&gt;=$C$8),"是","否")</x:f>
        <x:v>否</x:v>
      </x:c>
      <x:c r="P21" s="55" t="str">
        <x:f>IF(AND(N21="是",O21="是"),"达标",IF(N21="是","仅攻击锐度",IF(O21="是","仅收益质量","未达标")))</x:f>
        <x:v>仅攻击锐度</x:v>
      </x:c>
    </x:row>
    <x:row r="22">
      <x:c r="A22" s="55" t="str">
        <x:v>候选</x:v>
      </x:c>
      <x:c r="B22" s="55" t="str">
        <x:v>007343.OF</x:v>
      </x:c>
      <x:c r="C22" s="55" t="str">
        <x:v>嘉实科技创新混合</x:v>
      </x:c>
      <x:c r="D22" s="55" t="str">
        <x:v>王贵重</x:v>
      </x:c>
      <x:c r="E22" s="56" t="n">
        <x:v>0.4006630216503433</x:v>
      </x:c>
      <x:c r="F22" s="56" t="n">
        <x:v>0.32620423833367135</x:v>
      </x:c>
      <x:c r="G22" s="56" t="n">
        <x:v>-0.27207216040001947</x:v>
      </x:c>
      <x:c r="H22" s="57" t="n">
        <x:v>1.1513381793957929</x:v>
      </x:c>
      <x:c r="I22" s="57" t="n">
        <x:v>1.4726351312874517</x:v>
      </x:c>
      <x:c r="J22" s="56" t="n">
        <x:v>0.03755349617712826</x:v>
      </x:c>
      <x:c r="K22" s="56" t="n">
        <x:v>0.09497818398007177</x:v>
      </x:c>
      <x:c r="L22" s="56" t="n">
        <x:v>0.7714073838534856</x:v>
      </x:c>
      <x:c r="M22" s="56" t="n">
        <x:v>0.7065750685869524</x:v>
      </x:c>
      <x:c r="N22" s="55" t="str">
        <x:f>IF(AND(F22&gt;=$C$6,K22&gt;=$C$9,L22&gt;=$C$10),"是","否")</x:f>
        <x:v>否</x:v>
      </x:c>
      <x:c r="O22" s="55" t="str">
        <x:f>IF(AND(E22&gt;=$C$5,H22&gt;=$C$7,I22&gt;=$C$8),"是","否")</x:f>
        <x:v>是</x:v>
      </x:c>
      <x:c r="P22" s="55" t="str">
        <x:f>IF(AND(N22="是",O22="是"),"达标",IF(N22="是","仅攻击锐度",IF(O22="是","仅收益质量","未达标")))</x:f>
        <x:v>仅收益质量</x:v>
      </x:c>
    </x:row>
    <x:row r="23">
      <x:c r="A23" s="55" t="str">
        <x:v>候选</x:v>
      </x:c>
      <x:c r="B23" s="55" t="str">
        <x:v>009491.OF</x:v>
      </x:c>
      <x:c r="C23" s="55" t="str">
        <x:v>宝盈创新驱动股票A</x:v>
      </x:c>
      <x:c r="D23" s="55" t="str">
        <x:v>容志能</x:v>
      </x:c>
      <x:c r="E23" s="56" t="n">
        <x:v>0.34773985863173107</x:v>
      </x:c>
      <x:c r="F23" s="56" t="n">
        <x:v>0.3511725206667735</x:v>
      </x:c>
      <x:c r="G23" s="56" t="n">
        <x:v>-0.3433615983273318</x:v>
      </x:c>
      <x:c r="H23" s="57" t="n">
        <x:v>0.9663142745220336</x:v>
      </x:c>
      <x:c r="I23" s="57" t="n">
        <x:v>1.0127511647363239</x:v>
      </x:c>
      <x:c r="J23" s="56" t="n">
        <x:v>0.03927211396999455</x:v>
      </x:c>
      <x:c r="K23" s="56" t="n">
        <x:v>0.09760931465947847</x:v>
      </x:c>
      <x:c r="L23" s="56" t="n">
        <x:v>0.8647401645603953</x:v>
      </x:c>
      <x:c r="M23" s="56" t="n">
        <x:v>0.9018769484984517</x:v>
      </x:c>
      <x:c r="N23" s="55" t="str">
        <x:f>IF(AND(F23&gt;=$C$6,K23&gt;=$C$9,L23&gt;=$C$10),"是","否")</x:f>
        <x:v>否</x:v>
      </x:c>
      <x:c r="O23" s="55" t="str">
        <x:f>IF(AND(E23&gt;=$C$5,H23&gt;=$C$7,I23&gt;=$C$8),"是","否")</x:f>
        <x:v>是</x:v>
      </x:c>
      <x:c r="P23" s="55" t="str">
        <x:f>IF(AND(N23="是",O23="是"),"达标",IF(N23="是","仅攻击锐度",IF(O23="是","仅收益质量","未达标")))</x:f>
        <x:v>仅收益质量</x:v>
      </x:c>
    </x:row>
    <x:row r="24">
      <x:c r="A24" s="55" t="str">
        <x:v>候选</x:v>
      </x:c>
      <x:c r="B24" s="55" t="str">
        <x:v>006887.OF</x:v>
      </x:c>
      <x:c r="C24" s="55" t="str">
        <x:v>诺德新生活A</x:v>
      </x:c>
      <x:c r="D24" s="55" t="str">
        <x:v>周建胜</x:v>
      </x:c>
      <x:c r="E24" s="56" t="n">
        <x:v>0.3473071805622696</x:v>
      </x:c>
      <x:c r="F24" s="56" t="n">
        <x:v>0.4588099333308941</x:v>
      </x:c>
      <x:c r="G24" s="56" t="n">
        <x:v>-0.5227716819479934</x:v>
      </x:c>
      <x:c r="H24" s="57" t="n">
        <x:v>0.7987599470966193</x:v>
      </x:c>
      <x:c r="I24" s="57" t="n">
        <x:v>0.664357295077855</x:v>
      </x:c>
      <x:c r="J24" s="56" t="n">
        <x:v>0.05501086934564359</x:v>
      </x:c>
      <x:c r="K24" s="56" t="n">
        <x:v>0.13025500794705303</x:v>
      </x:c>
      <x:c r="L24" s="56" t="n">
        <x:v>1.1046687138259519</x:v>
      </x:c>
      <x:c r="M24" s="56" t="n">
        <x:v>1.2457372728434353</x:v>
      </x:c>
      <x:c r="N24" s="55" t="str">
        <x:f>IF(AND(F24&gt;=$C$6,K24&gt;=$C$9,L24&gt;=$C$10),"是","否")</x:f>
        <x:v>是</x:v>
      </x:c>
      <x:c r="O24" s="55" t="str">
        <x:f>IF(AND(E24&gt;=$C$5,H24&gt;=$C$7,I24&gt;=$C$8),"是","否")</x:f>
        <x:v>否</x:v>
      </x:c>
      <x:c r="P24" s="55" t="str">
        <x:f>IF(AND(N24="是",O24="是"),"达标",IF(N24="是","仅攻击锐度",IF(O24="是","仅收益质量","未达标")))</x:f>
        <x:v>仅攻击锐度</x:v>
      </x:c>
    </x:row>
    <x:row r="25">
      <x:c r="A25" s="55" t="str">
        <x:v>候选</x:v>
      </x:c>
      <x:c r="B25" s="55" t="str">
        <x:v>001323.OF</x:v>
      </x:c>
      <x:c r="C25" s="55" t="str">
        <x:v>东吴移动互联混合A</x:v>
      </x:c>
      <x:c r="D25" s="55" t="str">
        <x:v>刘元海</x:v>
      </x:c>
      <x:c r="E25" s="56" t="n">
        <x:v>0.32926808165562527</x:v>
      </x:c>
      <x:c r="F25" s="56" t="n">
        <x:v>0.3445102680464672</x:v>
      </x:c>
      <x:c r="G25" s="56" t="n">
        <x:v>-0.3113798161199156</x:v>
      </x:c>
      <x:c r="H25" s="57" t="n">
        <x:v>0.9243500714260005</x:v>
      </x:c>
      <x:c r="I25" s="57" t="n">
        <x:v>1.0574483785063984</x:v>
      </x:c>
      <x:c r="J25" s="56" t="n">
        <x:v>0.03919702100381077</x:v>
      </x:c>
      <x:c r="K25" s="56" t="n">
        <x:v>0.09965696134360473</x:v>
      </x:c>
      <x:c r="L25" s="56" t="n">
        <x:v>0.8686986278961653</x:v>
      </x:c>
      <x:c r="M25" s="56" t="n">
        <x:v>0.9356238985055066</x:v>
      </x:c>
      <x:c r="N25" s="55" t="str">
        <x:f>IF(AND(F25&gt;=$C$6,K25&gt;=$C$9,L25&gt;=$C$10),"是","否")</x:f>
        <x:v>否</x:v>
      </x:c>
      <x:c r="O25" s="55" t="str">
        <x:f>IF(AND(E25&gt;=$C$5,H25&gt;=$C$7,I25&gt;=$C$8),"是","否")</x:f>
        <x:v>是</x:v>
      </x:c>
      <x:c r="P25" s="55" t="str">
        <x:f>IF(AND(N25="是",O25="是"),"达标",IF(N25="是","仅攻击锐度",IF(O25="是","仅收益质量","未达标")))</x:f>
        <x:v>仅收益质量</x:v>
      </x:c>
    </x:row>
    <x:row r="26">
      <x:c r="A26" s="55" t="str">
        <x:v>候选</x:v>
      </x:c>
      <x:c r="B26" s="55" t="str">
        <x:v>001396.OF</x:v>
      </x:c>
      <x:c r="C26" s="55" t="str">
        <x:v>建信互联网+产业升级股票</x:v>
      </x:c>
      <x:c r="D26" s="55" t="str">
        <x:v>何珅华</x:v>
      </x:c>
      <x:c r="E26" s="56" t="n">
        <x:v>0.2286490224880613</x:v>
      </x:c>
      <x:c r="F26" s="56" t="n">
        <x:v>0.2804007784449949</x:v>
      </x:c>
      <x:c r="G26" s="56" t="n">
        <x:v>-0.29862617498192334</x:v>
      </x:c>
      <x:c r="H26" s="57" t="n">
        <x:v>0.7989245967562972</x:v>
      </x:c>
      <x:c r="I26" s="57" t="n">
        <x:v>0.7656697290580842</x:v>
      </x:c>
      <x:c r="J26" s="56" t="n">
        <x:v>0.03279077874172927</x:v>
      </x:c>
      <x:c r="K26" s="56" t="n">
        <x:v>0.07900868385149457</x:v>
      </x:c>
      <x:c r="L26" s="56" t="n">
        <x:v>0.6609825867250997</x:v>
      </x:c>
      <x:c r="M26" s="56" t="n">
        <x:v>0.731238311753812</x:v>
      </x:c>
      <x:c r="N26" s="55" t="str">
        <x:f>IF(AND(F26&gt;=$C$6,K26&gt;=$C$9,L26&gt;=$C$10),"是","否")</x:f>
        <x:v>否</x:v>
      </x:c>
      <x:c r="O26" s="55" t="str">
        <x:f>IF(AND(E26&gt;=$C$5,H26&gt;=$C$7,I26&gt;=$C$8),"是","否")</x:f>
        <x:v>否</x:v>
      </x:c>
      <x:c r="P26" s="55" t="str">
        <x:f>IF(AND(N26="是",O26="是"),"达标",IF(N26="是","仅攻击锐度",IF(O26="是","仅收益质量","未达标")))</x:f>
        <x:v>未达标</x:v>
      </x:c>
    </x:row>
    <x:row r="27">
      <x:c r="A27" s="55" t="str">
        <x:v>候选</x:v>
      </x:c>
      <x:c r="B27" s="55" t="str">
        <x:v>001167.OF</x:v>
      </x:c>
      <x:c r="C27" s="55" t="str">
        <x:v>金鹰科技创新股票A</x:v>
      </x:c>
      <x:c r="D27" s="55" t="str">
        <x:v>陈颖</x:v>
      </x:c>
      <x:c r="E27" s="56" t="n">
        <x:v>0.07039339146565915</x:v>
      </x:c>
      <x:c r="F27" s="56" t="n">
        <x:v>0.2385089806181675</x:v>
      </x:c>
      <x:c r="G27" s="56" t="n">
        <x:v>-0.2893322183729542</x:v>
      </x:c>
      <x:c r="H27" s="57" t="n">
        <x:v>0.3239680701371765</x:v>
      </x:c>
      <x:c r="I27" s="57" t="n">
        <x:v>0.24329606934724726</x:v>
      </x:c>
      <x:c r="J27" s="56" t="n">
        <x:v>0.02656198624477314</x:v>
      </x:c>
      <x:c r="K27" s="56" t="n">
        <x:v>0.06001332929765435</x:v>
      </x:c>
      <x:c r="L27" s="56" t="n">
        <x:v>0.4367185631575175</x:v>
      </x:c>
      <x:c r="M27" s="56" t="n">
        <x:v>0.5694966056391344</x:v>
      </x:c>
      <x:c r="N27" s="55" t="str">
        <x:f>IF(AND(F27&gt;=$C$6,K27&gt;=$C$9,L27&gt;=$C$10),"是","否")</x:f>
        <x:v>否</x:v>
      </x:c>
      <x:c r="O27" s="55" t="str">
        <x:f>IF(AND(E27&gt;=$C$5,H27&gt;=$C$7,I27&gt;=$C$8),"是","否")</x:f>
        <x:v>否</x:v>
      </x:c>
      <x:c r="P27" s="55" t="str">
        <x:f>IF(AND(N27="是",O27="是"),"达标",IF(N27="是","仅攻击锐度",IF(O27="是","仅收益质量","未达标")))</x:f>
        <x:v>未达标</x:v>
      </x:c>
    </x:row>
    <x:row r="28">
      <x:c r="A28" s="55" t="str">
        <x:v>候选</x:v>
      </x:c>
      <x:c r="B28" s="55" t="str">
        <x:v>519644.OF</x:v>
      </x:c>
      <x:c r="C28" s="55" t="str">
        <x:v>银河智联混合A</x:v>
      </x:c>
      <x:c r="D28" s="55" t="str">
        <x:v>郑巍山</x:v>
      </x:c>
      <x:c r="E28" s="56" t="n">
        <x:v>0.1493165150687017</x:v>
      </x:c>
      <x:c r="F28" s="56" t="n">
        <x:v>0.3881993894028277</x:v>
      </x:c>
      <x:c r="G28" s="56" t="n">
        <x:v>-0.44105878731917514</x:v>
      </x:c>
      <x:c r="H28" s="57" t="n">
        <x:v>0.47930829268420466</x:v>
      </x:c>
      <x:c r="I28" s="57" t="n">
        <x:v>0.3385410728947745</x:v>
      </x:c>
      <x:c r="J28" s="56" t="n">
        <x:v>0.04515168520469057</x:v>
      </x:c>
      <x:c r="K28" s="56" t="n">
        <x:v>0.11220194919036337</x:v>
      </x:c>
      <x:c r="L28" s="56" t="n">
        <x:v>0.8471612396519698</x:v>
      </x:c>
      <x:c r="M28" s="56" t="n">
        <x:v>1.0756846539057217</x:v>
      </x:c>
      <x:c r="N28" s="55" t="str">
        <x:f>IF(AND(F28&gt;=$C$6,K28&gt;=$C$9,L28&gt;=$C$10),"是","否")</x:f>
        <x:v>是</x:v>
      </x:c>
      <x:c r="O28" s="55" t="str">
        <x:f>IF(AND(E28&gt;=$C$5,H28&gt;=$C$7,I28&gt;=$C$8),"是","否")</x:f>
        <x:v>否</x:v>
      </x:c>
      <x:c r="P28" s="55" t="str">
        <x:f>IF(AND(N28="是",O28="是"),"达标",IF(N28="是","仅攻击锐度",IF(O28="是","仅收益质量","未达标")))</x:f>
        <x:v>仅攻击锐度</x:v>
      </x:c>
    </x:row>
    <x:row r="29">
      <x:c r="A29" s="55" t="str">
        <x:v>候选</x:v>
      </x:c>
      <x:c r="B29" s="55" t="str">
        <x:v>009537.OF</x:v>
      </x:c>
      <x:c r="C29" s="55" t="str">
        <x:v>太平行业优选A</x:v>
      </x:c>
      <x:c r="D29" s="55" t="str">
        <x:v>林开盛</x:v>
      </x:c>
      <x:c r="E29" s="56" t="n">
        <x:v>0.13417756392076785</x:v>
      </x:c>
      <x:c r="F29" s="56" t="n">
        <x:v>0.35948006620045964</x:v>
      </x:c>
      <x:c r="G29" s="56" t="n">
        <x:v>-0.3708501006036218</x:v>
      </x:c>
      <x:c r="H29" s="57" t="n">
        <x:v>0.44492353152266195</x:v>
      </x:c>
      <x:c r="I29" s="57" t="n">
        <x:v>0.36181077934823525</x:v>
      </x:c>
      <x:c r="J29" s="56" t="n">
        <x:v>0.04104873046274565</x:v>
      </x:c>
      <x:c r="K29" s="56" t="n">
        <x:v>0.09279030555429396</x:v>
      </x:c>
      <x:c r="L29" s="56" t="n">
        <x:v>0.711570512728651</x:v>
      </x:c>
      <x:c r="M29" s="56" t="n">
        <x:v>0.8955529247654052</x:v>
      </x:c>
      <x:c r="N29" s="55" t="str">
        <x:f>IF(AND(F29&gt;=$C$6,K29&gt;=$C$9,L29&gt;=$C$10),"是","否")</x:f>
        <x:v>否</x:v>
      </x:c>
      <x:c r="O29" s="55" t="str">
        <x:f>IF(AND(E29&gt;=$C$5,H29&gt;=$C$7,I29&gt;=$C$8),"是","否")</x:f>
        <x:v>否</x:v>
      </x:c>
      <x:c r="P29" s="55" t="str">
        <x:f>IF(AND(N29="是",O29="是"),"达标",IF(N29="是","仅攻击锐度",IF(O29="是","仅收益质量","未达标")))</x:f>
        <x:v>未达标</x:v>
      </x:c>
    </x:row>
  </x:sheetData>
  <x:mergeCells>
    <x:mergeCell ref="A1:P1"/>
    <x:mergeCell ref="A2:P2"/>
  </x:mergeCells>
  <x:conditionalFormatting sqref="N15:P29">
    <x:cfRule type="containsText" dxfId="0" priority="1" operator="containsText" text="达标"/>
    <x:cfRule type="containsText" dxfId="1" priority="2" operator="containsText" text="未达标"/>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8" hidden="0" customWidth="1"/>
    <x:col min="4" max="4" width="70" hidden="0" customWidth="1"/>
    <x:col min="5" max="5" width="15" hidden="0" customWidth="1"/>
    <x:col min="6" max="6" width="20" hidden="0" customWidth="1"/>
    <x:col min="7" max="7" width="20" hidden="0" customWidth="1"/>
    <x:col min="8" max="8" width="42" hidden="0" customWidth="1"/>
    <x:col min="9" max="9" width="23" hidden="0" customWidth="1"/>
  </x:cols>
  <x:sheetData>
    <x:row r="1" ht="30" customHeight="1">
      <x:c r="A1" s="42" t="str">
        <x:v>三年AI连续暴露与双链切换验证</x:v>
      </x:c>
      <x:c r="B1" s="42"/>
      <x:c r="C1" s="42"/>
      <x:c r="D1" s="42"/>
      <x:c r="E1" s="42"/>
      <x:c r="F1" s="42"/>
      <x:c r="G1" s="42"/>
      <x:c r="H1" s="42"/>
      <x:c r="I1" s="42"/>
    </x:row>
    <x:row r="2" ht="25" customHeight="1">
      <x:c r="A2" s="46" t="str">
        <x:v>持仓取四个代表性报告期；“切换”要求主导链发生变化，不把一两只国产股卫星仓误判为国产链轮动。</x:v>
      </x:c>
      <x:c r="B2" s="46"/>
      <x:c r="C2" s="46"/>
      <x:c r="D2" s="46"/>
      <x:c r="E2" s="46"/>
      <x:c r="F2" s="46"/>
      <x:c r="G2" s="46"/>
      <x:c r="H2" s="46"/>
      <x:c r="I2" s="46"/>
    </x:row>
    <x:row r="4" ht="35" customHeight="1">
      <x:c r="A4" s="38" t="str">
        <x:v>基金代码</x:v>
      </x:c>
      <x:c r="B4" s="38" t="str">
        <x:v>基金经理</x:v>
      </x:c>
      <x:c r="C4" s="38" t="str">
        <x:v>报告期</x:v>
      </x:c>
      <x:c r="D4" s="38" t="str">
        <x:v>前十大持仓摘要</x:v>
      </x:c>
      <x:c r="E4" s="38" t="str">
        <x:v>AI连续暴露</x:v>
      </x:c>
      <x:c r="F4" s="38" t="str">
        <x:v>链条判定</x:v>
      </x:c>
      <x:c r="G4" s="38" t="str">
        <x:v>是否形成主导链切换</x:v>
      </x:c>
      <x:c r="H4" s="38" t="str">
        <x:v>裁决说明</x:v>
      </x:c>
      <x:c r="I4" s="38" t="str">
        <x:v>来源</x:v>
      </x:c>
    </x:row>
    <x:row r="5">
      <x:c r="A5" s="15" t="str">
        <x:v>017488.OF</x:v>
      </x:c>
      <x:c r="B5" s="15" t="str">
        <x:v>李涛</x:v>
      </x:c>
      <x:c r="C5" s="15" t="str">
        <x:v>2023Q3</x:v>
      </x:c>
      <x:c r="D5" s="15" t="str">
        <x:v>深桑达A、中科曙光、海光信息、科大讯飞、中兴通讯、神州数码、华大九天等</x:v>
      </x:c>
      <x:c r="E5" s="15" t="str">
        <x:v>是</x:v>
      </x:c>
      <x:c r="F5" s="15" t="str">
        <x:v>国产算力/信创</x:v>
      </x:c>
      <x:c r="G5" s="15" t="str">
        <x:v>是</x:v>
      </x:c>
      <x:c r="H5" s="15" t="str">
        <x:v>AI主线明确，起点偏国产</x:v>
      </x:c>
      <x:c r="I5" s="15" t="str">
        <x:v>iFinD基金季报持仓</x:v>
      </x:c>
    </x:row>
    <x:row r="6">
      <x:c r="A6" s="15" t="str">
        <x:v>017488.OF</x:v>
      </x:c>
      <x:c r="B6" s="15" t="str">
        <x:v>李涛</x:v>
      </x:c>
      <x:c r="C6" s="15" t="str">
        <x:v>2024Q4</x:v>
      </x:c>
      <x:c r="D6" s="15" t="str">
        <x:v>海光、中科曙光、神州数码、中国软件、中际、新易盛、浪潮、兆易创新</x:v>
      </x:c>
      <x:c r="E6" s="15" t="str">
        <x:v>是</x:v>
      </x:c>
      <x:c r="F6" s="15" t="str">
        <x:v>双链偏国产</x:v>
      </x:c>
      <x:c r="G6" s="15" t="str">
        <x:v>是</x:v>
      </x:c>
      <x:c r="H6" s="15" t="str">
        <x:v>北美光模块进入核心仓</x:v>
      </x:c>
      <x:c r="I6" s="15" t="str">
        <x:v>iFinD基金季报持仓</x:v>
      </x:c>
    </x:row>
    <x:row r="7">
      <x:c r="A7" s="15" t="str">
        <x:v>017488.OF</x:v>
      </x:c>
      <x:c r="B7" s="15" t="str">
        <x:v>李涛</x:v>
      </x:c>
      <x:c r="C7" s="15" t="str">
        <x:v>2025Q4</x:v>
      </x:c>
      <x:c r="D7" s="15" t="str">
        <x:v>中际、新易盛、海光、曙光、天孚、工业富联、浪潮、寒武纪、兆易创新</x:v>
      </x:c>
      <x:c r="E7" s="15" t="str">
        <x:v>是</x:v>
      </x:c>
      <x:c r="F7" s="15" t="str">
        <x:v>双链均衡</x:v>
      </x:c>
      <x:c r="G7" s="15" t="str">
        <x:v>是</x:v>
      </x:c>
      <x:c r="H7" s="15" t="str">
        <x:v>两条链均有核心仓位</x:v>
      </x:c>
      <x:c r="I7" s="15" t="str">
        <x:v>iFinD基金季报持仓</x:v>
      </x:c>
    </x:row>
    <x:row r="8">
      <x:c r="A8" s="15" t="str">
        <x:v>017488.OF</x:v>
      </x:c>
      <x:c r="B8" s="15" t="str">
        <x:v>李涛</x:v>
      </x:c>
      <x:c r="C8" s="15" t="str">
        <x:v>2026Q2</x:v>
      </x:c>
      <x:c r="D8" s="15" t="str">
        <x:v>新易盛、中际、东山、源杰、长飞；中科曙光、海光、华虹</x:v>
      </x:c>
      <x:c r="E8" s="15" t="str">
        <x:v>是</x:v>
      </x:c>
      <x:c r="F8" s="15" t="str">
        <x:v>北美链偏重</x:v>
      </x:c>
      <x:c r="G8" s="15" t="str">
        <x:v>是</x:v>
      </x:c>
      <x:c r="H8" s="15" t="str">
        <x:v>主导链已由国产转向北美</x:v>
      </x:c>
      <x:c r="I8" s="15" t="str">
        <x:v>iFinD基金季报持仓</x:v>
      </x:c>
    </x:row>
    <x:row r="9">
      <x:c r="A9" s="15" t="str">
        <x:v>006281.OF</x:v>
      </x:c>
      <x:c r="B9" s="15" t="str">
        <x:v>耿嘉洲</x:v>
      </x:c>
      <x:c r="C9" s="15" t="str">
        <x:v>2023Q3</x:v>
      </x:c>
      <x:c r="D9" s="15" t="str">
        <x:v>工业富联、寒武纪、沪电、天孚、中际、紫光、新易盛、浪潮、科大讯飞</x:v>
      </x:c>
      <x:c r="E9" s="15" t="str">
        <x:v>是</x:v>
      </x:c>
      <x:c r="F9" s="15" t="str">
        <x:v>双链混合</x:v>
      </x:c>
      <x:c r="G9" s="15" t="str">
        <x:v>是</x:v>
      </x:c>
      <x:c r="H9" s="15" t="str">
        <x:v>北美硬件与国产芯片/服务器并重</x:v>
      </x:c>
      <x:c r="I9" s="15" t="str">
        <x:v>iFinD基金季报持仓</x:v>
      </x:c>
    </x:row>
    <x:row r="10">
      <x:c r="A10" s="15" t="str">
        <x:v>006281.OF</x:v>
      </x:c>
      <x:c r="B10" s="15" t="str">
        <x:v>耿嘉洲</x:v>
      </x:c>
      <x:c r="C10" s="15" t="str">
        <x:v>2024Q4</x:v>
      </x:c>
      <x:c r="D10" s="15" t="str">
        <x:v>寒武纪、海光、新易盛、恒玄、沃尔核材、天孚、中兴、中芯国际</x:v>
      </x:c>
      <x:c r="E10" s="15" t="str">
        <x:v>是</x:v>
      </x:c>
      <x:c r="F10" s="15" t="str">
        <x:v>国产链偏重</x:v>
      </x:c>
      <x:c r="G10" s="15" t="str">
        <x:v>是</x:v>
      </x:c>
      <x:c r="H10" s="15" t="str">
        <x:v>国产芯片成为前两大</x:v>
      </x:c>
      <x:c r="I10" s="15" t="str">
        <x:v>iFinD基金季报持仓</x:v>
      </x:c>
    </x:row>
    <x:row r="11">
      <x:c r="A11" s="15" t="str">
        <x:v>006281.OF</x:v>
      </x:c>
      <x:c r="B11" s="15" t="str">
        <x:v>耿嘉洲</x:v>
      </x:c>
      <x:c r="C11" s="15" t="str">
        <x:v>2025Q4</x:v>
      </x:c>
      <x:c r="D11" s="15" t="str">
        <x:v>寒武纪、海光、新易盛、中际、盛科、天孚、剑桥、生益科技</x:v>
      </x:c>
      <x:c r="E11" s="15" t="str">
        <x:v>是</x:v>
      </x:c>
      <x:c r="F11" s="15" t="str">
        <x:v>双链混合</x:v>
      </x:c>
      <x:c r="G11" s="15" t="str">
        <x:v>是</x:v>
      </x:c>
      <x:c r="H11" s="15" t="str">
        <x:v>重新加配北美链</x:v>
      </x:c>
      <x:c r="I11" s="15" t="str">
        <x:v>iFinD基金季报持仓</x:v>
      </x:c>
    </x:row>
    <x:row r="12">
      <x:c r="A12" s="15" t="str">
        <x:v>006281.OF</x:v>
      </x:c>
      <x:c r="B12" s="15" t="str">
        <x:v>耿嘉洲</x:v>
      </x:c>
      <x:c r="C12" s="15" t="str">
        <x:v>2026Q2</x:v>
      </x:c>
      <x:c r="D12" s="15" t="str">
        <x:v>新易盛、寒武纪、盛科、联讯、天孚、中际、源杰、海光</x:v>
      </x:c>
      <x:c r="E12" s="15" t="str">
        <x:v>是</x:v>
      </x:c>
      <x:c r="F12" s="15" t="str">
        <x:v>双链混合</x:v>
      </x:c>
      <x:c r="G12" s="15" t="str">
        <x:v>是</x:v>
      </x:c>
      <x:c r="H12" s="15" t="str">
        <x:v>持续主动平衡两条链</x:v>
      </x:c>
      <x:c r="I12" s="15" t="str">
        <x:v>iFinD基金季报持仓</x:v>
      </x:c>
    </x:row>
    <x:row r="13">
      <x:c r="A13" s="15" t="str">
        <x:v>017102.OF</x:v>
      </x:c>
      <x:c r="B13" s="15" t="str">
        <x:v>雷志勇</x:v>
      </x:c>
      <x:c r="C13" s="15" t="str">
        <x:v>2023Q3</x:v>
      </x:c>
      <x:c r="D13" s="15" t="str">
        <x:v>中际、工业富联、浪潮、天孚、沪电、新易盛、源杰、胜宏、盛科</x:v>
      </x:c>
      <x:c r="E13" s="15" t="str">
        <x:v>是</x:v>
      </x:c>
      <x:c r="F13" s="15" t="str">
        <x:v>北美链为主</x:v>
      </x:c>
      <x:c r="G13" s="15" t="str">
        <x:v>否</x:v>
      </x:c>
      <x:c r="H13" s="15" t="str">
        <x:v>国产服务器为卫星仓</x:v>
      </x:c>
      <x:c r="I13" s="15" t="str">
        <x:v>iFinD基金季报持仓</x:v>
      </x:c>
    </x:row>
    <x:row r="14">
      <x:c r="A14" s="15" t="str">
        <x:v>017102.OF</x:v>
      </x:c>
      <x:c r="B14" s="15" t="str">
        <x:v>雷志勇</x:v>
      </x:c>
      <x:c r="C14" s="15" t="str">
        <x:v>2024Q4</x:v>
      </x:c>
      <x:c r="D14" s="15" t="str">
        <x:v>中际、沪电、新易盛、英维克、生益电子；海光信息</x:v>
      </x:c>
      <x:c r="E14" s="15" t="str">
        <x:v>是</x:v>
      </x:c>
      <x:c r="F14" s="15" t="str">
        <x:v>北美链为主</x:v>
      </x:c>
      <x:c r="G14" s="15" t="str">
        <x:v>否</x:v>
      </x:c>
      <x:c r="H14" s="15" t="str">
        <x:v>海光未改变主导链</x:v>
      </x:c>
      <x:c r="I14" s="15" t="str">
        <x:v>iFinD基金季报持仓</x:v>
      </x:c>
    </x:row>
    <x:row r="15">
      <x:c r="A15" s="15" t="str">
        <x:v>017102.OF</x:v>
      </x:c>
      <x:c r="B15" s="15" t="str">
        <x:v>雷志勇</x:v>
      </x:c>
      <x:c r="C15" s="15" t="str">
        <x:v>2025Q4</x:v>
      </x:c>
      <x:c r="D15" s="15" t="str">
        <x:v>中际、新易盛、深南、天孚、生益、东山、英维克等</x:v>
      </x:c>
      <x:c r="E15" s="15" t="str">
        <x:v>是</x:v>
      </x:c>
      <x:c r="F15" s="15" t="str">
        <x:v>北美链</x:v>
      </x:c>
      <x:c r="G15" s="15" t="str">
        <x:v>否</x:v>
      </x:c>
      <x:c r="H15" s="15" t="str">
        <x:v>基本为北美算力配套</x:v>
      </x:c>
      <x:c r="I15" s="15" t="str">
        <x:v>iFinD基金季报持仓</x:v>
      </x:c>
    </x:row>
    <x:row r="16">
      <x:c r="A16" s="15" t="str">
        <x:v>017102.OF</x:v>
      </x:c>
      <x:c r="B16" s="15" t="str">
        <x:v>雷志勇</x:v>
      </x:c>
      <x:c r="C16" s="15" t="str">
        <x:v>2026Q2</x:v>
      </x:c>
      <x:c r="D16" s="15" t="str">
        <x:v>中际、新易盛、深南、东山、生益、天孚；海光、寒武纪</x:v>
      </x:c>
      <x:c r="E16" s="15" t="str">
        <x:v>是</x:v>
      </x:c>
      <x:c r="F16" s="15" t="str">
        <x:v>北美链为主</x:v>
      </x:c>
      <x:c r="G16" s="15" t="str">
        <x:v>否</x:v>
      </x:c>
      <x:c r="H16" s="15" t="str">
        <x:v>国产芯片仍是卫星仓</x:v>
      </x:c>
      <x:c r="I16" s="15" t="str">
        <x:v>iFinD基金季报持仓</x:v>
      </x:c>
    </x:row>
    <x:row r="17">
      <x:c r="A17" s="15" t="str">
        <x:v>009491.OF</x:v>
      </x:c>
      <x:c r="B17" s="15" t="str">
        <x:v>容志能</x:v>
      </x:c>
      <x:c r="C17" s="15" t="str">
        <x:v>2023Q3</x:v>
      </x:c>
      <x:c r="D17" s="15" t="str">
        <x:v>立讯、传音、沪电、三花、赛腾、中际、拓普、华工、中天</x:v>
      </x:c>
      <x:c r="E17" s="15" t="str">
        <x:v>部分</x:v>
      </x:c>
      <x:c r="F17" s="15" t="str">
        <x:v>AI+消费电子/汽车</x:v>
      </x:c>
      <x:c r="G17" s="15" t="str">
        <x:v>否</x:v>
      </x:c>
      <x:c r="H17" s="15" t="str">
        <x:v>2023并非纯AI持续暴露</x:v>
      </x:c>
      <x:c r="I17" s="15" t="str">
        <x:v>iFinD基金季报持仓</x:v>
      </x:c>
    </x:row>
    <x:row r="18">
      <x:c r="A18" s="15" t="str">
        <x:v>009491.OF</x:v>
      </x:c>
      <x:c r="B18" s="15" t="str">
        <x:v>容志能</x:v>
      </x:c>
      <x:c r="C18" s="15" t="str">
        <x:v>2024Q4</x:v>
      </x:c>
      <x:c r="D18" s="15" t="str">
        <x:v>中际、新易盛、天孚、胜宏、沪电；海光</x:v>
      </x:c>
      <x:c r="E18" s="15" t="str">
        <x:v>是</x:v>
      </x:c>
      <x:c r="F18" s="15" t="str">
        <x:v>北美链为主</x:v>
      </x:c>
      <x:c r="G18" s="15" t="str">
        <x:v>否</x:v>
      </x:c>
      <x:c r="H18" s="15" t="str">
        <x:v>国产链仅卫星仓</x:v>
      </x:c>
      <x:c r="I18" s="15" t="str">
        <x:v>iFinD基金季报持仓</x:v>
      </x:c>
    </x:row>
    <x:row r="19">
      <x:c r="A19" s="15" t="str">
        <x:v>009491.OF</x:v>
      </x:c>
      <x:c r="B19" s="15" t="str">
        <x:v>容志能</x:v>
      </x:c>
      <x:c r="C19" s="15" t="str">
        <x:v>2025Q4</x:v>
      </x:c>
      <x:c r="D19" s="15" t="str">
        <x:v>新易盛、天孚、东山、中际、华虹；腾讯、快手等</x:v>
      </x:c>
      <x:c r="E19" s="15" t="str">
        <x:v>是</x:v>
      </x:c>
      <x:c r="F19" s="15" t="str">
        <x:v>北美链为主</x:v>
      </x:c>
      <x:c r="G19" s="15" t="str">
        <x:v>否</x:v>
      </x:c>
      <x:c r="H19" s="15" t="str">
        <x:v>无主导链切换</x:v>
      </x:c>
      <x:c r="I19" s="15" t="str">
        <x:v>iFinD基金季报持仓</x:v>
      </x:c>
    </x:row>
    <x:row r="20">
      <x:c r="A20" s="15" t="str">
        <x:v>009491.OF</x:v>
      </x:c>
      <x:c r="B20" s="15" t="str">
        <x:v>容志能</x:v>
      </x:c>
      <x:c r="C20" s="15" t="str">
        <x:v>2026Q2</x:v>
      </x:c>
      <x:c r="D20" s="15" t="str">
        <x:v>新易盛、中际、东山、天孚、华虹、建滔积层板等</x:v>
      </x:c>
      <x:c r="E20" s="15" t="str">
        <x:v>是</x:v>
      </x:c>
      <x:c r="F20" s="15" t="str">
        <x:v>北美链为主</x:v>
      </x:c>
      <x:c r="G20" s="15" t="str">
        <x:v>否</x:v>
      </x:c>
      <x:c r="H20" s="15" t="str">
        <x:v>无主导链切换</x:v>
      </x:c>
      <x:c r="I20" s="15" t="str">
        <x:v>iFinD基金季报持仓</x:v>
      </x:c>
    </x:row>
    <x:row r="21">
      <x:c r="A21" s="15" t="str">
        <x:v>006887.OF</x:v>
      </x:c>
      <x:c r="B21" s="15" t="str">
        <x:v>周建胜</x:v>
      </x:c>
      <x:c r="C21" s="15" t="str">
        <x:v>2023Q3-2026Q2</x:v>
      </x:c>
      <x:c r="D21" s="15" t="str">
        <x:v>各期核心均为中际、新易盛、天孚、源杰、沪电、胜宏、东山等</x:v>
      </x:c>
      <x:c r="E21" s="15" t="str">
        <x:v>是</x:v>
      </x:c>
      <x:c r="F21" s="15" t="str">
        <x:v>北美链</x:v>
      </x:c>
      <x:c r="G21" s="15" t="str">
        <x:v>否</x:v>
      </x:c>
      <x:c r="H21" s="15" t="str">
        <x:v>长期纯北美链高弹性</x:v>
      </x:c>
      <x:c r="I21" s="15" t="str">
        <x:v>iFinD基金季报持仓</x:v>
      </x:c>
    </x:row>
    <x:row r="22">
      <x:c r="A22" s="15" t="str">
        <x:v>001323.OF</x:v>
      </x:c>
      <x:c r="B22" s="15" t="str">
        <x:v>刘元海</x:v>
      </x:c>
      <x:c r="C22" s="15" t="str">
        <x:v>2023Q3-2026Q2</x:v>
      </x:c>
      <x:c r="D22" s="15" t="str">
        <x:v>长期持有中际、新易盛、沪电、工业富联并搭配消费电子；兆易、中芯、芯原为卫星仓</x:v>
      </x:c>
      <x:c r="E22" s="15" t="str">
        <x:v>是</x:v>
      </x:c>
      <x:c r="F22" s="15" t="str">
        <x:v>北美链+端侧</x:v>
      </x:c>
      <x:c r="G22" s="15" t="str">
        <x:v>否</x:v>
      </x:c>
      <x:c r="H22" s="15" t="str">
        <x:v>国产链从未成为主导</x:v>
      </x:c>
      <x:c r="I22" s="15" t="str">
        <x:v>iFinD基金季报持仓</x:v>
      </x:c>
    </x:row>
    <x:row r="23">
      <x:c r="A23" s="15" t="str">
        <x:v>007343.OF</x:v>
      </x:c>
      <x:c r="B23" s="15" t="str">
        <x:v>王贵重</x:v>
      </x:c>
      <x:c r="C23" s="15" t="str">
        <x:v>2023Q4</x:v>
      </x:c>
      <x:c r="D23" s="15" t="str">
        <x:v>学大教育、海康、信达生物、美团、金蝶、康方、同花顺、快手、神州泰岳、微盟</x:v>
      </x:c>
      <x:c r="E23" s="15" t="str">
        <x:v>否</x:v>
      </x:c>
      <x:c r="F23" s="15" t="str">
        <x:v>非连续AI硬件</x:v>
      </x:c>
      <x:c r="G23" s="15" t="str">
        <x:v>否</x:v>
      </x:c>
      <x:c r="H23" s="15" t="str">
        <x:v>直接触发连续AI门槛剔除</x:v>
      </x:c>
      <x:c r="I23" s="15" t="str">
        <x:v>iFinD基金季报持仓</x:v>
      </x:c>
    </x:row>
    <x:row r="24">
      <x:c r="A24" s="15" t="str">
        <x:v>007343.OF</x:v>
      </x:c>
      <x:c r="B24" s="15" t="str">
        <x:v>王贵重</x:v>
      </x:c>
      <x:c r="C24" s="15" t="str">
        <x:v>2024Q4-2026Q2</x:v>
      </x:c>
      <x:c r="D24" s="15" t="str">
        <x:v>逐步转向中芯、中科飞测、中微、北方华创、拓荆、华海清科等国产半导体</x:v>
      </x:c>
      <x:c r="E24" s="15" t="str">
        <x:v>是</x:v>
      </x:c>
      <x:c r="F24" s="15" t="str">
        <x:v>国产半导体</x:v>
      </x:c>
      <x:c r="G24" s="15" t="str">
        <x:v>否</x:v>
      </x:c>
      <x:c r="H24" s="15" t="str">
        <x:v>AI硬件暴露始于后段，不能追溯认定三年持续</x:v>
      </x:c>
      <x:c r="I24" s="15" t="str">
        <x:v>iFinD基金季报持仓</x:v>
      </x:c>
    </x:row>
  </x:sheetData>
  <x:mergeCells>
    <x:mergeCell ref="A1:I1"/>
    <x:mergeCell ref="A2:I2"/>
  </x:mergeCells>
  <x:conditionalFormatting sqref="E5:E24">
    <x:cfRule type="containsText" dxfId="2" priority="1" operator="containsText" text="是"/>
  </x:conditionalFormatting>
  <x:conditionalFormatting sqref="G5:G24">
    <x:cfRule type="containsText" dxfId="3" priority="2" operator="containsText" text="否"/>
  </x:conditionalFormatting>
  <x:pageMargins left="0.7" right="0.7" top="0.75" bottom="0.75" header="0.3" footer="0.3"/>
</x:worksheet>
</file>